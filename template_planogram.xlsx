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LAYOUT" sheetId="3" state="visible" r:id="rId3"/>
  </sheets>
  <definedNames>
    <definedName name="_xlnm._FilterDatabase" localSheetId="1" hidden="1">'DATA'!$A$1:$T$500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i val="1"/>
      <color rgb="007A5B00"/>
      <sz val="10"/>
    </font>
    <font>
      <name val="Arial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B5B"/>
      </patternFill>
    </fill>
    <fill>
      <patternFill patternType="solid">
        <fgColor rgb="006B7380"/>
      </patternFill>
    </fill>
    <fill>
      <patternFill patternType="solid">
        <fgColor rgb="00FFF8DC"/>
      </patternFill>
    </fill>
    <fill>
      <patternFill patternType="solid">
        <fgColor rgb="00E7EAF0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5" borderId="1" pivotButton="0" quotePrefix="0" xfId="0"/>
    <xf numFmtId="0" fontId="8" fillId="5" borderId="1" applyAlignment="1" pivotButton="0" quotePrefix="0" xfId="0">
      <alignment horizontal="center"/>
    </xf>
    <xf numFmtId="49" fontId="8" fillId="5" borderId="1" pivotButton="0" quotePrefix="0" xfId="0"/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49" fontId="2" fillId="0" borderId="1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dxfs count="2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TEMPLATE DATA PLANOGRAM (1 SHEET)</t>
        </is>
      </c>
    </row>
    <row r="2">
      <c r="A2" s="2" t="inlineStr">
        <is>
          <t>Semua data diisi di sheet DATA: satu baris = satu posisi item di sebuah fixture, lengkap dengan data SKU-nya.</t>
        </is>
      </c>
    </row>
    <row r="3">
      <c r="A3" s="2" t="inlineStr"/>
    </row>
    <row r="4">
      <c r="A4" s="3" t="inlineStr">
        <is>
          <t>ALUR PENGISIAN</t>
        </is>
      </c>
      <c r="B4" s="4" t="n"/>
    </row>
    <row r="5">
      <c r="A5" s="2" t="inlineStr">
        <is>
          <t>1. Isi sheet DATA mulai baris 2. Kolom biru tua diisi manual; kolom abu-abu di kanan terisi otomatis (jangan diisi / dihapus).</t>
        </is>
      </c>
    </row>
    <row r="6">
      <c r="A6" s="2" t="inlineStr">
        <is>
          <t>2. Kolom "status" harus OK di semua baris sebelum diimpor.</t>
        </is>
      </c>
    </row>
    <row r="7">
      <c r="A7" s="2" t="inlineStr">
        <is>
          <t>3. Baris berlatar kuning muda = CONTOH. Hapus atau timpa dengan data Anda.</t>
        </is>
      </c>
    </row>
    <row r="8">
      <c r="A8" s="2" t="inlineStr">
        <is>
          <t>4. Item yang sama di beberapa posisi: tulis ulang data SKU-nya (kode_sku, nama, ukuran, dst.) dengan nilai yang sama. Kolom status menandai jika tidak konsisten.</t>
        </is>
      </c>
    </row>
    <row r="9">
      <c r="A9" s="2" t="inlineStr">
        <is>
          <t>5. Simpan sheet DATA sebagai CSV UTF-8 untuk diimpor ke Planogram Generator.</t>
        </is>
      </c>
    </row>
    <row r="10">
      <c r="A10" s="2" t="inlineStr"/>
    </row>
    <row r="11">
      <c r="A11" s="3" t="inlineStr">
        <is>
          <t>KOLOM POSISI</t>
        </is>
      </c>
      <c r="B11" s="4" t="n"/>
    </row>
    <row r="12">
      <c r="A12" s="5" t="inlineStr">
        <is>
          <t>id_fixture</t>
        </is>
      </c>
      <c r="B12" s="6" t="inlineStr">
        <is>
          <t>Kode unik tiap fixture di toko, misalnya GND-01 atau WLL-05. Satu id_fixture = satu planogram.</t>
        </is>
      </c>
    </row>
    <row r="13">
      <c r="A13" s="5" t="inlineStr">
        <is>
          <t>jenis_fixture</t>
        </is>
      </c>
      <c r="B13" s="6" t="inlineStr">
        <is>
          <t>Pilih dari dropdown. Harus persis sama dengan nama layout di sheet LAYOUT.</t>
        </is>
      </c>
    </row>
    <row r="14">
      <c r="A14" s="5" t="inlineStr">
        <is>
          <t>zona_no</t>
        </is>
      </c>
      <c r="B14" s="6" t="inlineStr">
        <is>
          <t>Nomor zona dihitung dari atas ke bawah, mulai 1.</t>
        </is>
      </c>
    </row>
    <row r="15">
      <c r="A15" s="5" t="inlineStr">
        <is>
          <t>jenis_zona</t>
        </is>
      </c>
      <c r="B15" s="6" t="inlineStr">
        <is>
          <t>Rak atau Gantungan (dropdown). Harus cocok dengan layout; lihat kolom "jenis_zona_seharusnya".</t>
        </is>
      </c>
    </row>
    <row r="16">
      <c r="A16" s="5" t="inlineStr">
        <is>
          <t>urutan</t>
        </is>
      </c>
      <c r="B16" s="6" t="inlineStr">
        <is>
          <t>Urutan item dalam satu zona, dari kiri ke kanan, mulai 1.</t>
        </is>
      </c>
    </row>
    <row r="17">
      <c r="A17" s="5" t="inlineStr">
        <is>
          <t>facing</t>
        </is>
      </c>
      <c r="B17" s="6" t="inlineStr">
        <is>
          <t>Jumlah item berdampingan. Di gantungan = jumlah pengait.</t>
        </is>
      </c>
    </row>
    <row r="18">
      <c r="A18" s="5" t="inlineStr">
        <is>
          <t>susun</t>
        </is>
      </c>
      <c r="B18" s="6" t="inlineStr">
        <is>
          <t>Jumlah tumpukan ke atas. Isi 1 untuk gantungan.</t>
        </is>
      </c>
    </row>
    <row r="19">
      <c r="A19" s="2" t="inlineStr"/>
    </row>
    <row r="20">
      <c r="A20" s="3" t="inlineStr">
        <is>
          <t>KOLOM DATA SKU</t>
        </is>
      </c>
      <c r="B20" s="4" t="n"/>
    </row>
    <row r="21">
      <c r="A21" s="5" t="inlineStr">
        <is>
          <t>kode_sku</t>
        </is>
      </c>
      <c r="B21" s="6" t="inlineStr">
        <is>
          <t>Kode artikel unik (wajib).</t>
        </is>
      </c>
    </row>
    <row r="22">
      <c r="A22" s="5" t="inlineStr">
        <is>
          <t>nama</t>
        </is>
      </c>
      <c r="B22" s="6" t="inlineStr">
        <is>
          <t>Nama item (wajib).</t>
        </is>
      </c>
    </row>
    <row r="23">
      <c r="A23" s="5" t="inlineStr">
        <is>
          <t>brand</t>
        </is>
      </c>
      <c r="B23" s="6" t="inlineStr">
        <is>
          <t>Brand / merek. Dipakai untuk pengelompokan blok brand dan warna rel harga.</t>
        </is>
      </c>
    </row>
    <row r="24">
      <c r="A24" s="5" t="inlineStr">
        <is>
          <t>lebar_cm / tinggi_cm</t>
        </is>
      </c>
      <c r="B24" s="6" t="inlineStr">
        <is>
          <t>Ukuran kemasan tampak depan dalam cm (wajib, angka).</t>
        </is>
      </c>
    </row>
    <row r="25">
      <c r="A25" s="5" t="inlineStr">
        <is>
          <t>kedalaman_cm</t>
        </is>
      </c>
      <c r="B25" s="6" t="inlineStr">
        <is>
          <t>Kedalaman kemasan dalam cm (opsional). Dipakai menghitung kapasitas unit per facing.</t>
        </is>
      </c>
    </row>
    <row r="26">
      <c r="A26" s="5" t="inlineStr">
        <is>
          <t>prioritas</t>
        </is>
      </c>
      <c r="B26" s="6" t="inlineStr">
        <is>
          <t>1 = rendah, 2 = sedang, 3 = tinggi.</t>
        </is>
      </c>
    </row>
    <row r="27">
      <c r="A27" s="5" t="inlineStr">
        <is>
          <t>tampil</t>
        </is>
      </c>
      <c r="B27" s="6" t="inlineStr">
        <is>
          <t>rak / gantung. Kosongkan jika bebas.</t>
        </is>
      </c>
    </row>
    <row r="28">
      <c r="A28" s="5" t="inlineStr">
        <is>
          <t>link_image</t>
        </is>
      </c>
      <c r="B28" s="6" t="inlineStr">
        <is>
          <t>Link langsung ke file gambar (.jpg / .png) yang bisa dibuka tanpa login. Link folder atau halaman web tidak tampil sebagai gambar.</t>
        </is>
      </c>
    </row>
    <row r="29">
      <c r="A29" s="2" t="inlineStr"/>
    </row>
    <row r="30">
      <c r="A30" s="3" t="inlineStr">
        <is>
          <t>KOLOM OTOMATIS (abu-abu)</t>
        </is>
      </c>
      <c r="B30" s="4" t="n"/>
    </row>
    <row r="31">
      <c r="A31" s="5" t="inlineStr">
        <is>
          <t>jenis_zona_seharusnya</t>
        </is>
      </c>
      <c r="B31" s="6" t="inlineStr">
        <is>
          <t>Jenis zona menurut layout, dibaca dari sheet LAYOUT.</t>
        </is>
      </c>
    </row>
    <row r="32">
      <c r="A32" s="5" t="inlineStr">
        <is>
          <t>lebar_terpakai_cm</t>
        </is>
      </c>
      <c r="B32" s="6" t="inlineStr">
        <is>
          <t>lebar_cm x facing.</t>
        </is>
      </c>
    </row>
    <row r="33">
      <c r="A33" s="5" t="inlineStr">
        <is>
          <t>total_lebar_zona_cm</t>
        </is>
      </c>
      <c r="B33" s="6" t="inlineStr">
        <is>
          <t>Jumlah lebar_terpakai semua item dalam zona yang sama (id_fixture + zona_no).</t>
        </is>
      </c>
    </row>
    <row r="34">
      <c r="A34" s="5" t="inlineStr">
        <is>
          <t>status</t>
        </is>
      </c>
      <c r="B34" s="6" t="inlineStr">
        <is>
          <t>OK, atau CEK + penyebab: data SKU kurang / tidak konsisten, zona tidak ada di layout, jenis_zona salah, atau lebar zona melebihi lebar fixture.</t>
        </is>
      </c>
    </row>
    <row r="35">
      <c r="A35" s="2" t="inlineStr"/>
    </row>
    <row r="36">
      <c r="A36" s="3" t="inlineStr">
        <is>
          <t>CATATAN</t>
        </is>
      </c>
      <c r="B36" s="4" t="n"/>
    </row>
    <row r="37">
      <c r="A37" s="2" t="inlineStr">
        <is>
          <t>Link Google Drive: agar tampil sebagai gambar, gunakan format https://drive.google.com/uc?export=view&amp;id=ID_FILE dan atur akses berbagi ke "Siapa saja yang memiliki link".</t>
        </is>
      </c>
    </row>
    <row r="38">
      <c r="A38" s="2" t="inlineStr">
        <is>
          <t>Fitur impor file ini dan tampilan gambar item di modul akan ditambahkan setelah format disetujui.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2" customWidth="1" min="2" max="2"/>
    <col width="9" customWidth="1" min="3" max="3"/>
    <col width="13" customWidth="1" min="4" max="4"/>
    <col width="9" customWidth="1" min="5" max="5"/>
    <col width="12" customWidth="1" min="6" max="6"/>
    <col width="28" customWidth="1" min="7" max="7"/>
    <col width="14" customWidth="1" min="8" max="8"/>
    <col width="10" customWidth="1" min="9" max="9"/>
    <col width="10" customWidth="1" min="10" max="10"/>
    <col width="13" customWidth="1" min="11" max="11"/>
    <col width="10" customWidth="1" min="12" max="12"/>
    <col width="10" customWidth="1" min="13" max="13"/>
    <col width="52" customWidth="1" min="14" max="14"/>
    <col width="8" customWidth="1" min="15" max="15"/>
    <col width="8" customWidth="1" min="16" max="16"/>
    <col width="20" customWidth="1" min="17" max="17"/>
    <col width="17" customWidth="1" min="18" max="18"/>
    <col width="19" customWidth="1" min="19" max="19"/>
    <col width="34" customWidth="1" min="20" max="20"/>
  </cols>
  <sheetData>
    <row r="1" ht="34" customHeight="1">
      <c r="A1" s="7" t="inlineStr">
        <is>
          <t>id_fixture</t>
        </is>
      </c>
      <c r="B1" s="7" t="inlineStr">
        <is>
          <t>jenis_fixture</t>
        </is>
      </c>
      <c r="C1" s="7" t="inlineStr">
        <is>
          <t>zona_no</t>
        </is>
      </c>
      <c r="D1" s="7" t="inlineStr">
        <is>
          <t>jenis_zona</t>
        </is>
      </c>
      <c r="E1" s="7" t="inlineStr">
        <is>
          <t>urutan</t>
        </is>
      </c>
      <c r="F1" s="8" t="inlineStr">
        <is>
          <t>kode_sku</t>
        </is>
      </c>
      <c r="G1" s="8" t="inlineStr">
        <is>
          <t>nama</t>
        </is>
      </c>
      <c r="H1" s="8" t="inlineStr">
        <is>
          <t>brand</t>
        </is>
      </c>
      <c r="I1" s="8" t="inlineStr">
        <is>
          <t>lebar_cm</t>
        </is>
      </c>
      <c r="J1" s="8" t="inlineStr">
        <is>
          <t>tinggi_cm</t>
        </is>
      </c>
      <c r="K1" s="8" t="inlineStr">
        <is>
          <t>kedalaman_cm</t>
        </is>
      </c>
      <c r="L1" s="8" t="inlineStr">
        <is>
          <t>prioritas</t>
        </is>
      </c>
      <c r="M1" s="8" t="inlineStr">
        <is>
          <t>tampil</t>
        </is>
      </c>
      <c r="N1" s="8" t="inlineStr">
        <is>
          <t>link_image</t>
        </is>
      </c>
      <c r="O1" s="7" t="inlineStr">
        <is>
          <t>facing</t>
        </is>
      </c>
      <c r="P1" s="7" t="inlineStr">
        <is>
          <t>susun</t>
        </is>
      </c>
      <c r="Q1" s="9" t="inlineStr">
        <is>
          <t>jenis_zona_seharusnya (otomatis)</t>
        </is>
      </c>
      <c r="R1" s="9" t="inlineStr">
        <is>
          <t>lebar_terpakai_cm (otomatis)</t>
        </is>
      </c>
      <c r="S1" s="9" t="inlineStr">
        <is>
          <t>total_lebar_zona_cm (otomatis)</t>
        </is>
      </c>
      <c r="T1" s="9" t="inlineStr">
        <is>
          <t>status (otomatis)</t>
        </is>
      </c>
    </row>
    <row r="2">
      <c r="A2" s="10" t="inlineStr">
        <is>
          <t>GND-01</t>
        </is>
      </c>
      <c r="B2" s="10" t="inlineStr">
        <is>
          <t>Gondola 1 Rack + 3 Gantungan</t>
        </is>
      </c>
      <c r="C2" s="11" t="n">
        <v>1</v>
      </c>
      <c r="D2" s="10" t="inlineStr">
        <is>
          <t>Rak</t>
        </is>
      </c>
      <c r="E2" s="11" t="n">
        <v>1</v>
      </c>
      <c r="F2" s="12" t="inlineStr">
        <is>
          <t>100234</t>
        </is>
      </c>
      <c r="G2" s="10" t="inlineStr">
        <is>
          <t>Canister 1L</t>
        </is>
      </c>
      <c r="H2" s="10" t="inlineStr">
        <is>
          <t>Keepy</t>
        </is>
      </c>
      <c r="I2" s="11" t="n">
        <v>12</v>
      </c>
      <c r="J2" s="11" t="n">
        <v>16</v>
      </c>
      <c r="K2" s="11" t="n">
        <v>12</v>
      </c>
      <c r="L2" s="11" t="n">
        <v>3</v>
      </c>
      <c r="M2" s="11" t="inlineStr">
        <is>
          <t>rak</t>
        </is>
      </c>
      <c r="N2" s="10" t="inlineStr">
        <is>
          <t>https://contoh.com/gambar/100234.jpg</t>
        </is>
      </c>
      <c r="O2" s="11" t="n">
        <v>2</v>
      </c>
      <c r="P2" s="11" t="n">
        <v>1</v>
      </c>
      <c r="Q2" s="13">
        <f>IF(OR(B2="",C2=""),"",IFERROR(INDEX(LAYOUT!$E$2:$E$33,MATCH(B2&amp;"|"&amp;C2,LAYOUT!$F$2:$F$33,0)),"zona tidak ada di layout"))</f>
        <v/>
      </c>
      <c r="R2" s="14">
        <f>IF(F2="","",IF(OR(I2="",O2=""),0,I2*O2))</f>
        <v/>
      </c>
      <c r="S2" s="14">
        <f>IF(F2="","",SUMIFS($R$2:$R$500,$A$2:$A$500,A2,$C$2:$C$500,C2))</f>
        <v/>
      </c>
      <c r="T2" s="14">
        <f>IF(F2="","",IF(OR(G2="",I2="",J2=""),"CEK data SKU (nama/lebar/tinggi)",IF(COUNTIFS($F$2:$F$500,F2,$I$2:$I$500,"&lt;&gt;"&amp;I2)+COUNTIFS($F$2:$F$500,F2,$J$2:$J$500,"&lt;&gt;"&amp;J2)&gt;0,"CEK data SKU tidak konsisten",IF(Q2="zona tidak ada di layout","CEK zona_no / jenis_fixture",IF(D2&lt;&gt;Q2,"CEK jenis_zona",IF(S2&gt;IFERROR(INDEX(LAYOUT!$C$2:$C$33,MATCH(B2,LAYOUT!$A$2:$A$33,0)),0),"CEK lebar zona melebihi fixture","OK")))))</f>
        <v/>
      </c>
    </row>
    <row r="3">
      <c r="A3" s="10" t="inlineStr">
        <is>
          <t>GND-01</t>
        </is>
      </c>
      <c r="B3" s="10" t="inlineStr">
        <is>
          <t>Gondola 1 Rack + 3 Gantungan</t>
        </is>
      </c>
      <c r="C3" s="11" t="n">
        <v>2</v>
      </c>
      <c r="D3" s="10" t="inlineStr">
        <is>
          <t>Gantungan</t>
        </is>
      </c>
      <c r="E3" s="11" t="n">
        <v>1</v>
      </c>
      <c r="F3" s="12" t="inlineStr">
        <is>
          <t>100871</t>
        </is>
      </c>
      <c r="G3" s="10" t="inlineStr">
        <is>
          <t>Set Spatula 5pcs</t>
        </is>
      </c>
      <c r="H3" s="10" t="inlineStr">
        <is>
          <t>MasakPro</t>
        </is>
      </c>
      <c r="I3" s="11" t="n">
        <v>12</v>
      </c>
      <c r="J3" s="11" t="n">
        <v>26</v>
      </c>
      <c r="K3" s="11" t="n">
        <v>6</v>
      </c>
      <c r="L3" s="11" t="n">
        <v>1</v>
      </c>
      <c r="M3" s="11" t="inlineStr">
        <is>
          <t>gantung</t>
        </is>
      </c>
      <c r="N3" s="10" t="inlineStr">
        <is>
          <t>https://contoh.com/gambar/100871.jpg</t>
        </is>
      </c>
      <c r="O3" s="11" t="n">
        <v>3</v>
      </c>
      <c r="P3" s="11" t="n">
        <v>1</v>
      </c>
      <c r="Q3" s="13">
        <f>IF(OR(B3="",C3=""),"",IFERROR(INDEX(LAYOUT!$E$2:$E$33,MATCH(B3&amp;"|"&amp;C3,LAYOUT!$F$2:$F$33,0)),"zona tidak ada di layout"))</f>
        <v/>
      </c>
      <c r="R3" s="14">
        <f>IF(F3="","",IF(OR(I3="",O3=""),0,I3*O3))</f>
        <v/>
      </c>
      <c r="S3" s="14">
        <f>IF(F3="","",SUMIFS($R$2:$R$500,$A$2:$A$500,A3,$C$2:$C$500,C3))</f>
        <v/>
      </c>
      <c r="T3" s="14">
        <f>IF(F3="","",IF(OR(G3="",I3="",J3=""),"CEK data SKU (nama/lebar/tinggi)",IF(COUNTIFS($F$2:$F$500,F3,$I$2:$I$500,"&lt;&gt;"&amp;I3)+COUNTIFS($F$2:$F$500,F3,$J$2:$J$500,"&lt;&gt;"&amp;J3)&gt;0,"CEK data SKU tidak konsisten",IF(Q3="zona tidak ada di layout","CEK zona_no / jenis_fixture",IF(D3&lt;&gt;Q3,"CEK jenis_zona",IF(S3&gt;IFERROR(INDEX(LAYOUT!$C$2:$C$33,MATCH(B3,LAYOUT!$A$2:$A$33,0)),0),"CEK lebar zona melebihi fixture","OK")))))</f>
        <v/>
      </c>
    </row>
    <row r="4">
      <c r="A4" s="10" t="inlineStr">
        <is>
          <t>GND-01</t>
        </is>
      </c>
      <c r="B4" s="10" t="inlineStr">
        <is>
          <t>Gondola 1 Rack + 3 Gantungan</t>
        </is>
      </c>
      <c r="C4" s="11" t="n">
        <v>3</v>
      </c>
      <c r="D4" s="10" t="inlineStr">
        <is>
          <t>Gantungan</t>
        </is>
      </c>
      <c r="E4" s="11" t="n">
        <v>1</v>
      </c>
      <c r="F4" s="12" t="inlineStr">
        <is>
          <t>100455</t>
        </is>
      </c>
      <c r="G4" s="10" t="inlineStr">
        <is>
          <t>Panci Stainless 20cm</t>
        </is>
      </c>
      <c r="H4" s="10" t="inlineStr">
        <is>
          <t>MasakPro</t>
        </is>
      </c>
      <c r="I4" s="11" t="n">
        <v>22</v>
      </c>
      <c r="J4" s="11" t="n">
        <v>12</v>
      </c>
      <c r="K4" s="11" t="n">
        <v>22</v>
      </c>
      <c r="L4" s="11" t="n">
        <v>2</v>
      </c>
      <c r="M4" s="11" t="inlineStr">
        <is>
          <t>gantung</t>
        </is>
      </c>
      <c r="N4" s="10" t="inlineStr">
        <is>
          <t>https://contoh.com/gambar/100455.jpg</t>
        </is>
      </c>
      <c r="O4" s="11" t="n">
        <v>2</v>
      </c>
      <c r="P4" s="11" t="n">
        <v>1</v>
      </c>
      <c r="Q4" s="13">
        <f>IF(OR(B4="",C4=""),"",IFERROR(INDEX(LAYOUT!$E$2:$E$33,MATCH(B4&amp;"|"&amp;C4,LAYOUT!$F$2:$F$33,0)),"zona tidak ada di layout"))</f>
        <v/>
      </c>
      <c r="R4" s="14">
        <f>IF(F4="","",IF(OR(I4="",O4=""),0,I4*O4))</f>
        <v/>
      </c>
      <c r="S4" s="14">
        <f>IF(F4="","",SUMIFS($R$2:$R$500,$A$2:$A$500,A4,$C$2:$C$500,C4))</f>
        <v/>
      </c>
      <c r="T4" s="14">
        <f>IF(F4="","",IF(OR(G4="",I4="",J4=""),"CEK data SKU (nama/lebar/tinggi)",IF(COUNTIFS($F$2:$F$500,F4,$I$2:$I$500,"&lt;&gt;"&amp;I4)+COUNTIFS($F$2:$F$500,F4,$J$2:$J$500,"&lt;&gt;"&amp;J4)&gt;0,"CEK data SKU tidak konsisten",IF(Q4="zona tidak ada di layout","CEK zona_no / jenis_fixture",IF(D4&lt;&gt;Q4,"CEK jenis_zona",IF(S4&gt;IFERROR(INDEX(LAYOUT!$C$2:$C$33,MATCH(B4,LAYOUT!$A$2:$A$33,0)),0),"CEK lebar zona melebihi fixture","OK")))))</f>
        <v/>
      </c>
    </row>
    <row r="5">
      <c r="A5" s="15" t="n"/>
      <c r="B5" s="15" t="n"/>
      <c r="C5" s="16" t="n"/>
      <c r="D5" s="15" t="n"/>
      <c r="E5" s="16" t="n"/>
      <c r="F5" s="17" t="n"/>
      <c r="G5" s="15" t="n"/>
      <c r="H5" s="15" t="n"/>
      <c r="I5" s="16" t="n"/>
      <c r="J5" s="16" t="n"/>
      <c r="K5" s="16" t="n"/>
      <c r="L5" s="16" t="n"/>
      <c r="M5" s="16" t="n"/>
      <c r="N5" s="15" t="n"/>
      <c r="O5" s="16" t="n"/>
      <c r="P5" s="16" t="n"/>
      <c r="Q5" s="13">
        <f>IF(OR(B5="",C5=""),"",IFERROR(INDEX(LAYOUT!$E$2:$E$33,MATCH(B5&amp;"|"&amp;C5,LAYOUT!$F$2:$F$33,0)),"zona tidak ada di layout"))</f>
        <v/>
      </c>
      <c r="R5" s="14">
        <f>IF(F5="","",IF(OR(I5="",O5=""),0,I5*O5))</f>
        <v/>
      </c>
      <c r="S5" s="14">
        <f>IF(F5="","",SUMIFS($R$2:$R$500,$A$2:$A$500,A5,$C$2:$C$500,C5))</f>
        <v/>
      </c>
      <c r="T5" s="14">
        <f>IF(F5="","",IF(OR(G5="",I5="",J5=""),"CEK data SKU (nama/lebar/tinggi)",IF(COUNTIFS($F$2:$F$500,F5,$I$2:$I$500,"&lt;&gt;"&amp;I5)+COUNTIFS($F$2:$F$500,F5,$J$2:$J$500,"&lt;&gt;"&amp;J5)&gt;0,"CEK data SKU tidak konsisten",IF(Q5="zona tidak ada di layout","CEK zona_no / jenis_fixture",IF(D5&lt;&gt;Q5,"CEK jenis_zona",IF(S5&gt;IFERROR(INDEX(LAYOUT!$C$2:$C$33,MATCH(B5,LAYOUT!$A$2:$A$33,0)),0),"CEK lebar zona melebihi fixture","OK")))))</f>
        <v/>
      </c>
    </row>
    <row r="6">
      <c r="A6" s="15" t="n"/>
      <c r="B6" s="15" t="n"/>
      <c r="C6" s="16" t="n"/>
      <c r="D6" s="15" t="n"/>
      <c r="E6" s="16" t="n"/>
      <c r="F6" s="17" t="n"/>
      <c r="G6" s="15" t="n"/>
      <c r="H6" s="15" t="n"/>
      <c r="I6" s="16" t="n"/>
      <c r="J6" s="16" t="n"/>
      <c r="K6" s="16" t="n"/>
      <c r="L6" s="16" t="n"/>
      <c r="M6" s="16" t="n"/>
      <c r="N6" s="15" t="n"/>
      <c r="O6" s="16" t="n"/>
      <c r="P6" s="16" t="n"/>
      <c r="Q6" s="13">
        <f>IF(OR(B6="",C6=""),"",IFERROR(INDEX(LAYOUT!$E$2:$E$33,MATCH(B6&amp;"|"&amp;C6,LAYOUT!$F$2:$F$33,0)),"zona tidak ada di layout"))</f>
        <v/>
      </c>
      <c r="R6" s="14">
        <f>IF(F6="","",IF(OR(I6="",O6=""),0,I6*O6))</f>
        <v/>
      </c>
      <c r="S6" s="14">
        <f>IF(F6="","",SUMIFS($R$2:$R$500,$A$2:$A$500,A6,$C$2:$C$500,C6))</f>
        <v/>
      </c>
      <c r="T6" s="14">
        <f>IF(F6="","",IF(OR(G6="",I6="",J6=""),"CEK data SKU (nama/lebar/tinggi)",IF(COUNTIFS($F$2:$F$500,F6,$I$2:$I$500,"&lt;&gt;"&amp;I6)+COUNTIFS($F$2:$F$500,F6,$J$2:$J$500,"&lt;&gt;"&amp;J6)&gt;0,"CEK data SKU tidak konsisten",IF(Q6="zona tidak ada di layout","CEK zona_no / jenis_fixture",IF(D6&lt;&gt;Q6,"CEK jenis_zona",IF(S6&gt;IFERROR(INDEX(LAYOUT!$C$2:$C$33,MATCH(B6,LAYOUT!$A$2:$A$33,0)),0),"CEK lebar zona melebihi fixture","OK")))))</f>
        <v/>
      </c>
    </row>
    <row r="7">
      <c r="A7" s="15" t="n"/>
      <c r="B7" s="15" t="n"/>
      <c r="C7" s="16" t="n"/>
      <c r="D7" s="15" t="n"/>
      <c r="E7" s="16" t="n"/>
      <c r="F7" s="17" t="n"/>
      <c r="G7" s="15" t="n"/>
      <c r="H7" s="15" t="n"/>
      <c r="I7" s="16" t="n"/>
      <c r="J7" s="16" t="n"/>
      <c r="K7" s="16" t="n"/>
      <c r="L7" s="16" t="n"/>
      <c r="M7" s="16" t="n"/>
      <c r="N7" s="15" t="n"/>
      <c r="O7" s="16" t="n"/>
      <c r="P7" s="16" t="n"/>
      <c r="Q7" s="13">
        <f>IF(OR(B7="",C7=""),"",IFERROR(INDEX(LAYOUT!$E$2:$E$33,MATCH(B7&amp;"|"&amp;C7,LAYOUT!$F$2:$F$33,0)),"zona tidak ada di layout"))</f>
        <v/>
      </c>
      <c r="R7" s="14">
        <f>IF(F7="","",IF(OR(I7="",O7=""),0,I7*O7))</f>
        <v/>
      </c>
      <c r="S7" s="14">
        <f>IF(F7="","",SUMIFS($R$2:$R$500,$A$2:$A$500,A7,$C$2:$C$500,C7))</f>
        <v/>
      </c>
      <c r="T7" s="14">
        <f>IF(F7="","",IF(OR(G7="",I7="",J7=""),"CEK data SKU (nama/lebar/tinggi)",IF(COUNTIFS($F$2:$F$500,F7,$I$2:$I$500,"&lt;&gt;"&amp;I7)+COUNTIFS($F$2:$F$500,F7,$J$2:$J$500,"&lt;&gt;"&amp;J7)&gt;0,"CEK data SKU tidak konsisten",IF(Q7="zona tidak ada di layout","CEK zona_no / jenis_fixture",IF(D7&lt;&gt;Q7,"CEK jenis_zona",IF(S7&gt;IFERROR(INDEX(LAYOUT!$C$2:$C$33,MATCH(B7,LAYOUT!$A$2:$A$33,0)),0),"CEK lebar zona melebihi fixture","OK")))))</f>
        <v/>
      </c>
    </row>
    <row r="8">
      <c r="A8" s="15" t="n"/>
      <c r="B8" s="15" t="n"/>
      <c r="C8" s="16" t="n"/>
      <c r="D8" s="15" t="n"/>
      <c r="E8" s="16" t="n"/>
      <c r="F8" s="17" t="n"/>
      <c r="G8" s="15" t="n"/>
      <c r="H8" s="15" t="n"/>
      <c r="I8" s="16" t="n"/>
      <c r="J8" s="16" t="n"/>
      <c r="K8" s="16" t="n"/>
      <c r="L8" s="16" t="n"/>
      <c r="M8" s="16" t="n"/>
      <c r="N8" s="15" t="n"/>
      <c r="O8" s="16" t="n"/>
      <c r="P8" s="16" t="n"/>
      <c r="Q8" s="13">
        <f>IF(OR(B8="",C8=""),"",IFERROR(INDEX(LAYOUT!$E$2:$E$33,MATCH(B8&amp;"|"&amp;C8,LAYOUT!$F$2:$F$33,0)),"zona tidak ada di layout"))</f>
        <v/>
      </c>
      <c r="R8" s="14">
        <f>IF(F8="","",IF(OR(I8="",O8=""),0,I8*O8))</f>
        <v/>
      </c>
      <c r="S8" s="14">
        <f>IF(F8="","",SUMIFS($R$2:$R$500,$A$2:$A$500,A8,$C$2:$C$500,C8))</f>
        <v/>
      </c>
      <c r="T8" s="14">
        <f>IF(F8="","",IF(OR(G8="",I8="",J8=""),"CEK data SKU (nama/lebar/tinggi)",IF(COUNTIFS($F$2:$F$500,F8,$I$2:$I$500,"&lt;&gt;"&amp;I8)+COUNTIFS($F$2:$F$500,F8,$J$2:$J$500,"&lt;&gt;"&amp;J8)&gt;0,"CEK data SKU tidak konsisten",IF(Q8="zona tidak ada di layout","CEK zona_no / jenis_fixture",IF(D8&lt;&gt;Q8,"CEK jenis_zona",IF(S8&gt;IFERROR(INDEX(LAYOUT!$C$2:$C$33,MATCH(B8,LAYOUT!$A$2:$A$33,0)),0),"CEK lebar zona melebihi fixture","OK")))))</f>
        <v/>
      </c>
    </row>
    <row r="9">
      <c r="A9" s="15" t="n"/>
      <c r="B9" s="15" t="n"/>
      <c r="C9" s="16" t="n"/>
      <c r="D9" s="15" t="n"/>
      <c r="E9" s="16" t="n"/>
      <c r="F9" s="17" t="n"/>
      <c r="G9" s="15" t="n"/>
      <c r="H9" s="15" t="n"/>
      <c r="I9" s="16" t="n"/>
      <c r="J9" s="16" t="n"/>
      <c r="K9" s="16" t="n"/>
      <c r="L9" s="16" t="n"/>
      <c r="M9" s="16" t="n"/>
      <c r="N9" s="15" t="n"/>
      <c r="O9" s="16" t="n"/>
      <c r="P9" s="16" t="n"/>
      <c r="Q9" s="13">
        <f>IF(OR(B9="",C9=""),"",IFERROR(INDEX(LAYOUT!$E$2:$E$33,MATCH(B9&amp;"|"&amp;C9,LAYOUT!$F$2:$F$33,0)),"zona tidak ada di layout"))</f>
        <v/>
      </c>
      <c r="R9" s="14">
        <f>IF(F9="","",IF(OR(I9="",O9=""),0,I9*O9))</f>
        <v/>
      </c>
      <c r="S9" s="14">
        <f>IF(F9="","",SUMIFS($R$2:$R$500,$A$2:$A$500,A9,$C$2:$C$500,C9))</f>
        <v/>
      </c>
      <c r="T9" s="14">
        <f>IF(F9="","",IF(OR(G9="",I9="",J9=""),"CEK data SKU (nama/lebar/tinggi)",IF(COUNTIFS($F$2:$F$500,F9,$I$2:$I$500,"&lt;&gt;"&amp;I9)+COUNTIFS($F$2:$F$500,F9,$J$2:$J$500,"&lt;&gt;"&amp;J9)&gt;0,"CEK data SKU tidak konsisten",IF(Q9="zona tidak ada di layout","CEK zona_no / jenis_fixture",IF(D9&lt;&gt;Q9,"CEK jenis_zona",IF(S9&gt;IFERROR(INDEX(LAYOUT!$C$2:$C$33,MATCH(B9,LAYOUT!$A$2:$A$33,0)),0),"CEK lebar zona melebihi fixture","OK")))))</f>
        <v/>
      </c>
    </row>
    <row r="10">
      <c r="A10" s="15" t="n"/>
      <c r="B10" s="15" t="n"/>
      <c r="C10" s="16" t="n"/>
      <c r="D10" s="15" t="n"/>
      <c r="E10" s="16" t="n"/>
      <c r="F10" s="17" t="n"/>
      <c r="G10" s="15" t="n"/>
      <c r="H10" s="15" t="n"/>
      <c r="I10" s="16" t="n"/>
      <c r="J10" s="16" t="n"/>
      <c r="K10" s="16" t="n"/>
      <c r="L10" s="16" t="n"/>
      <c r="M10" s="16" t="n"/>
      <c r="N10" s="15" t="n"/>
      <c r="O10" s="16" t="n"/>
      <c r="P10" s="16" t="n"/>
      <c r="Q10" s="13">
        <f>IF(OR(B10="",C10=""),"",IFERROR(INDEX(LAYOUT!$E$2:$E$33,MATCH(B10&amp;"|"&amp;C10,LAYOUT!$F$2:$F$33,0)),"zona tidak ada di layout"))</f>
        <v/>
      </c>
      <c r="R10" s="14">
        <f>IF(F10="","",IF(OR(I10="",O10=""),0,I10*O10))</f>
        <v/>
      </c>
      <c r="S10" s="14">
        <f>IF(F10="","",SUMIFS($R$2:$R$500,$A$2:$A$500,A10,$C$2:$C$500,C10))</f>
        <v/>
      </c>
      <c r="T10" s="14">
        <f>IF(F10="","",IF(OR(G10="",I10="",J10=""),"CEK data SKU (nama/lebar/tinggi)",IF(COUNTIFS($F$2:$F$500,F10,$I$2:$I$500,"&lt;&gt;"&amp;I10)+COUNTIFS($F$2:$F$500,F10,$J$2:$J$500,"&lt;&gt;"&amp;J10)&gt;0,"CEK data SKU tidak konsisten",IF(Q10="zona tidak ada di layout","CEK zona_no / jenis_fixture",IF(D10&lt;&gt;Q10,"CEK jenis_zona",IF(S10&gt;IFERROR(INDEX(LAYOUT!$C$2:$C$33,MATCH(B10,LAYOUT!$A$2:$A$33,0)),0),"CEK lebar zona melebihi fixture","OK")))))</f>
        <v/>
      </c>
    </row>
    <row r="11">
      <c r="A11" s="15" t="n"/>
      <c r="B11" s="15" t="n"/>
      <c r="C11" s="16" t="n"/>
      <c r="D11" s="15" t="n"/>
      <c r="E11" s="16" t="n"/>
      <c r="F11" s="17" t="n"/>
      <c r="G11" s="15" t="n"/>
      <c r="H11" s="15" t="n"/>
      <c r="I11" s="16" t="n"/>
      <c r="J11" s="16" t="n"/>
      <c r="K11" s="16" t="n"/>
      <c r="L11" s="16" t="n"/>
      <c r="M11" s="16" t="n"/>
      <c r="N11" s="15" t="n"/>
      <c r="O11" s="16" t="n"/>
      <c r="P11" s="16" t="n"/>
      <c r="Q11" s="13">
        <f>IF(OR(B11="",C11=""),"",IFERROR(INDEX(LAYOUT!$E$2:$E$33,MATCH(B11&amp;"|"&amp;C11,LAYOUT!$F$2:$F$33,0)),"zona tidak ada di layout"))</f>
        <v/>
      </c>
      <c r="R11" s="14">
        <f>IF(F11="","",IF(OR(I11="",O11=""),0,I11*O11))</f>
        <v/>
      </c>
      <c r="S11" s="14">
        <f>IF(F11="","",SUMIFS($R$2:$R$500,$A$2:$A$500,A11,$C$2:$C$500,C11))</f>
        <v/>
      </c>
      <c r="T11" s="14">
        <f>IF(F11="","",IF(OR(G11="",I11="",J11=""),"CEK data SKU (nama/lebar/tinggi)",IF(COUNTIFS($F$2:$F$500,F11,$I$2:$I$500,"&lt;&gt;"&amp;I11)+COUNTIFS($F$2:$F$500,F11,$J$2:$J$500,"&lt;&gt;"&amp;J11)&gt;0,"CEK data SKU tidak konsisten",IF(Q11="zona tidak ada di layout","CEK zona_no / jenis_fixture",IF(D11&lt;&gt;Q11,"CEK jenis_zona",IF(S11&gt;IFERROR(INDEX(LAYOUT!$C$2:$C$33,MATCH(B11,LAYOUT!$A$2:$A$33,0)),0),"CEK lebar zona melebihi fixture","OK")))))</f>
        <v/>
      </c>
    </row>
    <row r="12">
      <c r="A12" s="15" t="n"/>
      <c r="B12" s="15" t="n"/>
      <c r="C12" s="16" t="n"/>
      <c r="D12" s="15" t="n"/>
      <c r="E12" s="16" t="n"/>
      <c r="F12" s="17" t="n"/>
      <c r="G12" s="15" t="n"/>
      <c r="H12" s="15" t="n"/>
      <c r="I12" s="16" t="n"/>
      <c r="J12" s="16" t="n"/>
      <c r="K12" s="16" t="n"/>
      <c r="L12" s="16" t="n"/>
      <c r="M12" s="16" t="n"/>
      <c r="N12" s="15" t="n"/>
      <c r="O12" s="16" t="n"/>
      <c r="P12" s="16" t="n"/>
      <c r="Q12" s="13">
        <f>IF(OR(B12="",C12=""),"",IFERROR(INDEX(LAYOUT!$E$2:$E$33,MATCH(B12&amp;"|"&amp;C12,LAYOUT!$F$2:$F$33,0)),"zona tidak ada di layout"))</f>
        <v/>
      </c>
      <c r="R12" s="14">
        <f>IF(F12="","",IF(OR(I12="",O12=""),0,I12*O12))</f>
        <v/>
      </c>
      <c r="S12" s="14">
        <f>IF(F12="","",SUMIFS($R$2:$R$500,$A$2:$A$500,A12,$C$2:$C$500,C12))</f>
        <v/>
      </c>
      <c r="T12" s="14">
        <f>IF(F12="","",IF(OR(G12="",I12="",J12=""),"CEK data SKU (nama/lebar/tinggi)",IF(COUNTIFS($F$2:$F$500,F12,$I$2:$I$500,"&lt;&gt;"&amp;I12)+COUNTIFS($F$2:$F$500,F12,$J$2:$J$500,"&lt;&gt;"&amp;J12)&gt;0,"CEK data SKU tidak konsisten",IF(Q12="zona tidak ada di layout","CEK zona_no / jenis_fixture",IF(D12&lt;&gt;Q12,"CEK jenis_zona",IF(S12&gt;IFERROR(INDEX(LAYOUT!$C$2:$C$33,MATCH(B12,LAYOUT!$A$2:$A$33,0)),0),"CEK lebar zona melebihi fixture","OK")))))</f>
        <v/>
      </c>
    </row>
    <row r="13">
      <c r="A13" s="15" t="n"/>
      <c r="B13" s="15" t="n"/>
      <c r="C13" s="16" t="n"/>
      <c r="D13" s="15" t="n"/>
      <c r="E13" s="16" t="n"/>
      <c r="F13" s="17" t="n"/>
      <c r="G13" s="15" t="n"/>
      <c r="H13" s="15" t="n"/>
      <c r="I13" s="16" t="n"/>
      <c r="J13" s="16" t="n"/>
      <c r="K13" s="16" t="n"/>
      <c r="L13" s="16" t="n"/>
      <c r="M13" s="16" t="n"/>
      <c r="N13" s="15" t="n"/>
      <c r="O13" s="16" t="n"/>
      <c r="P13" s="16" t="n"/>
      <c r="Q13" s="13">
        <f>IF(OR(B13="",C13=""),"",IFERROR(INDEX(LAYOUT!$E$2:$E$33,MATCH(B13&amp;"|"&amp;C13,LAYOUT!$F$2:$F$33,0)),"zona tidak ada di layout"))</f>
        <v/>
      </c>
      <c r="R13" s="14">
        <f>IF(F13="","",IF(OR(I13="",O13=""),0,I13*O13))</f>
        <v/>
      </c>
      <c r="S13" s="14">
        <f>IF(F13="","",SUMIFS($R$2:$R$500,$A$2:$A$500,A13,$C$2:$C$500,C13))</f>
        <v/>
      </c>
      <c r="T13" s="14">
        <f>IF(F13="","",IF(OR(G13="",I13="",J13=""),"CEK data SKU (nama/lebar/tinggi)",IF(COUNTIFS($F$2:$F$500,F13,$I$2:$I$500,"&lt;&gt;"&amp;I13)+COUNTIFS($F$2:$F$500,F13,$J$2:$J$500,"&lt;&gt;"&amp;J13)&gt;0,"CEK data SKU tidak konsisten",IF(Q13="zona tidak ada di layout","CEK zona_no / jenis_fixture",IF(D13&lt;&gt;Q13,"CEK jenis_zona",IF(S13&gt;IFERROR(INDEX(LAYOUT!$C$2:$C$33,MATCH(B13,LAYOUT!$A$2:$A$33,0)),0),"CEK lebar zona melebihi fixture","OK")))))</f>
        <v/>
      </c>
    </row>
    <row r="14">
      <c r="A14" s="15" t="n"/>
      <c r="B14" s="15" t="n"/>
      <c r="C14" s="16" t="n"/>
      <c r="D14" s="15" t="n"/>
      <c r="E14" s="16" t="n"/>
      <c r="F14" s="17" t="n"/>
      <c r="G14" s="15" t="n"/>
      <c r="H14" s="15" t="n"/>
      <c r="I14" s="16" t="n"/>
      <c r="J14" s="16" t="n"/>
      <c r="K14" s="16" t="n"/>
      <c r="L14" s="16" t="n"/>
      <c r="M14" s="16" t="n"/>
      <c r="N14" s="15" t="n"/>
      <c r="O14" s="16" t="n"/>
      <c r="P14" s="16" t="n"/>
      <c r="Q14" s="13">
        <f>IF(OR(B14="",C14=""),"",IFERROR(INDEX(LAYOUT!$E$2:$E$33,MATCH(B14&amp;"|"&amp;C14,LAYOUT!$F$2:$F$33,0)),"zona tidak ada di layout"))</f>
        <v/>
      </c>
      <c r="R14" s="14">
        <f>IF(F14="","",IF(OR(I14="",O14=""),0,I14*O14))</f>
        <v/>
      </c>
      <c r="S14" s="14">
        <f>IF(F14="","",SUMIFS($R$2:$R$500,$A$2:$A$500,A14,$C$2:$C$500,C14))</f>
        <v/>
      </c>
      <c r="T14" s="14">
        <f>IF(F14="","",IF(OR(G14="",I14="",J14=""),"CEK data SKU (nama/lebar/tinggi)",IF(COUNTIFS($F$2:$F$500,F14,$I$2:$I$500,"&lt;&gt;"&amp;I14)+COUNTIFS($F$2:$F$500,F14,$J$2:$J$500,"&lt;&gt;"&amp;J14)&gt;0,"CEK data SKU tidak konsisten",IF(Q14="zona tidak ada di layout","CEK zona_no / jenis_fixture",IF(D14&lt;&gt;Q14,"CEK jenis_zona",IF(S14&gt;IFERROR(INDEX(LAYOUT!$C$2:$C$33,MATCH(B14,LAYOUT!$A$2:$A$33,0)),0),"CEK lebar zona melebihi fixture","OK")))))</f>
        <v/>
      </c>
    </row>
    <row r="15">
      <c r="A15" s="15" t="n"/>
      <c r="B15" s="15" t="n"/>
      <c r="C15" s="16" t="n"/>
      <c r="D15" s="15" t="n"/>
      <c r="E15" s="16" t="n"/>
      <c r="F15" s="17" t="n"/>
      <c r="G15" s="15" t="n"/>
      <c r="H15" s="15" t="n"/>
      <c r="I15" s="16" t="n"/>
      <c r="J15" s="16" t="n"/>
      <c r="K15" s="16" t="n"/>
      <c r="L15" s="16" t="n"/>
      <c r="M15" s="16" t="n"/>
      <c r="N15" s="15" t="n"/>
      <c r="O15" s="16" t="n"/>
      <c r="P15" s="16" t="n"/>
      <c r="Q15" s="13">
        <f>IF(OR(B15="",C15=""),"",IFERROR(INDEX(LAYOUT!$E$2:$E$33,MATCH(B15&amp;"|"&amp;C15,LAYOUT!$F$2:$F$33,0)),"zona tidak ada di layout"))</f>
        <v/>
      </c>
      <c r="R15" s="14">
        <f>IF(F15="","",IF(OR(I15="",O15=""),0,I15*O15))</f>
        <v/>
      </c>
      <c r="S15" s="14">
        <f>IF(F15="","",SUMIFS($R$2:$R$500,$A$2:$A$500,A15,$C$2:$C$500,C15))</f>
        <v/>
      </c>
      <c r="T15" s="14">
        <f>IF(F15="","",IF(OR(G15="",I15="",J15=""),"CEK data SKU (nama/lebar/tinggi)",IF(COUNTIFS($F$2:$F$500,F15,$I$2:$I$500,"&lt;&gt;"&amp;I15)+COUNTIFS($F$2:$F$500,F15,$J$2:$J$500,"&lt;&gt;"&amp;J15)&gt;0,"CEK data SKU tidak konsisten",IF(Q15="zona tidak ada di layout","CEK zona_no / jenis_fixture",IF(D15&lt;&gt;Q15,"CEK jenis_zona",IF(S15&gt;IFERROR(INDEX(LAYOUT!$C$2:$C$33,MATCH(B15,LAYOUT!$A$2:$A$33,0)),0),"CEK lebar zona melebihi fixture","OK")))))</f>
        <v/>
      </c>
    </row>
    <row r="16">
      <c r="A16" s="15" t="n"/>
      <c r="B16" s="15" t="n"/>
      <c r="C16" s="16" t="n"/>
      <c r="D16" s="15" t="n"/>
      <c r="E16" s="16" t="n"/>
      <c r="F16" s="17" t="n"/>
      <c r="G16" s="15" t="n"/>
      <c r="H16" s="15" t="n"/>
      <c r="I16" s="16" t="n"/>
      <c r="J16" s="16" t="n"/>
      <c r="K16" s="16" t="n"/>
      <c r="L16" s="16" t="n"/>
      <c r="M16" s="16" t="n"/>
      <c r="N16" s="15" t="n"/>
      <c r="O16" s="16" t="n"/>
      <c r="P16" s="16" t="n"/>
      <c r="Q16" s="13">
        <f>IF(OR(B16="",C16=""),"",IFERROR(INDEX(LAYOUT!$E$2:$E$33,MATCH(B16&amp;"|"&amp;C16,LAYOUT!$F$2:$F$33,0)),"zona tidak ada di layout"))</f>
        <v/>
      </c>
      <c r="R16" s="14">
        <f>IF(F16="","",IF(OR(I16="",O16=""),0,I16*O16))</f>
        <v/>
      </c>
      <c r="S16" s="14">
        <f>IF(F16="","",SUMIFS($R$2:$R$500,$A$2:$A$500,A16,$C$2:$C$500,C16))</f>
        <v/>
      </c>
      <c r="T16" s="14">
        <f>IF(F16="","",IF(OR(G16="",I16="",J16=""),"CEK data SKU (nama/lebar/tinggi)",IF(COUNTIFS($F$2:$F$500,F16,$I$2:$I$500,"&lt;&gt;"&amp;I16)+COUNTIFS($F$2:$F$500,F16,$J$2:$J$500,"&lt;&gt;"&amp;J16)&gt;0,"CEK data SKU tidak konsisten",IF(Q16="zona tidak ada di layout","CEK zona_no / jenis_fixture",IF(D16&lt;&gt;Q16,"CEK jenis_zona",IF(S16&gt;IFERROR(INDEX(LAYOUT!$C$2:$C$33,MATCH(B16,LAYOUT!$A$2:$A$33,0)),0),"CEK lebar zona melebihi fixture","OK")))))</f>
        <v/>
      </c>
    </row>
    <row r="17">
      <c r="A17" s="15" t="n"/>
      <c r="B17" s="15" t="n"/>
      <c r="C17" s="16" t="n"/>
      <c r="D17" s="15" t="n"/>
      <c r="E17" s="16" t="n"/>
      <c r="F17" s="17" t="n"/>
      <c r="G17" s="15" t="n"/>
      <c r="H17" s="15" t="n"/>
      <c r="I17" s="16" t="n"/>
      <c r="J17" s="16" t="n"/>
      <c r="K17" s="16" t="n"/>
      <c r="L17" s="16" t="n"/>
      <c r="M17" s="16" t="n"/>
      <c r="N17" s="15" t="n"/>
      <c r="O17" s="16" t="n"/>
      <c r="P17" s="16" t="n"/>
      <c r="Q17" s="13">
        <f>IF(OR(B17="",C17=""),"",IFERROR(INDEX(LAYOUT!$E$2:$E$33,MATCH(B17&amp;"|"&amp;C17,LAYOUT!$F$2:$F$33,0)),"zona tidak ada di layout"))</f>
        <v/>
      </c>
      <c r="R17" s="14">
        <f>IF(F17="","",IF(OR(I17="",O17=""),0,I17*O17))</f>
        <v/>
      </c>
      <c r="S17" s="14">
        <f>IF(F17="","",SUMIFS($R$2:$R$500,$A$2:$A$500,A17,$C$2:$C$500,C17))</f>
        <v/>
      </c>
      <c r="T17" s="14">
        <f>IF(F17="","",IF(OR(G17="",I17="",J17=""),"CEK data SKU (nama/lebar/tinggi)",IF(COUNTIFS($F$2:$F$500,F17,$I$2:$I$500,"&lt;&gt;"&amp;I17)+COUNTIFS($F$2:$F$500,F17,$J$2:$J$500,"&lt;&gt;"&amp;J17)&gt;0,"CEK data SKU tidak konsisten",IF(Q17="zona tidak ada di layout","CEK zona_no / jenis_fixture",IF(D17&lt;&gt;Q17,"CEK jenis_zona",IF(S17&gt;IFERROR(INDEX(LAYOUT!$C$2:$C$33,MATCH(B17,LAYOUT!$A$2:$A$33,0)),0),"CEK lebar zona melebihi fixture","OK")))))</f>
        <v/>
      </c>
    </row>
    <row r="18">
      <c r="A18" s="15" t="n"/>
      <c r="B18" s="15" t="n"/>
      <c r="C18" s="16" t="n"/>
      <c r="D18" s="15" t="n"/>
      <c r="E18" s="16" t="n"/>
      <c r="F18" s="17" t="n"/>
      <c r="G18" s="15" t="n"/>
      <c r="H18" s="15" t="n"/>
      <c r="I18" s="16" t="n"/>
      <c r="J18" s="16" t="n"/>
      <c r="K18" s="16" t="n"/>
      <c r="L18" s="16" t="n"/>
      <c r="M18" s="16" t="n"/>
      <c r="N18" s="15" t="n"/>
      <c r="O18" s="16" t="n"/>
      <c r="P18" s="16" t="n"/>
      <c r="Q18" s="13">
        <f>IF(OR(B18="",C18=""),"",IFERROR(INDEX(LAYOUT!$E$2:$E$33,MATCH(B18&amp;"|"&amp;C18,LAYOUT!$F$2:$F$33,0)),"zona tidak ada di layout"))</f>
        <v/>
      </c>
      <c r="R18" s="14">
        <f>IF(F18="","",IF(OR(I18="",O18=""),0,I18*O18))</f>
        <v/>
      </c>
      <c r="S18" s="14">
        <f>IF(F18="","",SUMIFS($R$2:$R$500,$A$2:$A$500,A18,$C$2:$C$500,C18))</f>
        <v/>
      </c>
      <c r="T18" s="14">
        <f>IF(F18="","",IF(OR(G18="",I18="",J18=""),"CEK data SKU (nama/lebar/tinggi)",IF(COUNTIFS($F$2:$F$500,F18,$I$2:$I$500,"&lt;&gt;"&amp;I18)+COUNTIFS($F$2:$F$500,F18,$J$2:$J$500,"&lt;&gt;"&amp;J18)&gt;0,"CEK data SKU tidak konsisten",IF(Q18="zona tidak ada di layout","CEK zona_no / jenis_fixture",IF(D18&lt;&gt;Q18,"CEK jenis_zona",IF(S18&gt;IFERROR(INDEX(LAYOUT!$C$2:$C$33,MATCH(B18,LAYOUT!$A$2:$A$33,0)),0),"CEK lebar zona melebihi fixture","OK")))))</f>
        <v/>
      </c>
    </row>
    <row r="19">
      <c r="A19" s="15" t="n"/>
      <c r="B19" s="15" t="n"/>
      <c r="C19" s="16" t="n"/>
      <c r="D19" s="15" t="n"/>
      <c r="E19" s="16" t="n"/>
      <c r="F19" s="17" t="n"/>
      <c r="G19" s="15" t="n"/>
      <c r="H19" s="15" t="n"/>
      <c r="I19" s="16" t="n"/>
      <c r="J19" s="16" t="n"/>
      <c r="K19" s="16" t="n"/>
      <c r="L19" s="16" t="n"/>
      <c r="M19" s="16" t="n"/>
      <c r="N19" s="15" t="n"/>
      <c r="O19" s="16" t="n"/>
      <c r="P19" s="16" t="n"/>
      <c r="Q19" s="13">
        <f>IF(OR(B19="",C19=""),"",IFERROR(INDEX(LAYOUT!$E$2:$E$33,MATCH(B19&amp;"|"&amp;C19,LAYOUT!$F$2:$F$33,0)),"zona tidak ada di layout"))</f>
        <v/>
      </c>
      <c r="R19" s="14">
        <f>IF(F19="","",IF(OR(I19="",O19=""),0,I19*O19))</f>
        <v/>
      </c>
      <c r="S19" s="14">
        <f>IF(F19="","",SUMIFS($R$2:$R$500,$A$2:$A$500,A19,$C$2:$C$500,C19))</f>
        <v/>
      </c>
      <c r="T19" s="14">
        <f>IF(F19="","",IF(OR(G19="",I19="",J19=""),"CEK data SKU (nama/lebar/tinggi)",IF(COUNTIFS($F$2:$F$500,F19,$I$2:$I$500,"&lt;&gt;"&amp;I19)+COUNTIFS($F$2:$F$500,F19,$J$2:$J$500,"&lt;&gt;"&amp;J19)&gt;0,"CEK data SKU tidak konsisten",IF(Q19="zona tidak ada di layout","CEK zona_no / jenis_fixture",IF(D19&lt;&gt;Q19,"CEK jenis_zona",IF(S19&gt;IFERROR(INDEX(LAYOUT!$C$2:$C$33,MATCH(B19,LAYOUT!$A$2:$A$33,0)),0),"CEK lebar zona melebihi fixture","OK")))))</f>
        <v/>
      </c>
    </row>
    <row r="20">
      <c r="A20" s="15" t="n"/>
      <c r="B20" s="15" t="n"/>
      <c r="C20" s="16" t="n"/>
      <c r="D20" s="15" t="n"/>
      <c r="E20" s="16" t="n"/>
      <c r="F20" s="17" t="n"/>
      <c r="G20" s="15" t="n"/>
      <c r="H20" s="15" t="n"/>
      <c r="I20" s="16" t="n"/>
      <c r="J20" s="16" t="n"/>
      <c r="K20" s="16" t="n"/>
      <c r="L20" s="16" t="n"/>
      <c r="M20" s="16" t="n"/>
      <c r="N20" s="15" t="n"/>
      <c r="O20" s="16" t="n"/>
      <c r="P20" s="16" t="n"/>
      <c r="Q20" s="13">
        <f>IF(OR(B20="",C20=""),"",IFERROR(INDEX(LAYOUT!$E$2:$E$33,MATCH(B20&amp;"|"&amp;C20,LAYOUT!$F$2:$F$33,0)),"zona tidak ada di layout"))</f>
        <v/>
      </c>
      <c r="R20" s="14">
        <f>IF(F20="","",IF(OR(I20="",O20=""),0,I20*O20))</f>
        <v/>
      </c>
      <c r="S20" s="14">
        <f>IF(F20="","",SUMIFS($R$2:$R$500,$A$2:$A$500,A20,$C$2:$C$500,C20))</f>
        <v/>
      </c>
      <c r="T20" s="14">
        <f>IF(F20="","",IF(OR(G20="",I20="",J20=""),"CEK data SKU (nama/lebar/tinggi)",IF(COUNTIFS($F$2:$F$500,F20,$I$2:$I$500,"&lt;&gt;"&amp;I20)+COUNTIFS($F$2:$F$500,F20,$J$2:$J$500,"&lt;&gt;"&amp;J20)&gt;0,"CEK data SKU tidak konsisten",IF(Q20="zona tidak ada di layout","CEK zona_no / jenis_fixture",IF(D20&lt;&gt;Q20,"CEK jenis_zona",IF(S20&gt;IFERROR(INDEX(LAYOUT!$C$2:$C$33,MATCH(B20,LAYOUT!$A$2:$A$33,0)),0),"CEK lebar zona melebihi fixture","OK")))))</f>
        <v/>
      </c>
    </row>
    <row r="21">
      <c r="A21" s="15" t="n"/>
      <c r="B21" s="15" t="n"/>
      <c r="C21" s="16" t="n"/>
      <c r="D21" s="15" t="n"/>
      <c r="E21" s="16" t="n"/>
      <c r="F21" s="17" t="n"/>
      <c r="G21" s="15" t="n"/>
      <c r="H21" s="15" t="n"/>
      <c r="I21" s="16" t="n"/>
      <c r="J21" s="16" t="n"/>
      <c r="K21" s="16" t="n"/>
      <c r="L21" s="16" t="n"/>
      <c r="M21" s="16" t="n"/>
      <c r="N21" s="15" t="n"/>
      <c r="O21" s="16" t="n"/>
      <c r="P21" s="16" t="n"/>
      <c r="Q21" s="13">
        <f>IF(OR(B21="",C21=""),"",IFERROR(INDEX(LAYOUT!$E$2:$E$33,MATCH(B21&amp;"|"&amp;C21,LAYOUT!$F$2:$F$33,0)),"zona tidak ada di layout"))</f>
        <v/>
      </c>
      <c r="R21" s="14">
        <f>IF(F21="","",IF(OR(I21="",O21=""),0,I21*O21))</f>
        <v/>
      </c>
      <c r="S21" s="14">
        <f>IF(F21="","",SUMIFS($R$2:$R$500,$A$2:$A$500,A21,$C$2:$C$500,C21))</f>
        <v/>
      </c>
      <c r="T21" s="14">
        <f>IF(F21="","",IF(OR(G21="",I21="",J21=""),"CEK data SKU (nama/lebar/tinggi)",IF(COUNTIFS($F$2:$F$500,F21,$I$2:$I$500,"&lt;&gt;"&amp;I21)+COUNTIFS($F$2:$F$500,F21,$J$2:$J$500,"&lt;&gt;"&amp;J21)&gt;0,"CEK data SKU tidak konsisten",IF(Q21="zona tidak ada di layout","CEK zona_no / jenis_fixture",IF(D21&lt;&gt;Q21,"CEK jenis_zona",IF(S21&gt;IFERROR(INDEX(LAYOUT!$C$2:$C$33,MATCH(B21,LAYOUT!$A$2:$A$33,0)),0),"CEK lebar zona melebihi fixture","OK")))))</f>
        <v/>
      </c>
    </row>
    <row r="22">
      <c r="A22" s="15" t="n"/>
      <c r="B22" s="15" t="n"/>
      <c r="C22" s="16" t="n"/>
      <c r="D22" s="15" t="n"/>
      <c r="E22" s="16" t="n"/>
      <c r="F22" s="17" t="n"/>
      <c r="G22" s="15" t="n"/>
      <c r="H22" s="15" t="n"/>
      <c r="I22" s="16" t="n"/>
      <c r="J22" s="16" t="n"/>
      <c r="K22" s="16" t="n"/>
      <c r="L22" s="16" t="n"/>
      <c r="M22" s="16" t="n"/>
      <c r="N22" s="15" t="n"/>
      <c r="O22" s="16" t="n"/>
      <c r="P22" s="16" t="n"/>
      <c r="Q22" s="13">
        <f>IF(OR(B22="",C22=""),"",IFERROR(INDEX(LAYOUT!$E$2:$E$33,MATCH(B22&amp;"|"&amp;C22,LAYOUT!$F$2:$F$33,0)),"zona tidak ada di layout"))</f>
        <v/>
      </c>
      <c r="R22" s="14">
        <f>IF(F22="","",IF(OR(I22="",O22=""),0,I22*O22))</f>
        <v/>
      </c>
      <c r="S22" s="14">
        <f>IF(F22="","",SUMIFS($R$2:$R$500,$A$2:$A$500,A22,$C$2:$C$500,C22))</f>
        <v/>
      </c>
      <c r="T22" s="14">
        <f>IF(F22="","",IF(OR(G22="",I22="",J22=""),"CEK data SKU (nama/lebar/tinggi)",IF(COUNTIFS($F$2:$F$500,F22,$I$2:$I$500,"&lt;&gt;"&amp;I22)+COUNTIFS($F$2:$F$500,F22,$J$2:$J$500,"&lt;&gt;"&amp;J22)&gt;0,"CEK data SKU tidak konsisten",IF(Q22="zona tidak ada di layout","CEK zona_no / jenis_fixture",IF(D22&lt;&gt;Q22,"CEK jenis_zona",IF(S22&gt;IFERROR(INDEX(LAYOUT!$C$2:$C$33,MATCH(B22,LAYOUT!$A$2:$A$33,0)),0),"CEK lebar zona melebihi fixture","OK")))))</f>
        <v/>
      </c>
    </row>
    <row r="23">
      <c r="A23" s="15" t="n"/>
      <c r="B23" s="15" t="n"/>
      <c r="C23" s="16" t="n"/>
      <c r="D23" s="15" t="n"/>
      <c r="E23" s="16" t="n"/>
      <c r="F23" s="17" t="n"/>
      <c r="G23" s="15" t="n"/>
      <c r="H23" s="15" t="n"/>
      <c r="I23" s="16" t="n"/>
      <c r="J23" s="16" t="n"/>
      <c r="K23" s="16" t="n"/>
      <c r="L23" s="16" t="n"/>
      <c r="M23" s="16" t="n"/>
      <c r="N23" s="15" t="n"/>
      <c r="O23" s="16" t="n"/>
      <c r="P23" s="16" t="n"/>
      <c r="Q23" s="13">
        <f>IF(OR(B23="",C23=""),"",IFERROR(INDEX(LAYOUT!$E$2:$E$33,MATCH(B23&amp;"|"&amp;C23,LAYOUT!$F$2:$F$33,0)),"zona tidak ada di layout"))</f>
        <v/>
      </c>
      <c r="R23" s="14">
        <f>IF(F23="","",IF(OR(I23="",O23=""),0,I23*O23))</f>
        <v/>
      </c>
      <c r="S23" s="14">
        <f>IF(F23="","",SUMIFS($R$2:$R$500,$A$2:$A$500,A23,$C$2:$C$500,C23))</f>
        <v/>
      </c>
      <c r="T23" s="14">
        <f>IF(F23="","",IF(OR(G23="",I23="",J23=""),"CEK data SKU (nama/lebar/tinggi)",IF(COUNTIFS($F$2:$F$500,F23,$I$2:$I$500,"&lt;&gt;"&amp;I23)+COUNTIFS($F$2:$F$500,F23,$J$2:$J$500,"&lt;&gt;"&amp;J23)&gt;0,"CEK data SKU tidak konsisten",IF(Q23="zona tidak ada di layout","CEK zona_no / jenis_fixture",IF(D23&lt;&gt;Q23,"CEK jenis_zona",IF(S23&gt;IFERROR(INDEX(LAYOUT!$C$2:$C$33,MATCH(B23,LAYOUT!$A$2:$A$33,0)),0),"CEK lebar zona melebihi fixture","OK")))))</f>
        <v/>
      </c>
    </row>
    <row r="24">
      <c r="A24" s="15" t="n"/>
      <c r="B24" s="15" t="n"/>
      <c r="C24" s="16" t="n"/>
      <c r="D24" s="15" t="n"/>
      <c r="E24" s="16" t="n"/>
      <c r="F24" s="17" t="n"/>
      <c r="G24" s="15" t="n"/>
      <c r="H24" s="15" t="n"/>
      <c r="I24" s="16" t="n"/>
      <c r="J24" s="16" t="n"/>
      <c r="K24" s="16" t="n"/>
      <c r="L24" s="16" t="n"/>
      <c r="M24" s="16" t="n"/>
      <c r="N24" s="15" t="n"/>
      <c r="O24" s="16" t="n"/>
      <c r="P24" s="16" t="n"/>
      <c r="Q24" s="13">
        <f>IF(OR(B24="",C24=""),"",IFERROR(INDEX(LAYOUT!$E$2:$E$33,MATCH(B24&amp;"|"&amp;C24,LAYOUT!$F$2:$F$33,0)),"zona tidak ada di layout"))</f>
        <v/>
      </c>
      <c r="R24" s="14">
        <f>IF(F24="","",IF(OR(I24="",O24=""),0,I24*O24))</f>
        <v/>
      </c>
      <c r="S24" s="14">
        <f>IF(F24="","",SUMIFS($R$2:$R$500,$A$2:$A$500,A24,$C$2:$C$500,C24))</f>
        <v/>
      </c>
      <c r="T24" s="14">
        <f>IF(F24="","",IF(OR(G24="",I24="",J24=""),"CEK data SKU (nama/lebar/tinggi)",IF(COUNTIFS($F$2:$F$500,F24,$I$2:$I$500,"&lt;&gt;"&amp;I24)+COUNTIFS($F$2:$F$500,F24,$J$2:$J$500,"&lt;&gt;"&amp;J24)&gt;0,"CEK data SKU tidak konsisten",IF(Q24="zona tidak ada di layout","CEK zona_no / jenis_fixture",IF(D24&lt;&gt;Q24,"CEK jenis_zona",IF(S24&gt;IFERROR(INDEX(LAYOUT!$C$2:$C$33,MATCH(B24,LAYOUT!$A$2:$A$33,0)),0),"CEK lebar zona melebihi fixture","OK")))))</f>
        <v/>
      </c>
    </row>
    <row r="25">
      <c r="A25" s="15" t="n"/>
      <c r="B25" s="15" t="n"/>
      <c r="C25" s="16" t="n"/>
      <c r="D25" s="15" t="n"/>
      <c r="E25" s="16" t="n"/>
      <c r="F25" s="17" t="n"/>
      <c r="G25" s="15" t="n"/>
      <c r="H25" s="15" t="n"/>
      <c r="I25" s="16" t="n"/>
      <c r="J25" s="16" t="n"/>
      <c r="K25" s="16" t="n"/>
      <c r="L25" s="16" t="n"/>
      <c r="M25" s="16" t="n"/>
      <c r="N25" s="15" t="n"/>
      <c r="O25" s="16" t="n"/>
      <c r="P25" s="16" t="n"/>
      <c r="Q25" s="13">
        <f>IF(OR(B25="",C25=""),"",IFERROR(INDEX(LAYOUT!$E$2:$E$33,MATCH(B25&amp;"|"&amp;C25,LAYOUT!$F$2:$F$33,0)),"zona tidak ada di layout"))</f>
        <v/>
      </c>
      <c r="R25" s="14">
        <f>IF(F25="","",IF(OR(I25="",O25=""),0,I25*O25))</f>
        <v/>
      </c>
      <c r="S25" s="14">
        <f>IF(F25="","",SUMIFS($R$2:$R$500,$A$2:$A$500,A25,$C$2:$C$500,C25))</f>
        <v/>
      </c>
      <c r="T25" s="14">
        <f>IF(F25="","",IF(OR(G25="",I25="",J25=""),"CEK data SKU (nama/lebar/tinggi)",IF(COUNTIFS($F$2:$F$500,F25,$I$2:$I$500,"&lt;&gt;"&amp;I25)+COUNTIFS($F$2:$F$500,F25,$J$2:$J$500,"&lt;&gt;"&amp;J25)&gt;0,"CEK data SKU tidak konsisten",IF(Q25="zona tidak ada di layout","CEK zona_no / jenis_fixture",IF(D25&lt;&gt;Q25,"CEK jenis_zona",IF(S25&gt;IFERROR(INDEX(LAYOUT!$C$2:$C$33,MATCH(B25,LAYOUT!$A$2:$A$33,0)),0),"CEK lebar zona melebihi fixture","OK")))))</f>
        <v/>
      </c>
    </row>
    <row r="26">
      <c r="A26" s="15" t="n"/>
      <c r="B26" s="15" t="n"/>
      <c r="C26" s="16" t="n"/>
      <c r="D26" s="15" t="n"/>
      <c r="E26" s="16" t="n"/>
      <c r="F26" s="17" t="n"/>
      <c r="G26" s="15" t="n"/>
      <c r="H26" s="15" t="n"/>
      <c r="I26" s="16" t="n"/>
      <c r="J26" s="16" t="n"/>
      <c r="K26" s="16" t="n"/>
      <c r="L26" s="16" t="n"/>
      <c r="M26" s="16" t="n"/>
      <c r="N26" s="15" t="n"/>
      <c r="O26" s="16" t="n"/>
      <c r="P26" s="16" t="n"/>
      <c r="Q26" s="13">
        <f>IF(OR(B26="",C26=""),"",IFERROR(INDEX(LAYOUT!$E$2:$E$33,MATCH(B26&amp;"|"&amp;C26,LAYOUT!$F$2:$F$33,0)),"zona tidak ada di layout"))</f>
        <v/>
      </c>
      <c r="R26" s="14">
        <f>IF(F26="","",IF(OR(I26="",O26=""),0,I26*O26))</f>
        <v/>
      </c>
      <c r="S26" s="14">
        <f>IF(F26="","",SUMIFS($R$2:$R$500,$A$2:$A$500,A26,$C$2:$C$500,C26))</f>
        <v/>
      </c>
      <c r="T26" s="14">
        <f>IF(F26="","",IF(OR(G26="",I26="",J26=""),"CEK data SKU (nama/lebar/tinggi)",IF(COUNTIFS($F$2:$F$500,F26,$I$2:$I$500,"&lt;&gt;"&amp;I26)+COUNTIFS($F$2:$F$500,F26,$J$2:$J$500,"&lt;&gt;"&amp;J26)&gt;0,"CEK data SKU tidak konsisten",IF(Q26="zona tidak ada di layout","CEK zona_no / jenis_fixture",IF(D26&lt;&gt;Q26,"CEK jenis_zona",IF(S26&gt;IFERROR(INDEX(LAYOUT!$C$2:$C$33,MATCH(B26,LAYOUT!$A$2:$A$33,0)),0),"CEK lebar zona melebihi fixture","OK")))))</f>
        <v/>
      </c>
    </row>
    <row r="27">
      <c r="A27" s="15" t="n"/>
      <c r="B27" s="15" t="n"/>
      <c r="C27" s="16" t="n"/>
      <c r="D27" s="15" t="n"/>
      <c r="E27" s="16" t="n"/>
      <c r="F27" s="17" t="n"/>
      <c r="G27" s="15" t="n"/>
      <c r="H27" s="15" t="n"/>
      <c r="I27" s="16" t="n"/>
      <c r="J27" s="16" t="n"/>
      <c r="K27" s="16" t="n"/>
      <c r="L27" s="16" t="n"/>
      <c r="M27" s="16" t="n"/>
      <c r="N27" s="15" t="n"/>
      <c r="O27" s="16" t="n"/>
      <c r="P27" s="16" t="n"/>
      <c r="Q27" s="13">
        <f>IF(OR(B27="",C27=""),"",IFERROR(INDEX(LAYOUT!$E$2:$E$33,MATCH(B27&amp;"|"&amp;C27,LAYOUT!$F$2:$F$33,0)),"zona tidak ada di layout"))</f>
        <v/>
      </c>
      <c r="R27" s="14">
        <f>IF(F27="","",IF(OR(I27="",O27=""),0,I27*O27))</f>
        <v/>
      </c>
      <c r="S27" s="14">
        <f>IF(F27="","",SUMIFS($R$2:$R$500,$A$2:$A$500,A27,$C$2:$C$500,C27))</f>
        <v/>
      </c>
      <c r="T27" s="14">
        <f>IF(F27="","",IF(OR(G27="",I27="",J27=""),"CEK data SKU (nama/lebar/tinggi)",IF(COUNTIFS($F$2:$F$500,F27,$I$2:$I$500,"&lt;&gt;"&amp;I27)+COUNTIFS($F$2:$F$500,F27,$J$2:$J$500,"&lt;&gt;"&amp;J27)&gt;0,"CEK data SKU tidak konsisten",IF(Q27="zona tidak ada di layout","CEK zona_no / jenis_fixture",IF(D27&lt;&gt;Q27,"CEK jenis_zona",IF(S27&gt;IFERROR(INDEX(LAYOUT!$C$2:$C$33,MATCH(B27,LAYOUT!$A$2:$A$33,0)),0),"CEK lebar zona melebihi fixture","OK")))))</f>
        <v/>
      </c>
    </row>
    <row r="28">
      <c r="A28" s="15" t="n"/>
      <c r="B28" s="15" t="n"/>
      <c r="C28" s="16" t="n"/>
      <c r="D28" s="15" t="n"/>
      <c r="E28" s="16" t="n"/>
      <c r="F28" s="17" t="n"/>
      <c r="G28" s="15" t="n"/>
      <c r="H28" s="15" t="n"/>
      <c r="I28" s="16" t="n"/>
      <c r="J28" s="16" t="n"/>
      <c r="K28" s="16" t="n"/>
      <c r="L28" s="16" t="n"/>
      <c r="M28" s="16" t="n"/>
      <c r="N28" s="15" t="n"/>
      <c r="O28" s="16" t="n"/>
      <c r="P28" s="16" t="n"/>
      <c r="Q28" s="13">
        <f>IF(OR(B28="",C28=""),"",IFERROR(INDEX(LAYOUT!$E$2:$E$33,MATCH(B28&amp;"|"&amp;C28,LAYOUT!$F$2:$F$33,0)),"zona tidak ada di layout"))</f>
        <v/>
      </c>
      <c r="R28" s="14">
        <f>IF(F28="","",IF(OR(I28="",O28=""),0,I28*O28))</f>
        <v/>
      </c>
      <c r="S28" s="14">
        <f>IF(F28="","",SUMIFS($R$2:$R$500,$A$2:$A$500,A28,$C$2:$C$500,C28))</f>
        <v/>
      </c>
      <c r="T28" s="14">
        <f>IF(F28="","",IF(OR(G28="",I28="",J28=""),"CEK data SKU (nama/lebar/tinggi)",IF(COUNTIFS($F$2:$F$500,F28,$I$2:$I$500,"&lt;&gt;"&amp;I28)+COUNTIFS($F$2:$F$500,F28,$J$2:$J$500,"&lt;&gt;"&amp;J28)&gt;0,"CEK data SKU tidak konsisten",IF(Q28="zona tidak ada di layout","CEK zona_no / jenis_fixture",IF(D28&lt;&gt;Q28,"CEK jenis_zona",IF(S28&gt;IFERROR(INDEX(LAYOUT!$C$2:$C$33,MATCH(B28,LAYOUT!$A$2:$A$33,0)),0),"CEK lebar zona melebihi fixture","OK")))))</f>
        <v/>
      </c>
    </row>
    <row r="29">
      <c r="A29" s="15" t="n"/>
      <c r="B29" s="15" t="n"/>
      <c r="C29" s="16" t="n"/>
      <c r="D29" s="15" t="n"/>
      <c r="E29" s="16" t="n"/>
      <c r="F29" s="17" t="n"/>
      <c r="G29" s="15" t="n"/>
      <c r="H29" s="15" t="n"/>
      <c r="I29" s="16" t="n"/>
      <c r="J29" s="16" t="n"/>
      <c r="K29" s="16" t="n"/>
      <c r="L29" s="16" t="n"/>
      <c r="M29" s="16" t="n"/>
      <c r="N29" s="15" t="n"/>
      <c r="O29" s="16" t="n"/>
      <c r="P29" s="16" t="n"/>
      <c r="Q29" s="13">
        <f>IF(OR(B29="",C29=""),"",IFERROR(INDEX(LAYOUT!$E$2:$E$33,MATCH(B29&amp;"|"&amp;C29,LAYOUT!$F$2:$F$33,0)),"zona tidak ada di layout"))</f>
        <v/>
      </c>
      <c r="R29" s="14">
        <f>IF(F29="","",IF(OR(I29="",O29=""),0,I29*O29))</f>
        <v/>
      </c>
      <c r="S29" s="14">
        <f>IF(F29="","",SUMIFS($R$2:$R$500,$A$2:$A$500,A29,$C$2:$C$500,C29))</f>
        <v/>
      </c>
      <c r="T29" s="14">
        <f>IF(F29="","",IF(OR(G29="",I29="",J29=""),"CEK data SKU (nama/lebar/tinggi)",IF(COUNTIFS($F$2:$F$500,F29,$I$2:$I$500,"&lt;&gt;"&amp;I29)+COUNTIFS($F$2:$F$500,F29,$J$2:$J$500,"&lt;&gt;"&amp;J29)&gt;0,"CEK data SKU tidak konsisten",IF(Q29="zona tidak ada di layout","CEK zona_no / jenis_fixture",IF(D29&lt;&gt;Q29,"CEK jenis_zona",IF(S29&gt;IFERROR(INDEX(LAYOUT!$C$2:$C$33,MATCH(B29,LAYOUT!$A$2:$A$33,0)),0),"CEK lebar zona melebihi fixture","OK")))))</f>
        <v/>
      </c>
    </row>
    <row r="30">
      <c r="A30" s="15" t="n"/>
      <c r="B30" s="15" t="n"/>
      <c r="C30" s="16" t="n"/>
      <c r="D30" s="15" t="n"/>
      <c r="E30" s="16" t="n"/>
      <c r="F30" s="17" t="n"/>
      <c r="G30" s="15" t="n"/>
      <c r="H30" s="15" t="n"/>
      <c r="I30" s="16" t="n"/>
      <c r="J30" s="16" t="n"/>
      <c r="K30" s="16" t="n"/>
      <c r="L30" s="16" t="n"/>
      <c r="M30" s="16" t="n"/>
      <c r="N30" s="15" t="n"/>
      <c r="O30" s="16" t="n"/>
      <c r="P30" s="16" t="n"/>
      <c r="Q30" s="13">
        <f>IF(OR(B30="",C30=""),"",IFERROR(INDEX(LAYOUT!$E$2:$E$33,MATCH(B30&amp;"|"&amp;C30,LAYOUT!$F$2:$F$33,0)),"zona tidak ada di layout"))</f>
        <v/>
      </c>
      <c r="R30" s="14">
        <f>IF(F30="","",IF(OR(I30="",O30=""),0,I30*O30))</f>
        <v/>
      </c>
      <c r="S30" s="14">
        <f>IF(F30="","",SUMIFS($R$2:$R$500,$A$2:$A$500,A30,$C$2:$C$500,C30))</f>
        <v/>
      </c>
      <c r="T30" s="14">
        <f>IF(F30="","",IF(OR(G30="",I30="",J30=""),"CEK data SKU (nama/lebar/tinggi)",IF(COUNTIFS($F$2:$F$500,F30,$I$2:$I$500,"&lt;&gt;"&amp;I30)+COUNTIFS($F$2:$F$500,F30,$J$2:$J$500,"&lt;&gt;"&amp;J30)&gt;0,"CEK data SKU tidak konsisten",IF(Q30="zona tidak ada di layout","CEK zona_no / jenis_fixture",IF(D30&lt;&gt;Q30,"CEK jenis_zona",IF(S30&gt;IFERROR(INDEX(LAYOUT!$C$2:$C$33,MATCH(B30,LAYOUT!$A$2:$A$33,0)),0),"CEK lebar zona melebihi fixture","OK")))))</f>
        <v/>
      </c>
    </row>
    <row r="31">
      <c r="A31" s="15" t="n"/>
      <c r="B31" s="15" t="n"/>
      <c r="C31" s="16" t="n"/>
      <c r="D31" s="15" t="n"/>
      <c r="E31" s="16" t="n"/>
      <c r="F31" s="17" t="n"/>
      <c r="G31" s="15" t="n"/>
      <c r="H31" s="15" t="n"/>
      <c r="I31" s="16" t="n"/>
      <c r="J31" s="16" t="n"/>
      <c r="K31" s="16" t="n"/>
      <c r="L31" s="16" t="n"/>
      <c r="M31" s="16" t="n"/>
      <c r="N31" s="15" t="n"/>
      <c r="O31" s="16" t="n"/>
      <c r="P31" s="16" t="n"/>
      <c r="Q31" s="13">
        <f>IF(OR(B31="",C31=""),"",IFERROR(INDEX(LAYOUT!$E$2:$E$33,MATCH(B31&amp;"|"&amp;C31,LAYOUT!$F$2:$F$33,0)),"zona tidak ada di layout"))</f>
        <v/>
      </c>
      <c r="R31" s="14">
        <f>IF(F31="","",IF(OR(I31="",O31=""),0,I31*O31))</f>
        <v/>
      </c>
      <c r="S31" s="14">
        <f>IF(F31="","",SUMIFS($R$2:$R$500,$A$2:$A$500,A31,$C$2:$C$500,C31))</f>
        <v/>
      </c>
      <c r="T31" s="14">
        <f>IF(F31="","",IF(OR(G31="",I31="",J31=""),"CEK data SKU (nama/lebar/tinggi)",IF(COUNTIFS($F$2:$F$500,F31,$I$2:$I$500,"&lt;&gt;"&amp;I31)+COUNTIFS($F$2:$F$500,F31,$J$2:$J$500,"&lt;&gt;"&amp;J31)&gt;0,"CEK data SKU tidak konsisten",IF(Q31="zona tidak ada di layout","CEK zona_no / jenis_fixture",IF(D31&lt;&gt;Q31,"CEK jenis_zona",IF(S31&gt;IFERROR(INDEX(LAYOUT!$C$2:$C$33,MATCH(B31,LAYOUT!$A$2:$A$33,0)),0),"CEK lebar zona melebihi fixture","OK")))))</f>
        <v/>
      </c>
    </row>
    <row r="32">
      <c r="A32" s="15" t="n"/>
      <c r="B32" s="15" t="n"/>
      <c r="C32" s="16" t="n"/>
      <c r="D32" s="15" t="n"/>
      <c r="E32" s="16" t="n"/>
      <c r="F32" s="17" t="n"/>
      <c r="G32" s="15" t="n"/>
      <c r="H32" s="15" t="n"/>
      <c r="I32" s="16" t="n"/>
      <c r="J32" s="16" t="n"/>
      <c r="K32" s="16" t="n"/>
      <c r="L32" s="16" t="n"/>
      <c r="M32" s="16" t="n"/>
      <c r="N32" s="15" t="n"/>
      <c r="O32" s="16" t="n"/>
      <c r="P32" s="16" t="n"/>
      <c r="Q32" s="13">
        <f>IF(OR(B32="",C32=""),"",IFERROR(INDEX(LAYOUT!$E$2:$E$33,MATCH(B32&amp;"|"&amp;C32,LAYOUT!$F$2:$F$33,0)),"zona tidak ada di layout"))</f>
        <v/>
      </c>
      <c r="R32" s="14">
        <f>IF(F32="","",IF(OR(I32="",O32=""),0,I32*O32))</f>
        <v/>
      </c>
      <c r="S32" s="14">
        <f>IF(F32="","",SUMIFS($R$2:$R$500,$A$2:$A$500,A32,$C$2:$C$500,C32))</f>
        <v/>
      </c>
      <c r="T32" s="14">
        <f>IF(F32="","",IF(OR(G32="",I32="",J32=""),"CEK data SKU (nama/lebar/tinggi)",IF(COUNTIFS($F$2:$F$500,F32,$I$2:$I$500,"&lt;&gt;"&amp;I32)+COUNTIFS($F$2:$F$500,F32,$J$2:$J$500,"&lt;&gt;"&amp;J32)&gt;0,"CEK data SKU tidak konsisten",IF(Q32="zona tidak ada di layout","CEK zona_no / jenis_fixture",IF(D32&lt;&gt;Q32,"CEK jenis_zona",IF(S32&gt;IFERROR(INDEX(LAYOUT!$C$2:$C$33,MATCH(B32,LAYOUT!$A$2:$A$33,0)),0),"CEK lebar zona melebihi fixture","OK")))))</f>
        <v/>
      </c>
    </row>
    <row r="33">
      <c r="A33" s="15" t="n"/>
      <c r="B33" s="15" t="n"/>
      <c r="C33" s="16" t="n"/>
      <c r="D33" s="15" t="n"/>
      <c r="E33" s="16" t="n"/>
      <c r="F33" s="17" t="n"/>
      <c r="G33" s="15" t="n"/>
      <c r="H33" s="15" t="n"/>
      <c r="I33" s="16" t="n"/>
      <c r="J33" s="16" t="n"/>
      <c r="K33" s="16" t="n"/>
      <c r="L33" s="16" t="n"/>
      <c r="M33" s="16" t="n"/>
      <c r="N33" s="15" t="n"/>
      <c r="O33" s="16" t="n"/>
      <c r="P33" s="16" t="n"/>
      <c r="Q33" s="13">
        <f>IF(OR(B33="",C33=""),"",IFERROR(INDEX(LAYOUT!$E$2:$E$33,MATCH(B33&amp;"|"&amp;C33,LAYOUT!$F$2:$F$33,0)),"zona tidak ada di layout"))</f>
        <v/>
      </c>
      <c r="R33" s="14">
        <f>IF(F33="","",IF(OR(I33="",O33=""),0,I33*O33))</f>
        <v/>
      </c>
      <c r="S33" s="14">
        <f>IF(F33="","",SUMIFS($R$2:$R$500,$A$2:$A$500,A33,$C$2:$C$500,C33))</f>
        <v/>
      </c>
      <c r="T33" s="14">
        <f>IF(F33="","",IF(OR(G33="",I33="",J33=""),"CEK data SKU (nama/lebar/tinggi)",IF(COUNTIFS($F$2:$F$500,F33,$I$2:$I$500,"&lt;&gt;"&amp;I33)+COUNTIFS($F$2:$F$500,F33,$J$2:$J$500,"&lt;&gt;"&amp;J33)&gt;0,"CEK data SKU tidak konsisten",IF(Q33="zona tidak ada di layout","CEK zona_no / jenis_fixture",IF(D33&lt;&gt;Q33,"CEK jenis_zona",IF(S33&gt;IFERROR(INDEX(LAYOUT!$C$2:$C$33,MATCH(B33,LAYOUT!$A$2:$A$33,0)),0),"CEK lebar zona melebihi fixture","OK")))))</f>
        <v/>
      </c>
    </row>
    <row r="34">
      <c r="A34" s="15" t="n"/>
      <c r="B34" s="15" t="n"/>
      <c r="C34" s="16" t="n"/>
      <c r="D34" s="15" t="n"/>
      <c r="E34" s="16" t="n"/>
      <c r="F34" s="17" t="n"/>
      <c r="G34" s="15" t="n"/>
      <c r="H34" s="15" t="n"/>
      <c r="I34" s="16" t="n"/>
      <c r="J34" s="16" t="n"/>
      <c r="K34" s="16" t="n"/>
      <c r="L34" s="16" t="n"/>
      <c r="M34" s="16" t="n"/>
      <c r="N34" s="15" t="n"/>
      <c r="O34" s="16" t="n"/>
      <c r="P34" s="16" t="n"/>
      <c r="Q34" s="13">
        <f>IF(OR(B34="",C34=""),"",IFERROR(INDEX(LAYOUT!$E$2:$E$33,MATCH(B34&amp;"|"&amp;C34,LAYOUT!$F$2:$F$33,0)),"zona tidak ada di layout"))</f>
        <v/>
      </c>
      <c r="R34" s="14">
        <f>IF(F34="","",IF(OR(I34="",O34=""),0,I34*O34))</f>
        <v/>
      </c>
      <c r="S34" s="14">
        <f>IF(F34="","",SUMIFS($R$2:$R$500,$A$2:$A$500,A34,$C$2:$C$500,C34))</f>
        <v/>
      </c>
      <c r="T34" s="14">
        <f>IF(F34="","",IF(OR(G34="",I34="",J34=""),"CEK data SKU (nama/lebar/tinggi)",IF(COUNTIFS($F$2:$F$500,F34,$I$2:$I$500,"&lt;&gt;"&amp;I34)+COUNTIFS($F$2:$F$500,F34,$J$2:$J$500,"&lt;&gt;"&amp;J34)&gt;0,"CEK data SKU tidak konsisten",IF(Q34="zona tidak ada di layout","CEK zona_no / jenis_fixture",IF(D34&lt;&gt;Q34,"CEK jenis_zona",IF(S34&gt;IFERROR(INDEX(LAYOUT!$C$2:$C$33,MATCH(B34,LAYOUT!$A$2:$A$33,0)),0),"CEK lebar zona melebihi fixture","OK")))))</f>
        <v/>
      </c>
    </row>
    <row r="35">
      <c r="A35" s="15" t="n"/>
      <c r="B35" s="15" t="n"/>
      <c r="C35" s="16" t="n"/>
      <c r="D35" s="15" t="n"/>
      <c r="E35" s="16" t="n"/>
      <c r="F35" s="17" t="n"/>
      <c r="G35" s="15" t="n"/>
      <c r="H35" s="15" t="n"/>
      <c r="I35" s="16" t="n"/>
      <c r="J35" s="16" t="n"/>
      <c r="K35" s="16" t="n"/>
      <c r="L35" s="16" t="n"/>
      <c r="M35" s="16" t="n"/>
      <c r="N35" s="15" t="n"/>
      <c r="O35" s="16" t="n"/>
      <c r="P35" s="16" t="n"/>
      <c r="Q35" s="13">
        <f>IF(OR(B35="",C35=""),"",IFERROR(INDEX(LAYOUT!$E$2:$E$33,MATCH(B35&amp;"|"&amp;C35,LAYOUT!$F$2:$F$33,0)),"zona tidak ada di layout"))</f>
        <v/>
      </c>
      <c r="R35" s="14">
        <f>IF(F35="","",IF(OR(I35="",O35=""),0,I35*O35))</f>
        <v/>
      </c>
      <c r="S35" s="14">
        <f>IF(F35="","",SUMIFS($R$2:$R$500,$A$2:$A$500,A35,$C$2:$C$500,C35))</f>
        <v/>
      </c>
      <c r="T35" s="14">
        <f>IF(F35="","",IF(OR(G35="",I35="",J35=""),"CEK data SKU (nama/lebar/tinggi)",IF(COUNTIFS($F$2:$F$500,F35,$I$2:$I$500,"&lt;&gt;"&amp;I35)+COUNTIFS($F$2:$F$500,F35,$J$2:$J$500,"&lt;&gt;"&amp;J35)&gt;0,"CEK data SKU tidak konsisten",IF(Q35="zona tidak ada di layout","CEK zona_no / jenis_fixture",IF(D35&lt;&gt;Q35,"CEK jenis_zona",IF(S35&gt;IFERROR(INDEX(LAYOUT!$C$2:$C$33,MATCH(B35,LAYOUT!$A$2:$A$33,0)),0),"CEK lebar zona melebihi fixture","OK")))))</f>
        <v/>
      </c>
    </row>
    <row r="36">
      <c r="A36" s="15" t="n"/>
      <c r="B36" s="15" t="n"/>
      <c r="C36" s="16" t="n"/>
      <c r="D36" s="15" t="n"/>
      <c r="E36" s="16" t="n"/>
      <c r="F36" s="17" t="n"/>
      <c r="G36" s="15" t="n"/>
      <c r="H36" s="15" t="n"/>
      <c r="I36" s="16" t="n"/>
      <c r="J36" s="16" t="n"/>
      <c r="K36" s="16" t="n"/>
      <c r="L36" s="16" t="n"/>
      <c r="M36" s="16" t="n"/>
      <c r="N36" s="15" t="n"/>
      <c r="O36" s="16" t="n"/>
      <c r="P36" s="16" t="n"/>
      <c r="Q36" s="13">
        <f>IF(OR(B36="",C36=""),"",IFERROR(INDEX(LAYOUT!$E$2:$E$33,MATCH(B36&amp;"|"&amp;C36,LAYOUT!$F$2:$F$33,0)),"zona tidak ada di layout"))</f>
        <v/>
      </c>
      <c r="R36" s="14">
        <f>IF(F36="","",IF(OR(I36="",O36=""),0,I36*O36))</f>
        <v/>
      </c>
      <c r="S36" s="14">
        <f>IF(F36="","",SUMIFS($R$2:$R$500,$A$2:$A$500,A36,$C$2:$C$500,C36))</f>
        <v/>
      </c>
      <c r="T36" s="14">
        <f>IF(F36="","",IF(OR(G36="",I36="",J36=""),"CEK data SKU (nama/lebar/tinggi)",IF(COUNTIFS($F$2:$F$500,F36,$I$2:$I$500,"&lt;&gt;"&amp;I36)+COUNTIFS($F$2:$F$500,F36,$J$2:$J$500,"&lt;&gt;"&amp;J36)&gt;0,"CEK data SKU tidak konsisten",IF(Q36="zona tidak ada di layout","CEK zona_no / jenis_fixture",IF(D36&lt;&gt;Q36,"CEK jenis_zona",IF(S36&gt;IFERROR(INDEX(LAYOUT!$C$2:$C$33,MATCH(B36,LAYOUT!$A$2:$A$33,0)),0),"CEK lebar zona melebihi fixture","OK")))))</f>
        <v/>
      </c>
    </row>
    <row r="37">
      <c r="A37" s="15" t="n"/>
      <c r="B37" s="15" t="n"/>
      <c r="C37" s="16" t="n"/>
      <c r="D37" s="15" t="n"/>
      <c r="E37" s="16" t="n"/>
      <c r="F37" s="17" t="n"/>
      <c r="G37" s="15" t="n"/>
      <c r="H37" s="15" t="n"/>
      <c r="I37" s="16" t="n"/>
      <c r="J37" s="16" t="n"/>
      <c r="K37" s="16" t="n"/>
      <c r="L37" s="16" t="n"/>
      <c r="M37" s="16" t="n"/>
      <c r="N37" s="15" t="n"/>
      <c r="O37" s="16" t="n"/>
      <c r="P37" s="16" t="n"/>
      <c r="Q37" s="13">
        <f>IF(OR(B37="",C37=""),"",IFERROR(INDEX(LAYOUT!$E$2:$E$33,MATCH(B37&amp;"|"&amp;C37,LAYOUT!$F$2:$F$33,0)),"zona tidak ada di layout"))</f>
        <v/>
      </c>
      <c r="R37" s="14">
        <f>IF(F37="","",IF(OR(I37="",O37=""),0,I37*O37))</f>
        <v/>
      </c>
      <c r="S37" s="14">
        <f>IF(F37="","",SUMIFS($R$2:$R$500,$A$2:$A$500,A37,$C$2:$C$500,C37))</f>
        <v/>
      </c>
      <c r="T37" s="14">
        <f>IF(F37="","",IF(OR(G37="",I37="",J37=""),"CEK data SKU (nama/lebar/tinggi)",IF(COUNTIFS($F$2:$F$500,F37,$I$2:$I$500,"&lt;&gt;"&amp;I37)+COUNTIFS($F$2:$F$500,F37,$J$2:$J$500,"&lt;&gt;"&amp;J37)&gt;0,"CEK data SKU tidak konsisten",IF(Q37="zona tidak ada di layout","CEK zona_no / jenis_fixture",IF(D37&lt;&gt;Q37,"CEK jenis_zona",IF(S37&gt;IFERROR(INDEX(LAYOUT!$C$2:$C$33,MATCH(B37,LAYOUT!$A$2:$A$33,0)),0),"CEK lebar zona melebihi fixture","OK")))))</f>
        <v/>
      </c>
    </row>
    <row r="38">
      <c r="A38" s="15" t="n"/>
      <c r="B38" s="15" t="n"/>
      <c r="C38" s="16" t="n"/>
      <c r="D38" s="15" t="n"/>
      <c r="E38" s="16" t="n"/>
      <c r="F38" s="17" t="n"/>
      <c r="G38" s="15" t="n"/>
      <c r="H38" s="15" t="n"/>
      <c r="I38" s="16" t="n"/>
      <c r="J38" s="16" t="n"/>
      <c r="K38" s="16" t="n"/>
      <c r="L38" s="16" t="n"/>
      <c r="M38" s="16" t="n"/>
      <c r="N38" s="15" t="n"/>
      <c r="O38" s="16" t="n"/>
      <c r="P38" s="16" t="n"/>
      <c r="Q38" s="13">
        <f>IF(OR(B38="",C38=""),"",IFERROR(INDEX(LAYOUT!$E$2:$E$33,MATCH(B38&amp;"|"&amp;C38,LAYOUT!$F$2:$F$33,0)),"zona tidak ada di layout"))</f>
        <v/>
      </c>
      <c r="R38" s="14">
        <f>IF(F38="","",IF(OR(I38="",O38=""),0,I38*O38))</f>
        <v/>
      </c>
      <c r="S38" s="14">
        <f>IF(F38="","",SUMIFS($R$2:$R$500,$A$2:$A$500,A38,$C$2:$C$500,C38))</f>
        <v/>
      </c>
      <c r="T38" s="14">
        <f>IF(F38="","",IF(OR(G38="",I38="",J38=""),"CEK data SKU (nama/lebar/tinggi)",IF(COUNTIFS($F$2:$F$500,F38,$I$2:$I$500,"&lt;&gt;"&amp;I38)+COUNTIFS($F$2:$F$500,F38,$J$2:$J$500,"&lt;&gt;"&amp;J38)&gt;0,"CEK data SKU tidak konsisten",IF(Q38="zona tidak ada di layout","CEK zona_no / jenis_fixture",IF(D38&lt;&gt;Q38,"CEK jenis_zona",IF(S38&gt;IFERROR(INDEX(LAYOUT!$C$2:$C$33,MATCH(B38,LAYOUT!$A$2:$A$33,0)),0),"CEK lebar zona melebihi fixture","OK")))))</f>
        <v/>
      </c>
    </row>
    <row r="39">
      <c r="A39" s="15" t="n"/>
      <c r="B39" s="15" t="n"/>
      <c r="C39" s="16" t="n"/>
      <c r="D39" s="15" t="n"/>
      <c r="E39" s="16" t="n"/>
      <c r="F39" s="17" t="n"/>
      <c r="G39" s="15" t="n"/>
      <c r="H39" s="15" t="n"/>
      <c r="I39" s="16" t="n"/>
      <c r="J39" s="16" t="n"/>
      <c r="K39" s="16" t="n"/>
      <c r="L39" s="16" t="n"/>
      <c r="M39" s="16" t="n"/>
      <c r="N39" s="15" t="n"/>
      <c r="O39" s="16" t="n"/>
      <c r="P39" s="16" t="n"/>
      <c r="Q39" s="13">
        <f>IF(OR(B39="",C39=""),"",IFERROR(INDEX(LAYOUT!$E$2:$E$33,MATCH(B39&amp;"|"&amp;C39,LAYOUT!$F$2:$F$33,0)),"zona tidak ada di layout"))</f>
        <v/>
      </c>
      <c r="R39" s="14">
        <f>IF(F39="","",IF(OR(I39="",O39=""),0,I39*O39))</f>
        <v/>
      </c>
      <c r="S39" s="14">
        <f>IF(F39="","",SUMIFS($R$2:$R$500,$A$2:$A$500,A39,$C$2:$C$500,C39))</f>
        <v/>
      </c>
      <c r="T39" s="14">
        <f>IF(F39="","",IF(OR(G39="",I39="",J39=""),"CEK data SKU (nama/lebar/tinggi)",IF(COUNTIFS($F$2:$F$500,F39,$I$2:$I$500,"&lt;&gt;"&amp;I39)+COUNTIFS($F$2:$F$500,F39,$J$2:$J$500,"&lt;&gt;"&amp;J39)&gt;0,"CEK data SKU tidak konsisten",IF(Q39="zona tidak ada di layout","CEK zona_no / jenis_fixture",IF(D39&lt;&gt;Q39,"CEK jenis_zona",IF(S39&gt;IFERROR(INDEX(LAYOUT!$C$2:$C$33,MATCH(B39,LAYOUT!$A$2:$A$33,0)),0),"CEK lebar zona melebihi fixture","OK")))))</f>
        <v/>
      </c>
    </row>
    <row r="40">
      <c r="A40" s="15" t="n"/>
      <c r="B40" s="15" t="n"/>
      <c r="C40" s="16" t="n"/>
      <c r="D40" s="15" t="n"/>
      <c r="E40" s="16" t="n"/>
      <c r="F40" s="17" t="n"/>
      <c r="G40" s="15" t="n"/>
      <c r="H40" s="15" t="n"/>
      <c r="I40" s="16" t="n"/>
      <c r="J40" s="16" t="n"/>
      <c r="K40" s="16" t="n"/>
      <c r="L40" s="16" t="n"/>
      <c r="M40" s="16" t="n"/>
      <c r="N40" s="15" t="n"/>
      <c r="O40" s="16" t="n"/>
      <c r="P40" s="16" t="n"/>
      <c r="Q40" s="13">
        <f>IF(OR(B40="",C40=""),"",IFERROR(INDEX(LAYOUT!$E$2:$E$33,MATCH(B40&amp;"|"&amp;C40,LAYOUT!$F$2:$F$33,0)),"zona tidak ada di layout"))</f>
        <v/>
      </c>
      <c r="R40" s="14">
        <f>IF(F40="","",IF(OR(I40="",O40=""),0,I40*O40))</f>
        <v/>
      </c>
      <c r="S40" s="14">
        <f>IF(F40="","",SUMIFS($R$2:$R$500,$A$2:$A$500,A40,$C$2:$C$500,C40))</f>
        <v/>
      </c>
      <c r="T40" s="14">
        <f>IF(F40="","",IF(OR(G40="",I40="",J40=""),"CEK data SKU (nama/lebar/tinggi)",IF(COUNTIFS($F$2:$F$500,F40,$I$2:$I$500,"&lt;&gt;"&amp;I40)+COUNTIFS($F$2:$F$500,F40,$J$2:$J$500,"&lt;&gt;"&amp;J40)&gt;0,"CEK data SKU tidak konsisten",IF(Q40="zona tidak ada di layout","CEK zona_no / jenis_fixture",IF(D40&lt;&gt;Q40,"CEK jenis_zona",IF(S40&gt;IFERROR(INDEX(LAYOUT!$C$2:$C$33,MATCH(B40,LAYOUT!$A$2:$A$33,0)),0),"CEK lebar zona melebihi fixture","OK")))))</f>
        <v/>
      </c>
    </row>
    <row r="41">
      <c r="A41" s="15" t="n"/>
      <c r="B41" s="15" t="n"/>
      <c r="C41" s="16" t="n"/>
      <c r="D41" s="15" t="n"/>
      <c r="E41" s="16" t="n"/>
      <c r="F41" s="17" t="n"/>
      <c r="G41" s="15" t="n"/>
      <c r="H41" s="15" t="n"/>
      <c r="I41" s="16" t="n"/>
      <c r="J41" s="16" t="n"/>
      <c r="K41" s="16" t="n"/>
      <c r="L41" s="16" t="n"/>
      <c r="M41" s="16" t="n"/>
      <c r="N41" s="15" t="n"/>
      <c r="O41" s="16" t="n"/>
      <c r="P41" s="16" t="n"/>
      <c r="Q41" s="13">
        <f>IF(OR(B41="",C41=""),"",IFERROR(INDEX(LAYOUT!$E$2:$E$33,MATCH(B41&amp;"|"&amp;C41,LAYOUT!$F$2:$F$33,0)),"zona tidak ada di layout"))</f>
        <v/>
      </c>
      <c r="R41" s="14">
        <f>IF(F41="","",IF(OR(I41="",O41=""),0,I41*O41))</f>
        <v/>
      </c>
      <c r="S41" s="14">
        <f>IF(F41="","",SUMIFS($R$2:$R$500,$A$2:$A$500,A41,$C$2:$C$500,C41))</f>
        <v/>
      </c>
      <c r="T41" s="14">
        <f>IF(F41="","",IF(OR(G41="",I41="",J41=""),"CEK data SKU (nama/lebar/tinggi)",IF(COUNTIFS($F$2:$F$500,F41,$I$2:$I$500,"&lt;&gt;"&amp;I41)+COUNTIFS($F$2:$F$500,F41,$J$2:$J$500,"&lt;&gt;"&amp;J41)&gt;0,"CEK data SKU tidak konsisten",IF(Q41="zona tidak ada di layout","CEK zona_no / jenis_fixture",IF(D41&lt;&gt;Q41,"CEK jenis_zona",IF(S41&gt;IFERROR(INDEX(LAYOUT!$C$2:$C$33,MATCH(B41,LAYOUT!$A$2:$A$33,0)),0),"CEK lebar zona melebihi fixture","OK")))))</f>
        <v/>
      </c>
    </row>
    <row r="42">
      <c r="A42" s="15" t="n"/>
      <c r="B42" s="15" t="n"/>
      <c r="C42" s="16" t="n"/>
      <c r="D42" s="15" t="n"/>
      <c r="E42" s="16" t="n"/>
      <c r="F42" s="17" t="n"/>
      <c r="G42" s="15" t="n"/>
      <c r="H42" s="15" t="n"/>
      <c r="I42" s="16" t="n"/>
      <c r="J42" s="16" t="n"/>
      <c r="K42" s="16" t="n"/>
      <c r="L42" s="16" t="n"/>
      <c r="M42" s="16" t="n"/>
      <c r="N42" s="15" t="n"/>
      <c r="O42" s="16" t="n"/>
      <c r="P42" s="16" t="n"/>
      <c r="Q42" s="13">
        <f>IF(OR(B42="",C42=""),"",IFERROR(INDEX(LAYOUT!$E$2:$E$33,MATCH(B42&amp;"|"&amp;C42,LAYOUT!$F$2:$F$33,0)),"zona tidak ada di layout"))</f>
        <v/>
      </c>
      <c r="R42" s="14">
        <f>IF(F42="","",IF(OR(I42="",O42=""),0,I42*O42))</f>
        <v/>
      </c>
      <c r="S42" s="14">
        <f>IF(F42="","",SUMIFS($R$2:$R$500,$A$2:$A$500,A42,$C$2:$C$500,C42))</f>
        <v/>
      </c>
      <c r="T42" s="14">
        <f>IF(F42="","",IF(OR(G42="",I42="",J42=""),"CEK data SKU (nama/lebar/tinggi)",IF(COUNTIFS($F$2:$F$500,F42,$I$2:$I$500,"&lt;&gt;"&amp;I42)+COUNTIFS($F$2:$F$500,F42,$J$2:$J$500,"&lt;&gt;"&amp;J42)&gt;0,"CEK data SKU tidak konsisten",IF(Q42="zona tidak ada di layout","CEK zona_no / jenis_fixture",IF(D42&lt;&gt;Q42,"CEK jenis_zona",IF(S42&gt;IFERROR(INDEX(LAYOUT!$C$2:$C$33,MATCH(B42,LAYOUT!$A$2:$A$33,0)),0),"CEK lebar zona melebihi fixture","OK")))))</f>
        <v/>
      </c>
    </row>
    <row r="43">
      <c r="A43" s="15" t="n"/>
      <c r="B43" s="15" t="n"/>
      <c r="C43" s="16" t="n"/>
      <c r="D43" s="15" t="n"/>
      <c r="E43" s="16" t="n"/>
      <c r="F43" s="17" t="n"/>
      <c r="G43" s="15" t="n"/>
      <c r="H43" s="15" t="n"/>
      <c r="I43" s="16" t="n"/>
      <c r="J43" s="16" t="n"/>
      <c r="K43" s="16" t="n"/>
      <c r="L43" s="16" t="n"/>
      <c r="M43" s="16" t="n"/>
      <c r="N43" s="15" t="n"/>
      <c r="O43" s="16" t="n"/>
      <c r="P43" s="16" t="n"/>
      <c r="Q43" s="13">
        <f>IF(OR(B43="",C43=""),"",IFERROR(INDEX(LAYOUT!$E$2:$E$33,MATCH(B43&amp;"|"&amp;C43,LAYOUT!$F$2:$F$33,0)),"zona tidak ada di layout"))</f>
        <v/>
      </c>
      <c r="R43" s="14">
        <f>IF(F43="","",IF(OR(I43="",O43=""),0,I43*O43))</f>
        <v/>
      </c>
      <c r="S43" s="14">
        <f>IF(F43="","",SUMIFS($R$2:$R$500,$A$2:$A$500,A43,$C$2:$C$500,C43))</f>
        <v/>
      </c>
      <c r="T43" s="14">
        <f>IF(F43="","",IF(OR(G43="",I43="",J43=""),"CEK data SKU (nama/lebar/tinggi)",IF(COUNTIFS($F$2:$F$500,F43,$I$2:$I$500,"&lt;&gt;"&amp;I43)+COUNTIFS($F$2:$F$500,F43,$J$2:$J$500,"&lt;&gt;"&amp;J43)&gt;0,"CEK data SKU tidak konsisten",IF(Q43="zona tidak ada di layout","CEK zona_no / jenis_fixture",IF(D43&lt;&gt;Q43,"CEK jenis_zona",IF(S43&gt;IFERROR(INDEX(LAYOUT!$C$2:$C$33,MATCH(B43,LAYOUT!$A$2:$A$33,0)),0),"CEK lebar zona melebihi fixture","OK")))))</f>
        <v/>
      </c>
    </row>
    <row r="44">
      <c r="A44" s="15" t="n"/>
      <c r="B44" s="15" t="n"/>
      <c r="C44" s="16" t="n"/>
      <c r="D44" s="15" t="n"/>
      <c r="E44" s="16" t="n"/>
      <c r="F44" s="17" t="n"/>
      <c r="G44" s="15" t="n"/>
      <c r="H44" s="15" t="n"/>
      <c r="I44" s="16" t="n"/>
      <c r="J44" s="16" t="n"/>
      <c r="K44" s="16" t="n"/>
      <c r="L44" s="16" t="n"/>
      <c r="M44" s="16" t="n"/>
      <c r="N44" s="15" t="n"/>
      <c r="O44" s="16" t="n"/>
      <c r="P44" s="16" t="n"/>
      <c r="Q44" s="13">
        <f>IF(OR(B44="",C44=""),"",IFERROR(INDEX(LAYOUT!$E$2:$E$33,MATCH(B44&amp;"|"&amp;C44,LAYOUT!$F$2:$F$33,0)),"zona tidak ada di layout"))</f>
        <v/>
      </c>
      <c r="R44" s="14">
        <f>IF(F44="","",IF(OR(I44="",O44=""),0,I44*O44))</f>
        <v/>
      </c>
      <c r="S44" s="14">
        <f>IF(F44="","",SUMIFS($R$2:$R$500,$A$2:$A$500,A44,$C$2:$C$500,C44))</f>
        <v/>
      </c>
      <c r="T44" s="14">
        <f>IF(F44="","",IF(OR(G44="",I44="",J44=""),"CEK data SKU (nama/lebar/tinggi)",IF(COUNTIFS($F$2:$F$500,F44,$I$2:$I$500,"&lt;&gt;"&amp;I44)+COUNTIFS($F$2:$F$500,F44,$J$2:$J$500,"&lt;&gt;"&amp;J44)&gt;0,"CEK data SKU tidak konsisten",IF(Q44="zona tidak ada di layout","CEK zona_no / jenis_fixture",IF(D44&lt;&gt;Q44,"CEK jenis_zona",IF(S44&gt;IFERROR(INDEX(LAYOUT!$C$2:$C$33,MATCH(B44,LAYOUT!$A$2:$A$33,0)),0),"CEK lebar zona melebihi fixture","OK")))))</f>
        <v/>
      </c>
    </row>
    <row r="45">
      <c r="A45" s="15" t="n"/>
      <c r="B45" s="15" t="n"/>
      <c r="C45" s="16" t="n"/>
      <c r="D45" s="15" t="n"/>
      <c r="E45" s="16" t="n"/>
      <c r="F45" s="17" t="n"/>
      <c r="G45" s="15" t="n"/>
      <c r="H45" s="15" t="n"/>
      <c r="I45" s="16" t="n"/>
      <c r="J45" s="16" t="n"/>
      <c r="K45" s="16" t="n"/>
      <c r="L45" s="16" t="n"/>
      <c r="M45" s="16" t="n"/>
      <c r="N45" s="15" t="n"/>
      <c r="O45" s="16" t="n"/>
      <c r="P45" s="16" t="n"/>
      <c r="Q45" s="13">
        <f>IF(OR(B45="",C45=""),"",IFERROR(INDEX(LAYOUT!$E$2:$E$33,MATCH(B45&amp;"|"&amp;C45,LAYOUT!$F$2:$F$33,0)),"zona tidak ada di layout"))</f>
        <v/>
      </c>
      <c r="R45" s="14">
        <f>IF(F45="","",IF(OR(I45="",O45=""),0,I45*O45))</f>
        <v/>
      </c>
      <c r="S45" s="14">
        <f>IF(F45="","",SUMIFS($R$2:$R$500,$A$2:$A$500,A45,$C$2:$C$500,C45))</f>
        <v/>
      </c>
      <c r="T45" s="14">
        <f>IF(F45="","",IF(OR(G45="",I45="",J45=""),"CEK data SKU (nama/lebar/tinggi)",IF(COUNTIFS($F$2:$F$500,F45,$I$2:$I$500,"&lt;&gt;"&amp;I45)+COUNTIFS($F$2:$F$500,F45,$J$2:$J$500,"&lt;&gt;"&amp;J45)&gt;0,"CEK data SKU tidak konsisten",IF(Q45="zona tidak ada di layout","CEK zona_no / jenis_fixture",IF(D45&lt;&gt;Q45,"CEK jenis_zona",IF(S45&gt;IFERROR(INDEX(LAYOUT!$C$2:$C$33,MATCH(B45,LAYOUT!$A$2:$A$33,0)),0),"CEK lebar zona melebihi fixture","OK")))))</f>
        <v/>
      </c>
    </row>
    <row r="46">
      <c r="A46" s="15" t="n"/>
      <c r="B46" s="15" t="n"/>
      <c r="C46" s="16" t="n"/>
      <c r="D46" s="15" t="n"/>
      <c r="E46" s="16" t="n"/>
      <c r="F46" s="17" t="n"/>
      <c r="G46" s="15" t="n"/>
      <c r="H46" s="15" t="n"/>
      <c r="I46" s="16" t="n"/>
      <c r="J46" s="16" t="n"/>
      <c r="K46" s="16" t="n"/>
      <c r="L46" s="16" t="n"/>
      <c r="M46" s="16" t="n"/>
      <c r="N46" s="15" t="n"/>
      <c r="O46" s="16" t="n"/>
      <c r="P46" s="16" t="n"/>
      <c r="Q46" s="13">
        <f>IF(OR(B46="",C46=""),"",IFERROR(INDEX(LAYOUT!$E$2:$E$33,MATCH(B46&amp;"|"&amp;C46,LAYOUT!$F$2:$F$33,0)),"zona tidak ada di layout"))</f>
        <v/>
      </c>
      <c r="R46" s="14">
        <f>IF(F46="","",IF(OR(I46="",O46=""),0,I46*O46))</f>
        <v/>
      </c>
      <c r="S46" s="14">
        <f>IF(F46="","",SUMIFS($R$2:$R$500,$A$2:$A$500,A46,$C$2:$C$500,C46))</f>
        <v/>
      </c>
      <c r="T46" s="14">
        <f>IF(F46="","",IF(OR(G46="",I46="",J46=""),"CEK data SKU (nama/lebar/tinggi)",IF(COUNTIFS($F$2:$F$500,F46,$I$2:$I$500,"&lt;&gt;"&amp;I46)+COUNTIFS($F$2:$F$500,F46,$J$2:$J$500,"&lt;&gt;"&amp;J46)&gt;0,"CEK data SKU tidak konsisten",IF(Q46="zona tidak ada di layout","CEK zona_no / jenis_fixture",IF(D46&lt;&gt;Q46,"CEK jenis_zona",IF(S46&gt;IFERROR(INDEX(LAYOUT!$C$2:$C$33,MATCH(B46,LAYOUT!$A$2:$A$33,0)),0),"CEK lebar zona melebihi fixture","OK")))))</f>
        <v/>
      </c>
    </row>
    <row r="47">
      <c r="A47" s="15" t="n"/>
      <c r="B47" s="15" t="n"/>
      <c r="C47" s="16" t="n"/>
      <c r="D47" s="15" t="n"/>
      <c r="E47" s="16" t="n"/>
      <c r="F47" s="17" t="n"/>
      <c r="G47" s="15" t="n"/>
      <c r="H47" s="15" t="n"/>
      <c r="I47" s="16" t="n"/>
      <c r="J47" s="16" t="n"/>
      <c r="K47" s="16" t="n"/>
      <c r="L47" s="16" t="n"/>
      <c r="M47" s="16" t="n"/>
      <c r="N47" s="15" t="n"/>
      <c r="O47" s="16" t="n"/>
      <c r="P47" s="16" t="n"/>
      <c r="Q47" s="13">
        <f>IF(OR(B47="",C47=""),"",IFERROR(INDEX(LAYOUT!$E$2:$E$33,MATCH(B47&amp;"|"&amp;C47,LAYOUT!$F$2:$F$33,0)),"zona tidak ada di layout"))</f>
        <v/>
      </c>
      <c r="R47" s="14">
        <f>IF(F47="","",IF(OR(I47="",O47=""),0,I47*O47))</f>
        <v/>
      </c>
      <c r="S47" s="14">
        <f>IF(F47="","",SUMIFS($R$2:$R$500,$A$2:$A$500,A47,$C$2:$C$500,C47))</f>
        <v/>
      </c>
      <c r="T47" s="14">
        <f>IF(F47="","",IF(OR(G47="",I47="",J47=""),"CEK data SKU (nama/lebar/tinggi)",IF(COUNTIFS($F$2:$F$500,F47,$I$2:$I$500,"&lt;&gt;"&amp;I47)+COUNTIFS($F$2:$F$500,F47,$J$2:$J$500,"&lt;&gt;"&amp;J47)&gt;0,"CEK data SKU tidak konsisten",IF(Q47="zona tidak ada di layout","CEK zona_no / jenis_fixture",IF(D47&lt;&gt;Q47,"CEK jenis_zona",IF(S47&gt;IFERROR(INDEX(LAYOUT!$C$2:$C$33,MATCH(B47,LAYOUT!$A$2:$A$33,0)),0),"CEK lebar zona melebihi fixture","OK")))))</f>
        <v/>
      </c>
    </row>
    <row r="48">
      <c r="A48" s="15" t="n"/>
      <c r="B48" s="15" t="n"/>
      <c r="C48" s="16" t="n"/>
      <c r="D48" s="15" t="n"/>
      <c r="E48" s="16" t="n"/>
      <c r="F48" s="17" t="n"/>
      <c r="G48" s="15" t="n"/>
      <c r="H48" s="15" t="n"/>
      <c r="I48" s="16" t="n"/>
      <c r="J48" s="16" t="n"/>
      <c r="K48" s="16" t="n"/>
      <c r="L48" s="16" t="n"/>
      <c r="M48" s="16" t="n"/>
      <c r="N48" s="15" t="n"/>
      <c r="O48" s="16" t="n"/>
      <c r="P48" s="16" t="n"/>
      <c r="Q48" s="13">
        <f>IF(OR(B48="",C48=""),"",IFERROR(INDEX(LAYOUT!$E$2:$E$33,MATCH(B48&amp;"|"&amp;C48,LAYOUT!$F$2:$F$33,0)),"zona tidak ada di layout"))</f>
        <v/>
      </c>
      <c r="R48" s="14">
        <f>IF(F48="","",IF(OR(I48="",O48=""),0,I48*O48))</f>
        <v/>
      </c>
      <c r="S48" s="14">
        <f>IF(F48="","",SUMIFS($R$2:$R$500,$A$2:$A$500,A48,$C$2:$C$500,C48))</f>
        <v/>
      </c>
      <c r="T48" s="14">
        <f>IF(F48="","",IF(OR(G48="",I48="",J48=""),"CEK data SKU (nama/lebar/tinggi)",IF(COUNTIFS($F$2:$F$500,F48,$I$2:$I$500,"&lt;&gt;"&amp;I48)+COUNTIFS($F$2:$F$500,F48,$J$2:$J$500,"&lt;&gt;"&amp;J48)&gt;0,"CEK data SKU tidak konsisten",IF(Q48="zona tidak ada di layout","CEK zona_no / jenis_fixture",IF(D48&lt;&gt;Q48,"CEK jenis_zona",IF(S48&gt;IFERROR(INDEX(LAYOUT!$C$2:$C$33,MATCH(B48,LAYOUT!$A$2:$A$33,0)),0),"CEK lebar zona melebihi fixture","OK")))))</f>
        <v/>
      </c>
    </row>
    <row r="49">
      <c r="A49" s="15" t="n"/>
      <c r="B49" s="15" t="n"/>
      <c r="C49" s="16" t="n"/>
      <c r="D49" s="15" t="n"/>
      <c r="E49" s="16" t="n"/>
      <c r="F49" s="17" t="n"/>
      <c r="G49" s="15" t="n"/>
      <c r="H49" s="15" t="n"/>
      <c r="I49" s="16" t="n"/>
      <c r="J49" s="16" t="n"/>
      <c r="K49" s="16" t="n"/>
      <c r="L49" s="16" t="n"/>
      <c r="M49" s="16" t="n"/>
      <c r="N49" s="15" t="n"/>
      <c r="O49" s="16" t="n"/>
      <c r="P49" s="16" t="n"/>
      <c r="Q49" s="13">
        <f>IF(OR(B49="",C49=""),"",IFERROR(INDEX(LAYOUT!$E$2:$E$33,MATCH(B49&amp;"|"&amp;C49,LAYOUT!$F$2:$F$33,0)),"zona tidak ada di layout"))</f>
        <v/>
      </c>
      <c r="R49" s="14">
        <f>IF(F49="","",IF(OR(I49="",O49=""),0,I49*O49))</f>
        <v/>
      </c>
      <c r="S49" s="14">
        <f>IF(F49="","",SUMIFS($R$2:$R$500,$A$2:$A$500,A49,$C$2:$C$500,C49))</f>
        <v/>
      </c>
      <c r="T49" s="14">
        <f>IF(F49="","",IF(OR(G49="",I49="",J49=""),"CEK data SKU (nama/lebar/tinggi)",IF(COUNTIFS($F$2:$F$500,F49,$I$2:$I$500,"&lt;&gt;"&amp;I49)+COUNTIFS($F$2:$F$500,F49,$J$2:$J$500,"&lt;&gt;"&amp;J49)&gt;0,"CEK data SKU tidak konsisten",IF(Q49="zona tidak ada di layout","CEK zona_no / jenis_fixture",IF(D49&lt;&gt;Q49,"CEK jenis_zona",IF(S49&gt;IFERROR(INDEX(LAYOUT!$C$2:$C$33,MATCH(B49,LAYOUT!$A$2:$A$33,0)),0),"CEK lebar zona melebihi fixture","OK")))))</f>
        <v/>
      </c>
    </row>
    <row r="50">
      <c r="A50" s="15" t="n"/>
      <c r="B50" s="15" t="n"/>
      <c r="C50" s="16" t="n"/>
      <c r="D50" s="15" t="n"/>
      <c r="E50" s="16" t="n"/>
      <c r="F50" s="17" t="n"/>
      <c r="G50" s="15" t="n"/>
      <c r="H50" s="15" t="n"/>
      <c r="I50" s="16" t="n"/>
      <c r="J50" s="16" t="n"/>
      <c r="K50" s="16" t="n"/>
      <c r="L50" s="16" t="n"/>
      <c r="M50" s="16" t="n"/>
      <c r="N50" s="15" t="n"/>
      <c r="O50" s="16" t="n"/>
      <c r="P50" s="16" t="n"/>
      <c r="Q50" s="13">
        <f>IF(OR(B50="",C50=""),"",IFERROR(INDEX(LAYOUT!$E$2:$E$33,MATCH(B50&amp;"|"&amp;C50,LAYOUT!$F$2:$F$33,0)),"zona tidak ada di layout"))</f>
        <v/>
      </c>
      <c r="R50" s="14">
        <f>IF(F50="","",IF(OR(I50="",O50=""),0,I50*O50))</f>
        <v/>
      </c>
      <c r="S50" s="14">
        <f>IF(F50="","",SUMIFS($R$2:$R$500,$A$2:$A$500,A50,$C$2:$C$500,C50))</f>
        <v/>
      </c>
      <c r="T50" s="14">
        <f>IF(F50="","",IF(OR(G50="",I50="",J50=""),"CEK data SKU (nama/lebar/tinggi)",IF(COUNTIFS($F$2:$F$500,F50,$I$2:$I$500,"&lt;&gt;"&amp;I50)+COUNTIFS($F$2:$F$500,F50,$J$2:$J$500,"&lt;&gt;"&amp;J50)&gt;0,"CEK data SKU tidak konsisten",IF(Q50="zona tidak ada di layout","CEK zona_no / jenis_fixture",IF(D50&lt;&gt;Q50,"CEK jenis_zona",IF(S50&gt;IFERROR(INDEX(LAYOUT!$C$2:$C$33,MATCH(B50,LAYOUT!$A$2:$A$33,0)),0),"CEK lebar zona melebihi fixture","OK")))))</f>
        <v/>
      </c>
    </row>
    <row r="51">
      <c r="A51" s="15" t="n"/>
      <c r="B51" s="15" t="n"/>
      <c r="C51" s="16" t="n"/>
      <c r="D51" s="15" t="n"/>
      <c r="E51" s="16" t="n"/>
      <c r="F51" s="17" t="n"/>
      <c r="G51" s="15" t="n"/>
      <c r="H51" s="15" t="n"/>
      <c r="I51" s="16" t="n"/>
      <c r="J51" s="16" t="n"/>
      <c r="K51" s="16" t="n"/>
      <c r="L51" s="16" t="n"/>
      <c r="M51" s="16" t="n"/>
      <c r="N51" s="15" t="n"/>
      <c r="O51" s="16" t="n"/>
      <c r="P51" s="16" t="n"/>
      <c r="Q51" s="13">
        <f>IF(OR(B51="",C51=""),"",IFERROR(INDEX(LAYOUT!$E$2:$E$33,MATCH(B51&amp;"|"&amp;C51,LAYOUT!$F$2:$F$33,0)),"zona tidak ada di layout"))</f>
        <v/>
      </c>
      <c r="R51" s="14">
        <f>IF(F51="","",IF(OR(I51="",O51=""),0,I51*O51))</f>
        <v/>
      </c>
      <c r="S51" s="14">
        <f>IF(F51="","",SUMIFS($R$2:$R$500,$A$2:$A$500,A51,$C$2:$C$500,C51))</f>
        <v/>
      </c>
      <c r="T51" s="14">
        <f>IF(F51="","",IF(OR(G51="",I51="",J51=""),"CEK data SKU (nama/lebar/tinggi)",IF(COUNTIFS($F$2:$F$500,F51,$I$2:$I$500,"&lt;&gt;"&amp;I51)+COUNTIFS($F$2:$F$500,F51,$J$2:$J$500,"&lt;&gt;"&amp;J51)&gt;0,"CEK data SKU tidak konsisten",IF(Q51="zona tidak ada di layout","CEK zona_no / jenis_fixture",IF(D51&lt;&gt;Q51,"CEK jenis_zona",IF(S51&gt;IFERROR(INDEX(LAYOUT!$C$2:$C$33,MATCH(B51,LAYOUT!$A$2:$A$33,0)),0),"CEK lebar zona melebihi fixture","OK")))))</f>
        <v/>
      </c>
    </row>
    <row r="52">
      <c r="A52" s="15" t="n"/>
      <c r="B52" s="15" t="n"/>
      <c r="C52" s="16" t="n"/>
      <c r="D52" s="15" t="n"/>
      <c r="E52" s="16" t="n"/>
      <c r="F52" s="17" t="n"/>
      <c r="G52" s="15" t="n"/>
      <c r="H52" s="15" t="n"/>
      <c r="I52" s="16" t="n"/>
      <c r="J52" s="16" t="n"/>
      <c r="K52" s="16" t="n"/>
      <c r="L52" s="16" t="n"/>
      <c r="M52" s="16" t="n"/>
      <c r="N52" s="15" t="n"/>
      <c r="O52" s="16" t="n"/>
      <c r="P52" s="16" t="n"/>
      <c r="Q52" s="13">
        <f>IF(OR(B52="",C52=""),"",IFERROR(INDEX(LAYOUT!$E$2:$E$33,MATCH(B52&amp;"|"&amp;C52,LAYOUT!$F$2:$F$33,0)),"zona tidak ada di layout"))</f>
        <v/>
      </c>
      <c r="R52" s="14">
        <f>IF(F52="","",IF(OR(I52="",O52=""),0,I52*O52))</f>
        <v/>
      </c>
      <c r="S52" s="14">
        <f>IF(F52="","",SUMIFS($R$2:$R$500,$A$2:$A$500,A52,$C$2:$C$500,C52))</f>
        <v/>
      </c>
      <c r="T52" s="14">
        <f>IF(F52="","",IF(OR(G52="",I52="",J52=""),"CEK data SKU (nama/lebar/tinggi)",IF(COUNTIFS($F$2:$F$500,F52,$I$2:$I$500,"&lt;&gt;"&amp;I52)+COUNTIFS($F$2:$F$500,F52,$J$2:$J$500,"&lt;&gt;"&amp;J52)&gt;0,"CEK data SKU tidak konsisten",IF(Q52="zona tidak ada di layout","CEK zona_no / jenis_fixture",IF(D52&lt;&gt;Q52,"CEK jenis_zona",IF(S52&gt;IFERROR(INDEX(LAYOUT!$C$2:$C$33,MATCH(B52,LAYOUT!$A$2:$A$33,0)),0),"CEK lebar zona melebihi fixture","OK")))))</f>
        <v/>
      </c>
    </row>
    <row r="53">
      <c r="A53" s="15" t="n"/>
      <c r="B53" s="15" t="n"/>
      <c r="C53" s="16" t="n"/>
      <c r="D53" s="15" t="n"/>
      <c r="E53" s="16" t="n"/>
      <c r="F53" s="17" t="n"/>
      <c r="G53" s="15" t="n"/>
      <c r="H53" s="15" t="n"/>
      <c r="I53" s="16" t="n"/>
      <c r="J53" s="16" t="n"/>
      <c r="K53" s="16" t="n"/>
      <c r="L53" s="16" t="n"/>
      <c r="M53" s="16" t="n"/>
      <c r="N53" s="15" t="n"/>
      <c r="O53" s="16" t="n"/>
      <c r="P53" s="16" t="n"/>
      <c r="Q53" s="13">
        <f>IF(OR(B53="",C53=""),"",IFERROR(INDEX(LAYOUT!$E$2:$E$33,MATCH(B53&amp;"|"&amp;C53,LAYOUT!$F$2:$F$33,0)),"zona tidak ada di layout"))</f>
        <v/>
      </c>
      <c r="R53" s="14">
        <f>IF(F53="","",IF(OR(I53="",O53=""),0,I53*O53))</f>
        <v/>
      </c>
      <c r="S53" s="14">
        <f>IF(F53="","",SUMIFS($R$2:$R$500,$A$2:$A$500,A53,$C$2:$C$500,C53))</f>
        <v/>
      </c>
      <c r="T53" s="14">
        <f>IF(F53="","",IF(OR(G53="",I53="",J53=""),"CEK data SKU (nama/lebar/tinggi)",IF(COUNTIFS($F$2:$F$500,F53,$I$2:$I$500,"&lt;&gt;"&amp;I53)+COUNTIFS($F$2:$F$500,F53,$J$2:$J$500,"&lt;&gt;"&amp;J53)&gt;0,"CEK data SKU tidak konsisten",IF(Q53="zona tidak ada di layout","CEK zona_no / jenis_fixture",IF(D53&lt;&gt;Q53,"CEK jenis_zona",IF(S53&gt;IFERROR(INDEX(LAYOUT!$C$2:$C$33,MATCH(B53,LAYOUT!$A$2:$A$33,0)),0),"CEK lebar zona melebihi fixture","OK")))))</f>
        <v/>
      </c>
    </row>
    <row r="54">
      <c r="A54" s="15" t="n"/>
      <c r="B54" s="15" t="n"/>
      <c r="C54" s="16" t="n"/>
      <c r="D54" s="15" t="n"/>
      <c r="E54" s="16" t="n"/>
      <c r="F54" s="17" t="n"/>
      <c r="G54" s="15" t="n"/>
      <c r="H54" s="15" t="n"/>
      <c r="I54" s="16" t="n"/>
      <c r="J54" s="16" t="n"/>
      <c r="K54" s="16" t="n"/>
      <c r="L54" s="16" t="n"/>
      <c r="M54" s="16" t="n"/>
      <c r="N54" s="15" t="n"/>
      <c r="O54" s="16" t="n"/>
      <c r="P54" s="16" t="n"/>
      <c r="Q54" s="13">
        <f>IF(OR(B54="",C54=""),"",IFERROR(INDEX(LAYOUT!$E$2:$E$33,MATCH(B54&amp;"|"&amp;C54,LAYOUT!$F$2:$F$33,0)),"zona tidak ada di layout"))</f>
        <v/>
      </c>
      <c r="R54" s="14">
        <f>IF(F54="","",IF(OR(I54="",O54=""),0,I54*O54))</f>
        <v/>
      </c>
      <c r="S54" s="14">
        <f>IF(F54="","",SUMIFS($R$2:$R$500,$A$2:$A$500,A54,$C$2:$C$500,C54))</f>
        <v/>
      </c>
      <c r="T54" s="14">
        <f>IF(F54="","",IF(OR(G54="",I54="",J54=""),"CEK data SKU (nama/lebar/tinggi)",IF(COUNTIFS($F$2:$F$500,F54,$I$2:$I$500,"&lt;&gt;"&amp;I54)+COUNTIFS($F$2:$F$500,F54,$J$2:$J$500,"&lt;&gt;"&amp;J54)&gt;0,"CEK data SKU tidak konsisten",IF(Q54="zona tidak ada di layout","CEK zona_no / jenis_fixture",IF(D54&lt;&gt;Q54,"CEK jenis_zona",IF(S54&gt;IFERROR(INDEX(LAYOUT!$C$2:$C$33,MATCH(B54,LAYOUT!$A$2:$A$33,0)),0),"CEK lebar zona melebihi fixture","OK")))))</f>
        <v/>
      </c>
    </row>
    <row r="55">
      <c r="A55" s="15" t="n"/>
      <c r="B55" s="15" t="n"/>
      <c r="C55" s="16" t="n"/>
      <c r="D55" s="15" t="n"/>
      <c r="E55" s="16" t="n"/>
      <c r="F55" s="17" t="n"/>
      <c r="G55" s="15" t="n"/>
      <c r="H55" s="15" t="n"/>
      <c r="I55" s="16" t="n"/>
      <c r="J55" s="16" t="n"/>
      <c r="K55" s="16" t="n"/>
      <c r="L55" s="16" t="n"/>
      <c r="M55" s="16" t="n"/>
      <c r="N55" s="15" t="n"/>
      <c r="O55" s="16" t="n"/>
      <c r="P55" s="16" t="n"/>
      <c r="Q55" s="13">
        <f>IF(OR(B55="",C55=""),"",IFERROR(INDEX(LAYOUT!$E$2:$E$33,MATCH(B55&amp;"|"&amp;C55,LAYOUT!$F$2:$F$33,0)),"zona tidak ada di layout"))</f>
        <v/>
      </c>
      <c r="R55" s="14">
        <f>IF(F55="","",IF(OR(I55="",O55=""),0,I55*O55))</f>
        <v/>
      </c>
      <c r="S55" s="14">
        <f>IF(F55="","",SUMIFS($R$2:$R$500,$A$2:$A$500,A55,$C$2:$C$500,C55))</f>
        <v/>
      </c>
      <c r="T55" s="14">
        <f>IF(F55="","",IF(OR(G55="",I55="",J55=""),"CEK data SKU (nama/lebar/tinggi)",IF(COUNTIFS($F$2:$F$500,F55,$I$2:$I$500,"&lt;&gt;"&amp;I55)+COUNTIFS($F$2:$F$500,F55,$J$2:$J$500,"&lt;&gt;"&amp;J55)&gt;0,"CEK data SKU tidak konsisten",IF(Q55="zona tidak ada di layout","CEK zona_no / jenis_fixture",IF(D55&lt;&gt;Q55,"CEK jenis_zona",IF(S55&gt;IFERROR(INDEX(LAYOUT!$C$2:$C$33,MATCH(B55,LAYOUT!$A$2:$A$33,0)),0),"CEK lebar zona melebihi fixture","OK")))))</f>
        <v/>
      </c>
    </row>
    <row r="56">
      <c r="A56" s="15" t="n"/>
      <c r="B56" s="15" t="n"/>
      <c r="C56" s="16" t="n"/>
      <c r="D56" s="15" t="n"/>
      <c r="E56" s="16" t="n"/>
      <c r="F56" s="17" t="n"/>
      <c r="G56" s="15" t="n"/>
      <c r="H56" s="15" t="n"/>
      <c r="I56" s="16" t="n"/>
      <c r="J56" s="16" t="n"/>
      <c r="K56" s="16" t="n"/>
      <c r="L56" s="16" t="n"/>
      <c r="M56" s="16" t="n"/>
      <c r="N56" s="15" t="n"/>
      <c r="O56" s="16" t="n"/>
      <c r="P56" s="16" t="n"/>
      <c r="Q56" s="13">
        <f>IF(OR(B56="",C56=""),"",IFERROR(INDEX(LAYOUT!$E$2:$E$33,MATCH(B56&amp;"|"&amp;C56,LAYOUT!$F$2:$F$33,0)),"zona tidak ada di layout"))</f>
        <v/>
      </c>
      <c r="R56" s="14">
        <f>IF(F56="","",IF(OR(I56="",O56=""),0,I56*O56))</f>
        <v/>
      </c>
      <c r="S56" s="14">
        <f>IF(F56="","",SUMIFS($R$2:$R$500,$A$2:$A$500,A56,$C$2:$C$500,C56))</f>
        <v/>
      </c>
      <c r="T56" s="14">
        <f>IF(F56="","",IF(OR(G56="",I56="",J56=""),"CEK data SKU (nama/lebar/tinggi)",IF(COUNTIFS($F$2:$F$500,F56,$I$2:$I$500,"&lt;&gt;"&amp;I56)+COUNTIFS($F$2:$F$500,F56,$J$2:$J$500,"&lt;&gt;"&amp;J56)&gt;0,"CEK data SKU tidak konsisten",IF(Q56="zona tidak ada di layout","CEK zona_no / jenis_fixture",IF(D56&lt;&gt;Q56,"CEK jenis_zona",IF(S56&gt;IFERROR(INDEX(LAYOUT!$C$2:$C$33,MATCH(B56,LAYOUT!$A$2:$A$33,0)),0),"CEK lebar zona melebihi fixture","OK")))))</f>
        <v/>
      </c>
    </row>
    <row r="57">
      <c r="A57" s="15" t="n"/>
      <c r="B57" s="15" t="n"/>
      <c r="C57" s="16" t="n"/>
      <c r="D57" s="15" t="n"/>
      <c r="E57" s="16" t="n"/>
      <c r="F57" s="17" t="n"/>
      <c r="G57" s="15" t="n"/>
      <c r="H57" s="15" t="n"/>
      <c r="I57" s="16" t="n"/>
      <c r="J57" s="16" t="n"/>
      <c r="K57" s="16" t="n"/>
      <c r="L57" s="16" t="n"/>
      <c r="M57" s="16" t="n"/>
      <c r="N57" s="15" t="n"/>
      <c r="O57" s="16" t="n"/>
      <c r="P57" s="16" t="n"/>
      <c r="Q57" s="13">
        <f>IF(OR(B57="",C57=""),"",IFERROR(INDEX(LAYOUT!$E$2:$E$33,MATCH(B57&amp;"|"&amp;C57,LAYOUT!$F$2:$F$33,0)),"zona tidak ada di layout"))</f>
        <v/>
      </c>
      <c r="R57" s="14">
        <f>IF(F57="","",IF(OR(I57="",O57=""),0,I57*O57))</f>
        <v/>
      </c>
      <c r="S57" s="14">
        <f>IF(F57="","",SUMIFS($R$2:$R$500,$A$2:$A$500,A57,$C$2:$C$500,C57))</f>
        <v/>
      </c>
      <c r="T57" s="14">
        <f>IF(F57="","",IF(OR(G57="",I57="",J57=""),"CEK data SKU (nama/lebar/tinggi)",IF(COUNTIFS($F$2:$F$500,F57,$I$2:$I$500,"&lt;&gt;"&amp;I57)+COUNTIFS($F$2:$F$500,F57,$J$2:$J$500,"&lt;&gt;"&amp;J57)&gt;0,"CEK data SKU tidak konsisten",IF(Q57="zona tidak ada di layout","CEK zona_no / jenis_fixture",IF(D57&lt;&gt;Q57,"CEK jenis_zona",IF(S57&gt;IFERROR(INDEX(LAYOUT!$C$2:$C$33,MATCH(B57,LAYOUT!$A$2:$A$33,0)),0),"CEK lebar zona melebihi fixture","OK")))))</f>
        <v/>
      </c>
    </row>
    <row r="58">
      <c r="A58" s="15" t="n"/>
      <c r="B58" s="15" t="n"/>
      <c r="C58" s="16" t="n"/>
      <c r="D58" s="15" t="n"/>
      <c r="E58" s="16" t="n"/>
      <c r="F58" s="17" t="n"/>
      <c r="G58" s="15" t="n"/>
      <c r="H58" s="15" t="n"/>
      <c r="I58" s="16" t="n"/>
      <c r="J58" s="16" t="n"/>
      <c r="K58" s="16" t="n"/>
      <c r="L58" s="16" t="n"/>
      <c r="M58" s="16" t="n"/>
      <c r="N58" s="15" t="n"/>
      <c r="O58" s="16" t="n"/>
      <c r="P58" s="16" t="n"/>
      <c r="Q58" s="13">
        <f>IF(OR(B58="",C58=""),"",IFERROR(INDEX(LAYOUT!$E$2:$E$33,MATCH(B58&amp;"|"&amp;C58,LAYOUT!$F$2:$F$33,0)),"zona tidak ada di layout"))</f>
        <v/>
      </c>
      <c r="R58" s="14">
        <f>IF(F58="","",IF(OR(I58="",O58=""),0,I58*O58))</f>
        <v/>
      </c>
      <c r="S58" s="14">
        <f>IF(F58="","",SUMIFS($R$2:$R$500,$A$2:$A$500,A58,$C$2:$C$500,C58))</f>
        <v/>
      </c>
      <c r="T58" s="14">
        <f>IF(F58="","",IF(OR(G58="",I58="",J58=""),"CEK data SKU (nama/lebar/tinggi)",IF(COUNTIFS($F$2:$F$500,F58,$I$2:$I$500,"&lt;&gt;"&amp;I58)+COUNTIFS($F$2:$F$500,F58,$J$2:$J$500,"&lt;&gt;"&amp;J58)&gt;0,"CEK data SKU tidak konsisten",IF(Q58="zona tidak ada di layout","CEK zona_no / jenis_fixture",IF(D58&lt;&gt;Q58,"CEK jenis_zona",IF(S58&gt;IFERROR(INDEX(LAYOUT!$C$2:$C$33,MATCH(B58,LAYOUT!$A$2:$A$33,0)),0),"CEK lebar zona melebihi fixture","OK")))))</f>
        <v/>
      </c>
    </row>
    <row r="59">
      <c r="A59" s="15" t="n"/>
      <c r="B59" s="15" t="n"/>
      <c r="C59" s="16" t="n"/>
      <c r="D59" s="15" t="n"/>
      <c r="E59" s="16" t="n"/>
      <c r="F59" s="17" t="n"/>
      <c r="G59" s="15" t="n"/>
      <c r="H59" s="15" t="n"/>
      <c r="I59" s="16" t="n"/>
      <c r="J59" s="16" t="n"/>
      <c r="K59" s="16" t="n"/>
      <c r="L59" s="16" t="n"/>
      <c r="M59" s="16" t="n"/>
      <c r="N59" s="15" t="n"/>
      <c r="O59" s="16" t="n"/>
      <c r="P59" s="16" t="n"/>
      <c r="Q59" s="13">
        <f>IF(OR(B59="",C59=""),"",IFERROR(INDEX(LAYOUT!$E$2:$E$33,MATCH(B59&amp;"|"&amp;C59,LAYOUT!$F$2:$F$33,0)),"zona tidak ada di layout"))</f>
        <v/>
      </c>
      <c r="R59" s="14">
        <f>IF(F59="","",IF(OR(I59="",O59=""),0,I59*O59))</f>
        <v/>
      </c>
      <c r="S59" s="14">
        <f>IF(F59="","",SUMIFS($R$2:$R$500,$A$2:$A$500,A59,$C$2:$C$500,C59))</f>
        <v/>
      </c>
      <c r="T59" s="14">
        <f>IF(F59="","",IF(OR(G59="",I59="",J59=""),"CEK data SKU (nama/lebar/tinggi)",IF(COUNTIFS($F$2:$F$500,F59,$I$2:$I$500,"&lt;&gt;"&amp;I59)+COUNTIFS($F$2:$F$500,F59,$J$2:$J$500,"&lt;&gt;"&amp;J59)&gt;0,"CEK data SKU tidak konsisten",IF(Q59="zona tidak ada di layout","CEK zona_no / jenis_fixture",IF(D59&lt;&gt;Q59,"CEK jenis_zona",IF(S59&gt;IFERROR(INDEX(LAYOUT!$C$2:$C$33,MATCH(B59,LAYOUT!$A$2:$A$33,0)),0),"CEK lebar zona melebihi fixture","OK")))))</f>
        <v/>
      </c>
    </row>
    <row r="60">
      <c r="A60" s="15" t="n"/>
      <c r="B60" s="15" t="n"/>
      <c r="C60" s="16" t="n"/>
      <c r="D60" s="15" t="n"/>
      <c r="E60" s="16" t="n"/>
      <c r="F60" s="17" t="n"/>
      <c r="G60" s="15" t="n"/>
      <c r="H60" s="15" t="n"/>
      <c r="I60" s="16" t="n"/>
      <c r="J60" s="16" t="n"/>
      <c r="K60" s="16" t="n"/>
      <c r="L60" s="16" t="n"/>
      <c r="M60" s="16" t="n"/>
      <c r="N60" s="15" t="n"/>
      <c r="O60" s="16" t="n"/>
      <c r="P60" s="16" t="n"/>
      <c r="Q60" s="13">
        <f>IF(OR(B60="",C60=""),"",IFERROR(INDEX(LAYOUT!$E$2:$E$33,MATCH(B60&amp;"|"&amp;C60,LAYOUT!$F$2:$F$33,0)),"zona tidak ada di layout"))</f>
        <v/>
      </c>
      <c r="R60" s="14">
        <f>IF(F60="","",IF(OR(I60="",O60=""),0,I60*O60))</f>
        <v/>
      </c>
      <c r="S60" s="14">
        <f>IF(F60="","",SUMIFS($R$2:$R$500,$A$2:$A$500,A60,$C$2:$C$500,C60))</f>
        <v/>
      </c>
      <c r="T60" s="14">
        <f>IF(F60="","",IF(OR(G60="",I60="",J60=""),"CEK data SKU (nama/lebar/tinggi)",IF(COUNTIFS($F$2:$F$500,F60,$I$2:$I$500,"&lt;&gt;"&amp;I60)+COUNTIFS($F$2:$F$500,F60,$J$2:$J$500,"&lt;&gt;"&amp;J60)&gt;0,"CEK data SKU tidak konsisten",IF(Q60="zona tidak ada di layout","CEK zona_no / jenis_fixture",IF(D60&lt;&gt;Q60,"CEK jenis_zona",IF(S60&gt;IFERROR(INDEX(LAYOUT!$C$2:$C$33,MATCH(B60,LAYOUT!$A$2:$A$33,0)),0),"CEK lebar zona melebihi fixture","OK")))))</f>
        <v/>
      </c>
    </row>
    <row r="61">
      <c r="A61" s="15" t="n"/>
      <c r="B61" s="15" t="n"/>
      <c r="C61" s="16" t="n"/>
      <c r="D61" s="15" t="n"/>
      <c r="E61" s="16" t="n"/>
      <c r="F61" s="17" t="n"/>
      <c r="G61" s="15" t="n"/>
      <c r="H61" s="15" t="n"/>
      <c r="I61" s="16" t="n"/>
      <c r="J61" s="16" t="n"/>
      <c r="K61" s="16" t="n"/>
      <c r="L61" s="16" t="n"/>
      <c r="M61" s="16" t="n"/>
      <c r="N61" s="15" t="n"/>
      <c r="O61" s="16" t="n"/>
      <c r="P61" s="16" t="n"/>
      <c r="Q61" s="13">
        <f>IF(OR(B61="",C61=""),"",IFERROR(INDEX(LAYOUT!$E$2:$E$33,MATCH(B61&amp;"|"&amp;C61,LAYOUT!$F$2:$F$33,0)),"zona tidak ada di layout"))</f>
        <v/>
      </c>
      <c r="R61" s="14">
        <f>IF(F61="","",IF(OR(I61="",O61=""),0,I61*O61))</f>
        <v/>
      </c>
      <c r="S61" s="14">
        <f>IF(F61="","",SUMIFS($R$2:$R$500,$A$2:$A$500,A61,$C$2:$C$500,C61))</f>
        <v/>
      </c>
      <c r="T61" s="14">
        <f>IF(F61="","",IF(OR(G61="",I61="",J61=""),"CEK data SKU (nama/lebar/tinggi)",IF(COUNTIFS($F$2:$F$500,F61,$I$2:$I$500,"&lt;&gt;"&amp;I61)+COUNTIFS($F$2:$F$500,F61,$J$2:$J$500,"&lt;&gt;"&amp;J61)&gt;0,"CEK data SKU tidak konsisten",IF(Q61="zona tidak ada di layout","CEK zona_no / jenis_fixture",IF(D61&lt;&gt;Q61,"CEK jenis_zona",IF(S61&gt;IFERROR(INDEX(LAYOUT!$C$2:$C$33,MATCH(B61,LAYOUT!$A$2:$A$33,0)),0),"CEK lebar zona melebihi fixture","OK")))))</f>
        <v/>
      </c>
    </row>
    <row r="62">
      <c r="A62" s="15" t="n"/>
      <c r="B62" s="15" t="n"/>
      <c r="C62" s="16" t="n"/>
      <c r="D62" s="15" t="n"/>
      <c r="E62" s="16" t="n"/>
      <c r="F62" s="17" t="n"/>
      <c r="G62" s="15" t="n"/>
      <c r="H62" s="15" t="n"/>
      <c r="I62" s="16" t="n"/>
      <c r="J62" s="16" t="n"/>
      <c r="K62" s="16" t="n"/>
      <c r="L62" s="16" t="n"/>
      <c r="M62" s="16" t="n"/>
      <c r="N62" s="15" t="n"/>
      <c r="O62" s="16" t="n"/>
      <c r="P62" s="16" t="n"/>
      <c r="Q62" s="13">
        <f>IF(OR(B62="",C62=""),"",IFERROR(INDEX(LAYOUT!$E$2:$E$33,MATCH(B62&amp;"|"&amp;C62,LAYOUT!$F$2:$F$33,0)),"zona tidak ada di layout"))</f>
        <v/>
      </c>
      <c r="R62" s="14">
        <f>IF(F62="","",IF(OR(I62="",O62=""),0,I62*O62))</f>
        <v/>
      </c>
      <c r="S62" s="14">
        <f>IF(F62="","",SUMIFS($R$2:$R$500,$A$2:$A$500,A62,$C$2:$C$500,C62))</f>
        <v/>
      </c>
      <c r="T62" s="14">
        <f>IF(F62="","",IF(OR(G62="",I62="",J62=""),"CEK data SKU (nama/lebar/tinggi)",IF(COUNTIFS($F$2:$F$500,F62,$I$2:$I$500,"&lt;&gt;"&amp;I62)+COUNTIFS($F$2:$F$500,F62,$J$2:$J$500,"&lt;&gt;"&amp;J62)&gt;0,"CEK data SKU tidak konsisten",IF(Q62="zona tidak ada di layout","CEK zona_no / jenis_fixture",IF(D62&lt;&gt;Q62,"CEK jenis_zona",IF(S62&gt;IFERROR(INDEX(LAYOUT!$C$2:$C$33,MATCH(B62,LAYOUT!$A$2:$A$33,0)),0),"CEK lebar zona melebihi fixture","OK")))))</f>
        <v/>
      </c>
    </row>
    <row r="63">
      <c r="A63" s="15" t="n"/>
      <c r="B63" s="15" t="n"/>
      <c r="C63" s="16" t="n"/>
      <c r="D63" s="15" t="n"/>
      <c r="E63" s="16" t="n"/>
      <c r="F63" s="17" t="n"/>
      <c r="G63" s="15" t="n"/>
      <c r="H63" s="15" t="n"/>
      <c r="I63" s="16" t="n"/>
      <c r="J63" s="16" t="n"/>
      <c r="K63" s="16" t="n"/>
      <c r="L63" s="16" t="n"/>
      <c r="M63" s="16" t="n"/>
      <c r="N63" s="15" t="n"/>
      <c r="O63" s="16" t="n"/>
      <c r="P63" s="16" t="n"/>
      <c r="Q63" s="13">
        <f>IF(OR(B63="",C63=""),"",IFERROR(INDEX(LAYOUT!$E$2:$E$33,MATCH(B63&amp;"|"&amp;C63,LAYOUT!$F$2:$F$33,0)),"zona tidak ada di layout"))</f>
        <v/>
      </c>
      <c r="R63" s="14">
        <f>IF(F63="","",IF(OR(I63="",O63=""),0,I63*O63))</f>
        <v/>
      </c>
      <c r="S63" s="14">
        <f>IF(F63="","",SUMIFS($R$2:$R$500,$A$2:$A$500,A63,$C$2:$C$500,C63))</f>
        <v/>
      </c>
      <c r="T63" s="14">
        <f>IF(F63="","",IF(OR(G63="",I63="",J63=""),"CEK data SKU (nama/lebar/tinggi)",IF(COUNTIFS($F$2:$F$500,F63,$I$2:$I$500,"&lt;&gt;"&amp;I63)+COUNTIFS($F$2:$F$500,F63,$J$2:$J$500,"&lt;&gt;"&amp;J63)&gt;0,"CEK data SKU tidak konsisten",IF(Q63="zona tidak ada di layout","CEK zona_no / jenis_fixture",IF(D63&lt;&gt;Q63,"CEK jenis_zona",IF(S63&gt;IFERROR(INDEX(LAYOUT!$C$2:$C$33,MATCH(B63,LAYOUT!$A$2:$A$33,0)),0),"CEK lebar zona melebihi fixture","OK")))))</f>
        <v/>
      </c>
    </row>
    <row r="64">
      <c r="A64" s="15" t="n"/>
      <c r="B64" s="15" t="n"/>
      <c r="C64" s="16" t="n"/>
      <c r="D64" s="15" t="n"/>
      <c r="E64" s="16" t="n"/>
      <c r="F64" s="17" t="n"/>
      <c r="G64" s="15" t="n"/>
      <c r="H64" s="15" t="n"/>
      <c r="I64" s="16" t="n"/>
      <c r="J64" s="16" t="n"/>
      <c r="K64" s="16" t="n"/>
      <c r="L64" s="16" t="n"/>
      <c r="M64" s="16" t="n"/>
      <c r="N64" s="15" t="n"/>
      <c r="O64" s="16" t="n"/>
      <c r="P64" s="16" t="n"/>
      <c r="Q64" s="13">
        <f>IF(OR(B64="",C64=""),"",IFERROR(INDEX(LAYOUT!$E$2:$E$33,MATCH(B64&amp;"|"&amp;C64,LAYOUT!$F$2:$F$33,0)),"zona tidak ada di layout"))</f>
        <v/>
      </c>
      <c r="R64" s="14">
        <f>IF(F64="","",IF(OR(I64="",O64=""),0,I64*O64))</f>
        <v/>
      </c>
      <c r="S64" s="14">
        <f>IF(F64="","",SUMIFS($R$2:$R$500,$A$2:$A$500,A64,$C$2:$C$500,C64))</f>
        <v/>
      </c>
      <c r="T64" s="14">
        <f>IF(F64="","",IF(OR(G64="",I64="",J64=""),"CEK data SKU (nama/lebar/tinggi)",IF(COUNTIFS($F$2:$F$500,F64,$I$2:$I$500,"&lt;&gt;"&amp;I64)+COUNTIFS($F$2:$F$500,F64,$J$2:$J$500,"&lt;&gt;"&amp;J64)&gt;0,"CEK data SKU tidak konsisten",IF(Q64="zona tidak ada di layout","CEK zona_no / jenis_fixture",IF(D64&lt;&gt;Q64,"CEK jenis_zona",IF(S64&gt;IFERROR(INDEX(LAYOUT!$C$2:$C$33,MATCH(B64,LAYOUT!$A$2:$A$33,0)),0),"CEK lebar zona melebihi fixture","OK")))))</f>
        <v/>
      </c>
    </row>
    <row r="65">
      <c r="A65" s="15" t="n"/>
      <c r="B65" s="15" t="n"/>
      <c r="C65" s="16" t="n"/>
      <c r="D65" s="15" t="n"/>
      <c r="E65" s="16" t="n"/>
      <c r="F65" s="17" t="n"/>
      <c r="G65" s="15" t="n"/>
      <c r="H65" s="15" t="n"/>
      <c r="I65" s="16" t="n"/>
      <c r="J65" s="16" t="n"/>
      <c r="K65" s="16" t="n"/>
      <c r="L65" s="16" t="n"/>
      <c r="M65" s="16" t="n"/>
      <c r="N65" s="15" t="n"/>
      <c r="O65" s="16" t="n"/>
      <c r="P65" s="16" t="n"/>
      <c r="Q65" s="13">
        <f>IF(OR(B65="",C65=""),"",IFERROR(INDEX(LAYOUT!$E$2:$E$33,MATCH(B65&amp;"|"&amp;C65,LAYOUT!$F$2:$F$33,0)),"zona tidak ada di layout"))</f>
        <v/>
      </c>
      <c r="R65" s="14">
        <f>IF(F65="","",IF(OR(I65="",O65=""),0,I65*O65))</f>
        <v/>
      </c>
      <c r="S65" s="14">
        <f>IF(F65="","",SUMIFS($R$2:$R$500,$A$2:$A$500,A65,$C$2:$C$500,C65))</f>
        <v/>
      </c>
      <c r="T65" s="14">
        <f>IF(F65="","",IF(OR(G65="",I65="",J65=""),"CEK data SKU (nama/lebar/tinggi)",IF(COUNTIFS($F$2:$F$500,F65,$I$2:$I$500,"&lt;&gt;"&amp;I65)+COUNTIFS($F$2:$F$500,F65,$J$2:$J$500,"&lt;&gt;"&amp;J65)&gt;0,"CEK data SKU tidak konsisten",IF(Q65="zona tidak ada di layout","CEK zona_no / jenis_fixture",IF(D65&lt;&gt;Q65,"CEK jenis_zona",IF(S65&gt;IFERROR(INDEX(LAYOUT!$C$2:$C$33,MATCH(B65,LAYOUT!$A$2:$A$33,0)),0),"CEK lebar zona melebihi fixture","OK")))))</f>
        <v/>
      </c>
    </row>
    <row r="66">
      <c r="A66" s="15" t="n"/>
      <c r="B66" s="15" t="n"/>
      <c r="C66" s="16" t="n"/>
      <c r="D66" s="15" t="n"/>
      <c r="E66" s="16" t="n"/>
      <c r="F66" s="17" t="n"/>
      <c r="G66" s="15" t="n"/>
      <c r="H66" s="15" t="n"/>
      <c r="I66" s="16" t="n"/>
      <c r="J66" s="16" t="n"/>
      <c r="K66" s="16" t="n"/>
      <c r="L66" s="16" t="n"/>
      <c r="M66" s="16" t="n"/>
      <c r="N66" s="15" t="n"/>
      <c r="O66" s="16" t="n"/>
      <c r="P66" s="16" t="n"/>
      <c r="Q66" s="13">
        <f>IF(OR(B66="",C66=""),"",IFERROR(INDEX(LAYOUT!$E$2:$E$33,MATCH(B66&amp;"|"&amp;C66,LAYOUT!$F$2:$F$33,0)),"zona tidak ada di layout"))</f>
        <v/>
      </c>
      <c r="R66" s="14">
        <f>IF(F66="","",IF(OR(I66="",O66=""),0,I66*O66))</f>
        <v/>
      </c>
      <c r="S66" s="14">
        <f>IF(F66="","",SUMIFS($R$2:$R$500,$A$2:$A$500,A66,$C$2:$C$500,C66))</f>
        <v/>
      </c>
      <c r="T66" s="14">
        <f>IF(F66="","",IF(OR(G66="",I66="",J66=""),"CEK data SKU (nama/lebar/tinggi)",IF(COUNTIFS($F$2:$F$500,F66,$I$2:$I$500,"&lt;&gt;"&amp;I66)+COUNTIFS($F$2:$F$500,F66,$J$2:$J$500,"&lt;&gt;"&amp;J66)&gt;0,"CEK data SKU tidak konsisten",IF(Q66="zona tidak ada di layout","CEK zona_no / jenis_fixture",IF(D66&lt;&gt;Q66,"CEK jenis_zona",IF(S66&gt;IFERROR(INDEX(LAYOUT!$C$2:$C$33,MATCH(B66,LAYOUT!$A$2:$A$33,0)),0),"CEK lebar zona melebihi fixture","OK")))))</f>
        <v/>
      </c>
    </row>
    <row r="67">
      <c r="A67" s="15" t="n"/>
      <c r="B67" s="15" t="n"/>
      <c r="C67" s="16" t="n"/>
      <c r="D67" s="15" t="n"/>
      <c r="E67" s="16" t="n"/>
      <c r="F67" s="17" t="n"/>
      <c r="G67" s="15" t="n"/>
      <c r="H67" s="15" t="n"/>
      <c r="I67" s="16" t="n"/>
      <c r="J67" s="16" t="n"/>
      <c r="K67" s="16" t="n"/>
      <c r="L67" s="16" t="n"/>
      <c r="M67" s="16" t="n"/>
      <c r="N67" s="15" t="n"/>
      <c r="O67" s="16" t="n"/>
      <c r="P67" s="16" t="n"/>
      <c r="Q67" s="13">
        <f>IF(OR(B67="",C67=""),"",IFERROR(INDEX(LAYOUT!$E$2:$E$33,MATCH(B67&amp;"|"&amp;C67,LAYOUT!$F$2:$F$33,0)),"zona tidak ada di layout"))</f>
        <v/>
      </c>
      <c r="R67" s="14">
        <f>IF(F67="","",IF(OR(I67="",O67=""),0,I67*O67))</f>
        <v/>
      </c>
      <c r="S67" s="14">
        <f>IF(F67="","",SUMIFS($R$2:$R$500,$A$2:$A$500,A67,$C$2:$C$500,C67))</f>
        <v/>
      </c>
      <c r="T67" s="14">
        <f>IF(F67="","",IF(OR(G67="",I67="",J67=""),"CEK data SKU (nama/lebar/tinggi)",IF(COUNTIFS($F$2:$F$500,F67,$I$2:$I$500,"&lt;&gt;"&amp;I67)+COUNTIFS($F$2:$F$500,F67,$J$2:$J$500,"&lt;&gt;"&amp;J67)&gt;0,"CEK data SKU tidak konsisten",IF(Q67="zona tidak ada di layout","CEK zona_no / jenis_fixture",IF(D67&lt;&gt;Q67,"CEK jenis_zona",IF(S67&gt;IFERROR(INDEX(LAYOUT!$C$2:$C$33,MATCH(B67,LAYOUT!$A$2:$A$33,0)),0),"CEK lebar zona melebihi fixture","OK")))))</f>
        <v/>
      </c>
    </row>
    <row r="68">
      <c r="A68" s="15" t="n"/>
      <c r="B68" s="15" t="n"/>
      <c r="C68" s="16" t="n"/>
      <c r="D68" s="15" t="n"/>
      <c r="E68" s="16" t="n"/>
      <c r="F68" s="17" t="n"/>
      <c r="G68" s="15" t="n"/>
      <c r="H68" s="15" t="n"/>
      <c r="I68" s="16" t="n"/>
      <c r="J68" s="16" t="n"/>
      <c r="K68" s="16" t="n"/>
      <c r="L68" s="16" t="n"/>
      <c r="M68" s="16" t="n"/>
      <c r="N68" s="15" t="n"/>
      <c r="O68" s="16" t="n"/>
      <c r="P68" s="16" t="n"/>
      <c r="Q68" s="13">
        <f>IF(OR(B68="",C68=""),"",IFERROR(INDEX(LAYOUT!$E$2:$E$33,MATCH(B68&amp;"|"&amp;C68,LAYOUT!$F$2:$F$33,0)),"zona tidak ada di layout"))</f>
        <v/>
      </c>
      <c r="R68" s="14">
        <f>IF(F68="","",IF(OR(I68="",O68=""),0,I68*O68))</f>
        <v/>
      </c>
      <c r="S68" s="14">
        <f>IF(F68="","",SUMIFS($R$2:$R$500,$A$2:$A$500,A68,$C$2:$C$500,C68))</f>
        <v/>
      </c>
      <c r="T68" s="14">
        <f>IF(F68="","",IF(OR(G68="",I68="",J68=""),"CEK data SKU (nama/lebar/tinggi)",IF(COUNTIFS($F$2:$F$500,F68,$I$2:$I$500,"&lt;&gt;"&amp;I68)+COUNTIFS($F$2:$F$500,F68,$J$2:$J$500,"&lt;&gt;"&amp;J68)&gt;0,"CEK data SKU tidak konsisten",IF(Q68="zona tidak ada di layout","CEK zona_no / jenis_fixture",IF(D68&lt;&gt;Q68,"CEK jenis_zona",IF(S68&gt;IFERROR(INDEX(LAYOUT!$C$2:$C$33,MATCH(B68,LAYOUT!$A$2:$A$33,0)),0),"CEK lebar zona melebihi fixture","OK")))))</f>
        <v/>
      </c>
    </row>
    <row r="69">
      <c r="A69" s="15" t="n"/>
      <c r="B69" s="15" t="n"/>
      <c r="C69" s="16" t="n"/>
      <c r="D69" s="15" t="n"/>
      <c r="E69" s="16" t="n"/>
      <c r="F69" s="17" t="n"/>
      <c r="G69" s="15" t="n"/>
      <c r="H69" s="15" t="n"/>
      <c r="I69" s="16" t="n"/>
      <c r="J69" s="16" t="n"/>
      <c r="K69" s="16" t="n"/>
      <c r="L69" s="16" t="n"/>
      <c r="M69" s="16" t="n"/>
      <c r="N69" s="15" t="n"/>
      <c r="O69" s="16" t="n"/>
      <c r="P69" s="16" t="n"/>
      <c r="Q69" s="13">
        <f>IF(OR(B69="",C69=""),"",IFERROR(INDEX(LAYOUT!$E$2:$E$33,MATCH(B69&amp;"|"&amp;C69,LAYOUT!$F$2:$F$33,0)),"zona tidak ada di layout"))</f>
        <v/>
      </c>
      <c r="R69" s="14">
        <f>IF(F69="","",IF(OR(I69="",O69=""),0,I69*O69))</f>
        <v/>
      </c>
      <c r="S69" s="14">
        <f>IF(F69="","",SUMIFS($R$2:$R$500,$A$2:$A$500,A69,$C$2:$C$500,C69))</f>
        <v/>
      </c>
      <c r="T69" s="14">
        <f>IF(F69="","",IF(OR(G69="",I69="",J69=""),"CEK data SKU (nama/lebar/tinggi)",IF(COUNTIFS($F$2:$F$500,F69,$I$2:$I$500,"&lt;&gt;"&amp;I69)+COUNTIFS($F$2:$F$500,F69,$J$2:$J$500,"&lt;&gt;"&amp;J69)&gt;0,"CEK data SKU tidak konsisten",IF(Q69="zona tidak ada di layout","CEK zona_no / jenis_fixture",IF(D69&lt;&gt;Q69,"CEK jenis_zona",IF(S69&gt;IFERROR(INDEX(LAYOUT!$C$2:$C$33,MATCH(B69,LAYOUT!$A$2:$A$33,0)),0),"CEK lebar zona melebihi fixture","OK")))))</f>
        <v/>
      </c>
    </row>
    <row r="70">
      <c r="A70" s="15" t="n"/>
      <c r="B70" s="15" t="n"/>
      <c r="C70" s="16" t="n"/>
      <c r="D70" s="15" t="n"/>
      <c r="E70" s="16" t="n"/>
      <c r="F70" s="17" t="n"/>
      <c r="G70" s="15" t="n"/>
      <c r="H70" s="15" t="n"/>
      <c r="I70" s="16" t="n"/>
      <c r="J70" s="16" t="n"/>
      <c r="K70" s="16" t="n"/>
      <c r="L70" s="16" t="n"/>
      <c r="M70" s="16" t="n"/>
      <c r="N70" s="15" t="n"/>
      <c r="O70" s="16" t="n"/>
      <c r="P70" s="16" t="n"/>
      <c r="Q70" s="13">
        <f>IF(OR(B70="",C70=""),"",IFERROR(INDEX(LAYOUT!$E$2:$E$33,MATCH(B70&amp;"|"&amp;C70,LAYOUT!$F$2:$F$33,0)),"zona tidak ada di layout"))</f>
        <v/>
      </c>
      <c r="R70" s="14">
        <f>IF(F70="","",IF(OR(I70="",O70=""),0,I70*O70))</f>
        <v/>
      </c>
      <c r="S70" s="14">
        <f>IF(F70="","",SUMIFS($R$2:$R$500,$A$2:$A$500,A70,$C$2:$C$500,C70))</f>
        <v/>
      </c>
      <c r="T70" s="14">
        <f>IF(F70="","",IF(OR(G70="",I70="",J70=""),"CEK data SKU (nama/lebar/tinggi)",IF(COUNTIFS($F$2:$F$500,F70,$I$2:$I$500,"&lt;&gt;"&amp;I70)+COUNTIFS($F$2:$F$500,F70,$J$2:$J$500,"&lt;&gt;"&amp;J70)&gt;0,"CEK data SKU tidak konsisten",IF(Q70="zona tidak ada di layout","CEK zona_no / jenis_fixture",IF(D70&lt;&gt;Q70,"CEK jenis_zona",IF(S70&gt;IFERROR(INDEX(LAYOUT!$C$2:$C$33,MATCH(B70,LAYOUT!$A$2:$A$33,0)),0),"CEK lebar zona melebihi fixture","OK")))))</f>
        <v/>
      </c>
    </row>
    <row r="71">
      <c r="A71" s="15" t="n"/>
      <c r="B71" s="15" t="n"/>
      <c r="C71" s="16" t="n"/>
      <c r="D71" s="15" t="n"/>
      <c r="E71" s="16" t="n"/>
      <c r="F71" s="17" t="n"/>
      <c r="G71" s="15" t="n"/>
      <c r="H71" s="15" t="n"/>
      <c r="I71" s="16" t="n"/>
      <c r="J71" s="16" t="n"/>
      <c r="K71" s="16" t="n"/>
      <c r="L71" s="16" t="n"/>
      <c r="M71" s="16" t="n"/>
      <c r="N71" s="15" t="n"/>
      <c r="O71" s="16" t="n"/>
      <c r="P71" s="16" t="n"/>
      <c r="Q71" s="13">
        <f>IF(OR(B71="",C71=""),"",IFERROR(INDEX(LAYOUT!$E$2:$E$33,MATCH(B71&amp;"|"&amp;C71,LAYOUT!$F$2:$F$33,0)),"zona tidak ada di layout"))</f>
        <v/>
      </c>
      <c r="R71" s="14">
        <f>IF(F71="","",IF(OR(I71="",O71=""),0,I71*O71))</f>
        <v/>
      </c>
      <c r="S71" s="14">
        <f>IF(F71="","",SUMIFS($R$2:$R$500,$A$2:$A$500,A71,$C$2:$C$500,C71))</f>
        <v/>
      </c>
      <c r="T71" s="14">
        <f>IF(F71="","",IF(OR(G71="",I71="",J71=""),"CEK data SKU (nama/lebar/tinggi)",IF(COUNTIFS($F$2:$F$500,F71,$I$2:$I$500,"&lt;&gt;"&amp;I71)+COUNTIFS($F$2:$F$500,F71,$J$2:$J$500,"&lt;&gt;"&amp;J71)&gt;0,"CEK data SKU tidak konsisten",IF(Q71="zona tidak ada di layout","CEK zona_no / jenis_fixture",IF(D71&lt;&gt;Q71,"CEK jenis_zona",IF(S71&gt;IFERROR(INDEX(LAYOUT!$C$2:$C$33,MATCH(B71,LAYOUT!$A$2:$A$33,0)),0),"CEK lebar zona melebihi fixture","OK")))))</f>
        <v/>
      </c>
    </row>
    <row r="72">
      <c r="A72" s="15" t="n"/>
      <c r="B72" s="15" t="n"/>
      <c r="C72" s="16" t="n"/>
      <c r="D72" s="15" t="n"/>
      <c r="E72" s="16" t="n"/>
      <c r="F72" s="17" t="n"/>
      <c r="G72" s="15" t="n"/>
      <c r="H72" s="15" t="n"/>
      <c r="I72" s="16" t="n"/>
      <c r="J72" s="16" t="n"/>
      <c r="K72" s="16" t="n"/>
      <c r="L72" s="16" t="n"/>
      <c r="M72" s="16" t="n"/>
      <c r="N72" s="15" t="n"/>
      <c r="O72" s="16" t="n"/>
      <c r="P72" s="16" t="n"/>
      <c r="Q72" s="13">
        <f>IF(OR(B72="",C72=""),"",IFERROR(INDEX(LAYOUT!$E$2:$E$33,MATCH(B72&amp;"|"&amp;C72,LAYOUT!$F$2:$F$33,0)),"zona tidak ada di layout"))</f>
        <v/>
      </c>
      <c r="R72" s="14">
        <f>IF(F72="","",IF(OR(I72="",O72=""),0,I72*O72))</f>
        <v/>
      </c>
      <c r="S72" s="14">
        <f>IF(F72="","",SUMIFS($R$2:$R$500,$A$2:$A$500,A72,$C$2:$C$500,C72))</f>
        <v/>
      </c>
      <c r="T72" s="14">
        <f>IF(F72="","",IF(OR(G72="",I72="",J72=""),"CEK data SKU (nama/lebar/tinggi)",IF(COUNTIFS($F$2:$F$500,F72,$I$2:$I$500,"&lt;&gt;"&amp;I72)+COUNTIFS($F$2:$F$500,F72,$J$2:$J$500,"&lt;&gt;"&amp;J72)&gt;0,"CEK data SKU tidak konsisten",IF(Q72="zona tidak ada di layout","CEK zona_no / jenis_fixture",IF(D72&lt;&gt;Q72,"CEK jenis_zona",IF(S72&gt;IFERROR(INDEX(LAYOUT!$C$2:$C$33,MATCH(B72,LAYOUT!$A$2:$A$33,0)),0),"CEK lebar zona melebihi fixture","OK")))))</f>
        <v/>
      </c>
    </row>
    <row r="73">
      <c r="A73" s="15" t="n"/>
      <c r="B73" s="15" t="n"/>
      <c r="C73" s="16" t="n"/>
      <c r="D73" s="15" t="n"/>
      <c r="E73" s="16" t="n"/>
      <c r="F73" s="17" t="n"/>
      <c r="G73" s="15" t="n"/>
      <c r="H73" s="15" t="n"/>
      <c r="I73" s="16" t="n"/>
      <c r="J73" s="16" t="n"/>
      <c r="K73" s="16" t="n"/>
      <c r="L73" s="16" t="n"/>
      <c r="M73" s="16" t="n"/>
      <c r="N73" s="15" t="n"/>
      <c r="O73" s="16" t="n"/>
      <c r="P73" s="16" t="n"/>
      <c r="Q73" s="13">
        <f>IF(OR(B73="",C73=""),"",IFERROR(INDEX(LAYOUT!$E$2:$E$33,MATCH(B73&amp;"|"&amp;C73,LAYOUT!$F$2:$F$33,0)),"zona tidak ada di layout"))</f>
        <v/>
      </c>
      <c r="R73" s="14">
        <f>IF(F73="","",IF(OR(I73="",O73=""),0,I73*O73))</f>
        <v/>
      </c>
      <c r="S73" s="14">
        <f>IF(F73="","",SUMIFS($R$2:$R$500,$A$2:$A$500,A73,$C$2:$C$500,C73))</f>
        <v/>
      </c>
      <c r="T73" s="14">
        <f>IF(F73="","",IF(OR(G73="",I73="",J73=""),"CEK data SKU (nama/lebar/tinggi)",IF(COUNTIFS($F$2:$F$500,F73,$I$2:$I$500,"&lt;&gt;"&amp;I73)+COUNTIFS($F$2:$F$500,F73,$J$2:$J$500,"&lt;&gt;"&amp;J73)&gt;0,"CEK data SKU tidak konsisten",IF(Q73="zona tidak ada di layout","CEK zona_no / jenis_fixture",IF(D73&lt;&gt;Q73,"CEK jenis_zona",IF(S73&gt;IFERROR(INDEX(LAYOUT!$C$2:$C$33,MATCH(B73,LAYOUT!$A$2:$A$33,0)),0),"CEK lebar zona melebihi fixture","OK")))))</f>
        <v/>
      </c>
    </row>
    <row r="74">
      <c r="A74" s="15" t="n"/>
      <c r="B74" s="15" t="n"/>
      <c r="C74" s="16" t="n"/>
      <c r="D74" s="15" t="n"/>
      <c r="E74" s="16" t="n"/>
      <c r="F74" s="17" t="n"/>
      <c r="G74" s="15" t="n"/>
      <c r="H74" s="15" t="n"/>
      <c r="I74" s="16" t="n"/>
      <c r="J74" s="16" t="n"/>
      <c r="K74" s="16" t="n"/>
      <c r="L74" s="16" t="n"/>
      <c r="M74" s="16" t="n"/>
      <c r="N74" s="15" t="n"/>
      <c r="O74" s="16" t="n"/>
      <c r="P74" s="16" t="n"/>
      <c r="Q74" s="13">
        <f>IF(OR(B74="",C74=""),"",IFERROR(INDEX(LAYOUT!$E$2:$E$33,MATCH(B74&amp;"|"&amp;C74,LAYOUT!$F$2:$F$33,0)),"zona tidak ada di layout"))</f>
        <v/>
      </c>
      <c r="R74" s="14">
        <f>IF(F74="","",IF(OR(I74="",O74=""),0,I74*O74))</f>
        <v/>
      </c>
      <c r="S74" s="14">
        <f>IF(F74="","",SUMIFS($R$2:$R$500,$A$2:$A$500,A74,$C$2:$C$500,C74))</f>
        <v/>
      </c>
      <c r="T74" s="14">
        <f>IF(F74="","",IF(OR(G74="",I74="",J74=""),"CEK data SKU (nama/lebar/tinggi)",IF(COUNTIFS($F$2:$F$500,F74,$I$2:$I$500,"&lt;&gt;"&amp;I74)+COUNTIFS($F$2:$F$500,F74,$J$2:$J$500,"&lt;&gt;"&amp;J74)&gt;0,"CEK data SKU tidak konsisten",IF(Q74="zona tidak ada di layout","CEK zona_no / jenis_fixture",IF(D74&lt;&gt;Q74,"CEK jenis_zona",IF(S74&gt;IFERROR(INDEX(LAYOUT!$C$2:$C$33,MATCH(B74,LAYOUT!$A$2:$A$33,0)),0),"CEK lebar zona melebihi fixture","OK")))))</f>
        <v/>
      </c>
    </row>
    <row r="75">
      <c r="A75" s="15" t="n"/>
      <c r="B75" s="15" t="n"/>
      <c r="C75" s="16" t="n"/>
      <c r="D75" s="15" t="n"/>
      <c r="E75" s="16" t="n"/>
      <c r="F75" s="17" t="n"/>
      <c r="G75" s="15" t="n"/>
      <c r="H75" s="15" t="n"/>
      <c r="I75" s="16" t="n"/>
      <c r="J75" s="16" t="n"/>
      <c r="K75" s="16" t="n"/>
      <c r="L75" s="16" t="n"/>
      <c r="M75" s="16" t="n"/>
      <c r="N75" s="15" t="n"/>
      <c r="O75" s="16" t="n"/>
      <c r="P75" s="16" t="n"/>
      <c r="Q75" s="13">
        <f>IF(OR(B75="",C75=""),"",IFERROR(INDEX(LAYOUT!$E$2:$E$33,MATCH(B75&amp;"|"&amp;C75,LAYOUT!$F$2:$F$33,0)),"zona tidak ada di layout"))</f>
        <v/>
      </c>
      <c r="R75" s="14">
        <f>IF(F75="","",IF(OR(I75="",O75=""),0,I75*O75))</f>
        <v/>
      </c>
      <c r="S75" s="14">
        <f>IF(F75="","",SUMIFS($R$2:$R$500,$A$2:$A$500,A75,$C$2:$C$500,C75))</f>
        <v/>
      </c>
      <c r="T75" s="14">
        <f>IF(F75="","",IF(OR(G75="",I75="",J75=""),"CEK data SKU (nama/lebar/tinggi)",IF(COUNTIFS($F$2:$F$500,F75,$I$2:$I$500,"&lt;&gt;"&amp;I75)+COUNTIFS($F$2:$F$500,F75,$J$2:$J$500,"&lt;&gt;"&amp;J75)&gt;0,"CEK data SKU tidak konsisten",IF(Q75="zona tidak ada di layout","CEK zona_no / jenis_fixture",IF(D75&lt;&gt;Q75,"CEK jenis_zona",IF(S75&gt;IFERROR(INDEX(LAYOUT!$C$2:$C$33,MATCH(B75,LAYOUT!$A$2:$A$33,0)),0),"CEK lebar zona melebihi fixture","OK")))))</f>
        <v/>
      </c>
    </row>
    <row r="76">
      <c r="A76" s="15" t="n"/>
      <c r="B76" s="15" t="n"/>
      <c r="C76" s="16" t="n"/>
      <c r="D76" s="15" t="n"/>
      <c r="E76" s="16" t="n"/>
      <c r="F76" s="17" t="n"/>
      <c r="G76" s="15" t="n"/>
      <c r="H76" s="15" t="n"/>
      <c r="I76" s="16" t="n"/>
      <c r="J76" s="16" t="n"/>
      <c r="K76" s="16" t="n"/>
      <c r="L76" s="16" t="n"/>
      <c r="M76" s="16" t="n"/>
      <c r="N76" s="15" t="n"/>
      <c r="O76" s="16" t="n"/>
      <c r="P76" s="16" t="n"/>
      <c r="Q76" s="13">
        <f>IF(OR(B76="",C76=""),"",IFERROR(INDEX(LAYOUT!$E$2:$E$33,MATCH(B76&amp;"|"&amp;C76,LAYOUT!$F$2:$F$33,0)),"zona tidak ada di layout"))</f>
        <v/>
      </c>
      <c r="R76" s="14">
        <f>IF(F76="","",IF(OR(I76="",O76=""),0,I76*O76))</f>
        <v/>
      </c>
      <c r="S76" s="14">
        <f>IF(F76="","",SUMIFS($R$2:$R$500,$A$2:$A$500,A76,$C$2:$C$500,C76))</f>
        <v/>
      </c>
      <c r="T76" s="14">
        <f>IF(F76="","",IF(OR(G76="",I76="",J76=""),"CEK data SKU (nama/lebar/tinggi)",IF(COUNTIFS($F$2:$F$500,F76,$I$2:$I$500,"&lt;&gt;"&amp;I76)+COUNTIFS($F$2:$F$500,F76,$J$2:$J$500,"&lt;&gt;"&amp;J76)&gt;0,"CEK data SKU tidak konsisten",IF(Q76="zona tidak ada di layout","CEK zona_no / jenis_fixture",IF(D76&lt;&gt;Q76,"CEK jenis_zona",IF(S76&gt;IFERROR(INDEX(LAYOUT!$C$2:$C$33,MATCH(B76,LAYOUT!$A$2:$A$33,0)),0),"CEK lebar zona melebihi fixture","OK")))))</f>
        <v/>
      </c>
    </row>
    <row r="77">
      <c r="A77" s="15" t="n"/>
      <c r="B77" s="15" t="n"/>
      <c r="C77" s="16" t="n"/>
      <c r="D77" s="15" t="n"/>
      <c r="E77" s="16" t="n"/>
      <c r="F77" s="17" t="n"/>
      <c r="G77" s="15" t="n"/>
      <c r="H77" s="15" t="n"/>
      <c r="I77" s="16" t="n"/>
      <c r="J77" s="16" t="n"/>
      <c r="K77" s="16" t="n"/>
      <c r="L77" s="16" t="n"/>
      <c r="M77" s="16" t="n"/>
      <c r="N77" s="15" t="n"/>
      <c r="O77" s="16" t="n"/>
      <c r="P77" s="16" t="n"/>
      <c r="Q77" s="13">
        <f>IF(OR(B77="",C77=""),"",IFERROR(INDEX(LAYOUT!$E$2:$E$33,MATCH(B77&amp;"|"&amp;C77,LAYOUT!$F$2:$F$33,0)),"zona tidak ada di layout"))</f>
        <v/>
      </c>
      <c r="R77" s="14">
        <f>IF(F77="","",IF(OR(I77="",O77=""),0,I77*O77))</f>
        <v/>
      </c>
      <c r="S77" s="14">
        <f>IF(F77="","",SUMIFS($R$2:$R$500,$A$2:$A$500,A77,$C$2:$C$500,C77))</f>
        <v/>
      </c>
      <c r="T77" s="14">
        <f>IF(F77="","",IF(OR(G77="",I77="",J77=""),"CEK data SKU (nama/lebar/tinggi)",IF(COUNTIFS($F$2:$F$500,F77,$I$2:$I$500,"&lt;&gt;"&amp;I77)+COUNTIFS($F$2:$F$500,F77,$J$2:$J$500,"&lt;&gt;"&amp;J77)&gt;0,"CEK data SKU tidak konsisten",IF(Q77="zona tidak ada di layout","CEK zona_no / jenis_fixture",IF(D77&lt;&gt;Q77,"CEK jenis_zona",IF(S77&gt;IFERROR(INDEX(LAYOUT!$C$2:$C$33,MATCH(B77,LAYOUT!$A$2:$A$33,0)),0),"CEK lebar zona melebihi fixture","OK")))))</f>
        <v/>
      </c>
    </row>
    <row r="78">
      <c r="A78" s="15" t="n"/>
      <c r="B78" s="15" t="n"/>
      <c r="C78" s="16" t="n"/>
      <c r="D78" s="15" t="n"/>
      <c r="E78" s="16" t="n"/>
      <c r="F78" s="17" t="n"/>
      <c r="G78" s="15" t="n"/>
      <c r="H78" s="15" t="n"/>
      <c r="I78" s="16" t="n"/>
      <c r="J78" s="16" t="n"/>
      <c r="K78" s="16" t="n"/>
      <c r="L78" s="16" t="n"/>
      <c r="M78" s="16" t="n"/>
      <c r="N78" s="15" t="n"/>
      <c r="O78" s="16" t="n"/>
      <c r="P78" s="16" t="n"/>
      <c r="Q78" s="13">
        <f>IF(OR(B78="",C78=""),"",IFERROR(INDEX(LAYOUT!$E$2:$E$33,MATCH(B78&amp;"|"&amp;C78,LAYOUT!$F$2:$F$33,0)),"zona tidak ada di layout"))</f>
        <v/>
      </c>
      <c r="R78" s="14">
        <f>IF(F78="","",IF(OR(I78="",O78=""),0,I78*O78))</f>
        <v/>
      </c>
      <c r="S78" s="14">
        <f>IF(F78="","",SUMIFS($R$2:$R$500,$A$2:$A$500,A78,$C$2:$C$500,C78))</f>
        <v/>
      </c>
      <c r="T78" s="14">
        <f>IF(F78="","",IF(OR(G78="",I78="",J78=""),"CEK data SKU (nama/lebar/tinggi)",IF(COUNTIFS($F$2:$F$500,F78,$I$2:$I$500,"&lt;&gt;"&amp;I78)+COUNTIFS($F$2:$F$500,F78,$J$2:$J$500,"&lt;&gt;"&amp;J78)&gt;0,"CEK data SKU tidak konsisten",IF(Q78="zona tidak ada di layout","CEK zona_no / jenis_fixture",IF(D78&lt;&gt;Q78,"CEK jenis_zona",IF(S78&gt;IFERROR(INDEX(LAYOUT!$C$2:$C$33,MATCH(B78,LAYOUT!$A$2:$A$33,0)),0),"CEK lebar zona melebihi fixture","OK")))))</f>
        <v/>
      </c>
    </row>
    <row r="79">
      <c r="A79" s="15" t="n"/>
      <c r="B79" s="15" t="n"/>
      <c r="C79" s="16" t="n"/>
      <c r="D79" s="15" t="n"/>
      <c r="E79" s="16" t="n"/>
      <c r="F79" s="17" t="n"/>
      <c r="G79" s="15" t="n"/>
      <c r="H79" s="15" t="n"/>
      <c r="I79" s="16" t="n"/>
      <c r="J79" s="16" t="n"/>
      <c r="K79" s="16" t="n"/>
      <c r="L79" s="16" t="n"/>
      <c r="M79" s="16" t="n"/>
      <c r="N79" s="15" t="n"/>
      <c r="O79" s="16" t="n"/>
      <c r="P79" s="16" t="n"/>
      <c r="Q79" s="13">
        <f>IF(OR(B79="",C79=""),"",IFERROR(INDEX(LAYOUT!$E$2:$E$33,MATCH(B79&amp;"|"&amp;C79,LAYOUT!$F$2:$F$33,0)),"zona tidak ada di layout"))</f>
        <v/>
      </c>
      <c r="R79" s="14">
        <f>IF(F79="","",IF(OR(I79="",O79=""),0,I79*O79))</f>
        <v/>
      </c>
      <c r="S79" s="14">
        <f>IF(F79="","",SUMIFS($R$2:$R$500,$A$2:$A$500,A79,$C$2:$C$500,C79))</f>
        <v/>
      </c>
      <c r="T79" s="14">
        <f>IF(F79="","",IF(OR(G79="",I79="",J79=""),"CEK data SKU (nama/lebar/tinggi)",IF(COUNTIFS($F$2:$F$500,F79,$I$2:$I$500,"&lt;&gt;"&amp;I79)+COUNTIFS($F$2:$F$500,F79,$J$2:$J$500,"&lt;&gt;"&amp;J79)&gt;0,"CEK data SKU tidak konsisten",IF(Q79="zona tidak ada di layout","CEK zona_no / jenis_fixture",IF(D79&lt;&gt;Q79,"CEK jenis_zona",IF(S79&gt;IFERROR(INDEX(LAYOUT!$C$2:$C$33,MATCH(B79,LAYOUT!$A$2:$A$33,0)),0),"CEK lebar zona melebihi fixture","OK")))))</f>
        <v/>
      </c>
    </row>
    <row r="80">
      <c r="A80" s="15" t="n"/>
      <c r="B80" s="15" t="n"/>
      <c r="C80" s="16" t="n"/>
      <c r="D80" s="15" t="n"/>
      <c r="E80" s="16" t="n"/>
      <c r="F80" s="17" t="n"/>
      <c r="G80" s="15" t="n"/>
      <c r="H80" s="15" t="n"/>
      <c r="I80" s="16" t="n"/>
      <c r="J80" s="16" t="n"/>
      <c r="K80" s="16" t="n"/>
      <c r="L80" s="16" t="n"/>
      <c r="M80" s="16" t="n"/>
      <c r="N80" s="15" t="n"/>
      <c r="O80" s="16" t="n"/>
      <c r="P80" s="16" t="n"/>
      <c r="Q80" s="13">
        <f>IF(OR(B80="",C80=""),"",IFERROR(INDEX(LAYOUT!$E$2:$E$33,MATCH(B80&amp;"|"&amp;C80,LAYOUT!$F$2:$F$33,0)),"zona tidak ada di layout"))</f>
        <v/>
      </c>
      <c r="R80" s="14">
        <f>IF(F80="","",IF(OR(I80="",O80=""),0,I80*O80))</f>
        <v/>
      </c>
      <c r="S80" s="14">
        <f>IF(F80="","",SUMIFS($R$2:$R$500,$A$2:$A$500,A80,$C$2:$C$500,C80))</f>
        <v/>
      </c>
      <c r="T80" s="14">
        <f>IF(F80="","",IF(OR(G80="",I80="",J80=""),"CEK data SKU (nama/lebar/tinggi)",IF(COUNTIFS($F$2:$F$500,F80,$I$2:$I$500,"&lt;&gt;"&amp;I80)+COUNTIFS($F$2:$F$500,F80,$J$2:$J$500,"&lt;&gt;"&amp;J80)&gt;0,"CEK data SKU tidak konsisten",IF(Q80="zona tidak ada di layout","CEK zona_no / jenis_fixture",IF(D80&lt;&gt;Q80,"CEK jenis_zona",IF(S80&gt;IFERROR(INDEX(LAYOUT!$C$2:$C$33,MATCH(B80,LAYOUT!$A$2:$A$33,0)),0),"CEK lebar zona melebihi fixture","OK")))))</f>
        <v/>
      </c>
    </row>
    <row r="81">
      <c r="A81" s="15" t="n"/>
      <c r="B81" s="15" t="n"/>
      <c r="C81" s="16" t="n"/>
      <c r="D81" s="15" t="n"/>
      <c r="E81" s="16" t="n"/>
      <c r="F81" s="17" t="n"/>
      <c r="G81" s="15" t="n"/>
      <c r="H81" s="15" t="n"/>
      <c r="I81" s="16" t="n"/>
      <c r="J81" s="16" t="n"/>
      <c r="K81" s="16" t="n"/>
      <c r="L81" s="16" t="n"/>
      <c r="M81" s="16" t="n"/>
      <c r="N81" s="15" t="n"/>
      <c r="O81" s="16" t="n"/>
      <c r="P81" s="16" t="n"/>
      <c r="Q81" s="13">
        <f>IF(OR(B81="",C81=""),"",IFERROR(INDEX(LAYOUT!$E$2:$E$33,MATCH(B81&amp;"|"&amp;C81,LAYOUT!$F$2:$F$33,0)),"zona tidak ada di layout"))</f>
        <v/>
      </c>
      <c r="R81" s="14">
        <f>IF(F81="","",IF(OR(I81="",O81=""),0,I81*O81))</f>
        <v/>
      </c>
      <c r="S81" s="14">
        <f>IF(F81="","",SUMIFS($R$2:$R$500,$A$2:$A$500,A81,$C$2:$C$500,C81))</f>
        <v/>
      </c>
      <c r="T81" s="14">
        <f>IF(F81="","",IF(OR(G81="",I81="",J81=""),"CEK data SKU (nama/lebar/tinggi)",IF(COUNTIFS($F$2:$F$500,F81,$I$2:$I$500,"&lt;&gt;"&amp;I81)+COUNTIFS($F$2:$F$500,F81,$J$2:$J$500,"&lt;&gt;"&amp;J81)&gt;0,"CEK data SKU tidak konsisten",IF(Q81="zona tidak ada di layout","CEK zona_no / jenis_fixture",IF(D81&lt;&gt;Q81,"CEK jenis_zona",IF(S81&gt;IFERROR(INDEX(LAYOUT!$C$2:$C$33,MATCH(B81,LAYOUT!$A$2:$A$33,0)),0),"CEK lebar zona melebihi fixture","OK")))))</f>
        <v/>
      </c>
    </row>
    <row r="82">
      <c r="A82" s="15" t="n"/>
      <c r="B82" s="15" t="n"/>
      <c r="C82" s="16" t="n"/>
      <c r="D82" s="15" t="n"/>
      <c r="E82" s="16" t="n"/>
      <c r="F82" s="17" t="n"/>
      <c r="G82" s="15" t="n"/>
      <c r="H82" s="15" t="n"/>
      <c r="I82" s="16" t="n"/>
      <c r="J82" s="16" t="n"/>
      <c r="K82" s="16" t="n"/>
      <c r="L82" s="16" t="n"/>
      <c r="M82" s="16" t="n"/>
      <c r="N82" s="15" t="n"/>
      <c r="O82" s="16" t="n"/>
      <c r="P82" s="16" t="n"/>
      <c r="Q82" s="13">
        <f>IF(OR(B82="",C82=""),"",IFERROR(INDEX(LAYOUT!$E$2:$E$33,MATCH(B82&amp;"|"&amp;C82,LAYOUT!$F$2:$F$33,0)),"zona tidak ada di layout"))</f>
        <v/>
      </c>
      <c r="R82" s="14">
        <f>IF(F82="","",IF(OR(I82="",O82=""),0,I82*O82))</f>
        <v/>
      </c>
      <c r="S82" s="14">
        <f>IF(F82="","",SUMIFS($R$2:$R$500,$A$2:$A$500,A82,$C$2:$C$500,C82))</f>
        <v/>
      </c>
      <c r="T82" s="14">
        <f>IF(F82="","",IF(OR(G82="",I82="",J82=""),"CEK data SKU (nama/lebar/tinggi)",IF(COUNTIFS($F$2:$F$500,F82,$I$2:$I$500,"&lt;&gt;"&amp;I82)+COUNTIFS($F$2:$F$500,F82,$J$2:$J$500,"&lt;&gt;"&amp;J82)&gt;0,"CEK data SKU tidak konsisten",IF(Q82="zona tidak ada di layout","CEK zona_no / jenis_fixture",IF(D82&lt;&gt;Q82,"CEK jenis_zona",IF(S82&gt;IFERROR(INDEX(LAYOUT!$C$2:$C$33,MATCH(B82,LAYOUT!$A$2:$A$33,0)),0),"CEK lebar zona melebihi fixture","OK")))))</f>
        <v/>
      </c>
    </row>
    <row r="83">
      <c r="A83" s="15" t="n"/>
      <c r="B83" s="15" t="n"/>
      <c r="C83" s="16" t="n"/>
      <c r="D83" s="15" t="n"/>
      <c r="E83" s="16" t="n"/>
      <c r="F83" s="17" t="n"/>
      <c r="G83" s="15" t="n"/>
      <c r="H83" s="15" t="n"/>
      <c r="I83" s="16" t="n"/>
      <c r="J83" s="16" t="n"/>
      <c r="K83" s="16" t="n"/>
      <c r="L83" s="16" t="n"/>
      <c r="M83" s="16" t="n"/>
      <c r="N83" s="15" t="n"/>
      <c r="O83" s="16" t="n"/>
      <c r="P83" s="16" t="n"/>
      <c r="Q83" s="13">
        <f>IF(OR(B83="",C83=""),"",IFERROR(INDEX(LAYOUT!$E$2:$E$33,MATCH(B83&amp;"|"&amp;C83,LAYOUT!$F$2:$F$33,0)),"zona tidak ada di layout"))</f>
        <v/>
      </c>
      <c r="R83" s="14">
        <f>IF(F83="","",IF(OR(I83="",O83=""),0,I83*O83))</f>
        <v/>
      </c>
      <c r="S83" s="14">
        <f>IF(F83="","",SUMIFS($R$2:$R$500,$A$2:$A$500,A83,$C$2:$C$500,C83))</f>
        <v/>
      </c>
      <c r="T83" s="14">
        <f>IF(F83="","",IF(OR(G83="",I83="",J83=""),"CEK data SKU (nama/lebar/tinggi)",IF(COUNTIFS($F$2:$F$500,F83,$I$2:$I$500,"&lt;&gt;"&amp;I83)+COUNTIFS($F$2:$F$500,F83,$J$2:$J$500,"&lt;&gt;"&amp;J83)&gt;0,"CEK data SKU tidak konsisten",IF(Q83="zona tidak ada di layout","CEK zona_no / jenis_fixture",IF(D83&lt;&gt;Q83,"CEK jenis_zona",IF(S83&gt;IFERROR(INDEX(LAYOUT!$C$2:$C$33,MATCH(B83,LAYOUT!$A$2:$A$33,0)),0),"CEK lebar zona melebihi fixture","OK")))))</f>
        <v/>
      </c>
    </row>
    <row r="84">
      <c r="A84" s="15" t="n"/>
      <c r="B84" s="15" t="n"/>
      <c r="C84" s="16" t="n"/>
      <c r="D84" s="15" t="n"/>
      <c r="E84" s="16" t="n"/>
      <c r="F84" s="17" t="n"/>
      <c r="G84" s="15" t="n"/>
      <c r="H84" s="15" t="n"/>
      <c r="I84" s="16" t="n"/>
      <c r="J84" s="16" t="n"/>
      <c r="K84" s="16" t="n"/>
      <c r="L84" s="16" t="n"/>
      <c r="M84" s="16" t="n"/>
      <c r="N84" s="15" t="n"/>
      <c r="O84" s="16" t="n"/>
      <c r="P84" s="16" t="n"/>
      <c r="Q84" s="13">
        <f>IF(OR(B84="",C84=""),"",IFERROR(INDEX(LAYOUT!$E$2:$E$33,MATCH(B84&amp;"|"&amp;C84,LAYOUT!$F$2:$F$33,0)),"zona tidak ada di layout"))</f>
        <v/>
      </c>
      <c r="R84" s="14">
        <f>IF(F84="","",IF(OR(I84="",O84=""),0,I84*O84))</f>
        <v/>
      </c>
      <c r="S84" s="14">
        <f>IF(F84="","",SUMIFS($R$2:$R$500,$A$2:$A$500,A84,$C$2:$C$500,C84))</f>
        <v/>
      </c>
      <c r="T84" s="14">
        <f>IF(F84="","",IF(OR(G84="",I84="",J84=""),"CEK data SKU (nama/lebar/tinggi)",IF(COUNTIFS($F$2:$F$500,F84,$I$2:$I$500,"&lt;&gt;"&amp;I84)+COUNTIFS($F$2:$F$500,F84,$J$2:$J$500,"&lt;&gt;"&amp;J84)&gt;0,"CEK data SKU tidak konsisten",IF(Q84="zona tidak ada di layout","CEK zona_no / jenis_fixture",IF(D84&lt;&gt;Q84,"CEK jenis_zona",IF(S84&gt;IFERROR(INDEX(LAYOUT!$C$2:$C$33,MATCH(B84,LAYOUT!$A$2:$A$33,0)),0),"CEK lebar zona melebihi fixture","OK")))))</f>
        <v/>
      </c>
    </row>
    <row r="85">
      <c r="A85" s="15" t="n"/>
      <c r="B85" s="15" t="n"/>
      <c r="C85" s="16" t="n"/>
      <c r="D85" s="15" t="n"/>
      <c r="E85" s="16" t="n"/>
      <c r="F85" s="17" t="n"/>
      <c r="G85" s="15" t="n"/>
      <c r="H85" s="15" t="n"/>
      <c r="I85" s="16" t="n"/>
      <c r="J85" s="16" t="n"/>
      <c r="K85" s="16" t="n"/>
      <c r="L85" s="16" t="n"/>
      <c r="M85" s="16" t="n"/>
      <c r="N85" s="15" t="n"/>
      <c r="O85" s="16" t="n"/>
      <c r="P85" s="16" t="n"/>
      <c r="Q85" s="13">
        <f>IF(OR(B85="",C85=""),"",IFERROR(INDEX(LAYOUT!$E$2:$E$33,MATCH(B85&amp;"|"&amp;C85,LAYOUT!$F$2:$F$33,0)),"zona tidak ada di layout"))</f>
        <v/>
      </c>
      <c r="R85" s="14">
        <f>IF(F85="","",IF(OR(I85="",O85=""),0,I85*O85))</f>
        <v/>
      </c>
      <c r="S85" s="14">
        <f>IF(F85="","",SUMIFS($R$2:$R$500,$A$2:$A$500,A85,$C$2:$C$500,C85))</f>
        <v/>
      </c>
      <c r="T85" s="14">
        <f>IF(F85="","",IF(OR(G85="",I85="",J85=""),"CEK data SKU (nama/lebar/tinggi)",IF(COUNTIFS($F$2:$F$500,F85,$I$2:$I$500,"&lt;&gt;"&amp;I85)+COUNTIFS($F$2:$F$500,F85,$J$2:$J$500,"&lt;&gt;"&amp;J85)&gt;0,"CEK data SKU tidak konsisten",IF(Q85="zona tidak ada di layout","CEK zona_no / jenis_fixture",IF(D85&lt;&gt;Q85,"CEK jenis_zona",IF(S85&gt;IFERROR(INDEX(LAYOUT!$C$2:$C$33,MATCH(B85,LAYOUT!$A$2:$A$33,0)),0),"CEK lebar zona melebihi fixture","OK")))))</f>
        <v/>
      </c>
    </row>
    <row r="86">
      <c r="A86" s="15" t="n"/>
      <c r="B86" s="15" t="n"/>
      <c r="C86" s="16" t="n"/>
      <c r="D86" s="15" t="n"/>
      <c r="E86" s="16" t="n"/>
      <c r="F86" s="17" t="n"/>
      <c r="G86" s="15" t="n"/>
      <c r="H86" s="15" t="n"/>
      <c r="I86" s="16" t="n"/>
      <c r="J86" s="16" t="n"/>
      <c r="K86" s="16" t="n"/>
      <c r="L86" s="16" t="n"/>
      <c r="M86" s="16" t="n"/>
      <c r="N86" s="15" t="n"/>
      <c r="O86" s="16" t="n"/>
      <c r="P86" s="16" t="n"/>
      <c r="Q86" s="13">
        <f>IF(OR(B86="",C86=""),"",IFERROR(INDEX(LAYOUT!$E$2:$E$33,MATCH(B86&amp;"|"&amp;C86,LAYOUT!$F$2:$F$33,0)),"zona tidak ada di layout"))</f>
        <v/>
      </c>
      <c r="R86" s="14">
        <f>IF(F86="","",IF(OR(I86="",O86=""),0,I86*O86))</f>
        <v/>
      </c>
      <c r="S86" s="14">
        <f>IF(F86="","",SUMIFS($R$2:$R$500,$A$2:$A$500,A86,$C$2:$C$500,C86))</f>
        <v/>
      </c>
      <c r="T86" s="14">
        <f>IF(F86="","",IF(OR(G86="",I86="",J86=""),"CEK data SKU (nama/lebar/tinggi)",IF(COUNTIFS($F$2:$F$500,F86,$I$2:$I$500,"&lt;&gt;"&amp;I86)+COUNTIFS($F$2:$F$500,F86,$J$2:$J$500,"&lt;&gt;"&amp;J86)&gt;0,"CEK data SKU tidak konsisten",IF(Q86="zona tidak ada di layout","CEK zona_no / jenis_fixture",IF(D86&lt;&gt;Q86,"CEK jenis_zona",IF(S86&gt;IFERROR(INDEX(LAYOUT!$C$2:$C$33,MATCH(B86,LAYOUT!$A$2:$A$33,0)),0),"CEK lebar zona melebihi fixture","OK")))))</f>
        <v/>
      </c>
    </row>
    <row r="87">
      <c r="A87" s="15" t="n"/>
      <c r="B87" s="15" t="n"/>
      <c r="C87" s="16" t="n"/>
      <c r="D87" s="15" t="n"/>
      <c r="E87" s="16" t="n"/>
      <c r="F87" s="17" t="n"/>
      <c r="G87" s="15" t="n"/>
      <c r="H87" s="15" t="n"/>
      <c r="I87" s="16" t="n"/>
      <c r="J87" s="16" t="n"/>
      <c r="K87" s="16" t="n"/>
      <c r="L87" s="16" t="n"/>
      <c r="M87" s="16" t="n"/>
      <c r="N87" s="15" t="n"/>
      <c r="O87" s="16" t="n"/>
      <c r="P87" s="16" t="n"/>
      <c r="Q87" s="13">
        <f>IF(OR(B87="",C87=""),"",IFERROR(INDEX(LAYOUT!$E$2:$E$33,MATCH(B87&amp;"|"&amp;C87,LAYOUT!$F$2:$F$33,0)),"zona tidak ada di layout"))</f>
        <v/>
      </c>
      <c r="R87" s="14">
        <f>IF(F87="","",IF(OR(I87="",O87=""),0,I87*O87))</f>
        <v/>
      </c>
      <c r="S87" s="14">
        <f>IF(F87="","",SUMIFS($R$2:$R$500,$A$2:$A$500,A87,$C$2:$C$500,C87))</f>
        <v/>
      </c>
      <c r="T87" s="14">
        <f>IF(F87="","",IF(OR(G87="",I87="",J87=""),"CEK data SKU (nama/lebar/tinggi)",IF(COUNTIFS($F$2:$F$500,F87,$I$2:$I$500,"&lt;&gt;"&amp;I87)+COUNTIFS($F$2:$F$500,F87,$J$2:$J$500,"&lt;&gt;"&amp;J87)&gt;0,"CEK data SKU tidak konsisten",IF(Q87="zona tidak ada di layout","CEK zona_no / jenis_fixture",IF(D87&lt;&gt;Q87,"CEK jenis_zona",IF(S87&gt;IFERROR(INDEX(LAYOUT!$C$2:$C$33,MATCH(B87,LAYOUT!$A$2:$A$33,0)),0),"CEK lebar zona melebihi fixture","OK")))))</f>
        <v/>
      </c>
    </row>
    <row r="88">
      <c r="A88" s="15" t="n"/>
      <c r="B88" s="15" t="n"/>
      <c r="C88" s="16" t="n"/>
      <c r="D88" s="15" t="n"/>
      <c r="E88" s="16" t="n"/>
      <c r="F88" s="17" t="n"/>
      <c r="G88" s="15" t="n"/>
      <c r="H88" s="15" t="n"/>
      <c r="I88" s="16" t="n"/>
      <c r="J88" s="16" t="n"/>
      <c r="K88" s="16" t="n"/>
      <c r="L88" s="16" t="n"/>
      <c r="M88" s="16" t="n"/>
      <c r="N88" s="15" t="n"/>
      <c r="O88" s="16" t="n"/>
      <c r="P88" s="16" t="n"/>
      <c r="Q88" s="13">
        <f>IF(OR(B88="",C88=""),"",IFERROR(INDEX(LAYOUT!$E$2:$E$33,MATCH(B88&amp;"|"&amp;C88,LAYOUT!$F$2:$F$33,0)),"zona tidak ada di layout"))</f>
        <v/>
      </c>
      <c r="R88" s="14">
        <f>IF(F88="","",IF(OR(I88="",O88=""),0,I88*O88))</f>
        <v/>
      </c>
      <c r="S88" s="14">
        <f>IF(F88="","",SUMIFS($R$2:$R$500,$A$2:$A$500,A88,$C$2:$C$500,C88))</f>
        <v/>
      </c>
      <c r="T88" s="14">
        <f>IF(F88="","",IF(OR(G88="",I88="",J88=""),"CEK data SKU (nama/lebar/tinggi)",IF(COUNTIFS($F$2:$F$500,F88,$I$2:$I$500,"&lt;&gt;"&amp;I88)+COUNTIFS($F$2:$F$500,F88,$J$2:$J$500,"&lt;&gt;"&amp;J88)&gt;0,"CEK data SKU tidak konsisten",IF(Q88="zona tidak ada di layout","CEK zona_no / jenis_fixture",IF(D88&lt;&gt;Q88,"CEK jenis_zona",IF(S88&gt;IFERROR(INDEX(LAYOUT!$C$2:$C$33,MATCH(B88,LAYOUT!$A$2:$A$33,0)),0),"CEK lebar zona melebihi fixture","OK")))))</f>
        <v/>
      </c>
    </row>
    <row r="89">
      <c r="A89" s="15" t="n"/>
      <c r="B89" s="15" t="n"/>
      <c r="C89" s="16" t="n"/>
      <c r="D89" s="15" t="n"/>
      <c r="E89" s="16" t="n"/>
      <c r="F89" s="17" t="n"/>
      <c r="G89" s="15" t="n"/>
      <c r="H89" s="15" t="n"/>
      <c r="I89" s="16" t="n"/>
      <c r="J89" s="16" t="n"/>
      <c r="K89" s="16" t="n"/>
      <c r="L89" s="16" t="n"/>
      <c r="M89" s="16" t="n"/>
      <c r="N89" s="15" t="n"/>
      <c r="O89" s="16" t="n"/>
      <c r="P89" s="16" t="n"/>
      <c r="Q89" s="13">
        <f>IF(OR(B89="",C89=""),"",IFERROR(INDEX(LAYOUT!$E$2:$E$33,MATCH(B89&amp;"|"&amp;C89,LAYOUT!$F$2:$F$33,0)),"zona tidak ada di layout"))</f>
        <v/>
      </c>
      <c r="R89" s="14">
        <f>IF(F89="","",IF(OR(I89="",O89=""),0,I89*O89))</f>
        <v/>
      </c>
      <c r="S89" s="14">
        <f>IF(F89="","",SUMIFS($R$2:$R$500,$A$2:$A$500,A89,$C$2:$C$500,C89))</f>
        <v/>
      </c>
      <c r="T89" s="14">
        <f>IF(F89="","",IF(OR(G89="",I89="",J89=""),"CEK data SKU (nama/lebar/tinggi)",IF(COUNTIFS($F$2:$F$500,F89,$I$2:$I$500,"&lt;&gt;"&amp;I89)+COUNTIFS($F$2:$F$500,F89,$J$2:$J$500,"&lt;&gt;"&amp;J89)&gt;0,"CEK data SKU tidak konsisten",IF(Q89="zona tidak ada di layout","CEK zona_no / jenis_fixture",IF(D89&lt;&gt;Q89,"CEK jenis_zona",IF(S89&gt;IFERROR(INDEX(LAYOUT!$C$2:$C$33,MATCH(B89,LAYOUT!$A$2:$A$33,0)),0),"CEK lebar zona melebihi fixture","OK")))))</f>
        <v/>
      </c>
    </row>
    <row r="90">
      <c r="A90" s="15" t="n"/>
      <c r="B90" s="15" t="n"/>
      <c r="C90" s="16" t="n"/>
      <c r="D90" s="15" t="n"/>
      <c r="E90" s="16" t="n"/>
      <c r="F90" s="17" t="n"/>
      <c r="G90" s="15" t="n"/>
      <c r="H90" s="15" t="n"/>
      <c r="I90" s="16" t="n"/>
      <c r="J90" s="16" t="n"/>
      <c r="K90" s="16" t="n"/>
      <c r="L90" s="16" t="n"/>
      <c r="M90" s="16" t="n"/>
      <c r="N90" s="15" t="n"/>
      <c r="O90" s="16" t="n"/>
      <c r="P90" s="16" t="n"/>
      <c r="Q90" s="13">
        <f>IF(OR(B90="",C90=""),"",IFERROR(INDEX(LAYOUT!$E$2:$E$33,MATCH(B90&amp;"|"&amp;C90,LAYOUT!$F$2:$F$33,0)),"zona tidak ada di layout"))</f>
        <v/>
      </c>
      <c r="R90" s="14">
        <f>IF(F90="","",IF(OR(I90="",O90=""),0,I90*O90))</f>
        <v/>
      </c>
      <c r="S90" s="14">
        <f>IF(F90="","",SUMIFS($R$2:$R$500,$A$2:$A$500,A90,$C$2:$C$500,C90))</f>
        <v/>
      </c>
      <c r="T90" s="14">
        <f>IF(F90="","",IF(OR(G90="",I90="",J90=""),"CEK data SKU (nama/lebar/tinggi)",IF(COUNTIFS($F$2:$F$500,F90,$I$2:$I$500,"&lt;&gt;"&amp;I90)+COUNTIFS($F$2:$F$500,F90,$J$2:$J$500,"&lt;&gt;"&amp;J90)&gt;0,"CEK data SKU tidak konsisten",IF(Q90="zona tidak ada di layout","CEK zona_no / jenis_fixture",IF(D90&lt;&gt;Q90,"CEK jenis_zona",IF(S90&gt;IFERROR(INDEX(LAYOUT!$C$2:$C$33,MATCH(B90,LAYOUT!$A$2:$A$33,0)),0),"CEK lebar zona melebihi fixture","OK")))))</f>
        <v/>
      </c>
    </row>
    <row r="91">
      <c r="A91" s="15" t="n"/>
      <c r="B91" s="15" t="n"/>
      <c r="C91" s="16" t="n"/>
      <c r="D91" s="15" t="n"/>
      <c r="E91" s="16" t="n"/>
      <c r="F91" s="17" t="n"/>
      <c r="G91" s="15" t="n"/>
      <c r="H91" s="15" t="n"/>
      <c r="I91" s="16" t="n"/>
      <c r="J91" s="16" t="n"/>
      <c r="K91" s="16" t="n"/>
      <c r="L91" s="16" t="n"/>
      <c r="M91" s="16" t="n"/>
      <c r="N91" s="15" t="n"/>
      <c r="O91" s="16" t="n"/>
      <c r="P91" s="16" t="n"/>
      <c r="Q91" s="13">
        <f>IF(OR(B91="",C91=""),"",IFERROR(INDEX(LAYOUT!$E$2:$E$33,MATCH(B91&amp;"|"&amp;C91,LAYOUT!$F$2:$F$33,0)),"zona tidak ada di layout"))</f>
        <v/>
      </c>
      <c r="R91" s="14">
        <f>IF(F91="","",IF(OR(I91="",O91=""),0,I91*O91))</f>
        <v/>
      </c>
      <c r="S91" s="14">
        <f>IF(F91="","",SUMIFS($R$2:$R$500,$A$2:$A$500,A91,$C$2:$C$500,C91))</f>
        <v/>
      </c>
      <c r="T91" s="14">
        <f>IF(F91="","",IF(OR(G91="",I91="",J91=""),"CEK data SKU (nama/lebar/tinggi)",IF(COUNTIFS($F$2:$F$500,F91,$I$2:$I$500,"&lt;&gt;"&amp;I91)+COUNTIFS($F$2:$F$500,F91,$J$2:$J$500,"&lt;&gt;"&amp;J91)&gt;0,"CEK data SKU tidak konsisten",IF(Q91="zona tidak ada di layout","CEK zona_no / jenis_fixture",IF(D91&lt;&gt;Q91,"CEK jenis_zona",IF(S91&gt;IFERROR(INDEX(LAYOUT!$C$2:$C$33,MATCH(B91,LAYOUT!$A$2:$A$33,0)),0),"CEK lebar zona melebihi fixture","OK")))))</f>
        <v/>
      </c>
    </row>
    <row r="92">
      <c r="A92" s="15" t="n"/>
      <c r="B92" s="15" t="n"/>
      <c r="C92" s="16" t="n"/>
      <c r="D92" s="15" t="n"/>
      <c r="E92" s="16" t="n"/>
      <c r="F92" s="17" t="n"/>
      <c r="G92" s="15" t="n"/>
      <c r="H92" s="15" t="n"/>
      <c r="I92" s="16" t="n"/>
      <c r="J92" s="16" t="n"/>
      <c r="K92" s="16" t="n"/>
      <c r="L92" s="16" t="n"/>
      <c r="M92" s="16" t="n"/>
      <c r="N92" s="15" t="n"/>
      <c r="O92" s="16" t="n"/>
      <c r="P92" s="16" t="n"/>
      <c r="Q92" s="13">
        <f>IF(OR(B92="",C92=""),"",IFERROR(INDEX(LAYOUT!$E$2:$E$33,MATCH(B92&amp;"|"&amp;C92,LAYOUT!$F$2:$F$33,0)),"zona tidak ada di layout"))</f>
        <v/>
      </c>
      <c r="R92" s="14">
        <f>IF(F92="","",IF(OR(I92="",O92=""),0,I92*O92))</f>
        <v/>
      </c>
      <c r="S92" s="14">
        <f>IF(F92="","",SUMIFS($R$2:$R$500,$A$2:$A$500,A92,$C$2:$C$500,C92))</f>
        <v/>
      </c>
      <c r="T92" s="14">
        <f>IF(F92="","",IF(OR(G92="",I92="",J92=""),"CEK data SKU (nama/lebar/tinggi)",IF(COUNTIFS($F$2:$F$500,F92,$I$2:$I$500,"&lt;&gt;"&amp;I92)+COUNTIFS($F$2:$F$500,F92,$J$2:$J$500,"&lt;&gt;"&amp;J92)&gt;0,"CEK data SKU tidak konsisten",IF(Q92="zona tidak ada di layout","CEK zona_no / jenis_fixture",IF(D92&lt;&gt;Q92,"CEK jenis_zona",IF(S92&gt;IFERROR(INDEX(LAYOUT!$C$2:$C$33,MATCH(B92,LAYOUT!$A$2:$A$33,0)),0),"CEK lebar zona melebihi fixture","OK")))))</f>
        <v/>
      </c>
    </row>
    <row r="93">
      <c r="A93" s="15" t="n"/>
      <c r="B93" s="15" t="n"/>
      <c r="C93" s="16" t="n"/>
      <c r="D93" s="15" t="n"/>
      <c r="E93" s="16" t="n"/>
      <c r="F93" s="17" t="n"/>
      <c r="G93" s="15" t="n"/>
      <c r="H93" s="15" t="n"/>
      <c r="I93" s="16" t="n"/>
      <c r="J93" s="16" t="n"/>
      <c r="K93" s="16" t="n"/>
      <c r="L93" s="16" t="n"/>
      <c r="M93" s="16" t="n"/>
      <c r="N93" s="15" t="n"/>
      <c r="O93" s="16" t="n"/>
      <c r="P93" s="16" t="n"/>
      <c r="Q93" s="13">
        <f>IF(OR(B93="",C93=""),"",IFERROR(INDEX(LAYOUT!$E$2:$E$33,MATCH(B93&amp;"|"&amp;C93,LAYOUT!$F$2:$F$33,0)),"zona tidak ada di layout"))</f>
        <v/>
      </c>
      <c r="R93" s="14">
        <f>IF(F93="","",IF(OR(I93="",O93=""),0,I93*O93))</f>
        <v/>
      </c>
      <c r="S93" s="14">
        <f>IF(F93="","",SUMIFS($R$2:$R$500,$A$2:$A$500,A93,$C$2:$C$500,C93))</f>
        <v/>
      </c>
      <c r="T93" s="14">
        <f>IF(F93="","",IF(OR(G93="",I93="",J93=""),"CEK data SKU (nama/lebar/tinggi)",IF(COUNTIFS($F$2:$F$500,F93,$I$2:$I$500,"&lt;&gt;"&amp;I93)+COUNTIFS($F$2:$F$500,F93,$J$2:$J$500,"&lt;&gt;"&amp;J93)&gt;0,"CEK data SKU tidak konsisten",IF(Q93="zona tidak ada di layout","CEK zona_no / jenis_fixture",IF(D93&lt;&gt;Q93,"CEK jenis_zona",IF(S93&gt;IFERROR(INDEX(LAYOUT!$C$2:$C$33,MATCH(B93,LAYOUT!$A$2:$A$33,0)),0),"CEK lebar zona melebihi fixture","OK")))))</f>
        <v/>
      </c>
    </row>
    <row r="94">
      <c r="A94" s="15" t="n"/>
      <c r="B94" s="15" t="n"/>
      <c r="C94" s="16" t="n"/>
      <c r="D94" s="15" t="n"/>
      <c r="E94" s="16" t="n"/>
      <c r="F94" s="17" t="n"/>
      <c r="G94" s="15" t="n"/>
      <c r="H94" s="15" t="n"/>
      <c r="I94" s="16" t="n"/>
      <c r="J94" s="16" t="n"/>
      <c r="K94" s="16" t="n"/>
      <c r="L94" s="16" t="n"/>
      <c r="M94" s="16" t="n"/>
      <c r="N94" s="15" t="n"/>
      <c r="O94" s="16" t="n"/>
      <c r="P94" s="16" t="n"/>
      <c r="Q94" s="13">
        <f>IF(OR(B94="",C94=""),"",IFERROR(INDEX(LAYOUT!$E$2:$E$33,MATCH(B94&amp;"|"&amp;C94,LAYOUT!$F$2:$F$33,0)),"zona tidak ada di layout"))</f>
        <v/>
      </c>
      <c r="R94" s="14">
        <f>IF(F94="","",IF(OR(I94="",O94=""),0,I94*O94))</f>
        <v/>
      </c>
      <c r="S94" s="14">
        <f>IF(F94="","",SUMIFS($R$2:$R$500,$A$2:$A$500,A94,$C$2:$C$500,C94))</f>
        <v/>
      </c>
      <c r="T94" s="14">
        <f>IF(F94="","",IF(OR(G94="",I94="",J94=""),"CEK data SKU (nama/lebar/tinggi)",IF(COUNTIFS($F$2:$F$500,F94,$I$2:$I$500,"&lt;&gt;"&amp;I94)+COUNTIFS($F$2:$F$500,F94,$J$2:$J$500,"&lt;&gt;"&amp;J94)&gt;0,"CEK data SKU tidak konsisten",IF(Q94="zona tidak ada di layout","CEK zona_no / jenis_fixture",IF(D94&lt;&gt;Q94,"CEK jenis_zona",IF(S94&gt;IFERROR(INDEX(LAYOUT!$C$2:$C$33,MATCH(B94,LAYOUT!$A$2:$A$33,0)),0),"CEK lebar zona melebihi fixture","OK")))))</f>
        <v/>
      </c>
    </row>
    <row r="95">
      <c r="A95" s="15" t="n"/>
      <c r="B95" s="15" t="n"/>
      <c r="C95" s="16" t="n"/>
      <c r="D95" s="15" t="n"/>
      <c r="E95" s="16" t="n"/>
      <c r="F95" s="17" t="n"/>
      <c r="G95" s="15" t="n"/>
      <c r="H95" s="15" t="n"/>
      <c r="I95" s="16" t="n"/>
      <c r="J95" s="16" t="n"/>
      <c r="K95" s="16" t="n"/>
      <c r="L95" s="16" t="n"/>
      <c r="M95" s="16" t="n"/>
      <c r="N95" s="15" t="n"/>
      <c r="O95" s="16" t="n"/>
      <c r="P95" s="16" t="n"/>
      <c r="Q95" s="13">
        <f>IF(OR(B95="",C95=""),"",IFERROR(INDEX(LAYOUT!$E$2:$E$33,MATCH(B95&amp;"|"&amp;C95,LAYOUT!$F$2:$F$33,0)),"zona tidak ada di layout"))</f>
        <v/>
      </c>
      <c r="R95" s="14">
        <f>IF(F95="","",IF(OR(I95="",O95=""),0,I95*O95))</f>
        <v/>
      </c>
      <c r="S95" s="14">
        <f>IF(F95="","",SUMIFS($R$2:$R$500,$A$2:$A$500,A95,$C$2:$C$500,C95))</f>
        <v/>
      </c>
      <c r="T95" s="14">
        <f>IF(F95="","",IF(OR(G95="",I95="",J95=""),"CEK data SKU (nama/lebar/tinggi)",IF(COUNTIFS($F$2:$F$500,F95,$I$2:$I$500,"&lt;&gt;"&amp;I95)+COUNTIFS($F$2:$F$500,F95,$J$2:$J$500,"&lt;&gt;"&amp;J95)&gt;0,"CEK data SKU tidak konsisten",IF(Q95="zona tidak ada di layout","CEK zona_no / jenis_fixture",IF(D95&lt;&gt;Q95,"CEK jenis_zona",IF(S95&gt;IFERROR(INDEX(LAYOUT!$C$2:$C$33,MATCH(B95,LAYOUT!$A$2:$A$33,0)),0),"CEK lebar zona melebihi fixture","OK")))))</f>
        <v/>
      </c>
    </row>
    <row r="96">
      <c r="A96" s="15" t="n"/>
      <c r="B96" s="15" t="n"/>
      <c r="C96" s="16" t="n"/>
      <c r="D96" s="15" t="n"/>
      <c r="E96" s="16" t="n"/>
      <c r="F96" s="17" t="n"/>
      <c r="G96" s="15" t="n"/>
      <c r="H96" s="15" t="n"/>
      <c r="I96" s="16" t="n"/>
      <c r="J96" s="16" t="n"/>
      <c r="K96" s="16" t="n"/>
      <c r="L96" s="16" t="n"/>
      <c r="M96" s="16" t="n"/>
      <c r="N96" s="15" t="n"/>
      <c r="O96" s="16" t="n"/>
      <c r="P96" s="16" t="n"/>
      <c r="Q96" s="13">
        <f>IF(OR(B96="",C96=""),"",IFERROR(INDEX(LAYOUT!$E$2:$E$33,MATCH(B96&amp;"|"&amp;C96,LAYOUT!$F$2:$F$33,0)),"zona tidak ada di layout"))</f>
        <v/>
      </c>
      <c r="R96" s="14">
        <f>IF(F96="","",IF(OR(I96="",O96=""),0,I96*O96))</f>
        <v/>
      </c>
      <c r="S96" s="14">
        <f>IF(F96="","",SUMIFS($R$2:$R$500,$A$2:$A$500,A96,$C$2:$C$500,C96))</f>
        <v/>
      </c>
      <c r="T96" s="14">
        <f>IF(F96="","",IF(OR(G96="",I96="",J96=""),"CEK data SKU (nama/lebar/tinggi)",IF(COUNTIFS($F$2:$F$500,F96,$I$2:$I$500,"&lt;&gt;"&amp;I96)+COUNTIFS($F$2:$F$500,F96,$J$2:$J$500,"&lt;&gt;"&amp;J96)&gt;0,"CEK data SKU tidak konsisten",IF(Q96="zona tidak ada di layout","CEK zona_no / jenis_fixture",IF(D96&lt;&gt;Q96,"CEK jenis_zona",IF(S96&gt;IFERROR(INDEX(LAYOUT!$C$2:$C$33,MATCH(B96,LAYOUT!$A$2:$A$33,0)),0),"CEK lebar zona melebihi fixture","OK")))))</f>
        <v/>
      </c>
    </row>
    <row r="97">
      <c r="A97" s="15" t="n"/>
      <c r="B97" s="15" t="n"/>
      <c r="C97" s="16" t="n"/>
      <c r="D97" s="15" t="n"/>
      <c r="E97" s="16" t="n"/>
      <c r="F97" s="17" t="n"/>
      <c r="G97" s="15" t="n"/>
      <c r="H97" s="15" t="n"/>
      <c r="I97" s="16" t="n"/>
      <c r="J97" s="16" t="n"/>
      <c r="K97" s="16" t="n"/>
      <c r="L97" s="16" t="n"/>
      <c r="M97" s="16" t="n"/>
      <c r="N97" s="15" t="n"/>
      <c r="O97" s="16" t="n"/>
      <c r="P97" s="16" t="n"/>
      <c r="Q97" s="13">
        <f>IF(OR(B97="",C97=""),"",IFERROR(INDEX(LAYOUT!$E$2:$E$33,MATCH(B97&amp;"|"&amp;C97,LAYOUT!$F$2:$F$33,0)),"zona tidak ada di layout"))</f>
        <v/>
      </c>
      <c r="R97" s="14">
        <f>IF(F97="","",IF(OR(I97="",O97=""),0,I97*O97))</f>
        <v/>
      </c>
      <c r="S97" s="14">
        <f>IF(F97="","",SUMIFS($R$2:$R$500,$A$2:$A$500,A97,$C$2:$C$500,C97))</f>
        <v/>
      </c>
      <c r="T97" s="14">
        <f>IF(F97="","",IF(OR(G97="",I97="",J97=""),"CEK data SKU (nama/lebar/tinggi)",IF(COUNTIFS($F$2:$F$500,F97,$I$2:$I$500,"&lt;&gt;"&amp;I97)+COUNTIFS($F$2:$F$500,F97,$J$2:$J$500,"&lt;&gt;"&amp;J97)&gt;0,"CEK data SKU tidak konsisten",IF(Q97="zona tidak ada di layout","CEK zona_no / jenis_fixture",IF(D97&lt;&gt;Q97,"CEK jenis_zona",IF(S97&gt;IFERROR(INDEX(LAYOUT!$C$2:$C$33,MATCH(B97,LAYOUT!$A$2:$A$33,0)),0),"CEK lebar zona melebihi fixture","OK")))))</f>
        <v/>
      </c>
    </row>
    <row r="98">
      <c r="A98" s="15" t="n"/>
      <c r="B98" s="15" t="n"/>
      <c r="C98" s="16" t="n"/>
      <c r="D98" s="15" t="n"/>
      <c r="E98" s="16" t="n"/>
      <c r="F98" s="17" t="n"/>
      <c r="G98" s="15" t="n"/>
      <c r="H98" s="15" t="n"/>
      <c r="I98" s="16" t="n"/>
      <c r="J98" s="16" t="n"/>
      <c r="K98" s="16" t="n"/>
      <c r="L98" s="16" t="n"/>
      <c r="M98" s="16" t="n"/>
      <c r="N98" s="15" t="n"/>
      <c r="O98" s="16" t="n"/>
      <c r="P98" s="16" t="n"/>
      <c r="Q98" s="13">
        <f>IF(OR(B98="",C98=""),"",IFERROR(INDEX(LAYOUT!$E$2:$E$33,MATCH(B98&amp;"|"&amp;C98,LAYOUT!$F$2:$F$33,0)),"zona tidak ada di layout"))</f>
        <v/>
      </c>
      <c r="R98" s="14">
        <f>IF(F98="","",IF(OR(I98="",O98=""),0,I98*O98))</f>
        <v/>
      </c>
      <c r="S98" s="14">
        <f>IF(F98="","",SUMIFS($R$2:$R$500,$A$2:$A$500,A98,$C$2:$C$500,C98))</f>
        <v/>
      </c>
      <c r="T98" s="14">
        <f>IF(F98="","",IF(OR(G98="",I98="",J98=""),"CEK data SKU (nama/lebar/tinggi)",IF(COUNTIFS($F$2:$F$500,F98,$I$2:$I$500,"&lt;&gt;"&amp;I98)+COUNTIFS($F$2:$F$500,F98,$J$2:$J$500,"&lt;&gt;"&amp;J98)&gt;0,"CEK data SKU tidak konsisten",IF(Q98="zona tidak ada di layout","CEK zona_no / jenis_fixture",IF(D98&lt;&gt;Q98,"CEK jenis_zona",IF(S98&gt;IFERROR(INDEX(LAYOUT!$C$2:$C$33,MATCH(B98,LAYOUT!$A$2:$A$33,0)),0),"CEK lebar zona melebihi fixture","OK")))))</f>
        <v/>
      </c>
    </row>
    <row r="99">
      <c r="A99" s="15" t="n"/>
      <c r="B99" s="15" t="n"/>
      <c r="C99" s="16" t="n"/>
      <c r="D99" s="15" t="n"/>
      <c r="E99" s="16" t="n"/>
      <c r="F99" s="17" t="n"/>
      <c r="G99" s="15" t="n"/>
      <c r="H99" s="15" t="n"/>
      <c r="I99" s="16" t="n"/>
      <c r="J99" s="16" t="n"/>
      <c r="K99" s="16" t="n"/>
      <c r="L99" s="16" t="n"/>
      <c r="M99" s="16" t="n"/>
      <c r="N99" s="15" t="n"/>
      <c r="O99" s="16" t="n"/>
      <c r="P99" s="16" t="n"/>
      <c r="Q99" s="13">
        <f>IF(OR(B99="",C99=""),"",IFERROR(INDEX(LAYOUT!$E$2:$E$33,MATCH(B99&amp;"|"&amp;C99,LAYOUT!$F$2:$F$33,0)),"zona tidak ada di layout"))</f>
        <v/>
      </c>
      <c r="R99" s="14">
        <f>IF(F99="","",IF(OR(I99="",O99=""),0,I99*O99))</f>
        <v/>
      </c>
      <c r="S99" s="14">
        <f>IF(F99="","",SUMIFS($R$2:$R$500,$A$2:$A$500,A99,$C$2:$C$500,C99))</f>
        <v/>
      </c>
      <c r="T99" s="14">
        <f>IF(F99="","",IF(OR(G99="",I99="",J99=""),"CEK data SKU (nama/lebar/tinggi)",IF(COUNTIFS($F$2:$F$500,F99,$I$2:$I$500,"&lt;&gt;"&amp;I99)+COUNTIFS($F$2:$F$500,F99,$J$2:$J$500,"&lt;&gt;"&amp;J99)&gt;0,"CEK data SKU tidak konsisten",IF(Q99="zona tidak ada di layout","CEK zona_no / jenis_fixture",IF(D99&lt;&gt;Q99,"CEK jenis_zona",IF(S99&gt;IFERROR(INDEX(LAYOUT!$C$2:$C$33,MATCH(B99,LAYOUT!$A$2:$A$33,0)),0),"CEK lebar zona melebihi fixture","OK")))))</f>
        <v/>
      </c>
    </row>
    <row r="100">
      <c r="A100" s="15" t="n"/>
      <c r="B100" s="15" t="n"/>
      <c r="C100" s="16" t="n"/>
      <c r="D100" s="15" t="n"/>
      <c r="E100" s="16" t="n"/>
      <c r="F100" s="17" t="n"/>
      <c r="G100" s="15" t="n"/>
      <c r="H100" s="15" t="n"/>
      <c r="I100" s="16" t="n"/>
      <c r="J100" s="16" t="n"/>
      <c r="K100" s="16" t="n"/>
      <c r="L100" s="16" t="n"/>
      <c r="M100" s="16" t="n"/>
      <c r="N100" s="15" t="n"/>
      <c r="O100" s="16" t="n"/>
      <c r="P100" s="16" t="n"/>
      <c r="Q100" s="13">
        <f>IF(OR(B100="",C100=""),"",IFERROR(INDEX(LAYOUT!$E$2:$E$33,MATCH(B100&amp;"|"&amp;C100,LAYOUT!$F$2:$F$33,0)),"zona tidak ada di layout"))</f>
        <v/>
      </c>
      <c r="R100" s="14">
        <f>IF(F100="","",IF(OR(I100="",O100=""),0,I100*O100))</f>
        <v/>
      </c>
      <c r="S100" s="14">
        <f>IF(F100="","",SUMIFS($R$2:$R$500,$A$2:$A$500,A100,$C$2:$C$500,C100))</f>
        <v/>
      </c>
      <c r="T100" s="14">
        <f>IF(F100="","",IF(OR(G100="",I100="",J100=""),"CEK data SKU (nama/lebar/tinggi)",IF(COUNTIFS($F$2:$F$500,F100,$I$2:$I$500,"&lt;&gt;"&amp;I100)+COUNTIFS($F$2:$F$500,F100,$J$2:$J$500,"&lt;&gt;"&amp;J100)&gt;0,"CEK data SKU tidak konsisten",IF(Q100="zona tidak ada di layout","CEK zona_no / jenis_fixture",IF(D100&lt;&gt;Q100,"CEK jenis_zona",IF(S100&gt;IFERROR(INDEX(LAYOUT!$C$2:$C$33,MATCH(B100,LAYOUT!$A$2:$A$33,0)),0),"CEK lebar zona melebihi fixture","OK")))))</f>
        <v/>
      </c>
    </row>
    <row r="101">
      <c r="A101" s="15" t="n"/>
      <c r="B101" s="15" t="n"/>
      <c r="C101" s="16" t="n"/>
      <c r="D101" s="15" t="n"/>
      <c r="E101" s="16" t="n"/>
      <c r="F101" s="17" t="n"/>
      <c r="G101" s="15" t="n"/>
      <c r="H101" s="15" t="n"/>
      <c r="I101" s="16" t="n"/>
      <c r="J101" s="16" t="n"/>
      <c r="K101" s="16" t="n"/>
      <c r="L101" s="16" t="n"/>
      <c r="M101" s="16" t="n"/>
      <c r="N101" s="15" t="n"/>
      <c r="O101" s="16" t="n"/>
      <c r="P101" s="16" t="n"/>
      <c r="Q101" s="13">
        <f>IF(OR(B101="",C101=""),"",IFERROR(INDEX(LAYOUT!$E$2:$E$33,MATCH(B101&amp;"|"&amp;C101,LAYOUT!$F$2:$F$33,0)),"zona tidak ada di layout"))</f>
        <v/>
      </c>
      <c r="R101" s="14">
        <f>IF(F101="","",IF(OR(I101="",O101=""),0,I101*O101))</f>
        <v/>
      </c>
      <c r="S101" s="14">
        <f>IF(F101="","",SUMIFS($R$2:$R$500,$A$2:$A$500,A101,$C$2:$C$500,C101))</f>
        <v/>
      </c>
      <c r="T101" s="14">
        <f>IF(F101="","",IF(OR(G101="",I101="",J101=""),"CEK data SKU (nama/lebar/tinggi)",IF(COUNTIFS($F$2:$F$500,F101,$I$2:$I$500,"&lt;&gt;"&amp;I101)+COUNTIFS($F$2:$F$500,F101,$J$2:$J$500,"&lt;&gt;"&amp;J101)&gt;0,"CEK data SKU tidak konsisten",IF(Q101="zona tidak ada di layout","CEK zona_no / jenis_fixture",IF(D101&lt;&gt;Q101,"CEK jenis_zona",IF(S101&gt;IFERROR(INDEX(LAYOUT!$C$2:$C$33,MATCH(B101,LAYOUT!$A$2:$A$33,0)),0),"CEK lebar zona melebihi fixture","OK")))))</f>
        <v/>
      </c>
    </row>
    <row r="102">
      <c r="A102" s="15" t="n"/>
      <c r="B102" s="15" t="n"/>
      <c r="C102" s="16" t="n"/>
      <c r="D102" s="15" t="n"/>
      <c r="E102" s="16" t="n"/>
      <c r="F102" s="17" t="n"/>
      <c r="G102" s="15" t="n"/>
      <c r="H102" s="15" t="n"/>
      <c r="I102" s="16" t="n"/>
      <c r="J102" s="16" t="n"/>
      <c r="K102" s="16" t="n"/>
      <c r="L102" s="16" t="n"/>
      <c r="M102" s="16" t="n"/>
      <c r="N102" s="15" t="n"/>
      <c r="O102" s="16" t="n"/>
      <c r="P102" s="16" t="n"/>
      <c r="Q102" s="13">
        <f>IF(OR(B102="",C102=""),"",IFERROR(INDEX(LAYOUT!$E$2:$E$33,MATCH(B102&amp;"|"&amp;C102,LAYOUT!$F$2:$F$33,0)),"zona tidak ada di layout"))</f>
        <v/>
      </c>
      <c r="R102" s="14">
        <f>IF(F102="","",IF(OR(I102="",O102=""),0,I102*O102))</f>
        <v/>
      </c>
      <c r="S102" s="14">
        <f>IF(F102="","",SUMIFS($R$2:$R$500,$A$2:$A$500,A102,$C$2:$C$500,C102))</f>
        <v/>
      </c>
      <c r="T102" s="14">
        <f>IF(F102="","",IF(OR(G102="",I102="",J102=""),"CEK data SKU (nama/lebar/tinggi)",IF(COUNTIFS($F$2:$F$500,F102,$I$2:$I$500,"&lt;&gt;"&amp;I102)+COUNTIFS($F$2:$F$500,F102,$J$2:$J$500,"&lt;&gt;"&amp;J102)&gt;0,"CEK data SKU tidak konsisten",IF(Q102="zona tidak ada di layout","CEK zona_no / jenis_fixture",IF(D102&lt;&gt;Q102,"CEK jenis_zona",IF(S102&gt;IFERROR(INDEX(LAYOUT!$C$2:$C$33,MATCH(B102,LAYOUT!$A$2:$A$33,0)),0),"CEK lebar zona melebihi fixture","OK")))))</f>
        <v/>
      </c>
    </row>
    <row r="103">
      <c r="A103" s="15" t="n"/>
      <c r="B103" s="15" t="n"/>
      <c r="C103" s="16" t="n"/>
      <c r="D103" s="15" t="n"/>
      <c r="E103" s="16" t="n"/>
      <c r="F103" s="17" t="n"/>
      <c r="G103" s="15" t="n"/>
      <c r="H103" s="15" t="n"/>
      <c r="I103" s="16" t="n"/>
      <c r="J103" s="16" t="n"/>
      <c r="K103" s="16" t="n"/>
      <c r="L103" s="16" t="n"/>
      <c r="M103" s="16" t="n"/>
      <c r="N103" s="15" t="n"/>
      <c r="O103" s="16" t="n"/>
      <c r="P103" s="16" t="n"/>
      <c r="Q103" s="13">
        <f>IF(OR(B103="",C103=""),"",IFERROR(INDEX(LAYOUT!$E$2:$E$33,MATCH(B103&amp;"|"&amp;C103,LAYOUT!$F$2:$F$33,0)),"zona tidak ada di layout"))</f>
        <v/>
      </c>
      <c r="R103" s="14">
        <f>IF(F103="","",IF(OR(I103="",O103=""),0,I103*O103))</f>
        <v/>
      </c>
      <c r="S103" s="14">
        <f>IF(F103="","",SUMIFS($R$2:$R$500,$A$2:$A$500,A103,$C$2:$C$500,C103))</f>
        <v/>
      </c>
      <c r="T103" s="14">
        <f>IF(F103="","",IF(OR(G103="",I103="",J103=""),"CEK data SKU (nama/lebar/tinggi)",IF(COUNTIFS($F$2:$F$500,F103,$I$2:$I$500,"&lt;&gt;"&amp;I103)+COUNTIFS($F$2:$F$500,F103,$J$2:$J$500,"&lt;&gt;"&amp;J103)&gt;0,"CEK data SKU tidak konsisten",IF(Q103="zona tidak ada di layout","CEK zona_no / jenis_fixture",IF(D103&lt;&gt;Q103,"CEK jenis_zona",IF(S103&gt;IFERROR(INDEX(LAYOUT!$C$2:$C$33,MATCH(B103,LAYOUT!$A$2:$A$33,0)),0),"CEK lebar zona melebihi fixture","OK")))))</f>
        <v/>
      </c>
    </row>
    <row r="104">
      <c r="A104" s="15" t="n"/>
      <c r="B104" s="15" t="n"/>
      <c r="C104" s="16" t="n"/>
      <c r="D104" s="15" t="n"/>
      <c r="E104" s="16" t="n"/>
      <c r="F104" s="17" t="n"/>
      <c r="G104" s="15" t="n"/>
      <c r="H104" s="15" t="n"/>
      <c r="I104" s="16" t="n"/>
      <c r="J104" s="16" t="n"/>
      <c r="K104" s="16" t="n"/>
      <c r="L104" s="16" t="n"/>
      <c r="M104" s="16" t="n"/>
      <c r="N104" s="15" t="n"/>
      <c r="O104" s="16" t="n"/>
      <c r="P104" s="16" t="n"/>
      <c r="Q104" s="13">
        <f>IF(OR(B104="",C104=""),"",IFERROR(INDEX(LAYOUT!$E$2:$E$33,MATCH(B104&amp;"|"&amp;C104,LAYOUT!$F$2:$F$33,0)),"zona tidak ada di layout"))</f>
        <v/>
      </c>
      <c r="R104" s="14">
        <f>IF(F104="","",IF(OR(I104="",O104=""),0,I104*O104))</f>
        <v/>
      </c>
      <c r="S104" s="14">
        <f>IF(F104="","",SUMIFS($R$2:$R$500,$A$2:$A$500,A104,$C$2:$C$500,C104))</f>
        <v/>
      </c>
      <c r="T104" s="14">
        <f>IF(F104="","",IF(OR(G104="",I104="",J104=""),"CEK data SKU (nama/lebar/tinggi)",IF(COUNTIFS($F$2:$F$500,F104,$I$2:$I$500,"&lt;&gt;"&amp;I104)+COUNTIFS($F$2:$F$500,F104,$J$2:$J$500,"&lt;&gt;"&amp;J104)&gt;0,"CEK data SKU tidak konsisten",IF(Q104="zona tidak ada di layout","CEK zona_no / jenis_fixture",IF(D104&lt;&gt;Q104,"CEK jenis_zona",IF(S104&gt;IFERROR(INDEX(LAYOUT!$C$2:$C$33,MATCH(B104,LAYOUT!$A$2:$A$33,0)),0),"CEK lebar zona melebihi fixture","OK")))))</f>
        <v/>
      </c>
    </row>
    <row r="105">
      <c r="A105" s="15" t="n"/>
      <c r="B105" s="15" t="n"/>
      <c r="C105" s="16" t="n"/>
      <c r="D105" s="15" t="n"/>
      <c r="E105" s="16" t="n"/>
      <c r="F105" s="17" t="n"/>
      <c r="G105" s="15" t="n"/>
      <c r="H105" s="15" t="n"/>
      <c r="I105" s="16" t="n"/>
      <c r="J105" s="16" t="n"/>
      <c r="K105" s="16" t="n"/>
      <c r="L105" s="16" t="n"/>
      <c r="M105" s="16" t="n"/>
      <c r="N105" s="15" t="n"/>
      <c r="O105" s="16" t="n"/>
      <c r="P105" s="16" t="n"/>
      <c r="Q105" s="13">
        <f>IF(OR(B105="",C105=""),"",IFERROR(INDEX(LAYOUT!$E$2:$E$33,MATCH(B105&amp;"|"&amp;C105,LAYOUT!$F$2:$F$33,0)),"zona tidak ada di layout"))</f>
        <v/>
      </c>
      <c r="R105" s="14">
        <f>IF(F105="","",IF(OR(I105="",O105=""),0,I105*O105))</f>
        <v/>
      </c>
      <c r="S105" s="14">
        <f>IF(F105="","",SUMIFS($R$2:$R$500,$A$2:$A$500,A105,$C$2:$C$500,C105))</f>
        <v/>
      </c>
      <c r="T105" s="14">
        <f>IF(F105="","",IF(OR(G105="",I105="",J105=""),"CEK data SKU (nama/lebar/tinggi)",IF(COUNTIFS($F$2:$F$500,F105,$I$2:$I$500,"&lt;&gt;"&amp;I105)+COUNTIFS($F$2:$F$500,F105,$J$2:$J$500,"&lt;&gt;"&amp;J105)&gt;0,"CEK data SKU tidak konsisten",IF(Q105="zona tidak ada di layout","CEK zona_no / jenis_fixture",IF(D105&lt;&gt;Q105,"CEK jenis_zona",IF(S105&gt;IFERROR(INDEX(LAYOUT!$C$2:$C$33,MATCH(B105,LAYOUT!$A$2:$A$33,0)),0),"CEK lebar zona melebihi fixture","OK")))))</f>
        <v/>
      </c>
    </row>
    <row r="106">
      <c r="A106" s="15" t="n"/>
      <c r="B106" s="15" t="n"/>
      <c r="C106" s="16" t="n"/>
      <c r="D106" s="15" t="n"/>
      <c r="E106" s="16" t="n"/>
      <c r="F106" s="17" t="n"/>
      <c r="G106" s="15" t="n"/>
      <c r="H106" s="15" t="n"/>
      <c r="I106" s="16" t="n"/>
      <c r="J106" s="16" t="n"/>
      <c r="K106" s="16" t="n"/>
      <c r="L106" s="16" t="n"/>
      <c r="M106" s="16" t="n"/>
      <c r="N106" s="15" t="n"/>
      <c r="O106" s="16" t="n"/>
      <c r="P106" s="16" t="n"/>
      <c r="Q106" s="13">
        <f>IF(OR(B106="",C106=""),"",IFERROR(INDEX(LAYOUT!$E$2:$E$33,MATCH(B106&amp;"|"&amp;C106,LAYOUT!$F$2:$F$33,0)),"zona tidak ada di layout"))</f>
        <v/>
      </c>
      <c r="R106" s="14">
        <f>IF(F106="","",IF(OR(I106="",O106=""),0,I106*O106))</f>
        <v/>
      </c>
      <c r="S106" s="14">
        <f>IF(F106="","",SUMIFS($R$2:$R$500,$A$2:$A$500,A106,$C$2:$C$500,C106))</f>
        <v/>
      </c>
      <c r="T106" s="14">
        <f>IF(F106="","",IF(OR(G106="",I106="",J106=""),"CEK data SKU (nama/lebar/tinggi)",IF(COUNTIFS($F$2:$F$500,F106,$I$2:$I$500,"&lt;&gt;"&amp;I106)+COUNTIFS($F$2:$F$500,F106,$J$2:$J$500,"&lt;&gt;"&amp;J106)&gt;0,"CEK data SKU tidak konsisten",IF(Q106="zona tidak ada di layout","CEK zona_no / jenis_fixture",IF(D106&lt;&gt;Q106,"CEK jenis_zona",IF(S106&gt;IFERROR(INDEX(LAYOUT!$C$2:$C$33,MATCH(B106,LAYOUT!$A$2:$A$33,0)),0),"CEK lebar zona melebihi fixture","OK")))))</f>
        <v/>
      </c>
    </row>
    <row r="107">
      <c r="A107" s="15" t="n"/>
      <c r="B107" s="15" t="n"/>
      <c r="C107" s="16" t="n"/>
      <c r="D107" s="15" t="n"/>
      <c r="E107" s="16" t="n"/>
      <c r="F107" s="17" t="n"/>
      <c r="G107" s="15" t="n"/>
      <c r="H107" s="15" t="n"/>
      <c r="I107" s="16" t="n"/>
      <c r="J107" s="16" t="n"/>
      <c r="K107" s="16" t="n"/>
      <c r="L107" s="16" t="n"/>
      <c r="M107" s="16" t="n"/>
      <c r="N107" s="15" t="n"/>
      <c r="O107" s="16" t="n"/>
      <c r="P107" s="16" t="n"/>
      <c r="Q107" s="13">
        <f>IF(OR(B107="",C107=""),"",IFERROR(INDEX(LAYOUT!$E$2:$E$33,MATCH(B107&amp;"|"&amp;C107,LAYOUT!$F$2:$F$33,0)),"zona tidak ada di layout"))</f>
        <v/>
      </c>
      <c r="R107" s="14">
        <f>IF(F107="","",IF(OR(I107="",O107=""),0,I107*O107))</f>
        <v/>
      </c>
      <c r="S107" s="14">
        <f>IF(F107="","",SUMIFS($R$2:$R$500,$A$2:$A$500,A107,$C$2:$C$500,C107))</f>
        <v/>
      </c>
      <c r="T107" s="14">
        <f>IF(F107="","",IF(OR(G107="",I107="",J107=""),"CEK data SKU (nama/lebar/tinggi)",IF(COUNTIFS($F$2:$F$500,F107,$I$2:$I$500,"&lt;&gt;"&amp;I107)+COUNTIFS($F$2:$F$500,F107,$J$2:$J$500,"&lt;&gt;"&amp;J107)&gt;0,"CEK data SKU tidak konsisten",IF(Q107="zona tidak ada di layout","CEK zona_no / jenis_fixture",IF(D107&lt;&gt;Q107,"CEK jenis_zona",IF(S107&gt;IFERROR(INDEX(LAYOUT!$C$2:$C$33,MATCH(B107,LAYOUT!$A$2:$A$33,0)),0),"CEK lebar zona melebihi fixture","OK")))))</f>
        <v/>
      </c>
    </row>
    <row r="108">
      <c r="A108" s="15" t="n"/>
      <c r="B108" s="15" t="n"/>
      <c r="C108" s="16" t="n"/>
      <c r="D108" s="15" t="n"/>
      <c r="E108" s="16" t="n"/>
      <c r="F108" s="17" t="n"/>
      <c r="G108" s="15" t="n"/>
      <c r="H108" s="15" t="n"/>
      <c r="I108" s="16" t="n"/>
      <c r="J108" s="16" t="n"/>
      <c r="K108" s="16" t="n"/>
      <c r="L108" s="16" t="n"/>
      <c r="M108" s="16" t="n"/>
      <c r="N108" s="15" t="n"/>
      <c r="O108" s="16" t="n"/>
      <c r="P108" s="16" t="n"/>
      <c r="Q108" s="13">
        <f>IF(OR(B108="",C108=""),"",IFERROR(INDEX(LAYOUT!$E$2:$E$33,MATCH(B108&amp;"|"&amp;C108,LAYOUT!$F$2:$F$33,0)),"zona tidak ada di layout"))</f>
        <v/>
      </c>
      <c r="R108" s="14">
        <f>IF(F108="","",IF(OR(I108="",O108=""),0,I108*O108))</f>
        <v/>
      </c>
      <c r="S108" s="14">
        <f>IF(F108="","",SUMIFS($R$2:$R$500,$A$2:$A$500,A108,$C$2:$C$500,C108))</f>
        <v/>
      </c>
      <c r="T108" s="14">
        <f>IF(F108="","",IF(OR(G108="",I108="",J108=""),"CEK data SKU (nama/lebar/tinggi)",IF(COUNTIFS($F$2:$F$500,F108,$I$2:$I$500,"&lt;&gt;"&amp;I108)+COUNTIFS($F$2:$F$500,F108,$J$2:$J$500,"&lt;&gt;"&amp;J108)&gt;0,"CEK data SKU tidak konsisten",IF(Q108="zona tidak ada di layout","CEK zona_no / jenis_fixture",IF(D108&lt;&gt;Q108,"CEK jenis_zona",IF(S108&gt;IFERROR(INDEX(LAYOUT!$C$2:$C$33,MATCH(B108,LAYOUT!$A$2:$A$33,0)),0),"CEK lebar zona melebihi fixture","OK")))))</f>
        <v/>
      </c>
    </row>
    <row r="109">
      <c r="A109" s="15" t="n"/>
      <c r="B109" s="15" t="n"/>
      <c r="C109" s="16" t="n"/>
      <c r="D109" s="15" t="n"/>
      <c r="E109" s="16" t="n"/>
      <c r="F109" s="17" t="n"/>
      <c r="G109" s="15" t="n"/>
      <c r="H109" s="15" t="n"/>
      <c r="I109" s="16" t="n"/>
      <c r="J109" s="16" t="n"/>
      <c r="K109" s="16" t="n"/>
      <c r="L109" s="16" t="n"/>
      <c r="M109" s="16" t="n"/>
      <c r="N109" s="15" t="n"/>
      <c r="O109" s="16" t="n"/>
      <c r="P109" s="16" t="n"/>
      <c r="Q109" s="13">
        <f>IF(OR(B109="",C109=""),"",IFERROR(INDEX(LAYOUT!$E$2:$E$33,MATCH(B109&amp;"|"&amp;C109,LAYOUT!$F$2:$F$33,0)),"zona tidak ada di layout"))</f>
        <v/>
      </c>
      <c r="R109" s="14">
        <f>IF(F109="","",IF(OR(I109="",O109=""),0,I109*O109))</f>
        <v/>
      </c>
      <c r="S109" s="14">
        <f>IF(F109="","",SUMIFS($R$2:$R$500,$A$2:$A$500,A109,$C$2:$C$500,C109))</f>
        <v/>
      </c>
      <c r="T109" s="14">
        <f>IF(F109="","",IF(OR(G109="",I109="",J109=""),"CEK data SKU (nama/lebar/tinggi)",IF(COUNTIFS($F$2:$F$500,F109,$I$2:$I$500,"&lt;&gt;"&amp;I109)+COUNTIFS($F$2:$F$500,F109,$J$2:$J$500,"&lt;&gt;"&amp;J109)&gt;0,"CEK data SKU tidak konsisten",IF(Q109="zona tidak ada di layout","CEK zona_no / jenis_fixture",IF(D109&lt;&gt;Q109,"CEK jenis_zona",IF(S109&gt;IFERROR(INDEX(LAYOUT!$C$2:$C$33,MATCH(B109,LAYOUT!$A$2:$A$33,0)),0),"CEK lebar zona melebihi fixture","OK")))))</f>
        <v/>
      </c>
    </row>
    <row r="110">
      <c r="A110" s="15" t="n"/>
      <c r="B110" s="15" t="n"/>
      <c r="C110" s="16" t="n"/>
      <c r="D110" s="15" t="n"/>
      <c r="E110" s="16" t="n"/>
      <c r="F110" s="17" t="n"/>
      <c r="G110" s="15" t="n"/>
      <c r="H110" s="15" t="n"/>
      <c r="I110" s="16" t="n"/>
      <c r="J110" s="16" t="n"/>
      <c r="K110" s="16" t="n"/>
      <c r="L110" s="16" t="n"/>
      <c r="M110" s="16" t="n"/>
      <c r="N110" s="15" t="n"/>
      <c r="O110" s="16" t="n"/>
      <c r="P110" s="16" t="n"/>
      <c r="Q110" s="13">
        <f>IF(OR(B110="",C110=""),"",IFERROR(INDEX(LAYOUT!$E$2:$E$33,MATCH(B110&amp;"|"&amp;C110,LAYOUT!$F$2:$F$33,0)),"zona tidak ada di layout"))</f>
        <v/>
      </c>
      <c r="R110" s="14">
        <f>IF(F110="","",IF(OR(I110="",O110=""),0,I110*O110))</f>
        <v/>
      </c>
      <c r="S110" s="14">
        <f>IF(F110="","",SUMIFS($R$2:$R$500,$A$2:$A$500,A110,$C$2:$C$500,C110))</f>
        <v/>
      </c>
      <c r="T110" s="14">
        <f>IF(F110="","",IF(OR(G110="",I110="",J110=""),"CEK data SKU (nama/lebar/tinggi)",IF(COUNTIFS($F$2:$F$500,F110,$I$2:$I$500,"&lt;&gt;"&amp;I110)+COUNTIFS($F$2:$F$500,F110,$J$2:$J$500,"&lt;&gt;"&amp;J110)&gt;0,"CEK data SKU tidak konsisten",IF(Q110="zona tidak ada di layout","CEK zona_no / jenis_fixture",IF(D110&lt;&gt;Q110,"CEK jenis_zona",IF(S110&gt;IFERROR(INDEX(LAYOUT!$C$2:$C$33,MATCH(B110,LAYOUT!$A$2:$A$33,0)),0),"CEK lebar zona melebihi fixture","OK")))))</f>
        <v/>
      </c>
    </row>
    <row r="111">
      <c r="A111" s="15" t="n"/>
      <c r="B111" s="15" t="n"/>
      <c r="C111" s="16" t="n"/>
      <c r="D111" s="15" t="n"/>
      <c r="E111" s="16" t="n"/>
      <c r="F111" s="17" t="n"/>
      <c r="G111" s="15" t="n"/>
      <c r="H111" s="15" t="n"/>
      <c r="I111" s="16" t="n"/>
      <c r="J111" s="16" t="n"/>
      <c r="K111" s="16" t="n"/>
      <c r="L111" s="16" t="n"/>
      <c r="M111" s="16" t="n"/>
      <c r="N111" s="15" t="n"/>
      <c r="O111" s="16" t="n"/>
      <c r="P111" s="16" t="n"/>
      <c r="Q111" s="13">
        <f>IF(OR(B111="",C111=""),"",IFERROR(INDEX(LAYOUT!$E$2:$E$33,MATCH(B111&amp;"|"&amp;C111,LAYOUT!$F$2:$F$33,0)),"zona tidak ada di layout"))</f>
        <v/>
      </c>
      <c r="R111" s="14">
        <f>IF(F111="","",IF(OR(I111="",O111=""),0,I111*O111))</f>
        <v/>
      </c>
      <c r="S111" s="14">
        <f>IF(F111="","",SUMIFS($R$2:$R$500,$A$2:$A$500,A111,$C$2:$C$500,C111))</f>
        <v/>
      </c>
      <c r="T111" s="14">
        <f>IF(F111="","",IF(OR(G111="",I111="",J111=""),"CEK data SKU (nama/lebar/tinggi)",IF(COUNTIFS($F$2:$F$500,F111,$I$2:$I$500,"&lt;&gt;"&amp;I111)+COUNTIFS($F$2:$F$500,F111,$J$2:$J$500,"&lt;&gt;"&amp;J111)&gt;0,"CEK data SKU tidak konsisten",IF(Q111="zona tidak ada di layout","CEK zona_no / jenis_fixture",IF(D111&lt;&gt;Q111,"CEK jenis_zona",IF(S111&gt;IFERROR(INDEX(LAYOUT!$C$2:$C$33,MATCH(B111,LAYOUT!$A$2:$A$33,0)),0),"CEK lebar zona melebihi fixture","OK")))))</f>
        <v/>
      </c>
    </row>
    <row r="112">
      <c r="A112" s="15" t="n"/>
      <c r="B112" s="15" t="n"/>
      <c r="C112" s="16" t="n"/>
      <c r="D112" s="15" t="n"/>
      <c r="E112" s="16" t="n"/>
      <c r="F112" s="17" t="n"/>
      <c r="G112" s="15" t="n"/>
      <c r="H112" s="15" t="n"/>
      <c r="I112" s="16" t="n"/>
      <c r="J112" s="16" t="n"/>
      <c r="K112" s="16" t="n"/>
      <c r="L112" s="16" t="n"/>
      <c r="M112" s="16" t="n"/>
      <c r="N112" s="15" t="n"/>
      <c r="O112" s="16" t="n"/>
      <c r="P112" s="16" t="n"/>
      <c r="Q112" s="13">
        <f>IF(OR(B112="",C112=""),"",IFERROR(INDEX(LAYOUT!$E$2:$E$33,MATCH(B112&amp;"|"&amp;C112,LAYOUT!$F$2:$F$33,0)),"zona tidak ada di layout"))</f>
        <v/>
      </c>
      <c r="R112" s="14">
        <f>IF(F112="","",IF(OR(I112="",O112=""),0,I112*O112))</f>
        <v/>
      </c>
      <c r="S112" s="14">
        <f>IF(F112="","",SUMIFS($R$2:$R$500,$A$2:$A$500,A112,$C$2:$C$500,C112))</f>
        <v/>
      </c>
      <c r="T112" s="14">
        <f>IF(F112="","",IF(OR(G112="",I112="",J112=""),"CEK data SKU (nama/lebar/tinggi)",IF(COUNTIFS($F$2:$F$500,F112,$I$2:$I$500,"&lt;&gt;"&amp;I112)+COUNTIFS($F$2:$F$500,F112,$J$2:$J$500,"&lt;&gt;"&amp;J112)&gt;0,"CEK data SKU tidak konsisten",IF(Q112="zona tidak ada di layout","CEK zona_no / jenis_fixture",IF(D112&lt;&gt;Q112,"CEK jenis_zona",IF(S112&gt;IFERROR(INDEX(LAYOUT!$C$2:$C$33,MATCH(B112,LAYOUT!$A$2:$A$33,0)),0),"CEK lebar zona melebihi fixture","OK")))))</f>
        <v/>
      </c>
    </row>
    <row r="113">
      <c r="A113" s="15" t="n"/>
      <c r="B113" s="15" t="n"/>
      <c r="C113" s="16" t="n"/>
      <c r="D113" s="15" t="n"/>
      <c r="E113" s="16" t="n"/>
      <c r="F113" s="17" t="n"/>
      <c r="G113" s="15" t="n"/>
      <c r="H113" s="15" t="n"/>
      <c r="I113" s="16" t="n"/>
      <c r="J113" s="16" t="n"/>
      <c r="K113" s="16" t="n"/>
      <c r="L113" s="16" t="n"/>
      <c r="M113" s="16" t="n"/>
      <c r="N113" s="15" t="n"/>
      <c r="O113" s="16" t="n"/>
      <c r="P113" s="16" t="n"/>
      <c r="Q113" s="13">
        <f>IF(OR(B113="",C113=""),"",IFERROR(INDEX(LAYOUT!$E$2:$E$33,MATCH(B113&amp;"|"&amp;C113,LAYOUT!$F$2:$F$33,0)),"zona tidak ada di layout"))</f>
        <v/>
      </c>
      <c r="R113" s="14">
        <f>IF(F113="","",IF(OR(I113="",O113=""),0,I113*O113))</f>
        <v/>
      </c>
      <c r="S113" s="14">
        <f>IF(F113="","",SUMIFS($R$2:$R$500,$A$2:$A$500,A113,$C$2:$C$500,C113))</f>
        <v/>
      </c>
      <c r="T113" s="14">
        <f>IF(F113="","",IF(OR(G113="",I113="",J113=""),"CEK data SKU (nama/lebar/tinggi)",IF(COUNTIFS($F$2:$F$500,F113,$I$2:$I$500,"&lt;&gt;"&amp;I113)+COUNTIFS($F$2:$F$500,F113,$J$2:$J$500,"&lt;&gt;"&amp;J113)&gt;0,"CEK data SKU tidak konsisten",IF(Q113="zona tidak ada di layout","CEK zona_no / jenis_fixture",IF(D113&lt;&gt;Q113,"CEK jenis_zona",IF(S113&gt;IFERROR(INDEX(LAYOUT!$C$2:$C$33,MATCH(B113,LAYOUT!$A$2:$A$33,0)),0),"CEK lebar zona melebihi fixture","OK")))))</f>
        <v/>
      </c>
    </row>
    <row r="114">
      <c r="A114" s="15" t="n"/>
      <c r="B114" s="15" t="n"/>
      <c r="C114" s="16" t="n"/>
      <c r="D114" s="15" t="n"/>
      <c r="E114" s="16" t="n"/>
      <c r="F114" s="17" t="n"/>
      <c r="G114" s="15" t="n"/>
      <c r="H114" s="15" t="n"/>
      <c r="I114" s="16" t="n"/>
      <c r="J114" s="16" t="n"/>
      <c r="K114" s="16" t="n"/>
      <c r="L114" s="16" t="n"/>
      <c r="M114" s="16" t="n"/>
      <c r="N114" s="15" t="n"/>
      <c r="O114" s="16" t="n"/>
      <c r="P114" s="16" t="n"/>
      <c r="Q114" s="13">
        <f>IF(OR(B114="",C114=""),"",IFERROR(INDEX(LAYOUT!$E$2:$E$33,MATCH(B114&amp;"|"&amp;C114,LAYOUT!$F$2:$F$33,0)),"zona tidak ada di layout"))</f>
        <v/>
      </c>
      <c r="R114" s="14">
        <f>IF(F114="","",IF(OR(I114="",O114=""),0,I114*O114))</f>
        <v/>
      </c>
      <c r="S114" s="14">
        <f>IF(F114="","",SUMIFS($R$2:$R$500,$A$2:$A$500,A114,$C$2:$C$500,C114))</f>
        <v/>
      </c>
      <c r="T114" s="14">
        <f>IF(F114="","",IF(OR(G114="",I114="",J114=""),"CEK data SKU (nama/lebar/tinggi)",IF(COUNTIFS($F$2:$F$500,F114,$I$2:$I$500,"&lt;&gt;"&amp;I114)+COUNTIFS($F$2:$F$500,F114,$J$2:$J$500,"&lt;&gt;"&amp;J114)&gt;0,"CEK data SKU tidak konsisten",IF(Q114="zona tidak ada di layout","CEK zona_no / jenis_fixture",IF(D114&lt;&gt;Q114,"CEK jenis_zona",IF(S114&gt;IFERROR(INDEX(LAYOUT!$C$2:$C$33,MATCH(B114,LAYOUT!$A$2:$A$33,0)),0),"CEK lebar zona melebihi fixture","OK")))))</f>
        <v/>
      </c>
    </row>
    <row r="115">
      <c r="A115" s="15" t="n"/>
      <c r="B115" s="15" t="n"/>
      <c r="C115" s="16" t="n"/>
      <c r="D115" s="15" t="n"/>
      <c r="E115" s="16" t="n"/>
      <c r="F115" s="17" t="n"/>
      <c r="G115" s="15" t="n"/>
      <c r="H115" s="15" t="n"/>
      <c r="I115" s="16" t="n"/>
      <c r="J115" s="16" t="n"/>
      <c r="K115" s="16" t="n"/>
      <c r="L115" s="16" t="n"/>
      <c r="M115" s="16" t="n"/>
      <c r="N115" s="15" t="n"/>
      <c r="O115" s="16" t="n"/>
      <c r="P115" s="16" t="n"/>
      <c r="Q115" s="13">
        <f>IF(OR(B115="",C115=""),"",IFERROR(INDEX(LAYOUT!$E$2:$E$33,MATCH(B115&amp;"|"&amp;C115,LAYOUT!$F$2:$F$33,0)),"zona tidak ada di layout"))</f>
        <v/>
      </c>
      <c r="R115" s="14">
        <f>IF(F115="","",IF(OR(I115="",O115=""),0,I115*O115))</f>
        <v/>
      </c>
      <c r="S115" s="14">
        <f>IF(F115="","",SUMIFS($R$2:$R$500,$A$2:$A$500,A115,$C$2:$C$500,C115))</f>
        <v/>
      </c>
      <c r="T115" s="14">
        <f>IF(F115="","",IF(OR(G115="",I115="",J115=""),"CEK data SKU (nama/lebar/tinggi)",IF(COUNTIFS($F$2:$F$500,F115,$I$2:$I$500,"&lt;&gt;"&amp;I115)+COUNTIFS($F$2:$F$500,F115,$J$2:$J$500,"&lt;&gt;"&amp;J115)&gt;0,"CEK data SKU tidak konsisten",IF(Q115="zona tidak ada di layout","CEK zona_no / jenis_fixture",IF(D115&lt;&gt;Q115,"CEK jenis_zona",IF(S115&gt;IFERROR(INDEX(LAYOUT!$C$2:$C$33,MATCH(B115,LAYOUT!$A$2:$A$33,0)),0),"CEK lebar zona melebihi fixture","OK")))))</f>
        <v/>
      </c>
    </row>
    <row r="116">
      <c r="A116" s="15" t="n"/>
      <c r="B116" s="15" t="n"/>
      <c r="C116" s="16" t="n"/>
      <c r="D116" s="15" t="n"/>
      <c r="E116" s="16" t="n"/>
      <c r="F116" s="17" t="n"/>
      <c r="G116" s="15" t="n"/>
      <c r="H116" s="15" t="n"/>
      <c r="I116" s="16" t="n"/>
      <c r="J116" s="16" t="n"/>
      <c r="K116" s="16" t="n"/>
      <c r="L116" s="16" t="n"/>
      <c r="M116" s="16" t="n"/>
      <c r="N116" s="15" t="n"/>
      <c r="O116" s="16" t="n"/>
      <c r="P116" s="16" t="n"/>
      <c r="Q116" s="13">
        <f>IF(OR(B116="",C116=""),"",IFERROR(INDEX(LAYOUT!$E$2:$E$33,MATCH(B116&amp;"|"&amp;C116,LAYOUT!$F$2:$F$33,0)),"zona tidak ada di layout"))</f>
        <v/>
      </c>
      <c r="R116" s="14">
        <f>IF(F116="","",IF(OR(I116="",O116=""),0,I116*O116))</f>
        <v/>
      </c>
      <c r="S116" s="14">
        <f>IF(F116="","",SUMIFS($R$2:$R$500,$A$2:$A$500,A116,$C$2:$C$500,C116))</f>
        <v/>
      </c>
      <c r="T116" s="14">
        <f>IF(F116="","",IF(OR(G116="",I116="",J116=""),"CEK data SKU (nama/lebar/tinggi)",IF(COUNTIFS($F$2:$F$500,F116,$I$2:$I$500,"&lt;&gt;"&amp;I116)+COUNTIFS($F$2:$F$500,F116,$J$2:$J$500,"&lt;&gt;"&amp;J116)&gt;0,"CEK data SKU tidak konsisten",IF(Q116="zona tidak ada di layout","CEK zona_no / jenis_fixture",IF(D116&lt;&gt;Q116,"CEK jenis_zona",IF(S116&gt;IFERROR(INDEX(LAYOUT!$C$2:$C$33,MATCH(B116,LAYOUT!$A$2:$A$33,0)),0),"CEK lebar zona melebihi fixture","OK")))))</f>
        <v/>
      </c>
    </row>
    <row r="117">
      <c r="A117" s="15" t="n"/>
      <c r="B117" s="15" t="n"/>
      <c r="C117" s="16" t="n"/>
      <c r="D117" s="15" t="n"/>
      <c r="E117" s="16" t="n"/>
      <c r="F117" s="17" t="n"/>
      <c r="G117" s="15" t="n"/>
      <c r="H117" s="15" t="n"/>
      <c r="I117" s="16" t="n"/>
      <c r="J117" s="16" t="n"/>
      <c r="K117" s="16" t="n"/>
      <c r="L117" s="16" t="n"/>
      <c r="M117" s="16" t="n"/>
      <c r="N117" s="15" t="n"/>
      <c r="O117" s="16" t="n"/>
      <c r="P117" s="16" t="n"/>
      <c r="Q117" s="13">
        <f>IF(OR(B117="",C117=""),"",IFERROR(INDEX(LAYOUT!$E$2:$E$33,MATCH(B117&amp;"|"&amp;C117,LAYOUT!$F$2:$F$33,0)),"zona tidak ada di layout"))</f>
        <v/>
      </c>
      <c r="R117" s="14">
        <f>IF(F117="","",IF(OR(I117="",O117=""),0,I117*O117))</f>
        <v/>
      </c>
      <c r="S117" s="14">
        <f>IF(F117="","",SUMIFS($R$2:$R$500,$A$2:$A$500,A117,$C$2:$C$500,C117))</f>
        <v/>
      </c>
      <c r="T117" s="14">
        <f>IF(F117="","",IF(OR(G117="",I117="",J117=""),"CEK data SKU (nama/lebar/tinggi)",IF(COUNTIFS($F$2:$F$500,F117,$I$2:$I$500,"&lt;&gt;"&amp;I117)+COUNTIFS($F$2:$F$500,F117,$J$2:$J$500,"&lt;&gt;"&amp;J117)&gt;0,"CEK data SKU tidak konsisten",IF(Q117="zona tidak ada di layout","CEK zona_no / jenis_fixture",IF(D117&lt;&gt;Q117,"CEK jenis_zona",IF(S117&gt;IFERROR(INDEX(LAYOUT!$C$2:$C$33,MATCH(B117,LAYOUT!$A$2:$A$33,0)),0),"CEK lebar zona melebihi fixture","OK")))))</f>
        <v/>
      </c>
    </row>
    <row r="118">
      <c r="A118" s="15" t="n"/>
      <c r="B118" s="15" t="n"/>
      <c r="C118" s="16" t="n"/>
      <c r="D118" s="15" t="n"/>
      <c r="E118" s="16" t="n"/>
      <c r="F118" s="17" t="n"/>
      <c r="G118" s="15" t="n"/>
      <c r="H118" s="15" t="n"/>
      <c r="I118" s="16" t="n"/>
      <c r="J118" s="16" t="n"/>
      <c r="K118" s="16" t="n"/>
      <c r="L118" s="16" t="n"/>
      <c r="M118" s="16" t="n"/>
      <c r="N118" s="15" t="n"/>
      <c r="O118" s="16" t="n"/>
      <c r="P118" s="16" t="n"/>
      <c r="Q118" s="13">
        <f>IF(OR(B118="",C118=""),"",IFERROR(INDEX(LAYOUT!$E$2:$E$33,MATCH(B118&amp;"|"&amp;C118,LAYOUT!$F$2:$F$33,0)),"zona tidak ada di layout"))</f>
        <v/>
      </c>
      <c r="R118" s="14">
        <f>IF(F118="","",IF(OR(I118="",O118=""),0,I118*O118))</f>
        <v/>
      </c>
      <c r="S118" s="14">
        <f>IF(F118="","",SUMIFS($R$2:$R$500,$A$2:$A$500,A118,$C$2:$C$500,C118))</f>
        <v/>
      </c>
      <c r="T118" s="14">
        <f>IF(F118="","",IF(OR(G118="",I118="",J118=""),"CEK data SKU (nama/lebar/tinggi)",IF(COUNTIFS($F$2:$F$500,F118,$I$2:$I$500,"&lt;&gt;"&amp;I118)+COUNTIFS($F$2:$F$500,F118,$J$2:$J$500,"&lt;&gt;"&amp;J118)&gt;0,"CEK data SKU tidak konsisten",IF(Q118="zona tidak ada di layout","CEK zona_no / jenis_fixture",IF(D118&lt;&gt;Q118,"CEK jenis_zona",IF(S118&gt;IFERROR(INDEX(LAYOUT!$C$2:$C$33,MATCH(B118,LAYOUT!$A$2:$A$33,0)),0),"CEK lebar zona melebihi fixture","OK")))))</f>
        <v/>
      </c>
    </row>
    <row r="119">
      <c r="A119" s="15" t="n"/>
      <c r="B119" s="15" t="n"/>
      <c r="C119" s="16" t="n"/>
      <c r="D119" s="15" t="n"/>
      <c r="E119" s="16" t="n"/>
      <c r="F119" s="17" t="n"/>
      <c r="G119" s="15" t="n"/>
      <c r="H119" s="15" t="n"/>
      <c r="I119" s="16" t="n"/>
      <c r="J119" s="16" t="n"/>
      <c r="K119" s="16" t="n"/>
      <c r="L119" s="16" t="n"/>
      <c r="M119" s="16" t="n"/>
      <c r="N119" s="15" t="n"/>
      <c r="O119" s="16" t="n"/>
      <c r="P119" s="16" t="n"/>
      <c r="Q119" s="13">
        <f>IF(OR(B119="",C119=""),"",IFERROR(INDEX(LAYOUT!$E$2:$E$33,MATCH(B119&amp;"|"&amp;C119,LAYOUT!$F$2:$F$33,0)),"zona tidak ada di layout"))</f>
        <v/>
      </c>
      <c r="R119" s="14">
        <f>IF(F119="","",IF(OR(I119="",O119=""),0,I119*O119))</f>
        <v/>
      </c>
      <c r="S119" s="14">
        <f>IF(F119="","",SUMIFS($R$2:$R$500,$A$2:$A$500,A119,$C$2:$C$500,C119))</f>
        <v/>
      </c>
      <c r="T119" s="14">
        <f>IF(F119="","",IF(OR(G119="",I119="",J119=""),"CEK data SKU (nama/lebar/tinggi)",IF(COUNTIFS($F$2:$F$500,F119,$I$2:$I$500,"&lt;&gt;"&amp;I119)+COUNTIFS($F$2:$F$500,F119,$J$2:$J$500,"&lt;&gt;"&amp;J119)&gt;0,"CEK data SKU tidak konsisten",IF(Q119="zona tidak ada di layout","CEK zona_no / jenis_fixture",IF(D119&lt;&gt;Q119,"CEK jenis_zona",IF(S119&gt;IFERROR(INDEX(LAYOUT!$C$2:$C$33,MATCH(B119,LAYOUT!$A$2:$A$33,0)),0),"CEK lebar zona melebihi fixture","OK")))))</f>
        <v/>
      </c>
    </row>
    <row r="120">
      <c r="A120" s="15" t="n"/>
      <c r="B120" s="15" t="n"/>
      <c r="C120" s="16" t="n"/>
      <c r="D120" s="15" t="n"/>
      <c r="E120" s="16" t="n"/>
      <c r="F120" s="17" t="n"/>
      <c r="G120" s="15" t="n"/>
      <c r="H120" s="15" t="n"/>
      <c r="I120" s="16" t="n"/>
      <c r="J120" s="16" t="n"/>
      <c r="K120" s="16" t="n"/>
      <c r="L120" s="16" t="n"/>
      <c r="M120" s="16" t="n"/>
      <c r="N120" s="15" t="n"/>
      <c r="O120" s="16" t="n"/>
      <c r="P120" s="16" t="n"/>
      <c r="Q120" s="13">
        <f>IF(OR(B120="",C120=""),"",IFERROR(INDEX(LAYOUT!$E$2:$E$33,MATCH(B120&amp;"|"&amp;C120,LAYOUT!$F$2:$F$33,0)),"zona tidak ada di layout"))</f>
        <v/>
      </c>
      <c r="R120" s="14">
        <f>IF(F120="","",IF(OR(I120="",O120=""),0,I120*O120))</f>
        <v/>
      </c>
      <c r="S120" s="14">
        <f>IF(F120="","",SUMIFS($R$2:$R$500,$A$2:$A$500,A120,$C$2:$C$500,C120))</f>
        <v/>
      </c>
      <c r="T120" s="14">
        <f>IF(F120="","",IF(OR(G120="",I120="",J120=""),"CEK data SKU (nama/lebar/tinggi)",IF(COUNTIFS($F$2:$F$500,F120,$I$2:$I$500,"&lt;&gt;"&amp;I120)+COUNTIFS($F$2:$F$500,F120,$J$2:$J$500,"&lt;&gt;"&amp;J120)&gt;0,"CEK data SKU tidak konsisten",IF(Q120="zona tidak ada di layout","CEK zona_no / jenis_fixture",IF(D120&lt;&gt;Q120,"CEK jenis_zona",IF(S120&gt;IFERROR(INDEX(LAYOUT!$C$2:$C$33,MATCH(B120,LAYOUT!$A$2:$A$33,0)),0),"CEK lebar zona melebihi fixture","OK")))))</f>
        <v/>
      </c>
    </row>
    <row r="121">
      <c r="A121" s="15" t="n"/>
      <c r="B121" s="15" t="n"/>
      <c r="C121" s="16" t="n"/>
      <c r="D121" s="15" t="n"/>
      <c r="E121" s="16" t="n"/>
      <c r="F121" s="17" t="n"/>
      <c r="G121" s="15" t="n"/>
      <c r="H121" s="15" t="n"/>
      <c r="I121" s="16" t="n"/>
      <c r="J121" s="16" t="n"/>
      <c r="K121" s="16" t="n"/>
      <c r="L121" s="16" t="n"/>
      <c r="M121" s="16" t="n"/>
      <c r="N121" s="15" t="n"/>
      <c r="O121" s="16" t="n"/>
      <c r="P121" s="16" t="n"/>
      <c r="Q121" s="13">
        <f>IF(OR(B121="",C121=""),"",IFERROR(INDEX(LAYOUT!$E$2:$E$33,MATCH(B121&amp;"|"&amp;C121,LAYOUT!$F$2:$F$33,0)),"zona tidak ada di layout"))</f>
        <v/>
      </c>
      <c r="R121" s="14">
        <f>IF(F121="","",IF(OR(I121="",O121=""),0,I121*O121))</f>
        <v/>
      </c>
      <c r="S121" s="14">
        <f>IF(F121="","",SUMIFS($R$2:$R$500,$A$2:$A$500,A121,$C$2:$C$500,C121))</f>
        <v/>
      </c>
      <c r="T121" s="14">
        <f>IF(F121="","",IF(OR(G121="",I121="",J121=""),"CEK data SKU (nama/lebar/tinggi)",IF(COUNTIFS($F$2:$F$500,F121,$I$2:$I$500,"&lt;&gt;"&amp;I121)+COUNTIFS($F$2:$F$500,F121,$J$2:$J$500,"&lt;&gt;"&amp;J121)&gt;0,"CEK data SKU tidak konsisten",IF(Q121="zona tidak ada di layout","CEK zona_no / jenis_fixture",IF(D121&lt;&gt;Q121,"CEK jenis_zona",IF(S121&gt;IFERROR(INDEX(LAYOUT!$C$2:$C$33,MATCH(B121,LAYOUT!$A$2:$A$33,0)),0),"CEK lebar zona melebihi fixture","OK")))))</f>
        <v/>
      </c>
    </row>
    <row r="122">
      <c r="A122" s="15" t="n"/>
      <c r="B122" s="15" t="n"/>
      <c r="C122" s="16" t="n"/>
      <c r="D122" s="15" t="n"/>
      <c r="E122" s="16" t="n"/>
      <c r="F122" s="17" t="n"/>
      <c r="G122" s="15" t="n"/>
      <c r="H122" s="15" t="n"/>
      <c r="I122" s="16" t="n"/>
      <c r="J122" s="16" t="n"/>
      <c r="K122" s="16" t="n"/>
      <c r="L122" s="16" t="n"/>
      <c r="M122" s="16" t="n"/>
      <c r="N122" s="15" t="n"/>
      <c r="O122" s="16" t="n"/>
      <c r="P122" s="16" t="n"/>
      <c r="Q122" s="13">
        <f>IF(OR(B122="",C122=""),"",IFERROR(INDEX(LAYOUT!$E$2:$E$33,MATCH(B122&amp;"|"&amp;C122,LAYOUT!$F$2:$F$33,0)),"zona tidak ada di layout"))</f>
        <v/>
      </c>
      <c r="R122" s="14">
        <f>IF(F122="","",IF(OR(I122="",O122=""),0,I122*O122))</f>
        <v/>
      </c>
      <c r="S122" s="14">
        <f>IF(F122="","",SUMIFS($R$2:$R$500,$A$2:$A$500,A122,$C$2:$C$500,C122))</f>
        <v/>
      </c>
      <c r="T122" s="14">
        <f>IF(F122="","",IF(OR(G122="",I122="",J122=""),"CEK data SKU (nama/lebar/tinggi)",IF(COUNTIFS($F$2:$F$500,F122,$I$2:$I$500,"&lt;&gt;"&amp;I122)+COUNTIFS($F$2:$F$500,F122,$J$2:$J$500,"&lt;&gt;"&amp;J122)&gt;0,"CEK data SKU tidak konsisten",IF(Q122="zona tidak ada di layout","CEK zona_no / jenis_fixture",IF(D122&lt;&gt;Q122,"CEK jenis_zona",IF(S122&gt;IFERROR(INDEX(LAYOUT!$C$2:$C$33,MATCH(B122,LAYOUT!$A$2:$A$33,0)),0),"CEK lebar zona melebihi fixture","OK")))))</f>
        <v/>
      </c>
    </row>
    <row r="123">
      <c r="A123" s="15" t="n"/>
      <c r="B123" s="15" t="n"/>
      <c r="C123" s="16" t="n"/>
      <c r="D123" s="15" t="n"/>
      <c r="E123" s="16" t="n"/>
      <c r="F123" s="17" t="n"/>
      <c r="G123" s="15" t="n"/>
      <c r="H123" s="15" t="n"/>
      <c r="I123" s="16" t="n"/>
      <c r="J123" s="16" t="n"/>
      <c r="K123" s="16" t="n"/>
      <c r="L123" s="16" t="n"/>
      <c r="M123" s="16" t="n"/>
      <c r="N123" s="15" t="n"/>
      <c r="O123" s="16" t="n"/>
      <c r="P123" s="16" t="n"/>
      <c r="Q123" s="13">
        <f>IF(OR(B123="",C123=""),"",IFERROR(INDEX(LAYOUT!$E$2:$E$33,MATCH(B123&amp;"|"&amp;C123,LAYOUT!$F$2:$F$33,0)),"zona tidak ada di layout"))</f>
        <v/>
      </c>
      <c r="R123" s="14">
        <f>IF(F123="","",IF(OR(I123="",O123=""),0,I123*O123))</f>
        <v/>
      </c>
      <c r="S123" s="14">
        <f>IF(F123="","",SUMIFS($R$2:$R$500,$A$2:$A$500,A123,$C$2:$C$500,C123))</f>
        <v/>
      </c>
      <c r="T123" s="14">
        <f>IF(F123="","",IF(OR(G123="",I123="",J123=""),"CEK data SKU (nama/lebar/tinggi)",IF(COUNTIFS($F$2:$F$500,F123,$I$2:$I$500,"&lt;&gt;"&amp;I123)+COUNTIFS($F$2:$F$500,F123,$J$2:$J$500,"&lt;&gt;"&amp;J123)&gt;0,"CEK data SKU tidak konsisten",IF(Q123="zona tidak ada di layout","CEK zona_no / jenis_fixture",IF(D123&lt;&gt;Q123,"CEK jenis_zona",IF(S123&gt;IFERROR(INDEX(LAYOUT!$C$2:$C$33,MATCH(B123,LAYOUT!$A$2:$A$33,0)),0),"CEK lebar zona melebihi fixture","OK")))))</f>
        <v/>
      </c>
    </row>
    <row r="124">
      <c r="A124" s="15" t="n"/>
      <c r="B124" s="15" t="n"/>
      <c r="C124" s="16" t="n"/>
      <c r="D124" s="15" t="n"/>
      <c r="E124" s="16" t="n"/>
      <c r="F124" s="17" t="n"/>
      <c r="G124" s="15" t="n"/>
      <c r="H124" s="15" t="n"/>
      <c r="I124" s="16" t="n"/>
      <c r="J124" s="16" t="n"/>
      <c r="K124" s="16" t="n"/>
      <c r="L124" s="16" t="n"/>
      <c r="M124" s="16" t="n"/>
      <c r="N124" s="15" t="n"/>
      <c r="O124" s="16" t="n"/>
      <c r="P124" s="16" t="n"/>
      <c r="Q124" s="13">
        <f>IF(OR(B124="",C124=""),"",IFERROR(INDEX(LAYOUT!$E$2:$E$33,MATCH(B124&amp;"|"&amp;C124,LAYOUT!$F$2:$F$33,0)),"zona tidak ada di layout"))</f>
        <v/>
      </c>
      <c r="R124" s="14">
        <f>IF(F124="","",IF(OR(I124="",O124=""),0,I124*O124))</f>
        <v/>
      </c>
      <c r="S124" s="14">
        <f>IF(F124="","",SUMIFS($R$2:$R$500,$A$2:$A$500,A124,$C$2:$C$500,C124))</f>
        <v/>
      </c>
      <c r="T124" s="14">
        <f>IF(F124="","",IF(OR(G124="",I124="",J124=""),"CEK data SKU (nama/lebar/tinggi)",IF(COUNTIFS($F$2:$F$500,F124,$I$2:$I$500,"&lt;&gt;"&amp;I124)+COUNTIFS($F$2:$F$500,F124,$J$2:$J$500,"&lt;&gt;"&amp;J124)&gt;0,"CEK data SKU tidak konsisten",IF(Q124="zona tidak ada di layout","CEK zona_no / jenis_fixture",IF(D124&lt;&gt;Q124,"CEK jenis_zona",IF(S124&gt;IFERROR(INDEX(LAYOUT!$C$2:$C$33,MATCH(B124,LAYOUT!$A$2:$A$33,0)),0),"CEK lebar zona melebihi fixture","OK")))))</f>
        <v/>
      </c>
    </row>
    <row r="125">
      <c r="A125" s="15" t="n"/>
      <c r="B125" s="15" t="n"/>
      <c r="C125" s="16" t="n"/>
      <c r="D125" s="15" t="n"/>
      <c r="E125" s="16" t="n"/>
      <c r="F125" s="17" t="n"/>
      <c r="G125" s="15" t="n"/>
      <c r="H125" s="15" t="n"/>
      <c r="I125" s="16" t="n"/>
      <c r="J125" s="16" t="n"/>
      <c r="K125" s="16" t="n"/>
      <c r="L125" s="16" t="n"/>
      <c r="M125" s="16" t="n"/>
      <c r="N125" s="15" t="n"/>
      <c r="O125" s="16" t="n"/>
      <c r="P125" s="16" t="n"/>
      <c r="Q125" s="13">
        <f>IF(OR(B125="",C125=""),"",IFERROR(INDEX(LAYOUT!$E$2:$E$33,MATCH(B125&amp;"|"&amp;C125,LAYOUT!$F$2:$F$33,0)),"zona tidak ada di layout"))</f>
        <v/>
      </c>
      <c r="R125" s="14">
        <f>IF(F125="","",IF(OR(I125="",O125=""),0,I125*O125))</f>
        <v/>
      </c>
      <c r="S125" s="14">
        <f>IF(F125="","",SUMIFS($R$2:$R$500,$A$2:$A$500,A125,$C$2:$C$500,C125))</f>
        <v/>
      </c>
      <c r="T125" s="14">
        <f>IF(F125="","",IF(OR(G125="",I125="",J125=""),"CEK data SKU (nama/lebar/tinggi)",IF(COUNTIFS($F$2:$F$500,F125,$I$2:$I$500,"&lt;&gt;"&amp;I125)+COUNTIFS($F$2:$F$500,F125,$J$2:$J$500,"&lt;&gt;"&amp;J125)&gt;0,"CEK data SKU tidak konsisten",IF(Q125="zona tidak ada di layout","CEK zona_no / jenis_fixture",IF(D125&lt;&gt;Q125,"CEK jenis_zona",IF(S125&gt;IFERROR(INDEX(LAYOUT!$C$2:$C$33,MATCH(B125,LAYOUT!$A$2:$A$33,0)),0),"CEK lebar zona melebihi fixture","OK")))))</f>
        <v/>
      </c>
    </row>
    <row r="126">
      <c r="A126" s="15" t="n"/>
      <c r="B126" s="15" t="n"/>
      <c r="C126" s="16" t="n"/>
      <c r="D126" s="15" t="n"/>
      <c r="E126" s="16" t="n"/>
      <c r="F126" s="17" t="n"/>
      <c r="G126" s="15" t="n"/>
      <c r="H126" s="15" t="n"/>
      <c r="I126" s="16" t="n"/>
      <c r="J126" s="16" t="n"/>
      <c r="K126" s="16" t="n"/>
      <c r="L126" s="16" t="n"/>
      <c r="M126" s="16" t="n"/>
      <c r="N126" s="15" t="n"/>
      <c r="O126" s="16" t="n"/>
      <c r="P126" s="16" t="n"/>
      <c r="Q126" s="13">
        <f>IF(OR(B126="",C126=""),"",IFERROR(INDEX(LAYOUT!$E$2:$E$33,MATCH(B126&amp;"|"&amp;C126,LAYOUT!$F$2:$F$33,0)),"zona tidak ada di layout"))</f>
        <v/>
      </c>
      <c r="R126" s="14">
        <f>IF(F126="","",IF(OR(I126="",O126=""),0,I126*O126))</f>
        <v/>
      </c>
      <c r="S126" s="14">
        <f>IF(F126="","",SUMIFS($R$2:$R$500,$A$2:$A$500,A126,$C$2:$C$500,C126))</f>
        <v/>
      </c>
      <c r="T126" s="14">
        <f>IF(F126="","",IF(OR(G126="",I126="",J126=""),"CEK data SKU (nama/lebar/tinggi)",IF(COUNTIFS($F$2:$F$500,F126,$I$2:$I$500,"&lt;&gt;"&amp;I126)+COUNTIFS($F$2:$F$500,F126,$J$2:$J$500,"&lt;&gt;"&amp;J126)&gt;0,"CEK data SKU tidak konsisten",IF(Q126="zona tidak ada di layout","CEK zona_no / jenis_fixture",IF(D126&lt;&gt;Q126,"CEK jenis_zona",IF(S126&gt;IFERROR(INDEX(LAYOUT!$C$2:$C$33,MATCH(B126,LAYOUT!$A$2:$A$33,0)),0),"CEK lebar zona melebihi fixture","OK")))))</f>
        <v/>
      </c>
    </row>
    <row r="127">
      <c r="A127" s="15" t="n"/>
      <c r="B127" s="15" t="n"/>
      <c r="C127" s="16" t="n"/>
      <c r="D127" s="15" t="n"/>
      <c r="E127" s="16" t="n"/>
      <c r="F127" s="17" t="n"/>
      <c r="G127" s="15" t="n"/>
      <c r="H127" s="15" t="n"/>
      <c r="I127" s="16" t="n"/>
      <c r="J127" s="16" t="n"/>
      <c r="K127" s="16" t="n"/>
      <c r="L127" s="16" t="n"/>
      <c r="M127" s="16" t="n"/>
      <c r="N127" s="15" t="n"/>
      <c r="O127" s="16" t="n"/>
      <c r="P127" s="16" t="n"/>
      <c r="Q127" s="13">
        <f>IF(OR(B127="",C127=""),"",IFERROR(INDEX(LAYOUT!$E$2:$E$33,MATCH(B127&amp;"|"&amp;C127,LAYOUT!$F$2:$F$33,0)),"zona tidak ada di layout"))</f>
        <v/>
      </c>
      <c r="R127" s="14">
        <f>IF(F127="","",IF(OR(I127="",O127=""),0,I127*O127))</f>
        <v/>
      </c>
      <c r="S127" s="14">
        <f>IF(F127="","",SUMIFS($R$2:$R$500,$A$2:$A$500,A127,$C$2:$C$500,C127))</f>
        <v/>
      </c>
      <c r="T127" s="14">
        <f>IF(F127="","",IF(OR(G127="",I127="",J127=""),"CEK data SKU (nama/lebar/tinggi)",IF(COUNTIFS($F$2:$F$500,F127,$I$2:$I$500,"&lt;&gt;"&amp;I127)+COUNTIFS($F$2:$F$500,F127,$J$2:$J$500,"&lt;&gt;"&amp;J127)&gt;0,"CEK data SKU tidak konsisten",IF(Q127="zona tidak ada di layout","CEK zona_no / jenis_fixture",IF(D127&lt;&gt;Q127,"CEK jenis_zona",IF(S127&gt;IFERROR(INDEX(LAYOUT!$C$2:$C$33,MATCH(B127,LAYOUT!$A$2:$A$33,0)),0),"CEK lebar zona melebihi fixture","OK")))))</f>
        <v/>
      </c>
    </row>
    <row r="128">
      <c r="A128" s="15" t="n"/>
      <c r="B128" s="15" t="n"/>
      <c r="C128" s="16" t="n"/>
      <c r="D128" s="15" t="n"/>
      <c r="E128" s="16" t="n"/>
      <c r="F128" s="17" t="n"/>
      <c r="G128" s="15" t="n"/>
      <c r="H128" s="15" t="n"/>
      <c r="I128" s="16" t="n"/>
      <c r="J128" s="16" t="n"/>
      <c r="K128" s="16" t="n"/>
      <c r="L128" s="16" t="n"/>
      <c r="M128" s="16" t="n"/>
      <c r="N128" s="15" t="n"/>
      <c r="O128" s="16" t="n"/>
      <c r="P128" s="16" t="n"/>
      <c r="Q128" s="13">
        <f>IF(OR(B128="",C128=""),"",IFERROR(INDEX(LAYOUT!$E$2:$E$33,MATCH(B128&amp;"|"&amp;C128,LAYOUT!$F$2:$F$33,0)),"zona tidak ada di layout"))</f>
        <v/>
      </c>
      <c r="R128" s="14">
        <f>IF(F128="","",IF(OR(I128="",O128=""),0,I128*O128))</f>
        <v/>
      </c>
      <c r="S128" s="14">
        <f>IF(F128="","",SUMIFS($R$2:$R$500,$A$2:$A$500,A128,$C$2:$C$500,C128))</f>
        <v/>
      </c>
      <c r="T128" s="14">
        <f>IF(F128="","",IF(OR(G128="",I128="",J128=""),"CEK data SKU (nama/lebar/tinggi)",IF(COUNTIFS($F$2:$F$500,F128,$I$2:$I$500,"&lt;&gt;"&amp;I128)+COUNTIFS($F$2:$F$500,F128,$J$2:$J$500,"&lt;&gt;"&amp;J128)&gt;0,"CEK data SKU tidak konsisten",IF(Q128="zona tidak ada di layout","CEK zona_no / jenis_fixture",IF(D128&lt;&gt;Q128,"CEK jenis_zona",IF(S128&gt;IFERROR(INDEX(LAYOUT!$C$2:$C$33,MATCH(B128,LAYOUT!$A$2:$A$33,0)),0),"CEK lebar zona melebihi fixture","OK")))))</f>
        <v/>
      </c>
    </row>
    <row r="129">
      <c r="A129" s="15" t="n"/>
      <c r="B129" s="15" t="n"/>
      <c r="C129" s="16" t="n"/>
      <c r="D129" s="15" t="n"/>
      <c r="E129" s="16" t="n"/>
      <c r="F129" s="17" t="n"/>
      <c r="G129" s="15" t="n"/>
      <c r="H129" s="15" t="n"/>
      <c r="I129" s="16" t="n"/>
      <c r="J129" s="16" t="n"/>
      <c r="K129" s="16" t="n"/>
      <c r="L129" s="16" t="n"/>
      <c r="M129" s="16" t="n"/>
      <c r="N129" s="15" t="n"/>
      <c r="O129" s="16" t="n"/>
      <c r="P129" s="16" t="n"/>
      <c r="Q129" s="13">
        <f>IF(OR(B129="",C129=""),"",IFERROR(INDEX(LAYOUT!$E$2:$E$33,MATCH(B129&amp;"|"&amp;C129,LAYOUT!$F$2:$F$33,0)),"zona tidak ada di layout"))</f>
        <v/>
      </c>
      <c r="R129" s="14">
        <f>IF(F129="","",IF(OR(I129="",O129=""),0,I129*O129))</f>
        <v/>
      </c>
      <c r="S129" s="14">
        <f>IF(F129="","",SUMIFS($R$2:$R$500,$A$2:$A$500,A129,$C$2:$C$500,C129))</f>
        <v/>
      </c>
      <c r="T129" s="14">
        <f>IF(F129="","",IF(OR(G129="",I129="",J129=""),"CEK data SKU (nama/lebar/tinggi)",IF(COUNTIFS($F$2:$F$500,F129,$I$2:$I$500,"&lt;&gt;"&amp;I129)+COUNTIFS($F$2:$F$500,F129,$J$2:$J$500,"&lt;&gt;"&amp;J129)&gt;0,"CEK data SKU tidak konsisten",IF(Q129="zona tidak ada di layout","CEK zona_no / jenis_fixture",IF(D129&lt;&gt;Q129,"CEK jenis_zona",IF(S129&gt;IFERROR(INDEX(LAYOUT!$C$2:$C$33,MATCH(B129,LAYOUT!$A$2:$A$33,0)),0),"CEK lebar zona melebihi fixture","OK")))))</f>
        <v/>
      </c>
    </row>
    <row r="130">
      <c r="A130" s="15" t="n"/>
      <c r="B130" s="15" t="n"/>
      <c r="C130" s="16" t="n"/>
      <c r="D130" s="15" t="n"/>
      <c r="E130" s="16" t="n"/>
      <c r="F130" s="17" t="n"/>
      <c r="G130" s="15" t="n"/>
      <c r="H130" s="15" t="n"/>
      <c r="I130" s="16" t="n"/>
      <c r="J130" s="16" t="n"/>
      <c r="K130" s="16" t="n"/>
      <c r="L130" s="16" t="n"/>
      <c r="M130" s="16" t="n"/>
      <c r="N130" s="15" t="n"/>
      <c r="O130" s="16" t="n"/>
      <c r="P130" s="16" t="n"/>
      <c r="Q130" s="13">
        <f>IF(OR(B130="",C130=""),"",IFERROR(INDEX(LAYOUT!$E$2:$E$33,MATCH(B130&amp;"|"&amp;C130,LAYOUT!$F$2:$F$33,0)),"zona tidak ada di layout"))</f>
        <v/>
      </c>
      <c r="R130" s="14">
        <f>IF(F130="","",IF(OR(I130="",O130=""),0,I130*O130))</f>
        <v/>
      </c>
      <c r="S130" s="14">
        <f>IF(F130="","",SUMIFS($R$2:$R$500,$A$2:$A$500,A130,$C$2:$C$500,C130))</f>
        <v/>
      </c>
      <c r="T130" s="14">
        <f>IF(F130="","",IF(OR(G130="",I130="",J130=""),"CEK data SKU (nama/lebar/tinggi)",IF(COUNTIFS($F$2:$F$500,F130,$I$2:$I$500,"&lt;&gt;"&amp;I130)+COUNTIFS($F$2:$F$500,F130,$J$2:$J$500,"&lt;&gt;"&amp;J130)&gt;0,"CEK data SKU tidak konsisten",IF(Q130="zona tidak ada di layout","CEK zona_no / jenis_fixture",IF(D130&lt;&gt;Q130,"CEK jenis_zona",IF(S130&gt;IFERROR(INDEX(LAYOUT!$C$2:$C$33,MATCH(B130,LAYOUT!$A$2:$A$33,0)),0),"CEK lebar zona melebihi fixture","OK")))))</f>
        <v/>
      </c>
    </row>
    <row r="131">
      <c r="A131" s="15" t="n"/>
      <c r="B131" s="15" t="n"/>
      <c r="C131" s="16" t="n"/>
      <c r="D131" s="15" t="n"/>
      <c r="E131" s="16" t="n"/>
      <c r="F131" s="17" t="n"/>
      <c r="G131" s="15" t="n"/>
      <c r="H131" s="15" t="n"/>
      <c r="I131" s="16" t="n"/>
      <c r="J131" s="16" t="n"/>
      <c r="K131" s="16" t="n"/>
      <c r="L131" s="16" t="n"/>
      <c r="M131" s="16" t="n"/>
      <c r="N131" s="15" t="n"/>
      <c r="O131" s="16" t="n"/>
      <c r="P131" s="16" t="n"/>
      <c r="Q131" s="13">
        <f>IF(OR(B131="",C131=""),"",IFERROR(INDEX(LAYOUT!$E$2:$E$33,MATCH(B131&amp;"|"&amp;C131,LAYOUT!$F$2:$F$33,0)),"zona tidak ada di layout"))</f>
        <v/>
      </c>
      <c r="R131" s="14">
        <f>IF(F131="","",IF(OR(I131="",O131=""),0,I131*O131))</f>
        <v/>
      </c>
      <c r="S131" s="14">
        <f>IF(F131="","",SUMIFS($R$2:$R$500,$A$2:$A$500,A131,$C$2:$C$500,C131))</f>
        <v/>
      </c>
      <c r="T131" s="14">
        <f>IF(F131="","",IF(OR(G131="",I131="",J131=""),"CEK data SKU (nama/lebar/tinggi)",IF(COUNTIFS($F$2:$F$500,F131,$I$2:$I$500,"&lt;&gt;"&amp;I131)+COUNTIFS($F$2:$F$500,F131,$J$2:$J$500,"&lt;&gt;"&amp;J131)&gt;0,"CEK data SKU tidak konsisten",IF(Q131="zona tidak ada di layout","CEK zona_no / jenis_fixture",IF(D131&lt;&gt;Q131,"CEK jenis_zona",IF(S131&gt;IFERROR(INDEX(LAYOUT!$C$2:$C$33,MATCH(B131,LAYOUT!$A$2:$A$33,0)),0),"CEK lebar zona melebihi fixture","OK")))))</f>
        <v/>
      </c>
    </row>
    <row r="132">
      <c r="A132" s="15" t="n"/>
      <c r="B132" s="15" t="n"/>
      <c r="C132" s="16" t="n"/>
      <c r="D132" s="15" t="n"/>
      <c r="E132" s="16" t="n"/>
      <c r="F132" s="17" t="n"/>
      <c r="G132" s="15" t="n"/>
      <c r="H132" s="15" t="n"/>
      <c r="I132" s="16" t="n"/>
      <c r="J132" s="16" t="n"/>
      <c r="K132" s="16" t="n"/>
      <c r="L132" s="16" t="n"/>
      <c r="M132" s="16" t="n"/>
      <c r="N132" s="15" t="n"/>
      <c r="O132" s="16" t="n"/>
      <c r="P132" s="16" t="n"/>
      <c r="Q132" s="13">
        <f>IF(OR(B132="",C132=""),"",IFERROR(INDEX(LAYOUT!$E$2:$E$33,MATCH(B132&amp;"|"&amp;C132,LAYOUT!$F$2:$F$33,0)),"zona tidak ada di layout"))</f>
        <v/>
      </c>
      <c r="R132" s="14">
        <f>IF(F132="","",IF(OR(I132="",O132=""),0,I132*O132))</f>
        <v/>
      </c>
      <c r="S132" s="14">
        <f>IF(F132="","",SUMIFS($R$2:$R$500,$A$2:$A$500,A132,$C$2:$C$500,C132))</f>
        <v/>
      </c>
      <c r="T132" s="14">
        <f>IF(F132="","",IF(OR(G132="",I132="",J132=""),"CEK data SKU (nama/lebar/tinggi)",IF(COUNTIFS($F$2:$F$500,F132,$I$2:$I$500,"&lt;&gt;"&amp;I132)+COUNTIFS($F$2:$F$500,F132,$J$2:$J$500,"&lt;&gt;"&amp;J132)&gt;0,"CEK data SKU tidak konsisten",IF(Q132="zona tidak ada di layout","CEK zona_no / jenis_fixture",IF(D132&lt;&gt;Q132,"CEK jenis_zona",IF(S132&gt;IFERROR(INDEX(LAYOUT!$C$2:$C$33,MATCH(B132,LAYOUT!$A$2:$A$33,0)),0),"CEK lebar zona melebihi fixture","OK")))))</f>
        <v/>
      </c>
    </row>
    <row r="133">
      <c r="A133" s="15" t="n"/>
      <c r="B133" s="15" t="n"/>
      <c r="C133" s="16" t="n"/>
      <c r="D133" s="15" t="n"/>
      <c r="E133" s="16" t="n"/>
      <c r="F133" s="17" t="n"/>
      <c r="G133" s="15" t="n"/>
      <c r="H133" s="15" t="n"/>
      <c r="I133" s="16" t="n"/>
      <c r="J133" s="16" t="n"/>
      <c r="K133" s="16" t="n"/>
      <c r="L133" s="16" t="n"/>
      <c r="M133" s="16" t="n"/>
      <c r="N133" s="15" t="n"/>
      <c r="O133" s="16" t="n"/>
      <c r="P133" s="16" t="n"/>
      <c r="Q133" s="13">
        <f>IF(OR(B133="",C133=""),"",IFERROR(INDEX(LAYOUT!$E$2:$E$33,MATCH(B133&amp;"|"&amp;C133,LAYOUT!$F$2:$F$33,0)),"zona tidak ada di layout"))</f>
        <v/>
      </c>
      <c r="R133" s="14">
        <f>IF(F133="","",IF(OR(I133="",O133=""),0,I133*O133))</f>
        <v/>
      </c>
      <c r="S133" s="14">
        <f>IF(F133="","",SUMIFS($R$2:$R$500,$A$2:$A$500,A133,$C$2:$C$500,C133))</f>
        <v/>
      </c>
      <c r="T133" s="14">
        <f>IF(F133="","",IF(OR(G133="",I133="",J133=""),"CEK data SKU (nama/lebar/tinggi)",IF(COUNTIFS($F$2:$F$500,F133,$I$2:$I$500,"&lt;&gt;"&amp;I133)+COUNTIFS($F$2:$F$500,F133,$J$2:$J$500,"&lt;&gt;"&amp;J133)&gt;0,"CEK data SKU tidak konsisten",IF(Q133="zona tidak ada di layout","CEK zona_no / jenis_fixture",IF(D133&lt;&gt;Q133,"CEK jenis_zona",IF(S133&gt;IFERROR(INDEX(LAYOUT!$C$2:$C$33,MATCH(B133,LAYOUT!$A$2:$A$33,0)),0),"CEK lebar zona melebihi fixture","OK")))))</f>
        <v/>
      </c>
    </row>
    <row r="134">
      <c r="A134" s="15" t="n"/>
      <c r="B134" s="15" t="n"/>
      <c r="C134" s="16" t="n"/>
      <c r="D134" s="15" t="n"/>
      <c r="E134" s="16" t="n"/>
      <c r="F134" s="17" t="n"/>
      <c r="G134" s="15" t="n"/>
      <c r="H134" s="15" t="n"/>
      <c r="I134" s="16" t="n"/>
      <c r="J134" s="16" t="n"/>
      <c r="K134" s="16" t="n"/>
      <c r="L134" s="16" t="n"/>
      <c r="M134" s="16" t="n"/>
      <c r="N134" s="15" t="n"/>
      <c r="O134" s="16" t="n"/>
      <c r="P134" s="16" t="n"/>
      <c r="Q134" s="13">
        <f>IF(OR(B134="",C134=""),"",IFERROR(INDEX(LAYOUT!$E$2:$E$33,MATCH(B134&amp;"|"&amp;C134,LAYOUT!$F$2:$F$33,0)),"zona tidak ada di layout"))</f>
        <v/>
      </c>
      <c r="R134" s="14">
        <f>IF(F134="","",IF(OR(I134="",O134=""),0,I134*O134))</f>
        <v/>
      </c>
      <c r="S134" s="14">
        <f>IF(F134="","",SUMIFS($R$2:$R$500,$A$2:$A$500,A134,$C$2:$C$500,C134))</f>
        <v/>
      </c>
      <c r="T134" s="14">
        <f>IF(F134="","",IF(OR(G134="",I134="",J134=""),"CEK data SKU (nama/lebar/tinggi)",IF(COUNTIFS($F$2:$F$500,F134,$I$2:$I$500,"&lt;&gt;"&amp;I134)+COUNTIFS($F$2:$F$500,F134,$J$2:$J$500,"&lt;&gt;"&amp;J134)&gt;0,"CEK data SKU tidak konsisten",IF(Q134="zona tidak ada di layout","CEK zona_no / jenis_fixture",IF(D134&lt;&gt;Q134,"CEK jenis_zona",IF(S134&gt;IFERROR(INDEX(LAYOUT!$C$2:$C$33,MATCH(B134,LAYOUT!$A$2:$A$33,0)),0),"CEK lebar zona melebihi fixture","OK")))))</f>
        <v/>
      </c>
    </row>
    <row r="135">
      <c r="A135" s="15" t="n"/>
      <c r="B135" s="15" t="n"/>
      <c r="C135" s="16" t="n"/>
      <c r="D135" s="15" t="n"/>
      <c r="E135" s="16" t="n"/>
      <c r="F135" s="17" t="n"/>
      <c r="G135" s="15" t="n"/>
      <c r="H135" s="15" t="n"/>
      <c r="I135" s="16" t="n"/>
      <c r="J135" s="16" t="n"/>
      <c r="K135" s="16" t="n"/>
      <c r="L135" s="16" t="n"/>
      <c r="M135" s="16" t="n"/>
      <c r="N135" s="15" t="n"/>
      <c r="O135" s="16" t="n"/>
      <c r="P135" s="16" t="n"/>
      <c r="Q135" s="13">
        <f>IF(OR(B135="",C135=""),"",IFERROR(INDEX(LAYOUT!$E$2:$E$33,MATCH(B135&amp;"|"&amp;C135,LAYOUT!$F$2:$F$33,0)),"zona tidak ada di layout"))</f>
        <v/>
      </c>
      <c r="R135" s="14">
        <f>IF(F135="","",IF(OR(I135="",O135=""),0,I135*O135))</f>
        <v/>
      </c>
      <c r="S135" s="14">
        <f>IF(F135="","",SUMIFS($R$2:$R$500,$A$2:$A$500,A135,$C$2:$C$500,C135))</f>
        <v/>
      </c>
      <c r="T135" s="14">
        <f>IF(F135="","",IF(OR(G135="",I135="",J135=""),"CEK data SKU (nama/lebar/tinggi)",IF(COUNTIFS($F$2:$F$500,F135,$I$2:$I$500,"&lt;&gt;"&amp;I135)+COUNTIFS($F$2:$F$500,F135,$J$2:$J$500,"&lt;&gt;"&amp;J135)&gt;0,"CEK data SKU tidak konsisten",IF(Q135="zona tidak ada di layout","CEK zona_no / jenis_fixture",IF(D135&lt;&gt;Q135,"CEK jenis_zona",IF(S135&gt;IFERROR(INDEX(LAYOUT!$C$2:$C$33,MATCH(B135,LAYOUT!$A$2:$A$33,0)),0),"CEK lebar zona melebihi fixture","OK")))))</f>
        <v/>
      </c>
    </row>
    <row r="136">
      <c r="A136" s="15" t="n"/>
      <c r="B136" s="15" t="n"/>
      <c r="C136" s="16" t="n"/>
      <c r="D136" s="15" t="n"/>
      <c r="E136" s="16" t="n"/>
      <c r="F136" s="17" t="n"/>
      <c r="G136" s="15" t="n"/>
      <c r="H136" s="15" t="n"/>
      <c r="I136" s="16" t="n"/>
      <c r="J136" s="16" t="n"/>
      <c r="K136" s="16" t="n"/>
      <c r="L136" s="16" t="n"/>
      <c r="M136" s="16" t="n"/>
      <c r="N136" s="15" t="n"/>
      <c r="O136" s="16" t="n"/>
      <c r="P136" s="16" t="n"/>
      <c r="Q136" s="13">
        <f>IF(OR(B136="",C136=""),"",IFERROR(INDEX(LAYOUT!$E$2:$E$33,MATCH(B136&amp;"|"&amp;C136,LAYOUT!$F$2:$F$33,0)),"zona tidak ada di layout"))</f>
        <v/>
      </c>
      <c r="R136" s="14">
        <f>IF(F136="","",IF(OR(I136="",O136=""),0,I136*O136))</f>
        <v/>
      </c>
      <c r="S136" s="14">
        <f>IF(F136="","",SUMIFS($R$2:$R$500,$A$2:$A$500,A136,$C$2:$C$500,C136))</f>
        <v/>
      </c>
      <c r="T136" s="14">
        <f>IF(F136="","",IF(OR(G136="",I136="",J136=""),"CEK data SKU (nama/lebar/tinggi)",IF(COUNTIFS($F$2:$F$500,F136,$I$2:$I$500,"&lt;&gt;"&amp;I136)+COUNTIFS($F$2:$F$500,F136,$J$2:$J$500,"&lt;&gt;"&amp;J136)&gt;0,"CEK data SKU tidak konsisten",IF(Q136="zona tidak ada di layout","CEK zona_no / jenis_fixture",IF(D136&lt;&gt;Q136,"CEK jenis_zona",IF(S136&gt;IFERROR(INDEX(LAYOUT!$C$2:$C$33,MATCH(B136,LAYOUT!$A$2:$A$33,0)),0),"CEK lebar zona melebihi fixture","OK")))))</f>
        <v/>
      </c>
    </row>
    <row r="137">
      <c r="A137" s="15" t="n"/>
      <c r="B137" s="15" t="n"/>
      <c r="C137" s="16" t="n"/>
      <c r="D137" s="15" t="n"/>
      <c r="E137" s="16" t="n"/>
      <c r="F137" s="17" t="n"/>
      <c r="G137" s="15" t="n"/>
      <c r="H137" s="15" t="n"/>
      <c r="I137" s="16" t="n"/>
      <c r="J137" s="16" t="n"/>
      <c r="K137" s="16" t="n"/>
      <c r="L137" s="16" t="n"/>
      <c r="M137" s="16" t="n"/>
      <c r="N137" s="15" t="n"/>
      <c r="O137" s="16" t="n"/>
      <c r="P137" s="16" t="n"/>
      <c r="Q137" s="13">
        <f>IF(OR(B137="",C137=""),"",IFERROR(INDEX(LAYOUT!$E$2:$E$33,MATCH(B137&amp;"|"&amp;C137,LAYOUT!$F$2:$F$33,0)),"zona tidak ada di layout"))</f>
        <v/>
      </c>
      <c r="R137" s="14">
        <f>IF(F137="","",IF(OR(I137="",O137=""),0,I137*O137))</f>
        <v/>
      </c>
      <c r="S137" s="14">
        <f>IF(F137="","",SUMIFS($R$2:$R$500,$A$2:$A$500,A137,$C$2:$C$500,C137))</f>
        <v/>
      </c>
      <c r="T137" s="14">
        <f>IF(F137="","",IF(OR(G137="",I137="",J137=""),"CEK data SKU (nama/lebar/tinggi)",IF(COUNTIFS($F$2:$F$500,F137,$I$2:$I$500,"&lt;&gt;"&amp;I137)+COUNTIFS($F$2:$F$500,F137,$J$2:$J$500,"&lt;&gt;"&amp;J137)&gt;0,"CEK data SKU tidak konsisten",IF(Q137="zona tidak ada di layout","CEK zona_no / jenis_fixture",IF(D137&lt;&gt;Q137,"CEK jenis_zona",IF(S137&gt;IFERROR(INDEX(LAYOUT!$C$2:$C$33,MATCH(B137,LAYOUT!$A$2:$A$33,0)),0),"CEK lebar zona melebihi fixture","OK")))))</f>
        <v/>
      </c>
    </row>
    <row r="138">
      <c r="A138" s="15" t="n"/>
      <c r="B138" s="15" t="n"/>
      <c r="C138" s="16" t="n"/>
      <c r="D138" s="15" t="n"/>
      <c r="E138" s="16" t="n"/>
      <c r="F138" s="17" t="n"/>
      <c r="G138" s="15" t="n"/>
      <c r="H138" s="15" t="n"/>
      <c r="I138" s="16" t="n"/>
      <c r="J138" s="16" t="n"/>
      <c r="K138" s="16" t="n"/>
      <c r="L138" s="16" t="n"/>
      <c r="M138" s="16" t="n"/>
      <c r="N138" s="15" t="n"/>
      <c r="O138" s="16" t="n"/>
      <c r="P138" s="16" t="n"/>
      <c r="Q138" s="13">
        <f>IF(OR(B138="",C138=""),"",IFERROR(INDEX(LAYOUT!$E$2:$E$33,MATCH(B138&amp;"|"&amp;C138,LAYOUT!$F$2:$F$33,0)),"zona tidak ada di layout"))</f>
        <v/>
      </c>
      <c r="R138" s="14">
        <f>IF(F138="","",IF(OR(I138="",O138=""),0,I138*O138))</f>
        <v/>
      </c>
      <c r="S138" s="14">
        <f>IF(F138="","",SUMIFS($R$2:$R$500,$A$2:$A$500,A138,$C$2:$C$500,C138))</f>
        <v/>
      </c>
      <c r="T138" s="14">
        <f>IF(F138="","",IF(OR(G138="",I138="",J138=""),"CEK data SKU (nama/lebar/tinggi)",IF(COUNTIFS($F$2:$F$500,F138,$I$2:$I$500,"&lt;&gt;"&amp;I138)+COUNTIFS($F$2:$F$500,F138,$J$2:$J$500,"&lt;&gt;"&amp;J138)&gt;0,"CEK data SKU tidak konsisten",IF(Q138="zona tidak ada di layout","CEK zona_no / jenis_fixture",IF(D138&lt;&gt;Q138,"CEK jenis_zona",IF(S138&gt;IFERROR(INDEX(LAYOUT!$C$2:$C$33,MATCH(B138,LAYOUT!$A$2:$A$33,0)),0),"CEK lebar zona melebihi fixture","OK")))))</f>
        <v/>
      </c>
    </row>
    <row r="139">
      <c r="A139" s="15" t="n"/>
      <c r="B139" s="15" t="n"/>
      <c r="C139" s="16" t="n"/>
      <c r="D139" s="15" t="n"/>
      <c r="E139" s="16" t="n"/>
      <c r="F139" s="17" t="n"/>
      <c r="G139" s="15" t="n"/>
      <c r="H139" s="15" t="n"/>
      <c r="I139" s="16" t="n"/>
      <c r="J139" s="16" t="n"/>
      <c r="K139" s="16" t="n"/>
      <c r="L139" s="16" t="n"/>
      <c r="M139" s="16" t="n"/>
      <c r="N139" s="15" t="n"/>
      <c r="O139" s="16" t="n"/>
      <c r="P139" s="16" t="n"/>
      <c r="Q139" s="13">
        <f>IF(OR(B139="",C139=""),"",IFERROR(INDEX(LAYOUT!$E$2:$E$33,MATCH(B139&amp;"|"&amp;C139,LAYOUT!$F$2:$F$33,0)),"zona tidak ada di layout"))</f>
        <v/>
      </c>
      <c r="R139" s="14">
        <f>IF(F139="","",IF(OR(I139="",O139=""),0,I139*O139))</f>
        <v/>
      </c>
      <c r="S139" s="14">
        <f>IF(F139="","",SUMIFS($R$2:$R$500,$A$2:$A$500,A139,$C$2:$C$500,C139))</f>
        <v/>
      </c>
      <c r="T139" s="14">
        <f>IF(F139="","",IF(OR(G139="",I139="",J139=""),"CEK data SKU (nama/lebar/tinggi)",IF(COUNTIFS($F$2:$F$500,F139,$I$2:$I$500,"&lt;&gt;"&amp;I139)+COUNTIFS($F$2:$F$500,F139,$J$2:$J$500,"&lt;&gt;"&amp;J139)&gt;0,"CEK data SKU tidak konsisten",IF(Q139="zona tidak ada di layout","CEK zona_no / jenis_fixture",IF(D139&lt;&gt;Q139,"CEK jenis_zona",IF(S139&gt;IFERROR(INDEX(LAYOUT!$C$2:$C$33,MATCH(B139,LAYOUT!$A$2:$A$33,0)),0),"CEK lebar zona melebihi fixture","OK")))))</f>
        <v/>
      </c>
    </row>
    <row r="140">
      <c r="A140" s="15" t="n"/>
      <c r="B140" s="15" t="n"/>
      <c r="C140" s="16" t="n"/>
      <c r="D140" s="15" t="n"/>
      <c r="E140" s="16" t="n"/>
      <c r="F140" s="17" t="n"/>
      <c r="G140" s="15" t="n"/>
      <c r="H140" s="15" t="n"/>
      <c r="I140" s="16" t="n"/>
      <c r="J140" s="16" t="n"/>
      <c r="K140" s="16" t="n"/>
      <c r="L140" s="16" t="n"/>
      <c r="M140" s="16" t="n"/>
      <c r="N140" s="15" t="n"/>
      <c r="O140" s="16" t="n"/>
      <c r="P140" s="16" t="n"/>
      <c r="Q140" s="13">
        <f>IF(OR(B140="",C140=""),"",IFERROR(INDEX(LAYOUT!$E$2:$E$33,MATCH(B140&amp;"|"&amp;C140,LAYOUT!$F$2:$F$33,0)),"zona tidak ada di layout"))</f>
        <v/>
      </c>
      <c r="R140" s="14">
        <f>IF(F140="","",IF(OR(I140="",O140=""),0,I140*O140))</f>
        <v/>
      </c>
      <c r="S140" s="14">
        <f>IF(F140="","",SUMIFS($R$2:$R$500,$A$2:$A$500,A140,$C$2:$C$500,C140))</f>
        <v/>
      </c>
      <c r="T140" s="14">
        <f>IF(F140="","",IF(OR(G140="",I140="",J140=""),"CEK data SKU (nama/lebar/tinggi)",IF(COUNTIFS($F$2:$F$500,F140,$I$2:$I$500,"&lt;&gt;"&amp;I140)+COUNTIFS($F$2:$F$500,F140,$J$2:$J$500,"&lt;&gt;"&amp;J140)&gt;0,"CEK data SKU tidak konsisten",IF(Q140="zona tidak ada di layout","CEK zona_no / jenis_fixture",IF(D140&lt;&gt;Q140,"CEK jenis_zona",IF(S140&gt;IFERROR(INDEX(LAYOUT!$C$2:$C$33,MATCH(B140,LAYOUT!$A$2:$A$33,0)),0),"CEK lebar zona melebihi fixture","OK")))))</f>
        <v/>
      </c>
    </row>
    <row r="141">
      <c r="A141" s="15" t="n"/>
      <c r="B141" s="15" t="n"/>
      <c r="C141" s="16" t="n"/>
      <c r="D141" s="15" t="n"/>
      <c r="E141" s="16" t="n"/>
      <c r="F141" s="17" t="n"/>
      <c r="G141" s="15" t="n"/>
      <c r="H141" s="15" t="n"/>
      <c r="I141" s="16" t="n"/>
      <c r="J141" s="16" t="n"/>
      <c r="K141" s="16" t="n"/>
      <c r="L141" s="16" t="n"/>
      <c r="M141" s="16" t="n"/>
      <c r="N141" s="15" t="n"/>
      <c r="O141" s="16" t="n"/>
      <c r="P141" s="16" t="n"/>
      <c r="Q141" s="13">
        <f>IF(OR(B141="",C141=""),"",IFERROR(INDEX(LAYOUT!$E$2:$E$33,MATCH(B141&amp;"|"&amp;C141,LAYOUT!$F$2:$F$33,0)),"zona tidak ada di layout"))</f>
        <v/>
      </c>
      <c r="R141" s="14">
        <f>IF(F141="","",IF(OR(I141="",O141=""),0,I141*O141))</f>
        <v/>
      </c>
      <c r="S141" s="14">
        <f>IF(F141="","",SUMIFS($R$2:$R$500,$A$2:$A$500,A141,$C$2:$C$500,C141))</f>
        <v/>
      </c>
      <c r="T141" s="14">
        <f>IF(F141="","",IF(OR(G141="",I141="",J141=""),"CEK data SKU (nama/lebar/tinggi)",IF(COUNTIFS($F$2:$F$500,F141,$I$2:$I$500,"&lt;&gt;"&amp;I141)+COUNTIFS($F$2:$F$500,F141,$J$2:$J$500,"&lt;&gt;"&amp;J141)&gt;0,"CEK data SKU tidak konsisten",IF(Q141="zona tidak ada di layout","CEK zona_no / jenis_fixture",IF(D141&lt;&gt;Q141,"CEK jenis_zona",IF(S141&gt;IFERROR(INDEX(LAYOUT!$C$2:$C$33,MATCH(B141,LAYOUT!$A$2:$A$33,0)),0),"CEK lebar zona melebihi fixture","OK")))))</f>
        <v/>
      </c>
    </row>
    <row r="142">
      <c r="A142" s="15" t="n"/>
      <c r="B142" s="15" t="n"/>
      <c r="C142" s="16" t="n"/>
      <c r="D142" s="15" t="n"/>
      <c r="E142" s="16" t="n"/>
      <c r="F142" s="17" t="n"/>
      <c r="G142" s="15" t="n"/>
      <c r="H142" s="15" t="n"/>
      <c r="I142" s="16" t="n"/>
      <c r="J142" s="16" t="n"/>
      <c r="K142" s="16" t="n"/>
      <c r="L142" s="16" t="n"/>
      <c r="M142" s="16" t="n"/>
      <c r="N142" s="15" t="n"/>
      <c r="O142" s="16" t="n"/>
      <c r="P142" s="16" t="n"/>
      <c r="Q142" s="13">
        <f>IF(OR(B142="",C142=""),"",IFERROR(INDEX(LAYOUT!$E$2:$E$33,MATCH(B142&amp;"|"&amp;C142,LAYOUT!$F$2:$F$33,0)),"zona tidak ada di layout"))</f>
        <v/>
      </c>
      <c r="R142" s="14">
        <f>IF(F142="","",IF(OR(I142="",O142=""),0,I142*O142))</f>
        <v/>
      </c>
      <c r="S142" s="14">
        <f>IF(F142="","",SUMIFS($R$2:$R$500,$A$2:$A$500,A142,$C$2:$C$500,C142))</f>
        <v/>
      </c>
      <c r="T142" s="14">
        <f>IF(F142="","",IF(OR(G142="",I142="",J142=""),"CEK data SKU (nama/lebar/tinggi)",IF(COUNTIFS($F$2:$F$500,F142,$I$2:$I$500,"&lt;&gt;"&amp;I142)+COUNTIFS($F$2:$F$500,F142,$J$2:$J$500,"&lt;&gt;"&amp;J142)&gt;0,"CEK data SKU tidak konsisten",IF(Q142="zona tidak ada di layout","CEK zona_no / jenis_fixture",IF(D142&lt;&gt;Q142,"CEK jenis_zona",IF(S142&gt;IFERROR(INDEX(LAYOUT!$C$2:$C$33,MATCH(B142,LAYOUT!$A$2:$A$33,0)),0),"CEK lebar zona melebihi fixture","OK")))))</f>
        <v/>
      </c>
    </row>
    <row r="143">
      <c r="A143" s="15" t="n"/>
      <c r="B143" s="15" t="n"/>
      <c r="C143" s="16" t="n"/>
      <c r="D143" s="15" t="n"/>
      <c r="E143" s="16" t="n"/>
      <c r="F143" s="17" t="n"/>
      <c r="G143" s="15" t="n"/>
      <c r="H143" s="15" t="n"/>
      <c r="I143" s="16" t="n"/>
      <c r="J143" s="16" t="n"/>
      <c r="K143" s="16" t="n"/>
      <c r="L143" s="16" t="n"/>
      <c r="M143" s="16" t="n"/>
      <c r="N143" s="15" t="n"/>
      <c r="O143" s="16" t="n"/>
      <c r="P143" s="16" t="n"/>
      <c r="Q143" s="13">
        <f>IF(OR(B143="",C143=""),"",IFERROR(INDEX(LAYOUT!$E$2:$E$33,MATCH(B143&amp;"|"&amp;C143,LAYOUT!$F$2:$F$33,0)),"zona tidak ada di layout"))</f>
        <v/>
      </c>
      <c r="R143" s="14">
        <f>IF(F143="","",IF(OR(I143="",O143=""),0,I143*O143))</f>
        <v/>
      </c>
      <c r="S143" s="14">
        <f>IF(F143="","",SUMIFS($R$2:$R$500,$A$2:$A$500,A143,$C$2:$C$500,C143))</f>
        <v/>
      </c>
      <c r="T143" s="14">
        <f>IF(F143="","",IF(OR(G143="",I143="",J143=""),"CEK data SKU (nama/lebar/tinggi)",IF(COUNTIFS($F$2:$F$500,F143,$I$2:$I$500,"&lt;&gt;"&amp;I143)+COUNTIFS($F$2:$F$500,F143,$J$2:$J$500,"&lt;&gt;"&amp;J143)&gt;0,"CEK data SKU tidak konsisten",IF(Q143="zona tidak ada di layout","CEK zona_no / jenis_fixture",IF(D143&lt;&gt;Q143,"CEK jenis_zona",IF(S143&gt;IFERROR(INDEX(LAYOUT!$C$2:$C$33,MATCH(B143,LAYOUT!$A$2:$A$33,0)),0),"CEK lebar zona melebihi fixture","OK")))))</f>
        <v/>
      </c>
    </row>
    <row r="144">
      <c r="A144" s="15" t="n"/>
      <c r="B144" s="15" t="n"/>
      <c r="C144" s="16" t="n"/>
      <c r="D144" s="15" t="n"/>
      <c r="E144" s="16" t="n"/>
      <c r="F144" s="17" t="n"/>
      <c r="G144" s="15" t="n"/>
      <c r="H144" s="15" t="n"/>
      <c r="I144" s="16" t="n"/>
      <c r="J144" s="16" t="n"/>
      <c r="K144" s="16" t="n"/>
      <c r="L144" s="16" t="n"/>
      <c r="M144" s="16" t="n"/>
      <c r="N144" s="15" t="n"/>
      <c r="O144" s="16" t="n"/>
      <c r="P144" s="16" t="n"/>
      <c r="Q144" s="13">
        <f>IF(OR(B144="",C144=""),"",IFERROR(INDEX(LAYOUT!$E$2:$E$33,MATCH(B144&amp;"|"&amp;C144,LAYOUT!$F$2:$F$33,0)),"zona tidak ada di layout"))</f>
        <v/>
      </c>
      <c r="R144" s="14">
        <f>IF(F144="","",IF(OR(I144="",O144=""),0,I144*O144))</f>
        <v/>
      </c>
      <c r="S144" s="14">
        <f>IF(F144="","",SUMIFS($R$2:$R$500,$A$2:$A$500,A144,$C$2:$C$500,C144))</f>
        <v/>
      </c>
      <c r="T144" s="14">
        <f>IF(F144="","",IF(OR(G144="",I144="",J144=""),"CEK data SKU (nama/lebar/tinggi)",IF(COUNTIFS($F$2:$F$500,F144,$I$2:$I$500,"&lt;&gt;"&amp;I144)+COUNTIFS($F$2:$F$500,F144,$J$2:$J$500,"&lt;&gt;"&amp;J144)&gt;0,"CEK data SKU tidak konsisten",IF(Q144="zona tidak ada di layout","CEK zona_no / jenis_fixture",IF(D144&lt;&gt;Q144,"CEK jenis_zona",IF(S144&gt;IFERROR(INDEX(LAYOUT!$C$2:$C$33,MATCH(B144,LAYOUT!$A$2:$A$33,0)),0),"CEK lebar zona melebihi fixture","OK")))))</f>
        <v/>
      </c>
    </row>
    <row r="145">
      <c r="A145" s="15" t="n"/>
      <c r="B145" s="15" t="n"/>
      <c r="C145" s="16" t="n"/>
      <c r="D145" s="15" t="n"/>
      <c r="E145" s="16" t="n"/>
      <c r="F145" s="17" t="n"/>
      <c r="G145" s="15" t="n"/>
      <c r="H145" s="15" t="n"/>
      <c r="I145" s="16" t="n"/>
      <c r="J145" s="16" t="n"/>
      <c r="K145" s="16" t="n"/>
      <c r="L145" s="16" t="n"/>
      <c r="M145" s="16" t="n"/>
      <c r="N145" s="15" t="n"/>
      <c r="O145" s="16" t="n"/>
      <c r="P145" s="16" t="n"/>
      <c r="Q145" s="13">
        <f>IF(OR(B145="",C145=""),"",IFERROR(INDEX(LAYOUT!$E$2:$E$33,MATCH(B145&amp;"|"&amp;C145,LAYOUT!$F$2:$F$33,0)),"zona tidak ada di layout"))</f>
        <v/>
      </c>
      <c r="R145" s="14">
        <f>IF(F145="","",IF(OR(I145="",O145=""),0,I145*O145))</f>
        <v/>
      </c>
      <c r="S145" s="14">
        <f>IF(F145="","",SUMIFS($R$2:$R$500,$A$2:$A$500,A145,$C$2:$C$500,C145))</f>
        <v/>
      </c>
      <c r="T145" s="14">
        <f>IF(F145="","",IF(OR(G145="",I145="",J145=""),"CEK data SKU (nama/lebar/tinggi)",IF(COUNTIFS($F$2:$F$500,F145,$I$2:$I$500,"&lt;&gt;"&amp;I145)+COUNTIFS($F$2:$F$500,F145,$J$2:$J$500,"&lt;&gt;"&amp;J145)&gt;0,"CEK data SKU tidak konsisten",IF(Q145="zona tidak ada di layout","CEK zona_no / jenis_fixture",IF(D145&lt;&gt;Q145,"CEK jenis_zona",IF(S145&gt;IFERROR(INDEX(LAYOUT!$C$2:$C$33,MATCH(B145,LAYOUT!$A$2:$A$33,0)),0),"CEK lebar zona melebihi fixture","OK")))))</f>
        <v/>
      </c>
    </row>
    <row r="146">
      <c r="A146" s="15" t="n"/>
      <c r="B146" s="15" t="n"/>
      <c r="C146" s="16" t="n"/>
      <c r="D146" s="15" t="n"/>
      <c r="E146" s="16" t="n"/>
      <c r="F146" s="17" t="n"/>
      <c r="G146" s="15" t="n"/>
      <c r="H146" s="15" t="n"/>
      <c r="I146" s="16" t="n"/>
      <c r="J146" s="16" t="n"/>
      <c r="K146" s="16" t="n"/>
      <c r="L146" s="16" t="n"/>
      <c r="M146" s="16" t="n"/>
      <c r="N146" s="15" t="n"/>
      <c r="O146" s="16" t="n"/>
      <c r="P146" s="16" t="n"/>
      <c r="Q146" s="13">
        <f>IF(OR(B146="",C146=""),"",IFERROR(INDEX(LAYOUT!$E$2:$E$33,MATCH(B146&amp;"|"&amp;C146,LAYOUT!$F$2:$F$33,0)),"zona tidak ada di layout"))</f>
        <v/>
      </c>
      <c r="R146" s="14">
        <f>IF(F146="","",IF(OR(I146="",O146=""),0,I146*O146))</f>
        <v/>
      </c>
      <c r="S146" s="14">
        <f>IF(F146="","",SUMIFS($R$2:$R$500,$A$2:$A$500,A146,$C$2:$C$500,C146))</f>
        <v/>
      </c>
      <c r="T146" s="14">
        <f>IF(F146="","",IF(OR(G146="",I146="",J146=""),"CEK data SKU (nama/lebar/tinggi)",IF(COUNTIFS($F$2:$F$500,F146,$I$2:$I$500,"&lt;&gt;"&amp;I146)+COUNTIFS($F$2:$F$500,F146,$J$2:$J$500,"&lt;&gt;"&amp;J146)&gt;0,"CEK data SKU tidak konsisten",IF(Q146="zona tidak ada di layout","CEK zona_no / jenis_fixture",IF(D146&lt;&gt;Q146,"CEK jenis_zona",IF(S146&gt;IFERROR(INDEX(LAYOUT!$C$2:$C$33,MATCH(B146,LAYOUT!$A$2:$A$33,0)),0),"CEK lebar zona melebihi fixture","OK")))))</f>
        <v/>
      </c>
    </row>
    <row r="147">
      <c r="A147" s="15" t="n"/>
      <c r="B147" s="15" t="n"/>
      <c r="C147" s="16" t="n"/>
      <c r="D147" s="15" t="n"/>
      <c r="E147" s="16" t="n"/>
      <c r="F147" s="17" t="n"/>
      <c r="G147" s="15" t="n"/>
      <c r="H147" s="15" t="n"/>
      <c r="I147" s="16" t="n"/>
      <c r="J147" s="16" t="n"/>
      <c r="K147" s="16" t="n"/>
      <c r="L147" s="16" t="n"/>
      <c r="M147" s="16" t="n"/>
      <c r="N147" s="15" t="n"/>
      <c r="O147" s="16" t="n"/>
      <c r="P147" s="16" t="n"/>
      <c r="Q147" s="13">
        <f>IF(OR(B147="",C147=""),"",IFERROR(INDEX(LAYOUT!$E$2:$E$33,MATCH(B147&amp;"|"&amp;C147,LAYOUT!$F$2:$F$33,0)),"zona tidak ada di layout"))</f>
        <v/>
      </c>
      <c r="R147" s="14">
        <f>IF(F147="","",IF(OR(I147="",O147=""),0,I147*O147))</f>
        <v/>
      </c>
      <c r="S147" s="14">
        <f>IF(F147="","",SUMIFS($R$2:$R$500,$A$2:$A$500,A147,$C$2:$C$500,C147))</f>
        <v/>
      </c>
      <c r="T147" s="14">
        <f>IF(F147="","",IF(OR(G147="",I147="",J147=""),"CEK data SKU (nama/lebar/tinggi)",IF(COUNTIFS($F$2:$F$500,F147,$I$2:$I$500,"&lt;&gt;"&amp;I147)+COUNTIFS($F$2:$F$500,F147,$J$2:$J$500,"&lt;&gt;"&amp;J147)&gt;0,"CEK data SKU tidak konsisten",IF(Q147="zona tidak ada di layout","CEK zona_no / jenis_fixture",IF(D147&lt;&gt;Q147,"CEK jenis_zona",IF(S147&gt;IFERROR(INDEX(LAYOUT!$C$2:$C$33,MATCH(B147,LAYOUT!$A$2:$A$33,0)),0),"CEK lebar zona melebihi fixture","OK")))))</f>
        <v/>
      </c>
    </row>
    <row r="148">
      <c r="A148" s="15" t="n"/>
      <c r="B148" s="15" t="n"/>
      <c r="C148" s="16" t="n"/>
      <c r="D148" s="15" t="n"/>
      <c r="E148" s="16" t="n"/>
      <c r="F148" s="17" t="n"/>
      <c r="G148" s="15" t="n"/>
      <c r="H148" s="15" t="n"/>
      <c r="I148" s="16" t="n"/>
      <c r="J148" s="16" t="n"/>
      <c r="K148" s="16" t="n"/>
      <c r="L148" s="16" t="n"/>
      <c r="M148" s="16" t="n"/>
      <c r="N148" s="15" t="n"/>
      <c r="O148" s="16" t="n"/>
      <c r="P148" s="16" t="n"/>
      <c r="Q148" s="13">
        <f>IF(OR(B148="",C148=""),"",IFERROR(INDEX(LAYOUT!$E$2:$E$33,MATCH(B148&amp;"|"&amp;C148,LAYOUT!$F$2:$F$33,0)),"zona tidak ada di layout"))</f>
        <v/>
      </c>
      <c r="R148" s="14">
        <f>IF(F148="","",IF(OR(I148="",O148=""),0,I148*O148))</f>
        <v/>
      </c>
      <c r="S148" s="14">
        <f>IF(F148="","",SUMIFS($R$2:$R$500,$A$2:$A$500,A148,$C$2:$C$500,C148))</f>
        <v/>
      </c>
      <c r="T148" s="14">
        <f>IF(F148="","",IF(OR(G148="",I148="",J148=""),"CEK data SKU (nama/lebar/tinggi)",IF(COUNTIFS($F$2:$F$500,F148,$I$2:$I$500,"&lt;&gt;"&amp;I148)+COUNTIFS($F$2:$F$500,F148,$J$2:$J$500,"&lt;&gt;"&amp;J148)&gt;0,"CEK data SKU tidak konsisten",IF(Q148="zona tidak ada di layout","CEK zona_no / jenis_fixture",IF(D148&lt;&gt;Q148,"CEK jenis_zona",IF(S148&gt;IFERROR(INDEX(LAYOUT!$C$2:$C$33,MATCH(B148,LAYOUT!$A$2:$A$33,0)),0),"CEK lebar zona melebihi fixture","OK")))))</f>
        <v/>
      </c>
    </row>
    <row r="149">
      <c r="A149" s="15" t="n"/>
      <c r="B149" s="15" t="n"/>
      <c r="C149" s="16" t="n"/>
      <c r="D149" s="15" t="n"/>
      <c r="E149" s="16" t="n"/>
      <c r="F149" s="17" t="n"/>
      <c r="G149" s="15" t="n"/>
      <c r="H149" s="15" t="n"/>
      <c r="I149" s="16" t="n"/>
      <c r="J149" s="16" t="n"/>
      <c r="K149" s="16" t="n"/>
      <c r="L149" s="16" t="n"/>
      <c r="M149" s="16" t="n"/>
      <c r="N149" s="15" t="n"/>
      <c r="O149" s="16" t="n"/>
      <c r="P149" s="16" t="n"/>
      <c r="Q149" s="13">
        <f>IF(OR(B149="",C149=""),"",IFERROR(INDEX(LAYOUT!$E$2:$E$33,MATCH(B149&amp;"|"&amp;C149,LAYOUT!$F$2:$F$33,0)),"zona tidak ada di layout"))</f>
        <v/>
      </c>
      <c r="R149" s="14">
        <f>IF(F149="","",IF(OR(I149="",O149=""),0,I149*O149))</f>
        <v/>
      </c>
      <c r="S149" s="14">
        <f>IF(F149="","",SUMIFS($R$2:$R$500,$A$2:$A$500,A149,$C$2:$C$500,C149))</f>
        <v/>
      </c>
      <c r="T149" s="14">
        <f>IF(F149="","",IF(OR(G149="",I149="",J149=""),"CEK data SKU (nama/lebar/tinggi)",IF(COUNTIFS($F$2:$F$500,F149,$I$2:$I$500,"&lt;&gt;"&amp;I149)+COUNTIFS($F$2:$F$500,F149,$J$2:$J$500,"&lt;&gt;"&amp;J149)&gt;0,"CEK data SKU tidak konsisten",IF(Q149="zona tidak ada di layout","CEK zona_no / jenis_fixture",IF(D149&lt;&gt;Q149,"CEK jenis_zona",IF(S149&gt;IFERROR(INDEX(LAYOUT!$C$2:$C$33,MATCH(B149,LAYOUT!$A$2:$A$33,0)),0),"CEK lebar zona melebihi fixture","OK")))))</f>
        <v/>
      </c>
    </row>
    <row r="150">
      <c r="A150" s="15" t="n"/>
      <c r="B150" s="15" t="n"/>
      <c r="C150" s="16" t="n"/>
      <c r="D150" s="15" t="n"/>
      <c r="E150" s="16" t="n"/>
      <c r="F150" s="17" t="n"/>
      <c r="G150" s="15" t="n"/>
      <c r="H150" s="15" t="n"/>
      <c r="I150" s="16" t="n"/>
      <c r="J150" s="16" t="n"/>
      <c r="K150" s="16" t="n"/>
      <c r="L150" s="16" t="n"/>
      <c r="M150" s="16" t="n"/>
      <c r="N150" s="15" t="n"/>
      <c r="O150" s="16" t="n"/>
      <c r="P150" s="16" t="n"/>
      <c r="Q150" s="13">
        <f>IF(OR(B150="",C150=""),"",IFERROR(INDEX(LAYOUT!$E$2:$E$33,MATCH(B150&amp;"|"&amp;C150,LAYOUT!$F$2:$F$33,0)),"zona tidak ada di layout"))</f>
        <v/>
      </c>
      <c r="R150" s="14">
        <f>IF(F150="","",IF(OR(I150="",O150=""),0,I150*O150))</f>
        <v/>
      </c>
      <c r="S150" s="14">
        <f>IF(F150="","",SUMIFS($R$2:$R$500,$A$2:$A$500,A150,$C$2:$C$500,C150))</f>
        <v/>
      </c>
      <c r="T150" s="14">
        <f>IF(F150="","",IF(OR(G150="",I150="",J150=""),"CEK data SKU (nama/lebar/tinggi)",IF(COUNTIFS($F$2:$F$500,F150,$I$2:$I$500,"&lt;&gt;"&amp;I150)+COUNTIFS($F$2:$F$500,F150,$J$2:$J$500,"&lt;&gt;"&amp;J150)&gt;0,"CEK data SKU tidak konsisten",IF(Q150="zona tidak ada di layout","CEK zona_no / jenis_fixture",IF(D150&lt;&gt;Q150,"CEK jenis_zona",IF(S150&gt;IFERROR(INDEX(LAYOUT!$C$2:$C$33,MATCH(B150,LAYOUT!$A$2:$A$33,0)),0),"CEK lebar zona melebihi fixture","OK")))))</f>
        <v/>
      </c>
    </row>
    <row r="151">
      <c r="A151" s="15" t="n"/>
      <c r="B151" s="15" t="n"/>
      <c r="C151" s="16" t="n"/>
      <c r="D151" s="15" t="n"/>
      <c r="E151" s="16" t="n"/>
      <c r="F151" s="17" t="n"/>
      <c r="G151" s="15" t="n"/>
      <c r="H151" s="15" t="n"/>
      <c r="I151" s="16" t="n"/>
      <c r="J151" s="16" t="n"/>
      <c r="K151" s="16" t="n"/>
      <c r="L151" s="16" t="n"/>
      <c r="M151" s="16" t="n"/>
      <c r="N151" s="15" t="n"/>
      <c r="O151" s="16" t="n"/>
      <c r="P151" s="16" t="n"/>
      <c r="Q151" s="13">
        <f>IF(OR(B151="",C151=""),"",IFERROR(INDEX(LAYOUT!$E$2:$E$33,MATCH(B151&amp;"|"&amp;C151,LAYOUT!$F$2:$F$33,0)),"zona tidak ada di layout"))</f>
        <v/>
      </c>
      <c r="R151" s="14">
        <f>IF(F151="","",IF(OR(I151="",O151=""),0,I151*O151))</f>
        <v/>
      </c>
      <c r="S151" s="14">
        <f>IF(F151="","",SUMIFS($R$2:$R$500,$A$2:$A$500,A151,$C$2:$C$500,C151))</f>
        <v/>
      </c>
      <c r="T151" s="14">
        <f>IF(F151="","",IF(OR(G151="",I151="",J151=""),"CEK data SKU (nama/lebar/tinggi)",IF(COUNTIFS($F$2:$F$500,F151,$I$2:$I$500,"&lt;&gt;"&amp;I151)+COUNTIFS($F$2:$F$500,F151,$J$2:$J$500,"&lt;&gt;"&amp;J151)&gt;0,"CEK data SKU tidak konsisten",IF(Q151="zona tidak ada di layout","CEK zona_no / jenis_fixture",IF(D151&lt;&gt;Q151,"CEK jenis_zona",IF(S151&gt;IFERROR(INDEX(LAYOUT!$C$2:$C$33,MATCH(B151,LAYOUT!$A$2:$A$33,0)),0),"CEK lebar zona melebihi fixture","OK")))))</f>
        <v/>
      </c>
    </row>
    <row r="152">
      <c r="A152" s="15" t="n"/>
      <c r="B152" s="15" t="n"/>
      <c r="C152" s="16" t="n"/>
      <c r="D152" s="15" t="n"/>
      <c r="E152" s="16" t="n"/>
      <c r="F152" s="17" t="n"/>
      <c r="G152" s="15" t="n"/>
      <c r="H152" s="15" t="n"/>
      <c r="I152" s="16" t="n"/>
      <c r="J152" s="16" t="n"/>
      <c r="K152" s="16" t="n"/>
      <c r="L152" s="16" t="n"/>
      <c r="M152" s="16" t="n"/>
      <c r="N152" s="15" t="n"/>
      <c r="O152" s="16" t="n"/>
      <c r="P152" s="16" t="n"/>
      <c r="Q152" s="13">
        <f>IF(OR(B152="",C152=""),"",IFERROR(INDEX(LAYOUT!$E$2:$E$33,MATCH(B152&amp;"|"&amp;C152,LAYOUT!$F$2:$F$33,0)),"zona tidak ada di layout"))</f>
        <v/>
      </c>
      <c r="R152" s="14">
        <f>IF(F152="","",IF(OR(I152="",O152=""),0,I152*O152))</f>
        <v/>
      </c>
      <c r="S152" s="14">
        <f>IF(F152="","",SUMIFS($R$2:$R$500,$A$2:$A$500,A152,$C$2:$C$500,C152))</f>
        <v/>
      </c>
      <c r="T152" s="14">
        <f>IF(F152="","",IF(OR(G152="",I152="",J152=""),"CEK data SKU (nama/lebar/tinggi)",IF(COUNTIFS($F$2:$F$500,F152,$I$2:$I$500,"&lt;&gt;"&amp;I152)+COUNTIFS($F$2:$F$500,F152,$J$2:$J$500,"&lt;&gt;"&amp;J152)&gt;0,"CEK data SKU tidak konsisten",IF(Q152="zona tidak ada di layout","CEK zona_no / jenis_fixture",IF(D152&lt;&gt;Q152,"CEK jenis_zona",IF(S152&gt;IFERROR(INDEX(LAYOUT!$C$2:$C$33,MATCH(B152,LAYOUT!$A$2:$A$33,0)),0),"CEK lebar zona melebihi fixture","OK")))))</f>
        <v/>
      </c>
    </row>
    <row r="153">
      <c r="A153" s="15" t="n"/>
      <c r="B153" s="15" t="n"/>
      <c r="C153" s="16" t="n"/>
      <c r="D153" s="15" t="n"/>
      <c r="E153" s="16" t="n"/>
      <c r="F153" s="17" t="n"/>
      <c r="G153" s="15" t="n"/>
      <c r="H153" s="15" t="n"/>
      <c r="I153" s="16" t="n"/>
      <c r="J153" s="16" t="n"/>
      <c r="K153" s="16" t="n"/>
      <c r="L153" s="16" t="n"/>
      <c r="M153" s="16" t="n"/>
      <c r="N153" s="15" t="n"/>
      <c r="O153" s="16" t="n"/>
      <c r="P153" s="16" t="n"/>
      <c r="Q153" s="13">
        <f>IF(OR(B153="",C153=""),"",IFERROR(INDEX(LAYOUT!$E$2:$E$33,MATCH(B153&amp;"|"&amp;C153,LAYOUT!$F$2:$F$33,0)),"zona tidak ada di layout"))</f>
        <v/>
      </c>
      <c r="R153" s="14">
        <f>IF(F153="","",IF(OR(I153="",O153=""),0,I153*O153))</f>
        <v/>
      </c>
      <c r="S153" s="14">
        <f>IF(F153="","",SUMIFS($R$2:$R$500,$A$2:$A$500,A153,$C$2:$C$500,C153))</f>
        <v/>
      </c>
      <c r="T153" s="14">
        <f>IF(F153="","",IF(OR(G153="",I153="",J153=""),"CEK data SKU (nama/lebar/tinggi)",IF(COUNTIFS($F$2:$F$500,F153,$I$2:$I$500,"&lt;&gt;"&amp;I153)+COUNTIFS($F$2:$F$500,F153,$J$2:$J$500,"&lt;&gt;"&amp;J153)&gt;0,"CEK data SKU tidak konsisten",IF(Q153="zona tidak ada di layout","CEK zona_no / jenis_fixture",IF(D153&lt;&gt;Q153,"CEK jenis_zona",IF(S153&gt;IFERROR(INDEX(LAYOUT!$C$2:$C$33,MATCH(B153,LAYOUT!$A$2:$A$33,0)),0),"CEK lebar zona melebihi fixture","OK")))))</f>
        <v/>
      </c>
    </row>
    <row r="154">
      <c r="A154" s="15" t="n"/>
      <c r="B154" s="15" t="n"/>
      <c r="C154" s="16" t="n"/>
      <c r="D154" s="15" t="n"/>
      <c r="E154" s="16" t="n"/>
      <c r="F154" s="17" t="n"/>
      <c r="G154" s="15" t="n"/>
      <c r="H154" s="15" t="n"/>
      <c r="I154" s="16" t="n"/>
      <c r="J154" s="16" t="n"/>
      <c r="K154" s="16" t="n"/>
      <c r="L154" s="16" t="n"/>
      <c r="M154" s="16" t="n"/>
      <c r="N154" s="15" t="n"/>
      <c r="O154" s="16" t="n"/>
      <c r="P154" s="16" t="n"/>
      <c r="Q154" s="13">
        <f>IF(OR(B154="",C154=""),"",IFERROR(INDEX(LAYOUT!$E$2:$E$33,MATCH(B154&amp;"|"&amp;C154,LAYOUT!$F$2:$F$33,0)),"zona tidak ada di layout"))</f>
        <v/>
      </c>
      <c r="R154" s="14">
        <f>IF(F154="","",IF(OR(I154="",O154=""),0,I154*O154))</f>
        <v/>
      </c>
      <c r="S154" s="14">
        <f>IF(F154="","",SUMIFS($R$2:$R$500,$A$2:$A$500,A154,$C$2:$C$500,C154))</f>
        <v/>
      </c>
      <c r="T154" s="14">
        <f>IF(F154="","",IF(OR(G154="",I154="",J154=""),"CEK data SKU (nama/lebar/tinggi)",IF(COUNTIFS($F$2:$F$500,F154,$I$2:$I$500,"&lt;&gt;"&amp;I154)+COUNTIFS($F$2:$F$500,F154,$J$2:$J$500,"&lt;&gt;"&amp;J154)&gt;0,"CEK data SKU tidak konsisten",IF(Q154="zona tidak ada di layout","CEK zona_no / jenis_fixture",IF(D154&lt;&gt;Q154,"CEK jenis_zona",IF(S154&gt;IFERROR(INDEX(LAYOUT!$C$2:$C$33,MATCH(B154,LAYOUT!$A$2:$A$33,0)),0),"CEK lebar zona melebihi fixture","OK")))))</f>
        <v/>
      </c>
    </row>
    <row r="155">
      <c r="A155" s="15" t="n"/>
      <c r="B155" s="15" t="n"/>
      <c r="C155" s="16" t="n"/>
      <c r="D155" s="15" t="n"/>
      <c r="E155" s="16" t="n"/>
      <c r="F155" s="17" t="n"/>
      <c r="G155" s="15" t="n"/>
      <c r="H155" s="15" t="n"/>
      <c r="I155" s="16" t="n"/>
      <c r="J155" s="16" t="n"/>
      <c r="K155" s="16" t="n"/>
      <c r="L155" s="16" t="n"/>
      <c r="M155" s="16" t="n"/>
      <c r="N155" s="15" t="n"/>
      <c r="O155" s="16" t="n"/>
      <c r="P155" s="16" t="n"/>
      <c r="Q155" s="13">
        <f>IF(OR(B155="",C155=""),"",IFERROR(INDEX(LAYOUT!$E$2:$E$33,MATCH(B155&amp;"|"&amp;C155,LAYOUT!$F$2:$F$33,0)),"zona tidak ada di layout"))</f>
        <v/>
      </c>
      <c r="R155" s="14">
        <f>IF(F155="","",IF(OR(I155="",O155=""),0,I155*O155))</f>
        <v/>
      </c>
      <c r="S155" s="14">
        <f>IF(F155="","",SUMIFS($R$2:$R$500,$A$2:$A$500,A155,$C$2:$C$500,C155))</f>
        <v/>
      </c>
      <c r="T155" s="14">
        <f>IF(F155="","",IF(OR(G155="",I155="",J155=""),"CEK data SKU (nama/lebar/tinggi)",IF(COUNTIFS($F$2:$F$500,F155,$I$2:$I$500,"&lt;&gt;"&amp;I155)+COUNTIFS($F$2:$F$500,F155,$J$2:$J$500,"&lt;&gt;"&amp;J155)&gt;0,"CEK data SKU tidak konsisten",IF(Q155="zona tidak ada di layout","CEK zona_no / jenis_fixture",IF(D155&lt;&gt;Q155,"CEK jenis_zona",IF(S155&gt;IFERROR(INDEX(LAYOUT!$C$2:$C$33,MATCH(B155,LAYOUT!$A$2:$A$33,0)),0),"CEK lebar zona melebihi fixture","OK")))))</f>
        <v/>
      </c>
    </row>
    <row r="156">
      <c r="A156" s="15" t="n"/>
      <c r="B156" s="15" t="n"/>
      <c r="C156" s="16" t="n"/>
      <c r="D156" s="15" t="n"/>
      <c r="E156" s="16" t="n"/>
      <c r="F156" s="17" t="n"/>
      <c r="G156" s="15" t="n"/>
      <c r="H156" s="15" t="n"/>
      <c r="I156" s="16" t="n"/>
      <c r="J156" s="16" t="n"/>
      <c r="K156" s="16" t="n"/>
      <c r="L156" s="16" t="n"/>
      <c r="M156" s="16" t="n"/>
      <c r="N156" s="15" t="n"/>
      <c r="O156" s="16" t="n"/>
      <c r="P156" s="16" t="n"/>
      <c r="Q156" s="13">
        <f>IF(OR(B156="",C156=""),"",IFERROR(INDEX(LAYOUT!$E$2:$E$33,MATCH(B156&amp;"|"&amp;C156,LAYOUT!$F$2:$F$33,0)),"zona tidak ada di layout"))</f>
        <v/>
      </c>
      <c r="R156" s="14">
        <f>IF(F156="","",IF(OR(I156="",O156=""),0,I156*O156))</f>
        <v/>
      </c>
      <c r="S156" s="14">
        <f>IF(F156="","",SUMIFS($R$2:$R$500,$A$2:$A$500,A156,$C$2:$C$500,C156))</f>
        <v/>
      </c>
      <c r="T156" s="14">
        <f>IF(F156="","",IF(OR(G156="",I156="",J156=""),"CEK data SKU (nama/lebar/tinggi)",IF(COUNTIFS($F$2:$F$500,F156,$I$2:$I$500,"&lt;&gt;"&amp;I156)+COUNTIFS($F$2:$F$500,F156,$J$2:$J$500,"&lt;&gt;"&amp;J156)&gt;0,"CEK data SKU tidak konsisten",IF(Q156="zona tidak ada di layout","CEK zona_no / jenis_fixture",IF(D156&lt;&gt;Q156,"CEK jenis_zona",IF(S156&gt;IFERROR(INDEX(LAYOUT!$C$2:$C$33,MATCH(B156,LAYOUT!$A$2:$A$33,0)),0),"CEK lebar zona melebihi fixture","OK")))))</f>
        <v/>
      </c>
    </row>
    <row r="157">
      <c r="A157" s="15" t="n"/>
      <c r="B157" s="15" t="n"/>
      <c r="C157" s="16" t="n"/>
      <c r="D157" s="15" t="n"/>
      <c r="E157" s="16" t="n"/>
      <c r="F157" s="17" t="n"/>
      <c r="G157" s="15" t="n"/>
      <c r="H157" s="15" t="n"/>
      <c r="I157" s="16" t="n"/>
      <c r="J157" s="16" t="n"/>
      <c r="K157" s="16" t="n"/>
      <c r="L157" s="16" t="n"/>
      <c r="M157" s="16" t="n"/>
      <c r="N157" s="15" t="n"/>
      <c r="O157" s="16" t="n"/>
      <c r="P157" s="16" t="n"/>
      <c r="Q157" s="13">
        <f>IF(OR(B157="",C157=""),"",IFERROR(INDEX(LAYOUT!$E$2:$E$33,MATCH(B157&amp;"|"&amp;C157,LAYOUT!$F$2:$F$33,0)),"zona tidak ada di layout"))</f>
        <v/>
      </c>
      <c r="R157" s="14">
        <f>IF(F157="","",IF(OR(I157="",O157=""),0,I157*O157))</f>
        <v/>
      </c>
      <c r="S157" s="14">
        <f>IF(F157="","",SUMIFS($R$2:$R$500,$A$2:$A$500,A157,$C$2:$C$500,C157))</f>
        <v/>
      </c>
      <c r="T157" s="14">
        <f>IF(F157="","",IF(OR(G157="",I157="",J157=""),"CEK data SKU (nama/lebar/tinggi)",IF(COUNTIFS($F$2:$F$500,F157,$I$2:$I$500,"&lt;&gt;"&amp;I157)+COUNTIFS($F$2:$F$500,F157,$J$2:$J$500,"&lt;&gt;"&amp;J157)&gt;0,"CEK data SKU tidak konsisten",IF(Q157="zona tidak ada di layout","CEK zona_no / jenis_fixture",IF(D157&lt;&gt;Q157,"CEK jenis_zona",IF(S157&gt;IFERROR(INDEX(LAYOUT!$C$2:$C$33,MATCH(B157,LAYOUT!$A$2:$A$33,0)),0),"CEK lebar zona melebihi fixture","OK")))))</f>
        <v/>
      </c>
    </row>
    <row r="158">
      <c r="A158" s="15" t="n"/>
      <c r="B158" s="15" t="n"/>
      <c r="C158" s="16" t="n"/>
      <c r="D158" s="15" t="n"/>
      <c r="E158" s="16" t="n"/>
      <c r="F158" s="17" t="n"/>
      <c r="G158" s="15" t="n"/>
      <c r="H158" s="15" t="n"/>
      <c r="I158" s="16" t="n"/>
      <c r="J158" s="16" t="n"/>
      <c r="K158" s="16" t="n"/>
      <c r="L158" s="16" t="n"/>
      <c r="M158" s="16" t="n"/>
      <c r="N158" s="15" t="n"/>
      <c r="O158" s="16" t="n"/>
      <c r="P158" s="16" t="n"/>
      <c r="Q158" s="13">
        <f>IF(OR(B158="",C158=""),"",IFERROR(INDEX(LAYOUT!$E$2:$E$33,MATCH(B158&amp;"|"&amp;C158,LAYOUT!$F$2:$F$33,0)),"zona tidak ada di layout"))</f>
        <v/>
      </c>
      <c r="R158" s="14">
        <f>IF(F158="","",IF(OR(I158="",O158=""),0,I158*O158))</f>
        <v/>
      </c>
      <c r="S158" s="14">
        <f>IF(F158="","",SUMIFS($R$2:$R$500,$A$2:$A$500,A158,$C$2:$C$500,C158))</f>
        <v/>
      </c>
      <c r="T158" s="14">
        <f>IF(F158="","",IF(OR(G158="",I158="",J158=""),"CEK data SKU (nama/lebar/tinggi)",IF(COUNTIFS($F$2:$F$500,F158,$I$2:$I$500,"&lt;&gt;"&amp;I158)+COUNTIFS($F$2:$F$500,F158,$J$2:$J$500,"&lt;&gt;"&amp;J158)&gt;0,"CEK data SKU tidak konsisten",IF(Q158="zona tidak ada di layout","CEK zona_no / jenis_fixture",IF(D158&lt;&gt;Q158,"CEK jenis_zona",IF(S158&gt;IFERROR(INDEX(LAYOUT!$C$2:$C$33,MATCH(B158,LAYOUT!$A$2:$A$33,0)),0),"CEK lebar zona melebihi fixture","OK")))))</f>
        <v/>
      </c>
    </row>
    <row r="159">
      <c r="A159" s="15" t="n"/>
      <c r="B159" s="15" t="n"/>
      <c r="C159" s="16" t="n"/>
      <c r="D159" s="15" t="n"/>
      <c r="E159" s="16" t="n"/>
      <c r="F159" s="17" t="n"/>
      <c r="G159" s="15" t="n"/>
      <c r="H159" s="15" t="n"/>
      <c r="I159" s="16" t="n"/>
      <c r="J159" s="16" t="n"/>
      <c r="K159" s="16" t="n"/>
      <c r="L159" s="16" t="n"/>
      <c r="M159" s="16" t="n"/>
      <c r="N159" s="15" t="n"/>
      <c r="O159" s="16" t="n"/>
      <c r="P159" s="16" t="n"/>
      <c r="Q159" s="13">
        <f>IF(OR(B159="",C159=""),"",IFERROR(INDEX(LAYOUT!$E$2:$E$33,MATCH(B159&amp;"|"&amp;C159,LAYOUT!$F$2:$F$33,0)),"zona tidak ada di layout"))</f>
        <v/>
      </c>
      <c r="R159" s="14">
        <f>IF(F159="","",IF(OR(I159="",O159=""),0,I159*O159))</f>
        <v/>
      </c>
      <c r="S159" s="14">
        <f>IF(F159="","",SUMIFS($R$2:$R$500,$A$2:$A$500,A159,$C$2:$C$500,C159))</f>
        <v/>
      </c>
      <c r="T159" s="14">
        <f>IF(F159="","",IF(OR(G159="",I159="",J159=""),"CEK data SKU (nama/lebar/tinggi)",IF(COUNTIFS($F$2:$F$500,F159,$I$2:$I$500,"&lt;&gt;"&amp;I159)+COUNTIFS($F$2:$F$500,F159,$J$2:$J$500,"&lt;&gt;"&amp;J159)&gt;0,"CEK data SKU tidak konsisten",IF(Q159="zona tidak ada di layout","CEK zona_no / jenis_fixture",IF(D159&lt;&gt;Q159,"CEK jenis_zona",IF(S159&gt;IFERROR(INDEX(LAYOUT!$C$2:$C$33,MATCH(B159,LAYOUT!$A$2:$A$33,0)),0),"CEK lebar zona melebihi fixture","OK")))))</f>
        <v/>
      </c>
    </row>
    <row r="160">
      <c r="A160" s="15" t="n"/>
      <c r="B160" s="15" t="n"/>
      <c r="C160" s="16" t="n"/>
      <c r="D160" s="15" t="n"/>
      <c r="E160" s="16" t="n"/>
      <c r="F160" s="17" t="n"/>
      <c r="G160" s="15" t="n"/>
      <c r="H160" s="15" t="n"/>
      <c r="I160" s="16" t="n"/>
      <c r="J160" s="16" t="n"/>
      <c r="K160" s="16" t="n"/>
      <c r="L160" s="16" t="n"/>
      <c r="M160" s="16" t="n"/>
      <c r="N160" s="15" t="n"/>
      <c r="O160" s="16" t="n"/>
      <c r="P160" s="16" t="n"/>
      <c r="Q160" s="13">
        <f>IF(OR(B160="",C160=""),"",IFERROR(INDEX(LAYOUT!$E$2:$E$33,MATCH(B160&amp;"|"&amp;C160,LAYOUT!$F$2:$F$33,0)),"zona tidak ada di layout"))</f>
        <v/>
      </c>
      <c r="R160" s="14">
        <f>IF(F160="","",IF(OR(I160="",O160=""),0,I160*O160))</f>
        <v/>
      </c>
      <c r="S160" s="14">
        <f>IF(F160="","",SUMIFS($R$2:$R$500,$A$2:$A$500,A160,$C$2:$C$500,C160))</f>
        <v/>
      </c>
      <c r="T160" s="14">
        <f>IF(F160="","",IF(OR(G160="",I160="",J160=""),"CEK data SKU (nama/lebar/tinggi)",IF(COUNTIFS($F$2:$F$500,F160,$I$2:$I$500,"&lt;&gt;"&amp;I160)+COUNTIFS($F$2:$F$500,F160,$J$2:$J$500,"&lt;&gt;"&amp;J160)&gt;0,"CEK data SKU tidak konsisten",IF(Q160="zona tidak ada di layout","CEK zona_no / jenis_fixture",IF(D160&lt;&gt;Q160,"CEK jenis_zona",IF(S160&gt;IFERROR(INDEX(LAYOUT!$C$2:$C$33,MATCH(B160,LAYOUT!$A$2:$A$33,0)),0),"CEK lebar zona melebihi fixture","OK")))))</f>
        <v/>
      </c>
    </row>
    <row r="161">
      <c r="A161" s="15" t="n"/>
      <c r="B161" s="15" t="n"/>
      <c r="C161" s="16" t="n"/>
      <c r="D161" s="15" t="n"/>
      <c r="E161" s="16" t="n"/>
      <c r="F161" s="17" t="n"/>
      <c r="G161" s="15" t="n"/>
      <c r="H161" s="15" t="n"/>
      <c r="I161" s="16" t="n"/>
      <c r="J161" s="16" t="n"/>
      <c r="K161" s="16" t="n"/>
      <c r="L161" s="16" t="n"/>
      <c r="M161" s="16" t="n"/>
      <c r="N161" s="15" t="n"/>
      <c r="O161" s="16" t="n"/>
      <c r="P161" s="16" t="n"/>
      <c r="Q161" s="13">
        <f>IF(OR(B161="",C161=""),"",IFERROR(INDEX(LAYOUT!$E$2:$E$33,MATCH(B161&amp;"|"&amp;C161,LAYOUT!$F$2:$F$33,0)),"zona tidak ada di layout"))</f>
        <v/>
      </c>
      <c r="R161" s="14">
        <f>IF(F161="","",IF(OR(I161="",O161=""),0,I161*O161))</f>
        <v/>
      </c>
      <c r="S161" s="14">
        <f>IF(F161="","",SUMIFS($R$2:$R$500,$A$2:$A$500,A161,$C$2:$C$500,C161))</f>
        <v/>
      </c>
      <c r="T161" s="14">
        <f>IF(F161="","",IF(OR(G161="",I161="",J161=""),"CEK data SKU (nama/lebar/tinggi)",IF(COUNTIFS($F$2:$F$500,F161,$I$2:$I$500,"&lt;&gt;"&amp;I161)+COUNTIFS($F$2:$F$500,F161,$J$2:$J$500,"&lt;&gt;"&amp;J161)&gt;0,"CEK data SKU tidak konsisten",IF(Q161="zona tidak ada di layout","CEK zona_no / jenis_fixture",IF(D161&lt;&gt;Q161,"CEK jenis_zona",IF(S161&gt;IFERROR(INDEX(LAYOUT!$C$2:$C$33,MATCH(B161,LAYOUT!$A$2:$A$33,0)),0),"CEK lebar zona melebihi fixture","OK")))))</f>
        <v/>
      </c>
    </row>
    <row r="162">
      <c r="A162" s="15" t="n"/>
      <c r="B162" s="15" t="n"/>
      <c r="C162" s="16" t="n"/>
      <c r="D162" s="15" t="n"/>
      <c r="E162" s="16" t="n"/>
      <c r="F162" s="17" t="n"/>
      <c r="G162" s="15" t="n"/>
      <c r="H162" s="15" t="n"/>
      <c r="I162" s="16" t="n"/>
      <c r="J162" s="16" t="n"/>
      <c r="K162" s="16" t="n"/>
      <c r="L162" s="16" t="n"/>
      <c r="M162" s="16" t="n"/>
      <c r="N162" s="15" t="n"/>
      <c r="O162" s="16" t="n"/>
      <c r="P162" s="16" t="n"/>
      <c r="Q162" s="13">
        <f>IF(OR(B162="",C162=""),"",IFERROR(INDEX(LAYOUT!$E$2:$E$33,MATCH(B162&amp;"|"&amp;C162,LAYOUT!$F$2:$F$33,0)),"zona tidak ada di layout"))</f>
        <v/>
      </c>
      <c r="R162" s="14">
        <f>IF(F162="","",IF(OR(I162="",O162=""),0,I162*O162))</f>
        <v/>
      </c>
      <c r="S162" s="14">
        <f>IF(F162="","",SUMIFS($R$2:$R$500,$A$2:$A$500,A162,$C$2:$C$500,C162))</f>
        <v/>
      </c>
      <c r="T162" s="14">
        <f>IF(F162="","",IF(OR(G162="",I162="",J162=""),"CEK data SKU (nama/lebar/tinggi)",IF(COUNTIFS($F$2:$F$500,F162,$I$2:$I$500,"&lt;&gt;"&amp;I162)+COUNTIFS($F$2:$F$500,F162,$J$2:$J$500,"&lt;&gt;"&amp;J162)&gt;0,"CEK data SKU tidak konsisten",IF(Q162="zona tidak ada di layout","CEK zona_no / jenis_fixture",IF(D162&lt;&gt;Q162,"CEK jenis_zona",IF(S162&gt;IFERROR(INDEX(LAYOUT!$C$2:$C$33,MATCH(B162,LAYOUT!$A$2:$A$33,0)),0),"CEK lebar zona melebihi fixture","OK")))))</f>
        <v/>
      </c>
    </row>
    <row r="163">
      <c r="A163" s="15" t="n"/>
      <c r="B163" s="15" t="n"/>
      <c r="C163" s="16" t="n"/>
      <c r="D163" s="15" t="n"/>
      <c r="E163" s="16" t="n"/>
      <c r="F163" s="17" t="n"/>
      <c r="G163" s="15" t="n"/>
      <c r="H163" s="15" t="n"/>
      <c r="I163" s="16" t="n"/>
      <c r="J163" s="16" t="n"/>
      <c r="K163" s="16" t="n"/>
      <c r="L163" s="16" t="n"/>
      <c r="M163" s="16" t="n"/>
      <c r="N163" s="15" t="n"/>
      <c r="O163" s="16" t="n"/>
      <c r="P163" s="16" t="n"/>
      <c r="Q163" s="13">
        <f>IF(OR(B163="",C163=""),"",IFERROR(INDEX(LAYOUT!$E$2:$E$33,MATCH(B163&amp;"|"&amp;C163,LAYOUT!$F$2:$F$33,0)),"zona tidak ada di layout"))</f>
        <v/>
      </c>
      <c r="R163" s="14">
        <f>IF(F163="","",IF(OR(I163="",O163=""),0,I163*O163))</f>
        <v/>
      </c>
      <c r="S163" s="14">
        <f>IF(F163="","",SUMIFS($R$2:$R$500,$A$2:$A$500,A163,$C$2:$C$500,C163))</f>
        <v/>
      </c>
      <c r="T163" s="14">
        <f>IF(F163="","",IF(OR(G163="",I163="",J163=""),"CEK data SKU (nama/lebar/tinggi)",IF(COUNTIFS($F$2:$F$500,F163,$I$2:$I$500,"&lt;&gt;"&amp;I163)+COUNTIFS($F$2:$F$500,F163,$J$2:$J$500,"&lt;&gt;"&amp;J163)&gt;0,"CEK data SKU tidak konsisten",IF(Q163="zona tidak ada di layout","CEK zona_no / jenis_fixture",IF(D163&lt;&gt;Q163,"CEK jenis_zona",IF(S163&gt;IFERROR(INDEX(LAYOUT!$C$2:$C$33,MATCH(B163,LAYOUT!$A$2:$A$33,0)),0),"CEK lebar zona melebihi fixture","OK")))))</f>
        <v/>
      </c>
    </row>
    <row r="164">
      <c r="A164" s="15" t="n"/>
      <c r="B164" s="15" t="n"/>
      <c r="C164" s="16" t="n"/>
      <c r="D164" s="15" t="n"/>
      <c r="E164" s="16" t="n"/>
      <c r="F164" s="17" t="n"/>
      <c r="G164" s="15" t="n"/>
      <c r="H164" s="15" t="n"/>
      <c r="I164" s="16" t="n"/>
      <c r="J164" s="16" t="n"/>
      <c r="K164" s="16" t="n"/>
      <c r="L164" s="16" t="n"/>
      <c r="M164" s="16" t="n"/>
      <c r="N164" s="15" t="n"/>
      <c r="O164" s="16" t="n"/>
      <c r="P164" s="16" t="n"/>
      <c r="Q164" s="13">
        <f>IF(OR(B164="",C164=""),"",IFERROR(INDEX(LAYOUT!$E$2:$E$33,MATCH(B164&amp;"|"&amp;C164,LAYOUT!$F$2:$F$33,0)),"zona tidak ada di layout"))</f>
        <v/>
      </c>
      <c r="R164" s="14">
        <f>IF(F164="","",IF(OR(I164="",O164=""),0,I164*O164))</f>
        <v/>
      </c>
      <c r="S164" s="14">
        <f>IF(F164="","",SUMIFS($R$2:$R$500,$A$2:$A$500,A164,$C$2:$C$500,C164))</f>
        <v/>
      </c>
      <c r="T164" s="14">
        <f>IF(F164="","",IF(OR(G164="",I164="",J164=""),"CEK data SKU (nama/lebar/tinggi)",IF(COUNTIFS($F$2:$F$500,F164,$I$2:$I$500,"&lt;&gt;"&amp;I164)+COUNTIFS($F$2:$F$500,F164,$J$2:$J$500,"&lt;&gt;"&amp;J164)&gt;0,"CEK data SKU tidak konsisten",IF(Q164="zona tidak ada di layout","CEK zona_no / jenis_fixture",IF(D164&lt;&gt;Q164,"CEK jenis_zona",IF(S164&gt;IFERROR(INDEX(LAYOUT!$C$2:$C$33,MATCH(B164,LAYOUT!$A$2:$A$33,0)),0),"CEK lebar zona melebihi fixture","OK")))))</f>
        <v/>
      </c>
    </row>
    <row r="165">
      <c r="A165" s="15" t="n"/>
      <c r="B165" s="15" t="n"/>
      <c r="C165" s="16" t="n"/>
      <c r="D165" s="15" t="n"/>
      <c r="E165" s="16" t="n"/>
      <c r="F165" s="17" t="n"/>
      <c r="G165" s="15" t="n"/>
      <c r="H165" s="15" t="n"/>
      <c r="I165" s="16" t="n"/>
      <c r="J165" s="16" t="n"/>
      <c r="K165" s="16" t="n"/>
      <c r="L165" s="16" t="n"/>
      <c r="M165" s="16" t="n"/>
      <c r="N165" s="15" t="n"/>
      <c r="O165" s="16" t="n"/>
      <c r="P165" s="16" t="n"/>
      <c r="Q165" s="13">
        <f>IF(OR(B165="",C165=""),"",IFERROR(INDEX(LAYOUT!$E$2:$E$33,MATCH(B165&amp;"|"&amp;C165,LAYOUT!$F$2:$F$33,0)),"zona tidak ada di layout"))</f>
        <v/>
      </c>
      <c r="R165" s="14">
        <f>IF(F165="","",IF(OR(I165="",O165=""),0,I165*O165))</f>
        <v/>
      </c>
      <c r="S165" s="14">
        <f>IF(F165="","",SUMIFS($R$2:$R$500,$A$2:$A$500,A165,$C$2:$C$500,C165))</f>
        <v/>
      </c>
      <c r="T165" s="14">
        <f>IF(F165="","",IF(OR(G165="",I165="",J165=""),"CEK data SKU (nama/lebar/tinggi)",IF(COUNTIFS($F$2:$F$500,F165,$I$2:$I$500,"&lt;&gt;"&amp;I165)+COUNTIFS($F$2:$F$500,F165,$J$2:$J$500,"&lt;&gt;"&amp;J165)&gt;0,"CEK data SKU tidak konsisten",IF(Q165="zona tidak ada di layout","CEK zona_no / jenis_fixture",IF(D165&lt;&gt;Q165,"CEK jenis_zona",IF(S165&gt;IFERROR(INDEX(LAYOUT!$C$2:$C$33,MATCH(B165,LAYOUT!$A$2:$A$33,0)),0),"CEK lebar zona melebihi fixture","OK")))))</f>
        <v/>
      </c>
    </row>
    <row r="166">
      <c r="A166" s="15" t="n"/>
      <c r="B166" s="15" t="n"/>
      <c r="C166" s="16" t="n"/>
      <c r="D166" s="15" t="n"/>
      <c r="E166" s="16" t="n"/>
      <c r="F166" s="17" t="n"/>
      <c r="G166" s="15" t="n"/>
      <c r="H166" s="15" t="n"/>
      <c r="I166" s="16" t="n"/>
      <c r="J166" s="16" t="n"/>
      <c r="K166" s="16" t="n"/>
      <c r="L166" s="16" t="n"/>
      <c r="M166" s="16" t="n"/>
      <c r="N166" s="15" t="n"/>
      <c r="O166" s="16" t="n"/>
      <c r="P166" s="16" t="n"/>
      <c r="Q166" s="13">
        <f>IF(OR(B166="",C166=""),"",IFERROR(INDEX(LAYOUT!$E$2:$E$33,MATCH(B166&amp;"|"&amp;C166,LAYOUT!$F$2:$F$33,0)),"zona tidak ada di layout"))</f>
        <v/>
      </c>
      <c r="R166" s="14">
        <f>IF(F166="","",IF(OR(I166="",O166=""),0,I166*O166))</f>
        <v/>
      </c>
      <c r="S166" s="14">
        <f>IF(F166="","",SUMIFS($R$2:$R$500,$A$2:$A$500,A166,$C$2:$C$500,C166))</f>
        <v/>
      </c>
      <c r="T166" s="14">
        <f>IF(F166="","",IF(OR(G166="",I166="",J166=""),"CEK data SKU (nama/lebar/tinggi)",IF(COUNTIFS($F$2:$F$500,F166,$I$2:$I$500,"&lt;&gt;"&amp;I166)+COUNTIFS($F$2:$F$500,F166,$J$2:$J$500,"&lt;&gt;"&amp;J166)&gt;0,"CEK data SKU tidak konsisten",IF(Q166="zona tidak ada di layout","CEK zona_no / jenis_fixture",IF(D166&lt;&gt;Q166,"CEK jenis_zona",IF(S166&gt;IFERROR(INDEX(LAYOUT!$C$2:$C$33,MATCH(B166,LAYOUT!$A$2:$A$33,0)),0),"CEK lebar zona melebihi fixture","OK")))))</f>
        <v/>
      </c>
    </row>
    <row r="167">
      <c r="A167" s="15" t="n"/>
      <c r="B167" s="15" t="n"/>
      <c r="C167" s="16" t="n"/>
      <c r="D167" s="15" t="n"/>
      <c r="E167" s="16" t="n"/>
      <c r="F167" s="17" t="n"/>
      <c r="G167" s="15" t="n"/>
      <c r="H167" s="15" t="n"/>
      <c r="I167" s="16" t="n"/>
      <c r="J167" s="16" t="n"/>
      <c r="K167" s="16" t="n"/>
      <c r="L167" s="16" t="n"/>
      <c r="M167" s="16" t="n"/>
      <c r="N167" s="15" t="n"/>
      <c r="O167" s="16" t="n"/>
      <c r="P167" s="16" t="n"/>
      <c r="Q167" s="13">
        <f>IF(OR(B167="",C167=""),"",IFERROR(INDEX(LAYOUT!$E$2:$E$33,MATCH(B167&amp;"|"&amp;C167,LAYOUT!$F$2:$F$33,0)),"zona tidak ada di layout"))</f>
        <v/>
      </c>
      <c r="R167" s="14">
        <f>IF(F167="","",IF(OR(I167="",O167=""),0,I167*O167))</f>
        <v/>
      </c>
      <c r="S167" s="14">
        <f>IF(F167="","",SUMIFS($R$2:$R$500,$A$2:$A$500,A167,$C$2:$C$500,C167))</f>
        <v/>
      </c>
      <c r="T167" s="14">
        <f>IF(F167="","",IF(OR(G167="",I167="",J167=""),"CEK data SKU (nama/lebar/tinggi)",IF(COUNTIFS($F$2:$F$500,F167,$I$2:$I$500,"&lt;&gt;"&amp;I167)+COUNTIFS($F$2:$F$500,F167,$J$2:$J$500,"&lt;&gt;"&amp;J167)&gt;0,"CEK data SKU tidak konsisten",IF(Q167="zona tidak ada di layout","CEK zona_no / jenis_fixture",IF(D167&lt;&gt;Q167,"CEK jenis_zona",IF(S167&gt;IFERROR(INDEX(LAYOUT!$C$2:$C$33,MATCH(B167,LAYOUT!$A$2:$A$33,0)),0),"CEK lebar zona melebihi fixture","OK")))))</f>
        <v/>
      </c>
    </row>
    <row r="168">
      <c r="A168" s="15" t="n"/>
      <c r="B168" s="15" t="n"/>
      <c r="C168" s="16" t="n"/>
      <c r="D168" s="15" t="n"/>
      <c r="E168" s="16" t="n"/>
      <c r="F168" s="17" t="n"/>
      <c r="G168" s="15" t="n"/>
      <c r="H168" s="15" t="n"/>
      <c r="I168" s="16" t="n"/>
      <c r="J168" s="16" t="n"/>
      <c r="K168" s="16" t="n"/>
      <c r="L168" s="16" t="n"/>
      <c r="M168" s="16" t="n"/>
      <c r="N168" s="15" t="n"/>
      <c r="O168" s="16" t="n"/>
      <c r="P168" s="16" t="n"/>
      <c r="Q168" s="13">
        <f>IF(OR(B168="",C168=""),"",IFERROR(INDEX(LAYOUT!$E$2:$E$33,MATCH(B168&amp;"|"&amp;C168,LAYOUT!$F$2:$F$33,0)),"zona tidak ada di layout"))</f>
        <v/>
      </c>
      <c r="R168" s="14">
        <f>IF(F168="","",IF(OR(I168="",O168=""),0,I168*O168))</f>
        <v/>
      </c>
      <c r="S168" s="14">
        <f>IF(F168="","",SUMIFS($R$2:$R$500,$A$2:$A$500,A168,$C$2:$C$500,C168))</f>
        <v/>
      </c>
      <c r="T168" s="14">
        <f>IF(F168="","",IF(OR(G168="",I168="",J168=""),"CEK data SKU (nama/lebar/tinggi)",IF(COUNTIFS($F$2:$F$500,F168,$I$2:$I$500,"&lt;&gt;"&amp;I168)+COUNTIFS($F$2:$F$500,F168,$J$2:$J$500,"&lt;&gt;"&amp;J168)&gt;0,"CEK data SKU tidak konsisten",IF(Q168="zona tidak ada di layout","CEK zona_no / jenis_fixture",IF(D168&lt;&gt;Q168,"CEK jenis_zona",IF(S168&gt;IFERROR(INDEX(LAYOUT!$C$2:$C$33,MATCH(B168,LAYOUT!$A$2:$A$33,0)),0),"CEK lebar zona melebihi fixture","OK")))))</f>
        <v/>
      </c>
    </row>
    <row r="169">
      <c r="A169" s="15" t="n"/>
      <c r="B169" s="15" t="n"/>
      <c r="C169" s="16" t="n"/>
      <c r="D169" s="15" t="n"/>
      <c r="E169" s="16" t="n"/>
      <c r="F169" s="17" t="n"/>
      <c r="G169" s="15" t="n"/>
      <c r="H169" s="15" t="n"/>
      <c r="I169" s="16" t="n"/>
      <c r="J169" s="16" t="n"/>
      <c r="K169" s="16" t="n"/>
      <c r="L169" s="16" t="n"/>
      <c r="M169" s="16" t="n"/>
      <c r="N169" s="15" t="n"/>
      <c r="O169" s="16" t="n"/>
      <c r="P169" s="16" t="n"/>
      <c r="Q169" s="13">
        <f>IF(OR(B169="",C169=""),"",IFERROR(INDEX(LAYOUT!$E$2:$E$33,MATCH(B169&amp;"|"&amp;C169,LAYOUT!$F$2:$F$33,0)),"zona tidak ada di layout"))</f>
        <v/>
      </c>
      <c r="R169" s="14">
        <f>IF(F169="","",IF(OR(I169="",O169=""),0,I169*O169))</f>
        <v/>
      </c>
      <c r="S169" s="14">
        <f>IF(F169="","",SUMIFS($R$2:$R$500,$A$2:$A$500,A169,$C$2:$C$500,C169))</f>
        <v/>
      </c>
      <c r="T169" s="14">
        <f>IF(F169="","",IF(OR(G169="",I169="",J169=""),"CEK data SKU (nama/lebar/tinggi)",IF(COUNTIFS($F$2:$F$500,F169,$I$2:$I$500,"&lt;&gt;"&amp;I169)+COUNTIFS($F$2:$F$500,F169,$J$2:$J$500,"&lt;&gt;"&amp;J169)&gt;0,"CEK data SKU tidak konsisten",IF(Q169="zona tidak ada di layout","CEK zona_no / jenis_fixture",IF(D169&lt;&gt;Q169,"CEK jenis_zona",IF(S169&gt;IFERROR(INDEX(LAYOUT!$C$2:$C$33,MATCH(B169,LAYOUT!$A$2:$A$33,0)),0),"CEK lebar zona melebihi fixture","OK")))))</f>
        <v/>
      </c>
    </row>
    <row r="170">
      <c r="A170" s="15" t="n"/>
      <c r="B170" s="15" t="n"/>
      <c r="C170" s="16" t="n"/>
      <c r="D170" s="15" t="n"/>
      <c r="E170" s="16" t="n"/>
      <c r="F170" s="17" t="n"/>
      <c r="G170" s="15" t="n"/>
      <c r="H170" s="15" t="n"/>
      <c r="I170" s="16" t="n"/>
      <c r="J170" s="16" t="n"/>
      <c r="K170" s="16" t="n"/>
      <c r="L170" s="16" t="n"/>
      <c r="M170" s="16" t="n"/>
      <c r="N170" s="15" t="n"/>
      <c r="O170" s="16" t="n"/>
      <c r="P170" s="16" t="n"/>
      <c r="Q170" s="13">
        <f>IF(OR(B170="",C170=""),"",IFERROR(INDEX(LAYOUT!$E$2:$E$33,MATCH(B170&amp;"|"&amp;C170,LAYOUT!$F$2:$F$33,0)),"zona tidak ada di layout"))</f>
        <v/>
      </c>
      <c r="R170" s="14">
        <f>IF(F170="","",IF(OR(I170="",O170=""),0,I170*O170))</f>
        <v/>
      </c>
      <c r="S170" s="14">
        <f>IF(F170="","",SUMIFS($R$2:$R$500,$A$2:$A$500,A170,$C$2:$C$500,C170))</f>
        <v/>
      </c>
      <c r="T170" s="14">
        <f>IF(F170="","",IF(OR(G170="",I170="",J170=""),"CEK data SKU (nama/lebar/tinggi)",IF(COUNTIFS($F$2:$F$500,F170,$I$2:$I$500,"&lt;&gt;"&amp;I170)+COUNTIFS($F$2:$F$500,F170,$J$2:$J$500,"&lt;&gt;"&amp;J170)&gt;0,"CEK data SKU tidak konsisten",IF(Q170="zona tidak ada di layout","CEK zona_no / jenis_fixture",IF(D170&lt;&gt;Q170,"CEK jenis_zona",IF(S170&gt;IFERROR(INDEX(LAYOUT!$C$2:$C$33,MATCH(B170,LAYOUT!$A$2:$A$33,0)),0),"CEK lebar zona melebihi fixture","OK")))))</f>
        <v/>
      </c>
    </row>
    <row r="171">
      <c r="A171" s="15" t="n"/>
      <c r="B171" s="15" t="n"/>
      <c r="C171" s="16" t="n"/>
      <c r="D171" s="15" t="n"/>
      <c r="E171" s="16" t="n"/>
      <c r="F171" s="17" t="n"/>
      <c r="G171" s="15" t="n"/>
      <c r="H171" s="15" t="n"/>
      <c r="I171" s="16" t="n"/>
      <c r="J171" s="16" t="n"/>
      <c r="K171" s="16" t="n"/>
      <c r="L171" s="16" t="n"/>
      <c r="M171" s="16" t="n"/>
      <c r="N171" s="15" t="n"/>
      <c r="O171" s="16" t="n"/>
      <c r="P171" s="16" t="n"/>
      <c r="Q171" s="13">
        <f>IF(OR(B171="",C171=""),"",IFERROR(INDEX(LAYOUT!$E$2:$E$33,MATCH(B171&amp;"|"&amp;C171,LAYOUT!$F$2:$F$33,0)),"zona tidak ada di layout"))</f>
        <v/>
      </c>
      <c r="R171" s="14">
        <f>IF(F171="","",IF(OR(I171="",O171=""),0,I171*O171))</f>
        <v/>
      </c>
      <c r="S171" s="14">
        <f>IF(F171="","",SUMIFS($R$2:$R$500,$A$2:$A$500,A171,$C$2:$C$500,C171))</f>
        <v/>
      </c>
      <c r="T171" s="14">
        <f>IF(F171="","",IF(OR(G171="",I171="",J171=""),"CEK data SKU (nama/lebar/tinggi)",IF(COUNTIFS($F$2:$F$500,F171,$I$2:$I$500,"&lt;&gt;"&amp;I171)+COUNTIFS($F$2:$F$500,F171,$J$2:$J$500,"&lt;&gt;"&amp;J171)&gt;0,"CEK data SKU tidak konsisten",IF(Q171="zona tidak ada di layout","CEK zona_no / jenis_fixture",IF(D171&lt;&gt;Q171,"CEK jenis_zona",IF(S171&gt;IFERROR(INDEX(LAYOUT!$C$2:$C$33,MATCH(B171,LAYOUT!$A$2:$A$33,0)),0),"CEK lebar zona melebihi fixture","OK")))))</f>
        <v/>
      </c>
    </row>
    <row r="172">
      <c r="A172" s="15" t="n"/>
      <c r="B172" s="15" t="n"/>
      <c r="C172" s="16" t="n"/>
      <c r="D172" s="15" t="n"/>
      <c r="E172" s="16" t="n"/>
      <c r="F172" s="17" t="n"/>
      <c r="G172" s="15" t="n"/>
      <c r="H172" s="15" t="n"/>
      <c r="I172" s="16" t="n"/>
      <c r="J172" s="16" t="n"/>
      <c r="K172" s="16" t="n"/>
      <c r="L172" s="16" t="n"/>
      <c r="M172" s="16" t="n"/>
      <c r="N172" s="15" t="n"/>
      <c r="O172" s="16" t="n"/>
      <c r="P172" s="16" t="n"/>
      <c r="Q172" s="13">
        <f>IF(OR(B172="",C172=""),"",IFERROR(INDEX(LAYOUT!$E$2:$E$33,MATCH(B172&amp;"|"&amp;C172,LAYOUT!$F$2:$F$33,0)),"zona tidak ada di layout"))</f>
        <v/>
      </c>
      <c r="R172" s="14">
        <f>IF(F172="","",IF(OR(I172="",O172=""),0,I172*O172))</f>
        <v/>
      </c>
      <c r="S172" s="14">
        <f>IF(F172="","",SUMIFS($R$2:$R$500,$A$2:$A$500,A172,$C$2:$C$500,C172))</f>
        <v/>
      </c>
      <c r="T172" s="14">
        <f>IF(F172="","",IF(OR(G172="",I172="",J172=""),"CEK data SKU (nama/lebar/tinggi)",IF(COUNTIFS($F$2:$F$500,F172,$I$2:$I$500,"&lt;&gt;"&amp;I172)+COUNTIFS($F$2:$F$500,F172,$J$2:$J$500,"&lt;&gt;"&amp;J172)&gt;0,"CEK data SKU tidak konsisten",IF(Q172="zona tidak ada di layout","CEK zona_no / jenis_fixture",IF(D172&lt;&gt;Q172,"CEK jenis_zona",IF(S172&gt;IFERROR(INDEX(LAYOUT!$C$2:$C$33,MATCH(B172,LAYOUT!$A$2:$A$33,0)),0),"CEK lebar zona melebihi fixture","OK")))))</f>
        <v/>
      </c>
    </row>
    <row r="173">
      <c r="A173" s="15" t="n"/>
      <c r="B173" s="15" t="n"/>
      <c r="C173" s="16" t="n"/>
      <c r="D173" s="15" t="n"/>
      <c r="E173" s="16" t="n"/>
      <c r="F173" s="17" t="n"/>
      <c r="G173" s="15" t="n"/>
      <c r="H173" s="15" t="n"/>
      <c r="I173" s="16" t="n"/>
      <c r="J173" s="16" t="n"/>
      <c r="K173" s="16" t="n"/>
      <c r="L173" s="16" t="n"/>
      <c r="M173" s="16" t="n"/>
      <c r="N173" s="15" t="n"/>
      <c r="O173" s="16" t="n"/>
      <c r="P173" s="16" t="n"/>
      <c r="Q173" s="13">
        <f>IF(OR(B173="",C173=""),"",IFERROR(INDEX(LAYOUT!$E$2:$E$33,MATCH(B173&amp;"|"&amp;C173,LAYOUT!$F$2:$F$33,0)),"zona tidak ada di layout"))</f>
        <v/>
      </c>
      <c r="R173" s="14">
        <f>IF(F173="","",IF(OR(I173="",O173=""),0,I173*O173))</f>
        <v/>
      </c>
      <c r="S173" s="14">
        <f>IF(F173="","",SUMIFS($R$2:$R$500,$A$2:$A$500,A173,$C$2:$C$500,C173))</f>
        <v/>
      </c>
      <c r="T173" s="14">
        <f>IF(F173="","",IF(OR(G173="",I173="",J173=""),"CEK data SKU (nama/lebar/tinggi)",IF(COUNTIFS($F$2:$F$500,F173,$I$2:$I$500,"&lt;&gt;"&amp;I173)+COUNTIFS($F$2:$F$500,F173,$J$2:$J$500,"&lt;&gt;"&amp;J173)&gt;0,"CEK data SKU tidak konsisten",IF(Q173="zona tidak ada di layout","CEK zona_no / jenis_fixture",IF(D173&lt;&gt;Q173,"CEK jenis_zona",IF(S173&gt;IFERROR(INDEX(LAYOUT!$C$2:$C$33,MATCH(B173,LAYOUT!$A$2:$A$33,0)),0),"CEK lebar zona melebihi fixture","OK")))))</f>
        <v/>
      </c>
    </row>
    <row r="174">
      <c r="A174" s="15" t="n"/>
      <c r="B174" s="15" t="n"/>
      <c r="C174" s="16" t="n"/>
      <c r="D174" s="15" t="n"/>
      <c r="E174" s="16" t="n"/>
      <c r="F174" s="17" t="n"/>
      <c r="G174" s="15" t="n"/>
      <c r="H174" s="15" t="n"/>
      <c r="I174" s="16" t="n"/>
      <c r="J174" s="16" t="n"/>
      <c r="K174" s="16" t="n"/>
      <c r="L174" s="16" t="n"/>
      <c r="M174" s="16" t="n"/>
      <c r="N174" s="15" t="n"/>
      <c r="O174" s="16" t="n"/>
      <c r="P174" s="16" t="n"/>
      <c r="Q174" s="13">
        <f>IF(OR(B174="",C174=""),"",IFERROR(INDEX(LAYOUT!$E$2:$E$33,MATCH(B174&amp;"|"&amp;C174,LAYOUT!$F$2:$F$33,0)),"zona tidak ada di layout"))</f>
        <v/>
      </c>
      <c r="R174" s="14">
        <f>IF(F174="","",IF(OR(I174="",O174=""),0,I174*O174))</f>
        <v/>
      </c>
      <c r="S174" s="14">
        <f>IF(F174="","",SUMIFS($R$2:$R$500,$A$2:$A$500,A174,$C$2:$C$500,C174))</f>
        <v/>
      </c>
      <c r="T174" s="14">
        <f>IF(F174="","",IF(OR(G174="",I174="",J174=""),"CEK data SKU (nama/lebar/tinggi)",IF(COUNTIFS($F$2:$F$500,F174,$I$2:$I$500,"&lt;&gt;"&amp;I174)+COUNTIFS($F$2:$F$500,F174,$J$2:$J$500,"&lt;&gt;"&amp;J174)&gt;0,"CEK data SKU tidak konsisten",IF(Q174="zona tidak ada di layout","CEK zona_no / jenis_fixture",IF(D174&lt;&gt;Q174,"CEK jenis_zona",IF(S174&gt;IFERROR(INDEX(LAYOUT!$C$2:$C$33,MATCH(B174,LAYOUT!$A$2:$A$33,0)),0),"CEK lebar zona melebihi fixture","OK")))))</f>
        <v/>
      </c>
    </row>
    <row r="175">
      <c r="A175" s="15" t="n"/>
      <c r="B175" s="15" t="n"/>
      <c r="C175" s="16" t="n"/>
      <c r="D175" s="15" t="n"/>
      <c r="E175" s="16" t="n"/>
      <c r="F175" s="17" t="n"/>
      <c r="G175" s="15" t="n"/>
      <c r="H175" s="15" t="n"/>
      <c r="I175" s="16" t="n"/>
      <c r="J175" s="16" t="n"/>
      <c r="K175" s="16" t="n"/>
      <c r="L175" s="16" t="n"/>
      <c r="M175" s="16" t="n"/>
      <c r="N175" s="15" t="n"/>
      <c r="O175" s="16" t="n"/>
      <c r="P175" s="16" t="n"/>
      <c r="Q175" s="13">
        <f>IF(OR(B175="",C175=""),"",IFERROR(INDEX(LAYOUT!$E$2:$E$33,MATCH(B175&amp;"|"&amp;C175,LAYOUT!$F$2:$F$33,0)),"zona tidak ada di layout"))</f>
        <v/>
      </c>
      <c r="R175" s="14">
        <f>IF(F175="","",IF(OR(I175="",O175=""),0,I175*O175))</f>
        <v/>
      </c>
      <c r="S175" s="14">
        <f>IF(F175="","",SUMIFS($R$2:$R$500,$A$2:$A$500,A175,$C$2:$C$500,C175))</f>
        <v/>
      </c>
      <c r="T175" s="14">
        <f>IF(F175="","",IF(OR(G175="",I175="",J175=""),"CEK data SKU (nama/lebar/tinggi)",IF(COUNTIFS($F$2:$F$500,F175,$I$2:$I$500,"&lt;&gt;"&amp;I175)+COUNTIFS($F$2:$F$500,F175,$J$2:$J$500,"&lt;&gt;"&amp;J175)&gt;0,"CEK data SKU tidak konsisten",IF(Q175="zona tidak ada di layout","CEK zona_no / jenis_fixture",IF(D175&lt;&gt;Q175,"CEK jenis_zona",IF(S175&gt;IFERROR(INDEX(LAYOUT!$C$2:$C$33,MATCH(B175,LAYOUT!$A$2:$A$33,0)),0),"CEK lebar zona melebihi fixture","OK")))))</f>
        <v/>
      </c>
    </row>
    <row r="176">
      <c r="A176" s="15" t="n"/>
      <c r="B176" s="15" t="n"/>
      <c r="C176" s="16" t="n"/>
      <c r="D176" s="15" t="n"/>
      <c r="E176" s="16" t="n"/>
      <c r="F176" s="17" t="n"/>
      <c r="G176" s="15" t="n"/>
      <c r="H176" s="15" t="n"/>
      <c r="I176" s="16" t="n"/>
      <c r="J176" s="16" t="n"/>
      <c r="K176" s="16" t="n"/>
      <c r="L176" s="16" t="n"/>
      <c r="M176" s="16" t="n"/>
      <c r="N176" s="15" t="n"/>
      <c r="O176" s="16" t="n"/>
      <c r="P176" s="16" t="n"/>
      <c r="Q176" s="13">
        <f>IF(OR(B176="",C176=""),"",IFERROR(INDEX(LAYOUT!$E$2:$E$33,MATCH(B176&amp;"|"&amp;C176,LAYOUT!$F$2:$F$33,0)),"zona tidak ada di layout"))</f>
        <v/>
      </c>
      <c r="R176" s="14">
        <f>IF(F176="","",IF(OR(I176="",O176=""),0,I176*O176))</f>
        <v/>
      </c>
      <c r="S176" s="14">
        <f>IF(F176="","",SUMIFS($R$2:$R$500,$A$2:$A$500,A176,$C$2:$C$500,C176))</f>
        <v/>
      </c>
      <c r="T176" s="14">
        <f>IF(F176="","",IF(OR(G176="",I176="",J176=""),"CEK data SKU (nama/lebar/tinggi)",IF(COUNTIFS($F$2:$F$500,F176,$I$2:$I$500,"&lt;&gt;"&amp;I176)+COUNTIFS($F$2:$F$500,F176,$J$2:$J$500,"&lt;&gt;"&amp;J176)&gt;0,"CEK data SKU tidak konsisten",IF(Q176="zona tidak ada di layout","CEK zona_no / jenis_fixture",IF(D176&lt;&gt;Q176,"CEK jenis_zona",IF(S176&gt;IFERROR(INDEX(LAYOUT!$C$2:$C$33,MATCH(B176,LAYOUT!$A$2:$A$33,0)),0),"CEK lebar zona melebihi fixture","OK")))))</f>
        <v/>
      </c>
    </row>
    <row r="177">
      <c r="A177" s="15" t="n"/>
      <c r="B177" s="15" t="n"/>
      <c r="C177" s="16" t="n"/>
      <c r="D177" s="15" t="n"/>
      <c r="E177" s="16" t="n"/>
      <c r="F177" s="17" t="n"/>
      <c r="G177" s="15" t="n"/>
      <c r="H177" s="15" t="n"/>
      <c r="I177" s="16" t="n"/>
      <c r="J177" s="16" t="n"/>
      <c r="K177" s="16" t="n"/>
      <c r="L177" s="16" t="n"/>
      <c r="M177" s="16" t="n"/>
      <c r="N177" s="15" t="n"/>
      <c r="O177" s="16" t="n"/>
      <c r="P177" s="16" t="n"/>
      <c r="Q177" s="13">
        <f>IF(OR(B177="",C177=""),"",IFERROR(INDEX(LAYOUT!$E$2:$E$33,MATCH(B177&amp;"|"&amp;C177,LAYOUT!$F$2:$F$33,0)),"zona tidak ada di layout"))</f>
        <v/>
      </c>
      <c r="R177" s="14">
        <f>IF(F177="","",IF(OR(I177="",O177=""),0,I177*O177))</f>
        <v/>
      </c>
      <c r="S177" s="14">
        <f>IF(F177="","",SUMIFS($R$2:$R$500,$A$2:$A$500,A177,$C$2:$C$500,C177))</f>
        <v/>
      </c>
      <c r="T177" s="14">
        <f>IF(F177="","",IF(OR(G177="",I177="",J177=""),"CEK data SKU (nama/lebar/tinggi)",IF(COUNTIFS($F$2:$F$500,F177,$I$2:$I$500,"&lt;&gt;"&amp;I177)+COUNTIFS($F$2:$F$500,F177,$J$2:$J$500,"&lt;&gt;"&amp;J177)&gt;0,"CEK data SKU tidak konsisten",IF(Q177="zona tidak ada di layout","CEK zona_no / jenis_fixture",IF(D177&lt;&gt;Q177,"CEK jenis_zona",IF(S177&gt;IFERROR(INDEX(LAYOUT!$C$2:$C$33,MATCH(B177,LAYOUT!$A$2:$A$33,0)),0),"CEK lebar zona melebihi fixture","OK")))))</f>
        <v/>
      </c>
    </row>
    <row r="178">
      <c r="A178" s="15" t="n"/>
      <c r="B178" s="15" t="n"/>
      <c r="C178" s="16" t="n"/>
      <c r="D178" s="15" t="n"/>
      <c r="E178" s="16" t="n"/>
      <c r="F178" s="17" t="n"/>
      <c r="G178" s="15" t="n"/>
      <c r="H178" s="15" t="n"/>
      <c r="I178" s="16" t="n"/>
      <c r="J178" s="16" t="n"/>
      <c r="K178" s="16" t="n"/>
      <c r="L178" s="16" t="n"/>
      <c r="M178" s="16" t="n"/>
      <c r="N178" s="15" t="n"/>
      <c r="O178" s="16" t="n"/>
      <c r="P178" s="16" t="n"/>
      <c r="Q178" s="13">
        <f>IF(OR(B178="",C178=""),"",IFERROR(INDEX(LAYOUT!$E$2:$E$33,MATCH(B178&amp;"|"&amp;C178,LAYOUT!$F$2:$F$33,0)),"zona tidak ada di layout"))</f>
        <v/>
      </c>
      <c r="R178" s="14">
        <f>IF(F178="","",IF(OR(I178="",O178=""),0,I178*O178))</f>
        <v/>
      </c>
      <c r="S178" s="14">
        <f>IF(F178="","",SUMIFS($R$2:$R$500,$A$2:$A$500,A178,$C$2:$C$500,C178))</f>
        <v/>
      </c>
      <c r="T178" s="14">
        <f>IF(F178="","",IF(OR(G178="",I178="",J178=""),"CEK data SKU (nama/lebar/tinggi)",IF(COUNTIFS($F$2:$F$500,F178,$I$2:$I$500,"&lt;&gt;"&amp;I178)+COUNTIFS($F$2:$F$500,F178,$J$2:$J$500,"&lt;&gt;"&amp;J178)&gt;0,"CEK data SKU tidak konsisten",IF(Q178="zona tidak ada di layout","CEK zona_no / jenis_fixture",IF(D178&lt;&gt;Q178,"CEK jenis_zona",IF(S178&gt;IFERROR(INDEX(LAYOUT!$C$2:$C$33,MATCH(B178,LAYOUT!$A$2:$A$33,0)),0),"CEK lebar zona melebihi fixture","OK")))))</f>
        <v/>
      </c>
    </row>
    <row r="179">
      <c r="A179" s="15" t="n"/>
      <c r="B179" s="15" t="n"/>
      <c r="C179" s="16" t="n"/>
      <c r="D179" s="15" t="n"/>
      <c r="E179" s="16" t="n"/>
      <c r="F179" s="17" t="n"/>
      <c r="G179" s="15" t="n"/>
      <c r="H179" s="15" t="n"/>
      <c r="I179" s="16" t="n"/>
      <c r="J179" s="16" t="n"/>
      <c r="K179" s="16" t="n"/>
      <c r="L179" s="16" t="n"/>
      <c r="M179" s="16" t="n"/>
      <c r="N179" s="15" t="n"/>
      <c r="O179" s="16" t="n"/>
      <c r="P179" s="16" t="n"/>
      <c r="Q179" s="13">
        <f>IF(OR(B179="",C179=""),"",IFERROR(INDEX(LAYOUT!$E$2:$E$33,MATCH(B179&amp;"|"&amp;C179,LAYOUT!$F$2:$F$33,0)),"zona tidak ada di layout"))</f>
        <v/>
      </c>
      <c r="R179" s="14">
        <f>IF(F179="","",IF(OR(I179="",O179=""),0,I179*O179))</f>
        <v/>
      </c>
      <c r="S179" s="14">
        <f>IF(F179="","",SUMIFS($R$2:$R$500,$A$2:$A$500,A179,$C$2:$C$500,C179))</f>
        <v/>
      </c>
      <c r="T179" s="14">
        <f>IF(F179="","",IF(OR(G179="",I179="",J179=""),"CEK data SKU (nama/lebar/tinggi)",IF(COUNTIFS($F$2:$F$500,F179,$I$2:$I$500,"&lt;&gt;"&amp;I179)+COUNTIFS($F$2:$F$500,F179,$J$2:$J$500,"&lt;&gt;"&amp;J179)&gt;0,"CEK data SKU tidak konsisten",IF(Q179="zona tidak ada di layout","CEK zona_no / jenis_fixture",IF(D179&lt;&gt;Q179,"CEK jenis_zona",IF(S179&gt;IFERROR(INDEX(LAYOUT!$C$2:$C$33,MATCH(B179,LAYOUT!$A$2:$A$33,0)),0),"CEK lebar zona melebihi fixture","OK")))))</f>
        <v/>
      </c>
    </row>
    <row r="180">
      <c r="A180" s="15" t="n"/>
      <c r="B180" s="15" t="n"/>
      <c r="C180" s="16" t="n"/>
      <c r="D180" s="15" t="n"/>
      <c r="E180" s="16" t="n"/>
      <c r="F180" s="17" t="n"/>
      <c r="G180" s="15" t="n"/>
      <c r="H180" s="15" t="n"/>
      <c r="I180" s="16" t="n"/>
      <c r="J180" s="16" t="n"/>
      <c r="K180" s="16" t="n"/>
      <c r="L180" s="16" t="n"/>
      <c r="M180" s="16" t="n"/>
      <c r="N180" s="15" t="n"/>
      <c r="O180" s="16" t="n"/>
      <c r="P180" s="16" t="n"/>
      <c r="Q180" s="13">
        <f>IF(OR(B180="",C180=""),"",IFERROR(INDEX(LAYOUT!$E$2:$E$33,MATCH(B180&amp;"|"&amp;C180,LAYOUT!$F$2:$F$33,0)),"zona tidak ada di layout"))</f>
        <v/>
      </c>
      <c r="R180" s="14">
        <f>IF(F180="","",IF(OR(I180="",O180=""),0,I180*O180))</f>
        <v/>
      </c>
      <c r="S180" s="14">
        <f>IF(F180="","",SUMIFS($R$2:$R$500,$A$2:$A$500,A180,$C$2:$C$500,C180))</f>
        <v/>
      </c>
      <c r="T180" s="14">
        <f>IF(F180="","",IF(OR(G180="",I180="",J180=""),"CEK data SKU (nama/lebar/tinggi)",IF(COUNTIFS($F$2:$F$500,F180,$I$2:$I$500,"&lt;&gt;"&amp;I180)+COUNTIFS($F$2:$F$500,F180,$J$2:$J$500,"&lt;&gt;"&amp;J180)&gt;0,"CEK data SKU tidak konsisten",IF(Q180="zona tidak ada di layout","CEK zona_no / jenis_fixture",IF(D180&lt;&gt;Q180,"CEK jenis_zona",IF(S180&gt;IFERROR(INDEX(LAYOUT!$C$2:$C$33,MATCH(B180,LAYOUT!$A$2:$A$33,0)),0),"CEK lebar zona melebihi fixture","OK")))))</f>
        <v/>
      </c>
    </row>
    <row r="181">
      <c r="A181" s="15" t="n"/>
      <c r="B181" s="15" t="n"/>
      <c r="C181" s="16" t="n"/>
      <c r="D181" s="15" t="n"/>
      <c r="E181" s="16" t="n"/>
      <c r="F181" s="17" t="n"/>
      <c r="G181" s="15" t="n"/>
      <c r="H181" s="15" t="n"/>
      <c r="I181" s="16" t="n"/>
      <c r="J181" s="16" t="n"/>
      <c r="K181" s="16" t="n"/>
      <c r="L181" s="16" t="n"/>
      <c r="M181" s="16" t="n"/>
      <c r="N181" s="15" t="n"/>
      <c r="O181" s="16" t="n"/>
      <c r="P181" s="16" t="n"/>
      <c r="Q181" s="13">
        <f>IF(OR(B181="",C181=""),"",IFERROR(INDEX(LAYOUT!$E$2:$E$33,MATCH(B181&amp;"|"&amp;C181,LAYOUT!$F$2:$F$33,0)),"zona tidak ada di layout"))</f>
        <v/>
      </c>
      <c r="R181" s="14">
        <f>IF(F181="","",IF(OR(I181="",O181=""),0,I181*O181))</f>
        <v/>
      </c>
      <c r="S181" s="14">
        <f>IF(F181="","",SUMIFS($R$2:$R$500,$A$2:$A$500,A181,$C$2:$C$500,C181))</f>
        <v/>
      </c>
      <c r="T181" s="14">
        <f>IF(F181="","",IF(OR(G181="",I181="",J181=""),"CEK data SKU (nama/lebar/tinggi)",IF(COUNTIFS($F$2:$F$500,F181,$I$2:$I$500,"&lt;&gt;"&amp;I181)+COUNTIFS($F$2:$F$500,F181,$J$2:$J$500,"&lt;&gt;"&amp;J181)&gt;0,"CEK data SKU tidak konsisten",IF(Q181="zona tidak ada di layout","CEK zona_no / jenis_fixture",IF(D181&lt;&gt;Q181,"CEK jenis_zona",IF(S181&gt;IFERROR(INDEX(LAYOUT!$C$2:$C$33,MATCH(B181,LAYOUT!$A$2:$A$33,0)),0),"CEK lebar zona melebihi fixture","OK")))))</f>
        <v/>
      </c>
    </row>
    <row r="182">
      <c r="A182" s="15" t="n"/>
      <c r="B182" s="15" t="n"/>
      <c r="C182" s="16" t="n"/>
      <c r="D182" s="15" t="n"/>
      <c r="E182" s="16" t="n"/>
      <c r="F182" s="17" t="n"/>
      <c r="G182" s="15" t="n"/>
      <c r="H182" s="15" t="n"/>
      <c r="I182" s="16" t="n"/>
      <c r="J182" s="16" t="n"/>
      <c r="K182" s="16" t="n"/>
      <c r="L182" s="16" t="n"/>
      <c r="M182" s="16" t="n"/>
      <c r="N182" s="15" t="n"/>
      <c r="O182" s="16" t="n"/>
      <c r="P182" s="16" t="n"/>
      <c r="Q182" s="13">
        <f>IF(OR(B182="",C182=""),"",IFERROR(INDEX(LAYOUT!$E$2:$E$33,MATCH(B182&amp;"|"&amp;C182,LAYOUT!$F$2:$F$33,0)),"zona tidak ada di layout"))</f>
        <v/>
      </c>
      <c r="R182" s="14">
        <f>IF(F182="","",IF(OR(I182="",O182=""),0,I182*O182))</f>
        <v/>
      </c>
      <c r="S182" s="14">
        <f>IF(F182="","",SUMIFS($R$2:$R$500,$A$2:$A$500,A182,$C$2:$C$500,C182))</f>
        <v/>
      </c>
      <c r="T182" s="14">
        <f>IF(F182="","",IF(OR(G182="",I182="",J182=""),"CEK data SKU (nama/lebar/tinggi)",IF(COUNTIFS($F$2:$F$500,F182,$I$2:$I$500,"&lt;&gt;"&amp;I182)+COUNTIFS($F$2:$F$500,F182,$J$2:$J$500,"&lt;&gt;"&amp;J182)&gt;0,"CEK data SKU tidak konsisten",IF(Q182="zona tidak ada di layout","CEK zona_no / jenis_fixture",IF(D182&lt;&gt;Q182,"CEK jenis_zona",IF(S182&gt;IFERROR(INDEX(LAYOUT!$C$2:$C$33,MATCH(B182,LAYOUT!$A$2:$A$33,0)),0),"CEK lebar zona melebihi fixture","OK")))))</f>
        <v/>
      </c>
    </row>
    <row r="183">
      <c r="A183" s="15" t="n"/>
      <c r="B183" s="15" t="n"/>
      <c r="C183" s="16" t="n"/>
      <c r="D183" s="15" t="n"/>
      <c r="E183" s="16" t="n"/>
      <c r="F183" s="17" t="n"/>
      <c r="G183" s="15" t="n"/>
      <c r="H183" s="15" t="n"/>
      <c r="I183" s="16" t="n"/>
      <c r="J183" s="16" t="n"/>
      <c r="K183" s="16" t="n"/>
      <c r="L183" s="16" t="n"/>
      <c r="M183" s="16" t="n"/>
      <c r="N183" s="15" t="n"/>
      <c r="O183" s="16" t="n"/>
      <c r="P183" s="16" t="n"/>
      <c r="Q183" s="13">
        <f>IF(OR(B183="",C183=""),"",IFERROR(INDEX(LAYOUT!$E$2:$E$33,MATCH(B183&amp;"|"&amp;C183,LAYOUT!$F$2:$F$33,0)),"zona tidak ada di layout"))</f>
        <v/>
      </c>
      <c r="R183" s="14">
        <f>IF(F183="","",IF(OR(I183="",O183=""),0,I183*O183))</f>
        <v/>
      </c>
      <c r="S183" s="14">
        <f>IF(F183="","",SUMIFS($R$2:$R$500,$A$2:$A$500,A183,$C$2:$C$500,C183))</f>
        <v/>
      </c>
      <c r="T183" s="14">
        <f>IF(F183="","",IF(OR(G183="",I183="",J183=""),"CEK data SKU (nama/lebar/tinggi)",IF(COUNTIFS($F$2:$F$500,F183,$I$2:$I$500,"&lt;&gt;"&amp;I183)+COUNTIFS($F$2:$F$500,F183,$J$2:$J$500,"&lt;&gt;"&amp;J183)&gt;0,"CEK data SKU tidak konsisten",IF(Q183="zona tidak ada di layout","CEK zona_no / jenis_fixture",IF(D183&lt;&gt;Q183,"CEK jenis_zona",IF(S183&gt;IFERROR(INDEX(LAYOUT!$C$2:$C$33,MATCH(B183,LAYOUT!$A$2:$A$33,0)),0),"CEK lebar zona melebihi fixture","OK")))))</f>
        <v/>
      </c>
    </row>
    <row r="184">
      <c r="A184" s="15" t="n"/>
      <c r="B184" s="15" t="n"/>
      <c r="C184" s="16" t="n"/>
      <c r="D184" s="15" t="n"/>
      <c r="E184" s="16" t="n"/>
      <c r="F184" s="17" t="n"/>
      <c r="G184" s="15" t="n"/>
      <c r="H184" s="15" t="n"/>
      <c r="I184" s="16" t="n"/>
      <c r="J184" s="16" t="n"/>
      <c r="K184" s="16" t="n"/>
      <c r="L184" s="16" t="n"/>
      <c r="M184" s="16" t="n"/>
      <c r="N184" s="15" t="n"/>
      <c r="O184" s="16" t="n"/>
      <c r="P184" s="16" t="n"/>
      <c r="Q184" s="13">
        <f>IF(OR(B184="",C184=""),"",IFERROR(INDEX(LAYOUT!$E$2:$E$33,MATCH(B184&amp;"|"&amp;C184,LAYOUT!$F$2:$F$33,0)),"zona tidak ada di layout"))</f>
        <v/>
      </c>
      <c r="R184" s="14">
        <f>IF(F184="","",IF(OR(I184="",O184=""),0,I184*O184))</f>
        <v/>
      </c>
      <c r="S184" s="14">
        <f>IF(F184="","",SUMIFS($R$2:$R$500,$A$2:$A$500,A184,$C$2:$C$500,C184))</f>
        <v/>
      </c>
      <c r="T184" s="14">
        <f>IF(F184="","",IF(OR(G184="",I184="",J184=""),"CEK data SKU (nama/lebar/tinggi)",IF(COUNTIFS($F$2:$F$500,F184,$I$2:$I$500,"&lt;&gt;"&amp;I184)+COUNTIFS($F$2:$F$500,F184,$J$2:$J$500,"&lt;&gt;"&amp;J184)&gt;0,"CEK data SKU tidak konsisten",IF(Q184="zona tidak ada di layout","CEK zona_no / jenis_fixture",IF(D184&lt;&gt;Q184,"CEK jenis_zona",IF(S184&gt;IFERROR(INDEX(LAYOUT!$C$2:$C$33,MATCH(B184,LAYOUT!$A$2:$A$33,0)),0),"CEK lebar zona melebihi fixture","OK")))))</f>
        <v/>
      </c>
    </row>
    <row r="185">
      <c r="A185" s="15" t="n"/>
      <c r="B185" s="15" t="n"/>
      <c r="C185" s="16" t="n"/>
      <c r="D185" s="15" t="n"/>
      <c r="E185" s="16" t="n"/>
      <c r="F185" s="17" t="n"/>
      <c r="G185" s="15" t="n"/>
      <c r="H185" s="15" t="n"/>
      <c r="I185" s="16" t="n"/>
      <c r="J185" s="16" t="n"/>
      <c r="K185" s="16" t="n"/>
      <c r="L185" s="16" t="n"/>
      <c r="M185" s="16" t="n"/>
      <c r="N185" s="15" t="n"/>
      <c r="O185" s="16" t="n"/>
      <c r="P185" s="16" t="n"/>
      <c r="Q185" s="13">
        <f>IF(OR(B185="",C185=""),"",IFERROR(INDEX(LAYOUT!$E$2:$E$33,MATCH(B185&amp;"|"&amp;C185,LAYOUT!$F$2:$F$33,0)),"zona tidak ada di layout"))</f>
        <v/>
      </c>
      <c r="R185" s="14">
        <f>IF(F185="","",IF(OR(I185="",O185=""),0,I185*O185))</f>
        <v/>
      </c>
      <c r="S185" s="14">
        <f>IF(F185="","",SUMIFS($R$2:$R$500,$A$2:$A$500,A185,$C$2:$C$500,C185))</f>
        <v/>
      </c>
      <c r="T185" s="14">
        <f>IF(F185="","",IF(OR(G185="",I185="",J185=""),"CEK data SKU (nama/lebar/tinggi)",IF(COUNTIFS($F$2:$F$500,F185,$I$2:$I$500,"&lt;&gt;"&amp;I185)+COUNTIFS($F$2:$F$500,F185,$J$2:$J$500,"&lt;&gt;"&amp;J185)&gt;0,"CEK data SKU tidak konsisten",IF(Q185="zona tidak ada di layout","CEK zona_no / jenis_fixture",IF(D185&lt;&gt;Q185,"CEK jenis_zona",IF(S185&gt;IFERROR(INDEX(LAYOUT!$C$2:$C$33,MATCH(B185,LAYOUT!$A$2:$A$33,0)),0),"CEK lebar zona melebihi fixture","OK")))))</f>
        <v/>
      </c>
    </row>
    <row r="186">
      <c r="A186" s="15" t="n"/>
      <c r="B186" s="15" t="n"/>
      <c r="C186" s="16" t="n"/>
      <c r="D186" s="15" t="n"/>
      <c r="E186" s="16" t="n"/>
      <c r="F186" s="17" t="n"/>
      <c r="G186" s="15" t="n"/>
      <c r="H186" s="15" t="n"/>
      <c r="I186" s="16" t="n"/>
      <c r="J186" s="16" t="n"/>
      <c r="K186" s="16" t="n"/>
      <c r="L186" s="16" t="n"/>
      <c r="M186" s="16" t="n"/>
      <c r="N186" s="15" t="n"/>
      <c r="O186" s="16" t="n"/>
      <c r="P186" s="16" t="n"/>
      <c r="Q186" s="13">
        <f>IF(OR(B186="",C186=""),"",IFERROR(INDEX(LAYOUT!$E$2:$E$33,MATCH(B186&amp;"|"&amp;C186,LAYOUT!$F$2:$F$33,0)),"zona tidak ada di layout"))</f>
        <v/>
      </c>
      <c r="R186" s="14">
        <f>IF(F186="","",IF(OR(I186="",O186=""),0,I186*O186))</f>
        <v/>
      </c>
      <c r="S186" s="14">
        <f>IF(F186="","",SUMIFS($R$2:$R$500,$A$2:$A$500,A186,$C$2:$C$500,C186))</f>
        <v/>
      </c>
      <c r="T186" s="14">
        <f>IF(F186="","",IF(OR(G186="",I186="",J186=""),"CEK data SKU (nama/lebar/tinggi)",IF(COUNTIFS($F$2:$F$500,F186,$I$2:$I$500,"&lt;&gt;"&amp;I186)+COUNTIFS($F$2:$F$500,F186,$J$2:$J$500,"&lt;&gt;"&amp;J186)&gt;0,"CEK data SKU tidak konsisten",IF(Q186="zona tidak ada di layout","CEK zona_no / jenis_fixture",IF(D186&lt;&gt;Q186,"CEK jenis_zona",IF(S186&gt;IFERROR(INDEX(LAYOUT!$C$2:$C$33,MATCH(B186,LAYOUT!$A$2:$A$33,0)),0),"CEK lebar zona melebihi fixture","OK")))))</f>
        <v/>
      </c>
    </row>
    <row r="187">
      <c r="A187" s="15" t="n"/>
      <c r="B187" s="15" t="n"/>
      <c r="C187" s="16" t="n"/>
      <c r="D187" s="15" t="n"/>
      <c r="E187" s="16" t="n"/>
      <c r="F187" s="17" t="n"/>
      <c r="G187" s="15" t="n"/>
      <c r="H187" s="15" t="n"/>
      <c r="I187" s="16" t="n"/>
      <c r="J187" s="16" t="n"/>
      <c r="K187" s="16" t="n"/>
      <c r="L187" s="16" t="n"/>
      <c r="M187" s="16" t="n"/>
      <c r="N187" s="15" t="n"/>
      <c r="O187" s="16" t="n"/>
      <c r="P187" s="16" t="n"/>
      <c r="Q187" s="13">
        <f>IF(OR(B187="",C187=""),"",IFERROR(INDEX(LAYOUT!$E$2:$E$33,MATCH(B187&amp;"|"&amp;C187,LAYOUT!$F$2:$F$33,0)),"zona tidak ada di layout"))</f>
        <v/>
      </c>
      <c r="R187" s="14">
        <f>IF(F187="","",IF(OR(I187="",O187=""),0,I187*O187))</f>
        <v/>
      </c>
      <c r="S187" s="14">
        <f>IF(F187="","",SUMIFS($R$2:$R$500,$A$2:$A$500,A187,$C$2:$C$500,C187))</f>
        <v/>
      </c>
      <c r="T187" s="14">
        <f>IF(F187="","",IF(OR(G187="",I187="",J187=""),"CEK data SKU (nama/lebar/tinggi)",IF(COUNTIFS($F$2:$F$500,F187,$I$2:$I$500,"&lt;&gt;"&amp;I187)+COUNTIFS($F$2:$F$500,F187,$J$2:$J$500,"&lt;&gt;"&amp;J187)&gt;0,"CEK data SKU tidak konsisten",IF(Q187="zona tidak ada di layout","CEK zona_no / jenis_fixture",IF(D187&lt;&gt;Q187,"CEK jenis_zona",IF(S187&gt;IFERROR(INDEX(LAYOUT!$C$2:$C$33,MATCH(B187,LAYOUT!$A$2:$A$33,0)),0),"CEK lebar zona melebihi fixture","OK")))))</f>
        <v/>
      </c>
    </row>
    <row r="188">
      <c r="A188" s="15" t="n"/>
      <c r="B188" s="15" t="n"/>
      <c r="C188" s="16" t="n"/>
      <c r="D188" s="15" t="n"/>
      <c r="E188" s="16" t="n"/>
      <c r="F188" s="17" t="n"/>
      <c r="G188" s="15" t="n"/>
      <c r="H188" s="15" t="n"/>
      <c r="I188" s="16" t="n"/>
      <c r="J188" s="16" t="n"/>
      <c r="K188" s="16" t="n"/>
      <c r="L188" s="16" t="n"/>
      <c r="M188" s="16" t="n"/>
      <c r="N188" s="15" t="n"/>
      <c r="O188" s="16" t="n"/>
      <c r="P188" s="16" t="n"/>
      <c r="Q188" s="13">
        <f>IF(OR(B188="",C188=""),"",IFERROR(INDEX(LAYOUT!$E$2:$E$33,MATCH(B188&amp;"|"&amp;C188,LAYOUT!$F$2:$F$33,0)),"zona tidak ada di layout"))</f>
        <v/>
      </c>
      <c r="R188" s="14">
        <f>IF(F188="","",IF(OR(I188="",O188=""),0,I188*O188))</f>
        <v/>
      </c>
      <c r="S188" s="14">
        <f>IF(F188="","",SUMIFS($R$2:$R$500,$A$2:$A$500,A188,$C$2:$C$500,C188))</f>
        <v/>
      </c>
      <c r="T188" s="14">
        <f>IF(F188="","",IF(OR(G188="",I188="",J188=""),"CEK data SKU (nama/lebar/tinggi)",IF(COUNTIFS($F$2:$F$500,F188,$I$2:$I$500,"&lt;&gt;"&amp;I188)+COUNTIFS($F$2:$F$500,F188,$J$2:$J$500,"&lt;&gt;"&amp;J188)&gt;0,"CEK data SKU tidak konsisten",IF(Q188="zona tidak ada di layout","CEK zona_no / jenis_fixture",IF(D188&lt;&gt;Q188,"CEK jenis_zona",IF(S188&gt;IFERROR(INDEX(LAYOUT!$C$2:$C$33,MATCH(B188,LAYOUT!$A$2:$A$33,0)),0),"CEK lebar zona melebihi fixture","OK")))))</f>
        <v/>
      </c>
    </row>
    <row r="189">
      <c r="A189" s="15" t="n"/>
      <c r="B189" s="15" t="n"/>
      <c r="C189" s="16" t="n"/>
      <c r="D189" s="15" t="n"/>
      <c r="E189" s="16" t="n"/>
      <c r="F189" s="17" t="n"/>
      <c r="G189" s="15" t="n"/>
      <c r="H189" s="15" t="n"/>
      <c r="I189" s="16" t="n"/>
      <c r="J189" s="16" t="n"/>
      <c r="K189" s="16" t="n"/>
      <c r="L189" s="16" t="n"/>
      <c r="M189" s="16" t="n"/>
      <c r="N189" s="15" t="n"/>
      <c r="O189" s="16" t="n"/>
      <c r="P189" s="16" t="n"/>
      <c r="Q189" s="13">
        <f>IF(OR(B189="",C189=""),"",IFERROR(INDEX(LAYOUT!$E$2:$E$33,MATCH(B189&amp;"|"&amp;C189,LAYOUT!$F$2:$F$33,0)),"zona tidak ada di layout"))</f>
        <v/>
      </c>
      <c r="R189" s="14">
        <f>IF(F189="","",IF(OR(I189="",O189=""),0,I189*O189))</f>
        <v/>
      </c>
      <c r="S189" s="14">
        <f>IF(F189="","",SUMIFS($R$2:$R$500,$A$2:$A$500,A189,$C$2:$C$500,C189))</f>
        <v/>
      </c>
      <c r="T189" s="14">
        <f>IF(F189="","",IF(OR(G189="",I189="",J189=""),"CEK data SKU (nama/lebar/tinggi)",IF(COUNTIFS($F$2:$F$500,F189,$I$2:$I$500,"&lt;&gt;"&amp;I189)+COUNTIFS($F$2:$F$500,F189,$J$2:$J$500,"&lt;&gt;"&amp;J189)&gt;0,"CEK data SKU tidak konsisten",IF(Q189="zona tidak ada di layout","CEK zona_no / jenis_fixture",IF(D189&lt;&gt;Q189,"CEK jenis_zona",IF(S189&gt;IFERROR(INDEX(LAYOUT!$C$2:$C$33,MATCH(B189,LAYOUT!$A$2:$A$33,0)),0),"CEK lebar zona melebihi fixture","OK")))))</f>
        <v/>
      </c>
    </row>
    <row r="190">
      <c r="A190" s="15" t="n"/>
      <c r="B190" s="15" t="n"/>
      <c r="C190" s="16" t="n"/>
      <c r="D190" s="15" t="n"/>
      <c r="E190" s="16" t="n"/>
      <c r="F190" s="17" t="n"/>
      <c r="G190" s="15" t="n"/>
      <c r="H190" s="15" t="n"/>
      <c r="I190" s="16" t="n"/>
      <c r="J190" s="16" t="n"/>
      <c r="K190" s="16" t="n"/>
      <c r="L190" s="16" t="n"/>
      <c r="M190" s="16" t="n"/>
      <c r="N190" s="15" t="n"/>
      <c r="O190" s="16" t="n"/>
      <c r="P190" s="16" t="n"/>
      <c r="Q190" s="13">
        <f>IF(OR(B190="",C190=""),"",IFERROR(INDEX(LAYOUT!$E$2:$E$33,MATCH(B190&amp;"|"&amp;C190,LAYOUT!$F$2:$F$33,0)),"zona tidak ada di layout"))</f>
        <v/>
      </c>
      <c r="R190" s="14">
        <f>IF(F190="","",IF(OR(I190="",O190=""),0,I190*O190))</f>
        <v/>
      </c>
      <c r="S190" s="14">
        <f>IF(F190="","",SUMIFS($R$2:$R$500,$A$2:$A$500,A190,$C$2:$C$500,C190))</f>
        <v/>
      </c>
      <c r="T190" s="14">
        <f>IF(F190="","",IF(OR(G190="",I190="",J190=""),"CEK data SKU (nama/lebar/tinggi)",IF(COUNTIFS($F$2:$F$500,F190,$I$2:$I$500,"&lt;&gt;"&amp;I190)+COUNTIFS($F$2:$F$500,F190,$J$2:$J$500,"&lt;&gt;"&amp;J190)&gt;0,"CEK data SKU tidak konsisten",IF(Q190="zona tidak ada di layout","CEK zona_no / jenis_fixture",IF(D190&lt;&gt;Q190,"CEK jenis_zona",IF(S190&gt;IFERROR(INDEX(LAYOUT!$C$2:$C$33,MATCH(B190,LAYOUT!$A$2:$A$33,0)),0),"CEK lebar zona melebihi fixture","OK")))))</f>
        <v/>
      </c>
    </row>
    <row r="191">
      <c r="A191" s="15" t="n"/>
      <c r="B191" s="15" t="n"/>
      <c r="C191" s="16" t="n"/>
      <c r="D191" s="15" t="n"/>
      <c r="E191" s="16" t="n"/>
      <c r="F191" s="17" t="n"/>
      <c r="G191" s="15" t="n"/>
      <c r="H191" s="15" t="n"/>
      <c r="I191" s="16" t="n"/>
      <c r="J191" s="16" t="n"/>
      <c r="K191" s="16" t="n"/>
      <c r="L191" s="16" t="n"/>
      <c r="M191" s="16" t="n"/>
      <c r="N191" s="15" t="n"/>
      <c r="O191" s="16" t="n"/>
      <c r="P191" s="16" t="n"/>
      <c r="Q191" s="13">
        <f>IF(OR(B191="",C191=""),"",IFERROR(INDEX(LAYOUT!$E$2:$E$33,MATCH(B191&amp;"|"&amp;C191,LAYOUT!$F$2:$F$33,0)),"zona tidak ada di layout"))</f>
        <v/>
      </c>
      <c r="R191" s="14">
        <f>IF(F191="","",IF(OR(I191="",O191=""),0,I191*O191))</f>
        <v/>
      </c>
      <c r="S191" s="14">
        <f>IF(F191="","",SUMIFS($R$2:$R$500,$A$2:$A$500,A191,$C$2:$C$500,C191))</f>
        <v/>
      </c>
      <c r="T191" s="14">
        <f>IF(F191="","",IF(OR(G191="",I191="",J191=""),"CEK data SKU (nama/lebar/tinggi)",IF(COUNTIFS($F$2:$F$500,F191,$I$2:$I$500,"&lt;&gt;"&amp;I191)+COUNTIFS($F$2:$F$500,F191,$J$2:$J$500,"&lt;&gt;"&amp;J191)&gt;0,"CEK data SKU tidak konsisten",IF(Q191="zona tidak ada di layout","CEK zona_no / jenis_fixture",IF(D191&lt;&gt;Q191,"CEK jenis_zona",IF(S191&gt;IFERROR(INDEX(LAYOUT!$C$2:$C$33,MATCH(B191,LAYOUT!$A$2:$A$33,0)),0),"CEK lebar zona melebihi fixture","OK")))))</f>
        <v/>
      </c>
    </row>
    <row r="192">
      <c r="A192" s="15" t="n"/>
      <c r="B192" s="15" t="n"/>
      <c r="C192" s="16" t="n"/>
      <c r="D192" s="15" t="n"/>
      <c r="E192" s="16" t="n"/>
      <c r="F192" s="17" t="n"/>
      <c r="G192" s="15" t="n"/>
      <c r="H192" s="15" t="n"/>
      <c r="I192" s="16" t="n"/>
      <c r="J192" s="16" t="n"/>
      <c r="K192" s="16" t="n"/>
      <c r="L192" s="16" t="n"/>
      <c r="M192" s="16" t="n"/>
      <c r="N192" s="15" t="n"/>
      <c r="O192" s="16" t="n"/>
      <c r="P192" s="16" t="n"/>
      <c r="Q192" s="13">
        <f>IF(OR(B192="",C192=""),"",IFERROR(INDEX(LAYOUT!$E$2:$E$33,MATCH(B192&amp;"|"&amp;C192,LAYOUT!$F$2:$F$33,0)),"zona tidak ada di layout"))</f>
        <v/>
      </c>
      <c r="R192" s="14">
        <f>IF(F192="","",IF(OR(I192="",O192=""),0,I192*O192))</f>
        <v/>
      </c>
      <c r="S192" s="14">
        <f>IF(F192="","",SUMIFS($R$2:$R$500,$A$2:$A$500,A192,$C$2:$C$500,C192))</f>
        <v/>
      </c>
      <c r="T192" s="14">
        <f>IF(F192="","",IF(OR(G192="",I192="",J192=""),"CEK data SKU (nama/lebar/tinggi)",IF(COUNTIFS($F$2:$F$500,F192,$I$2:$I$500,"&lt;&gt;"&amp;I192)+COUNTIFS($F$2:$F$500,F192,$J$2:$J$500,"&lt;&gt;"&amp;J192)&gt;0,"CEK data SKU tidak konsisten",IF(Q192="zona tidak ada di layout","CEK zona_no / jenis_fixture",IF(D192&lt;&gt;Q192,"CEK jenis_zona",IF(S192&gt;IFERROR(INDEX(LAYOUT!$C$2:$C$33,MATCH(B192,LAYOUT!$A$2:$A$33,0)),0),"CEK lebar zona melebihi fixture","OK")))))</f>
        <v/>
      </c>
    </row>
    <row r="193">
      <c r="A193" s="15" t="n"/>
      <c r="B193" s="15" t="n"/>
      <c r="C193" s="16" t="n"/>
      <c r="D193" s="15" t="n"/>
      <c r="E193" s="16" t="n"/>
      <c r="F193" s="17" t="n"/>
      <c r="G193" s="15" t="n"/>
      <c r="H193" s="15" t="n"/>
      <c r="I193" s="16" t="n"/>
      <c r="J193" s="16" t="n"/>
      <c r="K193" s="16" t="n"/>
      <c r="L193" s="16" t="n"/>
      <c r="M193" s="16" t="n"/>
      <c r="N193" s="15" t="n"/>
      <c r="O193" s="16" t="n"/>
      <c r="P193" s="16" t="n"/>
      <c r="Q193" s="13">
        <f>IF(OR(B193="",C193=""),"",IFERROR(INDEX(LAYOUT!$E$2:$E$33,MATCH(B193&amp;"|"&amp;C193,LAYOUT!$F$2:$F$33,0)),"zona tidak ada di layout"))</f>
        <v/>
      </c>
      <c r="R193" s="14">
        <f>IF(F193="","",IF(OR(I193="",O193=""),0,I193*O193))</f>
        <v/>
      </c>
      <c r="S193" s="14">
        <f>IF(F193="","",SUMIFS($R$2:$R$500,$A$2:$A$500,A193,$C$2:$C$500,C193))</f>
        <v/>
      </c>
      <c r="T193" s="14">
        <f>IF(F193="","",IF(OR(G193="",I193="",J193=""),"CEK data SKU (nama/lebar/tinggi)",IF(COUNTIFS($F$2:$F$500,F193,$I$2:$I$500,"&lt;&gt;"&amp;I193)+COUNTIFS($F$2:$F$500,F193,$J$2:$J$500,"&lt;&gt;"&amp;J193)&gt;0,"CEK data SKU tidak konsisten",IF(Q193="zona tidak ada di layout","CEK zona_no / jenis_fixture",IF(D193&lt;&gt;Q193,"CEK jenis_zona",IF(S193&gt;IFERROR(INDEX(LAYOUT!$C$2:$C$33,MATCH(B193,LAYOUT!$A$2:$A$33,0)),0),"CEK lebar zona melebihi fixture","OK")))))</f>
        <v/>
      </c>
    </row>
    <row r="194">
      <c r="A194" s="15" t="n"/>
      <c r="B194" s="15" t="n"/>
      <c r="C194" s="16" t="n"/>
      <c r="D194" s="15" t="n"/>
      <c r="E194" s="16" t="n"/>
      <c r="F194" s="17" t="n"/>
      <c r="G194" s="15" t="n"/>
      <c r="H194" s="15" t="n"/>
      <c r="I194" s="16" t="n"/>
      <c r="J194" s="16" t="n"/>
      <c r="K194" s="16" t="n"/>
      <c r="L194" s="16" t="n"/>
      <c r="M194" s="16" t="n"/>
      <c r="N194" s="15" t="n"/>
      <c r="O194" s="16" t="n"/>
      <c r="P194" s="16" t="n"/>
      <c r="Q194" s="13">
        <f>IF(OR(B194="",C194=""),"",IFERROR(INDEX(LAYOUT!$E$2:$E$33,MATCH(B194&amp;"|"&amp;C194,LAYOUT!$F$2:$F$33,0)),"zona tidak ada di layout"))</f>
        <v/>
      </c>
      <c r="R194" s="14">
        <f>IF(F194="","",IF(OR(I194="",O194=""),0,I194*O194))</f>
        <v/>
      </c>
      <c r="S194" s="14">
        <f>IF(F194="","",SUMIFS($R$2:$R$500,$A$2:$A$500,A194,$C$2:$C$500,C194))</f>
        <v/>
      </c>
      <c r="T194" s="14">
        <f>IF(F194="","",IF(OR(G194="",I194="",J194=""),"CEK data SKU (nama/lebar/tinggi)",IF(COUNTIFS($F$2:$F$500,F194,$I$2:$I$500,"&lt;&gt;"&amp;I194)+COUNTIFS($F$2:$F$500,F194,$J$2:$J$500,"&lt;&gt;"&amp;J194)&gt;0,"CEK data SKU tidak konsisten",IF(Q194="zona tidak ada di layout","CEK zona_no / jenis_fixture",IF(D194&lt;&gt;Q194,"CEK jenis_zona",IF(S194&gt;IFERROR(INDEX(LAYOUT!$C$2:$C$33,MATCH(B194,LAYOUT!$A$2:$A$33,0)),0),"CEK lebar zona melebihi fixture","OK")))))</f>
        <v/>
      </c>
    </row>
    <row r="195">
      <c r="A195" s="15" t="n"/>
      <c r="B195" s="15" t="n"/>
      <c r="C195" s="16" t="n"/>
      <c r="D195" s="15" t="n"/>
      <c r="E195" s="16" t="n"/>
      <c r="F195" s="17" t="n"/>
      <c r="G195" s="15" t="n"/>
      <c r="H195" s="15" t="n"/>
      <c r="I195" s="16" t="n"/>
      <c r="J195" s="16" t="n"/>
      <c r="K195" s="16" t="n"/>
      <c r="L195" s="16" t="n"/>
      <c r="M195" s="16" t="n"/>
      <c r="N195" s="15" t="n"/>
      <c r="O195" s="16" t="n"/>
      <c r="P195" s="16" t="n"/>
      <c r="Q195" s="13">
        <f>IF(OR(B195="",C195=""),"",IFERROR(INDEX(LAYOUT!$E$2:$E$33,MATCH(B195&amp;"|"&amp;C195,LAYOUT!$F$2:$F$33,0)),"zona tidak ada di layout"))</f>
        <v/>
      </c>
      <c r="R195" s="14">
        <f>IF(F195="","",IF(OR(I195="",O195=""),0,I195*O195))</f>
        <v/>
      </c>
      <c r="S195" s="14">
        <f>IF(F195="","",SUMIFS($R$2:$R$500,$A$2:$A$500,A195,$C$2:$C$500,C195))</f>
        <v/>
      </c>
      <c r="T195" s="14">
        <f>IF(F195="","",IF(OR(G195="",I195="",J195=""),"CEK data SKU (nama/lebar/tinggi)",IF(COUNTIFS($F$2:$F$500,F195,$I$2:$I$500,"&lt;&gt;"&amp;I195)+COUNTIFS($F$2:$F$500,F195,$J$2:$J$500,"&lt;&gt;"&amp;J195)&gt;0,"CEK data SKU tidak konsisten",IF(Q195="zona tidak ada di layout","CEK zona_no / jenis_fixture",IF(D195&lt;&gt;Q195,"CEK jenis_zona",IF(S195&gt;IFERROR(INDEX(LAYOUT!$C$2:$C$33,MATCH(B195,LAYOUT!$A$2:$A$33,0)),0),"CEK lebar zona melebihi fixture","OK")))))</f>
        <v/>
      </c>
    </row>
    <row r="196">
      <c r="A196" s="15" t="n"/>
      <c r="B196" s="15" t="n"/>
      <c r="C196" s="16" t="n"/>
      <c r="D196" s="15" t="n"/>
      <c r="E196" s="16" t="n"/>
      <c r="F196" s="17" t="n"/>
      <c r="G196" s="15" t="n"/>
      <c r="H196" s="15" t="n"/>
      <c r="I196" s="16" t="n"/>
      <c r="J196" s="16" t="n"/>
      <c r="K196" s="16" t="n"/>
      <c r="L196" s="16" t="n"/>
      <c r="M196" s="16" t="n"/>
      <c r="N196" s="15" t="n"/>
      <c r="O196" s="16" t="n"/>
      <c r="P196" s="16" t="n"/>
      <c r="Q196" s="13">
        <f>IF(OR(B196="",C196=""),"",IFERROR(INDEX(LAYOUT!$E$2:$E$33,MATCH(B196&amp;"|"&amp;C196,LAYOUT!$F$2:$F$33,0)),"zona tidak ada di layout"))</f>
        <v/>
      </c>
      <c r="R196" s="14">
        <f>IF(F196="","",IF(OR(I196="",O196=""),0,I196*O196))</f>
        <v/>
      </c>
      <c r="S196" s="14">
        <f>IF(F196="","",SUMIFS($R$2:$R$500,$A$2:$A$500,A196,$C$2:$C$500,C196))</f>
        <v/>
      </c>
      <c r="T196" s="14">
        <f>IF(F196="","",IF(OR(G196="",I196="",J196=""),"CEK data SKU (nama/lebar/tinggi)",IF(COUNTIFS($F$2:$F$500,F196,$I$2:$I$500,"&lt;&gt;"&amp;I196)+COUNTIFS($F$2:$F$500,F196,$J$2:$J$500,"&lt;&gt;"&amp;J196)&gt;0,"CEK data SKU tidak konsisten",IF(Q196="zona tidak ada di layout","CEK zona_no / jenis_fixture",IF(D196&lt;&gt;Q196,"CEK jenis_zona",IF(S196&gt;IFERROR(INDEX(LAYOUT!$C$2:$C$33,MATCH(B196,LAYOUT!$A$2:$A$33,0)),0),"CEK lebar zona melebihi fixture","OK")))))</f>
        <v/>
      </c>
    </row>
    <row r="197">
      <c r="A197" s="15" t="n"/>
      <c r="B197" s="15" t="n"/>
      <c r="C197" s="16" t="n"/>
      <c r="D197" s="15" t="n"/>
      <c r="E197" s="16" t="n"/>
      <c r="F197" s="17" t="n"/>
      <c r="G197" s="15" t="n"/>
      <c r="H197" s="15" t="n"/>
      <c r="I197" s="16" t="n"/>
      <c r="J197" s="16" t="n"/>
      <c r="K197" s="16" t="n"/>
      <c r="L197" s="16" t="n"/>
      <c r="M197" s="16" t="n"/>
      <c r="N197" s="15" t="n"/>
      <c r="O197" s="16" t="n"/>
      <c r="P197" s="16" t="n"/>
      <c r="Q197" s="13">
        <f>IF(OR(B197="",C197=""),"",IFERROR(INDEX(LAYOUT!$E$2:$E$33,MATCH(B197&amp;"|"&amp;C197,LAYOUT!$F$2:$F$33,0)),"zona tidak ada di layout"))</f>
        <v/>
      </c>
      <c r="R197" s="14">
        <f>IF(F197="","",IF(OR(I197="",O197=""),0,I197*O197))</f>
        <v/>
      </c>
      <c r="S197" s="14">
        <f>IF(F197="","",SUMIFS($R$2:$R$500,$A$2:$A$500,A197,$C$2:$C$500,C197))</f>
        <v/>
      </c>
      <c r="T197" s="14">
        <f>IF(F197="","",IF(OR(G197="",I197="",J197=""),"CEK data SKU (nama/lebar/tinggi)",IF(COUNTIFS($F$2:$F$500,F197,$I$2:$I$500,"&lt;&gt;"&amp;I197)+COUNTIFS($F$2:$F$500,F197,$J$2:$J$500,"&lt;&gt;"&amp;J197)&gt;0,"CEK data SKU tidak konsisten",IF(Q197="zona tidak ada di layout","CEK zona_no / jenis_fixture",IF(D197&lt;&gt;Q197,"CEK jenis_zona",IF(S197&gt;IFERROR(INDEX(LAYOUT!$C$2:$C$33,MATCH(B197,LAYOUT!$A$2:$A$33,0)),0),"CEK lebar zona melebihi fixture","OK")))))</f>
        <v/>
      </c>
    </row>
    <row r="198">
      <c r="A198" s="15" t="n"/>
      <c r="B198" s="15" t="n"/>
      <c r="C198" s="16" t="n"/>
      <c r="D198" s="15" t="n"/>
      <c r="E198" s="16" t="n"/>
      <c r="F198" s="17" t="n"/>
      <c r="G198" s="15" t="n"/>
      <c r="H198" s="15" t="n"/>
      <c r="I198" s="16" t="n"/>
      <c r="J198" s="16" t="n"/>
      <c r="K198" s="16" t="n"/>
      <c r="L198" s="16" t="n"/>
      <c r="M198" s="16" t="n"/>
      <c r="N198" s="15" t="n"/>
      <c r="O198" s="16" t="n"/>
      <c r="P198" s="16" t="n"/>
      <c r="Q198" s="13">
        <f>IF(OR(B198="",C198=""),"",IFERROR(INDEX(LAYOUT!$E$2:$E$33,MATCH(B198&amp;"|"&amp;C198,LAYOUT!$F$2:$F$33,0)),"zona tidak ada di layout"))</f>
        <v/>
      </c>
      <c r="R198" s="14">
        <f>IF(F198="","",IF(OR(I198="",O198=""),0,I198*O198))</f>
        <v/>
      </c>
      <c r="S198" s="14">
        <f>IF(F198="","",SUMIFS($R$2:$R$500,$A$2:$A$500,A198,$C$2:$C$500,C198))</f>
        <v/>
      </c>
      <c r="T198" s="14">
        <f>IF(F198="","",IF(OR(G198="",I198="",J198=""),"CEK data SKU (nama/lebar/tinggi)",IF(COUNTIFS($F$2:$F$500,F198,$I$2:$I$500,"&lt;&gt;"&amp;I198)+COUNTIFS($F$2:$F$500,F198,$J$2:$J$500,"&lt;&gt;"&amp;J198)&gt;0,"CEK data SKU tidak konsisten",IF(Q198="zona tidak ada di layout","CEK zona_no / jenis_fixture",IF(D198&lt;&gt;Q198,"CEK jenis_zona",IF(S198&gt;IFERROR(INDEX(LAYOUT!$C$2:$C$33,MATCH(B198,LAYOUT!$A$2:$A$33,0)),0),"CEK lebar zona melebihi fixture","OK")))))</f>
        <v/>
      </c>
    </row>
    <row r="199">
      <c r="A199" s="15" t="n"/>
      <c r="B199" s="15" t="n"/>
      <c r="C199" s="16" t="n"/>
      <c r="D199" s="15" t="n"/>
      <c r="E199" s="16" t="n"/>
      <c r="F199" s="17" t="n"/>
      <c r="G199" s="15" t="n"/>
      <c r="H199" s="15" t="n"/>
      <c r="I199" s="16" t="n"/>
      <c r="J199" s="16" t="n"/>
      <c r="K199" s="16" t="n"/>
      <c r="L199" s="16" t="n"/>
      <c r="M199" s="16" t="n"/>
      <c r="N199" s="15" t="n"/>
      <c r="O199" s="16" t="n"/>
      <c r="P199" s="16" t="n"/>
      <c r="Q199" s="13">
        <f>IF(OR(B199="",C199=""),"",IFERROR(INDEX(LAYOUT!$E$2:$E$33,MATCH(B199&amp;"|"&amp;C199,LAYOUT!$F$2:$F$33,0)),"zona tidak ada di layout"))</f>
        <v/>
      </c>
      <c r="R199" s="14">
        <f>IF(F199="","",IF(OR(I199="",O199=""),0,I199*O199))</f>
        <v/>
      </c>
      <c r="S199" s="14">
        <f>IF(F199="","",SUMIFS($R$2:$R$500,$A$2:$A$500,A199,$C$2:$C$500,C199))</f>
        <v/>
      </c>
      <c r="T199" s="14">
        <f>IF(F199="","",IF(OR(G199="",I199="",J199=""),"CEK data SKU (nama/lebar/tinggi)",IF(COUNTIFS($F$2:$F$500,F199,$I$2:$I$500,"&lt;&gt;"&amp;I199)+COUNTIFS($F$2:$F$500,F199,$J$2:$J$500,"&lt;&gt;"&amp;J199)&gt;0,"CEK data SKU tidak konsisten",IF(Q199="zona tidak ada di layout","CEK zona_no / jenis_fixture",IF(D199&lt;&gt;Q199,"CEK jenis_zona",IF(S199&gt;IFERROR(INDEX(LAYOUT!$C$2:$C$33,MATCH(B199,LAYOUT!$A$2:$A$33,0)),0),"CEK lebar zona melebihi fixture","OK")))))</f>
        <v/>
      </c>
    </row>
    <row r="200">
      <c r="A200" s="15" t="n"/>
      <c r="B200" s="15" t="n"/>
      <c r="C200" s="16" t="n"/>
      <c r="D200" s="15" t="n"/>
      <c r="E200" s="16" t="n"/>
      <c r="F200" s="17" t="n"/>
      <c r="G200" s="15" t="n"/>
      <c r="H200" s="15" t="n"/>
      <c r="I200" s="16" t="n"/>
      <c r="J200" s="16" t="n"/>
      <c r="K200" s="16" t="n"/>
      <c r="L200" s="16" t="n"/>
      <c r="M200" s="16" t="n"/>
      <c r="N200" s="15" t="n"/>
      <c r="O200" s="16" t="n"/>
      <c r="P200" s="16" t="n"/>
      <c r="Q200" s="13">
        <f>IF(OR(B200="",C200=""),"",IFERROR(INDEX(LAYOUT!$E$2:$E$33,MATCH(B200&amp;"|"&amp;C200,LAYOUT!$F$2:$F$33,0)),"zona tidak ada di layout"))</f>
        <v/>
      </c>
      <c r="R200" s="14">
        <f>IF(F200="","",IF(OR(I200="",O200=""),0,I200*O200))</f>
        <v/>
      </c>
      <c r="S200" s="14">
        <f>IF(F200="","",SUMIFS($R$2:$R$500,$A$2:$A$500,A200,$C$2:$C$500,C200))</f>
        <v/>
      </c>
      <c r="T200" s="14">
        <f>IF(F200="","",IF(OR(G200="",I200="",J200=""),"CEK data SKU (nama/lebar/tinggi)",IF(COUNTIFS($F$2:$F$500,F200,$I$2:$I$500,"&lt;&gt;"&amp;I200)+COUNTIFS($F$2:$F$500,F200,$J$2:$J$500,"&lt;&gt;"&amp;J200)&gt;0,"CEK data SKU tidak konsisten",IF(Q200="zona tidak ada di layout","CEK zona_no / jenis_fixture",IF(D200&lt;&gt;Q200,"CEK jenis_zona",IF(S200&gt;IFERROR(INDEX(LAYOUT!$C$2:$C$33,MATCH(B200,LAYOUT!$A$2:$A$33,0)),0),"CEK lebar zona melebihi fixture","OK")))))</f>
        <v/>
      </c>
    </row>
    <row r="201">
      <c r="A201" s="15" t="n"/>
      <c r="B201" s="15" t="n"/>
      <c r="C201" s="16" t="n"/>
      <c r="D201" s="15" t="n"/>
      <c r="E201" s="16" t="n"/>
      <c r="F201" s="17" t="n"/>
      <c r="G201" s="15" t="n"/>
      <c r="H201" s="15" t="n"/>
      <c r="I201" s="16" t="n"/>
      <c r="J201" s="16" t="n"/>
      <c r="K201" s="16" t="n"/>
      <c r="L201" s="16" t="n"/>
      <c r="M201" s="16" t="n"/>
      <c r="N201" s="15" t="n"/>
      <c r="O201" s="16" t="n"/>
      <c r="P201" s="16" t="n"/>
      <c r="Q201" s="13">
        <f>IF(OR(B201="",C201=""),"",IFERROR(INDEX(LAYOUT!$E$2:$E$33,MATCH(B201&amp;"|"&amp;C201,LAYOUT!$F$2:$F$33,0)),"zona tidak ada di layout"))</f>
        <v/>
      </c>
      <c r="R201" s="14">
        <f>IF(F201="","",IF(OR(I201="",O201=""),0,I201*O201))</f>
        <v/>
      </c>
      <c r="S201" s="14">
        <f>IF(F201="","",SUMIFS($R$2:$R$500,$A$2:$A$500,A201,$C$2:$C$500,C201))</f>
        <v/>
      </c>
      <c r="T201" s="14">
        <f>IF(F201="","",IF(OR(G201="",I201="",J201=""),"CEK data SKU (nama/lebar/tinggi)",IF(COUNTIFS($F$2:$F$500,F201,$I$2:$I$500,"&lt;&gt;"&amp;I201)+COUNTIFS($F$2:$F$500,F201,$J$2:$J$500,"&lt;&gt;"&amp;J201)&gt;0,"CEK data SKU tidak konsisten",IF(Q201="zona tidak ada di layout","CEK zona_no / jenis_fixture",IF(D201&lt;&gt;Q201,"CEK jenis_zona",IF(S201&gt;IFERROR(INDEX(LAYOUT!$C$2:$C$33,MATCH(B201,LAYOUT!$A$2:$A$33,0)),0),"CEK lebar zona melebihi fixture","OK")))))</f>
        <v/>
      </c>
    </row>
    <row r="202">
      <c r="A202" s="15" t="n"/>
      <c r="B202" s="15" t="n"/>
      <c r="C202" s="16" t="n"/>
      <c r="D202" s="15" t="n"/>
      <c r="E202" s="16" t="n"/>
      <c r="F202" s="17" t="n"/>
      <c r="G202" s="15" t="n"/>
      <c r="H202" s="15" t="n"/>
      <c r="I202" s="16" t="n"/>
      <c r="J202" s="16" t="n"/>
      <c r="K202" s="16" t="n"/>
      <c r="L202" s="16" t="n"/>
      <c r="M202" s="16" t="n"/>
      <c r="N202" s="15" t="n"/>
      <c r="O202" s="16" t="n"/>
      <c r="P202" s="16" t="n"/>
      <c r="Q202" s="13">
        <f>IF(OR(B202="",C202=""),"",IFERROR(INDEX(LAYOUT!$E$2:$E$33,MATCH(B202&amp;"|"&amp;C202,LAYOUT!$F$2:$F$33,0)),"zona tidak ada di layout"))</f>
        <v/>
      </c>
      <c r="R202" s="14">
        <f>IF(F202="","",IF(OR(I202="",O202=""),0,I202*O202))</f>
        <v/>
      </c>
      <c r="S202" s="14">
        <f>IF(F202="","",SUMIFS($R$2:$R$500,$A$2:$A$500,A202,$C$2:$C$500,C202))</f>
        <v/>
      </c>
      <c r="T202" s="14">
        <f>IF(F202="","",IF(OR(G202="",I202="",J202=""),"CEK data SKU (nama/lebar/tinggi)",IF(COUNTIFS($F$2:$F$500,F202,$I$2:$I$500,"&lt;&gt;"&amp;I202)+COUNTIFS($F$2:$F$500,F202,$J$2:$J$500,"&lt;&gt;"&amp;J202)&gt;0,"CEK data SKU tidak konsisten",IF(Q202="zona tidak ada di layout","CEK zona_no / jenis_fixture",IF(D202&lt;&gt;Q202,"CEK jenis_zona",IF(S202&gt;IFERROR(INDEX(LAYOUT!$C$2:$C$33,MATCH(B202,LAYOUT!$A$2:$A$33,0)),0),"CEK lebar zona melebihi fixture","OK")))))</f>
        <v/>
      </c>
    </row>
    <row r="203">
      <c r="A203" s="15" t="n"/>
      <c r="B203" s="15" t="n"/>
      <c r="C203" s="16" t="n"/>
      <c r="D203" s="15" t="n"/>
      <c r="E203" s="16" t="n"/>
      <c r="F203" s="17" t="n"/>
      <c r="G203" s="15" t="n"/>
      <c r="H203" s="15" t="n"/>
      <c r="I203" s="16" t="n"/>
      <c r="J203" s="16" t="n"/>
      <c r="K203" s="16" t="n"/>
      <c r="L203" s="16" t="n"/>
      <c r="M203" s="16" t="n"/>
      <c r="N203" s="15" t="n"/>
      <c r="O203" s="16" t="n"/>
      <c r="P203" s="16" t="n"/>
      <c r="Q203" s="13">
        <f>IF(OR(B203="",C203=""),"",IFERROR(INDEX(LAYOUT!$E$2:$E$33,MATCH(B203&amp;"|"&amp;C203,LAYOUT!$F$2:$F$33,0)),"zona tidak ada di layout"))</f>
        <v/>
      </c>
      <c r="R203" s="14">
        <f>IF(F203="","",IF(OR(I203="",O203=""),0,I203*O203))</f>
        <v/>
      </c>
      <c r="S203" s="14">
        <f>IF(F203="","",SUMIFS($R$2:$R$500,$A$2:$A$500,A203,$C$2:$C$500,C203))</f>
        <v/>
      </c>
      <c r="T203" s="14">
        <f>IF(F203="","",IF(OR(G203="",I203="",J203=""),"CEK data SKU (nama/lebar/tinggi)",IF(COUNTIFS($F$2:$F$500,F203,$I$2:$I$500,"&lt;&gt;"&amp;I203)+COUNTIFS($F$2:$F$500,F203,$J$2:$J$500,"&lt;&gt;"&amp;J203)&gt;0,"CEK data SKU tidak konsisten",IF(Q203="zona tidak ada di layout","CEK zona_no / jenis_fixture",IF(D203&lt;&gt;Q203,"CEK jenis_zona",IF(S203&gt;IFERROR(INDEX(LAYOUT!$C$2:$C$33,MATCH(B203,LAYOUT!$A$2:$A$33,0)),0),"CEK lebar zona melebihi fixture","OK")))))</f>
        <v/>
      </c>
    </row>
    <row r="204">
      <c r="A204" s="15" t="n"/>
      <c r="B204" s="15" t="n"/>
      <c r="C204" s="16" t="n"/>
      <c r="D204" s="15" t="n"/>
      <c r="E204" s="16" t="n"/>
      <c r="F204" s="17" t="n"/>
      <c r="G204" s="15" t="n"/>
      <c r="H204" s="15" t="n"/>
      <c r="I204" s="16" t="n"/>
      <c r="J204" s="16" t="n"/>
      <c r="K204" s="16" t="n"/>
      <c r="L204" s="16" t="n"/>
      <c r="M204" s="16" t="n"/>
      <c r="N204" s="15" t="n"/>
      <c r="O204" s="16" t="n"/>
      <c r="P204" s="16" t="n"/>
      <c r="Q204" s="13">
        <f>IF(OR(B204="",C204=""),"",IFERROR(INDEX(LAYOUT!$E$2:$E$33,MATCH(B204&amp;"|"&amp;C204,LAYOUT!$F$2:$F$33,0)),"zona tidak ada di layout"))</f>
        <v/>
      </c>
      <c r="R204" s="14">
        <f>IF(F204="","",IF(OR(I204="",O204=""),0,I204*O204))</f>
        <v/>
      </c>
      <c r="S204" s="14">
        <f>IF(F204="","",SUMIFS($R$2:$R$500,$A$2:$A$500,A204,$C$2:$C$500,C204))</f>
        <v/>
      </c>
      <c r="T204" s="14">
        <f>IF(F204="","",IF(OR(G204="",I204="",J204=""),"CEK data SKU (nama/lebar/tinggi)",IF(COUNTIFS($F$2:$F$500,F204,$I$2:$I$500,"&lt;&gt;"&amp;I204)+COUNTIFS($F$2:$F$500,F204,$J$2:$J$500,"&lt;&gt;"&amp;J204)&gt;0,"CEK data SKU tidak konsisten",IF(Q204="zona tidak ada di layout","CEK zona_no / jenis_fixture",IF(D204&lt;&gt;Q204,"CEK jenis_zona",IF(S204&gt;IFERROR(INDEX(LAYOUT!$C$2:$C$33,MATCH(B204,LAYOUT!$A$2:$A$33,0)),0),"CEK lebar zona melebihi fixture","OK")))))</f>
        <v/>
      </c>
    </row>
    <row r="205">
      <c r="A205" s="15" t="n"/>
      <c r="B205" s="15" t="n"/>
      <c r="C205" s="16" t="n"/>
      <c r="D205" s="15" t="n"/>
      <c r="E205" s="16" t="n"/>
      <c r="F205" s="17" t="n"/>
      <c r="G205" s="15" t="n"/>
      <c r="H205" s="15" t="n"/>
      <c r="I205" s="16" t="n"/>
      <c r="J205" s="16" t="n"/>
      <c r="K205" s="16" t="n"/>
      <c r="L205" s="16" t="n"/>
      <c r="M205" s="16" t="n"/>
      <c r="N205" s="15" t="n"/>
      <c r="O205" s="16" t="n"/>
      <c r="P205" s="16" t="n"/>
      <c r="Q205" s="13">
        <f>IF(OR(B205="",C205=""),"",IFERROR(INDEX(LAYOUT!$E$2:$E$33,MATCH(B205&amp;"|"&amp;C205,LAYOUT!$F$2:$F$33,0)),"zona tidak ada di layout"))</f>
        <v/>
      </c>
      <c r="R205" s="14">
        <f>IF(F205="","",IF(OR(I205="",O205=""),0,I205*O205))</f>
        <v/>
      </c>
      <c r="S205" s="14">
        <f>IF(F205="","",SUMIFS($R$2:$R$500,$A$2:$A$500,A205,$C$2:$C$500,C205))</f>
        <v/>
      </c>
      <c r="T205" s="14">
        <f>IF(F205="","",IF(OR(G205="",I205="",J205=""),"CEK data SKU (nama/lebar/tinggi)",IF(COUNTIFS($F$2:$F$500,F205,$I$2:$I$500,"&lt;&gt;"&amp;I205)+COUNTIFS($F$2:$F$500,F205,$J$2:$J$500,"&lt;&gt;"&amp;J205)&gt;0,"CEK data SKU tidak konsisten",IF(Q205="zona tidak ada di layout","CEK zona_no / jenis_fixture",IF(D205&lt;&gt;Q205,"CEK jenis_zona",IF(S205&gt;IFERROR(INDEX(LAYOUT!$C$2:$C$33,MATCH(B205,LAYOUT!$A$2:$A$33,0)),0),"CEK lebar zona melebihi fixture","OK")))))</f>
        <v/>
      </c>
    </row>
    <row r="206">
      <c r="A206" s="15" t="n"/>
      <c r="B206" s="15" t="n"/>
      <c r="C206" s="16" t="n"/>
      <c r="D206" s="15" t="n"/>
      <c r="E206" s="16" t="n"/>
      <c r="F206" s="17" t="n"/>
      <c r="G206" s="15" t="n"/>
      <c r="H206" s="15" t="n"/>
      <c r="I206" s="16" t="n"/>
      <c r="J206" s="16" t="n"/>
      <c r="K206" s="16" t="n"/>
      <c r="L206" s="16" t="n"/>
      <c r="M206" s="16" t="n"/>
      <c r="N206" s="15" t="n"/>
      <c r="O206" s="16" t="n"/>
      <c r="P206" s="16" t="n"/>
      <c r="Q206" s="13">
        <f>IF(OR(B206="",C206=""),"",IFERROR(INDEX(LAYOUT!$E$2:$E$33,MATCH(B206&amp;"|"&amp;C206,LAYOUT!$F$2:$F$33,0)),"zona tidak ada di layout"))</f>
        <v/>
      </c>
      <c r="R206" s="14">
        <f>IF(F206="","",IF(OR(I206="",O206=""),0,I206*O206))</f>
        <v/>
      </c>
      <c r="S206" s="14">
        <f>IF(F206="","",SUMIFS($R$2:$R$500,$A$2:$A$500,A206,$C$2:$C$500,C206))</f>
        <v/>
      </c>
      <c r="T206" s="14">
        <f>IF(F206="","",IF(OR(G206="",I206="",J206=""),"CEK data SKU (nama/lebar/tinggi)",IF(COUNTIFS($F$2:$F$500,F206,$I$2:$I$500,"&lt;&gt;"&amp;I206)+COUNTIFS($F$2:$F$500,F206,$J$2:$J$500,"&lt;&gt;"&amp;J206)&gt;0,"CEK data SKU tidak konsisten",IF(Q206="zona tidak ada di layout","CEK zona_no / jenis_fixture",IF(D206&lt;&gt;Q206,"CEK jenis_zona",IF(S206&gt;IFERROR(INDEX(LAYOUT!$C$2:$C$33,MATCH(B206,LAYOUT!$A$2:$A$33,0)),0),"CEK lebar zona melebihi fixture","OK")))))</f>
        <v/>
      </c>
    </row>
    <row r="207">
      <c r="A207" s="15" t="n"/>
      <c r="B207" s="15" t="n"/>
      <c r="C207" s="16" t="n"/>
      <c r="D207" s="15" t="n"/>
      <c r="E207" s="16" t="n"/>
      <c r="F207" s="17" t="n"/>
      <c r="G207" s="15" t="n"/>
      <c r="H207" s="15" t="n"/>
      <c r="I207" s="16" t="n"/>
      <c r="J207" s="16" t="n"/>
      <c r="K207" s="16" t="n"/>
      <c r="L207" s="16" t="n"/>
      <c r="M207" s="16" t="n"/>
      <c r="N207" s="15" t="n"/>
      <c r="O207" s="16" t="n"/>
      <c r="P207" s="16" t="n"/>
      <c r="Q207" s="13">
        <f>IF(OR(B207="",C207=""),"",IFERROR(INDEX(LAYOUT!$E$2:$E$33,MATCH(B207&amp;"|"&amp;C207,LAYOUT!$F$2:$F$33,0)),"zona tidak ada di layout"))</f>
        <v/>
      </c>
      <c r="R207" s="14">
        <f>IF(F207="","",IF(OR(I207="",O207=""),0,I207*O207))</f>
        <v/>
      </c>
      <c r="S207" s="14">
        <f>IF(F207="","",SUMIFS($R$2:$R$500,$A$2:$A$500,A207,$C$2:$C$500,C207))</f>
        <v/>
      </c>
      <c r="T207" s="14">
        <f>IF(F207="","",IF(OR(G207="",I207="",J207=""),"CEK data SKU (nama/lebar/tinggi)",IF(COUNTIFS($F$2:$F$500,F207,$I$2:$I$500,"&lt;&gt;"&amp;I207)+COUNTIFS($F$2:$F$500,F207,$J$2:$J$500,"&lt;&gt;"&amp;J207)&gt;0,"CEK data SKU tidak konsisten",IF(Q207="zona tidak ada di layout","CEK zona_no / jenis_fixture",IF(D207&lt;&gt;Q207,"CEK jenis_zona",IF(S207&gt;IFERROR(INDEX(LAYOUT!$C$2:$C$33,MATCH(B207,LAYOUT!$A$2:$A$33,0)),0),"CEK lebar zona melebihi fixture","OK")))))</f>
        <v/>
      </c>
    </row>
    <row r="208">
      <c r="A208" s="15" t="n"/>
      <c r="B208" s="15" t="n"/>
      <c r="C208" s="16" t="n"/>
      <c r="D208" s="15" t="n"/>
      <c r="E208" s="16" t="n"/>
      <c r="F208" s="17" t="n"/>
      <c r="G208" s="15" t="n"/>
      <c r="H208" s="15" t="n"/>
      <c r="I208" s="16" t="n"/>
      <c r="J208" s="16" t="n"/>
      <c r="K208" s="16" t="n"/>
      <c r="L208" s="16" t="n"/>
      <c r="M208" s="16" t="n"/>
      <c r="N208" s="15" t="n"/>
      <c r="O208" s="16" t="n"/>
      <c r="P208" s="16" t="n"/>
      <c r="Q208" s="13">
        <f>IF(OR(B208="",C208=""),"",IFERROR(INDEX(LAYOUT!$E$2:$E$33,MATCH(B208&amp;"|"&amp;C208,LAYOUT!$F$2:$F$33,0)),"zona tidak ada di layout"))</f>
        <v/>
      </c>
      <c r="R208" s="14">
        <f>IF(F208="","",IF(OR(I208="",O208=""),0,I208*O208))</f>
        <v/>
      </c>
      <c r="S208" s="14">
        <f>IF(F208="","",SUMIFS($R$2:$R$500,$A$2:$A$500,A208,$C$2:$C$500,C208))</f>
        <v/>
      </c>
      <c r="T208" s="14">
        <f>IF(F208="","",IF(OR(G208="",I208="",J208=""),"CEK data SKU (nama/lebar/tinggi)",IF(COUNTIFS($F$2:$F$500,F208,$I$2:$I$500,"&lt;&gt;"&amp;I208)+COUNTIFS($F$2:$F$500,F208,$J$2:$J$500,"&lt;&gt;"&amp;J208)&gt;0,"CEK data SKU tidak konsisten",IF(Q208="zona tidak ada di layout","CEK zona_no / jenis_fixture",IF(D208&lt;&gt;Q208,"CEK jenis_zona",IF(S208&gt;IFERROR(INDEX(LAYOUT!$C$2:$C$33,MATCH(B208,LAYOUT!$A$2:$A$33,0)),0),"CEK lebar zona melebihi fixture","OK")))))</f>
        <v/>
      </c>
    </row>
    <row r="209">
      <c r="A209" s="15" t="n"/>
      <c r="B209" s="15" t="n"/>
      <c r="C209" s="16" t="n"/>
      <c r="D209" s="15" t="n"/>
      <c r="E209" s="16" t="n"/>
      <c r="F209" s="17" t="n"/>
      <c r="G209" s="15" t="n"/>
      <c r="H209" s="15" t="n"/>
      <c r="I209" s="16" t="n"/>
      <c r="J209" s="16" t="n"/>
      <c r="K209" s="16" t="n"/>
      <c r="L209" s="16" t="n"/>
      <c r="M209" s="16" t="n"/>
      <c r="N209" s="15" t="n"/>
      <c r="O209" s="16" t="n"/>
      <c r="P209" s="16" t="n"/>
      <c r="Q209" s="13">
        <f>IF(OR(B209="",C209=""),"",IFERROR(INDEX(LAYOUT!$E$2:$E$33,MATCH(B209&amp;"|"&amp;C209,LAYOUT!$F$2:$F$33,0)),"zona tidak ada di layout"))</f>
        <v/>
      </c>
      <c r="R209" s="14">
        <f>IF(F209="","",IF(OR(I209="",O209=""),0,I209*O209))</f>
        <v/>
      </c>
      <c r="S209" s="14">
        <f>IF(F209="","",SUMIFS($R$2:$R$500,$A$2:$A$500,A209,$C$2:$C$500,C209))</f>
        <v/>
      </c>
      <c r="T209" s="14">
        <f>IF(F209="","",IF(OR(G209="",I209="",J209=""),"CEK data SKU (nama/lebar/tinggi)",IF(COUNTIFS($F$2:$F$500,F209,$I$2:$I$500,"&lt;&gt;"&amp;I209)+COUNTIFS($F$2:$F$500,F209,$J$2:$J$500,"&lt;&gt;"&amp;J209)&gt;0,"CEK data SKU tidak konsisten",IF(Q209="zona tidak ada di layout","CEK zona_no / jenis_fixture",IF(D209&lt;&gt;Q209,"CEK jenis_zona",IF(S209&gt;IFERROR(INDEX(LAYOUT!$C$2:$C$33,MATCH(B209,LAYOUT!$A$2:$A$33,0)),0),"CEK lebar zona melebihi fixture","OK")))))</f>
        <v/>
      </c>
    </row>
    <row r="210">
      <c r="A210" s="15" t="n"/>
      <c r="B210" s="15" t="n"/>
      <c r="C210" s="16" t="n"/>
      <c r="D210" s="15" t="n"/>
      <c r="E210" s="16" t="n"/>
      <c r="F210" s="17" t="n"/>
      <c r="G210" s="15" t="n"/>
      <c r="H210" s="15" t="n"/>
      <c r="I210" s="16" t="n"/>
      <c r="J210" s="16" t="n"/>
      <c r="K210" s="16" t="n"/>
      <c r="L210" s="16" t="n"/>
      <c r="M210" s="16" t="n"/>
      <c r="N210" s="15" t="n"/>
      <c r="O210" s="16" t="n"/>
      <c r="P210" s="16" t="n"/>
      <c r="Q210" s="13">
        <f>IF(OR(B210="",C210=""),"",IFERROR(INDEX(LAYOUT!$E$2:$E$33,MATCH(B210&amp;"|"&amp;C210,LAYOUT!$F$2:$F$33,0)),"zona tidak ada di layout"))</f>
        <v/>
      </c>
      <c r="R210" s="14">
        <f>IF(F210="","",IF(OR(I210="",O210=""),0,I210*O210))</f>
        <v/>
      </c>
      <c r="S210" s="14">
        <f>IF(F210="","",SUMIFS($R$2:$R$500,$A$2:$A$500,A210,$C$2:$C$500,C210))</f>
        <v/>
      </c>
      <c r="T210" s="14">
        <f>IF(F210="","",IF(OR(G210="",I210="",J210=""),"CEK data SKU (nama/lebar/tinggi)",IF(COUNTIFS($F$2:$F$500,F210,$I$2:$I$500,"&lt;&gt;"&amp;I210)+COUNTIFS($F$2:$F$500,F210,$J$2:$J$500,"&lt;&gt;"&amp;J210)&gt;0,"CEK data SKU tidak konsisten",IF(Q210="zona tidak ada di layout","CEK zona_no / jenis_fixture",IF(D210&lt;&gt;Q210,"CEK jenis_zona",IF(S210&gt;IFERROR(INDEX(LAYOUT!$C$2:$C$33,MATCH(B210,LAYOUT!$A$2:$A$33,0)),0),"CEK lebar zona melebihi fixture","OK")))))</f>
        <v/>
      </c>
    </row>
    <row r="211">
      <c r="A211" s="15" t="n"/>
      <c r="B211" s="15" t="n"/>
      <c r="C211" s="16" t="n"/>
      <c r="D211" s="15" t="n"/>
      <c r="E211" s="16" t="n"/>
      <c r="F211" s="17" t="n"/>
      <c r="G211" s="15" t="n"/>
      <c r="H211" s="15" t="n"/>
      <c r="I211" s="16" t="n"/>
      <c r="J211" s="16" t="n"/>
      <c r="K211" s="16" t="n"/>
      <c r="L211" s="16" t="n"/>
      <c r="M211" s="16" t="n"/>
      <c r="N211" s="15" t="n"/>
      <c r="O211" s="16" t="n"/>
      <c r="P211" s="16" t="n"/>
      <c r="Q211" s="13">
        <f>IF(OR(B211="",C211=""),"",IFERROR(INDEX(LAYOUT!$E$2:$E$33,MATCH(B211&amp;"|"&amp;C211,LAYOUT!$F$2:$F$33,0)),"zona tidak ada di layout"))</f>
        <v/>
      </c>
      <c r="R211" s="14">
        <f>IF(F211="","",IF(OR(I211="",O211=""),0,I211*O211))</f>
        <v/>
      </c>
      <c r="S211" s="14">
        <f>IF(F211="","",SUMIFS($R$2:$R$500,$A$2:$A$500,A211,$C$2:$C$500,C211))</f>
        <v/>
      </c>
      <c r="T211" s="14">
        <f>IF(F211="","",IF(OR(G211="",I211="",J211=""),"CEK data SKU (nama/lebar/tinggi)",IF(COUNTIFS($F$2:$F$500,F211,$I$2:$I$500,"&lt;&gt;"&amp;I211)+COUNTIFS($F$2:$F$500,F211,$J$2:$J$500,"&lt;&gt;"&amp;J211)&gt;0,"CEK data SKU tidak konsisten",IF(Q211="zona tidak ada di layout","CEK zona_no / jenis_fixture",IF(D211&lt;&gt;Q211,"CEK jenis_zona",IF(S211&gt;IFERROR(INDEX(LAYOUT!$C$2:$C$33,MATCH(B211,LAYOUT!$A$2:$A$33,0)),0),"CEK lebar zona melebihi fixture","OK")))))</f>
        <v/>
      </c>
    </row>
    <row r="212">
      <c r="A212" s="15" t="n"/>
      <c r="B212" s="15" t="n"/>
      <c r="C212" s="16" t="n"/>
      <c r="D212" s="15" t="n"/>
      <c r="E212" s="16" t="n"/>
      <c r="F212" s="17" t="n"/>
      <c r="G212" s="15" t="n"/>
      <c r="H212" s="15" t="n"/>
      <c r="I212" s="16" t="n"/>
      <c r="J212" s="16" t="n"/>
      <c r="K212" s="16" t="n"/>
      <c r="L212" s="16" t="n"/>
      <c r="M212" s="16" t="n"/>
      <c r="N212" s="15" t="n"/>
      <c r="O212" s="16" t="n"/>
      <c r="P212" s="16" t="n"/>
      <c r="Q212" s="13">
        <f>IF(OR(B212="",C212=""),"",IFERROR(INDEX(LAYOUT!$E$2:$E$33,MATCH(B212&amp;"|"&amp;C212,LAYOUT!$F$2:$F$33,0)),"zona tidak ada di layout"))</f>
        <v/>
      </c>
      <c r="R212" s="14">
        <f>IF(F212="","",IF(OR(I212="",O212=""),0,I212*O212))</f>
        <v/>
      </c>
      <c r="S212" s="14">
        <f>IF(F212="","",SUMIFS($R$2:$R$500,$A$2:$A$500,A212,$C$2:$C$500,C212))</f>
        <v/>
      </c>
      <c r="T212" s="14">
        <f>IF(F212="","",IF(OR(G212="",I212="",J212=""),"CEK data SKU (nama/lebar/tinggi)",IF(COUNTIFS($F$2:$F$500,F212,$I$2:$I$500,"&lt;&gt;"&amp;I212)+COUNTIFS($F$2:$F$500,F212,$J$2:$J$500,"&lt;&gt;"&amp;J212)&gt;0,"CEK data SKU tidak konsisten",IF(Q212="zona tidak ada di layout","CEK zona_no / jenis_fixture",IF(D212&lt;&gt;Q212,"CEK jenis_zona",IF(S212&gt;IFERROR(INDEX(LAYOUT!$C$2:$C$33,MATCH(B212,LAYOUT!$A$2:$A$33,0)),0),"CEK lebar zona melebihi fixture","OK")))))</f>
        <v/>
      </c>
    </row>
    <row r="213">
      <c r="A213" s="15" t="n"/>
      <c r="B213" s="15" t="n"/>
      <c r="C213" s="16" t="n"/>
      <c r="D213" s="15" t="n"/>
      <c r="E213" s="16" t="n"/>
      <c r="F213" s="17" t="n"/>
      <c r="G213" s="15" t="n"/>
      <c r="H213" s="15" t="n"/>
      <c r="I213" s="16" t="n"/>
      <c r="J213" s="16" t="n"/>
      <c r="K213" s="16" t="n"/>
      <c r="L213" s="16" t="n"/>
      <c r="M213" s="16" t="n"/>
      <c r="N213" s="15" t="n"/>
      <c r="O213" s="16" t="n"/>
      <c r="P213" s="16" t="n"/>
      <c r="Q213" s="13">
        <f>IF(OR(B213="",C213=""),"",IFERROR(INDEX(LAYOUT!$E$2:$E$33,MATCH(B213&amp;"|"&amp;C213,LAYOUT!$F$2:$F$33,0)),"zona tidak ada di layout"))</f>
        <v/>
      </c>
      <c r="R213" s="14">
        <f>IF(F213="","",IF(OR(I213="",O213=""),0,I213*O213))</f>
        <v/>
      </c>
      <c r="S213" s="14">
        <f>IF(F213="","",SUMIFS($R$2:$R$500,$A$2:$A$500,A213,$C$2:$C$500,C213))</f>
        <v/>
      </c>
      <c r="T213" s="14">
        <f>IF(F213="","",IF(OR(G213="",I213="",J213=""),"CEK data SKU (nama/lebar/tinggi)",IF(COUNTIFS($F$2:$F$500,F213,$I$2:$I$500,"&lt;&gt;"&amp;I213)+COUNTIFS($F$2:$F$500,F213,$J$2:$J$500,"&lt;&gt;"&amp;J213)&gt;0,"CEK data SKU tidak konsisten",IF(Q213="zona tidak ada di layout","CEK zona_no / jenis_fixture",IF(D213&lt;&gt;Q213,"CEK jenis_zona",IF(S213&gt;IFERROR(INDEX(LAYOUT!$C$2:$C$33,MATCH(B213,LAYOUT!$A$2:$A$33,0)),0),"CEK lebar zona melebihi fixture","OK")))))</f>
        <v/>
      </c>
    </row>
    <row r="214">
      <c r="A214" s="15" t="n"/>
      <c r="B214" s="15" t="n"/>
      <c r="C214" s="16" t="n"/>
      <c r="D214" s="15" t="n"/>
      <c r="E214" s="16" t="n"/>
      <c r="F214" s="17" t="n"/>
      <c r="G214" s="15" t="n"/>
      <c r="H214" s="15" t="n"/>
      <c r="I214" s="16" t="n"/>
      <c r="J214" s="16" t="n"/>
      <c r="K214" s="16" t="n"/>
      <c r="L214" s="16" t="n"/>
      <c r="M214" s="16" t="n"/>
      <c r="N214" s="15" t="n"/>
      <c r="O214" s="16" t="n"/>
      <c r="P214" s="16" t="n"/>
      <c r="Q214" s="13">
        <f>IF(OR(B214="",C214=""),"",IFERROR(INDEX(LAYOUT!$E$2:$E$33,MATCH(B214&amp;"|"&amp;C214,LAYOUT!$F$2:$F$33,0)),"zona tidak ada di layout"))</f>
        <v/>
      </c>
      <c r="R214" s="14">
        <f>IF(F214="","",IF(OR(I214="",O214=""),0,I214*O214))</f>
        <v/>
      </c>
      <c r="S214" s="14">
        <f>IF(F214="","",SUMIFS($R$2:$R$500,$A$2:$A$500,A214,$C$2:$C$500,C214))</f>
        <v/>
      </c>
      <c r="T214" s="14">
        <f>IF(F214="","",IF(OR(G214="",I214="",J214=""),"CEK data SKU (nama/lebar/tinggi)",IF(COUNTIFS($F$2:$F$500,F214,$I$2:$I$500,"&lt;&gt;"&amp;I214)+COUNTIFS($F$2:$F$500,F214,$J$2:$J$500,"&lt;&gt;"&amp;J214)&gt;0,"CEK data SKU tidak konsisten",IF(Q214="zona tidak ada di layout","CEK zona_no / jenis_fixture",IF(D214&lt;&gt;Q214,"CEK jenis_zona",IF(S214&gt;IFERROR(INDEX(LAYOUT!$C$2:$C$33,MATCH(B214,LAYOUT!$A$2:$A$33,0)),0),"CEK lebar zona melebihi fixture","OK")))))</f>
        <v/>
      </c>
    </row>
    <row r="215">
      <c r="A215" s="15" t="n"/>
      <c r="B215" s="15" t="n"/>
      <c r="C215" s="16" t="n"/>
      <c r="D215" s="15" t="n"/>
      <c r="E215" s="16" t="n"/>
      <c r="F215" s="17" t="n"/>
      <c r="G215" s="15" t="n"/>
      <c r="H215" s="15" t="n"/>
      <c r="I215" s="16" t="n"/>
      <c r="J215" s="16" t="n"/>
      <c r="K215" s="16" t="n"/>
      <c r="L215" s="16" t="n"/>
      <c r="M215" s="16" t="n"/>
      <c r="N215" s="15" t="n"/>
      <c r="O215" s="16" t="n"/>
      <c r="P215" s="16" t="n"/>
      <c r="Q215" s="13">
        <f>IF(OR(B215="",C215=""),"",IFERROR(INDEX(LAYOUT!$E$2:$E$33,MATCH(B215&amp;"|"&amp;C215,LAYOUT!$F$2:$F$33,0)),"zona tidak ada di layout"))</f>
        <v/>
      </c>
      <c r="R215" s="14">
        <f>IF(F215="","",IF(OR(I215="",O215=""),0,I215*O215))</f>
        <v/>
      </c>
      <c r="S215" s="14">
        <f>IF(F215="","",SUMIFS($R$2:$R$500,$A$2:$A$500,A215,$C$2:$C$500,C215))</f>
        <v/>
      </c>
      <c r="T215" s="14">
        <f>IF(F215="","",IF(OR(G215="",I215="",J215=""),"CEK data SKU (nama/lebar/tinggi)",IF(COUNTIFS($F$2:$F$500,F215,$I$2:$I$500,"&lt;&gt;"&amp;I215)+COUNTIFS($F$2:$F$500,F215,$J$2:$J$500,"&lt;&gt;"&amp;J215)&gt;0,"CEK data SKU tidak konsisten",IF(Q215="zona tidak ada di layout","CEK zona_no / jenis_fixture",IF(D215&lt;&gt;Q215,"CEK jenis_zona",IF(S215&gt;IFERROR(INDEX(LAYOUT!$C$2:$C$33,MATCH(B215,LAYOUT!$A$2:$A$33,0)),0),"CEK lebar zona melebihi fixture","OK")))))</f>
        <v/>
      </c>
    </row>
    <row r="216">
      <c r="A216" s="15" t="n"/>
      <c r="B216" s="15" t="n"/>
      <c r="C216" s="16" t="n"/>
      <c r="D216" s="15" t="n"/>
      <c r="E216" s="16" t="n"/>
      <c r="F216" s="17" t="n"/>
      <c r="G216" s="15" t="n"/>
      <c r="H216" s="15" t="n"/>
      <c r="I216" s="16" t="n"/>
      <c r="J216" s="16" t="n"/>
      <c r="K216" s="16" t="n"/>
      <c r="L216" s="16" t="n"/>
      <c r="M216" s="16" t="n"/>
      <c r="N216" s="15" t="n"/>
      <c r="O216" s="16" t="n"/>
      <c r="P216" s="16" t="n"/>
      <c r="Q216" s="13">
        <f>IF(OR(B216="",C216=""),"",IFERROR(INDEX(LAYOUT!$E$2:$E$33,MATCH(B216&amp;"|"&amp;C216,LAYOUT!$F$2:$F$33,0)),"zona tidak ada di layout"))</f>
        <v/>
      </c>
      <c r="R216" s="14">
        <f>IF(F216="","",IF(OR(I216="",O216=""),0,I216*O216))</f>
        <v/>
      </c>
      <c r="S216" s="14">
        <f>IF(F216="","",SUMIFS($R$2:$R$500,$A$2:$A$500,A216,$C$2:$C$500,C216))</f>
        <v/>
      </c>
      <c r="T216" s="14">
        <f>IF(F216="","",IF(OR(G216="",I216="",J216=""),"CEK data SKU (nama/lebar/tinggi)",IF(COUNTIFS($F$2:$F$500,F216,$I$2:$I$500,"&lt;&gt;"&amp;I216)+COUNTIFS($F$2:$F$500,F216,$J$2:$J$500,"&lt;&gt;"&amp;J216)&gt;0,"CEK data SKU tidak konsisten",IF(Q216="zona tidak ada di layout","CEK zona_no / jenis_fixture",IF(D216&lt;&gt;Q216,"CEK jenis_zona",IF(S216&gt;IFERROR(INDEX(LAYOUT!$C$2:$C$33,MATCH(B216,LAYOUT!$A$2:$A$33,0)),0),"CEK lebar zona melebihi fixture","OK")))))</f>
        <v/>
      </c>
    </row>
    <row r="217">
      <c r="A217" s="15" t="n"/>
      <c r="B217" s="15" t="n"/>
      <c r="C217" s="16" t="n"/>
      <c r="D217" s="15" t="n"/>
      <c r="E217" s="16" t="n"/>
      <c r="F217" s="17" t="n"/>
      <c r="G217" s="15" t="n"/>
      <c r="H217" s="15" t="n"/>
      <c r="I217" s="16" t="n"/>
      <c r="J217" s="16" t="n"/>
      <c r="K217" s="16" t="n"/>
      <c r="L217" s="16" t="n"/>
      <c r="M217" s="16" t="n"/>
      <c r="N217" s="15" t="n"/>
      <c r="O217" s="16" t="n"/>
      <c r="P217" s="16" t="n"/>
      <c r="Q217" s="13">
        <f>IF(OR(B217="",C217=""),"",IFERROR(INDEX(LAYOUT!$E$2:$E$33,MATCH(B217&amp;"|"&amp;C217,LAYOUT!$F$2:$F$33,0)),"zona tidak ada di layout"))</f>
        <v/>
      </c>
      <c r="R217" s="14">
        <f>IF(F217="","",IF(OR(I217="",O217=""),0,I217*O217))</f>
        <v/>
      </c>
      <c r="S217" s="14">
        <f>IF(F217="","",SUMIFS($R$2:$R$500,$A$2:$A$500,A217,$C$2:$C$500,C217))</f>
        <v/>
      </c>
      <c r="T217" s="14">
        <f>IF(F217="","",IF(OR(G217="",I217="",J217=""),"CEK data SKU (nama/lebar/tinggi)",IF(COUNTIFS($F$2:$F$500,F217,$I$2:$I$500,"&lt;&gt;"&amp;I217)+COUNTIFS($F$2:$F$500,F217,$J$2:$J$500,"&lt;&gt;"&amp;J217)&gt;0,"CEK data SKU tidak konsisten",IF(Q217="zona tidak ada di layout","CEK zona_no / jenis_fixture",IF(D217&lt;&gt;Q217,"CEK jenis_zona",IF(S217&gt;IFERROR(INDEX(LAYOUT!$C$2:$C$33,MATCH(B217,LAYOUT!$A$2:$A$33,0)),0),"CEK lebar zona melebihi fixture","OK")))))</f>
        <v/>
      </c>
    </row>
    <row r="218">
      <c r="A218" s="15" t="n"/>
      <c r="B218" s="15" t="n"/>
      <c r="C218" s="16" t="n"/>
      <c r="D218" s="15" t="n"/>
      <c r="E218" s="16" t="n"/>
      <c r="F218" s="17" t="n"/>
      <c r="G218" s="15" t="n"/>
      <c r="H218" s="15" t="n"/>
      <c r="I218" s="16" t="n"/>
      <c r="J218" s="16" t="n"/>
      <c r="K218" s="16" t="n"/>
      <c r="L218" s="16" t="n"/>
      <c r="M218" s="16" t="n"/>
      <c r="N218" s="15" t="n"/>
      <c r="O218" s="16" t="n"/>
      <c r="P218" s="16" t="n"/>
      <c r="Q218" s="13">
        <f>IF(OR(B218="",C218=""),"",IFERROR(INDEX(LAYOUT!$E$2:$E$33,MATCH(B218&amp;"|"&amp;C218,LAYOUT!$F$2:$F$33,0)),"zona tidak ada di layout"))</f>
        <v/>
      </c>
      <c r="R218" s="14">
        <f>IF(F218="","",IF(OR(I218="",O218=""),0,I218*O218))</f>
        <v/>
      </c>
      <c r="S218" s="14">
        <f>IF(F218="","",SUMIFS($R$2:$R$500,$A$2:$A$500,A218,$C$2:$C$500,C218))</f>
        <v/>
      </c>
      <c r="T218" s="14">
        <f>IF(F218="","",IF(OR(G218="",I218="",J218=""),"CEK data SKU (nama/lebar/tinggi)",IF(COUNTIFS($F$2:$F$500,F218,$I$2:$I$500,"&lt;&gt;"&amp;I218)+COUNTIFS($F$2:$F$500,F218,$J$2:$J$500,"&lt;&gt;"&amp;J218)&gt;0,"CEK data SKU tidak konsisten",IF(Q218="zona tidak ada di layout","CEK zona_no / jenis_fixture",IF(D218&lt;&gt;Q218,"CEK jenis_zona",IF(S218&gt;IFERROR(INDEX(LAYOUT!$C$2:$C$33,MATCH(B218,LAYOUT!$A$2:$A$33,0)),0),"CEK lebar zona melebihi fixture","OK")))))</f>
        <v/>
      </c>
    </row>
    <row r="219">
      <c r="A219" s="15" t="n"/>
      <c r="B219" s="15" t="n"/>
      <c r="C219" s="16" t="n"/>
      <c r="D219" s="15" t="n"/>
      <c r="E219" s="16" t="n"/>
      <c r="F219" s="17" t="n"/>
      <c r="G219" s="15" t="n"/>
      <c r="H219" s="15" t="n"/>
      <c r="I219" s="16" t="n"/>
      <c r="J219" s="16" t="n"/>
      <c r="K219" s="16" t="n"/>
      <c r="L219" s="16" t="n"/>
      <c r="M219" s="16" t="n"/>
      <c r="N219" s="15" t="n"/>
      <c r="O219" s="16" t="n"/>
      <c r="P219" s="16" t="n"/>
      <c r="Q219" s="13">
        <f>IF(OR(B219="",C219=""),"",IFERROR(INDEX(LAYOUT!$E$2:$E$33,MATCH(B219&amp;"|"&amp;C219,LAYOUT!$F$2:$F$33,0)),"zona tidak ada di layout"))</f>
        <v/>
      </c>
      <c r="R219" s="14">
        <f>IF(F219="","",IF(OR(I219="",O219=""),0,I219*O219))</f>
        <v/>
      </c>
      <c r="S219" s="14">
        <f>IF(F219="","",SUMIFS($R$2:$R$500,$A$2:$A$500,A219,$C$2:$C$500,C219))</f>
        <v/>
      </c>
      <c r="T219" s="14">
        <f>IF(F219="","",IF(OR(G219="",I219="",J219=""),"CEK data SKU (nama/lebar/tinggi)",IF(COUNTIFS($F$2:$F$500,F219,$I$2:$I$500,"&lt;&gt;"&amp;I219)+COUNTIFS($F$2:$F$500,F219,$J$2:$J$500,"&lt;&gt;"&amp;J219)&gt;0,"CEK data SKU tidak konsisten",IF(Q219="zona tidak ada di layout","CEK zona_no / jenis_fixture",IF(D219&lt;&gt;Q219,"CEK jenis_zona",IF(S219&gt;IFERROR(INDEX(LAYOUT!$C$2:$C$33,MATCH(B219,LAYOUT!$A$2:$A$33,0)),0),"CEK lebar zona melebihi fixture","OK")))))</f>
        <v/>
      </c>
    </row>
    <row r="220">
      <c r="A220" s="15" t="n"/>
      <c r="B220" s="15" t="n"/>
      <c r="C220" s="16" t="n"/>
      <c r="D220" s="15" t="n"/>
      <c r="E220" s="16" t="n"/>
      <c r="F220" s="17" t="n"/>
      <c r="G220" s="15" t="n"/>
      <c r="H220" s="15" t="n"/>
      <c r="I220" s="16" t="n"/>
      <c r="J220" s="16" t="n"/>
      <c r="K220" s="16" t="n"/>
      <c r="L220" s="16" t="n"/>
      <c r="M220" s="16" t="n"/>
      <c r="N220" s="15" t="n"/>
      <c r="O220" s="16" t="n"/>
      <c r="P220" s="16" t="n"/>
      <c r="Q220" s="13">
        <f>IF(OR(B220="",C220=""),"",IFERROR(INDEX(LAYOUT!$E$2:$E$33,MATCH(B220&amp;"|"&amp;C220,LAYOUT!$F$2:$F$33,0)),"zona tidak ada di layout"))</f>
        <v/>
      </c>
      <c r="R220" s="14">
        <f>IF(F220="","",IF(OR(I220="",O220=""),0,I220*O220))</f>
        <v/>
      </c>
      <c r="S220" s="14">
        <f>IF(F220="","",SUMIFS($R$2:$R$500,$A$2:$A$500,A220,$C$2:$C$500,C220))</f>
        <v/>
      </c>
      <c r="T220" s="14">
        <f>IF(F220="","",IF(OR(G220="",I220="",J220=""),"CEK data SKU (nama/lebar/tinggi)",IF(COUNTIFS($F$2:$F$500,F220,$I$2:$I$500,"&lt;&gt;"&amp;I220)+COUNTIFS($F$2:$F$500,F220,$J$2:$J$500,"&lt;&gt;"&amp;J220)&gt;0,"CEK data SKU tidak konsisten",IF(Q220="zona tidak ada di layout","CEK zona_no / jenis_fixture",IF(D220&lt;&gt;Q220,"CEK jenis_zona",IF(S220&gt;IFERROR(INDEX(LAYOUT!$C$2:$C$33,MATCH(B220,LAYOUT!$A$2:$A$33,0)),0),"CEK lebar zona melebihi fixture","OK")))))</f>
        <v/>
      </c>
    </row>
    <row r="221">
      <c r="A221" s="15" t="n"/>
      <c r="B221" s="15" t="n"/>
      <c r="C221" s="16" t="n"/>
      <c r="D221" s="15" t="n"/>
      <c r="E221" s="16" t="n"/>
      <c r="F221" s="17" t="n"/>
      <c r="G221" s="15" t="n"/>
      <c r="H221" s="15" t="n"/>
      <c r="I221" s="16" t="n"/>
      <c r="J221" s="16" t="n"/>
      <c r="K221" s="16" t="n"/>
      <c r="L221" s="16" t="n"/>
      <c r="M221" s="16" t="n"/>
      <c r="N221" s="15" t="n"/>
      <c r="O221" s="16" t="n"/>
      <c r="P221" s="16" t="n"/>
      <c r="Q221" s="13">
        <f>IF(OR(B221="",C221=""),"",IFERROR(INDEX(LAYOUT!$E$2:$E$33,MATCH(B221&amp;"|"&amp;C221,LAYOUT!$F$2:$F$33,0)),"zona tidak ada di layout"))</f>
        <v/>
      </c>
      <c r="R221" s="14">
        <f>IF(F221="","",IF(OR(I221="",O221=""),0,I221*O221))</f>
        <v/>
      </c>
      <c r="S221" s="14">
        <f>IF(F221="","",SUMIFS($R$2:$R$500,$A$2:$A$500,A221,$C$2:$C$500,C221))</f>
        <v/>
      </c>
      <c r="T221" s="14">
        <f>IF(F221="","",IF(OR(G221="",I221="",J221=""),"CEK data SKU (nama/lebar/tinggi)",IF(COUNTIFS($F$2:$F$500,F221,$I$2:$I$500,"&lt;&gt;"&amp;I221)+COUNTIFS($F$2:$F$500,F221,$J$2:$J$500,"&lt;&gt;"&amp;J221)&gt;0,"CEK data SKU tidak konsisten",IF(Q221="zona tidak ada di layout","CEK zona_no / jenis_fixture",IF(D221&lt;&gt;Q221,"CEK jenis_zona",IF(S221&gt;IFERROR(INDEX(LAYOUT!$C$2:$C$33,MATCH(B221,LAYOUT!$A$2:$A$33,0)),0),"CEK lebar zona melebihi fixture","OK")))))</f>
        <v/>
      </c>
    </row>
    <row r="222">
      <c r="A222" s="15" t="n"/>
      <c r="B222" s="15" t="n"/>
      <c r="C222" s="16" t="n"/>
      <c r="D222" s="15" t="n"/>
      <c r="E222" s="16" t="n"/>
      <c r="F222" s="17" t="n"/>
      <c r="G222" s="15" t="n"/>
      <c r="H222" s="15" t="n"/>
      <c r="I222" s="16" t="n"/>
      <c r="J222" s="16" t="n"/>
      <c r="K222" s="16" t="n"/>
      <c r="L222" s="16" t="n"/>
      <c r="M222" s="16" t="n"/>
      <c r="N222" s="15" t="n"/>
      <c r="O222" s="16" t="n"/>
      <c r="P222" s="16" t="n"/>
      <c r="Q222" s="13">
        <f>IF(OR(B222="",C222=""),"",IFERROR(INDEX(LAYOUT!$E$2:$E$33,MATCH(B222&amp;"|"&amp;C222,LAYOUT!$F$2:$F$33,0)),"zona tidak ada di layout"))</f>
        <v/>
      </c>
      <c r="R222" s="14">
        <f>IF(F222="","",IF(OR(I222="",O222=""),0,I222*O222))</f>
        <v/>
      </c>
      <c r="S222" s="14">
        <f>IF(F222="","",SUMIFS($R$2:$R$500,$A$2:$A$500,A222,$C$2:$C$500,C222))</f>
        <v/>
      </c>
      <c r="T222" s="14">
        <f>IF(F222="","",IF(OR(G222="",I222="",J222=""),"CEK data SKU (nama/lebar/tinggi)",IF(COUNTIFS($F$2:$F$500,F222,$I$2:$I$500,"&lt;&gt;"&amp;I222)+COUNTIFS($F$2:$F$500,F222,$J$2:$J$500,"&lt;&gt;"&amp;J222)&gt;0,"CEK data SKU tidak konsisten",IF(Q222="zona tidak ada di layout","CEK zona_no / jenis_fixture",IF(D222&lt;&gt;Q222,"CEK jenis_zona",IF(S222&gt;IFERROR(INDEX(LAYOUT!$C$2:$C$33,MATCH(B222,LAYOUT!$A$2:$A$33,0)),0),"CEK lebar zona melebihi fixture","OK")))))</f>
        <v/>
      </c>
    </row>
    <row r="223">
      <c r="A223" s="15" t="n"/>
      <c r="B223" s="15" t="n"/>
      <c r="C223" s="16" t="n"/>
      <c r="D223" s="15" t="n"/>
      <c r="E223" s="16" t="n"/>
      <c r="F223" s="17" t="n"/>
      <c r="G223" s="15" t="n"/>
      <c r="H223" s="15" t="n"/>
      <c r="I223" s="16" t="n"/>
      <c r="J223" s="16" t="n"/>
      <c r="K223" s="16" t="n"/>
      <c r="L223" s="16" t="n"/>
      <c r="M223" s="16" t="n"/>
      <c r="N223" s="15" t="n"/>
      <c r="O223" s="16" t="n"/>
      <c r="P223" s="16" t="n"/>
      <c r="Q223" s="13">
        <f>IF(OR(B223="",C223=""),"",IFERROR(INDEX(LAYOUT!$E$2:$E$33,MATCH(B223&amp;"|"&amp;C223,LAYOUT!$F$2:$F$33,0)),"zona tidak ada di layout"))</f>
        <v/>
      </c>
      <c r="R223" s="14">
        <f>IF(F223="","",IF(OR(I223="",O223=""),0,I223*O223))</f>
        <v/>
      </c>
      <c r="S223" s="14">
        <f>IF(F223="","",SUMIFS($R$2:$R$500,$A$2:$A$500,A223,$C$2:$C$500,C223))</f>
        <v/>
      </c>
      <c r="T223" s="14">
        <f>IF(F223="","",IF(OR(G223="",I223="",J223=""),"CEK data SKU (nama/lebar/tinggi)",IF(COUNTIFS($F$2:$F$500,F223,$I$2:$I$500,"&lt;&gt;"&amp;I223)+COUNTIFS($F$2:$F$500,F223,$J$2:$J$500,"&lt;&gt;"&amp;J223)&gt;0,"CEK data SKU tidak konsisten",IF(Q223="zona tidak ada di layout","CEK zona_no / jenis_fixture",IF(D223&lt;&gt;Q223,"CEK jenis_zona",IF(S223&gt;IFERROR(INDEX(LAYOUT!$C$2:$C$33,MATCH(B223,LAYOUT!$A$2:$A$33,0)),0),"CEK lebar zona melebihi fixture","OK")))))</f>
        <v/>
      </c>
    </row>
    <row r="224">
      <c r="A224" s="15" t="n"/>
      <c r="B224" s="15" t="n"/>
      <c r="C224" s="16" t="n"/>
      <c r="D224" s="15" t="n"/>
      <c r="E224" s="16" t="n"/>
      <c r="F224" s="17" t="n"/>
      <c r="G224" s="15" t="n"/>
      <c r="H224" s="15" t="n"/>
      <c r="I224" s="16" t="n"/>
      <c r="J224" s="16" t="n"/>
      <c r="K224" s="16" t="n"/>
      <c r="L224" s="16" t="n"/>
      <c r="M224" s="16" t="n"/>
      <c r="N224" s="15" t="n"/>
      <c r="O224" s="16" t="n"/>
      <c r="P224" s="16" t="n"/>
      <c r="Q224" s="13">
        <f>IF(OR(B224="",C224=""),"",IFERROR(INDEX(LAYOUT!$E$2:$E$33,MATCH(B224&amp;"|"&amp;C224,LAYOUT!$F$2:$F$33,0)),"zona tidak ada di layout"))</f>
        <v/>
      </c>
      <c r="R224" s="14">
        <f>IF(F224="","",IF(OR(I224="",O224=""),0,I224*O224))</f>
        <v/>
      </c>
      <c r="S224" s="14">
        <f>IF(F224="","",SUMIFS($R$2:$R$500,$A$2:$A$500,A224,$C$2:$C$500,C224))</f>
        <v/>
      </c>
      <c r="T224" s="14">
        <f>IF(F224="","",IF(OR(G224="",I224="",J224=""),"CEK data SKU (nama/lebar/tinggi)",IF(COUNTIFS($F$2:$F$500,F224,$I$2:$I$500,"&lt;&gt;"&amp;I224)+COUNTIFS($F$2:$F$500,F224,$J$2:$J$500,"&lt;&gt;"&amp;J224)&gt;0,"CEK data SKU tidak konsisten",IF(Q224="zona tidak ada di layout","CEK zona_no / jenis_fixture",IF(D224&lt;&gt;Q224,"CEK jenis_zona",IF(S224&gt;IFERROR(INDEX(LAYOUT!$C$2:$C$33,MATCH(B224,LAYOUT!$A$2:$A$33,0)),0),"CEK lebar zona melebihi fixture","OK")))))</f>
        <v/>
      </c>
    </row>
    <row r="225">
      <c r="A225" s="15" t="n"/>
      <c r="B225" s="15" t="n"/>
      <c r="C225" s="16" t="n"/>
      <c r="D225" s="15" t="n"/>
      <c r="E225" s="16" t="n"/>
      <c r="F225" s="17" t="n"/>
      <c r="G225" s="15" t="n"/>
      <c r="H225" s="15" t="n"/>
      <c r="I225" s="16" t="n"/>
      <c r="J225" s="16" t="n"/>
      <c r="K225" s="16" t="n"/>
      <c r="L225" s="16" t="n"/>
      <c r="M225" s="16" t="n"/>
      <c r="N225" s="15" t="n"/>
      <c r="O225" s="16" t="n"/>
      <c r="P225" s="16" t="n"/>
      <c r="Q225" s="13">
        <f>IF(OR(B225="",C225=""),"",IFERROR(INDEX(LAYOUT!$E$2:$E$33,MATCH(B225&amp;"|"&amp;C225,LAYOUT!$F$2:$F$33,0)),"zona tidak ada di layout"))</f>
        <v/>
      </c>
      <c r="R225" s="14">
        <f>IF(F225="","",IF(OR(I225="",O225=""),0,I225*O225))</f>
        <v/>
      </c>
      <c r="S225" s="14">
        <f>IF(F225="","",SUMIFS($R$2:$R$500,$A$2:$A$500,A225,$C$2:$C$500,C225))</f>
        <v/>
      </c>
      <c r="T225" s="14">
        <f>IF(F225="","",IF(OR(G225="",I225="",J225=""),"CEK data SKU (nama/lebar/tinggi)",IF(COUNTIFS($F$2:$F$500,F225,$I$2:$I$500,"&lt;&gt;"&amp;I225)+COUNTIFS($F$2:$F$500,F225,$J$2:$J$500,"&lt;&gt;"&amp;J225)&gt;0,"CEK data SKU tidak konsisten",IF(Q225="zona tidak ada di layout","CEK zona_no / jenis_fixture",IF(D225&lt;&gt;Q225,"CEK jenis_zona",IF(S225&gt;IFERROR(INDEX(LAYOUT!$C$2:$C$33,MATCH(B225,LAYOUT!$A$2:$A$33,0)),0),"CEK lebar zona melebihi fixture","OK")))))</f>
        <v/>
      </c>
    </row>
    <row r="226">
      <c r="A226" s="15" t="n"/>
      <c r="B226" s="15" t="n"/>
      <c r="C226" s="16" t="n"/>
      <c r="D226" s="15" t="n"/>
      <c r="E226" s="16" t="n"/>
      <c r="F226" s="17" t="n"/>
      <c r="G226" s="15" t="n"/>
      <c r="H226" s="15" t="n"/>
      <c r="I226" s="16" t="n"/>
      <c r="J226" s="16" t="n"/>
      <c r="K226" s="16" t="n"/>
      <c r="L226" s="16" t="n"/>
      <c r="M226" s="16" t="n"/>
      <c r="N226" s="15" t="n"/>
      <c r="O226" s="16" t="n"/>
      <c r="P226" s="16" t="n"/>
      <c r="Q226" s="13">
        <f>IF(OR(B226="",C226=""),"",IFERROR(INDEX(LAYOUT!$E$2:$E$33,MATCH(B226&amp;"|"&amp;C226,LAYOUT!$F$2:$F$33,0)),"zona tidak ada di layout"))</f>
        <v/>
      </c>
      <c r="R226" s="14">
        <f>IF(F226="","",IF(OR(I226="",O226=""),0,I226*O226))</f>
        <v/>
      </c>
      <c r="S226" s="14">
        <f>IF(F226="","",SUMIFS($R$2:$R$500,$A$2:$A$500,A226,$C$2:$C$500,C226))</f>
        <v/>
      </c>
      <c r="T226" s="14">
        <f>IF(F226="","",IF(OR(G226="",I226="",J226=""),"CEK data SKU (nama/lebar/tinggi)",IF(COUNTIFS($F$2:$F$500,F226,$I$2:$I$500,"&lt;&gt;"&amp;I226)+COUNTIFS($F$2:$F$500,F226,$J$2:$J$500,"&lt;&gt;"&amp;J226)&gt;0,"CEK data SKU tidak konsisten",IF(Q226="zona tidak ada di layout","CEK zona_no / jenis_fixture",IF(D226&lt;&gt;Q226,"CEK jenis_zona",IF(S226&gt;IFERROR(INDEX(LAYOUT!$C$2:$C$33,MATCH(B226,LAYOUT!$A$2:$A$33,0)),0),"CEK lebar zona melebihi fixture","OK")))))</f>
        <v/>
      </c>
    </row>
    <row r="227">
      <c r="A227" s="15" t="n"/>
      <c r="B227" s="15" t="n"/>
      <c r="C227" s="16" t="n"/>
      <c r="D227" s="15" t="n"/>
      <c r="E227" s="16" t="n"/>
      <c r="F227" s="17" t="n"/>
      <c r="G227" s="15" t="n"/>
      <c r="H227" s="15" t="n"/>
      <c r="I227" s="16" t="n"/>
      <c r="J227" s="16" t="n"/>
      <c r="K227" s="16" t="n"/>
      <c r="L227" s="16" t="n"/>
      <c r="M227" s="16" t="n"/>
      <c r="N227" s="15" t="n"/>
      <c r="O227" s="16" t="n"/>
      <c r="P227" s="16" t="n"/>
      <c r="Q227" s="13">
        <f>IF(OR(B227="",C227=""),"",IFERROR(INDEX(LAYOUT!$E$2:$E$33,MATCH(B227&amp;"|"&amp;C227,LAYOUT!$F$2:$F$33,0)),"zona tidak ada di layout"))</f>
        <v/>
      </c>
      <c r="R227" s="14">
        <f>IF(F227="","",IF(OR(I227="",O227=""),0,I227*O227))</f>
        <v/>
      </c>
      <c r="S227" s="14">
        <f>IF(F227="","",SUMIFS($R$2:$R$500,$A$2:$A$500,A227,$C$2:$C$500,C227))</f>
        <v/>
      </c>
      <c r="T227" s="14">
        <f>IF(F227="","",IF(OR(G227="",I227="",J227=""),"CEK data SKU (nama/lebar/tinggi)",IF(COUNTIFS($F$2:$F$500,F227,$I$2:$I$500,"&lt;&gt;"&amp;I227)+COUNTIFS($F$2:$F$500,F227,$J$2:$J$500,"&lt;&gt;"&amp;J227)&gt;0,"CEK data SKU tidak konsisten",IF(Q227="zona tidak ada di layout","CEK zona_no / jenis_fixture",IF(D227&lt;&gt;Q227,"CEK jenis_zona",IF(S227&gt;IFERROR(INDEX(LAYOUT!$C$2:$C$33,MATCH(B227,LAYOUT!$A$2:$A$33,0)),0),"CEK lebar zona melebihi fixture","OK")))))</f>
        <v/>
      </c>
    </row>
    <row r="228">
      <c r="A228" s="15" t="n"/>
      <c r="B228" s="15" t="n"/>
      <c r="C228" s="16" t="n"/>
      <c r="D228" s="15" t="n"/>
      <c r="E228" s="16" t="n"/>
      <c r="F228" s="17" t="n"/>
      <c r="G228" s="15" t="n"/>
      <c r="H228" s="15" t="n"/>
      <c r="I228" s="16" t="n"/>
      <c r="J228" s="16" t="n"/>
      <c r="K228" s="16" t="n"/>
      <c r="L228" s="16" t="n"/>
      <c r="M228" s="16" t="n"/>
      <c r="N228" s="15" t="n"/>
      <c r="O228" s="16" t="n"/>
      <c r="P228" s="16" t="n"/>
      <c r="Q228" s="13">
        <f>IF(OR(B228="",C228=""),"",IFERROR(INDEX(LAYOUT!$E$2:$E$33,MATCH(B228&amp;"|"&amp;C228,LAYOUT!$F$2:$F$33,0)),"zona tidak ada di layout"))</f>
        <v/>
      </c>
      <c r="R228" s="14">
        <f>IF(F228="","",IF(OR(I228="",O228=""),0,I228*O228))</f>
        <v/>
      </c>
      <c r="S228" s="14">
        <f>IF(F228="","",SUMIFS($R$2:$R$500,$A$2:$A$500,A228,$C$2:$C$500,C228))</f>
        <v/>
      </c>
      <c r="T228" s="14">
        <f>IF(F228="","",IF(OR(G228="",I228="",J228=""),"CEK data SKU (nama/lebar/tinggi)",IF(COUNTIFS($F$2:$F$500,F228,$I$2:$I$500,"&lt;&gt;"&amp;I228)+COUNTIFS($F$2:$F$500,F228,$J$2:$J$500,"&lt;&gt;"&amp;J228)&gt;0,"CEK data SKU tidak konsisten",IF(Q228="zona tidak ada di layout","CEK zona_no / jenis_fixture",IF(D228&lt;&gt;Q228,"CEK jenis_zona",IF(S228&gt;IFERROR(INDEX(LAYOUT!$C$2:$C$33,MATCH(B228,LAYOUT!$A$2:$A$33,0)),0),"CEK lebar zona melebihi fixture","OK")))))</f>
        <v/>
      </c>
    </row>
    <row r="229">
      <c r="A229" s="15" t="n"/>
      <c r="B229" s="15" t="n"/>
      <c r="C229" s="16" t="n"/>
      <c r="D229" s="15" t="n"/>
      <c r="E229" s="16" t="n"/>
      <c r="F229" s="17" t="n"/>
      <c r="G229" s="15" t="n"/>
      <c r="H229" s="15" t="n"/>
      <c r="I229" s="16" t="n"/>
      <c r="J229" s="16" t="n"/>
      <c r="K229" s="16" t="n"/>
      <c r="L229" s="16" t="n"/>
      <c r="M229" s="16" t="n"/>
      <c r="N229" s="15" t="n"/>
      <c r="O229" s="16" t="n"/>
      <c r="P229" s="16" t="n"/>
      <c r="Q229" s="13">
        <f>IF(OR(B229="",C229=""),"",IFERROR(INDEX(LAYOUT!$E$2:$E$33,MATCH(B229&amp;"|"&amp;C229,LAYOUT!$F$2:$F$33,0)),"zona tidak ada di layout"))</f>
        <v/>
      </c>
      <c r="R229" s="14">
        <f>IF(F229="","",IF(OR(I229="",O229=""),0,I229*O229))</f>
        <v/>
      </c>
      <c r="S229" s="14">
        <f>IF(F229="","",SUMIFS($R$2:$R$500,$A$2:$A$500,A229,$C$2:$C$500,C229))</f>
        <v/>
      </c>
      <c r="T229" s="14">
        <f>IF(F229="","",IF(OR(G229="",I229="",J229=""),"CEK data SKU (nama/lebar/tinggi)",IF(COUNTIFS($F$2:$F$500,F229,$I$2:$I$500,"&lt;&gt;"&amp;I229)+COUNTIFS($F$2:$F$500,F229,$J$2:$J$500,"&lt;&gt;"&amp;J229)&gt;0,"CEK data SKU tidak konsisten",IF(Q229="zona tidak ada di layout","CEK zona_no / jenis_fixture",IF(D229&lt;&gt;Q229,"CEK jenis_zona",IF(S229&gt;IFERROR(INDEX(LAYOUT!$C$2:$C$33,MATCH(B229,LAYOUT!$A$2:$A$33,0)),0),"CEK lebar zona melebihi fixture","OK")))))</f>
        <v/>
      </c>
    </row>
    <row r="230">
      <c r="A230" s="15" t="n"/>
      <c r="B230" s="15" t="n"/>
      <c r="C230" s="16" t="n"/>
      <c r="D230" s="15" t="n"/>
      <c r="E230" s="16" t="n"/>
      <c r="F230" s="17" t="n"/>
      <c r="G230" s="15" t="n"/>
      <c r="H230" s="15" t="n"/>
      <c r="I230" s="16" t="n"/>
      <c r="J230" s="16" t="n"/>
      <c r="K230" s="16" t="n"/>
      <c r="L230" s="16" t="n"/>
      <c r="M230" s="16" t="n"/>
      <c r="N230" s="15" t="n"/>
      <c r="O230" s="16" t="n"/>
      <c r="P230" s="16" t="n"/>
      <c r="Q230" s="13">
        <f>IF(OR(B230="",C230=""),"",IFERROR(INDEX(LAYOUT!$E$2:$E$33,MATCH(B230&amp;"|"&amp;C230,LAYOUT!$F$2:$F$33,0)),"zona tidak ada di layout"))</f>
        <v/>
      </c>
      <c r="R230" s="14">
        <f>IF(F230="","",IF(OR(I230="",O230=""),0,I230*O230))</f>
        <v/>
      </c>
      <c r="S230" s="14">
        <f>IF(F230="","",SUMIFS($R$2:$R$500,$A$2:$A$500,A230,$C$2:$C$500,C230))</f>
        <v/>
      </c>
      <c r="T230" s="14">
        <f>IF(F230="","",IF(OR(G230="",I230="",J230=""),"CEK data SKU (nama/lebar/tinggi)",IF(COUNTIFS($F$2:$F$500,F230,$I$2:$I$500,"&lt;&gt;"&amp;I230)+COUNTIFS($F$2:$F$500,F230,$J$2:$J$500,"&lt;&gt;"&amp;J230)&gt;0,"CEK data SKU tidak konsisten",IF(Q230="zona tidak ada di layout","CEK zona_no / jenis_fixture",IF(D230&lt;&gt;Q230,"CEK jenis_zona",IF(S230&gt;IFERROR(INDEX(LAYOUT!$C$2:$C$33,MATCH(B230,LAYOUT!$A$2:$A$33,0)),0),"CEK lebar zona melebihi fixture","OK")))))</f>
        <v/>
      </c>
    </row>
    <row r="231">
      <c r="A231" s="15" t="n"/>
      <c r="B231" s="15" t="n"/>
      <c r="C231" s="16" t="n"/>
      <c r="D231" s="15" t="n"/>
      <c r="E231" s="16" t="n"/>
      <c r="F231" s="17" t="n"/>
      <c r="G231" s="15" t="n"/>
      <c r="H231" s="15" t="n"/>
      <c r="I231" s="16" t="n"/>
      <c r="J231" s="16" t="n"/>
      <c r="K231" s="16" t="n"/>
      <c r="L231" s="16" t="n"/>
      <c r="M231" s="16" t="n"/>
      <c r="N231" s="15" t="n"/>
      <c r="O231" s="16" t="n"/>
      <c r="P231" s="16" t="n"/>
      <c r="Q231" s="13">
        <f>IF(OR(B231="",C231=""),"",IFERROR(INDEX(LAYOUT!$E$2:$E$33,MATCH(B231&amp;"|"&amp;C231,LAYOUT!$F$2:$F$33,0)),"zona tidak ada di layout"))</f>
        <v/>
      </c>
      <c r="R231" s="14">
        <f>IF(F231="","",IF(OR(I231="",O231=""),0,I231*O231))</f>
        <v/>
      </c>
      <c r="S231" s="14">
        <f>IF(F231="","",SUMIFS($R$2:$R$500,$A$2:$A$500,A231,$C$2:$C$500,C231))</f>
        <v/>
      </c>
      <c r="T231" s="14">
        <f>IF(F231="","",IF(OR(G231="",I231="",J231=""),"CEK data SKU (nama/lebar/tinggi)",IF(COUNTIFS($F$2:$F$500,F231,$I$2:$I$500,"&lt;&gt;"&amp;I231)+COUNTIFS($F$2:$F$500,F231,$J$2:$J$500,"&lt;&gt;"&amp;J231)&gt;0,"CEK data SKU tidak konsisten",IF(Q231="zona tidak ada di layout","CEK zona_no / jenis_fixture",IF(D231&lt;&gt;Q231,"CEK jenis_zona",IF(S231&gt;IFERROR(INDEX(LAYOUT!$C$2:$C$33,MATCH(B231,LAYOUT!$A$2:$A$33,0)),0),"CEK lebar zona melebihi fixture","OK")))))</f>
        <v/>
      </c>
    </row>
    <row r="232">
      <c r="A232" s="15" t="n"/>
      <c r="B232" s="15" t="n"/>
      <c r="C232" s="16" t="n"/>
      <c r="D232" s="15" t="n"/>
      <c r="E232" s="16" t="n"/>
      <c r="F232" s="17" t="n"/>
      <c r="G232" s="15" t="n"/>
      <c r="H232" s="15" t="n"/>
      <c r="I232" s="16" t="n"/>
      <c r="J232" s="16" t="n"/>
      <c r="K232" s="16" t="n"/>
      <c r="L232" s="16" t="n"/>
      <c r="M232" s="16" t="n"/>
      <c r="N232" s="15" t="n"/>
      <c r="O232" s="16" t="n"/>
      <c r="P232" s="16" t="n"/>
      <c r="Q232" s="13">
        <f>IF(OR(B232="",C232=""),"",IFERROR(INDEX(LAYOUT!$E$2:$E$33,MATCH(B232&amp;"|"&amp;C232,LAYOUT!$F$2:$F$33,0)),"zona tidak ada di layout"))</f>
        <v/>
      </c>
      <c r="R232" s="14">
        <f>IF(F232="","",IF(OR(I232="",O232=""),0,I232*O232))</f>
        <v/>
      </c>
      <c r="S232" s="14">
        <f>IF(F232="","",SUMIFS($R$2:$R$500,$A$2:$A$500,A232,$C$2:$C$500,C232))</f>
        <v/>
      </c>
      <c r="T232" s="14">
        <f>IF(F232="","",IF(OR(G232="",I232="",J232=""),"CEK data SKU (nama/lebar/tinggi)",IF(COUNTIFS($F$2:$F$500,F232,$I$2:$I$500,"&lt;&gt;"&amp;I232)+COUNTIFS($F$2:$F$500,F232,$J$2:$J$500,"&lt;&gt;"&amp;J232)&gt;0,"CEK data SKU tidak konsisten",IF(Q232="zona tidak ada di layout","CEK zona_no / jenis_fixture",IF(D232&lt;&gt;Q232,"CEK jenis_zona",IF(S232&gt;IFERROR(INDEX(LAYOUT!$C$2:$C$33,MATCH(B232,LAYOUT!$A$2:$A$33,0)),0),"CEK lebar zona melebihi fixture","OK")))))</f>
        <v/>
      </c>
    </row>
    <row r="233">
      <c r="A233" s="15" t="n"/>
      <c r="B233" s="15" t="n"/>
      <c r="C233" s="16" t="n"/>
      <c r="D233" s="15" t="n"/>
      <c r="E233" s="16" t="n"/>
      <c r="F233" s="17" t="n"/>
      <c r="G233" s="15" t="n"/>
      <c r="H233" s="15" t="n"/>
      <c r="I233" s="16" t="n"/>
      <c r="J233" s="16" t="n"/>
      <c r="K233" s="16" t="n"/>
      <c r="L233" s="16" t="n"/>
      <c r="M233" s="16" t="n"/>
      <c r="N233" s="15" t="n"/>
      <c r="O233" s="16" t="n"/>
      <c r="P233" s="16" t="n"/>
      <c r="Q233" s="13">
        <f>IF(OR(B233="",C233=""),"",IFERROR(INDEX(LAYOUT!$E$2:$E$33,MATCH(B233&amp;"|"&amp;C233,LAYOUT!$F$2:$F$33,0)),"zona tidak ada di layout"))</f>
        <v/>
      </c>
      <c r="R233" s="14">
        <f>IF(F233="","",IF(OR(I233="",O233=""),0,I233*O233))</f>
        <v/>
      </c>
      <c r="S233" s="14">
        <f>IF(F233="","",SUMIFS($R$2:$R$500,$A$2:$A$500,A233,$C$2:$C$500,C233))</f>
        <v/>
      </c>
      <c r="T233" s="14">
        <f>IF(F233="","",IF(OR(G233="",I233="",J233=""),"CEK data SKU (nama/lebar/tinggi)",IF(COUNTIFS($F$2:$F$500,F233,$I$2:$I$500,"&lt;&gt;"&amp;I233)+COUNTIFS($F$2:$F$500,F233,$J$2:$J$500,"&lt;&gt;"&amp;J233)&gt;0,"CEK data SKU tidak konsisten",IF(Q233="zona tidak ada di layout","CEK zona_no / jenis_fixture",IF(D233&lt;&gt;Q233,"CEK jenis_zona",IF(S233&gt;IFERROR(INDEX(LAYOUT!$C$2:$C$33,MATCH(B233,LAYOUT!$A$2:$A$33,0)),0),"CEK lebar zona melebihi fixture","OK")))))</f>
        <v/>
      </c>
    </row>
    <row r="234">
      <c r="A234" s="15" t="n"/>
      <c r="B234" s="15" t="n"/>
      <c r="C234" s="16" t="n"/>
      <c r="D234" s="15" t="n"/>
      <c r="E234" s="16" t="n"/>
      <c r="F234" s="17" t="n"/>
      <c r="G234" s="15" t="n"/>
      <c r="H234" s="15" t="n"/>
      <c r="I234" s="16" t="n"/>
      <c r="J234" s="16" t="n"/>
      <c r="K234" s="16" t="n"/>
      <c r="L234" s="16" t="n"/>
      <c r="M234" s="16" t="n"/>
      <c r="N234" s="15" t="n"/>
      <c r="O234" s="16" t="n"/>
      <c r="P234" s="16" t="n"/>
      <c r="Q234" s="13">
        <f>IF(OR(B234="",C234=""),"",IFERROR(INDEX(LAYOUT!$E$2:$E$33,MATCH(B234&amp;"|"&amp;C234,LAYOUT!$F$2:$F$33,0)),"zona tidak ada di layout"))</f>
        <v/>
      </c>
      <c r="R234" s="14">
        <f>IF(F234="","",IF(OR(I234="",O234=""),0,I234*O234))</f>
        <v/>
      </c>
      <c r="S234" s="14">
        <f>IF(F234="","",SUMIFS($R$2:$R$500,$A$2:$A$500,A234,$C$2:$C$500,C234))</f>
        <v/>
      </c>
      <c r="T234" s="14">
        <f>IF(F234="","",IF(OR(G234="",I234="",J234=""),"CEK data SKU (nama/lebar/tinggi)",IF(COUNTIFS($F$2:$F$500,F234,$I$2:$I$500,"&lt;&gt;"&amp;I234)+COUNTIFS($F$2:$F$500,F234,$J$2:$J$500,"&lt;&gt;"&amp;J234)&gt;0,"CEK data SKU tidak konsisten",IF(Q234="zona tidak ada di layout","CEK zona_no / jenis_fixture",IF(D234&lt;&gt;Q234,"CEK jenis_zona",IF(S234&gt;IFERROR(INDEX(LAYOUT!$C$2:$C$33,MATCH(B234,LAYOUT!$A$2:$A$33,0)),0),"CEK lebar zona melebihi fixture","OK")))))</f>
        <v/>
      </c>
    </row>
    <row r="235">
      <c r="A235" s="15" t="n"/>
      <c r="B235" s="15" t="n"/>
      <c r="C235" s="16" t="n"/>
      <c r="D235" s="15" t="n"/>
      <c r="E235" s="16" t="n"/>
      <c r="F235" s="17" t="n"/>
      <c r="G235" s="15" t="n"/>
      <c r="H235" s="15" t="n"/>
      <c r="I235" s="16" t="n"/>
      <c r="J235" s="16" t="n"/>
      <c r="K235" s="16" t="n"/>
      <c r="L235" s="16" t="n"/>
      <c r="M235" s="16" t="n"/>
      <c r="N235" s="15" t="n"/>
      <c r="O235" s="16" t="n"/>
      <c r="P235" s="16" t="n"/>
      <c r="Q235" s="13">
        <f>IF(OR(B235="",C235=""),"",IFERROR(INDEX(LAYOUT!$E$2:$E$33,MATCH(B235&amp;"|"&amp;C235,LAYOUT!$F$2:$F$33,0)),"zona tidak ada di layout"))</f>
        <v/>
      </c>
      <c r="R235" s="14">
        <f>IF(F235="","",IF(OR(I235="",O235=""),0,I235*O235))</f>
        <v/>
      </c>
      <c r="S235" s="14">
        <f>IF(F235="","",SUMIFS($R$2:$R$500,$A$2:$A$500,A235,$C$2:$C$500,C235))</f>
        <v/>
      </c>
      <c r="T235" s="14">
        <f>IF(F235="","",IF(OR(G235="",I235="",J235=""),"CEK data SKU (nama/lebar/tinggi)",IF(COUNTIFS($F$2:$F$500,F235,$I$2:$I$500,"&lt;&gt;"&amp;I235)+COUNTIFS($F$2:$F$500,F235,$J$2:$J$500,"&lt;&gt;"&amp;J235)&gt;0,"CEK data SKU tidak konsisten",IF(Q235="zona tidak ada di layout","CEK zona_no / jenis_fixture",IF(D235&lt;&gt;Q235,"CEK jenis_zona",IF(S235&gt;IFERROR(INDEX(LAYOUT!$C$2:$C$33,MATCH(B235,LAYOUT!$A$2:$A$33,0)),0),"CEK lebar zona melebihi fixture","OK")))))</f>
        <v/>
      </c>
    </row>
    <row r="236">
      <c r="A236" s="15" t="n"/>
      <c r="B236" s="15" t="n"/>
      <c r="C236" s="16" t="n"/>
      <c r="D236" s="15" t="n"/>
      <c r="E236" s="16" t="n"/>
      <c r="F236" s="17" t="n"/>
      <c r="G236" s="15" t="n"/>
      <c r="H236" s="15" t="n"/>
      <c r="I236" s="16" t="n"/>
      <c r="J236" s="16" t="n"/>
      <c r="K236" s="16" t="n"/>
      <c r="L236" s="16" t="n"/>
      <c r="M236" s="16" t="n"/>
      <c r="N236" s="15" t="n"/>
      <c r="O236" s="16" t="n"/>
      <c r="P236" s="16" t="n"/>
      <c r="Q236" s="13">
        <f>IF(OR(B236="",C236=""),"",IFERROR(INDEX(LAYOUT!$E$2:$E$33,MATCH(B236&amp;"|"&amp;C236,LAYOUT!$F$2:$F$33,0)),"zona tidak ada di layout"))</f>
        <v/>
      </c>
      <c r="R236" s="14">
        <f>IF(F236="","",IF(OR(I236="",O236=""),0,I236*O236))</f>
        <v/>
      </c>
      <c r="S236" s="14">
        <f>IF(F236="","",SUMIFS($R$2:$R$500,$A$2:$A$500,A236,$C$2:$C$500,C236))</f>
        <v/>
      </c>
      <c r="T236" s="14">
        <f>IF(F236="","",IF(OR(G236="",I236="",J236=""),"CEK data SKU (nama/lebar/tinggi)",IF(COUNTIFS($F$2:$F$500,F236,$I$2:$I$500,"&lt;&gt;"&amp;I236)+COUNTIFS($F$2:$F$500,F236,$J$2:$J$500,"&lt;&gt;"&amp;J236)&gt;0,"CEK data SKU tidak konsisten",IF(Q236="zona tidak ada di layout","CEK zona_no / jenis_fixture",IF(D236&lt;&gt;Q236,"CEK jenis_zona",IF(S236&gt;IFERROR(INDEX(LAYOUT!$C$2:$C$33,MATCH(B236,LAYOUT!$A$2:$A$33,0)),0),"CEK lebar zona melebihi fixture","OK")))))</f>
        <v/>
      </c>
    </row>
    <row r="237">
      <c r="A237" s="15" t="n"/>
      <c r="B237" s="15" t="n"/>
      <c r="C237" s="16" t="n"/>
      <c r="D237" s="15" t="n"/>
      <c r="E237" s="16" t="n"/>
      <c r="F237" s="17" t="n"/>
      <c r="G237" s="15" t="n"/>
      <c r="H237" s="15" t="n"/>
      <c r="I237" s="16" t="n"/>
      <c r="J237" s="16" t="n"/>
      <c r="K237" s="16" t="n"/>
      <c r="L237" s="16" t="n"/>
      <c r="M237" s="16" t="n"/>
      <c r="N237" s="15" t="n"/>
      <c r="O237" s="16" t="n"/>
      <c r="P237" s="16" t="n"/>
      <c r="Q237" s="13">
        <f>IF(OR(B237="",C237=""),"",IFERROR(INDEX(LAYOUT!$E$2:$E$33,MATCH(B237&amp;"|"&amp;C237,LAYOUT!$F$2:$F$33,0)),"zona tidak ada di layout"))</f>
        <v/>
      </c>
      <c r="R237" s="14">
        <f>IF(F237="","",IF(OR(I237="",O237=""),0,I237*O237))</f>
        <v/>
      </c>
      <c r="S237" s="14">
        <f>IF(F237="","",SUMIFS($R$2:$R$500,$A$2:$A$500,A237,$C$2:$C$500,C237))</f>
        <v/>
      </c>
      <c r="T237" s="14">
        <f>IF(F237="","",IF(OR(G237="",I237="",J237=""),"CEK data SKU (nama/lebar/tinggi)",IF(COUNTIFS($F$2:$F$500,F237,$I$2:$I$500,"&lt;&gt;"&amp;I237)+COUNTIFS($F$2:$F$500,F237,$J$2:$J$500,"&lt;&gt;"&amp;J237)&gt;0,"CEK data SKU tidak konsisten",IF(Q237="zona tidak ada di layout","CEK zona_no / jenis_fixture",IF(D237&lt;&gt;Q237,"CEK jenis_zona",IF(S237&gt;IFERROR(INDEX(LAYOUT!$C$2:$C$33,MATCH(B237,LAYOUT!$A$2:$A$33,0)),0),"CEK lebar zona melebihi fixture","OK")))))</f>
        <v/>
      </c>
    </row>
    <row r="238">
      <c r="A238" s="15" t="n"/>
      <c r="B238" s="15" t="n"/>
      <c r="C238" s="16" t="n"/>
      <c r="D238" s="15" t="n"/>
      <c r="E238" s="16" t="n"/>
      <c r="F238" s="17" t="n"/>
      <c r="G238" s="15" t="n"/>
      <c r="H238" s="15" t="n"/>
      <c r="I238" s="16" t="n"/>
      <c r="J238" s="16" t="n"/>
      <c r="K238" s="16" t="n"/>
      <c r="L238" s="16" t="n"/>
      <c r="M238" s="16" t="n"/>
      <c r="N238" s="15" t="n"/>
      <c r="O238" s="16" t="n"/>
      <c r="P238" s="16" t="n"/>
      <c r="Q238" s="13">
        <f>IF(OR(B238="",C238=""),"",IFERROR(INDEX(LAYOUT!$E$2:$E$33,MATCH(B238&amp;"|"&amp;C238,LAYOUT!$F$2:$F$33,0)),"zona tidak ada di layout"))</f>
        <v/>
      </c>
      <c r="R238" s="14">
        <f>IF(F238="","",IF(OR(I238="",O238=""),0,I238*O238))</f>
        <v/>
      </c>
      <c r="S238" s="14">
        <f>IF(F238="","",SUMIFS($R$2:$R$500,$A$2:$A$500,A238,$C$2:$C$500,C238))</f>
        <v/>
      </c>
      <c r="T238" s="14">
        <f>IF(F238="","",IF(OR(G238="",I238="",J238=""),"CEK data SKU (nama/lebar/tinggi)",IF(COUNTIFS($F$2:$F$500,F238,$I$2:$I$500,"&lt;&gt;"&amp;I238)+COUNTIFS($F$2:$F$500,F238,$J$2:$J$500,"&lt;&gt;"&amp;J238)&gt;0,"CEK data SKU tidak konsisten",IF(Q238="zona tidak ada di layout","CEK zona_no / jenis_fixture",IF(D238&lt;&gt;Q238,"CEK jenis_zona",IF(S238&gt;IFERROR(INDEX(LAYOUT!$C$2:$C$33,MATCH(B238,LAYOUT!$A$2:$A$33,0)),0),"CEK lebar zona melebihi fixture","OK")))))</f>
        <v/>
      </c>
    </row>
    <row r="239">
      <c r="A239" s="15" t="n"/>
      <c r="B239" s="15" t="n"/>
      <c r="C239" s="16" t="n"/>
      <c r="D239" s="15" t="n"/>
      <c r="E239" s="16" t="n"/>
      <c r="F239" s="17" t="n"/>
      <c r="G239" s="15" t="n"/>
      <c r="H239" s="15" t="n"/>
      <c r="I239" s="16" t="n"/>
      <c r="J239" s="16" t="n"/>
      <c r="K239" s="16" t="n"/>
      <c r="L239" s="16" t="n"/>
      <c r="M239" s="16" t="n"/>
      <c r="N239" s="15" t="n"/>
      <c r="O239" s="16" t="n"/>
      <c r="P239" s="16" t="n"/>
      <c r="Q239" s="13">
        <f>IF(OR(B239="",C239=""),"",IFERROR(INDEX(LAYOUT!$E$2:$E$33,MATCH(B239&amp;"|"&amp;C239,LAYOUT!$F$2:$F$33,0)),"zona tidak ada di layout"))</f>
        <v/>
      </c>
      <c r="R239" s="14">
        <f>IF(F239="","",IF(OR(I239="",O239=""),0,I239*O239))</f>
        <v/>
      </c>
      <c r="S239" s="14">
        <f>IF(F239="","",SUMIFS($R$2:$R$500,$A$2:$A$500,A239,$C$2:$C$500,C239))</f>
        <v/>
      </c>
      <c r="T239" s="14">
        <f>IF(F239="","",IF(OR(G239="",I239="",J239=""),"CEK data SKU (nama/lebar/tinggi)",IF(COUNTIFS($F$2:$F$500,F239,$I$2:$I$500,"&lt;&gt;"&amp;I239)+COUNTIFS($F$2:$F$500,F239,$J$2:$J$500,"&lt;&gt;"&amp;J239)&gt;0,"CEK data SKU tidak konsisten",IF(Q239="zona tidak ada di layout","CEK zona_no / jenis_fixture",IF(D239&lt;&gt;Q239,"CEK jenis_zona",IF(S239&gt;IFERROR(INDEX(LAYOUT!$C$2:$C$33,MATCH(B239,LAYOUT!$A$2:$A$33,0)),0),"CEK lebar zona melebihi fixture","OK")))))</f>
        <v/>
      </c>
    </row>
    <row r="240">
      <c r="A240" s="15" t="n"/>
      <c r="B240" s="15" t="n"/>
      <c r="C240" s="16" t="n"/>
      <c r="D240" s="15" t="n"/>
      <c r="E240" s="16" t="n"/>
      <c r="F240" s="17" t="n"/>
      <c r="G240" s="15" t="n"/>
      <c r="H240" s="15" t="n"/>
      <c r="I240" s="16" t="n"/>
      <c r="J240" s="16" t="n"/>
      <c r="K240" s="16" t="n"/>
      <c r="L240" s="16" t="n"/>
      <c r="M240" s="16" t="n"/>
      <c r="N240" s="15" t="n"/>
      <c r="O240" s="16" t="n"/>
      <c r="P240" s="16" t="n"/>
      <c r="Q240" s="13">
        <f>IF(OR(B240="",C240=""),"",IFERROR(INDEX(LAYOUT!$E$2:$E$33,MATCH(B240&amp;"|"&amp;C240,LAYOUT!$F$2:$F$33,0)),"zona tidak ada di layout"))</f>
        <v/>
      </c>
      <c r="R240" s="14">
        <f>IF(F240="","",IF(OR(I240="",O240=""),0,I240*O240))</f>
        <v/>
      </c>
      <c r="S240" s="14">
        <f>IF(F240="","",SUMIFS($R$2:$R$500,$A$2:$A$500,A240,$C$2:$C$500,C240))</f>
        <v/>
      </c>
      <c r="T240" s="14">
        <f>IF(F240="","",IF(OR(G240="",I240="",J240=""),"CEK data SKU (nama/lebar/tinggi)",IF(COUNTIFS($F$2:$F$500,F240,$I$2:$I$500,"&lt;&gt;"&amp;I240)+COUNTIFS($F$2:$F$500,F240,$J$2:$J$500,"&lt;&gt;"&amp;J240)&gt;0,"CEK data SKU tidak konsisten",IF(Q240="zona tidak ada di layout","CEK zona_no / jenis_fixture",IF(D240&lt;&gt;Q240,"CEK jenis_zona",IF(S240&gt;IFERROR(INDEX(LAYOUT!$C$2:$C$33,MATCH(B240,LAYOUT!$A$2:$A$33,0)),0),"CEK lebar zona melebihi fixture","OK")))))</f>
        <v/>
      </c>
    </row>
    <row r="241">
      <c r="A241" s="15" t="n"/>
      <c r="B241" s="15" t="n"/>
      <c r="C241" s="16" t="n"/>
      <c r="D241" s="15" t="n"/>
      <c r="E241" s="16" t="n"/>
      <c r="F241" s="17" t="n"/>
      <c r="G241" s="15" t="n"/>
      <c r="H241" s="15" t="n"/>
      <c r="I241" s="16" t="n"/>
      <c r="J241" s="16" t="n"/>
      <c r="K241" s="16" t="n"/>
      <c r="L241" s="16" t="n"/>
      <c r="M241" s="16" t="n"/>
      <c r="N241" s="15" t="n"/>
      <c r="O241" s="16" t="n"/>
      <c r="P241" s="16" t="n"/>
      <c r="Q241" s="13">
        <f>IF(OR(B241="",C241=""),"",IFERROR(INDEX(LAYOUT!$E$2:$E$33,MATCH(B241&amp;"|"&amp;C241,LAYOUT!$F$2:$F$33,0)),"zona tidak ada di layout"))</f>
        <v/>
      </c>
      <c r="R241" s="14">
        <f>IF(F241="","",IF(OR(I241="",O241=""),0,I241*O241))</f>
        <v/>
      </c>
      <c r="S241" s="14">
        <f>IF(F241="","",SUMIFS($R$2:$R$500,$A$2:$A$500,A241,$C$2:$C$500,C241))</f>
        <v/>
      </c>
      <c r="T241" s="14">
        <f>IF(F241="","",IF(OR(G241="",I241="",J241=""),"CEK data SKU (nama/lebar/tinggi)",IF(COUNTIFS($F$2:$F$500,F241,$I$2:$I$500,"&lt;&gt;"&amp;I241)+COUNTIFS($F$2:$F$500,F241,$J$2:$J$500,"&lt;&gt;"&amp;J241)&gt;0,"CEK data SKU tidak konsisten",IF(Q241="zona tidak ada di layout","CEK zona_no / jenis_fixture",IF(D241&lt;&gt;Q241,"CEK jenis_zona",IF(S241&gt;IFERROR(INDEX(LAYOUT!$C$2:$C$33,MATCH(B241,LAYOUT!$A$2:$A$33,0)),0),"CEK lebar zona melebihi fixture","OK")))))</f>
        <v/>
      </c>
    </row>
    <row r="242">
      <c r="A242" s="15" t="n"/>
      <c r="B242" s="15" t="n"/>
      <c r="C242" s="16" t="n"/>
      <c r="D242" s="15" t="n"/>
      <c r="E242" s="16" t="n"/>
      <c r="F242" s="17" t="n"/>
      <c r="G242" s="15" t="n"/>
      <c r="H242" s="15" t="n"/>
      <c r="I242" s="16" t="n"/>
      <c r="J242" s="16" t="n"/>
      <c r="K242" s="16" t="n"/>
      <c r="L242" s="16" t="n"/>
      <c r="M242" s="16" t="n"/>
      <c r="N242" s="15" t="n"/>
      <c r="O242" s="16" t="n"/>
      <c r="P242" s="16" t="n"/>
      <c r="Q242" s="13">
        <f>IF(OR(B242="",C242=""),"",IFERROR(INDEX(LAYOUT!$E$2:$E$33,MATCH(B242&amp;"|"&amp;C242,LAYOUT!$F$2:$F$33,0)),"zona tidak ada di layout"))</f>
        <v/>
      </c>
      <c r="R242" s="14">
        <f>IF(F242="","",IF(OR(I242="",O242=""),0,I242*O242))</f>
        <v/>
      </c>
      <c r="S242" s="14">
        <f>IF(F242="","",SUMIFS($R$2:$R$500,$A$2:$A$500,A242,$C$2:$C$500,C242))</f>
        <v/>
      </c>
      <c r="T242" s="14">
        <f>IF(F242="","",IF(OR(G242="",I242="",J242=""),"CEK data SKU (nama/lebar/tinggi)",IF(COUNTIFS($F$2:$F$500,F242,$I$2:$I$500,"&lt;&gt;"&amp;I242)+COUNTIFS($F$2:$F$500,F242,$J$2:$J$500,"&lt;&gt;"&amp;J242)&gt;0,"CEK data SKU tidak konsisten",IF(Q242="zona tidak ada di layout","CEK zona_no / jenis_fixture",IF(D242&lt;&gt;Q242,"CEK jenis_zona",IF(S242&gt;IFERROR(INDEX(LAYOUT!$C$2:$C$33,MATCH(B242,LAYOUT!$A$2:$A$33,0)),0),"CEK lebar zona melebihi fixture","OK")))))</f>
        <v/>
      </c>
    </row>
    <row r="243">
      <c r="A243" s="15" t="n"/>
      <c r="B243" s="15" t="n"/>
      <c r="C243" s="16" t="n"/>
      <c r="D243" s="15" t="n"/>
      <c r="E243" s="16" t="n"/>
      <c r="F243" s="17" t="n"/>
      <c r="G243" s="15" t="n"/>
      <c r="H243" s="15" t="n"/>
      <c r="I243" s="16" t="n"/>
      <c r="J243" s="16" t="n"/>
      <c r="K243" s="16" t="n"/>
      <c r="L243" s="16" t="n"/>
      <c r="M243" s="16" t="n"/>
      <c r="N243" s="15" t="n"/>
      <c r="O243" s="16" t="n"/>
      <c r="P243" s="16" t="n"/>
      <c r="Q243" s="13">
        <f>IF(OR(B243="",C243=""),"",IFERROR(INDEX(LAYOUT!$E$2:$E$33,MATCH(B243&amp;"|"&amp;C243,LAYOUT!$F$2:$F$33,0)),"zona tidak ada di layout"))</f>
        <v/>
      </c>
      <c r="R243" s="14">
        <f>IF(F243="","",IF(OR(I243="",O243=""),0,I243*O243))</f>
        <v/>
      </c>
      <c r="S243" s="14">
        <f>IF(F243="","",SUMIFS($R$2:$R$500,$A$2:$A$500,A243,$C$2:$C$500,C243))</f>
        <v/>
      </c>
      <c r="T243" s="14">
        <f>IF(F243="","",IF(OR(G243="",I243="",J243=""),"CEK data SKU (nama/lebar/tinggi)",IF(COUNTIFS($F$2:$F$500,F243,$I$2:$I$500,"&lt;&gt;"&amp;I243)+COUNTIFS($F$2:$F$500,F243,$J$2:$J$500,"&lt;&gt;"&amp;J243)&gt;0,"CEK data SKU tidak konsisten",IF(Q243="zona tidak ada di layout","CEK zona_no / jenis_fixture",IF(D243&lt;&gt;Q243,"CEK jenis_zona",IF(S243&gt;IFERROR(INDEX(LAYOUT!$C$2:$C$33,MATCH(B243,LAYOUT!$A$2:$A$33,0)),0),"CEK lebar zona melebihi fixture","OK")))))</f>
        <v/>
      </c>
    </row>
    <row r="244">
      <c r="A244" s="15" t="n"/>
      <c r="B244" s="15" t="n"/>
      <c r="C244" s="16" t="n"/>
      <c r="D244" s="15" t="n"/>
      <c r="E244" s="16" t="n"/>
      <c r="F244" s="17" t="n"/>
      <c r="G244" s="15" t="n"/>
      <c r="H244" s="15" t="n"/>
      <c r="I244" s="16" t="n"/>
      <c r="J244" s="16" t="n"/>
      <c r="K244" s="16" t="n"/>
      <c r="L244" s="16" t="n"/>
      <c r="M244" s="16" t="n"/>
      <c r="N244" s="15" t="n"/>
      <c r="O244" s="16" t="n"/>
      <c r="P244" s="16" t="n"/>
      <c r="Q244" s="13">
        <f>IF(OR(B244="",C244=""),"",IFERROR(INDEX(LAYOUT!$E$2:$E$33,MATCH(B244&amp;"|"&amp;C244,LAYOUT!$F$2:$F$33,0)),"zona tidak ada di layout"))</f>
        <v/>
      </c>
      <c r="R244" s="14">
        <f>IF(F244="","",IF(OR(I244="",O244=""),0,I244*O244))</f>
        <v/>
      </c>
      <c r="S244" s="14">
        <f>IF(F244="","",SUMIFS($R$2:$R$500,$A$2:$A$500,A244,$C$2:$C$500,C244))</f>
        <v/>
      </c>
      <c r="T244" s="14">
        <f>IF(F244="","",IF(OR(G244="",I244="",J244=""),"CEK data SKU (nama/lebar/tinggi)",IF(COUNTIFS($F$2:$F$500,F244,$I$2:$I$500,"&lt;&gt;"&amp;I244)+COUNTIFS($F$2:$F$500,F244,$J$2:$J$500,"&lt;&gt;"&amp;J244)&gt;0,"CEK data SKU tidak konsisten",IF(Q244="zona tidak ada di layout","CEK zona_no / jenis_fixture",IF(D244&lt;&gt;Q244,"CEK jenis_zona",IF(S244&gt;IFERROR(INDEX(LAYOUT!$C$2:$C$33,MATCH(B244,LAYOUT!$A$2:$A$33,0)),0),"CEK lebar zona melebihi fixture","OK")))))</f>
        <v/>
      </c>
    </row>
    <row r="245">
      <c r="A245" s="15" t="n"/>
      <c r="B245" s="15" t="n"/>
      <c r="C245" s="16" t="n"/>
      <c r="D245" s="15" t="n"/>
      <c r="E245" s="16" t="n"/>
      <c r="F245" s="17" t="n"/>
      <c r="G245" s="15" t="n"/>
      <c r="H245" s="15" t="n"/>
      <c r="I245" s="16" t="n"/>
      <c r="J245" s="16" t="n"/>
      <c r="K245" s="16" t="n"/>
      <c r="L245" s="16" t="n"/>
      <c r="M245" s="16" t="n"/>
      <c r="N245" s="15" t="n"/>
      <c r="O245" s="16" t="n"/>
      <c r="P245" s="16" t="n"/>
      <c r="Q245" s="13">
        <f>IF(OR(B245="",C245=""),"",IFERROR(INDEX(LAYOUT!$E$2:$E$33,MATCH(B245&amp;"|"&amp;C245,LAYOUT!$F$2:$F$33,0)),"zona tidak ada di layout"))</f>
        <v/>
      </c>
      <c r="R245" s="14">
        <f>IF(F245="","",IF(OR(I245="",O245=""),0,I245*O245))</f>
        <v/>
      </c>
      <c r="S245" s="14">
        <f>IF(F245="","",SUMIFS($R$2:$R$500,$A$2:$A$500,A245,$C$2:$C$500,C245))</f>
        <v/>
      </c>
      <c r="T245" s="14">
        <f>IF(F245="","",IF(OR(G245="",I245="",J245=""),"CEK data SKU (nama/lebar/tinggi)",IF(COUNTIFS($F$2:$F$500,F245,$I$2:$I$500,"&lt;&gt;"&amp;I245)+COUNTIFS($F$2:$F$500,F245,$J$2:$J$500,"&lt;&gt;"&amp;J245)&gt;0,"CEK data SKU tidak konsisten",IF(Q245="zona tidak ada di layout","CEK zona_no / jenis_fixture",IF(D245&lt;&gt;Q245,"CEK jenis_zona",IF(S245&gt;IFERROR(INDEX(LAYOUT!$C$2:$C$33,MATCH(B245,LAYOUT!$A$2:$A$33,0)),0),"CEK lebar zona melebihi fixture","OK")))))</f>
        <v/>
      </c>
    </row>
    <row r="246">
      <c r="A246" s="15" t="n"/>
      <c r="B246" s="15" t="n"/>
      <c r="C246" s="16" t="n"/>
      <c r="D246" s="15" t="n"/>
      <c r="E246" s="16" t="n"/>
      <c r="F246" s="17" t="n"/>
      <c r="G246" s="15" t="n"/>
      <c r="H246" s="15" t="n"/>
      <c r="I246" s="16" t="n"/>
      <c r="J246" s="16" t="n"/>
      <c r="K246" s="16" t="n"/>
      <c r="L246" s="16" t="n"/>
      <c r="M246" s="16" t="n"/>
      <c r="N246" s="15" t="n"/>
      <c r="O246" s="16" t="n"/>
      <c r="P246" s="16" t="n"/>
      <c r="Q246" s="13">
        <f>IF(OR(B246="",C246=""),"",IFERROR(INDEX(LAYOUT!$E$2:$E$33,MATCH(B246&amp;"|"&amp;C246,LAYOUT!$F$2:$F$33,0)),"zona tidak ada di layout"))</f>
        <v/>
      </c>
      <c r="R246" s="14">
        <f>IF(F246="","",IF(OR(I246="",O246=""),0,I246*O246))</f>
        <v/>
      </c>
      <c r="S246" s="14">
        <f>IF(F246="","",SUMIFS($R$2:$R$500,$A$2:$A$500,A246,$C$2:$C$500,C246))</f>
        <v/>
      </c>
      <c r="T246" s="14">
        <f>IF(F246="","",IF(OR(G246="",I246="",J246=""),"CEK data SKU (nama/lebar/tinggi)",IF(COUNTIFS($F$2:$F$500,F246,$I$2:$I$500,"&lt;&gt;"&amp;I246)+COUNTIFS($F$2:$F$500,F246,$J$2:$J$500,"&lt;&gt;"&amp;J246)&gt;0,"CEK data SKU tidak konsisten",IF(Q246="zona tidak ada di layout","CEK zona_no / jenis_fixture",IF(D246&lt;&gt;Q246,"CEK jenis_zona",IF(S246&gt;IFERROR(INDEX(LAYOUT!$C$2:$C$33,MATCH(B246,LAYOUT!$A$2:$A$33,0)),0),"CEK lebar zona melebihi fixture","OK")))))</f>
        <v/>
      </c>
    </row>
    <row r="247">
      <c r="A247" s="15" t="n"/>
      <c r="B247" s="15" t="n"/>
      <c r="C247" s="16" t="n"/>
      <c r="D247" s="15" t="n"/>
      <c r="E247" s="16" t="n"/>
      <c r="F247" s="17" t="n"/>
      <c r="G247" s="15" t="n"/>
      <c r="H247" s="15" t="n"/>
      <c r="I247" s="16" t="n"/>
      <c r="J247" s="16" t="n"/>
      <c r="K247" s="16" t="n"/>
      <c r="L247" s="16" t="n"/>
      <c r="M247" s="16" t="n"/>
      <c r="N247" s="15" t="n"/>
      <c r="O247" s="16" t="n"/>
      <c r="P247" s="16" t="n"/>
      <c r="Q247" s="13">
        <f>IF(OR(B247="",C247=""),"",IFERROR(INDEX(LAYOUT!$E$2:$E$33,MATCH(B247&amp;"|"&amp;C247,LAYOUT!$F$2:$F$33,0)),"zona tidak ada di layout"))</f>
        <v/>
      </c>
      <c r="R247" s="14">
        <f>IF(F247="","",IF(OR(I247="",O247=""),0,I247*O247))</f>
        <v/>
      </c>
      <c r="S247" s="14">
        <f>IF(F247="","",SUMIFS($R$2:$R$500,$A$2:$A$500,A247,$C$2:$C$500,C247))</f>
        <v/>
      </c>
      <c r="T247" s="14">
        <f>IF(F247="","",IF(OR(G247="",I247="",J247=""),"CEK data SKU (nama/lebar/tinggi)",IF(COUNTIFS($F$2:$F$500,F247,$I$2:$I$500,"&lt;&gt;"&amp;I247)+COUNTIFS($F$2:$F$500,F247,$J$2:$J$500,"&lt;&gt;"&amp;J247)&gt;0,"CEK data SKU tidak konsisten",IF(Q247="zona tidak ada di layout","CEK zona_no / jenis_fixture",IF(D247&lt;&gt;Q247,"CEK jenis_zona",IF(S247&gt;IFERROR(INDEX(LAYOUT!$C$2:$C$33,MATCH(B247,LAYOUT!$A$2:$A$33,0)),0),"CEK lebar zona melebihi fixture","OK")))))</f>
        <v/>
      </c>
    </row>
    <row r="248">
      <c r="A248" s="15" t="n"/>
      <c r="B248" s="15" t="n"/>
      <c r="C248" s="16" t="n"/>
      <c r="D248" s="15" t="n"/>
      <c r="E248" s="16" t="n"/>
      <c r="F248" s="17" t="n"/>
      <c r="G248" s="15" t="n"/>
      <c r="H248" s="15" t="n"/>
      <c r="I248" s="16" t="n"/>
      <c r="J248" s="16" t="n"/>
      <c r="K248" s="16" t="n"/>
      <c r="L248" s="16" t="n"/>
      <c r="M248" s="16" t="n"/>
      <c r="N248" s="15" t="n"/>
      <c r="O248" s="16" t="n"/>
      <c r="P248" s="16" t="n"/>
      <c r="Q248" s="13">
        <f>IF(OR(B248="",C248=""),"",IFERROR(INDEX(LAYOUT!$E$2:$E$33,MATCH(B248&amp;"|"&amp;C248,LAYOUT!$F$2:$F$33,0)),"zona tidak ada di layout"))</f>
        <v/>
      </c>
      <c r="R248" s="14">
        <f>IF(F248="","",IF(OR(I248="",O248=""),0,I248*O248))</f>
        <v/>
      </c>
      <c r="S248" s="14">
        <f>IF(F248="","",SUMIFS($R$2:$R$500,$A$2:$A$500,A248,$C$2:$C$500,C248))</f>
        <v/>
      </c>
      <c r="T248" s="14">
        <f>IF(F248="","",IF(OR(G248="",I248="",J248=""),"CEK data SKU (nama/lebar/tinggi)",IF(COUNTIFS($F$2:$F$500,F248,$I$2:$I$500,"&lt;&gt;"&amp;I248)+COUNTIFS($F$2:$F$500,F248,$J$2:$J$500,"&lt;&gt;"&amp;J248)&gt;0,"CEK data SKU tidak konsisten",IF(Q248="zona tidak ada di layout","CEK zona_no / jenis_fixture",IF(D248&lt;&gt;Q248,"CEK jenis_zona",IF(S248&gt;IFERROR(INDEX(LAYOUT!$C$2:$C$33,MATCH(B248,LAYOUT!$A$2:$A$33,0)),0),"CEK lebar zona melebihi fixture","OK")))))</f>
        <v/>
      </c>
    </row>
    <row r="249">
      <c r="A249" s="15" t="n"/>
      <c r="B249" s="15" t="n"/>
      <c r="C249" s="16" t="n"/>
      <c r="D249" s="15" t="n"/>
      <c r="E249" s="16" t="n"/>
      <c r="F249" s="17" t="n"/>
      <c r="G249" s="15" t="n"/>
      <c r="H249" s="15" t="n"/>
      <c r="I249" s="16" t="n"/>
      <c r="J249" s="16" t="n"/>
      <c r="K249" s="16" t="n"/>
      <c r="L249" s="16" t="n"/>
      <c r="M249" s="16" t="n"/>
      <c r="N249" s="15" t="n"/>
      <c r="O249" s="16" t="n"/>
      <c r="P249" s="16" t="n"/>
      <c r="Q249" s="13">
        <f>IF(OR(B249="",C249=""),"",IFERROR(INDEX(LAYOUT!$E$2:$E$33,MATCH(B249&amp;"|"&amp;C249,LAYOUT!$F$2:$F$33,0)),"zona tidak ada di layout"))</f>
        <v/>
      </c>
      <c r="R249" s="14">
        <f>IF(F249="","",IF(OR(I249="",O249=""),0,I249*O249))</f>
        <v/>
      </c>
      <c r="S249" s="14">
        <f>IF(F249="","",SUMIFS($R$2:$R$500,$A$2:$A$500,A249,$C$2:$C$500,C249))</f>
        <v/>
      </c>
      <c r="T249" s="14">
        <f>IF(F249="","",IF(OR(G249="",I249="",J249=""),"CEK data SKU (nama/lebar/tinggi)",IF(COUNTIFS($F$2:$F$500,F249,$I$2:$I$500,"&lt;&gt;"&amp;I249)+COUNTIFS($F$2:$F$500,F249,$J$2:$J$500,"&lt;&gt;"&amp;J249)&gt;0,"CEK data SKU tidak konsisten",IF(Q249="zona tidak ada di layout","CEK zona_no / jenis_fixture",IF(D249&lt;&gt;Q249,"CEK jenis_zona",IF(S249&gt;IFERROR(INDEX(LAYOUT!$C$2:$C$33,MATCH(B249,LAYOUT!$A$2:$A$33,0)),0),"CEK lebar zona melebihi fixture","OK")))))</f>
        <v/>
      </c>
    </row>
    <row r="250">
      <c r="A250" s="15" t="n"/>
      <c r="B250" s="15" t="n"/>
      <c r="C250" s="16" t="n"/>
      <c r="D250" s="15" t="n"/>
      <c r="E250" s="16" t="n"/>
      <c r="F250" s="17" t="n"/>
      <c r="G250" s="15" t="n"/>
      <c r="H250" s="15" t="n"/>
      <c r="I250" s="16" t="n"/>
      <c r="J250" s="16" t="n"/>
      <c r="K250" s="16" t="n"/>
      <c r="L250" s="16" t="n"/>
      <c r="M250" s="16" t="n"/>
      <c r="N250" s="15" t="n"/>
      <c r="O250" s="16" t="n"/>
      <c r="P250" s="16" t="n"/>
      <c r="Q250" s="13">
        <f>IF(OR(B250="",C250=""),"",IFERROR(INDEX(LAYOUT!$E$2:$E$33,MATCH(B250&amp;"|"&amp;C250,LAYOUT!$F$2:$F$33,0)),"zona tidak ada di layout"))</f>
        <v/>
      </c>
      <c r="R250" s="14">
        <f>IF(F250="","",IF(OR(I250="",O250=""),0,I250*O250))</f>
        <v/>
      </c>
      <c r="S250" s="14">
        <f>IF(F250="","",SUMIFS($R$2:$R$500,$A$2:$A$500,A250,$C$2:$C$500,C250))</f>
        <v/>
      </c>
      <c r="T250" s="14">
        <f>IF(F250="","",IF(OR(G250="",I250="",J250=""),"CEK data SKU (nama/lebar/tinggi)",IF(COUNTIFS($F$2:$F$500,F250,$I$2:$I$500,"&lt;&gt;"&amp;I250)+COUNTIFS($F$2:$F$500,F250,$J$2:$J$500,"&lt;&gt;"&amp;J250)&gt;0,"CEK data SKU tidak konsisten",IF(Q250="zona tidak ada di layout","CEK zona_no / jenis_fixture",IF(D250&lt;&gt;Q250,"CEK jenis_zona",IF(S250&gt;IFERROR(INDEX(LAYOUT!$C$2:$C$33,MATCH(B250,LAYOUT!$A$2:$A$33,0)),0),"CEK lebar zona melebihi fixture","OK")))))</f>
        <v/>
      </c>
    </row>
    <row r="251">
      <c r="A251" s="15" t="n"/>
      <c r="B251" s="15" t="n"/>
      <c r="C251" s="16" t="n"/>
      <c r="D251" s="15" t="n"/>
      <c r="E251" s="16" t="n"/>
      <c r="F251" s="17" t="n"/>
      <c r="G251" s="15" t="n"/>
      <c r="H251" s="15" t="n"/>
      <c r="I251" s="16" t="n"/>
      <c r="J251" s="16" t="n"/>
      <c r="K251" s="16" t="n"/>
      <c r="L251" s="16" t="n"/>
      <c r="M251" s="16" t="n"/>
      <c r="N251" s="15" t="n"/>
      <c r="O251" s="16" t="n"/>
      <c r="P251" s="16" t="n"/>
      <c r="Q251" s="13">
        <f>IF(OR(B251="",C251=""),"",IFERROR(INDEX(LAYOUT!$E$2:$E$33,MATCH(B251&amp;"|"&amp;C251,LAYOUT!$F$2:$F$33,0)),"zona tidak ada di layout"))</f>
        <v/>
      </c>
      <c r="R251" s="14">
        <f>IF(F251="","",IF(OR(I251="",O251=""),0,I251*O251))</f>
        <v/>
      </c>
      <c r="S251" s="14">
        <f>IF(F251="","",SUMIFS($R$2:$R$500,$A$2:$A$500,A251,$C$2:$C$500,C251))</f>
        <v/>
      </c>
      <c r="T251" s="14">
        <f>IF(F251="","",IF(OR(G251="",I251="",J251=""),"CEK data SKU (nama/lebar/tinggi)",IF(COUNTIFS($F$2:$F$500,F251,$I$2:$I$500,"&lt;&gt;"&amp;I251)+COUNTIFS($F$2:$F$500,F251,$J$2:$J$500,"&lt;&gt;"&amp;J251)&gt;0,"CEK data SKU tidak konsisten",IF(Q251="zona tidak ada di layout","CEK zona_no / jenis_fixture",IF(D251&lt;&gt;Q251,"CEK jenis_zona",IF(S251&gt;IFERROR(INDEX(LAYOUT!$C$2:$C$33,MATCH(B251,LAYOUT!$A$2:$A$33,0)),0),"CEK lebar zona melebihi fixture","OK")))))</f>
        <v/>
      </c>
    </row>
    <row r="252">
      <c r="A252" s="15" t="n"/>
      <c r="B252" s="15" t="n"/>
      <c r="C252" s="16" t="n"/>
      <c r="D252" s="15" t="n"/>
      <c r="E252" s="16" t="n"/>
      <c r="F252" s="17" t="n"/>
      <c r="G252" s="15" t="n"/>
      <c r="H252" s="15" t="n"/>
      <c r="I252" s="16" t="n"/>
      <c r="J252" s="16" t="n"/>
      <c r="K252" s="16" t="n"/>
      <c r="L252" s="16" t="n"/>
      <c r="M252" s="16" t="n"/>
      <c r="N252" s="15" t="n"/>
      <c r="O252" s="16" t="n"/>
      <c r="P252" s="16" t="n"/>
      <c r="Q252" s="13">
        <f>IF(OR(B252="",C252=""),"",IFERROR(INDEX(LAYOUT!$E$2:$E$33,MATCH(B252&amp;"|"&amp;C252,LAYOUT!$F$2:$F$33,0)),"zona tidak ada di layout"))</f>
        <v/>
      </c>
      <c r="R252" s="14">
        <f>IF(F252="","",IF(OR(I252="",O252=""),0,I252*O252))</f>
        <v/>
      </c>
      <c r="S252" s="14">
        <f>IF(F252="","",SUMIFS($R$2:$R$500,$A$2:$A$500,A252,$C$2:$C$500,C252))</f>
        <v/>
      </c>
      <c r="T252" s="14">
        <f>IF(F252="","",IF(OR(G252="",I252="",J252=""),"CEK data SKU (nama/lebar/tinggi)",IF(COUNTIFS($F$2:$F$500,F252,$I$2:$I$500,"&lt;&gt;"&amp;I252)+COUNTIFS($F$2:$F$500,F252,$J$2:$J$500,"&lt;&gt;"&amp;J252)&gt;0,"CEK data SKU tidak konsisten",IF(Q252="zona tidak ada di layout","CEK zona_no / jenis_fixture",IF(D252&lt;&gt;Q252,"CEK jenis_zona",IF(S252&gt;IFERROR(INDEX(LAYOUT!$C$2:$C$33,MATCH(B252,LAYOUT!$A$2:$A$33,0)),0),"CEK lebar zona melebihi fixture","OK")))))</f>
        <v/>
      </c>
    </row>
    <row r="253">
      <c r="A253" s="15" t="n"/>
      <c r="B253" s="15" t="n"/>
      <c r="C253" s="16" t="n"/>
      <c r="D253" s="15" t="n"/>
      <c r="E253" s="16" t="n"/>
      <c r="F253" s="17" t="n"/>
      <c r="G253" s="15" t="n"/>
      <c r="H253" s="15" t="n"/>
      <c r="I253" s="16" t="n"/>
      <c r="J253" s="16" t="n"/>
      <c r="K253" s="16" t="n"/>
      <c r="L253" s="16" t="n"/>
      <c r="M253" s="16" t="n"/>
      <c r="N253" s="15" t="n"/>
      <c r="O253" s="16" t="n"/>
      <c r="P253" s="16" t="n"/>
      <c r="Q253" s="13">
        <f>IF(OR(B253="",C253=""),"",IFERROR(INDEX(LAYOUT!$E$2:$E$33,MATCH(B253&amp;"|"&amp;C253,LAYOUT!$F$2:$F$33,0)),"zona tidak ada di layout"))</f>
        <v/>
      </c>
      <c r="R253" s="14">
        <f>IF(F253="","",IF(OR(I253="",O253=""),0,I253*O253))</f>
        <v/>
      </c>
      <c r="S253" s="14">
        <f>IF(F253="","",SUMIFS($R$2:$R$500,$A$2:$A$500,A253,$C$2:$C$500,C253))</f>
        <v/>
      </c>
      <c r="T253" s="14">
        <f>IF(F253="","",IF(OR(G253="",I253="",J253=""),"CEK data SKU (nama/lebar/tinggi)",IF(COUNTIFS($F$2:$F$500,F253,$I$2:$I$500,"&lt;&gt;"&amp;I253)+COUNTIFS($F$2:$F$500,F253,$J$2:$J$500,"&lt;&gt;"&amp;J253)&gt;0,"CEK data SKU tidak konsisten",IF(Q253="zona tidak ada di layout","CEK zona_no / jenis_fixture",IF(D253&lt;&gt;Q253,"CEK jenis_zona",IF(S253&gt;IFERROR(INDEX(LAYOUT!$C$2:$C$33,MATCH(B253,LAYOUT!$A$2:$A$33,0)),0),"CEK lebar zona melebihi fixture","OK")))))</f>
        <v/>
      </c>
    </row>
    <row r="254">
      <c r="A254" s="15" t="n"/>
      <c r="B254" s="15" t="n"/>
      <c r="C254" s="16" t="n"/>
      <c r="D254" s="15" t="n"/>
      <c r="E254" s="16" t="n"/>
      <c r="F254" s="17" t="n"/>
      <c r="G254" s="15" t="n"/>
      <c r="H254" s="15" t="n"/>
      <c r="I254" s="16" t="n"/>
      <c r="J254" s="16" t="n"/>
      <c r="K254" s="16" t="n"/>
      <c r="L254" s="16" t="n"/>
      <c r="M254" s="16" t="n"/>
      <c r="N254" s="15" t="n"/>
      <c r="O254" s="16" t="n"/>
      <c r="P254" s="16" t="n"/>
      <c r="Q254" s="13">
        <f>IF(OR(B254="",C254=""),"",IFERROR(INDEX(LAYOUT!$E$2:$E$33,MATCH(B254&amp;"|"&amp;C254,LAYOUT!$F$2:$F$33,0)),"zona tidak ada di layout"))</f>
        <v/>
      </c>
      <c r="R254" s="14">
        <f>IF(F254="","",IF(OR(I254="",O254=""),0,I254*O254))</f>
        <v/>
      </c>
      <c r="S254" s="14">
        <f>IF(F254="","",SUMIFS($R$2:$R$500,$A$2:$A$500,A254,$C$2:$C$500,C254))</f>
        <v/>
      </c>
      <c r="T254" s="14">
        <f>IF(F254="","",IF(OR(G254="",I254="",J254=""),"CEK data SKU (nama/lebar/tinggi)",IF(COUNTIFS($F$2:$F$500,F254,$I$2:$I$500,"&lt;&gt;"&amp;I254)+COUNTIFS($F$2:$F$500,F254,$J$2:$J$500,"&lt;&gt;"&amp;J254)&gt;0,"CEK data SKU tidak konsisten",IF(Q254="zona tidak ada di layout","CEK zona_no / jenis_fixture",IF(D254&lt;&gt;Q254,"CEK jenis_zona",IF(S254&gt;IFERROR(INDEX(LAYOUT!$C$2:$C$33,MATCH(B254,LAYOUT!$A$2:$A$33,0)),0),"CEK lebar zona melebihi fixture","OK")))))</f>
        <v/>
      </c>
    </row>
    <row r="255">
      <c r="A255" s="15" t="n"/>
      <c r="B255" s="15" t="n"/>
      <c r="C255" s="16" t="n"/>
      <c r="D255" s="15" t="n"/>
      <c r="E255" s="16" t="n"/>
      <c r="F255" s="17" t="n"/>
      <c r="G255" s="15" t="n"/>
      <c r="H255" s="15" t="n"/>
      <c r="I255" s="16" t="n"/>
      <c r="J255" s="16" t="n"/>
      <c r="K255" s="16" t="n"/>
      <c r="L255" s="16" t="n"/>
      <c r="M255" s="16" t="n"/>
      <c r="N255" s="15" t="n"/>
      <c r="O255" s="16" t="n"/>
      <c r="P255" s="16" t="n"/>
      <c r="Q255" s="13">
        <f>IF(OR(B255="",C255=""),"",IFERROR(INDEX(LAYOUT!$E$2:$E$33,MATCH(B255&amp;"|"&amp;C255,LAYOUT!$F$2:$F$33,0)),"zona tidak ada di layout"))</f>
        <v/>
      </c>
      <c r="R255" s="14">
        <f>IF(F255="","",IF(OR(I255="",O255=""),0,I255*O255))</f>
        <v/>
      </c>
      <c r="S255" s="14">
        <f>IF(F255="","",SUMIFS($R$2:$R$500,$A$2:$A$500,A255,$C$2:$C$500,C255))</f>
        <v/>
      </c>
      <c r="T255" s="14">
        <f>IF(F255="","",IF(OR(G255="",I255="",J255=""),"CEK data SKU (nama/lebar/tinggi)",IF(COUNTIFS($F$2:$F$500,F255,$I$2:$I$500,"&lt;&gt;"&amp;I255)+COUNTIFS($F$2:$F$500,F255,$J$2:$J$500,"&lt;&gt;"&amp;J255)&gt;0,"CEK data SKU tidak konsisten",IF(Q255="zona tidak ada di layout","CEK zona_no / jenis_fixture",IF(D255&lt;&gt;Q255,"CEK jenis_zona",IF(S255&gt;IFERROR(INDEX(LAYOUT!$C$2:$C$33,MATCH(B255,LAYOUT!$A$2:$A$33,0)),0),"CEK lebar zona melebihi fixture","OK")))))</f>
        <v/>
      </c>
    </row>
    <row r="256">
      <c r="A256" s="15" t="n"/>
      <c r="B256" s="15" t="n"/>
      <c r="C256" s="16" t="n"/>
      <c r="D256" s="15" t="n"/>
      <c r="E256" s="16" t="n"/>
      <c r="F256" s="17" t="n"/>
      <c r="G256" s="15" t="n"/>
      <c r="H256" s="15" t="n"/>
      <c r="I256" s="16" t="n"/>
      <c r="J256" s="16" t="n"/>
      <c r="K256" s="16" t="n"/>
      <c r="L256" s="16" t="n"/>
      <c r="M256" s="16" t="n"/>
      <c r="N256" s="15" t="n"/>
      <c r="O256" s="16" t="n"/>
      <c r="P256" s="16" t="n"/>
      <c r="Q256" s="13">
        <f>IF(OR(B256="",C256=""),"",IFERROR(INDEX(LAYOUT!$E$2:$E$33,MATCH(B256&amp;"|"&amp;C256,LAYOUT!$F$2:$F$33,0)),"zona tidak ada di layout"))</f>
        <v/>
      </c>
      <c r="R256" s="14">
        <f>IF(F256="","",IF(OR(I256="",O256=""),0,I256*O256))</f>
        <v/>
      </c>
      <c r="S256" s="14">
        <f>IF(F256="","",SUMIFS($R$2:$R$500,$A$2:$A$500,A256,$C$2:$C$500,C256))</f>
        <v/>
      </c>
      <c r="T256" s="14">
        <f>IF(F256="","",IF(OR(G256="",I256="",J256=""),"CEK data SKU (nama/lebar/tinggi)",IF(COUNTIFS($F$2:$F$500,F256,$I$2:$I$500,"&lt;&gt;"&amp;I256)+COUNTIFS($F$2:$F$500,F256,$J$2:$J$500,"&lt;&gt;"&amp;J256)&gt;0,"CEK data SKU tidak konsisten",IF(Q256="zona tidak ada di layout","CEK zona_no / jenis_fixture",IF(D256&lt;&gt;Q256,"CEK jenis_zona",IF(S256&gt;IFERROR(INDEX(LAYOUT!$C$2:$C$33,MATCH(B256,LAYOUT!$A$2:$A$33,0)),0),"CEK lebar zona melebihi fixture","OK")))))</f>
        <v/>
      </c>
    </row>
    <row r="257">
      <c r="A257" s="15" t="n"/>
      <c r="B257" s="15" t="n"/>
      <c r="C257" s="16" t="n"/>
      <c r="D257" s="15" t="n"/>
      <c r="E257" s="16" t="n"/>
      <c r="F257" s="17" t="n"/>
      <c r="G257" s="15" t="n"/>
      <c r="H257" s="15" t="n"/>
      <c r="I257" s="16" t="n"/>
      <c r="J257" s="16" t="n"/>
      <c r="K257" s="16" t="n"/>
      <c r="L257" s="16" t="n"/>
      <c r="M257" s="16" t="n"/>
      <c r="N257" s="15" t="n"/>
      <c r="O257" s="16" t="n"/>
      <c r="P257" s="16" t="n"/>
      <c r="Q257" s="13">
        <f>IF(OR(B257="",C257=""),"",IFERROR(INDEX(LAYOUT!$E$2:$E$33,MATCH(B257&amp;"|"&amp;C257,LAYOUT!$F$2:$F$33,0)),"zona tidak ada di layout"))</f>
        <v/>
      </c>
      <c r="R257" s="14">
        <f>IF(F257="","",IF(OR(I257="",O257=""),0,I257*O257))</f>
        <v/>
      </c>
      <c r="S257" s="14">
        <f>IF(F257="","",SUMIFS($R$2:$R$500,$A$2:$A$500,A257,$C$2:$C$500,C257))</f>
        <v/>
      </c>
      <c r="T257" s="14">
        <f>IF(F257="","",IF(OR(G257="",I257="",J257=""),"CEK data SKU (nama/lebar/tinggi)",IF(COUNTIFS($F$2:$F$500,F257,$I$2:$I$500,"&lt;&gt;"&amp;I257)+COUNTIFS($F$2:$F$500,F257,$J$2:$J$500,"&lt;&gt;"&amp;J257)&gt;0,"CEK data SKU tidak konsisten",IF(Q257="zona tidak ada di layout","CEK zona_no / jenis_fixture",IF(D257&lt;&gt;Q257,"CEK jenis_zona",IF(S257&gt;IFERROR(INDEX(LAYOUT!$C$2:$C$33,MATCH(B257,LAYOUT!$A$2:$A$33,0)),0),"CEK lebar zona melebihi fixture","OK")))))</f>
        <v/>
      </c>
    </row>
    <row r="258">
      <c r="A258" s="15" t="n"/>
      <c r="B258" s="15" t="n"/>
      <c r="C258" s="16" t="n"/>
      <c r="D258" s="15" t="n"/>
      <c r="E258" s="16" t="n"/>
      <c r="F258" s="17" t="n"/>
      <c r="G258" s="15" t="n"/>
      <c r="H258" s="15" t="n"/>
      <c r="I258" s="16" t="n"/>
      <c r="J258" s="16" t="n"/>
      <c r="K258" s="16" t="n"/>
      <c r="L258" s="16" t="n"/>
      <c r="M258" s="16" t="n"/>
      <c r="N258" s="15" t="n"/>
      <c r="O258" s="16" t="n"/>
      <c r="P258" s="16" t="n"/>
      <c r="Q258" s="13">
        <f>IF(OR(B258="",C258=""),"",IFERROR(INDEX(LAYOUT!$E$2:$E$33,MATCH(B258&amp;"|"&amp;C258,LAYOUT!$F$2:$F$33,0)),"zona tidak ada di layout"))</f>
        <v/>
      </c>
      <c r="R258" s="14">
        <f>IF(F258="","",IF(OR(I258="",O258=""),0,I258*O258))</f>
        <v/>
      </c>
      <c r="S258" s="14">
        <f>IF(F258="","",SUMIFS($R$2:$R$500,$A$2:$A$500,A258,$C$2:$C$500,C258))</f>
        <v/>
      </c>
      <c r="T258" s="14">
        <f>IF(F258="","",IF(OR(G258="",I258="",J258=""),"CEK data SKU (nama/lebar/tinggi)",IF(COUNTIFS($F$2:$F$500,F258,$I$2:$I$500,"&lt;&gt;"&amp;I258)+COUNTIFS($F$2:$F$500,F258,$J$2:$J$500,"&lt;&gt;"&amp;J258)&gt;0,"CEK data SKU tidak konsisten",IF(Q258="zona tidak ada di layout","CEK zona_no / jenis_fixture",IF(D258&lt;&gt;Q258,"CEK jenis_zona",IF(S258&gt;IFERROR(INDEX(LAYOUT!$C$2:$C$33,MATCH(B258,LAYOUT!$A$2:$A$33,0)),0),"CEK lebar zona melebihi fixture","OK")))))</f>
        <v/>
      </c>
    </row>
    <row r="259">
      <c r="A259" s="15" t="n"/>
      <c r="B259" s="15" t="n"/>
      <c r="C259" s="16" t="n"/>
      <c r="D259" s="15" t="n"/>
      <c r="E259" s="16" t="n"/>
      <c r="F259" s="17" t="n"/>
      <c r="G259" s="15" t="n"/>
      <c r="H259" s="15" t="n"/>
      <c r="I259" s="16" t="n"/>
      <c r="J259" s="16" t="n"/>
      <c r="K259" s="16" t="n"/>
      <c r="L259" s="16" t="n"/>
      <c r="M259" s="16" t="n"/>
      <c r="N259" s="15" t="n"/>
      <c r="O259" s="16" t="n"/>
      <c r="P259" s="16" t="n"/>
      <c r="Q259" s="13">
        <f>IF(OR(B259="",C259=""),"",IFERROR(INDEX(LAYOUT!$E$2:$E$33,MATCH(B259&amp;"|"&amp;C259,LAYOUT!$F$2:$F$33,0)),"zona tidak ada di layout"))</f>
        <v/>
      </c>
      <c r="R259" s="14">
        <f>IF(F259="","",IF(OR(I259="",O259=""),0,I259*O259))</f>
        <v/>
      </c>
      <c r="S259" s="14">
        <f>IF(F259="","",SUMIFS($R$2:$R$500,$A$2:$A$500,A259,$C$2:$C$500,C259))</f>
        <v/>
      </c>
      <c r="T259" s="14">
        <f>IF(F259="","",IF(OR(G259="",I259="",J259=""),"CEK data SKU (nama/lebar/tinggi)",IF(COUNTIFS($F$2:$F$500,F259,$I$2:$I$500,"&lt;&gt;"&amp;I259)+COUNTIFS($F$2:$F$500,F259,$J$2:$J$500,"&lt;&gt;"&amp;J259)&gt;0,"CEK data SKU tidak konsisten",IF(Q259="zona tidak ada di layout","CEK zona_no / jenis_fixture",IF(D259&lt;&gt;Q259,"CEK jenis_zona",IF(S259&gt;IFERROR(INDEX(LAYOUT!$C$2:$C$33,MATCH(B259,LAYOUT!$A$2:$A$33,0)),0),"CEK lebar zona melebihi fixture","OK")))))</f>
        <v/>
      </c>
    </row>
    <row r="260">
      <c r="A260" s="15" t="n"/>
      <c r="B260" s="15" t="n"/>
      <c r="C260" s="16" t="n"/>
      <c r="D260" s="15" t="n"/>
      <c r="E260" s="16" t="n"/>
      <c r="F260" s="17" t="n"/>
      <c r="G260" s="15" t="n"/>
      <c r="H260" s="15" t="n"/>
      <c r="I260" s="16" t="n"/>
      <c r="J260" s="16" t="n"/>
      <c r="K260" s="16" t="n"/>
      <c r="L260" s="16" t="n"/>
      <c r="M260" s="16" t="n"/>
      <c r="N260" s="15" t="n"/>
      <c r="O260" s="16" t="n"/>
      <c r="P260" s="16" t="n"/>
      <c r="Q260" s="13">
        <f>IF(OR(B260="",C260=""),"",IFERROR(INDEX(LAYOUT!$E$2:$E$33,MATCH(B260&amp;"|"&amp;C260,LAYOUT!$F$2:$F$33,0)),"zona tidak ada di layout"))</f>
        <v/>
      </c>
      <c r="R260" s="14">
        <f>IF(F260="","",IF(OR(I260="",O260=""),0,I260*O260))</f>
        <v/>
      </c>
      <c r="S260" s="14">
        <f>IF(F260="","",SUMIFS($R$2:$R$500,$A$2:$A$500,A260,$C$2:$C$500,C260))</f>
        <v/>
      </c>
      <c r="T260" s="14">
        <f>IF(F260="","",IF(OR(G260="",I260="",J260=""),"CEK data SKU (nama/lebar/tinggi)",IF(COUNTIFS($F$2:$F$500,F260,$I$2:$I$500,"&lt;&gt;"&amp;I260)+COUNTIFS($F$2:$F$500,F260,$J$2:$J$500,"&lt;&gt;"&amp;J260)&gt;0,"CEK data SKU tidak konsisten",IF(Q260="zona tidak ada di layout","CEK zona_no / jenis_fixture",IF(D260&lt;&gt;Q260,"CEK jenis_zona",IF(S260&gt;IFERROR(INDEX(LAYOUT!$C$2:$C$33,MATCH(B260,LAYOUT!$A$2:$A$33,0)),0),"CEK lebar zona melebihi fixture","OK")))))</f>
        <v/>
      </c>
    </row>
    <row r="261">
      <c r="A261" s="15" t="n"/>
      <c r="B261" s="15" t="n"/>
      <c r="C261" s="16" t="n"/>
      <c r="D261" s="15" t="n"/>
      <c r="E261" s="16" t="n"/>
      <c r="F261" s="17" t="n"/>
      <c r="G261" s="15" t="n"/>
      <c r="H261" s="15" t="n"/>
      <c r="I261" s="16" t="n"/>
      <c r="J261" s="16" t="n"/>
      <c r="K261" s="16" t="n"/>
      <c r="L261" s="16" t="n"/>
      <c r="M261" s="16" t="n"/>
      <c r="N261" s="15" t="n"/>
      <c r="O261" s="16" t="n"/>
      <c r="P261" s="16" t="n"/>
      <c r="Q261" s="13">
        <f>IF(OR(B261="",C261=""),"",IFERROR(INDEX(LAYOUT!$E$2:$E$33,MATCH(B261&amp;"|"&amp;C261,LAYOUT!$F$2:$F$33,0)),"zona tidak ada di layout"))</f>
        <v/>
      </c>
      <c r="R261" s="14">
        <f>IF(F261="","",IF(OR(I261="",O261=""),0,I261*O261))</f>
        <v/>
      </c>
      <c r="S261" s="14">
        <f>IF(F261="","",SUMIFS($R$2:$R$500,$A$2:$A$500,A261,$C$2:$C$500,C261))</f>
        <v/>
      </c>
      <c r="T261" s="14">
        <f>IF(F261="","",IF(OR(G261="",I261="",J261=""),"CEK data SKU (nama/lebar/tinggi)",IF(COUNTIFS($F$2:$F$500,F261,$I$2:$I$500,"&lt;&gt;"&amp;I261)+COUNTIFS($F$2:$F$500,F261,$J$2:$J$500,"&lt;&gt;"&amp;J261)&gt;0,"CEK data SKU tidak konsisten",IF(Q261="zona tidak ada di layout","CEK zona_no / jenis_fixture",IF(D261&lt;&gt;Q261,"CEK jenis_zona",IF(S261&gt;IFERROR(INDEX(LAYOUT!$C$2:$C$33,MATCH(B261,LAYOUT!$A$2:$A$33,0)),0),"CEK lebar zona melebihi fixture","OK")))))</f>
        <v/>
      </c>
    </row>
    <row r="262">
      <c r="A262" s="15" t="n"/>
      <c r="B262" s="15" t="n"/>
      <c r="C262" s="16" t="n"/>
      <c r="D262" s="15" t="n"/>
      <c r="E262" s="16" t="n"/>
      <c r="F262" s="17" t="n"/>
      <c r="G262" s="15" t="n"/>
      <c r="H262" s="15" t="n"/>
      <c r="I262" s="16" t="n"/>
      <c r="J262" s="16" t="n"/>
      <c r="K262" s="16" t="n"/>
      <c r="L262" s="16" t="n"/>
      <c r="M262" s="16" t="n"/>
      <c r="N262" s="15" t="n"/>
      <c r="O262" s="16" t="n"/>
      <c r="P262" s="16" t="n"/>
      <c r="Q262" s="13">
        <f>IF(OR(B262="",C262=""),"",IFERROR(INDEX(LAYOUT!$E$2:$E$33,MATCH(B262&amp;"|"&amp;C262,LAYOUT!$F$2:$F$33,0)),"zona tidak ada di layout"))</f>
        <v/>
      </c>
      <c r="R262" s="14">
        <f>IF(F262="","",IF(OR(I262="",O262=""),0,I262*O262))</f>
        <v/>
      </c>
      <c r="S262" s="14">
        <f>IF(F262="","",SUMIFS($R$2:$R$500,$A$2:$A$500,A262,$C$2:$C$500,C262))</f>
        <v/>
      </c>
      <c r="T262" s="14">
        <f>IF(F262="","",IF(OR(G262="",I262="",J262=""),"CEK data SKU (nama/lebar/tinggi)",IF(COUNTIFS($F$2:$F$500,F262,$I$2:$I$500,"&lt;&gt;"&amp;I262)+COUNTIFS($F$2:$F$500,F262,$J$2:$J$500,"&lt;&gt;"&amp;J262)&gt;0,"CEK data SKU tidak konsisten",IF(Q262="zona tidak ada di layout","CEK zona_no / jenis_fixture",IF(D262&lt;&gt;Q262,"CEK jenis_zona",IF(S262&gt;IFERROR(INDEX(LAYOUT!$C$2:$C$33,MATCH(B262,LAYOUT!$A$2:$A$33,0)),0),"CEK lebar zona melebihi fixture","OK")))))</f>
        <v/>
      </c>
    </row>
    <row r="263">
      <c r="A263" s="15" t="n"/>
      <c r="B263" s="15" t="n"/>
      <c r="C263" s="16" t="n"/>
      <c r="D263" s="15" t="n"/>
      <c r="E263" s="16" t="n"/>
      <c r="F263" s="17" t="n"/>
      <c r="G263" s="15" t="n"/>
      <c r="H263" s="15" t="n"/>
      <c r="I263" s="16" t="n"/>
      <c r="J263" s="16" t="n"/>
      <c r="K263" s="16" t="n"/>
      <c r="L263" s="16" t="n"/>
      <c r="M263" s="16" t="n"/>
      <c r="N263" s="15" t="n"/>
      <c r="O263" s="16" t="n"/>
      <c r="P263" s="16" t="n"/>
      <c r="Q263" s="13">
        <f>IF(OR(B263="",C263=""),"",IFERROR(INDEX(LAYOUT!$E$2:$E$33,MATCH(B263&amp;"|"&amp;C263,LAYOUT!$F$2:$F$33,0)),"zona tidak ada di layout"))</f>
        <v/>
      </c>
      <c r="R263" s="14">
        <f>IF(F263="","",IF(OR(I263="",O263=""),0,I263*O263))</f>
        <v/>
      </c>
      <c r="S263" s="14">
        <f>IF(F263="","",SUMIFS($R$2:$R$500,$A$2:$A$500,A263,$C$2:$C$500,C263))</f>
        <v/>
      </c>
      <c r="T263" s="14">
        <f>IF(F263="","",IF(OR(G263="",I263="",J263=""),"CEK data SKU (nama/lebar/tinggi)",IF(COUNTIFS($F$2:$F$500,F263,$I$2:$I$500,"&lt;&gt;"&amp;I263)+COUNTIFS($F$2:$F$500,F263,$J$2:$J$500,"&lt;&gt;"&amp;J263)&gt;0,"CEK data SKU tidak konsisten",IF(Q263="zona tidak ada di layout","CEK zona_no / jenis_fixture",IF(D263&lt;&gt;Q263,"CEK jenis_zona",IF(S263&gt;IFERROR(INDEX(LAYOUT!$C$2:$C$33,MATCH(B263,LAYOUT!$A$2:$A$33,0)),0),"CEK lebar zona melebihi fixture","OK")))))</f>
        <v/>
      </c>
    </row>
    <row r="264">
      <c r="A264" s="15" t="n"/>
      <c r="B264" s="15" t="n"/>
      <c r="C264" s="16" t="n"/>
      <c r="D264" s="15" t="n"/>
      <c r="E264" s="16" t="n"/>
      <c r="F264" s="17" t="n"/>
      <c r="G264" s="15" t="n"/>
      <c r="H264" s="15" t="n"/>
      <c r="I264" s="16" t="n"/>
      <c r="J264" s="16" t="n"/>
      <c r="K264" s="16" t="n"/>
      <c r="L264" s="16" t="n"/>
      <c r="M264" s="16" t="n"/>
      <c r="N264" s="15" t="n"/>
      <c r="O264" s="16" t="n"/>
      <c r="P264" s="16" t="n"/>
      <c r="Q264" s="13">
        <f>IF(OR(B264="",C264=""),"",IFERROR(INDEX(LAYOUT!$E$2:$E$33,MATCH(B264&amp;"|"&amp;C264,LAYOUT!$F$2:$F$33,0)),"zona tidak ada di layout"))</f>
        <v/>
      </c>
      <c r="R264" s="14">
        <f>IF(F264="","",IF(OR(I264="",O264=""),0,I264*O264))</f>
        <v/>
      </c>
      <c r="S264" s="14">
        <f>IF(F264="","",SUMIFS($R$2:$R$500,$A$2:$A$500,A264,$C$2:$C$500,C264))</f>
        <v/>
      </c>
      <c r="T264" s="14">
        <f>IF(F264="","",IF(OR(G264="",I264="",J264=""),"CEK data SKU (nama/lebar/tinggi)",IF(COUNTIFS($F$2:$F$500,F264,$I$2:$I$500,"&lt;&gt;"&amp;I264)+COUNTIFS($F$2:$F$500,F264,$J$2:$J$500,"&lt;&gt;"&amp;J264)&gt;0,"CEK data SKU tidak konsisten",IF(Q264="zona tidak ada di layout","CEK zona_no / jenis_fixture",IF(D264&lt;&gt;Q264,"CEK jenis_zona",IF(S264&gt;IFERROR(INDEX(LAYOUT!$C$2:$C$33,MATCH(B264,LAYOUT!$A$2:$A$33,0)),0),"CEK lebar zona melebihi fixture","OK")))))</f>
        <v/>
      </c>
    </row>
    <row r="265">
      <c r="A265" s="15" t="n"/>
      <c r="B265" s="15" t="n"/>
      <c r="C265" s="16" t="n"/>
      <c r="D265" s="15" t="n"/>
      <c r="E265" s="16" t="n"/>
      <c r="F265" s="17" t="n"/>
      <c r="G265" s="15" t="n"/>
      <c r="H265" s="15" t="n"/>
      <c r="I265" s="16" t="n"/>
      <c r="J265" s="16" t="n"/>
      <c r="K265" s="16" t="n"/>
      <c r="L265" s="16" t="n"/>
      <c r="M265" s="16" t="n"/>
      <c r="N265" s="15" t="n"/>
      <c r="O265" s="16" t="n"/>
      <c r="P265" s="16" t="n"/>
      <c r="Q265" s="13">
        <f>IF(OR(B265="",C265=""),"",IFERROR(INDEX(LAYOUT!$E$2:$E$33,MATCH(B265&amp;"|"&amp;C265,LAYOUT!$F$2:$F$33,0)),"zona tidak ada di layout"))</f>
        <v/>
      </c>
      <c r="R265" s="14">
        <f>IF(F265="","",IF(OR(I265="",O265=""),0,I265*O265))</f>
        <v/>
      </c>
      <c r="S265" s="14">
        <f>IF(F265="","",SUMIFS($R$2:$R$500,$A$2:$A$500,A265,$C$2:$C$500,C265))</f>
        <v/>
      </c>
      <c r="T265" s="14">
        <f>IF(F265="","",IF(OR(G265="",I265="",J265=""),"CEK data SKU (nama/lebar/tinggi)",IF(COUNTIFS($F$2:$F$500,F265,$I$2:$I$500,"&lt;&gt;"&amp;I265)+COUNTIFS($F$2:$F$500,F265,$J$2:$J$500,"&lt;&gt;"&amp;J265)&gt;0,"CEK data SKU tidak konsisten",IF(Q265="zona tidak ada di layout","CEK zona_no / jenis_fixture",IF(D265&lt;&gt;Q265,"CEK jenis_zona",IF(S265&gt;IFERROR(INDEX(LAYOUT!$C$2:$C$33,MATCH(B265,LAYOUT!$A$2:$A$33,0)),0),"CEK lebar zona melebihi fixture","OK")))))</f>
        <v/>
      </c>
    </row>
    <row r="266">
      <c r="A266" s="15" t="n"/>
      <c r="B266" s="15" t="n"/>
      <c r="C266" s="16" t="n"/>
      <c r="D266" s="15" t="n"/>
      <c r="E266" s="16" t="n"/>
      <c r="F266" s="17" t="n"/>
      <c r="G266" s="15" t="n"/>
      <c r="H266" s="15" t="n"/>
      <c r="I266" s="16" t="n"/>
      <c r="J266" s="16" t="n"/>
      <c r="K266" s="16" t="n"/>
      <c r="L266" s="16" t="n"/>
      <c r="M266" s="16" t="n"/>
      <c r="N266" s="15" t="n"/>
      <c r="O266" s="16" t="n"/>
      <c r="P266" s="16" t="n"/>
      <c r="Q266" s="13">
        <f>IF(OR(B266="",C266=""),"",IFERROR(INDEX(LAYOUT!$E$2:$E$33,MATCH(B266&amp;"|"&amp;C266,LAYOUT!$F$2:$F$33,0)),"zona tidak ada di layout"))</f>
        <v/>
      </c>
      <c r="R266" s="14">
        <f>IF(F266="","",IF(OR(I266="",O266=""),0,I266*O266))</f>
        <v/>
      </c>
      <c r="S266" s="14">
        <f>IF(F266="","",SUMIFS($R$2:$R$500,$A$2:$A$500,A266,$C$2:$C$500,C266))</f>
        <v/>
      </c>
      <c r="T266" s="14">
        <f>IF(F266="","",IF(OR(G266="",I266="",J266=""),"CEK data SKU (nama/lebar/tinggi)",IF(COUNTIFS($F$2:$F$500,F266,$I$2:$I$500,"&lt;&gt;"&amp;I266)+COUNTIFS($F$2:$F$500,F266,$J$2:$J$500,"&lt;&gt;"&amp;J266)&gt;0,"CEK data SKU tidak konsisten",IF(Q266="zona tidak ada di layout","CEK zona_no / jenis_fixture",IF(D266&lt;&gt;Q266,"CEK jenis_zona",IF(S266&gt;IFERROR(INDEX(LAYOUT!$C$2:$C$33,MATCH(B266,LAYOUT!$A$2:$A$33,0)),0),"CEK lebar zona melebihi fixture","OK")))))</f>
        <v/>
      </c>
    </row>
    <row r="267">
      <c r="A267" s="15" t="n"/>
      <c r="B267" s="15" t="n"/>
      <c r="C267" s="16" t="n"/>
      <c r="D267" s="15" t="n"/>
      <c r="E267" s="16" t="n"/>
      <c r="F267" s="17" t="n"/>
      <c r="G267" s="15" t="n"/>
      <c r="H267" s="15" t="n"/>
      <c r="I267" s="16" t="n"/>
      <c r="J267" s="16" t="n"/>
      <c r="K267" s="16" t="n"/>
      <c r="L267" s="16" t="n"/>
      <c r="M267" s="16" t="n"/>
      <c r="N267" s="15" t="n"/>
      <c r="O267" s="16" t="n"/>
      <c r="P267" s="16" t="n"/>
      <c r="Q267" s="13">
        <f>IF(OR(B267="",C267=""),"",IFERROR(INDEX(LAYOUT!$E$2:$E$33,MATCH(B267&amp;"|"&amp;C267,LAYOUT!$F$2:$F$33,0)),"zona tidak ada di layout"))</f>
        <v/>
      </c>
      <c r="R267" s="14">
        <f>IF(F267="","",IF(OR(I267="",O267=""),0,I267*O267))</f>
        <v/>
      </c>
      <c r="S267" s="14">
        <f>IF(F267="","",SUMIFS($R$2:$R$500,$A$2:$A$500,A267,$C$2:$C$500,C267))</f>
        <v/>
      </c>
      <c r="T267" s="14">
        <f>IF(F267="","",IF(OR(G267="",I267="",J267=""),"CEK data SKU (nama/lebar/tinggi)",IF(COUNTIFS($F$2:$F$500,F267,$I$2:$I$500,"&lt;&gt;"&amp;I267)+COUNTIFS($F$2:$F$500,F267,$J$2:$J$500,"&lt;&gt;"&amp;J267)&gt;0,"CEK data SKU tidak konsisten",IF(Q267="zona tidak ada di layout","CEK zona_no / jenis_fixture",IF(D267&lt;&gt;Q267,"CEK jenis_zona",IF(S267&gt;IFERROR(INDEX(LAYOUT!$C$2:$C$33,MATCH(B267,LAYOUT!$A$2:$A$33,0)),0),"CEK lebar zona melebihi fixture","OK")))))</f>
        <v/>
      </c>
    </row>
    <row r="268">
      <c r="A268" s="15" t="n"/>
      <c r="B268" s="15" t="n"/>
      <c r="C268" s="16" t="n"/>
      <c r="D268" s="15" t="n"/>
      <c r="E268" s="16" t="n"/>
      <c r="F268" s="17" t="n"/>
      <c r="G268" s="15" t="n"/>
      <c r="H268" s="15" t="n"/>
      <c r="I268" s="16" t="n"/>
      <c r="J268" s="16" t="n"/>
      <c r="K268" s="16" t="n"/>
      <c r="L268" s="16" t="n"/>
      <c r="M268" s="16" t="n"/>
      <c r="N268" s="15" t="n"/>
      <c r="O268" s="16" t="n"/>
      <c r="P268" s="16" t="n"/>
      <c r="Q268" s="13">
        <f>IF(OR(B268="",C268=""),"",IFERROR(INDEX(LAYOUT!$E$2:$E$33,MATCH(B268&amp;"|"&amp;C268,LAYOUT!$F$2:$F$33,0)),"zona tidak ada di layout"))</f>
        <v/>
      </c>
      <c r="R268" s="14">
        <f>IF(F268="","",IF(OR(I268="",O268=""),0,I268*O268))</f>
        <v/>
      </c>
      <c r="S268" s="14">
        <f>IF(F268="","",SUMIFS($R$2:$R$500,$A$2:$A$500,A268,$C$2:$C$500,C268))</f>
        <v/>
      </c>
      <c r="T268" s="14">
        <f>IF(F268="","",IF(OR(G268="",I268="",J268=""),"CEK data SKU (nama/lebar/tinggi)",IF(COUNTIFS($F$2:$F$500,F268,$I$2:$I$500,"&lt;&gt;"&amp;I268)+COUNTIFS($F$2:$F$500,F268,$J$2:$J$500,"&lt;&gt;"&amp;J268)&gt;0,"CEK data SKU tidak konsisten",IF(Q268="zona tidak ada di layout","CEK zona_no / jenis_fixture",IF(D268&lt;&gt;Q268,"CEK jenis_zona",IF(S268&gt;IFERROR(INDEX(LAYOUT!$C$2:$C$33,MATCH(B268,LAYOUT!$A$2:$A$33,0)),0),"CEK lebar zona melebihi fixture","OK")))))</f>
        <v/>
      </c>
    </row>
    <row r="269">
      <c r="A269" s="15" t="n"/>
      <c r="B269" s="15" t="n"/>
      <c r="C269" s="16" t="n"/>
      <c r="D269" s="15" t="n"/>
      <c r="E269" s="16" t="n"/>
      <c r="F269" s="17" t="n"/>
      <c r="G269" s="15" t="n"/>
      <c r="H269" s="15" t="n"/>
      <c r="I269" s="16" t="n"/>
      <c r="J269" s="16" t="n"/>
      <c r="K269" s="16" t="n"/>
      <c r="L269" s="16" t="n"/>
      <c r="M269" s="16" t="n"/>
      <c r="N269" s="15" t="n"/>
      <c r="O269" s="16" t="n"/>
      <c r="P269" s="16" t="n"/>
      <c r="Q269" s="13">
        <f>IF(OR(B269="",C269=""),"",IFERROR(INDEX(LAYOUT!$E$2:$E$33,MATCH(B269&amp;"|"&amp;C269,LAYOUT!$F$2:$F$33,0)),"zona tidak ada di layout"))</f>
        <v/>
      </c>
      <c r="R269" s="14">
        <f>IF(F269="","",IF(OR(I269="",O269=""),0,I269*O269))</f>
        <v/>
      </c>
      <c r="S269" s="14">
        <f>IF(F269="","",SUMIFS($R$2:$R$500,$A$2:$A$500,A269,$C$2:$C$500,C269))</f>
        <v/>
      </c>
      <c r="T269" s="14">
        <f>IF(F269="","",IF(OR(G269="",I269="",J269=""),"CEK data SKU (nama/lebar/tinggi)",IF(COUNTIFS($F$2:$F$500,F269,$I$2:$I$500,"&lt;&gt;"&amp;I269)+COUNTIFS($F$2:$F$500,F269,$J$2:$J$500,"&lt;&gt;"&amp;J269)&gt;0,"CEK data SKU tidak konsisten",IF(Q269="zona tidak ada di layout","CEK zona_no / jenis_fixture",IF(D269&lt;&gt;Q269,"CEK jenis_zona",IF(S269&gt;IFERROR(INDEX(LAYOUT!$C$2:$C$33,MATCH(B269,LAYOUT!$A$2:$A$33,0)),0),"CEK lebar zona melebihi fixture","OK")))))</f>
        <v/>
      </c>
    </row>
    <row r="270">
      <c r="A270" s="15" t="n"/>
      <c r="B270" s="15" t="n"/>
      <c r="C270" s="16" t="n"/>
      <c r="D270" s="15" t="n"/>
      <c r="E270" s="16" t="n"/>
      <c r="F270" s="17" t="n"/>
      <c r="G270" s="15" t="n"/>
      <c r="H270" s="15" t="n"/>
      <c r="I270" s="16" t="n"/>
      <c r="J270" s="16" t="n"/>
      <c r="K270" s="16" t="n"/>
      <c r="L270" s="16" t="n"/>
      <c r="M270" s="16" t="n"/>
      <c r="N270" s="15" t="n"/>
      <c r="O270" s="16" t="n"/>
      <c r="P270" s="16" t="n"/>
      <c r="Q270" s="13">
        <f>IF(OR(B270="",C270=""),"",IFERROR(INDEX(LAYOUT!$E$2:$E$33,MATCH(B270&amp;"|"&amp;C270,LAYOUT!$F$2:$F$33,0)),"zona tidak ada di layout"))</f>
        <v/>
      </c>
      <c r="R270" s="14">
        <f>IF(F270="","",IF(OR(I270="",O270=""),0,I270*O270))</f>
        <v/>
      </c>
      <c r="S270" s="14">
        <f>IF(F270="","",SUMIFS($R$2:$R$500,$A$2:$A$500,A270,$C$2:$C$500,C270))</f>
        <v/>
      </c>
      <c r="T270" s="14">
        <f>IF(F270="","",IF(OR(G270="",I270="",J270=""),"CEK data SKU (nama/lebar/tinggi)",IF(COUNTIFS($F$2:$F$500,F270,$I$2:$I$500,"&lt;&gt;"&amp;I270)+COUNTIFS($F$2:$F$500,F270,$J$2:$J$500,"&lt;&gt;"&amp;J270)&gt;0,"CEK data SKU tidak konsisten",IF(Q270="zona tidak ada di layout","CEK zona_no / jenis_fixture",IF(D270&lt;&gt;Q270,"CEK jenis_zona",IF(S270&gt;IFERROR(INDEX(LAYOUT!$C$2:$C$33,MATCH(B270,LAYOUT!$A$2:$A$33,0)),0),"CEK lebar zona melebihi fixture","OK")))))</f>
        <v/>
      </c>
    </row>
    <row r="271">
      <c r="A271" s="15" t="n"/>
      <c r="B271" s="15" t="n"/>
      <c r="C271" s="16" t="n"/>
      <c r="D271" s="15" t="n"/>
      <c r="E271" s="16" t="n"/>
      <c r="F271" s="17" t="n"/>
      <c r="G271" s="15" t="n"/>
      <c r="H271" s="15" t="n"/>
      <c r="I271" s="16" t="n"/>
      <c r="J271" s="16" t="n"/>
      <c r="K271" s="16" t="n"/>
      <c r="L271" s="16" t="n"/>
      <c r="M271" s="16" t="n"/>
      <c r="N271" s="15" t="n"/>
      <c r="O271" s="16" t="n"/>
      <c r="P271" s="16" t="n"/>
      <c r="Q271" s="13">
        <f>IF(OR(B271="",C271=""),"",IFERROR(INDEX(LAYOUT!$E$2:$E$33,MATCH(B271&amp;"|"&amp;C271,LAYOUT!$F$2:$F$33,0)),"zona tidak ada di layout"))</f>
        <v/>
      </c>
      <c r="R271" s="14">
        <f>IF(F271="","",IF(OR(I271="",O271=""),0,I271*O271))</f>
        <v/>
      </c>
      <c r="S271" s="14">
        <f>IF(F271="","",SUMIFS($R$2:$R$500,$A$2:$A$500,A271,$C$2:$C$500,C271))</f>
        <v/>
      </c>
      <c r="T271" s="14">
        <f>IF(F271="","",IF(OR(G271="",I271="",J271=""),"CEK data SKU (nama/lebar/tinggi)",IF(COUNTIFS($F$2:$F$500,F271,$I$2:$I$500,"&lt;&gt;"&amp;I271)+COUNTIFS($F$2:$F$500,F271,$J$2:$J$500,"&lt;&gt;"&amp;J271)&gt;0,"CEK data SKU tidak konsisten",IF(Q271="zona tidak ada di layout","CEK zona_no / jenis_fixture",IF(D271&lt;&gt;Q271,"CEK jenis_zona",IF(S271&gt;IFERROR(INDEX(LAYOUT!$C$2:$C$33,MATCH(B271,LAYOUT!$A$2:$A$33,0)),0),"CEK lebar zona melebihi fixture","OK")))))</f>
        <v/>
      </c>
    </row>
    <row r="272">
      <c r="A272" s="15" t="n"/>
      <c r="B272" s="15" t="n"/>
      <c r="C272" s="16" t="n"/>
      <c r="D272" s="15" t="n"/>
      <c r="E272" s="16" t="n"/>
      <c r="F272" s="17" t="n"/>
      <c r="G272" s="15" t="n"/>
      <c r="H272" s="15" t="n"/>
      <c r="I272" s="16" t="n"/>
      <c r="J272" s="16" t="n"/>
      <c r="K272" s="16" t="n"/>
      <c r="L272" s="16" t="n"/>
      <c r="M272" s="16" t="n"/>
      <c r="N272" s="15" t="n"/>
      <c r="O272" s="16" t="n"/>
      <c r="P272" s="16" t="n"/>
      <c r="Q272" s="13">
        <f>IF(OR(B272="",C272=""),"",IFERROR(INDEX(LAYOUT!$E$2:$E$33,MATCH(B272&amp;"|"&amp;C272,LAYOUT!$F$2:$F$33,0)),"zona tidak ada di layout"))</f>
        <v/>
      </c>
      <c r="R272" s="14">
        <f>IF(F272="","",IF(OR(I272="",O272=""),0,I272*O272))</f>
        <v/>
      </c>
      <c r="S272" s="14">
        <f>IF(F272="","",SUMIFS($R$2:$R$500,$A$2:$A$500,A272,$C$2:$C$500,C272))</f>
        <v/>
      </c>
      <c r="T272" s="14">
        <f>IF(F272="","",IF(OR(G272="",I272="",J272=""),"CEK data SKU (nama/lebar/tinggi)",IF(COUNTIFS($F$2:$F$500,F272,$I$2:$I$500,"&lt;&gt;"&amp;I272)+COUNTIFS($F$2:$F$500,F272,$J$2:$J$500,"&lt;&gt;"&amp;J272)&gt;0,"CEK data SKU tidak konsisten",IF(Q272="zona tidak ada di layout","CEK zona_no / jenis_fixture",IF(D272&lt;&gt;Q272,"CEK jenis_zona",IF(S272&gt;IFERROR(INDEX(LAYOUT!$C$2:$C$33,MATCH(B272,LAYOUT!$A$2:$A$33,0)),0),"CEK lebar zona melebihi fixture","OK")))))</f>
        <v/>
      </c>
    </row>
    <row r="273">
      <c r="A273" s="15" t="n"/>
      <c r="B273" s="15" t="n"/>
      <c r="C273" s="16" t="n"/>
      <c r="D273" s="15" t="n"/>
      <c r="E273" s="16" t="n"/>
      <c r="F273" s="17" t="n"/>
      <c r="G273" s="15" t="n"/>
      <c r="H273" s="15" t="n"/>
      <c r="I273" s="16" t="n"/>
      <c r="J273" s="16" t="n"/>
      <c r="K273" s="16" t="n"/>
      <c r="L273" s="16" t="n"/>
      <c r="M273" s="16" t="n"/>
      <c r="N273" s="15" t="n"/>
      <c r="O273" s="16" t="n"/>
      <c r="P273" s="16" t="n"/>
      <c r="Q273" s="13">
        <f>IF(OR(B273="",C273=""),"",IFERROR(INDEX(LAYOUT!$E$2:$E$33,MATCH(B273&amp;"|"&amp;C273,LAYOUT!$F$2:$F$33,0)),"zona tidak ada di layout"))</f>
        <v/>
      </c>
      <c r="R273" s="14">
        <f>IF(F273="","",IF(OR(I273="",O273=""),0,I273*O273))</f>
        <v/>
      </c>
      <c r="S273" s="14">
        <f>IF(F273="","",SUMIFS($R$2:$R$500,$A$2:$A$500,A273,$C$2:$C$500,C273))</f>
        <v/>
      </c>
      <c r="T273" s="14">
        <f>IF(F273="","",IF(OR(G273="",I273="",J273=""),"CEK data SKU (nama/lebar/tinggi)",IF(COUNTIFS($F$2:$F$500,F273,$I$2:$I$500,"&lt;&gt;"&amp;I273)+COUNTIFS($F$2:$F$500,F273,$J$2:$J$500,"&lt;&gt;"&amp;J273)&gt;0,"CEK data SKU tidak konsisten",IF(Q273="zona tidak ada di layout","CEK zona_no / jenis_fixture",IF(D273&lt;&gt;Q273,"CEK jenis_zona",IF(S273&gt;IFERROR(INDEX(LAYOUT!$C$2:$C$33,MATCH(B273,LAYOUT!$A$2:$A$33,0)),0),"CEK lebar zona melebihi fixture","OK")))))</f>
        <v/>
      </c>
    </row>
    <row r="274">
      <c r="A274" s="15" t="n"/>
      <c r="B274" s="15" t="n"/>
      <c r="C274" s="16" t="n"/>
      <c r="D274" s="15" t="n"/>
      <c r="E274" s="16" t="n"/>
      <c r="F274" s="17" t="n"/>
      <c r="G274" s="15" t="n"/>
      <c r="H274" s="15" t="n"/>
      <c r="I274" s="16" t="n"/>
      <c r="J274" s="16" t="n"/>
      <c r="K274" s="16" t="n"/>
      <c r="L274" s="16" t="n"/>
      <c r="M274" s="16" t="n"/>
      <c r="N274" s="15" t="n"/>
      <c r="O274" s="16" t="n"/>
      <c r="P274" s="16" t="n"/>
      <c r="Q274" s="13">
        <f>IF(OR(B274="",C274=""),"",IFERROR(INDEX(LAYOUT!$E$2:$E$33,MATCH(B274&amp;"|"&amp;C274,LAYOUT!$F$2:$F$33,0)),"zona tidak ada di layout"))</f>
        <v/>
      </c>
      <c r="R274" s="14">
        <f>IF(F274="","",IF(OR(I274="",O274=""),0,I274*O274))</f>
        <v/>
      </c>
      <c r="S274" s="14">
        <f>IF(F274="","",SUMIFS($R$2:$R$500,$A$2:$A$500,A274,$C$2:$C$500,C274))</f>
        <v/>
      </c>
      <c r="T274" s="14">
        <f>IF(F274="","",IF(OR(G274="",I274="",J274=""),"CEK data SKU (nama/lebar/tinggi)",IF(COUNTIFS($F$2:$F$500,F274,$I$2:$I$500,"&lt;&gt;"&amp;I274)+COUNTIFS($F$2:$F$500,F274,$J$2:$J$500,"&lt;&gt;"&amp;J274)&gt;0,"CEK data SKU tidak konsisten",IF(Q274="zona tidak ada di layout","CEK zona_no / jenis_fixture",IF(D274&lt;&gt;Q274,"CEK jenis_zona",IF(S274&gt;IFERROR(INDEX(LAYOUT!$C$2:$C$33,MATCH(B274,LAYOUT!$A$2:$A$33,0)),0),"CEK lebar zona melebihi fixture","OK")))))</f>
        <v/>
      </c>
    </row>
    <row r="275">
      <c r="A275" s="15" t="n"/>
      <c r="B275" s="15" t="n"/>
      <c r="C275" s="16" t="n"/>
      <c r="D275" s="15" t="n"/>
      <c r="E275" s="16" t="n"/>
      <c r="F275" s="17" t="n"/>
      <c r="G275" s="15" t="n"/>
      <c r="H275" s="15" t="n"/>
      <c r="I275" s="16" t="n"/>
      <c r="J275" s="16" t="n"/>
      <c r="K275" s="16" t="n"/>
      <c r="L275" s="16" t="n"/>
      <c r="M275" s="16" t="n"/>
      <c r="N275" s="15" t="n"/>
      <c r="O275" s="16" t="n"/>
      <c r="P275" s="16" t="n"/>
      <c r="Q275" s="13">
        <f>IF(OR(B275="",C275=""),"",IFERROR(INDEX(LAYOUT!$E$2:$E$33,MATCH(B275&amp;"|"&amp;C275,LAYOUT!$F$2:$F$33,0)),"zona tidak ada di layout"))</f>
        <v/>
      </c>
      <c r="R275" s="14">
        <f>IF(F275="","",IF(OR(I275="",O275=""),0,I275*O275))</f>
        <v/>
      </c>
      <c r="S275" s="14">
        <f>IF(F275="","",SUMIFS($R$2:$R$500,$A$2:$A$500,A275,$C$2:$C$500,C275))</f>
        <v/>
      </c>
      <c r="T275" s="14">
        <f>IF(F275="","",IF(OR(G275="",I275="",J275=""),"CEK data SKU (nama/lebar/tinggi)",IF(COUNTIFS($F$2:$F$500,F275,$I$2:$I$500,"&lt;&gt;"&amp;I275)+COUNTIFS($F$2:$F$500,F275,$J$2:$J$500,"&lt;&gt;"&amp;J275)&gt;0,"CEK data SKU tidak konsisten",IF(Q275="zona tidak ada di layout","CEK zona_no / jenis_fixture",IF(D275&lt;&gt;Q275,"CEK jenis_zona",IF(S275&gt;IFERROR(INDEX(LAYOUT!$C$2:$C$33,MATCH(B275,LAYOUT!$A$2:$A$33,0)),0),"CEK lebar zona melebihi fixture","OK")))))</f>
        <v/>
      </c>
    </row>
    <row r="276">
      <c r="A276" s="15" t="n"/>
      <c r="B276" s="15" t="n"/>
      <c r="C276" s="16" t="n"/>
      <c r="D276" s="15" t="n"/>
      <c r="E276" s="16" t="n"/>
      <c r="F276" s="17" t="n"/>
      <c r="G276" s="15" t="n"/>
      <c r="H276" s="15" t="n"/>
      <c r="I276" s="16" t="n"/>
      <c r="J276" s="16" t="n"/>
      <c r="K276" s="16" t="n"/>
      <c r="L276" s="16" t="n"/>
      <c r="M276" s="16" t="n"/>
      <c r="N276" s="15" t="n"/>
      <c r="O276" s="16" t="n"/>
      <c r="P276" s="16" t="n"/>
      <c r="Q276" s="13">
        <f>IF(OR(B276="",C276=""),"",IFERROR(INDEX(LAYOUT!$E$2:$E$33,MATCH(B276&amp;"|"&amp;C276,LAYOUT!$F$2:$F$33,0)),"zona tidak ada di layout"))</f>
        <v/>
      </c>
      <c r="R276" s="14">
        <f>IF(F276="","",IF(OR(I276="",O276=""),0,I276*O276))</f>
        <v/>
      </c>
      <c r="S276" s="14">
        <f>IF(F276="","",SUMIFS($R$2:$R$500,$A$2:$A$500,A276,$C$2:$C$500,C276))</f>
        <v/>
      </c>
      <c r="T276" s="14">
        <f>IF(F276="","",IF(OR(G276="",I276="",J276=""),"CEK data SKU (nama/lebar/tinggi)",IF(COUNTIFS($F$2:$F$500,F276,$I$2:$I$500,"&lt;&gt;"&amp;I276)+COUNTIFS($F$2:$F$500,F276,$J$2:$J$500,"&lt;&gt;"&amp;J276)&gt;0,"CEK data SKU tidak konsisten",IF(Q276="zona tidak ada di layout","CEK zona_no / jenis_fixture",IF(D276&lt;&gt;Q276,"CEK jenis_zona",IF(S276&gt;IFERROR(INDEX(LAYOUT!$C$2:$C$33,MATCH(B276,LAYOUT!$A$2:$A$33,0)),0),"CEK lebar zona melebihi fixture","OK")))))</f>
        <v/>
      </c>
    </row>
    <row r="277">
      <c r="A277" s="15" t="n"/>
      <c r="B277" s="15" t="n"/>
      <c r="C277" s="16" t="n"/>
      <c r="D277" s="15" t="n"/>
      <c r="E277" s="16" t="n"/>
      <c r="F277" s="17" t="n"/>
      <c r="G277" s="15" t="n"/>
      <c r="H277" s="15" t="n"/>
      <c r="I277" s="16" t="n"/>
      <c r="J277" s="16" t="n"/>
      <c r="K277" s="16" t="n"/>
      <c r="L277" s="16" t="n"/>
      <c r="M277" s="16" t="n"/>
      <c r="N277" s="15" t="n"/>
      <c r="O277" s="16" t="n"/>
      <c r="P277" s="16" t="n"/>
      <c r="Q277" s="13">
        <f>IF(OR(B277="",C277=""),"",IFERROR(INDEX(LAYOUT!$E$2:$E$33,MATCH(B277&amp;"|"&amp;C277,LAYOUT!$F$2:$F$33,0)),"zona tidak ada di layout"))</f>
        <v/>
      </c>
      <c r="R277" s="14">
        <f>IF(F277="","",IF(OR(I277="",O277=""),0,I277*O277))</f>
        <v/>
      </c>
      <c r="S277" s="14">
        <f>IF(F277="","",SUMIFS($R$2:$R$500,$A$2:$A$500,A277,$C$2:$C$500,C277))</f>
        <v/>
      </c>
      <c r="T277" s="14">
        <f>IF(F277="","",IF(OR(G277="",I277="",J277=""),"CEK data SKU (nama/lebar/tinggi)",IF(COUNTIFS($F$2:$F$500,F277,$I$2:$I$500,"&lt;&gt;"&amp;I277)+COUNTIFS($F$2:$F$500,F277,$J$2:$J$500,"&lt;&gt;"&amp;J277)&gt;0,"CEK data SKU tidak konsisten",IF(Q277="zona tidak ada di layout","CEK zona_no / jenis_fixture",IF(D277&lt;&gt;Q277,"CEK jenis_zona",IF(S277&gt;IFERROR(INDEX(LAYOUT!$C$2:$C$33,MATCH(B277,LAYOUT!$A$2:$A$33,0)),0),"CEK lebar zona melebihi fixture","OK")))))</f>
        <v/>
      </c>
    </row>
    <row r="278">
      <c r="A278" s="15" t="n"/>
      <c r="B278" s="15" t="n"/>
      <c r="C278" s="16" t="n"/>
      <c r="D278" s="15" t="n"/>
      <c r="E278" s="16" t="n"/>
      <c r="F278" s="17" t="n"/>
      <c r="G278" s="15" t="n"/>
      <c r="H278" s="15" t="n"/>
      <c r="I278" s="16" t="n"/>
      <c r="J278" s="16" t="n"/>
      <c r="K278" s="16" t="n"/>
      <c r="L278" s="16" t="n"/>
      <c r="M278" s="16" t="n"/>
      <c r="N278" s="15" t="n"/>
      <c r="O278" s="16" t="n"/>
      <c r="P278" s="16" t="n"/>
      <c r="Q278" s="13">
        <f>IF(OR(B278="",C278=""),"",IFERROR(INDEX(LAYOUT!$E$2:$E$33,MATCH(B278&amp;"|"&amp;C278,LAYOUT!$F$2:$F$33,0)),"zona tidak ada di layout"))</f>
        <v/>
      </c>
      <c r="R278" s="14">
        <f>IF(F278="","",IF(OR(I278="",O278=""),0,I278*O278))</f>
        <v/>
      </c>
      <c r="S278" s="14">
        <f>IF(F278="","",SUMIFS($R$2:$R$500,$A$2:$A$500,A278,$C$2:$C$500,C278))</f>
        <v/>
      </c>
      <c r="T278" s="14">
        <f>IF(F278="","",IF(OR(G278="",I278="",J278=""),"CEK data SKU (nama/lebar/tinggi)",IF(COUNTIFS($F$2:$F$500,F278,$I$2:$I$500,"&lt;&gt;"&amp;I278)+COUNTIFS($F$2:$F$500,F278,$J$2:$J$500,"&lt;&gt;"&amp;J278)&gt;0,"CEK data SKU tidak konsisten",IF(Q278="zona tidak ada di layout","CEK zona_no / jenis_fixture",IF(D278&lt;&gt;Q278,"CEK jenis_zona",IF(S278&gt;IFERROR(INDEX(LAYOUT!$C$2:$C$33,MATCH(B278,LAYOUT!$A$2:$A$33,0)),0),"CEK lebar zona melebihi fixture","OK")))))</f>
        <v/>
      </c>
    </row>
    <row r="279">
      <c r="A279" s="15" t="n"/>
      <c r="B279" s="15" t="n"/>
      <c r="C279" s="16" t="n"/>
      <c r="D279" s="15" t="n"/>
      <c r="E279" s="16" t="n"/>
      <c r="F279" s="17" t="n"/>
      <c r="G279" s="15" t="n"/>
      <c r="H279" s="15" t="n"/>
      <c r="I279" s="16" t="n"/>
      <c r="J279" s="16" t="n"/>
      <c r="K279" s="16" t="n"/>
      <c r="L279" s="16" t="n"/>
      <c r="M279" s="16" t="n"/>
      <c r="N279" s="15" t="n"/>
      <c r="O279" s="16" t="n"/>
      <c r="P279" s="16" t="n"/>
      <c r="Q279" s="13">
        <f>IF(OR(B279="",C279=""),"",IFERROR(INDEX(LAYOUT!$E$2:$E$33,MATCH(B279&amp;"|"&amp;C279,LAYOUT!$F$2:$F$33,0)),"zona tidak ada di layout"))</f>
        <v/>
      </c>
      <c r="R279" s="14">
        <f>IF(F279="","",IF(OR(I279="",O279=""),0,I279*O279))</f>
        <v/>
      </c>
      <c r="S279" s="14">
        <f>IF(F279="","",SUMIFS($R$2:$R$500,$A$2:$A$500,A279,$C$2:$C$500,C279))</f>
        <v/>
      </c>
      <c r="T279" s="14">
        <f>IF(F279="","",IF(OR(G279="",I279="",J279=""),"CEK data SKU (nama/lebar/tinggi)",IF(COUNTIFS($F$2:$F$500,F279,$I$2:$I$500,"&lt;&gt;"&amp;I279)+COUNTIFS($F$2:$F$500,F279,$J$2:$J$500,"&lt;&gt;"&amp;J279)&gt;0,"CEK data SKU tidak konsisten",IF(Q279="zona tidak ada di layout","CEK zona_no / jenis_fixture",IF(D279&lt;&gt;Q279,"CEK jenis_zona",IF(S279&gt;IFERROR(INDEX(LAYOUT!$C$2:$C$33,MATCH(B279,LAYOUT!$A$2:$A$33,0)),0),"CEK lebar zona melebihi fixture","OK")))))</f>
        <v/>
      </c>
    </row>
    <row r="280">
      <c r="A280" s="15" t="n"/>
      <c r="B280" s="15" t="n"/>
      <c r="C280" s="16" t="n"/>
      <c r="D280" s="15" t="n"/>
      <c r="E280" s="16" t="n"/>
      <c r="F280" s="17" t="n"/>
      <c r="G280" s="15" t="n"/>
      <c r="H280" s="15" t="n"/>
      <c r="I280" s="16" t="n"/>
      <c r="J280" s="16" t="n"/>
      <c r="K280" s="16" t="n"/>
      <c r="L280" s="16" t="n"/>
      <c r="M280" s="16" t="n"/>
      <c r="N280" s="15" t="n"/>
      <c r="O280" s="16" t="n"/>
      <c r="P280" s="16" t="n"/>
      <c r="Q280" s="13">
        <f>IF(OR(B280="",C280=""),"",IFERROR(INDEX(LAYOUT!$E$2:$E$33,MATCH(B280&amp;"|"&amp;C280,LAYOUT!$F$2:$F$33,0)),"zona tidak ada di layout"))</f>
        <v/>
      </c>
      <c r="R280" s="14">
        <f>IF(F280="","",IF(OR(I280="",O280=""),0,I280*O280))</f>
        <v/>
      </c>
      <c r="S280" s="14">
        <f>IF(F280="","",SUMIFS($R$2:$R$500,$A$2:$A$500,A280,$C$2:$C$500,C280))</f>
        <v/>
      </c>
      <c r="T280" s="14">
        <f>IF(F280="","",IF(OR(G280="",I280="",J280=""),"CEK data SKU (nama/lebar/tinggi)",IF(COUNTIFS($F$2:$F$500,F280,$I$2:$I$500,"&lt;&gt;"&amp;I280)+COUNTIFS($F$2:$F$500,F280,$J$2:$J$500,"&lt;&gt;"&amp;J280)&gt;0,"CEK data SKU tidak konsisten",IF(Q280="zona tidak ada di layout","CEK zona_no / jenis_fixture",IF(D280&lt;&gt;Q280,"CEK jenis_zona",IF(S280&gt;IFERROR(INDEX(LAYOUT!$C$2:$C$33,MATCH(B280,LAYOUT!$A$2:$A$33,0)),0),"CEK lebar zona melebihi fixture","OK")))))</f>
        <v/>
      </c>
    </row>
    <row r="281">
      <c r="A281" s="15" t="n"/>
      <c r="B281" s="15" t="n"/>
      <c r="C281" s="16" t="n"/>
      <c r="D281" s="15" t="n"/>
      <c r="E281" s="16" t="n"/>
      <c r="F281" s="17" t="n"/>
      <c r="G281" s="15" t="n"/>
      <c r="H281" s="15" t="n"/>
      <c r="I281" s="16" t="n"/>
      <c r="J281" s="16" t="n"/>
      <c r="K281" s="16" t="n"/>
      <c r="L281" s="16" t="n"/>
      <c r="M281" s="16" t="n"/>
      <c r="N281" s="15" t="n"/>
      <c r="O281" s="16" t="n"/>
      <c r="P281" s="16" t="n"/>
      <c r="Q281" s="13">
        <f>IF(OR(B281="",C281=""),"",IFERROR(INDEX(LAYOUT!$E$2:$E$33,MATCH(B281&amp;"|"&amp;C281,LAYOUT!$F$2:$F$33,0)),"zona tidak ada di layout"))</f>
        <v/>
      </c>
      <c r="R281" s="14">
        <f>IF(F281="","",IF(OR(I281="",O281=""),0,I281*O281))</f>
        <v/>
      </c>
      <c r="S281" s="14">
        <f>IF(F281="","",SUMIFS($R$2:$R$500,$A$2:$A$500,A281,$C$2:$C$500,C281))</f>
        <v/>
      </c>
      <c r="T281" s="14">
        <f>IF(F281="","",IF(OR(G281="",I281="",J281=""),"CEK data SKU (nama/lebar/tinggi)",IF(COUNTIFS($F$2:$F$500,F281,$I$2:$I$500,"&lt;&gt;"&amp;I281)+COUNTIFS($F$2:$F$500,F281,$J$2:$J$500,"&lt;&gt;"&amp;J281)&gt;0,"CEK data SKU tidak konsisten",IF(Q281="zona tidak ada di layout","CEK zona_no / jenis_fixture",IF(D281&lt;&gt;Q281,"CEK jenis_zona",IF(S281&gt;IFERROR(INDEX(LAYOUT!$C$2:$C$33,MATCH(B281,LAYOUT!$A$2:$A$33,0)),0),"CEK lebar zona melebihi fixture","OK")))))</f>
        <v/>
      </c>
    </row>
    <row r="282">
      <c r="A282" s="15" t="n"/>
      <c r="B282" s="15" t="n"/>
      <c r="C282" s="16" t="n"/>
      <c r="D282" s="15" t="n"/>
      <c r="E282" s="16" t="n"/>
      <c r="F282" s="17" t="n"/>
      <c r="G282" s="15" t="n"/>
      <c r="H282" s="15" t="n"/>
      <c r="I282" s="16" t="n"/>
      <c r="J282" s="16" t="n"/>
      <c r="K282" s="16" t="n"/>
      <c r="L282" s="16" t="n"/>
      <c r="M282" s="16" t="n"/>
      <c r="N282" s="15" t="n"/>
      <c r="O282" s="16" t="n"/>
      <c r="P282" s="16" t="n"/>
      <c r="Q282" s="13">
        <f>IF(OR(B282="",C282=""),"",IFERROR(INDEX(LAYOUT!$E$2:$E$33,MATCH(B282&amp;"|"&amp;C282,LAYOUT!$F$2:$F$33,0)),"zona tidak ada di layout"))</f>
        <v/>
      </c>
      <c r="R282" s="14">
        <f>IF(F282="","",IF(OR(I282="",O282=""),0,I282*O282))</f>
        <v/>
      </c>
      <c r="S282" s="14">
        <f>IF(F282="","",SUMIFS($R$2:$R$500,$A$2:$A$500,A282,$C$2:$C$500,C282))</f>
        <v/>
      </c>
      <c r="T282" s="14">
        <f>IF(F282="","",IF(OR(G282="",I282="",J282=""),"CEK data SKU (nama/lebar/tinggi)",IF(COUNTIFS($F$2:$F$500,F282,$I$2:$I$500,"&lt;&gt;"&amp;I282)+COUNTIFS($F$2:$F$500,F282,$J$2:$J$500,"&lt;&gt;"&amp;J282)&gt;0,"CEK data SKU tidak konsisten",IF(Q282="zona tidak ada di layout","CEK zona_no / jenis_fixture",IF(D282&lt;&gt;Q282,"CEK jenis_zona",IF(S282&gt;IFERROR(INDEX(LAYOUT!$C$2:$C$33,MATCH(B282,LAYOUT!$A$2:$A$33,0)),0),"CEK lebar zona melebihi fixture","OK")))))</f>
        <v/>
      </c>
    </row>
    <row r="283">
      <c r="A283" s="15" t="n"/>
      <c r="B283" s="15" t="n"/>
      <c r="C283" s="16" t="n"/>
      <c r="D283" s="15" t="n"/>
      <c r="E283" s="16" t="n"/>
      <c r="F283" s="17" t="n"/>
      <c r="G283" s="15" t="n"/>
      <c r="H283" s="15" t="n"/>
      <c r="I283" s="16" t="n"/>
      <c r="J283" s="16" t="n"/>
      <c r="K283" s="16" t="n"/>
      <c r="L283" s="16" t="n"/>
      <c r="M283" s="16" t="n"/>
      <c r="N283" s="15" t="n"/>
      <c r="O283" s="16" t="n"/>
      <c r="P283" s="16" t="n"/>
      <c r="Q283" s="13">
        <f>IF(OR(B283="",C283=""),"",IFERROR(INDEX(LAYOUT!$E$2:$E$33,MATCH(B283&amp;"|"&amp;C283,LAYOUT!$F$2:$F$33,0)),"zona tidak ada di layout"))</f>
        <v/>
      </c>
      <c r="R283" s="14">
        <f>IF(F283="","",IF(OR(I283="",O283=""),0,I283*O283))</f>
        <v/>
      </c>
      <c r="S283" s="14">
        <f>IF(F283="","",SUMIFS($R$2:$R$500,$A$2:$A$500,A283,$C$2:$C$500,C283))</f>
        <v/>
      </c>
      <c r="T283" s="14">
        <f>IF(F283="","",IF(OR(G283="",I283="",J283=""),"CEK data SKU (nama/lebar/tinggi)",IF(COUNTIFS($F$2:$F$500,F283,$I$2:$I$500,"&lt;&gt;"&amp;I283)+COUNTIFS($F$2:$F$500,F283,$J$2:$J$500,"&lt;&gt;"&amp;J283)&gt;0,"CEK data SKU tidak konsisten",IF(Q283="zona tidak ada di layout","CEK zona_no / jenis_fixture",IF(D283&lt;&gt;Q283,"CEK jenis_zona",IF(S283&gt;IFERROR(INDEX(LAYOUT!$C$2:$C$33,MATCH(B283,LAYOUT!$A$2:$A$33,0)),0),"CEK lebar zona melebihi fixture","OK")))))</f>
        <v/>
      </c>
    </row>
    <row r="284">
      <c r="A284" s="15" t="n"/>
      <c r="B284" s="15" t="n"/>
      <c r="C284" s="16" t="n"/>
      <c r="D284" s="15" t="n"/>
      <c r="E284" s="16" t="n"/>
      <c r="F284" s="17" t="n"/>
      <c r="G284" s="15" t="n"/>
      <c r="H284" s="15" t="n"/>
      <c r="I284" s="16" t="n"/>
      <c r="J284" s="16" t="n"/>
      <c r="K284" s="16" t="n"/>
      <c r="L284" s="16" t="n"/>
      <c r="M284" s="16" t="n"/>
      <c r="N284" s="15" t="n"/>
      <c r="O284" s="16" t="n"/>
      <c r="P284" s="16" t="n"/>
      <c r="Q284" s="13">
        <f>IF(OR(B284="",C284=""),"",IFERROR(INDEX(LAYOUT!$E$2:$E$33,MATCH(B284&amp;"|"&amp;C284,LAYOUT!$F$2:$F$33,0)),"zona tidak ada di layout"))</f>
        <v/>
      </c>
      <c r="R284" s="14">
        <f>IF(F284="","",IF(OR(I284="",O284=""),0,I284*O284))</f>
        <v/>
      </c>
      <c r="S284" s="14">
        <f>IF(F284="","",SUMIFS($R$2:$R$500,$A$2:$A$500,A284,$C$2:$C$500,C284))</f>
        <v/>
      </c>
      <c r="T284" s="14">
        <f>IF(F284="","",IF(OR(G284="",I284="",J284=""),"CEK data SKU (nama/lebar/tinggi)",IF(COUNTIFS($F$2:$F$500,F284,$I$2:$I$500,"&lt;&gt;"&amp;I284)+COUNTIFS($F$2:$F$500,F284,$J$2:$J$500,"&lt;&gt;"&amp;J284)&gt;0,"CEK data SKU tidak konsisten",IF(Q284="zona tidak ada di layout","CEK zona_no / jenis_fixture",IF(D284&lt;&gt;Q284,"CEK jenis_zona",IF(S284&gt;IFERROR(INDEX(LAYOUT!$C$2:$C$33,MATCH(B284,LAYOUT!$A$2:$A$33,0)),0),"CEK lebar zona melebihi fixture","OK")))))</f>
        <v/>
      </c>
    </row>
    <row r="285">
      <c r="A285" s="15" t="n"/>
      <c r="B285" s="15" t="n"/>
      <c r="C285" s="16" t="n"/>
      <c r="D285" s="15" t="n"/>
      <c r="E285" s="16" t="n"/>
      <c r="F285" s="17" t="n"/>
      <c r="G285" s="15" t="n"/>
      <c r="H285" s="15" t="n"/>
      <c r="I285" s="16" t="n"/>
      <c r="J285" s="16" t="n"/>
      <c r="K285" s="16" t="n"/>
      <c r="L285" s="16" t="n"/>
      <c r="M285" s="16" t="n"/>
      <c r="N285" s="15" t="n"/>
      <c r="O285" s="16" t="n"/>
      <c r="P285" s="16" t="n"/>
      <c r="Q285" s="13">
        <f>IF(OR(B285="",C285=""),"",IFERROR(INDEX(LAYOUT!$E$2:$E$33,MATCH(B285&amp;"|"&amp;C285,LAYOUT!$F$2:$F$33,0)),"zona tidak ada di layout"))</f>
        <v/>
      </c>
      <c r="R285" s="14">
        <f>IF(F285="","",IF(OR(I285="",O285=""),0,I285*O285))</f>
        <v/>
      </c>
      <c r="S285" s="14">
        <f>IF(F285="","",SUMIFS($R$2:$R$500,$A$2:$A$500,A285,$C$2:$C$500,C285))</f>
        <v/>
      </c>
      <c r="T285" s="14">
        <f>IF(F285="","",IF(OR(G285="",I285="",J285=""),"CEK data SKU (nama/lebar/tinggi)",IF(COUNTIFS($F$2:$F$500,F285,$I$2:$I$500,"&lt;&gt;"&amp;I285)+COUNTIFS($F$2:$F$500,F285,$J$2:$J$500,"&lt;&gt;"&amp;J285)&gt;0,"CEK data SKU tidak konsisten",IF(Q285="zona tidak ada di layout","CEK zona_no / jenis_fixture",IF(D285&lt;&gt;Q285,"CEK jenis_zona",IF(S285&gt;IFERROR(INDEX(LAYOUT!$C$2:$C$33,MATCH(B285,LAYOUT!$A$2:$A$33,0)),0),"CEK lebar zona melebihi fixture","OK")))))</f>
        <v/>
      </c>
    </row>
    <row r="286">
      <c r="A286" s="15" t="n"/>
      <c r="B286" s="15" t="n"/>
      <c r="C286" s="16" t="n"/>
      <c r="D286" s="15" t="n"/>
      <c r="E286" s="16" t="n"/>
      <c r="F286" s="17" t="n"/>
      <c r="G286" s="15" t="n"/>
      <c r="H286" s="15" t="n"/>
      <c r="I286" s="16" t="n"/>
      <c r="J286" s="16" t="n"/>
      <c r="K286" s="16" t="n"/>
      <c r="L286" s="16" t="n"/>
      <c r="M286" s="16" t="n"/>
      <c r="N286" s="15" t="n"/>
      <c r="O286" s="16" t="n"/>
      <c r="P286" s="16" t="n"/>
      <c r="Q286" s="13">
        <f>IF(OR(B286="",C286=""),"",IFERROR(INDEX(LAYOUT!$E$2:$E$33,MATCH(B286&amp;"|"&amp;C286,LAYOUT!$F$2:$F$33,0)),"zona tidak ada di layout"))</f>
        <v/>
      </c>
      <c r="R286" s="14">
        <f>IF(F286="","",IF(OR(I286="",O286=""),0,I286*O286))</f>
        <v/>
      </c>
      <c r="S286" s="14">
        <f>IF(F286="","",SUMIFS($R$2:$R$500,$A$2:$A$500,A286,$C$2:$C$500,C286))</f>
        <v/>
      </c>
      <c r="T286" s="14">
        <f>IF(F286="","",IF(OR(G286="",I286="",J286=""),"CEK data SKU (nama/lebar/tinggi)",IF(COUNTIFS($F$2:$F$500,F286,$I$2:$I$500,"&lt;&gt;"&amp;I286)+COUNTIFS($F$2:$F$500,F286,$J$2:$J$500,"&lt;&gt;"&amp;J286)&gt;0,"CEK data SKU tidak konsisten",IF(Q286="zona tidak ada di layout","CEK zona_no / jenis_fixture",IF(D286&lt;&gt;Q286,"CEK jenis_zona",IF(S286&gt;IFERROR(INDEX(LAYOUT!$C$2:$C$33,MATCH(B286,LAYOUT!$A$2:$A$33,0)),0),"CEK lebar zona melebihi fixture","OK")))))</f>
        <v/>
      </c>
    </row>
    <row r="287">
      <c r="A287" s="15" t="n"/>
      <c r="B287" s="15" t="n"/>
      <c r="C287" s="16" t="n"/>
      <c r="D287" s="15" t="n"/>
      <c r="E287" s="16" t="n"/>
      <c r="F287" s="17" t="n"/>
      <c r="G287" s="15" t="n"/>
      <c r="H287" s="15" t="n"/>
      <c r="I287" s="16" t="n"/>
      <c r="J287" s="16" t="n"/>
      <c r="K287" s="16" t="n"/>
      <c r="L287" s="16" t="n"/>
      <c r="M287" s="16" t="n"/>
      <c r="N287" s="15" t="n"/>
      <c r="O287" s="16" t="n"/>
      <c r="P287" s="16" t="n"/>
      <c r="Q287" s="13">
        <f>IF(OR(B287="",C287=""),"",IFERROR(INDEX(LAYOUT!$E$2:$E$33,MATCH(B287&amp;"|"&amp;C287,LAYOUT!$F$2:$F$33,0)),"zona tidak ada di layout"))</f>
        <v/>
      </c>
      <c r="R287" s="14">
        <f>IF(F287="","",IF(OR(I287="",O287=""),0,I287*O287))</f>
        <v/>
      </c>
      <c r="S287" s="14">
        <f>IF(F287="","",SUMIFS($R$2:$R$500,$A$2:$A$500,A287,$C$2:$C$500,C287))</f>
        <v/>
      </c>
      <c r="T287" s="14">
        <f>IF(F287="","",IF(OR(G287="",I287="",J287=""),"CEK data SKU (nama/lebar/tinggi)",IF(COUNTIFS($F$2:$F$500,F287,$I$2:$I$500,"&lt;&gt;"&amp;I287)+COUNTIFS($F$2:$F$500,F287,$J$2:$J$500,"&lt;&gt;"&amp;J287)&gt;0,"CEK data SKU tidak konsisten",IF(Q287="zona tidak ada di layout","CEK zona_no / jenis_fixture",IF(D287&lt;&gt;Q287,"CEK jenis_zona",IF(S287&gt;IFERROR(INDEX(LAYOUT!$C$2:$C$33,MATCH(B287,LAYOUT!$A$2:$A$33,0)),0),"CEK lebar zona melebihi fixture","OK")))))</f>
        <v/>
      </c>
    </row>
    <row r="288">
      <c r="A288" s="15" t="n"/>
      <c r="B288" s="15" t="n"/>
      <c r="C288" s="16" t="n"/>
      <c r="D288" s="15" t="n"/>
      <c r="E288" s="16" t="n"/>
      <c r="F288" s="17" t="n"/>
      <c r="G288" s="15" t="n"/>
      <c r="H288" s="15" t="n"/>
      <c r="I288" s="16" t="n"/>
      <c r="J288" s="16" t="n"/>
      <c r="K288" s="16" t="n"/>
      <c r="L288" s="16" t="n"/>
      <c r="M288" s="16" t="n"/>
      <c r="N288" s="15" t="n"/>
      <c r="O288" s="16" t="n"/>
      <c r="P288" s="16" t="n"/>
      <c r="Q288" s="13">
        <f>IF(OR(B288="",C288=""),"",IFERROR(INDEX(LAYOUT!$E$2:$E$33,MATCH(B288&amp;"|"&amp;C288,LAYOUT!$F$2:$F$33,0)),"zona tidak ada di layout"))</f>
        <v/>
      </c>
      <c r="R288" s="14">
        <f>IF(F288="","",IF(OR(I288="",O288=""),0,I288*O288))</f>
        <v/>
      </c>
      <c r="S288" s="14">
        <f>IF(F288="","",SUMIFS($R$2:$R$500,$A$2:$A$500,A288,$C$2:$C$500,C288))</f>
        <v/>
      </c>
      <c r="T288" s="14">
        <f>IF(F288="","",IF(OR(G288="",I288="",J288=""),"CEK data SKU (nama/lebar/tinggi)",IF(COUNTIFS($F$2:$F$500,F288,$I$2:$I$500,"&lt;&gt;"&amp;I288)+COUNTIFS($F$2:$F$500,F288,$J$2:$J$500,"&lt;&gt;"&amp;J288)&gt;0,"CEK data SKU tidak konsisten",IF(Q288="zona tidak ada di layout","CEK zona_no / jenis_fixture",IF(D288&lt;&gt;Q288,"CEK jenis_zona",IF(S288&gt;IFERROR(INDEX(LAYOUT!$C$2:$C$33,MATCH(B288,LAYOUT!$A$2:$A$33,0)),0),"CEK lebar zona melebihi fixture","OK")))))</f>
        <v/>
      </c>
    </row>
    <row r="289">
      <c r="A289" s="15" t="n"/>
      <c r="B289" s="15" t="n"/>
      <c r="C289" s="16" t="n"/>
      <c r="D289" s="15" t="n"/>
      <c r="E289" s="16" t="n"/>
      <c r="F289" s="17" t="n"/>
      <c r="G289" s="15" t="n"/>
      <c r="H289" s="15" t="n"/>
      <c r="I289" s="16" t="n"/>
      <c r="J289" s="16" t="n"/>
      <c r="K289" s="16" t="n"/>
      <c r="L289" s="16" t="n"/>
      <c r="M289" s="16" t="n"/>
      <c r="N289" s="15" t="n"/>
      <c r="O289" s="16" t="n"/>
      <c r="P289" s="16" t="n"/>
      <c r="Q289" s="13">
        <f>IF(OR(B289="",C289=""),"",IFERROR(INDEX(LAYOUT!$E$2:$E$33,MATCH(B289&amp;"|"&amp;C289,LAYOUT!$F$2:$F$33,0)),"zona tidak ada di layout"))</f>
        <v/>
      </c>
      <c r="R289" s="14">
        <f>IF(F289="","",IF(OR(I289="",O289=""),0,I289*O289))</f>
        <v/>
      </c>
      <c r="S289" s="14">
        <f>IF(F289="","",SUMIFS($R$2:$R$500,$A$2:$A$500,A289,$C$2:$C$500,C289))</f>
        <v/>
      </c>
      <c r="T289" s="14">
        <f>IF(F289="","",IF(OR(G289="",I289="",J289=""),"CEK data SKU (nama/lebar/tinggi)",IF(COUNTIFS($F$2:$F$500,F289,$I$2:$I$500,"&lt;&gt;"&amp;I289)+COUNTIFS($F$2:$F$500,F289,$J$2:$J$500,"&lt;&gt;"&amp;J289)&gt;0,"CEK data SKU tidak konsisten",IF(Q289="zona tidak ada di layout","CEK zona_no / jenis_fixture",IF(D289&lt;&gt;Q289,"CEK jenis_zona",IF(S289&gt;IFERROR(INDEX(LAYOUT!$C$2:$C$33,MATCH(B289,LAYOUT!$A$2:$A$33,0)),0),"CEK lebar zona melebihi fixture","OK")))))</f>
        <v/>
      </c>
    </row>
    <row r="290">
      <c r="A290" s="15" t="n"/>
      <c r="B290" s="15" t="n"/>
      <c r="C290" s="16" t="n"/>
      <c r="D290" s="15" t="n"/>
      <c r="E290" s="16" t="n"/>
      <c r="F290" s="17" t="n"/>
      <c r="G290" s="15" t="n"/>
      <c r="H290" s="15" t="n"/>
      <c r="I290" s="16" t="n"/>
      <c r="J290" s="16" t="n"/>
      <c r="K290" s="16" t="n"/>
      <c r="L290" s="16" t="n"/>
      <c r="M290" s="16" t="n"/>
      <c r="N290" s="15" t="n"/>
      <c r="O290" s="16" t="n"/>
      <c r="P290" s="16" t="n"/>
      <c r="Q290" s="13">
        <f>IF(OR(B290="",C290=""),"",IFERROR(INDEX(LAYOUT!$E$2:$E$33,MATCH(B290&amp;"|"&amp;C290,LAYOUT!$F$2:$F$33,0)),"zona tidak ada di layout"))</f>
        <v/>
      </c>
      <c r="R290" s="14">
        <f>IF(F290="","",IF(OR(I290="",O290=""),0,I290*O290))</f>
        <v/>
      </c>
      <c r="S290" s="14">
        <f>IF(F290="","",SUMIFS($R$2:$R$500,$A$2:$A$500,A290,$C$2:$C$500,C290))</f>
        <v/>
      </c>
      <c r="T290" s="14">
        <f>IF(F290="","",IF(OR(G290="",I290="",J290=""),"CEK data SKU (nama/lebar/tinggi)",IF(COUNTIFS($F$2:$F$500,F290,$I$2:$I$500,"&lt;&gt;"&amp;I290)+COUNTIFS($F$2:$F$500,F290,$J$2:$J$500,"&lt;&gt;"&amp;J290)&gt;0,"CEK data SKU tidak konsisten",IF(Q290="zona tidak ada di layout","CEK zona_no / jenis_fixture",IF(D290&lt;&gt;Q290,"CEK jenis_zona",IF(S290&gt;IFERROR(INDEX(LAYOUT!$C$2:$C$33,MATCH(B290,LAYOUT!$A$2:$A$33,0)),0),"CEK lebar zona melebihi fixture","OK")))))</f>
        <v/>
      </c>
    </row>
    <row r="291">
      <c r="A291" s="15" t="n"/>
      <c r="B291" s="15" t="n"/>
      <c r="C291" s="16" t="n"/>
      <c r="D291" s="15" t="n"/>
      <c r="E291" s="16" t="n"/>
      <c r="F291" s="17" t="n"/>
      <c r="G291" s="15" t="n"/>
      <c r="H291" s="15" t="n"/>
      <c r="I291" s="16" t="n"/>
      <c r="J291" s="16" t="n"/>
      <c r="K291" s="16" t="n"/>
      <c r="L291" s="16" t="n"/>
      <c r="M291" s="16" t="n"/>
      <c r="N291" s="15" t="n"/>
      <c r="O291" s="16" t="n"/>
      <c r="P291" s="16" t="n"/>
      <c r="Q291" s="13">
        <f>IF(OR(B291="",C291=""),"",IFERROR(INDEX(LAYOUT!$E$2:$E$33,MATCH(B291&amp;"|"&amp;C291,LAYOUT!$F$2:$F$33,0)),"zona tidak ada di layout"))</f>
        <v/>
      </c>
      <c r="R291" s="14">
        <f>IF(F291="","",IF(OR(I291="",O291=""),0,I291*O291))</f>
        <v/>
      </c>
      <c r="S291" s="14">
        <f>IF(F291="","",SUMIFS($R$2:$R$500,$A$2:$A$500,A291,$C$2:$C$500,C291))</f>
        <v/>
      </c>
      <c r="T291" s="14">
        <f>IF(F291="","",IF(OR(G291="",I291="",J291=""),"CEK data SKU (nama/lebar/tinggi)",IF(COUNTIFS($F$2:$F$500,F291,$I$2:$I$500,"&lt;&gt;"&amp;I291)+COUNTIFS($F$2:$F$500,F291,$J$2:$J$500,"&lt;&gt;"&amp;J291)&gt;0,"CEK data SKU tidak konsisten",IF(Q291="zona tidak ada di layout","CEK zona_no / jenis_fixture",IF(D291&lt;&gt;Q291,"CEK jenis_zona",IF(S291&gt;IFERROR(INDEX(LAYOUT!$C$2:$C$33,MATCH(B291,LAYOUT!$A$2:$A$33,0)),0),"CEK lebar zona melebihi fixture","OK")))))</f>
        <v/>
      </c>
    </row>
    <row r="292">
      <c r="A292" s="15" t="n"/>
      <c r="B292" s="15" t="n"/>
      <c r="C292" s="16" t="n"/>
      <c r="D292" s="15" t="n"/>
      <c r="E292" s="16" t="n"/>
      <c r="F292" s="17" t="n"/>
      <c r="G292" s="15" t="n"/>
      <c r="H292" s="15" t="n"/>
      <c r="I292" s="16" t="n"/>
      <c r="J292" s="16" t="n"/>
      <c r="K292" s="16" t="n"/>
      <c r="L292" s="16" t="n"/>
      <c r="M292" s="16" t="n"/>
      <c r="N292" s="15" t="n"/>
      <c r="O292" s="16" t="n"/>
      <c r="P292" s="16" t="n"/>
      <c r="Q292" s="13">
        <f>IF(OR(B292="",C292=""),"",IFERROR(INDEX(LAYOUT!$E$2:$E$33,MATCH(B292&amp;"|"&amp;C292,LAYOUT!$F$2:$F$33,0)),"zona tidak ada di layout"))</f>
        <v/>
      </c>
      <c r="R292" s="14">
        <f>IF(F292="","",IF(OR(I292="",O292=""),0,I292*O292))</f>
        <v/>
      </c>
      <c r="S292" s="14">
        <f>IF(F292="","",SUMIFS($R$2:$R$500,$A$2:$A$500,A292,$C$2:$C$500,C292))</f>
        <v/>
      </c>
      <c r="T292" s="14">
        <f>IF(F292="","",IF(OR(G292="",I292="",J292=""),"CEK data SKU (nama/lebar/tinggi)",IF(COUNTIFS($F$2:$F$500,F292,$I$2:$I$500,"&lt;&gt;"&amp;I292)+COUNTIFS($F$2:$F$500,F292,$J$2:$J$500,"&lt;&gt;"&amp;J292)&gt;0,"CEK data SKU tidak konsisten",IF(Q292="zona tidak ada di layout","CEK zona_no / jenis_fixture",IF(D292&lt;&gt;Q292,"CEK jenis_zona",IF(S292&gt;IFERROR(INDEX(LAYOUT!$C$2:$C$33,MATCH(B292,LAYOUT!$A$2:$A$33,0)),0),"CEK lebar zona melebihi fixture","OK")))))</f>
        <v/>
      </c>
    </row>
    <row r="293">
      <c r="A293" s="15" t="n"/>
      <c r="B293" s="15" t="n"/>
      <c r="C293" s="16" t="n"/>
      <c r="D293" s="15" t="n"/>
      <c r="E293" s="16" t="n"/>
      <c r="F293" s="17" t="n"/>
      <c r="G293" s="15" t="n"/>
      <c r="H293" s="15" t="n"/>
      <c r="I293" s="16" t="n"/>
      <c r="J293" s="16" t="n"/>
      <c r="K293" s="16" t="n"/>
      <c r="L293" s="16" t="n"/>
      <c r="M293" s="16" t="n"/>
      <c r="N293" s="15" t="n"/>
      <c r="O293" s="16" t="n"/>
      <c r="P293" s="16" t="n"/>
      <c r="Q293" s="13">
        <f>IF(OR(B293="",C293=""),"",IFERROR(INDEX(LAYOUT!$E$2:$E$33,MATCH(B293&amp;"|"&amp;C293,LAYOUT!$F$2:$F$33,0)),"zona tidak ada di layout"))</f>
        <v/>
      </c>
      <c r="R293" s="14">
        <f>IF(F293="","",IF(OR(I293="",O293=""),0,I293*O293))</f>
        <v/>
      </c>
      <c r="S293" s="14">
        <f>IF(F293="","",SUMIFS($R$2:$R$500,$A$2:$A$500,A293,$C$2:$C$500,C293))</f>
        <v/>
      </c>
      <c r="T293" s="14">
        <f>IF(F293="","",IF(OR(G293="",I293="",J293=""),"CEK data SKU (nama/lebar/tinggi)",IF(COUNTIFS($F$2:$F$500,F293,$I$2:$I$500,"&lt;&gt;"&amp;I293)+COUNTIFS($F$2:$F$500,F293,$J$2:$J$500,"&lt;&gt;"&amp;J293)&gt;0,"CEK data SKU tidak konsisten",IF(Q293="zona tidak ada di layout","CEK zona_no / jenis_fixture",IF(D293&lt;&gt;Q293,"CEK jenis_zona",IF(S293&gt;IFERROR(INDEX(LAYOUT!$C$2:$C$33,MATCH(B293,LAYOUT!$A$2:$A$33,0)),0),"CEK lebar zona melebihi fixture","OK")))))</f>
        <v/>
      </c>
    </row>
    <row r="294">
      <c r="A294" s="15" t="n"/>
      <c r="B294" s="15" t="n"/>
      <c r="C294" s="16" t="n"/>
      <c r="D294" s="15" t="n"/>
      <c r="E294" s="16" t="n"/>
      <c r="F294" s="17" t="n"/>
      <c r="G294" s="15" t="n"/>
      <c r="H294" s="15" t="n"/>
      <c r="I294" s="16" t="n"/>
      <c r="J294" s="16" t="n"/>
      <c r="K294" s="16" t="n"/>
      <c r="L294" s="16" t="n"/>
      <c r="M294" s="16" t="n"/>
      <c r="N294" s="15" t="n"/>
      <c r="O294" s="16" t="n"/>
      <c r="P294" s="16" t="n"/>
      <c r="Q294" s="13">
        <f>IF(OR(B294="",C294=""),"",IFERROR(INDEX(LAYOUT!$E$2:$E$33,MATCH(B294&amp;"|"&amp;C294,LAYOUT!$F$2:$F$33,0)),"zona tidak ada di layout"))</f>
        <v/>
      </c>
      <c r="R294" s="14">
        <f>IF(F294="","",IF(OR(I294="",O294=""),0,I294*O294))</f>
        <v/>
      </c>
      <c r="S294" s="14">
        <f>IF(F294="","",SUMIFS($R$2:$R$500,$A$2:$A$500,A294,$C$2:$C$500,C294))</f>
        <v/>
      </c>
      <c r="T294" s="14">
        <f>IF(F294="","",IF(OR(G294="",I294="",J294=""),"CEK data SKU (nama/lebar/tinggi)",IF(COUNTIFS($F$2:$F$500,F294,$I$2:$I$500,"&lt;&gt;"&amp;I294)+COUNTIFS($F$2:$F$500,F294,$J$2:$J$500,"&lt;&gt;"&amp;J294)&gt;0,"CEK data SKU tidak konsisten",IF(Q294="zona tidak ada di layout","CEK zona_no / jenis_fixture",IF(D294&lt;&gt;Q294,"CEK jenis_zona",IF(S294&gt;IFERROR(INDEX(LAYOUT!$C$2:$C$33,MATCH(B294,LAYOUT!$A$2:$A$33,0)),0),"CEK lebar zona melebihi fixture","OK")))))</f>
        <v/>
      </c>
    </row>
    <row r="295">
      <c r="A295" s="15" t="n"/>
      <c r="B295" s="15" t="n"/>
      <c r="C295" s="16" t="n"/>
      <c r="D295" s="15" t="n"/>
      <c r="E295" s="16" t="n"/>
      <c r="F295" s="17" t="n"/>
      <c r="G295" s="15" t="n"/>
      <c r="H295" s="15" t="n"/>
      <c r="I295" s="16" t="n"/>
      <c r="J295" s="16" t="n"/>
      <c r="K295" s="16" t="n"/>
      <c r="L295" s="16" t="n"/>
      <c r="M295" s="16" t="n"/>
      <c r="N295" s="15" t="n"/>
      <c r="O295" s="16" t="n"/>
      <c r="P295" s="16" t="n"/>
      <c r="Q295" s="13">
        <f>IF(OR(B295="",C295=""),"",IFERROR(INDEX(LAYOUT!$E$2:$E$33,MATCH(B295&amp;"|"&amp;C295,LAYOUT!$F$2:$F$33,0)),"zona tidak ada di layout"))</f>
        <v/>
      </c>
      <c r="R295" s="14">
        <f>IF(F295="","",IF(OR(I295="",O295=""),0,I295*O295))</f>
        <v/>
      </c>
      <c r="S295" s="14">
        <f>IF(F295="","",SUMIFS($R$2:$R$500,$A$2:$A$500,A295,$C$2:$C$500,C295))</f>
        <v/>
      </c>
      <c r="T295" s="14">
        <f>IF(F295="","",IF(OR(G295="",I295="",J295=""),"CEK data SKU (nama/lebar/tinggi)",IF(COUNTIFS($F$2:$F$500,F295,$I$2:$I$500,"&lt;&gt;"&amp;I295)+COUNTIFS($F$2:$F$500,F295,$J$2:$J$500,"&lt;&gt;"&amp;J295)&gt;0,"CEK data SKU tidak konsisten",IF(Q295="zona tidak ada di layout","CEK zona_no / jenis_fixture",IF(D295&lt;&gt;Q295,"CEK jenis_zona",IF(S295&gt;IFERROR(INDEX(LAYOUT!$C$2:$C$33,MATCH(B295,LAYOUT!$A$2:$A$33,0)),0),"CEK lebar zona melebihi fixture","OK")))))</f>
        <v/>
      </c>
    </row>
    <row r="296">
      <c r="A296" s="15" t="n"/>
      <c r="B296" s="15" t="n"/>
      <c r="C296" s="16" t="n"/>
      <c r="D296" s="15" t="n"/>
      <c r="E296" s="16" t="n"/>
      <c r="F296" s="17" t="n"/>
      <c r="G296" s="15" t="n"/>
      <c r="H296" s="15" t="n"/>
      <c r="I296" s="16" t="n"/>
      <c r="J296" s="16" t="n"/>
      <c r="K296" s="16" t="n"/>
      <c r="L296" s="16" t="n"/>
      <c r="M296" s="16" t="n"/>
      <c r="N296" s="15" t="n"/>
      <c r="O296" s="16" t="n"/>
      <c r="P296" s="16" t="n"/>
      <c r="Q296" s="13">
        <f>IF(OR(B296="",C296=""),"",IFERROR(INDEX(LAYOUT!$E$2:$E$33,MATCH(B296&amp;"|"&amp;C296,LAYOUT!$F$2:$F$33,0)),"zona tidak ada di layout"))</f>
        <v/>
      </c>
      <c r="R296" s="14">
        <f>IF(F296="","",IF(OR(I296="",O296=""),0,I296*O296))</f>
        <v/>
      </c>
      <c r="S296" s="14">
        <f>IF(F296="","",SUMIFS($R$2:$R$500,$A$2:$A$500,A296,$C$2:$C$500,C296))</f>
        <v/>
      </c>
      <c r="T296" s="14">
        <f>IF(F296="","",IF(OR(G296="",I296="",J296=""),"CEK data SKU (nama/lebar/tinggi)",IF(COUNTIFS($F$2:$F$500,F296,$I$2:$I$500,"&lt;&gt;"&amp;I296)+COUNTIFS($F$2:$F$500,F296,$J$2:$J$500,"&lt;&gt;"&amp;J296)&gt;0,"CEK data SKU tidak konsisten",IF(Q296="zona tidak ada di layout","CEK zona_no / jenis_fixture",IF(D296&lt;&gt;Q296,"CEK jenis_zona",IF(S296&gt;IFERROR(INDEX(LAYOUT!$C$2:$C$33,MATCH(B296,LAYOUT!$A$2:$A$33,0)),0),"CEK lebar zona melebihi fixture","OK")))))</f>
        <v/>
      </c>
    </row>
    <row r="297">
      <c r="A297" s="15" t="n"/>
      <c r="B297" s="15" t="n"/>
      <c r="C297" s="16" t="n"/>
      <c r="D297" s="15" t="n"/>
      <c r="E297" s="16" t="n"/>
      <c r="F297" s="17" t="n"/>
      <c r="G297" s="15" t="n"/>
      <c r="H297" s="15" t="n"/>
      <c r="I297" s="16" t="n"/>
      <c r="J297" s="16" t="n"/>
      <c r="K297" s="16" t="n"/>
      <c r="L297" s="16" t="n"/>
      <c r="M297" s="16" t="n"/>
      <c r="N297" s="15" t="n"/>
      <c r="O297" s="16" t="n"/>
      <c r="P297" s="16" t="n"/>
      <c r="Q297" s="13">
        <f>IF(OR(B297="",C297=""),"",IFERROR(INDEX(LAYOUT!$E$2:$E$33,MATCH(B297&amp;"|"&amp;C297,LAYOUT!$F$2:$F$33,0)),"zona tidak ada di layout"))</f>
        <v/>
      </c>
      <c r="R297" s="14">
        <f>IF(F297="","",IF(OR(I297="",O297=""),0,I297*O297))</f>
        <v/>
      </c>
      <c r="S297" s="14">
        <f>IF(F297="","",SUMIFS($R$2:$R$500,$A$2:$A$500,A297,$C$2:$C$500,C297))</f>
        <v/>
      </c>
      <c r="T297" s="14">
        <f>IF(F297="","",IF(OR(G297="",I297="",J297=""),"CEK data SKU (nama/lebar/tinggi)",IF(COUNTIFS($F$2:$F$500,F297,$I$2:$I$500,"&lt;&gt;"&amp;I297)+COUNTIFS($F$2:$F$500,F297,$J$2:$J$500,"&lt;&gt;"&amp;J297)&gt;0,"CEK data SKU tidak konsisten",IF(Q297="zona tidak ada di layout","CEK zona_no / jenis_fixture",IF(D297&lt;&gt;Q297,"CEK jenis_zona",IF(S297&gt;IFERROR(INDEX(LAYOUT!$C$2:$C$33,MATCH(B297,LAYOUT!$A$2:$A$33,0)),0),"CEK lebar zona melebihi fixture","OK")))))</f>
        <v/>
      </c>
    </row>
    <row r="298">
      <c r="A298" s="15" t="n"/>
      <c r="B298" s="15" t="n"/>
      <c r="C298" s="16" t="n"/>
      <c r="D298" s="15" t="n"/>
      <c r="E298" s="16" t="n"/>
      <c r="F298" s="17" t="n"/>
      <c r="G298" s="15" t="n"/>
      <c r="H298" s="15" t="n"/>
      <c r="I298" s="16" t="n"/>
      <c r="J298" s="16" t="n"/>
      <c r="K298" s="16" t="n"/>
      <c r="L298" s="16" t="n"/>
      <c r="M298" s="16" t="n"/>
      <c r="N298" s="15" t="n"/>
      <c r="O298" s="16" t="n"/>
      <c r="P298" s="16" t="n"/>
      <c r="Q298" s="13">
        <f>IF(OR(B298="",C298=""),"",IFERROR(INDEX(LAYOUT!$E$2:$E$33,MATCH(B298&amp;"|"&amp;C298,LAYOUT!$F$2:$F$33,0)),"zona tidak ada di layout"))</f>
        <v/>
      </c>
      <c r="R298" s="14">
        <f>IF(F298="","",IF(OR(I298="",O298=""),0,I298*O298))</f>
        <v/>
      </c>
      <c r="S298" s="14">
        <f>IF(F298="","",SUMIFS($R$2:$R$500,$A$2:$A$500,A298,$C$2:$C$500,C298))</f>
        <v/>
      </c>
      <c r="T298" s="14">
        <f>IF(F298="","",IF(OR(G298="",I298="",J298=""),"CEK data SKU (nama/lebar/tinggi)",IF(COUNTIFS($F$2:$F$500,F298,$I$2:$I$500,"&lt;&gt;"&amp;I298)+COUNTIFS($F$2:$F$500,F298,$J$2:$J$500,"&lt;&gt;"&amp;J298)&gt;0,"CEK data SKU tidak konsisten",IF(Q298="zona tidak ada di layout","CEK zona_no / jenis_fixture",IF(D298&lt;&gt;Q298,"CEK jenis_zona",IF(S298&gt;IFERROR(INDEX(LAYOUT!$C$2:$C$33,MATCH(B298,LAYOUT!$A$2:$A$33,0)),0),"CEK lebar zona melebihi fixture","OK")))))</f>
        <v/>
      </c>
    </row>
    <row r="299">
      <c r="A299" s="15" t="n"/>
      <c r="B299" s="15" t="n"/>
      <c r="C299" s="16" t="n"/>
      <c r="D299" s="15" t="n"/>
      <c r="E299" s="16" t="n"/>
      <c r="F299" s="17" t="n"/>
      <c r="G299" s="15" t="n"/>
      <c r="H299" s="15" t="n"/>
      <c r="I299" s="16" t="n"/>
      <c r="J299" s="16" t="n"/>
      <c r="K299" s="16" t="n"/>
      <c r="L299" s="16" t="n"/>
      <c r="M299" s="16" t="n"/>
      <c r="N299" s="15" t="n"/>
      <c r="O299" s="16" t="n"/>
      <c r="P299" s="16" t="n"/>
      <c r="Q299" s="13">
        <f>IF(OR(B299="",C299=""),"",IFERROR(INDEX(LAYOUT!$E$2:$E$33,MATCH(B299&amp;"|"&amp;C299,LAYOUT!$F$2:$F$33,0)),"zona tidak ada di layout"))</f>
        <v/>
      </c>
      <c r="R299" s="14">
        <f>IF(F299="","",IF(OR(I299="",O299=""),0,I299*O299))</f>
        <v/>
      </c>
      <c r="S299" s="14">
        <f>IF(F299="","",SUMIFS($R$2:$R$500,$A$2:$A$500,A299,$C$2:$C$500,C299))</f>
        <v/>
      </c>
      <c r="T299" s="14">
        <f>IF(F299="","",IF(OR(G299="",I299="",J299=""),"CEK data SKU (nama/lebar/tinggi)",IF(COUNTIFS($F$2:$F$500,F299,$I$2:$I$500,"&lt;&gt;"&amp;I299)+COUNTIFS($F$2:$F$500,F299,$J$2:$J$500,"&lt;&gt;"&amp;J299)&gt;0,"CEK data SKU tidak konsisten",IF(Q299="zona tidak ada di layout","CEK zona_no / jenis_fixture",IF(D299&lt;&gt;Q299,"CEK jenis_zona",IF(S299&gt;IFERROR(INDEX(LAYOUT!$C$2:$C$33,MATCH(B299,LAYOUT!$A$2:$A$33,0)),0),"CEK lebar zona melebihi fixture","OK")))))</f>
        <v/>
      </c>
    </row>
    <row r="300">
      <c r="A300" s="15" t="n"/>
      <c r="B300" s="15" t="n"/>
      <c r="C300" s="16" t="n"/>
      <c r="D300" s="15" t="n"/>
      <c r="E300" s="16" t="n"/>
      <c r="F300" s="17" t="n"/>
      <c r="G300" s="15" t="n"/>
      <c r="H300" s="15" t="n"/>
      <c r="I300" s="16" t="n"/>
      <c r="J300" s="16" t="n"/>
      <c r="K300" s="16" t="n"/>
      <c r="L300" s="16" t="n"/>
      <c r="M300" s="16" t="n"/>
      <c r="N300" s="15" t="n"/>
      <c r="O300" s="16" t="n"/>
      <c r="P300" s="16" t="n"/>
      <c r="Q300" s="13">
        <f>IF(OR(B300="",C300=""),"",IFERROR(INDEX(LAYOUT!$E$2:$E$33,MATCH(B300&amp;"|"&amp;C300,LAYOUT!$F$2:$F$33,0)),"zona tidak ada di layout"))</f>
        <v/>
      </c>
      <c r="R300" s="14">
        <f>IF(F300="","",IF(OR(I300="",O300=""),0,I300*O300))</f>
        <v/>
      </c>
      <c r="S300" s="14">
        <f>IF(F300="","",SUMIFS($R$2:$R$500,$A$2:$A$500,A300,$C$2:$C$500,C300))</f>
        <v/>
      </c>
      <c r="T300" s="14">
        <f>IF(F300="","",IF(OR(G300="",I300="",J300=""),"CEK data SKU (nama/lebar/tinggi)",IF(COUNTIFS($F$2:$F$500,F300,$I$2:$I$500,"&lt;&gt;"&amp;I300)+COUNTIFS($F$2:$F$500,F300,$J$2:$J$500,"&lt;&gt;"&amp;J300)&gt;0,"CEK data SKU tidak konsisten",IF(Q300="zona tidak ada di layout","CEK zona_no / jenis_fixture",IF(D300&lt;&gt;Q300,"CEK jenis_zona",IF(S300&gt;IFERROR(INDEX(LAYOUT!$C$2:$C$33,MATCH(B300,LAYOUT!$A$2:$A$33,0)),0),"CEK lebar zona melebihi fixture","OK")))))</f>
        <v/>
      </c>
    </row>
    <row r="301">
      <c r="A301" s="15" t="n"/>
      <c r="B301" s="15" t="n"/>
      <c r="C301" s="16" t="n"/>
      <c r="D301" s="15" t="n"/>
      <c r="E301" s="16" t="n"/>
      <c r="F301" s="17" t="n"/>
      <c r="G301" s="15" t="n"/>
      <c r="H301" s="15" t="n"/>
      <c r="I301" s="16" t="n"/>
      <c r="J301" s="16" t="n"/>
      <c r="K301" s="16" t="n"/>
      <c r="L301" s="16" t="n"/>
      <c r="M301" s="16" t="n"/>
      <c r="N301" s="15" t="n"/>
      <c r="O301" s="16" t="n"/>
      <c r="P301" s="16" t="n"/>
      <c r="Q301" s="13">
        <f>IF(OR(B301="",C301=""),"",IFERROR(INDEX(LAYOUT!$E$2:$E$33,MATCH(B301&amp;"|"&amp;C301,LAYOUT!$F$2:$F$33,0)),"zona tidak ada di layout"))</f>
        <v/>
      </c>
      <c r="R301" s="14">
        <f>IF(F301="","",IF(OR(I301="",O301=""),0,I301*O301))</f>
        <v/>
      </c>
      <c r="S301" s="14">
        <f>IF(F301="","",SUMIFS($R$2:$R$500,$A$2:$A$500,A301,$C$2:$C$500,C301))</f>
        <v/>
      </c>
      <c r="T301" s="14">
        <f>IF(F301="","",IF(OR(G301="",I301="",J301=""),"CEK data SKU (nama/lebar/tinggi)",IF(COUNTIFS($F$2:$F$500,F301,$I$2:$I$500,"&lt;&gt;"&amp;I301)+COUNTIFS($F$2:$F$500,F301,$J$2:$J$500,"&lt;&gt;"&amp;J301)&gt;0,"CEK data SKU tidak konsisten",IF(Q301="zona tidak ada di layout","CEK zona_no / jenis_fixture",IF(D301&lt;&gt;Q301,"CEK jenis_zona",IF(S301&gt;IFERROR(INDEX(LAYOUT!$C$2:$C$33,MATCH(B301,LAYOUT!$A$2:$A$33,0)),0),"CEK lebar zona melebihi fixture","OK")))))</f>
        <v/>
      </c>
    </row>
    <row r="302">
      <c r="A302" s="15" t="n"/>
      <c r="B302" s="15" t="n"/>
      <c r="C302" s="16" t="n"/>
      <c r="D302" s="15" t="n"/>
      <c r="E302" s="16" t="n"/>
      <c r="F302" s="17" t="n"/>
      <c r="G302" s="15" t="n"/>
      <c r="H302" s="15" t="n"/>
      <c r="I302" s="16" t="n"/>
      <c r="J302" s="16" t="n"/>
      <c r="K302" s="16" t="n"/>
      <c r="L302" s="16" t="n"/>
      <c r="M302" s="16" t="n"/>
      <c r="N302" s="15" t="n"/>
      <c r="O302" s="16" t="n"/>
      <c r="P302" s="16" t="n"/>
      <c r="Q302" s="13">
        <f>IF(OR(B302="",C302=""),"",IFERROR(INDEX(LAYOUT!$E$2:$E$33,MATCH(B302&amp;"|"&amp;C302,LAYOUT!$F$2:$F$33,0)),"zona tidak ada di layout"))</f>
        <v/>
      </c>
      <c r="R302" s="14">
        <f>IF(F302="","",IF(OR(I302="",O302=""),0,I302*O302))</f>
        <v/>
      </c>
      <c r="S302" s="14">
        <f>IF(F302="","",SUMIFS($R$2:$R$500,$A$2:$A$500,A302,$C$2:$C$500,C302))</f>
        <v/>
      </c>
      <c r="T302" s="14">
        <f>IF(F302="","",IF(OR(G302="",I302="",J302=""),"CEK data SKU (nama/lebar/tinggi)",IF(COUNTIFS($F$2:$F$500,F302,$I$2:$I$500,"&lt;&gt;"&amp;I302)+COUNTIFS($F$2:$F$500,F302,$J$2:$J$500,"&lt;&gt;"&amp;J302)&gt;0,"CEK data SKU tidak konsisten",IF(Q302="zona tidak ada di layout","CEK zona_no / jenis_fixture",IF(D302&lt;&gt;Q302,"CEK jenis_zona",IF(S302&gt;IFERROR(INDEX(LAYOUT!$C$2:$C$33,MATCH(B302,LAYOUT!$A$2:$A$33,0)),0),"CEK lebar zona melebihi fixture","OK")))))</f>
        <v/>
      </c>
    </row>
    <row r="303">
      <c r="A303" s="15" t="n"/>
      <c r="B303" s="15" t="n"/>
      <c r="C303" s="16" t="n"/>
      <c r="D303" s="15" t="n"/>
      <c r="E303" s="16" t="n"/>
      <c r="F303" s="17" t="n"/>
      <c r="G303" s="15" t="n"/>
      <c r="H303" s="15" t="n"/>
      <c r="I303" s="16" t="n"/>
      <c r="J303" s="16" t="n"/>
      <c r="K303" s="16" t="n"/>
      <c r="L303" s="16" t="n"/>
      <c r="M303" s="16" t="n"/>
      <c r="N303" s="15" t="n"/>
      <c r="O303" s="16" t="n"/>
      <c r="P303" s="16" t="n"/>
      <c r="Q303" s="13">
        <f>IF(OR(B303="",C303=""),"",IFERROR(INDEX(LAYOUT!$E$2:$E$33,MATCH(B303&amp;"|"&amp;C303,LAYOUT!$F$2:$F$33,0)),"zona tidak ada di layout"))</f>
        <v/>
      </c>
      <c r="R303" s="14">
        <f>IF(F303="","",IF(OR(I303="",O303=""),0,I303*O303))</f>
        <v/>
      </c>
      <c r="S303" s="14">
        <f>IF(F303="","",SUMIFS($R$2:$R$500,$A$2:$A$500,A303,$C$2:$C$500,C303))</f>
        <v/>
      </c>
      <c r="T303" s="14">
        <f>IF(F303="","",IF(OR(G303="",I303="",J303=""),"CEK data SKU (nama/lebar/tinggi)",IF(COUNTIFS($F$2:$F$500,F303,$I$2:$I$500,"&lt;&gt;"&amp;I303)+COUNTIFS($F$2:$F$500,F303,$J$2:$J$500,"&lt;&gt;"&amp;J303)&gt;0,"CEK data SKU tidak konsisten",IF(Q303="zona tidak ada di layout","CEK zona_no / jenis_fixture",IF(D303&lt;&gt;Q303,"CEK jenis_zona",IF(S303&gt;IFERROR(INDEX(LAYOUT!$C$2:$C$33,MATCH(B303,LAYOUT!$A$2:$A$33,0)),0),"CEK lebar zona melebihi fixture","OK")))))</f>
        <v/>
      </c>
    </row>
    <row r="304">
      <c r="A304" s="15" t="n"/>
      <c r="B304" s="15" t="n"/>
      <c r="C304" s="16" t="n"/>
      <c r="D304" s="15" t="n"/>
      <c r="E304" s="16" t="n"/>
      <c r="F304" s="17" t="n"/>
      <c r="G304" s="15" t="n"/>
      <c r="H304" s="15" t="n"/>
      <c r="I304" s="16" t="n"/>
      <c r="J304" s="16" t="n"/>
      <c r="K304" s="16" t="n"/>
      <c r="L304" s="16" t="n"/>
      <c r="M304" s="16" t="n"/>
      <c r="N304" s="15" t="n"/>
      <c r="O304" s="16" t="n"/>
      <c r="P304" s="16" t="n"/>
      <c r="Q304" s="13">
        <f>IF(OR(B304="",C304=""),"",IFERROR(INDEX(LAYOUT!$E$2:$E$33,MATCH(B304&amp;"|"&amp;C304,LAYOUT!$F$2:$F$33,0)),"zona tidak ada di layout"))</f>
        <v/>
      </c>
      <c r="R304" s="14">
        <f>IF(F304="","",IF(OR(I304="",O304=""),0,I304*O304))</f>
        <v/>
      </c>
      <c r="S304" s="14">
        <f>IF(F304="","",SUMIFS($R$2:$R$500,$A$2:$A$500,A304,$C$2:$C$500,C304))</f>
        <v/>
      </c>
      <c r="T304" s="14">
        <f>IF(F304="","",IF(OR(G304="",I304="",J304=""),"CEK data SKU (nama/lebar/tinggi)",IF(COUNTIFS($F$2:$F$500,F304,$I$2:$I$500,"&lt;&gt;"&amp;I304)+COUNTIFS($F$2:$F$500,F304,$J$2:$J$500,"&lt;&gt;"&amp;J304)&gt;0,"CEK data SKU tidak konsisten",IF(Q304="zona tidak ada di layout","CEK zona_no / jenis_fixture",IF(D304&lt;&gt;Q304,"CEK jenis_zona",IF(S304&gt;IFERROR(INDEX(LAYOUT!$C$2:$C$33,MATCH(B304,LAYOUT!$A$2:$A$33,0)),0),"CEK lebar zona melebihi fixture","OK")))))</f>
        <v/>
      </c>
    </row>
    <row r="305">
      <c r="A305" s="15" t="n"/>
      <c r="B305" s="15" t="n"/>
      <c r="C305" s="16" t="n"/>
      <c r="D305" s="15" t="n"/>
      <c r="E305" s="16" t="n"/>
      <c r="F305" s="17" t="n"/>
      <c r="G305" s="15" t="n"/>
      <c r="H305" s="15" t="n"/>
      <c r="I305" s="16" t="n"/>
      <c r="J305" s="16" t="n"/>
      <c r="K305" s="16" t="n"/>
      <c r="L305" s="16" t="n"/>
      <c r="M305" s="16" t="n"/>
      <c r="N305" s="15" t="n"/>
      <c r="O305" s="16" t="n"/>
      <c r="P305" s="16" t="n"/>
      <c r="Q305" s="13">
        <f>IF(OR(B305="",C305=""),"",IFERROR(INDEX(LAYOUT!$E$2:$E$33,MATCH(B305&amp;"|"&amp;C305,LAYOUT!$F$2:$F$33,0)),"zona tidak ada di layout"))</f>
        <v/>
      </c>
      <c r="R305" s="14">
        <f>IF(F305="","",IF(OR(I305="",O305=""),0,I305*O305))</f>
        <v/>
      </c>
      <c r="S305" s="14">
        <f>IF(F305="","",SUMIFS($R$2:$R$500,$A$2:$A$500,A305,$C$2:$C$500,C305))</f>
        <v/>
      </c>
      <c r="T305" s="14">
        <f>IF(F305="","",IF(OR(G305="",I305="",J305=""),"CEK data SKU (nama/lebar/tinggi)",IF(COUNTIFS($F$2:$F$500,F305,$I$2:$I$500,"&lt;&gt;"&amp;I305)+COUNTIFS($F$2:$F$500,F305,$J$2:$J$500,"&lt;&gt;"&amp;J305)&gt;0,"CEK data SKU tidak konsisten",IF(Q305="zona tidak ada di layout","CEK zona_no / jenis_fixture",IF(D305&lt;&gt;Q305,"CEK jenis_zona",IF(S305&gt;IFERROR(INDEX(LAYOUT!$C$2:$C$33,MATCH(B305,LAYOUT!$A$2:$A$33,0)),0),"CEK lebar zona melebihi fixture","OK")))))</f>
        <v/>
      </c>
    </row>
    <row r="306">
      <c r="A306" s="15" t="n"/>
      <c r="B306" s="15" t="n"/>
      <c r="C306" s="16" t="n"/>
      <c r="D306" s="15" t="n"/>
      <c r="E306" s="16" t="n"/>
      <c r="F306" s="17" t="n"/>
      <c r="G306" s="15" t="n"/>
      <c r="H306" s="15" t="n"/>
      <c r="I306" s="16" t="n"/>
      <c r="J306" s="16" t="n"/>
      <c r="K306" s="16" t="n"/>
      <c r="L306" s="16" t="n"/>
      <c r="M306" s="16" t="n"/>
      <c r="N306" s="15" t="n"/>
      <c r="O306" s="16" t="n"/>
      <c r="P306" s="16" t="n"/>
      <c r="Q306" s="13">
        <f>IF(OR(B306="",C306=""),"",IFERROR(INDEX(LAYOUT!$E$2:$E$33,MATCH(B306&amp;"|"&amp;C306,LAYOUT!$F$2:$F$33,0)),"zona tidak ada di layout"))</f>
        <v/>
      </c>
      <c r="R306" s="14">
        <f>IF(F306="","",IF(OR(I306="",O306=""),0,I306*O306))</f>
        <v/>
      </c>
      <c r="S306" s="14">
        <f>IF(F306="","",SUMIFS($R$2:$R$500,$A$2:$A$500,A306,$C$2:$C$500,C306))</f>
        <v/>
      </c>
      <c r="T306" s="14">
        <f>IF(F306="","",IF(OR(G306="",I306="",J306=""),"CEK data SKU (nama/lebar/tinggi)",IF(COUNTIFS($F$2:$F$500,F306,$I$2:$I$500,"&lt;&gt;"&amp;I306)+COUNTIFS($F$2:$F$500,F306,$J$2:$J$500,"&lt;&gt;"&amp;J306)&gt;0,"CEK data SKU tidak konsisten",IF(Q306="zona tidak ada di layout","CEK zona_no / jenis_fixture",IF(D306&lt;&gt;Q306,"CEK jenis_zona",IF(S306&gt;IFERROR(INDEX(LAYOUT!$C$2:$C$33,MATCH(B306,LAYOUT!$A$2:$A$33,0)),0),"CEK lebar zona melebihi fixture","OK")))))</f>
        <v/>
      </c>
    </row>
    <row r="307">
      <c r="A307" s="15" t="n"/>
      <c r="B307" s="15" t="n"/>
      <c r="C307" s="16" t="n"/>
      <c r="D307" s="15" t="n"/>
      <c r="E307" s="16" t="n"/>
      <c r="F307" s="17" t="n"/>
      <c r="G307" s="15" t="n"/>
      <c r="H307" s="15" t="n"/>
      <c r="I307" s="16" t="n"/>
      <c r="J307" s="16" t="n"/>
      <c r="K307" s="16" t="n"/>
      <c r="L307" s="16" t="n"/>
      <c r="M307" s="16" t="n"/>
      <c r="N307" s="15" t="n"/>
      <c r="O307" s="16" t="n"/>
      <c r="P307" s="16" t="n"/>
      <c r="Q307" s="13">
        <f>IF(OR(B307="",C307=""),"",IFERROR(INDEX(LAYOUT!$E$2:$E$33,MATCH(B307&amp;"|"&amp;C307,LAYOUT!$F$2:$F$33,0)),"zona tidak ada di layout"))</f>
        <v/>
      </c>
      <c r="R307" s="14">
        <f>IF(F307="","",IF(OR(I307="",O307=""),0,I307*O307))</f>
        <v/>
      </c>
      <c r="S307" s="14">
        <f>IF(F307="","",SUMIFS($R$2:$R$500,$A$2:$A$500,A307,$C$2:$C$500,C307))</f>
        <v/>
      </c>
      <c r="T307" s="14">
        <f>IF(F307="","",IF(OR(G307="",I307="",J307=""),"CEK data SKU (nama/lebar/tinggi)",IF(COUNTIFS($F$2:$F$500,F307,$I$2:$I$500,"&lt;&gt;"&amp;I307)+COUNTIFS($F$2:$F$500,F307,$J$2:$J$500,"&lt;&gt;"&amp;J307)&gt;0,"CEK data SKU tidak konsisten",IF(Q307="zona tidak ada di layout","CEK zona_no / jenis_fixture",IF(D307&lt;&gt;Q307,"CEK jenis_zona",IF(S307&gt;IFERROR(INDEX(LAYOUT!$C$2:$C$33,MATCH(B307,LAYOUT!$A$2:$A$33,0)),0),"CEK lebar zona melebihi fixture","OK")))))</f>
        <v/>
      </c>
    </row>
    <row r="308">
      <c r="A308" s="15" t="n"/>
      <c r="B308" s="15" t="n"/>
      <c r="C308" s="16" t="n"/>
      <c r="D308" s="15" t="n"/>
      <c r="E308" s="16" t="n"/>
      <c r="F308" s="17" t="n"/>
      <c r="G308" s="15" t="n"/>
      <c r="H308" s="15" t="n"/>
      <c r="I308" s="16" t="n"/>
      <c r="J308" s="16" t="n"/>
      <c r="K308" s="16" t="n"/>
      <c r="L308" s="16" t="n"/>
      <c r="M308" s="16" t="n"/>
      <c r="N308" s="15" t="n"/>
      <c r="O308" s="16" t="n"/>
      <c r="P308" s="16" t="n"/>
      <c r="Q308" s="13">
        <f>IF(OR(B308="",C308=""),"",IFERROR(INDEX(LAYOUT!$E$2:$E$33,MATCH(B308&amp;"|"&amp;C308,LAYOUT!$F$2:$F$33,0)),"zona tidak ada di layout"))</f>
        <v/>
      </c>
      <c r="R308" s="14">
        <f>IF(F308="","",IF(OR(I308="",O308=""),0,I308*O308))</f>
        <v/>
      </c>
      <c r="S308" s="14">
        <f>IF(F308="","",SUMIFS($R$2:$R$500,$A$2:$A$500,A308,$C$2:$C$500,C308))</f>
        <v/>
      </c>
      <c r="T308" s="14">
        <f>IF(F308="","",IF(OR(G308="",I308="",J308=""),"CEK data SKU (nama/lebar/tinggi)",IF(COUNTIFS($F$2:$F$500,F308,$I$2:$I$500,"&lt;&gt;"&amp;I308)+COUNTIFS($F$2:$F$500,F308,$J$2:$J$500,"&lt;&gt;"&amp;J308)&gt;0,"CEK data SKU tidak konsisten",IF(Q308="zona tidak ada di layout","CEK zona_no / jenis_fixture",IF(D308&lt;&gt;Q308,"CEK jenis_zona",IF(S308&gt;IFERROR(INDEX(LAYOUT!$C$2:$C$33,MATCH(B308,LAYOUT!$A$2:$A$33,0)),0),"CEK lebar zona melebihi fixture","OK")))))</f>
        <v/>
      </c>
    </row>
    <row r="309">
      <c r="A309" s="15" t="n"/>
      <c r="B309" s="15" t="n"/>
      <c r="C309" s="16" t="n"/>
      <c r="D309" s="15" t="n"/>
      <c r="E309" s="16" t="n"/>
      <c r="F309" s="17" t="n"/>
      <c r="G309" s="15" t="n"/>
      <c r="H309" s="15" t="n"/>
      <c r="I309" s="16" t="n"/>
      <c r="J309" s="16" t="n"/>
      <c r="K309" s="16" t="n"/>
      <c r="L309" s="16" t="n"/>
      <c r="M309" s="16" t="n"/>
      <c r="N309" s="15" t="n"/>
      <c r="O309" s="16" t="n"/>
      <c r="P309" s="16" t="n"/>
      <c r="Q309" s="13">
        <f>IF(OR(B309="",C309=""),"",IFERROR(INDEX(LAYOUT!$E$2:$E$33,MATCH(B309&amp;"|"&amp;C309,LAYOUT!$F$2:$F$33,0)),"zona tidak ada di layout"))</f>
        <v/>
      </c>
      <c r="R309" s="14">
        <f>IF(F309="","",IF(OR(I309="",O309=""),0,I309*O309))</f>
        <v/>
      </c>
      <c r="S309" s="14">
        <f>IF(F309="","",SUMIFS($R$2:$R$500,$A$2:$A$500,A309,$C$2:$C$500,C309))</f>
        <v/>
      </c>
      <c r="T309" s="14">
        <f>IF(F309="","",IF(OR(G309="",I309="",J309=""),"CEK data SKU (nama/lebar/tinggi)",IF(COUNTIFS($F$2:$F$500,F309,$I$2:$I$500,"&lt;&gt;"&amp;I309)+COUNTIFS($F$2:$F$500,F309,$J$2:$J$500,"&lt;&gt;"&amp;J309)&gt;0,"CEK data SKU tidak konsisten",IF(Q309="zona tidak ada di layout","CEK zona_no / jenis_fixture",IF(D309&lt;&gt;Q309,"CEK jenis_zona",IF(S309&gt;IFERROR(INDEX(LAYOUT!$C$2:$C$33,MATCH(B309,LAYOUT!$A$2:$A$33,0)),0),"CEK lebar zona melebihi fixture","OK")))))</f>
        <v/>
      </c>
    </row>
    <row r="310">
      <c r="A310" s="15" t="n"/>
      <c r="B310" s="15" t="n"/>
      <c r="C310" s="16" t="n"/>
      <c r="D310" s="15" t="n"/>
      <c r="E310" s="16" t="n"/>
      <c r="F310" s="17" t="n"/>
      <c r="G310" s="15" t="n"/>
      <c r="H310" s="15" t="n"/>
      <c r="I310" s="16" t="n"/>
      <c r="J310" s="16" t="n"/>
      <c r="K310" s="16" t="n"/>
      <c r="L310" s="16" t="n"/>
      <c r="M310" s="16" t="n"/>
      <c r="N310" s="15" t="n"/>
      <c r="O310" s="16" t="n"/>
      <c r="P310" s="16" t="n"/>
      <c r="Q310" s="13">
        <f>IF(OR(B310="",C310=""),"",IFERROR(INDEX(LAYOUT!$E$2:$E$33,MATCH(B310&amp;"|"&amp;C310,LAYOUT!$F$2:$F$33,0)),"zona tidak ada di layout"))</f>
        <v/>
      </c>
      <c r="R310" s="14">
        <f>IF(F310="","",IF(OR(I310="",O310=""),0,I310*O310))</f>
        <v/>
      </c>
      <c r="S310" s="14">
        <f>IF(F310="","",SUMIFS($R$2:$R$500,$A$2:$A$500,A310,$C$2:$C$500,C310))</f>
        <v/>
      </c>
      <c r="T310" s="14">
        <f>IF(F310="","",IF(OR(G310="",I310="",J310=""),"CEK data SKU (nama/lebar/tinggi)",IF(COUNTIFS($F$2:$F$500,F310,$I$2:$I$500,"&lt;&gt;"&amp;I310)+COUNTIFS($F$2:$F$500,F310,$J$2:$J$500,"&lt;&gt;"&amp;J310)&gt;0,"CEK data SKU tidak konsisten",IF(Q310="zona tidak ada di layout","CEK zona_no / jenis_fixture",IF(D310&lt;&gt;Q310,"CEK jenis_zona",IF(S310&gt;IFERROR(INDEX(LAYOUT!$C$2:$C$33,MATCH(B310,LAYOUT!$A$2:$A$33,0)),0),"CEK lebar zona melebihi fixture","OK")))))</f>
        <v/>
      </c>
    </row>
    <row r="311">
      <c r="A311" s="15" t="n"/>
      <c r="B311" s="15" t="n"/>
      <c r="C311" s="16" t="n"/>
      <c r="D311" s="15" t="n"/>
      <c r="E311" s="16" t="n"/>
      <c r="F311" s="17" t="n"/>
      <c r="G311" s="15" t="n"/>
      <c r="H311" s="15" t="n"/>
      <c r="I311" s="16" t="n"/>
      <c r="J311" s="16" t="n"/>
      <c r="K311" s="16" t="n"/>
      <c r="L311" s="16" t="n"/>
      <c r="M311" s="16" t="n"/>
      <c r="N311" s="15" t="n"/>
      <c r="O311" s="16" t="n"/>
      <c r="P311" s="16" t="n"/>
      <c r="Q311" s="13">
        <f>IF(OR(B311="",C311=""),"",IFERROR(INDEX(LAYOUT!$E$2:$E$33,MATCH(B311&amp;"|"&amp;C311,LAYOUT!$F$2:$F$33,0)),"zona tidak ada di layout"))</f>
        <v/>
      </c>
      <c r="R311" s="14">
        <f>IF(F311="","",IF(OR(I311="",O311=""),0,I311*O311))</f>
        <v/>
      </c>
      <c r="S311" s="14">
        <f>IF(F311="","",SUMIFS($R$2:$R$500,$A$2:$A$500,A311,$C$2:$C$500,C311))</f>
        <v/>
      </c>
      <c r="T311" s="14">
        <f>IF(F311="","",IF(OR(G311="",I311="",J311=""),"CEK data SKU (nama/lebar/tinggi)",IF(COUNTIFS($F$2:$F$500,F311,$I$2:$I$500,"&lt;&gt;"&amp;I311)+COUNTIFS($F$2:$F$500,F311,$J$2:$J$500,"&lt;&gt;"&amp;J311)&gt;0,"CEK data SKU tidak konsisten",IF(Q311="zona tidak ada di layout","CEK zona_no / jenis_fixture",IF(D311&lt;&gt;Q311,"CEK jenis_zona",IF(S311&gt;IFERROR(INDEX(LAYOUT!$C$2:$C$33,MATCH(B311,LAYOUT!$A$2:$A$33,0)),0),"CEK lebar zona melebihi fixture","OK")))))</f>
        <v/>
      </c>
    </row>
    <row r="312">
      <c r="A312" s="15" t="n"/>
      <c r="B312" s="15" t="n"/>
      <c r="C312" s="16" t="n"/>
      <c r="D312" s="15" t="n"/>
      <c r="E312" s="16" t="n"/>
      <c r="F312" s="17" t="n"/>
      <c r="G312" s="15" t="n"/>
      <c r="H312" s="15" t="n"/>
      <c r="I312" s="16" t="n"/>
      <c r="J312" s="16" t="n"/>
      <c r="K312" s="16" t="n"/>
      <c r="L312" s="16" t="n"/>
      <c r="M312" s="16" t="n"/>
      <c r="N312" s="15" t="n"/>
      <c r="O312" s="16" t="n"/>
      <c r="P312" s="16" t="n"/>
      <c r="Q312" s="13">
        <f>IF(OR(B312="",C312=""),"",IFERROR(INDEX(LAYOUT!$E$2:$E$33,MATCH(B312&amp;"|"&amp;C312,LAYOUT!$F$2:$F$33,0)),"zona tidak ada di layout"))</f>
        <v/>
      </c>
      <c r="R312" s="14">
        <f>IF(F312="","",IF(OR(I312="",O312=""),0,I312*O312))</f>
        <v/>
      </c>
      <c r="S312" s="14">
        <f>IF(F312="","",SUMIFS($R$2:$R$500,$A$2:$A$500,A312,$C$2:$C$500,C312))</f>
        <v/>
      </c>
      <c r="T312" s="14">
        <f>IF(F312="","",IF(OR(G312="",I312="",J312=""),"CEK data SKU (nama/lebar/tinggi)",IF(COUNTIFS($F$2:$F$500,F312,$I$2:$I$500,"&lt;&gt;"&amp;I312)+COUNTIFS($F$2:$F$500,F312,$J$2:$J$500,"&lt;&gt;"&amp;J312)&gt;0,"CEK data SKU tidak konsisten",IF(Q312="zona tidak ada di layout","CEK zona_no / jenis_fixture",IF(D312&lt;&gt;Q312,"CEK jenis_zona",IF(S312&gt;IFERROR(INDEX(LAYOUT!$C$2:$C$33,MATCH(B312,LAYOUT!$A$2:$A$33,0)),0),"CEK lebar zona melebihi fixture","OK")))))</f>
        <v/>
      </c>
    </row>
    <row r="313">
      <c r="A313" s="15" t="n"/>
      <c r="B313" s="15" t="n"/>
      <c r="C313" s="16" t="n"/>
      <c r="D313" s="15" t="n"/>
      <c r="E313" s="16" t="n"/>
      <c r="F313" s="17" t="n"/>
      <c r="G313" s="15" t="n"/>
      <c r="H313" s="15" t="n"/>
      <c r="I313" s="16" t="n"/>
      <c r="J313" s="16" t="n"/>
      <c r="K313" s="16" t="n"/>
      <c r="L313" s="16" t="n"/>
      <c r="M313" s="16" t="n"/>
      <c r="N313" s="15" t="n"/>
      <c r="O313" s="16" t="n"/>
      <c r="P313" s="16" t="n"/>
      <c r="Q313" s="13">
        <f>IF(OR(B313="",C313=""),"",IFERROR(INDEX(LAYOUT!$E$2:$E$33,MATCH(B313&amp;"|"&amp;C313,LAYOUT!$F$2:$F$33,0)),"zona tidak ada di layout"))</f>
        <v/>
      </c>
      <c r="R313" s="14">
        <f>IF(F313="","",IF(OR(I313="",O313=""),0,I313*O313))</f>
        <v/>
      </c>
      <c r="S313" s="14">
        <f>IF(F313="","",SUMIFS($R$2:$R$500,$A$2:$A$500,A313,$C$2:$C$500,C313))</f>
        <v/>
      </c>
      <c r="T313" s="14">
        <f>IF(F313="","",IF(OR(G313="",I313="",J313=""),"CEK data SKU (nama/lebar/tinggi)",IF(COUNTIFS($F$2:$F$500,F313,$I$2:$I$500,"&lt;&gt;"&amp;I313)+COUNTIFS($F$2:$F$500,F313,$J$2:$J$500,"&lt;&gt;"&amp;J313)&gt;0,"CEK data SKU tidak konsisten",IF(Q313="zona tidak ada di layout","CEK zona_no / jenis_fixture",IF(D313&lt;&gt;Q313,"CEK jenis_zona",IF(S313&gt;IFERROR(INDEX(LAYOUT!$C$2:$C$33,MATCH(B313,LAYOUT!$A$2:$A$33,0)),0),"CEK lebar zona melebihi fixture","OK")))))</f>
        <v/>
      </c>
    </row>
    <row r="314">
      <c r="A314" s="15" t="n"/>
      <c r="B314" s="15" t="n"/>
      <c r="C314" s="16" t="n"/>
      <c r="D314" s="15" t="n"/>
      <c r="E314" s="16" t="n"/>
      <c r="F314" s="17" t="n"/>
      <c r="G314" s="15" t="n"/>
      <c r="H314" s="15" t="n"/>
      <c r="I314" s="16" t="n"/>
      <c r="J314" s="16" t="n"/>
      <c r="K314" s="16" t="n"/>
      <c r="L314" s="16" t="n"/>
      <c r="M314" s="16" t="n"/>
      <c r="N314" s="15" t="n"/>
      <c r="O314" s="16" t="n"/>
      <c r="P314" s="16" t="n"/>
      <c r="Q314" s="13">
        <f>IF(OR(B314="",C314=""),"",IFERROR(INDEX(LAYOUT!$E$2:$E$33,MATCH(B314&amp;"|"&amp;C314,LAYOUT!$F$2:$F$33,0)),"zona tidak ada di layout"))</f>
        <v/>
      </c>
      <c r="R314" s="14">
        <f>IF(F314="","",IF(OR(I314="",O314=""),0,I314*O314))</f>
        <v/>
      </c>
      <c r="S314" s="14">
        <f>IF(F314="","",SUMIFS($R$2:$R$500,$A$2:$A$500,A314,$C$2:$C$500,C314))</f>
        <v/>
      </c>
      <c r="T314" s="14">
        <f>IF(F314="","",IF(OR(G314="",I314="",J314=""),"CEK data SKU (nama/lebar/tinggi)",IF(COUNTIFS($F$2:$F$500,F314,$I$2:$I$500,"&lt;&gt;"&amp;I314)+COUNTIFS($F$2:$F$500,F314,$J$2:$J$500,"&lt;&gt;"&amp;J314)&gt;0,"CEK data SKU tidak konsisten",IF(Q314="zona tidak ada di layout","CEK zona_no / jenis_fixture",IF(D314&lt;&gt;Q314,"CEK jenis_zona",IF(S314&gt;IFERROR(INDEX(LAYOUT!$C$2:$C$33,MATCH(B314,LAYOUT!$A$2:$A$33,0)),0),"CEK lebar zona melebihi fixture","OK")))))</f>
        <v/>
      </c>
    </row>
    <row r="315">
      <c r="A315" s="15" t="n"/>
      <c r="B315" s="15" t="n"/>
      <c r="C315" s="16" t="n"/>
      <c r="D315" s="15" t="n"/>
      <c r="E315" s="16" t="n"/>
      <c r="F315" s="17" t="n"/>
      <c r="G315" s="15" t="n"/>
      <c r="H315" s="15" t="n"/>
      <c r="I315" s="16" t="n"/>
      <c r="J315" s="16" t="n"/>
      <c r="K315" s="16" t="n"/>
      <c r="L315" s="16" t="n"/>
      <c r="M315" s="16" t="n"/>
      <c r="N315" s="15" t="n"/>
      <c r="O315" s="16" t="n"/>
      <c r="P315" s="16" t="n"/>
      <c r="Q315" s="13">
        <f>IF(OR(B315="",C315=""),"",IFERROR(INDEX(LAYOUT!$E$2:$E$33,MATCH(B315&amp;"|"&amp;C315,LAYOUT!$F$2:$F$33,0)),"zona tidak ada di layout"))</f>
        <v/>
      </c>
      <c r="R315" s="14">
        <f>IF(F315="","",IF(OR(I315="",O315=""),0,I315*O315))</f>
        <v/>
      </c>
      <c r="S315" s="14">
        <f>IF(F315="","",SUMIFS($R$2:$R$500,$A$2:$A$500,A315,$C$2:$C$500,C315))</f>
        <v/>
      </c>
      <c r="T315" s="14">
        <f>IF(F315="","",IF(OR(G315="",I315="",J315=""),"CEK data SKU (nama/lebar/tinggi)",IF(COUNTIFS($F$2:$F$500,F315,$I$2:$I$500,"&lt;&gt;"&amp;I315)+COUNTIFS($F$2:$F$500,F315,$J$2:$J$500,"&lt;&gt;"&amp;J315)&gt;0,"CEK data SKU tidak konsisten",IF(Q315="zona tidak ada di layout","CEK zona_no / jenis_fixture",IF(D315&lt;&gt;Q315,"CEK jenis_zona",IF(S315&gt;IFERROR(INDEX(LAYOUT!$C$2:$C$33,MATCH(B315,LAYOUT!$A$2:$A$33,0)),0),"CEK lebar zona melebihi fixture","OK")))))</f>
        <v/>
      </c>
    </row>
    <row r="316">
      <c r="A316" s="15" t="n"/>
      <c r="B316" s="15" t="n"/>
      <c r="C316" s="16" t="n"/>
      <c r="D316" s="15" t="n"/>
      <c r="E316" s="16" t="n"/>
      <c r="F316" s="17" t="n"/>
      <c r="G316" s="15" t="n"/>
      <c r="H316" s="15" t="n"/>
      <c r="I316" s="16" t="n"/>
      <c r="J316" s="16" t="n"/>
      <c r="K316" s="16" t="n"/>
      <c r="L316" s="16" t="n"/>
      <c r="M316" s="16" t="n"/>
      <c r="N316" s="15" t="n"/>
      <c r="O316" s="16" t="n"/>
      <c r="P316" s="16" t="n"/>
      <c r="Q316" s="13">
        <f>IF(OR(B316="",C316=""),"",IFERROR(INDEX(LAYOUT!$E$2:$E$33,MATCH(B316&amp;"|"&amp;C316,LAYOUT!$F$2:$F$33,0)),"zona tidak ada di layout"))</f>
        <v/>
      </c>
      <c r="R316" s="14">
        <f>IF(F316="","",IF(OR(I316="",O316=""),0,I316*O316))</f>
        <v/>
      </c>
      <c r="S316" s="14">
        <f>IF(F316="","",SUMIFS($R$2:$R$500,$A$2:$A$500,A316,$C$2:$C$500,C316))</f>
        <v/>
      </c>
      <c r="T316" s="14">
        <f>IF(F316="","",IF(OR(G316="",I316="",J316=""),"CEK data SKU (nama/lebar/tinggi)",IF(COUNTIFS($F$2:$F$500,F316,$I$2:$I$500,"&lt;&gt;"&amp;I316)+COUNTIFS($F$2:$F$500,F316,$J$2:$J$500,"&lt;&gt;"&amp;J316)&gt;0,"CEK data SKU tidak konsisten",IF(Q316="zona tidak ada di layout","CEK zona_no / jenis_fixture",IF(D316&lt;&gt;Q316,"CEK jenis_zona",IF(S316&gt;IFERROR(INDEX(LAYOUT!$C$2:$C$33,MATCH(B316,LAYOUT!$A$2:$A$33,0)),0),"CEK lebar zona melebihi fixture","OK")))))</f>
        <v/>
      </c>
    </row>
    <row r="317">
      <c r="A317" s="15" t="n"/>
      <c r="B317" s="15" t="n"/>
      <c r="C317" s="16" t="n"/>
      <c r="D317" s="15" t="n"/>
      <c r="E317" s="16" t="n"/>
      <c r="F317" s="17" t="n"/>
      <c r="G317" s="15" t="n"/>
      <c r="H317" s="15" t="n"/>
      <c r="I317" s="16" t="n"/>
      <c r="J317" s="16" t="n"/>
      <c r="K317" s="16" t="n"/>
      <c r="L317" s="16" t="n"/>
      <c r="M317" s="16" t="n"/>
      <c r="N317" s="15" t="n"/>
      <c r="O317" s="16" t="n"/>
      <c r="P317" s="16" t="n"/>
      <c r="Q317" s="13">
        <f>IF(OR(B317="",C317=""),"",IFERROR(INDEX(LAYOUT!$E$2:$E$33,MATCH(B317&amp;"|"&amp;C317,LAYOUT!$F$2:$F$33,0)),"zona tidak ada di layout"))</f>
        <v/>
      </c>
      <c r="R317" s="14">
        <f>IF(F317="","",IF(OR(I317="",O317=""),0,I317*O317))</f>
        <v/>
      </c>
      <c r="S317" s="14">
        <f>IF(F317="","",SUMIFS($R$2:$R$500,$A$2:$A$500,A317,$C$2:$C$500,C317))</f>
        <v/>
      </c>
      <c r="T317" s="14">
        <f>IF(F317="","",IF(OR(G317="",I317="",J317=""),"CEK data SKU (nama/lebar/tinggi)",IF(COUNTIFS($F$2:$F$500,F317,$I$2:$I$500,"&lt;&gt;"&amp;I317)+COUNTIFS($F$2:$F$500,F317,$J$2:$J$500,"&lt;&gt;"&amp;J317)&gt;0,"CEK data SKU tidak konsisten",IF(Q317="zona tidak ada di layout","CEK zona_no / jenis_fixture",IF(D317&lt;&gt;Q317,"CEK jenis_zona",IF(S317&gt;IFERROR(INDEX(LAYOUT!$C$2:$C$33,MATCH(B317,LAYOUT!$A$2:$A$33,0)),0),"CEK lebar zona melebihi fixture","OK")))))</f>
        <v/>
      </c>
    </row>
    <row r="318">
      <c r="A318" s="15" t="n"/>
      <c r="B318" s="15" t="n"/>
      <c r="C318" s="16" t="n"/>
      <c r="D318" s="15" t="n"/>
      <c r="E318" s="16" t="n"/>
      <c r="F318" s="17" t="n"/>
      <c r="G318" s="15" t="n"/>
      <c r="H318" s="15" t="n"/>
      <c r="I318" s="16" t="n"/>
      <c r="J318" s="16" t="n"/>
      <c r="K318" s="16" t="n"/>
      <c r="L318" s="16" t="n"/>
      <c r="M318" s="16" t="n"/>
      <c r="N318" s="15" t="n"/>
      <c r="O318" s="16" t="n"/>
      <c r="P318" s="16" t="n"/>
      <c r="Q318" s="13">
        <f>IF(OR(B318="",C318=""),"",IFERROR(INDEX(LAYOUT!$E$2:$E$33,MATCH(B318&amp;"|"&amp;C318,LAYOUT!$F$2:$F$33,0)),"zona tidak ada di layout"))</f>
        <v/>
      </c>
      <c r="R318" s="14">
        <f>IF(F318="","",IF(OR(I318="",O318=""),0,I318*O318))</f>
        <v/>
      </c>
      <c r="S318" s="14">
        <f>IF(F318="","",SUMIFS($R$2:$R$500,$A$2:$A$500,A318,$C$2:$C$500,C318))</f>
        <v/>
      </c>
      <c r="T318" s="14">
        <f>IF(F318="","",IF(OR(G318="",I318="",J318=""),"CEK data SKU (nama/lebar/tinggi)",IF(COUNTIFS($F$2:$F$500,F318,$I$2:$I$500,"&lt;&gt;"&amp;I318)+COUNTIFS($F$2:$F$500,F318,$J$2:$J$500,"&lt;&gt;"&amp;J318)&gt;0,"CEK data SKU tidak konsisten",IF(Q318="zona tidak ada di layout","CEK zona_no / jenis_fixture",IF(D318&lt;&gt;Q318,"CEK jenis_zona",IF(S318&gt;IFERROR(INDEX(LAYOUT!$C$2:$C$33,MATCH(B318,LAYOUT!$A$2:$A$33,0)),0),"CEK lebar zona melebihi fixture","OK")))))</f>
        <v/>
      </c>
    </row>
    <row r="319">
      <c r="A319" s="15" t="n"/>
      <c r="B319" s="15" t="n"/>
      <c r="C319" s="16" t="n"/>
      <c r="D319" s="15" t="n"/>
      <c r="E319" s="16" t="n"/>
      <c r="F319" s="17" t="n"/>
      <c r="G319" s="15" t="n"/>
      <c r="H319" s="15" t="n"/>
      <c r="I319" s="16" t="n"/>
      <c r="J319" s="16" t="n"/>
      <c r="K319" s="16" t="n"/>
      <c r="L319" s="16" t="n"/>
      <c r="M319" s="16" t="n"/>
      <c r="N319" s="15" t="n"/>
      <c r="O319" s="16" t="n"/>
      <c r="P319" s="16" t="n"/>
      <c r="Q319" s="13">
        <f>IF(OR(B319="",C319=""),"",IFERROR(INDEX(LAYOUT!$E$2:$E$33,MATCH(B319&amp;"|"&amp;C319,LAYOUT!$F$2:$F$33,0)),"zona tidak ada di layout"))</f>
        <v/>
      </c>
      <c r="R319" s="14">
        <f>IF(F319="","",IF(OR(I319="",O319=""),0,I319*O319))</f>
        <v/>
      </c>
      <c r="S319" s="14">
        <f>IF(F319="","",SUMIFS($R$2:$R$500,$A$2:$A$500,A319,$C$2:$C$500,C319))</f>
        <v/>
      </c>
      <c r="T319" s="14">
        <f>IF(F319="","",IF(OR(G319="",I319="",J319=""),"CEK data SKU (nama/lebar/tinggi)",IF(COUNTIFS($F$2:$F$500,F319,$I$2:$I$500,"&lt;&gt;"&amp;I319)+COUNTIFS($F$2:$F$500,F319,$J$2:$J$500,"&lt;&gt;"&amp;J319)&gt;0,"CEK data SKU tidak konsisten",IF(Q319="zona tidak ada di layout","CEK zona_no / jenis_fixture",IF(D319&lt;&gt;Q319,"CEK jenis_zona",IF(S319&gt;IFERROR(INDEX(LAYOUT!$C$2:$C$33,MATCH(B319,LAYOUT!$A$2:$A$33,0)),0),"CEK lebar zona melebihi fixture","OK")))))</f>
        <v/>
      </c>
    </row>
    <row r="320">
      <c r="A320" s="15" t="n"/>
      <c r="B320" s="15" t="n"/>
      <c r="C320" s="16" t="n"/>
      <c r="D320" s="15" t="n"/>
      <c r="E320" s="16" t="n"/>
      <c r="F320" s="17" t="n"/>
      <c r="G320" s="15" t="n"/>
      <c r="H320" s="15" t="n"/>
      <c r="I320" s="16" t="n"/>
      <c r="J320" s="16" t="n"/>
      <c r="K320" s="16" t="n"/>
      <c r="L320" s="16" t="n"/>
      <c r="M320" s="16" t="n"/>
      <c r="N320" s="15" t="n"/>
      <c r="O320" s="16" t="n"/>
      <c r="P320" s="16" t="n"/>
      <c r="Q320" s="13">
        <f>IF(OR(B320="",C320=""),"",IFERROR(INDEX(LAYOUT!$E$2:$E$33,MATCH(B320&amp;"|"&amp;C320,LAYOUT!$F$2:$F$33,0)),"zona tidak ada di layout"))</f>
        <v/>
      </c>
      <c r="R320" s="14">
        <f>IF(F320="","",IF(OR(I320="",O320=""),0,I320*O320))</f>
        <v/>
      </c>
      <c r="S320" s="14">
        <f>IF(F320="","",SUMIFS($R$2:$R$500,$A$2:$A$500,A320,$C$2:$C$500,C320))</f>
        <v/>
      </c>
      <c r="T320" s="14">
        <f>IF(F320="","",IF(OR(G320="",I320="",J320=""),"CEK data SKU (nama/lebar/tinggi)",IF(COUNTIFS($F$2:$F$500,F320,$I$2:$I$500,"&lt;&gt;"&amp;I320)+COUNTIFS($F$2:$F$500,F320,$J$2:$J$500,"&lt;&gt;"&amp;J320)&gt;0,"CEK data SKU tidak konsisten",IF(Q320="zona tidak ada di layout","CEK zona_no / jenis_fixture",IF(D320&lt;&gt;Q320,"CEK jenis_zona",IF(S320&gt;IFERROR(INDEX(LAYOUT!$C$2:$C$33,MATCH(B320,LAYOUT!$A$2:$A$33,0)),0),"CEK lebar zona melebihi fixture","OK")))))</f>
        <v/>
      </c>
    </row>
    <row r="321">
      <c r="A321" s="15" t="n"/>
      <c r="B321" s="15" t="n"/>
      <c r="C321" s="16" t="n"/>
      <c r="D321" s="15" t="n"/>
      <c r="E321" s="16" t="n"/>
      <c r="F321" s="17" t="n"/>
      <c r="G321" s="15" t="n"/>
      <c r="H321" s="15" t="n"/>
      <c r="I321" s="16" t="n"/>
      <c r="J321" s="16" t="n"/>
      <c r="K321" s="16" t="n"/>
      <c r="L321" s="16" t="n"/>
      <c r="M321" s="16" t="n"/>
      <c r="N321" s="15" t="n"/>
      <c r="O321" s="16" t="n"/>
      <c r="P321" s="16" t="n"/>
      <c r="Q321" s="13">
        <f>IF(OR(B321="",C321=""),"",IFERROR(INDEX(LAYOUT!$E$2:$E$33,MATCH(B321&amp;"|"&amp;C321,LAYOUT!$F$2:$F$33,0)),"zona tidak ada di layout"))</f>
        <v/>
      </c>
      <c r="R321" s="14">
        <f>IF(F321="","",IF(OR(I321="",O321=""),0,I321*O321))</f>
        <v/>
      </c>
      <c r="S321" s="14">
        <f>IF(F321="","",SUMIFS($R$2:$R$500,$A$2:$A$500,A321,$C$2:$C$500,C321))</f>
        <v/>
      </c>
      <c r="T321" s="14">
        <f>IF(F321="","",IF(OR(G321="",I321="",J321=""),"CEK data SKU (nama/lebar/tinggi)",IF(COUNTIFS($F$2:$F$500,F321,$I$2:$I$500,"&lt;&gt;"&amp;I321)+COUNTIFS($F$2:$F$500,F321,$J$2:$J$500,"&lt;&gt;"&amp;J321)&gt;0,"CEK data SKU tidak konsisten",IF(Q321="zona tidak ada di layout","CEK zona_no / jenis_fixture",IF(D321&lt;&gt;Q321,"CEK jenis_zona",IF(S321&gt;IFERROR(INDEX(LAYOUT!$C$2:$C$33,MATCH(B321,LAYOUT!$A$2:$A$33,0)),0),"CEK lebar zona melebihi fixture","OK")))))</f>
        <v/>
      </c>
    </row>
    <row r="322">
      <c r="A322" s="15" t="n"/>
      <c r="B322" s="15" t="n"/>
      <c r="C322" s="16" t="n"/>
      <c r="D322" s="15" t="n"/>
      <c r="E322" s="16" t="n"/>
      <c r="F322" s="17" t="n"/>
      <c r="G322" s="15" t="n"/>
      <c r="H322" s="15" t="n"/>
      <c r="I322" s="16" t="n"/>
      <c r="J322" s="16" t="n"/>
      <c r="K322" s="16" t="n"/>
      <c r="L322" s="16" t="n"/>
      <c r="M322" s="16" t="n"/>
      <c r="N322" s="15" t="n"/>
      <c r="O322" s="16" t="n"/>
      <c r="P322" s="16" t="n"/>
      <c r="Q322" s="13">
        <f>IF(OR(B322="",C322=""),"",IFERROR(INDEX(LAYOUT!$E$2:$E$33,MATCH(B322&amp;"|"&amp;C322,LAYOUT!$F$2:$F$33,0)),"zona tidak ada di layout"))</f>
        <v/>
      </c>
      <c r="R322" s="14">
        <f>IF(F322="","",IF(OR(I322="",O322=""),0,I322*O322))</f>
        <v/>
      </c>
      <c r="S322" s="14">
        <f>IF(F322="","",SUMIFS($R$2:$R$500,$A$2:$A$500,A322,$C$2:$C$500,C322))</f>
        <v/>
      </c>
      <c r="T322" s="14">
        <f>IF(F322="","",IF(OR(G322="",I322="",J322=""),"CEK data SKU (nama/lebar/tinggi)",IF(COUNTIFS($F$2:$F$500,F322,$I$2:$I$500,"&lt;&gt;"&amp;I322)+COUNTIFS($F$2:$F$500,F322,$J$2:$J$500,"&lt;&gt;"&amp;J322)&gt;0,"CEK data SKU tidak konsisten",IF(Q322="zona tidak ada di layout","CEK zona_no / jenis_fixture",IF(D322&lt;&gt;Q322,"CEK jenis_zona",IF(S322&gt;IFERROR(INDEX(LAYOUT!$C$2:$C$33,MATCH(B322,LAYOUT!$A$2:$A$33,0)),0),"CEK lebar zona melebihi fixture","OK")))))</f>
        <v/>
      </c>
    </row>
    <row r="323">
      <c r="A323" s="15" t="n"/>
      <c r="B323" s="15" t="n"/>
      <c r="C323" s="16" t="n"/>
      <c r="D323" s="15" t="n"/>
      <c r="E323" s="16" t="n"/>
      <c r="F323" s="17" t="n"/>
      <c r="G323" s="15" t="n"/>
      <c r="H323" s="15" t="n"/>
      <c r="I323" s="16" t="n"/>
      <c r="J323" s="16" t="n"/>
      <c r="K323" s="16" t="n"/>
      <c r="L323" s="16" t="n"/>
      <c r="M323" s="16" t="n"/>
      <c r="N323" s="15" t="n"/>
      <c r="O323" s="16" t="n"/>
      <c r="P323" s="16" t="n"/>
      <c r="Q323" s="13">
        <f>IF(OR(B323="",C323=""),"",IFERROR(INDEX(LAYOUT!$E$2:$E$33,MATCH(B323&amp;"|"&amp;C323,LAYOUT!$F$2:$F$33,0)),"zona tidak ada di layout"))</f>
        <v/>
      </c>
      <c r="R323" s="14">
        <f>IF(F323="","",IF(OR(I323="",O323=""),0,I323*O323))</f>
        <v/>
      </c>
      <c r="S323" s="14">
        <f>IF(F323="","",SUMIFS($R$2:$R$500,$A$2:$A$500,A323,$C$2:$C$500,C323))</f>
        <v/>
      </c>
      <c r="T323" s="14">
        <f>IF(F323="","",IF(OR(G323="",I323="",J323=""),"CEK data SKU (nama/lebar/tinggi)",IF(COUNTIFS($F$2:$F$500,F323,$I$2:$I$500,"&lt;&gt;"&amp;I323)+COUNTIFS($F$2:$F$500,F323,$J$2:$J$500,"&lt;&gt;"&amp;J323)&gt;0,"CEK data SKU tidak konsisten",IF(Q323="zona tidak ada di layout","CEK zona_no / jenis_fixture",IF(D323&lt;&gt;Q323,"CEK jenis_zona",IF(S323&gt;IFERROR(INDEX(LAYOUT!$C$2:$C$33,MATCH(B323,LAYOUT!$A$2:$A$33,0)),0),"CEK lebar zona melebihi fixture","OK")))))</f>
        <v/>
      </c>
    </row>
    <row r="324">
      <c r="A324" s="15" t="n"/>
      <c r="B324" s="15" t="n"/>
      <c r="C324" s="16" t="n"/>
      <c r="D324" s="15" t="n"/>
      <c r="E324" s="16" t="n"/>
      <c r="F324" s="17" t="n"/>
      <c r="G324" s="15" t="n"/>
      <c r="H324" s="15" t="n"/>
      <c r="I324" s="16" t="n"/>
      <c r="J324" s="16" t="n"/>
      <c r="K324" s="16" t="n"/>
      <c r="L324" s="16" t="n"/>
      <c r="M324" s="16" t="n"/>
      <c r="N324" s="15" t="n"/>
      <c r="O324" s="16" t="n"/>
      <c r="P324" s="16" t="n"/>
      <c r="Q324" s="13">
        <f>IF(OR(B324="",C324=""),"",IFERROR(INDEX(LAYOUT!$E$2:$E$33,MATCH(B324&amp;"|"&amp;C324,LAYOUT!$F$2:$F$33,0)),"zona tidak ada di layout"))</f>
        <v/>
      </c>
      <c r="R324" s="14">
        <f>IF(F324="","",IF(OR(I324="",O324=""),0,I324*O324))</f>
        <v/>
      </c>
      <c r="S324" s="14">
        <f>IF(F324="","",SUMIFS($R$2:$R$500,$A$2:$A$500,A324,$C$2:$C$500,C324))</f>
        <v/>
      </c>
      <c r="T324" s="14">
        <f>IF(F324="","",IF(OR(G324="",I324="",J324=""),"CEK data SKU (nama/lebar/tinggi)",IF(COUNTIFS($F$2:$F$500,F324,$I$2:$I$500,"&lt;&gt;"&amp;I324)+COUNTIFS($F$2:$F$500,F324,$J$2:$J$500,"&lt;&gt;"&amp;J324)&gt;0,"CEK data SKU tidak konsisten",IF(Q324="zona tidak ada di layout","CEK zona_no / jenis_fixture",IF(D324&lt;&gt;Q324,"CEK jenis_zona",IF(S324&gt;IFERROR(INDEX(LAYOUT!$C$2:$C$33,MATCH(B324,LAYOUT!$A$2:$A$33,0)),0),"CEK lebar zona melebihi fixture","OK")))))</f>
        <v/>
      </c>
    </row>
    <row r="325">
      <c r="A325" s="15" t="n"/>
      <c r="B325" s="15" t="n"/>
      <c r="C325" s="16" t="n"/>
      <c r="D325" s="15" t="n"/>
      <c r="E325" s="16" t="n"/>
      <c r="F325" s="17" t="n"/>
      <c r="G325" s="15" t="n"/>
      <c r="H325" s="15" t="n"/>
      <c r="I325" s="16" t="n"/>
      <c r="J325" s="16" t="n"/>
      <c r="K325" s="16" t="n"/>
      <c r="L325" s="16" t="n"/>
      <c r="M325" s="16" t="n"/>
      <c r="N325" s="15" t="n"/>
      <c r="O325" s="16" t="n"/>
      <c r="P325" s="16" t="n"/>
      <c r="Q325" s="13">
        <f>IF(OR(B325="",C325=""),"",IFERROR(INDEX(LAYOUT!$E$2:$E$33,MATCH(B325&amp;"|"&amp;C325,LAYOUT!$F$2:$F$33,0)),"zona tidak ada di layout"))</f>
        <v/>
      </c>
      <c r="R325" s="14">
        <f>IF(F325="","",IF(OR(I325="",O325=""),0,I325*O325))</f>
        <v/>
      </c>
      <c r="S325" s="14">
        <f>IF(F325="","",SUMIFS($R$2:$R$500,$A$2:$A$500,A325,$C$2:$C$500,C325))</f>
        <v/>
      </c>
      <c r="T325" s="14">
        <f>IF(F325="","",IF(OR(G325="",I325="",J325=""),"CEK data SKU (nama/lebar/tinggi)",IF(COUNTIFS($F$2:$F$500,F325,$I$2:$I$500,"&lt;&gt;"&amp;I325)+COUNTIFS($F$2:$F$500,F325,$J$2:$J$500,"&lt;&gt;"&amp;J325)&gt;0,"CEK data SKU tidak konsisten",IF(Q325="zona tidak ada di layout","CEK zona_no / jenis_fixture",IF(D325&lt;&gt;Q325,"CEK jenis_zona",IF(S325&gt;IFERROR(INDEX(LAYOUT!$C$2:$C$33,MATCH(B325,LAYOUT!$A$2:$A$33,0)),0),"CEK lebar zona melebihi fixture","OK")))))</f>
        <v/>
      </c>
    </row>
    <row r="326">
      <c r="A326" s="15" t="n"/>
      <c r="B326" s="15" t="n"/>
      <c r="C326" s="16" t="n"/>
      <c r="D326" s="15" t="n"/>
      <c r="E326" s="16" t="n"/>
      <c r="F326" s="17" t="n"/>
      <c r="G326" s="15" t="n"/>
      <c r="H326" s="15" t="n"/>
      <c r="I326" s="16" t="n"/>
      <c r="J326" s="16" t="n"/>
      <c r="K326" s="16" t="n"/>
      <c r="L326" s="16" t="n"/>
      <c r="M326" s="16" t="n"/>
      <c r="N326" s="15" t="n"/>
      <c r="O326" s="16" t="n"/>
      <c r="P326" s="16" t="n"/>
      <c r="Q326" s="13">
        <f>IF(OR(B326="",C326=""),"",IFERROR(INDEX(LAYOUT!$E$2:$E$33,MATCH(B326&amp;"|"&amp;C326,LAYOUT!$F$2:$F$33,0)),"zona tidak ada di layout"))</f>
        <v/>
      </c>
      <c r="R326" s="14">
        <f>IF(F326="","",IF(OR(I326="",O326=""),0,I326*O326))</f>
        <v/>
      </c>
      <c r="S326" s="14">
        <f>IF(F326="","",SUMIFS($R$2:$R$500,$A$2:$A$500,A326,$C$2:$C$500,C326))</f>
        <v/>
      </c>
      <c r="T326" s="14">
        <f>IF(F326="","",IF(OR(G326="",I326="",J326=""),"CEK data SKU (nama/lebar/tinggi)",IF(COUNTIFS($F$2:$F$500,F326,$I$2:$I$500,"&lt;&gt;"&amp;I326)+COUNTIFS($F$2:$F$500,F326,$J$2:$J$500,"&lt;&gt;"&amp;J326)&gt;0,"CEK data SKU tidak konsisten",IF(Q326="zona tidak ada di layout","CEK zona_no / jenis_fixture",IF(D326&lt;&gt;Q326,"CEK jenis_zona",IF(S326&gt;IFERROR(INDEX(LAYOUT!$C$2:$C$33,MATCH(B326,LAYOUT!$A$2:$A$33,0)),0),"CEK lebar zona melebihi fixture","OK")))))</f>
        <v/>
      </c>
    </row>
    <row r="327">
      <c r="A327" s="15" t="n"/>
      <c r="B327" s="15" t="n"/>
      <c r="C327" s="16" t="n"/>
      <c r="D327" s="15" t="n"/>
      <c r="E327" s="16" t="n"/>
      <c r="F327" s="17" t="n"/>
      <c r="G327" s="15" t="n"/>
      <c r="H327" s="15" t="n"/>
      <c r="I327" s="16" t="n"/>
      <c r="J327" s="16" t="n"/>
      <c r="K327" s="16" t="n"/>
      <c r="L327" s="16" t="n"/>
      <c r="M327" s="16" t="n"/>
      <c r="N327" s="15" t="n"/>
      <c r="O327" s="16" t="n"/>
      <c r="P327" s="16" t="n"/>
      <c r="Q327" s="13">
        <f>IF(OR(B327="",C327=""),"",IFERROR(INDEX(LAYOUT!$E$2:$E$33,MATCH(B327&amp;"|"&amp;C327,LAYOUT!$F$2:$F$33,0)),"zona tidak ada di layout"))</f>
        <v/>
      </c>
      <c r="R327" s="14">
        <f>IF(F327="","",IF(OR(I327="",O327=""),0,I327*O327))</f>
        <v/>
      </c>
      <c r="S327" s="14">
        <f>IF(F327="","",SUMIFS($R$2:$R$500,$A$2:$A$500,A327,$C$2:$C$500,C327))</f>
        <v/>
      </c>
      <c r="T327" s="14">
        <f>IF(F327="","",IF(OR(G327="",I327="",J327=""),"CEK data SKU (nama/lebar/tinggi)",IF(COUNTIFS($F$2:$F$500,F327,$I$2:$I$500,"&lt;&gt;"&amp;I327)+COUNTIFS($F$2:$F$500,F327,$J$2:$J$500,"&lt;&gt;"&amp;J327)&gt;0,"CEK data SKU tidak konsisten",IF(Q327="zona tidak ada di layout","CEK zona_no / jenis_fixture",IF(D327&lt;&gt;Q327,"CEK jenis_zona",IF(S327&gt;IFERROR(INDEX(LAYOUT!$C$2:$C$33,MATCH(B327,LAYOUT!$A$2:$A$33,0)),0),"CEK lebar zona melebihi fixture","OK")))))</f>
        <v/>
      </c>
    </row>
    <row r="328">
      <c r="A328" s="15" t="n"/>
      <c r="B328" s="15" t="n"/>
      <c r="C328" s="16" t="n"/>
      <c r="D328" s="15" t="n"/>
      <c r="E328" s="16" t="n"/>
      <c r="F328" s="17" t="n"/>
      <c r="G328" s="15" t="n"/>
      <c r="H328" s="15" t="n"/>
      <c r="I328" s="16" t="n"/>
      <c r="J328" s="16" t="n"/>
      <c r="K328" s="16" t="n"/>
      <c r="L328" s="16" t="n"/>
      <c r="M328" s="16" t="n"/>
      <c r="N328" s="15" t="n"/>
      <c r="O328" s="16" t="n"/>
      <c r="P328" s="16" t="n"/>
      <c r="Q328" s="13">
        <f>IF(OR(B328="",C328=""),"",IFERROR(INDEX(LAYOUT!$E$2:$E$33,MATCH(B328&amp;"|"&amp;C328,LAYOUT!$F$2:$F$33,0)),"zona tidak ada di layout"))</f>
        <v/>
      </c>
      <c r="R328" s="14">
        <f>IF(F328="","",IF(OR(I328="",O328=""),0,I328*O328))</f>
        <v/>
      </c>
      <c r="S328" s="14">
        <f>IF(F328="","",SUMIFS($R$2:$R$500,$A$2:$A$500,A328,$C$2:$C$500,C328))</f>
        <v/>
      </c>
      <c r="T328" s="14">
        <f>IF(F328="","",IF(OR(G328="",I328="",J328=""),"CEK data SKU (nama/lebar/tinggi)",IF(COUNTIFS($F$2:$F$500,F328,$I$2:$I$500,"&lt;&gt;"&amp;I328)+COUNTIFS($F$2:$F$500,F328,$J$2:$J$500,"&lt;&gt;"&amp;J328)&gt;0,"CEK data SKU tidak konsisten",IF(Q328="zona tidak ada di layout","CEK zona_no / jenis_fixture",IF(D328&lt;&gt;Q328,"CEK jenis_zona",IF(S328&gt;IFERROR(INDEX(LAYOUT!$C$2:$C$33,MATCH(B328,LAYOUT!$A$2:$A$33,0)),0),"CEK lebar zona melebihi fixture","OK")))))</f>
        <v/>
      </c>
    </row>
    <row r="329">
      <c r="A329" s="15" t="n"/>
      <c r="B329" s="15" t="n"/>
      <c r="C329" s="16" t="n"/>
      <c r="D329" s="15" t="n"/>
      <c r="E329" s="16" t="n"/>
      <c r="F329" s="17" t="n"/>
      <c r="G329" s="15" t="n"/>
      <c r="H329" s="15" t="n"/>
      <c r="I329" s="16" t="n"/>
      <c r="J329" s="16" t="n"/>
      <c r="K329" s="16" t="n"/>
      <c r="L329" s="16" t="n"/>
      <c r="M329" s="16" t="n"/>
      <c r="N329" s="15" t="n"/>
      <c r="O329" s="16" t="n"/>
      <c r="P329" s="16" t="n"/>
      <c r="Q329" s="13">
        <f>IF(OR(B329="",C329=""),"",IFERROR(INDEX(LAYOUT!$E$2:$E$33,MATCH(B329&amp;"|"&amp;C329,LAYOUT!$F$2:$F$33,0)),"zona tidak ada di layout"))</f>
        <v/>
      </c>
      <c r="R329" s="14">
        <f>IF(F329="","",IF(OR(I329="",O329=""),0,I329*O329))</f>
        <v/>
      </c>
      <c r="S329" s="14">
        <f>IF(F329="","",SUMIFS($R$2:$R$500,$A$2:$A$500,A329,$C$2:$C$500,C329))</f>
        <v/>
      </c>
      <c r="T329" s="14">
        <f>IF(F329="","",IF(OR(G329="",I329="",J329=""),"CEK data SKU (nama/lebar/tinggi)",IF(COUNTIFS($F$2:$F$500,F329,$I$2:$I$500,"&lt;&gt;"&amp;I329)+COUNTIFS($F$2:$F$500,F329,$J$2:$J$500,"&lt;&gt;"&amp;J329)&gt;0,"CEK data SKU tidak konsisten",IF(Q329="zona tidak ada di layout","CEK zona_no / jenis_fixture",IF(D329&lt;&gt;Q329,"CEK jenis_zona",IF(S329&gt;IFERROR(INDEX(LAYOUT!$C$2:$C$33,MATCH(B329,LAYOUT!$A$2:$A$33,0)),0),"CEK lebar zona melebihi fixture","OK")))))</f>
        <v/>
      </c>
    </row>
    <row r="330">
      <c r="A330" s="15" t="n"/>
      <c r="B330" s="15" t="n"/>
      <c r="C330" s="16" t="n"/>
      <c r="D330" s="15" t="n"/>
      <c r="E330" s="16" t="n"/>
      <c r="F330" s="17" t="n"/>
      <c r="G330" s="15" t="n"/>
      <c r="H330" s="15" t="n"/>
      <c r="I330" s="16" t="n"/>
      <c r="J330" s="16" t="n"/>
      <c r="K330" s="16" t="n"/>
      <c r="L330" s="16" t="n"/>
      <c r="M330" s="16" t="n"/>
      <c r="N330" s="15" t="n"/>
      <c r="O330" s="16" t="n"/>
      <c r="P330" s="16" t="n"/>
      <c r="Q330" s="13">
        <f>IF(OR(B330="",C330=""),"",IFERROR(INDEX(LAYOUT!$E$2:$E$33,MATCH(B330&amp;"|"&amp;C330,LAYOUT!$F$2:$F$33,0)),"zona tidak ada di layout"))</f>
        <v/>
      </c>
      <c r="R330" s="14">
        <f>IF(F330="","",IF(OR(I330="",O330=""),0,I330*O330))</f>
        <v/>
      </c>
      <c r="S330" s="14">
        <f>IF(F330="","",SUMIFS($R$2:$R$500,$A$2:$A$500,A330,$C$2:$C$500,C330))</f>
        <v/>
      </c>
      <c r="T330" s="14">
        <f>IF(F330="","",IF(OR(G330="",I330="",J330=""),"CEK data SKU (nama/lebar/tinggi)",IF(COUNTIFS($F$2:$F$500,F330,$I$2:$I$500,"&lt;&gt;"&amp;I330)+COUNTIFS($F$2:$F$500,F330,$J$2:$J$500,"&lt;&gt;"&amp;J330)&gt;0,"CEK data SKU tidak konsisten",IF(Q330="zona tidak ada di layout","CEK zona_no / jenis_fixture",IF(D330&lt;&gt;Q330,"CEK jenis_zona",IF(S330&gt;IFERROR(INDEX(LAYOUT!$C$2:$C$33,MATCH(B330,LAYOUT!$A$2:$A$33,0)),0),"CEK lebar zona melebihi fixture","OK")))))</f>
        <v/>
      </c>
    </row>
    <row r="331">
      <c r="A331" s="15" t="n"/>
      <c r="B331" s="15" t="n"/>
      <c r="C331" s="16" t="n"/>
      <c r="D331" s="15" t="n"/>
      <c r="E331" s="16" t="n"/>
      <c r="F331" s="17" t="n"/>
      <c r="G331" s="15" t="n"/>
      <c r="H331" s="15" t="n"/>
      <c r="I331" s="16" t="n"/>
      <c r="J331" s="16" t="n"/>
      <c r="K331" s="16" t="n"/>
      <c r="L331" s="16" t="n"/>
      <c r="M331" s="16" t="n"/>
      <c r="N331" s="15" t="n"/>
      <c r="O331" s="16" t="n"/>
      <c r="P331" s="16" t="n"/>
      <c r="Q331" s="13">
        <f>IF(OR(B331="",C331=""),"",IFERROR(INDEX(LAYOUT!$E$2:$E$33,MATCH(B331&amp;"|"&amp;C331,LAYOUT!$F$2:$F$33,0)),"zona tidak ada di layout"))</f>
        <v/>
      </c>
      <c r="R331" s="14">
        <f>IF(F331="","",IF(OR(I331="",O331=""),0,I331*O331))</f>
        <v/>
      </c>
      <c r="S331" s="14">
        <f>IF(F331="","",SUMIFS($R$2:$R$500,$A$2:$A$500,A331,$C$2:$C$500,C331))</f>
        <v/>
      </c>
      <c r="T331" s="14">
        <f>IF(F331="","",IF(OR(G331="",I331="",J331=""),"CEK data SKU (nama/lebar/tinggi)",IF(COUNTIFS($F$2:$F$500,F331,$I$2:$I$500,"&lt;&gt;"&amp;I331)+COUNTIFS($F$2:$F$500,F331,$J$2:$J$500,"&lt;&gt;"&amp;J331)&gt;0,"CEK data SKU tidak konsisten",IF(Q331="zona tidak ada di layout","CEK zona_no / jenis_fixture",IF(D331&lt;&gt;Q331,"CEK jenis_zona",IF(S331&gt;IFERROR(INDEX(LAYOUT!$C$2:$C$33,MATCH(B331,LAYOUT!$A$2:$A$33,0)),0),"CEK lebar zona melebihi fixture","OK")))))</f>
        <v/>
      </c>
    </row>
    <row r="332">
      <c r="A332" s="15" t="n"/>
      <c r="B332" s="15" t="n"/>
      <c r="C332" s="16" t="n"/>
      <c r="D332" s="15" t="n"/>
      <c r="E332" s="16" t="n"/>
      <c r="F332" s="17" t="n"/>
      <c r="G332" s="15" t="n"/>
      <c r="H332" s="15" t="n"/>
      <c r="I332" s="16" t="n"/>
      <c r="J332" s="16" t="n"/>
      <c r="K332" s="16" t="n"/>
      <c r="L332" s="16" t="n"/>
      <c r="M332" s="16" t="n"/>
      <c r="N332" s="15" t="n"/>
      <c r="O332" s="16" t="n"/>
      <c r="P332" s="16" t="n"/>
      <c r="Q332" s="13">
        <f>IF(OR(B332="",C332=""),"",IFERROR(INDEX(LAYOUT!$E$2:$E$33,MATCH(B332&amp;"|"&amp;C332,LAYOUT!$F$2:$F$33,0)),"zona tidak ada di layout"))</f>
        <v/>
      </c>
      <c r="R332" s="14">
        <f>IF(F332="","",IF(OR(I332="",O332=""),0,I332*O332))</f>
        <v/>
      </c>
      <c r="S332" s="14">
        <f>IF(F332="","",SUMIFS($R$2:$R$500,$A$2:$A$500,A332,$C$2:$C$500,C332))</f>
        <v/>
      </c>
      <c r="T332" s="14">
        <f>IF(F332="","",IF(OR(G332="",I332="",J332=""),"CEK data SKU (nama/lebar/tinggi)",IF(COUNTIFS($F$2:$F$500,F332,$I$2:$I$500,"&lt;&gt;"&amp;I332)+COUNTIFS($F$2:$F$500,F332,$J$2:$J$500,"&lt;&gt;"&amp;J332)&gt;0,"CEK data SKU tidak konsisten",IF(Q332="zona tidak ada di layout","CEK zona_no / jenis_fixture",IF(D332&lt;&gt;Q332,"CEK jenis_zona",IF(S332&gt;IFERROR(INDEX(LAYOUT!$C$2:$C$33,MATCH(B332,LAYOUT!$A$2:$A$33,0)),0),"CEK lebar zona melebihi fixture","OK")))))</f>
        <v/>
      </c>
    </row>
    <row r="333">
      <c r="A333" s="15" t="n"/>
      <c r="B333" s="15" t="n"/>
      <c r="C333" s="16" t="n"/>
      <c r="D333" s="15" t="n"/>
      <c r="E333" s="16" t="n"/>
      <c r="F333" s="17" t="n"/>
      <c r="G333" s="15" t="n"/>
      <c r="H333" s="15" t="n"/>
      <c r="I333" s="16" t="n"/>
      <c r="J333" s="16" t="n"/>
      <c r="K333" s="16" t="n"/>
      <c r="L333" s="16" t="n"/>
      <c r="M333" s="16" t="n"/>
      <c r="N333" s="15" t="n"/>
      <c r="O333" s="16" t="n"/>
      <c r="P333" s="16" t="n"/>
      <c r="Q333" s="13">
        <f>IF(OR(B333="",C333=""),"",IFERROR(INDEX(LAYOUT!$E$2:$E$33,MATCH(B333&amp;"|"&amp;C333,LAYOUT!$F$2:$F$33,0)),"zona tidak ada di layout"))</f>
        <v/>
      </c>
      <c r="R333" s="14">
        <f>IF(F333="","",IF(OR(I333="",O333=""),0,I333*O333))</f>
        <v/>
      </c>
      <c r="S333" s="14">
        <f>IF(F333="","",SUMIFS($R$2:$R$500,$A$2:$A$500,A333,$C$2:$C$500,C333))</f>
        <v/>
      </c>
      <c r="T333" s="14">
        <f>IF(F333="","",IF(OR(G333="",I333="",J333=""),"CEK data SKU (nama/lebar/tinggi)",IF(COUNTIFS($F$2:$F$500,F333,$I$2:$I$500,"&lt;&gt;"&amp;I333)+COUNTIFS($F$2:$F$500,F333,$J$2:$J$500,"&lt;&gt;"&amp;J333)&gt;0,"CEK data SKU tidak konsisten",IF(Q333="zona tidak ada di layout","CEK zona_no / jenis_fixture",IF(D333&lt;&gt;Q333,"CEK jenis_zona",IF(S333&gt;IFERROR(INDEX(LAYOUT!$C$2:$C$33,MATCH(B333,LAYOUT!$A$2:$A$33,0)),0),"CEK lebar zona melebihi fixture","OK")))))</f>
        <v/>
      </c>
    </row>
    <row r="334">
      <c r="A334" s="15" t="n"/>
      <c r="B334" s="15" t="n"/>
      <c r="C334" s="16" t="n"/>
      <c r="D334" s="15" t="n"/>
      <c r="E334" s="16" t="n"/>
      <c r="F334" s="17" t="n"/>
      <c r="G334" s="15" t="n"/>
      <c r="H334" s="15" t="n"/>
      <c r="I334" s="16" t="n"/>
      <c r="J334" s="16" t="n"/>
      <c r="K334" s="16" t="n"/>
      <c r="L334" s="16" t="n"/>
      <c r="M334" s="16" t="n"/>
      <c r="N334" s="15" t="n"/>
      <c r="O334" s="16" t="n"/>
      <c r="P334" s="16" t="n"/>
      <c r="Q334" s="13">
        <f>IF(OR(B334="",C334=""),"",IFERROR(INDEX(LAYOUT!$E$2:$E$33,MATCH(B334&amp;"|"&amp;C334,LAYOUT!$F$2:$F$33,0)),"zona tidak ada di layout"))</f>
        <v/>
      </c>
      <c r="R334" s="14">
        <f>IF(F334="","",IF(OR(I334="",O334=""),0,I334*O334))</f>
        <v/>
      </c>
      <c r="S334" s="14">
        <f>IF(F334="","",SUMIFS($R$2:$R$500,$A$2:$A$500,A334,$C$2:$C$500,C334))</f>
        <v/>
      </c>
      <c r="T334" s="14">
        <f>IF(F334="","",IF(OR(G334="",I334="",J334=""),"CEK data SKU (nama/lebar/tinggi)",IF(COUNTIFS($F$2:$F$500,F334,$I$2:$I$500,"&lt;&gt;"&amp;I334)+COUNTIFS($F$2:$F$500,F334,$J$2:$J$500,"&lt;&gt;"&amp;J334)&gt;0,"CEK data SKU tidak konsisten",IF(Q334="zona tidak ada di layout","CEK zona_no / jenis_fixture",IF(D334&lt;&gt;Q334,"CEK jenis_zona",IF(S334&gt;IFERROR(INDEX(LAYOUT!$C$2:$C$33,MATCH(B334,LAYOUT!$A$2:$A$33,0)),0),"CEK lebar zona melebihi fixture","OK")))))</f>
        <v/>
      </c>
    </row>
    <row r="335">
      <c r="A335" s="15" t="n"/>
      <c r="B335" s="15" t="n"/>
      <c r="C335" s="16" t="n"/>
      <c r="D335" s="15" t="n"/>
      <c r="E335" s="16" t="n"/>
      <c r="F335" s="17" t="n"/>
      <c r="G335" s="15" t="n"/>
      <c r="H335" s="15" t="n"/>
      <c r="I335" s="16" t="n"/>
      <c r="J335" s="16" t="n"/>
      <c r="K335" s="16" t="n"/>
      <c r="L335" s="16" t="n"/>
      <c r="M335" s="16" t="n"/>
      <c r="N335" s="15" t="n"/>
      <c r="O335" s="16" t="n"/>
      <c r="P335" s="16" t="n"/>
      <c r="Q335" s="13">
        <f>IF(OR(B335="",C335=""),"",IFERROR(INDEX(LAYOUT!$E$2:$E$33,MATCH(B335&amp;"|"&amp;C335,LAYOUT!$F$2:$F$33,0)),"zona tidak ada di layout"))</f>
        <v/>
      </c>
      <c r="R335" s="14">
        <f>IF(F335="","",IF(OR(I335="",O335=""),0,I335*O335))</f>
        <v/>
      </c>
      <c r="S335" s="14">
        <f>IF(F335="","",SUMIFS($R$2:$R$500,$A$2:$A$500,A335,$C$2:$C$500,C335))</f>
        <v/>
      </c>
      <c r="T335" s="14">
        <f>IF(F335="","",IF(OR(G335="",I335="",J335=""),"CEK data SKU (nama/lebar/tinggi)",IF(COUNTIFS($F$2:$F$500,F335,$I$2:$I$500,"&lt;&gt;"&amp;I335)+COUNTIFS($F$2:$F$500,F335,$J$2:$J$500,"&lt;&gt;"&amp;J335)&gt;0,"CEK data SKU tidak konsisten",IF(Q335="zona tidak ada di layout","CEK zona_no / jenis_fixture",IF(D335&lt;&gt;Q335,"CEK jenis_zona",IF(S335&gt;IFERROR(INDEX(LAYOUT!$C$2:$C$33,MATCH(B335,LAYOUT!$A$2:$A$33,0)),0),"CEK lebar zona melebihi fixture","OK")))))</f>
        <v/>
      </c>
    </row>
    <row r="336">
      <c r="A336" s="15" t="n"/>
      <c r="B336" s="15" t="n"/>
      <c r="C336" s="16" t="n"/>
      <c r="D336" s="15" t="n"/>
      <c r="E336" s="16" t="n"/>
      <c r="F336" s="17" t="n"/>
      <c r="G336" s="15" t="n"/>
      <c r="H336" s="15" t="n"/>
      <c r="I336" s="16" t="n"/>
      <c r="J336" s="16" t="n"/>
      <c r="K336" s="16" t="n"/>
      <c r="L336" s="16" t="n"/>
      <c r="M336" s="16" t="n"/>
      <c r="N336" s="15" t="n"/>
      <c r="O336" s="16" t="n"/>
      <c r="P336" s="16" t="n"/>
      <c r="Q336" s="13">
        <f>IF(OR(B336="",C336=""),"",IFERROR(INDEX(LAYOUT!$E$2:$E$33,MATCH(B336&amp;"|"&amp;C336,LAYOUT!$F$2:$F$33,0)),"zona tidak ada di layout"))</f>
        <v/>
      </c>
      <c r="R336" s="14">
        <f>IF(F336="","",IF(OR(I336="",O336=""),0,I336*O336))</f>
        <v/>
      </c>
      <c r="S336" s="14">
        <f>IF(F336="","",SUMIFS($R$2:$R$500,$A$2:$A$500,A336,$C$2:$C$500,C336))</f>
        <v/>
      </c>
      <c r="T336" s="14">
        <f>IF(F336="","",IF(OR(G336="",I336="",J336=""),"CEK data SKU (nama/lebar/tinggi)",IF(COUNTIFS($F$2:$F$500,F336,$I$2:$I$500,"&lt;&gt;"&amp;I336)+COUNTIFS($F$2:$F$500,F336,$J$2:$J$500,"&lt;&gt;"&amp;J336)&gt;0,"CEK data SKU tidak konsisten",IF(Q336="zona tidak ada di layout","CEK zona_no / jenis_fixture",IF(D336&lt;&gt;Q336,"CEK jenis_zona",IF(S336&gt;IFERROR(INDEX(LAYOUT!$C$2:$C$33,MATCH(B336,LAYOUT!$A$2:$A$33,0)),0),"CEK lebar zona melebihi fixture","OK")))))</f>
        <v/>
      </c>
    </row>
    <row r="337">
      <c r="A337" s="15" t="n"/>
      <c r="B337" s="15" t="n"/>
      <c r="C337" s="16" t="n"/>
      <c r="D337" s="15" t="n"/>
      <c r="E337" s="16" t="n"/>
      <c r="F337" s="17" t="n"/>
      <c r="G337" s="15" t="n"/>
      <c r="H337" s="15" t="n"/>
      <c r="I337" s="16" t="n"/>
      <c r="J337" s="16" t="n"/>
      <c r="K337" s="16" t="n"/>
      <c r="L337" s="16" t="n"/>
      <c r="M337" s="16" t="n"/>
      <c r="N337" s="15" t="n"/>
      <c r="O337" s="16" t="n"/>
      <c r="P337" s="16" t="n"/>
      <c r="Q337" s="13">
        <f>IF(OR(B337="",C337=""),"",IFERROR(INDEX(LAYOUT!$E$2:$E$33,MATCH(B337&amp;"|"&amp;C337,LAYOUT!$F$2:$F$33,0)),"zona tidak ada di layout"))</f>
        <v/>
      </c>
      <c r="R337" s="14">
        <f>IF(F337="","",IF(OR(I337="",O337=""),0,I337*O337))</f>
        <v/>
      </c>
      <c r="S337" s="14">
        <f>IF(F337="","",SUMIFS($R$2:$R$500,$A$2:$A$500,A337,$C$2:$C$500,C337))</f>
        <v/>
      </c>
      <c r="T337" s="14">
        <f>IF(F337="","",IF(OR(G337="",I337="",J337=""),"CEK data SKU (nama/lebar/tinggi)",IF(COUNTIFS($F$2:$F$500,F337,$I$2:$I$500,"&lt;&gt;"&amp;I337)+COUNTIFS($F$2:$F$500,F337,$J$2:$J$500,"&lt;&gt;"&amp;J337)&gt;0,"CEK data SKU tidak konsisten",IF(Q337="zona tidak ada di layout","CEK zona_no / jenis_fixture",IF(D337&lt;&gt;Q337,"CEK jenis_zona",IF(S337&gt;IFERROR(INDEX(LAYOUT!$C$2:$C$33,MATCH(B337,LAYOUT!$A$2:$A$33,0)),0),"CEK lebar zona melebihi fixture","OK")))))</f>
        <v/>
      </c>
    </row>
    <row r="338">
      <c r="A338" s="15" t="n"/>
      <c r="B338" s="15" t="n"/>
      <c r="C338" s="16" t="n"/>
      <c r="D338" s="15" t="n"/>
      <c r="E338" s="16" t="n"/>
      <c r="F338" s="17" t="n"/>
      <c r="G338" s="15" t="n"/>
      <c r="H338" s="15" t="n"/>
      <c r="I338" s="16" t="n"/>
      <c r="J338" s="16" t="n"/>
      <c r="K338" s="16" t="n"/>
      <c r="L338" s="16" t="n"/>
      <c r="M338" s="16" t="n"/>
      <c r="N338" s="15" t="n"/>
      <c r="O338" s="16" t="n"/>
      <c r="P338" s="16" t="n"/>
      <c r="Q338" s="13">
        <f>IF(OR(B338="",C338=""),"",IFERROR(INDEX(LAYOUT!$E$2:$E$33,MATCH(B338&amp;"|"&amp;C338,LAYOUT!$F$2:$F$33,0)),"zona tidak ada di layout"))</f>
        <v/>
      </c>
      <c r="R338" s="14">
        <f>IF(F338="","",IF(OR(I338="",O338=""),0,I338*O338))</f>
        <v/>
      </c>
      <c r="S338" s="14">
        <f>IF(F338="","",SUMIFS($R$2:$R$500,$A$2:$A$500,A338,$C$2:$C$500,C338))</f>
        <v/>
      </c>
      <c r="T338" s="14">
        <f>IF(F338="","",IF(OR(G338="",I338="",J338=""),"CEK data SKU (nama/lebar/tinggi)",IF(COUNTIFS($F$2:$F$500,F338,$I$2:$I$500,"&lt;&gt;"&amp;I338)+COUNTIFS($F$2:$F$500,F338,$J$2:$J$500,"&lt;&gt;"&amp;J338)&gt;0,"CEK data SKU tidak konsisten",IF(Q338="zona tidak ada di layout","CEK zona_no / jenis_fixture",IF(D338&lt;&gt;Q338,"CEK jenis_zona",IF(S338&gt;IFERROR(INDEX(LAYOUT!$C$2:$C$33,MATCH(B338,LAYOUT!$A$2:$A$33,0)),0),"CEK lebar zona melebihi fixture","OK")))))</f>
        <v/>
      </c>
    </row>
    <row r="339">
      <c r="A339" s="15" t="n"/>
      <c r="B339" s="15" t="n"/>
      <c r="C339" s="16" t="n"/>
      <c r="D339" s="15" t="n"/>
      <c r="E339" s="16" t="n"/>
      <c r="F339" s="17" t="n"/>
      <c r="G339" s="15" t="n"/>
      <c r="H339" s="15" t="n"/>
      <c r="I339" s="16" t="n"/>
      <c r="J339" s="16" t="n"/>
      <c r="K339" s="16" t="n"/>
      <c r="L339" s="16" t="n"/>
      <c r="M339" s="16" t="n"/>
      <c r="N339" s="15" t="n"/>
      <c r="O339" s="16" t="n"/>
      <c r="P339" s="16" t="n"/>
      <c r="Q339" s="13">
        <f>IF(OR(B339="",C339=""),"",IFERROR(INDEX(LAYOUT!$E$2:$E$33,MATCH(B339&amp;"|"&amp;C339,LAYOUT!$F$2:$F$33,0)),"zona tidak ada di layout"))</f>
        <v/>
      </c>
      <c r="R339" s="14">
        <f>IF(F339="","",IF(OR(I339="",O339=""),0,I339*O339))</f>
        <v/>
      </c>
      <c r="S339" s="14">
        <f>IF(F339="","",SUMIFS($R$2:$R$500,$A$2:$A$500,A339,$C$2:$C$500,C339))</f>
        <v/>
      </c>
      <c r="T339" s="14">
        <f>IF(F339="","",IF(OR(G339="",I339="",J339=""),"CEK data SKU (nama/lebar/tinggi)",IF(COUNTIFS($F$2:$F$500,F339,$I$2:$I$500,"&lt;&gt;"&amp;I339)+COUNTIFS($F$2:$F$500,F339,$J$2:$J$500,"&lt;&gt;"&amp;J339)&gt;0,"CEK data SKU tidak konsisten",IF(Q339="zona tidak ada di layout","CEK zona_no / jenis_fixture",IF(D339&lt;&gt;Q339,"CEK jenis_zona",IF(S339&gt;IFERROR(INDEX(LAYOUT!$C$2:$C$33,MATCH(B339,LAYOUT!$A$2:$A$33,0)),0),"CEK lebar zona melebihi fixture","OK")))))</f>
        <v/>
      </c>
    </row>
    <row r="340">
      <c r="A340" s="15" t="n"/>
      <c r="B340" s="15" t="n"/>
      <c r="C340" s="16" t="n"/>
      <c r="D340" s="15" t="n"/>
      <c r="E340" s="16" t="n"/>
      <c r="F340" s="17" t="n"/>
      <c r="G340" s="15" t="n"/>
      <c r="H340" s="15" t="n"/>
      <c r="I340" s="16" t="n"/>
      <c r="J340" s="16" t="n"/>
      <c r="K340" s="16" t="n"/>
      <c r="L340" s="16" t="n"/>
      <c r="M340" s="16" t="n"/>
      <c r="N340" s="15" t="n"/>
      <c r="O340" s="16" t="n"/>
      <c r="P340" s="16" t="n"/>
      <c r="Q340" s="13">
        <f>IF(OR(B340="",C340=""),"",IFERROR(INDEX(LAYOUT!$E$2:$E$33,MATCH(B340&amp;"|"&amp;C340,LAYOUT!$F$2:$F$33,0)),"zona tidak ada di layout"))</f>
        <v/>
      </c>
      <c r="R340" s="14">
        <f>IF(F340="","",IF(OR(I340="",O340=""),0,I340*O340))</f>
        <v/>
      </c>
      <c r="S340" s="14">
        <f>IF(F340="","",SUMIFS($R$2:$R$500,$A$2:$A$500,A340,$C$2:$C$500,C340))</f>
        <v/>
      </c>
      <c r="T340" s="14">
        <f>IF(F340="","",IF(OR(G340="",I340="",J340=""),"CEK data SKU (nama/lebar/tinggi)",IF(COUNTIFS($F$2:$F$500,F340,$I$2:$I$500,"&lt;&gt;"&amp;I340)+COUNTIFS($F$2:$F$500,F340,$J$2:$J$500,"&lt;&gt;"&amp;J340)&gt;0,"CEK data SKU tidak konsisten",IF(Q340="zona tidak ada di layout","CEK zona_no / jenis_fixture",IF(D340&lt;&gt;Q340,"CEK jenis_zona",IF(S340&gt;IFERROR(INDEX(LAYOUT!$C$2:$C$33,MATCH(B340,LAYOUT!$A$2:$A$33,0)),0),"CEK lebar zona melebihi fixture","OK")))))</f>
        <v/>
      </c>
    </row>
    <row r="341">
      <c r="A341" s="15" t="n"/>
      <c r="B341" s="15" t="n"/>
      <c r="C341" s="16" t="n"/>
      <c r="D341" s="15" t="n"/>
      <c r="E341" s="16" t="n"/>
      <c r="F341" s="17" t="n"/>
      <c r="G341" s="15" t="n"/>
      <c r="H341" s="15" t="n"/>
      <c r="I341" s="16" t="n"/>
      <c r="J341" s="16" t="n"/>
      <c r="K341" s="16" t="n"/>
      <c r="L341" s="16" t="n"/>
      <c r="M341" s="16" t="n"/>
      <c r="N341" s="15" t="n"/>
      <c r="O341" s="16" t="n"/>
      <c r="P341" s="16" t="n"/>
      <c r="Q341" s="13">
        <f>IF(OR(B341="",C341=""),"",IFERROR(INDEX(LAYOUT!$E$2:$E$33,MATCH(B341&amp;"|"&amp;C341,LAYOUT!$F$2:$F$33,0)),"zona tidak ada di layout"))</f>
        <v/>
      </c>
      <c r="R341" s="14">
        <f>IF(F341="","",IF(OR(I341="",O341=""),0,I341*O341))</f>
        <v/>
      </c>
      <c r="S341" s="14">
        <f>IF(F341="","",SUMIFS($R$2:$R$500,$A$2:$A$500,A341,$C$2:$C$500,C341))</f>
        <v/>
      </c>
      <c r="T341" s="14">
        <f>IF(F341="","",IF(OR(G341="",I341="",J341=""),"CEK data SKU (nama/lebar/tinggi)",IF(COUNTIFS($F$2:$F$500,F341,$I$2:$I$500,"&lt;&gt;"&amp;I341)+COUNTIFS($F$2:$F$500,F341,$J$2:$J$500,"&lt;&gt;"&amp;J341)&gt;0,"CEK data SKU tidak konsisten",IF(Q341="zona tidak ada di layout","CEK zona_no / jenis_fixture",IF(D341&lt;&gt;Q341,"CEK jenis_zona",IF(S341&gt;IFERROR(INDEX(LAYOUT!$C$2:$C$33,MATCH(B341,LAYOUT!$A$2:$A$33,0)),0),"CEK lebar zona melebihi fixture","OK")))))</f>
        <v/>
      </c>
    </row>
    <row r="342">
      <c r="A342" s="15" t="n"/>
      <c r="B342" s="15" t="n"/>
      <c r="C342" s="16" t="n"/>
      <c r="D342" s="15" t="n"/>
      <c r="E342" s="16" t="n"/>
      <c r="F342" s="17" t="n"/>
      <c r="G342" s="15" t="n"/>
      <c r="H342" s="15" t="n"/>
      <c r="I342" s="16" t="n"/>
      <c r="J342" s="16" t="n"/>
      <c r="K342" s="16" t="n"/>
      <c r="L342" s="16" t="n"/>
      <c r="M342" s="16" t="n"/>
      <c r="N342" s="15" t="n"/>
      <c r="O342" s="16" t="n"/>
      <c r="P342" s="16" t="n"/>
      <c r="Q342" s="13">
        <f>IF(OR(B342="",C342=""),"",IFERROR(INDEX(LAYOUT!$E$2:$E$33,MATCH(B342&amp;"|"&amp;C342,LAYOUT!$F$2:$F$33,0)),"zona tidak ada di layout"))</f>
        <v/>
      </c>
      <c r="R342" s="14">
        <f>IF(F342="","",IF(OR(I342="",O342=""),0,I342*O342))</f>
        <v/>
      </c>
      <c r="S342" s="14">
        <f>IF(F342="","",SUMIFS($R$2:$R$500,$A$2:$A$500,A342,$C$2:$C$500,C342))</f>
        <v/>
      </c>
      <c r="T342" s="14">
        <f>IF(F342="","",IF(OR(G342="",I342="",J342=""),"CEK data SKU (nama/lebar/tinggi)",IF(COUNTIFS($F$2:$F$500,F342,$I$2:$I$500,"&lt;&gt;"&amp;I342)+COUNTIFS($F$2:$F$500,F342,$J$2:$J$500,"&lt;&gt;"&amp;J342)&gt;0,"CEK data SKU tidak konsisten",IF(Q342="zona tidak ada di layout","CEK zona_no / jenis_fixture",IF(D342&lt;&gt;Q342,"CEK jenis_zona",IF(S342&gt;IFERROR(INDEX(LAYOUT!$C$2:$C$33,MATCH(B342,LAYOUT!$A$2:$A$33,0)),0),"CEK lebar zona melebihi fixture","OK")))))</f>
        <v/>
      </c>
    </row>
    <row r="343">
      <c r="A343" s="15" t="n"/>
      <c r="B343" s="15" t="n"/>
      <c r="C343" s="16" t="n"/>
      <c r="D343" s="15" t="n"/>
      <c r="E343" s="16" t="n"/>
      <c r="F343" s="17" t="n"/>
      <c r="G343" s="15" t="n"/>
      <c r="H343" s="15" t="n"/>
      <c r="I343" s="16" t="n"/>
      <c r="J343" s="16" t="n"/>
      <c r="K343" s="16" t="n"/>
      <c r="L343" s="16" t="n"/>
      <c r="M343" s="16" t="n"/>
      <c r="N343" s="15" t="n"/>
      <c r="O343" s="16" t="n"/>
      <c r="P343" s="16" t="n"/>
      <c r="Q343" s="13">
        <f>IF(OR(B343="",C343=""),"",IFERROR(INDEX(LAYOUT!$E$2:$E$33,MATCH(B343&amp;"|"&amp;C343,LAYOUT!$F$2:$F$33,0)),"zona tidak ada di layout"))</f>
        <v/>
      </c>
      <c r="R343" s="14">
        <f>IF(F343="","",IF(OR(I343="",O343=""),0,I343*O343))</f>
        <v/>
      </c>
      <c r="S343" s="14">
        <f>IF(F343="","",SUMIFS($R$2:$R$500,$A$2:$A$500,A343,$C$2:$C$500,C343))</f>
        <v/>
      </c>
      <c r="T343" s="14">
        <f>IF(F343="","",IF(OR(G343="",I343="",J343=""),"CEK data SKU (nama/lebar/tinggi)",IF(COUNTIFS($F$2:$F$500,F343,$I$2:$I$500,"&lt;&gt;"&amp;I343)+COUNTIFS($F$2:$F$500,F343,$J$2:$J$500,"&lt;&gt;"&amp;J343)&gt;0,"CEK data SKU tidak konsisten",IF(Q343="zona tidak ada di layout","CEK zona_no / jenis_fixture",IF(D343&lt;&gt;Q343,"CEK jenis_zona",IF(S343&gt;IFERROR(INDEX(LAYOUT!$C$2:$C$33,MATCH(B343,LAYOUT!$A$2:$A$33,0)),0),"CEK lebar zona melebihi fixture","OK")))))</f>
        <v/>
      </c>
    </row>
    <row r="344">
      <c r="A344" s="15" t="n"/>
      <c r="B344" s="15" t="n"/>
      <c r="C344" s="16" t="n"/>
      <c r="D344" s="15" t="n"/>
      <c r="E344" s="16" t="n"/>
      <c r="F344" s="17" t="n"/>
      <c r="G344" s="15" t="n"/>
      <c r="H344" s="15" t="n"/>
      <c r="I344" s="16" t="n"/>
      <c r="J344" s="16" t="n"/>
      <c r="K344" s="16" t="n"/>
      <c r="L344" s="16" t="n"/>
      <c r="M344" s="16" t="n"/>
      <c r="N344" s="15" t="n"/>
      <c r="O344" s="16" t="n"/>
      <c r="P344" s="16" t="n"/>
      <c r="Q344" s="13">
        <f>IF(OR(B344="",C344=""),"",IFERROR(INDEX(LAYOUT!$E$2:$E$33,MATCH(B344&amp;"|"&amp;C344,LAYOUT!$F$2:$F$33,0)),"zona tidak ada di layout"))</f>
        <v/>
      </c>
      <c r="R344" s="14">
        <f>IF(F344="","",IF(OR(I344="",O344=""),0,I344*O344))</f>
        <v/>
      </c>
      <c r="S344" s="14">
        <f>IF(F344="","",SUMIFS($R$2:$R$500,$A$2:$A$500,A344,$C$2:$C$500,C344))</f>
        <v/>
      </c>
      <c r="T344" s="14">
        <f>IF(F344="","",IF(OR(G344="",I344="",J344=""),"CEK data SKU (nama/lebar/tinggi)",IF(COUNTIFS($F$2:$F$500,F344,$I$2:$I$500,"&lt;&gt;"&amp;I344)+COUNTIFS($F$2:$F$500,F344,$J$2:$J$500,"&lt;&gt;"&amp;J344)&gt;0,"CEK data SKU tidak konsisten",IF(Q344="zona tidak ada di layout","CEK zona_no / jenis_fixture",IF(D344&lt;&gt;Q344,"CEK jenis_zona",IF(S344&gt;IFERROR(INDEX(LAYOUT!$C$2:$C$33,MATCH(B344,LAYOUT!$A$2:$A$33,0)),0),"CEK lebar zona melebihi fixture","OK")))))</f>
        <v/>
      </c>
    </row>
    <row r="345">
      <c r="A345" s="15" t="n"/>
      <c r="B345" s="15" t="n"/>
      <c r="C345" s="16" t="n"/>
      <c r="D345" s="15" t="n"/>
      <c r="E345" s="16" t="n"/>
      <c r="F345" s="17" t="n"/>
      <c r="G345" s="15" t="n"/>
      <c r="H345" s="15" t="n"/>
      <c r="I345" s="16" t="n"/>
      <c r="J345" s="16" t="n"/>
      <c r="K345" s="16" t="n"/>
      <c r="L345" s="16" t="n"/>
      <c r="M345" s="16" t="n"/>
      <c r="N345" s="15" t="n"/>
      <c r="O345" s="16" t="n"/>
      <c r="P345" s="16" t="n"/>
      <c r="Q345" s="13">
        <f>IF(OR(B345="",C345=""),"",IFERROR(INDEX(LAYOUT!$E$2:$E$33,MATCH(B345&amp;"|"&amp;C345,LAYOUT!$F$2:$F$33,0)),"zona tidak ada di layout"))</f>
        <v/>
      </c>
      <c r="R345" s="14">
        <f>IF(F345="","",IF(OR(I345="",O345=""),0,I345*O345))</f>
        <v/>
      </c>
      <c r="S345" s="14">
        <f>IF(F345="","",SUMIFS($R$2:$R$500,$A$2:$A$500,A345,$C$2:$C$500,C345))</f>
        <v/>
      </c>
      <c r="T345" s="14">
        <f>IF(F345="","",IF(OR(G345="",I345="",J345=""),"CEK data SKU (nama/lebar/tinggi)",IF(COUNTIFS($F$2:$F$500,F345,$I$2:$I$500,"&lt;&gt;"&amp;I345)+COUNTIFS($F$2:$F$500,F345,$J$2:$J$500,"&lt;&gt;"&amp;J345)&gt;0,"CEK data SKU tidak konsisten",IF(Q345="zona tidak ada di layout","CEK zona_no / jenis_fixture",IF(D345&lt;&gt;Q345,"CEK jenis_zona",IF(S345&gt;IFERROR(INDEX(LAYOUT!$C$2:$C$33,MATCH(B345,LAYOUT!$A$2:$A$33,0)),0),"CEK lebar zona melebihi fixture","OK")))))</f>
        <v/>
      </c>
    </row>
    <row r="346">
      <c r="A346" s="15" t="n"/>
      <c r="B346" s="15" t="n"/>
      <c r="C346" s="16" t="n"/>
      <c r="D346" s="15" t="n"/>
      <c r="E346" s="16" t="n"/>
      <c r="F346" s="17" t="n"/>
      <c r="G346" s="15" t="n"/>
      <c r="H346" s="15" t="n"/>
      <c r="I346" s="16" t="n"/>
      <c r="J346" s="16" t="n"/>
      <c r="K346" s="16" t="n"/>
      <c r="L346" s="16" t="n"/>
      <c r="M346" s="16" t="n"/>
      <c r="N346" s="15" t="n"/>
      <c r="O346" s="16" t="n"/>
      <c r="P346" s="16" t="n"/>
      <c r="Q346" s="13">
        <f>IF(OR(B346="",C346=""),"",IFERROR(INDEX(LAYOUT!$E$2:$E$33,MATCH(B346&amp;"|"&amp;C346,LAYOUT!$F$2:$F$33,0)),"zona tidak ada di layout"))</f>
        <v/>
      </c>
      <c r="R346" s="14">
        <f>IF(F346="","",IF(OR(I346="",O346=""),0,I346*O346))</f>
        <v/>
      </c>
      <c r="S346" s="14">
        <f>IF(F346="","",SUMIFS($R$2:$R$500,$A$2:$A$500,A346,$C$2:$C$500,C346))</f>
        <v/>
      </c>
      <c r="T346" s="14">
        <f>IF(F346="","",IF(OR(G346="",I346="",J346=""),"CEK data SKU (nama/lebar/tinggi)",IF(COUNTIFS($F$2:$F$500,F346,$I$2:$I$500,"&lt;&gt;"&amp;I346)+COUNTIFS($F$2:$F$500,F346,$J$2:$J$500,"&lt;&gt;"&amp;J346)&gt;0,"CEK data SKU tidak konsisten",IF(Q346="zona tidak ada di layout","CEK zona_no / jenis_fixture",IF(D346&lt;&gt;Q346,"CEK jenis_zona",IF(S346&gt;IFERROR(INDEX(LAYOUT!$C$2:$C$33,MATCH(B346,LAYOUT!$A$2:$A$33,0)),0),"CEK lebar zona melebihi fixture","OK")))))</f>
        <v/>
      </c>
    </row>
    <row r="347">
      <c r="A347" s="15" t="n"/>
      <c r="B347" s="15" t="n"/>
      <c r="C347" s="16" t="n"/>
      <c r="D347" s="15" t="n"/>
      <c r="E347" s="16" t="n"/>
      <c r="F347" s="17" t="n"/>
      <c r="G347" s="15" t="n"/>
      <c r="H347" s="15" t="n"/>
      <c r="I347" s="16" t="n"/>
      <c r="J347" s="16" t="n"/>
      <c r="K347" s="16" t="n"/>
      <c r="L347" s="16" t="n"/>
      <c r="M347" s="16" t="n"/>
      <c r="N347" s="15" t="n"/>
      <c r="O347" s="16" t="n"/>
      <c r="P347" s="16" t="n"/>
      <c r="Q347" s="13">
        <f>IF(OR(B347="",C347=""),"",IFERROR(INDEX(LAYOUT!$E$2:$E$33,MATCH(B347&amp;"|"&amp;C347,LAYOUT!$F$2:$F$33,0)),"zona tidak ada di layout"))</f>
        <v/>
      </c>
      <c r="R347" s="14">
        <f>IF(F347="","",IF(OR(I347="",O347=""),0,I347*O347))</f>
        <v/>
      </c>
      <c r="S347" s="14">
        <f>IF(F347="","",SUMIFS($R$2:$R$500,$A$2:$A$500,A347,$C$2:$C$500,C347))</f>
        <v/>
      </c>
      <c r="T347" s="14">
        <f>IF(F347="","",IF(OR(G347="",I347="",J347=""),"CEK data SKU (nama/lebar/tinggi)",IF(COUNTIFS($F$2:$F$500,F347,$I$2:$I$500,"&lt;&gt;"&amp;I347)+COUNTIFS($F$2:$F$500,F347,$J$2:$J$500,"&lt;&gt;"&amp;J347)&gt;0,"CEK data SKU tidak konsisten",IF(Q347="zona tidak ada di layout","CEK zona_no / jenis_fixture",IF(D347&lt;&gt;Q347,"CEK jenis_zona",IF(S347&gt;IFERROR(INDEX(LAYOUT!$C$2:$C$33,MATCH(B347,LAYOUT!$A$2:$A$33,0)),0),"CEK lebar zona melebihi fixture","OK")))))</f>
        <v/>
      </c>
    </row>
    <row r="348">
      <c r="A348" s="15" t="n"/>
      <c r="B348" s="15" t="n"/>
      <c r="C348" s="16" t="n"/>
      <c r="D348" s="15" t="n"/>
      <c r="E348" s="16" t="n"/>
      <c r="F348" s="17" t="n"/>
      <c r="G348" s="15" t="n"/>
      <c r="H348" s="15" t="n"/>
      <c r="I348" s="16" t="n"/>
      <c r="J348" s="16" t="n"/>
      <c r="K348" s="16" t="n"/>
      <c r="L348" s="16" t="n"/>
      <c r="M348" s="16" t="n"/>
      <c r="N348" s="15" t="n"/>
      <c r="O348" s="16" t="n"/>
      <c r="P348" s="16" t="n"/>
      <c r="Q348" s="13">
        <f>IF(OR(B348="",C348=""),"",IFERROR(INDEX(LAYOUT!$E$2:$E$33,MATCH(B348&amp;"|"&amp;C348,LAYOUT!$F$2:$F$33,0)),"zona tidak ada di layout"))</f>
        <v/>
      </c>
      <c r="R348" s="14">
        <f>IF(F348="","",IF(OR(I348="",O348=""),0,I348*O348))</f>
        <v/>
      </c>
      <c r="S348" s="14">
        <f>IF(F348="","",SUMIFS($R$2:$R$500,$A$2:$A$500,A348,$C$2:$C$500,C348))</f>
        <v/>
      </c>
      <c r="T348" s="14">
        <f>IF(F348="","",IF(OR(G348="",I348="",J348=""),"CEK data SKU (nama/lebar/tinggi)",IF(COUNTIFS($F$2:$F$500,F348,$I$2:$I$500,"&lt;&gt;"&amp;I348)+COUNTIFS($F$2:$F$500,F348,$J$2:$J$500,"&lt;&gt;"&amp;J348)&gt;0,"CEK data SKU tidak konsisten",IF(Q348="zona tidak ada di layout","CEK zona_no / jenis_fixture",IF(D348&lt;&gt;Q348,"CEK jenis_zona",IF(S348&gt;IFERROR(INDEX(LAYOUT!$C$2:$C$33,MATCH(B348,LAYOUT!$A$2:$A$33,0)),0),"CEK lebar zona melebihi fixture","OK")))))</f>
        <v/>
      </c>
    </row>
    <row r="349">
      <c r="A349" s="15" t="n"/>
      <c r="B349" s="15" t="n"/>
      <c r="C349" s="16" t="n"/>
      <c r="D349" s="15" t="n"/>
      <c r="E349" s="16" t="n"/>
      <c r="F349" s="17" t="n"/>
      <c r="G349" s="15" t="n"/>
      <c r="H349" s="15" t="n"/>
      <c r="I349" s="16" t="n"/>
      <c r="J349" s="16" t="n"/>
      <c r="K349" s="16" t="n"/>
      <c r="L349" s="16" t="n"/>
      <c r="M349" s="16" t="n"/>
      <c r="N349" s="15" t="n"/>
      <c r="O349" s="16" t="n"/>
      <c r="P349" s="16" t="n"/>
      <c r="Q349" s="13">
        <f>IF(OR(B349="",C349=""),"",IFERROR(INDEX(LAYOUT!$E$2:$E$33,MATCH(B349&amp;"|"&amp;C349,LAYOUT!$F$2:$F$33,0)),"zona tidak ada di layout"))</f>
        <v/>
      </c>
      <c r="R349" s="14">
        <f>IF(F349="","",IF(OR(I349="",O349=""),0,I349*O349))</f>
        <v/>
      </c>
      <c r="S349" s="14">
        <f>IF(F349="","",SUMIFS($R$2:$R$500,$A$2:$A$500,A349,$C$2:$C$500,C349))</f>
        <v/>
      </c>
      <c r="T349" s="14">
        <f>IF(F349="","",IF(OR(G349="",I349="",J349=""),"CEK data SKU (nama/lebar/tinggi)",IF(COUNTIFS($F$2:$F$500,F349,$I$2:$I$500,"&lt;&gt;"&amp;I349)+COUNTIFS($F$2:$F$500,F349,$J$2:$J$500,"&lt;&gt;"&amp;J349)&gt;0,"CEK data SKU tidak konsisten",IF(Q349="zona tidak ada di layout","CEK zona_no / jenis_fixture",IF(D349&lt;&gt;Q349,"CEK jenis_zona",IF(S349&gt;IFERROR(INDEX(LAYOUT!$C$2:$C$33,MATCH(B349,LAYOUT!$A$2:$A$33,0)),0),"CEK lebar zona melebihi fixture","OK")))))</f>
        <v/>
      </c>
    </row>
    <row r="350">
      <c r="A350" s="15" t="n"/>
      <c r="B350" s="15" t="n"/>
      <c r="C350" s="16" t="n"/>
      <c r="D350" s="15" t="n"/>
      <c r="E350" s="16" t="n"/>
      <c r="F350" s="17" t="n"/>
      <c r="G350" s="15" t="n"/>
      <c r="H350" s="15" t="n"/>
      <c r="I350" s="16" t="n"/>
      <c r="J350" s="16" t="n"/>
      <c r="K350" s="16" t="n"/>
      <c r="L350" s="16" t="n"/>
      <c r="M350" s="16" t="n"/>
      <c r="N350" s="15" t="n"/>
      <c r="O350" s="16" t="n"/>
      <c r="P350" s="16" t="n"/>
      <c r="Q350" s="13">
        <f>IF(OR(B350="",C350=""),"",IFERROR(INDEX(LAYOUT!$E$2:$E$33,MATCH(B350&amp;"|"&amp;C350,LAYOUT!$F$2:$F$33,0)),"zona tidak ada di layout"))</f>
        <v/>
      </c>
      <c r="R350" s="14">
        <f>IF(F350="","",IF(OR(I350="",O350=""),0,I350*O350))</f>
        <v/>
      </c>
      <c r="S350" s="14">
        <f>IF(F350="","",SUMIFS($R$2:$R$500,$A$2:$A$500,A350,$C$2:$C$500,C350))</f>
        <v/>
      </c>
      <c r="T350" s="14">
        <f>IF(F350="","",IF(OR(G350="",I350="",J350=""),"CEK data SKU (nama/lebar/tinggi)",IF(COUNTIFS($F$2:$F$500,F350,$I$2:$I$500,"&lt;&gt;"&amp;I350)+COUNTIFS($F$2:$F$500,F350,$J$2:$J$500,"&lt;&gt;"&amp;J350)&gt;0,"CEK data SKU tidak konsisten",IF(Q350="zona tidak ada di layout","CEK zona_no / jenis_fixture",IF(D350&lt;&gt;Q350,"CEK jenis_zona",IF(S350&gt;IFERROR(INDEX(LAYOUT!$C$2:$C$33,MATCH(B350,LAYOUT!$A$2:$A$33,0)),0),"CEK lebar zona melebihi fixture","OK")))))</f>
        <v/>
      </c>
    </row>
    <row r="351">
      <c r="A351" s="15" t="n"/>
      <c r="B351" s="15" t="n"/>
      <c r="C351" s="16" t="n"/>
      <c r="D351" s="15" t="n"/>
      <c r="E351" s="16" t="n"/>
      <c r="F351" s="17" t="n"/>
      <c r="G351" s="15" t="n"/>
      <c r="H351" s="15" t="n"/>
      <c r="I351" s="16" t="n"/>
      <c r="J351" s="16" t="n"/>
      <c r="K351" s="16" t="n"/>
      <c r="L351" s="16" t="n"/>
      <c r="M351" s="16" t="n"/>
      <c r="N351" s="15" t="n"/>
      <c r="O351" s="16" t="n"/>
      <c r="P351" s="16" t="n"/>
      <c r="Q351" s="13">
        <f>IF(OR(B351="",C351=""),"",IFERROR(INDEX(LAYOUT!$E$2:$E$33,MATCH(B351&amp;"|"&amp;C351,LAYOUT!$F$2:$F$33,0)),"zona tidak ada di layout"))</f>
        <v/>
      </c>
      <c r="R351" s="14">
        <f>IF(F351="","",IF(OR(I351="",O351=""),0,I351*O351))</f>
        <v/>
      </c>
      <c r="S351" s="14">
        <f>IF(F351="","",SUMIFS($R$2:$R$500,$A$2:$A$500,A351,$C$2:$C$500,C351))</f>
        <v/>
      </c>
      <c r="T351" s="14">
        <f>IF(F351="","",IF(OR(G351="",I351="",J351=""),"CEK data SKU (nama/lebar/tinggi)",IF(COUNTIFS($F$2:$F$500,F351,$I$2:$I$500,"&lt;&gt;"&amp;I351)+COUNTIFS($F$2:$F$500,F351,$J$2:$J$500,"&lt;&gt;"&amp;J351)&gt;0,"CEK data SKU tidak konsisten",IF(Q351="zona tidak ada di layout","CEK zona_no / jenis_fixture",IF(D351&lt;&gt;Q351,"CEK jenis_zona",IF(S351&gt;IFERROR(INDEX(LAYOUT!$C$2:$C$33,MATCH(B351,LAYOUT!$A$2:$A$33,0)),0),"CEK lebar zona melebihi fixture","OK")))))</f>
        <v/>
      </c>
    </row>
    <row r="352">
      <c r="A352" s="15" t="n"/>
      <c r="B352" s="15" t="n"/>
      <c r="C352" s="16" t="n"/>
      <c r="D352" s="15" t="n"/>
      <c r="E352" s="16" t="n"/>
      <c r="F352" s="17" t="n"/>
      <c r="G352" s="15" t="n"/>
      <c r="H352" s="15" t="n"/>
      <c r="I352" s="16" t="n"/>
      <c r="J352" s="16" t="n"/>
      <c r="K352" s="16" t="n"/>
      <c r="L352" s="16" t="n"/>
      <c r="M352" s="16" t="n"/>
      <c r="N352" s="15" t="n"/>
      <c r="O352" s="16" t="n"/>
      <c r="P352" s="16" t="n"/>
      <c r="Q352" s="13">
        <f>IF(OR(B352="",C352=""),"",IFERROR(INDEX(LAYOUT!$E$2:$E$33,MATCH(B352&amp;"|"&amp;C352,LAYOUT!$F$2:$F$33,0)),"zona tidak ada di layout"))</f>
        <v/>
      </c>
      <c r="R352" s="14">
        <f>IF(F352="","",IF(OR(I352="",O352=""),0,I352*O352))</f>
        <v/>
      </c>
      <c r="S352" s="14">
        <f>IF(F352="","",SUMIFS($R$2:$R$500,$A$2:$A$500,A352,$C$2:$C$500,C352))</f>
        <v/>
      </c>
      <c r="T352" s="14">
        <f>IF(F352="","",IF(OR(G352="",I352="",J352=""),"CEK data SKU (nama/lebar/tinggi)",IF(COUNTIFS($F$2:$F$500,F352,$I$2:$I$500,"&lt;&gt;"&amp;I352)+COUNTIFS($F$2:$F$500,F352,$J$2:$J$500,"&lt;&gt;"&amp;J352)&gt;0,"CEK data SKU tidak konsisten",IF(Q352="zona tidak ada di layout","CEK zona_no / jenis_fixture",IF(D352&lt;&gt;Q352,"CEK jenis_zona",IF(S352&gt;IFERROR(INDEX(LAYOUT!$C$2:$C$33,MATCH(B352,LAYOUT!$A$2:$A$33,0)),0),"CEK lebar zona melebihi fixture","OK")))))</f>
        <v/>
      </c>
    </row>
    <row r="353">
      <c r="A353" s="15" t="n"/>
      <c r="B353" s="15" t="n"/>
      <c r="C353" s="16" t="n"/>
      <c r="D353" s="15" t="n"/>
      <c r="E353" s="16" t="n"/>
      <c r="F353" s="17" t="n"/>
      <c r="G353" s="15" t="n"/>
      <c r="H353" s="15" t="n"/>
      <c r="I353" s="16" t="n"/>
      <c r="J353" s="16" t="n"/>
      <c r="K353" s="16" t="n"/>
      <c r="L353" s="16" t="n"/>
      <c r="M353" s="16" t="n"/>
      <c r="N353" s="15" t="n"/>
      <c r="O353" s="16" t="n"/>
      <c r="P353" s="16" t="n"/>
      <c r="Q353" s="13">
        <f>IF(OR(B353="",C353=""),"",IFERROR(INDEX(LAYOUT!$E$2:$E$33,MATCH(B353&amp;"|"&amp;C353,LAYOUT!$F$2:$F$33,0)),"zona tidak ada di layout"))</f>
        <v/>
      </c>
      <c r="R353" s="14">
        <f>IF(F353="","",IF(OR(I353="",O353=""),0,I353*O353))</f>
        <v/>
      </c>
      <c r="S353" s="14">
        <f>IF(F353="","",SUMIFS($R$2:$R$500,$A$2:$A$500,A353,$C$2:$C$500,C353))</f>
        <v/>
      </c>
      <c r="T353" s="14">
        <f>IF(F353="","",IF(OR(G353="",I353="",J353=""),"CEK data SKU (nama/lebar/tinggi)",IF(COUNTIFS($F$2:$F$500,F353,$I$2:$I$500,"&lt;&gt;"&amp;I353)+COUNTIFS($F$2:$F$500,F353,$J$2:$J$500,"&lt;&gt;"&amp;J353)&gt;0,"CEK data SKU tidak konsisten",IF(Q353="zona tidak ada di layout","CEK zona_no / jenis_fixture",IF(D353&lt;&gt;Q353,"CEK jenis_zona",IF(S353&gt;IFERROR(INDEX(LAYOUT!$C$2:$C$33,MATCH(B353,LAYOUT!$A$2:$A$33,0)),0),"CEK lebar zona melebihi fixture","OK")))))</f>
        <v/>
      </c>
    </row>
    <row r="354">
      <c r="A354" s="15" t="n"/>
      <c r="B354" s="15" t="n"/>
      <c r="C354" s="16" t="n"/>
      <c r="D354" s="15" t="n"/>
      <c r="E354" s="16" t="n"/>
      <c r="F354" s="17" t="n"/>
      <c r="G354" s="15" t="n"/>
      <c r="H354" s="15" t="n"/>
      <c r="I354" s="16" t="n"/>
      <c r="J354" s="16" t="n"/>
      <c r="K354" s="16" t="n"/>
      <c r="L354" s="16" t="n"/>
      <c r="M354" s="16" t="n"/>
      <c r="N354" s="15" t="n"/>
      <c r="O354" s="16" t="n"/>
      <c r="P354" s="16" t="n"/>
      <c r="Q354" s="13">
        <f>IF(OR(B354="",C354=""),"",IFERROR(INDEX(LAYOUT!$E$2:$E$33,MATCH(B354&amp;"|"&amp;C354,LAYOUT!$F$2:$F$33,0)),"zona tidak ada di layout"))</f>
        <v/>
      </c>
      <c r="R354" s="14">
        <f>IF(F354="","",IF(OR(I354="",O354=""),0,I354*O354))</f>
        <v/>
      </c>
      <c r="S354" s="14">
        <f>IF(F354="","",SUMIFS($R$2:$R$500,$A$2:$A$500,A354,$C$2:$C$500,C354))</f>
        <v/>
      </c>
      <c r="T354" s="14">
        <f>IF(F354="","",IF(OR(G354="",I354="",J354=""),"CEK data SKU (nama/lebar/tinggi)",IF(COUNTIFS($F$2:$F$500,F354,$I$2:$I$500,"&lt;&gt;"&amp;I354)+COUNTIFS($F$2:$F$500,F354,$J$2:$J$500,"&lt;&gt;"&amp;J354)&gt;0,"CEK data SKU tidak konsisten",IF(Q354="zona tidak ada di layout","CEK zona_no / jenis_fixture",IF(D354&lt;&gt;Q354,"CEK jenis_zona",IF(S354&gt;IFERROR(INDEX(LAYOUT!$C$2:$C$33,MATCH(B354,LAYOUT!$A$2:$A$33,0)),0),"CEK lebar zona melebihi fixture","OK")))))</f>
        <v/>
      </c>
    </row>
    <row r="355">
      <c r="A355" s="15" t="n"/>
      <c r="B355" s="15" t="n"/>
      <c r="C355" s="16" t="n"/>
      <c r="D355" s="15" t="n"/>
      <c r="E355" s="16" t="n"/>
      <c r="F355" s="17" t="n"/>
      <c r="G355" s="15" t="n"/>
      <c r="H355" s="15" t="n"/>
      <c r="I355" s="16" t="n"/>
      <c r="J355" s="16" t="n"/>
      <c r="K355" s="16" t="n"/>
      <c r="L355" s="16" t="n"/>
      <c r="M355" s="16" t="n"/>
      <c r="N355" s="15" t="n"/>
      <c r="O355" s="16" t="n"/>
      <c r="P355" s="16" t="n"/>
      <c r="Q355" s="13">
        <f>IF(OR(B355="",C355=""),"",IFERROR(INDEX(LAYOUT!$E$2:$E$33,MATCH(B355&amp;"|"&amp;C355,LAYOUT!$F$2:$F$33,0)),"zona tidak ada di layout"))</f>
        <v/>
      </c>
      <c r="R355" s="14">
        <f>IF(F355="","",IF(OR(I355="",O355=""),0,I355*O355))</f>
        <v/>
      </c>
      <c r="S355" s="14">
        <f>IF(F355="","",SUMIFS($R$2:$R$500,$A$2:$A$500,A355,$C$2:$C$500,C355))</f>
        <v/>
      </c>
      <c r="T355" s="14">
        <f>IF(F355="","",IF(OR(G355="",I355="",J355=""),"CEK data SKU (nama/lebar/tinggi)",IF(COUNTIFS($F$2:$F$500,F355,$I$2:$I$500,"&lt;&gt;"&amp;I355)+COUNTIFS($F$2:$F$500,F355,$J$2:$J$500,"&lt;&gt;"&amp;J355)&gt;0,"CEK data SKU tidak konsisten",IF(Q355="zona tidak ada di layout","CEK zona_no / jenis_fixture",IF(D355&lt;&gt;Q355,"CEK jenis_zona",IF(S355&gt;IFERROR(INDEX(LAYOUT!$C$2:$C$33,MATCH(B355,LAYOUT!$A$2:$A$33,0)),0),"CEK lebar zona melebihi fixture","OK")))))</f>
        <v/>
      </c>
    </row>
    <row r="356">
      <c r="A356" s="15" t="n"/>
      <c r="B356" s="15" t="n"/>
      <c r="C356" s="16" t="n"/>
      <c r="D356" s="15" t="n"/>
      <c r="E356" s="16" t="n"/>
      <c r="F356" s="17" t="n"/>
      <c r="G356" s="15" t="n"/>
      <c r="H356" s="15" t="n"/>
      <c r="I356" s="16" t="n"/>
      <c r="J356" s="16" t="n"/>
      <c r="K356" s="16" t="n"/>
      <c r="L356" s="16" t="n"/>
      <c r="M356" s="16" t="n"/>
      <c r="N356" s="15" t="n"/>
      <c r="O356" s="16" t="n"/>
      <c r="P356" s="16" t="n"/>
      <c r="Q356" s="13">
        <f>IF(OR(B356="",C356=""),"",IFERROR(INDEX(LAYOUT!$E$2:$E$33,MATCH(B356&amp;"|"&amp;C356,LAYOUT!$F$2:$F$33,0)),"zona tidak ada di layout"))</f>
        <v/>
      </c>
      <c r="R356" s="14">
        <f>IF(F356="","",IF(OR(I356="",O356=""),0,I356*O356))</f>
        <v/>
      </c>
      <c r="S356" s="14">
        <f>IF(F356="","",SUMIFS($R$2:$R$500,$A$2:$A$500,A356,$C$2:$C$500,C356))</f>
        <v/>
      </c>
      <c r="T356" s="14">
        <f>IF(F356="","",IF(OR(G356="",I356="",J356=""),"CEK data SKU (nama/lebar/tinggi)",IF(COUNTIFS($F$2:$F$500,F356,$I$2:$I$500,"&lt;&gt;"&amp;I356)+COUNTIFS($F$2:$F$500,F356,$J$2:$J$500,"&lt;&gt;"&amp;J356)&gt;0,"CEK data SKU tidak konsisten",IF(Q356="zona tidak ada di layout","CEK zona_no / jenis_fixture",IF(D356&lt;&gt;Q356,"CEK jenis_zona",IF(S356&gt;IFERROR(INDEX(LAYOUT!$C$2:$C$33,MATCH(B356,LAYOUT!$A$2:$A$33,0)),0),"CEK lebar zona melebihi fixture","OK")))))</f>
        <v/>
      </c>
    </row>
    <row r="357">
      <c r="A357" s="15" t="n"/>
      <c r="B357" s="15" t="n"/>
      <c r="C357" s="16" t="n"/>
      <c r="D357" s="15" t="n"/>
      <c r="E357" s="16" t="n"/>
      <c r="F357" s="17" t="n"/>
      <c r="G357" s="15" t="n"/>
      <c r="H357" s="15" t="n"/>
      <c r="I357" s="16" t="n"/>
      <c r="J357" s="16" t="n"/>
      <c r="K357" s="16" t="n"/>
      <c r="L357" s="16" t="n"/>
      <c r="M357" s="16" t="n"/>
      <c r="N357" s="15" t="n"/>
      <c r="O357" s="16" t="n"/>
      <c r="P357" s="16" t="n"/>
      <c r="Q357" s="13">
        <f>IF(OR(B357="",C357=""),"",IFERROR(INDEX(LAYOUT!$E$2:$E$33,MATCH(B357&amp;"|"&amp;C357,LAYOUT!$F$2:$F$33,0)),"zona tidak ada di layout"))</f>
        <v/>
      </c>
      <c r="R357" s="14">
        <f>IF(F357="","",IF(OR(I357="",O357=""),0,I357*O357))</f>
        <v/>
      </c>
      <c r="S357" s="14">
        <f>IF(F357="","",SUMIFS($R$2:$R$500,$A$2:$A$500,A357,$C$2:$C$500,C357))</f>
        <v/>
      </c>
      <c r="T357" s="14">
        <f>IF(F357="","",IF(OR(G357="",I357="",J357=""),"CEK data SKU (nama/lebar/tinggi)",IF(COUNTIFS($F$2:$F$500,F357,$I$2:$I$500,"&lt;&gt;"&amp;I357)+COUNTIFS($F$2:$F$500,F357,$J$2:$J$500,"&lt;&gt;"&amp;J357)&gt;0,"CEK data SKU tidak konsisten",IF(Q357="zona tidak ada di layout","CEK zona_no / jenis_fixture",IF(D357&lt;&gt;Q357,"CEK jenis_zona",IF(S357&gt;IFERROR(INDEX(LAYOUT!$C$2:$C$33,MATCH(B357,LAYOUT!$A$2:$A$33,0)),0),"CEK lebar zona melebihi fixture","OK")))))</f>
        <v/>
      </c>
    </row>
    <row r="358">
      <c r="A358" s="15" t="n"/>
      <c r="B358" s="15" t="n"/>
      <c r="C358" s="16" t="n"/>
      <c r="D358" s="15" t="n"/>
      <c r="E358" s="16" t="n"/>
      <c r="F358" s="17" t="n"/>
      <c r="G358" s="15" t="n"/>
      <c r="H358" s="15" t="n"/>
      <c r="I358" s="16" t="n"/>
      <c r="J358" s="16" t="n"/>
      <c r="K358" s="16" t="n"/>
      <c r="L358" s="16" t="n"/>
      <c r="M358" s="16" t="n"/>
      <c r="N358" s="15" t="n"/>
      <c r="O358" s="16" t="n"/>
      <c r="P358" s="16" t="n"/>
      <c r="Q358" s="13">
        <f>IF(OR(B358="",C358=""),"",IFERROR(INDEX(LAYOUT!$E$2:$E$33,MATCH(B358&amp;"|"&amp;C358,LAYOUT!$F$2:$F$33,0)),"zona tidak ada di layout"))</f>
        <v/>
      </c>
      <c r="R358" s="14">
        <f>IF(F358="","",IF(OR(I358="",O358=""),0,I358*O358))</f>
        <v/>
      </c>
      <c r="S358" s="14">
        <f>IF(F358="","",SUMIFS($R$2:$R$500,$A$2:$A$500,A358,$C$2:$C$500,C358))</f>
        <v/>
      </c>
      <c r="T358" s="14">
        <f>IF(F358="","",IF(OR(G358="",I358="",J358=""),"CEK data SKU (nama/lebar/tinggi)",IF(COUNTIFS($F$2:$F$500,F358,$I$2:$I$500,"&lt;&gt;"&amp;I358)+COUNTIFS($F$2:$F$500,F358,$J$2:$J$500,"&lt;&gt;"&amp;J358)&gt;0,"CEK data SKU tidak konsisten",IF(Q358="zona tidak ada di layout","CEK zona_no / jenis_fixture",IF(D358&lt;&gt;Q358,"CEK jenis_zona",IF(S358&gt;IFERROR(INDEX(LAYOUT!$C$2:$C$33,MATCH(B358,LAYOUT!$A$2:$A$33,0)),0),"CEK lebar zona melebihi fixture","OK")))))</f>
        <v/>
      </c>
    </row>
    <row r="359">
      <c r="A359" s="15" t="n"/>
      <c r="B359" s="15" t="n"/>
      <c r="C359" s="16" t="n"/>
      <c r="D359" s="15" t="n"/>
      <c r="E359" s="16" t="n"/>
      <c r="F359" s="17" t="n"/>
      <c r="G359" s="15" t="n"/>
      <c r="H359" s="15" t="n"/>
      <c r="I359" s="16" t="n"/>
      <c r="J359" s="16" t="n"/>
      <c r="K359" s="16" t="n"/>
      <c r="L359" s="16" t="n"/>
      <c r="M359" s="16" t="n"/>
      <c r="N359" s="15" t="n"/>
      <c r="O359" s="16" t="n"/>
      <c r="P359" s="16" t="n"/>
      <c r="Q359" s="13">
        <f>IF(OR(B359="",C359=""),"",IFERROR(INDEX(LAYOUT!$E$2:$E$33,MATCH(B359&amp;"|"&amp;C359,LAYOUT!$F$2:$F$33,0)),"zona tidak ada di layout"))</f>
        <v/>
      </c>
      <c r="R359" s="14">
        <f>IF(F359="","",IF(OR(I359="",O359=""),0,I359*O359))</f>
        <v/>
      </c>
      <c r="S359" s="14">
        <f>IF(F359="","",SUMIFS($R$2:$R$500,$A$2:$A$500,A359,$C$2:$C$500,C359))</f>
        <v/>
      </c>
      <c r="T359" s="14">
        <f>IF(F359="","",IF(OR(G359="",I359="",J359=""),"CEK data SKU (nama/lebar/tinggi)",IF(COUNTIFS($F$2:$F$500,F359,$I$2:$I$500,"&lt;&gt;"&amp;I359)+COUNTIFS($F$2:$F$500,F359,$J$2:$J$500,"&lt;&gt;"&amp;J359)&gt;0,"CEK data SKU tidak konsisten",IF(Q359="zona tidak ada di layout","CEK zona_no / jenis_fixture",IF(D359&lt;&gt;Q359,"CEK jenis_zona",IF(S359&gt;IFERROR(INDEX(LAYOUT!$C$2:$C$33,MATCH(B359,LAYOUT!$A$2:$A$33,0)),0),"CEK lebar zona melebihi fixture","OK")))))</f>
        <v/>
      </c>
    </row>
    <row r="360">
      <c r="A360" s="15" t="n"/>
      <c r="B360" s="15" t="n"/>
      <c r="C360" s="16" t="n"/>
      <c r="D360" s="15" t="n"/>
      <c r="E360" s="16" t="n"/>
      <c r="F360" s="17" t="n"/>
      <c r="G360" s="15" t="n"/>
      <c r="H360" s="15" t="n"/>
      <c r="I360" s="16" t="n"/>
      <c r="J360" s="16" t="n"/>
      <c r="K360" s="16" t="n"/>
      <c r="L360" s="16" t="n"/>
      <c r="M360" s="16" t="n"/>
      <c r="N360" s="15" t="n"/>
      <c r="O360" s="16" t="n"/>
      <c r="P360" s="16" t="n"/>
      <c r="Q360" s="13">
        <f>IF(OR(B360="",C360=""),"",IFERROR(INDEX(LAYOUT!$E$2:$E$33,MATCH(B360&amp;"|"&amp;C360,LAYOUT!$F$2:$F$33,0)),"zona tidak ada di layout"))</f>
        <v/>
      </c>
      <c r="R360" s="14">
        <f>IF(F360="","",IF(OR(I360="",O360=""),0,I360*O360))</f>
        <v/>
      </c>
      <c r="S360" s="14">
        <f>IF(F360="","",SUMIFS($R$2:$R$500,$A$2:$A$500,A360,$C$2:$C$500,C360))</f>
        <v/>
      </c>
      <c r="T360" s="14">
        <f>IF(F360="","",IF(OR(G360="",I360="",J360=""),"CEK data SKU (nama/lebar/tinggi)",IF(COUNTIFS($F$2:$F$500,F360,$I$2:$I$500,"&lt;&gt;"&amp;I360)+COUNTIFS($F$2:$F$500,F360,$J$2:$J$500,"&lt;&gt;"&amp;J360)&gt;0,"CEK data SKU tidak konsisten",IF(Q360="zona tidak ada di layout","CEK zona_no / jenis_fixture",IF(D360&lt;&gt;Q360,"CEK jenis_zona",IF(S360&gt;IFERROR(INDEX(LAYOUT!$C$2:$C$33,MATCH(B360,LAYOUT!$A$2:$A$33,0)),0),"CEK lebar zona melebihi fixture","OK")))))</f>
        <v/>
      </c>
    </row>
    <row r="361">
      <c r="A361" s="15" t="n"/>
      <c r="B361" s="15" t="n"/>
      <c r="C361" s="16" t="n"/>
      <c r="D361" s="15" t="n"/>
      <c r="E361" s="16" t="n"/>
      <c r="F361" s="17" t="n"/>
      <c r="G361" s="15" t="n"/>
      <c r="H361" s="15" t="n"/>
      <c r="I361" s="16" t="n"/>
      <c r="J361" s="16" t="n"/>
      <c r="K361" s="16" t="n"/>
      <c r="L361" s="16" t="n"/>
      <c r="M361" s="16" t="n"/>
      <c r="N361" s="15" t="n"/>
      <c r="O361" s="16" t="n"/>
      <c r="P361" s="16" t="n"/>
      <c r="Q361" s="13">
        <f>IF(OR(B361="",C361=""),"",IFERROR(INDEX(LAYOUT!$E$2:$E$33,MATCH(B361&amp;"|"&amp;C361,LAYOUT!$F$2:$F$33,0)),"zona tidak ada di layout"))</f>
        <v/>
      </c>
      <c r="R361" s="14">
        <f>IF(F361="","",IF(OR(I361="",O361=""),0,I361*O361))</f>
        <v/>
      </c>
      <c r="S361" s="14">
        <f>IF(F361="","",SUMIFS($R$2:$R$500,$A$2:$A$500,A361,$C$2:$C$500,C361))</f>
        <v/>
      </c>
      <c r="T361" s="14">
        <f>IF(F361="","",IF(OR(G361="",I361="",J361=""),"CEK data SKU (nama/lebar/tinggi)",IF(COUNTIFS($F$2:$F$500,F361,$I$2:$I$500,"&lt;&gt;"&amp;I361)+COUNTIFS($F$2:$F$500,F361,$J$2:$J$500,"&lt;&gt;"&amp;J361)&gt;0,"CEK data SKU tidak konsisten",IF(Q361="zona tidak ada di layout","CEK zona_no / jenis_fixture",IF(D361&lt;&gt;Q361,"CEK jenis_zona",IF(S361&gt;IFERROR(INDEX(LAYOUT!$C$2:$C$33,MATCH(B361,LAYOUT!$A$2:$A$33,0)),0),"CEK lebar zona melebihi fixture","OK")))))</f>
        <v/>
      </c>
    </row>
    <row r="362">
      <c r="A362" s="15" t="n"/>
      <c r="B362" s="15" t="n"/>
      <c r="C362" s="16" t="n"/>
      <c r="D362" s="15" t="n"/>
      <c r="E362" s="16" t="n"/>
      <c r="F362" s="17" t="n"/>
      <c r="G362" s="15" t="n"/>
      <c r="H362" s="15" t="n"/>
      <c r="I362" s="16" t="n"/>
      <c r="J362" s="16" t="n"/>
      <c r="K362" s="16" t="n"/>
      <c r="L362" s="16" t="n"/>
      <c r="M362" s="16" t="n"/>
      <c r="N362" s="15" t="n"/>
      <c r="O362" s="16" t="n"/>
      <c r="P362" s="16" t="n"/>
      <c r="Q362" s="13">
        <f>IF(OR(B362="",C362=""),"",IFERROR(INDEX(LAYOUT!$E$2:$E$33,MATCH(B362&amp;"|"&amp;C362,LAYOUT!$F$2:$F$33,0)),"zona tidak ada di layout"))</f>
        <v/>
      </c>
      <c r="R362" s="14">
        <f>IF(F362="","",IF(OR(I362="",O362=""),0,I362*O362))</f>
        <v/>
      </c>
      <c r="S362" s="14">
        <f>IF(F362="","",SUMIFS($R$2:$R$500,$A$2:$A$500,A362,$C$2:$C$500,C362))</f>
        <v/>
      </c>
      <c r="T362" s="14">
        <f>IF(F362="","",IF(OR(G362="",I362="",J362=""),"CEK data SKU (nama/lebar/tinggi)",IF(COUNTIFS($F$2:$F$500,F362,$I$2:$I$500,"&lt;&gt;"&amp;I362)+COUNTIFS($F$2:$F$500,F362,$J$2:$J$500,"&lt;&gt;"&amp;J362)&gt;0,"CEK data SKU tidak konsisten",IF(Q362="zona tidak ada di layout","CEK zona_no / jenis_fixture",IF(D362&lt;&gt;Q362,"CEK jenis_zona",IF(S362&gt;IFERROR(INDEX(LAYOUT!$C$2:$C$33,MATCH(B362,LAYOUT!$A$2:$A$33,0)),0),"CEK lebar zona melebihi fixture","OK")))))</f>
        <v/>
      </c>
    </row>
    <row r="363">
      <c r="A363" s="15" t="n"/>
      <c r="B363" s="15" t="n"/>
      <c r="C363" s="16" t="n"/>
      <c r="D363" s="15" t="n"/>
      <c r="E363" s="16" t="n"/>
      <c r="F363" s="17" t="n"/>
      <c r="G363" s="15" t="n"/>
      <c r="H363" s="15" t="n"/>
      <c r="I363" s="16" t="n"/>
      <c r="J363" s="16" t="n"/>
      <c r="K363" s="16" t="n"/>
      <c r="L363" s="16" t="n"/>
      <c r="M363" s="16" t="n"/>
      <c r="N363" s="15" t="n"/>
      <c r="O363" s="16" t="n"/>
      <c r="P363" s="16" t="n"/>
      <c r="Q363" s="13">
        <f>IF(OR(B363="",C363=""),"",IFERROR(INDEX(LAYOUT!$E$2:$E$33,MATCH(B363&amp;"|"&amp;C363,LAYOUT!$F$2:$F$33,0)),"zona tidak ada di layout"))</f>
        <v/>
      </c>
      <c r="R363" s="14">
        <f>IF(F363="","",IF(OR(I363="",O363=""),0,I363*O363))</f>
        <v/>
      </c>
      <c r="S363" s="14">
        <f>IF(F363="","",SUMIFS($R$2:$R$500,$A$2:$A$500,A363,$C$2:$C$500,C363))</f>
        <v/>
      </c>
      <c r="T363" s="14">
        <f>IF(F363="","",IF(OR(G363="",I363="",J363=""),"CEK data SKU (nama/lebar/tinggi)",IF(COUNTIFS($F$2:$F$500,F363,$I$2:$I$500,"&lt;&gt;"&amp;I363)+COUNTIFS($F$2:$F$500,F363,$J$2:$J$500,"&lt;&gt;"&amp;J363)&gt;0,"CEK data SKU tidak konsisten",IF(Q363="zona tidak ada di layout","CEK zona_no / jenis_fixture",IF(D363&lt;&gt;Q363,"CEK jenis_zona",IF(S363&gt;IFERROR(INDEX(LAYOUT!$C$2:$C$33,MATCH(B363,LAYOUT!$A$2:$A$33,0)),0),"CEK lebar zona melebihi fixture","OK")))))</f>
        <v/>
      </c>
    </row>
    <row r="364">
      <c r="A364" s="15" t="n"/>
      <c r="B364" s="15" t="n"/>
      <c r="C364" s="16" t="n"/>
      <c r="D364" s="15" t="n"/>
      <c r="E364" s="16" t="n"/>
      <c r="F364" s="17" t="n"/>
      <c r="G364" s="15" t="n"/>
      <c r="H364" s="15" t="n"/>
      <c r="I364" s="16" t="n"/>
      <c r="J364" s="16" t="n"/>
      <c r="K364" s="16" t="n"/>
      <c r="L364" s="16" t="n"/>
      <c r="M364" s="16" t="n"/>
      <c r="N364" s="15" t="n"/>
      <c r="O364" s="16" t="n"/>
      <c r="P364" s="16" t="n"/>
      <c r="Q364" s="13">
        <f>IF(OR(B364="",C364=""),"",IFERROR(INDEX(LAYOUT!$E$2:$E$33,MATCH(B364&amp;"|"&amp;C364,LAYOUT!$F$2:$F$33,0)),"zona tidak ada di layout"))</f>
        <v/>
      </c>
      <c r="R364" s="14">
        <f>IF(F364="","",IF(OR(I364="",O364=""),0,I364*O364))</f>
        <v/>
      </c>
      <c r="S364" s="14">
        <f>IF(F364="","",SUMIFS($R$2:$R$500,$A$2:$A$500,A364,$C$2:$C$500,C364))</f>
        <v/>
      </c>
      <c r="T364" s="14">
        <f>IF(F364="","",IF(OR(G364="",I364="",J364=""),"CEK data SKU (nama/lebar/tinggi)",IF(COUNTIFS($F$2:$F$500,F364,$I$2:$I$500,"&lt;&gt;"&amp;I364)+COUNTIFS($F$2:$F$500,F364,$J$2:$J$500,"&lt;&gt;"&amp;J364)&gt;0,"CEK data SKU tidak konsisten",IF(Q364="zona tidak ada di layout","CEK zona_no / jenis_fixture",IF(D364&lt;&gt;Q364,"CEK jenis_zona",IF(S364&gt;IFERROR(INDEX(LAYOUT!$C$2:$C$33,MATCH(B364,LAYOUT!$A$2:$A$33,0)),0),"CEK lebar zona melebihi fixture","OK")))))</f>
        <v/>
      </c>
    </row>
    <row r="365">
      <c r="A365" s="15" t="n"/>
      <c r="B365" s="15" t="n"/>
      <c r="C365" s="16" t="n"/>
      <c r="D365" s="15" t="n"/>
      <c r="E365" s="16" t="n"/>
      <c r="F365" s="17" t="n"/>
      <c r="G365" s="15" t="n"/>
      <c r="H365" s="15" t="n"/>
      <c r="I365" s="16" t="n"/>
      <c r="J365" s="16" t="n"/>
      <c r="K365" s="16" t="n"/>
      <c r="L365" s="16" t="n"/>
      <c r="M365" s="16" t="n"/>
      <c r="N365" s="15" t="n"/>
      <c r="O365" s="16" t="n"/>
      <c r="P365" s="16" t="n"/>
      <c r="Q365" s="13">
        <f>IF(OR(B365="",C365=""),"",IFERROR(INDEX(LAYOUT!$E$2:$E$33,MATCH(B365&amp;"|"&amp;C365,LAYOUT!$F$2:$F$33,0)),"zona tidak ada di layout"))</f>
        <v/>
      </c>
      <c r="R365" s="14">
        <f>IF(F365="","",IF(OR(I365="",O365=""),0,I365*O365))</f>
        <v/>
      </c>
      <c r="S365" s="14">
        <f>IF(F365="","",SUMIFS($R$2:$R$500,$A$2:$A$500,A365,$C$2:$C$500,C365))</f>
        <v/>
      </c>
      <c r="T365" s="14">
        <f>IF(F365="","",IF(OR(G365="",I365="",J365=""),"CEK data SKU (nama/lebar/tinggi)",IF(COUNTIFS($F$2:$F$500,F365,$I$2:$I$500,"&lt;&gt;"&amp;I365)+COUNTIFS($F$2:$F$500,F365,$J$2:$J$500,"&lt;&gt;"&amp;J365)&gt;0,"CEK data SKU tidak konsisten",IF(Q365="zona tidak ada di layout","CEK zona_no / jenis_fixture",IF(D365&lt;&gt;Q365,"CEK jenis_zona",IF(S365&gt;IFERROR(INDEX(LAYOUT!$C$2:$C$33,MATCH(B365,LAYOUT!$A$2:$A$33,0)),0),"CEK lebar zona melebihi fixture","OK")))))</f>
        <v/>
      </c>
    </row>
    <row r="366">
      <c r="A366" s="15" t="n"/>
      <c r="B366" s="15" t="n"/>
      <c r="C366" s="16" t="n"/>
      <c r="D366" s="15" t="n"/>
      <c r="E366" s="16" t="n"/>
      <c r="F366" s="17" t="n"/>
      <c r="G366" s="15" t="n"/>
      <c r="H366" s="15" t="n"/>
      <c r="I366" s="16" t="n"/>
      <c r="J366" s="16" t="n"/>
      <c r="K366" s="16" t="n"/>
      <c r="L366" s="16" t="n"/>
      <c r="M366" s="16" t="n"/>
      <c r="N366" s="15" t="n"/>
      <c r="O366" s="16" t="n"/>
      <c r="P366" s="16" t="n"/>
      <c r="Q366" s="13">
        <f>IF(OR(B366="",C366=""),"",IFERROR(INDEX(LAYOUT!$E$2:$E$33,MATCH(B366&amp;"|"&amp;C366,LAYOUT!$F$2:$F$33,0)),"zona tidak ada di layout"))</f>
        <v/>
      </c>
      <c r="R366" s="14">
        <f>IF(F366="","",IF(OR(I366="",O366=""),0,I366*O366))</f>
        <v/>
      </c>
      <c r="S366" s="14">
        <f>IF(F366="","",SUMIFS($R$2:$R$500,$A$2:$A$500,A366,$C$2:$C$500,C366))</f>
        <v/>
      </c>
      <c r="T366" s="14">
        <f>IF(F366="","",IF(OR(G366="",I366="",J366=""),"CEK data SKU (nama/lebar/tinggi)",IF(COUNTIFS($F$2:$F$500,F366,$I$2:$I$500,"&lt;&gt;"&amp;I366)+COUNTIFS($F$2:$F$500,F366,$J$2:$J$500,"&lt;&gt;"&amp;J366)&gt;0,"CEK data SKU tidak konsisten",IF(Q366="zona tidak ada di layout","CEK zona_no / jenis_fixture",IF(D366&lt;&gt;Q366,"CEK jenis_zona",IF(S366&gt;IFERROR(INDEX(LAYOUT!$C$2:$C$33,MATCH(B366,LAYOUT!$A$2:$A$33,0)),0),"CEK lebar zona melebihi fixture","OK")))))</f>
        <v/>
      </c>
    </row>
    <row r="367">
      <c r="A367" s="15" t="n"/>
      <c r="B367" s="15" t="n"/>
      <c r="C367" s="16" t="n"/>
      <c r="D367" s="15" t="n"/>
      <c r="E367" s="16" t="n"/>
      <c r="F367" s="17" t="n"/>
      <c r="G367" s="15" t="n"/>
      <c r="H367" s="15" t="n"/>
      <c r="I367" s="16" t="n"/>
      <c r="J367" s="16" t="n"/>
      <c r="K367" s="16" t="n"/>
      <c r="L367" s="16" t="n"/>
      <c r="M367" s="16" t="n"/>
      <c r="N367" s="15" t="n"/>
      <c r="O367" s="16" t="n"/>
      <c r="P367" s="16" t="n"/>
      <c r="Q367" s="13">
        <f>IF(OR(B367="",C367=""),"",IFERROR(INDEX(LAYOUT!$E$2:$E$33,MATCH(B367&amp;"|"&amp;C367,LAYOUT!$F$2:$F$33,0)),"zona tidak ada di layout"))</f>
        <v/>
      </c>
      <c r="R367" s="14">
        <f>IF(F367="","",IF(OR(I367="",O367=""),0,I367*O367))</f>
        <v/>
      </c>
      <c r="S367" s="14">
        <f>IF(F367="","",SUMIFS($R$2:$R$500,$A$2:$A$500,A367,$C$2:$C$500,C367))</f>
        <v/>
      </c>
      <c r="T367" s="14">
        <f>IF(F367="","",IF(OR(G367="",I367="",J367=""),"CEK data SKU (nama/lebar/tinggi)",IF(COUNTIFS($F$2:$F$500,F367,$I$2:$I$500,"&lt;&gt;"&amp;I367)+COUNTIFS($F$2:$F$500,F367,$J$2:$J$500,"&lt;&gt;"&amp;J367)&gt;0,"CEK data SKU tidak konsisten",IF(Q367="zona tidak ada di layout","CEK zona_no / jenis_fixture",IF(D367&lt;&gt;Q367,"CEK jenis_zona",IF(S367&gt;IFERROR(INDEX(LAYOUT!$C$2:$C$33,MATCH(B367,LAYOUT!$A$2:$A$33,0)),0),"CEK lebar zona melebihi fixture","OK")))))</f>
        <v/>
      </c>
    </row>
    <row r="368">
      <c r="A368" s="15" t="n"/>
      <c r="B368" s="15" t="n"/>
      <c r="C368" s="16" t="n"/>
      <c r="D368" s="15" t="n"/>
      <c r="E368" s="16" t="n"/>
      <c r="F368" s="17" t="n"/>
      <c r="G368" s="15" t="n"/>
      <c r="H368" s="15" t="n"/>
      <c r="I368" s="16" t="n"/>
      <c r="J368" s="16" t="n"/>
      <c r="K368" s="16" t="n"/>
      <c r="L368" s="16" t="n"/>
      <c r="M368" s="16" t="n"/>
      <c r="N368" s="15" t="n"/>
      <c r="O368" s="16" t="n"/>
      <c r="P368" s="16" t="n"/>
      <c r="Q368" s="13">
        <f>IF(OR(B368="",C368=""),"",IFERROR(INDEX(LAYOUT!$E$2:$E$33,MATCH(B368&amp;"|"&amp;C368,LAYOUT!$F$2:$F$33,0)),"zona tidak ada di layout"))</f>
        <v/>
      </c>
      <c r="R368" s="14">
        <f>IF(F368="","",IF(OR(I368="",O368=""),0,I368*O368))</f>
        <v/>
      </c>
      <c r="S368" s="14">
        <f>IF(F368="","",SUMIFS($R$2:$R$500,$A$2:$A$500,A368,$C$2:$C$500,C368))</f>
        <v/>
      </c>
      <c r="T368" s="14">
        <f>IF(F368="","",IF(OR(G368="",I368="",J368=""),"CEK data SKU (nama/lebar/tinggi)",IF(COUNTIFS($F$2:$F$500,F368,$I$2:$I$500,"&lt;&gt;"&amp;I368)+COUNTIFS($F$2:$F$500,F368,$J$2:$J$500,"&lt;&gt;"&amp;J368)&gt;0,"CEK data SKU tidak konsisten",IF(Q368="zona tidak ada di layout","CEK zona_no / jenis_fixture",IF(D368&lt;&gt;Q368,"CEK jenis_zona",IF(S368&gt;IFERROR(INDEX(LAYOUT!$C$2:$C$33,MATCH(B368,LAYOUT!$A$2:$A$33,0)),0),"CEK lebar zona melebihi fixture","OK")))))</f>
        <v/>
      </c>
    </row>
    <row r="369">
      <c r="A369" s="15" t="n"/>
      <c r="B369" s="15" t="n"/>
      <c r="C369" s="16" t="n"/>
      <c r="D369" s="15" t="n"/>
      <c r="E369" s="16" t="n"/>
      <c r="F369" s="17" t="n"/>
      <c r="G369" s="15" t="n"/>
      <c r="H369" s="15" t="n"/>
      <c r="I369" s="16" t="n"/>
      <c r="J369" s="16" t="n"/>
      <c r="K369" s="16" t="n"/>
      <c r="L369" s="16" t="n"/>
      <c r="M369" s="16" t="n"/>
      <c r="N369" s="15" t="n"/>
      <c r="O369" s="16" t="n"/>
      <c r="P369" s="16" t="n"/>
      <c r="Q369" s="13">
        <f>IF(OR(B369="",C369=""),"",IFERROR(INDEX(LAYOUT!$E$2:$E$33,MATCH(B369&amp;"|"&amp;C369,LAYOUT!$F$2:$F$33,0)),"zona tidak ada di layout"))</f>
        <v/>
      </c>
      <c r="R369" s="14">
        <f>IF(F369="","",IF(OR(I369="",O369=""),0,I369*O369))</f>
        <v/>
      </c>
      <c r="S369" s="14">
        <f>IF(F369="","",SUMIFS($R$2:$R$500,$A$2:$A$500,A369,$C$2:$C$500,C369))</f>
        <v/>
      </c>
      <c r="T369" s="14">
        <f>IF(F369="","",IF(OR(G369="",I369="",J369=""),"CEK data SKU (nama/lebar/tinggi)",IF(COUNTIFS($F$2:$F$500,F369,$I$2:$I$500,"&lt;&gt;"&amp;I369)+COUNTIFS($F$2:$F$500,F369,$J$2:$J$500,"&lt;&gt;"&amp;J369)&gt;0,"CEK data SKU tidak konsisten",IF(Q369="zona tidak ada di layout","CEK zona_no / jenis_fixture",IF(D369&lt;&gt;Q369,"CEK jenis_zona",IF(S369&gt;IFERROR(INDEX(LAYOUT!$C$2:$C$33,MATCH(B369,LAYOUT!$A$2:$A$33,0)),0),"CEK lebar zona melebihi fixture","OK")))))</f>
        <v/>
      </c>
    </row>
    <row r="370">
      <c r="A370" s="15" t="n"/>
      <c r="B370" s="15" t="n"/>
      <c r="C370" s="16" t="n"/>
      <c r="D370" s="15" t="n"/>
      <c r="E370" s="16" t="n"/>
      <c r="F370" s="17" t="n"/>
      <c r="G370" s="15" t="n"/>
      <c r="H370" s="15" t="n"/>
      <c r="I370" s="16" t="n"/>
      <c r="J370" s="16" t="n"/>
      <c r="K370" s="16" t="n"/>
      <c r="L370" s="16" t="n"/>
      <c r="M370" s="16" t="n"/>
      <c r="N370" s="15" t="n"/>
      <c r="O370" s="16" t="n"/>
      <c r="P370" s="16" t="n"/>
      <c r="Q370" s="13">
        <f>IF(OR(B370="",C370=""),"",IFERROR(INDEX(LAYOUT!$E$2:$E$33,MATCH(B370&amp;"|"&amp;C370,LAYOUT!$F$2:$F$33,0)),"zona tidak ada di layout"))</f>
        <v/>
      </c>
      <c r="R370" s="14">
        <f>IF(F370="","",IF(OR(I370="",O370=""),0,I370*O370))</f>
        <v/>
      </c>
      <c r="S370" s="14">
        <f>IF(F370="","",SUMIFS($R$2:$R$500,$A$2:$A$500,A370,$C$2:$C$500,C370))</f>
        <v/>
      </c>
      <c r="T370" s="14">
        <f>IF(F370="","",IF(OR(G370="",I370="",J370=""),"CEK data SKU (nama/lebar/tinggi)",IF(COUNTIFS($F$2:$F$500,F370,$I$2:$I$500,"&lt;&gt;"&amp;I370)+COUNTIFS($F$2:$F$500,F370,$J$2:$J$500,"&lt;&gt;"&amp;J370)&gt;0,"CEK data SKU tidak konsisten",IF(Q370="zona tidak ada di layout","CEK zona_no / jenis_fixture",IF(D370&lt;&gt;Q370,"CEK jenis_zona",IF(S370&gt;IFERROR(INDEX(LAYOUT!$C$2:$C$33,MATCH(B370,LAYOUT!$A$2:$A$33,0)),0),"CEK lebar zona melebihi fixture","OK")))))</f>
        <v/>
      </c>
    </row>
    <row r="371">
      <c r="A371" s="15" t="n"/>
      <c r="B371" s="15" t="n"/>
      <c r="C371" s="16" t="n"/>
      <c r="D371" s="15" t="n"/>
      <c r="E371" s="16" t="n"/>
      <c r="F371" s="17" t="n"/>
      <c r="G371" s="15" t="n"/>
      <c r="H371" s="15" t="n"/>
      <c r="I371" s="16" t="n"/>
      <c r="J371" s="16" t="n"/>
      <c r="K371" s="16" t="n"/>
      <c r="L371" s="16" t="n"/>
      <c r="M371" s="16" t="n"/>
      <c r="N371" s="15" t="n"/>
      <c r="O371" s="16" t="n"/>
      <c r="P371" s="16" t="n"/>
      <c r="Q371" s="13">
        <f>IF(OR(B371="",C371=""),"",IFERROR(INDEX(LAYOUT!$E$2:$E$33,MATCH(B371&amp;"|"&amp;C371,LAYOUT!$F$2:$F$33,0)),"zona tidak ada di layout"))</f>
        <v/>
      </c>
      <c r="R371" s="14">
        <f>IF(F371="","",IF(OR(I371="",O371=""),0,I371*O371))</f>
        <v/>
      </c>
      <c r="S371" s="14">
        <f>IF(F371="","",SUMIFS($R$2:$R$500,$A$2:$A$500,A371,$C$2:$C$500,C371))</f>
        <v/>
      </c>
      <c r="T371" s="14">
        <f>IF(F371="","",IF(OR(G371="",I371="",J371=""),"CEK data SKU (nama/lebar/tinggi)",IF(COUNTIFS($F$2:$F$500,F371,$I$2:$I$500,"&lt;&gt;"&amp;I371)+COUNTIFS($F$2:$F$500,F371,$J$2:$J$500,"&lt;&gt;"&amp;J371)&gt;0,"CEK data SKU tidak konsisten",IF(Q371="zona tidak ada di layout","CEK zona_no / jenis_fixture",IF(D371&lt;&gt;Q371,"CEK jenis_zona",IF(S371&gt;IFERROR(INDEX(LAYOUT!$C$2:$C$33,MATCH(B371,LAYOUT!$A$2:$A$33,0)),0),"CEK lebar zona melebihi fixture","OK")))))</f>
        <v/>
      </c>
    </row>
    <row r="372">
      <c r="A372" s="15" t="n"/>
      <c r="B372" s="15" t="n"/>
      <c r="C372" s="16" t="n"/>
      <c r="D372" s="15" t="n"/>
      <c r="E372" s="16" t="n"/>
      <c r="F372" s="17" t="n"/>
      <c r="G372" s="15" t="n"/>
      <c r="H372" s="15" t="n"/>
      <c r="I372" s="16" t="n"/>
      <c r="J372" s="16" t="n"/>
      <c r="K372" s="16" t="n"/>
      <c r="L372" s="16" t="n"/>
      <c r="M372" s="16" t="n"/>
      <c r="N372" s="15" t="n"/>
      <c r="O372" s="16" t="n"/>
      <c r="P372" s="16" t="n"/>
      <c r="Q372" s="13">
        <f>IF(OR(B372="",C372=""),"",IFERROR(INDEX(LAYOUT!$E$2:$E$33,MATCH(B372&amp;"|"&amp;C372,LAYOUT!$F$2:$F$33,0)),"zona tidak ada di layout"))</f>
        <v/>
      </c>
      <c r="R372" s="14">
        <f>IF(F372="","",IF(OR(I372="",O372=""),0,I372*O372))</f>
        <v/>
      </c>
      <c r="S372" s="14">
        <f>IF(F372="","",SUMIFS($R$2:$R$500,$A$2:$A$500,A372,$C$2:$C$500,C372))</f>
        <v/>
      </c>
      <c r="T372" s="14">
        <f>IF(F372="","",IF(OR(G372="",I372="",J372=""),"CEK data SKU (nama/lebar/tinggi)",IF(COUNTIFS($F$2:$F$500,F372,$I$2:$I$500,"&lt;&gt;"&amp;I372)+COUNTIFS($F$2:$F$500,F372,$J$2:$J$500,"&lt;&gt;"&amp;J372)&gt;0,"CEK data SKU tidak konsisten",IF(Q372="zona tidak ada di layout","CEK zona_no / jenis_fixture",IF(D372&lt;&gt;Q372,"CEK jenis_zona",IF(S372&gt;IFERROR(INDEX(LAYOUT!$C$2:$C$33,MATCH(B372,LAYOUT!$A$2:$A$33,0)),0),"CEK lebar zona melebihi fixture","OK")))))</f>
        <v/>
      </c>
    </row>
    <row r="373">
      <c r="A373" s="15" t="n"/>
      <c r="B373" s="15" t="n"/>
      <c r="C373" s="16" t="n"/>
      <c r="D373" s="15" t="n"/>
      <c r="E373" s="16" t="n"/>
      <c r="F373" s="17" t="n"/>
      <c r="G373" s="15" t="n"/>
      <c r="H373" s="15" t="n"/>
      <c r="I373" s="16" t="n"/>
      <c r="J373" s="16" t="n"/>
      <c r="K373" s="16" t="n"/>
      <c r="L373" s="16" t="n"/>
      <c r="M373" s="16" t="n"/>
      <c r="N373" s="15" t="n"/>
      <c r="O373" s="16" t="n"/>
      <c r="P373" s="16" t="n"/>
      <c r="Q373" s="13">
        <f>IF(OR(B373="",C373=""),"",IFERROR(INDEX(LAYOUT!$E$2:$E$33,MATCH(B373&amp;"|"&amp;C373,LAYOUT!$F$2:$F$33,0)),"zona tidak ada di layout"))</f>
        <v/>
      </c>
      <c r="R373" s="14">
        <f>IF(F373="","",IF(OR(I373="",O373=""),0,I373*O373))</f>
        <v/>
      </c>
      <c r="S373" s="14">
        <f>IF(F373="","",SUMIFS($R$2:$R$500,$A$2:$A$500,A373,$C$2:$C$500,C373))</f>
        <v/>
      </c>
      <c r="T373" s="14">
        <f>IF(F373="","",IF(OR(G373="",I373="",J373=""),"CEK data SKU (nama/lebar/tinggi)",IF(COUNTIFS($F$2:$F$500,F373,$I$2:$I$500,"&lt;&gt;"&amp;I373)+COUNTIFS($F$2:$F$500,F373,$J$2:$J$500,"&lt;&gt;"&amp;J373)&gt;0,"CEK data SKU tidak konsisten",IF(Q373="zona tidak ada di layout","CEK zona_no / jenis_fixture",IF(D373&lt;&gt;Q373,"CEK jenis_zona",IF(S373&gt;IFERROR(INDEX(LAYOUT!$C$2:$C$33,MATCH(B373,LAYOUT!$A$2:$A$33,0)),0),"CEK lebar zona melebihi fixture","OK")))))</f>
        <v/>
      </c>
    </row>
    <row r="374">
      <c r="A374" s="15" t="n"/>
      <c r="B374" s="15" t="n"/>
      <c r="C374" s="16" t="n"/>
      <c r="D374" s="15" t="n"/>
      <c r="E374" s="16" t="n"/>
      <c r="F374" s="17" t="n"/>
      <c r="G374" s="15" t="n"/>
      <c r="H374" s="15" t="n"/>
      <c r="I374" s="16" t="n"/>
      <c r="J374" s="16" t="n"/>
      <c r="K374" s="16" t="n"/>
      <c r="L374" s="16" t="n"/>
      <c r="M374" s="16" t="n"/>
      <c r="N374" s="15" t="n"/>
      <c r="O374" s="16" t="n"/>
      <c r="P374" s="16" t="n"/>
      <c r="Q374" s="13">
        <f>IF(OR(B374="",C374=""),"",IFERROR(INDEX(LAYOUT!$E$2:$E$33,MATCH(B374&amp;"|"&amp;C374,LAYOUT!$F$2:$F$33,0)),"zona tidak ada di layout"))</f>
        <v/>
      </c>
      <c r="R374" s="14">
        <f>IF(F374="","",IF(OR(I374="",O374=""),0,I374*O374))</f>
        <v/>
      </c>
      <c r="S374" s="14">
        <f>IF(F374="","",SUMIFS($R$2:$R$500,$A$2:$A$500,A374,$C$2:$C$500,C374))</f>
        <v/>
      </c>
      <c r="T374" s="14">
        <f>IF(F374="","",IF(OR(G374="",I374="",J374=""),"CEK data SKU (nama/lebar/tinggi)",IF(COUNTIFS($F$2:$F$500,F374,$I$2:$I$500,"&lt;&gt;"&amp;I374)+COUNTIFS($F$2:$F$500,F374,$J$2:$J$500,"&lt;&gt;"&amp;J374)&gt;0,"CEK data SKU tidak konsisten",IF(Q374="zona tidak ada di layout","CEK zona_no / jenis_fixture",IF(D374&lt;&gt;Q374,"CEK jenis_zona",IF(S374&gt;IFERROR(INDEX(LAYOUT!$C$2:$C$33,MATCH(B374,LAYOUT!$A$2:$A$33,0)),0),"CEK lebar zona melebihi fixture","OK")))))</f>
        <v/>
      </c>
    </row>
    <row r="375">
      <c r="A375" s="15" t="n"/>
      <c r="B375" s="15" t="n"/>
      <c r="C375" s="16" t="n"/>
      <c r="D375" s="15" t="n"/>
      <c r="E375" s="16" t="n"/>
      <c r="F375" s="17" t="n"/>
      <c r="G375" s="15" t="n"/>
      <c r="H375" s="15" t="n"/>
      <c r="I375" s="16" t="n"/>
      <c r="J375" s="16" t="n"/>
      <c r="K375" s="16" t="n"/>
      <c r="L375" s="16" t="n"/>
      <c r="M375" s="16" t="n"/>
      <c r="N375" s="15" t="n"/>
      <c r="O375" s="16" t="n"/>
      <c r="P375" s="16" t="n"/>
      <c r="Q375" s="13">
        <f>IF(OR(B375="",C375=""),"",IFERROR(INDEX(LAYOUT!$E$2:$E$33,MATCH(B375&amp;"|"&amp;C375,LAYOUT!$F$2:$F$33,0)),"zona tidak ada di layout"))</f>
        <v/>
      </c>
      <c r="R375" s="14">
        <f>IF(F375="","",IF(OR(I375="",O375=""),0,I375*O375))</f>
        <v/>
      </c>
      <c r="S375" s="14">
        <f>IF(F375="","",SUMIFS($R$2:$R$500,$A$2:$A$500,A375,$C$2:$C$500,C375))</f>
        <v/>
      </c>
      <c r="T375" s="14">
        <f>IF(F375="","",IF(OR(G375="",I375="",J375=""),"CEK data SKU (nama/lebar/tinggi)",IF(COUNTIFS($F$2:$F$500,F375,$I$2:$I$500,"&lt;&gt;"&amp;I375)+COUNTIFS($F$2:$F$500,F375,$J$2:$J$500,"&lt;&gt;"&amp;J375)&gt;0,"CEK data SKU tidak konsisten",IF(Q375="zona tidak ada di layout","CEK zona_no / jenis_fixture",IF(D375&lt;&gt;Q375,"CEK jenis_zona",IF(S375&gt;IFERROR(INDEX(LAYOUT!$C$2:$C$33,MATCH(B375,LAYOUT!$A$2:$A$33,0)),0),"CEK lebar zona melebihi fixture","OK")))))</f>
        <v/>
      </c>
    </row>
    <row r="376">
      <c r="A376" s="15" t="n"/>
      <c r="B376" s="15" t="n"/>
      <c r="C376" s="16" t="n"/>
      <c r="D376" s="15" t="n"/>
      <c r="E376" s="16" t="n"/>
      <c r="F376" s="17" t="n"/>
      <c r="G376" s="15" t="n"/>
      <c r="H376" s="15" t="n"/>
      <c r="I376" s="16" t="n"/>
      <c r="J376" s="16" t="n"/>
      <c r="K376" s="16" t="n"/>
      <c r="L376" s="16" t="n"/>
      <c r="M376" s="16" t="n"/>
      <c r="N376" s="15" t="n"/>
      <c r="O376" s="16" t="n"/>
      <c r="P376" s="16" t="n"/>
      <c r="Q376" s="13">
        <f>IF(OR(B376="",C376=""),"",IFERROR(INDEX(LAYOUT!$E$2:$E$33,MATCH(B376&amp;"|"&amp;C376,LAYOUT!$F$2:$F$33,0)),"zona tidak ada di layout"))</f>
        <v/>
      </c>
      <c r="R376" s="14">
        <f>IF(F376="","",IF(OR(I376="",O376=""),0,I376*O376))</f>
        <v/>
      </c>
      <c r="S376" s="14">
        <f>IF(F376="","",SUMIFS($R$2:$R$500,$A$2:$A$500,A376,$C$2:$C$500,C376))</f>
        <v/>
      </c>
      <c r="T376" s="14">
        <f>IF(F376="","",IF(OR(G376="",I376="",J376=""),"CEK data SKU (nama/lebar/tinggi)",IF(COUNTIFS($F$2:$F$500,F376,$I$2:$I$500,"&lt;&gt;"&amp;I376)+COUNTIFS($F$2:$F$500,F376,$J$2:$J$500,"&lt;&gt;"&amp;J376)&gt;0,"CEK data SKU tidak konsisten",IF(Q376="zona tidak ada di layout","CEK zona_no / jenis_fixture",IF(D376&lt;&gt;Q376,"CEK jenis_zona",IF(S376&gt;IFERROR(INDEX(LAYOUT!$C$2:$C$33,MATCH(B376,LAYOUT!$A$2:$A$33,0)),0),"CEK lebar zona melebihi fixture","OK")))))</f>
        <v/>
      </c>
    </row>
    <row r="377">
      <c r="A377" s="15" t="n"/>
      <c r="B377" s="15" t="n"/>
      <c r="C377" s="16" t="n"/>
      <c r="D377" s="15" t="n"/>
      <c r="E377" s="16" t="n"/>
      <c r="F377" s="17" t="n"/>
      <c r="G377" s="15" t="n"/>
      <c r="H377" s="15" t="n"/>
      <c r="I377" s="16" t="n"/>
      <c r="J377" s="16" t="n"/>
      <c r="K377" s="16" t="n"/>
      <c r="L377" s="16" t="n"/>
      <c r="M377" s="16" t="n"/>
      <c r="N377" s="15" t="n"/>
      <c r="O377" s="16" t="n"/>
      <c r="P377" s="16" t="n"/>
      <c r="Q377" s="13">
        <f>IF(OR(B377="",C377=""),"",IFERROR(INDEX(LAYOUT!$E$2:$E$33,MATCH(B377&amp;"|"&amp;C377,LAYOUT!$F$2:$F$33,0)),"zona tidak ada di layout"))</f>
        <v/>
      </c>
      <c r="R377" s="14">
        <f>IF(F377="","",IF(OR(I377="",O377=""),0,I377*O377))</f>
        <v/>
      </c>
      <c r="S377" s="14">
        <f>IF(F377="","",SUMIFS($R$2:$R$500,$A$2:$A$500,A377,$C$2:$C$500,C377))</f>
        <v/>
      </c>
      <c r="T377" s="14">
        <f>IF(F377="","",IF(OR(G377="",I377="",J377=""),"CEK data SKU (nama/lebar/tinggi)",IF(COUNTIFS($F$2:$F$500,F377,$I$2:$I$500,"&lt;&gt;"&amp;I377)+COUNTIFS($F$2:$F$500,F377,$J$2:$J$500,"&lt;&gt;"&amp;J377)&gt;0,"CEK data SKU tidak konsisten",IF(Q377="zona tidak ada di layout","CEK zona_no / jenis_fixture",IF(D377&lt;&gt;Q377,"CEK jenis_zona",IF(S377&gt;IFERROR(INDEX(LAYOUT!$C$2:$C$33,MATCH(B377,LAYOUT!$A$2:$A$33,0)),0),"CEK lebar zona melebihi fixture","OK")))))</f>
        <v/>
      </c>
    </row>
    <row r="378">
      <c r="A378" s="15" t="n"/>
      <c r="B378" s="15" t="n"/>
      <c r="C378" s="16" t="n"/>
      <c r="D378" s="15" t="n"/>
      <c r="E378" s="16" t="n"/>
      <c r="F378" s="17" t="n"/>
      <c r="G378" s="15" t="n"/>
      <c r="H378" s="15" t="n"/>
      <c r="I378" s="16" t="n"/>
      <c r="J378" s="16" t="n"/>
      <c r="K378" s="16" t="n"/>
      <c r="L378" s="16" t="n"/>
      <c r="M378" s="16" t="n"/>
      <c r="N378" s="15" t="n"/>
      <c r="O378" s="16" t="n"/>
      <c r="P378" s="16" t="n"/>
      <c r="Q378" s="13">
        <f>IF(OR(B378="",C378=""),"",IFERROR(INDEX(LAYOUT!$E$2:$E$33,MATCH(B378&amp;"|"&amp;C378,LAYOUT!$F$2:$F$33,0)),"zona tidak ada di layout"))</f>
        <v/>
      </c>
      <c r="R378" s="14">
        <f>IF(F378="","",IF(OR(I378="",O378=""),0,I378*O378))</f>
        <v/>
      </c>
      <c r="S378" s="14">
        <f>IF(F378="","",SUMIFS($R$2:$R$500,$A$2:$A$500,A378,$C$2:$C$500,C378))</f>
        <v/>
      </c>
      <c r="T378" s="14">
        <f>IF(F378="","",IF(OR(G378="",I378="",J378=""),"CEK data SKU (nama/lebar/tinggi)",IF(COUNTIFS($F$2:$F$500,F378,$I$2:$I$500,"&lt;&gt;"&amp;I378)+COUNTIFS($F$2:$F$500,F378,$J$2:$J$500,"&lt;&gt;"&amp;J378)&gt;0,"CEK data SKU tidak konsisten",IF(Q378="zona tidak ada di layout","CEK zona_no / jenis_fixture",IF(D378&lt;&gt;Q378,"CEK jenis_zona",IF(S378&gt;IFERROR(INDEX(LAYOUT!$C$2:$C$33,MATCH(B378,LAYOUT!$A$2:$A$33,0)),0),"CEK lebar zona melebihi fixture","OK")))))</f>
        <v/>
      </c>
    </row>
    <row r="379">
      <c r="A379" s="15" t="n"/>
      <c r="B379" s="15" t="n"/>
      <c r="C379" s="16" t="n"/>
      <c r="D379" s="15" t="n"/>
      <c r="E379" s="16" t="n"/>
      <c r="F379" s="17" t="n"/>
      <c r="G379" s="15" t="n"/>
      <c r="H379" s="15" t="n"/>
      <c r="I379" s="16" t="n"/>
      <c r="J379" s="16" t="n"/>
      <c r="K379" s="16" t="n"/>
      <c r="L379" s="16" t="n"/>
      <c r="M379" s="16" t="n"/>
      <c r="N379" s="15" t="n"/>
      <c r="O379" s="16" t="n"/>
      <c r="P379" s="16" t="n"/>
      <c r="Q379" s="13">
        <f>IF(OR(B379="",C379=""),"",IFERROR(INDEX(LAYOUT!$E$2:$E$33,MATCH(B379&amp;"|"&amp;C379,LAYOUT!$F$2:$F$33,0)),"zona tidak ada di layout"))</f>
        <v/>
      </c>
      <c r="R379" s="14">
        <f>IF(F379="","",IF(OR(I379="",O379=""),0,I379*O379))</f>
        <v/>
      </c>
      <c r="S379" s="14">
        <f>IF(F379="","",SUMIFS($R$2:$R$500,$A$2:$A$500,A379,$C$2:$C$500,C379))</f>
        <v/>
      </c>
      <c r="T379" s="14">
        <f>IF(F379="","",IF(OR(G379="",I379="",J379=""),"CEK data SKU (nama/lebar/tinggi)",IF(COUNTIFS($F$2:$F$500,F379,$I$2:$I$500,"&lt;&gt;"&amp;I379)+COUNTIFS($F$2:$F$500,F379,$J$2:$J$500,"&lt;&gt;"&amp;J379)&gt;0,"CEK data SKU tidak konsisten",IF(Q379="zona tidak ada di layout","CEK zona_no / jenis_fixture",IF(D379&lt;&gt;Q379,"CEK jenis_zona",IF(S379&gt;IFERROR(INDEX(LAYOUT!$C$2:$C$33,MATCH(B379,LAYOUT!$A$2:$A$33,0)),0),"CEK lebar zona melebihi fixture","OK")))))</f>
        <v/>
      </c>
    </row>
    <row r="380">
      <c r="A380" s="15" t="n"/>
      <c r="B380" s="15" t="n"/>
      <c r="C380" s="16" t="n"/>
      <c r="D380" s="15" t="n"/>
      <c r="E380" s="16" t="n"/>
      <c r="F380" s="17" t="n"/>
      <c r="G380" s="15" t="n"/>
      <c r="H380" s="15" t="n"/>
      <c r="I380" s="16" t="n"/>
      <c r="J380" s="16" t="n"/>
      <c r="K380" s="16" t="n"/>
      <c r="L380" s="16" t="n"/>
      <c r="M380" s="16" t="n"/>
      <c r="N380" s="15" t="n"/>
      <c r="O380" s="16" t="n"/>
      <c r="P380" s="16" t="n"/>
      <c r="Q380" s="13">
        <f>IF(OR(B380="",C380=""),"",IFERROR(INDEX(LAYOUT!$E$2:$E$33,MATCH(B380&amp;"|"&amp;C380,LAYOUT!$F$2:$F$33,0)),"zona tidak ada di layout"))</f>
        <v/>
      </c>
      <c r="R380" s="14">
        <f>IF(F380="","",IF(OR(I380="",O380=""),0,I380*O380))</f>
        <v/>
      </c>
      <c r="S380" s="14">
        <f>IF(F380="","",SUMIFS($R$2:$R$500,$A$2:$A$500,A380,$C$2:$C$500,C380))</f>
        <v/>
      </c>
      <c r="T380" s="14">
        <f>IF(F380="","",IF(OR(G380="",I380="",J380=""),"CEK data SKU (nama/lebar/tinggi)",IF(COUNTIFS($F$2:$F$500,F380,$I$2:$I$500,"&lt;&gt;"&amp;I380)+COUNTIFS($F$2:$F$500,F380,$J$2:$J$500,"&lt;&gt;"&amp;J380)&gt;0,"CEK data SKU tidak konsisten",IF(Q380="zona tidak ada di layout","CEK zona_no / jenis_fixture",IF(D380&lt;&gt;Q380,"CEK jenis_zona",IF(S380&gt;IFERROR(INDEX(LAYOUT!$C$2:$C$33,MATCH(B380,LAYOUT!$A$2:$A$33,0)),0),"CEK lebar zona melebihi fixture","OK")))))</f>
        <v/>
      </c>
    </row>
    <row r="381">
      <c r="A381" s="15" t="n"/>
      <c r="B381" s="15" t="n"/>
      <c r="C381" s="16" t="n"/>
      <c r="D381" s="15" t="n"/>
      <c r="E381" s="16" t="n"/>
      <c r="F381" s="17" t="n"/>
      <c r="G381" s="15" t="n"/>
      <c r="H381" s="15" t="n"/>
      <c r="I381" s="16" t="n"/>
      <c r="J381" s="16" t="n"/>
      <c r="K381" s="16" t="n"/>
      <c r="L381" s="16" t="n"/>
      <c r="M381" s="16" t="n"/>
      <c r="N381" s="15" t="n"/>
      <c r="O381" s="16" t="n"/>
      <c r="P381" s="16" t="n"/>
      <c r="Q381" s="13">
        <f>IF(OR(B381="",C381=""),"",IFERROR(INDEX(LAYOUT!$E$2:$E$33,MATCH(B381&amp;"|"&amp;C381,LAYOUT!$F$2:$F$33,0)),"zona tidak ada di layout"))</f>
        <v/>
      </c>
      <c r="R381" s="14">
        <f>IF(F381="","",IF(OR(I381="",O381=""),0,I381*O381))</f>
        <v/>
      </c>
      <c r="S381" s="14">
        <f>IF(F381="","",SUMIFS($R$2:$R$500,$A$2:$A$500,A381,$C$2:$C$500,C381))</f>
        <v/>
      </c>
      <c r="T381" s="14">
        <f>IF(F381="","",IF(OR(G381="",I381="",J381=""),"CEK data SKU (nama/lebar/tinggi)",IF(COUNTIFS($F$2:$F$500,F381,$I$2:$I$500,"&lt;&gt;"&amp;I381)+COUNTIFS($F$2:$F$500,F381,$J$2:$J$500,"&lt;&gt;"&amp;J381)&gt;0,"CEK data SKU tidak konsisten",IF(Q381="zona tidak ada di layout","CEK zona_no / jenis_fixture",IF(D381&lt;&gt;Q381,"CEK jenis_zona",IF(S381&gt;IFERROR(INDEX(LAYOUT!$C$2:$C$33,MATCH(B381,LAYOUT!$A$2:$A$33,0)),0),"CEK lebar zona melebihi fixture","OK")))))</f>
        <v/>
      </c>
    </row>
    <row r="382">
      <c r="A382" s="15" t="n"/>
      <c r="B382" s="15" t="n"/>
      <c r="C382" s="16" t="n"/>
      <c r="D382" s="15" t="n"/>
      <c r="E382" s="16" t="n"/>
      <c r="F382" s="17" t="n"/>
      <c r="G382" s="15" t="n"/>
      <c r="H382" s="15" t="n"/>
      <c r="I382" s="16" t="n"/>
      <c r="J382" s="16" t="n"/>
      <c r="K382" s="16" t="n"/>
      <c r="L382" s="16" t="n"/>
      <c r="M382" s="16" t="n"/>
      <c r="N382" s="15" t="n"/>
      <c r="O382" s="16" t="n"/>
      <c r="P382" s="16" t="n"/>
      <c r="Q382" s="13">
        <f>IF(OR(B382="",C382=""),"",IFERROR(INDEX(LAYOUT!$E$2:$E$33,MATCH(B382&amp;"|"&amp;C382,LAYOUT!$F$2:$F$33,0)),"zona tidak ada di layout"))</f>
        <v/>
      </c>
      <c r="R382" s="14">
        <f>IF(F382="","",IF(OR(I382="",O382=""),0,I382*O382))</f>
        <v/>
      </c>
      <c r="S382" s="14">
        <f>IF(F382="","",SUMIFS($R$2:$R$500,$A$2:$A$500,A382,$C$2:$C$500,C382))</f>
        <v/>
      </c>
      <c r="T382" s="14">
        <f>IF(F382="","",IF(OR(G382="",I382="",J382=""),"CEK data SKU (nama/lebar/tinggi)",IF(COUNTIFS($F$2:$F$500,F382,$I$2:$I$500,"&lt;&gt;"&amp;I382)+COUNTIFS($F$2:$F$500,F382,$J$2:$J$500,"&lt;&gt;"&amp;J382)&gt;0,"CEK data SKU tidak konsisten",IF(Q382="zona tidak ada di layout","CEK zona_no / jenis_fixture",IF(D382&lt;&gt;Q382,"CEK jenis_zona",IF(S382&gt;IFERROR(INDEX(LAYOUT!$C$2:$C$33,MATCH(B382,LAYOUT!$A$2:$A$33,0)),0),"CEK lebar zona melebihi fixture","OK")))))</f>
        <v/>
      </c>
    </row>
    <row r="383">
      <c r="A383" s="15" t="n"/>
      <c r="B383" s="15" t="n"/>
      <c r="C383" s="16" t="n"/>
      <c r="D383" s="15" t="n"/>
      <c r="E383" s="16" t="n"/>
      <c r="F383" s="17" t="n"/>
      <c r="G383" s="15" t="n"/>
      <c r="H383" s="15" t="n"/>
      <c r="I383" s="16" t="n"/>
      <c r="J383" s="16" t="n"/>
      <c r="K383" s="16" t="n"/>
      <c r="L383" s="16" t="n"/>
      <c r="M383" s="16" t="n"/>
      <c r="N383" s="15" t="n"/>
      <c r="O383" s="16" t="n"/>
      <c r="P383" s="16" t="n"/>
      <c r="Q383" s="13">
        <f>IF(OR(B383="",C383=""),"",IFERROR(INDEX(LAYOUT!$E$2:$E$33,MATCH(B383&amp;"|"&amp;C383,LAYOUT!$F$2:$F$33,0)),"zona tidak ada di layout"))</f>
        <v/>
      </c>
      <c r="R383" s="14">
        <f>IF(F383="","",IF(OR(I383="",O383=""),0,I383*O383))</f>
        <v/>
      </c>
      <c r="S383" s="14">
        <f>IF(F383="","",SUMIFS($R$2:$R$500,$A$2:$A$500,A383,$C$2:$C$500,C383))</f>
        <v/>
      </c>
      <c r="T383" s="14">
        <f>IF(F383="","",IF(OR(G383="",I383="",J383=""),"CEK data SKU (nama/lebar/tinggi)",IF(COUNTIFS($F$2:$F$500,F383,$I$2:$I$500,"&lt;&gt;"&amp;I383)+COUNTIFS($F$2:$F$500,F383,$J$2:$J$500,"&lt;&gt;"&amp;J383)&gt;0,"CEK data SKU tidak konsisten",IF(Q383="zona tidak ada di layout","CEK zona_no / jenis_fixture",IF(D383&lt;&gt;Q383,"CEK jenis_zona",IF(S383&gt;IFERROR(INDEX(LAYOUT!$C$2:$C$33,MATCH(B383,LAYOUT!$A$2:$A$33,0)),0),"CEK lebar zona melebihi fixture","OK")))))</f>
        <v/>
      </c>
    </row>
    <row r="384">
      <c r="A384" s="15" t="n"/>
      <c r="B384" s="15" t="n"/>
      <c r="C384" s="16" t="n"/>
      <c r="D384" s="15" t="n"/>
      <c r="E384" s="16" t="n"/>
      <c r="F384" s="17" t="n"/>
      <c r="G384" s="15" t="n"/>
      <c r="H384" s="15" t="n"/>
      <c r="I384" s="16" t="n"/>
      <c r="J384" s="16" t="n"/>
      <c r="K384" s="16" t="n"/>
      <c r="L384" s="16" t="n"/>
      <c r="M384" s="16" t="n"/>
      <c r="N384" s="15" t="n"/>
      <c r="O384" s="16" t="n"/>
      <c r="P384" s="16" t="n"/>
      <c r="Q384" s="13">
        <f>IF(OR(B384="",C384=""),"",IFERROR(INDEX(LAYOUT!$E$2:$E$33,MATCH(B384&amp;"|"&amp;C384,LAYOUT!$F$2:$F$33,0)),"zona tidak ada di layout"))</f>
        <v/>
      </c>
      <c r="R384" s="14">
        <f>IF(F384="","",IF(OR(I384="",O384=""),0,I384*O384))</f>
        <v/>
      </c>
      <c r="S384" s="14">
        <f>IF(F384="","",SUMIFS($R$2:$R$500,$A$2:$A$500,A384,$C$2:$C$500,C384))</f>
        <v/>
      </c>
      <c r="T384" s="14">
        <f>IF(F384="","",IF(OR(G384="",I384="",J384=""),"CEK data SKU (nama/lebar/tinggi)",IF(COUNTIFS($F$2:$F$500,F384,$I$2:$I$500,"&lt;&gt;"&amp;I384)+COUNTIFS($F$2:$F$500,F384,$J$2:$J$500,"&lt;&gt;"&amp;J384)&gt;0,"CEK data SKU tidak konsisten",IF(Q384="zona tidak ada di layout","CEK zona_no / jenis_fixture",IF(D384&lt;&gt;Q384,"CEK jenis_zona",IF(S384&gt;IFERROR(INDEX(LAYOUT!$C$2:$C$33,MATCH(B384,LAYOUT!$A$2:$A$33,0)),0),"CEK lebar zona melebihi fixture","OK")))))</f>
        <v/>
      </c>
    </row>
    <row r="385">
      <c r="A385" s="15" t="n"/>
      <c r="B385" s="15" t="n"/>
      <c r="C385" s="16" t="n"/>
      <c r="D385" s="15" t="n"/>
      <c r="E385" s="16" t="n"/>
      <c r="F385" s="17" t="n"/>
      <c r="G385" s="15" t="n"/>
      <c r="H385" s="15" t="n"/>
      <c r="I385" s="16" t="n"/>
      <c r="J385" s="16" t="n"/>
      <c r="K385" s="16" t="n"/>
      <c r="L385" s="16" t="n"/>
      <c r="M385" s="16" t="n"/>
      <c r="N385" s="15" t="n"/>
      <c r="O385" s="16" t="n"/>
      <c r="P385" s="16" t="n"/>
      <c r="Q385" s="13">
        <f>IF(OR(B385="",C385=""),"",IFERROR(INDEX(LAYOUT!$E$2:$E$33,MATCH(B385&amp;"|"&amp;C385,LAYOUT!$F$2:$F$33,0)),"zona tidak ada di layout"))</f>
        <v/>
      </c>
      <c r="R385" s="14">
        <f>IF(F385="","",IF(OR(I385="",O385=""),0,I385*O385))</f>
        <v/>
      </c>
      <c r="S385" s="14">
        <f>IF(F385="","",SUMIFS($R$2:$R$500,$A$2:$A$500,A385,$C$2:$C$500,C385))</f>
        <v/>
      </c>
      <c r="T385" s="14">
        <f>IF(F385="","",IF(OR(G385="",I385="",J385=""),"CEK data SKU (nama/lebar/tinggi)",IF(COUNTIFS($F$2:$F$500,F385,$I$2:$I$500,"&lt;&gt;"&amp;I385)+COUNTIFS($F$2:$F$500,F385,$J$2:$J$500,"&lt;&gt;"&amp;J385)&gt;0,"CEK data SKU tidak konsisten",IF(Q385="zona tidak ada di layout","CEK zona_no / jenis_fixture",IF(D385&lt;&gt;Q385,"CEK jenis_zona",IF(S385&gt;IFERROR(INDEX(LAYOUT!$C$2:$C$33,MATCH(B385,LAYOUT!$A$2:$A$33,0)),0),"CEK lebar zona melebihi fixture","OK")))))</f>
        <v/>
      </c>
    </row>
    <row r="386">
      <c r="A386" s="15" t="n"/>
      <c r="B386" s="15" t="n"/>
      <c r="C386" s="16" t="n"/>
      <c r="D386" s="15" t="n"/>
      <c r="E386" s="16" t="n"/>
      <c r="F386" s="17" t="n"/>
      <c r="G386" s="15" t="n"/>
      <c r="H386" s="15" t="n"/>
      <c r="I386" s="16" t="n"/>
      <c r="J386" s="16" t="n"/>
      <c r="K386" s="16" t="n"/>
      <c r="L386" s="16" t="n"/>
      <c r="M386" s="16" t="n"/>
      <c r="N386" s="15" t="n"/>
      <c r="O386" s="16" t="n"/>
      <c r="P386" s="16" t="n"/>
      <c r="Q386" s="13">
        <f>IF(OR(B386="",C386=""),"",IFERROR(INDEX(LAYOUT!$E$2:$E$33,MATCH(B386&amp;"|"&amp;C386,LAYOUT!$F$2:$F$33,0)),"zona tidak ada di layout"))</f>
        <v/>
      </c>
      <c r="R386" s="14">
        <f>IF(F386="","",IF(OR(I386="",O386=""),0,I386*O386))</f>
        <v/>
      </c>
      <c r="S386" s="14">
        <f>IF(F386="","",SUMIFS($R$2:$R$500,$A$2:$A$500,A386,$C$2:$C$500,C386))</f>
        <v/>
      </c>
      <c r="T386" s="14">
        <f>IF(F386="","",IF(OR(G386="",I386="",J386=""),"CEK data SKU (nama/lebar/tinggi)",IF(COUNTIFS($F$2:$F$500,F386,$I$2:$I$500,"&lt;&gt;"&amp;I386)+COUNTIFS($F$2:$F$500,F386,$J$2:$J$500,"&lt;&gt;"&amp;J386)&gt;0,"CEK data SKU tidak konsisten",IF(Q386="zona tidak ada di layout","CEK zona_no / jenis_fixture",IF(D386&lt;&gt;Q386,"CEK jenis_zona",IF(S386&gt;IFERROR(INDEX(LAYOUT!$C$2:$C$33,MATCH(B386,LAYOUT!$A$2:$A$33,0)),0),"CEK lebar zona melebihi fixture","OK")))))</f>
        <v/>
      </c>
    </row>
    <row r="387">
      <c r="A387" s="15" t="n"/>
      <c r="B387" s="15" t="n"/>
      <c r="C387" s="16" t="n"/>
      <c r="D387" s="15" t="n"/>
      <c r="E387" s="16" t="n"/>
      <c r="F387" s="17" t="n"/>
      <c r="G387" s="15" t="n"/>
      <c r="H387" s="15" t="n"/>
      <c r="I387" s="16" t="n"/>
      <c r="J387" s="16" t="n"/>
      <c r="K387" s="16" t="n"/>
      <c r="L387" s="16" t="n"/>
      <c r="M387" s="16" t="n"/>
      <c r="N387" s="15" t="n"/>
      <c r="O387" s="16" t="n"/>
      <c r="P387" s="16" t="n"/>
      <c r="Q387" s="13">
        <f>IF(OR(B387="",C387=""),"",IFERROR(INDEX(LAYOUT!$E$2:$E$33,MATCH(B387&amp;"|"&amp;C387,LAYOUT!$F$2:$F$33,0)),"zona tidak ada di layout"))</f>
        <v/>
      </c>
      <c r="R387" s="14">
        <f>IF(F387="","",IF(OR(I387="",O387=""),0,I387*O387))</f>
        <v/>
      </c>
      <c r="S387" s="14">
        <f>IF(F387="","",SUMIFS($R$2:$R$500,$A$2:$A$500,A387,$C$2:$C$500,C387))</f>
        <v/>
      </c>
      <c r="T387" s="14">
        <f>IF(F387="","",IF(OR(G387="",I387="",J387=""),"CEK data SKU (nama/lebar/tinggi)",IF(COUNTIFS($F$2:$F$500,F387,$I$2:$I$500,"&lt;&gt;"&amp;I387)+COUNTIFS($F$2:$F$500,F387,$J$2:$J$500,"&lt;&gt;"&amp;J387)&gt;0,"CEK data SKU tidak konsisten",IF(Q387="zona tidak ada di layout","CEK zona_no / jenis_fixture",IF(D387&lt;&gt;Q387,"CEK jenis_zona",IF(S387&gt;IFERROR(INDEX(LAYOUT!$C$2:$C$33,MATCH(B387,LAYOUT!$A$2:$A$33,0)),0),"CEK lebar zona melebihi fixture","OK")))))</f>
        <v/>
      </c>
    </row>
    <row r="388">
      <c r="A388" s="15" t="n"/>
      <c r="B388" s="15" t="n"/>
      <c r="C388" s="16" t="n"/>
      <c r="D388" s="15" t="n"/>
      <c r="E388" s="16" t="n"/>
      <c r="F388" s="17" t="n"/>
      <c r="G388" s="15" t="n"/>
      <c r="H388" s="15" t="n"/>
      <c r="I388" s="16" t="n"/>
      <c r="J388" s="16" t="n"/>
      <c r="K388" s="16" t="n"/>
      <c r="L388" s="16" t="n"/>
      <c r="M388" s="16" t="n"/>
      <c r="N388" s="15" t="n"/>
      <c r="O388" s="16" t="n"/>
      <c r="P388" s="16" t="n"/>
      <c r="Q388" s="13">
        <f>IF(OR(B388="",C388=""),"",IFERROR(INDEX(LAYOUT!$E$2:$E$33,MATCH(B388&amp;"|"&amp;C388,LAYOUT!$F$2:$F$33,0)),"zona tidak ada di layout"))</f>
        <v/>
      </c>
      <c r="R388" s="14">
        <f>IF(F388="","",IF(OR(I388="",O388=""),0,I388*O388))</f>
        <v/>
      </c>
      <c r="S388" s="14">
        <f>IF(F388="","",SUMIFS($R$2:$R$500,$A$2:$A$500,A388,$C$2:$C$500,C388))</f>
        <v/>
      </c>
      <c r="T388" s="14">
        <f>IF(F388="","",IF(OR(G388="",I388="",J388=""),"CEK data SKU (nama/lebar/tinggi)",IF(COUNTIFS($F$2:$F$500,F388,$I$2:$I$500,"&lt;&gt;"&amp;I388)+COUNTIFS($F$2:$F$500,F388,$J$2:$J$500,"&lt;&gt;"&amp;J388)&gt;0,"CEK data SKU tidak konsisten",IF(Q388="zona tidak ada di layout","CEK zona_no / jenis_fixture",IF(D388&lt;&gt;Q388,"CEK jenis_zona",IF(S388&gt;IFERROR(INDEX(LAYOUT!$C$2:$C$33,MATCH(B388,LAYOUT!$A$2:$A$33,0)),0),"CEK lebar zona melebihi fixture","OK")))))</f>
        <v/>
      </c>
    </row>
    <row r="389">
      <c r="A389" s="15" t="n"/>
      <c r="B389" s="15" t="n"/>
      <c r="C389" s="16" t="n"/>
      <c r="D389" s="15" t="n"/>
      <c r="E389" s="16" t="n"/>
      <c r="F389" s="17" t="n"/>
      <c r="G389" s="15" t="n"/>
      <c r="H389" s="15" t="n"/>
      <c r="I389" s="16" t="n"/>
      <c r="J389" s="16" t="n"/>
      <c r="K389" s="16" t="n"/>
      <c r="L389" s="16" t="n"/>
      <c r="M389" s="16" t="n"/>
      <c r="N389" s="15" t="n"/>
      <c r="O389" s="16" t="n"/>
      <c r="P389" s="16" t="n"/>
      <c r="Q389" s="13">
        <f>IF(OR(B389="",C389=""),"",IFERROR(INDEX(LAYOUT!$E$2:$E$33,MATCH(B389&amp;"|"&amp;C389,LAYOUT!$F$2:$F$33,0)),"zona tidak ada di layout"))</f>
        <v/>
      </c>
      <c r="R389" s="14">
        <f>IF(F389="","",IF(OR(I389="",O389=""),0,I389*O389))</f>
        <v/>
      </c>
      <c r="S389" s="14">
        <f>IF(F389="","",SUMIFS($R$2:$R$500,$A$2:$A$500,A389,$C$2:$C$500,C389))</f>
        <v/>
      </c>
      <c r="T389" s="14">
        <f>IF(F389="","",IF(OR(G389="",I389="",J389=""),"CEK data SKU (nama/lebar/tinggi)",IF(COUNTIFS($F$2:$F$500,F389,$I$2:$I$500,"&lt;&gt;"&amp;I389)+COUNTIFS($F$2:$F$500,F389,$J$2:$J$500,"&lt;&gt;"&amp;J389)&gt;0,"CEK data SKU tidak konsisten",IF(Q389="zona tidak ada di layout","CEK zona_no / jenis_fixture",IF(D389&lt;&gt;Q389,"CEK jenis_zona",IF(S389&gt;IFERROR(INDEX(LAYOUT!$C$2:$C$33,MATCH(B389,LAYOUT!$A$2:$A$33,0)),0),"CEK lebar zona melebihi fixture","OK")))))</f>
        <v/>
      </c>
    </row>
    <row r="390">
      <c r="A390" s="15" t="n"/>
      <c r="B390" s="15" t="n"/>
      <c r="C390" s="16" t="n"/>
      <c r="D390" s="15" t="n"/>
      <c r="E390" s="16" t="n"/>
      <c r="F390" s="17" t="n"/>
      <c r="G390" s="15" t="n"/>
      <c r="H390" s="15" t="n"/>
      <c r="I390" s="16" t="n"/>
      <c r="J390" s="16" t="n"/>
      <c r="K390" s="16" t="n"/>
      <c r="L390" s="16" t="n"/>
      <c r="M390" s="16" t="n"/>
      <c r="N390" s="15" t="n"/>
      <c r="O390" s="16" t="n"/>
      <c r="P390" s="16" t="n"/>
      <c r="Q390" s="13">
        <f>IF(OR(B390="",C390=""),"",IFERROR(INDEX(LAYOUT!$E$2:$E$33,MATCH(B390&amp;"|"&amp;C390,LAYOUT!$F$2:$F$33,0)),"zona tidak ada di layout"))</f>
        <v/>
      </c>
      <c r="R390" s="14">
        <f>IF(F390="","",IF(OR(I390="",O390=""),0,I390*O390))</f>
        <v/>
      </c>
      <c r="S390" s="14">
        <f>IF(F390="","",SUMIFS($R$2:$R$500,$A$2:$A$500,A390,$C$2:$C$500,C390))</f>
        <v/>
      </c>
      <c r="T390" s="14">
        <f>IF(F390="","",IF(OR(G390="",I390="",J390=""),"CEK data SKU (nama/lebar/tinggi)",IF(COUNTIFS($F$2:$F$500,F390,$I$2:$I$500,"&lt;&gt;"&amp;I390)+COUNTIFS($F$2:$F$500,F390,$J$2:$J$500,"&lt;&gt;"&amp;J390)&gt;0,"CEK data SKU tidak konsisten",IF(Q390="zona tidak ada di layout","CEK zona_no / jenis_fixture",IF(D390&lt;&gt;Q390,"CEK jenis_zona",IF(S390&gt;IFERROR(INDEX(LAYOUT!$C$2:$C$33,MATCH(B390,LAYOUT!$A$2:$A$33,0)),0),"CEK lebar zona melebihi fixture","OK")))))</f>
        <v/>
      </c>
    </row>
    <row r="391">
      <c r="A391" s="15" t="n"/>
      <c r="B391" s="15" t="n"/>
      <c r="C391" s="16" t="n"/>
      <c r="D391" s="15" t="n"/>
      <c r="E391" s="16" t="n"/>
      <c r="F391" s="17" t="n"/>
      <c r="G391" s="15" t="n"/>
      <c r="H391" s="15" t="n"/>
      <c r="I391" s="16" t="n"/>
      <c r="J391" s="16" t="n"/>
      <c r="K391" s="16" t="n"/>
      <c r="L391" s="16" t="n"/>
      <c r="M391" s="16" t="n"/>
      <c r="N391" s="15" t="n"/>
      <c r="O391" s="16" t="n"/>
      <c r="P391" s="16" t="n"/>
      <c r="Q391" s="13">
        <f>IF(OR(B391="",C391=""),"",IFERROR(INDEX(LAYOUT!$E$2:$E$33,MATCH(B391&amp;"|"&amp;C391,LAYOUT!$F$2:$F$33,0)),"zona tidak ada di layout"))</f>
        <v/>
      </c>
      <c r="R391" s="14">
        <f>IF(F391="","",IF(OR(I391="",O391=""),0,I391*O391))</f>
        <v/>
      </c>
      <c r="S391" s="14">
        <f>IF(F391="","",SUMIFS($R$2:$R$500,$A$2:$A$500,A391,$C$2:$C$500,C391))</f>
        <v/>
      </c>
      <c r="T391" s="14">
        <f>IF(F391="","",IF(OR(G391="",I391="",J391=""),"CEK data SKU (nama/lebar/tinggi)",IF(COUNTIFS($F$2:$F$500,F391,$I$2:$I$500,"&lt;&gt;"&amp;I391)+COUNTIFS($F$2:$F$500,F391,$J$2:$J$500,"&lt;&gt;"&amp;J391)&gt;0,"CEK data SKU tidak konsisten",IF(Q391="zona tidak ada di layout","CEK zona_no / jenis_fixture",IF(D391&lt;&gt;Q391,"CEK jenis_zona",IF(S391&gt;IFERROR(INDEX(LAYOUT!$C$2:$C$33,MATCH(B391,LAYOUT!$A$2:$A$33,0)),0),"CEK lebar zona melebihi fixture","OK")))))</f>
        <v/>
      </c>
    </row>
    <row r="392">
      <c r="A392" s="15" t="n"/>
      <c r="B392" s="15" t="n"/>
      <c r="C392" s="16" t="n"/>
      <c r="D392" s="15" t="n"/>
      <c r="E392" s="16" t="n"/>
      <c r="F392" s="17" t="n"/>
      <c r="G392" s="15" t="n"/>
      <c r="H392" s="15" t="n"/>
      <c r="I392" s="16" t="n"/>
      <c r="J392" s="16" t="n"/>
      <c r="K392" s="16" t="n"/>
      <c r="L392" s="16" t="n"/>
      <c r="M392" s="16" t="n"/>
      <c r="N392" s="15" t="n"/>
      <c r="O392" s="16" t="n"/>
      <c r="P392" s="16" t="n"/>
      <c r="Q392" s="13">
        <f>IF(OR(B392="",C392=""),"",IFERROR(INDEX(LAYOUT!$E$2:$E$33,MATCH(B392&amp;"|"&amp;C392,LAYOUT!$F$2:$F$33,0)),"zona tidak ada di layout"))</f>
        <v/>
      </c>
      <c r="R392" s="14">
        <f>IF(F392="","",IF(OR(I392="",O392=""),0,I392*O392))</f>
        <v/>
      </c>
      <c r="S392" s="14">
        <f>IF(F392="","",SUMIFS($R$2:$R$500,$A$2:$A$500,A392,$C$2:$C$500,C392))</f>
        <v/>
      </c>
      <c r="T392" s="14">
        <f>IF(F392="","",IF(OR(G392="",I392="",J392=""),"CEK data SKU (nama/lebar/tinggi)",IF(COUNTIFS($F$2:$F$500,F392,$I$2:$I$500,"&lt;&gt;"&amp;I392)+COUNTIFS($F$2:$F$500,F392,$J$2:$J$500,"&lt;&gt;"&amp;J392)&gt;0,"CEK data SKU tidak konsisten",IF(Q392="zona tidak ada di layout","CEK zona_no / jenis_fixture",IF(D392&lt;&gt;Q392,"CEK jenis_zona",IF(S392&gt;IFERROR(INDEX(LAYOUT!$C$2:$C$33,MATCH(B392,LAYOUT!$A$2:$A$33,0)),0),"CEK lebar zona melebihi fixture","OK")))))</f>
        <v/>
      </c>
    </row>
    <row r="393">
      <c r="A393" s="15" t="n"/>
      <c r="B393" s="15" t="n"/>
      <c r="C393" s="16" t="n"/>
      <c r="D393" s="15" t="n"/>
      <c r="E393" s="16" t="n"/>
      <c r="F393" s="17" t="n"/>
      <c r="G393" s="15" t="n"/>
      <c r="H393" s="15" t="n"/>
      <c r="I393" s="16" t="n"/>
      <c r="J393" s="16" t="n"/>
      <c r="K393" s="16" t="n"/>
      <c r="L393" s="16" t="n"/>
      <c r="M393" s="16" t="n"/>
      <c r="N393" s="15" t="n"/>
      <c r="O393" s="16" t="n"/>
      <c r="P393" s="16" t="n"/>
      <c r="Q393" s="13">
        <f>IF(OR(B393="",C393=""),"",IFERROR(INDEX(LAYOUT!$E$2:$E$33,MATCH(B393&amp;"|"&amp;C393,LAYOUT!$F$2:$F$33,0)),"zona tidak ada di layout"))</f>
        <v/>
      </c>
      <c r="R393" s="14">
        <f>IF(F393="","",IF(OR(I393="",O393=""),0,I393*O393))</f>
        <v/>
      </c>
      <c r="S393" s="14">
        <f>IF(F393="","",SUMIFS($R$2:$R$500,$A$2:$A$500,A393,$C$2:$C$500,C393))</f>
        <v/>
      </c>
      <c r="T393" s="14">
        <f>IF(F393="","",IF(OR(G393="",I393="",J393=""),"CEK data SKU (nama/lebar/tinggi)",IF(COUNTIFS($F$2:$F$500,F393,$I$2:$I$500,"&lt;&gt;"&amp;I393)+COUNTIFS($F$2:$F$500,F393,$J$2:$J$500,"&lt;&gt;"&amp;J393)&gt;0,"CEK data SKU tidak konsisten",IF(Q393="zona tidak ada di layout","CEK zona_no / jenis_fixture",IF(D393&lt;&gt;Q393,"CEK jenis_zona",IF(S393&gt;IFERROR(INDEX(LAYOUT!$C$2:$C$33,MATCH(B393,LAYOUT!$A$2:$A$33,0)),0),"CEK lebar zona melebihi fixture","OK")))))</f>
        <v/>
      </c>
    </row>
    <row r="394">
      <c r="A394" s="15" t="n"/>
      <c r="B394" s="15" t="n"/>
      <c r="C394" s="16" t="n"/>
      <c r="D394" s="15" t="n"/>
      <c r="E394" s="16" t="n"/>
      <c r="F394" s="17" t="n"/>
      <c r="G394" s="15" t="n"/>
      <c r="H394" s="15" t="n"/>
      <c r="I394" s="16" t="n"/>
      <c r="J394" s="16" t="n"/>
      <c r="K394" s="16" t="n"/>
      <c r="L394" s="16" t="n"/>
      <c r="M394" s="16" t="n"/>
      <c r="N394" s="15" t="n"/>
      <c r="O394" s="16" t="n"/>
      <c r="P394" s="16" t="n"/>
      <c r="Q394" s="13">
        <f>IF(OR(B394="",C394=""),"",IFERROR(INDEX(LAYOUT!$E$2:$E$33,MATCH(B394&amp;"|"&amp;C394,LAYOUT!$F$2:$F$33,0)),"zona tidak ada di layout"))</f>
        <v/>
      </c>
      <c r="R394" s="14">
        <f>IF(F394="","",IF(OR(I394="",O394=""),0,I394*O394))</f>
        <v/>
      </c>
      <c r="S394" s="14">
        <f>IF(F394="","",SUMIFS($R$2:$R$500,$A$2:$A$500,A394,$C$2:$C$500,C394))</f>
        <v/>
      </c>
      <c r="T394" s="14">
        <f>IF(F394="","",IF(OR(G394="",I394="",J394=""),"CEK data SKU (nama/lebar/tinggi)",IF(COUNTIFS($F$2:$F$500,F394,$I$2:$I$500,"&lt;&gt;"&amp;I394)+COUNTIFS($F$2:$F$500,F394,$J$2:$J$500,"&lt;&gt;"&amp;J394)&gt;0,"CEK data SKU tidak konsisten",IF(Q394="zona tidak ada di layout","CEK zona_no / jenis_fixture",IF(D394&lt;&gt;Q394,"CEK jenis_zona",IF(S394&gt;IFERROR(INDEX(LAYOUT!$C$2:$C$33,MATCH(B394,LAYOUT!$A$2:$A$33,0)),0),"CEK lebar zona melebihi fixture","OK")))))</f>
        <v/>
      </c>
    </row>
    <row r="395">
      <c r="A395" s="15" t="n"/>
      <c r="B395" s="15" t="n"/>
      <c r="C395" s="16" t="n"/>
      <c r="D395" s="15" t="n"/>
      <c r="E395" s="16" t="n"/>
      <c r="F395" s="17" t="n"/>
      <c r="G395" s="15" t="n"/>
      <c r="H395" s="15" t="n"/>
      <c r="I395" s="16" t="n"/>
      <c r="J395" s="16" t="n"/>
      <c r="K395" s="16" t="n"/>
      <c r="L395" s="16" t="n"/>
      <c r="M395" s="16" t="n"/>
      <c r="N395" s="15" t="n"/>
      <c r="O395" s="16" t="n"/>
      <c r="P395" s="16" t="n"/>
      <c r="Q395" s="13">
        <f>IF(OR(B395="",C395=""),"",IFERROR(INDEX(LAYOUT!$E$2:$E$33,MATCH(B395&amp;"|"&amp;C395,LAYOUT!$F$2:$F$33,0)),"zona tidak ada di layout"))</f>
        <v/>
      </c>
      <c r="R395" s="14">
        <f>IF(F395="","",IF(OR(I395="",O395=""),0,I395*O395))</f>
        <v/>
      </c>
      <c r="S395" s="14">
        <f>IF(F395="","",SUMIFS($R$2:$R$500,$A$2:$A$500,A395,$C$2:$C$500,C395))</f>
        <v/>
      </c>
      <c r="T395" s="14">
        <f>IF(F395="","",IF(OR(G395="",I395="",J395=""),"CEK data SKU (nama/lebar/tinggi)",IF(COUNTIFS($F$2:$F$500,F395,$I$2:$I$500,"&lt;&gt;"&amp;I395)+COUNTIFS($F$2:$F$500,F395,$J$2:$J$500,"&lt;&gt;"&amp;J395)&gt;0,"CEK data SKU tidak konsisten",IF(Q395="zona tidak ada di layout","CEK zona_no / jenis_fixture",IF(D395&lt;&gt;Q395,"CEK jenis_zona",IF(S395&gt;IFERROR(INDEX(LAYOUT!$C$2:$C$33,MATCH(B395,LAYOUT!$A$2:$A$33,0)),0),"CEK lebar zona melebihi fixture","OK")))))</f>
        <v/>
      </c>
    </row>
    <row r="396">
      <c r="A396" s="15" t="n"/>
      <c r="B396" s="15" t="n"/>
      <c r="C396" s="16" t="n"/>
      <c r="D396" s="15" t="n"/>
      <c r="E396" s="16" t="n"/>
      <c r="F396" s="17" t="n"/>
      <c r="G396" s="15" t="n"/>
      <c r="H396" s="15" t="n"/>
      <c r="I396" s="16" t="n"/>
      <c r="J396" s="16" t="n"/>
      <c r="K396" s="16" t="n"/>
      <c r="L396" s="16" t="n"/>
      <c r="M396" s="16" t="n"/>
      <c r="N396" s="15" t="n"/>
      <c r="O396" s="16" t="n"/>
      <c r="P396" s="16" t="n"/>
      <c r="Q396" s="13">
        <f>IF(OR(B396="",C396=""),"",IFERROR(INDEX(LAYOUT!$E$2:$E$33,MATCH(B396&amp;"|"&amp;C396,LAYOUT!$F$2:$F$33,0)),"zona tidak ada di layout"))</f>
        <v/>
      </c>
      <c r="R396" s="14">
        <f>IF(F396="","",IF(OR(I396="",O396=""),0,I396*O396))</f>
        <v/>
      </c>
      <c r="S396" s="14">
        <f>IF(F396="","",SUMIFS($R$2:$R$500,$A$2:$A$500,A396,$C$2:$C$500,C396))</f>
        <v/>
      </c>
      <c r="T396" s="14">
        <f>IF(F396="","",IF(OR(G396="",I396="",J396=""),"CEK data SKU (nama/lebar/tinggi)",IF(COUNTIFS($F$2:$F$500,F396,$I$2:$I$500,"&lt;&gt;"&amp;I396)+COUNTIFS($F$2:$F$500,F396,$J$2:$J$500,"&lt;&gt;"&amp;J396)&gt;0,"CEK data SKU tidak konsisten",IF(Q396="zona tidak ada di layout","CEK zona_no / jenis_fixture",IF(D396&lt;&gt;Q396,"CEK jenis_zona",IF(S396&gt;IFERROR(INDEX(LAYOUT!$C$2:$C$33,MATCH(B396,LAYOUT!$A$2:$A$33,0)),0),"CEK lebar zona melebihi fixture","OK")))))</f>
        <v/>
      </c>
    </row>
    <row r="397">
      <c r="A397" s="15" t="n"/>
      <c r="B397" s="15" t="n"/>
      <c r="C397" s="16" t="n"/>
      <c r="D397" s="15" t="n"/>
      <c r="E397" s="16" t="n"/>
      <c r="F397" s="17" t="n"/>
      <c r="G397" s="15" t="n"/>
      <c r="H397" s="15" t="n"/>
      <c r="I397" s="16" t="n"/>
      <c r="J397" s="16" t="n"/>
      <c r="K397" s="16" t="n"/>
      <c r="L397" s="16" t="n"/>
      <c r="M397" s="16" t="n"/>
      <c r="N397" s="15" t="n"/>
      <c r="O397" s="16" t="n"/>
      <c r="P397" s="16" t="n"/>
      <c r="Q397" s="13">
        <f>IF(OR(B397="",C397=""),"",IFERROR(INDEX(LAYOUT!$E$2:$E$33,MATCH(B397&amp;"|"&amp;C397,LAYOUT!$F$2:$F$33,0)),"zona tidak ada di layout"))</f>
        <v/>
      </c>
      <c r="R397" s="14">
        <f>IF(F397="","",IF(OR(I397="",O397=""),0,I397*O397))</f>
        <v/>
      </c>
      <c r="S397" s="14">
        <f>IF(F397="","",SUMIFS($R$2:$R$500,$A$2:$A$500,A397,$C$2:$C$500,C397))</f>
        <v/>
      </c>
      <c r="T397" s="14">
        <f>IF(F397="","",IF(OR(G397="",I397="",J397=""),"CEK data SKU (nama/lebar/tinggi)",IF(COUNTIFS($F$2:$F$500,F397,$I$2:$I$500,"&lt;&gt;"&amp;I397)+COUNTIFS($F$2:$F$500,F397,$J$2:$J$500,"&lt;&gt;"&amp;J397)&gt;0,"CEK data SKU tidak konsisten",IF(Q397="zona tidak ada di layout","CEK zona_no / jenis_fixture",IF(D397&lt;&gt;Q397,"CEK jenis_zona",IF(S397&gt;IFERROR(INDEX(LAYOUT!$C$2:$C$33,MATCH(B397,LAYOUT!$A$2:$A$33,0)),0),"CEK lebar zona melebihi fixture","OK")))))</f>
        <v/>
      </c>
    </row>
    <row r="398">
      <c r="A398" s="15" t="n"/>
      <c r="B398" s="15" t="n"/>
      <c r="C398" s="16" t="n"/>
      <c r="D398" s="15" t="n"/>
      <c r="E398" s="16" t="n"/>
      <c r="F398" s="17" t="n"/>
      <c r="G398" s="15" t="n"/>
      <c r="H398" s="15" t="n"/>
      <c r="I398" s="16" t="n"/>
      <c r="J398" s="16" t="n"/>
      <c r="K398" s="16" t="n"/>
      <c r="L398" s="16" t="n"/>
      <c r="M398" s="16" t="n"/>
      <c r="N398" s="15" t="n"/>
      <c r="O398" s="16" t="n"/>
      <c r="P398" s="16" t="n"/>
      <c r="Q398" s="13">
        <f>IF(OR(B398="",C398=""),"",IFERROR(INDEX(LAYOUT!$E$2:$E$33,MATCH(B398&amp;"|"&amp;C398,LAYOUT!$F$2:$F$33,0)),"zona tidak ada di layout"))</f>
        <v/>
      </c>
      <c r="R398" s="14">
        <f>IF(F398="","",IF(OR(I398="",O398=""),0,I398*O398))</f>
        <v/>
      </c>
      <c r="S398" s="14">
        <f>IF(F398="","",SUMIFS($R$2:$R$500,$A$2:$A$500,A398,$C$2:$C$500,C398))</f>
        <v/>
      </c>
      <c r="T398" s="14">
        <f>IF(F398="","",IF(OR(G398="",I398="",J398=""),"CEK data SKU (nama/lebar/tinggi)",IF(COUNTIFS($F$2:$F$500,F398,$I$2:$I$500,"&lt;&gt;"&amp;I398)+COUNTIFS($F$2:$F$500,F398,$J$2:$J$500,"&lt;&gt;"&amp;J398)&gt;0,"CEK data SKU tidak konsisten",IF(Q398="zona tidak ada di layout","CEK zona_no / jenis_fixture",IF(D398&lt;&gt;Q398,"CEK jenis_zona",IF(S398&gt;IFERROR(INDEX(LAYOUT!$C$2:$C$33,MATCH(B398,LAYOUT!$A$2:$A$33,0)),0),"CEK lebar zona melebihi fixture","OK")))))</f>
        <v/>
      </c>
    </row>
    <row r="399">
      <c r="A399" s="15" t="n"/>
      <c r="B399" s="15" t="n"/>
      <c r="C399" s="16" t="n"/>
      <c r="D399" s="15" t="n"/>
      <c r="E399" s="16" t="n"/>
      <c r="F399" s="17" t="n"/>
      <c r="G399" s="15" t="n"/>
      <c r="H399" s="15" t="n"/>
      <c r="I399" s="16" t="n"/>
      <c r="J399" s="16" t="n"/>
      <c r="K399" s="16" t="n"/>
      <c r="L399" s="16" t="n"/>
      <c r="M399" s="16" t="n"/>
      <c r="N399" s="15" t="n"/>
      <c r="O399" s="16" t="n"/>
      <c r="P399" s="16" t="n"/>
      <c r="Q399" s="13">
        <f>IF(OR(B399="",C399=""),"",IFERROR(INDEX(LAYOUT!$E$2:$E$33,MATCH(B399&amp;"|"&amp;C399,LAYOUT!$F$2:$F$33,0)),"zona tidak ada di layout"))</f>
        <v/>
      </c>
      <c r="R399" s="14">
        <f>IF(F399="","",IF(OR(I399="",O399=""),0,I399*O399))</f>
        <v/>
      </c>
      <c r="S399" s="14">
        <f>IF(F399="","",SUMIFS($R$2:$R$500,$A$2:$A$500,A399,$C$2:$C$500,C399))</f>
        <v/>
      </c>
      <c r="T399" s="14">
        <f>IF(F399="","",IF(OR(G399="",I399="",J399=""),"CEK data SKU (nama/lebar/tinggi)",IF(COUNTIFS($F$2:$F$500,F399,$I$2:$I$500,"&lt;&gt;"&amp;I399)+COUNTIFS($F$2:$F$500,F399,$J$2:$J$500,"&lt;&gt;"&amp;J399)&gt;0,"CEK data SKU tidak konsisten",IF(Q399="zona tidak ada di layout","CEK zona_no / jenis_fixture",IF(D399&lt;&gt;Q399,"CEK jenis_zona",IF(S399&gt;IFERROR(INDEX(LAYOUT!$C$2:$C$33,MATCH(B399,LAYOUT!$A$2:$A$33,0)),0),"CEK lebar zona melebihi fixture","OK")))))</f>
        <v/>
      </c>
    </row>
    <row r="400">
      <c r="A400" s="15" t="n"/>
      <c r="B400" s="15" t="n"/>
      <c r="C400" s="16" t="n"/>
      <c r="D400" s="15" t="n"/>
      <c r="E400" s="16" t="n"/>
      <c r="F400" s="17" t="n"/>
      <c r="G400" s="15" t="n"/>
      <c r="H400" s="15" t="n"/>
      <c r="I400" s="16" t="n"/>
      <c r="J400" s="16" t="n"/>
      <c r="K400" s="16" t="n"/>
      <c r="L400" s="16" t="n"/>
      <c r="M400" s="16" t="n"/>
      <c r="N400" s="15" t="n"/>
      <c r="O400" s="16" t="n"/>
      <c r="P400" s="16" t="n"/>
      <c r="Q400" s="13">
        <f>IF(OR(B400="",C400=""),"",IFERROR(INDEX(LAYOUT!$E$2:$E$33,MATCH(B400&amp;"|"&amp;C400,LAYOUT!$F$2:$F$33,0)),"zona tidak ada di layout"))</f>
        <v/>
      </c>
      <c r="R400" s="14">
        <f>IF(F400="","",IF(OR(I400="",O400=""),0,I400*O400))</f>
        <v/>
      </c>
      <c r="S400" s="14">
        <f>IF(F400="","",SUMIFS($R$2:$R$500,$A$2:$A$500,A400,$C$2:$C$500,C400))</f>
        <v/>
      </c>
      <c r="T400" s="14">
        <f>IF(F400="","",IF(OR(G400="",I400="",J400=""),"CEK data SKU (nama/lebar/tinggi)",IF(COUNTIFS($F$2:$F$500,F400,$I$2:$I$500,"&lt;&gt;"&amp;I400)+COUNTIFS($F$2:$F$500,F400,$J$2:$J$500,"&lt;&gt;"&amp;J400)&gt;0,"CEK data SKU tidak konsisten",IF(Q400="zona tidak ada di layout","CEK zona_no / jenis_fixture",IF(D400&lt;&gt;Q400,"CEK jenis_zona",IF(S400&gt;IFERROR(INDEX(LAYOUT!$C$2:$C$33,MATCH(B400,LAYOUT!$A$2:$A$33,0)),0),"CEK lebar zona melebihi fixture","OK")))))</f>
        <v/>
      </c>
    </row>
    <row r="401">
      <c r="A401" s="15" t="n"/>
      <c r="B401" s="15" t="n"/>
      <c r="C401" s="16" t="n"/>
      <c r="D401" s="15" t="n"/>
      <c r="E401" s="16" t="n"/>
      <c r="F401" s="17" t="n"/>
      <c r="G401" s="15" t="n"/>
      <c r="H401" s="15" t="n"/>
      <c r="I401" s="16" t="n"/>
      <c r="J401" s="16" t="n"/>
      <c r="K401" s="16" t="n"/>
      <c r="L401" s="16" t="n"/>
      <c r="M401" s="16" t="n"/>
      <c r="N401" s="15" t="n"/>
      <c r="O401" s="16" t="n"/>
      <c r="P401" s="16" t="n"/>
      <c r="Q401" s="13">
        <f>IF(OR(B401="",C401=""),"",IFERROR(INDEX(LAYOUT!$E$2:$E$33,MATCH(B401&amp;"|"&amp;C401,LAYOUT!$F$2:$F$33,0)),"zona tidak ada di layout"))</f>
        <v/>
      </c>
      <c r="R401" s="14">
        <f>IF(F401="","",IF(OR(I401="",O401=""),0,I401*O401))</f>
        <v/>
      </c>
      <c r="S401" s="14">
        <f>IF(F401="","",SUMIFS($R$2:$R$500,$A$2:$A$500,A401,$C$2:$C$500,C401))</f>
        <v/>
      </c>
      <c r="T401" s="14">
        <f>IF(F401="","",IF(OR(G401="",I401="",J401=""),"CEK data SKU (nama/lebar/tinggi)",IF(COUNTIFS($F$2:$F$500,F401,$I$2:$I$500,"&lt;&gt;"&amp;I401)+COUNTIFS($F$2:$F$500,F401,$J$2:$J$500,"&lt;&gt;"&amp;J401)&gt;0,"CEK data SKU tidak konsisten",IF(Q401="zona tidak ada di layout","CEK zona_no / jenis_fixture",IF(D401&lt;&gt;Q401,"CEK jenis_zona",IF(S401&gt;IFERROR(INDEX(LAYOUT!$C$2:$C$33,MATCH(B401,LAYOUT!$A$2:$A$33,0)),0),"CEK lebar zona melebihi fixture","OK")))))</f>
        <v/>
      </c>
    </row>
    <row r="402">
      <c r="A402" s="15" t="n"/>
      <c r="B402" s="15" t="n"/>
      <c r="C402" s="16" t="n"/>
      <c r="D402" s="15" t="n"/>
      <c r="E402" s="16" t="n"/>
      <c r="F402" s="17" t="n"/>
      <c r="G402" s="15" t="n"/>
      <c r="H402" s="15" t="n"/>
      <c r="I402" s="16" t="n"/>
      <c r="J402" s="16" t="n"/>
      <c r="K402" s="16" t="n"/>
      <c r="L402" s="16" t="n"/>
      <c r="M402" s="16" t="n"/>
      <c r="N402" s="15" t="n"/>
      <c r="O402" s="16" t="n"/>
      <c r="P402" s="16" t="n"/>
      <c r="Q402" s="13">
        <f>IF(OR(B402="",C402=""),"",IFERROR(INDEX(LAYOUT!$E$2:$E$33,MATCH(B402&amp;"|"&amp;C402,LAYOUT!$F$2:$F$33,0)),"zona tidak ada di layout"))</f>
        <v/>
      </c>
      <c r="R402" s="14">
        <f>IF(F402="","",IF(OR(I402="",O402=""),0,I402*O402))</f>
        <v/>
      </c>
      <c r="S402" s="14">
        <f>IF(F402="","",SUMIFS($R$2:$R$500,$A$2:$A$500,A402,$C$2:$C$500,C402))</f>
        <v/>
      </c>
      <c r="T402" s="14">
        <f>IF(F402="","",IF(OR(G402="",I402="",J402=""),"CEK data SKU (nama/lebar/tinggi)",IF(COUNTIFS($F$2:$F$500,F402,$I$2:$I$500,"&lt;&gt;"&amp;I402)+COUNTIFS($F$2:$F$500,F402,$J$2:$J$500,"&lt;&gt;"&amp;J402)&gt;0,"CEK data SKU tidak konsisten",IF(Q402="zona tidak ada di layout","CEK zona_no / jenis_fixture",IF(D402&lt;&gt;Q402,"CEK jenis_zona",IF(S402&gt;IFERROR(INDEX(LAYOUT!$C$2:$C$33,MATCH(B402,LAYOUT!$A$2:$A$33,0)),0),"CEK lebar zona melebihi fixture","OK")))))</f>
        <v/>
      </c>
    </row>
    <row r="403">
      <c r="A403" s="15" t="n"/>
      <c r="B403" s="15" t="n"/>
      <c r="C403" s="16" t="n"/>
      <c r="D403" s="15" t="n"/>
      <c r="E403" s="16" t="n"/>
      <c r="F403" s="17" t="n"/>
      <c r="G403" s="15" t="n"/>
      <c r="H403" s="15" t="n"/>
      <c r="I403" s="16" t="n"/>
      <c r="J403" s="16" t="n"/>
      <c r="K403" s="16" t="n"/>
      <c r="L403" s="16" t="n"/>
      <c r="M403" s="16" t="n"/>
      <c r="N403" s="15" t="n"/>
      <c r="O403" s="16" t="n"/>
      <c r="P403" s="16" t="n"/>
      <c r="Q403" s="13">
        <f>IF(OR(B403="",C403=""),"",IFERROR(INDEX(LAYOUT!$E$2:$E$33,MATCH(B403&amp;"|"&amp;C403,LAYOUT!$F$2:$F$33,0)),"zona tidak ada di layout"))</f>
        <v/>
      </c>
      <c r="R403" s="14">
        <f>IF(F403="","",IF(OR(I403="",O403=""),0,I403*O403))</f>
        <v/>
      </c>
      <c r="S403" s="14">
        <f>IF(F403="","",SUMIFS($R$2:$R$500,$A$2:$A$500,A403,$C$2:$C$500,C403))</f>
        <v/>
      </c>
      <c r="T403" s="14">
        <f>IF(F403="","",IF(OR(G403="",I403="",J403=""),"CEK data SKU (nama/lebar/tinggi)",IF(COUNTIFS($F$2:$F$500,F403,$I$2:$I$500,"&lt;&gt;"&amp;I403)+COUNTIFS($F$2:$F$500,F403,$J$2:$J$500,"&lt;&gt;"&amp;J403)&gt;0,"CEK data SKU tidak konsisten",IF(Q403="zona tidak ada di layout","CEK zona_no / jenis_fixture",IF(D403&lt;&gt;Q403,"CEK jenis_zona",IF(S403&gt;IFERROR(INDEX(LAYOUT!$C$2:$C$33,MATCH(B403,LAYOUT!$A$2:$A$33,0)),0),"CEK lebar zona melebihi fixture","OK")))))</f>
        <v/>
      </c>
    </row>
    <row r="404">
      <c r="A404" s="15" t="n"/>
      <c r="B404" s="15" t="n"/>
      <c r="C404" s="16" t="n"/>
      <c r="D404" s="15" t="n"/>
      <c r="E404" s="16" t="n"/>
      <c r="F404" s="17" t="n"/>
      <c r="G404" s="15" t="n"/>
      <c r="H404" s="15" t="n"/>
      <c r="I404" s="16" t="n"/>
      <c r="J404" s="16" t="n"/>
      <c r="K404" s="16" t="n"/>
      <c r="L404" s="16" t="n"/>
      <c r="M404" s="16" t="n"/>
      <c r="N404" s="15" t="n"/>
      <c r="O404" s="16" t="n"/>
      <c r="P404" s="16" t="n"/>
      <c r="Q404" s="13">
        <f>IF(OR(B404="",C404=""),"",IFERROR(INDEX(LAYOUT!$E$2:$E$33,MATCH(B404&amp;"|"&amp;C404,LAYOUT!$F$2:$F$33,0)),"zona tidak ada di layout"))</f>
        <v/>
      </c>
      <c r="R404" s="14">
        <f>IF(F404="","",IF(OR(I404="",O404=""),0,I404*O404))</f>
        <v/>
      </c>
      <c r="S404" s="14">
        <f>IF(F404="","",SUMIFS($R$2:$R$500,$A$2:$A$500,A404,$C$2:$C$500,C404))</f>
        <v/>
      </c>
      <c r="T404" s="14">
        <f>IF(F404="","",IF(OR(G404="",I404="",J404=""),"CEK data SKU (nama/lebar/tinggi)",IF(COUNTIFS($F$2:$F$500,F404,$I$2:$I$500,"&lt;&gt;"&amp;I404)+COUNTIFS($F$2:$F$500,F404,$J$2:$J$500,"&lt;&gt;"&amp;J404)&gt;0,"CEK data SKU tidak konsisten",IF(Q404="zona tidak ada di layout","CEK zona_no / jenis_fixture",IF(D404&lt;&gt;Q404,"CEK jenis_zona",IF(S404&gt;IFERROR(INDEX(LAYOUT!$C$2:$C$33,MATCH(B404,LAYOUT!$A$2:$A$33,0)),0),"CEK lebar zona melebihi fixture","OK")))))</f>
        <v/>
      </c>
    </row>
    <row r="405">
      <c r="A405" s="15" t="n"/>
      <c r="B405" s="15" t="n"/>
      <c r="C405" s="16" t="n"/>
      <c r="D405" s="15" t="n"/>
      <c r="E405" s="16" t="n"/>
      <c r="F405" s="17" t="n"/>
      <c r="G405" s="15" t="n"/>
      <c r="H405" s="15" t="n"/>
      <c r="I405" s="16" t="n"/>
      <c r="J405" s="16" t="n"/>
      <c r="K405" s="16" t="n"/>
      <c r="L405" s="16" t="n"/>
      <c r="M405" s="16" t="n"/>
      <c r="N405" s="15" t="n"/>
      <c r="O405" s="16" t="n"/>
      <c r="P405" s="16" t="n"/>
      <c r="Q405" s="13">
        <f>IF(OR(B405="",C405=""),"",IFERROR(INDEX(LAYOUT!$E$2:$E$33,MATCH(B405&amp;"|"&amp;C405,LAYOUT!$F$2:$F$33,0)),"zona tidak ada di layout"))</f>
        <v/>
      </c>
      <c r="R405" s="14">
        <f>IF(F405="","",IF(OR(I405="",O405=""),0,I405*O405))</f>
        <v/>
      </c>
      <c r="S405" s="14">
        <f>IF(F405="","",SUMIFS($R$2:$R$500,$A$2:$A$500,A405,$C$2:$C$500,C405))</f>
        <v/>
      </c>
      <c r="T405" s="14">
        <f>IF(F405="","",IF(OR(G405="",I405="",J405=""),"CEK data SKU (nama/lebar/tinggi)",IF(COUNTIFS($F$2:$F$500,F405,$I$2:$I$500,"&lt;&gt;"&amp;I405)+COUNTIFS($F$2:$F$500,F405,$J$2:$J$500,"&lt;&gt;"&amp;J405)&gt;0,"CEK data SKU tidak konsisten",IF(Q405="zona tidak ada di layout","CEK zona_no / jenis_fixture",IF(D405&lt;&gt;Q405,"CEK jenis_zona",IF(S405&gt;IFERROR(INDEX(LAYOUT!$C$2:$C$33,MATCH(B405,LAYOUT!$A$2:$A$33,0)),0),"CEK lebar zona melebihi fixture","OK")))))</f>
        <v/>
      </c>
    </row>
    <row r="406">
      <c r="A406" s="15" t="n"/>
      <c r="B406" s="15" t="n"/>
      <c r="C406" s="16" t="n"/>
      <c r="D406" s="15" t="n"/>
      <c r="E406" s="16" t="n"/>
      <c r="F406" s="17" t="n"/>
      <c r="G406" s="15" t="n"/>
      <c r="H406" s="15" t="n"/>
      <c r="I406" s="16" t="n"/>
      <c r="J406" s="16" t="n"/>
      <c r="K406" s="16" t="n"/>
      <c r="L406" s="16" t="n"/>
      <c r="M406" s="16" t="n"/>
      <c r="N406" s="15" t="n"/>
      <c r="O406" s="16" t="n"/>
      <c r="P406" s="16" t="n"/>
      <c r="Q406" s="13">
        <f>IF(OR(B406="",C406=""),"",IFERROR(INDEX(LAYOUT!$E$2:$E$33,MATCH(B406&amp;"|"&amp;C406,LAYOUT!$F$2:$F$33,0)),"zona tidak ada di layout"))</f>
        <v/>
      </c>
      <c r="R406" s="14">
        <f>IF(F406="","",IF(OR(I406="",O406=""),0,I406*O406))</f>
        <v/>
      </c>
      <c r="S406" s="14">
        <f>IF(F406="","",SUMIFS($R$2:$R$500,$A$2:$A$500,A406,$C$2:$C$500,C406))</f>
        <v/>
      </c>
      <c r="T406" s="14">
        <f>IF(F406="","",IF(OR(G406="",I406="",J406=""),"CEK data SKU (nama/lebar/tinggi)",IF(COUNTIFS($F$2:$F$500,F406,$I$2:$I$500,"&lt;&gt;"&amp;I406)+COUNTIFS($F$2:$F$500,F406,$J$2:$J$500,"&lt;&gt;"&amp;J406)&gt;0,"CEK data SKU tidak konsisten",IF(Q406="zona tidak ada di layout","CEK zona_no / jenis_fixture",IF(D406&lt;&gt;Q406,"CEK jenis_zona",IF(S406&gt;IFERROR(INDEX(LAYOUT!$C$2:$C$33,MATCH(B406,LAYOUT!$A$2:$A$33,0)),0),"CEK lebar zona melebihi fixture","OK")))))</f>
        <v/>
      </c>
    </row>
    <row r="407">
      <c r="A407" s="15" t="n"/>
      <c r="B407" s="15" t="n"/>
      <c r="C407" s="16" t="n"/>
      <c r="D407" s="15" t="n"/>
      <c r="E407" s="16" t="n"/>
      <c r="F407" s="17" t="n"/>
      <c r="G407" s="15" t="n"/>
      <c r="H407" s="15" t="n"/>
      <c r="I407" s="16" t="n"/>
      <c r="J407" s="16" t="n"/>
      <c r="K407" s="16" t="n"/>
      <c r="L407" s="16" t="n"/>
      <c r="M407" s="16" t="n"/>
      <c r="N407" s="15" t="n"/>
      <c r="O407" s="16" t="n"/>
      <c r="P407" s="16" t="n"/>
      <c r="Q407" s="13">
        <f>IF(OR(B407="",C407=""),"",IFERROR(INDEX(LAYOUT!$E$2:$E$33,MATCH(B407&amp;"|"&amp;C407,LAYOUT!$F$2:$F$33,0)),"zona tidak ada di layout"))</f>
        <v/>
      </c>
      <c r="R407" s="14">
        <f>IF(F407="","",IF(OR(I407="",O407=""),0,I407*O407))</f>
        <v/>
      </c>
      <c r="S407" s="14">
        <f>IF(F407="","",SUMIFS($R$2:$R$500,$A$2:$A$500,A407,$C$2:$C$500,C407))</f>
        <v/>
      </c>
      <c r="T407" s="14">
        <f>IF(F407="","",IF(OR(G407="",I407="",J407=""),"CEK data SKU (nama/lebar/tinggi)",IF(COUNTIFS($F$2:$F$500,F407,$I$2:$I$500,"&lt;&gt;"&amp;I407)+COUNTIFS($F$2:$F$500,F407,$J$2:$J$500,"&lt;&gt;"&amp;J407)&gt;0,"CEK data SKU tidak konsisten",IF(Q407="zona tidak ada di layout","CEK zona_no / jenis_fixture",IF(D407&lt;&gt;Q407,"CEK jenis_zona",IF(S407&gt;IFERROR(INDEX(LAYOUT!$C$2:$C$33,MATCH(B407,LAYOUT!$A$2:$A$33,0)),0),"CEK lebar zona melebihi fixture","OK")))))</f>
        <v/>
      </c>
    </row>
    <row r="408">
      <c r="A408" s="15" t="n"/>
      <c r="B408" s="15" t="n"/>
      <c r="C408" s="16" t="n"/>
      <c r="D408" s="15" t="n"/>
      <c r="E408" s="16" t="n"/>
      <c r="F408" s="17" t="n"/>
      <c r="G408" s="15" t="n"/>
      <c r="H408" s="15" t="n"/>
      <c r="I408" s="16" t="n"/>
      <c r="J408" s="16" t="n"/>
      <c r="K408" s="16" t="n"/>
      <c r="L408" s="16" t="n"/>
      <c r="M408" s="16" t="n"/>
      <c r="N408" s="15" t="n"/>
      <c r="O408" s="16" t="n"/>
      <c r="P408" s="16" t="n"/>
      <c r="Q408" s="13">
        <f>IF(OR(B408="",C408=""),"",IFERROR(INDEX(LAYOUT!$E$2:$E$33,MATCH(B408&amp;"|"&amp;C408,LAYOUT!$F$2:$F$33,0)),"zona tidak ada di layout"))</f>
        <v/>
      </c>
      <c r="R408" s="14">
        <f>IF(F408="","",IF(OR(I408="",O408=""),0,I408*O408))</f>
        <v/>
      </c>
      <c r="S408" s="14">
        <f>IF(F408="","",SUMIFS($R$2:$R$500,$A$2:$A$500,A408,$C$2:$C$500,C408))</f>
        <v/>
      </c>
      <c r="T408" s="14">
        <f>IF(F408="","",IF(OR(G408="",I408="",J408=""),"CEK data SKU (nama/lebar/tinggi)",IF(COUNTIFS($F$2:$F$500,F408,$I$2:$I$500,"&lt;&gt;"&amp;I408)+COUNTIFS($F$2:$F$500,F408,$J$2:$J$500,"&lt;&gt;"&amp;J408)&gt;0,"CEK data SKU tidak konsisten",IF(Q408="zona tidak ada di layout","CEK zona_no / jenis_fixture",IF(D408&lt;&gt;Q408,"CEK jenis_zona",IF(S408&gt;IFERROR(INDEX(LAYOUT!$C$2:$C$33,MATCH(B408,LAYOUT!$A$2:$A$33,0)),0),"CEK lebar zona melebihi fixture","OK")))))</f>
        <v/>
      </c>
    </row>
    <row r="409">
      <c r="A409" s="15" t="n"/>
      <c r="B409" s="15" t="n"/>
      <c r="C409" s="16" t="n"/>
      <c r="D409" s="15" t="n"/>
      <c r="E409" s="16" t="n"/>
      <c r="F409" s="17" t="n"/>
      <c r="G409" s="15" t="n"/>
      <c r="H409" s="15" t="n"/>
      <c r="I409" s="16" t="n"/>
      <c r="J409" s="16" t="n"/>
      <c r="K409" s="16" t="n"/>
      <c r="L409" s="16" t="n"/>
      <c r="M409" s="16" t="n"/>
      <c r="N409" s="15" t="n"/>
      <c r="O409" s="16" t="n"/>
      <c r="P409" s="16" t="n"/>
      <c r="Q409" s="13">
        <f>IF(OR(B409="",C409=""),"",IFERROR(INDEX(LAYOUT!$E$2:$E$33,MATCH(B409&amp;"|"&amp;C409,LAYOUT!$F$2:$F$33,0)),"zona tidak ada di layout"))</f>
        <v/>
      </c>
      <c r="R409" s="14">
        <f>IF(F409="","",IF(OR(I409="",O409=""),0,I409*O409))</f>
        <v/>
      </c>
      <c r="S409" s="14">
        <f>IF(F409="","",SUMIFS($R$2:$R$500,$A$2:$A$500,A409,$C$2:$C$500,C409))</f>
        <v/>
      </c>
      <c r="T409" s="14">
        <f>IF(F409="","",IF(OR(G409="",I409="",J409=""),"CEK data SKU (nama/lebar/tinggi)",IF(COUNTIFS($F$2:$F$500,F409,$I$2:$I$500,"&lt;&gt;"&amp;I409)+COUNTIFS($F$2:$F$500,F409,$J$2:$J$500,"&lt;&gt;"&amp;J409)&gt;0,"CEK data SKU tidak konsisten",IF(Q409="zona tidak ada di layout","CEK zona_no / jenis_fixture",IF(D409&lt;&gt;Q409,"CEK jenis_zona",IF(S409&gt;IFERROR(INDEX(LAYOUT!$C$2:$C$33,MATCH(B409,LAYOUT!$A$2:$A$33,0)),0),"CEK lebar zona melebihi fixture","OK")))))</f>
        <v/>
      </c>
    </row>
    <row r="410">
      <c r="A410" s="15" t="n"/>
      <c r="B410" s="15" t="n"/>
      <c r="C410" s="16" t="n"/>
      <c r="D410" s="15" t="n"/>
      <c r="E410" s="16" t="n"/>
      <c r="F410" s="17" t="n"/>
      <c r="G410" s="15" t="n"/>
      <c r="H410" s="15" t="n"/>
      <c r="I410" s="16" t="n"/>
      <c r="J410" s="16" t="n"/>
      <c r="K410" s="16" t="n"/>
      <c r="L410" s="16" t="n"/>
      <c r="M410" s="16" t="n"/>
      <c r="N410" s="15" t="n"/>
      <c r="O410" s="16" t="n"/>
      <c r="P410" s="16" t="n"/>
      <c r="Q410" s="13">
        <f>IF(OR(B410="",C410=""),"",IFERROR(INDEX(LAYOUT!$E$2:$E$33,MATCH(B410&amp;"|"&amp;C410,LAYOUT!$F$2:$F$33,0)),"zona tidak ada di layout"))</f>
        <v/>
      </c>
      <c r="R410" s="14">
        <f>IF(F410="","",IF(OR(I410="",O410=""),0,I410*O410))</f>
        <v/>
      </c>
      <c r="S410" s="14">
        <f>IF(F410="","",SUMIFS($R$2:$R$500,$A$2:$A$500,A410,$C$2:$C$500,C410))</f>
        <v/>
      </c>
      <c r="T410" s="14">
        <f>IF(F410="","",IF(OR(G410="",I410="",J410=""),"CEK data SKU (nama/lebar/tinggi)",IF(COUNTIFS($F$2:$F$500,F410,$I$2:$I$500,"&lt;&gt;"&amp;I410)+COUNTIFS($F$2:$F$500,F410,$J$2:$J$500,"&lt;&gt;"&amp;J410)&gt;0,"CEK data SKU tidak konsisten",IF(Q410="zona tidak ada di layout","CEK zona_no / jenis_fixture",IF(D410&lt;&gt;Q410,"CEK jenis_zona",IF(S410&gt;IFERROR(INDEX(LAYOUT!$C$2:$C$33,MATCH(B410,LAYOUT!$A$2:$A$33,0)),0),"CEK lebar zona melebihi fixture","OK")))))</f>
        <v/>
      </c>
    </row>
    <row r="411">
      <c r="A411" s="15" t="n"/>
      <c r="B411" s="15" t="n"/>
      <c r="C411" s="16" t="n"/>
      <c r="D411" s="15" t="n"/>
      <c r="E411" s="16" t="n"/>
      <c r="F411" s="17" t="n"/>
      <c r="G411" s="15" t="n"/>
      <c r="H411" s="15" t="n"/>
      <c r="I411" s="16" t="n"/>
      <c r="J411" s="16" t="n"/>
      <c r="K411" s="16" t="n"/>
      <c r="L411" s="16" t="n"/>
      <c r="M411" s="16" t="n"/>
      <c r="N411" s="15" t="n"/>
      <c r="O411" s="16" t="n"/>
      <c r="P411" s="16" t="n"/>
      <c r="Q411" s="13">
        <f>IF(OR(B411="",C411=""),"",IFERROR(INDEX(LAYOUT!$E$2:$E$33,MATCH(B411&amp;"|"&amp;C411,LAYOUT!$F$2:$F$33,0)),"zona tidak ada di layout"))</f>
        <v/>
      </c>
      <c r="R411" s="14">
        <f>IF(F411="","",IF(OR(I411="",O411=""),0,I411*O411))</f>
        <v/>
      </c>
      <c r="S411" s="14">
        <f>IF(F411="","",SUMIFS($R$2:$R$500,$A$2:$A$500,A411,$C$2:$C$500,C411))</f>
        <v/>
      </c>
      <c r="T411" s="14">
        <f>IF(F411="","",IF(OR(G411="",I411="",J411=""),"CEK data SKU (nama/lebar/tinggi)",IF(COUNTIFS($F$2:$F$500,F411,$I$2:$I$500,"&lt;&gt;"&amp;I411)+COUNTIFS($F$2:$F$500,F411,$J$2:$J$500,"&lt;&gt;"&amp;J411)&gt;0,"CEK data SKU tidak konsisten",IF(Q411="zona tidak ada di layout","CEK zona_no / jenis_fixture",IF(D411&lt;&gt;Q411,"CEK jenis_zona",IF(S411&gt;IFERROR(INDEX(LAYOUT!$C$2:$C$33,MATCH(B411,LAYOUT!$A$2:$A$33,0)),0),"CEK lebar zona melebihi fixture","OK")))))</f>
        <v/>
      </c>
    </row>
    <row r="412">
      <c r="A412" s="15" t="n"/>
      <c r="B412" s="15" t="n"/>
      <c r="C412" s="16" t="n"/>
      <c r="D412" s="15" t="n"/>
      <c r="E412" s="16" t="n"/>
      <c r="F412" s="17" t="n"/>
      <c r="G412" s="15" t="n"/>
      <c r="H412" s="15" t="n"/>
      <c r="I412" s="16" t="n"/>
      <c r="J412" s="16" t="n"/>
      <c r="K412" s="16" t="n"/>
      <c r="L412" s="16" t="n"/>
      <c r="M412" s="16" t="n"/>
      <c r="N412" s="15" t="n"/>
      <c r="O412" s="16" t="n"/>
      <c r="P412" s="16" t="n"/>
      <c r="Q412" s="13">
        <f>IF(OR(B412="",C412=""),"",IFERROR(INDEX(LAYOUT!$E$2:$E$33,MATCH(B412&amp;"|"&amp;C412,LAYOUT!$F$2:$F$33,0)),"zona tidak ada di layout"))</f>
        <v/>
      </c>
      <c r="R412" s="14">
        <f>IF(F412="","",IF(OR(I412="",O412=""),0,I412*O412))</f>
        <v/>
      </c>
      <c r="S412" s="14">
        <f>IF(F412="","",SUMIFS($R$2:$R$500,$A$2:$A$500,A412,$C$2:$C$500,C412))</f>
        <v/>
      </c>
      <c r="T412" s="14">
        <f>IF(F412="","",IF(OR(G412="",I412="",J412=""),"CEK data SKU (nama/lebar/tinggi)",IF(COUNTIFS($F$2:$F$500,F412,$I$2:$I$500,"&lt;&gt;"&amp;I412)+COUNTIFS($F$2:$F$500,F412,$J$2:$J$500,"&lt;&gt;"&amp;J412)&gt;0,"CEK data SKU tidak konsisten",IF(Q412="zona tidak ada di layout","CEK zona_no / jenis_fixture",IF(D412&lt;&gt;Q412,"CEK jenis_zona",IF(S412&gt;IFERROR(INDEX(LAYOUT!$C$2:$C$33,MATCH(B412,LAYOUT!$A$2:$A$33,0)),0),"CEK lebar zona melebihi fixture","OK")))))</f>
        <v/>
      </c>
    </row>
    <row r="413">
      <c r="A413" s="15" t="n"/>
      <c r="B413" s="15" t="n"/>
      <c r="C413" s="16" t="n"/>
      <c r="D413" s="15" t="n"/>
      <c r="E413" s="16" t="n"/>
      <c r="F413" s="17" t="n"/>
      <c r="G413" s="15" t="n"/>
      <c r="H413" s="15" t="n"/>
      <c r="I413" s="16" t="n"/>
      <c r="J413" s="16" t="n"/>
      <c r="K413" s="16" t="n"/>
      <c r="L413" s="16" t="n"/>
      <c r="M413" s="16" t="n"/>
      <c r="N413" s="15" t="n"/>
      <c r="O413" s="16" t="n"/>
      <c r="P413" s="16" t="n"/>
      <c r="Q413" s="13">
        <f>IF(OR(B413="",C413=""),"",IFERROR(INDEX(LAYOUT!$E$2:$E$33,MATCH(B413&amp;"|"&amp;C413,LAYOUT!$F$2:$F$33,0)),"zona tidak ada di layout"))</f>
        <v/>
      </c>
      <c r="R413" s="14">
        <f>IF(F413="","",IF(OR(I413="",O413=""),0,I413*O413))</f>
        <v/>
      </c>
      <c r="S413" s="14">
        <f>IF(F413="","",SUMIFS($R$2:$R$500,$A$2:$A$500,A413,$C$2:$C$500,C413))</f>
        <v/>
      </c>
      <c r="T413" s="14">
        <f>IF(F413="","",IF(OR(G413="",I413="",J413=""),"CEK data SKU (nama/lebar/tinggi)",IF(COUNTIFS($F$2:$F$500,F413,$I$2:$I$500,"&lt;&gt;"&amp;I413)+COUNTIFS($F$2:$F$500,F413,$J$2:$J$500,"&lt;&gt;"&amp;J413)&gt;0,"CEK data SKU tidak konsisten",IF(Q413="zona tidak ada di layout","CEK zona_no / jenis_fixture",IF(D413&lt;&gt;Q413,"CEK jenis_zona",IF(S413&gt;IFERROR(INDEX(LAYOUT!$C$2:$C$33,MATCH(B413,LAYOUT!$A$2:$A$33,0)),0),"CEK lebar zona melebihi fixture","OK")))))</f>
        <v/>
      </c>
    </row>
    <row r="414">
      <c r="A414" s="15" t="n"/>
      <c r="B414" s="15" t="n"/>
      <c r="C414" s="16" t="n"/>
      <c r="D414" s="15" t="n"/>
      <c r="E414" s="16" t="n"/>
      <c r="F414" s="17" t="n"/>
      <c r="G414" s="15" t="n"/>
      <c r="H414" s="15" t="n"/>
      <c r="I414" s="16" t="n"/>
      <c r="J414" s="16" t="n"/>
      <c r="K414" s="16" t="n"/>
      <c r="L414" s="16" t="n"/>
      <c r="M414" s="16" t="n"/>
      <c r="N414" s="15" t="n"/>
      <c r="O414" s="16" t="n"/>
      <c r="P414" s="16" t="n"/>
      <c r="Q414" s="13">
        <f>IF(OR(B414="",C414=""),"",IFERROR(INDEX(LAYOUT!$E$2:$E$33,MATCH(B414&amp;"|"&amp;C414,LAYOUT!$F$2:$F$33,0)),"zona tidak ada di layout"))</f>
        <v/>
      </c>
      <c r="R414" s="14">
        <f>IF(F414="","",IF(OR(I414="",O414=""),0,I414*O414))</f>
        <v/>
      </c>
      <c r="S414" s="14">
        <f>IF(F414="","",SUMIFS($R$2:$R$500,$A$2:$A$500,A414,$C$2:$C$500,C414))</f>
        <v/>
      </c>
      <c r="T414" s="14">
        <f>IF(F414="","",IF(OR(G414="",I414="",J414=""),"CEK data SKU (nama/lebar/tinggi)",IF(COUNTIFS($F$2:$F$500,F414,$I$2:$I$500,"&lt;&gt;"&amp;I414)+COUNTIFS($F$2:$F$500,F414,$J$2:$J$500,"&lt;&gt;"&amp;J414)&gt;0,"CEK data SKU tidak konsisten",IF(Q414="zona tidak ada di layout","CEK zona_no / jenis_fixture",IF(D414&lt;&gt;Q414,"CEK jenis_zona",IF(S414&gt;IFERROR(INDEX(LAYOUT!$C$2:$C$33,MATCH(B414,LAYOUT!$A$2:$A$33,0)),0),"CEK lebar zona melebihi fixture","OK")))))</f>
        <v/>
      </c>
    </row>
    <row r="415">
      <c r="A415" s="15" t="n"/>
      <c r="B415" s="15" t="n"/>
      <c r="C415" s="16" t="n"/>
      <c r="D415" s="15" t="n"/>
      <c r="E415" s="16" t="n"/>
      <c r="F415" s="17" t="n"/>
      <c r="G415" s="15" t="n"/>
      <c r="H415" s="15" t="n"/>
      <c r="I415" s="16" t="n"/>
      <c r="J415" s="16" t="n"/>
      <c r="K415" s="16" t="n"/>
      <c r="L415" s="16" t="n"/>
      <c r="M415" s="16" t="n"/>
      <c r="N415" s="15" t="n"/>
      <c r="O415" s="16" t="n"/>
      <c r="P415" s="16" t="n"/>
      <c r="Q415" s="13">
        <f>IF(OR(B415="",C415=""),"",IFERROR(INDEX(LAYOUT!$E$2:$E$33,MATCH(B415&amp;"|"&amp;C415,LAYOUT!$F$2:$F$33,0)),"zona tidak ada di layout"))</f>
        <v/>
      </c>
      <c r="R415" s="14">
        <f>IF(F415="","",IF(OR(I415="",O415=""),0,I415*O415))</f>
        <v/>
      </c>
      <c r="S415" s="14">
        <f>IF(F415="","",SUMIFS($R$2:$R$500,$A$2:$A$500,A415,$C$2:$C$500,C415))</f>
        <v/>
      </c>
      <c r="T415" s="14">
        <f>IF(F415="","",IF(OR(G415="",I415="",J415=""),"CEK data SKU (nama/lebar/tinggi)",IF(COUNTIFS($F$2:$F$500,F415,$I$2:$I$500,"&lt;&gt;"&amp;I415)+COUNTIFS($F$2:$F$500,F415,$J$2:$J$500,"&lt;&gt;"&amp;J415)&gt;0,"CEK data SKU tidak konsisten",IF(Q415="zona tidak ada di layout","CEK zona_no / jenis_fixture",IF(D415&lt;&gt;Q415,"CEK jenis_zona",IF(S415&gt;IFERROR(INDEX(LAYOUT!$C$2:$C$33,MATCH(B415,LAYOUT!$A$2:$A$33,0)),0),"CEK lebar zona melebihi fixture","OK")))))</f>
        <v/>
      </c>
    </row>
    <row r="416">
      <c r="A416" s="15" t="n"/>
      <c r="B416" s="15" t="n"/>
      <c r="C416" s="16" t="n"/>
      <c r="D416" s="15" t="n"/>
      <c r="E416" s="16" t="n"/>
      <c r="F416" s="17" t="n"/>
      <c r="G416" s="15" t="n"/>
      <c r="H416" s="15" t="n"/>
      <c r="I416" s="16" t="n"/>
      <c r="J416" s="16" t="n"/>
      <c r="K416" s="16" t="n"/>
      <c r="L416" s="16" t="n"/>
      <c r="M416" s="16" t="n"/>
      <c r="N416" s="15" t="n"/>
      <c r="O416" s="16" t="n"/>
      <c r="P416" s="16" t="n"/>
      <c r="Q416" s="13">
        <f>IF(OR(B416="",C416=""),"",IFERROR(INDEX(LAYOUT!$E$2:$E$33,MATCH(B416&amp;"|"&amp;C416,LAYOUT!$F$2:$F$33,0)),"zona tidak ada di layout"))</f>
        <v/>
      </c>
      <c r="R416" s="14">
        <f>IF(F416="","",IF(OR(I416="",O416=""),0,I416*O416))</f>
        <v/>
      </c>
      <c r="S416" s="14">
        <f>IF(F416="","",SUMIFS($R$2:$R$500,$A$2:$A$500,A416,$C$2:$C$500,C416))</f>
        <v/>
      </c>
      <c r="T416" s="14">
        <f>IF(F416="","",IF(OR(G416="",I416="",J416=""),"CEK data SKU (nama/lebar/tinggi)",IF(COUNTIFS($F$2:$F$500,F416,$I$2:$I$500,"&lt;&gt;"&amp;I416)+COUNTIFS($F$2:$F$500,F416,$J$2:$J$500,"&lt;&gt;"&amp;J416)&gt;0,"CEK data SKU tidak konsisten",IF(Q416="zona tidak ada di layout","CEK zona_no / jenis_fixture",IF(D416&lt;&gt;Q416,"CEK jenis_zona",IF(S416&gt;IFERROR(INDEX(LAYOUT!$C$2:$C$33,MATCH(B416,LAYOUT!$A$2:$A$33,0)),0),"CEK lebar zona melebihi fixture","OK")))))</f>
        <v/>
      </c>
    </row>
    <row r="417">
      <c r="A417" s="15" t="n"/>
      <c r="B417" s="15" t="n"/>
      <c r="C417" s="16" t="n"/>
      <c r="D417" s="15" t="n"/>
      <c r="E417" s="16" t="n"/>
      <c r="F417" s="17" t="n"/>
      <c r="G417" s="15" t="n"/>
      <c r="H417" s="15" t="n"/>
      <c r="I417" s="16" t="n"/>
      <c r="J417" s="16" t="n"/>
      <c r="K417" s="16" t="n"/>
      <c r="L417" s="16" t="n"/>
      <c r="M417" s="16" t="n"/>
      <c r="N417" s="15" t="n"/>
      <c r="O417" s="16" t="n"/>
      <c r="P417" s="16" t="n"/>
      <c r="Q417" s="13">
        <f>IF(OR(B417="",C417=""),"",IFERROR(INDEX(LAYOUT!$E$2:$E$33,MATCH(B417&amp;"|"&amp;C417,LAYOUT!$F$2:$F$33,0)),"zona tidak ada di layout"))</f>
        <v/>
      </c>
      <c r="R417" s="14">
        <f>IF(F417="","",IF(OR(I417="",O417=""),0,I417*O417))</f>
        <v/>
      </c>
      <c r="S417" s="14">
        <f>IF(F417="","",SUMIFS($R$2:$R$500,$A$2:$A$500,A417,$C$2:$C$500,C417))</f>
        <v/>
      </c>
      <c r="T417" s="14">
        <f>IF(F417="","",IF(OR(G417="",I417="",J417=""),"CEK data SKU (nama/lebar/tinggi)",IF(COUNTIFS($F$2:$F$500,F417,$I$2:$I$500,"&lt;&gt;"&amp;I417)+COUNTIFS($F$2:$F$500,F417,$J$2:$J$500,"&lt;&gt;"&amp;J417)&gt;0,"CEK data SKU tidak konsisten",IF(Q417="zona tidak ada di layout","CEK zona_no / jenis_fixture",IF(D417&lt;&gt;Q417,"CEK jenis_zona",IF(S417&gt;IFERROR(INDEX(LAYOUT!$C$2:$C$33,MATCH(B417,LAYOUT!$A$2:$A$33,0)),0),"CEK lebar zona melebihi fixture","OK")))))</f>
        <v/>
      </c>
    </row>
    <row r="418">
      <c r="A418" s="15" t="n"/>
      <c r="B418" s="15" t="n"/>
      <c r="C418" s="16" t="n"/>
      <c r="D418" s="15" t="n"/>
      <c r="E418" s="16" t="n"/>
      <c r="F418" s="17" t="n"/>
      <c r="G418" s="15" t="n"/>
      <c r="H418" s="15" t="n"/>
      <c r="I418" s="16" t="n"/>
      <c r="J418" s="16" t="n"/>
      <c r="K418" s="16" t="n"/>
      <c r="L418" s="16" t="n"/>
      <c r="M418" s="16" t="n"/>
      <c r="N418" s="15" t="n"/>
      <c r="O418" s="16" t="n"/>
      <c r="P418" s="16" t="n"/>
      <c r="Q418" s="13">
        <f>IF(OR(B418="",C418=""),"",IFERROR(INDEX(LAYOUT!$E$2:$E$33,MATCH(B418&amp;"|"&amp;C418,LAYOUT!$F$2:$F$33,0)),"zona tidak ada di layout"))</f>
        <v/>
      </c>
      <c r="R418" s="14">
        <f>IF(F418="","",IF(OR(I418="",O418=""),0,I418*O418))</f>
        <v/>
      </c>
      <c r="S418" s="14">
        <f>IF(F418="","",SUMIFS($R$2:$R$500,$A$2:$A$500,A418,$C$2:$C$500,C418))</f>
        <v/>
      </c>
      <c r="T418" s="14">
        <f>IF(F418="","",IF(OR(G418="",I418="",J418=""),"CEK data SKU (nama/lebar/tinggi)",IF(COUNTIFS($F$2:$F$500,F418,$I$2:$I$500,"&lt;&gt;"&amp;I418)+COUNTIFS($F$2:$F$500,F418,$J$2:$J$500,"&lt;&gt;"&amp;J418)&gt;0,"CEK data SKU tidak konsisten",IF(Q418="zona tidak ada di layout","CEK zona_no / jenis_fixture",IF(D418&lt;&gt;Q418,"CEK jenis_zona",IF(S418&gt;IFERROR(INDEX(LAYOUT!$C$2:$C$33,MATCH(B418,LAYOUT!$A$2:$A$33,0)),0),"CEK lebar zona melebihi fixture","OK")))))</f>
        <v/>
      </c>
    </row>
    <row r="419">
      <c r="A419" s="15" t="n"/>
      <c r="B419" s="15" t="n"/>
      <c r="C419" s="16" t="n"/>
      <c r="D419" s="15" t="n"/>
      <c r="E419" s="16" t="n"/>
      <c r="F419" s="17" t="n"/>
      <c r="G419" s="15" t="n"/>
      <c r="H419" s="15" t="n"/>
      <c r="I419" s="16" t="n"/>
      <c r="J419" s="16" t="n"/>
      <c r="K419" s="16" t="n"/>
      <c r="L419" s="16" t="n"/>
      <c r="M419" s="16" t="n"/>
      <c r="N419" s="15" t="n"/>
      <c r="O419" s="16" t="n"/>
      <c r="P419" s="16" t="n"/>
      <c r="Q419" s="13">
        <f>IF(OR(B419="",C419=""),"",IFERROR(INDEX(LAYOUT!$E$2:$E$33,MATCH(B419&amp;"|"&amp;C419,LAYOUT!$F$2:$F$33,0)),"zona tidak ada di layout"))</f>
        <v/>
      </c>
      <c r="R419" s="14">
        <f>IF(F419="","",IF(OR(I419="",O419=""),0,I419*O419))</f>
        <v/>
      </c>
      <c r="S419" s="14">
        <f>IF(F419="","",SUMIFS($R$2:$R$500,$A$2:$A$500,A419,$C$2:$C$500,C419))</f>
        <v/>
      </c>
      <c r="T419" s="14">
        <f>IF(F419="","",IF(OR(G419="",I419="",J419=""),"CEK data SKU (nama/lebar/tinggi)",IF(COUNTIFS($F$2:$F$500,F419,$I$2:$I$500,"&lt;&gt;"&amp;I419)+COUNTIFS($F$2:$F$500,F419,$J$2:$J$500,"&lt;&gt;"&amp;J419)&gt;0,"CEK data SKU tidak konsisten",IF(Q419="zona tidak ada di layout","CEK zona_no / jenis_fixture",IF(D419&lt;&gt;Q419,"CEK jenis_zona",IF(S419&gt;IFERROR(INDEX(LAYOUT!$C$2:$C$33,MATCH(B419,LAYOUT!$A$2:$A$33,0)),0),"CEK lebar zona melebihi fixture","OK")))))</f>
        <v/>
      </c>
    </row>
    <row r="420">
      <c r="A420" s="15" t="n"/>
      <c r="B420" s="15" t="n"/>
      <c r="C420" s="16" t="n"/>
      <c r="D420" s="15" t="n"/>
      <c r="E420" s="16" t="n"/>
      <c r="F420" s="17" t="n"/>
      <c r="G420" s="15" t="n"/>
      <c r="H420" s="15" t="n"/>
      <c r="I420" s="16" t="n"/>
      <c r="J420" s="16" t="n"/>
      <c r="K420" s="16" t="n"/>
      <c r="L420" s="16" t="n"/>
      <c r="M420" s="16" t="n"/>
      <c r="N420" s="15" t="n"/>
      <c r="O420" s="16" t="n"/>
      <c r="P420" s="16" t="n"/>
      <c r="Q420" s="13">
        <f>IF(OR(B420="",C420=""),"",IFERROR(INDEX(LAYOUT!$E$2:$E$33,MATCH(B420&amp;"|"&amp;C420,LAYOUT!$F$2:$F$33,0)),"zona tidak ada di layout"))</f>
        <v/>
      </c>
      <c r="R420" s="14">
        <f>IF(F420="","",IF(OR(I420="",O420=""),0,I420*O420))</f>
        <v/>
      </c>
      <c r="S420" s="14">
        <f>IF(F420="","",SUMIFS($R$2:$R$500,$A$2:$A$500,A420,$C$2:$C$500,C420))</f>
        <v/>
      </c>
      <c r="T420" s="14">
        <f>IF(F420="","",IF(OR(G420="",I420="",J420=""),"CEK data SKU (nama/lebar/tinggi)",IF(COUNTIFS($F$2:$F$500,F420,$I$2:$I$500,"&lt;&gt;"&amp;I420)+COUNTIFS($F$2:$F$500,F420,$J$2:$J$500,"&lt;&gt;"&amp;J420)&gt;0,"CEK data SKU tidak konsisten",IF(Q420="zona tidak ada di layout","CEK zona_no / jenis_fixture",IF(D420&lt;&gt;Q420,"CEK jenis_zona",IF(S420&gt;IFERROR(INDEX(LAYOUT!$C$2:$C$33,MATCH(B420,LAYOUT!$A$2:$A$33,0)),0),"CEK lebar zona melebihi fixture","OK")))))</f>
        <v/>
      </c>
    </row>
    <row r="421">
      <c r="A421" s="15" t="n"/>
      <c r="B421" s="15" t="n"/>
      <c r="C421" s="16" t="n"/>
      <c r="D421" s="15" t="n"/>
      <c r="E421" s="16" t="n"/>
      <c r="F421" s="17" t="n"/>
      <c r="G421" s="15" t="n"/>
      <c r="H421" s="15" t="n"/>
      <c r="I421" s="16" t="n"/>
      <c r="J421" s="16" t="n"/>
      <c r="K421" s="16" t="n"/>
      <c r="L421" s="16" t="n"/>
      <c r="M421" s="16" t="n"/>
      <c r="N421" s="15" t="n"/>
      <c r="O421" s="16" t="n"/>
      <c r="P421" s="16" t="n"/>
      <c r="Q421" s="13">
        <f>IF(OR(B421="",C421=""),"",IFERROR(INDEX(LAYOUT!$E$2:$E$33,MATCH(B421&amp;"|"&amp;C421,LAYOUT!$F$2:$F$33,0)),"zona tidak ada di layout"))</f>
        <v/>
      </c>
      <c r="R421" s="14">
        <f>IF(F421="","",IF(OR(I421="",O421=""),0,I421*O421))</f>
        <v/>
      </c>
      <c r="S421" s="14">
        <f>IF(F421="","",SUMIFS($R$2:$R$500,$A$2:$A$500,A421,$C$2:$C$500,C421))</f>
        <v/>
      </c>
      <c r="T421" s="14">
        <f>IF(F421="","",IF(OR(G421="",I421="",J421=""),"CEK data SKU (nama/lebar/tinggi)",IF(COUNTIFS($F$2:$F$500,F421,$I$2:$I$500,"&lt;&gt;"&amp;I421)+COUNTIFS($F$2:$F$500,F421,$J$2:$J$500,"&lt;&gt;"&amp;J421)&gt;0,"CEK data SKU tidak konsisten",IF(Q421="zona tidak ada di layout","CEK zona_no / jenis_fixture",IF(D421&lt;&gt;Q421,"CEK jenis_zona",IF(S421&gt;IFERROR(INDEX(LAYOUT!$C$2:$C$33,MATCH(B421,LAYOUT!$A$2:$A$33,0)),0),"CEK lebar zona melebihi fixture","OK")))))</f>
        <v/>
      </c>
    </row>
    <row r="422">
      <c r="A422" s="15" t="n"/>
      <c r="B422" s="15" t="n"/>
      <c r="C422" s="16" t="n"/>
      <c r="D422" s="15" t="n"/>
      <c r="E422" s="16" t="n"/>
      <c r="F422" s="17" t="n"/>
      <c r="G422" s="15" t="n"/>
      <c r="H422" s="15" t="n"/>
      <c r="I422" s="16" t="n"/>
      <c r="J422" s="16" t="n"/>
      <c r="K422" s="16" t="n"/>
      <c r="L422" s="16" t="n"/>
      <c r="M422" s="16" t="n"/>
      <c r="N422" s="15" t="n"/>
      <c r="O422" s="16" t="n"/>
      <c r="P422" s="16" t="n"/>
      <c r="Q422" s="13">
        <f>IF(OR(B422="",C422=""),"",IFERROR(INDEX(LAYOUT!$E$2:$E$33,MATCH(B422&amp;"|"&amp;C422,LAYOUT!$F$2:$F$33,0)),"zona tidak ada di layout"))</f>
        <v/>
      </c>
      <c r="R422" s="14">
        <f>IF(F422="","",IF(OR(I422="",O422=""),0,I422*O422))</f>
        <v/>
      </c>
      <c r="S422" s="14">
        <f>IF(F422="","",SUMIFS($R$2:$R$500,$A$2:$A$500,A422,$C$2:$C$500,C422))</f>
        <v/>
      </c>
      <c r="T422" s="14">
        <f>IF(F422="","",IF(OR(G422="",I422="",J422=""),"CEK data SKU (nama/lebar/tinggi)",IF(COUNTIFS($F$2:$F$500,F422,$I$2:$I$500,"&lt;&gt;"&amp;I422)+COUNTIFS($F$2:$F$500,F422,$J$2:$J$500,"&lt;&gt;"&amp;J422)&gt;0,"CEK data SKU tidak konsisten",IF(Q422="zona tidak ada di layout","CEK zona_no / jenis_fixture",IF(D422&lt;&gt;Q422,"CEK jenis_zona",IF(S422&gt;IFERROR(INDEX(LAYOUT!$C$2:$C$33,MATCH(B422,LAYOUT!$A$2:$A$33,0)),0),"CEK lebar zona melebihi fixture","OK")))))</f>
        <v/>
      </c>
    </row>
    <row r="423">
      <c r="A423" s="15" t="n"/>
      <c r="B423" s="15" t="n"/>
      <c r="C423" s="16" t="n"/>
      <c r="D423" s="15" t="n"/>
      <c r="E423" s="16" t="n"/>
      <c r="F423" s="17" t="n"/>
      <c r="G423" s="15" t="n"/>
      <c r="H423" s="15" t="n"/>
      <c r="I423" s="16" t="n"/>
      <c r="J423" s="16" t="n"/>
      <c r="K423" s="16" t="n"/>
      <c r="L423" s="16" t="n"/>
      <c r="M423" s="16" t="n"/>
      <c r="N423" s="15" t="n"/>
      <c r="O423" s="16" t="n"/>
      <c r="P423" s="16" t="n"/>
      <c r="Q423" s="13">
        <f>IF(OR(B423="",C423=""),"",IFERROR(INDEX(LAYOUT!$E$2:$E$33,MATCH(B423&amp;"|"&amp;C423,LAYOUT!$F$2:$F$33,0)),"zona tidak ada di layout"))</f>
        <v/>
      </c>
      <c r="R423" s="14">
        <f>IF(F423="","",IF(OR(I423="",O423=""),0,I423*O423))</f>
        <v/>
      </c>
      <c r="S423" s="14">
        <f>IF(F423="","",SUMIFS($R$2:$R$500,$A$2:$A$500,A423,$C$2:$C$500,C423))</f>
        <v/>
      </c>
      <c r="T423" s="14">
        <f>IF(F423="","",IF(OR(G423="",I423="",J423=""),"CEK data SKU (nama/lebar/tinggi)",IF(COUNTIFS($F$2:$F$500,F423,$I$2:$I$500,"&lt;&gt;"&amp;I423)+COUNTIFS($F$2:$F$500,F423,$J$2:$J$500,"&lt;&gt;"&amp;J423)&gt;0,"CEK data SKU tidak konsisten",IF(Q423="zona tidak ada di layout","CEK zona_no / jenis_fixture",IF(D423&lt;&gt;Q423,"CEK jenis_zona",IF(S423&gt;IFERROR(INDEX(LAYOUT!$C$2:$C$33,MATCH(B423,LAYOUT!$A$2:$A$33,0)),0),"CEK lebar zona melebihi fixture","OK")))))</f>
        <v/>
      </c>
    </row>
    <row r="424">
      <c r="A424" s="15" t="n"/>
      <c r="B424" s="15" t="n"/>
      <c r="C424" s="16" t="n"/>
      <c r="D424" s="15" t="n"/>
      <c r="E424" s="16" t="n"/>
      <c r="F424" s="17" t="n"/>
      <c r="G424" s="15" t="n"/>
      <c r="H424" s="15" t="n"/>
      <c r="I424" s="16" t="n"/>
      <c r="J424" s="16" t="n"/>
      <c r="K424" s="16" t="n"/>
      <c r="L424" s="16" t="n"/>
      <c r="M424" s="16" t="n"/>
      <c r="N424" s="15" t="n"/>
      <c r="O424" s="16" t="n"/>
      <c r="P424" s="16" t="n"/>
      <c r="Q424" s="13">
        <f>IF(OR(B424="",C424=""),"",IFERROR(INDEX(LAYOUT!$E$2:$E$33,MATCH(B424&amp;"|"&amp;C424,LAYOUT!$F$2:$F$33,0)),"zona tidak ada di layout"))</f>
        <v/>
      </c>
      <c r="R424" s="14">
        <f>IF(F424="","",IF(OR(I424="",O424=""),0,I424*O424))</f>
        <v/>
      </c>
      <c r="S424" s="14">
        <f>IF(F424="","",SUMIFS($R$2:$R$500,$A$2:$A$500,A424,$C$2:$C$500,C424))</f>
        <v/>
      </c>
      <c r="T424" s="14">
        <f>IF(F424="","",IF(OR(G424="",I424="",J424=""),"CEK data SKU (nama/lebar/tinggi)",IF(COUNTIFS($F$2:$F$500,F424,$I$2:$I$500,"&lt;&gt;"&amp;I424)+COUNTIFS($F$2:$F$500,F424,$J$2:$J$500,"&lt;&gt;"&amp;J424)&gt;0,"CEK data SKU tidak konsisten",IF(Q424="zona tidak ada di layout","CEK zona_no / jenis_fixture",IF(D424&lt;&gt;Q424,"CEK jenis_zona",IF(S424&gt;IFERROR(INDEX(LAYOUT!$C$2:$C$33,MATCH(B424,LAYOUT!$A$2:$A$33,0)),0),"CEK lebar zona melebihi fixture","OK")))))</f>
        <v/>
      </c>
    </row>
    <row r="425">
      <c r="A425" s="15" t="n"/>
      <c r="B425" s="15" t="n"/>
      <c r="C425" s="16" t="n"/>
      <c r="D425" s="15" t="n"/>
      <c r="E425" s="16" t="n"/>
      <c r="F425" s="17" t="n"/>
      <c r="G425" s="15" t="n"/>
      <c r="H425" s="15" t="n"/>
      <c r="I425" s="16" t="n"/>
      <c r="J425" s="16" t="n"/>
      <c r="K425" s="16" t="n"/>
      <c r="L425" s="16" t="n"/>
      <c r="M425" s="16" t="n"/>
      <c r="N425" s="15" t="n"/>
      <c r="O425" s="16" t="n"/>
      <c r="P425" s="16" t="n"/>
      <c r="Q425" s="13">
        <f>IF(OR(B425="",C425=""),"",IFERROR(INDEX(LAYOUT!$E$2:$E$33,MATCH(B425&amp;"|"&amp;C425,LAYOUT!$F$2:$F$33,0)),"zona tidak ada di layout"))</f>
        <v/>
      </c>
      <c r="R425" s="14">
        <f>IF(F425="","",IF(OR(I425="",O425=""),0,I425*O425))</f>
        <v/>
      </c>
      <c r="S425" s="14">
        <f>IF(F425="","",SUMIFS($R$2:$R$500,$A$2:$A$500,A425,$C$2:$C$500,C425))</f>
        <v/>
      </c>
      <c r="T425" s="14">
        <f>IF(F425="","",IF(OR(G425="",I425="",J425=""),"CEK data SKU (nama/lebar/tinggi)",IF(COUNTIFS($F$2:$F$500,F425,$I$2:$I$500,"&lt;&gt;"&amp;I425)+COUNTIFS($F$2:$F$500,F425,$J$2:$J$500,"&lt;&gt;"&amp;J425)&gt;0,"CEK data SKU tidak konsisten",IF(Q425="zona tidak ada di layout","CEK zona_no / jenis_fixture",IF(D425&lt;&gt;Q425,"CEK jenis_zona",IF(S425&gt;IFERROR(INDEX(LAYOUT!$C$2:$C$33,MATCH(B425,LAYOUT!$A$2:$A$33,0)),0),"CEK lebar zona melebihi fixture","OK")))))</f>
        <v/>
      </c>
    </row>
    <row r="426">
      <c r="A426" s="15" t="n"/>
      <c r="B426" s="15" t="n"/>
      <c r="C426" s="16" t="n"/>
      <c r="D426" s="15" t="n"/>
      <c r="E426" s="16" t="n"/>
      <c r="F426" s="17" t="n"/>
      <c r="G426" s="15" t="n"/>
      <c r="H426" s="15" t="n"/>
      <c r="I426" s="16" t="n"/>
      <c r="J426" s="16" t="n"/>
      <c r="K426" s="16" t="n"/>
      <c r="L426" s="16" t="n"/>
      <c r="M426" s="16" t="n"/>
      <c r="N426" s="15" t="n"/>
      <c r="O426" s="16" t="n"/>
      <c r="P426" s="16" t="n"/>
      <c r="Q426" s="13">
        <f>IF(OR(B426="",C426=""),"",IFERROR(INDEX(LAYOUT!$E$2:$E$33,MATCH(B426&amp;"|"&amp;C426,LAYOUT!$F$2:$F$33,0)),"zona tidak ada di layout"))</f>
        <v/>
      </c>
      <c r="R426" s="14">
        <f>IF(F426="","",IF(OR(I426="",O426=""),0,I426*O426))</f>
        <v/>
      </c>
      <c r="S426" s="14">
        <f>IF(F426="","",SUMIFS($R$2:$R$500,$A$2:$A$500,A426,$C$2:$C$500,C426))</f>
        <v/>
      </c>
      <c r="T426" s="14">
        <f>IF(F426="","",IF(OR(G426="",I426="",J426=""),"CEK data SKU (nama/lebar/tinggi)",IF(COUNTIFS($F$2:$F$500,F426,$I$2:$I$500,"&lt;&gt;"&amp;I426)+COUNTIFS($F$2:$F$500,F426,$J$2:$J$500,"&lt;&gt;"&amp;J426)&gt;0,"CEK data SKU tidak konsisten",IF(Q426="zona tidak ada di layout","CEK zona_no / jenis_fixture",IF(D426&lt;&gt;Q426,"CEK jenis_zona",IF(S426&gt;IFERROR(INDEX(LAYOUT!$C$2:$C$33,MATCH(B426,LAYOUT!$A$2:$A$33,0)),0),"CEK lebar zona melebihi fixture","OK")))))</f>
        <v/>
      </c>
    </row>
    <row r="427">
      <c r="A427" s="15" t="n"/>
      <c r="B427" s="15" t="n"/>
      <c r="C427" s="16" t="n"/>
      <c r="D427" s="15" t="n"/>
      <c r="E427" s="16" t="n"/>
      <c r="F427" s="17" t="n"/>
      <c r="G427" s="15" t="n"/>
      <c r="H427" s="15" t="n"/>
      <c r="I427" s="16" t="n"/>
      <c r="J427" s="16" t="n"/>
      <c r="K427" s="16" t="n"/>
      <c r="L427" s="16" t="n"/>
      <c r="M427" s="16" t="n"/>
      <c r="N427" s="15" t="n"/>
      <c r="O427" s="16" t="n"/>
      <c r="P427" s="16" t="n"/>
      <c r="Q427" s="13">
        <f>IF(OR(B427="",C427=""),"",IFERROR(INDEX(LAYOUT!$E$2:$E$33,MATCH(B427&amp;"|"&amp;C427,LAYOUT!$F$2:$F$33,0)),"zona tidak ada di layout"))</f>
        <v/>
      </c>
      <c r="R427" s="14">
        <f>IF(F427="","",IF(OR(I427="",O427=""),0,I427*O427))</f>
        <v/>
      </c>
      <c r="S427" s="14">
        <f>IF(F427="","",SUMIFS($R$2:$R$500,$A$2:$A$500,A427,$C$2:$C$500,C427))</f>
        <v/>
      </c>
      <c r="T427" s="14">
        <f>IF(F427="","",IF(OR(G427="",I427="",J427=""),"CEK data SKU (nama/lebar/tinggi)",IF(COUNTIFS($F$2:$F$500,F427,$I$2:$I$500,"&lt;&gt;"&amp;I427)+COUNTIFS($F$2:$F$500,F427,$J$2:$J$500,"&lt;&gt;"&amp;J427)&gt;0,"CEK data SKU tidak konsisten",IF(Q427="zona tidak ada di layout","CEK zona_no / jenis_fixture",IF(D427&lt;&gt;Q427,"CEK jenis_zona",IF(S427&gt;IFERROR(INDEX(LAYOUT!$C$2:$C$33,MATCH(B427,LAYOUT!$A$2:$A$33,0)),0),"CEK lebar zona melebihi fixture","OK")))))</f>
        <v/>
      </c>
    </row>
    <row r="428">
      <c r="A428" s="15" t="n"/>
      <c r="B428" s="15" t="n"/>
      <c r="C428" s="16" t="n"/>
      <c r="D428" s="15" t="n"/>
      <c r="E428" s="16" t="n"/>
      <c r="F428" s="17" t="n"/>
      <c r="G428" s="15" t="n"/>
      <c r="H428" s="15" t="n"/>
      <c r="I428" s="16" t="n"/>
      <c r="J428" s="16" t="n"/>
      <c r="K428" s="16" t="n"/>
      <c r="L428" s="16" t="n"/>
      <c r="M428" s="16" t="n"/>
      <c r="N428" s="15" t="n"/>
      <c r="O428" s="16" t="n"/>
      <c r="P428" s="16" t="n"/>
      <c r="Q428" s="13">
        <f>IF(OR(B428="",C428=""),"",IFERROR(INDEX(LAYOUT!$E$2:$E$33,MATCH(B428&amp;"|"&amp;C428,LAYOUT!$F$2:$F$33,0)),"zona tidak ada di layout"))</f>
        <v/>
      </c>
      <c r="R428" s="14">
        <f>IF(F428="","",IF(OR(I428="",O428=""),0,I428*O428))</f>
        <v/>
      </c>
      <c r="S428" s="14">
        <f>IF(F428="","",SUMIFS($R$2:$R$500,$A$2:$A$500,A428,$C$2:$C$500,C428))</f>
        <v/>
      </c>
      <c r="T428" s="14">
        <f>IF(F428="","",IF(OR(G428="",I428="",J428=""),"CEK data SKU (nama/lebar/tinggi)",IF(COUNTIFS($F$2:$F$500,F428,$I$2:$I$500,"&lt;&gt;"&amp;I428)+COUNTIFS($F$2:$F$500,F428,$J$2:$J$500,"&lt;&gt;"&amp;J428)&gt;0,"CEK data SKU tidak konsisten",IF(Q428="zona tidak ada di layout","CEK zona_no / jenis_fixture",IF(D428&lt;&gt;Q428,"CEK jenis_zona",IF(S428&gt;IFERROR(INDEX(LAYOUT!$C$2:$C$33,MATCH(B428,LAYOUT!$A$2:$A$33,0)),0),"CEK lebar zona melebihi fixture","OK")))))</f>
        <v/>
      </c>
    </row>
    <row r="429">
      <c r="A429" s="15" t="n"/>
      <c r="B429" s="15" t="n"/>
      <c r="C429" s="16" t="n"/>
      <c r="D429" s="15" t="n"/>
      <c r="E429" s="16" t="n"/>
      <c r="F429" s="17" t="n"/>
      <c r="G429" s="15" t="n"/>
      <c r="H429" s="15" t="n"/>
      <c r="I429" s="16" t="n"/>
      <c r="J429" s="16" t="n"/>
      <c r="K429" s="16" t="n"/>
      <c r="L429" s="16" t="n"/>
      <c r="M429" s="16" t="n"/>
      <c r="N429" s="15" t="n"/>
      <c r="O429" s="16" t="n"/>
      <c r="P429" s="16" t="n"/>
      <c r="Q429" s="13">
        <f>IF(OR(B429="",C429=""),"",IFERROR(INDEX(LAYOUT!$E$2:$E$33,MATCH(B429&amp;"|"&amp;C429,LAYOUT!$F$2:$F$33,0)),"zona tidak ada di layout"))</f>
        <v/>
      </c>
      <c r="R429" s="14">
        <f>IF(F429="","",IF(OR(I429="",O429=""),0,I429*O429))</f>
        <v/>
      </c>
      <c r="S429" s="14">
        <f>IF(F429="","",SUMIFS($R$2:$R$500,$A$2:$A$500,A429,$C$2:$C$500,C429))</f>
        <v/>
      </c>
      <c r="T429" s="14">
        <f>IF(F429="","",IF(OR(G429="",I429="",J429=""),"CEK data SKU (nama/lebar/tinggi)",IF(COUNTIFS($F$2:$F$500,F429,$I$2:$I$500,"&lt;&gt;"&amp;I429)+COUNTIFS($F$2:$F$500,F429,$J$2:$J$500,"&lt;&gt;"&amp;J429)&gt;0,"CEK data SKU tidak konsisten",IF(Q429="zona tidak ada di layout","CEK zona_no / jenis_fixture",IF(D429&lt;&gt;Q429,"CEK jenis_zona",IF(S429&gt;IFERROR(INDEX(LAYOUT!$C$2:$C$33,MATCH(B429,LAYOUT!$A$2:$A$33,0)),0),"CEK lebar zona melebihi fixture","OK")))))</f>
        <v/>
      </c>
    </row>
    <row r="430">
      <c r="A430" s="15" t="n"/>
      <c r="B430" s="15" t="n"/>
      <c r="C430" s="16" t="n"/>
      <c r="D430" s="15" t="n"/>
      <c r="E430" s="16" t="n"/>
      <c r="F430" s="17" t="n"/>
      <c r="G430" s="15" t="n"/>
      <c r="H430" s="15" t="n"/>
      <c r="I430" s="16" t="n"/>
      <c r="J430" s="16" t="n"/>
      <c r="K430" s="16" t="n"/>
      <c r="L430" s="16" t="n"/>
      <c r="M430" s="16" t="n"/>
      <c r="N430" s="15" t="n"/>
      <c r="O430" s="16" t="n"/>
      <c r="P430" s="16" t="n"/>
      <c r="Q430" s="13">
        <f>IF(OR(B430="",C430=""),"",IFERROR(INDEX(LAYOUT!$E$2:$E$33,MATCH(B430&amp;"|"&amp;C430,LAYOUT!$F$2:$F$33,0)),"zona tidak ada di layout"))</f>
        <v/>
      </c>
      <c r="R430" s="14">
        <f>IF(F430="","",IF(OR(I430="",O430=""),0,I430*O430))</f>
        <v/>
      </c>
      <c r="S430" s="14">
        <f>IF(F430="","",SUMIFS($R$2:$R$500,$A$2:$A$500,A430,$C$2:$C$500,C430))</f>
        <v/>
      </c>
      <c r="T430" s="14">
        <f>IF(F430="","",IF(OR(G430="",I430="",J430=""),"CEK data SKU (nama/lebar/tinggi)",IF(COUNTIFS($F$2:$F$500,F430,$I$2:$I$500,"&lt;&gt;"&amp;I430)+COUNTIFS($F$2:$F$500,F430,$J$2:$J$500,"&lt;&gt;"&amp;J430)&gt;0,"CEK data SKU tidak konsisten",IF(Q430="zona tidak ada di layout","CEK zona_no / jenis_fixture",IF(D430&lt;&gt;Q430,"CEK jenis_zona",IF(S430&gt;IFERROR(INDEX(LAYOUT!$C$2:$C$33,MATCH(B430,LAYOUT!$A$2:$A$33,0)),0),"CEK lebar zona melebihi fixture","OK")))))</f>
        <v/>
      </c>
    </row>
    <row r="431">
      <c r="A431" s="15" t="n"/>
      <c r="B431" s="15" t="n"/>
      <c r="C431" s="16" t="n"/>
      <c r="D431" s="15" t="n"/>
      <c r="E431" s="16" t="n"/>
      <c r="F431" s="17" t="n"/>
      <c r="G431" s="15" t="n"/>
      <c r="H431" s="15" t="n"/>
      <c r="I431" s="16" t="n"/>
      <c r="J431" s="16" t="n"/>
      <c r="K431" s="16" t="n"/>
      <c r="L431" s="16" t="n"/>
      <c r="M431" s="16" t="n"/>
      <c r="N431" s="15" t="n"/>
      <c r="O431" s="16" t="n"/>
      <c r="P431" s="16" t="n"/>
      <c r="Q431" s="13">
        <f>IF(OR(B431="",C431=""),"",IFERROR(INDEX(LAYOUT!$E$2:$E$33,MATCH(B431&amp;"|"&amp;C431,LAYOUT!$F$2:$F$33,0)),"zona tidak ada di layout"))</f>
        <v/>
      </c>
      <c r="R431" s="14">
        <f>IF(F431="","",IF(OR(I431="",O431=""),0,I431*O431))</f>
        <v/>
      </c>
      <c r="S431" s="14">
        <f>IF(F431="","",SUMIFS($R$2:$R$500,$A$2:$A$500,A431,$C$2:$C$500,C431))</f>
        <v/>
      </c>
      <c r="T431" s="14">
        <f>IF(F431="","",IF(OR(G431="",I431="",J431=""),"CEK data SKU (nama/lebar/tinggi)",IF(COUNTIFS($F$2:$F$500,F431,$I$2:$I$500,"&lt;&gt;"&amp;I431)+COUNTIFS($F$2:$F$500,F431,$J$2:$J$500,"&lt;&gt;"&amp;J431)&gt;0,"CEK data SKU tidak konsisten",IF(Q431="zona tidak ada di layout","CEK zona_no / jenis_fixture",IF(D431&lt;&gt;Q431,"CEK jenis_zona",IF(S431&gt;IFERROR(INDEX(LAYOUT!$C$2:$C$33,MATCH(B431,LAYOUT!$A$2:$A$33,0)),0),"CEK lebar zona melebihi fixture","OK")))))</f>
        <v/>
      </c>
    </row>
    <row r="432">
      <c r="A432" s="15" t="n"/>
      <c r="B432" s="15" t="n"/>
      <c r="C432" s="16" t="n"/>
      <c r="D432" s="15" t="n"/>
      <c r="E432" s="16" t="n"/>
      <c r="F432" s="17" t="n"/>
      <c r="G432" s="15" t="n"/>
      <c r="H432" s="15" t="n"/>
      <c r="I432" s="16" t="n"/>
      <c r="J432" s="16" t="n"/>
      <c r="K432" s="16" t="n"/>
      <c r="L432" s="16" t="n"/>
      <c r="M432" s="16" t="n"/>
      <c r="N432" s="15" t="n"/>
      <c r="O432" s="16" t="n"/>
      <c r="P432" s="16" t="n"/>
      <c r="Q432" s="13">
        <f>IF(OR(B432="",C432=""),"",IFERROR(INDEX(LAYOUT!$E$2:$E$33,MATCH(B432&amp;"|"&amp;C432,LAYOUT!$F$2:$F$33,0)),"zona tidak ada di layout"))</f>
        <v/>
      </c>
      <c r="R432" s="14">
        <f>IF(F432="","",IF(OR(I432="",O432=""),0,I432*O432))</f>
        <v/>
      </c>
      <c r="S432" s="14">
        <f>IF(F432="","",SUMIFS($R$2:$R$500,$A$2:$A$500,A432,$C$2:$C$500,C432))</f>
        <v/>
      </c>
      <c r="T432" s="14">
        <f>IF(F432="","",IF(OR(G432="",I432="",J432=""),"CEK data SKU (nama/lebar/tinggi)",IF(COUNTIFS($F$2:$F$500,F432,$I$2:$I$500,"&lt;&gt;"&amp;I432)+COUNTIFS($F$2:$F$500,F432,$J$2:$J$500,"&lt;&gt;"&amp;J432)&gt;0,"CEK data SKU tidak konsisten",IF(Q432="zona tidak ada di layout","CEK zona_no / jenis_fixture",IF(D432&lt;&gt;Q432,"CEK jenis_zona",IF(S432&gt;IFERROR(INDEX(LAYOUT!$C$2:$C$33,MATCH(B432,LAYOUT!$A$2:$A$33,0)),0),"CEK lebar zona melebihi fixture","OK")))))</f>
        <v/>
      </c>
    </row>
    <row r="433">
      <c r="A433" s="15" t="n"/>
      <c r="B433" s="15" t="n"/>
      <c r="C433" s="16" t="n"/>
      <c r="D433" s="15" t="n"/>
      <c r="E433" s="16" t="n"/>
      <c r="F433" s="17" t="n"/>
      <c r="G433" s="15" t="n"/>
      <c r="H433" s="15" t="n"/>
      <c r="I433" s="16" t="n"/>
      <c r="J433" s="16" t="n"/>
      <c r="K433" s="16" t="n"/>
      <c r="L433" s="16" t="n"/>
      <c r="M433" s="16" t="n"/>
      <c r="N433" s="15" t="n"/>
      <c r="O433" s="16" t="n"/>
      <c r="P433" s="16" t="n"/>
      <c r="Q433" s="13">
        <f>IF(OR(B433="",C433=""),"",IFERROR(INDEX(LAYOUT!$E$2:$E$33,MATCH(B433&amp;"|"&amp;C433,LAYOUT!$F$2:$F$33,0)),"zona tidak ada di layout"))</f>
        <v/>
      </c>
      <c r="R433" s="14">
        <f>IF(F433="","",IF(OR(I433="",O433=""),0,I433*O433))</f>
        <v/>
      </c>
      <c r="S433" s="14">
        <f>IF(F433="","",SUMIFS($R$2:$R$500,$A$2:$A$500,A433,$C$2:$C$500,C433))</f>
        <v/>
      </c>
      <c r="T433" s="14">
        <f>IF(F433="","",IF(OR(G433="",I433="",J433=""),"CEK data SKU (nama/lebar/tinggi)",IF(COUNTIFS($F$2:$F$500,F433,$I$2:$I$500,"&lt;&gt;"&amp;I433)+COUNTIFS($F$2:$F$500,F433,$J$2:$J$500,"&lt;&gt;"&amp;J433)&gt;0,"CEK data SKU tidak konsisten",IF(Q433="zona tidak ada di layout","CEK zona_no / jenis_fixture",IF(D433&lt;&gt;Q433,"CEK jenis_zona",IF(S433&gt;IFERROR(INDEX(LAYOUT!$C$2:$C$33,MATCH(B433,LAYOUT!$A$2:$A$33,0)),0),"CEK lebar zona melebihi fixture","OK")))))</f>
        <v/>
      </c>
    </row>
    <row r="434">
      <c r="A434" s="15" t="n"/>
      <c r="B434" s="15" t="n"/>
      <c r="C434" s="16" t="n"/>
      <c r="D434" s="15" t="n"/>
      <c r="E434" s="16" t="n"/>
      <c r="F434" s="17" t="n"/>
      <c r="G434" s="15" t="n"/>
      <c r="H434" s="15" t="n"/>
      <c r="I434" s="16" t="n"/>
      <c r="J434" s="16" t="n"/>
      <c r="K434" s="16" t="n"/>
      <c r="L434" s="16" t="n"/>
      <c r="M434" s="16" t="n"/>
      <c r="N434" s="15" t="n"/>
      <c r="O434" s="16" t="n"/>
      <c r="P434" s="16" t="n"/>
      <c r="Q434" s="13">
        <f>IF(OR(B434="",C434=""),"",IFERROR(INDEX(LAYOUT!$E$2:$E$33,MATCH(B434&amp;"|"&amp;C434,LAYOUT!$F$2:$F$33,0)),"zona tidak ada di layout"))</f>
        <v/>
      </c>
      <c r="R434" s="14">
        <f>IF(F434="","",IF(OR(I434="",O434=""),0,I434*O434))</f>
        <v/>
      </c>
      <c r="S434" s="14">
        <f>IF(F434="","",SUMIFS($R$2:$R$500,$A$2:$A$500,A434,$C$2:$C$500,C434))</f>
        <v/>
      </c>
      <c r="T434" s="14">
        <f>IF(F434="","",IF(OR(G434="",I434="",J434=""),"CEK data SKU (nama/lebar/tinggi)",IF(COUNTIFS($F$2:$F$500,F434,$I$2:$I$500,"&lt;&gt;"&amp;I434)+COUNTIFS($F$2:$F$500,F434,$J$2:$J$500,"&lt;&gt;"&amp;J434)&gt;0,"CEK data SKU tidak konsisten",IF(Q434="zona tidak ada di layout","CEK zona_no / jenis_fixture",IF(D434&lt;&gt;Q434,"CEK jenis_zona",IF(S434&gt;IFERROR(INDEX(LAYOUT!$C$2:$C$33,MATCH(B434,LAYOUT!$A$2:$A$33,0)),0),"CEK lebar zona melebihi fixture","OK")))))</f>
        <v/>
      </c>
    </row>
    <row r="435">
      <c r="A435" s="15" t="n"/>
      <c r="B435" s="15" t="n"/>
      <c r="C435" s="16" t="n"/>
      <c r="D435" s="15" t="n"/>
      <c r="E435" s="16" t="n"/>
      <c r="F435" s="17" t="n"/>
      <c r="G435" s="15" t="n"/>
      <c r="H435" s="15" t="n"/>
      <c r="I435" s="16" t="n"/>
      <c r="J435" s="16" t="n"/>
      <c r="K435" s="16" t="n"/>
      <c r="L435" s="16" t="n"/>
      <c r="M435" s="16" t="n"/>
      <c r="N435" s="15" t="n"/>
      <c r="O435" s="16" t="n"/>
      <c r="P435" s="16" t="n"/>
      <c r="Q435" s="13">
        <f>IF(OR(B435="",C435=""),"",IFERROR(INDEX(LAYOUT!$E$2:$E$33,MATCH(B435&amp;"|"&amp;C435,LAYOUT!$F$2:$F$33,0)),"zona tidak ada di layout"))</f>
        <v/>
      </c>
      <c r="R435" s="14">
        <f>IF(F435="","",IF(OR(I435="",O435=""),0,I435*O435))</f>
        <v/>
      </c>
      <c r="S435" s="14">
        <f>IF(F435="","",SUMIFS($R$2:$R$500,$A$2:$A$500,A435,$C$2:$C$500,C435))</f>
        <v/>
      </c>
      <c r="T435" s="14">
        <f>IF(F435="","",IF(OR(G435="",I435="",J435=""),"CEK data SKU (nama/lebar/tinggi)",IF(COUNTIFS($F$2:$F$500,F435,$I$2:$I$500,"&lt;&gt;"&amp;I435)+COUNTIFS($F$2:$F$500,F435,$J$2:$J$500,"&lt;&gt;"&amp;J435)&gt;0,"CEK data SKU tidak konsisten",IF(Q435="zona tidak ada di layout","CEK zona_no / jenis_fixture",IF(D435&lt;&gt;Q435,"CEK jenis_zona",IF(S435&gt;IFERROR(INDEX(LAYOUT!$C$2:$C$33,MATCH(B435,LAYOUT!$A$2:$A$33,0)),0),"CEK lebar zona melebihi fixture","OK")))))</f>
        <v/>
      </c>
    </row>
    <row r="436">
      <c r="A436" s="15" t="n"/>
      <c r="B436" s="15" t="n"/>
      <c r="C436" s="16" t="n"/>
      <c r="D436" s="15" t="n"/>
      <c r="E436" s="16" t="n"/>
      <c r="F436" s="17" t="n"/>
      <c r="G436" s="15" t="n"/>
      <c r="H436" s="15" t="n"/>
      <c r="I436" s="16" t="n"/>
      <c r="J436" s="16" t="n"/>
      <c r="K436" s="16" t="n"/>
      <c r="L436" s="16" t="n"/>
      <c r="M436" s="16" t="n"/>
      <c r="N436" s="15" t="n"/>
      <c r="O436" s="16" t="n"/>
      <c r="P436" s="16" t="n"/>
      <c r="Q436" s="13">
        <f>IF(OR(B436="",C436=""),"",IFERROR(INDEX(LAYOUT!$E$2:$E$33,MATCH(B436&amp;"|"&amp;C436,LAYOUT!$F$2:$F$33,0)),"zona tidak ada di layout"))</f>
        <v/>
      </c>
      <c r="R436" s="14">
        <f>IF(F436="","",IF(OR(I436="",O436=""),0,I436*O436))</f>
        <v/>
      </c>
      <c r="S436" s="14">
        <f>IF(F436="","",SUMIFS($R$2:$R$500,$A$2:$A$500,A436,$C$2:$C$500,C436))</f>
        <v/>
      </c>
      <c r="T436" s="14">
        <f>IF(F436="","",IF(OR(G436="",I436="",J436=""),"CEK data SKU (nama/lebar/tinggi)",IF(COUNTIFS($F$2:$F$500,F436,$I$2:$I$500,"&lt;&gt;"&amp;I436)+COUNTIFS($F$2:$F$500,F436,$J$2:$J$500,"&lt;&gt;"&amp;J436)&gt;0,"CEK data SKU tidak konsisten",IF(Q436="zona tidak ada di layout","CEK zona_no / jenis_fixture",IF(D436&lt;&gt;Q436,"CEK jenis_zona",IF(S436&gt;IFERROR(INDEX(LAYOUT!$C$2:$C$33,MATCH(B436,LAYOUT!$A$2:$A$33,0)),0),"CEK lebar zona melebihi fixture","OK")))))</f>
        <v/>
      </c>
    </row>
    <row r="437">
      <c r="A437" s="15" t="n"/>
      <c r="B437" s="15" t="n"/>
      <c r="C437" s="16" t="n"/>
      <c r="D437" s="15" t="n"/>
      <c r="E437" s="16" t="n"/>
      <c r="F437" s="17" t="n"/>
      <c r="G437" s="15" t="n"/>
      <c r="H437" s="15" t="n"/>
      <c r="I437" s="16" t="n"/>
      <c r="J437" s="16" t="n"/>
      <c r="K437" s="16" t="n"/>
      <c r="L437" s="16" t="n"/>
      <c r="M437" s="16" t="n"/>
      <c r="N437" s="15" t="n"/>
      <c r="O437" s="16" t="n"/>
      <c r="P437" s="16" t="n"/>
      <c r="Q437" s="13">
        <f>IF(OR(B437="",C437=""),"",IFERROR(INDEX(LAYOUT!$E$2:$E$33,MATCH(B437&amp;"|"&amp;C437,LAYOUT!$F$2:$F$33,0)),"zona tidak ada di layout"))</f>
        <v/>
      </c>
      <c r="R437" s="14">
        <f>IF(F437="","",IF(OR(I437="",O437=""),0,I437*O437))</f>
        <v/>
      </c>
      <c r="S437" s="14">
        <f>IF(F437="","",SUMIFS($R$2:$R$500,$A$2:$A$500,A437,$C$2:$C$500,C437))</f>
        <v/>
      </c>
      <c r="T437" s="14">
        <f>IF(F437="","",IF(OR(G437="",I437="",J437=""),"CEK data SKU (nama/lebar/tinggi)",IF(COUNTIFS($F$2:$F$500,F437,$I$2:$I$500,"&lt;&gt;"&amp;I437)+COUNTIFS($F$2:$F$500,F437,$J$2:$J$500,"&lt;&gt;"&amp;J437)&gt;0,"CEK data SKU tidak konsisten",IF(Q437="zona tidak ada di layout","CEK zona_no / jenis_fixture",IF(D437&lt;&gt;Q437,"CEK jenis_zona",IF(S437&gt;IFERROR(INDEX(LAYOUT!$C$2:$C$33,MATCH(B437,LAYOUT!$A$2:$A$33,0)),0),"CEK lebar zona melebihi fixture","OK")))))</f>
        <v/>
      </c>
    </row>
    <row r="438">
      <c r="A438" s="15" t="n"/>
      <c r="B438" s="15" t="n"/>
      <c r="C438" s="16" t="n"/>
      <c r="D438" s="15" t="n"/>
      <c r="E438" s="16" t="n"/>
      <c r="F438" s="17" t="n"/>
      <c r="G438" s="15" t="n"/>
      <c r="H438" s="15" t="n"/>
      <c r="I438" s="16" t="n"/>
      <c r="J438" s="16" t="n"/>
      <c r="K438" s="16" t="n"/>
      <c r="L438" s="16" t="n"/>
      <c r="M438" s="16" t="n"/>
      <c r="N438" s="15" t="n"/>
      <c r="O438" s="16" t="n"/>
      <c r="P438" s="16" t="n"/>
      <c r="Q438" s="13">
        <f>IF(OR(B438="",C438=""),"",IFERROR(INDEX(LAYOUT!$E$2:$E$33,MATCH(B438&amp;"|"&amp;C438,LAYOUT!$F$2:$F$33,0)),"zona tidak ada di layout"))</f>
        <v/>
      </c>
      <c r="R438" s="14">
        <f>IF(F438="","",IF(OR(I438="",O438=""),0,I438*O438))</f>
        <v/>
      </c>
      <c r="S438" s="14">
        <f>IF(F438="","",SUMIFS($R$2:$R$500,$A$2:$A$500,A438,$C$2:$C$500,C438))</f>
        <v/>
      </c>
      <c r="T438" s="14">
        <f>IF(F438="","",IF(OR(G438="",I438="",J438=""),"CEK data SKU (nama/lebar/tinggi)",IF(COUNTIFS($F$2:$F$500,F438,$I$2:$I$500,"&lt;&gt;"&amp;I438)+COUNTIFS($F$2:$F$500,F438,$J$2:$J$500,"&lt;&gt;"&amp;J438)&gt;0,"CEK data SKU tidak konsisten",IF(Q438="zona tidak ada di layout","CEK zona_no / jenis_fixture",IF(D438&lt;&gt;Q438,"CEK jenis_zona",IF(S438&gt;IFERROR(INDEX(LAYOUT!$C$2:$C$33,MATCH(B438,LAYOUT!$A$2:$A$33,0)),0),"CEK lebar zona melebihi fixture","OK")))))</f>
        <v/>
      </c>
    </row>
    <row r="439">
      <c r="A439" s="15" t="n"/>
      <c r="B439" s="15" t="n"/>
      <c r="C439" s="16" t="n"/>
      <c r="D439" s="15" t="n"/>
      <c r="E439" s="16" t="n"/>
      <c r="F439" s="17" t="n"/>
      <c r="G439" s="15" t="n"/>
      <c r="H439" s="15" t="n"/>
      <c r="I439" s="16" t="n"/>
      <c r="J439" s="16" t="n"/>
      <c r="K439" s="16" t="n"/>
      <c r="L439" s="16" t="n"/>
      <c r="M439" s="16" t="n"/>
      <c r="N439" s="15" t="n"/>
      <c r="O439" s="16" t="n"/>
      <c r="P439" s="16" t="n"/>
      <c r="Q439" s="13">
        <f>IF(OR(B439="",C439=""),"",IFERROR(INDEX(LAYOUT!$E$2:$E$33,MATCH(B439&amp;"|"&amp;C439,LAYOUT!$F$2:$F$33,0)),"zona tidak ada di layout"))</f>
        <v/>
      </c>
      <c r="R439" s="14">
        <f>IF(F439="","",IF(OR(I439="",O439=""),0,I439*O439))</f>
        <v/>
      </c>
      <c r="S439" s="14">
        <f>IF(F439="","",SUMIFS($R$2:$R$500,$A$2:$A$500,A439,$C$2:$C$500,C439))</f>
        <v/>
      </c>
      <c r="T439" s="14">
        <f>IF(F439="","",IF(OR(G439="",I439="",J439=""),"CEK data SKU (nama/lebar/tinggi)",IF(COUNTIFS($F$2:$F$500,F439,$I$2:$I$500,"&lt;&gt;"&amp;I439)+COUNTIFS($F$2:$F$500,F439,$J$2:$J$500,"&lt;&gt;"&amp;J439)&gt;0,"CEK data SKU tidak konsisten",IF(Q439="zona tidak ada di layout","CEK zona_no / jenis_fixture",IF(D439&lt;&gt;Q439,"CEK jenis_zona",IF(S439&gt;IFERROR(INDEX(LAYOUT!$C$2:$C$33,MATCH(B439,LAYOUT!$A$2:$A$33,0)),0),"CEK lebar zona melebihi fixture","OK")))))</f>
        <v/>
      </c>
    </row>
    <row r="440">
      <c r="A440" s="15" t="n"/>
      <c r="B440" s="15" t="n"/>
      <c r="C440" s="16" t="n"/>
      <c r="D440" s="15" t="n"/>
      <c r="E440" s="16" t="n"/>
      <c r="F440" s="17" t="n"/>
      <c r="G440" s="15" t="n"/>
      <c r="H440" s="15" t="n"/>
      <c r="I440" s="16" t="n"/>
      <c r="J440" s="16" t="n"/>
      <c r="K440" s="16" t="n"/>
      <c r="L440" s="16" t="n"/>
      <c r="M440" s="16" t="n"/>
      <c r="N440" s="15" t="n"/>
      <c r="O440" s="16" t="n"/>
      <c r="P440" s="16" t="n"/>
      <c r="Q440" s="13">
        <f>IF(OR(B440="",C440=""),"",IFERROR(INDEX(LAYOUT!$E$2:$E$33,MATCH(B440&amp;"|"&amp;C440,LAYOUT!$F$2:$F$33,0)),"zona tidak ada di layout"))</f>
        <v/>
      </c>
      <c r="R440" s="14">
        <f>IF(F440="","",IF(OR(I440="",O440=""),0,I440*O440))</f>
        <v/>
      </c>
      <c r="S440" s="14">
        <f>IF(F440="","",SUMIFS($R$2:$R$500,$A$2:$A$500,A440,$C$2:$C$500,C440))</f>
        <v/>
      </c>
      <c r="T440" s="14">
        <f>IF(F440="","",IF(OR(G440="",I440="",J440=""),"CEK data SKU (nama/lebar/tinggi)",IF(COUNTIFS($F$2:$F$500,F440,$I$2:$I$500,"&lt;&gt;"&amp;I440)+COUNTIFS($F$2:$F$500,F440,$J$2:$J$500,"&lt;&gt;"&amp;J440)&gt;0,"CEK data SKU tidak konsisten",IF(Q440="zona tidak ada di layout","CEK zona_no / jenis_fixture",IF(D440&lt;&gt;Q440,"CEK jenis_zona",IF(S440&gt;IFERROR(INDEX(LAYOUT!$C$2:$C$33,MATCH(B440,LAYOUT!$A$2:$A$33,0)),0),"CEK lebar zona melebihi fixture","OK")))))</f>
        <v/>
      </c>
    </row>
    <row r="441">
      <c r="A441" s="15" t="n"/>
      <c r="B441" s="15" t="n"/>
      <c r="C441" s="16" t="n"/>
      <c r="D441" s="15" t="n"/>
      <c r="E441" s="16" t="n"/>
      <c r="F441" s="17" t="n"/>
      <c r="G441" s="15" t="n"/>
      <c r="H441" s="15" t="n"/>
      <c r="I441" s="16" t="n"/>
      <c r="J441" s="16" t="n"/>
      <c r="K441" s="16" t="n"/>
      <c r="L441" s="16" t="n"/>
      <c r="M441" s="16" t="n"/>
      <c r="N441" s="15" t="n"/>
      <c r="O441" s="16" t="n"/>
      <c r="P441" s="16" t="n"/>
      <c r="Q441" s="13">
        <f>IF(OR(B441="",C441=""),"",IFERROR(INDEX(LAYOUT!$E$2:$E$33,MATCH(B441&amp;"|"&amp;C441,LAYOUT!$F$2:$F$33,0)),"zona tidak ada di layout"))</f>
        <v/>
      </c>
      <c r="R441" s="14">
        <f>IF(F441="","",IF(OR(I441="",O441=""),0,I441*O441))</f>
        <v/>
      </c>
      <c r="S441" s="14">
        <f>IF(F441="","",SUMIFS($R$2:$R$500,$A$2:$A$500,A441,$C$2:$C$500,C441))</f>
        <v/>
      </c>
      <c r="T441" s="14">
        <f>IF(F441="","",IF(OR(G441="",I441="",J441=""),"CEK data SKU (nama/lebar/tinggi)",IF(COUNTIFS($F$2:$F$500,F441,$I$2:$I$500,"&lt;&gt;"&amp;I441)+COUNTIFS($F$2:$F$500,F441,$J$2:$J$500,"&lt;&gt;"&amp;J441)&gt;0,"CEK data SKU tidak konsisten",IF(Q441="zona tidak ada di layout","CEK zona_no / jenis_fixture",IF(D441&lt;&gt;Q441,"CEK jenis_zona",IF(S441&gt;IFERROR(INDEX(LAYOUT!$C$2:$C$33,MATCH(B441,LAYOUT!$A$2:$A$33,0)),0),"CEK lebar zona melebihi fixture","OK")))))</f>
        <v/>
      </c>
    </row>
    <row r="442">
      <c r="A442" s="15" t="n"/>
      <c r="B442" s="15" t="n"/>
      <c r="C442" s="16" t="n"/>
      <c r="D442" s="15" t="n"/>
      <c r="E442" s="16" t="n"/>
      <c r="F442" s="17" t="n"/>
      <c r="G442" s="15" t="n"/>
      <c r="H442" s="15" t="n"/>
      <c r="I442" s="16" t="n"/>
      <c r="J442" s="16" t="n"/>
      <c r="K442" s="16" t="n"/>
      <c r="L442" s="16" t="n"/>
      <c r="M442" s="16" t="n"/>
      <c r="N442" s="15" t="n"/>
      <c r="O442" s="16" t="n"/>
      <c r="P442" s="16" t="n"/>
      <c r="Q442" s="13">
        <f>IF(OR(B442="",C442=""),"",IFERROR(INDEX(LAYOUT!$E$2:$E$33,MATCH(B442&amp;"|"&amp;C442,LAYOUT!$F$2:$F$33,0)),"zona tidak ada di layout"))</f>
        <v/>
      </c>
      <c r="R442" s="14">
        <f>IF(F442="","",IF(OR(I442="",O442=""),0,I442*O442))</f>
        <v/>
      </c>
      <c r="S442" s="14">
        <f>IF(F442="","",SUMIFS($R$2:$R$500,$A$2:$A$500,A442,$C$2:$C$500,C442))</f>
        <v/>
      </c>
      <c r="T442" s="14">
        <f>IF(F442="","",IF(OR(G442="",I442="",J442=""),"CEK data SKU (nama/lebar/tinggi)",IF(COUNTIFS($F$2:$F$500,F442,$I$2:$I$500,"&lt;&gt;"&amp;I442)+COUNTIFS($F$2:$F$500,F442,$J$2:$J$500,"&lt;&gt;"&amp;J442)&gt;0,"CEK data SKU tidak konsisten",IF(Q442="zona tidak ada di layout","CEK zona_no / jenis_fixture",IF(D442&lt;&gt;Q442,"CEK jenis_zona",IF(S442&gt;IFERROR(INDEX(LAYOUT!$C$2:$C$33,MATCH(B442,LAYOUT!$A$2:$A$33,0)),0),"CEK lebar zona melebihi fixture","OK")))))</f>
        <v/>
      </c>
    </row>
    <row r="443">
      <c r="A443" s="15" t="n"/>
      <c r="B443" s="15" t="n"/>
      <c r="C443" s="16" t="n"/>
      <c r="D443" s="15" t="n"/>
      <c r="E443" s="16" t="n"/>
      <c r="F443" s="17" t="n"/>
      <c r="G443" s="15" t="n"/>
      <c r="H443" s="15" t="n"/>
      <c r="I443" s="16" t="n"/>
      <c r="J443" s="16" t="n"/>
      <c r="K443" s="16" t="n"/>
      <c r="L443" s="16" t="n"/>
      <c r="M443" s="16" t="n"/>
      <c r="N443" s="15" t="n"/>
      <c r="O443" s="16" t="n"/>
      <c r="P443" s="16" t="n"/>
      <c r="Q443" s="13">
        <f>IF(OR(B443="",C443=""),"",IFERROR(INDEX(LAYOUT!$E$2:$E$33,MATCH(B443&amp;"|"&amp;C443,LAYOUT!$F$2:$F$33,0)),"zona tidak ada di layout"))</f>
        <v/>
      </c>
      <c r="R443" s="14">
        <f>IF(F443="","",IF(OR(I443="",O443=""),0,I443*O443))</f>
        <v/>
      </c>
      <c r="S443" s="14">
        <f>IF(F443="","",SUMIFS($R$2:$R$500,$A$2:$A$500,A443,$C$2:$C$500,C443))</f>
        <v/>
      </c>
      <c r="T443" s="14">
        <f>IF(F443="","",IF(OR(G443="",I443="",J443=""),"CEK data SKU (nama/lebar/tinggi)",IF(COUNTIFS($F$2:$F$500,F443,$I$2:$I$500,"&lt;&gt;"&amp;I443)+COUNTIFS($F$2:$F$500,F443,$J$2:$J$500,"&lt;&gt;"&amp;J443)&gt;0,"CEK data SKU tidak konsisten",IF(Q443="zona tidak ada di layout","CEK zona_no / jenis_fixture",IF(D443&lt;&gt;Q443,"CEK jenis_zona",IF(S443&gt;IFERROR(INDEX(LAYOUT!$C$2:$C$33,MATCH(B443,LAYOUT!$A$2:$A$33,0)),0),"CEK lebar zona melebihi fixture","OK")))))</f>
        <v/>
      </c>
    </row>
    <row r="444">
      <c r="A444" s="15" t="n"/>
      <c r="B444" s="15" t="n"/>
      <c r="C444" s="16" t="n"/>
      <c r="D444" s="15" t="n"/>
      <c r="E444" s="16" t="n"/>
      <c r="F444" s="17" t="n"/>
      <c r="G444" s="15" t="n"/>
      <c r="H444" s="15" t="n"/>
      <c r="I444" s="16" t="n"/>
      <c r="J444" s="16" t="n"/>
      <c r="K444" s="16" t="n"/>
      <c r="L444" s="16" t="n"/>
      <c r="M444" s="16" t="n"/>
      <c r="N444" s="15" t="n"/>
      <c r="O444" s="16" t="n"/>
      <c r="P444" s="16" t="n"/>
      <c r="Q444" s="13">
        <f>IF(OR(B444="",C444=""),"",IFERROR(INDEX(LAYOUT!$E$2:$E$33,MATCH(B444&amp;"|"&amp;C444,LAYOUT!$F$2:$F$33,0)),"zona tidak ada di layout"))</f>
        <v/>
      </c>
      <c r="R444" s="14">
        <f>IF(F444="","",IF(OR(I444="",O444=""),0,I444*O444))</f>
        <v/>
      </c>
      <c r="S444" s="14">
        <f>IF(F444="","",SUMIFS($R$2:$R$500,$A$2:$A$500,A444,$C$2:$C$500,C444))</f>
        <v/>
      </c>
      <c r="T444" s="14">
        <f>IF(F444="","",IF(OR(G444="",I444="",J444=""),"CEK data SKU (nama/lebar/tinggi)",IF(COUNTIFS($F$2:$F$500,F444,$I$2:$I$500,"&lt;&gt;"&amp;I444)+COUNTIFS($F$2:$F$500,F444,$J$2:$J$500,"&lt;&gt;"&amp;J444)&gt;0,"CEK data SKU tidak konsisten",IF(Q444="zona tidak ada di layout","CEK zona_no / jenis_fixture",IF(D444&lt;&gt;Q444,"CEK jenis_zona",IF(S444&gt;IFERROR(INDEX(LAYOUT!$C$2:$C$33,MATCH(B444,LAYOUT!$A$2:$A$33,0)),0),"CEK lebar zona melebihi fixture","OK")))))</f>
        <v/>
      </c>
    </row>
    <row r="445">
      <c r="A445" s="15" t="n"/>
      <c r="B445" s="15" t="n"/>
      <c r="C445" s="16" t="n"/>
      <c r="D445" s="15" t="n"/>
      <c r="E445" s="16" t="n"/>
      <c r="F445" s="17" t="n"/>
      <c r="G445" s="15" t="n"/>
      <c r="H445" s="15" t="n"/>
      <c r="I445" s="16" t="n"/>
      <c r="J445" s="16" t="n"/>
      <c r="K445" s="16" t="n"/>
      <c r="L445" s="16" t="n"/>
      <c r="M445" s="16" t="n"/>
      <c r="N445" s="15" t="n"/>
      <c r="O445" s="16" t="n"/>
      <c r="P445" s="16" t="n"/>
      <c r="Q445" s="13">
        <f>IF(OR(B445="",C445=""),"",IFERROR(INDEX(LAYOUT!$E$2:$E$33,MATCH(B445&amp;"|"&amp;C445,LAYOUT!$F$2:$F$33,0)),"zona tidak ada di layout"))</f>
        <v/>
      </c>
      <c r="R445" s="14">
        <f>IF(F445="","",IF(OR(I445="",O445=""),0,I445*O445))</f>
        <v/>
      </c>
      <c r="S445" s="14">
        <f>IF(F445="","",SUMIFS($R$2:$R$500,$A$2:$A$500,A445,$C$2:$C$500,C445))</f>
        <v/>
      </c>
      <c r="T445" s="14">
        <f>IF(F445="","",IF(OR(G445="",I445="",J445=""),"CEK data SKU (nama/lebar/tinggi)",IF(COUNTIFS($F$2:$F$500,F445,$I$2:$I$500,"&lt;&gt;"&amp;I445)+COUNTIFS($F$2:$F$500,F445,$J$2:$J$500,"&lt;&gt;"&amp;J445)&gt;0,"CEK data SKU tidak konsisten",IF(Q445="zona tidak ada di layout","CEK zona_no / jenis_fixture",IF(D445&lt;&gt;Q445,"CEK jenis_zona",IF(S445&gt;IFERROR(INDEX(LAYOUT!$C$2:$C$33,MATCH(B445,LAYOUT!$A$2:$A$33,0)),0),"CEK lebar zona melebihi fixture","OK")))))</f>
        <v/>
      </c>
    </row>
    <row r="446">
      <c r="A446" s="15" t="n"/>
      <c r="B446" s="15" t="n"/>
      <c r="C446" s="16" t="n"/>
      <c r="D446" s="15" t="n"/>
      <c r="E446" s="16" t="n"/>
      <c r="F446" s="17" t="n"/>
      <c r="G446" s="15" t="n"/>
      <c r="H446" s="15" t="n"/>
      <c r="I446" s="16" t="n"/>
      <c r="J446" s="16" t="n"/>
      <c r="K446" s="16" t="n"/>
      <c r="L446" s="16" t="n"/>
      <c r="M446" s="16" t="n"/>
      <c r="N446" s="15" t="n"/>
      <c r="O446" s="16" t="n"/>
      <c r="P446" s="16" t="n"/>
      <c r="Q446" s="13">
        <f>IF(OR(B446="",C446=""),"",IFERROR(INDEX(LAYOUT!$E$2:$E$33,MATCH(B446&amp;"|"&amp;C446,LAYOUT!$F$2:$F$33,0)),"zona tidak ada di layout"))</f>
        <v/>
      </c>
      <c r="R446" s="14">
        <f>IF(F446="","",IF(OR(I446="",O446=""),0,I446*O446))</f>
        <v/>
      </c>
      <c r="S446" s="14">
        <f>IF(F446="","",SUMIFS($R$2:$R$500,$A$2:$A$500,A446,$C$2:$C$500,C446))</f>
        <v/>
      </c>
      <c r="T446" s="14">
        <f>IF(F446="","",IF(OR(G446="",I446="",J446=""),"CEK data SKU (nama/lebar/tinggi)",IF(COUNTIFS($F$2:$F$500,F446,$I$2:$I$500,"&lt;&gt;"&amp;I446)+COUNTIFS($F$2:$F$500,F446,$J$2:$J$500,"&lt;&gt;"&amp;J446)&gt;0,"CEK data SKU tidak konsisten",IF(Q446="zona tidak ada di layout","CEK zona_no / jenis_fixture",IF(D446&lt;&gt;Q446,"CEK jenis_zona",IF(S446&gt;IFERROR(INDEX(LAYOUT!$C$2:$C$33,MATCH(B446,LAYOUT!$A$2:$A$33,0)),0),"CEK lebar zona melebihi fixture","OK")))))</f>
        <v/>
      </c>
    </row>
    <row r="447">
      <c r="A447" s="15" t="n"/>
      <c r="B447" s="15" t="n"/>
      <c r="C447" s="16" t="n"/>
      <c r="D447" s="15" t="n"/>
      <c r="E447" s="16" t="n"/>
      <c r="F447" s="17" t="n"/>
      <c r="G447" s="15" t="n"/>
      <c r="H447" s="15" t="n"/>
      <c r="I447" s="16" t="n"/>
      <c r="J447" s="16" t="n"/>
      <c r="K447" s="16" t="n"/>
      <c r="L447" s="16" t="n"/>
      <c r="M447" s="16" t="n"/>
      <c r="N447" s="15" t="n"/>
      <c r="O447" s="16" t="n"/>
      <c r="P447" s="16" t="n"/>
      <c r="Q447" s="13">
        <f>IF(OR(B447="",C447=""),"",IFERROR(INDEX(LAYOUT!$E$2:$E$33,MATCH(B447&amp;"|"&amp;C447,LAYOUT!$F$2:$F$33,0)),"zona tidak ada di layout"))</f>
        <v/>
      </c>
      <c r="R447" s="14">
        <f>IF(F447="","",IF(OR(I447="",O447=""),0,I447*O447))</f>
        <v/>
      </c>
      <c r="S447" s="14">
        <f>IF(F447="","",SUMIFS($R$2:$R$500,$A$2:$A$500,A447,$C$2:$C$500,C447))</f>
        <v/>
      </c>
      <c r="T447" s="14">
        <f>IF(F447="","",IF(OR(G447="",I447="",J447=""),"CEK data SKU (nama/lebar/tinggi)",IF(COUNTIFS($F$2:$F$500,F447,$I$2:$I$500,"&lt;&gt;"&amp;I447)+COUNTIFS($F$2:$F$500,F447,$J$2:$J$500,"&lt;&gt;"&amp;J447)&gt;0,"CEK data SKU tidak konsisten",IF(Q447="zona tidak ada di layout","CEK zona_no / jenis_fixture",IF(D447&lt;&gt;Q447,"CEK jenis_zona",IF(S447&gt;IFERROR(INDEX(LAYOUT!$C$2:$C$33,MATCH(B447,LAYOUT!$A$2:$A$33,0)),0),"CEK lebar zona melebihi fixture","OK")))))</f>
        <v/>
      </c>
    </row>
    <row r="448">
      <c r="A448" s="15" t="n"/>
      <c r="B448" s="15" t="n"/>
      <c r="C448" s="16" t="n"/>
      <c r="D448" s="15" t="n"/>
      <c r="E448" s="16" t="n"/>
      <c r="F448" s="17" t="n"/>
      <c r="G448" s="15" t="n"/>
      <c r="H448" s="15" t="n"/>
      <c r="I448" s="16" t="n"/>
      <c r="J448" s="16" t="n"/>
      <c r="K448" s="16" t="n"/>
      <c r="L448" s="16" t="n"/>
      <c r="M448" s="16" t="n"/>
      <c r="N448" s="15" t="n"/>
      <c r="O448" s="16" t="n"/>
      <c r="P448" s="16" t="n"/>
      <c r="Q448" s="13">
        <f>IF(OR(B448="",C448=""),"",IFERROR(INDEX(LAYOUT!$E$2:$E$33,MATCH(B448&amp;"|"&amp;C448,LAYOUT!$F$2:$F$33,0)),"zona tidak ada di layout"))</f>
        <v/>
      </c>
      <c r="R448" s="14">
        <f>IF(F448="","",IF(OR(I448="",O448=""),0,I448*O448))</f>
        <v/>
      </c>
      <c r="S448" s="14">
        <f>IF(F448="","",SUMIFS($R$2:$R$500,$A$2:$A$500,A448,$C$2:$C$500,C448))</f>
        <v/>
      </c>
      <c r="T448" s="14">
        <f>IF(F448="","",IF(OR(G448="",I448="",J448=""),"CEK data SKU (nama/lebar/tinggi)",IF(COUNTIFS($F$2:$F$500,F448,$I$2:$I$500,"&lt;&gt;"&amp;I448)+COUNTIFS($F$2:$F$500,F448,$J$2:$J$500,"&lt;&gt;"&amp;J448)&gt;0,"CEK data SKU tidak konsisten",IF(Q448="zona tidak ada di layout","CEK zona_no / jenis_fixture",IF(D448&lt;&gt;Q448,"CEK jenis_zona",IF(S448&gt;IFERROR(INDEX(LAYOUT!$C$2:$C$33,MATCH(B448,LAYOUT!$A$2:$A$33,0)),0),"CEK lebar zona melebihi fixture","OK")))))</f>
        <v/>
      </c>
    </row>
    <row r="449">
      <c r="A449" s="15" t="n"/>
      <c r="B449" s="15" t="n"/>
      <c r="C449" s="16" t="n"/>
      <c r="D449" s="15" t="n"/>
      <c r="E449" s="16" t="n"/>
      <c r="F449" s="17" t="n"/>
      <c r="G449" s="15" t="n"/>
      <c r="H449" s="15" t="n"/>
      <c r="I449" s="16" t="n"/>
      <c r="J449" s="16" t="n"/>
      <c r="K449" s="16" t="n"/>
      <c r="L449" s="16" t="n"/>
      <c r="M449" s="16" t="n"/>
      <c r="N449" s="15" t="n"/>
      <c r="O449" s="16" t="n"/>
      <c r="P449" s="16" t="n"/>
      <c r="Q449" s="13">
        <f>IF(OR(B449="",C449=""),"",IFERROR(INDEX(LAYOUT!$E$2:$E$33,MATCH(B449&amp;"|"&amp;C449,LAYOUT!$F$2:$F$33,0)),"zona tidak ada di layout"))</f>
        <v/>
      </c>
      <c r="R449" s="14">
        <f>IF(F449="","",IF(OR(I449="",O449=""),0,I449*O449))</f>
        <v/>
      </c>
      <c r="S449" s="14">
        <f>IF(F449="","",SUMIFS($R$2:$R$500,$A$2:$A$500,A449,$C$2:$C$500,C449))</f>
        <v/>
      </c>
      <c r="T449" s="14">
        <f>IF(F449="","",IF(OR(G449="",I449="",J449=""),"CEK data SKU (nama/lebar/tinggi)",IF(COUNTIFS($F$2:$F$500,F449,$I$2:$I$500,"&lt;&gt;"&amp;I449)+COUNTIFS($F$2:$F$500,F449,$J$2:$J$500,"&lt;&gt;"&amp;J449)&gt;0,"CEK data SKU tidak konsisten",IF(Q449="zona tidak ada di layout","CEK zona_no / jenis_fixture",IF(D449&lt;&gt;Q449,"CEK jenis_zona",IF(S449&gt;IFERROR(INDEX(LAYOUT!$C$2:$C$33,MATCH(B449,LAYOUT!$A$2:$A$33,0)),0),"CEK lebar zona melebihi fixture","OK")))))</f>
        <v/>
      </c>
    </row>
    <row r="450">
      <c r="A450" s="15" t="n"/>
      <c r="B450" s="15" t="n"/>
      <c r="C450" s="16" t="n"/>
      <c r="D450" s="15" t="n"/>
      <c r="E450" s="16" t="n"/>
      <c r="F450" s="17" t="n"/>
      <c r="G450" s="15" t="n"/>
      <c r="H450" s="15" t="n"/>
      <c r="I450" s="16" t="n"/>
      <c r="J450" s="16" t="n"/>
      <c r="K450" s="16" t="n"/>
      <c r="L450" s="16" t="n"/>
      <c r="M450" s="16" t="n"/>
      <c r="N450" s="15" t="n"/>
      <c r="O450" s="16" t="n"/>
      <c r="P450" s="16" t="n"/>
      <c r="Q450" s="13">
        <f>IF(OR(B450="",C450=""),"",IFERROR(INDEX(LAYOUT!$E$2:$E$33,MATCH(B450&amp;"|"&amp;C450,LAYOUT!$F$2:$F$33,0)),"zona tidak ada di layout"))</f>
        <v/>
      </c>
      <c r="R450" s="14">
        <f>IF(F450="","",IF(OR(I450="",O450=""),0,I450*O450))</f>
        <v/>
      </c>
      <c r="S450" s="14">
        <f>IF(F450="","",SUMIFS($R$2:$R$500,$A$2:$A$500,A450,$C$2:$C$500,C450))</f>
        <v/>
      </c>
      <c r="T450" s="14">
        <f>IF(F450="","",IF(OR(G450="",I450="",J450=""),"CEK data SKU (nama/lebar/tinggi)",IF(COUNTIFS($F$2:$F$500,F450,$I$2:$I$500,"&lt;&gt;"&amp;I450)+COUNTIFS($F$2:$F$500,F450,$J$2:$J$500,"&lt;&gt;"&amp;J450)&gt;0,"CEK data SKU tidak konsisten",IF(Q450="zona tidak ada di layout","CEK zona_no / jenis_fixture",IF(D450&lt;&gt;Q450,"CEK jenis_zona",IF(S450&gt;IFERROR(INDEX(LAYOUT!$C$2:$C$33,MATCH(B450,LAYOUT!$A$2:$A$33,0)),0),"CEK lebar zona melebihi fixture","OK")))))</f>
        <v/>
      </c>
    </row>
    <row r="451">
      <c r="A451" s="15" t="n"/>
      <c r="B451" s="15" t="n"/>
      <c r="C451" s="16" t="n"/>
      <c r="D451" s="15" t="n"/>
      <c r="E451" s="16" t="n"/>
      <c r="F451" s="17" t="n"/>
      <c r="G451" s="15" t="n"/>
      <c r="H451" s="15" t="n"/>
      <c r="I451" s="16" t="n"/>
      <c r="J451" s="16" t="n"/>
      <c r="K451" s="16" t="n"/>
      <c r="L451" s="16" t="n"/>
      <c r="M451" s="16" t="n"/>
      <c r="N451" s="15" t="n"/>
      <c r="O451" s="16" t="n"/>
      <c r="P451" s="16" t="n"/>
      <c r="Q451" s="13">
        <f>IF(OR(B451="",C451=""),"",IFERROR(INDEX(LAYOUT!$E$2:$E$33,MATCH(B451&amp;"|"&amp;C451,LAYOUT!$F$2:$F$33,0)),"zona tidak ada di layout"))</f>
        <v/>
      </c>
      <c r="R451" s="14">
        <f>IF(F451="","",IF(OR(I451="",O451=""),0,I451*O451))</f>
        <v/>
      </c>
      <c r="S451" s="14">
        <f>IF(F451="","",SUMIFS($R$2:$R$500,$A$2:$A$500,A451,$C$2:$C$500,C451))</f>
        <v/>
      </c>
      <c r="T451" s="14">
        <f>IF(F451="","",IF(OR(G451="",I451="",J451=""),"CEK data SKU (nama/lebar/tinggi)",IF(COUNTIFS($F$2:$F$500,F451,$I$2:$I$500,"&lt;&gt;"&amp;I451)+COUNTIFS($F$2:$F$500,F451,$J$2:$J$500,"&lt;&gt;"&amp;J451)&gt;0,"CEK data SKU tidak konsisten",IF(Q451="zona tidak ada di layout","CEK zona_no / jenis_fixture",IF(D451&lt;&gt;Q451,"CEK jenis_zona",IF(S451&gt;IFERROR(INDEX(LAYOUT!$C$2:$C$33,MATCH(B451,LAYOUT!$A$2:$A$33,0)),0),"CEK lebar zona melebihi fixture","OK")))))</f>
        <v/>
      </c>
    </row>
    <row r="452">
      <c r="A452" s="15" t="n"/>
      <c r="B452" s="15" t="n"/>
      <c r="C452" s="16" t="n"/>
      <c r="D452" s="15" t="n"/>
      <c r="E452" s="16" t="n"/>
      <c r="F452" s="17" t="n"/>
      <c r="G452" s="15" t="n"/>
      <c r="H452" s="15" t="n"/>
      <c r="I452" s="16" t="n"/>
      <c r="J452" s="16" t="n"/>
      <c r="K452" s="16" t="n"/>
      <c r="L452" s="16" t="n"/>
      <c r="M452" s="16" t="n"/>
      <c r="N452" s="15" t="n"/>
      <c r="O452" s="16" t="n"/>
      <c r="P452" s="16" t="n"/>
      <c r="Q452" s="13">
        <f>IF(OR(B452="",C452=""),"",IFERROR(INDEX(LAYOUT!$E$2:$E$33,MATCH(B452&amp;"|"&amp;C452,LAYOUT!$F$2:$F$33,0)),"zona tidak ada di layout"))</f>
        <v/>
      </c>
      <c r="R452" s="14">
        <f>IF(F452="","",IF(OR(I452="",O452=""),0,I452*O452))</f>
        <v/>
      </c>
      <c r="S452" s="14">
        <f>IF(F452="","",SUMIFS($R$2:$R$500,$A$2:$A$500,A452,$C$2:$C$500,C452))</f>
        <v/>
      </c>
      <c r="T452" s="14">
        <f>IF(F452="","",IF(OR(G452="",I452="",J452=""),"CEK data SKU (nama/lebar/tinggi)",IF(COUNTIFS($F$2:$F$500,F452,$I$2:$I$500,"&lt;&gt;"&amp;I452)+COUNTIFS($F$2:$F$500,F452,$J$2:$J$500,"&lt;&gt;"&amp;J452)&gt;0,"CEK data SKU tidak konsisten",IF(Q452="zona tidak ada di layout","CEK zona_no / jenis_fixture",IF(D452&lt;&gt;Q452,"CEK jenis_zona",IF(S452&gt;IFERROR(INDEX(LAYOUT!$C$2:$C$33,MATCH(B452,LAYOUT!$A$2:$A$33,0)),0),"CEK lebar zona melebihi fixture","OK")))))</f>
        <v/>
      </c>
    </row>
    <row r="453">
      <c r="A453" s="15" t="n"/>
      <c r="B453" s="15" t="n"/>
      <c r="C453" s="16" t="n"/>
      <c r="D453" s="15" t="n"/>
      <c r="E453" s="16" t="n"/>
      <c r="F453" s="17" t="n"/>
      <c r="G453" s="15" t="n"/>
      <c r="H453" s="15" t="n"/>
      <c r="I453" s="16" t="n"/>
      <c r="J453" s="16" t="n"/>
      <c r="K453" s="16" t="n"/>
      <c r="L453" s="16" t="n"/>
      <c r="M453" s="16" t="n"/>
      <c r="N453" s="15" t="n"/>
      <c r="O453" s="16" t="n"/>
      <c r="P453" s="16" t="n"/>
      <c r="Q453" s="13">
        <f>IF(OR(B453="",C453=""),"",IFERROR(INDEX(LAYOUT!$E$2:$E$33,MATCH(B453&amp;"|"&amp;C453,LAYOUT!$F$2:$F$33,0)),"zona tidak ada di layout"))</f>
        <v/>
      </c>
      <c r="R453" s="14">
        <f>IF(F453="","",IF(OR(I453="",O453=""),0,I453*O453))</f>
        <v/>
      </c>
      <c r="S453" s="14">
        <f>IF(F453="","",SUMIFS($R$2:$R$500,$A$2:$A$500,A453,$C$2:$C$500,C453))</f>
        <v/>
      </c>
      <c r="T453" s="14">
        <f>IF(F453="","",IF(OR(G453="",I453="",J453=""),"CEK data SKU (nama/lebar/tinggi)",IF(COUNTIFS($F$2:$F$500,F453,$I$2:$I$500,"&lt;&gt;"&amp;I453)+COUNTIFS($F$2:$F$500,F453,$J$2:$J$500,"&lt;&gt;"&amp;J453)&gt;0,"CEK data SKU tidak konsisten",IF(Q453="zona tidak ada di layout","CEK zona_no / jenis_fixture",IF(D453&lt;&gt;Q453,"CEK jenis_zona",IF(S453&gt;IFERROR(INDEX(LAYOUT!$C$2:$C$33,MATCH(B453,LAYOUT!$A$2:$A$33,0)),0),"CEK lebar zona melebihi fixture","OK")))))</f>
        <v/>
      </c>
    </row>
    <row r="454">
      <c r="A454" s="15" t="n"/>
      <c r="B454" s="15" t="n"/>
      <c r="C454" s="16" t="n"/>
      <c r="D454" s="15" t="n"/>
      <c r="E454" s="16" t="n"/>
      <c r="F454" s="17" t="n"/>
      <c r="G454" s="15" t="n"/>
      <c r="H454" s="15" t="n"/>
      <c r="I454" s="16" t="n"/>
      <c r="J454" s="16" t="n"/>
      <c r="K454" s="16" t="n"/>
      <c r="L454" s="16" t="n"/>
      <c r="M454" s="16" t="n"/>
      <c r="N454" s="15" t="n"/>
      <c r="O454" s="16" t="n"/>
      <c r="P454" s="16" t="n"/>
      <c r="Q454" s="13">
        <f>IF(OR(B454="",C454=""),"",IFERROR(INDEX(LAYOUT!$E$2:$E$33,MATCH(B454&amp;"|"&amp;C454,LAYOUT!$F$2:$F$33,0)),"zona tidak ada di layout"))</f>
        <v/>
      </c>
      <c r="R454" s="14">
        <f>IF(F454="","",IF(OR(I454="",O454=""),0,I454*O454))</f>
        <v/>
      </c>
      <c r="S454" s="14">
        <f>IF(F454="","",SUMIFS($R$2:$R$500,$A$2:$A$500,A454,$C$2:$C$500,C454))</f>
        <v/>
      </c>
      <c r="T454" s="14">
        <f>IF(F454="","",IF(OR(G454="",I454="",J454=""),"CEK data SKU (nama/lebar/tinggi)",IF(COUNTIFS($F$2:$F$500,F454,$I$2:$I$500,"&lt;&gt;"&amp;I454)+COUNTIFS($F$2:$F$500,F454,$J$2:$J$500,"&lt;&gt;"&amp;J454)&gt;0,"CEK data SKU tidak konsisten",IF(Q454="zona tidak ada di layout","CEK zona_no / jenis_fixture",IF(D454&lt;&gt;Q454,"CEK jenis_zona",IF(S454&gt;IFERROR(INDEX(LAYOUT!$C$2:$C$33,MATCH(B454,LAYOUT!$A$2:$A$33,0)),0),"CEK lebar zona melebihi fixture","OK")))))</f>
        <v/>
      </c>
    </row>
    <row r="455">
      <c r="A455" s="15" t="n"/>
      <c r="B455" s="15" t="n"/>
      <c r="C455" s="16" t="n"/>
      <c r="D455" s="15" t="n"/>
      <c r="E455" s="16" t="n"/>
      <c r="F455" s="17" t="n"/>
      <c r="G455" s="15" t="n"/>
      <c r="H455" s="15" t="n"/>
      <c r="I455" s="16" t="n"/>
      <c r="J455" s="16" t="n"/>
      <c r="K455" s="16" t="n"/>
      <c r="L455" s="16" t="n"/>
      <c r="M455" s="16" t="n"/>
      <c r="N455" s="15" t="n"/>
      <c r="O455" s="16" t="n"/>
      <c r="P455" s="16" t="n"/>
      <c r="Q455" s="13">
        <f>IF(OR(B455="",C455=""),"",IFERROR(INDEX(LAYOUT!$E$2:$E$33,MATCH(B455&amp;"|"&amp;C455,LAYOUT!$F$2:$F$33,0)),"zona tidak ada di layout"))</f>
        <v/>
      </c>
      <c r="R455" s="14">
        <f>IF(F455="","",IF(OR(I455="",O455=""),0,I455*O455))</f>
        <v/>
      </c>
      <c r="S455" s="14">
        <f>IF(F455="","",SUMIFS($R$2:$R$500,$A$2:$A$500,A455,$C$2:$C$500,C455))</f>
        <v/>
      </c>
      <c r="T455" s="14">
        <f>IF(F455="","",IF(OR(G455="",I455="",J455=""),"CEK data SKU (nama/lebar/tinggi)",IF(COUNTIFS($F$2:$F$500,F455,$I$2:$I$500,"&lt;&gt;"&amp;I455)+COUNTIFS($F$2:$F$500,F455,$J$2:$J$500,"&lt;&gt;"&amp;J455)&gt;0,"CEK data SKU tidak konsisten",IF(Q455="zona tidak ada di layout","CEK zona_no / jenis_fixture",IF(D455&lt;&gt;Q455,"CEK jenis_zona",IF(S455&gt;IFERROR(INDEX(LAYOUT!$C$2:$C$33,MATCH(B455,LAYOUT!$A$2:$A$33,0)),0),"CEK lebar zona melebihi fixture","OK")))))</f>
        <v/>
      </c>
    </row>
    <row r="456">
      <c r="A456" s="15" t="n"/>
      <c r="B456" s="15" t="n"/>
      <c r="C456" s="16" t="n"/>
      <c r="D456" s="15" t="n"/>
      <c r="E456" s="16" t="n"/>
      <c r="F456" s="17" t="n"/>
      <c r="G456" s="15" t="n"/>
      <c r="H456" s="15" t="n"/>
      <c r="I456" s="16" t="n"/>
      <c r="J456" s="16" t="n"/>
      <c r="K456" s="16" t="n"/>
      <c r="L456" s="16" t="n"/>
      <c r="M456" s="16" t="n"/>
      <c r="N456" s="15" t="n"/>
      <c r="O456" s="16" t="n"/>
      <c r="P456" s="16" t="n"/>
      <c r="Q456" s="13">
        <f>IF(OR(B456="",C456=""),"",IFERROR(INDEX(LAYOUT!$E$2:$E$33,MATCH(B456&amp;"|"&amp;C456,LAYOUT!$F$2:$F$33,0)),"zona tidak ada di layout"))</f>
        <v/>
      </c>
      <c r="R456" s="14">
        <f>IF(F456="","",IF(OR(I456="",O456=""),0,I456*O456))</f>
        <v/>
      </c>
      <c r="S456" s="14">
        <f>IF(F456="","",SUMIFS($R$2:$R$500,$A$2:$A$500,A456,$C$2:$C$500,C456))</f>
        <v/>
      </c>
      <c r="T456" s="14">
        <f>IF(F456="","",IF(OR(G456="",I456="",J456=""),"CEK data SKU (nama/lebar/tinggi)",IF(COUNTIFS($F$2:$F$500,F456,$I$2:$I$500,"&lt;&gt;"&amp;I456)+COUNTIFS($F$2:$F$500,F456,$J$2:$J$500,"&lt;&gt;"&amp;J456)&gt;0,"CEK data SKU tidak konsisten",IF(Q456="zona tidak ada di layout","CEK zona_no / jenis_fixture",IF(D456&lt;&gt;Q456,"CEK jenis_zona",IF(S456&gt;IFERROR(INDEX(LAYOUT!$C$2:$C$33,MATCH(B456,LAYOUT!$A$2:$A$33,0)),0),"CEK lebar zona melebihi fixture","OK")))))</f>
        <v/>
      </c>
    </row>
    <row r="457">
      <c r="A457" s="15" t="n"/>
      <c r="B457" s="15" t="n"/>
      <c r="C457" s="16" t="n"/>
      <c r="D457" s="15" t="n"/>
      <c r="E457" s="16" t="n"/>
      <c r="F457" s="17" t="n"/>
      <c r="G457" s="15" t="n"/>
      <c r="H457" s="15" t="n"/>
      <c r="I457" s="16" t="n"/>
      <c r="J457" s="16" t="n"/>
      <c r="K457" s="16" t="n"/>
      <c r="L457" s="16" t="n"/>
      <c r="M457" s="16" t="n"/>
      <c r="N457" s="15" t="n"/>
      <c r="O457" s="16" t="n"/>
      <c r="P457" s="16" t="n"/>
      <c r="Q457" s="13">
        <f>IF(OR(B457="",C457=""),"",IFERROR(INDEX(LAYOUT!$E$2:$E$33,MATCH(B457&amp;"|"&amp;C457,LAYOUT!$F$2:$F$33,0)),"zona tidak ada di layout"))</f>
        <v/>
      </c>
      <c r="R457" s="14">
        <f>IF(F457="","",IF(OR(I457="",O457=""),0,I457*O457))</f>
        <v/>
      </c>
      <c r="S457" s="14">
        <f>IF(F457="","",SUMIFS($R$2:$R$500,$A$2:$A$500,A457,$C$2:$C$500,C457))</f>
        <v/>
      </c>
      <c r="T457" s="14">
        <f>IF(F457="","",IF(OR(G457="",I457="",J457=""),"CEK data SKU (nama/lebar/tinggi)",IF(COUNTIFS($F$2:$F$500,F457,$I$2:$I$500,"&lt;&gt;"&amp;I457)+COUNTIFS($F$2:$F$500,F457,$J$2:$J$500,"&lt;&gt;"&amp;J457)&gt;0,"CEK data SKU tidak konsisten",IF(Q457="zona tidak ada di layout","CEK zona_no / jenis_fixture",IF(D457&lt;&gt;Q457,"CEK jenis_zona",IF(S457&gt;IFERROR(INDEX(LAYOUT!$C$2:$C$33,MATCH(B457,LAYOUT!$A$2:$A$33,0)),0),"CEK lebar zona melebihi fixture","OK")))))</f>
        <v/>
      </c>
    </row>
    <row r="458">
      <c r="A458" s="15" t="n"/>
      <c r="B458" s="15" t="n"/>
      <c r="C458" s="16" t="n"/>
      <c r="D458" s="15" t="n"/>
      <c r="E458" s="16" t="n"/>
      <c r="F458" s="17" t="n"/>
      <c r="G458" s="15" t="n"/>
      <c r="H458" s="15" t="n"/>
      <c r="I458" s="16" t="n"/>
      <c r="J458" s="16" t="n"/>
      <c r="K458" s="16" t="n"/>
      <c r="L458" s="16" t="n"/>
      <c r="M458" s="16" t="n"/>
      <c r="N458" s="15" t="n"/>
      <c r="O458" s="16" t="n"/>
      <c r="P458" s="16" t="n"/>
      <c r="Q458" s="13">
        <f>IF(OR(B458="",C458=""),"",IFERROR(INDEX(LAYOUT!$E$2:$E$33,MATCH(B458&amp;"|"&amp;C458,LAYOUT!$F$2:$F$33,0)),"zona tidak ada di layout"))</f>
        <v/>
      </c>
      <c r="R458" s="14">
        <f>IF(F458="","",IF(OR(I458="",O458=""),0,I458*O458))</f>
        <v/>
      </c>
      <c r="S458" s="14">
        <f>IF(F458="","",SUMIFS($R$2:$R$500,$A$2:$A$500,A458,$C$2:$C$500,C458))</f>
        <v/>
      </c>
      <c r="T458" s="14">
        <f>IF(F458="","",IF(OR(G458="",I458="",J458=""),"CEK data SKU (nama/lebar/tinggi)",IF(COUNTIFS($F$2:$F$500,F458,$I$2:$I$500,"&lt;&gt;"&amp;I458)+COUNTIFS($F$2:$F$500,F458,$J$2:$J$500,"&lt;&gt;"&amp;J458)&gt;0,"CEK data SKU tidak konsisten",IF(Q458="zona tidak ada di layout","CEK zona_no / jenis_fixture",IF(D458&lt;&gt;Q458,"CEK jenis_zona",IF(S458&gt;IFERROR(INDEX(LAYOUT!$C$2:$C$33,MATCH(B458,LAYOUT!$A$2:$A$33,0)),0),"CEK lebar zona melebihi fixture","OK")))))</f>
        <v/>
      </c>
    </row>
    <row r="459">
      <c r="A459" s="15" t="n"/>
      <c r="B459" s="15" t="n"/>
      <c r="C459" s="16" t="n"/>
      <c r="D459" s="15" t="n"/>
      <c r="E459" s="16" t="n"/>
      <c r="F459" s="17" t="n"/>
      <c r="G459" s="15" t="n"/>
      <c r="H459" s="15" t="n"/>
      <c r="I459" s="16" t="n"/>
      <c r="J459" s="16" t="n"/>
      <c r="K459" s="16" t="n"/>
      <c r="L459" s="16" t="n"/>
      <c r="M459" s="16" t="n"/>
      <c r="N459" s="15" t="n"/>
      <c r="O459" s="16" t="n"/>
      <c r="P459" s="16" t="n"/>
      <c r="Q459" s="13">
        <f>IF(OR(B459="",C459=""),"",IFERROR(INDEX(LAYOUT!$E$2:$E$33,MATCH(B459&amp;"|"&amp;C459,LAYOUT!$F$2:$F$33,0)),"zona tidak ada di layout"))</f>
        <v/>
      </c>
      <c r="R459" s="14">
        <f>IF(F459="","",IF(OR(I459="",O459=""),0,I459*O459))</f>
        <v/>
      </c>
      <c r="S459" s="14">
        <f>IF(F459="","",SUMIFS($R$2:$R$500,$A$2:$A$500,A459,$C$2:$C$500,C459))</f>
        <v/>
      </c>
      <c r="T459" s="14">
        <f>IF(F459="","",IF(OR(G459="",I459="",J459=""),"CEK data SKU (nama/lebar/tinggi)",IF(COUNTIFS($F$2:$F$500,F459,$I$2:$I$500,"&lt;&gt;"&amp;I459)+COUNTIFS($F$2:$F$500,F459,$J$2:$J$500,"&lt;&gt;"&amp;J459)&gt;0,"CEK data SKU tidak konsisten",IF(Q459="zona tidak ada di layout","CEK zona_no / jenis_fixture",IF(D459&lt;&gt;Q459,"CEK jenis_zona",IF(S459&gt;IFERROR(INDEX(LAYOUT!$C$2:$C$33,MATCH(B459,LAYOUT!$A$2:$A$33,0)),0),"CEK lebar zona melebihi fixture","OK")))))</f>
        <v/>
      </c>
    </row>
    <row r="460">
      <c r="A460" s="15" t="n"/>
      <c r="B460" s="15" t="n"/>
      <c r="C460" s="16" t="n"/>
      <c r="D460" s="15" t="n"/>
      <c r="E460" s="16" t="n"/>
      <c r="F460" s="17" t="n"/>
      <c r="G460" s="15" t="n"/>
      <c r="H460" s="15" t="n"/>
      <c r="I460" s="16" t="n"/>
      <c r="J460" s="16" t="n"/>
      <c r="K460" s="16" t="n"/>
      <c r="L460" s="16" t="n"/>
      <c r="M460" s="16" t="n"/>
      <c r="N460" s="15" t="n"/>
      <c r="O460" s="16" t="n"/>
      <c r="P460" s="16" t="n"/>
      <c r="Q460" s="13">
        <f>IF(OR(B460="",C460=""),"",IFERROR(INDEX(LAYOUT!$E$2:$E$33,MATCH(B460&amp;"|"&amp;C460,LAYOUT!$F$2:$F$33,0)),"zona tidak ada di layout"))</f>
        <v/>
      </c>
      <c r="R460" s="14">
        <f>IF(F460="","",IF(OR(I460="",O460=""),0,I460*O460))</f>
        <v/>
      </c>
      <c r="S460" s="14">
        <f>IF(F460="","",SUMIFS($R$2:$R$500,$A$2:$A$500,A460,$C$2:$C$500,C460))</f>
        <v/>
      </c>
      <c r="T460" s="14">
        <f>IF(F460="","",IF(OR(G460="",I460="",J460=""),"CEK data SKU (nama/lebar/tinggi)",IF(COUNTIFS($F$2:$F$500,F460,$I$2:$I$500,"&lt;&gt;"&amp;I460)+COUNTIFS($F$2:$F$500,F460,$J$2:$J$500,"&lt;&gt;"&amp;J460)&gt;0,"CEK data SKU tidak konsisten",IF(Q460="zona tidak ada di layout","CEK zona_no / jenis_fixture",IF(D460&lt;&gt;Q460,"CEK jenis_zona",IF(S460&gt;IFERROR(INDEX(LAYOUT!$C$2:$C$33,MATCH(B460,LAYOUT!$A$2:$A$33,0)),0),"CEK lebar zona melebihi fixture","OK")))))</f>
        <v/>
      </c>
    </row>
    <row r="461">
      <c r="A461" s="15" t="n"/>
      <c r="B461" s="15" t="n"/>
      <c r="C461" s="16" t="n"/>
      <c r="D461" s="15" t="n"/>
      <c r="E461" s="16" t="n"/>
      <c r="F461" s="17" t="n"/>
      <c r="G461" s="15" t="n"/>
      <c r="H461" s="15" t="n"/>
      <c r="I461" s="16" t="n"/>
      <c r="J461" s="16" t="n"/>
      <c r="K461" s="16" t="n"/>
      <c r="L461" s="16" t="n"/>
      <c r="M461" s="16" t="n"/>
      <c r="N461" s="15" t="n"/>
      <c r="O461" s="16" t="n"/>
      <c r="P461" s="16" t="n"/>
      <c r="Q461" s="13">
        <f>IF(OR(B461="",C461=""),"",IFERROR(INDEX(LAYOUT!$E$2:$E$33,MATCH(B461&amp;"|"&amp;C461,LAYOUT!$F$2:$F$33,0)),"zona tidak ada di layout"))</f>
        <v/>
      </c>
      <c r="R461" s="14">
        <f>IF(F461="","",IF(OR(I461="",O461=""),0,I461*O461))</f>
        <v/>
      </c>
      <c r="S461" s="14">
        <f>IF(F461="","",SUMIFS($R$2:$R$500,$A$2:$A$500,A461,$C$2:$C$500,C461))</f>
        <v/>
      </c>
      <c r="T461" s="14">
        <f>IF(F461="","",IF(OR(G461="",I461="",J461=""),"CEK data SKU (nama/lebar/tinggi)",IF(COUNTIFS($F$2:$F$500,F461,$I$2:$I$500,"&lt;&gt;"&amp;I461)+COUNTIFS($F$2:$F$500,F461,$J$2:$J$500,"&lt;&gt;"&amp;J461)&gt;0,"CEK data SKU tidak konsisten",IF(Q461="zona tidak ada di layout","CEK zona_no / jenis_fixture",IF(D461&lt;&gt;Q461,"CEK jenis_zona",IF(S461&gt;IFERROR(INDEX(LAYOUT!$C$2:$C$33,MATCH(B461,LAYOUT!$A$2:$A$33,0)),0),"CEK lebar zona melebihi fixture","OK")))))</f>
        <v/>
      </c>
    </row>
    <row r="462">
      <c r="A462" s="15" t="n"/>
      <c r="B462" s="15" t="n"/>
      <c r="C462" s="16" t="n"/>
      <c r="D462" s="15" t="n"/>
      <c r="E462" s="16" t="n"/>
      <c r="F462" s="17" t="n"/>
      <c r="G462" s="15" t="n"/>
      <c r="H462" s="15" t="n"/>
      <c r="I462" s="16" t="n"/>
      <c r="J462" s="16" t="n"/>
      <c r="K462" s="16" t="n"/>
      <c r="L462" s="16" t="n"/>
      <c r="M462" s="16" t="n"/>
      <c r="N462" s="15" t="n"/>
      <c r="O462" s="16" t="n"/>
      <c r="P462" s="16" t="n"/>
      <c r="Q462" s="13">
        <f>IF(OR(B462="",C462=""),"",IFERROR(INDEX(LAYOUT!$E$2:$E$33,MATCH(B462&amp;"|"&amp;C462,LAYOUT!$F$2:$F$33,0)),"zona tidak ada di layout"))</f>
        <v/>
      </c>
      <c r="R462" s="14">
        <f>IF(F462="","",IF(OR(I462="",O462=""),0,I462*O462))</f>
        <v/>
      </c>
      <c r="S462" s="14">
        <f>IF(F462="","",SUMIFS($R$2:$R$500,$A$2:$A$500,A462,$C$2:$C$500,C462))</f>
        <v/>
      </c>
      <c r="T462" s="14">
        <f>IF(F462="","",IF(OR(G462="",I462="",J462=""),"CEK data SKU (nama/lebar/tinggi)",IF(COUNTIFS($F$2:$F$500,F462,$I$2:$I$500,"&lt;&gt;"&amp;I462)+COUNTIFS($F$2:$F$500,F462,$J$2:$J$500,"&lt;&gt;"&amp;J462)&gt;0,"CEK data SKU tidak konsisten",IF(Q462="zona tidak ada di layout","CEK zona_no / jenis_fixture",IF(D462&lt;&gt;Q462,"CEK jenis_zona",IF(S462&gt;IFERROR(INDEX(LAYOUT!$C$2:$C$33,MATCH(B462,LAYOUT!$A$2:$A$33,0)),0),"CEK lebar zona melebihi fixture","OK")))))</f>
        <v/>
      </c>
    </row>
    <row r="463">
      <c r="A463" s="15" t="n"/>
      <c r="B463" s="15" t="n"/>
      <c r="C463" s="16" t="n"/>
      <c r="D463" s="15" t="n"/>
      <c r="E463" s="16" t="n"/>
      <c r="F463" s="17" t="n"/>
      <c r="G463" s="15" t="n"/>
      <c r="H463" s="15" t="n"/>
      <c r="I463" s="16" t="n"/>
      <c r="J463" s="16" t="n"/>
      <c r="K463" s="16" t="n"/>
      <c r="L463" s="16" t="n"/>
      <c r="M463" s="16" t="n"/>
      <c r="N463" s="15" t="n"/>
      <c r="O463" s="16" t="n"/>
      <c r="P463" s="16" t="n"/>
      <c r="Q463" s="13">
        <f>IF(OR(B463="",C463=""),"",IFERROR(INDEX(LAYOUT!$E$2:$E$33,MATCH(B463&amp;"|"&amp;C463,LAYOUT!$F$2:$F$33,0)),"zona tidak ada di layout"))</f>
        <v/>
      </c>
      <c r="R463" s="14">
        <f>IF(F463="","",IF(OR(I463="",O463=""),0,I463*O463))</f>
        <v/>
      </c>
      <c r="S463" s="14">
        <f>IF(F463="","",SUMIFS($R$2:$R$500,$A$2:$A$500,A463,$C$2:$C$500,C463))</f>
        <v/>
      </c>
      <c r="T463" s="14">
        <f>IF(F463="","",IF(OR(G463="",I463="",J463=""),"CEK data SKU (nama/lebar/tinggi)",IF(COUNTIFS($F$2:$F$500,F463,$I$2:$I$500,"&lt;&gt;"&amp;I463)+COUNTIFS($F$2:$F$500,F463,$J$2:$J$500,"&lt;&gt;"&amp;J463)&gt;0,"CEK data SKU tidak konsisten",IF(Q463="zona tidak ada di layout","CEK zona_no / jenis_fixture",IF(D463&lt;&gt;Q463,"CEK jenis_zona",IF(S463&gt;IFERROR(INDEX(LAYOUT!$C$2:$C$33,MATCH(B463,LAYOUT!$A$2:$A$33,0)),0),"CEK lebar zona melebihi fixture","OK")))))</f>
        <v/>
      </c>
    </row>
    <row r="464">
      <c r="A464" s="15" t="n"/>
      <c r="B464" s="15" t="n"/>
      <c r="C464" s="16" t="n"/>
      <c r="D464" s="15" t="n"/>
      <c r="E464" s="16" t="n"/>
      <c r="F464" s="17" t="n"/>
      <c r="G464" s="15" t="n"/>
      <c r="H464" s="15" t="n"/>
      <c r="I464" s="16" t="n"/>
      <c r="J464" s="16" t="n"/>
      <c r="K464" s="16" t="n"/>
      <c r="L464" s="16" t="n"/>
      <c r="M464" s="16" t="n"/>
      <c r="N464" s="15" t="n"/>
      <c r="O464" s="16" t="n"/>
      <c r="P464" s="16" t="n"/>
      <c r="Q464" s="13">
        <f>IF(OR(B464="",C464=""),"",IFERROR(INDEX(LAYOUT!$E$2:$E$33,MATCH(B464&amp;"|"&amp;C464,LAYOUT!$F$2:$F$33,0)),"zona tidak ada di layout"))</f>
        <v/>
      </c>
      <c r="R464" s="14">
        <f>IF(F464="","",IF(OR(I464="",O464=""),0,I464*O464))</f>
        <v/>
      </c>
      <c r="S464" s="14">
        <f>IF(F464="","",SUMIFS($R$2:$R$500,$A$2:$A$500,A464,$C$2:$C$500,C464))</f>
        <v/>
      </c>
      <c r="T464" s="14">
        <f>IF(F464="","",IF(OR(G464="",I464="",J464=""),"CEK data SKU (nama/lebar/tinggi)",IF(COUNTIFS($F$2:$F$500,F464,$I$2:$I$500,"&lt;&gt;"&amp;I464)+COUNTIFS($F$2:$F$500,F464,$J$2:$J$500,"&lt;&gt;"&amp;J464)&gt;0,"CEK data SKU tidak konsisten",IF(Q464="zona tidak ada di layout","CEK zona_no / jenis_fixture",IF(D464&lt;&gt;Q464,"CEK jenis_zona",IF(S464&gt;IFERROR(INDEX(LAYOUT!$C$2:$C$33,MATCH(B464,LAYOUT!$A$2:$A$33,0)),0),"CEK lebar zona melebihi fixture","OK")))))</f>
        <v/>
      </c>
    </row>
    <row r="465">
      <c r="A465" s="15" t="n"/>
      <c r="B465" s="15" t="n"/>
      <c r="C465" s="16" t="n"/>
      <c r="D465" s="15" t="n"/>
      <c r="E465" s="16" t="n"/>
      <c r="F465" s="17" t="n"/>
      <c r="G465" s="15" t="n"/>
      <c r="H465" s="15" t="n"/>
      <c r="I465" s="16" t="n"/>
      <c r="J465" s="16" t="n"/>
      <c r="K465" s="16" t="n"/>
      <c r="L465" s="16" t="n"/>
      <c r="M465" s="16" t="n"/>
      <c r="N465" s="15" t="n"/>
      <c r="O465" s="16" t="n"/>
      <c r="P465" s="16" t="n"/>
      <c r="Q465" s="13">
        <f>IF(OR(B465="",C465=""),"",IFERROR(INDEX(LAYOUT!$E$2:$E$33,MATCH(B465&amp;"|"&amp;C465,LAYOUT!$F$2:$F$33,0)),"zona tidak ada di layout"))</f>
        <v/>
      </c>
      <c r="R465" s="14">
        <f>IF(F465="","",IF(OR(I465="",O465=""),0,I465*O465))</f>
        <v/>
      </c>
      <c r="S465" s="14">
        <f>IF(F465="","",SUMIFS($R$2:$R$500,$A$2:$A$500,A465,$C$2:$C$500,C465))</f>
        <v/>
      </c>
      <c r="T465" s="14">
        <f>IF(F465="","",IF(OR(G465="",I465="",J465=""),"CEK data SKU (nama/lebar/tinggi)",IF(COUNTIFS($F$2:$F$500,F465,$I$2:$I$500,"&lt;&gt;"&amp;I465)+COUNTIFS($F$2:$F$500,F465,$J$2:$J$500,"&lt;&gt;"&amp;J465)&gt;0,"CEK data SKU tidak konsisten",IF(Q465="zona tidak ada di layout","CEK zona_no / jenis_fixture",IF(D465&lt;&gt;Q465,"CEK jenis_zona",IF(S465&gt;IFERROR(INDEX(LAYOUT!$C$2:$C$33,MATCH(B465,LAYOUT!$A$2:$A$33,0)),0),"CEK lebar zona melebihi fixture","OK")))))</f>
        <v/>
      </c>
    </row>
    <row r="466">
      <c r="A466" s="15" t="n"/>
      <c r="B466" s="15" t="n"/>
      <c r="C466" s="16" t="n"/>
      <c r="D466" s="15" t="n"/>
      <c r="E466" s="16" t="n"/>
      <c r="F466" s="17" t="n"/>
      <c r="G466" s="15" t="n"/>
      <c r="H466" s="15" t="n"/>
      <c r="I466" s="16" t="n"/>
      <c r="J466" s="16" t="n"/>
      <c r="K466" s="16" t="n"/>
      <c r="L466" s="16" t="n"/>
      <c r="M466" s="16" t="n"/>
      <c r="N466" s="15" t="n"/>
      <c r="O466" s="16" t="n"/>
      <c r="P466" s="16" t="n"/>
      <c r="Q466" s="13">
        <f>IF(OR(B466="",C466=""),"",IFERROR(INDEX(LAYOUT!$E$2:$E$33,MATCH(B466&amp;"|"&amp;C466,LAYOUT!$F$2:$F$33,0)),"zona tidak ada di layout"))</f>
        <v/>
      </c>
      <c r="R466" s="14">
        <f>IF(F466="","",IF(OR(I466="",O466=""),0,I466*O466))</f>
        <v/>
      </c>
      <c r="S466" s="14">
        <f>IF(F466="","",SUMIFS($R$2:$R$500,$A$2:$A$500,A466,$C$2:$C$500,C466))</f>
        <v/>
      </c>
      <c r="T466" s="14">
        <f>IF(F466="","",IF(OR(G466="",I466="",J466=""),"CEK data SKU (nama/lebar/tinggi)",IF(COUNTIFS($F$2:$F$500,F466,$I$2:$I$500,"&lt;&gt;"&amp;I466)+COUNTIFS($F$2:$F$500,F466,$J$2:$J$500,"&lt;&gt;"&amp;J466)&gt;0,"CEK data SKU tidak konsisten",IF(Q466="zona tidak ada di layout","CEK zona_no / jenis_fixture",IF(D466&lt;&gt;Q466,"CEK jenis_zona",IF(S466&gt;IFERROR(INDEX(LAYOUT!$C$2:$C$33,MATCH(B466,LAYOUT!$A$2:$A$33,0)),0),"CEK lebar zona melebihi fixture","OK")))))</f>
        <v/>
      </c>
    </row>
    <row r="467">
      <c r="A467" s="15" t="n"/>
      <c r="B467" s="15" t="n"/>
      <c r="C467" s="16" t="n"/>
      <c r="D467" s="15" t="n"/>
      <c r="E467" s="16" t="n"/>
      <c r="F467" s="17" t="n"/>
      <c r="G467" s="15" t="n"/>
      <c r="H467" s="15" t="n"/>
      <c r="I467" s="16" t="n"/>
      <c r="J467" s="16" t="n"/>
      <c r="K467" s="16" t="n"/>
      <c r="L467" s="16" t="n"/>
      <c r="M467" s="16" t="n"/>
      <c r="N467" s="15" t="n"/>
      <c r="O467" s="16" t="n"/>
      <c r="P467" s="16" t="n"/>
      <c r="Q467" s="13">
        <f>IF(OR(B467="",C467=""),"",IFERROR(INDEX(LAYOUT!$E$2:$E$33,MATCH(B467&amp;"|"&amp;C467,LAYOUT!$F$2:$F$33,0)),"zona tidak ada di layout"))</f>
        <v/>
      </c>
      <c r="R467" s="14">
        <f>IF(F467="","",IF(OR(I467="",O467=""),0,I467*O467))</f>
        <v/>
      </c>
      <c r="S467" s="14">
        <f>IF(F467="","",SUMIFS($R$2:$R$500,$A$2:$A$500,A467,$C$2:$C$500,C467))</f>
        <v/>
      </c>
      <c r="T467" s="14">
        <f>IF(F467="","",IF(OR(G467="",I467="",J467=""),"CEK data SKU (nama/lebar/tinggi)",IF(COUNTIFS($F$2:$F$500,F467,$I$2:$I$500,"&lt;&gt;"&amp;I467)+COUNTIFS($F$2:$F$500,F467,$J$2:$J$500,"&lt;&gt;"&amp;J467)&gt;0,"CEK data SKU tidak konsisten",IF(Q467="zona tidak ada di layout","CEK zona_no / jenis_fixture",IF(D467&lt;&gt;Q467,"CEK jenis_zona",IF(S467&gt;IFERROR(INDEX(LAYOUT!$C$2:$C$33,MATCH(B467,LAYOUT!$A$2:$A$33,0)),0),"CEK lebar zona melebihi fixture","OK")))))</f>
        <v/>
      </c>
    </row>
    <row r="468">
      <c r="A468" s="15" t="n"/>
      <c r="B468" s="15" t="n"/>
      <c r="C468" s="16" t="n"/>
      <c r="D468" s="15" t="n"/>
      <c r="E468" s="16" t="n"/>
      <c r="F468" s="17" t="n"/>
      <c r="G468" s="15" t="n"/>
      <c r="H468" s="15" t="n"/>
      <c r="I468" s="16" t="n"/>
      <c r="J468" s="16" t="n"/>
      <c r="K468" s="16" t="n"/>
      <c r="L468" s="16" t="n"/>
      <c r="M468" s="16" t="n"/>
      <c r="N468" s="15" t="n"/>
      <c r="O468" s="16" t="n"/>
      <c r="P468" s="16" t="n"/>
      <c r="Q468" s="13">
        <f>IF(OR(B468="",C468=""),"",IFERROR(INDEX(LAYOUT!$E$2:$E$33,MATCH(B468&amp;"|"&amp;C468,LAYOUT!$F$2:$F$33,0)),"zona tidak ada di layout"))</f>
        <v/>
      </c>
      <c r="R468" s="14">
        <f>IF(F468="","",IF(OR(I468="",O468=""),0,I468*O468))</f>
        <v/>
      </c>
      <c r="S468" s="14">
        <f>IF(F468="","",SUMIFS($R$2:$R$500,$A$2:$A$500,A468,$C$2:$C$500,C468))</f>
        <v/>
      </c>
      <c r="T468" s="14">
        <f>IF(F468="","",IF(OR(G468="",I468="",J468=""),"CEK data SKU (nama/lebar/tinggi)",IF(COUNTIFS($F$2:$F$500,F468,$I$2:$I$500,"&lt;&gt;"&amp;I468)+COUNTIFS($F$2:$F$500,F468,$J$2:$J$500,"&lt;&gt;"&amp;J468)&gt;0,"CEK data SKU tidak konsisten",IF(Q468="zona tidak ada di layout","CEK zona_no / jenis_fixture",IF(D468&lt;&gt;Q468,"CEK jenis_zona",IF(S468&gt;IFERROR(INDEX(LAYOUT!$C$2:$C$33,MATCH(B468,LAYOUT!$A$2:$A$33,0)),0),"CEK lebar zona melebihi fixture","OK")))))</f>
        <v/>
      </c>
    </row>
    <row r="469">
      <c r="A469" s="15" t="n"/>
      <c r="B469" s="15" t="n"/>
      <c r="C469" s="16" t="n"/>
      <c r="D469" s="15" t="n"/>
      <c r="E469" s="16" t="n"/>
      <c r="F469" s="17" t="n"/>
      <c r="G469" s="15" t="n"/>
      <c r="H469" s="15" t="n"/>
      <c r="I469" s="16" t="n"/>
      <c r="J469" s="16" t="n"/>
      <c r="K469" s="16" t="n"/>
      <c r="L469" s="16" t="n"/>
      <c r="M469" s="16" t="n"/>
      <c r="N469" s="15" t="n"/>
      <c r="O469" s="16" t="n"/>
      <c r="P469" s="16" t="n"/>
      <c r="Q469" s="13">
        <f>IF(OR(B469="",C469=""),"",IFERROR(INDEX(LAYOUT!$E$2:$E$33,MATCH(B469&amp;"|"&amp;C469,LAYOUT!$F$2:$F$33,0)),"zona tidak ada di layout"))</f>
        <v/>
      </c>
      <c r="R469" s="14">
        <f>IF(F469="","",IF(OR(I469="",O469=""),0,I469*O469))</f>
        <v/>
      </c>
      <c r="S469" s="14">
        <f>IF(F469="","",SUMIFS($R$2:$R$500,$A$2:$A$500,A469,$C$2:$C$500,C469))</f>
        <v/>
      </c>
      <c r="T469" s="14">
        <f>IF(F469="","",IF(OR(G469="",I469="",J469=""),"CEK data SKU (nama/lebar/tinggi)",IF(COUNTIFS($F$2:$F$500,F469,$I$2:$I$500,"&lt;&gt;"&amp;I469)+COUNTIFS($F$2:$F$500,F469,$J$2:$J$500,"&lt;&gt;"&amp;J469)&gt;0,"CEK data SKU tidak konsisten",IF(Q469="zona tidak ada di layout","CEK zona_no / jenis_fixture",IF(D469&lt;&gt;Q469,"CEK jenis_zona",IF(S469&gt;IFERROR(INDEX(LAYOUT!$C$2:$C$33,MATCH(B469,LAYOUT!$A$2:$A$33,0)),0),"CEK lebar zona melebihi fixture","OK")))))</f>
        <v/>
      </c>
    </row>
    <row r="470">
      <c r="A470" s="15" t="n"/>
      <c r="B470" s="15" t="n"/>
      <c r="C470" s="16" t="n"/>
      <c r="D470" s="15" t="n"/>
      <c r="E470" s="16" t="n"/>
      <c r="F470" s="17" t="n"/>
      <c r="G470" s="15" t="n"/>
      <c r="H470" s="15" t="n"/>
      <c r="I470" s="16" t="n"/>
      <c r="J470" s="16" t="n"/>
      <c r="K470" s="16" t="n"/>
      <c r="L470" s="16" t="n"/>
      <c r="M470" s="16" t="n"/>
      <c r="N470" s="15" t="n"/>
      <c r="O470" s="16" t="n"/>
      <c r="P470" s="16" t="n"/>
      <c r="Q470" s="13">
        <f>IF(OR(B470="",C470=""),"",IFERROR(INDEX(LAYOUT!$E$2:$E$33,MATCH(B470&amp;"|"&amp;C470,LAYOUT!$F$2:$F$33,0)),"zona tidak ada di layout"))</f>
        <v/>
      </c>
      <c r="R470" s="14">
        <f>IF(F470="","",IF(OR(I470="",O470=""),0,I470*O470))</f>
        <v/>
      </c>
      <c r="S470" s="14">
        <f>IF(F470="","",SUMIFS($R$2:$R$500,$A$2:$A$500,A470,$C$2:$C$500,C470))</f>
        <v/>
      </c>
      <c r="T470" s="14">
        <f>IF(F470="","",IF(OR(G470="",I470="",J470=""),"CEK data SKU (nama/lebar/tinggi)",IF(COUNTIFS($F$2:$F$500,F470,$I$2:$I$500,"&lt;&gt;"&amp;I470)+COUNTIFS($F$2:$F$500,F470,$J$2:$J$500,"&lt;&gt;"&amp;J470)&gt;0,"CEK data SKU tidak konsisten",IF(Q470="zona tidak ada di layout","CEK zona_no / jenis_fixture",IF(D470&lt;&gt;Q470,"CEK jenis_zona",IF(S470&gt;IFERROR(INDEX(LAYOUT!$C$2:$C$33,MATCH(B470,LAYOUT!$A$2:$A$33,0)),0),"CEK lebar zona melebihi fixture","OK")))))</f>
        <v/>
      </c>
    </row>
    <row r="471">
      <c r="A471" s="15" t="n"/>
      <c r="B471" s="15" t="n"/>
      <c r="C471" s="16" t="n"/>
      <c r="D471" s="15" t="n"/>
      <c r="E471" s="16" t="n"/>
      <c r="F471" s="17" t="n"/>
      <c r="G471" s="15" t="n"/>
      <c r="H471" s="15" t="n"/>
      <c r="I471" s="16" t="n"/>
      <c r="J471" s="16" t="n"/>
      <c r="K471" s="16" t="n"/>
      <c r="L471" s="16" t="n"/>
      <c r="M471" s="16" t="n"/>
      <c r="N471" s="15" t="n"/>
      <c r="O471" s="16" t="n"/>
      <c r="P471" s="16" t="n"/>
      <c r="Q471" s="13">
        <f>IF(OR(B471="",C471=""),"",IFERROR(INDEX(LAYOUT!$E$2:$E$33,MATCH(B471&amp;"|"&amp;C471,LAYOUT!$F$2:$F$33,0)),"zona tidak ada di layout"))</f>
        <v/>
      </c>
      <c r="R471" s="14">
        <f>IF(F471="","",IF(OR(I471="",O471=""),0,I471*O471))</f>
        <v/>
      </c>
      <c r="S471" s="14">
        <f>IF(F471="","",SUMIFS($R$2:$R$500,$A$2:$A$500,A471,$C$2:$C$500,C471))</f>
        <v/>
      </c>
      <c r="T471" s="14">
        <f>IF(F471="","",IF(OR(G471="",I471="",J471=""),"CEK data SKU (nama/lebar/tinggi)",IF(COUNTIFS($F$2:$F$500,F471,$I$2:$I$500,"&lt;&gt;"&amp;I471)+COUNTIFS($F$2:$F$500,F471,$J$2:$J$500,"&lt;&gt;"&amp;J471)&gt;0,"CEK data SKU tidak konsisten",IF(Q471="zona tidak ada di layout","CEK zona_no / jenis_fixture",IF(D471&lt;&gt;Q471,"CEK jenis_zona",IF(S471&gt;IFERROR(INDEX(LAYOUT!$C$2:$C$33,MATCH(B471,LAYOUT!$A$2:$A$33,0)),0),"CEK lebar zona melebihi fixture","OK")))))</f>
        <v/>
      </c>
    </row>
    <row r="472">
      <c r="A472" s="15" t="n"/>
      <c r="B472" s="15" t="n"/>
      <c r="C472" s="16" t="n"/>
      <c r="D472" s="15" t="n"/>
      <c r="E472" s="16" t="n"/>
      <c r="F472" s="17" t="n"/>
      <c r="G472" s="15" t="n"/>
      <c r="H472" s="15" t="n"/>
      <c r="I472" s="16" t="n"/>
      <c r="J472" s="16" t="n"/>
      <c r="K472" s="16" t="n"/>
      <c r="L472" s="16" t="n"/>
      <c r="M472" s="16" t="n"/>
      <c r="N472" s="15" t="n"/>
      <c r="O472" s="16" t="n"/>
      <c r="P472" s="16" t="n"/>
      <c r="Q472" s="13">
        <f>IF(OR(B472="",C472=""),"",IFERROR(INDEX(LAYOUT!$E$2:$E$33,MATCH(B472&amp;"|"&amp;C472,LAYOUT!$F$2:$F$33,0)),"zona tidak ada di layout"))</f>
        <v/>
      </c>
      <c r="R472" s="14">
        <f>IF(F472="","",IF(OR(I472="",O472=""),0,I472*O472))</f>
        <v/>
      </c>
      <c r="S472" s="14">
        <f>IF(F472="","",SUMIFS($R$2:$R$500,$A$2:$A$500,A472,$C$2:$C$500,C472))</f>
        <v/>
      </c>
      <c r="T472" s="14">
        <f>IF(F472="","",IF(OR(G472="",I472="",J472=""),"CEK data SKU (nama/lebar/tinggi)",IF(COUNTIFS($F$2:$F$500,F472,$I$2:$I$500,"&lt;&gt;"&amp;I472)+COUNTIFS($F$2:$F$500,F472,$J$2:$J$500,"&lt;&gt;"&amp;J472)&gt;0,"CEK data SKU tidak konsisten",IF(Q472="zona tidak ada di layout","CEK zona_no / jenis_fixture",IF(D472&lt;&gt;Q472,"CEK jenis_zona",IF(S472&gt;IFERROR(INDEX(LAYOUT!$C$2:$C$33,MATCH(B472,LAYOUT!$A$2:$A$33,0)),0),"CEK lebar zona melebihi fixture","OK")))))</f>
        <v/>
      </c>
    </row>
    <row r="473">
      <c r="A473" s="15" t="n"/>
      <c r="B473" s="15" t="n"/>
      <c r="C473" s="16" t="n"/>
      <c r="D473" s="15" t="n"/>
      <c r="E473" s="16" t="n"/>
      <c r="F473" s="17" t="n"/>
      <c r="G473" s="15" t="n"/>
      <c r="H473" s="15" t="n"/>
      <c r="I473" s="16" t="n"/>
      <c r="J473" s="16" t="n"/>
      <c r="K473" s="16" t="n"/>
      <c r="L473" s="16" t="n"/>
      <c r="M473" s="16" t="n"/>
      <c r="N473" s="15" t="n"/>
      <c r="O473" s="16" t="n"/>
      <c r="P473" s="16" t="n"/>
      <c r="Q473" s="13">
        <f>IF(OR(B473="",C473=""),"",IFERROR(INDEX(LAYOUT!$E$2:$E$33,MATCH(B473&amp;"|"&amp;C473,LAYOUT!$F$2:$F$33,0)),"zona tidak ada di layout"))</f>
        <v/>
      </c>
      <c r="R473" s="14">
        <f>IF(F473="","",IF(OR(I473="",O473=""),0,I473*O473))</f>
        <v/>
      </c>
      <c r="S473" s="14">
        <f>IF(F473="","",SUMIFS($R$2:$R$500,$A$2:$A$500,A473,$C$2:$C$500,C473))</f>
        <v/>
      </c>
      <c r="T473" s="14">
        <f>IF(F473="","",IF(OR(G473="",I473="",J473=""),"CEK data SKU (nama/lebar/tinggi)",IF(COUNTIFS($F$2:$F$500,F473,$I$2:$I$500,"&lt;&gt;"&amp;I473)+COUNTIFS($F$2:$F$500,F473,$J$2:$J$500,"&lt;&gt;"&amp;J473)&gt;0,"CEK data SKU tidak konsisten",IF(Q473="zona tidak ada di layout","CEK zona_no / jenis_fixture",IF(D473&lt;&gt;Q473,"CEK jenis_zona",IF(S473&gt;IFERROR(INDEX(LAYOUT!$C$2:$C$33,MATCH(B473,LAYOUT!$A$2:$A$33,0)),0),"CEK lebar zona melebihi fixture","OK")))))</f>
        <v/>
      </c>
    </row>
    <row r="474">
      <c r="A474" s="15" t="n"/>
      <c r="B474" s="15" t="n"/>
      <c r="C474" s="16" t="n"/>
      <c r="D474" s="15" t="n"/>
      <c r="E474" s="16" t="n"/>
      <c r="F474" s="17" t="n"/>
      <c r="G474" s="15" t="n"/>
      <c r="H474" s="15" t="n"/>
      <c r="I474" s="16" t="n"/>
      <c r="J474" s="16" t="n"/>
      <c r="K474" s="16" t="n"/>
      <c r="L474" s="16" t="n"/>
      <c r="M474" s="16" t="n"/>
      <c r="N474" s="15" t="n"/>
      <c r="O474" s="16" t="n"/>
      <c r="P474" s="16" t="n"/>
      <c r="Q474" s="13">
        <f>IF(OR(B474="",C474=""),"",IFERROR(INDEX(LAYOUT!$E$2:$E$33,MATCH(B474&amp;"|"&amp;C474,LAYOUT!$F$2:$F$33,0)),"zona tidak ada di layout"))</f>
        <v/>
      </c>
      <c r="R474" s="14">
        <f>IF(F474="","",IF(OR(I474="",O474=""),0,I474*O474))</f>
        <v/>
      </c>
      <c r="S474" s="14">
        <f>IF(F474="","",SUMIFS($R$2:$R$500,$A$2:$A$500,A474,$C$2:$C$500,C474))</f>
        <v/>
      </c>
      <c r="T474" s="14">
        <f>IF(F474="","",IF(OR(G474="",I474="",J474=""),"CEK data SKU (nama/lebar/tinggi)",IF(COUNTIFS($F$2:$F$500,F474,$I$2:$I$500,"&lt;&gt;"&amp;I474)+COUNTIFS($F$2:$F$500,F474,$J$2:$J$500,"&lt;&gt;"&amp;J474)&gt;0,"CEK data SKU tidak konsisten",IF(Q474="zona tidak ada di layout","CEK zona_no / jenis_fixture",IF(D474&lt;&gt;Q474,"CEK jenis_zona",IF(S474&gt;IFERROR(INDEX(LAYOUT!$C$2:$C$33,MATCH(B474,LAYOUT!$A$2:$A$33,0)),0),"CEK lebar zona melebihi fixture","OK")))))</f>
        <v/>
      </c>
    </row>
    <row r="475">
      <c r="A475" s="15" t="n"/>
      <c r="B475" s="15" t="n"/>
      <c r="C475" s="16" t="n"/>
      <c r="D475" s="15" t="n"/>
      <c r="E475" s="16" t="n"/>
      <c r="F475" s="17" t="n"/>
      <c r="G475" s="15" t="n"/>
      <c r="H475" s="15" t="n"/>
      <c r="I475" s="16" t="n"/>
      <c r="J475" s="16" t="n"/>
      <c r="K475" s="16" t="n"/>
      <c r="L475" s="16" t="n"/>
      <c r="M475" s="16" t="n"/>
      <c r="N475" s="15" t="n"/>
      <c r="O475" s="16" t="n"/>
      <c r="P475" s="16" t="n"/>
      <c r="Q475" s="13">
        <f>IF(OR(B475="",C475=""),"",IFERROR(INDEX(LAYOUT!$E$2:$E$33,MATCH(B475&amp;"|"&amp;C475,LAYOUT!$F$2:$F$33,0)),"zona tidak ada di layout"))</f>
        <v/>
      </c>
      <c r="R475" s="14">
        <f>IF(F475="","",IF(OR(I475="",O475=""),0,I475*O475))</f>
        <v/>
      </c>
      <c r="S475" s="14">
        <f>IF(F475="","",SUMIFS($R$2:$R$500,$A$2:$A$500,A475,$C$2:$C$500,C475))</f>
        <v/>
      </c>
      <c r="T475" s="14">
        <f>IF(F475="","",IF(OR(G475="",I475="",J475=""),"CEK data SKU (nama/lebar/tinggi)",IF(COUNTIFS($F$2:$F$500,F475,$I$2:$I$500,"&lt;&gt;"&amp;I475)+COUNTIFS($F$2:$F$500,F475,$J$2:$J$500,"&lt;&gt;"&amp;J475)&gt;0,"CEK data SKU tidak konsisten",IF(Q475="zona tidak ada di layout","CEK zona_no / jenis_fixture",IF(D475&lt;&gt;Q475,"CEK jenis_zona",IF(S475&gt;IFERROR(INDEX(LAYOUT!$C$2:$C$33,MATCH(B475,LAYOUT!$A$2:$A$33,0)),0),"CEK lebar zona melebihi fixture","OK")))))</f>
        <v/>
      </c>
    </row>
    <row r="476">
      <c r="A476" s="15" t="n"/>
      <c r="B476" s="15" t="n"/>
      <c r="C476" s="16" t="n"/>
      <c r="D476" s="15" t="n"/>
      <c r="E476" s="16" t="n"/>
      <c r="F476" s="17" t="n"/>
      <c r="G476" s="15" t="n"/>
      <c r="H476" s="15" t="n"/>
      <c r="I476" s="16" t="n"/>
      <c r="J476" s="16" t="n"/>
      <c r="K476" s="16" t="n"/>
      <c r="L476" s="16" t="n"/>
      <c r="M476" s="16" t="n"/>
      <c r="N476" s="15" t="n"/>
      <c r="O476" s="16" t="n"/>
      <c r="P476" s="16" t="n"/>
      <c r="Q476" s="13">
        <f>IF(OR(B476="",C476=""),"",IFERROR(INDEX(LAYOUT!$E$2:$E$33,MATCH(B476&amp;"|"&amp;C476,LAYOUT!$F$2:$F$33,0)),"zona tidak ada di layout"))</f>
        <v/>
      </c>
      <c r="R476" s="14">
        <f>IF(F476="","",IF(OR(I476="",O476=""),0,I476*O476))</f>
        <v/>
      </c>
      <c r="S476" s="14">
        <f>IF(F476="","",SUMIFS($R$2:$R$500,$A$2:$A$500,A476,$C$2:$C$500,C476))</f>
        <v/>
      </c>
      <c r="T476" s="14">
        <f>IF(F476="","",IF(OR(G476="",I476="",J476=""),"CEK data SKU (nama/lebar/tinggi)",IF(COUNTIFS($F$2:$F$500,F476,$I$2:$I$500,"&lt;&gt;"&amp;I476)+COUNTIFS($F$2:$F$500,F476,$J$2:$J$500,"&lt;&gt;"&amp;J476)&gt;0,"CEK data SKU tidak konsisten",IF(Q476="zona tidak ada di layout","CEK zona_no / jenis_fixture",IF(D476&lt;&gt;Q476,"CEK jenis_zona",IF(S476&gt;IFERROR(INDEX(LAYOUT!$C$2:$C$33,MATCH(B476,LAYOUT!$A$2:$A$33,0)),0),"CEK lebar zona melebihi fixture","OK")))))</f>
        <v/>
      </c>
    </row>
    <row r="477">
      <c r="A477" s="15" t="n"/>
      <c r="B477" s="15" t="n"/>
      <c r="C477" s="16" t="n"/>
      <c r="D477" s="15" t="n"/>
      <c r="E477" s="16" t="n"/>
      <c r="F477" s="17" t="n"/>
      <c r="G477" s="15" t="n"/>
      <c r="H477" s="15" t="n"/>
      <c r="I477" s="16" t="n"/>
      <c r="J477" s="16" t="n"/>
      <c r="K477" s="16" t="n"/>
      <c r="L477" s="16" t="n"/>
      <c r="M477" s="16" t="n"/>
      <c r="N477" s="15" t="n"/>
      <c r="O477" s="16" t="n"/>
      <c r="P477" s="16" t="n"/>
      <c r="Q477" s="13">
        <f>IF(OR(B477="",C477=""),"",IFERROR(INDEX(LAYOUT!$E$2:$E$33,MATCH(B477&amp;"|"&amp;C477,LAYOUT!$F$2:$F$33,0)),"zona tidak ada di layout"))</f>
        <v/>
      </c>
      <c r="R477" s="14">
        <f>IF(F477="","",IF(OR(I477="",O477=""),0,I477*O477))</f>
        <v/>
      </c>
      <c r="S477" s="14">
        <f>IF(F477="","",SUMIFS($R$2:$R$500,$A$2:$A$500,A477,$C$2:$C$500,C477))</f>
        <v/>
      </c>
      <c r="T477" s="14">
        <f>IF(F477="","",IF(OR(G477="",I477="",J477=""),"CEK data SKU (nama/lebar/tinggi)",IF(COUNTIFS($F$2:$F$500,F477,$I$2:$I$500,"&lt;&gt;"&amp;I477)+COUNTIFS($F$2:$F$500,F477,$J$2:$J$500,"&lt;&gt;"&amp;J477)&gt;0,"CEK data SKU tidak konsisten",IF(Q477="zona tidak ada di layout","CEK zona_no / jenis_fixture",IF(D477&lt;&gt;Q477,"CEK jenis_zona",IF(S477&gt;IFERROR(INDEX(LAYOUT!$C$2:$C$33,MATCH(B477,LAYOUT!$A$2:$A$33,0)),0),"CEK lebar zona melebihi fixture","OK")))))</f>
        <v/>
      </c>
    </row>
    <row r="478">
      <c r="A478" s="15" t="n"/>
      <c r="B478" s="15" t="n"/>
      <c r="C478" s="16" t="n"/>
      <c r="D478" s="15" t="n"/>
      <c r="E478" s="16" t="n"/>
      <c r="F478" s="17" t="n"/>
      <c r="G478" s="15" t="n"/>
      <c r="H478" s="15" t="n"/>
      <c r="I478" s="16" t="n"/>
      <c r="J478" s="16" t="n"/>
      <c r="K478" s="16" t="n"/>
      <c r="L478" s="16" t="n"/>
      <c r="M478" s="16" t="n"/>
      <c r="N478" s="15" t="n"/>
      <c r="O478" s="16" t="n"/>
      <c r="P478" s="16" t="n"/>
      <c r="Q478" s="13">
        <f>IF(OR(B478="",C478=""),"",IFERROR(INDEX(LAYOUT!$E$2:$E$33,MATCH(B478&amp;"|"&amp;C478,LAYOUT!$F$2:$F$33,0)),"zona tidak ada di layout"))</f>
        <v/>
      </c>
      <c r="R478" s="14">
        <f>IF(F478="","",IF(OR(I478="",O478=""),0,I478*O478))</f>
        <v/>
      </c>
      <c r="S478" s="14">
        <f>IF(F478="","",SUMIFS($R$2:$R$500,$A$2:$A$500,A478,$C$2:$C$500,C478))</f>
        <v/>
      </c>
      <c r="T478" s="14">
        <f>IF(F478="","",IF(OR(G478="",I478="",J478=""),"CEK data SKU (nama/lebar/tinggi)",IF(COUNTIFS($F$2:$F$500,F478,$I$2:$I$500,"&lt;&gt;"&amp;I478)+COUNTIFS($F$2:$F$500,F478,$J$2:$J$500,"&lt;&gt;"&amp;J478)&gt;0,"CEK data SKU tidak konsisten",IF(Q478="zona tidak ada di layout","CEK zona_no / jenis_fixture",IF(D478&lt;&gt;Q478,"CEK jenis_zona",IF(S478&gt;IFERROR(INDEX(LAYOUT!$C$2:$C$33,MATCH(B478,LAYOUT!$A$2:$A$33,0)),0),"CEK lebar zona melebihi fixture","OK")))))</f>
        <v/>
      </c>
    </row>
    <row r="479">
      <c r="A479" s="15" t="n"/>
      <c r="B479" s="15" t="n"/>
      <c r="C479" s="16" t="n"/>
      <c r="D479" s="15" t="n"/>
      <c r="E479" s="16" t="n"/>
      <c r="F479" s="17" t="n"/>
      <c r="G479" s="15" t="n"/>
      <c r="H479" s="15" t="n"/>
      <c r="I479" s="16" t="n"/>
      <c r="J479" s="16" t="n"/>
      <c r="K479" s="16" t="n"/>
      <c r="L479" s="16" t="n"/>
      <c r="M479" s="16" t="n"/>
      <c r="N479" s="15" t="n"/>
      <c r="O479" s="16" t="n"/>
      <c r="P479" s="16" t="n"/>
      <c r="Q479" s="13">
        <f>IF(OR(B479="",C479=""),"",IFERROR(INDEX(LAYOUT!$E$2:$E$33,MATCH(B479&amp;"|"&amp;C479,LAYOUT!$F$2:$F$33,0)),"zona tidak ada di layout"))</f>
        <v/>
      </c>
      <c r="R479" s="14">
        <f>IF(F479="","",IF(OR(I479="",O479=""),0,I479*O479))</f>
        <v/>
      </c>
      <c r="S479" s="14">
        <f>IF(F479="","",SUMIFS($R$2:$R$500,$A$2:$A$500,A479,$C$2:$C$500,C479))</f>
        <v/>
      </c>
      <c r="T479" s="14">
        <f>IF(F479="","",IF(OR(G479="",I479="",J479=""),"CEK data SKU (nama/lebar/tinggi)",IF(COUNTIFS($F$2:$F$500,F479,$I$2:$I$500,"&lt;&gt;"&amp;I479)+COUNTIFS($F$2:$F$500,F479,$J$2:$J$500,"&lt;&gt;"&amp;J479)&gt;0,"CEK data SKU tidak konsisten",IF(Q479="zona tidak ada di layout","CEK zona_no / jenis_fixture",IF(D479&lt;&gt;Q479,"CEK jenis_zona",IF(S479&gt;IFERROR(INDEX(LAYOUT!$C$2:$C$33,MATCH(B479,LAYOUT!$A$2:$A$33,0)),0),"CEK lebar zona melebihi fixture","OK")))))</f>
        <v/>
      </c>
    </row>
    <row r="480">
      <c r="A480" s="15" t="n"/>
      <c r="B480" s="15" t="n"/>
      <c r="C480" s="16" t="n"/>
      <c r="D480" s="15" t="n"/>
      <c r="E480" s="16" t="n"/>
      <c r="F480" s="17" t="n"/>
      <c r="G480" s="15" t="n"/>
      <c r="H480" s="15" t="n"/>
      <c r="I480" s="16" t="n"/>
      <c r="J480" s="16" t="n"/>
      <c r="K480" s="16" t="n"/>
      <c r="L480" s="16" t="n"/>
      <c r="M480" s="16" t="n"/>
      <c r="N480" s="15" t="n"/>
      <c r="O480" s="16" t="n"/>
      <c r="P480" s="16" t="n"/>
      <c r="Q480" s="13">
        <f>IF(OR(B480="",C480=""),"",IFERROR(INDEX(LAYOUT!$E$2:$E$33,MATCH(B480&amp;"|"&amp;C480,LAYOUT!$F$2:$F$33,0)),"zona tidak ada di layout"))</f>
        <v/>
      </c>
      <c r="R480" s="14">
        <f>IF(F480="","",IF(OR(I480="",O480=""),0,I480*O480))</f>
        <v/>
      </c>
      <c r="S480" s="14">
        <f>IF(F480="","",SUMIFS($R$2:$R$500,$A$2:$A$500,A480,$C$2:$C$500,C480))</f>
        <v/>
      </c>
      <c r="T480" s="14">
        <f>IF(F480="","",IF(OR(G480="",I480="",J480=""),"CEK data SKU (nama/lebar/tinggi)",IF(COUNTIFS($F$2:$F$500,F480,$I$2:$I$500,"&lt;&gt;"&amp;I480)+COUNTIFS($F$2:$F$500,F480,$J$2:$J$500,"&lt;&gt;"&amp;J480)&gt;0,"CEK data SKU tidak konsisten",IF(Q480="zona tidak ada di layout","CEK zona_no / jenis_fixture",IF(D480&lt;&gt;Q480,"CEK jenis_zona",IF(S480&gt;IFERROR(INDEX(LAYOUT!$C$2:$C$33,MATCH(B480,LAYOUT!$A$2:$A$33,0)),0),"CEK lebar zona melebihi fixture","OK")))))</f>
        <v/>
      </c>
    </row>
    <row r="481">
      <c r="A481" s="15" t="n"/>
      <c r="B481" s="15" t="n"/>
      <c r="C481" s="16" t="n"/>
      <c r="D481" s="15" t="n"/>
      <c r="E481" s="16" t="n"/>
      <c r="F481" s="17" t="n"/>
      <c r="G481" s="15" t="n"/>
      <c r="H481" s="15" t="n"/>
      <c r="I481" s="16" t="n"/>
      <c r="J481" s="16" t="n"/>
      <c r="K481" s="16" t="n"/>
      <c r="L481" s="16" t="n"/>
      <c r="M481" s="16" t="n"/>
      <c r="N481" s="15" t="n"/>
      <c r="O481" s="16" t="n"/>
      <c r="P481" s="16" t="n"/>
      <c r="Q481" s="13">
        <f>IF(OR(B481="",C481=""),"",IFERROR(INDEX(LAYOUT!$E$2:$E$33,MATCH(B481&amp;"|"&amp;C481,LAYOUT!$F$2:$F$33,0)),"zona tidak ada di layout"))</f>
        <v/>
      </c>
      <c r="R481" s="14">
        <f>IF(F481="","",IF(OR(I481="",O481=""),0,I481*O481))</f>
        <v/>
      </c>
      <c r="S481" s="14">
        <f>IF(F481="","",SUMIFS($R$2:$R$500,$A$2:$A$500,A481,$C$2:$C$500,C481))</f>
        <v/>
      </c>
      <c r="T481" s="14">
        <f>IF(F481="","",IF(OR(G481="",I481="",J481=""),"CEK data SKU (nama/lebar/tinggi)",IF(COUNTIFS($F$2:$F$500,F481,$I$2:$I$500,"&lt;&gt;"&amp;I481)+COUNTIFS($F$2:$F$500,F481,$J$2:$J$500,"&lt;&gt;"&amp;J481)&gt;0,"CEK data SKU tidak konsisten",IF(Q481="zona tidak ada di layout","CEK zona_no / jenis_fixture",IF(D481&lt;&gt;Q481,"CEK jenis_zona",IF(S481&gt;IFERROR(INDEX(LAYOUT!$C$2:$C$33,MATCH(B481,LAYOUT!$A$2:$A$33,0)),0),"CEK lebar zona melebihi fixture","OK")))))</f>
        <v/>
      </c>
    </row>
    <row r="482">
      <c r="A482" s="15" t="n"/>
      <c r="B482" s="15" t="n"/>
      <c r="C482" s="16" t="n"/>
      <c r="D482" s="15" t="n"/>
      <c r="E482" s="16" t="n"/>
      <c r="F482" s="17" t="n"/>
      <c r="G482" s="15" t="n"/>
      <c r="H482" s="15" t="n"/>
      <c r="I482" s="16" t="n"/>
      <c r="J482" s="16" t="n"/>
      <c r="K482" s="16" t="n"/>
      <c r="L482" s="16" t="n"/>
      <c r="M482" s="16" t="n"/>
      <c r="N482" s="15" t="n"/>
      <c r="O482" s="16" t="n"/>
      <c r="P482" s="16" t="n"/>
      <c r="Q482" s="13">
        <f>IF(OR(B482="",C482=""),"",IFERROR(INDEX(LAYOUT!$E$2:$E$33,MATCH(B482&amp;"|"&amp;C482,LAYOUT!$F$2:$F$33,0)),"zona tidak ada di layout"))</f>
        <v/>
      </c>
      <c r="R482" s="14">
        <f>IF(F482="","",IF(OR(I482="",O482=""),0,I482*O482))</f>
        <v/>
      </c>
      <c r="S482" s="14">
        <f>IF(F482="","",SUMIFS($R$2:$R$500,$A$2:$A$500,A482,$C$2:$C$500,C482))</f>
        <v/>
      </c>
      <c r="T482" s="14">
        <f>IF(F482="","",IF(OR(G482="",I482="",J482=""),"CEK data SKU (nama/lebar/tinggi)",IF(COUNTIFS($F$2:$F$500,F482,$I$2:$I$500,"&lt;&gt;"&amp;I482)+COUNTIFS($F$2:$F$500,F482,$J$2:$J$500,"&lt;&gt;"&amp;J482)&gt;0,"CEK data SKU tidak konsisten",IF(Q482="zona tidak ada di layout","CEK zona_no / jenis_fixture",IF(D482&lt;&gt;Q482,"CEK jenis_zona",IF(S482&gt;IFERROR(INDEX(LAYOUT!$C$2:$C$33,MATCH(B482,LAYOUT!$A$2:$A$33,0)),0),"CEK lebar zona melebihi fixture","OK")))))</f>
        <v/>
      </c>
    </row>
    <row r="483">
      <c r="A483" s="15" t="n"/>
      <c r="B483" s="15" t="n"/>
      <c r="C483" s="16" t="n"/>
      <c r="D483" s="15" t="n"/>
      <c r="E483" s="16" t="n"/>
      <c r="F483" s="17" t="n"/>
      <c r="G483" s="15" t="n"/>
      <c r="H483" s="15" t="n"/>
      <c r="I483" s="16" t="n"/>
      <c r="J483" s="16" t="n"/>
      <c r="K483" s="16" t="n"/>
      <c r="L483" s="16" t="n"/>
      <c r="M483" s="16" t="n"/>
      <c r="N483" s="15" t="n"/>
      <c r="O483" s="16" t="n"/>
      <c r="P483" s="16" t="n"/>
      <c r="Q483" s="13">
        <f>IF(OR(B483="",C483=""),"",IFERROR(INDEX(LAYOUT!$E$2:$E$33,MATCH(B483&amp;"|"&amp;C483,LAYOUT!$F$2:$F$33,0)),"zona tidak ada di layout"))</f>
        <v/>
      </c>
      <c r="R483" s="14">
        <f>IF(F483="","",IF(OR(I483="",O483=""),0,I483*O483))</f>
        <v/>
      </c>
      <c r="S483" s="14">
        <f>IF(F483="","",SUMIFS($R$2:$R$500,$A$2:$A$500,A483,$C$2:$C$500,C483))</f>
        <v/>
      </c>
      <c r="T483" s="14">
        <f>IF(F483="","",IF(OR(G483="",I483="",J483=""),"CEK data SKU (nama/lebar/tinggi)",IF(COUNTIFS($F$2:$F$500,F483,$I$2:$I$500,"&lt;&gt;"&amp;I483)+COUNTIFS($F$2:$F$500,F483,$J$2:$J$500,"&lt;&gt;"&amp;J483)&gt;0,"CEK data SKU tidak konsisten",IF(Q483="zona tidak ada di layout","CEK zona_no / jenis_fixture",IF(D483&lt;&gt;Q483,"CEK jenis_zona",IF(S483&gt;IFERROR(INDEX(LAYOUT!$C$2:$C$33,MATCH(B483,LAYOUT!$A$2:$A$33,0)),0),"CEK lebar zona melebihi fixture","OK")))))</f>
        <v/>
      </c>
    </row>
    <row r="484">
      <c r="A484" s="15" t="n"/>
      <c r="B484" s="15" t="n"/>
      <c r="C484" s="16" t="n"/>
      <c r="D484" s="15" t="n"/>
      <c r="E484" s="16" t="n"/>
      <c r="F484" s="17" t="n"/>
      <c r="G484" s="15" t="n"/>
      <c r="H484" s="15" t="n"/>
      <c r="I484" s="16" t="n"/>
      <c r="J484" s="16" t="n"/>
      <c r="K484" s="16" t="n"/>
      <c r="L484" s="16" t="n"/>
      <c r="M484" s="16" t="n"/>
      <c r="N484" s="15" t="n"/>
      <c r="O484" s="16" t="n"/>
      <c r="P484" s="16" t="n"/>
      <c r="Q484" s="13">
        <f>IF(OR(B484="",C484=""),"",IFERROR(INDEX(LAYOUT!$E$2:$E$33,MATCH(B484&amp;"|"&amp;C484,LAYOUT!$F$2:$F$33,0)),"zona tidak ada di layout"))</f>
        <v/>
      </c>
      <c r="R484" s="14">
        <f>IF(F484="","",IF(OR(I484="",O484=""),0,I484*O484))</f>
        <v/>
      </c>
      <c r="S484" s="14">
        <f>IF(F484="","",SUMIFS($R$2:$R$500,$A$2:$A$500,A484,$C$2:$C$500,C484))</f>
        <v/>
      </c>
      <c r="T484" s="14">
        <f>IF(F484="","",IF(OR(G484="",I484="",J484=""),"CEK data SKU (nama/lebar/tinggi)",IF(COUNTIFS($F$2:$F$500,F484,$I$2:$I$500,"&lt;&gt;"&amp;I484)+COUNTIFS($F$2:$F$500,F484,$J$2:$J$500,"&lt;&gt;"&amp;J484)&gt;0,"CEK data SKU tidak konsisten",IF(Q484="zona tidak ada di layout","CEK zona_no / jenis_fixture",IF(D484&lt;&gt;Q484,"CEK jenis_zona",IF(S484&gt;IFERROR(INDEX(LAYOUT!$C$2:$C$33,MATCH(B484,LAYOUT!$A$2:$A$33,0)),0),"CEK lebar zona melebihi fixture","OK")))))</f>
        <v/>
      </c>
    </row>
    <row r="485">
      <c r="A485" s="15" t="n"/>
      <c r="B485" s="15" t="n"/>
      <c r="C485" s="16" t="n"/>
      <c r="D485" s="15" t="n"/>
      <c r="E485" s="16" t="n"/>
      <c r="F485" s="17" t="n"/>
      <c r="G485" s="15" t="n"/>
      <c r="H485" s="15" t="n"/>
      <c r="I485" s="16" t="n"/>
      <c r="J485" s="16" t="n"/>
      <c r="K485" s="16" t="n"/>
      <c r="L485" s="16" t="n"/>
      <c r="M485" s="16" t="n"/>
      <c r="N485" s="15" t="n"/>
      <c r="O485" s="16" t="n"/>
      <c r="P485" s="16" t="n"/>
      <c r="Q485" s="13">
        <f>IF(OR(B485="",C485=""),"",IFERROR(INDEX(LAYOUT!$E$2:$E$33,MATCH(B485&amp;"|"&amp;C485,LAYOUT!$F$2:$F$33,0)),"zona tidak ada di layout"))</f>
        <v/>
      </c>
      <c r="R485" s="14">
        <f>IF(F485="","",IF(OR(I485="",O485=""),0,I485*O485))</f>
        <v/>
      </c>
      <c r="S485" s="14">
        <f>IF(F485="","",SUMIFS($R$2:$R$500,$A$2:$A$500,A485,$C$2:$C$500,C485))</f>
        <v/>
      </c>
      <c r="T485" s="14">
        <f>IF(F485="","",IF(OR(G485="",I485="",J485=""),"CEK data SKU (nama/lebar/tinggi)",IF(COUNTIFS($F$2:$F$500,F485,$I$2:$I$500,"&lt;&gt;"&amp;I485)+COUNTIFS($F$2:$F$500,F485,$J$2:$J$500,"&lt;&gt;"&amp;J485)&gt;0,"CEK data SKU tidak konsisten",IF(Q485="zona tidak ada di layout","CEK zona_no / jenis_fixture",IF(D485&lt;&gt;Q485,"CEK jenis_zona",IF(S485&gt;IFERROR(INDEX(LAYOUT!$C$2:$C$33,MATCH(B485,LAYOUT!$A$2:$A$33,0)),0),"CEK lebar zona melebihi fixture","OK")))))</f>
        <v/>
      </c>
    </row>
    <row r="486">
      <c r="A486" s="15" t="n"/>
      <c r="B486" s="15" t="n"/>
      <c r="C486" s="16" t="n"/>
      <c r="D486" s="15" t="n"/>
      <c r="E486" s="16" t="n"/>
      <c r="F486" s="17" t="n"/>
      <c r="G486" s="15" t="n"/>
      <c r="H486" s="15" t="n"/>
      <c r="I486" s="16" t="n"/>
      <c r="J486" s="16" t="n"/>
      <c r="K486" s="16" t="n"/>
      <c r="L486" s="16" t="n"/>
      <c r="M486" s="16" t="n"/>
      <c r="N486" s="15" t="n"/>
      <c r="O486" s="16" t="n"/>
      <c r="P486" s="16" t="n"/>
      <c r="Q486" s="13">
        <f>IF(OR(B486="",C486=""),"",IFERROR(INDEX(LAYOUT!$E$2:$E$33,MATCH(B486&amp;"|"&amp;C486,LAYOUT!$F$2:$F$33,0)),"zona tidak ada di layout"))</f>
        <v/>
      </c>
      <c r="R486" s="14">
        <f>IF(F486="","",IF(OR(I486="",O486=""),0,I486*O486))</f>
        <v/>
      </c>
      <c r="S486" s="14">
        <f>IF(F486="","",SUMIFS($R$2:$R$500,$A$2:$A$500,A486,$C$2:$C$500,C486))</f>
        <v/>
      </c>
      <c r="T486" s="14">
        <f>IF(F486="","",IF(OR(G486="",I486="",J486=""),"CEK data SKU (nama/lebar/tinggi)",IF(COUNTIFS($F$2:$F$500,F486,$I$2:$I$500,"&lt;&gt;"&amp;I486)+COUNTIFS($F$2:$F$500,F486,$J$2:$J$500,"&lt;&gt;"&amp;J486)&gt;0,"CEK data SKU tidak konsisten",IF(Q486="zona tidak ada di layout","CEK zona_no / jenis_fixture",IF(D486&lt;&gt;Q486,"CEK jenis_zona",IF(S486&gt;IFERROR(INDEX(LAYOUT!$C$2:$C$33,MATCH(B486,LAYOUT!$A$2:$A$33,0)),0),"CEK lebar zona melebihi fixture","OK")))))</f>
        <v/>
      </c>
    </row>
    <row r="487">
      <c r="A487" s="15" t="n"/>
      <c r="B487" s="15" t="n"/>
      <c r="C487" s="16" t="n"/>
      <c r="D487" s="15" t="n"/>
      <c r="E487" s="16" t="n"/>
      <c r="F487" s="17" t="n"/>
      <c r="G487" s="15" t="n"/>
      <c r="H487" s="15" t="n"/>
      <c r="I487" s="16" t="n"/>
      <c r="J487" s="16" t="n"/>
      <c r="K487" s="16" t="n"/>
      <c r="L487" s="16" t="n"/>
      <c r="M487" s="16" t="n"/>
      <c r="N487" s="15" t="n"/>
      <c r="O487" s="16" t="n"/>
      <c r="P487" s="16" t="n"/>
      <c r="Q487" s="13">
        <f>IF(OR(B487="",C487=""),"",IFERROR(INDEX(LAYOUT!$E$2:$E$33,MATCH(B487&amp;"|"&amp;C487,LAYOUT!$F$2:$F$33,0)),"zona tidak ada di layout"))</f>
        <v/>
      </c>
      <c r="R487" s="14">
        <f>IF(F487="","",IF(OR(I487="",O487=""),0,I487*O487))</f>
        <v/>
      </c>
      <c r="S487" s="14">
        <f>IF(F487="","",SUMIFS($R$2:$R$500,$A$2:$A$500,A487,$C$2:$C$500,C487))</f>
        <v/>
      </c>
      <c r="T487" s="14">
        <f>IF(F487="","",IF(OR(G487="",I487="",J487=""),"CEK data SKU (nama/lebar/tinggi)",IF(COUNTIFS($F$2:$F$500,F487,$I$2:$I$500,"&lt;&gt;"&amp;I487)+COUNTIFS($F$2:$F$500,F487,$J$2:$J$500,"&lt;&gt;"&amp;J487)&gt;0,"CEK data SKU tidak konsisten",IF(Q487="zona tidak ada di layout","CEK zona_no / jenis_fixture",IF(D487&lt;&gt;Q487,"CEK jenis_zona",IF(S487&gt;IFERROR(INDEX(LAYOUT!$C$2:$C$33,MATCH(B487,LAYOUT!$A$2:$A$33,0)),0),"CEK lebar zona melebihi fixture","OK")))))</f>
        <v/>
      </c>
    </row>
    <row r="488">
      <c r="A488" s="15" t="n"/>
      <c r="B488" s="15" t="n"/>
      <c r="C488" s="16" t="n"/>
      <c r="D488" s="15" t="n"/>
      <c r="E488" s="16" t="n"/>
      <c r="F488" s="17" t="n"/>
      <c r="G488" s="15" t="n"/>
      <c r="H488" s="15" t="n"/>
      <c r="I488" s="16" t="n"/>
      <c r="J488" s="16" t="n"/>
      <c r="K488" s="16" t="n"/>
      <c r="L488" s="16" t="n"/>
      <c r="M488" s="16" t="n"/>
      <c r="N488" s="15" t="n"/>
      <c r="O488" s="16" t="n"/>
      <c r="P488" s="16" t="n"/>
      <c r="Q488" s="13">
        <f>IF(OR(B488="",C488=""),"",IFERROR(INDEX(LAYOUT!$E$2:$E$33,MATCH(B488&amp;"|"&amp;C488,LAYOUT!$F$2:$F$33,0)),"zona tidak ada di layout"))</f>
        <v/>
      </c>
      <c r="R488" s="14">
        <f>IF(F488="","",IF(OR(I488="",O488=""),0,I488*O488))</f>
        <v/>
      </c>
      <c r="S488" s="14">
        <f>IF(F488="","",SUMIFS($R$2:$R$500,$A$2:$A$500,A488,$C$2:$C$500,C488))</f>
        <v/>
      </c>
      <c r="T488" s="14">
        <f>IF(F488="","",IF(OR(G488="",I488="",J488=""),"CEK data SKU (nama/lebar/tinggi)",IF(COUNTIFS($F$2:$F$500,F488,$I$2:$I$500,"&lt;&gt;"&amp;I488)+COUNTIFS($F$2:$F$500,F488,$J$2:$J$500,"&lt;&gt;"&amp;J488)&gt;0,"CEK data SKU tidak konsisten",IF(Q488="zona tidak ada di layout","CEK zona_no / jenis_fixture",IF(D488&lt;&gt;Q488,"CEK jenis_zona",IF(S488&gt;IFERROR(INDEX(LAYOUT!$C$2:$C$33,MATCH(B488,LAYOUT!$A$2:$A$33,0)),0),"CEK lebar zona melebihi fixture","OK")))))</f>
        <v/>
      </c>
    </row>
    <row r="489">
      <c r="A489" s="15" t="n"/>
      <c r="B489" s="15" t="n"/>
      <c r="C489" s="16" t="n"/>
      <c r="D489" s="15" t="n"/>
      <c r="E489" s="16" t="n"/>
      <c r="F489" s="17" t="n"/>
      <c r="G489" s="15" t="n"/>
      <c r="H489" s="15" t="n"/>
      <c r="I489" s="16" t="n"/>
      <c r="J489" s="16" t="n"/>
      <c r="K489" s="16" t="n"/>
      <c r="L489" s="16" t="n"/>
      <c r="M489" s="16" t="n"/>
      <c r="N489" s="15" t="n"/>
      <c r="O489" s="16" t="n"/>
      <c r="P489" s="16" t="n"/>
      <c r="Q489" s="13">
        <f>IF(OR(B489="",C489=""),"",IFERROR(INDEX(LAYOUT!$E$2:$E$33,MATCH(B489&amp;"|"&amp;C489,LAYOUT!$F$2:$F$33,0)),"zona tidak ada di layout"))</f>
        <v/>
      </c>
      <c r="R489" s="14">
        <f>IF(F489="","",IF(OR(I489="",O489=""),0,I489*O489))</f>
        <v/>
      </c>
      <c r="S489" s="14">
        <f>IF(F489="","",SUMIFS($R$2:$R$500,$A$2:$A$500,A489,$C$2:$C$500,C489))</f>
        <v/>
      </c>
      <c r="T489" s="14">
        <f>IF(F489="","",IF(OR(G489="",I489="",J489=""),"CEK data SKU (nama/lebar/tinggi)",IF(COUNTIFS($F$2:$F$500,F489,$I$2:$I$500,"&lt;&gt;"&amp;I489)+COUNTIFS($F$2:$F$500,F489,$J$2:$J$500,"&lt;&gt;"&amp;J489)&gt;0,"CEK data SKU tidak konsisten",IF(Q489="zona tidak ada di layout","CEK zona_no / jenis_fixture",IF(D489&lt;&gt;Q489,"CEK jenis_zona",IF(S489&gt;IFERROR(INDEX(LAYOUT!$C$2:$C$33,MATCH(B489,LAYOUT!$A$2:$A$33,0)),0),"CEK lebar zona melebihi fixture","OK")))))</f>
        <v/>
      </c>
    </row>
    <row r="490">
      <c r="A490" s="15" t="n"/>
      <c r="B490" s="15" t="n"/>
      <c r="C490" s="16" t="n"/>
      <c r="D490" s="15" t="n"/>
      <c r="E490" s="16" t="n"/>
      <c r="F490" s="17" t="n"/>
      <c r="G490" s="15" t="n"/>
      <c r="H490" s="15" t="n"/>
      <c r="I490" s="16" t="n"/>
      <c r="J490" s="16" t="n"/>
      <c r="K490" s="16" t="n"/>
      <c r="L490" s="16" t="n"/>
      <c r="M490" s="16" t="n"/>
      <c r="N490" s="15" t="n"/>
      <c r="O490" s="16" t="n"/>
      <c r="P490" s="16" t="n"/>
      <c r="Q490" s="13">
        <f>IF(OR(B490="",C490=""),"",IFERROR(INDEX(LAYOUT!$E$2:$E$33,MATCH(B490&amp;"|"&amp;C490,LAYOUT!$F$2:$F$33,0)),"zona tidak ada di layout"))</f>
        <v/>
      </c>
      <c r="R490" s="14">
        <f>IF(F490="","",IF(OR(I490="",O490=""),0,I490*O490))</f>
        <v/>
      </c>
      <c r="S490" s="14">
        <f>IF(F490="","",SUMIFS($R$2:$R$500,$A$2:$A$500,A490,$C$2:$C$500,C490))</f>
        <v/>
      </c>
      <c r="T490" s="14">
        <f>IF(F490="","",IF(OR(G490="",I490="",J490=""),"CEK data SKU (nama/lebar/tinggi)",IF(COUNTIFS($F$2:$F$500,F490,$I$2:$I$500,"&lt;&gt;"&amp;I490)+COUNTIFS($F$2:$F$500,F490,$J$2:$J$500,"&lt;&gt;"&amp;J490)&gt;0,"CEK data SKU tidak konsisten",IF(Q490="zona tidak ada di layout","CEK zona_no / jenis_fixture",IF(D490&lt;&gt;Q490,"CEK jenis_zona",IF(S490&gt;IFERROR(INDEX(LAYOUT!$C$2:$C$33,MATCH(B490,LAYOUT!$A$2:$A$33,0)),0),"CEK lebar zona melebihi fixture","OK")))))</f>
        <v/>
      </c>
    </row>
    <row r="491">
      <c r="A491" s="15" t="n"/>
      <c r="B491" s="15" t="n"/>
      <c r="C491" s="16" t="n"/>
      <c r="D491" s="15" t="n"/>
      <c r="E491" s="16" t="n"/>
      <c r="F491" s="17" t="n"/>
      <c r="G491" s="15" t="n"/>
      <c r="H491" s="15" t="n"/>
      <c r="I491" s="16" t="n"/>
      <c r="J491" s="16" t="n"/>
      <c r="K491" s="16" t="n"/>
      <c r="L491" s="16" t="n"/>
      <c r="M491" s="16" t="n"/>
      <c r="N491" s="15" t="n"/>
      <c r="O491" s="16" t="n"/>
      <c r="P491" s="16" t="n"/>
      <c r="Q491" s="13">
        <f>IF(OR(B491="",C491=""),"",IFERROR(INDEX(LAYOUT!$E$2:$E$33,MATCH(B491&amp;"|"&amp;C491,LAYOUT!$F$2:$F$33,0)),"zona tidak ada di layout"))</f>
        <v/>
      </c>
      <c r="R491" s="14">
        <f>IF(F491="","",IF(OR(I491="",O491=""),0,I491*O491))</f>
        <v/>
      </c>
      <c r="S491" s="14">
        <f>IF(F491="","",SUMIFS($R$2:$R$500,$A$2:$A$500,A491,$C$2:$C$500,C491))</f>
        <v/>
      </c>
      <c r="T491" s="14">
        <f>IF(F491="","",IF(OR(G491="",I491="",J491=""),"CEK data SKU (nama/lebar/tinggi)",IF(COUNTIFS($F$2:$F$500,F491,$I$2:$I$500,"&lt;&gt;"&amp;I491)+COUNTIFS($F$2:$F$500,F491,$J$2:$J$500,"&lt;&gt;"&amp;J491)&gt;0,"CEK data SKU tidak konsisten",IF(Q491="zona tidak ada di layout","CEK zona_no / jenis_fixture",IF(D491&lt;&gt;Q491,"CEK jenis_zona",IF(S491&gt;IFERROR(INDEX(LAYOUT!$C$2:$C$33,MATCH(B491,LAYOUT!$A$2:$A$33,0)),0),"CEK lebar zona melebihi fixture","OK")))))</f>
        <v/>
      </c>
    </row>
    <row r="492">
      <c r="A492" s="15" t="n"/>
      <c r="B492" s="15" t="n"/>
      <c r="C492" s="16" t="n"/>
      <c r="D492" s="15" t="n"/>
      <c r="E492" s="16" t="n"/>
      <c r="F492" s="17" t="n"/>
      <c r="G492" s="15" t="n"/>
      <c r="H492" s="15" t="n"/>
      <c r="I492" s="16" t="n"/>
      <c r="J492" s="16" t="n"/>
      <c r="K492" s="16" t="n"/>
      <c r="L492" s="16" t="n"/>
      <c r="M492" s="16" t="n"/>
      <c r="N492" s="15" t="n"/>
      <c r="O492" s="16" t="n"/>
      <c r="P492" s="16" t="n"/>
      <c r="Q492" s="13">
        <f>IF(OR(B492="",C492=""),"",IFERROR(INDEX(LAYOUT!$E$2:$E$33,MATCH(B492&amp;"|"&amp;C492,LAYOUT!$F$2:$F$33,0)),"zona tidak ada di layout"))</f>
        <v/>
      </c>
      <c r="R492" s="14">
        <f>IF(F492="","",IF(OR(I492="",O492=""),0,I492*O492))</f>
        <v/>
      </c>
      <c r="S492" s="14">
        <f>IF(F492="","",SUMIFS($R$2:$R$500,$A$2:$A$500,A492,$C$2:$C$500,C492))</f>
        <v/>
      </c>
      <c r="T492" s="14">
        <f>IF(F492="","",IF(OR(G492="",I492="",J492=""),"CEK data SKU (nama/lebar/tinggi)",IF(COUNTIFS($F$2:$F$500,F492,$I$2:$I$500,"&lt;&gt;"&amp;I492)+COUNTIFS($F$2:$F$500,F492,$J$2:$J$500,"&lt;&gt;"&amp;J492)&gt;0,"CEK data SKU tidak konsisten",IF(Q492="zona tidak ada di layout","CEK zona_no / jenis_fixture",IF(D492&lt;&gt;Q492,"CEK jenis_zona",IF(S492&gt;IFERROR(INDEX(LAYOUT!$C$2:$C$33,MATCH(B492,LAYOUT!$A$2:$A$33,0)),0),"CEK lebar zona melebihi fixture","OK")))))</f>
        <v/>
      </c>
    </row>
    <row r="493">
      <c r="A493" s="15" t="n"/>
      <c r="B493" s="15" t="n"/>
      <c r="C493" s="16" t="n"/>
      <c r="D493" s="15" t="n"/>
      <c r="E493" s="16" t="n"/>
      <c r="F493" s="17" t="n"/>
      <c r="G493" s="15" t="n"/>
      <c r="H493" s="15" t="n"/>
      <c r="I493" s="16" t="n"/>
      <c r="J493" s="16" t="n"/>
      <c r="K493" s="16" t="n"/>
      <c r="L493" s="16" t="n"/>
      <c r="M493" s="16" t="n"/>
      <c r="N493" s="15" t="n"/>
      <c r="O493" s="16" t="n"/>
      <c r="P493" s="16" t="n"/>
      <c r="Q493" s="13">
        <f>IF(OR(B493="",C493=""),"",IFERROR(INDEX(LAYOUT!$E$2:$E$33,MATCH(B493&amp;"|"&amp;C493,LAYOUT!$F$2:$F$33,0)),"zona tidak ada di layout"))</f>
        <v/>
      </c>
      <c r="R493" s="14">
        <f>IF(F493="","",IF(OR(I493="",O493=""),0,I493*O493))</f>
        <v/>
      </c>
      <c r="S493" s="14">
        <f>IF(F493="","",SUMIFS($R$2:$R$500,$A$2:$A$500,A493,$C$2:$C$500,C493))</f>
        <v/>
      </c>
      <c r="T493" s="14">
        <f>IF(F493="","",IF(OR(G493="",I493="",J493=""),"CEK data SKU (nama/lebar/tinggi)",IF(COUNTIFS($F$2:$F$500,F493,$I$2:$I$500,"&lt;&gt;"&amp;I493)+COUNTIFS($F$2:$F$500,F493,$J$2:$J$500,"&lt;&gt;"&amp;J493)&gt;0,"CEK data SKU tidak konsisten",IF(Q493="zona tidak ada di layout","CEK zona_no / jenis_fixture",IF(D493&lt;&gt;Q493,"CEK jenis_zona",IF(S493&gt;IFERROR(INDEX(LAYOUT!$C$2:$C$33,MATCH(B493,LAYOUT!$A$2:$A$33,0)),0),"CEK lebar zona melebihi fixture","OK")))))</f>
        <v/>
      </c>
    </row>
    <row r="494">
      <c r="A494" s="15" t="n"/>
      <c r="B494" s="15" t="n"/>
      <c r="C494" s="16" t="n"/>
      <c r="D494" s="15" t="n"/>
      <c r="E494" s="16" t="n"/>
      <c r="F494" s="17" t="n"/>
      <c r="G494" s="15" t="n"/>
      <c r="H494" s="15" t="n"/>
      <c r="I494" s="16" t="n"/>
      <c r="J494" s="16" t="n"/>
      <c r="K494" s="16" t="n"/>
      <c r="L494" s="16" t="n"/>
      <c r="M494" s="16" t="n"/>
      <c r="N494" s="15" t="n"/>
      <c r="O494" s="16" t="n"/>
      <c r="P494" s="16" t="n"/>
      <c r="Q494" s="13">
        <f>IF(OR(B494="",C494=""),"",IFERROR(INDEX(LAYOUT!$E$2:$E$33,MATCH(B494&amp;"|"&amp;C494,LAYOUT!$F$2:$F$33,0)),"zona tidak ada di layout"))</f>
        <v/>
      </c>
      <c r="R494" s="14">
        <f>IF(F494="","",IF(OR(I494="",O494=""),0,I494*O494))</f>
        <v/>
      </c>
      <c r="S494" s="14">
        <f>IF(F494="","",SUMIFS($R$2:$R$500,$A$2:$A$500,A494,$C$2:$C$500,C494))</f>
        <v/>
      </c>
      <c r="T494" s="14">
        <f>IF(F494="","",IF(OR(G494="",I494="",J494=""),"CEK data SKU (nama/lebar/tinggi)",IF(COUNTIFS($F$2:$F$500,F494,$I$2:$I$500,"&lt;&gt;"&amp;I494)+COUNTIFS($F$2:$F$500,F494,$J$2:$J$500,"&lt;&gt;"&amp;J494)&gt;0,"CEK data SKU tidak konsisten",IF(Q494="zona tidak ada di layout","CEK zona_no / jenis_fixture",IF(D494&lt;&gt;Q494,"CEK jenis_zona",IF(S494&gt;IFERROR(INDEX(LAYOUT!$C$2:$C$33,MATCH(B494,LAYOUT!$A$2:$A$33,0)),0),"CEK lebar zona melebihi fixture","OK")))))</f>
        <v/>
      </c>
    </row>
    <row r="495">
      <c r="A495" s="15" t="n"/>
      <c r="B495" s="15" t="n"/>
      <c r="C495" s="16" t="n"/>
      <c r="D495" s="15" t="n"/>
      <c r="E495" s="16" t="n"/>
      <c r="F495" s="17" t="n"/>
      <c r="G495" s="15" t="n"/>
      <c r="H495" s="15" t="n"/>
      <c r="I495" s="16" t="n"/>
      <c r="J495" s="16" t="n"/>
      <c r="K495" s="16" t="n"/>
      <c r="L495" s="16" t="n"/>
      <c r="M495" s="16" t="n"/>
      <c r="N495" s="15" t="n"/>
      <c r="O495" s="16" t="n"/>
      <c r="P495" s="16" t="n"/>
      <c r="Q495" s="13">
        <f>IF(OR(B495="",C495=""),"",IFERROR(INDEX(LAYOUT!$E$2:$E$33,MATCH(B495&amp;"|"&amp;C495,LAYOUT!$F$2:$F$33,0)),"zona tidak ada di layout"))</f>
        <v/>
      </c>
      <c r="R495" s="14">
        <f>IF(F495="","",IF(OR(I495="",O495=""),0,I495*O495))</f>
        <v/>
      </c>
      <c r="S495" s="14">
        <f>IF(F495="","",SUMIFS($R$2:$R$500,$A$2:$A$500,A495,$C$2:$C$500,C495))</f>
        <v/>
      </c>
      <c r="T495" s="14">
        <f>IF(F495="","",IF(OR(G495="",I495="",J495=""),"CEK data SKU (nama/lebar/tinggi)",IF(COUNTIFS($F$2:$F$500,F495,$I$2:$I$500,"&lt;&gt;"&amp;I495)+COUNTIFS($F$2:$F$500,F495,$J$2:$J$500,"&lt;&gt;"&amp;J495)&gt;0,"CEK data SKU tidak konsisten",IF(Q495="zona tidak ada di layout","CEK zona_no / jenis_fixture",IF(D495&lt;&gt;Q495,"CEK jenis_zona",IF(S495&gt;IFERROR(INDEX(LAYOUT!$C$2:$C$33,MATCH(B495,LAYOUT!$A$2:$A$33,0)),0),"CEK lebar zona melebihi fixture","OK")))))</f>
        <v/>
      </c>
    </row>
    <row r="496">
      <c r="A496" s="15" t="n"/>
      <c r="B496" s="15" t="n"/>
      <c r="C496" s="16" t="n"/>
      <c r="D496" s="15" t="n"/>
      <c r="E496" s="16" t="n"/>
      <c r="F496" s="17" t="n"/>
      <c r="G496" s="15" t="n"/>
      <c r="H496" s="15" t="n"/>
      <c r="I496" s="16" t="n"/>
      <c r="J496" s="16" t="n"/>
      <c r="K496" s="16" t="n"/>
      <c r="L496" s="16" t="n"/>
      <c r="M496" s="16" t="n"/>
      <c r="N496" s="15" t="n"/>
      <c r="O496" s="16" t="n"/>
      <c r="P496" s="16" t="n"/>
      <c r="Q496" s="13">
        <f>IF(OR(B496="",C496=""),"",IFERROR(INDEX(LAYOUT!$E$2:$E$33,MATCH(B496&amp;"|"&amp;C496,LAYOUT!$F$2:$F$33,0)),"zona tidak ada di layout"))</f>
        <v/>
      </c>
      <c r="R496" s="14">
        <f>IF(F496="","",IF(OR(I496="",O496=""),0,I496*O496))</f>
        <v/>
      </c>
      <c r="S496" s="14">
        <f>IF(F496="","",SUMIFS($R$2:$R$500,$A$2:$A$500,A496,$C$2:$C$500,C496))</f>
        <v/>
      </c>
      <c r="T496" s="14">
        <f>IF(F496="","",IF(OR(G496="",I496="",J496=""),"CEK data SKU (nama/lebar/tinggi)",IF(COUNTIFS($F$2:$F$500,F496,$I$2:$I$500,"&lt;&gt;"&amp;I496)+COUNTIFS($F$2:$F$500,F496,$J$2:$J$500,"&lt;&gt;"&amp;J496)&gt;0,"CEK data SKU tidak konsisten",IF(Q496="zona tidak ada di layout","CEK zona_no / jenis_fixture",IF(D496&lt;&gt;Q496,"CEK jenis_zona",IF(S496&gt;IFERROR(INDEX(LAYOUT!$C$2:$C$33,MATCH(B496,LAYOUT!$A$2:$A$33,0)),0),"CEK lebar zona melebihi fixture","OK")))))</f>
        <v/>
      </c>
    </row>
    <row r="497">
      <c r="A497" s="15" t="n"/>
      <c r="B497" s="15" t="n"/>
      <c r="C497" s="16" t="n"/>
      <c r="D497" s="15" t="n"/>
      <c r="E497" s="16" t="n"/>
      <c r="F497" s="17" t="n"/>
      <c r="G497" s="15" t="n"/>
      <c r="H497" s="15" t="n"/>
      <c r="I497" s="16" t="n"/>
      <c r="J497" s="16" t="n"/>
      <c r="K497" s="16" t="n"/>
      <c r="L497" s="16" t="n"/>
      <c r="M497" s="16" t="n"/>
      <c r="N497" s="15" t="n"/>
      <c r="O497" s="16" t="n"/>
      <c r="P497" s="16" t="n"/>
      <c r="Q497" s="13">
        <f>IF(OR(B497="",C497=""),"",IFERROR(INDEX(LAYOUT!$E$2:$E$33,MATCH(B497&amp;"|"&amp;C497,LAYOUT!$F$2:$F$33,0)),"zona tidak ada di layout"))</f>
        <v/>
      </c>
      <c r="R497" s="14">
        <f>IF(F497="","",IF(OR(I497="",O497=""),0,I497*O497))</f>
        <v/>
      </c>
      <c r="S497" s="14">
        <f>IF(F497="","",SUMIFS($R$2:$R$500,$A$2:$A$500,A497,$C$2:$C$500,C497))</f>
        <v/>
      </c>
      <c r="T497" s="14">
        <f>IF(F497="","",IF(OR(G497="",I497="",J497=""),"CEK data SKU (nama/lebar/tinggi)",IF(COUNTIFS($F$2:$F$500,F497,$I$2:$I$500,"&lt;&gt;"&amp;I497)+COUNTIFS($F$2:$F$500,F497,$J$2:$J$500,"&lt;&gt;"&amp;J497)&gt;0,"CEK data SKU tidak konsisten",IF(Q497="zona tidak ada di layout","CEK zona_no / jenis_fixture",IF(D497&lt;&gt;Q497,"CEK jenis_zona",IF(S497&gt;IFERROR(INDEX(LAYOUT!$C$2:$C$33,MATCH(B497,LAYOUT!$A$2:$A$33,0)),0),"CEK lebar zona melebihi fixture","OK")))))</f>
        <v/>
      </c>
    </row>
    <row r="498">
      <c r="A498" s="15" t="n"/>
      <c r="B498" s="15" t="n"/>
      <c r="C498" s="16" t="n"/>
      <c r="D498" s="15" t="n"/>
      <c r="E498" s="16" t="n"/>
      <c r="F498" s="17" t="n"/>
      <c r="G498" s="15" t="n"/>
      <c r="H498" s="15" t="n"/>
      <c r="I498" s="16" t="n"/>
      <c r="J498" s="16" t="n"/>
      <c r="K498" s="16" t="n"/>
      <c r="L498" s="16" t="n"/>
      <c r="M498" s="16" t="n"/>
      <c r="N498" s="15" t="n"/>
      <c r="O498" s="16" t="n"/>
      <c r="P498" s="16" t="n"/>
      <c r="Q498" s="13">
        <f>IF(OR(B498="",C498=""),"",IFERROR(INDEX(LAYOUT!$E$2:$E$33,MATCH(B498&amp;"|"&amp;C498,LAYOUT!$F$2:$F$33,0)),"zona tidak ada di layout"))</f>
        <v/>
      </c>
      <c r="R498" s="14">
        <f>IF(F498="","",IF(OR(I498="",O498=""),0,I498*O498))</f>
        <v/>
      </c>
      <c r="S498" s="14">
        <f>IF(F498="","",SUMIFS($R$2:$R$500,$A$2:$A$500,A498,$C$2:$C$500,C498))</f>
        <v/>
      </c>
      <c r="T498" s="14">
        <f>IF(F498="","",IF(OR(G498="",I498="",J498=""),"CEK data SKU (nama/lebar/tinggi)",IF(COUNTIFS($F$2:$F$500,F498,$I$2:$I$500,"&lt;&gt;"&amp;I498)+COUNTIFS($F$2:$F$500,F498,$J$2:$J$500,"&lt;&gt;"&amp;J498)&gt;0,"CEK data SKU tidak konsisten",IF(Q498="zona tidak ada di layout","CEK zona_no / jenis_fixture",IF(D498&lt;&gt;Q498,"CEK jenis_zona",IF(S498&gt;IFERROR(INDEX(LAYOUT!$C$2:$C$33,MATCH(B498,LAYOUT!$A$2:$A$33,0)),0),"CEK lebar zona melebihi fixture","OK")))))</f>
        <v/>
      </c>
    </row>
    <row r="499">
      <c r="A499" s="15" t="n"/>
      <c r="B499" s="15" t="n"/>
      <c r="C499" s="16" t="n"/>
      <c r="D499" s="15" t="n"/>
      <c r="E499" s="16" t="n"/>
      <c r="F499" s="17" t="n"/>
      <c r="G499" s="15" t="n"/>
      <c r="H499" s="15" t="n"/>
      <c r="I499" s="16" t="n"/>
      <c r="J499" s="16" t="n"/>
      <c r="K499" s="16" t="n"/>
      <c r="L499" s="16" t="n"/>
      <c r="M499" s="16" t="n"/>
      <c r="N499" s="15" t="n"/>
      <c r="O499" s="16" t="n"/>
      <c r="P499" s="16" t="n"/>
      <c r="Q499" s="13">
        <f>IF(OR(B499="",C499=""),"",IFERROR(INDEX(LAYOUT!$E$2:$E$33,MATCH(B499&amp;"|"&amp;C499,LAYOUT!$F$2:$F$33,0)),"zona tidak ada di layout"))</f>
        <v/>
      </c>
      <c r="R499" s="14">
        <f>IF(F499="","",IF(OR(I499="",O499=""),0,I499*O499))</f>
        <v/>
      </c>
      <c r="S499" s="14">
        <f>IF(F499="","",SUMIFS($R$2:$R$500,$A$2:$A$500,A499,$C$2:$C$500,C499))</f>
        <v/>
      </c>
      <c r="T499" s="14">
        <f>IF(F499="","",IF(OR(G499="",I499="",J499=""),"CEK data SKU (nama/lebar/tinggi)",IF(COUNTIFS($F$2:$F$500,F499,$I$2:$I$500,"&lt;&gt;"&amp;I499)+COUNTIFS($F$2:$F$500,F499,$J$2:$J$500,"&lt;&gt;"&amp;J499)&gt;0,"CEK data SKU tidak konsisten",IF(Q499="zona tidak ada di layout","CEK zona_no / jenis_fixture",IF(D499&lt;&gt;Q499,"CEK jenis_zona",IF(S499&gt;IFERROR(INDEX(LAYOUT!$C$2:$C$33,MATCH(B499,LAYOUT!$A$2:$A$33,0)),0),"CEK lebar zona melebihi fixture","OK")))))</f>
        <v/>
      </c>
    </row>
    <row r="500">
      <c r="A500" s="15" t="n"/>
      <c r="B500" s="15" t="n"/>
      <c r="C500" s="16" t="n"/>
      <c r="D500" s="15" t="n"/>
      <c r="E500" s="16" t="n"/>
      <c r="F500" s="17" t="n"/>
      <c r="G500" s="15" t="n"/>
      <c r="H500" s="15" t="n"/>
      <c r="I500" s="16" t="n"/>
      <c r="J500" s="16" t="n"/>
      <c r="K500" s="16" t="n"/>
      <c r="L500" s="16" t="n"/>
      <c r="M500" s="16" t="n"/>
      <c r="N500" s="15" t="n"/>
      <c r="O500" s="16" t="n"/>
      <c r="P500" s="16" t="n"/>
      <c r="Q500" s="13">
        <f>IF(OR(B500="",C500=""),"",IFERROR(INDEX(LAYOUT!$E$2:$E$33,MATCH(B500&amp;"|"&amp;C500,LAYOUT!$F$2:$F$33,0)),"zona tidak ada di layout"))</f>
        <v/>
      </c>
      <c r="R500" s="14">
        <f>IF(F500="","",IF(OR(I500="",O500=""),0,I500*O500))</f>
        <v/>
      </c>
      <c r="S500" s="14">
        <f>IF(F500="","",SUMIFS($R$2:$R$500,$A$2:$A$500,A500,$C$2:$C$500,C500))</f>
        <v/>
      </c>
      <c r="T500" s="14">
        <f>IF(F500="","",IF(OR(G500="",I500="",J500=""),"CEK data SKU (nama/lebar/tinggi)",IF(COUNTIFS($F$2:$F$500,F500,$I$2:$I$500,"&lt;&gt;"&amp;I500)+COUNTIFS($F$2:$F$500,F500,$J$2:$J$500,"&lt;&gt;"&amp;J500)&gt;0,"CEK data SKU tidak konsisten",IF(Q500="zona tidak ada di layout","CEK zona_no / jenis_fixture",IF(D500&lt;&gt;Q500,"CEK jenis_zona",IF(S500&gt;IFERROR(INDEX(LAYOUT!$C$2:$C$33,MATCH(B500,LAYOUT!$A$2:$A$33,0)),0),"CEK lebar zona melebihi fixture","OK")))))</f>
        <v/>
      </c>
    </row>
  </sheetData>
  <autoFilter ref="A1:T500"/>
  <conditionalFormatting sqref="T2:T500">
    <cfRule type="expression" priority="1" dxfId="0">
      <formula>LEFT($T2,3)="CEK"</formula>
    </cfRule>
    <cfRule type="expression" priority="2" dxfId="1">
      <formula>$T2="OK"</formula>
    </cfRule>
  </conditionalFormatting>
  <dataValidations count="6">
    <dataValidation sqref="B2:B500" showDropDown="0" showInputMessage="0" showErrorMessage="0" allowBlank="1" type="list">
      <formula1>"Wall 6 Rack,Wall 4 Rack,Wall 3 Rack + 2 Gantungan,Gondola 4 Rack,Gondola Full Gantungan,Gondola 1 Rack + 3 Gantungan,Endcap 4 Rack,Pallet 90x90"</formula1>
    </dataValidation>
    <dataValidation sqref="D2:D500" showDropDown="0" showInputMessage="0" showErrorMessage="0" allowBlank="1" type="list">
      <formula1>"Rak,Gantungan"</formula1>
    </dataValidation>
    <dataValidation sqref="L2:L500" showDropDown="0" showInputMessage="0" showErrorMessage="0" allowBlank="1" type="list">
      <formula1>"1,2,3"</formula1>
    </dataValidation>
    <dataValidation sqref="M2:M500" showDropDown="0" showInputMessage="0" showErrorMessage="0" allowBlank="1" type="list">
      <formula1>"rak,gantung"</formula1>
    </dataValidation>
    <dataValidation sqref="I2:K500" showDropDown="0" showInputMessage="0" showErrorMessage="1" allowBlank="1" errorTitle="Angka" error="Isi angka lebih dari 0 (cm)." type="decimal" operator="greaterThan">
      <formula1>0</formula1>
    </dataValidation>
    <dataValidation sqref="C2:C500 E2:E500 O2:P500" showDropDown="0" showInputMessage="0" showErrorMessage="1" allowBlank="1" errorTitle="Angka bulat" error="Isi bilangan bulat mulai 1." type="whole" operator="greaterThanOrEqual">
      <formula1>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6" customWidth="1" min="3" max="3"/>
    <col width="10" customWidth="1" min="4" max="4"/>
    <col width="24" customWidth="1" min="5" max="5"/>
    <col width="40" customWidth="1" min="6" max="6"/>
  </cols>
  <sheetData>
    <row r="1">
      <c r="A1" s="18" t="inlineStr">
        <is>
          <t>jenis_fixture</t>
        </is>
      </c>
      <c r="B1" s="18" t="inlineStr">
        <is>
          <t>ukuran_LxDxT_cm</t>
        </is>
      </c>
      <c r="C1" s="18" t="inlineStr">
        <is>
          <t>lebar_fixture_cm</t>
        </is>
      </c>
      <c r="D1" s="18" t="inlineStr">
        <is>
          <t>zona_no</t>
        </is>
      </c>
      <c r="E1" s="18" t="inlineStr">
        <is>
          <t>jenis_zona_seharusnya</t>
        </is>
      </c>
      <c r="F1" s="18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6" t="n">
        <v>120</v>
      </c>
      <c r="D2" s="16" t="n">
        <v>1</v>
      </c>
      <c r="E2" s="15" t="inlineStr">
        <is>
          <t>Rak</t>
        </is>
      </c>
      <c r="F2" s="19">
        <f>A2&amp;"|"&amp;D2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6" t="n">
        <v>120</v>
      </c>
      <c r="D3" s="16" t="n">
        <v>2</v>
      </c>
      <c r="E3" s="15" t="inlineStr">
        <is>
          <t>Rak</t>
        </is>
      </c>
      <c r="F3" s="19">
        <f>A3&amp;"|"&amp;D3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6" t="n">
        <v>120</v>
      </c>
      <c r="D4" s="16" t="n">
        <v>3</v>
      </c>
      <c r="E4" s="15" t="inlineStr">
        <is>
          <t>Rak</t>
        </is>
      </c>
      <c r="F4" s="19">
        <f>A4&amp;"|"&amp;D4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6" t="n">
        <v>120</v>
      </c>
      <c r="D5" s="16" t="n">
        <v>4</v>
      </c>
      <c r="E5" s="15" t="inlineStr">
        <is>
          <t>Rak</t>
        </is>
      </c>
      <c r="F5" s="19">
        <f>A5&amp;"|"&amp;D5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6" t="n">
        <v>120</v>
      </c>
      <c r="D6" s="16" t="n">
        <v>5</v>
      </c>
      <c r="E6" s="15" t="inlineStr">
        <is>
          <t>Rak</t>
        </is>
      </c>
      <c r="F6" s="19">
        <f>A6&amp;"|"&amp;D6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6" t="n">
        <v>120</v>
      </c>
      <c r="D7" s="16" t="n">
        <v>6</v>
      </c>
      <c r="E7" s="15" t="inlineStr">
        <is>
          <t>Rak</t>
        </is>
      </c>
      <c r="F7" s="19">
        <f>A7&amp;"|"&amp;D7</f>
        <v/>
      </c>
    </row>
    <row r="8">
      <c r="A8" s="15" t="inlineStr">
        <is>
          <t>Wall 4 Rack</t>
        </is>
      </c>
      <c r="B8" s="15" t="inlineStr">
        <is>
          <t>120x50x270 / 120x50x240</t>
        </is>
      </c>
      <c r="C8" s="16" t="n">
        <v>120</v>
      </c>
      <c r="D8" s="16" t="n">
        <v>1</v>
      </c>
      <c r="E8" s="15" t="inlineStr">
        <is>
          <t>Rak</t>
        </is>
      </c>
      <c r="F8" s="19">
        <f>A8&amp;"|"&amp;D8</f>
        <v/>
      </c>
    </row>
    <row r="9">
      <c r="A9" s="15" t="inlineStr">
        <is>
          <t>Wall 4 Rack</t>
        </is>
      </c>
      <c r="B9" s="15" t="inlineStr">
        <is>
          <t>120x50x270 / 120x50x240</t>
        </is>
      </c>
      <c r="C9" s="16" t="n">
        <v>120</v>
      </c>
      <c r="D9" s="16" t="n">
        <v>2</v>
      </c>
      <c r="E9" s="15" t="inlineStr">
        <is>
          <t>Rak</t>
        </is>
      </c>
      <c r="F9" s="19">
        <f>A9&amp;"|"&amp;D9</f>
        <v/>
      </c>
    </row>
    <row r="10">
      <c r="A10" s="15" t="inlineStr">
        <is>
          <t>Wall 4 Rack</t>
        </is>
      </c>
      <c r="B10" s="15" t="inlineStr">
        <is>
          <t>120x50x270 / 120x50x240</t>
        </is>
      </c>
      <c r="C10" s="16" t="n">
        <v>120</v>
      </c>
      <c r="D10" s="16" t="n">
        <v>3</v>
      </c>
      <c r="E10" s="15" t="inlineStr">
        <is>
          <t>Rak</t>
        </is>
      </c>
      <c r="F10" s="19">
        <f>A10&amp;"|"&amp;D10</f>
        <v/>
      </c>
    </row>
    <row r="11">
      <c r="A11" s="15" t="inlineStr">
        <is>
          <t>Wall 4 Rack</t>
        </is>
      </c>
      <c r="B11" s="15" t="inlineStr">
        <is>
          <t>120x50x270 / 120x50x240</t>
        </is>
      </c>
      <c r="C11" s="16" t="n">
        <v>120</v>
      </c>
      <c r="D11" s="16" t="n">
        <v>4</v>
      </c>
      <c r="E11" s="15" t="inlineStr">
        <is>
          <t>Rak</t>
        </is>
      </c>
      <c r="F11" s="19">
        <f>A11&amp;"|"&amp;D11</f>
        <v/>
      </c>
    </row>
    <row r="12">
      <c r="A12" s="15" t="inlineStr">
        <is>
          <t>Wall 3 Rack + 2 Gantungan</t>
        </is>
      </c>
      <c r="B12" s="15" t="inlineStr">
        <is>
          <t>120x50x270 / 120x50x240</t>
        </is>
      </c>
      <c r="C12" s="16" t="n">
        <v>120</v>
      </c>
      <c r="D12" s="16" t="n">
        <v>1</v>
      </c>
      <c r="E12" s="15" t="inlineStr">
        <is>
          <t>Gantungan</t>
        </is>
      </c>
      <c r="F12" s="19">
        <f>A12&amp;"|"&amp;D12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6" t="n">
        <v>120</v>
      </c>
      <c r="D13" s="16" t="n">
        <v>2</v>
      </c>
      <c r="E13" s="15" t="inlineStr">
        <is>
          <t>Gantungan</t>
        </is>
      </c>
      <c r="F13" s="19">
        <f>A13&amp;"|"&amp;D13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6" t="n">
        <v>120</v>
      </c>
      <c r="D14" s="16" t="n">
        <v>3</v>
      </c>
      <c r="E14" s="15" t="inlineStr">
        <is>
          <t>Rak</t>
        </is>
      </c>
      <c r="F14" s="19">
        <f>A14&amp;"|"&amp;D14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6" t="n">
        <v>120</v>
      </c>
      <c r="D15" s="16" t="n">
        <v>4</v>
      </c>
      <c r="E15" s="15" t="inlineStr">
        <is>
          <t>Rak</t>
        </is>
      </c>
      <c r="F15" s="19">
        <f>A15&amp;"|"&amp;D15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6" t="n">
        <v>120</v>
      </c>
      <c r="D16" s="16" t="n">
        <v>5</v>
      </c>
      <c r="E16" s="15" t="inlineStr">
        <is>
          <t>Rak</t>
        </is>
      </c>
      <c r="F16" s="19">
        <f>A16&amp;"|"&amp;D16</f>
        <v/>
      </c>
    </row>
    <row r="17">
      <c r="A17" s="15" t="inlineStr">
        <is>
          <t>Gondola 4 Rack</t>
        </is>
      </c>
      <c r="B17" s="15" t="inlineStr">
        <is>
          <t>120x50x150</t>
        </is>
      </c>
      <c r="C17" s="16" t="n">
        <v>120</v>
      </c>
      <c r="D17" s="16" t="n">
        <v>1</v>
      </c>
      <c r="E17" s="15" t="inlineStr">
        <is>
          <t>Rak</t>
        </is>
      </c>
      <c r="F17" s="19">
        <f>A17&amp;"|"&amp;D17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6" t="n">
        <v>120</v>
      </c>
      <c r="D18" s="16" t="n">
        <v>2</v>
      </c>
      <c r="E18" s="15" t="inlineStr">
        <is>
          <t>Rak</t>
        </is>
      </c>
      <c r="F18" s="19">
        <f>A18&amp;"|"&amp;D18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6" t="n">
        <v>120</v>
      </c>
      <c r="D19" s="16" t="n">
        <v>3</v>
      </c>
      <c r="E19" s="15" t="inlineStr">
        <is>
          <t>Rak</t>
        </is>
      </c>
      <c r="F19" s="19">
        <f>A19&amp;"|"&amp;D19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6" t="n">
        <v>120</v>
      </c>
      <c r="D20" s="16" t="n">
        <v>4</v>
      </c>
      <c r="E20" s="15" t="inlineStr">
        <is>
          <t>Rak</t>
        </is>
      </c>
      <c r="F20" s="19">
        <f>A20&amp;"|"&amp;D20</f>
        <v/>
      </c>
    </row>
    <row r="21">
      <c r="A21" s="15" t="inlineStr">
        <is>
          <t>Gondola Full Gantungan</t>
        </is>
      </c>
      <c r="B21" s="15" t="inlineStr">
        <is>
          <t>120x50x150</t>
        </is>
      </c>
      <c r="C21" s="16" t="n">
        <v>120</v>
      </c>
      <c r="D21" s="16" t="n">
        <v>1</v>
      </c>
      <c r="E21" s="15" t="inlineStr">
        <is>
          <t>Gantungan</t>
        </is>
      </c>
      <c r="F21" s="19">
        <f>A21&amp;"|"&amp;D21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6" t="n">
        <v>120</v>
      </c>
      <c r="D22" s="16" t="n">
        <v>2</v>
      </c>
      <c r="E22" s="15" t="inlineStr">
        <is>
          <t>Gantungan</t>
        </is>
      </c>
      <c r="F22" s="19">
        <f>A22&amp;"|"&amp;D22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6" t="n">
        <v>120</v>
      </c>
      <c r="D23" s="16" t="n">
        <v>3</v>
      </c>
      <c r="E23" s="15" t="inlineStr">
        <is>
          <t>Gantungan</t>
        </is>
      </c>
      <c r="F23" s="19">
        <f>A23&amp;"|"&amp;D23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6" t="n">
        <v>120</v>
      </c>
      <c r="D24" s="16" t="n">
        <v>4</v>
      </c>
      <c r="E24" s="15" t="inlineStr">
        <is>
          <t>Gantungan</t>
        </is>
      </c>
      <c r="F24" s="19">
        <f>A24&amp;"|"&amp;D24</f>
        <v/>
      </c>
    </row>
    <row r="25">
      <c r="A25" s="15" t="inlineStr">
        <is>
          <t>Gondola 1 Rack + 3 Gantungan</t>
        </is>
      </c>
      <c r="B25" s="15" t="inlineStr">
        <is>
          <t>120x50x150</t>
        </is>
      </c>
      <c r="C25" s="16" t="n">
        <v>120</v>
      </c>
      <c r="D25" s="16" t="n">
        <v>1</v>
      </c>
      <c r="E25" s="15" t="inlineStr">
        <is>
          <t>Rak</t>
        </is>
      </c>
      <c r="F25" s="19">
        <f>A25&amp;"|"&amp;D25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6" t="n">
        <v>120</v>
      </c>
      <c r="D26" s="16" t="n">
        <v>2</v>
      </c>
      <c r="E26" s="15" t="inlineStr">
        <is>
          <t>Gantungan</t>
        </is>
      </c>
      <c r="F26" s="19">
        <f>A26&amp;"|"&amp;D26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6" t="n">
        <v>120</v>
      </c>
      <c r="D27" s="16" t="n">
        <v>3</v>
      </c>
      <c r="E27" s="15" t="inlineStr">
        <is>
          <t>Gantungan</t>
        </is>
      </c>
      <c r="F27" s="19">
        <f>A27&amp;"|"&amp;D27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6" t="n">
        <v>120</v>
      </c>
      <c r="D28" s="16" t="n">
        <v>4</v>
      </c>
      <c r="E28" s="15" t="inlineStr">
        <is>
          <t>Gantungan</t>
        </is>
      </c>
      <c r="F28" s="19">
        <f>A28&amp;"|"&amp;D28</f>
        <v/>
      </c>
    </row>
    <row r="29">
      <c r="A29" s="15" t="inlineStr">
        <is>
          <t>Endcap 4 Rack</t>
        </is>
      </c>
      <c r="B29" s="15" t="inlineStr">
        <is>
          <t>100x50x150</t>
        </is>
      </c>
      <c r="C29" s="16" t="n">
        <v>100</v>
      </c>
      <c r="D29" s="16" t="n">
        <v>1</v>
      </c>
      <c r="E29" s="15" t="inlineStr">
        <is>
          <t>Rak</t>
        </is>
      </c>
      <c r="F29" s="19">
        <f>A29&amp;"|"&amp;D29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6" t="n">
        <v>100</v>
      </c>
      <c r="D30" s="16" t="n">
        <v>2</v>
      </c>
      <c r="E30" s="15" t="inlineStr">
        <is>
          <t>Rak</t>
        </is>
      </c>
      <c r="F30" s="19">
        <f>A30&amp;"|"&amp;D30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6" t="n">
        <v>100</v>
      </c>
      <c r="D31" s="16" t="n">
        <v>3</v>
      </c>
      <c r="E31" s="15" t="inlineStr">
        <is>
          <t>Rak</t>
        </is>
      </c>
      <c r="F31" s="19">
        <f>A31&amp;"|"&amp;D31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6" t="n">
        <v>100</v>
      </c>
      <c r="D32" s="16" t="n">
        <v>4</v>
      </c>
      <c r="E32" s="15" t="inlineStr">
        <is>
          <t>Rak</t>
        </is>
      </c>
      <c r="F32" s="19">
        <f>A32&amp;"|"&amp;D32</f>
        <v/>
      </c>
    </row>
    <row r="33">
      <c r="A33" s="15" t="inlineStr">
        <is>
          <t>Pallet 90x90</t>
        </is>
      </c>
      <c r="B33" s="15" t="inlineStr">
        <is>
          <t>90x90x100</t>
        </is>
      </c>
      <c r="C33" s="16" t="n">
        <v>90</v>
      </c>
      <c r="D33" s="16" t="n">
        <v>1</v>
      </c>
      <c r="E33" s="15" t="inlineStr">
        <is>
          <t>Rak</t>
        </is>
      </c>
      <c r="F33" s="19">
        <f>A33&amp;"|"&amp;D33</f>
        <v/>
      </c>
    </row>
    <row r="35">
      <c r="A35" s="20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2026-10-02T06:01:16Z</dcterms:created>
  <dcterms:modified xsi:type="dcterms:W3CDTF">2026-10-02T06:01:17Z</dcterms:modified>
</cp:coreProperties>
</file>