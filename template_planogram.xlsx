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DIMENSI" sheetId="3" state="visible" r:id="rId3"/>
    <sheet xmlns:r="http://schemas.openxmlformats.org/officeDocument/2006/relationships" name="DAFTAR_FIXTURE" sheetId="4" state="visible" r:id="rId4"/>
    <sheet xmlns:r="http://schemas.openxmlformats.org/officeDocument/2006/relationships" name="LAYOUT" sheetId="5" state="visible" r:id="rId5"/>
  </sheets>
  <definedNames>
    <definedName name="FIXTURE_IDS">OFFSET(DAFTAR_FIXTURE!$A$2,0,0,MAX(1,COUNTA(DAFTAR_FIXTURE!$A$2:$A$51)),1)</definedName>
    <definedName name="_xlnm._FilterDatabase" localSheetId="1" hidden="1">'DATA'!$A$1:$Z$500</definedName>
    <definedName name="_xlnm._FilterDatabase" localSheetId="2" hidden="1">'DIMENSI'!$A$1:$K$500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A5F"/>
      <sz val="14"/>
    </font>
    <font>
      <name val="Arial"/>
      <sz val="10"/>
    </font>
    <font>
      <name val="Arial"/>
      <b val="1"/>
      <color rgb="00FFFFFF"/>
      <sz val="11"/>
    </font>
    <font>
      <name val="Arial"/>
      <b val="1"/>
      <sz val="10"/>
    </font>
    <font>
      <name val="Arial"/>
      <b val="1"/>
      <color rgb="00FFFFFF"/>
      <sz val="10"/>
    </font>
    <font>
      <name val="Arial"/>
      <color rgb="007F7F7F"/>
      <sz val="10"/>
    </font>
    <font>
      <name val="Arial"/>
      <i val="1"/>
      <color rgb="007F7F7F"/>
      <sz val="10"/>
    </font>
    <font>
      <name val="Arial"/>
      <color rgb="00555555"/>
      <sz val="10"/>
    </font>
    <font>
      <b val="1"/>
      <color rgb="003B4456"/>
    </font>
    <font>
      <color rgb="003B4456"/>
    </font>
  </fonts>
  <fills count="8">
    <fill>
      <patternFill/>
    </fill>
    <fill>
      <patternFill patternType="gray125"/>
    </fill>
    <fill>
      <patternFill patternType="solid">
        <fgColor rgb="001F3A5F"/>
      </patternFill>
    </fill>
    <fill>
      <patternFill patternType="solid">
        <fgColor rgb="00D9D2E9"/>
      </patternFill>
    </fill>
    <fill>
      <patternFill patternType="solid">
        <fgColor rgb="00C6E0B4"/>
      </patternFill>
    </fill>
    <fill>
      <patternFill patternType="solid">
        <fgColor rgb="00BFBFBF"/>
      </patternFill>
    </fill>
    <fill>
      <patternFill patternType="solid">
        <fgColor rgb="00EDEDED"/>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49" fontId="2" fillId="0" borderId="1" applyAlignment="1" pivotButton="0" quotePrefix="0" xfId="0">
      <alignment horizontal="center" vertical="center"/>
    </xf>
    <xf numFmtId="0" fontId="2" fillId="0" borderId="1" applyAlignment="1" pivotButton="0" quotePrefix="0" xfId="0">
      <alignment horizontal="center" vertical="center"/>
    </xf>
    <xf numFmtId="0" fontId="8" fillId="6" borderId="1" applyAlignment="1" pivotButton="0" quotePrefix="0" xfId="0">
      <alignment horizontal="center" vertical="center"/>
    </xf>
    <xf numFmtId="0" fontId="5" fillId="2" borderId="1" applyAlignment="1" pivotButton="0" quotePrefix="0" xfId="0">
      <alignment horizontal="center" vertical="center"/>
    </xf>
    <xf numFmtId="0" fontId="7" fillId="0" borderId="0" pivotButton="0" quotePrefix="0" xfId="0"/>
    <xf numFmtId="0" fontId="2" fillId="0" borderId="1" pivotButton="0" quotePrefix="0" xfId="0"/>
    <xf numFmtId="0" fontId="5" fillId="2" borderId="1" applyAlignment="1" pivotButton="0" quotePrefix="0" xfId="0">
      <alignment horizontal="center"/>
    </xf>
    <xf numFmtId="0" fontId="2" fillId="0" borderId="1" applyAlignment="1" pivotButton="0" quotePrefix="0" xfId="0">
      <alignment horizontal="center"/>
    </xf>
    <xf numFmtId="0" fontId="6" fillId="0" borderId="1" pivotButton="0" quotePrefix="0" xfId="0"/>
    <xf numFmtId="0" fontId="4" fillId="7" borderId="1" applyAlignment="1" pivotButton="0" quotePrefix="0" xfId="0">
      <alignment horizontal="center" vertical="center" wrapText="1"/>
    </xf>
    <xf numFmtId="0" fontId="0" fillId="0" borderId="0" applyAlignment="1" pivotButton="0" quotePrefix="0" xfId="0">
      <alignment vertical="top" wrapText="1"/>
    </xf>
    <xf numFmtId="0" fontId="5" fillId="2" borderId="1" applyAlignment="1" pivotButton="0" quotePrefix="0" xfId="0">
      <alignment horizontal="center" vertical="center" wrapText="1"/>
    </xf>
    <xf numFmtId="0" fontId="9" fillId="0" borderId="0" pivotButton="0" quotePrefix="0" xfId="0"/>
    <xf numFmtId="0" fontId="10" fillId="0" borderId="0" pivotButton="0" quotePrefix="0" xfId="0"/>
  </cellXfs>
  <cellStyles count="1">
    <cellStyle name="Normal" xfId="0" builtinId="0" hidden="0"/>
  </cellStyles>
  <dxfs count="6">
    <dxf>
      <font>
        <name val="Arial"/>
        <b val="1"/>
        <color rgb="009C0006"/>
        <sz val="10"/>
      </font>
      <fill>
        <patternFill patternType="solid">
          <bgColor rgb="00FFC7CE"/>
        </patternFill>
      </fill>
    </dxf>
    <dxf>
      <font>
        <name val="Arial"/>
        <b val="1"/>
        <color rgb="00006100"/>
        <sz val="10"/>
      </font>
      <fill>
        <patternFill patternType="solid">
          <bgColor rgb="00C6EFCE"/>
        </patternFill>
      </fill>
    </dxf>
    <dxf>
      <font>
        <name val="Arial"/>
        <color rgb="00666666"/>
        <sz val="10"/>
      </font>
      <fill>
        <patternFill patternType="solid">
          <bgColor rgb="00EDEDED"/>
        </patternFill>
      </fill>
    </dxf>
    <dxf>
      <font>
        <color rgb="009C0006"/>
      </font>
      <fill>
        <patternFill patternType="solid">
          <bgColor rgb="00FFC7CE"/>
        </patternFill>
      </fill>
    </dxf>
    <dxf>
      <font>
        <color rgb="00006100"/>
      </font>
      <fill>
        <patternFill patternType="solid">
          <bgColor rgb="00C6EF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28" customWidth="1" min="1" max="1"/>
    <col width="120" customWidth="1" min="2" max="2"/>
  </cols>
  <sheetData>
    <row r="1">
      <c r="A1" s="1" t="inlineStr">
        <is>
          <t>TEMPLATE DATA PLANOGRAM</t>
        </is>
      </c>
    </row>
    <row r="2">
      <c r="A2" s="2" t="inlineStr">
        <is>
          <t>Isi sheet DATA dari kiri ke kanan. Satu baris = satu SKU. Kolom A–K = template wajib internal. Kolom L ke kanan = penempatan fixture khusus untuk HTML planogram.</t>
        </is>
      </c>
    </row>
    <row r="3">
      <c r="A3" s="2" t="n"/>
      <c r="B3" s="2" t="n"/>
    </row>
    <row r="4">
      <c r="A4" s="3" t="inlineStr">
        <is>
          <t>LANGKAH 1 — TEMPLATE WAJIB INTERNAL (kolom A–K)</t>
        </is>
      </c>
      <c r="B4" s="4" t="n"/>
    </row>
    <row r="5">
      <c r="A5" s="5" t="inlineStr">
        <is>
          <t>DEPT, COMM, CLASS</t>
        </is>
      </c>
      <c r="B5" s="6" t="inlineStr">
        <is>
          <t>Hirarki produk dari data master. Dipakai sebagai filter di aplikasi.</t>
        </is>
      </c>
    </row>
    <row r="6">
      <c r="A6" s="5" t="inlineStr">
        <is>
          <t>SKU *</t>
        </is>
      </c>
      <c r="B6" s="6" t="inlineStr">
        <is>
          <t>Kode artikel. Wajib. Dipakai juga untuk membentuk link gambar.</t>
        </is>
      </c>
    </row>
    <row r="7">
      <c r="A7" s="5" t="inlineStr">
        <is>
          <t>SKU DESCRIPTION *</t>
        </is>
      </c>
      <c r="B7" s="6" t="inlineStr">
        <is>
          <t>Nama item. Wajib. Tampil di kartu produk.</t>
        </is>
      </c>
    </row>
    <row r="8">
      <c r="A8" s="5" t="inlineStr">
        <is>
          <t>STOCK</t>
        </is>
      </c>
      <c r="B8" s="6" t="inlineStr">
        <is>
          <t>Informasi stok SKU (dari data master).</t>
        </is>
      </c>
    </row>
    <row r="9">
      <c r="A9" s="5" t="inlineStr">
        <is>
          <t>GRUP DISPLAY</t>
        </is>
      </c>
      <c r="B9" s="6" t="inlineStr">
        <is>
          <t>Contoh: PENYIMPANAN, MAKAN, MASAK. Dipakai sebagai filter. Isi "X" dianggap kosong.</t>
        </is>
      </c>
    </row>
    <row r="10">
      <c r="A10" s="5" t="inlineStr">
        <is>
          <t>GRUP ADJACENCY</t>
        </is>
      </c>
      <c r="B10" s="6" t="inlineStr">
        <is>
          <t>Contoh: E4. CANISTER, A2. SERVINGWARE. Dipakai sebagai filter.</t>
        </is>
      </c>
    </row>
    <row r="11">
      <c r="A11" s="5" t="inlineStr">
        <is>
          <t>SERIES / SUB SERIES</t>
        </is>
      </c>
      <c r="B11" s="6" t="inlineStr">
        <is>
          <t>Contoh: GLASS FANCY, POLLA. Dipakai sebagai filter.</t>
        </is>
      </c>
    </row>
    <row r="12">
      <c r="A12" s="5" t="inlineStr">
        <is>
          <t>LINK IMAGE</t>
        </is>
      </c>
      <c r="B12" s="6" t="inlineStr">
        <is>
          <t>Opsional. Kosong = otomatis: https://cdn.ruparupa.io/fit-in/850x850/ruparupa-com/image/upload/Products/[SKU]_1.jpg</t>
        </is>
      </c>
    </row>
    <row r="13">
      <c r="A13" s="2" t="n"/>
      <c r="B13" s="2" t="n"/>
    </row>
    <row r="14">
      <c r="A14" s="3" t="inlineStr">
        <is>
          <t>LANGKAH 2 — PENEMPATAN KE FIXTURE, SAMPAI 3 FIXTURE PER SKU (header hijau)</t>
        </is>
      </c>
      <c r="B14" s="4" t="n"/>
    </row>
    <row r="15">
      <c r="A15" s="5" t="inlineStr">
        <is>
          <t>FIXTURE 1 (kolom L–N)</t>
        </is>
      </c>
      <c r="B15" s="6" t="inlineStr">
        <is>
          <t>ID FIXTURE 1 (dropdown dari sheet DAFTAR_FIXTURE), ZONA NO 1 (dari atas, mulai 1; lihat sheet LAYOUT), JENIS ZONA 1 (Shelving / Gantungan).</t>
        </is>
      </c>
    </row>
    <row r="16">
      <c r="A16" s="5" t="inlineStr">
        <is>
          <t>FIXTURE 2 (kolom Q–S)</t>
        </is>
      </c>
      <c r="B16" s="6" t="inlineStr">
        <is>
          <t>Isi jika SKU yang sama juga ditampilkan di fixture lain (mis. Wall dan Gondola). Kosongkan jika tidak dipakai.</t>
        </is>
      </c>
    </row>
    <row r="17">
      <c r="A17" s="5" t="inlineStr">
        <is>
          <t>FIXTURE 3 (kolom V–X)</t>
        </is>
      </c>
      <c r="B17" s="6" t="inlineStr">
        <is>
          <t>Cadangan untuk fixture ketiga. Kosongkan jika tidak dipakai.</t>
        </is>
      </c>
    </row>
    <row r="18">
      <c r="A18" s="2" t="n"/>
      <c r="B18" s="2" t="n"/>
    </row>
    <row r="19">
      <c r="A19" s="3" t="inlineStr">
        <is>
          <t>LANGKAH 3 — OTOMATIS (header abu-abu, jangan diisi / dihapus)</t>
        </is>
      </c>
      <c r="B19" s="4" t="n"/>
    </row>
    <row r="20">
      <c r="A20" s="5" t="inlineStr">
        <is>
          <t>JENIS FIXTURE 1 / 2 / 3</t>
        </is>
      </c>
      <c r="B20" s="6" t="inlineStr">
        <is>
          <t>Dibaca dari ID FIXTURE (sheet DAFTAR_FIXTURE).</t>
        </is>
      </c>
    </row>
    <row r="21">
      <c r="A21" s="5" t="inlineStr">
        <is>
          <t>STATUS 1 / 2 / 3</t>
        </is>
      </c>
      <c r="B21" s="6" t="inlineStr">
        <is>
          <t>OK / Zona STOCK / Belum ditempatkan / CEK + penyebab. Semua penempatan harus OK sebelum diimpor.</t>
        </is>
      </c>
    </row>
    <row r="22">
      <c r="A22" s="2" t="n"/>
      <c r="B22" s="2" t="n"/>
    </row>
    <row r="23">
      <c r="A23" s="3" t="inlineStr">
        <is>
          <t>ATURAN PENEMPATAN</t>
        </is>
      </c>
      <c r="B23" s="4" t="n"/>
    </row>
    <row r="24">
      <c r="A24" s="2" t="inlineStr">
        <is>
          <t>1. Satu baris = satu SKU. SKU yang sama tidak perlu ditulis lagi untuk fixture kedua / ketiga: isi kolom Fixture 2 / Fixture 3 pada baris yang sama.</t>
        </is>
      </c>
      <c r="B24" s="2" t="n"/>
    </row>
    <row r="25">
      <c r="A25" s="2" t="inlineStr">
        <is>
          <t>2. Jika satu SKU perlu lebih dari 3 penempatan (mis. di banyak zona), tulis SKU itu lagi di baris baru.</t>
        </is>
      </c>
      <c r="B25" s="2" t="n"/>
    </row>
    <row r="26">
      <c r="A26" s="2" t="inlineStr">
        <is>
          <t>3. Urutan item dari kiri ke kanan dalam satu zona mengikuti urutan baris di Excel (baris atas lebih dulu).</t>
        </is>
      </c>
      <c r="B26" s="2" t="n"/>
    </row>
    <row r="27">
      <c r="A27" s="2" t="inlineStr">
        <is>
          <t>4. Jumlah item yang tampil = jumlah penempatan. Tidak ada facing, susun, ukuran, brand, atau prioritas.</t>
        </is>
      </c>
      <c r="B27" s="2" t="n"/>
    </row>
    <row r="28">
      <c r="A28" s="2" t="inlineStr">
        <is>
          <t>5. Zona yang tidak berisi item (baris ID FIXTURE 1 + ZONA NO 1 tanpa SKU, atau zona yang tidak ditulis sama sekali) dianggap tempat STOCK dan ditulis STOCK di planogram.</t>
        </is>
      </c>
      <c r="B28" s="2" t="n"/>
    </row>
    <row r="29">
      <c r="A29" s="2" t="inlineStr">
        <is>
          <t>6. Baris yang hanya berisi data SKU (tanpa ID FIXTURE) = masuk daftar SKU saja, belum ditempatkan.</t>
        </is>
      </c>
      <c r="B29" s="2" t="n"/>
    </row>
    <row r="30">
      <c r="A30" s="2" t="inlineStr">
        <is>
          <t>7. Isi GRUP DISPLAY, GRUP ADJACENCY, SERIES dengan ejaan konsisten agar pilihan filter di aplikasi tidak terpecah.</t>
        </is>
      </c>
      <c r="B30" s="2" t="n"/>
    </row>
    <row r="31">
      <c r="A31" s="2" t="inlineStr">
        <is>
          <t>Buka dulu di Excel lalu simpan agar kolom otomatis terhitung sebelum diimpor.</t>
        </is>
      </c>
      <c r="B31" s="2" t="n"/>
    </row>
    <row r="32">
      <c r="A32" s="2" t="n"/>
      <c r="B32" s="2" t="n"/>
    </row>
    <row r="33">
      <c r="A33" s="3" t="inlineStr">
        <is>
          <t>SHEET DIMENSI (OPSIONAL) — ukuran kemasan untuk menghitung muat berapa pcs</t>
        </is>
      </c>
      <c r="B33" s="4" t="n"/>
    </row>
    <row r="34">
      <c r="A34" s="5" t="inlineStr">
        <is>
          <t>Kapan dipakai</t>
        </is>
      </c>
      <c r="B34" s="6" t="inlineStr">
        <is>
          <t>Hanya jika sheet DIMENSI berisi data DAN pengguna meminta di aplikasi. Kosong = aplikasi berjalan seperti biasa.</t>
        </is>
      </c>
    </row>
    <row r="35">
      <c r="A35" s="5" t="inlineStr">
        <is>
          <t>SKU *</t>
        </is>
      </c>
      <c r="B35" s="6" t="inlineStr">
        <is>
          <t>Harus sama dengan kolom SKU di sheet DATA. Satu SKU satu baris.</t>
        </is>
      </c>
    </row>
    <row r="36">
      <c r="A36" s="5" t="inlineStr">
        <is>
          <t>LEBAR / TINGGI / KEDALAMAN (cm) *</t>
        </is>
      </c>
      <c r="B36" s="6" t="inlineStr">
        <is>
          <t>Ukuran kemasan saat dipajang. LEBAR = sisi yang menghadap depan (kiri-kanan); TINGGI = atas-bawah; KEDALAMAN = depan-belakang. Untuk kemasan gantung, kedalaman = tebal kemasan.</t>
        </is>
      </c>
    </row>
    <row r="37">
      <c r="A37" s="5" t="inlineStr">
        <is>
          <t>FACING</t>
        </is>
      </c>
      <c r="B37" s="6" t="inlineStr">
        <is>
          <t>Jumlah deretan produk berdampingan di depan. Kosong = 1.</t>
        </is>
      </c>
    </row>
    <row r="38">
      <c r="A38" s="5" t="inlineStr">
        <is>
          <t>MAKS SUSUN</t>
        </is>
      </c>
      <c r="B38" s="6" t="inlineStr">
        <is>
          <t>Boleh ditumpuk berapa tingkat. Kosong atau 1 = tidak ditumpuk.</t>
        </is>
      </c>
    </row>
    <row r="39">
      <c r="A39" s="5" t="inlineStr">
        <is>
          <t>BOLEH DIPUTAR</t>
        </is>
      </c>
      <c r="B39" s="6" t="inlineStr">
        <is>
          <t>Ya = lebar dan kedalaman boleh ditukar bila itu membuat lebih banyak yang muat. Kosong = Tidak.</t>
        </is>
      </c>
    </row>
    <row r="40">
      <c r="A40" s="5" t="inlineStr">
        <is>
          <t>Kolom otomatis</t>
        </is>
      </c>
      <c r="B40" s="6" t="inlineStr">
        <is>
          <t>Deskripsi, estimasi pcs per facing (gambaran cepat rak Gondola), dan STATUS. Jangan diisi atau dihapus.</t>
        </is>
      </c>
    </row>
    <row r="41">
      <c r="A41" s="2" t="n"/>
      <c r="B41" s="2" t="n"/>
    </row>
    <row r="42">
      <c r="A42" s="3" t="inlineStr">
        <is>
          <t>SAMBUNGAN (OPSIONAL) — kolom SAMBUNGAN dan URUTAN SAMBUNG di tiap fixture (1, 2, 3)</t>
        </is>
      </c>
      <c r="B42" s="4" t="n"/>
    </row>
    <row r="43">
      <c r="A43" s="5" t="inlineStr">
        <is>
          <t>Fungsi</t>
        </is>
      </c>
      <c r="B43" s="6" t="inlineStr">
        <is>
          <t>Menyimpan urutan fixture yang tampil menempel (Sambung visual). Muncul sebagai pilihan "Template sambungan dari Excel". Kosong = tidak ada template.</t>
        </is>
      </c>
    </row>
    <row r="44">
      <c r="A44" s="5" t="inlineStr">
        <is>
          <t>Cara isi</t>
        </is>
      </c>
      <c r="B44" s="6" t="inlineStr">
        <is>
          <t>Di baris SKU yang sudah memiliki ID FIXTURE, isi SAMBUNGAN dan URUTAN SAMBUNG di blok fixture yang sama. Cukup di satu baris per fixture (baris mana saja milik fixture itu).</t>
        </is>
      </c>
    </row>
    <row r="45">
      <c r="A45" s="5" t="inlineStr">
        <is>
          <t>SAMBUNGAN</t>
        </is>
      </c>
      <c r="B45" s="6" t="inlineStr">
        <is>
          <t>Nama rangkaian, bebas (mis. WALL-RUN-1). Fixture dengan nama sama = satu rangkaian. Satu rangkaian satu kategori (Wall, Gondola, atau Pallet). Endcap tidak ikut sambung.</t>
        </is>
      </c>
    </row>
    <row r="46">
      <c r="A46" s="5" t="inlineStr">
        <is>
          <t>URUTAN SAMBUNG</t>
        </is>
      </c>
      <c r="B46" s="6" t="inlineStr">
        <is>
          <t>Nomor urut fixture dari kiri ke kanan, mulai 1. Wajib diisi bila SAMBUNGAN diisi.</t>
        </is>
      </c>
    </row>
    <row r="47">
      <c r="A47" s="5" t="inlineStr">
        <is>
          <t>Kolom otomatis</t>
        </is>
      </c>
      <c r="B47" s="6" t="inlineStr">
        <is>
          <t>JENIS FIXTURE dan STATUS tiap fixture (OK atau CEK + penyebab). Jangan diisi atau dihapus.</t>
        </is>
      </c>
    </row>
    <row r="48">
      <c r="A48" s="5" t="inlineStr">
        <is>
          <t>URUTAN DISPLAY</t>
        </is>
      </c>
      <c r="B48" s="6" t="inlineStr">
        <is>
          <t>Opsional (angka, mulai 1) di blok tiap fixture. SKU dengan nomor berbeda pada ID FIXTURE yang sama tampil sebagai display terpisah (Display 1, Display 2, ...) memakai modul yang sama. Kosong = sama dengan 1; bila semua kosong, fixture berisi beberapa series dipisah otomatis per series.</t>
        </is>
      </c>
    </row>
    <row r="49">
      <c r="A49" s="5" t="n"/>
      <c r="B49" s="6" t="n"/>
    </row>
    <row r="50">
      <c r="A50" s="2" t="n"/>
      <c r="B50" s="2" t="n"/>
    </row>
    <row r="51">
      <c r="A51" s="2" t="n"/>
      <c r="B51" s="2" t="n"/>
    </row>
    <row r="52">
      <c r="A52" s="2" t="n"/>
      <c r="B52" s="2" t="n"/>
    </row>
    <row r="53">
      <c r="A53" s="2" t="n"/>
      <c r="B53" s="2" t="n"/>
    </row>
    <row r="54">
      <c r="A54" s="2" t="n"/>
      <c r="B54" s="2" t="n"/>
    </row>
    <row r="55">
      <c r="A55" s="2" t="n"/>
      <c r="B55" s="2" t="n"/>
    </row>
    <row r="56">
      <c r="A56" s="2" t="n"/>
      <c r="B56" s="2" t="n"/>
    </row>
    <row r="57">
      <c r="A57" s="2" t="n"/>
      <c r="B57" s="2" t="n"/>
    </row>
    <row r="58">
      <c r="A58" s="2" t="n"/>
      <c r="B58" s="2" t="n"/>
    </row>
    <row r="59">
      <c r="A59" s="2" t="n"/>
      <c r="B59" s="2" t="n"/>
    </row>
    <row r="60">
      <c r="A60" s="2" t="n"/>
      <c r="B60" s="2" t="n"/>
    </row>
    <row r="61">
      <c r="A61" s="2" t="n"/>
      <c r="B61" s="2" t="n"/>
    </row>
    <row r="62">
      <c r="A62" s="2" t="n"/>
      <c r="B62" s="2" t="n"/>
    </row>
    <row r="63">
      <c r="A63" s="2" t="n"/>
      <c r="B63" s="2" t="n"/>
    </row>
    <row r="64">
      <c r="A64" s="2" t="n"/>
      <c r="B64" s="2" t="n"/>
    </row>
    <row r="65">
      <c r="A65" s="2" t="n"/>
      <c r="B65" s="2" t="n"/>
    </row>
    <row r="66">
      <c r="A66" s="2" t="n"/>
      <c r="B66" s="2" t="n"/>
    </row>
    <row r="67">
      <c r="A67" s="2" t="n"/>
      <c r="B67" s="2" t="n"/>
    </row>
    <row r="68">
      <c r="A68" s="2" t="n"/>
      <c r="B68" s="2" t="n"/>
    </row>
    <row r="69">
      <c r="A69" s="2" t="n"/>
      <c r="B6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00"/>
  <sheetViews>
    <sheetView workbookViewId="0">
      <pane xSplit="4" ySplit="1" topLeftCell="E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14" customWidth="1" min="2" max="2"/>
    <col width="18" customWidth="1" min="3" max="3"/>
    <col width="12" customWidth="1" min="4" max="4"/>
    <col width="42" customWidth="1" min="5" max="5"/>
    <col width="10" customWidth="1" min="6" max="6"/>
    <col width="18" customWidth="1" min="7" max="7"/>
    <col width="26" customWidth="1" min="8" max="8"/>
    <col width="22" customWidth="1" min="9" max="9"/>
    <col width="16" customWidth="1" min="10" max="10"/>
    <col width="50" customWidth="1" min="11" max="11"/>
    <col width="14" customWidth="1" min="12" max="12"/>
    <col width="9" customWidth="1" min="13" max="13"/>
    <col width="13" customWidth="1" min="14" max="14"/>
    <col width="16" customWidth="1" min="15" max="15"/>
    <col width="10" customWidth="1" min="16" max="16"/>
    <col width="10" customWidth="1" min="17" max="17"/>
    <col width="30" customWidth="1" min="18" max="18"/>
    <col width="26" customWidth="1" min="19" max="19"/>
    <col width="14" customWidth="1" min="20" max="20"/>
    <col width="9" customWidth="1" min="21" max="21"/>
    <col width="13" customWidth="1" min="22" max="22"/>
    <col width="16" customWidth="1" min="23" max="23"/>
    <col width="10" customWidth="1" min="24" max="24"/>
    <col width="10" customWidth="1" min="25" max="25"/>
    <col width="30" customWidth="1" min="26" max="26"/>
    <col width="26" customWidth="1" min="27" max="27"/>
    <col width="14" customWidth="1" min="28" max="28"/>
    <col width="9" customWidth="1" min="29" max="29"/>
    <col width="13" customWidth="1" min="30" max="30"/>
    <col width="16" customWidth="1" min="31" max="31"/>
    <col width="10" customWidth="1" min="32" max="32"/>
    <col width="10" customWidth="1" min="33" max="33"/>
    <col width="30" customWidth="1" min="34" max="34"/>
    <col width="26" customWidth="1" min="35" max="35"/>
  </cols>
  <sheetData>
    <row r="1" ht="36" customHeight="1">
      <c r="A1" s="7" t="inlineStr">
        <is>
          <t>DEPT</t>
        </is>
      </c>
      <c r="B1" s="7" t="inlineStr">
        <is>
          <t>COMM</t>
        </is>
      </c>
      <c r="C1" s="7" t="inlineStr">
        <is>
          <t>CLASS</t>
        </is>
      </c>
      <c r="D1" s="7" t="inlineStr">
        <is>
          <t>SKU</t>
        </is>
      </c>
      <c r="E1" s="7" t="inlineStr">
        <is>
          <t>SKU DESCRIPTION</t>
        </is>
      </c>
      <c r="F1" s="7" t="inlineStr">
        <is>
          <t>STOCK</t>
        </is>
      </c>
      <c r="G1" s="7" t="inlineStr">
        <is>
          <t>GRUP DISPLAY</t>
        </is>
      </c>
      <c r="H1" s="7" t="inlineStr">
        <is>
          <t>GRUP ADJACENCY</t>
        </is>
      </c>
      <c r="I1" s="7" t="inlineStr">
        <is>
          <t>SERIES</t>
        </is>
      </c>
      <c r="J1" s="7" t="inlineStr">
        <is>
          <t>SUB SERIES*</t>
        </is>
      </c>
      <c r="K1" s="19" t="inlineStr">
        <is>
          <t>LINK IMAGE (opsional)</t>
        </is>
      </c>
      <c r="L1" s="8" t="inlineStr">
        <is>
          <t>ID FIXTURE 1</t>
        </is>
      </c>
      <c r="M1" s="8" t="inlineStr">
        <is>
          <t>ZONA NO 1</t>
        </is>
      </c>
      <c r="N1" s="8" t="inlineStr">
        <is>
          <t>JENIS ZONA 1</t>
        </is>
      </c>
      <c r="O1" s="8" t="inlineStr">
        <is>
          <t>SAMBUNGAN 1</t>
        </is>
      </c>
      <c r="P1" s="8" t="inlineStr">
        <is>
          <t>URUTAN SAMBUNG 1</t>
        </is>
      </c>
      <c r="Q1" s="8" t="inlineStr">
        <is>
          <t>URUTAN DISPLAY 1</t>
        </is>
      </c>
      <c r="R1" s="9" t="inlineStr">
        <is>
          <t>JENIS FIXTURE 1 (otomatis)</t>
        </is>
      </c>
      <c r="S1" s="9" t="inlineStr">
        <is>
          <t>STATUS 1 (otomatis)</t>
        </is>
      </c>
      <c r="T1" s="8" t="inlineStr">
        <is>
          <t>ID FIXTURE 2</t>
        </is>
      </c>
      <c r="U1" s="8" t="inlineStr">
        <is>
          <t>ZONA NO 2</t>
        </is>
      </c>
      <c r="V1" s="8" t="inlineStr">
        <is>
          <t>JENIS ZONA 2</t>
        </is>
      </c>
      <c r="W1" s="8" t="inlineStr">
        <is>
          <t>SAMBUNGAN 2</t>
        </is>
      </c>
      <c r="X1" s="8" t="inlineStr">
        <is>
          <t>URUTAN SAMBUNG 2</t>
        </is>
      </c>
      <c r="Y1" s="8" t="inlineStr">
        <is>
          <t>URUTAN DISPLAY 2</t>
        </is>
      </c>
      <c r="Z1" s="9" t="inlineStr">
        <is>
          <t>JENIS FIXTURE 2 (otomatis)</t>
        </is>
      </c>
      <c r="AA1" s="9" t="inlineStr">
        <is>
          <t>STATUS 2 (otomatis)</t>
        </is>
      </c>
      <c r="AB1" s="8" t="inlineStr">
        <is>
          <t>ID FIXTURE 3</t>
        </is>
      </c>
      <c r="AC1" s="8" t="inlineStr">
        <is>
          <t>ZONA NO 3</t>
        </is>
      </c>
      <c r="AD1" s="8" t="inlineStr">
        <is>
          <t>JENIS ZONA 3</t>
        </is>
      </c>
      <c r="AE1" s="8" t="inlineStr">
        <is>
          <t>SAMBUNGAN 3</t>
        </is>
      </c>
      <c r="AF1" s="8" t="inlineStr">
        <is>
          <t>URUTAN SAMBUNG 3</t>
        </is>
      </c>
      <c r="AG1" s="8" t="inlineStr">
        <is>
          <t>URUTAN DISPLAY 3</t>
        </is>
      </c>
      <c r="AH1" s="9" t="inlineStr">
        <is>
          <t>JENIS FIXTURE 3 (otomatis)</t>
        </is>
      </c>
      <c r="AI1" s="9" t="inlineStr">
        <is>
          <t>STATUS 3 (otomatis)</t>
        </is>
      </c>
    </row>
    <row r="2">
      <c r="A2" s="10" t="inlineStr">
        <is>
          <t>Homeware</t>
        </is>
      </c>
      <c r="B2" s="10" t="inlineStr">
        <is>
          <t>Storage</t>
        </is>
      </c>
      <c r="C2" s="10" t="inlineStr">
        <is>
          <t>Food Storage</t>
        </is>
      </c>
      <c r="D2" s="10" t="inlineStr">
        <is>
          <t>10680419</t>
        </is>
      </c>
      <c r="E2" s="10" t="inlineStr">
        <is>
          <t>MOSQUE DOME GLASS JAR SET OF 3 450ML</t>
        </is>
      </c>
      <c r="F2" s="10" t="n"/>
      <c r="G2" s="10" t="inlineStr">
        <is>
          <t>PENYIMPANAN</t>
        </is>
      </c>
      <c r="H2" s="10" t="inlineStr">
        <is>
          <t>E4. CANISTER</t>
        </is>
      </c>
      <c r="I2" s="10" t="inlineStr">
        <is>
          <t>GLASS FANCY</t>
        </is>
      </c>
      <c r="J2" s="10" t="n"/>
      <c r="K2" s="10" t="n"/>
      <c r="L2" s="11" t="inlineStr">
        <is>
          <t>GDN 4S</t>
        </is>
      </c>
      <c r="M2" s="11" t="n">
        <v>1</v>
      </c>
      <c r="N2" s="11" t="inlineStr">
        <is>
          <t>Shelving</t>
        </is>
      </c>
      <c r="O2" s="11" t="inlineStr">
        <is>
          <t>GONDOLA-RUN-1</t>
        </is>
      </c>
      <c r="P2" s="11" t="n">
        <v>1</v>
      </c>
      <c r="Q2" s="11" t="n"/>
      <c r="R2" s="12">
        <f>IF(L2="","",IFERROR(INDEX(DAFTAR_FIXTURE!$B$2:$B$51,MATCH(L2,DAFTAR_FIXTURE!$A$2:$A$51,0)),""))</f>
        <v/>
      </c>
      <c r="S2" s="12">
        <f>IF(AND($D2="",L2=""),"",IF(L2="",IF(AND(T2="",AB2=""),"Belum ditempatkan",""),IF(R2="","CEK ID FIXTURE tidak ada di DAFTAR_FIXTURE",IF(M2="","CEK ZONA NO kosong",IF(ISNA(MATCH(R2&amp;"|"&amp;M2,LAYOUT!$E$2:$E$80,0)),"CEK ZONA NO di luar layout",IF(N2&lt;&gt;INDEX(LAYOUT!$D$2:$D$80,MATCH(R2&amp;"|"&amp;M2,LAYOUT!$E$2:$E$80,0)),"CEK JENIS ZONA",IF($D2="","Zona STOCK",IF($E2="","CEK SKU DESCRIPTION kosong",IF(AND(O2&lt;&gt;"",P2=""),"CEK URUTAN SAMBUNG kosong",IF(AND(O2&lt;&gt;"",LEFT(R2,6)="Endcap"),"CEK Endcap tidak ikut sambung","OK"))))))))))</f>
        <v/>
      </c>
      <c r="T2" s="11" t="n"/>
      <c r="U2" s="11" t="n"/>
      <c r="V2" s="11" t="n"/>
      <c r="W2" s="11" t="n"/>
      <c r="X2" s="11" t="n"/>
      <c r="Y2" s="11" t="n"/>
      <c r="Z2" s="12">
        <f>IF(T2="","",IFERROR(INDEX(DAFTAR_FIXTURE!$B$2:$B$51,MATCH(T2,DAFTAR_FIXTURE!$A$2:$A$51,0)),""))</f>
        <v/>
      </c>
      <c r="AA2" s="12">
        <f>IF(T2="","",IF(Z2="","CEK ID FIXTURE tidak ada di DAFTAR_FIXTURE",IF(U2="","CEK ZONA NO kosong",IF(ISNA(MATCH(Z2&amp;"|"&amp;U2,LAYOUT!$E$2:$E$80,0)),"CEK ZONA NO di luar layout",IF(V2&lt;&gt;INDEX(LAYOUT!$D$2:$D$80,MATCH(Z2&amp;"|"&amp;U2,LAYOUT!$E$2:$E$80,0)),"CEK JENIS ZONA",IF($D2="","Zona STOCK",IF($E2="","CEK SKU DESCRIPTION kosong",IF(AND(W2&lt;&gt;"",X2=""),"CEK URUTAN SAMBUNG kosong",IF(AND(W2&lt;&gt;"",LEFT(Z2,6)="Endcap"),"CEK Endcap tidak ikut sambung","OK")))))))))</f>
        <v/>
      </c>
      <c r="AB2" s="11" t="n"/>
      <c r="AC2" s="11" t="n"/>
      <c r="AD2" s="11" t="n"/>
      <c r="AE2" s="11" t="n"/>
      <c r="AF2" s="11" t="n"/>
      <c r="AG2" s="11" t="n"/>
      <c r="AH2" s="12">
        <f>IF(AB2="","",IFERROR(INDEX(DAFTAR_FIXTURE!$B$2:$B$51,MATCH(AB2,DAFTAR_FIXTURE!$A$2:$A$51,0)),""))</f>
        <v/>
      </c>
      <c r="AI2" s="12">
        <f>IF(AB2="","",IF(AH2="","CEK ID FIXTURE tidak ada di DAFTAR_FIXTURE",IF(AC2="","CEK ZONA NO kosong",IF(ISNA(MATCH(AH2&amp;"|"&amp;AC2,LAYOUT!$E$2:$E$80,0)),"CEK ZONA NO di luar layout",IF(AD2&lt;&gt;INDEX(LAYOUT!$D$2:$D$80,MATCH(AH2&amp;"|"&amp;AC2,LAYOUT!$E$2:$E$80,0)),"CEK JENIS ZONA",IF($D2="","Zona STOCK",IF($E2="","CEK SKU DESCRIPTION kosong",IF(AND(AE2&lt;&gt;"",AF2=""),"CEK URUTAN SAMBUNG kosong",IF(AND(AE2&lt;&gt;"",LEFT(AH2,6)="Endcap"),"CEK Endcap tidak ikut sambung","OK")))))))))</f>
        <v/>
      </c>
    </row>
    <row r="3">
      <c r="A3" s="10" t="inlineStr">
        <is>
          <t>Homeware</t>
        </is>
      </c>
      <c r="B3" s="10" t="inlineStr">
        <is>
          <t>Tableware</t>
        </is>
      </c>
      <c r="C3" s="10" t="inlineStr">
        <is>
          <t>Serving Set</t>
        </is>
      </c>
      <c r="D3" s="10" t="inlineStr">
        <is>
          <t>10681571</t>
        </is>
      </c>
      <c r="E3" s="10" t="inlineStr">
        <is>
          <t>SERVING GLASS SQR PLATER ZEVY GOLD</t>
        </is>
      </c>
      <c r="F3" s="10" t="n"/>
      <c r="G3" s="10" t="inlineStr">
        <is>
          <t>MAKAN</t>
        </is>
      </c>
      <c r="H3" s="10" t="inlineStr">
        <is>
          <t>A2. SERVINGWARE</t>
        </is>
      </c>
      <c r="I3" s="10" t="inlineStr">
        <is>
          <t>W/GOLD RACK GLASS</t>
        </is>
      </c>
      <c r="J3" s="10" t="n"/>
      <c r="K3" s="10" t="n"/>
      <c r="L3" s="11" t="inlineStr">
        <is>
          <t>GDN 4S</t>
        </is>
      </c>
      <c r="M3" s="11" t="n">
        <v>2</v>
      </c>
      <c r="N3" s="11" t="inlineStr">
        <is>
          <t>Shelving</t>
        </is>
      </c>
      <c r="O3" s="11" t="n"/>
      <c r="P3" s="11" t="n"/>
      <c r="Q3" s="11" t="n"/>
      <c r="R3" s="12">
        <f>IF(L3="","",IFERROR(INDEX(DAFTAR_FIXTURE!$B$2:$B$51,MATCH(L3,DAFTAR_FIXTURE!$A$2:$A$51,0)),""))</f>
        <v/>
      </c>
      <c r="S3" s="12">
        <f>IF(AND($D3="",L3=""),"",IF(L3="",IF(AND(T3="",AB3=""),"Belum ditempatkan",""),IF(R3="","CEK ID FIXTURE tidak ada di DAFTAR_FIXTURE",IF(M3="","CEK ZONA NO kosong",IF(ISNA(MATCH(R3&amp;"|"&amp;M3,LAYOUT!$E$2:$E$80,0)),"CEK ZONA NO di luar layout",IF(N3&lt;&gt;INDEX(LAYOUT!$D$2:$D$80,MATCH(R3&amp;"|"&amp;M3,LAYOUT!$E$2:$E$80,0)),"CEK JENIS ZONA",IF($D3="","Zona STOCK",IF($E3="","CEK SKU DESCRIPTION kosong",IF(AND(O3&lt;&gt;"",P3=""),"CEK URUTAN SAMBUNG kosong",IF(AND(O3&lt;&gt;"",LEFT(R3,6)="Endcap"),"CEK Endcap tidak ikut sambung","OK"))))))))))</f>
        <v/>
      </c>
      <c r="T3" s="11" t="inlineStr">
        <is>
          <t>WLL 6S</t>
        </is>
      </c>
      <c r="U3" s="11" t="n">
        <v>1</v>
      </c>
      <c r="V3" s="11" t="inlineStr">
        <is>
          <t>Shelving</t>
        </is>
      </c>
      <c r="W3" s="11" t="inlineStr">
        <is>
          <t>WALL-RUN-1</t>
        </is>
      </c>
      <c r="X3" s="11" t="n">
        <v>1</v>
      </c>
      <c r="Y3" s="11" t="n"/>
      <c r="Z3" s="12">
        <f>IF(T3="","",IFERROR(INDEX(DAFTAR_FIXTURE!$B$2:$B$51,MATCH(T3,DAFTAR_FIXTURE!$A$2:$A$51,0)),""))</f>
        <v/>
      </c>
      <c r="AA3" s="12">
        <f>IF(T3="","",IF(Z3="","CEK ID FIXTURE tidak ada di DAFTAR_FIXTURE",IF(U3="","CEK ZONA NO kosong",IF(ISNA(MATCH(Z3&amp;"|"&amp;U3,LAYOUT!$E$2:$E$80,0)),"CEK ZONA NO di luar layout",IF(V3&lt;&gt;INDEX(LAYOUT!$D$2:$D$80,MATCH(Z3&amp;"|"&amp;U3,LAYOUT!$E$2:$E$80,0)),"CEK JENIS ZONA",IF($D3="","Zona STOCK",IF($E3="","CEK SKU DESCRIPTION kosong",IF(AND(W3&lt;&gt;"",X3=""),"CEK URUTAN SAMBUNG kosong",IF(AND(W3&lt;&gt;"",LEFT(Z3,6)="Endcap"),"CEK Endcap tidak ikut sambung","OK")))))))))</f>
        <v/>
      </c>
      <c r="AB3" s="11" t="n"/>
      <c r="AC3" s="11" t="n"/>
      <c r="AD3" s="11" t="n"/>
      <c r="AE3" s="11" t="n"/>
      <c r="AF3" s="11" t="n"/>
      <c r="AG3" s="11" t="n"/>
      <c r="AH3" s="12">
        <f>IF(AB3="","",IFERROR(INDEX(DAFTAR_FIXTURE!$B$2:$B$51,MATCH(AB3,DAFTAR_FIXTURE!$A$2:$A$51,0)),""))</f>
        <v/>
      </c>
      <c r="AI3" s="12">
        <f>IF(AB3="","",IF(AH3="","CEK ID FIXTURE tidak ada di DAFTAR_FIXTURE",IF(AC3="","CEK ZONA NO kosong",IF(ISNA(MATCH(AH3&amp;"|"&amp;AC3,LAYOUT!$E$2:$E$80,0)),"CEK ZONA NO di luar layout",IF(AD3&lt;&gt;INDEX(LAYOUT!$D$2:$D$80,MATCH(AH3&amp;"|"&amp;AC3,LAYOUT!$E$2:$E$80,0)),"CEK JENIS ZONA",IF($D3="","Zona STOCK",IF($E3="","CEK SKU DESCRIPTION kosong",IF(AND(AE3&lt;&gt;"",AF3=""),"CEK URUTAN SAMBUNG kosong",IF(AND(AE3&lt;&gt;"",LEFT(AH3,6)="Endcap"),"CEK Endcap tidak ikut sambung","OK")))))))))</f>
        <v/>
      </c>
    </row>
    <row r="4">
      <c r="A4" s="10" t="inlineStr">
        <is>
          <t>Homeware</t>
        </is>
      </c>
      <c r="B4" s="10" t="inlineStr">
        <is>
          <t>Storage</t>
        </is>
      </c>
      <c r="C4" s="10" t="inlineStr">
        <is>
          <t>Food Storage</t>
        </is>
      </c>
      <c r="D4" s="10" t="inlineStr">
        <is>
          <t>10682153</t>
        </is>
      </c>
      <c r="E4" s="10" t="inlineStr">
        <is>
          <t>EID 2026 GLASS JAR SET OF 3 900ML</t>
        </is>
      </c>
      <c r="F4" s="10" t="n"/>
      <c r="G4" s="10" t="inlineStr">
        <is>
          <t>PENYIMPANAN</t>
        </is>
      </c>
      <c r="H4" s="10" t="inlineStr">
        <is>
          <t>E4. CANISTER</t>
        </is>
      </c>
      <c r="I4" s="10" t="inlineStr">
        <is>
          <t>GLASS FANCY</t>
        </is>
      </c>
      <c r="J4" s="10" t="n"/>
      <c r="K4" s="10" t="n"/>
      <c r="L4" s="11" t="inlineStr">
        <is>
          <t>WLL 5S</t>
        </is>
      </c>
      <c r="M4" s="11" t="n">
        <v>1</v>
      </c>
      <c r="N4" s="11" t="inlineStr">
        <is>
          <t>Shelving</t>
        </is>
      </c>
      <c r="O4" s="11" t="inlineStr">
        <is>
          <t>WALL-RUN-1</t>
        </is>
      </c>
      <c r="P4" s="11" t="n">
        <v>2</v>
      </c>
      <c r="Q4" s="11" t="n"/>
      <c r="R4" s="12">
        <f>IF(L4="","",IFERROR(INDEX(DAFTAR_FIXTURE!$B$2:$B$51,MATCH(L4,DAFTAR_FIXTURE!$A$2:$A$51,0)),""))</f>
        <v/>
      </c>
      <c r="S4" s="12">
        <f>IF(AND($D4="",L4=""),"",IF(L4="",IF(AND(T4="",AB4=""),"Belum ditempatkan",""),IF(R4="","CEK ID FIXTURE tidak ada di DAFTAR_FIXTURE",IF(M4="","CEK ZONA NO kosong",IF(ISNA(MATCH(R4&amp;"|"&amp;M4,LAYOUT!$E$2:$E$80,0)),"CEK ZONA NO di luar layout",IF(N4&lt;&gt;INDEX(LAYOUT!$D$2:$D$80,MATCH(R4&amp;"|"&amp;M4,LAYOUT!$E$2:$E$80,0)),"CEK JENIS ZONA",IF($D4="","Zona STOCK",IF($E4="","CEK SKU DESCRIPTION kosong",IF(AND(O4&lt;&gt;"",P4=""),"CEK URUTAN SAMBUNG kosong",IF(AND(O4&lt;&gt;"",LEFT(R4,6)="Endcap"),"CEK Endcap tidak ikut sambung","OK"))))))))))</f>
        <v/>
      </c>
      <c r="T4" s="11" t="n"/>
      <c r="U4" s="11" t="n"/>
      <c r="V4" s="11" t="n"/>
      <c r="W4" s="11" t="n"/>
      <c r="X4" s="11" t="n"/>
      <c r="Y4" s="11" t="n"/>
      <c r="Z4" s="12">
        <f>IF(T4="","",IFERROR(INDEX(DAFTAR_FIXTURE!$B$2:$B$51,MATCH(T4,DAFTAR_FIXTURE!$A$2:$A$51,0)),""))</f>
        <v/>
      </c>
      <c r="AA4" s="12">
        <f>IF(T4="","",IF(Z4="","CEK ID FIXTURE tidak ada di DAFTAR_FIXTURE",IF(U4="","CEK ZONA NO kosong",IF(ISNA(MATCH(Z4&amp;"|"&amp;U4,LAYOUT!$E$2:$E$80,0)),"CEK ZONA NO di luar layout",IF(V4&lt;&gt;INDEX(LAYOUT!$D$2:$D$80,MATCH(Z4&amp;"|"&amp;U4,LAYOUT!$E$2:$E$80,0)),"CEK JENIS ZONA",IF($D4="","Zona STOCK",IF($E4="","CEK SKU DESCRIPTION kosong",IF(AND(W4&lt;&gt;"",X4=""),"CEK URUTAN SAMBUNG kosong",IF(AND(W4&lt;&gt;"",LEFT(Z4,6)="Endcap"),"CEK Endcap tidak ikut sambung","OK")))))))))</f>
        <v/>
      </c>
      <c r="AB4" s="11" t="n"/>
      <c r="AC4" s="11" t="n"/>
      <c r="AD4" s="11" t="n"/>
      <c r="AE4" s="11" t="n"/>
      <c r="AF4" s="11" t="n"/>
      <c r="AG4" s="11" t="n"/>
      <c r="AH4" s="12">
        <f>IF(AB4="","",IFERROR(INDEX(DAFTAR_FIXTURE!$B$2:$B$51,MATCH(AB4,DAFTAR_FIXTURE!$A$2:$A$51,0)),""))</f>
        <v/>
      </c>
      <c r="AI4" s="12">
        <f>IF(AB4="","",IF(AH4="","CEK ID FIXTURE tidak ada di DAFTAR_FIXTURE",IF(AC4="","CEK ZONA NO kosong",IF(ISNA(MATCH(AH4&amp;"|"&amp;AC4,LAYOUT!$E$2:$E$80,0)),"CEK ZONA NO di luar layout",IF(AD4&lt;&gt;INDEX(LAYOUT!$D$2:$D$80,MATCH(AH4&amp;"|"&amp;AC4,LAYOUT!$E$2:$E$80,0)),"CEK JENIS ZONA",IF($D4="","Zona STOCK",IF($E4="","CEK SKU DESCRIPTION kosong",IF(AND(AE4&lt;&gt;"",AF4=""),"CEK URUTAN SAMBUNG kosong",IF(AND(AE4&lt;&gt;"",LEFT(AH4,6)="Endcap"),"CEK Endcap tidak ikut sambung","OK")))))))))</f>
        <v/>
      </c>
    </row>
    <row r="5">
      <c r="A5" s="10" t="n"/>
      <c r="B5" s="10" t="n"/>
      <c r="C5" s="10" t="n"/>
      <c r="D5" s="10" t="n"/>
      <c r="E5" s="10" t="n"/>
      <c r="F5" s="10" t="n"/>
      <c r="G5" s="10" t="n"/>
      <c r="H5" s="10" t="n"/>
      <c r="I5" s="10" t="n"/>
      <c r="J5" s="10" t="n"/>
      <c r="K5" s="10" t="n"/>
      <c r="L5" s="11" t="inlineStr">
        <is>
          <t>GDN 2G + 2S</t>
        </is>
      </c>
      <c r="M5" s="11" t="n">
        <v>1</v>
      </c>
      <c r="N5" s="11" t="inlineStr">
        <is>
          <t>Gantungan</t>
        </is>
      </c>
      <c r="O5" s="11" t="inlineStr">
        <is>
          <t>GONDOLA-RUN-1</t>
        </is>
      </c>
      <c r="P5" s="11" t="n">
        <v>2</v>
      </c>
      <c r="Q5" s="11" t="n"/>
      <c r="R5" s="12">
        <f>IF(L5="","",IFERROR(INDEX(DAFTAR_FIXTURE!$B$2:$B$51,MATCH(L5,DAFTAR_FIXTURE!$A$2:$A$51,0)),""))</f>
        <v/>
      </c>
      <c r="S5" s="12">
        <f>IF(AND($D5="",L5=""),"",IF(L5="",IF(AND(T5="",AB5=""),"Belum ditempatkan",""),IF(R5="","CEK ID FIXTURE tidak ada di DAFTAR_FIXTURE",IF(M5="","CEK ZONA NO kosong",IF(ISNA(MATCH(R5&amp;"|"&amp;M5,LAYOUT!$E$2:$E$80,0)),"CEK ZONA NO di luar layout",IF(N5&lt;&gt;INDEX(LAYOUT!$D$2:$D$80,MATCH(R5&amp;"|"&amp;M5,LAYOUT!$E$2:$E$80,0)),"CEK JENIS ZONA",IF($D5="","Zona STOCK",IF($E5="","CEK SKU DESCRIPTION kosong",IF(AND(O5&lt;&gt;"",P5=""),"CEK URUTAN SAMBUNG kosong",IF(AND(O5&lt;&gt;"",LEFT(R5,6)="Endcap"),"CEK Endcap tidak ikut sambung","OK"))))))))))</f>
        <v/>
      </c>
      <c r="T5" s="11" t="n"/>
      <c r="U5" s="11" t="n"/>
      <c r="V5" s="11" t="n"/>
      <c r="W5" s="11" t="n"/>
      <c r="X5" s="11" t="n"/>
      <c r="Y5" s="11" t="n"/>
      <c r="Z5" s="12">
        <f>IF(T5="","",IFERROR(INDEX(DAFTAR_FIXTURE!$B$2:$B$51,MATCH(T5,DAFTAR_FIXTURE!$A$2:$A$51,0)),""))</f>
        <v/>
      </c>
      <c r="AA5" s="12">
        <f>IF(T5="","",IF(Z5="","CEK ID FIXTURE tidak ada di DAFTAR_FIXTURE",IF(U5="","CEK ZONA NO kosong",IF(ISNA(MATCH(Z5&amp;"|"&amp;U5,LAYOUT!$E$2:$E$80,0)),"CEK ZONA NO di luar layout",IF(V5&lt;&gt;INDEX(LAYOUT!$D$2:$D$80,MATCH(Z5&amp;"|"&amp;U5,LAYOUT!$E$2:$E$80,0)),"CEK JENIS ZONA",IF($D5="","Zona STOCK",IF($E5="","CEK SKU DESCRIPTION kosong",IF(AND(W5&lt;&gt;"",X5=""),"CEK URUTAN SAMBUNG kosong",IF(AND(W5&lt;&gt;"",LEFT(Z5,6)="Endcap"),"CEK Endcap tidak ikut sambung","OK")))))))))</f>
        <v/>
      </c>
      <c r="AB5" s="11" t="n"/>
      <c r="AC5" s="11" t="n"/>
      <c r="AD5" s="11" t="n"/>
      <c r="AE5" s="11" t="n"/>
      <c r="AF5" s="11" t="n"/>
      <c r="AG5" s="11" t="n"/>
      <c r="AH5" s="12">
        <f>IF(AB5="","",IFERROR(INDEX(DAFTAR_FIXTURE!$B$2:$B$51,MATCH(AB5,DAFTAR_FIXTURE!$A$2:$A$51,0)),""))</f>
        <v/>
      </c>
      <c r="AI5" s="12">
        <f>IF(AB5="","",IF(AH5="","CEK ID FIXTURE tidak ada di DAFTAR_FIXTURE",IF(AC5="","CEK ZONA NO kosong",IF(ISNA(MATCH(AH5&amp;"|"&amp;AC5,LAYOUT!$E$2:$E$80,0)),"CEK ZONA NO di luar layout",IF(AD5&lt;&gt;INDEX(LAYOUT!$D$2:$D$80,MATCH(AH5&amp;"|"&amp;AC5,LAYOUT!$E$2:$E$80,0)),"CEK JENIS ZONA",IF($D5="","Zona STOCK",IF($E5="","CEK SKU DESCRIPTION kosong",IF(AND(AE5&lt;&gt;"",AF5=""),"CEK URUTAN SAMBUNG kosong",IF(AND(AE5&lt;&gt;"",LEFT(AH5,6)="Endcap"),"CEK Endcap tidak ikut sambung","OK")))))))))</f>
        <v/>
      </c>
    </row>
    <row r="6">
      <c r="A6" s="10" t="n"/>
      <c r="B6" s="10" t="n"/>
      <c r="C6" s="10" t="n"/>
      <c r="D6" s="10" t="n"/>
      <c r="E6" s="10" t="n"/>
      <c r="F6" s="10" t="n"/>
      <c r="G6" s="10" t="n"/>
      <c r="H6" s="10" t="n"/>
      <c r="I6" s="10" t="n"/>
      <c r="J6" s="10" t="n"/>
      <c r="K6" s="10" t="n"/>
      <c r="L6" s="11" t="inlineStr">
        <is>
          <t>PLT 90</t>
        </is>
      </c>
      <c r="M6" s="11" t="n">
        <v>1</v>
      </c>
      <c r="N6" s="11" t="inlineStr">
        <is>
          <t>Shelving</t>
        </is>
      </c>
      <c r="O6" s="11" t="inlineStr">
        <is>
          <t>PALLET-RUN-1</t>
        </is>
      </c>
      <c r="P6" s="11" t="n">
        <v>1</v>
      </c>
      <c r="Q6" s="11" t="n"/>
      <c r="R6" s="12">
        <f>IF(L6="","",IFERROR(INDEX(DAFTAR_FIXTURE!$B$2:$B$51,MATCH(L6,DAFTAR_FIXTURE!$A$2:$A$51,0)),""))</f>
        <v/>
      </c>
      <c r="S6" s="12">
        <f>IF(AND($D6="",L6=""),"",IF(L6="",IF(AND(T6="",AB6=""),"Belum ditempatkan",""),IF(R6="","CEK ID FIXTURE tidak ada di DAFTAR_FIXTURE",IF(M6="","CEK ZONA NO kosong",IF(ISNA(MATCH(R6&amp;"|"&amp;M6,LAYOUT!$E$2:$E$80,0)),"CEK ZONA NO di luar layout",IF(N6&lt;&gt;INDEX(LAYOUT!$D$2:$D$80,MATCH(R6&amp;"|"&amp;M6,LAYOUT!$E$2:$E$80,0)),"CEK JENIS ZONA",IF($D6="","Zona STOCK",IF($E6="","CEK SKU DESCRIPTION kosong",IF(AND(O6&lt;&gt;"",P6=""),"CEK URUTAN SAMBUNG kosong",IF(AND(O6&lt;&gt;"",LEFT(R6,6)="Endcap"),"CEK Endcap tidak ikut sambung","OK"))))))))))</f>
        <v/>
      </c>
      <c r="T6" s="11" t="n"/>
      <c r="U6" s="11" t="n"/>
      <c r="V6" s="11" t="n"/>
      <c r="W6" s="11" t="n"/>
      <c r="X6" s="11" t="n"/>
      <c r="Y6" s="11" t="n"/>
      <c r="Z6" s="12">
        <f>IF(T6="","",IFERROR(INDEX(DAFTAR_FIXTURE!$B$2:$B$51,MATCH(T6,DAFTAR_FIXTURE!$A$2:$A$51,0)),""))</f>
        <v/>
      </c>
      <c r="AA6" s="12">
        <f>IF(T6="","",IF(Z6="","CEK ID FIXTURE tidak ada di DAFTAR_FIXTURE",IF(U6="","CEK ZONA NO kosong",IF(ISNA(MATCH(Z6&amp;"|"&amp;U6,LAYOUT!$E$2:$E$80,0)),"CEK ZONA NO di luar layout",IF(V6&lt;&gt;INDEX(LAYOUT!$D$2:$D$80,MATCH(Z6&amp;"|"&amp;U6,LAYOUT!$E$2:$E$80,0)),"CEK JENIS ZONA",IF($D6="","Zona STOCK",IF($E6="","CEK SKU DESCRIPTION kosong",IF(AND(W6&lt;&gt;"",X6=""),"CEK URUTAN SAMBUNG kosong",IF(AND(W6&lt;&gt;"",LEFT(Z6,6)="Endcap"),"CEK Endcap tidak ikut sambung","OK")))))))))</f>
        <v/>
      </c>
      <c r="AB6" s="11" t="n"/>
      <c r="AC6" s="11" t="n"/>
      <c r="AD6" s="11" t="n"/>
      <c r="AE6" s="11" t="n"/>
      <c r="AF6" s="11" t="n"/>
      <c r="AG6" s="11" t="n"/>
      <c r="AH6" s="12">
        <f>IF(AB6="","",IFERROR(INDEX(DAFTAR_FIXTURE!$B$2:$B$51,MATCH(AB6,DAFTAR_FIXTURE!$A$2:$A$51,0)),""))</f>
        <v/>
      </c>
      <c r="AI6" s="12">
        <f>IF(AB6="","",IF(AH6="","CEK ID FIXTURE tidak ada di DAFTAR_FIXTURE",IF(AC6="","CEK ZONA NO kosong",IF(ISNA(MATCH(AH6&amp;"|"&amp;AC6,LAYOUT!$E$2:$E$80,0)),"CEK ZONA NO di luar layout",IF(AD6&lt;&gt;INDEX(LAYOUT!$D$2:$D$80,MATCH(AH6&amp;"|"&amp;AC6,LAYOUT!$E$2:$E$80,0)),"CEK JENIS ZONA",IF($D6="","Zona STOCK",IF($E6="","CEK SKU DESCRIPTION kosong",IF(AND(AE6&lt;&gt;"",AF6=""),"CEK URUTAN SAMBUNG kosong",IF(AND(AE6&lt;&gt;"",LEFT(AH6,6)="Endcap"),"CEK Endcap tidak ikut sambung","OK")))))))))</f>
        <v/>
      </c>
    </row>
    <row r="7">
      <c r="A7" s="10" t="n"/>
      <c r="B7" s="10" t="n"/>
      <c r="C7" s="10" t="n"/>
      <c r="D7" s="10" t="n"/>
      <c r="E7" s="10" t="n"/>
      <c r="F7" s="10" t="n"/>
      <c r="G7" s="10" t="n"/>
      <c r="H7" s="10" t="n"/>
      <c r="I7" s="10" t="n"/>
      <c r="J7" s="10" t="n"/>
      <c r="K7" s="10" t="n"/>
      <c r="L7" s="11" t="n"/>
      <c r="M7" s="11" t="n"/>
      <c r="N7" s="11" t="n"/>
      <c r="O7" s="11" t="n"/>
      <c r="P7" s="11" t="n"/>
      <c r="Q7" s="11" t="n"/>
      <c r="R7" s="12">
        <f>IF(L7="","",IFERROR(INDEX(DAFTAR_FIXTURE!$B$2:$B$51,MATCH(L7,DAFTAR_FIXTURE!$A$2:$A$51,0)),""))</f>
        <v/>
      </c>
      <c r="S7" s="12">
        <f>IF(AND($D7="",L7=""),"",IF(L7="",IF(AND(T7="",AB7=""),"Belum ditempatkan",""),IF(R7="","CEK ID FIXTURE tidak ada di DAFTAR_FIXTURE",IF(M7="","CEK ZONA NO kosong",IF(ISNA(MATCH(R7&amp;"|"&amp;M7,LAYOUT!$E$2:$E$80,0)),"CEK ZONA NO di luar layout",IF(N7&lt;&gt;INDEX(LAYOUT!$D$2:$D$80,MATCH(R7&amp;"|"&amp;M7,LAYOUT!$E$2:$E$80,0)),"CEK JENIS ZONA",IF($D7="","Zona STOCK",IF($E7="","CEK SKU DESCRIPTION kosong",IF(AND(O7&lt;&gt;"",P7=""),"CEK URUTAN SAMBUNG kosong",IF(AND(O7&lt;&gt;"",LEFT(R7,6)="Endcap"),"CEK Endcap tidak ikut sambung","OK"))))))))))</f>
        <v/>
      </c>
      <c r="T7" s="11" t="n"/>
      <c r="U7" s="11" t="n"/>
      <c r="V7" s="11" t="n"/>
      <c r="W7" s="11" t="n"/>
      <c r="X7" s="11" t="n"/>
      <c r="Y7" s="11" t="n"/>
      <c r="Z7" s="12">
        <f>IF(T7="","",IFERROR(INDEX(DAFTAR_FIXTURE!$B$2:$B$51,MATCH(T7,DAFTAR_FIXTURE!$A$2:$A$51,0)),""))</f>
        <v/>
      </c>
      <c r="AA7" s="12">
        <f>IF(T7="","",IF(Z7="","CEK ID FIXTURE tidak ada di DAFTAR_FIXTURE",IF(U7="","CEK ZONA NO kosong",IF(ISNA(MATCH(Z7&amp;"|"&amp;U7,LAYOUT!$E$2:$E$80,0)),"CEK ZONA NO di luar layout",IF(V7&lt;&gt;INDEX(LAYOUT!$D$2:$D$80,MATCH(Z7&amp;"|"&amp;U7,LAYOUT!$E$2:$E$80,0)),"CEK JENIS ZONA",IF($D7="","Zona STOCK",IF($E7="","CEK SKU DESCRIPTION kosong",IF(AND(W7&lt;&gt;"",X7=""),"CEK URUTAN SAMBUNG kosong",IF(AND(W7&lt;&gt;"",LEFT(Z7,6)="Endcap"),"CEK Endcap tidak ikut sambung","OK")))))))))</f>
        <v/>
      </c>
      <c r="AB7" s="11" t="n"/>
      <c r="AC7" s="11" t="n"/>
      <c r="AD7" s="11" t="n"/>
      <c r="AE7" s="11" t="n"/>
      <c r="AF7" s="11" t="n"/>
      <c r="AG7" s="11" t="n"/>
      <c r="AH7" s="12">
        <f>IF(AB7="","",IFERROR(INDEX(DAFTAR_FIXTURE!$B$2:$B$51,MATCH(AB7,DAFTAR_FIXTURE!$A$2:$A$51,0)),""))</f>
        <v/>
      </c>
      <c r="AI7" s="12">
        <f>IF(AB7="","",IF(AH7="","CEK ID FIXTURE tidak ada di DAFTAR_FIXTURE",IF(AC7="","CEK ZONA NO kosong",IF(ISNA(MATCH(AH7&amp;"|"&amp;AC7,LAYOUT!$E$2:$E$80,0)),"CEK ZONA NO di luar layout",IF(AD7&lt;&gt;INDEX(LAYOUT!$D$2:$D$80,MATCH(AH7&amp;"|"&amp;AC7,LAYOUT!$E$2:$E$80,0)),"CEK JENIS ZONA",IF($D7="","Zona STOCK",IF($E7="","CEK SKU DESCRIPTION kosong",IF(AND(AE7&lt;&gt;"",AF7=""),"CEK URUTAN SAMBUNG kosong",IF(AND(AE7&lt;&gt;"",LEFT(AH7,6)="Endcap"),"CEK Endcap tidak ikut sambung","OK")))))))))</f>
        <v/>
      </c>
    </row>
    <row r="8">
      <c r="A8" s="10" t="n"/>
      <c r="B8" s="10" t="n"/>
      <c r="C8" s="10" t="n"/>
      <c r="D8" s="10" t="n"/>
      <c r="E8" s="10" t="n"/>
      <c r="F8" s="10" t="n"/>
      <c r="G8" s="10" t="n"/>
      <c r="H8" s="10" t="n"/>
      <c r="I8" s="10" t="n"/>
      <c r="J8" s="10" t="n"/>
      <c r="K8" s="10" t="n"/>
      <c r="L8" s="11" t="n"/>
      <c r="M8" s="11" t="n"/>
      <c r="N8" s="11" t="n"/>
      <c r="O8" s="11" t="n"/>
      <c r="P8" s="11" t="n"/>
      <c r="Q8" s="11" t="n"/>
      <c r="R8" s="12">
        <f>IF(L8="","",IFERROR(INDEX(DAFTAR_FIXTURE!$B$2:$B$51,MATCH(L8,DAFTAR_FIXTURE!$A$2:$A$51,0)),""))</f>
        <v/>
      </c>
      <c r="S8" s="12">
        <f>IF(AND($D8="",L8=""),"",IF(L8="",IF(AND(T8="",AB8=""),"Belum ditempatkan",""),IF(R8="","CEK ID FIXTURE tidak ada di DAFTAR_FIXTURE",IF(M8="","CEK ZONA NO kosong",IF(ISNA(MATCH(R8&amp;"|"&amp;M8,LAYOUT!$E$2:$E$80,0)),"CEK ZONA NO di luar layout",IF(N8&lt;&gt;INDEX(LAYOUT!$D$2:$D$80,MATCH(R8&amp;"|"&amp;M8,LAYOUT!$E$2:$E$80,0)),"CEK JENIS ZONA",IF($D8="","Zona STOCK",IF($E8="","CEK SKU DESCRIPTION kosong",IF(AND(O8&lt;&gt;"",P8=""),"CEK URUTAN SAMBUNG kosong",IF(AND(O8&lt;&gt;"",LEFT(R8,6)="Endcap"),"CEK Endcap tidak ikut sambung","OK"))))))))))</f>
        <v/>
      </c>
      <c r="T8" s="11" t="n"/>
      <c r="U8" s="11" t="n"/>
      <c r="V8" s="11" t="n"/>
      <c r="W8" s="11" t="n"/>
      <c r="X8" s="11" t="n"/>
      <c r="Y8" s="11" t="n"/>
      <c r="Z8" s="12">
        <f>IF(T8="","",IFERROR(INDEX(DAFTAR_FIXTURE!$B$2:$B$51,MATCH(T8,DAFTAR_FIXTURE!$A$2:$A$51,0)),""))</f>
        <v/>
      </c>
      <c r="AA8" s="12">
        <f>IF(T8="","",IF(Z8="","CEK ID FIXTURE tidak ada di DAFTAR_FIXTURE",IF(U8="","CEK ZONA NO kosong",IF(ISNA(MATCH(Z8&amp;"|"&amp;U8,LAYOUT!$E$2:$E$80,0)),"CEK ZONA NO di luar layout",IF(V8&lt;&gt;INDEX(LAYOUT!$D$2:$D$80,MATCH(Z8&amp;"|"&amp;U8,LAYOUT!$E$2:$E$80,0)),"CEK JENIS ZONA",IF($D8="","Zona STOCK",IF($E8="","CEK SKU DESCRIPTION kosong",IF(AND(W8&lt;&gt;"",X8=""),"CEK URUTAN SAMBUNG kosong",IF(AND(W8&lt;&gt;"",LEFT(Z8,6)="Endcap"),"CEK Endcap tidak ikut sambung","OK")))))))))</f>
        <v/>
      </c>
      <c r="AB8" s="11" t="n"/>
      <c r="AC8" s="11" t="n"/>
      <c r="AD8" s="11" t="n"/>
      <c r="AE8" s="11" t="n"/>
      <c r="AF8" s="11" t="n"/>
      <c r="AG8" s="11" t="n"/>
      <c r="AH8" s="12">
        <f>IF(AB8="","",IFERROR(INDEX(DAFTAR_FIXTURE!$B$2:$B$51,MATCH(AB8,DAFTAR_FIXTURE!$A$2:$A$51,0)),""))</f>
        <v/>
      </c>
      <c r="AI8" s="12">
        <f>IF(AB8="","",IF(AH8="","CEK ID FIXTURE tidak ada di DAFTAR_FIXTURE",IF(AC8="","CEK ZONA NO kosong",IF(ISNA(MATCH(AH8&amp;"|"&amp;AC8,LAYOUT!$E$2:$E$80,0)),"CEK ZONA NO di luar layout",IF(AD8&lt;&gt;INDEX(LAYOUT!$D$2:$D$80,MATCH(AH8&amp;"|"&amp;AC8,LAYOUT!$E$2:$E$80,0)),"CEK JENIS ZONA",IF($D8="","Zona STOCK",IF($E8="","CEK SKU DESCRIPTION kosong",IF(AND(AE8&lt;&gt;"",AF8=""),"CEK URUTAN SAMBUNG kosong",IF(AND(AE8&lt;&gt;"",LEFT(AH8,6)="Endcap"),"CEK Endcap tidak ikut sambung","OK")))))))))</f>
        <v/>
      </c>
    </row>
    <row r="9">
      <c r="A9" s="10" t="n"/>
      <c r="B9" s="10" t="n"/>
      <c r="C9" s="10" t="n"/>
      <c r="D9" s="10" t="n"/>
      <c r="E9" s="10" t="n"/>
      <c r="F9" s="10" t="n"/>
      <c r="G9" s="10" t="n"/>
      <c r="H9" s="10" t="n"/>
      <c r="I9" s="10" t="n"/>
      <c r="J9" s="10" t="n"/>
      <c r="K9" s="10" t="n"/>
      <c r="L9" s="11" t="n"/>
      <c r="M9" s="11" t="n"/>
      <c r="N9" s="11" t="n"/>
      <c r="O9" s="11" t="n"/>
      <c r="P9" s="11" t="n"/>
      <c r="Q9" s="11" t="n"/>
      <c r="R9" s="12">
        <f>IF(L9="","",IFERROR(INDEX(DAFTAR_FIXTURE!$B$2:$B$51,MATCH(L9,DAFTAR_FIXTURE!$A$2:$A$51,0)),""))</f>
        <v/>
      </c>
      <c r="S9" s="12">
        <f>IF(AND($D9="",L9=""),"",IF(L9="",IF(AND(T9="",AB9=""),"Belum ditempatkan",""),IF(R9="","CEK ID FIXTURE tidak ada di DAFTAR_FIXTURE",IF(M9="","CEK ZONA NO kosong",IF(ISNA(MATCH(R9&amp;"|"&amp;M9,LAYOUT!$E$2:$E$80,0)),"CEK ZONA NO di luar layout",IF(N9&lt;&gt;INDEX(LAYOUT!$D$2:$D$80,MATCH(R9&amp;"|"&amp;M9,LAYOUT!$E$2:$E$80,0)),"CEK JENIS ZONA",IF($D9="","Zona STOCK",IF($E9="","CEK SKU DESCRIPTION kosong",IF(AND(O9&lt;&gt;"",P9=""),"CEK URUTAN SAMBUNG kosong",IF(AND(O9&lt;&gt;"",LEFT(R9,6)="Endcap"),"CEK Endcap tidak ikut sambung","OK"))))))))))</f>
        <v/>
      </c>
      <c r="T9" s="11" t="n"/>
      <c r="U9" s="11" t="n"/>
      <c r="V9" s="11" t="n"/>
      <c r="W9" s="11" t="n"/>
      <c r="X9" s="11" t="n"/>
      <c r="Y9" s="11" t="n"/>
      <c r="Z9" s="12">
        <f>IF(T9="","",IFERROR(INDEX(DAFTAR_FIXTURE!$B$2:$B$51,MATCH(T9,DAFTAR_FIXTURE!$A$2:$A$51,0)),""))</f>
        <v/>
      </c>
      <c r="AA9" s="12">
        <f>IF(T9="","",IF(Z9="","CEK ID FIXTURE tidak ada di DAFTAR_FIXTURE",IF(U9="","CEK ZONA NO kosong",IF(ISNA(MATCH(Z9&amp;"|"&amp;U9,LAYOUT!$E$2:$E$80,0)),"CEK ZONA NO di luar layout",IF(V9&lt;&gt;INDEX(LAYOUT!$D$2:$D$80,MATCH(Z9&amp;"|"&amp;U9,LAYOUT!$E$2:$E$80,0)),"CEK JENIS ZONA",IF($D9="","Zona STOCK",IF($E9="","CEK SKU DESCRIPTION kosong",IF(AND(W9&lt;&gt;"",X9=""),"CEK URUTAN SAMBUNG kosong",IF(AND(W9&lt;&gt;"",LEFT(Z9,6)="Endcap"),"CEK Endcap tidak ikut sambung","OK")))))))))</f>
        <v/>
      </c>
      <c r="AB9" s="11" t="n"/>
      <c r="AC9" s="11" t="n"/>
      <c r="AD9" s="11" t="n"/>
      <c r="AE9" s="11" t="n"/>
      <c r="AF9" s="11" t="n"/>
      <c r="AG9" s="11" t="n"/>
      <c r="AH9" s="12">
        <f>IF(AB9="","",IFERROR(INDEX(DAFTAR_FIXTURE!$B$2:$B$51,MATCH(AB9,DAFTAR_FIXTURE!$A$2:$A$51,0)),""))</f>
        <v/>
      </c>
      <c r="AI9" s="12">
        <f>IF(AB9="","",IF(AH9="","CEK ID FIXTURE tidak ada di DAFTAR_FIXTURE",IF(AC9="","CEK ZONA NO kosong",IF(ISNA(MATCH(AH9&amp;"|"&amp;AC9,LAYOUT!$E$2:$E$80,0)),"CEK ZONA NO di luar layout",IF(AD9&lt;&gt;INDEX(LAYOUT!$D$2:$D$80,MATCH(AH9&amp;"|"&amp;AC9,LAYOUT!$E$2:$E$80,0)),"CEK JENIS ZONA",IF($D9="","Zona STOCK",IF($E9="","CEK SKU DESCRIPTION kosong",IF(AND(AE9&lt;&gt;"",AF9=""),"CEK URUTAN SAMBUNG kosong",IF(AND(AE9&lt;&gt;"",LEFT(AH9,6)="Endcap"),"CEK Endcap tidak ikut sambung","OK")))))))))</f>
        <v/>
      </c>
    </row>
    <row r="10">
      <c r="A10" s="10" t="n"/>
      <c r="B10" s="10" t="n"/>
      <c r="C10" s="10" t="n"/>
      <c r="D10" s="10" t="n"/>
      <c r="E10" s="10" t="n"/>
      <c r="F10" s="10" t="n"/>
      <c r="G10" s="10" t="n"/>
      <c r="H10" s="10" t="n"/>
      <c r="I10" s="10" t="n"/>
      <c r="J10" s="10" t="n"/>
      <c r="K10" s="10" t="n"/>
      <c r="L10" s="11" t="n"/>
      <c r="M10" s="11" t="n"/>
      <c r="N10" s="11" t="n"/>
      <c r="O10" s="11" t="n"/>
      <c r="P10" s="11" t="n"/>
      <c r="Q10" s="11" t="n"/>
      <c r="R10" s="12">
        <f>IF(L10="","",IFERROR(INDEX(DAFTAR_FIXTURE!$B$2:$B$51,MATCH(L10,DAFTAR_FIXTURE!$A$2:$A$51,0)),""))</f>
        <v/>
      </c>
      <c r="S10" s="12">
        <f>IF(AND($D10="",L10=""),"",IF(L10="",IF(AND(T10="",AB10=""),"Belum ditempatkan",""),IF(R10="","CEK ID FIXTURE tidak ada di DAFTAR_FIXTURE",IF(M10="","CEK ZONA NO kosong",IF(ISNA(MATCH(R10&amp;"|"&amp;M10,LAYOUT!$E$2:$E$80,0)),"CEK ZONA NO di luar layout",IF(N10&lt;&gt;INDEX(LAYOUT!$D$2:$D$80,MATCH(R10&amp;"|"&amp;M10,LAYOUT!$E$2:$E$80,0)),"CEK JENIS ZONA",IF($D10="","Zona STOCK",IF($E10="","CEK SKU DESCRIPTION kosong",IF(AND(O10&lt;&gt;"",P10=""),"CEK URUTAN SAMBUNG kosong",IF(AND(O10&lt;&gt;"",LEFT(R10,6)="Endcap"),"CEK Endcap tidak ikut sambung","OK"))))))))))</f>
        <v/>
      </c>
      <c r="T10" s="11" t="n"/>
      <c r="U10" s="11" t="n"/>
      <c r="V10" s="11" t="n"/>
      <c r="W10" s="11" t="n"/>
      <c r="X10" s="11" t="n"/>
      <c r="Y10" s="11" t="n"/>
      <c r="Z10" s="12">
        <f>IF(T10="","",IFERROR(INDEX(DAFTAR_FIXTURE!$B$2:$B$51,MATCH(T10,DAFTAR_FIXTURE!$A$2:$A$51,0)),""))</f>
        <v/>
      </c>
      <c r="AA10" s="12">
        <f>IF(T10="","",IF(Z10="","CEK ID FIXTURE tidak ada di DAFTAR_FIXTURE",IF(U10="","CEK ZONA NO kosong",IF(ISNA(MATCH(Z10&amp;"|"&amp;U10,LAYOUT!$E$2:$E$80,0)),"CEK ZONA NO di luar layout",IF(V10&lt;&gt;INDEX(LAYOUT!$D$2:$D$80,MATCH(Z10&amp;"|"&amp;U10,LAYOUT!$E$2:$E$80,0)),"CEK JENIS ZONA",IF($D10="","Zona STOCK",IF($E10="","CEK SKU DESCRIPTION kosong",IF(AND(W10&lt;&gt;"",X10=""),"CEK URUTAN SAMBUNG kosong",IF(AND(W10&lt;&gt;"",LEFT(Z10,6)="Endcap"),"CEK Endcap tidak ikut sambung","OK")))))))))</f>
        <v/>
      </c>
      <c r="AB10" s="11" t="n"/>
      <c r="AC10" s="11" t="n"/>
      <c r="AD10" s="11" t="n"/>
      <c r="AE10" s="11" t="n"/>
      <c r="AF10" s="11" t="n"/>
      <c r="AG10" s="11" t="n"/>
      <c r="AH10" s="12">
        <f>IF(AB10="","",IFERROR(INDEX(DAFTAR_FIXTURE!$B$2:$B$51,MATCH(AB10,DAFTAR_FIXTURE!$A$2:$A$51,0)),""))</f>
        <v/>
      </c>
      <c r="AI10" s="12">
        <f>IF(AB10="","",IF(AH10="","CEK ID FIXTURE tidak ada di DAFTAR_FIXTURE",IF(AC10="","CEK ZONA NO kosong",IF(ISNA(MATCH(AH10&amp;"|"&amp;AC10,LAYOUT!$E$2:$E$80,0)),"CEK ZONA NO di luar layout",IF(AD10&lt;&gt;INDEX(LAYOUT!$D$2:$D$80,MATCH(AH10&amp;"|"&amp;AC10,LAYOUT!$E$2:$E$80,0)),"CEK JENIS ZONA",IF($D10="","Zona STOCK",IF($E10="","CEK SKU DESCRIPTION kosong",IF(AND(AE10&lt;&gt;"",AF10=""),"CEK URUTAN SAMBUNG kosong",IF(AND(AE10&lt;&gt;"",LEFT(AH10,6)="Endcap"),"CEK Endcap tidak ikut sambung","OK")))))))))</f>
        <v/>
      </c>
    </row>
    <row r="11">
      <c r="A11" s="10" t="n"/>
      <c r="B11" s="10" t="n"/>
      <c r="C11" s="10" t="n"/>
      <c r="D11" s="10" t="n"/>
      <c r="E11" s="10" t="n"/>
      <c r="F11" s="10" t="n"/>
      <c r="G11" s="10" t="n"/>
      <c r="H11" s="10" t="n"/>
      <c r="I11" s="10" t="n"/>
      <c r="J11" s="10" t="n"/>
      <c r="K11" s="10" t="n"/>
      <c r="L11" s="11" t="n"/>
      <c r="M11" s="11" t="n"/>
      <c r="N11" s="11" t="n"/>
      <c r="O11" s="11" t="n"/>
      <c r="P11" s="11" t="n"/>
      <c r="Q11" s="11" t="n"/>
      <c r="R11" s="12">
        <f>IF(L11="","",IFERROR(INDEX(DAFTAR_FIXTURE!$B$2:$B$51,MATCH(L11,DAFTAR_FIXTURE!$A$2:$A$51,0)),""))</f>
        <v/>
      </c>
      <c r="S11" s="12">
        <f>IF(AND($D11="",L11=""),"",IF(L11="",IF(AND(T11="",AB11=""),"Belum ditempatkan",""),IF(R11="","CEK ID FIXTURE tidak ada di DAFTAR_FIXTURE",IF(M11="","CEK ZONA NO kosong",IF(ISNA(MATCH(R11&amp;"|"&amp;M11,LAYOUT!$E$2:$E$80,0)),"CEK ZONA NO di luar layout",IF(N11&lt;&gt;INDEX(LAYOUT!$D$2:$D$80,MATCH(R11&amp;"|"&amp;M11,LAYOUT!$E$2:$E$80,0)),"CEK JENIS ZONA",IF($D11="","Zona STOCK",IF($E11="","CEK SKU DESCRIPTION kosong",IF(AND(O11&lt;&gt;"",P11=""),"CEK URUTAN SAMBUNG kosong",IF(AND(O11&lt;&gt;"",LEFT(R11,6)="Endcap"),"CEK Endcap tidak ikut sambung","OK"))))))))))</f>
        <v/>
      </c>
      <c r="T11" s="11" t="n"/>
      <c r="U11" s="11" t="n"/>
      <c r="V11" s="11" t="n"/>
      <c r="W11" s="11" t="n"/>
      <c r="X11" s="11" t="n"/>
      <c r="Y11" s="11" t="n"/>
      <c r="Z11" s="12">
        <f>IF(T11="","",IFERROR(INDEX(DAFTAR_FIXTURE!$B$2:$B$51,MATCH(T11,DAFTAR_FIXTURE!$A$2:$A$51,0)),""))</f>
        <v/>
      </c>
      <c r="AA11" s="12">
        <f>IF(T11="","",IF(Z11="","CEK ID FIXTURE tidak ada di DAFTAR_FIXTURE",IF(U11="","CEK ZONA NO kosong",IF(ISNA(MATCH(Z11&amp;"|"&amp;U11,LAYOUT!$E$2:$E$80,0)),"CEK ZONA NO di luar layout",IF(V11&lt;&gt;INDEX(LAYOUT!$D$2:$D$80,MATCH(Z11&amp;"|"&amp;U11,LAYOUT!$E$2:$E$80,0)),"CEK JENIS ZONA",IF($D11="","Zona STOCK",IF($E11="","CEK SKU DESCRIPTION kosong",IF(AND(W11&lt;&gt;"",X11=""),"CEK URUTAN SAMBUNG kosong",IF(AND(W11&lt;&gt;"",LEFT(Z11,6)="Endcap"),"CEK Endcap tidak ikut sambung","OK")))))))))</f>
        <v/>
      </c>
      <c r="AB11" s="11" t="n"/>
      <c r="AC11" s="11" t="n"/>
      <c r="AD11" s="11" t="n"/>
      <c r="AE11" s="11" t="n"/>
      <c r="AF11" s="11" t="n"/>
      <c r="AG11" s="11" t="n"/>
      <c r="AH11" s="12">
        <f>IF(AB11="","",IFERROR(INDEX(DAFTAR_FIXTURE!$B$2:$B$51,MATCH(AB11,DAFTAR_FIXTURE!$A$2:$A$51,0)),""))</f>
        <v/>
      </c>
      <c r="AI11" s="12">
        <f>IF(AB11="","",IF(AH11="","CEK ID FIXTURE tidak ada di DAFTAR_FIXTURE",IF(AC11="","CEK ZONA NO kosong",IF(ISNA(MATCH(AH11&amp;"|"&amp;AC11,LAYOUT!$E$2:$E$80,0)),"CEK ZONA NO di luar layout",IF(AD11&lt;&gt;INDEX(LAYOUT!$D$2:$D$80,MATCH(AH11&amp;"|"&amp;AC11,LAYOUT!$E$2:$E$80,0)),"CEK JENIS ZONA",IF($D11="","Zona STOCK",IF($E11="","CEK SKU DESCRIPTION kosong",IF(AND(AE11&lt;&gt;"",AF11=""),"CEK URUTAN SAMBUNG kosong",IF(AND(AE11&lt;&gt;"",LEFT(AH11,6)="Endcap"),"CEK Endcap tidak ikut sambung","OK")))))))))</f>
        <v/>
      </c>
    </row>
    <row r="12">
      <c r="A12" s="10" t="n"/>
      <c r="B12" s="10" t="n"/>
      <c r="C12" s="10" t="n"/>
      <c r="D12" s="10" t="n"/>
      <c r="E12" s="10" t="n"/>
      <c r="F12" s="10" t="n"/>
      <c r="G12" s="10" t="n"/>
      <c r="H12" s="10" t="n"/>
      <c r="I12" s="10" t="n"/>
      <c r="J12" s="10" t="n"/>
      <c r="K12" s="10" t="n"/>
      <c r="L12" s="11" t="n"/>
      <c r="M12" s="11" t="n"/>
      <c r="N12" s="11" t="n"/>
      <c r="O12" s="11" t="n"/>
      <c r="P12" s="11" t="n"/>
      <c r="Q12" s="11" t="n"/>
      <c r="R12" s="12">
        <f>IF(L12="","",IFERROR(INDEX(DAFTAR_FIXTURE!$B$2:$B$51,MATCH(L12,DAFTAR_FIXTURE!$A$2:$A$51,0)),""))</f>
        <v/>
      </c>
      <c r="S12" s="12">
        <f>IF(AND($D12="",L12=""),"",IF(L12="",IF(AND(T12="",AB12=""),"Belum ditempatkan",""),IF(R12="","CEK ID FIXTURE tidak ada di DAFTAR_FIXTURE",IF(M12="","CEK ZONA NO kosong",IF(ISNA(MATCH(R12&amp;"|"&amp;M12,LAYOUT!$E$2:$E$80,0)),"CEK ZONA NO di luar layout",IF(N12&lt;&gt;INDEX(LAYOUT!$D$2:$D$80,MATCH(R12&amp;"|"&amp;M12,LAYOUT!$E$2:$E$80,0)),"CEK JENIS ZONA",IF($D12="","Zona STOCK",IF($E12="","CEK SKU DESCRIPTION kosong",IF(AND(O12&lt;&gt;"",P12=""),"CEK URUTAN SAMBUNG kosong",IF(AND(O12&lt;&gt;"",LEFT(R12,6)="Endcap"),"CEK Endcap tidak ikut sambung","OK"))))))))))</f>
        <v/>
      </c>
      <c r="T12" s="11" t="n"/>
      <c r="U12" s="11" t="n"/>
      <c r="V12" s="11" t="n"/>
      <c r="W12" s="11" t="n"/>
      <c r="X12" s="11" t="n"/>
      <c r="Y12" s="11" t="n"/>
      <c r="Z12" s="12">
        <f>IF(T12="","",IFERROR(INDEX(DAFTAR_FIXTURE!$B$2:$B$51,MATCH(T12,DAFTAR_FIXTURE!$A$2:$A$51,0)),""))</f>
        <v/>
      </c>
      <c r="AA12" s="12">
        <f>IF(T12="","",IF(Z12="","CEK ID FIXTURE tidak ada di DAFTAR_FIXTURE",IF(U12="","CEK ZONA NO kosong",IF(ISNA(MATCH(Z12&amp;"|"&amp;U12,LAYOUT!$E$2:$E$80,0)),"CEK ZONA NO di luar layout",IF(V12&lt;&gt;INDEX(LAYOUT!$D$2:$D$80,MATCH(Z12&amp;"|"&amp;U12,LAYOUT!$E$2:$E$80,0)),"CEK JENIS ZONA",IF($D12="","Zona STOCK",IF($E12="","CEK SKU DESCRIPTION kosong",IF(AND(W12&lt;&gt;"",X12=""),"CEK URUTAN SAMBUNG kosong",IF(AND(W12&lt;&gt;"",LEFT(Z12,6)="Endcap"),"CEK Endcap tidak ikut sambung","OK")))))))))</f>
        <v/>
      </c>
      <c r="AB12" s="11" t="n"/>
      <c r="AC12" s="11" t="n"/>
      <c r="AD12" s="11" t="n"/>
      <c r="AE12" s="11" t="n"/>
      <c r="AF12" s="11" t="n"/>
      <c r="AG12" s="11" t="n"/>
      <c r="AH12" s="12">
        <f>IF(AB12="","",IFERROR(INDEX(DAFTAR_FIXTURE!$B$2:$B$51,MATCH(AB12,DAFTAR_FIXTURE!$A$2:$A$51,0)),""))</f>
        <v/>
      </c>
      <c r="AI12" s="12">
        <f>IF(AB12="","",IF(AH12="","CEK ID FIXTURE tidak ada di DAFTAR_FIXTURE",IF(AC12="","CEK ZONA NO kosong",IF(ISNA(MATCH(AH12&amp;"|"&amp;AC12,LAYOUT!$E$2:$E$80,0)),"CEK ZONA NO di luar layout",IF(AD12&lt;&gt;INDEX(LAYOUT!$D$2:$D$80,MATCH(AH12&amp;"|"&amp;AC12,LAYOUT!$E$2:$E$80,0)),"CEK JENIS ZONA",IF($D12="","Zona STOCK",IF($E12="","CEK SKU DESCRIPTION kosong",IF(AND(AE12&lt;&gt;"",AF12=""),"CEK URUTAN SAMBUNG kosong",IF(AND(AE12&lt;&gt;"",LEFT(AH12,6)="Endcap"),"CEK Endcap tidak ikut sambung","OK")))))))))</f>
        <v/>
      </c>
    </row>
    <row r="13">
      <c r="A13" s="10" t="n"/>
      <c r="B13" s="10" t="n"/>
      <c r="C13" s="10" t="n"/>
      <c r="D13" s="10" t="n"/>
      <c r="E13" s="10" t="n"/>
      <c r="F13" s="10" t="n"/>
      <c r="G13" s="10" t="n"/>
      <c r="H13" s="10" t="n"/>
      <c r="I13" s="10" t="n"/>
      <c r="J13" s="10" t="n"/>
      <c r="K13" s="10" t="n"/>
      <c r="L13" s="11" t="n"/>
      <c r="M13" s="11" t="n"/>
      <c r="N13" s="11" t="n"/>
      <c r="O13" s="11" t="n"/>
      <c r="P13" s="11" t="n"/>
      <c r="Q13" s="11" t="n"/>
      <c r="R13" s="12">
        <f>IF(L13="","",IFERROR(INDEX(DAFTAR_FIXTURE!$B$2:$B$51,MATCH(L13,DAFTAR_FIXTURE!$A$2:$A$51,0)),""))</f>
        <v/>
      </c>
      <c r="S13" s="12">
        <f>IF(AND($D13="",L13=""),"",IF(L13="",IF(AND(T13="",AB13=""),"Belum ditempatkan",""),IF(R13="","CEK ID FIXTURE tidak ada di DAFTAR_FIXTURE",IF(M13="","CEK ZONA NO kosong",IF(ISNA(MATCH(R13&amp;"|"&amp;M13,LAYOUT!$E$2:$E$80,0)),"CEK ZONA NO di luar layout",IF(N13&lt;&gt;INDEX(LAYOUT!$D$2:$D$80,MATCH(R13&amp;"|"&amp;M13,LAYOUT!$E$2:$E$80,0)),"CEK JENIS ZONA",IF($D13="","Zona STOCK",IF($E13="","CEK SKU DESCRIPTION kosong",IF(AND(O13&lt;&gt;"",P13=""),"CEK URUTAN SAMBUNG kosong",IF(AND(O13&lt;&gt;"",LEFT(R13,6)="Endcap"),"CEK Endcap tidak ikut sambung","OK"))))))))))</f>
        <v/>
      </c>
      <c r="T13" s="11" t="n"/>
      <c r="U13" s="11" t="n"/>
      <c r="V13" s="11" t="n"/>
      <c r="W13" s="11" t="n"/>
      <c r="X13" s="11" t="n"/>
      <c r="Y13" s="11" t="n"/>
      <c r="Z13" s="12">
        <f>IF(T13="","",IFERROR(INDEX(DAFTAR_FIXTURE!$B$2:$B$51,MATCH(T13,DAFTAR_FIXTURE!$A$2:$A$51,0)),""))</f>
        <v/>
      </c>
      <c r="AA13" s="12">
        <f>IF(T13="","",IF(Z13="","CEK ID FIXTURE tidak ada di DAFTAR_FIXTURE",IF(U13="","CEK ZONA NO kosong",IF(ISNA(MATCH(Z13&amp;"|"&amp;U13,LAYOUT!$E$2:$E$80,0)),"CEK ZONA NO di luar layout",IF(V13&lt;&gt;INDEX(LAYOUT!$D$2:$D$80,MATCH(Z13&amp;"|"&amp;U13,LAYOUT!$E$2:$E$80,0)),"CEK JENIS ZONA",IF($D13="","Zona STOCK",IF($E13="","CEK SKU DESCRIPTION kosong",IF(AND(W13&lt;&gt;"",X13=""),"CEK URUTAN SAMBUNG kosong",IF(AND(W13&lt;&gt;"",LEFT(Z13,6)="Endcap"),"CEK Endcap tidak ikut sambung","OK")))))))))</f>
        <v/>
      </c>
      <c r="AB13" s="11" t="n"/>
      <c r="AC13" s="11" t="n"/>
      <c r="AD13" s="11" t="n"/>
      <c r="AE13" s="11" t="n"/>
      <c r="AF13" s="11" t="n"/>
      <c r="AG13" s="11" t="n"/>
      <c r="AH13" s="12">
        <f>IF(AB13="","",IFERROR(INDEX(DAFTAR_FIXTURE!$B$2:$B$51,MATCH(AB13,DAFTAR_FIXTURE!$A$2:$A$51,0)),""))</f>
        <v/>
      </c>
      <c r="AI13" s="12">
        <f>IF(AB13="","",IF(AH13="","CEK ID FIXTURE tidak ada di DAFTAR_FIXTURE",IF(AC13="","CEK ZONA NO kosong",IF(ISNA(MATCH(AH13&amp;"|"&amp;AC13,LAYOUT!$E$2:$E$80,0)),"CEK ZONA NO di luar layout",IF(AD13&lt;&gt;INDEX(LAYOUT!$D$2:$D$80,MATCH(AH13&amp;"|"&amp;AC13,LAYOUT!$E$2:$E$80,0)),"CEK JENIS ZONA",IF($D13="","Zona STOCK",IF($E13="","CEK SKU DESCRIPTION kosong",IF(AND(AE13&lt;&gt;"",AF13=""),"CEK URUTAN SAMBUNG kosong",IF(AND(AE13&lt;&gt;"",LEFT(AH13,6)="Endcap"),"CEK Endcap tidak ikut sambung","OK")))))))))</f>
        <v/>
      </c>
    </row>
    <row r="14">
      <c r="A14" s="10" t="n"/>
      <c r="B14" s="10" t="n"/>
      <c r="C14" s="10" t="n"/>
      <c r="D14" s="10" t="n"/>
      <c r="E14" s="10" t="n"/>
      <c r="F14" s="10" t="n"/>
      <c r="G14" s="10" t="n"/>
      <c r="H14" s="10" t="n"/>
      <c r="I14" s="10" t="n"/>
      <c r="J14" s="10" t="n"/>
      <c r="K14" s="10" t="n"/>
      <c r="L14" s="11" t="n"/>
      <c r="M14" s="11" t="n"/>
      <c r="N14" s="11" t="n"/>
      <c r="O14" s="11" t="n"/>
      <c r="P14" s="11" t="n"/>
      <c r="Q14" s="11" t="n"/>
      <c r="R14" s="12">
        <f>IF(L14="","",IFERROR(INDEX(DAFTAR_FIXTURE!$B$2:$B$51,MATCH(L14,DAFTAR_FIXTURE!$A$2:$A$51,0)),""))</f>
        <v/>
      </c>
      <c r="S14" s="12">
        <f>IF(AND($D14="",L14=""),"",IF(L14="",IF(AND(T14="",AB14=""),"Belum ditempatkan",""),IF(R14="","CEK ID FIXTURE tidak ada di DAFTAR_FIXTURE",IF(M14="","CEK ZONA NO kosong",IF(ISNA(MATCH(R14&amp;"|"&amp;M14,LAYOUT!$E$2:$E$80,0)),"CEK ZONA NO di luar layout",IF(N14&lt;&gt;INDEX(LAYOUT!$D$2:$D$80,MATCH(R14&amp;"|"&amp;M14,LAYOUT!$E$2:$E$80,0)),"CEK JENIS ZONA",IF($D14="","Zona STOCK",IF($E14="","CEK SKU DESCRIPTION kosong",IF(AND(O14&lt;&gt;"",P14=""),"CEK URUTAN SAMBUNG kosong",IF(AND(O14&lt;&gt;"",LEFT(R14,6)="Endcap"),"CEK Endcap tidak ikut sambung","OK"))))))))))</f>
        <v/>
      </c>
      <c r="T14" s="11" t="n"/>
      <c r="U14" s="11" t="n"/>
      <c r="V14" s="11" t="n"/>
      <c r="W14" s="11" t="n"/>
      <c r="X14" s="11" t="n"/>
      <c r="Y14" s="11" t="n"/>
      <c r="Z14" s="12">
        <f>IF(T14="","",IFERROR(INDEX(DAFTAR_FIXTURE!$B$2:$B$51,MATCH(T14,DAFTAR_FIXTURE!$A$2:$A$51,0)),""))</f>
        <v/>
      </c>
      <c r="AA14" s="12">
        <f>IF(T14="","",IF(Z14="","CEK ID FIXTURE tidak ada di DAFTAR_FIXTURE",IF(U14="","CEK ZONA NO kosong",IF(ISNA(MATCH(Z14&amp;"|"&amp;U14,LAYOUT!$E$2:$E$80,0)),"CEK ZONA NO di luar layout",IF(V14&lt;&gt;INDEX(LAYOUT!$D$2:$D$80,MATCH(Z14&amp;"|"&amp;U14,LAYOUT!$E$2:$E$80,0)),"CEK JENIS ZONA",IF($D14="","Zona STOCK",IF($E14="","CEK SKU DESCRIPTION kosong",IF(AND(W14&lt;&gt;"",X14=""),"CEK URUTAN SAMBUNG kosong",IF(AND(W14&lt;&gt;"",LEFT(Z14,6)="Endcap"),"CEK Endcap tidak ikut sambung","OK")))))))))</f>
        <v/>
      </c>
      <c r="AB14" s="11" t="n"/>
      <c r="AC14" s="11" t="n"/>
      <c r="AD14" s="11" t="n"/>
      <c r="AE14" s="11" t="n"/>
      <c r="AF14" s="11" t="n"/>
      <c r="AG14" s="11" t="n"/>
      <c r="AH14" s="12">
        <f>IF(AB14="","",IFERROR(INDEX(DAFTAR_FIXTURE!$B$2:$B$51,MATCH(AB14,DAFTAR_FIXTURE!$A$2:$A$51,0)),""))</f>
        <v/>
      </c>
      <c r="AI14" s="12">
        <f>IF(AB14="","",IF(AH14="","CEK ID FIXTURE tidak ada di DAFTAR_FIXTURE",IF(AC14="","CEK ZONA NO kosong",IF(ISNA(MATCH(AH14&amp;"|"&amp;AC14,LAYOUT!$E$2:$E$80,0)),"CEK ZONA NO di luar layout",IF(AD14&lt;&gt;INDEX(LAYOUT!$D$2:$D$80,MATCH(AH14&amp;"|"&amp;AC14,LAYOUT!$E$2:$E$80,0)),"CEK JENIS ZONA",IF($D14="","Zona STOCK",IF($E14="","CEK SKU DESCRIPTION kosong",IF(AND(AE14&lt;&gt;"",AF14=""),"CEK URUTAN SAMBUNG kosong",IF(AND(AE14&lt;&gt;"",LEFT(AH14,6)="Endcap"),"CEK Endcap tidak ikut sambung","OK")))))))))</f>
        <v/>
      </c>
    </row>
    <row r="15">
      <c r="A15" s="10" t="n"/>
      <c r="B15" s="10" t="n"/>
      <c r="C15" s="10" t="n"/>
      <c r="D15" s="10" t="n"/>
      <c r="E15" s="10" t="n"/>
      <c r="F15" s="10" t="n"/>
      <c r="G15" s="10" t="n"/>
      <c r="H15" s="10" t="n"/>
      <c r="I15" s="10" t="n"/>
      <c r="J15" s="10" t="n"/>
      <c r="K15" s="10" t="n"/>
      <c r="L15" s="11" t="n"/>
      <c r="M15" s="11" t="n"/>
      <c r="N15" s="11" t="n"/>
      <c r="O15" s="11" t="n"/>
      <c r="P15" s="11" t="n"/>
      <c r="Q15" s="11" t="n"/>
      <c r="R15" s="12">
        <f>IF(L15="","",IFERROR(INDEX(DAFTAR_FIXTURE!$B$2:$B$51,MATCH(L15,DAFTAR_FIXTURE!$A$2:$A$51,0)),""))</f>
        <v/>
      </c>
      <c r="S15" s="12">
        <f>IF(AND($D15="",L15=""),"",IF(L15="",IF(AND(T15="",AB15=""),"Belum ditempatkan",""),IF(R15="","CEK ID FIXTURE tidak ada di DAFTAR_FIXTURE",IF(M15="","CEK ZONA NO kosong",IF(ISNA(MATCH(R15&amp;"|"&amp;M15,LAYOUT!$E$2:$E$80,0)),"CEK ZONA NO di luar layout",IF(N15&lt;&gt;INDEX(LAYOUT!$D$2:$D$80,MATCH(R15&amp;"|"&amp;M15,LAYOUT!$E$2:$E$80,0)),"CEK JENIS ZONA",IF($D15="","Zona STOCK",IF($E15="","CEK SKU DESCRIPTION kosong",IF(AND(O15&lt;&gt;"",P15=""),"CEK URUTAN SAMBUNG kosong",IF(AND(O15&lt;&gt;"",LEFT(R15,6)="Endcap"),"CEK Endcap tidak ikut sambung","OK"))))))))))</f>
        <v/>
      </c>
      <c r="T15" s="11" t="n"/>
      <c r="U15" s="11" t="n"/>
      <c r="V15" s="11" t="n"/>
      <c r="W15" s="11" t="n"/>
      <c r="X15" s="11" t="n"/>
      <c r="Y15" s="11" t="n"/>
      <c r="Z15" s="12">
        <f>IF(T15="","",IFERROR(INDEX(DAFTAR_FIXTURE!$B$2:$B$51,MATCH(T15,DAFTAR_FIXTURE!$A$2:$A$51,0)),""))</f>
        <v/>
      </c>
      <c r="AA15" s="12">
        <f>IF(T15="","",IF(Z15="","CEK ID FIXTURE tidak ada di DAFTAR_FIXTURE",IF(U15="","CEK ZONA NO kosong",IF(ISNA(MATCH(Z15&amp;"|"&amp;U15,LAYOUT!$E$2:$E$80,0)),"CEK ZONA NO di luar layout",IF(V15&lt;&gt;INDEX(LAYOUT!$D$2:$D$80,MATCH(Z15&amp;"|"&amp;U15,LAYOUT!$E$2:$E$80,0)),"CEK JENIS ZONA",IF($D15="","Zona STOCK",IF($E15="","CEK SKU DESCRIPTION kosong",IF(AND(W15&lt;&gt;"",X15=""),"CEK URUTAN SAMBUNG kosong",IF(AND(W15&lt;&gt;"",LEFT(Z15,6)="Endcap"),"CEK Endcap tidak ikut sambung","OK")))))))))</f>
        <v/>
      </c>
      <c r="AB15" s="11" t="n"/>
      <c r="AC15" s="11" t="n"/>
      <c r="AD15" s="11" t="n"/>
      <c r="AE15" s="11" t="n"/>
      <c r="AF15" s="11" t="n"/>
      <c r="AG15" s="11" t="n"/>
      <c r="AH15" s="12">
        <f>IF(AB15="","",IFERROR(INDEX(DAFTAR_FIXTURE!$B$2:$B$51,MATCH(AB15,DAFTAR_FIXTURE!$A$2:$A$51,0)),""))</f>
        <v/>
      </c>
      <c r="AI15" s="12">
        <f>IF(AB15="","",IF(AH15="","CEK ID FIXTURE tidak ada di DAFTAR_FIXTURE",IF(AC15="","CEK ZONA NO kosong",IF(ISNA(MATCH(AH15&amp;"|"&amp;AC15,LAYOUT!$E$2:$E$80,0)),"CEK ZONA NO di luar layout",IF(AD15&lt;&gt;INDEX(LAYOUT!$D$2:$D$80,MATCH(AH15&amp;"|"&amp;AC15,LAYOUT!$E$2:$E$80,0)),"CEK JENIS ZONA",IF($D15="","Zona STOCK",IF($E15="","CEK SKU DESCRIPTION kosong",IF(AND(AE15&lt;&gt;"",AF15=""),"CEK URUTAN SAMBUNG kosong",IF(AND(AE15&lt;&gt;"",LEFT(AH15,6)="Endcap"),"CEK Endcap tidak ikut sambung","OK")))))))))</f>
        <v/>
      </c>
    </row>
    <row r="16">
      <c r="A16" s="10" t="n"/>
      <c r="B16" s="10" t="n"/>
      <c r="C16" s="10" t="n"/>
      <c r="D16" s="10" t="n"/>
      <c r="E16" s="10" t="n"/>
      <c r="F16" s="10" t="n"/>
      <c r="G16" s="10" t="n"/>
      <c r="H16" s="10" t="n"/>
      <c r="I16" s="10" t="n"/>
      <c r="J16" s="10" t="n"/>
      <c r="K16" s="10" t="n"/>
      <c r="L16" s="11" t="n"/>
      <c r="M16" s="11" t="n"/>
      <c r="N16" s="11" t="n"/>
      <c r="O16" s="11" t="n"/>
      <c r="P16" s="11" t="n"/>
      <c r="Q16" s="11" t="n"/>
      <c r="R16" s="12">
        <f>IF(L16="","",IFERROR(INDEX(DAFTAR_FIXTURE!$B$2:$B$51,MATCH(L16,DAFTAR_FIXTURE!$A$2:$A$51,0)),""))</f>
        <v/>
      </c>
      <c r="S16" s="12">
        <f>IF(AND($D16="",L16=""),"",IF(L16="",IF(AND(T16="",AB16=""),"Belum ditempatkan",""),IF(R16="","CEK ID FIXTURE tidak ada di DAFTAR_FIXTURE",IF(M16="","CEK ZONA NO kosong",IF(ISNA(MATCH(R16&amp;"|"&amp;M16,LAYOUT!$E$2:$E$80,0)),"CEK ZONA NO di luar layout",IF(N16&lt;&gt;INDEX(LAYOUT!$D$2:$D$80,MATCH(R16&amp;"|"&amp;M16,LAYOUT!$E$2:$E$80,0)),"CEK JENIS ZONA",IF($D16="","Zona STOCK",IF($E16="","CEK SKU DESCRIPTION kosong",IF(AND(O16&lt;&gt;"",P16=""),"CEK URUTAN SAMBUNG kosong",IF(AND(O16&lt;&gt;"",LEFT(R16,6)="Endcap"),"CEK Endcap tidak ikut sambung","OK"))))))))))</f>
        <v/>
      </c>
      <c r="T16" s="11" t="n"/>
      <c r="U16" s="11" t="n"/>
      <c r="V16" s="11" t="n"/>
      <c r="W16" s="11" t="n"/>
      <c r="X16" s="11" t="n"/>
      <c r="Y16" s="11" t="n"/>
      <c r="Z16" s="12">
        <f>IF(T16="","",IFERROR(INDEX(DAFTAR_FIXTURE!$B$2:$B$51,MATCH(T16,DAFTAR_FIXTURE!$A$2:$A$51,0)),""))</f>
        <v/>
      </c>
      <c r="AA16" s="12">
        <f>IF(T16="","",IF(Z16="","CEK ID FIXTURE tidak ada di DAFTAR_FIXTURE",IF(U16="","CEK ZONA NO kosong",IF(ISNA(MATCH(Z16&amp;"|"&amp;U16,LAYOUT!$E$2:$E$80,0)),"CEK ZONA NO di luar layout",IF(V16&lt;&gt;INDEX(LAYOUT!$D$2:$D$80,MATCH(Z16&amp;"|"&amp;U16,LAYOUT!$E$2:$E$80,0)),"CEK JENIS ZONA",IF($D16="","Zona STOCK",IF($E16="","CEK SKU DESCRIPTION kosong",IF(AND(W16&lt;&gt;"",X16=""),"CEK URUTAN SAMBUNG kosong",IF(AND(W16&lt;&gt;"",LEFT(Z16,6)="Endcap"),"CEK Endcap tidak ikut sambung","OK")))))))))</f>
        <v/>
      </c>
      <c r="AB16" s="11" t="n"/>
      <c r="AC16" s="11" t="n"/>
      <c r="AD16" s="11" t="n"/>
      <c r="AE16" s="11" t="n"/>
      <c r="AF16" s="11" t="n"/>
      <c r="AG16" s="11" t="n"/>
      <c r="AH16" s="12">
        <f>IF(AB16="","",IFERROR(INDEX(DAFTAR_FIXTURE!$B$2:$B$51,MATCH(AB16,DAFTAR_FIXTURE!$A$2:$A$51,0)),""))</f>
        <v/>
      </c>
      <c r="AI16" s="12">
        <f>IF(AB16="","",IF(AH16="","CEK ID FIXTURE tidak ada di DAFTAR_FIXTURE",IF(AC16="","CEK ZONA NO kosong",IF(ISNA(MATCH(AH16&amp;"|"&amp;AC16,LAYOUT!$E$2:$E$80,0)),"CEK ZONA NO di luar layout",IF(AD16&lt;&gt;INDEX(LAYOUT!$D$2:$D$80,MATCH(AH16&amp;"|"&amp;AC16,LAYOUT!$E$2:$E$80,0)),"CEK JENIS ZONA",IF($D16="","Zona STOCK",IF($E16="","CEK SKU DESCRIPTION kosong",IF(AND(AE16&lt;&gt;"",AF16=""),"CEK URUTAN SAMBUNG kosong",IF(AND(AE16&lt;&gt;"",LEFT(AH16,6)="Endcap"),"CEK Endcap tidak ikut sambung","OK")))))))))</f>
        <v/>
      </c>
    </row>
    <row r="17">
      <c r="A17" s="10" t="n"/>
      <c r="B17" s="10" t="n"/>
      <c r="C17" s="10" t="n"/>
      <c r="D17" s="10" t="n"/>
      <c r="E17" s="10" t="n"/>
      <c r="F17" s="10" t="n"/>
      <c r="G17" s="10" t="n"/>
      <c r="H17" s="10" t="n"/>
      <c r="I17" s="10" t="n"/>
      <c r="J17" s="10" t="n"/>
      <c r="K17" s="10" t="n"/>
      <c r="L17" s="11" t="n"/>
      <c r="M17" s="11" t="n"/>
      <c r="N17" s="11" t="n"/>
      <c r="O17" s="11" t="n"/>
      <c r="P17" s="11" t="n"/>
      <c r="Q17" s="11" t="n"/>
      <c r="R17" s="12">
        <f>IF(L17="","",IFERROR(INDEX(DAFTAR_FIXTURE!$B$2:$B$51,MATCH(L17,DAFTAR_FIXTURE!$A$2:$A$51,0)),""))</f>
        <v/>
      </c>
      <c r="S17" s="12">
        <f>IF(AND($D17="",L17=""),"",IF(L17="",IF(AND(T17="",AB17=""),"Belum ditempatkan",""),IF(R17="","CEK ID FIXTURE tidak ada di DAFTAR_FIXTURE",IF(M17="","CEK ZONA NO kosong",IF(ISNA(MATCH(R17&amp;"|"&amp;M17,LAYOUT!$E$2:$E$80,0)),"CEK ZONA NO di luar layout",IF(N17&lt;&gt;INDEX(LAYOUT!$D$2:$D$80,MATCH(R17&amp;"|"&amp;M17,LAYOUT!$E$2:$E$80,0)),"CEK JENIS ZONA",IF($D17="","Zona STOCK",IF($E17="","CEK SKU DESCRIPTION kosong",IF(AND(O17&lt;&gt;"",P17=""),"CEK URUTAN SAMBUNG kosong",IF(AND(O17&lt;&gt;"",LEFT(R17,6)="Endcap"),"CEK Endcap tidak ikut sambung","OK"))))))))))</f>
        <v/>
      </c>
      <c r="T17" s="11" t="n"/>
      <c r="U17" s="11" t="n"/>
      <c r="V17" s="11" t="n"/>
      <c r="W17" s="11" t="n"/>
      <c r="X17" s="11" t="n"/>
      <c r="Y17" s="11" t="n"/>
      <c r="Z17" s="12">
        <f>IF(T17="","",IFERROR(INDEX(DAFTAR_FIXTURE!$B$2:$B$51,MATCH(T17,DAFTAR_FIXTURE!$A$2:$A$51,0)),""))</f>
        <v/>
      </c>
      <c r="AA17" s="12">
        <f>IF(T17="","",IF(Z17="","CEK ID FIXTURE tidak ada di DAFTAR_FIXTURE",IF(U17="","CEK ZONA NO kosong",IF(ISNA(MATCH(Z17&amp;"|"&amp;U17,LAYOUT!$E$2:$E$80,0)),"CEK ZONA NO di luar layout",IF(V17&lt;&gt;INDEX(LAYOUT!$D$2:$D$80,MATCH(Z17&amp;"|"&amp;U17,LAYOUT!$E$2:$E$80,0)),"CEK JENIS ZONA",IF($D17="","Zona STOCK",IF($E17="","CEK SKU DESCRIPTION kosong",IF(AND(W17&lt;&gt;"",X17=""),"CEK URUTAN SAMBUNG kosong",IF(AND(W17&lt;&gt;"",LEFT(Z17,6)="Endcap"),"CEK Endcap tidak ikut sambung","OK")))))))))</f>
        <v/>
      </c>
      <c r="AB17" s="11" t="n"/>
      <c r="AC17" s="11" t="n"/>
      <c r="AD17" s="11" t="n"/>
      <c r="AE17" s="11" t="n"/>
      <c r="AF17" s="11" t="n"/>
      <c r="AG17" s="11" t="n"/>
      <c r="AH17" s="12">
        <f>IF(AB17="","",IFERROR(INDEX(DAFTAR_FIXTURE!$B$2:$B$51,MATCH(AB17,DAFTAR_FIXTURE!$A$2:$A$51,0)),""))</f>
        <v/>
      </c>
      <c r="AI17" s="12">
        <f>IF(AB17="","",IF(AH17="","CEK ID FIXTURE tidak ada di DAFTAR_FIXTURE",IF(AC17="","CEK ZONA NO kosong",IF(ISNA(MATCH(AH17&amp;"|"&amp;AC17,LAYOUT!$E$2:$E$80,0)),"CEK ZONA NO di luar layout",IF(AD17&lt;&gt;INDEX(LAYOUT!$D$2:$D$80,MATCH(AH17&amp;"|"&amp;AC17,LAYOUT!$E$2:$E$80,0)),"CEK JENIS ZONA",IF($D17="","Zona STOCK",IF($E17="","CEK SKU DESCRIPTION kosong",IF(AND(AE17&lt;&gt;"",AF17=""),"CEK URUTAN SAMBUNG kosong",IF(AND(AE17&lt;&gt;"",LEFT(AH17,6)="Endcap"),"CEK Endcap tidak ikut sambung","OK")))))))))</f>
        <v/>
      </c>
    </row>
    <row r="18">
      <c r="A18" s="10" t="n"/>
      <c r="B18" s="10" t="n"/>
      <c r="C18" s="10" t="n"/>
      <c r="D18" s="10" t="n"/>
      <c r="E18" s="10" t="n"/>
      <c r="F18" s="10" t="n"/>
      <c r="G18" s="10" t="n"/>
      <c r="H18" s="10" t="n"/>
      <c r="I18" s="10" t="n"/>
      <c r="J18" s="10" t="n"/>
      <c r="K18" s="10" t="n"/>
      <c r="L18" s="11" t="n"/>
      <c r="M18" s="11" t="n"/>
      <c r="N18" s="11" t="n"/>
      <c r="O18" s="11" t="n"/>
      <c r="P18" s="11" t="n"/>
      <c r="Q18" s="11" t="n"/>
      <c r="R18" s="12">
        <f>IF(L18="","",IFERROR(INDEX(DAFTAR_FIXTURE!$B$2:$B$51,MATCH(L18,DAFTAR_FIXTURE!$A$2:$A$51,0)),""))</f>
        <v/>
      </c>
      <c r="S18" s="12">
        <f>IF(AND($D18="",L18=""),"",IF(L18="",IF(AND(T18="",AB18=""),"Belum ditempatkan",""),IF(R18="","CEK ID FIXTURE tidak ada di DAFTAR_FIXTURE",IF(M18="","CEK ZONA NO kosong",IF(ISNA(MATCH(R18&amp;"|"&amp;M18,LAYOUT!$E$2:$E$80,0)),"CEK ZONA NO di luar layout",IF(N18&lt;&gt;INDEX(LAYOUT!$D$2:$D$80,MATCH(R18&amp;"|"&amp;M18,LAYOUT!$E$2:$E$80,0)),"CEK JENIS ZONA",IF($D18="","Zona STOCK",IF($E18="","CEK SKU DESCRIPTION kosong",IF(AND(O18&lt;&gt;"",P18=""),"CEK URUTAN SAMBUNG kosong",IF(AND(O18&lt;&gt;"",LEFT(R18,6)="Endcap"),"CEK Endcap tidak ikut sambung","OK"))))))))))</f>
        <v/>
      </c>
      <c r="T18" s="11" t="n"/>
      <c r="U18" s="11" t="n"/>
      <c r="V18" s="11" t="n"/>
      <c r="W18" s="11" t="n"/>
      <c r="X18" s="11" t="n"/>
      <c r="Y18" s="11" t="n"/>
      <c r="Z18" s="12">
        <f>IF(T18="","",IFERROR(INDEX(DAFTAR_FIXTURE!$B$2:$B$51,MATCH(T18,DAFTAR_FIXTURE!$A$2:$A$51,0)),""))</f>
        <v/>
      </c>
      <c r="AA18" s="12">
        <f>IF(T18="","",IF(Z18="","CEK ID FIXTURE tidak ada di DAFTAR_FIXTURE",IF(U18="","CEK ZONA NO kosong",IF(ISNA(MATCH(Z18&amp;"|"&amp;U18,LAYOUT!$E$2:$E$80,0)),"CEK ZONA NO di luar layout",IF(V18&lt;&gt;INDEX(LAYOUT!$D$2:$D$80,MATCH(Z18&amp;"|"&amp;U18,LAYOUT!$E$2:$E$80,0)),"CEK JENIS ZONA",IF($D18="","Zona STOCK",IF($E18="","CEK SKU DESCRIPTION kosong",IF(AND(W18&lt;&gt;"",X18=""),"CEK URUTAN SAMBUNG kosong",IF(AND(W18&lt;&gt;"",LEFT(Z18,6)="Endcap"),"CEK Endcap tidak ikut sambung","OK")))))))))</f>
        <v/>
      </c>
      <c r="AB18" s="11" t="n"/>
      <c r="AC18" s="11" t="n"/>
      <c r="AD18" s="11" t="n"/>
      <c r="AE18" s="11" t="n"/>
      <c r="AF18" s="11" t="n"/>
      <c r="AG18" s="11" t="n"/>
      <c r="AH18" s="12">
        <f>IF(AB18="","",IFERROR(INDEX(DAFTAR_FIXTURE!$B$2:$B$51,MATCH(AB18,DAFTAR_FIXTURE!$A$2:$A$51,0)),""))</f>
        <v/>
      </c>
      <c r="AI18" s="12">
        <f>IF(AB18="","",IF(AH18="","CEK ID FIXTURE tidak ada di DAFTAR_FIXTURE",IF(AC18="","CEK ZONA NO kosong",IF(ISNA(MATCH(AH18&amp;"|"&amp;AC18,LAYOUT!$E$2:$E$80,0)),"CEK ZONA NO di luar layout",IF(AD18&lt;&gt;INDEX(LAYOUT!$D$2:$D$80,MATCH(AH18&amp;"|"&amp;AC18,LAYOUT!$E$2:$E$80,0)),"CEK JENIS ZONA",IF($D18="","Zona STOCK",IF($E18="","CEK SKU DESCRIPTION kosong",IF(AND(AE18&lt;&gt;"",AF18=""),"CEK URUTAN SAMBUNG kosong",IF(AND(AE18&lt;&gt;"",LEFT(AH18,6)="Endcap"),"CEK Endcap tidak ikut sambung","OK")))))))))</f>
        <v/>
      </c>
    </row>
    <row r="19">
      <c r="A19" s="10" t="n"/>
      <c r="B19" s="10" t="n"/>
      <c r="C19" s="10" t="n"/>
      <c r="D19" s="10" t="n"/>
      <c r="E19" s="10" t="n"/>
      <c r="F19" s="10" t="n"/>
      <c r="G19" s="10" t="n"/>
      <c r="H19" s="10" t="n"/>
      <c r="I19" s="10" t="n"/>
      <c r="J19" s="10" t="n"/>
      <c r="K19" s="10" t="n"/>
      <c r="L19" s="11" t="n"/>
      <c r="M19" s="11" t="n"/>
      <c r="N19" s="11" t="n"/>
      <c r="O19" s="11" t="n"/>
      <c r="P19" s="11" t="n"/>
      <c r="Q19" s="11" t="n"/>
      <c r="R19" s="12">
        <f>IF(L19="","",IFERROR(INDEX(DAFTAR_FIXTURE!$B$2:$B$51,MATCH(L19,DAFTAR_FIXTURE!$A$2:$A$51,0)),""))</f>
        <v/>
      </c>
      <c r="S19" s="12">
        <f>IF(AND($D19="",L19=""),"",IF(L19="",IF(AND(T19="",AB19=""),"Belum ditempatkan",""),IF(R19="","CEK ID FIXTURE tidak ada di DAFTAR_FIXTURE",IF(M19="","CEK ZONA NO kosong",IF(ISNA(MATCH(R19&amp;"|"&amp;M19,LAYOUT!$E$2:$E$80,0)),"CEK ZONA NO di luar layout",IF(N19&lt;&gt;INDEX(LAYOUT!$D$2:$D$80,MATCH(R19&amp;"|"&amp;M19,LAYOUT!$E$2:$E$80,0)),"CEK JENIS ZONA",IF($D19="","Zona STOCK",IF($E19="","CEK SKU DESCRIPTION kosong",IF(AND(O19&lt;&gt;"",P19=""),"CEK URUTAN SAMBUNG kosong",IF(AND(O19&lt;&gt;"",LEFT(R19,6)="Endcap"),"CEK Endcap tidak ikut sambung","OK"))))))))))</f>
        <v/>
      </c>
      <c r="T19" s="11" t="n"/>
      <c r="U19" s="11" t="n"/>
      <c r="V19" s="11" t="n"/>
      <c r="W19" s="11" t="n"/>
      <c r="X19" s="11" t="n"/>
      <c r="Y19" s="11" t="n"/>
      <c r="Z19" s="12">
        <f>IF(T19="","",IFERROR(INDEX(DAFTAR_FIXTURE!$B$2:$B$51,MATCH(T19,DAFTAR_FIXTURE!$A$2:$A$51,0)),""))</f>
        <v/>
      </c>
      <c r="AA19" s="12">
        <f>IF(T19="","",IF(Z19="","CEK ID FIXTURE tidak ada di DAFTAR_FIXTURE",IF(U19="","CEK ZONA NO kosong",IF(ISNA(MATCH(Z19&amp;"|"&amp;U19,LAYOUT!$E$2:$E$80,0)),"CEK ZONA NO di luar layout",IF(V19&lt;&gt;INDEX(LAYOUT!$D$2:$D$80,MATCH(Z19&amp;"|"&amp;U19,LAYOUT!$E$2:$E$80,0)),"CEK JENIS ZONA",IF($D19="","Zona STOCK",IF($E19="","CEK SKU DESCRIPTION kosong",IF(AND(W19&lt;&gt;"",X19=""),"CEK URUTAN SAMBUNG kosong",IF(AND(W19&lt;&gt;"",LEFT(Z19,6)="Endcap"),"CEK Endcap tidak ikut sambung","OK")))))))))</f>
        <v/>
      </c>
      <c r="AB19" s="11" t="n"/>
      <c r="AC19" s="11" t="n"/>
      <c r="AD19" s="11" t="n"/>
      <c r="AE19" s="11" t="n"/>
      <c r="AF19" s="11" t="n"/>
      <c r="AG19" s="11" t="n"/>
      <c r="AH19" s="12">
        <f>IF(AB19="","",IFERROR(INDEX(DAFTAR_FIXTURE!$B$2:$B$51,MATCH(AB19,DAFTAR_FIXTURE!$A$2:$A$51,0)),""))</f>
        <v/>
      </c>
      <c r="AI19" s="12">
        <f>IF(AB19="","",IF(AH19="","CEK ID FIXTURE tidak ada di DAFTAR_FIXTURE",IF(AC19="","CEK ZONA NO kosong",IF(ISNA(MATCH(AH19&amp;"|"&amp;AC19,LAYOUT!$E$2:$E$80,0)),"CEK ZONA NO di luar layout",IF(AD19&lt;&gt;INDEX(LAYOUT!$D$2:$D$80,MATCH(AH19&amp;"|"&amp;AC19,LAYOUT!$E$2:$E$80,0)),"CEK JENIS ZONA",IF($D19="","Zona STOCK",IF($E19="","CEK SKU DESCRIPTION kosong",IF(AND(AE19&lt;&gt;"",AF19=""),"CEK URUTAN SAMBUNG kosong",IF(AND(AE19&lt;&gt;"",LEFT(AH19,6)="Endcap"),"CEK Endcap tidak ikut sambung","OK")))))))))</f>
        <v/>
      </c>
    </row>
    <row r="20">
      <c r="A20" s="10" t="n"/>
      <c r="B20" s="10" t="n"/>
      <c r="C20" s="10" t="n"/>
      <c r="D20" s="10" t="n"/>
      <c r="E20" s="10" t="n"/>
      <c r="F20" s="10" t="n"/>
      <c r="G20" s="10" t="n"/>
      <c r="H20" s="10" t="n"/>
      <c r="I20" s="10" t="n"/>
      <c r="J20" s="10" t="n"/>
      <c r="K20" s="10" t="n"/>
      <c r="L20" s="11" t="n"/>
      <c r="M20" s="11" t="n"/>
      <c r="N20" s="11" t="n"/>
      <c r="O20" s="11" t="n"/>
      <c r="P20" s="11" t="n"/>
      <c r="Q20" s="11" t="n"/>
      <c r="R20" s="12">
        <f>IF(L20="","",IFERROR(INDEX(DAFTAR_FIXTURE!$B$2:$B$51,MATCH(L20,DAFTAR_FIXTURE!$A$2:$A$51,0)),""))</f>
        <v/>
      </c>
      <c r="S20" s="12">
        <f>IF(AND($D20="",L20=""),"",IF(L20="",IF(AND(T20="",AB20=""),"Belum ditempatkan",""),IF(R20="","CEK ID FIXTURE tidak ada di DAFTAR_FIXTURE",IF(M20="","CEK ZONA NO kosong",IF(ISNA(MATCH(R20&amp;"|"&amp;M20,LAYOUT!$E$2:$E$80,0)),"CEK ZONA NO di luar layout",IF(N20&lt;&gt;INDEX(LAYOUT!$D$2:$D$80,MATCH(R20&amp;"|"&amp;M20,LAYOUT!$E$2:$E$80,0)),"CEK JENIS ZONA",IF($D20="","Zona STOCK",IF($E20="","CEK SKU DESCRIPTION kosong",IF(AND(O20&lt;&gt;"",P20=""),"CEK URUTAN SAMBUNG kosong",IF(AND(O20&lt;&gt;"",LEFT(R20,6)="Endcap"),"CEK Endcap tidak ikut sambung","OK"))))))))))</f>
        <v/>
      </c>
      <c r="T20" s="11" t="n"/>
      <c r="U20" s="11" t="n"/>
      <c r="V20" s="11" t="n"/>
      <c r="W20" s="11" t="n"/>
      <c r="X20" s="11" t="n"/>
      <c r="Y20" s="11" t="n"/>
      <c r="Z20" s="12">
        <f>IF(T20="","",IFERROR(INDEX(DAFTAR_FIXTURE!$B$2:$B$51,MATCH(T20,DAFTAR_FIXTURE!$A$2:$A$51,0)),""))</f>
        <v/>
      </c>
      <c r="AA20" s="12">
        <f>IF(T20="","",IF(Z20="","CEK ID FIXTURE tidak ada di DAFTAR_FIXTURE",IF(U20="","CEK ZONA NO kosong",IF(ISNA(MATCH(Z20&amp;"|"&amp;U20,LAYOUT!$E$2:$E$80,0)),"CEK ZONA NO di luar layout",IF(V20&lt;&gt;INDEX(LAYOUT!$D$2:$D$80,MATCH(Z20&amp;"|"&amp;U20,LAYOUT!$E$2:$E$80,0)),"CEK JENIS ZONA",IF($D20="","Zona STOCK",IF($E20="","CEK SKU DESCRIPTION kosong",IF(AND(W20&lt;&gt;"",X20=""),"CEK URUTAN SAMBUNG kosong",IF(AND(W20&lt;&gt;"",LEFT(Z20,6)="Endcap"),"CEK Endcap tidak ikut sambung","OK")))))))))</f>
        <v/>
      </c>
      <c r="AB20" s="11" t="n"/>
      <c r="AC20" s="11" t="n"/>
      <c r="AD20" s="11" t="n"/>
      <c r="AE20" s="11" t="n"/>
      <c r="AF20" s="11" t="n"/>
      <c r="AG20" s="11" t="n"/>
      <c r="AH20" s="12">
        <f>IF(AB20="","",IFERROR(INDEX(DAFTAR_FIXTURE!$B$2:$B$51,MATCH(AB20,DAFTAR_FIXTURE!$A$2:$A$51,0)),""))</f>
        <v/>
      </c>
      <c r="AI20" s="12">
        <f>IF(AB20="","",IF(AH20="","CEK ID FIXTURE tidak ada di DAFTAR_FIXTURE",IF(AC20="","CEK ZONA NO kosong",IF(ISNA(MATCH(AH20&amp;"|"&amp;AC20,LAYOUT!$E$2:$E$80,0)),"CEK ZONA NO di luar layout",IF(AD20&lt;&gt;INDEX(LAYOUT!$D$2:$D$80,MATCH(AH20&amp;"|"&amp;AC20,LAYOUT!$E$2:$E$80,0)),"CEK JENIS ZONA",IF($D20="","Zona STOCK",IF($E20="","CEK SKU DESCRIPTION kosong",IF(AND(AE20&lt;&gt;"",AF20=""),"CEK URUTAN SAMBUNG kosong",IF(AND(AE20&lt;&gt;"",LEFT(AH20,6)="Endcap"),"CEK Endcap tidak ikut sambung","OK")))))))))</f>
        <v/>
      </c>
    </row>
    <row r="21">
      <c r="A21" s="10" t="n"/>
      <c r="B21" s="10" t="n"/>
      <c r="C21" s="10" t="n"/>
      <c r="D21" s="10" t="n"/>
      <c r="E21" s="10" t="n"/>
      <c r="F21" s="10" t="n"/>
      <c r="G21" s="10" t="n"/>
      <c r="H21" s="10" t="n"/>
      <c r="I21" s="10" t="n"/>
      <c r="J21" s="10" t="n"/>
      <c r="K21" s="10" t="n"/>
      <c r="L21" s="11" t="n"/>
      <c r="M21" s="11" t="n"/>
      <c r="N21" s="11" t="n"/>
      <c r="O21" s="11" t="n"/>
      <c r="P21" s="11" t="n"/>
      <c r="Q21" s="11" t="n"/>
      <c r="R21" s="12">
        <f>IF(L21="","",IFERROR(INDEX(DAFTAR_FIXTURE!$B$2:$B$51,MATCH(L21,DAFTAR_FIXTURE!$A$2:$A$51,0)),""))</f>
        <v/>
      </c>
      <c r="S21" s="12">
        <f>IF(AND($D21="",L21=""),"",IF(L21="",IF(AND(T21="",AB21=""),"Belum ditempatkan",""),IF(R21="","CEK ID FIXTURE tidak ada di DAFTAR_FIXTURE",IF(M21="","CEK ZONA NO kosong",IF(ISNA(MATCH(R21&amp;"|"&amp;M21,LAYOUT!$E$2:$E$80,0)),"CEK ZONA NO di luar layout",IF(N21&lt;&gt;INDEX(LAYOUT!$D$2:$D$80,MATCH(R21&amp;"|"&amp;M21,LAYOUT!$E$2:$E$80,0)),"CEK JENIS ZONA",IF($D21="","Zona STOCK",IF($E21="","CEK SKU DESCRIPTION kosong",IF(AND(O21&lt;&gt;"",P21=""),"CEK URUTAN SAMBUNG kosong",IF(AND(O21&lt;&gt;"",LEFT(R21,6)="Endcap"),"CEK Endcap tidak ikut sambung","OK"))))))))))</f>
        <v/>
      </c>
      <c r="T21" s="11" t="n"/>
      <c r="U21" s="11" t="n"/>
      <c r="V21" s="11" t="n"/>
      <c r="W21" s="11" t="n"/>
      <c r="X21" s="11" t="n"/>
      <c r="Y21" s="11" t="n"/>
      <c r="Z21" s="12">
        <f>IF(T21="","",IFERROR(INDEX(DAFTAR_FIXTURE!$B$2:$B$51,MATCH(T21,DAFTAR_FIXTURE!$A$2:$A$51,0)),""))</f>
        <v/>
      </c>
      <c r="AA21" s="12">
        <f>IF(T21="","",IF(Z21="","CEK ID FIXTURE tidak ada di DAFTAR_FIXTURE",IF(U21="","CEK ZONA NO kosong",IF(ISNA(MATCH(Z21&amp;"|"&amp;U21,LAYOUT!$E$2:$E$80,0)),"CEK ZONA NO di luar layout",IF(V21&lt;&gt;INDEX(LAYOUT!$D$2:$D$80,MATCH(Z21&amp;"|"&amp;U21,LAYOUT!$E$2:$E$80,0)),"CEK JENIS ZONA",IF($D21="","Zona STOCK",IF($E21="","CEK SKU DESCRIPTION kosong",IF(AND(W21&lt;&gt;"",X21=""),"CEK URUTAN SAMBUNG kosong",IF(AND(W21&lt;&gt;"",LEFT(Z21,6)="Endcap"),"CEK Endcap tidak ikut sambung","OK")))))))))</f>
        <v/>
      </c>
      <c r="AB21" s="11" t="n"/>
      <c r="AC21" s="11" t="n"/>
      <c r="AD21" s="11" t="n"/>
      <c r="AE21" s="11" t="n"/>
      <c r="AF21" s="11" t="n"/>
      <c r="AG21" s="11" t="n"/>
      <c r="AH21" s="12">
        <f>IF(AB21="","",IFERROR(INDEX(DAFTAR_FIXTURE!$B$2:$B$51,MATCH(AB21,DAFTAR_FIXTURE!$A$2:$A$51,0)),""))</f>
        <v/>
      </c>
      <c r="AI21" s="12">
        <f>IF(AB21="","",IF(AH21="","CEK ID FIXTURE tidak ada di DAFTAR_FIXTURE",IF(AC21="","CEK ZONA NO kosong",IF(ISNA(MATCH(AH21&amp;"|"&amp;AC21,LAYOUT!$E$2:$E$80,0)),"CEK ZONA NO di luar layout",IF(AD21&lt;&gt;INDEX(LAYOUT!$D$2:$D$80,MATCH(AH21&amp;"|"&amp;AC21,LAYOUT!$E$2:$E$80,0)),"CEK JENIS ZONA",IF($D21="","Zona STOCK",IF($E21="","CEK SKU DESCRIPTION kosong",IF(AND(AE21&lt;&gt;"",AF21=""),"CEK URUTAN SAMBUNG kosong",IF(AND(AE21&lt;&gt;"",LEFT(AH21,6)="Endcap"),"CEK Endcap tidak ikut sambung","OK")))))))))</f>
        <v/>
      </c>
    </row>
    <row r="22">
      <c r="A22" s="10" t="n"/>
      <c r="B22" s="10" t="n"/>
      <c r="C22" s="10" t="n"/>
      <c r="D22" s="10" t="n"/>
      <c r="E22" s="10" t="n"/>
      <c r="F22" s="10" t="n"/>
      <c r="G22" s="10" t="n"/>
      <c r="H22" s="10" t="n"/>
      <c r="I22" s="10" t="n"/>
      <c r="J22" s="10" t="n"/>
      <c r="K22" s="10" t="n"/>
      <c r="L22" s="11" t="n"/>
      <c r="M22" s="11" t="n"/>
      <c r="N22" s="11" t="n"/>
      <c r="O22" s="11" t="n"/>
      <c r="P22" s="11" t="n"/>
      <c r="Q22" s="11" t="n"/>
      <c r="R22" s="12">
        <f>IF(L22="","",IFERROR(INDEX(DAFTAR_FIXTURE!$B$2:$B$51,MATCH(L22,DAFTAR_FIXTURE!$A$2:$A$51,0)),""))</f>
        <v/>
      </c>
      <c r="S22" s="12">
        <f>IF(AND($D22="",L22=""),"",IF(L22="",IF(AND(T22="",AB22=""),"Belum ditempatkan",""),IF(R22="","CEK ID FIXTURE tidak ada di DAFTAR_FIXTURE",IF(M22="","CEK ZONA NO kosong",IF(ISNA(MATCH(R22&amp;"|"&amp;M22,LAYOUT!$E$2:$E$80,0)),"CEK ZONA NO di luar layout",IF(N22&lt;&gt;INDEX(LAYOUT!$D$2:$D$80,MATCH(R22&amp;"|"&amp;M22,LAYOUT!$E$2:$E$80,0)),"CEK JENIS ZONA",IF($D22="","Zona STOCK",IF($E22="","CEK SKU DESCRIPTION kosong",IF(AND(O22&lt;&gt;"",P22=""),"CEK URUTAN SAMBUNG kosong",IF(AND(O22&lt;&gt;"",LEFT(R22,6)="Endcap"),"CEK Endcap tidak ikut sambung","OK"))))))))))</f>
        <v/>
      </c>
      <c r="T22" s="11" t="n"/>
      <c r="U22" s="11" t="n"/>
      <c r="V22" s="11" t="n"/>
      <c r="W22" s="11" t="n"/>
      <c r="X22" s="11" t="n"/>
      <c r="Y22" s="11" t="n"/>
      <c r="Z22" s="12">
        <f>IF(T22="","",IFERROR(INDEX(DAFTAR_FIXTURE!$B$2:$B$51,MATCH(T22,DAFTAR_FIXTURE!$A$2:$A$51,0)),""))</f>
        <v/>
      </c>
      <c r="AA22" s="12">
        <f>IF(T22="","",IF(Z22="","CEK ID FIXTURE tidak ada di DAFTAR_FIXTURE",IF(U22="","CEK ZONA NO kosong",IF(ISNA(MATCH(Z22&amp;"|"&amp;U22,LAYOUT!$E$2:$E$80,0)),"CEK ZONA NO di luar layout",IF(V22&lt;&gt;INDEX(LAYOUT!$D$2:$D$80,MATCH(Z22&amp;"|"&amp;U22,LAYOUT!$E$2:$E$80,0)),"CEK JENIS ZONA",IF($D22="","Zona STOCK",IF($E22="","CEK SKU DESCRIPTION kosong",IF(AND(W22&lt;&gt;"",X22=""),"CEK URUTAN SAMBUNG kosong",IF(AND(W22&lt;&gt;"",LEFT(Z22,6)="Endcap"),"CEK Endcap tidak ikut sambung","OK")))))))))</f>
        <v/>
      </c>
      <c r="AB22" s="11" t="n"/>
      <c r="AC22" s="11" t="n"/>
      <c r="AD22" s="11" t="n"/>
      <c r="AE22" s="11" t="n"/>
      <c r="AF22" s="11" t="n"/>
      <c r="AG22" s="11" t="n"/>
      <c r="AH22" s="12">
        <f>IF(AB22="","",IFERROR(INDEX(DAFTAR_FIXTURE!$B$2:$B$51,MATCH(AB22,DAFTAR_FIXTURE!$A$2:$A$51,0)),""))</f>
        <v/>
      </c>
      <c r="AI22" s="12">
        <f>IF(AB22="","",IF(AH22="","CEK ID FIXTURE tidak ada di DAFTAR_FIXTURE",IF(AC22="","CEK ZONA NO kosong",IF(ISNA(MATCH(AH22&amp;"|"&amp;AC22,LAYOUT!$E$2:$E$80,0)),"CEK ZONA NO di luar layout",IF(AD22&lt;&gt;INDEX(LAYOUT!$D$2:$D$80,MATCH(AH22&amp;"|"&amp;AC22,LAYOUT!$E$2:$E$80,0)),"CEK JENIS ZONA",IF($D22="","Zona STOCK",IF($E22="","CEK SKU DESCRIPTION kosong",IF(AND(AE22&lt;&gt;"",AF22=""),"CEK URUTAN SAMBUNG kosong",IF(AND(AE22&lt;&gt;"",LEFT(AH22,6)="Endcap"),"CEK Endcap tidak ikut sambung","OK")))))))))</f>
        <v/>
      </c>
    </row>
    <row r="23">
      <c r="A23" s="10" t="n"/>
      <c r="B23" s="10" t="n"/>
      <c r="C23" s="10" t="n"/>
      <c r="D23" s="10" t="n"/>
      <c r="E23" s="10" t="n"/>
      <c r="F23" s="10" t="n"/>
      <c r="G23" s="10" t="n"/>
      <c r="H23" s="10" t="n"/>
      <c r="I23" s="10" t="n"/>
      <c r="J23" s="10" t="n"/>
      <c r="K23" s="10" t="n"/>
      <c r="L23" s="11" t="n"/>
      <c r="M23" s="11" t="n"/>
      <c r="N23" s="11" t="n"/>
      <c r="O23" s="11" t="n"/>
      <c r="P23" s="11" t="n"/>
      <c r="Q23" s="11" t="n"/>
      <c r="R23" s="12">
        <f>IF(L23="","",IFERROR(INDEX(DAFTAR_FIXTURE!$B$2:$B$51,MATCH(L23,DAFTAR_FIXTURE!$A$2:$A$51,0)),""))</f>
        <v/>
      </c>
      <c r="S23" s="12">
        <f>IF(AND($D23="",L23=""),"",IF(L23="",IF(AND(T23="",AB23=""),"Belum ditempatkan",""),IF(R23="","CEK ID FIXTURE tidak ada di DAFTAR_FIXTURE",IF(M23="","CEK ZONA NO kosong",IF(ISNA(MATCH(R23&amp;"|"&amp;M23,LAYOUT!$E$2:$E$80,0)),"CEK ZONA NO di luar layout",IF(N23&lt;&gt;INDEX(LAYOUT!$D$2:$D$80,MATCH(R23&amp;"|"&amp;M23,LAYOUT!$E$2:$E$80,0)),"CEK JENIS ZONA",IF($D23="","Zona STOCK",IF($E23="","CEK SKU DESCRIPTION kosong",IF(AND(O23&lt;&gt;"",P23=""),"CEK URUTAN SAMBUNG kosong",IF(AND(O23&lt;&gt;"",LEFT(R23,6)="Endcap"),"CEK Endcap tidak ikut sambung","OK"))))))))))</f>
        <v/>
      </c>
      <c r="T23" s="11" t="n"/>
      <c r="U23" s="11" t="n"/>
      <c r="V23" s="11" t="n"/>
      <c r="W23" s="11" t="n"/>
      <c r="X23" s="11" t="n"/>
      <c r="Y23" s="11" t="n"/>
      <c r="Z23" s="12">
        <f>IF(T23="","",IFERROR(INDEX(DAFTAR_FIXTURE!$B$2:$B$51,MATCH(T23,DAFTAR_FIXTURE!$A$2:$A$51,0)),""))</f>
        <v/>
      </c>
      <c r="AA23" s="12">
        <f>IF(T23="","",IF(Z23="","CEK ID FIXTURE tidak ada di DAFTAR_FIXTURE",IF(U23="","CEK ZONA NO kosong",IF(ISNA(MATCH(Z23&amp;"|"&amp;U23,LAYOUT!$E$2:$E$80,0)),"CEK ZONA NO di luar layout",IF(V23&lt;&gt;INDEX(LAYOUT!$D$2:$D$80,MATCH(Z23&amp;"|"&amp;U23,LAYOUT!$E$2:$E$80,0)),"CEK JENIS ZONA",IF($D23="","Zona STOCK",IF($E23="","CEK SKU DESCRIPTION kosong",IF(AND(W23&lt;&gt;"",X23=""),"CEK URUTAN SAMBUNG kosong",IF(AND(W23&lt;&gt;"",LEFT(Z23,6)="Endcap"),"CEK Endcap tidak ikut sambung","OK")))))))))</f>
        <v/>
      </c>
      <c r="AB23" s="11" t="n"/>
      <c r="AC23" s="11" t="n"/>
      <c r="AD23" s="11" t="n"/>
      <c r="AE23" s="11" t="n"/>
      <c r="AF23" s="11" t="n"/>
      <c r="AG23" s="11" t="n"/>
      <c r="AH23" s="12">
        <f>IF(AB23="","",IFERROR(INDEX(DAFTAR_FIXTURE!$B$2:$B$51,MATCH(AB23,DAFTAR_FIXTURE!$A$2:$A$51,0)),""))</f>
        <v/>
      </c>
      <c r="AI23" s="12">
        <f>IF(AB23="","",IF(AH23="","CEK ID FIXTURE tidak ada di DAFTAR_FIXTURE",IF(AC23="","CEK ZONA NO kosong",IF(ISNA(MATCH(AH23&amp;"|"&amp;AC23,LAYOUT!$E$2:$E$80,0)),"CEK ZONA NO di luar layout",IF(AD23&lt;&gt;INDEX(LAYOUT!$D$2:$D$80,MATCH(AH23&amp;"|"&amp;AC23,LAYOUT!$E$2:$E$80,0)),"CEK JENIS ZONA",IF($D23="","Zona STOCK",IF($E23="","CEK SKU DESCRIPTION kosong",IF(AND(AE23&lt;&gt;"",AF23=""),"CEK URUTAN SAMBUNG kosong",IF(AND(AE23&lt;&gt;"",LEFT(AH23,6)="Endcap"),"CEK Endcap tidak ikut sambung","OK")))))))))</f>
        <v/>
      </c>
    </row>
    <row r="24">
      <c r="A24" s="10" t="n"/>
      <c r="B24" s="10" t="n"/>
      <c r="C24" s="10" t="n"/>
      <c r="D24" s="10" t="n"/>
      <c r="E24" s="10" t="n"/>
      <c r="F24" s="10" t="n"/>
      <c r="G24" s="10" t="n"/>
      <c r="H24" s="10" t="n"/>
      <c r="I24" s="10" t="n"/>
      <c r="J24" s="10" t="n"/>
      <c r="K24" s="10" t="n"/>
      <c r="L24" s="11" t="n"/>
      <c r="M24" s="11" t="n"/>
      <c r="N24" s="11" t="n"/>
      <c r="O24" s="11" t="n"/>
      <c r="P24" s="11" t="n"/>
      <c r="Q24" s="11" t="n"/>
      <c r="R24" s="12">
        <f>IF(L24="","",IFERROR(INDEX(DAFTAR_FIXTURE!$B$2:$B$51,MATCH(L24,DAFTAR_FIXTURE!$A$2:$A$51,0)),""))</f>
        <v/>
      </c>
      <c r="S24" s="12">
        <f>IF(AND($D24="",L24=""),"",IF(L24="",IF(AND(T24="",AB24=""),"Belum ditempatkan",""),IF(R24="","CEK ID FIXTURE tidak ada di DAFTAR_FIXTURE",IF(M24="","CEK ZONA NO kosong",IF(ISNA(MATCH(R24&amp;"|"&amp;M24,LAYOUT!$E$2:$E$80,0)),"CEK ZONA NO di luar layout",IF(N24&lt;&gt;INDEX(LAYOUT!$D$2:$D$80,MATCH(R24&amp;"|"&amp;M24,LAYOUT!$E$2:$E$80,0)),"CEK JENIS ZONA",IF($D24="","Zona STOCK",IF($E24="","CEK SKU DESCRIPTION kosong",IF(AND(O24&lt;&gt;"",P24=""),"CEK URUTAN SAMBUNG kosong",IF(AND(O24&lt;&gt;"",LEFT(R24,6)="Endcap"),"CEK Endcap tidak ikut sambung","OK"))))))))))</f>
        <v/>
      </c>
      <c r="T24" s="11" t="n"/>
      <c r="U24" s="11" t="n"/>
      <c r="V24" s="11" t="n"/>
      <c r="W24" s="11" t="n"/>
      <c r="X24" s="11" t="n"/>
      <c r="Y24" s="11" t="n"/>
      <c r="Z24" s="12">
        <f>IF(T24="","",IFERROR(INDEX(DAFTAR_FIXTURE!$B$2:$B$51,MATCH(T24,DAFTAR_FIXTURE!$A$2:$A$51,0)),""))</f>
        <v/>
      </c>
      <c r="AA24" s="12">
        <f>IF(T24="","",IF(Z24="","CEK ID FIXTURE tidak ada di DAFTAR_FIXTURE",IF(U24="","CEK ZONA NO kosong",IF(ISNA(MATCH(Z24&amp;"|"&amp;U24,LAYOUT!$E$2:$E$80,0)),"CEK ZONA NO di luar layout",IF(V24&lt;&gt;INDEX(LAYOUT!$D$2:$D$80,MATCH(Z24&amp;"|"&amp;U24,LAYOUT!$E$2:$E$80,0)),"CEK JENIS ZONA",IF($D24="","Zona STOCK",IF($E24="","CEK SKU DESCRIPTION kosong",IF(AND(W24&lt;&gt;"",X24=""),"CEK URUTAN SAMBUNG kosong",IF(AND(W24&lt;&gt;"",LEFT(Z24,6)="Endcap"),"CEK Endcap tidak ikut sambung","OK")))))))))</f>
        <v/>
      </c>
      <c r="AB24" s="11" t="n"/>
      <c r="AC24" s="11" t="n"/>
      <c r="AD24" s="11" t="n"/>
      <c r="AE24" s="11" t="n"/>
      <c r="AF24" s="11" t="n"/>
      <c r="AG24" s="11" t="n"/>
      <c r="AH24" s="12">
        <f>IF(AB24="","",IFERROR(INDEX(DAFTAR_FIXTURE!$B$2:$B$51,MATCH(AB24,DAFTAR_FIXTURE!$A$2:$A$51,0)),""))</f>
        <v/>
      </c>
      <c r="AI24" s="12">
        <f>IF(AB24="","",IF(AH24="","CEK ID FIXTURE tidak ada di DAFTAR_FIXTURE",IF(AC24="","CEK ZONA NO kosong",IF(ISNA(MATCH(AH24&amp;"|"&amp;AC24,LAYOUT!$E$2:$E$80,0)),"CEK ZONA NO di luar layout",IF(AD24&lt;&gt;INDEX(LAYOUT!$D$2:$D$80,MATCH(AH24&amp;"|"&amp;AC24,LAYOUT!$E$2:$E$80,0)),"CEK JENIS ZONA",IF($D24="","Zona STOCK",IF($E24="","CEK SKU DESCRIPTION kosong",IF(AND(AE24&lt;&gt;"",AF24=""),"CEK URUTAN SAMBUNG kosong",IF(AND(AE24&lt;&gt;"",LEFT(AH24,6)="Endcap"),"CEK Endcap tidak ikut sambung","OK")))))))))</f>
        <v/>
      </c>
    </row>
    <row r="25">
      <c r="A25" s="10" t="n"/>
      <c r="B25" s="10" t="n"/>
      <c r="C25" s="10" t="n"/>
      <c r="D25" s="10" t="n"/>
      <c r="E25" s="10" t="n"/>
      <c r="F25" s="10" t="n"/>
      <c r="G25" s="10" t="n"/>
      <c r="H25" s="10" t="n"/>
      <c r="I25" s="10" t="n"/>
      <c r="J25" s="10" t="n"/>
      <c r="K25" s="10" t="n"/>
      <c r="L25" s="11" t="n"/>
      <c r="M25" s="11" t="n"/>
      <c r="N25" s="11" t="n"/>
      <c r="O25" s="11" t="n"/>
      <c r="P25" s="11" t="n"/>
      <c r="Q25" s="11" t="n"/>
      <c r="R25" s="12">
        <f>IF(L25="","",IFERROR(INDEX(DAFTAR_FIXTURE!$B$2:$B$51,MATCH(L25,DAFTAR_FIXTURE!$A$2:$A$51,0)),""))</f>
        <v/>
      </c>
      <c r="S25" s="12">
        <f>IF(AND($D25="",L25=""),"",IF(L25="",IF(AND(T25="",AB25=""),"Belum ditempatkan",""),IF(R25="","CEK ID FIXTURE tidak ada di DAFTAR_FIXTURE",IF(M25="","CEK ZONA NO kosong",IF(ISNA(MATCH(R25&amp;"|"&amp;M25,LAYOUT!$E$2:$E$80,0)),"CEK ZONA NO di luar layout",IF(N25&lt;&gt;INDEX(LAYOUT!$D$2:$D$80,MATCH(R25&amp;"|"&amp;M25,LAYOUT!$E$2:$E$80,0)),"CEK JENIS ZONA",IF($D25="","Zona STOCK",IF($E25="","CEK SKU DESCRIPTION kosong",IF(AND(O25&lt;&gt;"",P25=""),"CEK URUTAN SAMBUNG kosong",IF(AND(O25&lt;&gt;"",LEFT(R25,6)="Endcap"),"CEK Endcap tidak ikut sambung","OK"))))))))))</f>
        <v/>
      </c>
      <c r="T25" s="11" t="n"/>
      <c r="U25" s="11" t="n"/>
      <c r="V25" s="11" t="n"/>
      <c r="W25" s="11" t="n"/>
      <c r="X25" s="11" t="n"/>
      <c r="Y25" s="11" t="n"/>
      <c r="Z25" s="12">
        <f>IF(T25="","",IFERROR(INDEX(DAFTAR_FIXTURE!$B$2:$B$51,MATCH(T25,DAFTAR_FIXTURE!$A$2:$A$51,0)),""))</f>
        <v/>
      </c>
      <c r="AA25" s="12">
        <f>IF(T25="","",IF(Z25="","CEK ID FIXTURE tidak ada di DAFTAR_FIXTURE",IF(U25="","CEK ZONA NO kosong",IF(ISNA(MATCH(Z25&amp;"|"&amp;U25,LAYOUT!$E$2:$E$80,0)),"CEK ZONA NO di luar layout",IF(V25&lt;&gt;INDEX(LAYOUT!$D$2:$D$80,MATCH(Z25&amp;"|"&amp;U25,LAYOUT!$E$2:$E$80,0)),"CEK JENIS ZONA",IF($D25="","Zona STOCK",IF($E25="","CEK SKU DESCRIPTION kosong",IF(AND(W25&lt;&gt;"",X25=""),"CEK URUTAN SAMBUNG kosong",IF(AND(W25&lt;&gt;"",LEFT(Z25,6)="Endcap"),"CEK Endcap tidak ikut sambung","OK")))))))))</f>
        <v/>
      </c>
      <c r="AB25" s="11" t="n"/>
      <c r="AC25" s="11" t="n"/>
      <c r="AD25" s="11" t="n"/>
      <c r="AE25" s="11" t="n"/>
      <c r="AF25" s="11" t="n"/>
      <c r="AG25" s="11" t="n"/>
      <c r="AH25" s="12">
        <f>IF(AB25="","",IFERROR(INDEX(DAFTAR_FIXTURE!$B$2:$B$51,MATCH(AB25,DAFTAR_FIXTURE!$A$2:$A$51,0)),""))</f>
        <v/>
      </c>
      <c r="AI25" s="12">
        <f>IF(AB25="","",IF(AH25="","CEK ID FIXTURE tidak ada di DAFTAR_FIXTURE",IF(AC25="","CEK ZONA NO kosong",IF(ISNA(MATCH(AH25&amp;"|"&amp;AC25,LAYOUT!$E$2:$E$80,0)),"CEK ZONA NO di luar layout",IF(AD25&lt;&gt;INDEX(LAYOUT!$D$2:$D$80,MATCH(AH25&amp;"|"&amp;AC25,LAYOUT!$E$2:$E$80,0)),"CEK JENIS ZONA",IF($D25="","Zona STOCK",IF($E25="","CEK SKU DESCRIPTION kosong",IF(AND(AE25&lt;&gt;"",AF25=""),"CEK URUTAN SAMBUNG kosong",IF(AND(AE25&lt;&gt;"",LEFT(AH25,6)="Endcap"),"CEK Endcap tidak ikut sambung","OK")))))))))</f>
        <v/>
      </c>
    </row>
    <row r="26">
      <c r="A26" s="10" t="n"/>
      <c r="B26" s="10" t="n"/>
      <c r="C26" s="10" t="n"/>
      <c r="D26" s="10" t="n"/>
      <c r="E26" s="10" t="n"/>
      <c r="F26" s="10" t="n"/>
      <c r="G26" s="10" t="n"/>
      <c r="H26" s="10" t="n"/>
      <c r="I26" s="10" t="n"/>
      <c r="J26" s="10" t="n"/>
      <c r="K26" s="10" t="n"/>
      <c r="L26" s="11" t="n"/>
      <c r="M26" s="11" t="n"/>
      <c r="N26" s="11" t="n"/>
      <c r="O26" s="11" t="n"/>
      <c r="P26" s="11" t="n"/>
      <c r="Q26" s="11" t="n"/>
      <c r="R26" s="12">
        <f>IF(L26="","",IFERROR(INDEX(DAFTAR_FIXTURE!$B$2:$B$51,MATCH(L26,DAFTAR_FIXTURE!$A$2:$A$51,0)),""))</f>
        <v/>
      </c>
      <c r="S26" s="12">
        <f>IF(AND($D26="",L26=""),"",IF(L26="",IF(AND(T26="",AB26=""),"Belum ditempatkan",""),IF(R26="","CEK ID FIXTURE tidak ada di DAFTAR_FIXTURE",IF(M26="","CEK ZONA NO kosong",IF(ISNA(MATCH(R26&amp;"|"&amp;M26,LAYOUT!$E$2:$E$80,0)),"CEK ZONA NO di luar layout",IF(N26&lt;&gt;INDEX(LAYOUT!$D$2:$D$80,MATCH(R26&amp;"|"&amp;M26,LAYOUT!$E$2:$E$80,0)),"CEK JENIS ZONA",IF($D26="","Zona STOCK",IF($E26="","CEK SKU DESCRIPTION kosong",IF(AND(O26&lt;&gt;"",P26=""),"CEK URUTAN SAMBUNG kosong",IF(AND(O26&lt;&gt;"",LEFT(R26,6)="Endcap"),"CEK Endcap tidak ikut sambung","OK"))))))))))</f>
        <v/>
      </c>
      <c r="T26" s="11" t="n"/>
      <c r="U26" s="11" t="n"/>
      <c r="V26" s="11" t="n"/>
      <c r="W26" s="11" t="n"/>
      <c r="X26" s="11" t="n"/>
      <c r="Y26" s="11" t="n"/>
      <c r="Z26" s="12">
        <f>IF(T26="","",IFERROR(INDEX(DAFTAR_FIXTURE!$B$2:$B$51,MATCH(T26,DAFTAR_FIXTURE!$A$2:$A$51,0)),""))</f>
        <v/>
      </c>
      <c r="AA26" s="12">
        <f>IF(T26="","",IF(Z26="","CEK ID FIXTURE tidak ada di DAFTAR_FIXTURE",IF(U26="","CEK ZONA NO kosong",IF(ISNA(MATCH(Z26&amp;"|"&amp;U26,LAYOUT!$E$2:$E$80,0)),"CEK ZONA NO di luar layout",IF(V26&lt;&gt;INDEX(LAYOUT!$D$2:$D$80,MATCH(Z26&amp;"|"&amp;U26,LAYOUT!$E$2:$E$80,0)),"CEK JENIS ZONA",IF($D26="","Zona STOCK",IF($E26="","CEK SKU DESCRIPTION kosong",IF(AND(W26&lt;&gt;"",X26=""),"CEK URUTAN SAMBUNG kosong",IF(AND(W26&lt;&gt;"",LEFT(Z26,6)="Endcap"),"CEK Endcap tidak ikut sambung","OK")))))))))</f>
        <v/>
      </c>
      <c r="AB26" s="11" t="n"/>
      <c r="AC26" s="11" t="n"/>
      <c r="AD26" s="11" t="n"/>
      <c r="AE26" s="11" t="n"/>
      <c r="AF26" s="11" t="n"/>
      <c r="AG26" s="11" t="n"/>
      <c r="AH26" s="12">
        <f>IF(AB26="","",IFERROR(INDEX(DAFTAR_FIXTURE!$B$2:$B$51,MATCH(AB26,DAFTAR_FIXTURE!$A$2:$A$51,0)),""))</f>
        <v/>
      </c>
      <c r="AI26" s="12">
        <f>IF(AB26="","",IF(AH26="","CEK ID FIXTURE tidak ada di DAFTAR_FIXTURE",IF(AC26="","CEK ZONA NO kosong",IF(ISNA(MATCH(AH26&amp;"|"&amp;AC26,LAYOUT!$E$2:$E$80,0)),"CEK ZONA NO di luar layout",IF(AD26&lt;&gt;INDEX(LAYOUT!$D$2:$D$80,MATCH(AH26&amp;"|"&amp;AC26,LAYOUT!$E$2:$E$80,0)),"CEK JENIS ZONA",IF($D26="","Zona STOCK",IF($E26="","CEK SKU DESCRIPTION kosong",IF(AND(AE26&lt;&gt;"",AF26=""),"CEK URUTAN SAMBUNG kosong",IF(AND(AE26&lt;&gt;"",LEFT(AH26,6)="Endcap"),"CEK Endcap tidak ikut sambung","OK")))))))))</f>
        <v/>
      </c>
    </row>
    <row r="27">
      <c r="A27" s="10" t="n"/>
      <c r="B27" s="10" t="n"/>
      <c r="C27" s="10" t="n"/>
      <c r="D27" s="10" t="n"/>
      <c r="E27" s="10" t="n"/>
      <c r="F27" s="10" t="n"/>
      <c r="G27" s="10" t="n"/>
      <c r="H27" s="10" t="n"/>
      <c r="I27" s="10" t="n"/>
      <c r="J27" s="10" t="n"/>
      <c r="K27" s="10" t="n"/>
      <c r="L27" s="11" t="n"/>
      <c r="M27" s="11" t="n"/>
      <c r="N27" s="11" t="n"/>
      <c r="O27" s="11" t="n"/>
      <c r="P27" s="11" t="n"/>
      <c r="Q27" s="11" t="n"/>
      <c r="R27" s="12">
        <f>IF(L27="","",IFERROR(INDEX(DAFTAR_FIXTURE!$B$2:$B$51,MATCH(L27,DAFTAR_FIXTURE!$A$2:$A$51,0)),""))</f>
        <v/>
      </c>
      <c r="S27" s="12">
        <f>IF(AND($D27="",L27=""),"",IF(L27="",IF(AND(T27="",AB27=""),"Belum ditempatkan",""),IF(R27="","CEK ID FIXTURE tidak ada di DAFTAR_FIXTURE",IF(M27="","CEK ZONA NO kosong",IF(ISNA(MATCH(R27&amp;"|"&amp;M27,LAYOUT!$E$2:$E$80,0)),"CEK ZONA NO di luar layout",IF(N27&lt;&gt;INDEX(LAYOUT!$D$2:$D$80,MATCH(R27&amp;"|"&amp;M27,LAYOUT!$E$2:$E$80,0)),"CEK JENIS ZONA",IF($D27="","Zona STOCK",IF($E27="","CEK SKU DESCRIPTION kosong",IF(AND(O27&lt;&gt;"",P27=""),"CEK URUTAN SAMBUNG kosong",IF(AND(O27&lt;&gt;"",LEFT(R27,6)="Endcap"),"CEK Endcap tidak ikut sambung","OK"))))))))))</f>
        <v/>
      </c>
      <c r="T27" s="11" t="n"/>
      <c r="U27" s="11" t="n"/>
      <c r="V27" s="11" t="n"/>
      <c r="W27" s="11" t="n"/>
      <c r="X27" s="11" t="n"/>
      <c r="Y27" s="11" t="n"/>
      <c r="Z27" s="12">
        <f>IF(T27="","",IFERROR(INDEX(DAFTAR_FIXTURE!$B$2:$B$51,MATCH(T27,DAFTAR_FIXTURE!$A$2:$A$51,0)),""))</f>
        <v/>
      </c>
      <c r="AA27" s="12">
        <f>IF(T27="","",IF(Z27="","CEK ID FIXTURE tidak ada di DAFTAR_FIXTURE",IF(U27="","CEK ZONA NO kosong",IF(ISNA(MATCH(Z27&amp;"|"&amp;U27,LAYOUT!$E$2:$E$80,0)),"CEK ZONA NO di luar layout",IF(V27&lt;&gt;INDEX(LAYOUT!$D$2:$D$80,MATCH(Z27&amp;"|"&amp;U27,LAYOUT!$E$2:$E$80,0)),"CEK JENIS ZONA",IF($D27="","Zona STOCK",IF($E27="","CEK SKU DESCRIPTION kosong",IF(AND(W27&lt;&gt;"",X27=""),"CEK URUTAN SAMBUNG kosong",IF(AND(W27&lt;&gt;"",LEFT(Z27,6)="Endcap"),"CEK Endcap tidak ikut sambung","OK")))))))))</f>
        <v/>
      </c>
      <c r="AB27" s="11" t="n"/>
      <c r="AC27" s="11" t="n"/>
      <c r="AD27" s="11" t="n"/>
      <c r="AE27" s="11" t="n"/>
      <c r="AF27" s="11" t="n"/>
      <c r="AG27" s="11" t="n"/>
      <c r="AH27" s="12">
        <f>IF(AB27="","",IFERROR(INDEX(DAFTAR_FIXTURE!$B$2:$B$51,MATCH(AB27,DAFTAR_FIXTURE!$A$2:$A$51,0)),""))</f>
        <v/>
      </c>
      <c r="AI27" s="12">
        <f>IF(AB27="","",IF(AH27="","CEK ID FIXTURE tidak ada di DAFTAR_FIXTURE",IF(AC27="","CEK ZONA NO kosong",IF(ISNA(MATCH(AH27&amp;"|"&amp;AC27,LAYOUT!$E$2:$E$80,0)),"CEK ZONA NO di luar layout",IF(AD27&lt;&gt;INDEX(LAYOUT!$D$2:$D$80,MATCH(AH27&amp;"|"&amp;AC27,LAYOUT!$E$2:$E$80,0)),"CEK JENIS ZONA",IF($D27="","Zona STOCK",IF($E27="","CEK SKU DESCRIPTION kosong",IF(AND(AE27&lt;&gt;"",AF27=""),"CEK URUTAN SAMBUNG kosong",IF(AND(AE27&lt;&gt;"",LEFT(AH27,6)="Endcap"),"CEK Endcap tidak ikut sambung","OK")))))))))</f>
        <v/>
      </c>
    </row>
    <row r="28">
      <c r="A28" s="10" t="n"/>
      <c r="B28" s="10" t="n"/>
      <c r="C28" s="10" t="n"/>
      <c r="D28" s="10" t="n"/>
      <c r="E28" s="10" t="n"/>
      <c r="F28" s="10" t="n"/>
      <c r="G28" s="10" t="n"/>
      <c r="H28" s="10" t="n"/>
      <c r="I28" s="10" t="n"/>
      <c r="J28" s="10" t="n"/>
      <c r="K28" s="10" t="n"/>
      <c r="L28" s="11" t="n"/>
      <c r="M28" s="11" t="n"/>
      <c r="N28" s="11" t="n"/>
      <c r="O28" s="11" t="n"/>
      <c r="P28" s="11" t="n"/>
      <c r="Q28" s="11" t="n"/>
      <c r="R28" s="12">
        <f>IF(L28="","",IFERROR(INDEX(DAFTAR_FIXTURE!$B$2:$B$51,MATCH(L28,DAFTAR_FIXTURE!$A$2:$A$51,0)),""))</f>
        <v/>
      </c>
      <c r="S28" s="12">
        <f>IF(AND($D28="",L28=""),"",IF(L28="",IF(AND(T28="",AB28=""),"Belum ditempatkan",""),IF(R28="","CEK ID FIXTURE tidak ada di DAFTAR_FIXTURE",IF(M28="","CEK ZONA NO kosong",IF(ISNA(MATCH(R28&amp;"|"&amp;M28,LAYOUT!$E$2:$E$80,0)),"CEK ZONA NO di luar layout",IF(N28&lt;&gt;INDEX(LAYOUT!$D$2:$D$80,MATCH(R28&amp;"|"&amp;M28,LAYOUT!$E$2:$E$80,0)),"CEK JENIS ZONA",IF($D28="","Zona STOCK",IF($E28="","CEK SKU DESCRIPTION kosong",IF(AND(O28&lt;&gt;"",P28=""),"CEK URUTAN SAMBUNG kosong",IF(AND(O28&lt;&gt;"",LEFT(R28,6)="Endcap"),"CEK Endcap tidak ikut sambung","OK"))))))))))</f>
        <v/>
      </c>
      <c r="T28" s="11" t="n"/>
      <c r="U28" s="11" t="n"/>
      <c r="V28" s="11" t="n"/>
      <c r="W28" s="11" t="n"/>
      <c r="X28" s="11" t="n"/>
      <c r="Y28" s="11" t="n"/>
      <c r="Z28" s="12">
        <f>IF(T28="","",IFERROR(INDEX(DAFTAR_FIXTURE!$B$2:$B$51,MATCH(T28,DAFTAR_FIXTURE!$A$2:$A$51,0)),""))</f>
        <v/>
      </c>
      <c r="AA28" s="12">
        <f>IF(T28="","",IF(Z28="","CEK ID FIXTURE tidak ada di DAFTAR_FIXTURE",IF(U28="","CEK ZONA NO kosong",IF(ISNA(MATCH(Z28&amp;"|"&amp;U28,LAYOUT!$E$2:$E$80,0)),"CEK ZONA NO di luar layout",IF(V28&lt;&gt;INDEX(LAYOUT!$D$2:$D$80,MATCH(Z28&amp;"|"&amp;U28,LAYOUT!$E$2:$E$80,0)),"CEK JENIS ZONA",IF($D28="","Zona STOCK",IF($E28="","CEK SKU DESCRIPTION kosong",IF(AND(W28&lt;&gt;"",X28=""),"CEK URUTAN SAMBUNG kosong",IF(AND(W28&lt;&gt;"",LEFT(Z28,6)="Endcap"),"CEK Endcap tidak ikut sambung","OK")))))))))</f>
        <v/>
      </c>
      <c r="AB28" s="11" t="n"/>
      <c r="AC28" s="11" t="n"/>
      <c r="AD28" s="11" t="n"/>
      <c r="AE28" s="11" t="n"/>
      <c r="AF28" s="11" t="n"/>
      <c r="AG28" s="11" t="n"/>
      <c r="AH28" s="12">
        <f>IF(AB28="","",IFERROR(INDEX(DAFTAR_FIXTURE!$B$2:$B$51,MATCH(AB28,DAFTAR_FIXTURE!$A$2:$A$51,0)),""))</f>
        <v/>
      </c>
      <c r="AI28" s="12">
        <f>IF(AB28="","",IF(AH28="","CEK ID FIXTURE tidak ada di DAFTAR_FIXTURE",IF(AC28="","CEK ZONA NO kosong",IF(ISNA(MATCH(AH28&amp;"|"&amp;AC28,LAYOUT!$E$2:$E$80,0)),"CEK ZONA NO di luar layout",IF(AD28&lt;&gt;INDEX(LAYOUT!$D$2:$D$80,MATCH(AH28&amp;"|"&amp;AC28,LAYOUT!$E$2:$E$80,0)),"CEK JENIS ZONA",IF($D28="","Zona STOCK",IF($E28="","CEK SKU DESCRIPTION kosong",IF(AND(AE28&lt;&gt;"",AF28=""),"CEK URUTAN SAMBUNG kosong",IF(AND(AE28&lt;&gt;"",LEFT(AH28,6)="Endcap"),"CEK Endcap tidak ikut sambung","OK")))))))))</f>
        <v/>
      </c>
    </row>
    <row r="29">
      <c r="A29" s="10" t="n"/>
      <c r="B29" s="10" t="n"/>
      <c r="C29" s="10" t="n"/>
      <c r="D29" s="10" t="n"/>
      <c r="E29" s="10" t="n"/>
      <c r="F29" s="10" t="n"/>
      <c r="G29" s="10" t="n"/>
      <c r="H29" s="10" t="n"/>
      <c r="I29" s="10" t="n"/>
      <c r="J29" s="10" t="n"/>
      <c r="K29" s="10" t="n"/>
      <c r="L29" s="11" t="n"/>
      <c r="M29" s="11" t="n"/>
      <c r="N29" s="11" t="n"/>
      <c r="O29" s="11" t="n"/>
      <c r="P29" s="11" t="n"/>
      <c r="Q29" s="11" t="n"/>
      <c r="R29" s="12">
        <f>IF(L29="","",IFERROR(INDEX(DAFTAR_FIXTURE!$B$2:$B$51,MATCH(L29,DAFTAR_FIXTURE!$A$2:$A$51,0)),""))</f>
        <v/>
      </c>
      <c r="S29" s="12">
        <f>IF(AND($D29="",L29=""),"",IF(L29="",IF(AND(T29="",AB29=""),"Belum ditempatkan",""),IF(R29="","CEK ID FIXTURE tidak ada di DAFTAR_FIXTURE",IF(M29="","CEK ZONA NO kosong",IF(ISNA(MATCH(R29&amp;"|"&amp;M29,LAYOUT!$E$2:$E$80,0)),"CEK ZONA NO di luar layout",IF(N29&lt;&gt;INDEX(LAYOUT!$D$2:$D$80,MATCH(R29&amp;"|"&amp;M29,LAYOUT!$E$2:$E$80,0)),"CEK JENIS ZONA",IF($D29="","Zona STOCK",IF($E29="","CEK SKU DESCRIPTION kosong",IF(AND(O29&lt;&gt;"",P29=""),"CEK URUTAN SAMBUNG kosong",IF(AND(O29&lt;&gt;"",LEFT(R29,6)="Endcap"),"CEK Endcap tidak ikut sambung","OK"))))))))))</f>
        <v/>
      </c>
      <c r="T29" s="11" t="n"/>
      <c r="U29" s="11" t="n"/>
      <c r="V29" s="11" t="n"/>
      <c r="W29" s="11" t="n"/>
      <c r="X29" s="11" t="n"/>
      <c r="Y29" s="11" t="n"/>
      <c r="Z29" s="12">
        <f>IF(T29="","",IFERROR(INDEX(DAFTAR_FIXTURE!$B$2:$B$51,MATCH(T29,DAFTAR_FIXTURE!$A$2:$A$51,0)),""))</f>
        <v/>
      </c>
      <c r="AA29" s="12">
        <f>IF(T29="","",IF(Z29="","CEK ID FIXTURE tidak ada di DAFTAR_FIXTURE",IF(U29="","CEK ZONA NO kosong",IF(ISNA(MATCH(Z29&amp;"|"&amp;U29,LAYOUT!$E$2:$E$80,0)),"CEK ZONA NO di luar layout",IF(V29&lt;&gt;INDEX(LAYOUT!$D$2:$D$80,MATCH(Z29&amp;"|"&amp;U29,LAYOUT!$E$2:$E$80,0)),"CEK JENIS ZONA",IF($D29="","Zona STOCK",IF($E29="","CEK SKU DESCRIPTION kosong",IF(AND(W29&lt;&gt;"",X29=""),"CEK URUTAN SAMBUNG kosong",IF(AND(W29&lt;&gt;"",LEFT(Z29,6)="Endcap"),"CEK Endcap tidak ikut sambung","OK")))))))))</f>
        <v/>
      </c>
      <c r="AB29" s="11" t="n"/>
      <c r="AC29" s="11" t="n"/>
      <c r="AD29" s="11" t="n"/>
      <c r="AE29" s="11" t="n"/>
      <c r="AF29" s="11" t="n"/>
      <c r="AG29" s="11" t="n"/>
      <c r="AH29" s="12">
        <f>IF(AB29="","",IFERROR(INDEX(DAFTAR_FIXTURE!$B$2:$B$51,MATCH(AB29,DAFTAR_FIXTURE!$A$2:$A$51,0)),""))</f>
        <v/>
      </c>
      <c r="AI29" s="12">
        <f>IF(AB29="","",IF(AH29="","CEK ID FIXTURE tidak ada di DAFTAR_FIXTURE",IF(AC29="","CEK ZONA NO kosong",IF(ISNA(MATCH(AH29&amp;"|"&amp;AC29,LAYOUT!$E$2:$E$80,0)),"CEK ZONA NO di luar layout",IF(AD29&lt;&gt;INDEX(LAYOUT!$D$2:$D$80,MATCH(AH29&amp;"|"&amp;AC29,LAYOUT!$E$2:$E$80,0)),"CEK JENIS ZONA",IF($D29="","Zona STOCK",IF($E29="","CEK SKU DESCRIPTION kosong",IF(AND(AE29&lt;&gt;"",AF29=""),"CEK URUTAN SAMBUNG kosong",IF(AND(AE29&lt;&gt;"",LEFT(AH29,6)="Endcap"),"CEK Endcap tidak ikut sambung","OK")))))))))</f>
        <v/>
      </c>
    </row>
    <row r="30">
      <c r="A30" s="10" t="n"/>
      <c r="B30" s="10" t="n"/>
      <c r="C30" s="10" t="n"/>
      <c r="D30" s="10" t="n"/>
      <c r="E30" s="10" t="n"/>
      <c r="F30" s="10" t="n"/>
      <c r="G30" s="10" t="n"/>
      <c r="H30" s="10" t="n"/>
      <c r="I30" s="10" t="n"/>
      <c r="J30" s="10" t="n"/>
      <c r="K30" s="10" t="n"/>
      <c r="L30" s="11" t="n"/>
      <c r="M30" s="11" t="n"/>
      <c r="N30" s="11" t="n"/>
      <c r="O30" s="11" t="n"/>
      <c r="P30" s="11" t="n"/>
      <c r="Q30" s="11" t="n"/>
      <c r="R30" s="12">
        <f>IF(L30="","",IFERROR(INDEX(DAFTAR_FIXTURE!$B$2:$B$51,MATCH(L30,DAFTAR_FIXTURE!$A$2:$A$51,0)),""))</f>
        <v/>
      </c>
      <c r="S30" s="12">
        <f>IF(AND($D30="",L30=""),"",IF(L30="",IF(AND(T30="",AB30=""),"Belum ditempatkan",""),IF(R30="","CEK ID FIXTURE tidak ada di DAFTAR_FIXTURE",IF(M30="","CEK ZONA NO kosong",IF(ISNA(MATCH(R30&amp;"|"&amp;M30,LAYOUT!$E$2:$E$80,0)),"CEK ZONA NO di luar layout",IF(N30&lt;&gt;INDEX(LAYOUT!$D$2:$D$80,MATCH(R30&amp;"|"&amp;M30,LAYOUT!$E$2:$E$80,0)),"CEK JENIS ZONA",IF($D30="","Zona STOCK",IF($E30="","CEK SKU DESCRIPTION kosong",IF(AND(O30&lt;&gt;"",P30=""),"CEK URUTAN SAMBUNG kosong",IF(AND(O30&lt;&gt;"",LEFT(R30,6)="Endcap"),"CEK Endcap tidak ikut sambung","OK"))))))))))</f>
        <v/>
      </c>
      <c r="T30" s="11" t="n"/>
      <c r="U30" s="11" t="n"/>
      <c r="V30" s="11" t="n"/>
      <c r="W30" s="11" t="n"/>
      <c r="X30" s="11" t="n"/>
      <c r="Y30" s="11" t="n"/>
      <c r="Z30" s="12">
        <f>IF(T30="","",IFERROR(INDEX(DAFTAR_FIXTURE!$B$2:$B$51,MATCH(T30,DAFTAR_FIXTURE!$A$2:$A$51,0)),""))</f>
        <v/>
      </c>
      <c r="AA30" s="12">
        <f>IF(T30="","",IF(Z30="","CEK ID FIXTURE tidak ada di DAFTAR_FIXTURE",IF(U30="","CEK ZONA NO kosong",IF(ISNA(MATCH(Z30&amp;"|"&amp;U30,LAYOUT!$E$2:$E$80,0)),"CEK ZONA NO di luar layout",IF(V30&lt;&gt;INDEX(LAYOUT!$D$2:$D$80,MATCH(Z30&amp;"|"&amp;U30,LAYOUT!$E$2:$E$80,0)),"CEK JENIS ZONA",IF($D30="","Zona STOCK",IF($E30="","CEK SKU DESCRIPTION kosong",IF(AND(W30&lt;&gt;"",X30=""),"CEK URUTAN SAMBUNG kosong",IF(AND(W30&lt;&gt;"",LEFT(Z30,6)="Endcap"),"CEK Endcap tidak ikut sambung","OK")))))))))</f>
        <v/>
      </c>
      <c r="AB30" s="11" t="n"/>
      <c r="AC30" s="11" t="n"/>
      <c r="AD30" s="11" t="n"/>
      <c r="AE30" s="11" t="n"/>
      <c r="AF30" s="11" t="n"/>
      <c r="AG30" s="11" t="n"/>
      <c r="AH30" s="12">
        <f>IF(AB30="","",IFERROR(INDEX(DAFTAR_FIXTURE!$B$2:$B$51,MATCH(AB30,DAFTAR_FIXTURE!$A$2:$A$51,0)),""))</f>
        <v/>
      </c>
      <c r="AI30" s="12">
        <f>IF(AB30="","",IF(AH30="","CEK ID FIXTURE tidak ada di DAFTAR_FIXTURE",IF(AC30="","CEK ZONA NO kosong",IF(ISNA(MATCH(AH30&amp;"|"&amp;AC30,LAYOUT!$E$2:$E$80,0)),"CEK ZONA NO di luar layout",IF(AD30&lt;&gt;INDEX(LAYOUT!$D$2:$D$80,MATCH(AH30&amp;"|"&amp;AC30,LAYOUT!$E$2:$E$80,0)),"CEK JENIS ZONA",IF($D30="","Zona STOCK",IF($E30="","CEK SKU DESCRIPTION kosong",IF(AND(AE30&lt;&gt;"",AF30=""),"CEK URUTAN SAMBUNG kosong",IF(AND(AE30&lt;&gt;"",LEFT(AH30,6)="Endcap"),"CEK Endcap tidak ikut sambung","OK")))))))))</f>
        <v/>
      </c>
    </row>
    <row r="31">
      <c r="A31" s="10" t="n"/>
      <c r="B31" s="10" t="n"/>
      <c r="C31" s="10" t="n"/>
      <c r="D31" s="10" t="n"/>
      <c r="E31" s="10" t="n"/>
      <c r="F31" s="10" t="n"/>
      <c r="G31" s="10" t="n"/>
      <c r="H31" s="10" t="n"/>
      <c r="I31" s="10" t="n"/>
      <c r="J31" s="10" t="n"/>
      <c r="K31" s="10" t="n"/>
      <c r="L31" s="11" t="n"/>
      <c r="M31" s="11" t="n"/>
      <c r="N31" s="11" t="n"/>
      <c r="O31" s="11" t="n"/>
      <c r="P31" s="11" t="n"/>
      <c r="Q31" s="11" t="n"/>
      <c r="R31" s="12">
        <f>IF(L31="","",IFERROR(INDEX(DAFTAR_FIXTURE!$B$2:$B$51,MATCH(L31,DAFTAR_FIXTURE!$A$2:$A$51,0)),""))</f>
        <v/>
      </c>
      <c r="S31" s="12">
        <f>IF(AND($D31="",L31=""),"",IF(L31="",IF(AND(T31="",AB31=""),"Belum ditempatkan",""),IF(R31="","CEK ID FIXTURE tidak ada di DAFTAR_FIXTURE",IF(M31="","CEK ZONA NO kosong",IF(ISNA(MATCH(R31&amp;"|"&amp;M31,LAYOUT!$E$2:$E$80,0)),"CEK ZONA NO di luar layout",IF(N31&lt;&gt;INDEX(LAYOUT!$D$2:$D$80,MATCH(R31&amp;"|"&amp;M31,LAYOUT!$E$2:$E$80,0)),"CEK JENIS ZONA",IF($D31="","Zona STOCK",IF($E31="","CEK SKU DESCRIPTION kosong",IF(AND(O31&lt;&gt;"",P31=""),"CEK URUTAN SAMBUNG kosong",IF(AND(O31&lt;&gt;"",LEFT(R31,6)="Endcap"),"CEK Endcap tidak ikut sambung","OK"))))))))))</f>
        <v/>
      </c>
      <c r="T31" s="11" t="n"/>
      <c r="U31" s="11" t="n"/>
      <c r="V31" s="11" t="n"/>
      <c r="W31" s="11" t="n"/>
      <c r="X31" s="11" t="n"/>
      <c r="Y31" s="11" t="n"/>
      <c r="Z31" s="12">
        <f>IF(T31="","",IFERROR(INDEX(DAFTAR_FIXTURE!$B$2:$B$51,MATCH(T31,DAFTAR_FIXTURE!$A$2:$A$51,0)),""))</f>
        <v/>
      </c>
      <c r="AA31" s="12">
        <f>IF(T31="","",IF(Z31="","CEK ID FIXTURE tidak ada di DAFTAR_FIXTURE",IF(U31="","CEK ZONA NO kosong",IF(ISNA(MATCH(Z31&amp;"|"&amp;U31,LAYOUT!$E$2:$E$80,0)),"CEK ZONA NO di luar layout",IF(V31&lt;&gt;INDEX(LAYOUT!$D$2:$D$80,MATCH(Z31&amp;"|"&amp;U31,LAYOUT!$E$2:$E$80,0)),"CEK JENIS ZONA",IF($D31="","Zona STOCK",IF($E31="","CEK SKU DESCRIPTION kosong",IF(AND(W31&lt;&gt;"",X31=""),"CEK URUTAN SAMBUNG kosong",IF(AND(W31&lt;&gt;"",LEFT(Z31,6)="Endcap"),"CEK Endcap tidak ikut sambung","OK")))))))))</f>
        <v/>
      </c>
      <c r="AB31" s="11" t="n"/>
      <c r="AC31" s="11" t="n"/>
      <c r="AD31" s="11" t="n"/>
      <c r="AE31" s="11" t="n"/>
      <c r="AF31" s="11" t="n"/>
      <c r="AG31" s="11" t="n"/>
      <c r="AH31" s="12">
        <f>IF(AB31="","",IFERROR(INDEX(DAFTAR_FIXTURE!$B$2:$B$51,MATCH(AB31,DAFTAR_FIXTURE!$A$2:$A$51,0)),""))</f>
        <v/>
      </c>
      <c r="AI31" s="12">
        <f>IF(AB31="","",IF(AH31="","CEK ID FIXTURE tidak ada di DAFTAR_FIXTURE",IF(AC31="","CEK ZONA NO kosong",IF(ISNA(MATCH(AH31&amp;"|"&amp;AC31,LAYOUT!$E$2:$E$80,0)),"CEK ZONA NO di luar layout",IF(AD31&lt;&gt;INDEX(LAYOUT!$D$2:$D$80,MATCH(AH31&amp;"|"&amp;AC31,LAYOUT!$E$2:$E$80,0)),"CEK JENIS ZONA",IF($D31="","Zona STOCK",IF($E31="","CEK SKU DESCRIPTION kosong",IF(AND(AE31&lt;&gt;"",AF31=""),"CEK URUTAN SAMBUNG kosong",IF(AND(AE31&lt;&gt;"",LEFT(AH31,6)="Endcap"),"CEK Endcap tidak ikut sambung","OK")))))))))</f>
        <v/>
      </c>
    </row>
    <row r="32">
      <c r="A32" s="10" t="n"/>
      <c r="B32" s="10" t="n"/>
      <c r="C32" s="10" t="n"/>
      <c r="D32" s="10" t="n"/>
      <c r="E32" s="10" t="n"/>
      <c r="F32" s="10" t="n"/>
      <c r="G32" s="10" t="n"/>
      <c r="H32" s="10" t="n"/>
      <c r="I32" s="10" t="n"/>
      <c r="J32" s="10" t="n"/>
      <c r="K32" s="10" t="n"/>
      <c r="L32" s="11" t="n"/>
      <c r="M32" s="11" t="n"/>
      <c r="N32" s="11" t="n"/>
      <c r="O32" s="11" t="n"/>
      <c r="P32" s="11" t="n"/>
      <c r="Q32" s="11" t="n"/>
      <c r="R32" s="12">
        <f>IF(L32="","",IFERROR(INDEX(DAFTAR_FIXTURE!$B$2:$B$51,MATCH(L32,DAFTAR_FIXTURE!$A$2:$A$51,0)),""))</f>
        <v/>
      </c>
      <c r="S32" s="12">
        <f>IF(AND($D32="",L32=""),"",IF(L32="",IF(AND(T32="",AB32=""),"Belum ditempatkan",""),IF(R32="","CEK ID FIXTURE tidak ada di DAFTAR_FIXTURE",IF(M32="","CEK ZONA NO kosong",IF(ISNA(MATCH(R32&amp;"|"&amp;M32,LAYOUT!$E$2:$E$80,0)),"CEK ZONA NO di luar layout",IF(N32&lt;&gt;INDEX(LAYOUT!$D$2:$D$80,MATCH(R32&amp;"|"&amp;M32,LAYOUT!$E$2:$E$80,0)),"CEK JENIS ZONA",IF($D32="","Zona STOCK",IF($E32="","CEK SKU DESCRIPTION kosong",IF(AND(O32&lt;&gt;"",P32=""),"CEK URUTAN SAMBUNG kosong",IF(AND(O32&lt;&gt;"",LEFT(R32,6)="Endcap"),"CEK Endcap tidak ikut sambung","OK"))))))))))</f>
        <v/>
      </c>
      <c r="T32" s="11" t="n"/>
      <c r="U32" s="11" t="n"/>
      <c r="V32" s="11" t="n"/>
      <c r="W32" s="11" t="n"/>
      <c r="X32" s="11" t="n"/>
      <c r="Y32" s="11" t="n"/>
      <c r="Z32" s="12">
        <f>IF(T32="","",IFERROR(INDEX(DAFTAR_FIXTURE!$B$2:$B$51,MATCH(T32,DAFTAR_FIXTURE!$A$2:$A$51,0)),""))</f>
        <v/>
      </c>
      <c r="AA32" s="12">
        <f>IF(T32="","",IF(Z32="","CEK ID FIXTURE tidak ada di DAFTAR_FIXTURE",IF(U32="","CEK ZONA NO kosong",IF(ISNA(MATCH(Z32&amp;"|"&amp;U32,LAYOUT!$E$2:$E$80,0)),"CEK ZONA NO di luar layout",IF(V32&lt;&gt;INDEX(LAYOUT!$D$2:$D$80,MATCH(Z32&amp;"|"&amp;U32,LAYOUT!$E$2:$E$80,0)),"CEK JENIS ZONA",IF($D32="","Zona STOCK",IF($E32="","CEK SKU DESCRIPTION kosong",IF(AND(W32&lt;&gt;"",X32=""),"CEK URUTAN SAMBUNG kosong",IF(AND(W32&lt;&gt;"",LEFT(Z32,6)="Endcap"),"CEK Endcap tidak ikut sambung","OK")))))))))</f>
        <v/>
      </c>
      <c r="AB32" s="11" t="n"/>
      <c r="AC32" s="11" t="n"/>
      <c r="AD32" s="11" t="n"/>
      <c r="AE32" s="11" t="n"/>
      <c r="AF32" s="11" t="n"/>
      <c r="AG32" s="11" t="n"/>
      <c r="AH32" s="12">
        <f>IF(AB32="","",IFERROR(INDEX(DAFTAR_FIXTURE!$B$2:$B$51,MATCH(AB32,DAFTAR_FIXTURE!$A$2:$A$51,0)),""))</f>
        <v/>
      </c>
      <c r="AI32" s="12">
        <f>IF(AB32="","",IF(AH32="","CEK ID FIXTURE tidak ada di DAFTAR_FIXTURE",IF(AC32="","CEK ZONA NO kosong",IF(ISNA(MATCH(AH32&amp;"|"&amp;AC32,LAYOUT!$E$2:$E$80,0)),"CEK ZONA NO di luar layout",IF(AD32&lt;&gt;INDEX(LAYOUT!$D$2:$D$80,MATCH(AH32&amp;"|"&amp;AC32,LAYOUT!$E$2:$E$80,0)),"CEK JENIS ZONA",IF($D32="","Zona STOCK",IF($E32="","CEK SKU DESCRIPTION kosong",IF(AND(AE32&lt;&gt;"",AF32=""),"CEK URUTAN SAMBUNG kosong",IF(AND(AE32&lt;&gt;"",LEFT(AH32,6)="Endcap"),"CEK Endcap tidak ikut sambung","OK")))))))))</f>
        <v/>
      </c>
    </row>
    <row r="33">
      <c r="A33" s="10" t="n"/>
      <c r="B33" s="10" t="n"/>
      <c r="C33" s="10" t="n"/>
      <c r="D33" s="10" t="n"/>
      <c r="E33" s="10" t="n"/>
      <c r="F33" s="10" t="n"/>
      <c r="G33" s="10" t="n"/>
      <c r="H33" s="10" t="n"/>
      <c r="I33" s="10" t="n"/>
      <c r="J33" s="10" t="n"/>
      <c r="K33" s="10" t="n"/>
      <c r="L33" s="11" t="n"/>
      <c r="M33" s="11" t="n"/>
      <c r="N33" s="11" t="n"/>
      <c r="O33" s="11" t="n"/>
      <c r="P33" s="11" t="n"/>
      <c r="Q33" s="11" t="n"/>
      <c r="R33" s="12">
        <f>IF(L33="","",IFERROR(INDEX(DAFTAR_FIXTURE!$B$2:$B$51,MATCH(L33,DAFTAR_FIXTURE!$A$2:$A$51,0)),""))</f>
        <v/>
      </c>
      <c r="S33" s="12">
        <f>IF(AND($D33="",L33=""),"",IF(L33="",IF(AND(T33="",AB33=""),"Belum ditempatkan",""),IF(R33="","CEK ID FIXTURE tidak ada di DAFTAR_FIXTURE",IF(M33="","CEK ZONA NO kosong",IF(ISNA(MATCH(R33&amp;"|"&amp;M33,LAYOUT!$E$2:$E$80,0)),"CEK ZONA NO di luar layout",IF(N33&lt;&gt;INDEX(LAYOUT!$D$2:$D$80,MATCH(R33&amp;"|"&amp;M33,LAYOUT!$E$2:$E$80,0)),"CEK JENIS ZONA",IF($D33="","Zona STOCK",IF($E33="","CEK SKU DESCRIPTION kosong",IF(AND(O33&lt;&gt;"",P33=""),"CEK URUTAN SAMBUNG kosong",IF(AND(O33&lt;&gt;"",LEFT(R33,6)="Endcap"),"CEK Endcap tidak ikut sambung","OK"))))))))))</f>
        <v/>
      </c>
      <c r="T33" s="11" t="n"/>
      <c r="U33" s="11" t="n"/>
      <c r="V33" s="11" t="n"/>
      <c r="W33" s="11" t="n"/>
      <c r="X33" s="11" t="n"/>
      <c r="Y33" s="11" t="n"/>
      <c r="Z33" s="12">
        <f>IF(T33="","",IFERROR(INDEX(DAFTAR_FIXTURE!$B$2:$B$51,MATCH(T33,DAFTAR_FIXTURE!$A$2:$A$51,0)),""))</f>
        <v/>
      </c>
      <c r="AA33" s="12">
        <f>IF(T33="","",IF(Z33="","CEK ID FIXTURE tidak ada di DAFTAR_FIXTURE",IF(U33="","CEK ZONA NO kosong",IF(ISNA(MATCH(Z33&amp;"|"&amp;U33,LAYOUT!$E$2:$E$80,0)),"CEK ZONA NO di luar layout",IF(V33&lt;&gt;INDEX(LAYOUT!$D$2:$D$80,MATCH(Z33&amp;"|"&amp;U33,LAYOUT!$E$2:$E$80,0)),"CEK JENIS ZONA",IF($D33="","Zona STOCK",IF($E33="","CEK SKU DESCRIPTION kosong",IF(AND(W33&lt;&gt;"",X33=""),"CEK URUTAN SAMBUNG kosong",IF(AND(W33&lt;&gt;"",LEFT(Z33,6)="Endcap"),"CEK Endcap tidak ikut sambung","OK")))))))))</f>
        <v/>
      </c>
      <c r="AB33" s="11" t="n"/>
      <c r="AC33" s="11" t="n"/>
      <c r="AD33" s="11" t="n"/>
      <c r="AE33" s="11" t="n"/>
      <c r="AF33" s="11" t="n"/>
      <c r="AG33" s="11" t="n"/>
      <c r="AH33" s="12">
        <f>IF(AB33="","",IFERROR(INDEX(DAFTAR_FIXTURE!$B$2:$B$51,MATCH(AB33,DAFTAR_FIXTURE!$A$2:$A$51,0)),""))</f>
        <v/>
      </c>
      <c r="AI33" s="12">
        <f>IF(AB33="","",IF(AH33="","CEK ID FIXTURE tidak ada di DAFTAR_FIXTURE",IF(AC33="","CEK ZONA NO kosong",IF(ISNA(MATCH(AH33&amp;"|"&amp;AC33,LAYOUT!$E$2:$E$80,0)),"CEK ZONA NO di luar layout",IF(AD33&lt;&gt;INDEX(LAYOUT!$D$2:$D$80,MATCH(AH33&amp;"|"&amp;AC33,LAYOUT!$E$2:$E$80,0)),"CEK JENIS ZONA",IF($D33="","Zona STOCK",IF($E33="","CEK SKU DESCRIPTION kosong",IF(AND(AE33&lt;&gt;"",AF33=""),"CEK URUTAN SAMBUNG kosong",IF(AND(AE33&lt;&gt;"",LEFT(AH33,6)="Endcap"),"CEK Endcap tidak ikut sambung","OK")))))))))</f>
        <v/>
      </c>
    </row>
    <row r="34">
      <c r="A34" s="10" t="n"/>
      <c r="B34" s="10" t="n"/>
      <c r="C34" s="10" t="n"/>
      <c r="D34" s="10" t="n"/>
      <c r="E34" s="10" t="n"/>
      <c r="F34" s="10" t="n"/>
      <c r="G34" s="10" t="n"/>
      <c r="H34" s="10" t="n"/>
      <c r="I34" s="10" t="n"/>
      <c r="J34" s="10" t="n"/>
      <c r="K34" s="10" t="n"/>
      <c r="L34" s="11" t="n"/>
      <c r="M34" s="11" t="n"/>
      <c r="N34" s="11" t="n"/>
      <c r="O34" s="11" t="n"/>
      <c r="P34" s="11" t="n"/>
      <c r="Q34" s="11" t="n"/>
      <c r="R34" s="12">
        <f>IF(L34="","",IFERROR(INDEX(DAFTAR_FIXTURE!$B$2:$B$51,MATCH(L34,DAFTAR_FIXTURE!$A$2:$A$51,0)),""))</f>
        <v/>
      </c>
      <c r="S34" s="12">
        <f>IF(AND($D34="",L34=""),"",IF(L34="",IF(AND(T34="",AB34=""),"Belum ditempatkan",""),IF(R34="","CEK ID FIXTURE tidak ada di DAFTAR_FIXTURE",IF(M34="","CEK ZONA NO kosong",IF(ISNA(MATCH(R34&amp;"|"&amp;M34,LAYOUT!$E$2:$E$80,0)),"CEK ZONA NO di luar layout",IF(N34&lt;&gt;INDEX(LAYOUT!$D$2:$D$80,MATCH(R34&amp;"|"&amp;M34,LAYOUT!$E$2:$E$80,0)),"CEK JENIS ZONA",IF($D34="","Zona STOCK",IF($E34="","CEK SKU DESCRIPTION kosong",IF(AND(O34&lt;&gt;"",P34=""),"CEK URUTAN SAMBUNG kosong",IF(AND(O34&lt;&gt;"",LEFT(R34,6)="Endcap"),"CEK Endcap tidak ikut sambung","OK"))))))))))</f>
        <v/>
      </c>
      <c r="T34" s="11" t="n"/>
      <c r="U34" s="11" t="n"/>
      <c r="V34" s="11" t="n"/>
      <c r="W34" s="11" t="n"/>
      <c r="X34" s="11" t="n"/>
      <c r="Y34" s="11" t="n"/>
      <c r="Z34" s="12">
        <f>IF(T34="","",IFERROR(INDEX(DAFTAR_FIXTURE!$B$2:$B$51,MATCH(T34,DAFTAR_FIXTURE!$A$2:$A$51,0)),""))</f>
        <v/>
      </c>
      <c r="AA34" s="12">
        <f>IF(T34="","",IF(Z34="","CEK ID FIXTURE tidak ada di DAFTAR_FIXTURE",IF(U34="","CEK ZONA NO kosong",IF(ISNA(MATCH(Z34&amp;"|"&amp;U34,LAYOUT!$E$2:$E$80,0)),"CEK ZONA NO di luar layout",IF(V34&lt;&gt;INDEX(LAYOUT!$D$2:$D$80,MATCH(Z34&amp;"|"&amp;U34,LAYOUT!$E$2:$E$80,0)),"CEK JENIS ZONA",IF($D34="","Zona STOCK",IF($E34="","CEK SKU DESCRIPTION kosong",IF(AND(W34&lt;&gt;"",X34=""),"CEK URUTAN SAMBUNG kosong",IF(AND(W34&lt;&gt;"",LEFT(Z34,6)="Endcap"),"CEK Endcap tidak ikut sambung","OK")))))))))</f>
        <v/>
      </c>
      <c r="AB34" s="11" t="n"/>
      <c r="AC34" s="11" t="n"/>
      <c r="AD34" s="11" t="n"/>
      <c r="AE34" s="11" t="n"/>
      <c r="AF34" s="11" t="n"/>
      <c r="AG34" s="11" t="n"/>
      <c r="AH34" s="12">
        <f>IF(AB34="","",IFERROR(INDEX(DAFTAR_FIXTURE!$B$2:$B$51,MATCH(AB34,DAFTAR_FIXTURE!$A$2:$A$51,0)),""))</f>
        <v/>
      </c>
      <c r="AI34" s="12">
        <f>IF(AB34="","",IF(AH34="","CEK ID FIXTURE tidak ada di DAFTAR_FIXTURE",IF(AC34="","CEK ZONA NO kosong",IF(ISNA(MATCH(AH34&amp;"|"&amp;AC34,LAYOUT!$E$2:$E$80,0)),"CEK ZONA NO di luar layout",IF(AD34&lt;&gt;INDEX(LAYOUT!$D$2:$D$80,MATCH(AH34&amp;"|"&amp;AC34,LAYOUT!$E$2:$E$80,0)),"CEK JENIS ZONA",IF($D34="","Zona STOCK",IF($E34="","CEK SKU DESCRIPTION kosong",IF(AND(AE34&lt;&gt;"",AF34=""),"CEK URUTAN SAMBUNG kosong",IF(AND(AE34&lt;&gt;"",LEFT(AH34,6)="Endcap"),"CEK Endcap tidak ikut sambung","OK")))))))))</f>
        <v/>
      </c>
    </row>
    <row r="35">
      <c r="A35" s="10" t="n"/>
      <c r="B35" s="10" t="n"/>
      <c r="C35" s="10" t="n"/>
      <c r="D35" s="10" t="n"/>
      <c r="E35" s="10" t="n"/>
      <c r="F35" s="10" t="n"/>
      <c r="G35" s="10" t="n"/>
      <c r="H35" s="10" t="n"/>
      <c r="I35" s="10" t="n"/>
      <c r="J35" s="10" t="n"/>
      <c r="K35" s="10" t="n"/>
      <c r="L35" s="11" t="n"/>
      <c r="M35" s="11" t="n"/>
      <c r="N35" s="11" t="n"/>
      <c r="O35" s="11" t="n"/>
      <c r="P35" s="11" t="n"/>
      <c r="Q35" s="11" t="n"/>
      <c r="R35" s="12">
        <f>IF(L35="","",IFERROR(INDEX(DAFTAR_FIXTURE!$B$2:$B$51,MATCH(L35,DAFTAR_FIXTURE!$A$2:$A$51,0)),""))</f>
        <v/>
      </c>
      <c r="S35" s="12">
        <f>IF(AND($D35="",L35=""),"",IF(L35="",IF(AND(T35="",AB35=""),"Belum ditempatkan",""),IF(R35="","CEK ID FIXTURE tidak ada di DAFTAR_FIXTURE",IF(M35="","CEK ZONA NO kosong",IF(ISNA(MATCH(R35&amp;"|"&amp;M35,LAYOUT!$E$2:$E$80,0)),"CEK ZONA NO di luar layout",IF(N35&lt;&gt;INDEX(LAYOUT!$D$2:$D$80,MATCH(R35&amp;"|"&amp;M35,LAYOUT!$E$2:$E$80,0)),"CEK JENIS ZONA",IF($D35="","Zona STOCK",IF($E35="","CEK SKU DESCRIPTION kosong",IF(AND(O35&lt;&gt;"",P35=""),"CEK URUTAN SAMBUNG kosong",IF(AND(O35&lt;&gt;"",LEFT(R35,6)="Endcap"),"CEK Endcap tidak ikut sambung","OK"))))))))))</f>
        <v/>
      </c>
      <c r="T35" s="11" t="n"/>
      <c r="U35" s="11" t="n"/>
      <c r="V35" s="11" t="n"/>
      <c r="W35" s="11" t="n"/>
      <c r="X35" s="11" t="n"/>
      <c r="Y35" s="11" t="n"/>
      <c r="Z35" s="12">
        <f>IF(T35="","",IFERROR(INDEX(DAFTAR_FIXTURE!$B$2:$B$51,MATCH(T35,DAFTAR_FIXTURE!$A$2:$A$51,0)),""))</f>
        <v/>
      </c>
      <c r="AA35" s="12">
        <f>IF(T35="","",IF(Z35="","CEK ID FIXTURE tidak ada di DAFTAR_FIXTURE",IF(U35="","CEK ZONA NO kosong",IF(ISNA(MATCH(Z35&amp;"|"&amp;U35,LAYOUT!$E$2:$E$80,0)),"CEK ZONA NO di luar layout",IF(V35&lt;&gt;INDEX(LAYOUT!$D$2:$D$80,MATCH(Z35&amp;"|"&amp;U35,LAYOUT!$E$2:$E$80,0)),"CEK JENIS ZONA",IF($D35="","Zona STOCK",IF($E35="","CEK SKU DESCRIPTION kosong",IF(AND(W35&lt;&gt;"",X35=""),"CEK URUTAN SAMBUNG kosong",IF(AND(W35&lt;&gt;"",LEFT(Z35,6)="Endcap"),"CEK Endcap tidak ikut sambung","OK")))))))))</f>
        <v/>
      </c>
      <c r="AB35" s="11" t="n"/>
      <c r="AC35" s="11" t="n"/>
      <c r="AD35" s="11" t="n"/>
      <c r="AE35" s="11" t="n"/>
      <c r="AF35" s="11" t="n"/>
      <c r="AG35" s="11" t="n"/>
      <c r="AH35" s="12">
        <f>IF(AB35="","",IFERROR(INDEX(DAFTAR_FIXTURE!$B$2:$B$51,MATCH(AB35,DAFTAR_FIXTURE!$A$2:$A$51,0)),""))</f>
        <v/>
      </c>
      <c r="AI35" s="12">
        <f>IF(AB35="","",IF(AH35="","CEK ID FIXTURE tidak ada di DAFTAR_FIXTURE",IF(AC35="","CEK ZONA NO kosong",IF(ISNA(MATCH(AH35&amp;"|"&amp;AC35,LAYOUT!$E$2:$E$80,0)),"CEK ZONA NO di luar layout",IF(AD35&lt;&gt;INDEX(LAYOUT!$D$2:$D$80,MATCH(AH35&amp;"|"&amp;AC35,LAYOUT!$E$2:$E$80,0)),"CEK JENIS ZONA",IF($D35="","Zona STOCK",IF($E35="","CEK SKU DESCRIPTION kosong",IF(AND(AE35&lt;&gt;"",AF35=""),"CEK URUTAN SAMBUNG kosong",IF(AND(AE35&lt;&gt;"",LEFT(AH35,6)="Endcap"),"CEK Endcap tidak ikut sambung","OK")))))))))</f>
        <v/>
      </c>
    </row>
    <row r="36">
      <c r="A36" s="10" t="n"/>
      <c r="B36" s="10" t="n"/>
      <c r="C36" s="10" t="n"/>
      <c r="D36" s="10" t="n"/>
      <c r="E36" s="10" t="n"/>
      <c r="F36" s="10" t="n"/>
      <c r="G36" s="10" t="n"/>
      <c r="H36" s="10" t="n"/>
      <c r="I36" s="10" t="n"/>
      <c r="J36" s="10" t="n"/>
      <c r="K36" s="10" t="n"/>
      <c r="L36" s="11" t="n"/>
      <c r="M36" s="11" t="n"/>
      <c r="N36" s="11" t="n"/>
      <c r="O36" s="11" t="n"/>
      <c r="P36" s="11" t="n"/>
      <c r="Q36" s="11" t="n"/>
      <c r="R36" s="12">
        <f>IF(L36="","",IFERROR(INDEX(DAFTAR_FIXTURE!$B$2:$B$51,MATCH(L36,DAFTAR_FIXTURE!$A$2:$A$51,0)),""))</f>
        <v/>
      </c>
      <c r="S36" s="12">
        <f>IF(AND($D36="",L36=""),"",IF(L36="",IF(AND(T36="",AB36=""),"Belum ditempatkan",""),IF(R36="","CEK ID FIXTURE tidak ada di DAFTAR_FIXTURE",IF(M36="","CEK ZONA NO kosong",IF(ISNA(MATCH(R36&amp;"|"&amp;M36,LAYOUT!$E$2:$E$80,0)),"CEK ZONA NO di luar layout",IF(N36&lt;&gt;INDEX(LAYOUT!$D$2:$D$80,MATCH(R36&amp;"|"&amp;M36,LAYOUT!$E$2:$E$80,0)),"CEK JENIS ZONA",IF($D36="","Zona STOCK",IF($E36="","CEK SKU DESCRIPTION kosong",IF(AND(O36&lt;&gt;"",P36=""),"CEK URUTAN SAMBUNG kosong",IF(AND(O36&lt;&gt;"",LEFT(R36,6)="Endcap"),"CEK Endcap tidak ikut sambung","OK"))))))))))</f>
        <v/>
      </c>
      <c r="T36" s="11" t="n"/>
      <c r="U36" s="11" t="n"/>
      <c r="V36" s="11" t="n"/>
      <c r="W36" s="11" t="n"/>
      <c r="X36" s="11" t="n"/>
      <c r="Y36" s="11" t="n"/>
      <c r="Z36" s="12">
        <f>IF(T36="","",IFERROR(INDEX(DAFTAR_FIXTURE!$B$2:$B$51,MATCH(T36,DAFTAR_FIXTURE!$A$2:$A$51,0)),""))</f>
        <v/>
      </c>
      <c r="AA36" s="12">
        <f>IF(T36="","",IF(Z36="","CEK ID FIXTURE tidak ada di DAFTAR_FIXTURE",IF(U36="","CEK ZONA NO kosong",IF(ISNA(MATCH(Z36&amp;"|"&amp;U36,LAYOUT!$E$2:$E$80,0)),"CEK ZONA NO di luar layout",IF(V36&lt;&gt;INDEX(LAYOUT!$D$2:$D$80,MATCH(Z36&amp;"|"&amp;U36,LAYOUT!$E$2:$E$80,0)),"CEK JENIS ZONA",IF($D36="","Zona STOCK",IF($E36="","CEK SKU DESCRIPTION kosong",IF(AND(W36&lt;&gt;"",X36=""),"CEK URUTAN SAMBUNG kosong",IF(AND(W36&lt;&gt;"",LEFT(Z36,6)="Endcap"),"CEK Endcap tidak ikut sambung","OK")))))))))</f>
        <v/>
      </c>
      <c r="AB36" s="11" t="n"/>
      <c r="AC36" s="11" t="n"/>
      <c r="AD36" s="11" t="n"/>
      <c r="AE36" s="11" t="n"/>
      <c r="AF36" s="11" t="n"/>
      <c r="AG36" s="11" t="n"/>
      <c r="AH36" s="12">
        <f>IF(AB36="","",IFERROR(INDEX(DAFTAR_FIXTURE!$B$2:$B$51,MATCH(AB36,DAFTAR_FIXTURE!$A$2:$A$51,0)),""))</f>
        <v/>
      </c>
      <c r="AI36" s="12">
        <f>IF(AB36="","",IF(AH36="","CEK ID FIXTURE tidak ada di DAFTAR_FIXTURE",IF(AC36="","CEK ZONA NO kosong",IF(ISNA(MATCH(AH36&amp;"|"&amp;AC36,LAYOUT!$E$2:$E$80,0)),"CEK ZONA NO di luar layout",IF(AD36&lt;&gt;INDEX(LAYOUT!$D$2:$D$80,MATCH(AH36&amp;"|"&amp;AC36,LAYOUT!$E$2:$E$80,0)),"CEK JENIS ZONA",IF($D36="","Zona STOCK",IF($E36="","CEK SKU DESCRIPTION kosong",IF(AND(AE36&lt;&gt;"",AF36=""),"CEK URUTAN SAMBUNG kosong",IF(AND(AE36&lt;&gt;"",LEFT(AH36,6)="Endcap"),"CEK Endcap tidak ikut sambung","OK")))))))))</f>
        <v/>
      </c>
    </row>
    <row r="37">
      <c r="A37" s="10" t="n"/>
      <c r="B37" s="10" t="n"/>
      <c r="C37" s="10" t="n"/>
      <c r="D37" s="10" t="n"/>
      <c r="E37" s="10" t="n"/>
      <c r="F37" s="10" t="n"/>
      <c r="G37" s="10" t="n"/>
      <c r="H37" s="10" t="n"/>
      <c r="I37" s="10" t="n"/>
      <c r="J37" s="10" t="n"/>
      <c r="K37" s="10" t="n"/>
      <c r="L37" s="11" t="n"/>
      <c r="M37" s="11" t="n"/>
      <c r="N37" s="11" t="n"/>
      <c r="O37" s="11" t="n"/>
      <c r="P37" s="11" t="n"/>
      <c r="Q37" s="11" t="n"/>
      <c r="R37" s="12">
        <f>IF(L37="","",IFERROR(INDEX(DAFTAR_FIXTURE!$B$2:$B$51,MATCH(L37,DAFTAR_FIXTURE!$A$2:$A$51,0)),""))</f>
        <v/>
      </c>
      <c r="S37" s="12">
        <f>IF(AND($D37="",L37=""),"",IF(L37="",IF(AND(T37="",AB37=""),"Belum ditempatkan",""),IF(R37="","CEK ID FIXTURE tidak ada di DAFTAR_FIXTURE",IF(M37="","CEK ZONA NO kosong",IF(ISNA(MATCH(R37&amp;"|"&amp;M37,LAYOUT!$E$2:$E$80,0)),"CEK ZONA NO di luar layout",IF(N37&lt;&gt;INDEX(LAYOUT!$D$2:$D$80,MATCH(R37&amp;"|"&amp;M37,LAYOUT!$E$2:$E$80,0)),"CEK JENIS ZONA",IF($D37="","Zona STOCK",IF($E37="","CEK SKU DESCRIPTION kosong",IF(AND(O37&lt;&gt;"",P37=""),"CEK URUTAN SAMBUNG kosong",IF(AND(O37&lt;&gt;"",LEFT(R37,6)="Endcap"),"CEK Endcap tidak ikut sambung","OK"))))))))))</f>
        <v/>
      </c>
      <c r="T37" s="11" t="n"/>
      <c r="U37" s="11" t="n"/>
      <c r="V37" s="11" t="n"/>
      <c r="W37" s="11" t="n"/>
      <c r="X37" s="11" t="n"/>
      <c r="Y37" s="11" t="n"/>
      <c r="Z37" s="12">
        <f>IF(T37="","",IFERROR(INDEX(DAFTAR_FIXTURE!$B$2:$B$51,MATCH(T37,DAFTAR_FIXTURE!$A$2:$A$51,0)),""))</f>
        <v/>
      </c>
      <c r="AA37" s="12">
        <f>IF(T37="","",IF(Z37="","CEK ID FIXTURE tidak ada di DAFTAR_FIXTURE",IF(U37="","CEK ZONA NO kosong",IF(ISNA(MATCH(Z37&amp;"|"&amp;U37,LAYOUT!$E$2:$E$80,0)),"CEK ZONA NO di luar layout",IF(V37&lt;&gt;INDEX(LAYOUT!$D$2:$D$80,MATCH(Z37&amp;"|"&amp;U37,LAYOUT!$E$2:$E$80,0)),"CEK JENIS ZONA",IF($D37="","Zona STOCK",IF($E37="","CEK SKU DESCRIPTION kosong",IF(AND(W37&lt;&gt;"",X37=""),"CEK URUTAN SAMBUNG kosong",IF(AND(W37&lt;&gt;"",LEFT(Z37,6)="Endcap"),"CEK Endcap tidak ikut sambung","OK")))))))))</f>
        <v/>
      </c>
      <c r="AB37" s="11" t="n"/>
      <c r="AC37" s="11" t="n"/>
      <c r="AD37" s="11" t="n"/>
      <c r="AE37" s="11" t="n"/>
      <c r="AF37" s="11" t="n"/>
      <c r="AG37" s="11" t="n"/>
      <c r="AH37" s="12">
        <f>IF(AB37="","",IFERROR(INDEX(DAFTAR_FIXTURE!$B$2:$B$51,MATCH(AB37,DAFTAR_FIXTURE!$A$2:$A$51,0)),""))</f>
        <v/>
      </c>
      <c r="AI37" s="12">
        <f>IF(AB37="","",IF(AH37="","CEK ID FIXTURE tidak ada di DAFTAR_FIXTURE",IF(AC37="","CEK ZONA NO kosong",IF(ISNA(MATCH(AH37&amp;"|"&amp;AC37,LAYOUT!$E$2:$E$80,0)),"CEK ZONA NO di luar layout",IF(AD37&lt;&gt;INDEX(LAYOUT!$D$2:$D$80,MATCH(AH37&amp;"|"&amp;AC37,LAYOUT!$E$2:$E$80,0)),"CEK JENIS ZONA",IF($D37="","Zona STOCK",IF($E37="","CEK SKU DESCRIPTION kosong",IF(AND(AE37&lt;&gt;"",AF37=""),"CEK URUTAN SAMBUNG kosong",IF(AND(AE37&lt;&gt;"",LEFT(AH37,6)="Endcap"),"CEK Endcap tidak ikut sambung","OK")))))))))</f>
        <v/>
      </c>
    </row>
    <row r="38">
      <c r="A38" s="10" t="n"/>
      <c r="B38" s="10" t="n"/>
      <c r="C38" s="10" t="n"/>
      <c r="D38" s="10" t="n"/>
      <c r="E38" s="10" t="n"/>
      <c r="F38" s="10" t="n"/>
      <c r="G38" s="10" t="n"/>
      <c r="H38" s="10" t="n"/>
      <c r="I38" s="10" t="n"/>
      <c r="J38" s="10" t="n"/>
      <c r="K38" s="10" t="n"/>
      <c r="L38" s="11" t="n"/>
      <c r="M38" s="11" t="n"/>
      <c r="N38" s="11" t="n"/>
      <c r="O38" s="11" t="n"/>
      <c r="P38" s="11" t="n"/>
      <c r="Q38" s="11" t="n"/>
      <c r="R38" s="12">
        <f>IF(L38="","",IFERROR(INDEX(DAFTAR_FIXTURE!$B$2:$B$51,MATCH(L38,DAFTAR_FIXTURE!$A$2:$A$51,0)),""))</f>
        <v/>
      </c>
      <c r="S38" s="12">
        <f>IF(AND($D38="",L38=""),"",IF(L38="",IF(AND(T38="",AB38=""),"Belum ditempatkan",""),IF(R38="","CEK ID FIXTURE tidak ada di DAFTAR_FIXTURE",IF(M38="","CEK ZONA NO kosong",IF(ISNA(MATCH(R38&amp;"|"&amp;M38,LAYOUT!$E$2:$E$80,0)),"CEK ZONA NO di luar layout",IF(N38&lt;&gt;INDEX(LAYOUT!$D$2:$D$80,MATCH(R38&amp;"|"&amp;M38,LAYOUT!$E$2:$E$80,0)),"CEK JENIS ZONA",IF($D38="","Zona STOCK",IF($E38="","CEK SKU DESCRIPTION kosong",IF(AND(O38&lt;&gt;"",P38=""),"CEK URUTAN SAMBUNG kosong",IF(AND(O38&lt;&gt;"",LEFT(R38,6)="Endcap"),"CEK Endcap tidak ikut sambung","OK"))))))))))</f>
        <v/>
      </c>
      <c r="T38" s="11" t="n"/>
      <c r="U38" s="11" t="n"/>
      <c r="V38" s="11" t="n"/>
      <c r="W38" s="11" t="n"/>
      <c r="X38" s="11" t="n"/>
      <c r="Y38" s="11" t="n"/>
      <c r="Z38" s="12">
        <f>IF(T38="","",IFERROR(INDEX(DAFTAR_FIXTURE!$B$2:$B$51,MATCH(T38,DAFTAR_FIXTURE!$A$2:$A$51,0)),""))</f>
        <v/>
      </c>
      <c r="AA38" s="12">
        <f>IF(T38="","",IF(Z38="","CEK ID FIXTURE tidak ada di DAFTAR_FIXTURE",IF(U38="","CEK ZONA NO kosong",IF(ISNA(MATCH(Z38&amp;"|"&amp;U38,LAYOUT!$E$2:$E$80,0)),"CEK ZONA NO di luar layout",IF(V38&lt;&gt;INDEX(LAYOUT!$D$2:$D$80,MATCH(Z38&amp;"|"&amp;U38,LAYOUT!$E$2:$E$80,0)),"CEK JENIS ZONA",IF($D38="","Zona STOCK",IF($E38="","CEK SKU DESCRIPTION kosong",IF(AND(W38&lt;&gt;"",X38=""),"CEK URUTAN SAMBUNG kosong",IF(AND(W38&lt;&gt;"",LEFT(Z38,6)="Endcap"),"CEK Endcap tidak ikut sambung","OK")))))))))</f>
        <v/>
      </c>
      <c r="AB38" s="11" t="n"/>
      <c r="AC38" s="11" t="n"/>
      <c r="AD38" s="11" t="n"/>
      <c r="AE38" s="11" t="n"/>
      <c r="AF38" s="11" t="n"/>
      <c r="AG38" s="11" t="n"/>
      <c r="AH38" s="12">
        <f>IF(AB38="","",IFERROR(INDEX(DAFTAR_FIXTURE!$B$2:$B$51,MATCH(AB38,DAFTAR_FIXTURE!$A$2:$A$51,0)),""))</f>
        <v/>
      </c>
      <c r="AI38" s="12">
        <f>IF(AB38="","",IF(AH38="","CEK ID FIXTURE tidak ada di DAFTAR_FIXTURE",IF(AC38="","CEK ZONA NO kosong",IF(ISNA(MATCH(AH38&amp;"|"&amp;AC38,LAYOUT!$E$2:$E$80,0)),"CEK ZONA NO di luar layout",IF(AD38&lt;&gt;INDEX(LAYOUT!$D$2:$D$80,MATCH(AH38&amp;"|"&amp;AC38,LAYOUT!$E$2:$E$80,0)),"CEK JENIS ZONA",IF($D38="","Zona STOCK",IF($E38="","CEK SKU DESCRIPTION kosong",IF(AND(AE38&lt;&gt;"",AF38=""),"CEK URUTAN SAMBUNG kosong",IF(AND(AE38&lt;&gt;"",LEFT(AH38,6)="Endcap"),"CEK Endcap tidak ikut sambung","OK")))))))))</f>
        <v/>
      </c>
    </row>
    <row r="39">
      <c r="A39" s="10" t="n"/>
      <c r="B39" s="10" t="n"/>
      <c r="C39" s="10" t="n"/>
      <c r="D39" s="10" t="n"/>
      <c r="E39" s="10" t="n"/>
      <c r="F39" s="10" t="n"/>
      <c r="G39" s="10" t="n"/>
      <c r="H39" s="10" t="n"/>
      <c r="I39" s="10" t="n"/>
      <c r="J39" s="10" t="n"/>
      <c r="K39" s="10" t="n"/>
      <c r="L39" s="11" t="n"/>
      <c r="M39" s="11" t="n"/>
      <c r="N39" s="11" t="n"/>
      <c r="O39" s="11" t="n"/>
      <c r="P39" s="11" t="n"/>
      <c r="Q39" s="11" t="n"/>
      <c r="R39" s="12">
        <f>IF(L39="","",IFERROR(INDEX(DAFTAR_FIXTURE!$B$2:$B$51,MATCH(L39,DAFTAR_FIXTURE!$A$2:$A$51,0)),""))</f>
        <v/>
      </c>
      <c r="S39" s="12">
        <f>IF(AND($D39="",L39=""),"",IF(L39="",IF(AND(T39="",AB39=""),"Belum ditempatkan",""),IF(R39="","CEK ID FIXTURE tidak ada di DAFTAR_FIXTURE",IF(M39="","CEK ZONA NO kosong",IF(ISNA(MATCH(R39&amp;"|"&amp;M39,LAYOUT!$E$2:$E$80,0)),"CEK ZONA NO di luar layout",IF(N39&lt;&gt;INDEX(LAYOUT!$D$2:$D$80,MATCH(R39&amp;"|"&amp;M39,LAYOUT!$E$2:$E$80,0)),"CEK JENIS ZONA",IF($D39="","Zona STOCK",IF($E39="","CEK SKU DESCRIPTION kosong",IF(AND(O39&lt;&gt;"",P39=""),"CEK URUTAN SAMBUNG kosong",IF(AND(O39&lt;&gt;"",LEFT(R39,6)="Endcap"),"CEK Endcap tidak ikut sambung","OK"))))))))))</f>
        <v/>
      </c>
      <c r="T39" s="11" t="n"/>
      <c r="U39" s="11" t="n"/>
      <c r="V39" s="11" t="n"/>
      <c r="W39" s="11" t="n"/>
      <c r="X39" s="11" t="n"/>
      <c r="Y39" s="11" t="n"/>
      <c r="Z39" s="12">
        <f>IF(T39="","",IFERROR(INDEX(DAFTAR_FIXTURE!$B$2:$B$51,MATCH(T39,DAFTAR_FIXTURE!$A$2:$A$51,0)),""))</f>
        <v/>
      </c>
      <c r="AA39" s="12">
        <f>IF(T39="","",IF(Z39="","CEK ID FIXTURE tidak ada di DAFTAR_FIXTURE",IF(U39="","CEK ZONA NO kosong",IF(ISNA(MATCH(Z39&amp;"|"&amp;U39,LAYOUT!$E$2:$E$80,0)),"CEK ZONA NO di luar layout",IF(V39&lt;&gt;INDEX(LAYOUT!$D$2:$D$80,MATCH(Z39&amp;"|"&amp;U39,LAYOUT!$E$2:$E$80,0)),"CEK JENIS ZONA",IF($D39="","Zona STOCK",IF($E39="","CEK SKU DESCRIPTION kosong",IF(AND(W39&lt;&gt;"",X39=""),"CEK URUTAN SAMBUNG kosong",IF(AND(W39&lt;&gt;"",LEFT(Z39,6)="Endcap"),"CEK Endcap tidak ikut sambung","OK")))))))))</f>
        <v/>
      </c>
      <c r="AB39" s="11" t="n"/>
      <c r="AC39" s="11" t="n"/>
      <c r="AD39" s="11" t="n"/>
      <c r="AE39" s="11" t="n"/>
      <c r="AF39" s="11" t="n"/>
      <c r="AG39" s="11" t="n"/>
      <c r="AH39" s="12">
        <f>IF(AB39="","",IFERROR(INDEX(DAFTAR_FIXTURE!$B$2:$B$51,MATCH(AB39,DAFTAR_FIXTURE!$A$2:$A$51,0)),""))</f>
        <v/>
      </c>
      <c r="AI39" s="12">
        <f>IF(AB39="","",IF(AH39="","CEK ID FIXTURE tidak ada di DAFTAR_FIXTURE",IF(AC39="","CEK ZONA NO kosong",IF(ISNA(MATCH(AH39&amp;"|"&amp;AC39,LAYOUT!$E$2:$E$80,0)),"CEK ZONA NO di luar layout",IF(AD39&lt;&gt;INDEX(LAYOUT!$D$2:$D$80,MATCH(AH39&amp;"|"&amp;AC39,LAYOUT!$E$2:$E$80,0)),"CEK JENIS ZONA",IF($D39="","Zona STOCK",IF($E39="","CEK SKU DESCRIPTION kosong",IF(AND(AE39&lt;&gt;"",AF39=""),"CEK URUTAN SAMBUNG kosong",IF(AND(AE39&lt;&gt;"",LEFT(AH39,6)="Endcap"),"CEK Endcap tidak ikut sambung","OK")))))))))</f>
        <v/>
      </c>
    </row>
    <row r="40">
      <c r="A40" s="10" t="n"/>
      <c r="B40" s="10" t="n"/>
      <c r="C40" s="10" t="n"/>
      <c r="D40" s="10" t="n"/>
      <c r="E40" s="10" t="n"/>
      <c r="F40" s="10" t="n"/>
      <c r="G40" s="10" t="n"/>
      <c r="H40" s="10" t="n"/>
      <c r="I40" s="10" t="n"/>
      <c r="J40" s="10" t="n"/>
      <c r="K40" s="10" t="n"/>
      <c r="L40" s="11" t="n"/>
      <c r="M40" s="11" t="n"/>
      <c r="N40" s="11" t="n"/>
      <c r="O40" s="11" t="n"/>
      <c r="P40" s="11" t="n"/>
      <c r="Q40" s="11" t="n"/>
      <c r="R40" s="12">
        <f>IF(L40="","",IFERROR(INDEX(DAFTAR_FIXTURE!$B$2:$B$51,MATCH(L40,DAFTAR_FIXTURE!$A$2:$A$51,0)),""))</f>
        <v/>
      </c>
      <c r="S40" s="12">
        <f>IF(AND($D40="",L40=""),"",IF(L40="",IF(AND(T40="",AB40=""),"Belum ditempatkan",""),IF(R40="","CEK ID FIXTURE tidak ada di DAFTAR_FIXTURE",IF(M40="","CEK ZONA NO kosong",IF(ISNA(MATCH(R40&amp;"|"&amp;M40,LAYOUT!$E$2:$E$80,0)),"CEK ZONA NO di luar layout",IF(N40&lt;&gt;INDEX(LAYOUT!$D$2:$D$80,MATCH(R40&amp;"|"&amp;M40,LAYOUT!$E$2:$E$80,0)),"CEK JENIS ZONA",IF($D40="","Zona STOCK",IF($E40="","CEK SKU DESCRIPTION kosong",IF(AND(O40&lt;&gt;"",P40=""),"CEK URUTAN SAMBUNG kosong",IF(AND(O40&lt;&gt;"",LEFT(R40,6)="Endcap"),"CEK Endcap tidak ikut sambung","OK"))))))))))</f>
        <v/>
      </c>
      <c r="T40" s="11" t="n"/>
      <c r="U40" s="11" t="n"/>
      <c r="V40" s="11" t="n"/>
      <c r="W40" s="11" t="n"/>
      <c r="X40" s="11" t="n"/>
      <c r="Y40" s="11" t="n"/>
      <c r="Z40" s="12">
        <f>IF(T40="","",IFERROR(INDEX(DAFTAR_FIXTURE!$B$2:$B$51,MATCH(T40,DAFTAR_FIXTURE!$A$2:$A$51,0)),""))</f>
        <v/>
      </c>
      <c r="AA40" s="12">
        <f>IF(T40="","",IF(Z40="","CEK ID FIXTURE tidak ada di DAFTAR_FIXTURE",IF(U40="","CEK ZONA NO kosong",IF(ISNA(MATCH(Z40&amp;"|"&amp;U40,LAYOUT!$E$2:$E$80,0)),"CEK ZONA NO di luar layout",IF(V40&lt;&gt;INDEX(LAYOUT!$D$2:$D$80,MATCH(Z40&amp;"|"&amp;U40,LAYOUT!$E$2:$E$80,0)),"CEK JENIS ZONA",IF($D40="","Zona STOCK",IF($E40="","CEK SKU DESCRIPTION kosong",IF(AND(W40&lt;&gt;"",X40=""),"CEK URUTAN SAMBUNG kosong",IF(AND(W40&lt;&gt;"",LEFT(Z40,6)="Endcap"),"CEK Endcap tidak ikut sambung","OK")))))))))</f>
        <v/>
      </c>
      <c r="AB40" s="11" t="n"/>
      <c r="AC40" s="11" t="n"/>
      <c r="AD40" s="11" t="n"/>
      <c r="AE40" s="11" t="n"/>
      <c r="AF40" s="11" t="n"/>
      <c r="AG40" s="11" t="n"/>
      <c r="AH40" s="12">
        <f>IF(AB40="","",IFERROR(INDEX(DAFTAR_FIXTURE!$B$2:$B$51,MATCH(AB40,DAFTAR_FIXTURE!$A$2:$A$51,0)),""))</f>
        <v/>
      </c>
      <c r="AI40" s="12">
        <f>IF(AB40="","",IF(AH40="","CEK ID FIXTURE tidak ada di DAFTAR_FIXTURE",IF(AC40="","CEK ZONA NO kosong",IF(ISNA(MATCH(AH40&amp;"|"&amp;AC40,LAYOUT!$E$2:$E$80,0)),"CEK ZONA NO di luar layout",IF(AD40&lt;&gt;INDEX(LAYOUT!$D$2:$D$80,MATCH(AH40&amp;"|"&amp;AC40,LAYOUT!$E$2:$E$80,0)),"CEK JENIS ZONA",IF($D40="","Zona STOCK",IF($E40="","CEK SKU DESCRIPTION kosong",IF(AND(AE40&lt;&gt;"",AF40=""),"CEK URUTAN SAMBUNG kosong",IF(AND(AE40&lt;&gt;"",LEFT(AH40,6)="Endcap"),"CEK Endcap tidak ikut sambung","OK")))))))))</f>
        <v/>
      </c>
    </row>
    <row r="41">
      <c r="A41" s="10" t="n"/>
      <c r="B41" s="10" t="n"/>
      <c r="C41" s="10" t="n"/>
      <c r="D41" s="10" t="n"/>
      <c r="E41" s="10" t="n"/>
      <c r="F41" s="10" t="n"/>
      <c r="G41" s="10" t="n"/>
      <c r="H41" s="10" t="n"/>
      <c r="I41" s="10" t="n"/>
      <c r="J41" s="10" t="n"/>
      <c r="K41" s="10" t="n"/>
      <c r="L41" s="11" t="n"/>
      <c r="M41" s="11" t="n"/>
      <c r="N41" s="11" t="n"/>
      <c r="O41" s="11" t="n"/>
      <c r="P41" s="11" t="n"/>
      <c r="Q41" s="11" t="n"/>
      <c r="R41" s="12">
        <f>IF(L41="","",IFERROR(INDEX(DAFTAR_FIXTURE!$B$2:$B$51,MATCH(L41,DAFTAR_FIXTURE!$A$2:$A$51,0)),""))</f>
        <v/>
      </c>
      <c r="S41" s="12">
        <f>IF(AND($D41="",L41=""),"",IF(L41="",IF(AND(T41="",AB41=""),"Belum ditempatkan",""),IF(R41="","CEK ID FIXTURE tidak ada di DAFTAR_FIXTURE",IF(M41="","CEK ZONA NO kosong",IF(ISNA(MATCH(R41&amp;"|"&amp;M41,LAYOUT!$E$2:$E$80,0)),"CEK ZONA NO di luar layout",IF(N41&lt;&gt;INDEX(LAYOUT!$D$2:$D$80,MATCH(R41&amp;"|"&amp;M41,LAYOUT!$E$2:$E$80,0)),"CEK JENIS ZONA",IF($D41="","Zona STOCK",IF($E41="","CEK SKU DESCRIPTION kosong",IF(AND(O41&lt;&gt;"",P41=""),"CEK URUTAN SAMBUNG kosong",IF(AND(O41&lt;&gt;"",LEFT(R41,6)="Endcap"),"CEK Endcap tidak ikut sambung","OK"))))))))))</f>
        <v/>
      </c>
      <c r="T41" s="11" t="n"/>
      <c r="U41" s="11" t="n"/>
      <c r="V41" s="11" t="n"/>
      <c r="W41" s="11" t="n"/>
      <c r="X41" s="11" t="n"/>
      <c r="Y41" s="11" t="n"/>
      <c r="Z41" s="12">
        <f>IF(T41="","",IFERROR(INDEX(DAFTAR_FIXTURE!$B$2:$B$51,MATCH(T41,DAFTAR_FIXTURE!$A$2:$A$51,0)),""))</f>
        <v/>
      </c>
      <c r="AA41" s="12">
        <f>IF(T41="","",IF(Z41="","CEK ID FIXTURE tidak ada di DAFTAR_FIXTURE",IF(U41="","CEK ZONA NO kosong",IF(ISNA(MATCH(Z41&amp;"|"&amp;U41,LAYOUT!$E$2:$E$80,0)),"CEK ZONA NO di luar layout",IF(V41&lt;&gt;INDEX(LAYOUT!$D$2:$D$80,MATCH(Z41&amp;"|"&amp;U41,LAYOUT!$E$2:$E$80,0)),"CEK JENIS ZONA",IF($D41="","Zona STOCK",IF($E41="","CEK SKU DESCRIPTION kosong",IF(AND(W41&lt;&gt;"",X41=""),"CEK URUTAN SAMBUNG kosong",IF(AND(W41&lt;&gt;"",LEFT(Z41,6)="Endcap"),"CEK Endcap tidak ikut sambung","OK")))))))))</f>
        <v/>
      </c>
      <c r="AB41" s="11" t="n"/>
      <c r="AC41" s="11" t="n"/>
      <c r="AD41" s="11" t="n"/>
      <c r="AE41" s="11" t="n"/>
      <c r="AF41" s="11" t="n"/>
      <c r="AG41" s="11" t="n"/>
      <c r="AH41" s="12">
        <f>IF(AB41="","",IFERROR(INDEX(DAFTAR_FIXTURE!$B$2:$B$51,MATCH(AB41,DAFTAR_FIXTURE!$A$2:$A$51,0)),""))</f>
        <v/>
      </c>
      <c r="AI41" s="12">
        <f>IF(AB41="","",IF(AH41="","CEK ID FIXTURE tidak ada di DAFTAR_FIXTURE",IF(AC41="","CEK ZONA NO kosong",IF(ISNA(MATCH(AH41&amp;"|"&amp;AC41,LAYOUT!$E$2:$E$80,0)),"CEK ZONA NO di luar layout",IF(AD41&lt;&gt;INDEX(LAYOUT!$D$2:$D$80,MATCH(AH41&amp;"|"&amp;AC41,LAYOUT!$E$2:$E$80,0)),"CEK JENIS ZONA",IF($D41="","Zona STOCK",IF($E41="","CEK SKU DESCRIPTION kosong",IF(AND(AE41&lt;&gt;"",AF41=""),"CEK URUTAN SAMBUNG kosong",IF(AND(AE41&lt;&gt;"",LEFT(AH41,6)="Endcap"),"CEK Endcap tidak ikut sambung","OK")))))))))</f>
        <v/>
      </c>
    </row>
    <row r="42">
      <c r="A42" s="10" t="n"/>
      <c r="B42" s="10" t="n"/>
      <c r="C42" s="10" t="n"/>
      <c r="D42" s="10" t="n"/>
      <c r="E42" s="10" t="n"/>
      <c r="F42" s="10" t="n"/>
      <c r="G42" s="10" t="n"/>
      <c r="H42" s="10" t="n"/>
      <c r="I42" s="10" t="n"/>
      <c r="J42" s="10" t="n"/>
      <c r="K42" s="10" t="n"/>
      <c r="L42" s="11" t="n"/>
      <c r="M42" s="11" t="n"/>
      <c r="N42" s="11" t="n"/>
      <c r="O42" s="11" t="n"/>
      <c r="P42" s="11" t="n"/>
      <c r="Q42" s="11" t="n"/>
      <c r="R42" s="12">
        <f>IF(L42="","",IFERROR(INDEX(DAFTAR_FIXTURE!$B$2:$B$51,MATCH(L42,DAFTAR_FIXTURE!$A$2:$A$51,0)),""))</f>
        <v/>
      </c>
      <c r="S42" s="12">
        <f>IF(AND($D42="",L42=""),"",IF(L42="",IF(AND(T42="",AB42=""),"Belum ditempatkan",""),IF(R42="","CEK ID FIXTURE tidak ada di DAFTAR_FIXTURE",IF(M42="","CEK ZONA NO kosong",IF(ISNA(MATCH(R42&amp;"|"&amp;M42,LAYOUT!$E$2:$E$80,0)),"CEK ZONA NO di luar layout",IF(N42&lt;&gt;INDEX(LAYOUT!$D$2:$D$80,MATCH(R42&amp;"|"&amp;M42,LAYOUT!$E$2:$E$80,0)),"CEK JENIS ZONA",IF($D42="","Zona STOCK",IF($E42="","CEK SKU DESCRIPTION kosong",IF(AND(O42&lt;&gt;"",P42=""),"CEK URUTAN SAMBUNG kosong",IF(AND(O42&lt;&gt;"",LEFT(R42,6)="Endcap"),"CEK Endcap tidak ikut sambung","OK"))))))))))</f>
        <v/>
      </c>
      <c r="T42" s="11" t="n"/>
      <c r="U42" s="11" t="n"/>
      <c r="V42" s="11" t="n"/>
      <c r="W42" s="11" t="n"/>
      <c r="X42" s="11" t="n"/>
      <c r="Y42" s="11" t="n"/>
      <c r="Z42" s="12">
        <f>IF(T42="","",IFERROR(INDEX(DAFTAR_FIXTURE!$B$2:$B$51,MATCH(T42,DAFTAR_FIXTURE!$A$2:$A$51,0)),""))</f>
        <v/>
      </c>
      <c r="AA42" s="12">
        <f>IF(T42="","",IF(Z42="","CEK ID FIXTURE tidak ada di DAFTAR_FIXTURE",IF(U42="","CEK ZONA NO kosong",IF(ISNA(MATCH(Z42&amp;"|"&amp;U42,LAYOUT!$E$2:$E$80,0)),"CEK ZONA NO di luar layout",IF(V42&lt;&gt;INDEX(LAYOUT!$D$2:$D$80,MATCH(Z42&amp;"|"&amp;U42,LAYOUT!$E$2:$E$80,0)),"CEK JENIS ZONA",IF($D42="","Zona STOCK",IF($E42="","CEK SKU DESCRIPTION kosong",IF(AND(W42&lt;&gt;"",X42=""),"CEK URUTAN SAMBUNG kosong",IF(AND(W42&lt;&gt;"",LEFT(Z42,6)="Endcap"),"CEK Endcap tidak ikut sambung","OK")))))))))</f>
        <v/>
      </c>
      <c r="AB42" s="11" t="n"/>
      <c r="AC42" s="11" t="n"/>
      <c r="AD42" s="11" t="n"/>
      <c r="AE42" s="11" t="n"/>
      <c r="AF42" s="11" t="n"/>
      <c r="AG42" s="11" t="n"/>
      <c r="AH42" s="12">
        <f>IF(AB42="","",IFERROR(INDEX(DAFTAR_FIXTURE!$B$2:$B$51,MATCH(AB42,DAFTAR_FIXTURE!$A$2:$A$51,0)),""))</f>
        <v/>
      </c>
      <c r="AI42" s="12">
        <f>IF(AB42="","",IF(AH42="","CEK ID FIXTURE tidak ada di DAFTAR_FIXTURE",IF(AC42="","CEK ZONA NO kosong",IF(ISNA(MATCH(AH42&amp;"|"&amp;AC42,LAYOUT!$E$2:$E$80,0)),"CEK ZONA NO di luar layout",IF(AD42&lt;&gt;INDEX(LAYOUT!$D$2:$D$80,MATCH(AH42&amp;"|"&amp;AC42,LAYOUT!$E$2:$E$80,0)),"CEK JENIS ZONA",IF($D42="","Zona STOCK",IF($E42="","CEK SKU DESCRIPTION kosong",IF(AND(AE42&lt;&gt;"",AF42=""),"CEK URUTAN SAMBUNG kosong",IF(AND(AE42&lt;&gt;"",LEFT(AH42,6)="Endcap"),"CEK Endcap tidak ikut sambung","OK")))))))))</f>
        <v/>
      </c>
    </row>
    <row r="43">
      <c r="A43" s="10" t="n"/>
      <c r="B43" s="10" t="n"/>
      <c r="C43" s="10" t="n"/>
      <c r="D43" s="10" t="n"/>
      <c r="E43" s="10" t="n"/>
      <c r="F43" s="10" t="n"/>
      <c r="G43" s="10" t="n"/>
      <c r="H43" s="10" t="n"/>
      <c r="I43" s="10" t="n"/>
      <c r="J43" s="10" t="n"/>
      <c r="K43" s="10" t="n"/>
      <c r="L43" s="11" t="n"/>
      <c r="M43" s="11" t="n"/>
      <c r="N43" s="11" t="n"/>
      <c r="O43" s="11" t="n"/>
      <c r="P43" s="11" t="n"/>
      <c r="Q43" s="11" t="n"/>
      <c r="R43" s="12">
        <f>IF(L43="","",IFERROR(INDEX(DAFTAR_FIXTURE!$B$2:$B$51,MATCH(L43,DAFTAR_FIXTURE!$A$2:$A$51,0)),""))</f>
        <v/>
      </c>
      <c r="S43" s="12">
        <f>IF(AND($D43="",L43=""),"",IF(L43="",IF(AND(T43="",AB43=""),"Belum ditempatkan",""),IF(R43="","CEK ID FIXTURE tidak ada di DAFTAR_FIXTURE",IF(M43="","CEK ZONA NO kosong",IF(ISNA(MATCH(R43&amp;"|"&amp;M43,LAYOUT!$E$2:$E$80,0)),"CEK ZONA NO di luar layout",IF(N43&lt;&gt;INDEX(LAYOUT!$D$2:$D$80,MATCH(R43&amp;"|"&amp;M43,LAYOUT!$E$2:$E$80,0)),"CEK JENIS ZONA",IF($D43="","Zona STOCK",IF($E43="","CEK SKU DESCRIPTION kosong",IF(AND(O43&lt;&gt;"",P43=""),"CEK URUTAN SAMBUNG kosong",IF(AND(O43&lt;&gt;"",LEFT(R43,6)="Endcap"),"CEK Endcap tidak ikut sambung","OK"))))))))))</f>
        <v/>
      </c>
      <c r="T43" s="11" t="n"/>
      <c r="U43" s="11" t="n"/>
      <c r="V43" s="11" t="n"/>
      <c r="W43" s="11" t="n"/>
      <c r="X43" s="11" t="n"/>
      <c r="Y43" s="11" t="n"/>
      <c r="Z43" s="12">
        <f>IF(T43="","",IFERROR(INDEX(DAFTAR_FIXTURE!$B$2:$B$51,MATCH(T43,DAFTAR_FIXTURE!$A$2:$A$51,0)),""))</f>
        <v/>
      </c>
      <c r="AA43" s="12">
        <f>IF(T43="","",IF(Z43="","CEK ID FIXTURE tidak ada di DAFTAR_FIXTURE",IF(U43="","CEK ZONA NO kosong",IF(ISNA(MATCH(Z43&amp;"|"&amp;U43,LAYOUT!$E$2:$E$80,0)),"CEK ZONA NO di luar layout",IF(V43&lt;&gt;INDEX(LAYOUT!$D$2:$D$80,MATCH(Z43&amp;"|"&amp;U43,LAYOUT!$E$2:$E$80,0)),"CEK JENIS ZONA",IF($D43="","Zona STOCK",IF($E43="","CEK SKU DESCRIPTION kosong",IF(AND(W43&lt;&gt;"",X43=""),"CEK URUTAN SAMBUNG kosong",IF(AND(W43&lt;&gt;"",LEFT(Z43,6)="Endcap"),"CEK Endcap tidak ikut sambung","OK")))))))))</f>
        <v/>
      </c>
      <c r="AB43" s="11" t="n"/>
      <c r="AC43" s="11" t="n"/>
      <c r="AD43" s="11" t="n"/>
      <c r="AE43" s="11" t="n"/>
      <c r="AF43" s="11" t="n"/>
      <c r="AG43" s="11" t="n"/>
      <c r="AH43" s="12">
        <f>IF(AB43="","",IFERROR(INDEX(DAFTAR_FIXTURE!$B$2:$B$51,MATCH(AB43,DAFTAR_FIXTURE!$A$2:$A$51,0)),""))</f>
        <v/>
      </c>
      <c r="AI43" s="12">
        <f>IF(AB43="","",IF(AH43="","CEK ID FIXTURE tidak ada di DAFTAR_FIXTURE",IF(AC43="","CEK ZONA NO kosong",IF(ISNA(MATCH(AH43&amp;"|"&amp;AC43,LAYOUT!$E$2:$E$80,0)),"CEK ZONA NO di luar layout",IF(AD43&lt;&gt;INDEX(LAYOUT!$D$2:$D$80,MATCH(AH43&amp;"|"&amp;AC43,LAYOUT!$E$2:$E$80,0)),"CEK JENIS ZONA",IF($D43="","Zona STOCK",IF($E43="","CEK SKU DESCRIPTION kosong",IF(AND(AE43&lt;&gt;"",AF43=""),"CEK URUTAN SAMBUNG kosong",IF(AND(AE43&lt;&gt;"",LEFT(AH43,6)="Endcap"),"CEK Endcap tidak ikut sambung","OK")))))))))</f>
        <v/>
      </c>
    </row>
    <row r="44">
      <c r="A44" s="10" t="n"/>
      <c r="B44" s="10" t="n"/>
      <c r="C44" s="10" t="n"/>
      <c r="D44" s="10" t="n"/>
      <c r="E44" s="10" t="n"/>
      <c r="F44" s="10" t="n"/>
      <c r="G44" s="10" t="n"/>
      <c r="H44" s="10" t="n"/>
      <c r="I44" s="10" t="n"/>
      <c r="J44" s="10" t="n"/>
      <c r="K44" s="10" t="n"/>
      <c r="L44" s="11" t="n"/>
      <c r="M44" s="11" t="n"/>
      <c r="N44" s="11" t="n"/>
      <c r="O44" s="11" t="n"/>
      <c r="P44" s="11" t="n"/>
      <c r="Q44" s="11" t="n"/>
      <c r="R44" s="12">
        <f>IF(L44="","",IFERROR(INDEX(DAFTAR_FIXTURE!$B$2:$B$51,MATCH(L44,DAFTAR_FIXTURE!$A$2:$A$51,0)),""))</f>
        <v/>
      </c>
      <c r="S44" s="12">
        <f>IF(AND($D44="",L44=""),"",IF(L44="",IF(AND(T44="",AB44=""),"Belum ditempatkan",""),IF(R44="","CEK ID FIXTURE tidak ada di DAFTAR_FIXTURE",IF(M44="","CEK ZONA NO kosong",IF(ISNA(MATCH(R44&amp;"|"&amp;M44,LAYOUT!$E$2:$E$80,0)),"CEK ZONA NO di luar layout",IF(N44&lt;&gt;INDEX(LAYOUT!$D$2:$D$80,MATCH(R44&amp;"|"&amp;M44,LAYOUT!$E$2:$E$80,0)),"CEK JENIS ZONA",IF($D44="","Zona STOCK",IF($E44="","CEK SKU DESCRIPTION kosong",IF(AND(O44&lt;&gt;"",P44=""),"CEK URUTAN SAMBUNG kosong",IF(AND(O44&lt;&gt;"",LEFT(R44,6)="Endcap"),"CEK Endcap tidak ikut sambung","OK"))))))))))</f>
        <v/>
      </c>
      <c r="T44" s="11" t="n"/>
      <c r="U44" s="11" t="n"/>
      <c r="V44" s="11" t="n"/>
      <c r="W44" s="11" t="n"/>
      <c r="X44" s="11" t="n"/>
      <c r="Y44" s="11" t="n"/>
      <c r="Z44" s="12">
        <f>IF(T44="","",IFERROR(INDEX(DAFTAR_FIXTURE!$B$2:$B$51,MATCH(T44,DAFTAR_FIXTURE!$A$2:$A$51,0)),""))</f>
        <v/>
      </c>
      <c r="AA44" s="12">
        <f>IF(T44="","",IF(Z44="","CEK ID FIXTURE tidak ada di DAFTAR_FIXTURE",IF(U44="","CEK ZONA NO kosong",IF(ISNA(MATCH(Z44&amp;"|"&amp;U44,LAYOUT!$E$2:$E$80,0)),"CEK ZONA NO di luar layout",IF(V44&lt;&gt;INDEX(LAYOUT!$D$2:$D$80,MATCH(Z44&amp;"|"&amp;U44,LAYOUT!$E$2:$E$80,0)),"CEK JENIS ZONA",IF($D44="","Zona STOCK",IF($E44="","CEK SKU DESCRIPTION kosong",IF(AND(W44&lt;&gt;"",X44=""),"CEK URUTAN SAMBUNG kosong",IF(AND(W44&lt;&gt;"",LEFT(Z44,6)="Endcap"),"CEK Endcap tidak ikut sambung","OK")))))))))</f>
        <v/>
      </c>
      <c r="AB44" s="11" t="n"/>
      <c r="AC44" s="11" t="n"/>
      <c r="AD44" s="11" t="n"/>
      <c r="AE44" s="11" t="n"/>
      <c r="AF44" s="11" t="n"/>
      <c r="AG44" s="11" t="n"/>
      <c r="AH44" s="12">
        <f>IF(AB44="","",IFERROR(INDEX(DAFTAR_FIXTURE!$B$2:$B$51,MATCH(AB44,DAFTAR_FIXTURE!$A$2:$A$51,0)),""))</f>
        <v/>
      </c>
      <c r="AI44" s="12">
        <f>IF(AB44="","",IF(AH44="","CEK ID FIXTURE tidak ada di DAFTAR_FIXTURE",IF(AC44="","CEK ZONA NO kosong",IF(ISNA(MATCH(AH44&amp;"|"&amp;AC44,LAYOUT!$E$2:$E$80,0)),"CEK ZONA NO di luar layout",IF(AD44&lt;&gt;INDEX(LAYOUT!$D$2:$D$80,MATCH(AH44&amp;"|"&amp;AC44,LAYOUT!$E$2:$E$80,0)),"CEK JENIS ZONA",IF($D44="","Zona STOCK",IF($E44="","CEK SKU DESCRIPTION kosong",IF(AND(AE44&lt;&gt;"",AF44=""),"CEK URUTAN SAMBUNG kosong",IF(AND(AE44&lt;&gt;"",LEFT(AH44,6)="Endcap"),"CEK Endcap tidak ikut sambung","OK")))))))))</f>
        <v/>
      </c>
    </row>
    <row r="45">
      <c r="A45" s="10" t="n"/>
      <c r="B45" s="10" t="n"/>
      <c r="C45" s="10" t="n"/>
      <c r="D45" s="10" t="n"/>
      <c r="E45" s="10" t="n"/>
      <c r="F45" s="10" t="n"/>
      <c r="G45" s="10" t="n"/>
      <c r="H45" s="10" t="n"/>
      <c r="I45" s="10" t="n"/>
      <c r="J45" s="10" t="n"/>
      <c r="K45" s="10" t="n"/>
      <c r="L45" s="11" t="n"/>
      <c r="M45" s="11" t="n"/>
      <c r="N45" s="11" t="n"/>
      <c r="O45" s="11" t="n"/>
      <c r="P45" s="11" t="n"/>
      <c r="Q45" s="11" t="n"/>
      <c r="R45" s="12">
        <f>IF(L45="","",IFERROR(INDEX(DAFTAR_FIXTURE!$B$2:$B$51,MATCH(L45,DAFTAR_FIXTURE!$A$2:$A$51,0)),""))</f>
        <v/>
      </c>
      <c r="S45" s="12">
        <f>IF(AND($D45="",L45=""),"",IF(L45="",IF(AND(T45="",AB45=""),"Belum ditempatkan",""),IF(R45="","CEK ID FIXTURE tidak ada di DAFTAR_FIXTURE",IF(M45="","CEK ZONA NO kosong",IF(ISNA(MATCH(R45&amp;"|"&amp;M45,LAYOUT!$E$2:$E$80,0)),"CEK ZONA NO di luar layout",IF(N45&lt;&gt;INDEX(LAYOUT!$D$2:$D$80,MATCH(R45&amp;"|"&amp;M45,LAYOUT!$E$2:$E$80,0)),"CEK JENIS ZONA",IF($D45="","Zona STOCK",IF($E45="","CEK SKU DESCRIPTION kosong",IF(AND(O45&lt;&gt;"",P45=""),"CEK URUTAN SAMBUNG kosong",IF(AND(O45&lt;&gt;"",LEFT(R45,6)="Endcap"),"CEK Endcap tidak ikut sambung","OK"))))))))))</f>
        <v/>
      </c>
      <c r="T45" s="11" t="n"/>
      <c r="U45" s="11" t="n"/>
      <c r="V45" s="11" t="n"/>
      <c r="W45" s="11" t="n"/>
      <c r="X45" s="11" t="n"/>
      <c r="Y45" s="11" t="n"/>
      <c r="Z45" s="12">
        <f>IF(T45="","",IFERROR(INDEX(DAFTAR_FIXTURE!$B$2:$B$51,MATCH(T45,DAFTAR_FIXTURE!$A$2:$A$51,0)),""))</f>
        <v/>
      </c>
      <c r="AA45" s="12">
        <f>IF(T45="","",IF(Z45="","CEK ID FIXTURE tidak ada di DAFTAR_FIXTURE",IF(U45="","CEK ZONA NO kosong",IF(ISNA(MATCH(Z45&amp;"|"&amp;U45,LAYOUT!$E$2:$E$80,0)),"CEK ZONA NO di luar layout",IF(V45&lt;&gt;INDEX(LAYOUT!$D$2:$D$80,MATCH(Z45&amp;"|"&amp;U45,LAYOUT!$E$2:$E$80,0)),"CEK JENIS ZONA",IF($D45="","Zona STOCK",IF($E45="","CEK SKU DESCRIPTION kosong",IF(AND(W45&lt;&gt;"",X45=""),"CEK URUTAN SAMBUNG kosong",IF(AND(W45&lt;&gt;"",LEFT(Z45,6)="Endcap"),"CEK Endcap tidak ikut sambung","OK")))))))))</f>
        <v/>
      </c>
      <c r="AB45" s="11" t="n"/>
      <c r="AC45" s="11" t="n"/>
      <c r="AD45" s="11" t="n"/>
      <c r="AE45" s="11" t="n"/>
      <c r="AF45" s="11" t="n"/>
      <c r="AG45" s="11" t="n"/>
      <c r="AH45" s="12">
        <f>IF(AB45="","",IFERROR(INDEX(DAFTAR_FIXTURE!$B$2:$B$51,MATCH(AB45,DAFTAR_FIXTURE!$A$2:$A$51,0)),""))</f>
        <v/>
      </c>
      <c r="AI45" s="12">
        <f>IF(AB45="","",IF(AH45="","CEK ID FIXTURE tidak ada di DAFTAR_FIXTURE",IF(AC45="","CEK ZONA NO kosong",IF(ISNA(MATCH(AH45&amp;"|"&amp;AC45,LAYOUT!$E$2:$E$80,0)),"CEK ZONA NO di luar layout",IF(AD45&lt;&gt;INDEX(LAYOUT!$D$2:$D$80,MATCH(AH45&amp;"|"&amp;AC45,LAYOUT!$E$2:$E$80,0)),"CEK JENIS ZONA",IF($D45="","Zona STOCK",IF($E45="","CEK SKU DESCRIPTION kosong",IF(AND(AE45&lt;&gt;"",AF45=""),"CEK URUTAN SAMBUNG kosong",IF(AND(AE45&lt;&gt;"",LEFT(AH45,6)="Endcap"),"CEK Endcap tidak ikut sambung","OK")))))))))</f>
        <v/>
      </c>
    </row>
    <row r="46">
      <c r="A46" s="10" t="n"/>
      <c r="B46" s="10" t="n"/>
      <c r="C46" s="10" t="n"/>
      <c r="D46" s="10" t="n"/>
      <c r="E46" s="10" t="n"/>
      <c r="F46" s="10" t="n"/>
      <c r="G46" s="10" t="n"/>
      <c r="H46" s="10" t="n"/>
      <c r="I46" s="10" t="n"/>
      <c r="J46" s="10" t="n"/>
      <c r="K46" s="10" t="n"/>
      <c r="L46" s="11" t="n"/>
      <c r="M46" s="11" t="n"/>
      <c r="N46" s="11" t="n"/>
      <c r="O46" s="11" t="n"/>
      <c r="P46" s="11" t="n"/>
      <c r="Q46" s="11" t="n"/>
      <c r="R46" s="12">
        <f>IF(L46="","",IFERROR(INDEX(DAFTAR_FIXTURE!$B$2:$B$51,MATCH(L46,DAFTAR_FIXTURE!$A$2:$A$51,0)),""))</f>
        <v/>
      </c>
      <c r="S46" s="12">
        <f>IF(AND($D46="",L46=""),"",IF(L46="",IF(AND(T46="",AB46=""),"Belum ditempatkan",""),IF(R46="","CEK ID FIXTURE tidak ada di DAFTAR_FIXTURE",IF(M46="","CEK ZONA NO kosong",IF(ISNA(MATCH(R46&amp;"|"&amp;M46,LAYOUT!$E$2:$E$80,0)),"CEK ZONA NO di luar layout",IF(N46&lt;&gt;INDEX(LAYOUT!$D$2:$D$80,MATCH(R46&amp;"|"&amp;M46,LAYOUT!$E$2:$E$80,0)),"CEK JENIS ZONA",IF($D46="","Zona STOCK",IF($E46="","CEK SKU DESCRIPTION kosong",IF(AND(O46&lt;&gt;"",P46=""),"CEK URUTAN SAMBUNG kosong",IF(AND(O46&lt;&gt;"",LEFT(R46,6)="Endcap"),"CEK Endcap tidak ikut sambung","OK"))))))))))</f>
        <v/>
      </c>
      <c r="T46" s="11" t="n"/>
      <c r="U46" s="11" t="n"/>
      <c r="V46" s="11" t="n"/>
      <c r="W46" s="11" t="n"/>
      <c r="X46" s="11" t="n"/>
      <c r="Y46" s="11" t="n"/>
      <c r="Z46" s="12">
        <f>IF(T46="","",IFERROR(INDEX(DAFTAR_FIXTURE!$B$2:$B$51,MATCH(T46,DAFTAR_FIXTURE!$A$2:$A$51,0)),""))</f>
        <v/>
      </c>
      <c r="AA46" s="12">
        <f>IF(T46="","",IF(Z46="","CEK ID FIXTURE tidak ada di DAFTAR_FIXTURE",IF(U46="","CEK ZONA NO kosong",IF(ISNA(MATCH(Z46&amp;"|"&amp;U46,LAYOUT!$E$2:$E$80,0)),"CEK ZONA NO di luar layout",IF(V46&lt;&gt;INDEX(LAYOUT!$D$2:$D$80,MATCH(Z46&amp;"|"&amp;U46,LAYOUT!$E$2:$E$80,0)),"CEK JENIS ZONA",IF($D46="","Zona STOCK",IF($E46="","CEK SKU DESCRIPTION kosong",IF(AND(W46&lt;&gt;"",X46=""),"CEK URUTAN SAMBUNG kosong",IF(AND(W46&lt;&gt;"",LEFT(Z46,6)="Endcap"),"CEK Endcap tidak ikut sambung","OK")))))))))</f>
        <v/>
      </c>
      <c r="AB46" s="11" t="n"/>
      <c r="AC46" s="11" t="n"/>
      <c r="AD46" s="11" t="n"/>
      <c r="AE46" s="11" t="n"/>
      <c r="AF46" s="11" t="n"/>
      <c r="AG46" s="11" t="n"/>
      <c r="AH46" s="12">
        <f>IF(AB46="","",IFERROR(INDEX(DAFTAR_FIXTURE!$B$2:$B$51,MATCH(AB46,DAFTAR_FIXTURE!$A$2:$A$51,0)),""))</f>
        <v/>
      </c>
      <c r="AI46" s="12">
        <f>IF(AB46="","",IF(AH46="","CEK ID FIXTURE tidak ada di DAFTAR_FIXTURE",IF(AC46="","CEK ZONA NO kosong",IF(ISNA(MATCH(AH46&amp;"|"&amp;AC46,LAYOUT!$E$2:$E$80,0)),"CEK ZONA NO di luar layout",IF(AD46&lt;&gt;INDEX(LAYOUT!$D$2:$D$80,MATCH(AH46&amp;"|"&amp;AC46,LAYOUT!$E$2:$E$80,0)),"CEK JENIS ZONA",IF($D46="","Zona STOCK",IF($E46="","CEK SKU DESCRIPTION kosong",IF(AND(AE46&lt;&gt;"",AF46=""),"CEK URUTAN SAMBUNG kosong",IF(AND(AE46&lt;&gt;"",LEFT(AH46,6)="Endcap"),"CEK Endcap tidak ikut sambung","OK")))))))))</f>
        <v/>
      </c>
    </row>
    <row r="47">
      <c r="A47" s="10" t="n"/>
      <c r="B47" s="10" t="n"/>
      <c r="C47" s="10" t="n"/>
      <c r="D47" s="10" t="n"/>
      <c r="E47" s="10" t="n"/>
      <c r="F47" s="10" t="n"/>
      <c r="G47" s="10" t="n"/>
      <c r="H47" s="10" t="n"/>
      <c r="I47" s="10" t="n"/>
      <c r="J47" s="10" t="n"/>
      <c r="K47" s="10" t="n"/>
      <c r="L47" s="11" t="n"/>
      <c r="M47" s="11" t="n"/>
      <c r="N47" s="11" t="n"/>
      <c r="O47" s="11" t="n"/>
      <c r="P47" s="11" t="n"/>
      <c r="Q47" s="11" t="n"/>
      <c r="R47" s="12">
        <f>IF(L47="","",IFERROR(INDEX(DAFTAR_FIXTURE!$B$2:$B$51,MATCH(L47,DAFTAR_FIXTURE!$A$2:$A$51,0)),""))</f>
        <v/>
      </c>
      <c r="S47" s="12">
        <f>IF(AND($D47="",L47=""),"",IF(L47="",IF(AND(T47="",AB47=""),"Belum ditempatkan",""),IF(R47="","CEK ID FIXTURE tidak ada di DAFTAR_FIXTURE",IF(M47="","CEK ZONA NO kosong",IF(ISNA(MATCH(R47&amp;"|"&amp;M47,LAYOUT!$E$2:$E$80,0)),"CEK ZONA NO di luar layout",IF(N47&lt;&gt;INDEX(LAYOUT!$D$2:$D$80,MATCH(R47&amp;"|"&amp;M47,LAYOUT!$E$2:$E$80,0)),"CEK JENIS ZONA",IF($D47="","Zona STOCK",IF($E47="","CEK SKU DESCRIPTION kosong",IF(AND(O47&lt;&gt;"",P47=""),"CEK URUTAN SAMBUNG kosong",IF(AND(O47&lt;&gt;"",LEFT(R47,6)="Endcap"),"CEK Endcap tidak ikut sambung","OK"))))))))))</f>
        <v/>
      </c>
      <c r="T47" s="11" t="n"/>
      <c r="U47" s="11" t="n"/>
      <c r="V47" s="11" t="n"/>
      <c r="W47" s="11" t="n"/>
      <c r="X47" s="11" t="n"/>
      <c r="Y47" s="11" t="n"/>
      <c r="Z47" s="12">
        <f>IF(T47="","",IFERROR(INDEX(DAFTAR_FIXTURE!$B$2:$B$51,MATCH(T47,DAFTAR_FIXTURE!$A$2:$A$51,0)),""))</f>
        <v/>
      </c>
      <c r="AA47" s="12">
        <f>IF(T47="","",IF(Z47="","CEK ID FIXTURE tidak ada di DAFTAR_FIXTURE",IF(U47="","CEK ZONA NO kosong",IF(ISNA(MATCH(Z47&amp;"|"&amp;U47,LAYOUT!$E$2:$E$80,0)),"CEK ZONA NO di luar layout",IF(V47&lt;&gt;INDEX(LAYOUT!$D$2:$D$80,MATCH(Z47&amp;"|"&amp;U47,LAYOUT!$E$2:$E$80,0)),"CEK JENIS ZONA",IF($D47="","Zona STOCK",IF($E47="","CEK SKU DESCRIPTION kosong",IF(AND(W47&lt;&gt;"",X47=""),"CEK URUTAN SAMBUNG kosong",IF(AND(W47&lt;&gt;"",LEFT(Z47,6)="Endcap"),"CEK Endcap tidak ikut sambung","OK")))))))))</f>
        <v/>
      </c>
      <c r="AB47" s="11" t="n"/>
      <c r="AC47" s="11" t="n"/>
      <c r="AD47" s="11" t="n"/>
      <c r="AE47" s="11" t="n"/>
      <c r="AF47" s="11" t="n"/>
      <c r="AG47" s="11" t="n"/>
      <c r="AH47" s="12">
        <f>IF(AB47="","",IFERROR(INDEX(DAFTAR_FIXTURE!$B$2:$B$51,MATCH(AB47,DAFTAR_FIXTURE!$A$2:$A$51,0)),""))</f>
        <v/>
      </c>
      <c r="AI47" s="12">
        <f>IF(AB47="","",IF(AH47="","CEK ID FIXTURE tidak ada di DAFTAR_FIXTURE",IF(AC47="","CEK ZONA NO kosong",IF(ISNA(MATCH(AH47&amp;"|"&amp;AC47,LAYOUT!$E$2:$E$80,0)),"CEK ZONA NO di luar layout",IF(AD47&lt;&gt;INDEX(LAYOUT!$D$2:$D$80,MATCH(AH47&amp;"|"&amp;AC47,LAYOUT!$E$2:$E$80,0)),"CEK JENIS ZONA",IF($D47="","Zona STOCK",IF($E47="","CEK SKU DESCRIPTION kosong",IF(AND(AE47&lt;&gt;"",AF47=""),"CEK URUTAN SAMBUNG kosong",IF(AND(AE47&lt;&gt;"",LEFT(AH47,6)="Endcap"),"CEK Endcap tidak ikut sambung","OK")))))))))</f>
        <v/>
      </c>
    </row>
    <row r="48">
      <c r="A48" s="10" t="n"/>
      <c r="B48" s="10" t="n"/>
      <c r="C48" s="10" t="n"/>
      <c r="D48" s="10" t="n"/>
      <c r="E48" s="10" t="n"/>
      <c r="F48" s="10" t="n"/>
      <c r="G48" s="10" t="n"/>
      <c r="H48" s="10" t="n"/>
      <c r="I48" s="10" t="n"/>
      <c r="J48" s="10" t="n"/>
      <c r="K48" s="10" t="n"/>
      <c r="L48" s="11" t="n"/>
      <c r="M48" s="11" t="n"/>
      <c r="N48" s="11" t="n"/>
      <c r="O48" s="11" t="n"/>
      <c r="P48" s="11" t="n"/>
      <c r="Q48" s="11" t="n"/>
      <c r="R48" s="12">
        <f>IF(L48="","",IFERROR(INDEX(DAFTAR_FIXTURE!$B$2:$B$51,MATCH(L48,DAFTAR_FIXTURE!$A$2:$A$51,0)),""))</f>
        <v/>
      </c>
      <c r="S48" s="12">
        <f>IF(AND($D48="",L48=""),"",IF(L48="",IF(AND(T48="",AB48=""),"Belum ditempatkan",""),IF(R48="","CEK ID FIXTURE tidak ada di DAFTAR_FIXTURE",IF(M48="","CEK ZONA NO kosong",IF(ISNA(MATCH(R48&amp;"|"&amp;M48,LAYOUT!$E$2:$E$80,0)),"CEK ZONA NO di luar layout",IF(N48&lt;&gt;INDEX(LAYOUT!$D$2:$D$80,MATCH(R48&amp;"|"&amp;M48,LAYOUT!$E$2:$E$80,0)),"CEK JENIS ZONA",IF($D48="","Zona STOCK",IF($E48="","CEK SKU DESCRIPTION kosong",IF(AND(O48&lt;&gt;"",P48=""),"CEK URUTAN SAMBUNG kosong",IF(AND(O48&lt;&gt;"",LEFT(R48,6)="Endcap"),"CEK Endcap tidak ikut sambung","OK"))))))))))</f>
        <v/>
      </c>
      <c r="T48" s="11" t="n"/>
      <c r="U48" s="11" t="n"/>
      <c r="V48" s="11" t="n"/>
      <c r="W48" s="11" t="n"/>
      <c r="X48" s="11" t="n"/>
      <c r="Y48" s="11" t="n"/>
      <c r="Z48" s="12">
        <f>IF(T48="","",IFERROR(INDEX(DAFTAR_FIXTURE!$B$2:$B$51,MATCH(T48,DAFTAR_FIXTURE!$A$2:$A$51,0)),""))</f>
        <v/>
      </c>
      <c r="AA48" s="12">
        <f>IF(T48="","",IF(Z48="","CEK ID FIXTURE tidak ada di DAFTAR_FIXTURE",IF(U48="","CEK ZONA NO kosong",IF(ISNA(MATCH(Z48&amp;"|"&amp;U48,LAYOUT!$E$2:$E$80,0)),"CEK ZONA NO di luar layout",IF(V48&lt;&gt;INDEX(LAYOUT!$D$2:$D$80,MATCH(Z48&amp;"|"&amp;U48,LAYOUT!$E$2:$E$80,0)),"CEK JENIS ZONA",IF($D48="","Zona STOCK",IF($E48="","CEK SKU DESCRIPTION kosong",IF(AND(W48&lt;&gt;"",X48=""),"CEK URUTAN SAMBUNG kosong",IF(AND(W48&lt;&gt;"",LEFT(Z48,6)="Endcap"),"CEK Endcap tidak ikut sambung","OK")))))))))</f>
        <v/>
      </c>
      <c r="AB48" s="11" t="n"/>
      <c r="AC48" s="11" t="n"/>
      <c r="AD48" s="11" t="n"/>
      <c r="AE48" s="11" t="n"/>
      <c r="AF48" s="11" t="n"/>
      <c r="AG48" s="11" t="n"/>
      <c r="AH48" s="12">
        <f>IF(AB48="","",IFERROR(INDEX(DAFTAR_FIXTURE!$B$2:$B$51,MATCH(AB48,DAFTAR_FIXTURE!$A$2:$A$51,0)),""))</f>
        <v/>
      </c>
      <c r="AI48" s="12">
        <f>IF(AB48="","",IF(AH48="","CEK ID FIXTURE tidak ada di DAFTAR_FIXTURE",IF(AC48="","CEK ZONA NO kosong",IF(ISNA(MATCH(AH48&amp;"|"&amp;AC48,LAYOUT!$E$2:$E$80,0)),"CEK ZONA NO di luar layout",IF(AD48&lt;&gt;INDEX(LAYOUT!$D$2:$D$80,MATCH(AH48&amp;"|"&amp;AC48,LAYOUT!$E$2:$E$80,0)),"CEK JENIS ZONA",IF($D48="","Zona STOCK",IF($E48="","CEK SKU DESCRIPTION kosong",IF(AND(AE48&lt;&gt;"",AF48=""),"CEK URUTAN SAMBUNG kosong",IF(AND(AE48&lt;&gt;"",LEFT(AH48,6)="Endcap"),"CEK Endcap tidak ikut sambung","OK")))))))))</f>
        <v/>
      </c>
    </row>
    <row r="49">
      <c r="A49" s="10" t="n"/>
      <c r="B49" s="10" t="n"/>
      <c r="C49" s="10" t="n"/>
      <c r="D49" s="10" t="n"/>
      <c r="E49" s="10" t="n"/>
      <c r="F49" s="10" t="n"/>
      <c r="G49" s="10" t="n"/>
      <c r="H49" s="10" t="n"/>
      <c r="I49" s="10" t="n"/>
      <c r="J49" s="10" t="n"/>
      <c r="K49" s="10" t="n"/>
      <c r="L49" s="11" t="n"/>
      <c r="M49" s="11" t="n"/>
      <c r="N49" s="11" t="n"/>
      <c r="O49" s="11" t="n"/>
      <c r="P49" s="11" t="n"/>
      <c r="Q49" s="11" t="n"/>
      <c r="R49" s="12">
        <f>IF(L49="","",IFERROR(INDEX(DAFTAR_FIXTURE!$B$2:$B$51,MATCH(L49,DAFTAR_FIXTURE!$A$2:$A$51,0)),""))</f>
        <v/>
      </c>
      <c r="S49" s="12">
        <f>IF(AND($D49="",L49=""),"",IF(L49="",IF(AND(T49="",AB49=""),"Belum ditempatkan",""),IF(R49="","CEK ID FIXTURE tidak ada di DAFTAR_FIXTURE",IF(M49="","CEK ZONA NO kosong",IF(ISNA(MATCH(R49&amp;"|"&amp;M49,LAYOUT!$E$2:$E$80,0)),"CEK ZONA NO di luar layout",IF(N49&lt;&gt;INDEX(LAYOUT!$D$2:$D$80,MATCH(R49&amp;"|"&amp;M49,LAYOUT!$E$2:$E$80,0)),"CEK JENIS ZONA",IF($D49="","Zona STOCK",IF($E49="","CEK SKU DESCRIPTION kosong",IF(AND(O49&lt;&gt;"",P49=""),"CEK URUTAN SAMBUNG kosong",IF(AND(O49&lt;&gt;"",LEFT(R49,6)="Endcap"),"CEK Endcap tidak ikut sambung","OK"))))))))))</f>
        <v/>
      </c>
      <c r="T49" s="11" t="n"/>
      <c r="U49" s="11" t="n"/>
      <c r="V49" s="11" t="n"/>
      <c r="W49" s="11" t="n"/>
      <c r="X49" s="11" t="n"/>
      <c r="Y49" s="11" t="n"/>
      <c r="Z49" s="12">
        <f>IF(T49="","",IFERROR(INDEX(DAFTAR_FIXTURE!$B$2:$B$51,MATCH(T49,DAFTAR_FIXTURE!$A$2:$A$51,0)),""))</f>
        <v/>
      </c>
      <c r="AA49" s="12">
        <f>IF(T49="","",IF(Z49="","CEK ID FIXTURE tidak ada di DAFTAR_FIXTURE",IF(U49="","CEK ZONA NO kosong",IF(ISNA(MATCH(Z49&amp;"|"&amp;U49,LAYOUT!$E$2:$E$80,0)),"CEK ZONA NO di luar layout",IF(V49&lt;&gt;INDEX(LAYOUT!$D$2:$D$80,MATCH(Z49&amp;"|"&amp;U49,LAYOUT!$E$2:$E$80,0)),"CEK JENIS ZONA",IF($D49="","Zona STOCK",IF($E49="","CEK SKU DESCRIPTION kosong",IF(AND(W49&lt;&gt;"",X49=""),"CEK URUTAN SAMBUNG kosong",IF(AND(W49&lt;&gt;"",LEFT(Z49,6)="Endcap"),"CEK Endcap tidak ikut sambung","OK")))))))))</f>
        <v/>
      </c>
      <c r="AB49" s="11" t="n"/>
      <c r="AC49" s="11" t="n"/>
      <c r="AD49" s="11" t="n"/>
      <c r="AE49" s="11" t="n"/>
      <c r="AF49" s="11" t="n"/>
      <c r="AG49" s="11" t="n"/>
      <c r="AH49" s="12">
        <f>IF(AB49="","",IFERROR(INDEX(DAFTAR_FIXTURE!$B$2:$B$51,MATCH(AB49,DAFTAR_FIXTURE!$A$2:$A$51,0)),""))</f>
        <v/>
      </c>
      <c r="AI49" s="12">
        <f>IF(AB49="","",IF(AH49="","CEK ID FIXTURE tidak ada di DAFTAR_FIXTURE",IF(AC49="","CEK ZONA NO kosong",IF(ISNA(MATCH(AH49&amp;"|"&amp;AC49,LAYOUT!$E$2:$E$80,0)),"CEK ZONA NO di luar layout",IF(AD49&lt;&gt;INDEX(LAYOUT!$D$2:$D$80,MATCH(AH49&amp;"|"&amp;AC49,LAYOUT!$E$2:$E$80,0)),"CEK JENIS ZONA",IF($D49="","Zona STOCK",IF($E49="","CEK SKU DESCRIPTION kosong",IF(AND(AE49&lt;&gt;"",AF49=""),"CEK URUTAN SAMBUNG kosong",IF(AND(AE49&lt;&gt;"",LEFT(AH49,6)="Endcap"),"CEK Endcap tidak ikut sambung","OK")))))))))</f>
        <v/>
      </c>
    </row>
    <row r="50">
      <c r="A50" s="10" t="n"/>
      <c r="B50" s="10" t="n"/>
      <c r="C50" s="10" t="n"/>
      <c r="D50" s="10" t="n"/>
      <c r="E50" s="10" t="n"/>
      <c r="F50" s="10" t="n"/>
      <c r="G50" s="10" t="n"/>
      <c r="H50" s="10" t="n"/>
      <c r="I50" s="10" t="n"/>
      <c r="J50" s="10" t="n"/>
      <c r="K50" s="10" t="n"/>
      <c r="L50" s="11" t="n"/>
      <c r="M50" s="11" t="n"/>
      <c r="N50" s="11" t="n"/>
      <c r="O50" s="11" t="n"/>
      <c r="P50" s="11" t="n"/>
      <c r="Q50" s="11" t="n"/>
      <c r="R50" s="12">
        <f>IF(L50="","",IFERROR(INDEX(DAFTAR_FIXTURE!$B$2:$B$51,MATCH(L50,DAFTAR_FIXTURE!$A$2:$A$51,0)),""))</f>
        <v/>
      </c>
      <c r="S50" s="12">
        <f>IF(AND($D50="",L50=""),"",IF(L50="",IF(AND(T50="",AB50=""),"Belum ditempatkan",""),IF(R50="","CEK ID FIXTURE tidak ada di DAFTAR_FIXTURE",IF(M50="","CEK ZONA NO kosong",IF(ISNA(MATCH(R50&amp;"|"&amp;M50,LAYOUT!$E$2:$E$80,0)),"CEK ZONA NO di luar layout",IF(N50&lt;&gt;INDEX(LAYOUT!$D$2:$D$80,MATCH(R50&amp;"|"&amp;M50,LAYOUT!$E$2:$E$80,0)),"CEK JENIS ZONA",IF($D50="","Zona STOCK",IF($E50="","CEK SKU DESCRIPTION kosong",IF(AND(O50&lt;&gt;"",P50=""),"CEK URUTAN SAMBUNG kosong",IF(AND(O50&lt;&gt;"",LEFT(R50,6)="Endcap"),"CEK Endcap tidak ikut sambung","OK"))))))))))</f>
        <v/>
      </c>
      <c r="T50" s="11" t="n"/>
      <c r="U50" s="11" t="n"/>
      <c r="V50" s="11" t="n"/>
      <c r="W50" s="11" t="n"/>
      <c r="X50" s="11" t="n"/>
      <c r="Y50" s="11" t="n"/>
      <c r="Z50" s="12">
        <f>IF(T50="","",IFERROR(INDEX(DAFTAR_FIXTURE!$B$2:$B$51,MATCH(T50,DAFTAR_FIXTURE!$A$2:$A$51,0)),""))</f>
        <v/>
      </c>
      <c r="AA50" s="12">
        <f>IF(T50="","",IF(Z50="","CEK ID FIXTURE tidak ada di DAFTAR_FIXTURE",IF(U50="","CEK ZONA NO kosong",IF(ISNA(MATCH(Z50&amp;"|"&amp;U50,LAYOUT!$E$2:$E$80,0)),"CEK ZONA NO di luar layout",IF(V50&lt;&gt;INDEX(LAYOUT!$D$2:$D$80,MATCH(Z50&amp;"|"&amp;U50,LAYOUT!$E$2:$E$80,0)),"CEK JENIS ZONA",IF($D50="","Zona STOCK",IF($E50="","CEK SKU DESCRIPTION kosong",IF(AND(W50&lt;&gt;"",X50=""),"CEK URUTAN SAMBUNG kosong",IF(AND(W50&lt;&gt;"",LEFT(Z50,6)="Endcap"),"CEK Endcap tidak ikut sambung","OK")))))))))</f>
        <v/>
      </c>
      <c r="AB50" s="11" t="n"/>
      <c r="AC50" s="11" t="n"/>
      <c r="AD50" s="11" t="n"/>
      <c r="AE50" s="11" t="n"/>
      <c r="AF50" s="11" t="n"/>
      <c r="AG50" s="11" t="n"/>
      <c r="AH50" s="12">
        <f>IF(AB50="","",IFERROR(INDEX(DAFTAR_FIXTURE!$B$2:$B$51,MATCH(AB50,DAFTAR_FIXTURE!$A$2:$A$51,0)),""))</f>
        <v/>
      </c>
      <c r="AI50" s="12">
        <f>IF(AB50="","",IF(AH50="","CEK ID FIXTURE tidak ada di DAFTAR_FIXTURE",IF(AC50="","CEK ZONA NO kosong",IF(ISNA(MATCH(AH50&amp;"|"&amp;AC50,LAYOUT!$E$2:$E$80,0)),"CEK ZONA NO di luar layout",IF(AD50&lt;&gt;INDEX(LAYOUT!$D$2:$D$80,MATCH(AH50&amp;"|"&amp;AC50,LAYOUT!$E$2:$E$80,0)),"CEK JENIS ZONA",IF($D50="","Zona STOCK",IF($E50="","CEK SKU DESCRIPTION kosong",IF(AND(AE50&lt;&gt;"",AF50=""),"CEK URUTAN SAMBUNG kosong",IF(AND(AE50&lt;&gt;"",LEFT(AH50,6)="Endcap"),"CEK Endcap tidak ikut sambung","OK")))))))))</f>
        <v/>
      </c>
    </row>
    <row r="51">
      <c r="A51" s="10" t="n"/>
      <c r="B51" s="10" t="n"/>
      <c r="C51" s="10" t="n"/>
      <c r="D51" s="10" t="n"/>
      <c r="E51" s="10" t="n"/>
      <c r="F51" s="10" t="n"/>
      <c r="G51" s="10" t="n"/>
      <c r="H51" s="10" t="n"/>
      <c r="I51" s="10" t="n"/>
      <c r="J51" s="10" t="n"/>
      <c r="K51" s="10" t="n"/>
      <c r="L51" s="11" t="n"/>
      <c r="M51" s="11" t="n"/>
      <c r="N51" s="11" t="n"/>
      <c r="O51" s="11" t="n"/>
      <c r="P51" s="11" t="n"/>
      <c r="Q51" s="11" t="n"/>
      <c r="R51" s="12">
        <f>IF(L51="","",IFERROR(INDEX(DAFTAR_FIXTURE!$B$2:$B$51,MATCH(L51,DAFTAR_FIXTURE!$A$2:$A$51,0)),""))</f>
        <v/>
      </c>
      <c r="S51" s="12">
        <f>IF(AND($D51="",L51=""),"",IF(L51="",IF(AND(T51="",AB51=""),"Belum ditempatkan",""),IF(R51="","CEK ID FIXTURE tidak ada di DAFTAR_FIXTURE",IF(M51="","CEK ZONA NO kosong",IF(ISNA(MATCH(R51&amp;"|"&amp;M51,LAYOUT!$E$2:$E$80,0)),"CEK ZONA NO di luar layout",IF(N51&lt;&gt;INDEX(LAYOUT!$D$2:$D$80,MATCH(R51&amp;"|"&amp;M51,LAYOUT!$E$2:$E$80,0)),"CEK JENIS ZONA",IF($D51="","Zona STOCK",IF($E51="","CEK SKU DESCRIPTION kosong",IF(AND(O51&lt;&gt;"",P51=""),"CEK URUTAN SAMBUNG kosong",IF(AND(O51&lt;&gt;"",LEFT(R51,6)="Endcap"),"CEK Endcap tidak ikut sambung","OK"))))))))))</f>
        <v/>
      </c>
      <c r="T51" s="11" t="n"/>
      <c r="U51" s="11" t="n"/>
      <c r="V51" s="11" t="n"/>
      <c r="W51" s="11" t="n"/>
      <c r="X51" s="11" t="n"/>
      <c r="Y51" s="11" t="n"/>
      <c r="Z51" s="12">
        <f>IF(T51="","",IFERROR(INDEX(DAFTAR_FIXTURE!$B$2:$B$51,MATCH(T51,DAFTAR_FIXTURE!$A$2:$A$51,0)),""))</f>
        <v/>
      </c>
      <c r="AA51" s="12">
        <f>IF(T51="","",IF(Z51="","CEK ID FIXTURE tidak ada di DAFTAR_FIXTURE",IF(U51="","CEK ZONA NO kosong",IF(ISNA(MATCH(Z51&amp;"|"&amp;U51,LAYOUT!$E$2:$E$80,0)),"CEK ZONA NO di luar layout",IF(V51&lt;&gt;INDEX(LAYOUT!$D$2:$D$80,MATCH(Z51&amp;"|"&amp;U51,LAYOUT!$E$2:$E$80,0)),"CEK JENIS ZONA",IF($D51="","Zona STOCK",IF($E51="","CEK SKU DESCRIPTION kosong",IF(AND(W51&lt;&gt;"",X51=""),"CEK URUTAN SAMBUNG kosong",IF(AND(W51&lt;&gt;"",LEFT(Z51,6)="Endcap"),"CEK Endcap tidak ikut sambung","OK")))))))))</f>
        <v/>
      </c>
      <c r="AB51" s="11" t="n"/>
      <c r="AC51" s="11" t="n"/>
      <c r="AD51" s="11" t="n"/>
      <c r="AE51" s="11" t="n"/>
      <c r="AF51" s="11" t="n"/>
      <c r="AG51" s="11" t="n"/>
      <c r="AH51" s="12">
        <f>IF(AB51="","",IFERROR(INDEX(DAFTAR_FIXTURE!$B$2:$B$51,MATCH(AB51,DAFTAR_FIXTURE!$A$2:$A$51,0)),""))</f>
        <v/>
      </c>
      <c r="AI51" s="12">
        <f>IF(AB51="","",IF(AH51="","CEK ID FIXTURE tidak ada di DAFTAR_FIXTURE",IF(AC51="","CEK ZONA NO kosong",IF(ISNA(MATCH(AH51&amp;"|"&amp;AC51,LAYOUT!$E$2:$E$80,0)),"CEK ZONA NO di luar layout",IF(AD51&lt;&gt;INDEX(LAYOUT!$D$2:$D$80,MATCH(AH51&amp;"|"&amp;AC51,LAYOUT!$E$2:$E$80,0)),"CEK JENIS ZONA",IF($D51="","Zona STOCK",IF($E51="","CEK SKU DESCRIPTION kosong",IF(AND(AE51&lt;&gt;"",AF51=""),"CEK URUTAN SAMBUNG kosong",IF(AND(AE51&lt;&gt;"",LEFT(AH51,6)="Endcap"),"CEK Endcap tidak ikut sambung","OK")))))))))</f>
        <v/>
      </c>
    </row>
    <row r="52">
      <c r="A52" s="10" t="n"/>
      <c r="B52" s="10" t="n"/>
      <c r="C52" s="10" t="n"/>
      <c r="D52" s="10" t="n"/>
      <c r="E52" s="10" t="n"/>
      <c r="F52" s="10" t="n"/>
      <c r="G52" s="10" t="n"/>
      <c r="H52" s="10" t="n"/>
      <c r="I52" s="10" t="n"/>
      <c r="J52" s="10" t="n"/>
      <c r="K52" s="10" t="n"/>
      <c r="L52" s="11" t="n"/>
      <c r="M52" s="11" t="n"/>
      <c r="N52" s="11" t="n"/>
      <c r="O52" s="11" t="n"/>
      <c r="P52" s="11" t="n"/>
      <c r="Q52" s="11" t="n"/>
      <c r="R52" s="12">
        <f>IF(L52="","",IFERROR(INDEX(DAFTAR_FIXTURE!$B$2:$B$51,MATCH(L52,DAFTAR_FIXTURE!$A$2:$A$51,0)),""))</f>
        <v/>
      </c>
      <c r="S52" s="12">
        <f>IF(AND($D52="",L52=""),"",IF(L52="",IF(AND(T52="",AB52=""),"Belum ditempatkan",""),IF(R52="","CEK ID FIXTURE tidak ada di DAFTAR_FIXTURE",IF(M52="","CEK ZONA NO kosong",IF(ISNA(MATCH(R52&amp;"|"&amp;M52,LAYOUT!$E$2:$E$80,0)),"CEK ZONA NO di luar layout",IF(N52&lt;&gt;INDEX(LAYOUT!$D$2:$D$80,MATCH(R52&amp;"|"&amp;M52,LAYOUT!$E$2:$E$80,0)),"CEK JENIS ZONA",IF($D52="","Zona STOCK",IF($E52="","CEK SKU DESCRIPTION kosong",IF(AND(O52&lt;&gt;"",P52=""),"CEK URUTAN SAMBUNG kosong",IF(AND(O52&lt;&gt;"",LEFT(R52,6)="Endcap"),"CEK Endcap tidak ikut sambung","OK"))))))))))</f>
        <v/>
      </c>
      <c r="T52" s="11" t="n"/>
      <c r="U52" s="11" t="n"/>
      <c r="V52" s="11" t="n"/>
      <c r="W52" s="11" t="n"/>
      <c r="X52" s="11" t="n"/>
      <c r="Y52" s="11" t="n"/>
      <c r="Z52" s="12">
        <f>IF(T52="","",IFERROR(INDEX(DAFTAR_FIXTURE!$B$2:$B$51,MATCH(T52,DAFTAR_FIXTURE!$A$2:$A$51,0)),""))</f>
        <v/>
      </c>
      <c r="AA52" s="12">
        <f>IF(T52="","",IF(Z52="","CEK ID FIXTURE tidak ada di DAFTAR_FIXTURE",IF(U52="","CEK ZONA NO kosong",IF(ISNA(MATCH(Z52&amp;"|"&amp;U52,LAYOUT!$E$2:$E$80,0)),"CEK ZONA NO di luar layout",IF(V52&lt;&gt;INDEX(LAYOUT!$D$2:$D$80,MATCH(Z52&amp;"|"&amp;U52,LAYOUT!$E$2:$E$80,0)),"CEK JENIS ZONA",IF($D52="","Zona STOCK",IF($E52="","CEK SKU DESCRIPTION kosong",IF(AND(W52&lt;&gt;"",X52=""),"CEK URUTAN SAMBUNG kosong",IF(AND(W52&lt;&gt;"",LEFT(Z52,6)="Endcap"),"CEK Endcap tidak ikut sambung","OK")))))))))</f>
        <v/>
      </c>
      <c r="AB52" s="11" t="n"/>
      <c r="AC52" s="11" t="n"/>
      <c r="AD52" s="11" t="n"/>
      <c r="AE52" s="11" t="n"/>
      <c r="AF52" s="11" t="n"/>
      <c r="AG52" s="11" t="n"/>
      <c r="AH52" s="12">
        <f>IF(AB52="","",IFERROR(INDEX(DAFTAR_FIXTURE!$B$2:$B$51,MATCH(AB52,DAFTAR_FIXTURE!$A$2:$A$51,0)),""))</f>
        <v/>
      </c>
      <c r="AI52" s="12">
        <f>IF(AB52="","",IF(AH52="","CEK ID FIXTURE tidak ada di DAFTAR_FIXTURE",IF(AC52="","CEK ZONA NO kosong",IF(ISNA(MATCH(AH52&amp;"|"&amp;AC52,LAYOUT!$E$2:$E$80,0)),"CEK ZONA NO di luar layout",IF(AD52&lt;&gt;INDEX(LAYOUT!$D$2:$D$80,MATCH(AH52&amp;"|"&amp;AC52,LAYOUT!$E$2:$E$80,0)),"CEK JENIS ZONA",IF($D52="","Zona STOCK",IF($E52="","CEK SKU DESCRIPTION kosong",IF(AND(AE52&lt;&gt;"",AF52=""),"CEK URUTAN SAMBUNG kosong",IF(AND(AE52&lt;&gt;"",LEFT(AH52,6)="Endcap"),"CEK Endcap tidak ikut sambung","OK")))))))))</f>
        <v/>
      </c>
    </row>
    <row r="53">
      <c r="A53" s="10" t="n"/>
      <c r="B53" s="10" t="n"/>
      <c r="C53" s="10" t="n"/>
      <c r="D53" s="10" t="n"/>
      <c r="E53" s="10" t="n"/>
      <c r="F53" s="10" t="n"/>
      <c r="G53" s="10" t="n"/>
      <c r="H53" s="10" t="n"/>
      <c r="I53" s="10" t="n"/>
      <c r="J53" s="10" t="n"/>
      <c r="K53" s="10" t="n"/>
      <c r="L53" s="11" t="n"/>
      <c r="M53" s="11" t="n"/>
      <c r="N53" s="11" t="n"/>
      <c r="O53" s="11" t="n"/>
      <c r="P53" s="11" t="n"/>
      <c r="Q53" s="11" t="n"/>
      <c r="R53" s="12">
        <f>IF(L53="","",IFERROR(INDEX(DAFTAR_FIXTURE!$B$2:$B$51,MATCH(L53,DAFTAR_FIXTURE!$A$2:$A$51,0)),""))</f>
        <v/>
      </c>
      <c r="S53" s="12">
        <f>IF(AND($D53="",L53=""),"",IF(L53="",IF(AND(T53="",AB53=""),"Belum ditempatkan",""),IF(R53="","CEK ID FIXTURE tidak ada di DAFTAR_FIXTURE",IF(M53="","CEK ZONA NO kosong",IF(ISNA(MATCH(R53&amp;"|"&amp;M53,LAYOUT!$E$2:$E$80,0)),"CEK ZONA NO di luar layout",IF(N53&lt;&gt;INDEX(LAYOUT!$D$2:$D$80,MATCH(R53&amp;"|"&amp;M53,LAYOUT!$E$2:$E$80,0)),"CEK JENIS ZONA",IF($D53="","Zona STOCK",IF($E53="","CEK SKU DESCRIPTION kosong",IF(AND(O53&lt;&gt;"",P53=""),"CEK URUTAN SAMBUNG kosong",IF(AND(O53&lt;&gt;"",LEFT(R53,6)="Endcap"),"CEK Endcap tidak ikut sambung","OK"))))))))))</f>
        <v/>
      </c>
      <c r="T53" s="11" t="n"/>
      <c r="U53" s="11" t="n"/>
      <c r="V53" s="11" t="n"/>
      <c r="W53" s="11" t="n"/>
      <c r="X53" s="11" t="n"/>
      <c r="Y53" s="11" t="n"/>
      <c r="Z53" s="12">
        <f>IF(T53="","",IFERROR(INDEX(DAFTAR_FIXTURE!$B$2:$B$51,MATCH(T53,DAFTAR_FIXTURE!$A$2:$A$51,0)),""))</f>
        <v/>
      </c>
      <c r="AA53" s="12">
        <f>IF(T53="","",IF(Z53="","CEK ID FIXTURE tidak ada di DAFTAR_FIXTURE",IF(U53="","CEK ZONA NO kosong",IF(ISNA(MATCH(Z53&amp;"|"&amp;U53,LAYOUT!$E$2:$E$80,0)),"CEK ZONA NO di luar layout",IF(V53&lt;&gt;INDEX(LAYOUT!$D$2:$D$80,MATCH(Z53&amp;"|"&amp;U53,LAYOUT!$E$2:$E$80,0)),"CEK JENIS ZONA",IF($D53="","Zona STOCK",IF($E53="","CEK SKU DESCRIPTION kosong",IF(AND(W53&lt;&gt;"",X53=""),"CEK URUTAN SAMBUNG kosong",IF(AND(W53&lt;&gt;"",LEFT(Z53,6)="Endcap"),"CEK Endcap tidak ikut sambung","OK")))))))))</f>
        <v/>
      </c>
      <c r="AB53" s="11" t="n"/>
      <c r="AC53" s="11" t="n"/>
      <c r="AD53" s="11" t="n"/>
      <c r="AE53" s="11" t="n"/>
      <c r="AF53" s="11" t="n"/>
      <c r="AG53" s="11" t="n"/>
      <c r="AH53" s="12">
        <f>IF(AB53="","",IFERROR(INDEX(DAFTAR_FIXTURE!$B$2:$B$51,MATCH(AB53,DAFTAR_FIXTURE!$A$2:$A$51,0)),""))</f>
        <v/>
      </c>
      <c r="AI53" s="12">
        <f>IF(AB53="","",IF(AH53="","CEK ID FIXTURE tidak ada di DAFTAR_FIXTURE",IF(AC53="","CEK ZONA NO kosong",IF(ISNA(MATCH(AH53&amp;"|"&amp;AC53,LAYOUT!$E$2:$E$80,0)),"CEK ZONA NO di luar layout",IF(AD53&lt;&gt;INDEX(LAYOUT!$D$2:$D$80,MATCH(AH53&amp;"|"&amp;AC53,LAYOUT!$E$2:$E$80,0)),"CEK JENIS ZONA",IF($D53="","Zona STOCK",IF($E53="","CEK SKU DESCRIPTION kosong",IF(AND(AE53&lt;&gt;"",AF53=""),"CEK URUTAN SAMBUNG kosong",IF(AND(AE53&lt;&gt;"",LEFT(AH53,6)="Endcap"),"CEK Endcap tidak ikut sambung","OK")))))))))</f>
        <v/>
      </c>
    </row>
    <row r="54">
      <c r="A54" s="10" t="n"/>
      <c r="B54" s="10" t="n"/>
      <c r="C54" s="10" t="n"/>
      <c r="D54" s="10" t="n"/>
      <c r="E54" s="10" t="n"/>
      <c r="F54" s="10" t="n"/>
      <c r="G54" s="10" t="n"/>
      <c r="H54" s="10" t="n"/>
      <c r="I54" s="10" t="n"/>
      <c r="J54" s="10" t="n"/>
      <c r="K54" s="10" t="n"/>
      <c r="L54" s="11" t="n"/>
      <c r="M54" s="11" t="n"/>
      <c r="N54" s="11" t="n"/>
      <c r="O54" s="11" t="n"/>
      <c r="P54" s="11" t="n"/>
      <c r="Q54" s="11" t="n"/>
      <c r="R54" s="12">
        <f>IF(L54="","",IFERROR(INDEX(DAFTAR_FIXTURE!$B$2:$B$51,MATCH(L54,DAFTAR_FIXTURE!$A$2:$A$51,0)),""))</f>
        <v/>
      </c>
      <c r="S54" s="12">
        <f>IF(AND($D54="",L54=""),"",IF(L54="",IF(AND(T54="",AB54=""),"Belum ditempatkan",""),IF(R54="","CEK ID FIXTURE tidak ada di DAFTAR_FIXTURE",IF(M54="","CEK ZONA NO kosong",IF(ISNA(MATCH(R54&amp;"|"&amp;M54,LAYOUT!$E$2:$E$80,0)),"CEK ZONA NO di luar layout",IF(N54&lt;&gt;INDEX(LAYOUT!$D$2:$D$80,MATCH(R54&amp;"|"&amp;M54,LAYOUT!$E$2:$E$80,0)),"CEK JENIS ZONA",IF($D54="","Zona STOCK",IF($E54="","CEK SKU DESCRIPTION kosong",IF(AND(O54&lt;&gt;"",P54=""),"CEK URUTAN SAMBUNG kosong",IF(AND(O54&lt;&gt;"",LEFT(R54,6)="Endcap"),"CEK Endcap tidak ikut sambung","OK"))))))))))</f>
        <v/>
      </c>
      <c r="T54" s="11" t="n"/>
      <c r="U54" s="11" t="n"/>
      <c r="V54" s="11" t="n"/>
      <c r="W54" s="11" t="n"/>
      <c r="X54" s="11" t="n"/>
      <c r="Y54" s="11" t="n"/>
      <c r="Z54" s="12">
        <f>IF(T54="","",IFERROR(INDEX(DAFTAR_FIXTURE!$B$2:$B$51,MATCH(T54,DAFTAR_FIXTURE!$A$2:$A$51,0)),""))</f>
        <v/>
      </c>
      <c r="AA54" s="12">
        <f>IF(T54="","",IF(Z54="","CEK ID FIXTURE tidak ada di DAFTAR_FIXTURE",IF(U54="","CEK ZONA NO kosong",IF(ISNA(MATCH(Z54&amp;"|"&amp;U54,LAYOUT!$E$2:$E$80,0)),"CEK ZONA NO di luar layout",IF(V54&lt;&gt;INDEX(LAYOUT!$D$2:$D$80,MATCH(Z54&amp;"|"&amp;U54,LAYOUT!$E$2:$E$80,0)),"CEK JENIS ZONA",IF($D54="","Zona STOCK",IF($E54="","CEK SKU DESCRIPTION kosong",IF(AND(W54&lt;&gt;"",X54=""),"CEK URUTAN SAMBUNG kosong",IF(AND(W54&lt;&gt;"",LEFT(Z54,6)="Endcap"),"CEK Endcap tidak ikut sambung","OK")))))))))</f>
        <v/>
      </c>
      <c r="AB54" s="11" t="n"/>
      <c r="AC54" s="11" t="n"/>
      <c r="AD54" s="11" t="n"/>
      <c r="AE54" s="11" t="n"/>
      <c r="AF54" s="11" t="n"/>
      <c r="AG54" s="11" t="n"/>
      <c r="AH54" s="12">
        <f>IF(AB54="","",IFERROR(INDEX(DAFTAR_FIXTURE!$B$2:$B$51,MATCH(AB54,DAFTAR_FIXTURE!$A$2:$A$51,0)),""))</f>
        <v/>
      </c>
      <c r="AI54" s="12">
        <f>IF(AB54="","",IF(AH54="","CEK ID FIXTURE tidak ada di DAFTAR_FIXTURE",IF(AC54="","CEK ZONA NO kosong",IF(ISNA(MATCH(AH54&amp;"|"&amp;AC54,LAYOUT!$E$2:$E$80,0)),"CEK ZONA NO di luar layout",IF(AD54&lt;&gt;INDEX(LAYOUT!$D$2:$D$80,MATCH(AH54&amp;"|"&amp;AC54,LAYOUT!$E$2:$E$80,0)),"CEK JENIS ZONA",IF($D54="","Zona STOCK",IF($E54="","CEK SKU DESCRIPTION kosong",IF(AND(AE54&lt;&gt;"",AF54=""),"CEK URUTAN SAMBUNG kosong",IF(AND(AE54&lt;&gt;"",LEFT(AH54,6)="Endcap"),"CEK Endcap tidak ikut sambung","OK")))))))))</f>
        <v/>
      </c>
    </row>
    <row r="55">
      <c r="A55" s="10" t="n"/>
      <c r="B55" s="10" t="n"/>
      <c r="C55" s="10" t="n"/>
      <c r="D55" s="10" t="n"/>
      <c r="E55" s="10" t="n"/>
      <c r="F55" s="10" t="n"/>
      <c r="G55" s="10" t="n"/>
      <c r="H55" s="10" t="n"/>
      <c r="I55" s="10" t="n"/>
      <c r="J55" s="10" t="n"/>
      <c r="K55" s="10" t="n"/>
      <c r="L55" s="11" t="n"/>
      <c r="M55" s="11" t="n"/>
      <c r="N55" s="11" t="n"/>
      <c r="O55" s="11" t="n"/>
      <c r="P55" s="11" t="n"/>
      <c r="Q55" s="11" t="n"/>
      <c r="R55" s="12">
        <f>IF(L55="","",IFERROR(INDEX(DAFTAR_FIXTURE!$B$2:$B$51,MATCH(L55,DAFTAR_FIXTURE!$A$2:$A$51,0)),""))</f>
        <v/>
      </c>
      <c r="S55" s="12">
        <f>IF(AND($D55="",L55=""),"",IF(L55="",IF(AND(T55="",AB55=""),"Belum ditempatkan",""),IF(R55="","CEK ID FIXTURE tidak ada di DAFTAR_FIXTURE",IF(M55="","CEK ZONA NO kosong",IF(ISNA(MATCH(R55&amp;"|"&amp;M55,LAYOUT!$E$2:$E$80,0)),"CEK ZONA NO di luar layout",IF(N55&lt;&gt;INDEX(LAYOUT!$D$2:$D$80,MATCH(R55&amp;"|"&amp;M55,LAYOUT!$E$2:$E$80,0)),"CEK JENIS ZONA",IF($D55="","Zona STOCK",IF($E55="","CEK SKU DESCRIPTION kosong",IF(AND(O55&lt;&gt;"",P55=""),"CEK URUTAN SAMBUNG kosong",IF(AND(O55&lt;&gt;"",LEFT(R55,6)="Endcap"),"CEK Endcap tidak ikut sambung","OK"))))))))))</f>
        <v/>
      </c>
      <c r="T55" s="11" t="n"/>
      <c r="U55" s="11" t="n"/>
      <c r="V55" s="11" t="n"/>
      <c r="W55" s="11" t="n"/>
      <c r="X55" s="11" t="n"/>
      <c r="Y55" s="11" t="n"/>
      <c r="Z55" s="12">
        <f>IF(T55="","",IFERROR(INDEX(DAFTAR_FIXTURE!$B$2:$B$51,MATCH(T55,DAFTAR_FIXTURE!$A$2:$A$51,0)),""))</f>
        <v/>
      </c>
      <c r="AA55" s="12">
        <f>IF(T55="","",IF(Z55="","CEK ID FIXTURE tidak ada di DAFTAR_FIXTURE",IF(U55="","CEK ZONA NO kosong",IF(ISNA(MATCH(Z55&amp;"|"&amp;U55,LAYOUT!$E$2:$E$80,0)),"CEK ZONA NO di luar layout",IF(V55&lt;&gt;INDEX(LAYOUT!$D$2:$D$80,MATCH(Z55&amp;"|"&amp;U55,LAYOUT!$E$2:$E$80,0)),"CEK JENIS ZONA",IF($D55="","Zona STOCK",IF($E55="","CEK SKU DESCRIPTION kosong",IF(AND(W55&lt;&gt;"",X55=""),"CEK URUTAN SAMBUNG kosong",IF(AND(W55&lt;&gt;"",LEFT(Z55,6)="Endcap"),"CEK Endcap tidak ikut sambung","OK")))))))))</f>
        <v/>
      </c>
      <c r="AB55" s="11" t="n"/>
      <c r="AC55" s="11" t="n"/>
      <c r="AD55" s="11" t="n"/>
      <c r="AE55" s="11" t="n"/>
      <c r="AF55" s="11" t="n"/>
      <c r="AG55" s="11" t="n"/>
      <c r="AH55" s="12">
        <f>IF(AB55="","",IFERROR(INDEX(DAFTAR_FIXTURE!$B$2:$B$51,MATCH(AB55,DAFTAR_FIXTURE!$A$2:$A$51,0)),""))</f>
        <v/>
      </c>
      <c r="AI55" s="12">
        <f>IF(AB55="","",IF(AH55="","CEK ID FIXTURE tidak ada di DAFTAR_FIXTURE",IF(AC55="","CEK ZONA NO kosong",IF(ISNA(MATCH(AH55&amp;"|"&amp;AC55,LAYOUT!$E$2:$E$80,0)),"CEK ZONA NO di luar layout",IF(AD55&lt;&gt;INDEX(LAYOUT!$D$2:$D$80,MATCH(AH55&amp;"|"&amp;AC55,LAYOUT!$E$2:$E$80,0)),"CEK JENIS ZONA",IF($D55="","Zona STOCK",IF($E55="","CEK SKU DESCRIPTION kosong",IF(AND(AE55&lt;&gt;"",AF55=""),"CEK URUTAN SAMBUNG kosong",IF(AND(AE55&lt;&gt;"",LEFT(AH55,6)="Endcap"),"CEK Endcap tidak ikut sambung","OK")))))))))</f>
        <v/>
      </c>
    </row>
    <row r="56">
      <c r="A56" s="10" t="n"/>
      <c r="B56" s="10" t="n"/>
      <c r="C56" s="10" t="n"/>
      <c r="D56" s="10" t="n"/>
      <c r="E56" s="10" t="n"/>
      <c r="F56" s="10" t="n"/>
      <c r="G56" s="10" t="n"/>
      <c r="H56" s="10" t="n"/>
      <c r="I56" s="10" t="n"/>
      <c r="J56" s="10" t="n"/>
      <c r="K56" s="10" t="n"/>
      <c r="L56" s="11" t="n"/>
      <c r="M56" s="11" t="n"/>
      <c r="N56" s="11" t="n"/>
      <c r="O56" s="11" t="n"/>
      <c r="P56" s="11" t="n"/>
      <c r="Q56" s="11" t="n"/>
      <c r="R56" s="12">
        <f>IF(L56="","",IFERROR(INDEX(DAFTAR_FIXTURE!$B$2:$B$51,MATCH(L56,DAFTAR_FIXTURE!$A$2:$A$51,0)),""))</f>
        <v/>
      </c>
      <c r="S56" s="12">
        <f>IF(AND($D56="",L56=""),"",IF(L56="",IF(AND(T56="",AB56=""),"Belum ditempatkan",""),IF(R56="","CEK ID FIXTURE tidak ada di DAFTAR_FIXTURE",IF(M56="","CEK ZONA NO kosong",IF(ISNA(MATCH(R56&amp;"|"&amp;M56,LAYOUT!$E$2:$E$80,0)),"CEK ZONA NO di luar layout",IF(N56&lt;&gt;INDEX(LAYOUT!$D$2:$D$80,MATCH(R56&amp;"|"&amp;M56,LAYOUT!$E$2:$E$80,0)),"CEK JENIS ZONA",IF($D56="","Zona STOCK",IF($E56="","CEK SKU DESCRIPTION kosong",IF(AND(O56&lt;&gt;"",P56=""),"CEK URUTAN SAMBUNG kosong",IF(AND(O56&lt;&gt;"",LEFT(R56,6)="Endcap"),"CEK Endcap tidak ikut sambung","OK"))))))))))</f>
        <v/>
      </c>
      <c r="T56" s="11" t="n"/>
      <c r="U56" s="11" t="n"/>
      <c r="V56" s="11" t="n"/>
      <c r="W56" s="11" t="n"/>
      <c r="X56" s="11" t="n"/>
      <c r="Y56" s="11" t="n"/>
      <c r="Z56" s="12">
        <f>IF(T56="","",IFERROR(INDEX(DAFTAR_FIXTURE!$B$2:$B$51,MATCH(T56,DAFTAR_FIXTURE!$A$2:$A$51,0)),""))</f>
        <v/>
      </c>
      <c r="AA56" s="12">
        <f>IF(T56="","",IF(Z56="","CEK ID FIXTURE tidak ada di DAFTAR_FIXTURE",IF(U56="","CEK ZONA NO kosong",IF(ISNA(MATCH(Z56&amp;"|"&amp;U56,LAYOUT!$E$2:$E$80,0)),"CEK ZONA NO di luar layout",IF(V56&lt;&gt;INDEX(LAYOUT!$D$2:$D$80,MATCH(Z56&amp;"|"&amp;U56,LAYOUT!$E$2:$E$80,0)),"CEK JENIS ZONA",IF($D56="","Zona STOCK",IF($E56="","CEK SKU DESCRIPTION kosong",IF(AND(W56&lt;&gt;"",X56=""),"CEK URUTAN SAMBUNG kosong",IF(AND(W56&lt;&gt;"",LEFT(Z56,6)="Endcap"),"CEK Endcap tidak ikut sambung","OK")))))))))</f>
        <v/>
      </c>
      <c r="AB56" s="11" t="n"/>
      <c r="AC56" s="11" t="n"/>
      <c r="AD56" s="11" t="n"/>
      <c r="AE56" s="11" t="n"/>
      <c r="AF56" s="11" t="n"/>
      <c r="AG56" s="11" t="n"/>
      <c r="AH56" s="12">
        <f>IF(AB56="","",IFERROR(INDEX(DAFTAR_FIXTURE!$B$2:$B$51,MATCH(AB56,DAFTAR_FIXTURE!$A$2:$A$51,0)),""))</f>
        <v/>
      </c>
      <c r="AI56" s="12">
        <f>IF(AB56="","",IF(AH56="","CEK ID FIXTURE tidak ada di DAFTAR_FIXTURE",IF(AC56="","CEK ZONA NO kosong",IF(ISNA(MATCH(AH56&amp;"|"&amp;AC56,LAYOUT!$E$2:$E$80,0)),"CEK ZONA NO di luar layout",IF(AD56&lt;&gt;INDEX(LAYOUT!$D$2:$D$80,MATCH(AH56&amp;"|"&amp;AC56,LAYOUT!$E$2:$E$80,0)),"CEK JENIS ZONA",IF($D56="","Zona STOCK",IF($E56="","CEK SKU DESCRIPTION kosong",IF(AND(AE56&lt;&gt;"",AF56=""),"CEK URUTAN SAMBUNG kosong",IF(AND(AE56&lt;&gt;"",LEFT(AH56,6)="Endcap"),"CEK Endcap tidak ikut sambung","OK")))))))))</f>
        <v/>
      </c>
    </row>
    <row r="57">
      <c r="A57" s="10" t="n"/>
      <c r="B57" s="10" t="n"/>
      <c r="C57" s="10" t="n"/>
      <c r="D57" s="10" t="n"/>
      <c r="E57" s="10" t="n"/>
      <c r="F57" s="10" t="n"/>
      <c r="G57" s="10" t="n"/>
      <c r="H57" s="10" t="n"/>
      <c r="I57" s="10" t="n"/>
      <c r="J57" s="10" t="n"/>
      <c r="K57" s="10" t="n"/>
      <c r="L57" s="11" t="n"/>
      <c r="M57" s="11" t="n"/>
      <c r="N57" s="11" t="n"/>
      <c r="O57" s="11" t="n"/>
      <c r="P57" s="11" t="n"/>
      <c r="Q57" s="11" t="n"/>
      <c r="R57" s="12">
        <f>IF(L57="","",IFERROR(INDEX(DAFTAR_FIXTURE!$B$2:$B$51,MATCH(L57,DAFTAR_FIXTURE!$A$2:$A$51,0)),""))</f>
        <v/>
      </c>
      <c r="S57" s="12">
        <f>IF(AND($D57="",L57=""),"",IF(L57="",IF(AND(T57="",AB57=""),"Belum ditempatkan",""),IF(R57="","CEK ID FIXTURE tidak ada di DAFTAR_FIXTURE",IF(M57="","CEK ZONA NO kosong",IF(ISNA(MATCH(R57&amp;"|"&amp;M57,LAYOUT!$E$2:$E$80,0)),"CEK ZONA NO di luar layout",IF(N57&lt;&gt;INDEX(LAYOUT!$D$2:$D$80,MATCH(R57&amp;"|"&amp;M57,LAYOUT!$E$2:$E$80,0)),"CEK JENIS ZONA",IF($D57="","Zona STOCK",IF($E57="","CEK SKU DESCRIPTION kosong",IF(AND(O57&lt;&gt;"",P57=""),"CEK URUTAN SAMBUNG kosong",IF(AND(O57&lt;&gt;"",LEFT(R57,6)="Endcap"),"CEK Endcap tidak ikut sambung","OK"))))))))))</f>
        <v/>
      </c>
      <c r="T57" s="11" t="n"/>
      <c r="U57" s="11" t="n"/>
      <c r="V57" s="11" t="n"/>
      <c r="W57" s="11" t="n"/>
      <c r="X57" s="11" t="n"/>
      <c r="Y57" s="11" t="n"/>
      <c r="Z57" s="12">
        <f>IF(T57="","",IFERROR(INDEX(DAFTAR_FIXTURE!$B$2:$B$51,MATCH(T57,DAFTAR_FIXTURE!$A$2:$A$51,0)),""))</f>
        <v/>
      </c>
      <c r="AA57" s="12">
        <f>IF(T57="","",IF(Z57="","CEK ID FIXTURE tidak ada di DAFTAR_FIXTURE",IF(U57="","CEK ZONA NO kosong",IF(ISNA(MATCH(Z57&amp;"|"&amp;U57,LAYOUT!$E$2:$E$80,0)),"CEK ZONA NO di luar layout",IF(V57&lt;&gt;INDEX(LAYOUT!$D$2:$D$80,MATCH(Z57&amp;"|"&amp;U57,LAYOUT!$E$2:$E$80,0)),"CEK JENIS ZONA",IF($D57="","Zona STOCK",IF($E57="","CEK SKU DESCRIPTION kosong",IF(AND(W57&lt;&gt;"",X57=""),"CEK URUTAN SAMBUNG kosong",IF(AND(W57&lt;&gt;"",LEFT(Z57,6)="Endcap"),"CEK Endcap tidak ikut sambung","OK")))))))))</f>
        <v/>
      </c>
      <c r="AB57" s="11" t="n"/>
      <c r="AC57" s="11" t="n"/>
      <c r="AD57" s="11" t="n"/>
      <c r="AE57" s="11" t="n"/>
      <c r="AF57" s="11" t="n"/>
      <c r="AG57" s="11" t="n"/>
      <c r="AH57" s="12">
        <f>IF(AB57="","",IFERROR(INDEX(DAFTAR_FIXTURE!$B$2:$B$51,MATCH(AB57,DAFTAR_FIXTURE!$A$2:$A$51,0)),""))</f>
        <v/>
      </c>
      <c r="AI57" s="12">
        <f>IF(AB57="","",IF(AH57="","CEK ID FIXTURE tidak ada di DAFTAR_FIXTURE",IF(AC57="","CEK ZONA NO kosong",IF(ISNA(MATCH(AH57&amp;"|"&amp;AC57,LAYOUT!$E$2:$E$80,0)),"CEK ZONA NO di luar layout",IF(AD57&lt;&gt;INDEX(LAYOUT!$D$2:$D$80,MATCH(AH57&amp;"|"&amp;AC57,LAYOUT!$E$2:$E$80,0)),"CEK JENIS ZONA",IF($D57="","Zona STOCK",IF($E57="","CEK SKU DESCRIPTION kosong",IF(AND(AE57&lt;&gt;"",AF57=""),"CEK URUTAN SAMBUNG kosong",IF(AND(AE57&lt;&gt;"",LEFT(AH57,6)="Endcap"),"CEK Endcap tidak ikut sambung","OK")))))))))</f>
        <v/>
      </c>
    </row>
    <row r="58">
      <c r="A58" s="10" t="n"/>
      <c r="B58" s="10" t="n"/>
      <c r="C58" s="10" t="n"/>
      <c r="D58" s="10" t="n"/>
      <c r="E58" s="10" t="n"/>
      <c r="F58" s="10" t="n"/>
      <c r="G58" s="10" t="n"/>
      <c r="H58" s="10" t="n"/>
      <c r="I58" s="10" t="n"/>
      <c r="J58" s="10" t="n"/>
      <c r="K58" s="10" t="n"/>
      <c r="L58" s="11" t="n"/>
      <c r="M58" s="11" t="n"/>
      <c r="N58" s="11" t="n"/>
      <c r="O58" s="11" t="n"/>
      <c r="P58" s="11" t="n"/>
      <c r="Q58" s="11" t="n"/>
      <c r="R58" s="12">
        <f>IF(L58="","",IFERROR(INDEX(DAFTAR_FIXTURE!$B$2:$B$51,MATCH(L58,DAFTAR_FIXTURE!$A$2:$A$51,0)),""))</f>
        <v/>
      </c>
      <c r="S58" s="12">
        <f>IF(AND($D58="",L58=""),"",IF(L58="",IF(AND(T58="",AB58=""),"Belum ditempatkan",""),IF(R58="","CEK ID FIXTURE tidak ada di DAFTAR_FIXTURE",IF(M58="","CEK ZONA NO kosong",IF(ISNA(MATCH(R58&amp;"|"&amp;M58,LAYOUT!$E$2:$E$80,0)),"CEK ZONA NO di luar layout",IF(N58&lt;&gt;INDEX(LAYOUT!$D$2:$D$80,MATCH(R58&amp;"|"&amp;M58,LAYOUT!$E$2:$E$80,0)),"CEK JENIS ZONA",IF($D58="","Zona STOCK",IF($E58="","CEK SKU DESCRIPTION kosong",IF(AND(O58&lt;&gt;"",P58=""),"CEK URUTAN SAMBUNG kosong",IF(AND(O58&lt;&gt;"",LEFT(R58,6)="Endcap"),"CEK Endcap tidak ikut sambung","OK"))))))))))</f>
        <v/>
      </c>
      <c r="T58" s="11" t="n"/>
      <c r="U58" s="11" t="n"/>
      <c r="V58" s="11" t="n"/>
      <c r="W58" s="11" t="n"/>
      <c r="X58" s="11" t="n"/>
      <c r="Y58" s="11" t="n"/>
      <c r="Z58" s="12">
        <f>IF(T58="","",IFERROR(INDEX(DAFTAR_FIXTURE!$B$2:$B$51,MATCH(T58,DAFTAR_FIXTURE!$A$2:$A$51,0)),""))</f>
        <v/>
      </c>
      <c r="AA58" s="12">
        <f>IF(T58="","",IF(Z58="","CEK ID FIXTURE tidak ada di DAFTAR_FIXTURE",IF(U58="","CEK ZONA NO kosong",IF(ISNA(MATCH(Z58&amp;"|"&amp;U58,LAYOUT!$E$2:$E$80,0)),"CEK ZONA NO di luar layout",IF(V58&lt;&gt;INDEX(LAYOUT!$D$2:$D$80,MATCH(Z58&amp;"|"&amp;U58,LAYOUT!$E$2:$E$80,0)),"CEK JENIS ZONA",IF($D58="","Zona STOCK",IF($E58="","CEK SKU DESCRIPTION kosong",IF(AND(W58&lt;&gt;"",X58=""),"CEK URUTAN SAMBUNG kosong",IF(AND(W58&lt;&gt;"",LEFT(Z58,6)="Endcap"),"CEK Endcap tidak ikut sambung","OK")))))))))</f>
        <v/>
      </c>
      <c r="AB58" s="11" t="n"/>
      <c r="AC58" s="11" t="n"/>
      <c r="AD58" s="11" t="n"/>
      <c r="AE58" s="11" t="n"/>
      <c r="AF58" s="11" t="n"/>
      <c r="AG58" s="11" t="n"/>
      <c r="AH58" s="12">
        <f>IF(AB58="","",IFERROR(INDEX(DAFTAR_FIXTURE!$B$2:$B$51,MATCH(AB58,DAFTAR_FIXTURE!$A$2:$A$51,0)),""))</f>
        <v/>
      </c>
      <c r="AI58" s="12">
        <f>IF(AB58="","",IF(AH58="","CEK ID FIXTURE tidak ada di DAFTAR_FIXTURE",IF(AC58="","CEK ZONA NO kosong",IF(ISNA(MATCH(AH58&amp;"|"&amp;AC58,LAYOUT!$E$2:$E$80,0)),"CEK ZONA NO di luar layout",IF(AD58&lt;&gt;INDEX(LAYOUT!$D$2:$D$80,MATCH(AH58&amp;"|"&amp;AC58,LAYOUT!$E$2:$E$80,0)),"CEK JENIS ZONA",IF($D58="","Zona STOCK",IF($E58="","CEK SKU DESCRIPTION kosong",IF(AND(AE58&lt;&gt;"",AF58=""),"CEK URUTAN SAMBUNG kosong",IF(AND(AE58&lt;&gt;"",LEFT(AH58,6)="Endcap"),"CEK Endcap tidak ikut sambung","OK")))))))))</f>
        <v/>
      </c>
    </row>
    <row r="59">
      <c r="A59" s="10" t="n"/>
      <c r="B59" s="10" t="n"/>
      <c r="C59" s="10" t="n"/>
      <c r="D59" s="10" t="n"/>
      <c r="E59" s="10" t="n"/>
      <c r="F59" s="10" t="n"/>
      <c r="G59" s="10" t="n"/>
      <c r="H59" s="10" t="n"/>
      <c r="I59" s="10" t="n"/>
      <c r="J59" s="10" t="n"/>
      <c r="K59" s="10" t="n"/>
      <c r="L59" s="11" t="n"/>
      <c r="M59" s="11" t="n"/>
      <c r="N59" s="11" t="n"/>
      <c r="O59" s="11" t="n"/>
      <c r="P59" s="11" t="n"/>
      <c r="Q59" s="11" t="n"/>
      <c r="R59" s="12">
        <f>IF(L59="","",IFERROR(INDEX(DAFTAR_FIXTURE!$B$2:$B$51,MATCH(L59,DAFTAR_FIXTURE!$A$2:$A$51,0)),""))</f>
        <v/>
      </c>
      <c r="S59" s="12">
        <f>IF(AND($D59="",L59=""),"",IF(L59="",IF(AND(T59="",AB59=""),"Belum ditempatkan",""),IF(R59="","CEK ID FIXTURE tidak ada di DAFTAR_FIXTURE",IF(M59="","CEK ZONA NO kosong",IF(ISNA(MATCH(R59&amp;"|"&amp;M59,LAYOUT!$E$2:$E$80,0)),"CEK ZONA NO di luar layout",IF(N59&lt;&gt;INDEX(LAYOUT!$D$2:$D$80,MATCH(R59&amp;"|"&amp;M59,LAYOUT!$E$2:$E$80,0)),"CEK JENIS ZONA",IF($D59="","Zona STOCK",IF($E59="","CEK SKU DESCRIPTION kosong",IF(AND(O59&lt;&gt;"",P59=""),"CEK URUTAN SAMBUNG kosong",IF(AND(O59&lt;&gt;"",LEFT(R59,6)="Endcap"),"CEK Endcap tidak ikut sambung","OK"))))))))))</f>
        <v/>
      </c>
      <c r="T59" s="11" t="n"/>
      <c r="U59" s="11" t="n"/>
      <c r="V59" s="11" t="n"/>
      <c r="W59" s="11" t="n"/>
      <c r="X59" s="11" t="n"/>
      <c r="Y59" s="11" t="n"/>
      <c r="Z59" s="12">
        <f>IF(T59="","",IFERROR(INDEX(DAFTAR_FIXTURE!$B$2:$B$51,MATCH(T59,DAFTAR_FIXTURE!$A$2:$A$51,0)),""))</f>
        <v/>
      </c>
      <c r="AA59" s="12">
        <f>IF(T59="","",IF(Z59="","CEK ID FIXTURE tidak ada di DAFTAR_FIXTURE",IF(U59="","CEK ZONA NO kosong",IF(ISNA(MATCH(Z59&amp;"|"&amp;U59,LAYOUT!$E$2:$E$80,0)),"CEK ZONA NO di luar layout",IF(V59&lt;&gt;INDEX(LAYOUT!$D$2:$D$80,MATCH(Z59&amp;"|"&amp;U59,LAYOUT!$E$2:$E$80,0)),"CEK JENIS ZONA",IF($D59="","Zona STOCK",IF($E59="","CEK SKU DESCRIPTION kosong",IF(AND(W59&lt;&gt;"",X59=""),"CEK URUTAN SAMBUNG kosong",IF(AND(W59&lt;&gt;"",LEFT(Z59,6)="Endcap"),"CEK Endcap tidak ikut sambung","OK")))))))))</f>
        <v/>
      </c>
      <c r="AB59" s="11" t="n"/>
      <c r="AC59" s="11" t="n"/>
      <c r="AD59" s="11" t="n"/>
      <c r="AE59" s="11" t="n"/>
      <c r="AF59" s="11" t="n"/>
      <c r="AG59" s="11" t="n"/>
      <c r="AH59" s="12">
        <f>IF(AB59="","",IFERROR(INDEX(DAFTAR_FIXTURE!$B$2:$B$51,MATCH(AB59,DAFTAR_FIXTURE!$A$2:$A$51,0)),""))</f>
        <v/>
      </c>
      <c r="AI59" s="12">
        <f>IF(AB59="","",IF(AH59="","CEK ID FIXTURE tidak ada di DAFTAR_FIXTURE",IF(AC59="","CEK ZONA NO kosong",IF(ISNA(MATCH(AH59&amp;"|"&amp;AC59,LAYOUT!$E$2:$E$80,0)),"CEK ZONA NO di luar layout",IF(AD59&lt;&gt;INDEX(LAYOUT!$D$2:$D$80,MATCH(AH59&amp;"|"&amp;AC59,LAYOUT!$E$2:$E$80,0)),"CEK JENIS ZONA",IF($D59="","Zona STOCK",IF($E59="","CEK SKU DESCRIPTION kosong",IF(AND(AE59&lt;&gt;"",AF59=""),"CEK URUTAN SAMBUNG kosong",IF(AND(AE59&lt;&gt;"",LEFT(AH59,6)="Endcap"),"CEK Endcap tidak ikut sambung","OK")))))))))</f>
        <v/>
      </c>
    </row>
    <row r="60">
      <c r="A60" s="10" t="n"/>
      <c r="B60" s="10" t="n"/>
      <c r="C60" s="10" t="n"/>
      <c r="D60" s="10" t="n"/>
      <c r="E60" s="10" t="n"/>
      <c r="F60" s="10" t="n"/>
      <c r="G60" s="10" t="n"/>
      <c r="H60" s="10" t="n"/>
      <c r="I60" s="10" t="n"/>
      <c r="J60" s="10" t="n"/>
      <c r="K60" s="10" t="n"/>
      <c r="L60" s="11" t="n"/>
      <c r="M60" s="11" t="n"/>
      <c r="N60" s="11" t="n"/>
      <c r="O60" s="11" t="n"/>
      <c r="P60" s="11" t="n"/>
      <c r="Q60" s="11" t="n"/>
      <c r="R60" s="12">
        <f>IF(L60="","",IFERROR(INDEX(DAFTAR_FIXTURE!$B$2:$B$51,MATCH(L60,DAFTAR_FIXTURE!$A$2:$A$51,0)),""))</f>
        <v/>
      </c>
      <c r="S60" s="12">
        <f>IF(AND($D60="",L60=""),"",IF(L60="",IF(AND(T60="",AB60=""),"Belum ditempatkan",""),IF(R60="","CEK ID FIXTURE tidak ada di DAFTAR_FIXTURE",IF(M60="","CEK ZONA NO kosong",IF(ISNA(MATCH(R60&amp;"|"&amp;M60,LAYOUT!$E$2:$E$80,0)),"CEK ZONA NO di luar layout",IF(N60&lt;&gt;INDEX(LAYOUT!$D$2:$D$80,MATCH(R60&amp;"|"&amp;M60,LAYOUT!$E$2:$E$80,0)),"CEK JENIS ZONA",IF($D60="","Zona STOCK",IF($E60="","CEK SKU DESCRIPTION kosong",IF(AND(O60&lt;&gt;"",P60=""),"CEK URUTAN SAMBUNG kosong",IF(AND(O60&lt;&gt;"",LEFT(R60,6)="Endcap"),"CEK Endcap tidak ikut sambung","OK"))))))))))</f>
        <v/>
      </c>
      <c r="T60" s="11" t="n"/>
      <c r="U60" s="11" t="n"/>
      <c r="V60" s="11" t="n"/>
      <c r="W60" s="11" t="n"/>
      <c r="X60" s="11" t="n"/>
      <c r="Y60" s="11" t="n"/>
      <c r="Z60" s="12">
        <f>IF(T60="","",IFERROR(INDEX(DAFTAR_FIXTURE!$B$2:$B$51,MATCH(T60,DAFTAR_FIXTURE!$A$2:$A$51,0)),""))</f>
        <v/>
      </c>
      <c r="AA60" s="12">
        <f>IF(T60="","",IF(Z60="","CEK ID FIXTURE tidak ada di DAFTAR_FIXTURE",IF(U60="","CEK ZONA NO kosong",IF(ISNA(MATCH(Z60&amp;"|"&amp;U60,LAYOUT!$E$2:$E$80,0)),"CEK ZONA NO di luar layout",IF(V60&lt;&gt;INDEX(LAYOUT!$D$2:$D$80,MATCH(Z60&amp;"|"&amp;U60,LAYOUT!$E$2:$E$80,0)),"CEK JENIS ZONA",IF($D60="","Zona STOCK",IF($E60="","CEK SKU DESCRIPTION kosong",IF(AND(W60&lt;&gt;"",X60=""),"CEK URUTAN SAMBUNG kosong",IF(AND(W60&lt;&gt;"",LEFT(Z60,6)="Endcap"),"CEK Endcap tidak ikut sambung","OK")))))))))</f>
        <v/>
      </c>
      <c r="AB60" s="11" t="n"/>
      <c r="AC60" s="11" t="n"/>
      <c r="AD60" s="11" t="n"/>
      <c r="AE60" s="11" t="n"/>
      <c r="AF60" s="11" t="n"/>
      <c r="AG60" s="11" t="n"/>
      <c r="AH60" s="12">
        <f>IF(AB60="","",IFERROR(INDEX(DAFTAR_FIXTURE!$B$2:$B$51,MATCH(AB60,DAFTAR_FIXTURE!$A$2:$A$51,0)),""))</f>
        <v/>
      </c>
      <c r="AI60" s="12">
        <f>IF(AB60="","",IF(AH60="","CEK ID FIXTURE tidak ada di DAFTAR_FIXTURE",IF(AC60="","CEK ZONA NO kosong",IF(ISNA(MATCH(AH60&amp;"|"&amp;AC60,LAYOUT!$E$2:$E$80,0)),"CEK ZONA NO di luar layout",IF(AD60&lt;&gt;INDEX(LAYOUT!$D$2:$D$80,MATCH(AH60&amp;"|"&amp;AC60,LAYOUT!$E$2:$E$80,0)),"CEK JENIS ZONA",IF($D60="","Zona STOCK",IF($E60="","CEK SKU DESCRIPTION kosong",IF(AND(AE60&lt;&gt;"",AF60=""),"CEK URUTAN SAMBUNG kosong",IF(AND(AE60&lt;&gt;"",LEFT(AH60,6)="Endcap"),"CEK Endcap tidak ikut sambung","OK")))))))))</f>
        <v/>
      </c>
    </row>
    <row r="61">
      <c r="A61" s="10" t="n"/>
      <c r="B61" s="10" t="n"/>
      <c r="C61" s="10" t="n"/>
      <c r="D61" s="10" t="n"/>
      <c r="E61" s="10" t="n"/>
      <c r="F61" s="10" t="n"/>
      <c r="G61" s="10" t="n"/>
      <c r="H61" s="10" t="n"/>
      <c r="I61" s="10" t="n"/>
      <c r="J61" s="10" t="n"/>
      <c r="K61" s="10" t="n"/>
      <c r="L61" s="11" t="n"/>
      <c r="M61" s="11" t="n"/>
      <c r="N61" s="11" t="n"/>
      <c r="O61" s="11" t="n"/>
      <c r="P61" s="11" t="n"/>
      <c r="Q61" s="11" t="n"/>
      <c r="R61" s="12">
        <f>IF(L61="","",IFERROR(INDEX(DAFTAR_FIXTURE!$B$2:$B$51,MATCH(L61,DAFTAR_FIXTURE!$A$2:$A$51,0)),""))</f>
        <v/>
      </c>
      <c r="S61" s="12">
        <f>IF(AND($D61="",L61=""),"",IF(L61="",IF(AND(T61="",AB61=""),"Belum ditempatkan",""),IF(R61="","CEK ID FIXTURE tidak ada di DAFTAR_FIXTURE",IF(M61="","CEK ZONA NO kosong",IF(ISNA(MATCH(R61&amp;"|"&amp;M61,LAYOUT!$E$2:$E$80,0)),"CEK ZONA NO di luar layout",IF(N61&lt;&gt;INDEX(LAYOUT!$D$2:$D$80,MATCH(R61&amp;"|"&amp;M61,LAYOUT!$E$2:$E$80,0)),"CEK JENIS ZONA",IF($D61="","Zona STOCK",IF($E61="","CEK SKU DESCRIPTION kosong",IF(AND(O61&lt;&gt;"",P61=""),"CEK URUTAN SAMBUNG kosong",IF(AND(O61&lt;&gt;"",LEFT(R61,6)="Endcap"),"CEK Endcap tidak ikut sambung","OK"))))))))))</f>
        <v/>
      </c>
      <c r="T61" s="11" t="n"/>
      <c r="U61" s="11" t="n"/>
      <c r="V61" s="11" t="n"/>
      <c r="W61" s="11" t="n"/>
      <c r="X61" s="11" t="n"/>
      <c r="Y61" s="11" t="n"/>
      <c r="Z61" s="12">
        <f>IF(T61="","",IFERROR(INDEX(DAFTAR_FIXTURE!$B$2:$B$51,MATCH(T61,DAFTAR_FIXTURE!$A$2:$A$51,0)),""))</f>
        <v/>
      </c>
      <c r="AA61" s="12">
        <f>IF(T61="","",IF(Z61="","CEK ID FIXTURE tidak ada di DAFTAR_FIXTURE",IF(U61="","CEK ZONA NO kosong",IF(ISNA(MATCH(Z61&amp;"|"&amp;U61,LAYOUT!$E$2:$E$80,0)),"CEK ZONA NO di luar layout",IF(V61&lt;&gt;INDEX(LAYOUT!$D$2:$D$80,MATCH(Z61&amp;"|"&amp;U61,LAYOUT!$E$2:$E$80,0)),"CEK JENIS ZONA",IF($D61="","Zona STOCK",IF($E61="","CEK SKU DESCRIPTION kosong",IF(AND(W61&lt;&gt;"",X61=""),"CEK URUTAN SAMBUNG kosong",IF(AND(W61&lt;&gt;"",LEFT(Z61,6)="Endcap"),"CEK Endcap tidak ikut sambung","OK")))))))))</f>
        <v/>
      </c>
      <c r="AB61" s="11" t="n"/>
      <c r="AC61" s="11" t="n"/>
      <c r="AD61" s="11" t="n"/>
      <c r="AE61" s="11" t="n"/>
      <c r="AF61" s="11" t="n"/>
      <c r="AG61" s="11" t="n"/>
      <c r="AH61" s="12">
        <f>IF(AB61="","",IFERROR(INDEX(DAFTAR_FIXTURE!$B$2:$B$51,MATCH(AB61,DAFTAR_FIXTURE!$A$2:$A$51,0)),""))</f>
        <v/>
      </c>
      <c r="AI61" s="12">
        <f>IF(AB61="","",IF(AH61="","CEK ID FIXTURE tidak ada di DAFTAR_FIXTURE",IF(AC61="","CEK ZONA NO kosong",IF(ISNA(MATCH(AH61&amp;"|"&amp;AC61,LAYOUT!$E$2:$E$80,0)),"CEK ZONA NO di luar layout",IF(AD61&lt;&gt;INDEX(LAYOUT!$D$2:$D$80,MATCH(AH61&amp;"|"&amp;AC61,LAYOUT!$E$2:$E$80,0)),"CEK JENIS ZONA",IF($D61="","Zona STOCK",IF($E61="","CEK SKU DESCRIPTION kosong",IF(AND(AE61&lt;&gt;"",AF61=""),"CEK URUTAN SAMBUNG kosong",IF(AND(AE61&lt;&gt;"",LEFT(AH61,6)="Endcap"),"CEK Endcap tidak ikut sambung","OK")))))))))</f>
        <v/>
      </c>
    </row>
    <row r="62">
      <c r="A62" s="10" t="n"/>
      <c r="B62" s="10" t="n"/>
      <c r="C62" s="10" t="n"/>
      <c r="D62" s="10" t="n"/>
      <c r="E62" s="10" t="n"/>
      <c r="F62" s="10" t="n"/>
      <c r="G62" s="10" t="n"/>
      <c r="H62" s="10" t="n"/>
      <c r="I62" s="10" t="n"/>
      <c r="J62" s="10" t="n"/>
      <c r="K62" s="10" t="n"/>
      <c r="L62" s="11" t="n"/>
      <c r="M62" s="11" t="n"/>
      <c r="N62" s="11" t="n"/>
      <c r="O62" s="11" t="n"/>
      <c r="P62" s="11" t="n"/>
      <c r="Q62" s="11" t="n"/>
      <c r="R62" s="12">
        <f>IF(L62="","",IFERROR(INDEX(DAFTAR_FIXTURE!$B$2:$B$51,MATCH(L62,DAFTAR_FIXTURE!$A$2:$A$51,0)),""))</f>
        <v/>
      </c>
      <c r="S62" s="12">
        <f>IF(AND($D62="",L62=""),"",IF(L62="",IF(AND(T62="",AB62=""),"Belum ditempatkan",""),IF(R62="","CEK ID FIXTURE tidak ada di DAFTAR_FIXTURE",IF(M62="","CEK ZONA NO kosong",IF(ISNA(MATCH(R62&amp;"|"&amp;M62,LAYOUT!$E$2:$E$80,0)),"CEK ZONA NO di luar layout",IF(N62&lt;&gt;INDEX(LAYOUT!$D$2:$D$80,MATCH(R62&amp;"|"&amp;M62,LAYOUT!$E$2:$E$80,0)),"CEK JENIS ZONA",IF($D62="","Zona STOCK",IF($E62="","CEK SKU DESCRIPTION kosong",IF(AND(O62&lt;&gt;"",P62=""),"CEK URUTAN SAMBUNG kosong",IF(AND(O62&lt;&gt;"",LEFT(R62,6)="Endcap"),"CEK Endcap tidak ikut sambung","OK"))))))))))</f>
        <v/>
      </c>
      <c r="T62" s="11" t="n"/>
      <c r="U62" s="11" t="n"/>
      <c r="V62" s="11" t="n"/>
      <c r="W62" s="11" t="n"/>
      <c r="X62" s="11" t="n"/>
      <c r="Y62" s="11" t="n"/>
      <c r="Z62" s="12">
        <f>IF(T62="","",IFERROR(INDEX(DAFTAR_FIXTURE!$B$2:$B$51,MATCH(T62,DAFTAR_FIXTURE!$A$2:$A$51,0)),""))</f>
        <v/>
      </c>
      <c r="AA62" s="12">
        <f>IF(T62="","",IF(Z62="","CEK ID FIXTURE tidak ada di DAFTAR_FIXTURE",IF(U62="","CEK ZONA NO kosong",IF(ISNA(MATCH(Z62&amp;"|"&amp;U62,LAYOUT!$E$2:$E$80,0)),"CEK ZONA NO di luar layout",IF(V62&lt;&gt;INDEX(LAYOUT!$D$2:$D$80,MATCH(Z62&amp;"|"&amp;U62,LAYOUT!$E$2:$E$80,0)),"CEK JENIS ZONA",IF($D62="","Zona STOCK",IF($E62="","CEK SKU DESCRIPTION kosong",IF(AND(W62&lt;&gt;"",X62=""),"CEK URUTAN SAMBUNG kosong",IF(AND(W62&lt;&gt;"",LEFT(Z62,6)="Endcap"),"CEK Endcap tidak ikut sambung","OK")))))))))</f>
        <v/>
      </c>
      <c r="AB62" s="11" t="n"/>
      <c r="AC62" s="11" t="n"/>
      <c r="AD62" s="11" t="n"/>
      <c r="AE62" s="11" t="n"/>
      <c r="AF62" s="11" t="n"/>
      <c r="AG62" s="11" t="n"/>
      <c r="AH62" s="12">
        <f>IF(AB62="","",IFERROR(INDEX(DAFTAR_FIXTURE!$B$2:$B$51,MATCH(AB62,DAFTAR_FIXTURE!$A$2:$A$51,0)),""))</f>
        <v/>
      </c>
      <c r="AI62" s="12">
        <f>IF(AB62="","",IF(AH62="","CEK ID FIXTURE tidak ada di DAFTAR_FIXTURE",IF(AC62="","CEK ZONA NO kosong",IF(ISNA(MATCH(AH62&amp;"|"&amp;AC62,LAYOUT!$E$2:$E$80,0)),"CEK ZONA NO di luar layout",IF(AD62&lt;&gt;INDEX(LAYOUT!$D$2:$D$80,MATCH(AH62&amp;"|"&amp;AC62,LAYOUT!$E$2:$E$80,0)),"CEK JENIS ZONA",IF($D62="","Zona STOCK",IF($E62="","CEK SKU DESCRIPTION kosong",IF(AND(AE62&lt;&gt;"",AF62=""),"CEK URUTAN SAMBUNG kosong",IF(AND(AE62&lt;&gt;"",LEFT(AH62,6)="Endcap"),"CEK Endcap tidak ikut sambung","OK")))))))))</f>
        <v/>
      </c>
    </row>
    <row r="63">
      <c r="A63" s="10" t="n"/>
      <c r="B63" s="10" t="n"/>
      <c r="C63" s="10" t="n"/>
      <c r="D63" s="10" t="n"/>
      <c r="E63" s="10" t="n"/>
      <c r="F63" s="10" t="n"/>
      <c r="G63" s="10" t="n"/>
      <c r="H63" s="10" t="n"/>
      <c r="I63" s="10" t="n"/>
      <c r="J63" s="10" t="n"/>
      <c r="K63" s="10" t="n"/>
      <c r="L63" s="11" t="n"/>
      <c r="M63" s="11" t="n"/>
      <c r="N63" s="11" t="n"/>
      <c r="O63" s="11" t="n"/>
      <c r="P63" s="11" t="n"/>
      <c r="Q63" s="11" t="n"/>
      <c r="R63" s="12">
        <f>IF(L63="","",IFERROR(INDEX(DAFTAR_FIXTURE!$B$2:$B$51,MATCH(L63,DAFTAR_FIXTURE!$A$2:$A$51,0)),""))</f>
        <v/>
      </c>
      <c r="S63" s="12">
        <f>IF(AND($D63="",L63=""),"",IF(L63="",IF(AND(T63="",AB63=""),"Belum ditempatkan",""),IF(R63="","CEK ID FIXTURE tidak ada di DAFTAR_FIXTURE",IF(M63="","CEK ZONA NO kosong",IF(ISNA(MATCH(R63&amp;"|"&amp;M63,LAYOUT!$E$2:$E$80,0)),"CEK ZONA NO di luar layout",IF(N63&lt;&gt;INDEX(LAYOUT!$D$2:$D$80,MATCH(R63&amp;"|"&amp;M63,LAYOUT!$E$2:$E$80,0)),"CEK JENIS ZONA",IF($D63="","Zona STOCK",IF($E63="","CEK SKU DESCRIPTION kosong",IF(AND(O63&lt;&gt;"",P63=""),"CEK URUTAN SAMBUNG kosong",IF(AND(O63&lt;&gt;"",LEFT(R63,6)="Endcap"),"CEK Endcap tidak ikut sambung","OK"))))))))))</f>
        <v/>
      </c>
      <c r="T63" s="11" t="n"/>
      <c r="U63" s="11" t="n"/>
      <c r="V63" s="11" t="n"/>
      <c r="W63" s="11" t="n"/>
      <c r="X63" s="11" t="n"/>
      <c r="Y63" s="11" t="n"/>
      <c r="Z63" s="12">
        <f>IF(T63="","",IFERROR(INDEX(DAFTAR_FIXTURE!$B$2:$B$51,MATCH(T63,DAFTAR_FIXTURE!$A$2:$A$51,0)),""))</f>
        <v/>
      </c>
      <c r="AA63" s="12">
        <f>IF(T63="","",IF(Z63="","CEK ID FIXTURE tidak ada di DAFTAR_FIXTURE",IF(U63="","CEK ZONA NO kosong",IF(ISNA(MATCH(Z63&amp;"|"&amp;U63,LAYOUT!$E$2:$E$80,0)),"CEK ZONA NO di luar layout",IF(V63&lt;&gt;INDEX(LAYOUT!$D$2:$D$80,MATCH(Z63&amp;"|"&amp;U63,LAYOUT!$E$2:$E$80,0)),"CEK JENIS ZONA",IF($D63="","Zona STOCK",IF($E63="","CEK SKU DESCRIPTION kosong",IF(AND(W63&lt;&gt;"",X63=""),"CEK URUTAN SAMBUNG kosong",IF(AND(W63&lt;&gt;"",LEFT(Z63,6)="Endcap"),"CEK Endcap tidak ikut sambung","OK")))))))))</f>
        <v/>
      </c>
      <c r="AB63" s="11" t="n"/>
      <c r="AC63" s="11" t="n"/>
      <c r="AD63" s="11" t="n"/>
      <c r="AE63" s="11" t="n"/>
      <c r="AF63" s="11" t="n"/>
      <c r="AG63" s="11" t="n"/>
      <c r="AH63" s="12">
        <f>IF(AB63="","",IFERROR(INDEX(DAFTAR_FIXTURE!$B$2:$B$51,MATCH(AB63,DAFTAR_FIXTURE!$A$2:$A$51,0)),""))</f>
        <v/>
      </c>
      <c r="AI63" s="12">
        <f>IF(AB63="","",IF(AH63="","CEK ID FIXTURE tidak ada di DAFTAR_FIXTURE",IF(AC63="","CEK ZONA NO kosong",IF(ISNA(MATCH(AH63&amp;"|"&amp;AC63,LAYOUT!$E$2:$E$80,0)),"CEK ZONA NO di luar layout",IF(AD63&lt;&gt;INDEX(LAYOUT!$D$2:$D$80,MATCH(AH63&amp;"|"&amp;AC63,LAYOUT!$E$2:$E$80,0)),"CEK JENIS ZONA",IF($D63="","Zona STOCK",IF($E63="","CEK SKU DESCRIPTION kosong",IF(AND(AE63&lt;&gt;"",AF63=""),"CEK URUTAN SAMBUNG kosong",IF(AND(AE63&lt;&gt;"",LEFT(AH63,6)="Endcap"),"CEK Endcap tidak ikut sambung","OK")))))))))</f>
        <v/>
      </c>
    </row>
    <row r="64">
      <c r="A64" s="10" t="n"/>
      <c r="B64" s="10" t="n"/>
      <c r="C64" s="10" t="n"/>
      <c r="D64" s="10" t="n"/>
      <c r="E64" s="10" t="n"/>
      <c r="F64" s="10" t="n"/>
      <c r="G64" s="10" t="n"/>
      <c r="H64" s="10" t="n"/>
      <c r="I64" s="10" t="n"/>
      <c r="J64" s="10" t="n"/>
      <c r="K64" s="10" t="n"/>
      <c r="L64" s="11" t="n"/>
      <c r="M64" s="11" t="n"/>
      <c r="N64" s="11" t="n"/>
      <c r="O64" s="11" t="n"/>
      <c r="P64" s="11" t="n"/>
      <c r="Q64" s="11" t="n"/>
      <c r="R64" s="12">
        <f>IF(L64="","",IFERROR(INDEX(DAFTAR_FIXTURE!$B$2:$B$51,MATCH(L64,DAFTAR_FIXTURE!$A$2:$A$51,0)),""))</f>
        <v/>
      </c>
      <c r="S64" s="12">
        <f>IF(AND($D64="",L64=""),"",IF(L64="",IF(AND(T64="",AB64=""),"Belum ditempatkan",""),IF(R64="","CEK ID FIXTURE tidak ada di DAFTAR_FIXTURE",IF(M64="","CEK ZONA NO kosong",IF(ISNA(MATCH(R64&amp;"|"&amp;M64,LAYOUT!$E$2:$E$80,0)),"CEK ZONA NO di luar layout",IF(N64&lt;&gt;INDEX(LAYOUT!$D$2:$D$80,MATCH(R64&amp;"|"&amp;M64,LAYOUT!$E$2:$E$80,0)),"CEK JENIS ZONA",IF($D64="","Zona STOCK",IF($E64="","CEK SKU DESCRIPTION kosong",IF(AND(O64&lt;&gt;"",P64=""),"CEK URUTAN SAMBUNG kosong",IF(AND(O64&lt;&gt;"",LEFT(R64,6)="Endcap"),"CEK Endcap tidak ikut sambung","OK"))))))))))</f>
        <v/>
      </c>
      <c r="T64" s="11" t="n"/>
      <c r="U64" s="11" t="n"/>
      <c r="V64" s="11" t="n"/>
      <c r="W64" s="11" t="n"/>
      <c r="X64" s="11" t="n"/>
      <c r="Y64" s="11" t="n"/>
      <c r="Z64" s="12">
        <f>IF(T64="","",IFERROR(INDEX(DAFTAR_FIXTURE!$B$2:$B$51,MATCH(T64,DAFTAR_FIXTURE!$A$2:$A$51,0)),""))</f>
        <v/>
      </c>
      <c r="AA64" s="12">
        <f>IF(T64="","",IF(Z64="","CEK ID FIXTURE tidak ada di DAFTAR_FIXTURE",IF(U64="","CEK ZONA NO kosong",IF(ISNA(MATCH(Z64&amp;"|"&amp;U64,LAYOUT!$E$2:$E$80,0)),"CEK ZONA NO di luar layout",IF(V64&lt;&gt;INDEX(LAYOUT!$D$2:$D$80,MATCH(Z64&amp;"|"&amp;U64,LAYOUT!$E$2:$E$80,0)),"CEK JENIS ZONA",IF($D64="","Zona STOCK",IF($E64="","CEK SKU DESCRIPTION kosong",IF(AND(W64&lt;&gt;"",X64=""),"CEK URUTAN SAMBUNG kosong",IF(AND(W64&lt;&gt;"",LEFT(Z64,6)="Endcap"),"CEK Endcap tidak ikut sambung","OK")))))))))</f>
        <v/>
      </c>
      <c r="AB64" s="11" t="n"/>
      <c r="AC64" s="11" t="n"/>
      <c r="AD64" s="11" t="n"/>
      <c r="AE64" s="11" t="n"/>
      <c r="AF64" s="11" t="n"/>
      <c r="AG64" s="11" t="n"/>
      <c r="AH64" s="12">
        <f>IF(AB64="","",IFERROR(INDEX(DAFTAR_FIXTURE!$B$2:$B$51,MATCH(AB64,DAFTAR_FIXTURE!$A$2:$A$51,0)),""))</f>
        <v/>
      </c>
      <c r="AI64" s="12">
        <f>IF(AB64="","",IF(AH64="","CEK ID FIXTURE tidak ada di DAFTAR_FIXTURE",IF(AC64="","CEK ZONA NO kosong",IF(ISNA(MATCH(AH64&amp;"|"&amp;AC64,LAYOUT!$E$2:$E$80,0)),"CEK ZONA NO di luar layout",IF(AD64&lt;&gt;INDEX(LAYOUT!$D$2:$D$80,MATCH(AH64&amp;"|"&amp;AC64,LAYOUT!$E$2:$E$80,0)),"CEK JENIS ZONA",IF($D64="","Zona STOCK",IF($E64="","CEK SKU DESCRIPTION kosong",IF(AND(AE64&lt;&gt;"",AF64=""),"CEK URUTAN SAMBUNG kosong",IF(AND(AE64&lt;&gt;"",LEFT(AH64,6)="Endcap"),"CEK Endcap tidak ikut sambung","OK")))))))))</f>
        <v/>
      </c>
    </row>
    <row r="65">
      <c r="A65" s="10" t="n"/>
      <c r="B65" s="10" t="n"/>
      <c r="C65" s="10" t="n"/>
      <c r="D65" s="10" t="n"/>
      <c r="E65" s="10" t="n"/>
      <c r="F65" s="10" t="n"/>
      <c r="G65" s="10" t="n"/>
      <c r="H65" s="10" t="n"/>
      <c r="I65" s="10" t="n"/>
      <c r="J65" s="10" t="n"/>
      <c r="K65" s="10" t="n"/>
      <c r="L65" s="11" t="n"/>
      <c r="M65" s="11" t="n"/>
      <c r="N65" s="11" t="n"/>
      <c r="O65" s="11" t="n"/>
      <c r="P65" s="11" t="n"/>
      <c r="Q65" s="11" t="n"/>
      <c r="R65" s="12">
        <f>IF(L65="","",IFERROR(INDEX(DAFTAR_FIXTURE!$B$2:$B$51,MATCH(L65,DAFTAR_FIXTURE!$A$2:$A$51,0)),""))</f>
        <v/>
      </c>
      <c r="S65" s="12">
        <f>IF(AND($D65="",L65=""),"",IF(L65="",IF(AND(T65="",AB65=""),"Belum ditempatkan",""),IF(R65="","CEK ID FIXTURE tidak ada di DAFTAR_FIXTURE",IF(M65="","CEK ZONA NO kosong",IF(ISNA(MATCH(R65&amp;"|"&amp;M65,LAYOUT!$E$2:$E$80,0)),"CEK ZONA NO di luar layout",IF(N65&lt;&gt;INDEX(LAYOUT!$D$2:$D$80,MATCH(R65&amp;"|"&amp;M65,LAYOUT!$E$2:$E$80,0)),"CEK JENIS ZONA",IF($D65="","Zona STOCK",IF($E65="","CEK SKU DESCRIPTION kosong",IF(AND(O65&lt;&gt;"",P65=""),"CEK URUTAN SAMBUNG kosong",IF(AND(O65&lt;&gt;"",LEFT(R65,6)="Endcap"),"CEK Endcap tidak ikut sambung","OK"))))))))))</f>
        <v/>
      </c>
      <c r="T65" s="11" t="n"/>
      <c r="U65" s="11" t="n"/>
      <c r="V65" s="11" t="n"/>
      <c r="W65" s="11" t="n"/>
      <c r="X65" s="11" t="n"/>
      <c r="Y65" s="11" t="n"/>
      <c r="Z65" s="12">
        <f>IF(T65="","",IFERROR(INDEX(DAFTAR_FIXTURE!$B$2:$B$51,MATCH(T65,DAFTAR_FIXTURE!$A$2:$A$51,0)),""))</f>
        <v/>
      </c>
      <c r="AA65" s="12">
        <f>IF(T65="","",IF(Z65="","CEK ID FIXTURE tidak ada di DAFTAR_FIXTURE",IF(U65="","CEK ZONA NO kosong",IF(ISNA(MATCH(Z65&amp;"|"&amp;U65,LAYOUT!$E$2:$E$80,0)),"CEK ZONA NO di luar layout",IF(V65&lt;&gt;INDEX(LAYOUT!$D$2:$D$80,MATCH(Z65&amp;"|"&amp;U65,LAYOUT!$E$2:$E$80,0)),"CEK JENIS ZONA",IF($D65="","Zona STOCK",IF($E65="","CEK SKU DESCRIPTION kosong",IF(AND(W65&lt;&gt;"",X65=""),"CEK URUTAN SAMBUNG kosong",IF(AND(W65&lt;&gt;"",LEFT(Z65,6)="Endcap"),"CEK Endcap tidak ikut sambung","OK")))))))))</f>
        <v/>
      </c>
      <c r="AB65" s="11" t="n"/>
      <c r="AC65" s="11" t="n"/>
      <c r="AD65" s="11" t="n"/>
      <c r="AE65" s="11" t="n"/>
      <c r="AF65" s="11" t="n"/>
      <c r="AG65" s="11" t="n"/>
      <c r="AH65" s="12">
        <f>IF(AB65="","",IFERROR(INDEX(DAFTAR_FIXTURE!$B$2:$B$51,MATCH(AB65,DAFTAR_FIXTURE!$A$2:$A$51,0)),""))</f>
        <v/>
      </c>
      <c r="AI65" s="12">
        <f>IF(AB65="","",IF(AH65="","CEK ID FIXTURE tidak ada di DAFTAR_FIXTURE",IF(AC65="","CEK ZONA NO kosong",IF(ISNA(MATCH(AH65&amp;"|"&amp;AC65,LAYOUT!$E$2:$E$80,0)),"CEK ZONA NO di luar layout",IF(AD65&lt;&gt;INDEX(LAYOUT!$D$2:$D$80,MATCH(AH65&amp;"|"&amp;AC65,LAYOUT!$E$2:$E$80,0)),"CEK JENIS ZONA",IF($D65="","Zona STOCK",IF($E65="","CEK SKU DESCRIPTION kosong",IF(AND(AE65&lt;&gt;"",AF65=""),"CEK URUTAN SAMBUNG kosong",IF(AND(AE65&lt;&gt;"",LEFT(AH65,6)="Endcap"),"CEK Endcap tidak ikut sambung","OK")))))))))</f>
        <v/>
      </c>
    </row>
    <row r="66">
      <c r="A66" s="10" t="n"/>
      <c r="B66" s="10" t="n"/>
      <c r="C66" s="10" t="n"/>
      <c r="D66" s="10" t="n"/>
      <c r="E66" s="10" t="n"/>
      <c r="F66" s="10" t="n"/>
      <c r="G66" s="10" t="n"/>
      <c r="H66" s="10" t="n"/>
      <c r="I66" s="10" t="n"/>
      <c r="J66" s="10" t="n"/>
      <c r="K66" s="10" t="n"/>
      <c r="L66" s="11" t="n"/>
      <c r="M66" s="11" t="n"/>
      <c r="N66" s="11" t="n"/>
      <c r="O66" s="11" t="n"/>
      <c r="P66" s="11" t="n"/>
      <c r="Q66" s="11" t="n"/>
      <c r="R66" s="12">
        <f>IF(L66="","",IFERROR(INDEX(DAFTAR_FIXTURE!$B$2:$B$51,MATCH(L66,DAFTAR_FIXTURE!$A$2:$A$51,0)),""))</f>
        <v/>
      </c>
      <c r="S66" s="12">
        <f>IF(AND($D66="",L66=""),"",IF(L66="",IF(AND(T66="",AB66=""),"Belum ditempatkan",""),IF(R66="","CEK ID FIXTURE tidak ada di DAFTAR_FIXTURE",IF(M66="","CEK ZONA NO kosong",IF(ISNA(MATCH(R66&amp;"|"&amp;M66,LAYOUT!$E$2:$E$80,0)),"CEK ZONA NO di luar layout",IF(N66&lt;&gt;INDEX(LAYOUT!$D$2:$D$80,MATCH(R66&amp;"|"&amp;M66,LAYOUT!$E$2:$E$80,0)),"CEK JENIS ZONA",IF($D66="","Zona STOCK",IF($E66="","CEK SKU DESCRIPTION kosong",IF(AND(O66&lt;&gt;"",P66=""),"CEK URUTAN SAMBUNG kosong",IF(AND(O66&lt;&gt;"",LEFT(R66,6)="Endcap"),"CEK Endcap tidak ikut sambung","OK"))))))))))</f>
        <v/>
      </c>
      <c r="T66" s="11" t="n"/>
      <c r="U66" s="11" t="n"/>
      <c r="V66" s="11" t="n"/>
      <c r="W66" s="11" t="n"/>
      <c r="X66" s="11" t="n"/>
      <c r="Y66" s="11" t="n"/>
      <c r="Z66" s="12">
        <f>IF(T66="","",IFERROR(INDEX(DAFTAR_FIXTURE!$B$2:$B$51,MATCH(T66,DAFTAR_FIXTURE!$A$2:$A$51,0)),""))</f>
        <v/>
      </c>
      <c r="AA66" s="12">
        <f>IF(T66="","",IF(Z66="","CEK ID FIXTURE tidak ada di DAFTAR_FIXTURE",IF(U66="","CEK ZONA NO kosong",IF(ISNA(MATCH(Z66&amp;"|"&amp;U66,LAYOUT!$E$2:$E$80,0)),"CEK ZONA NO di luar layout",IF(V66&lt;&gt;INDEX(LAYOUT!$D$2:$D$80,MATCH(Z66&amp;"|"&amp;U66,LAYOUT!$E$2:$E$80,0)),"CEK JENIS ZONA",IF($D66="","Zona STOCK",IF($E66="","CEK SKU DESCRIPTION kosong",IF(AND(W66&lt;&gt;"",X66=""),"CEK URUTAN SAMBUNG kosong",IF(AND(W66&lt;&gt;"",LEFT(Z66,6)="Endcap"),"CEK Endcap tidak ikut sambung","OK")))))))))</f>
        <v/>
      </c>
      <c r="AB66" s="11" t="n"/>
      <c r="AC66" s="11" t="n"/>
      <c r="AD66" s="11" t="n"/>
      <c r="AE66" s="11" t="n"/>
      <c r="AF66" s="11" t="n"/>
      <c r="AG66" s="11" t="n"/>
      <c r="AH66" s="12">
        <f>IF(AB66="","",IFERROR(INDEX(DAFTAR_FIXTURE!$B$2:$B$51,MATCH(AB66,DAFTAR_FIXTURE!$A$2:$A$51,0)),""))</f>
        <v/>
      </c>
      <c r="AI66" s="12">
        <f>IF(AB66="","",IF(AH66="","CEK ID FIXTURE tidak ada di DAFTAR_FIXTURE",IF(AC66="","CEK ZONA NO kosong",IF(ISNA(MATCH(AH66&amp;"|"&amp;AC66,LAYOUT!$E$2:$E$80,0)),"CEK ZONA NO di luar layout",IF(AD66&lt;&gt;INDEX(LAYOUT!$D$2:$D$80,MATCH(AH66&amp;"|"&amp;AC66,LAYOUT!$E$2:$E$80,0)),"CEK JENIS ZONA",IF($D66="","Zona STOCK",IF($E66="","CEK SKU DESCRIPTION kosong",IF(AND(AE66&lt;&gt;"",AF66=""),"CEK URUTAN SAMBUNG kosong",IF(AND(AE66&lt;&gt;"",LEFT(AH66,6)="Endcap"),"CEK Endcap tidak ikut sambung","OK")))))))))</f>
        <v/>
      </c>
    </row>
    <row r="67">
      <c r="A67" s="10" t="n"/>
      <c r="B67" s="10" t="n"/>
      <c r="C67" s="10" t="n"/>
      <c r="D67" s="10" t="n"/>
      <c r="E67" s="10" t="n"/>
      <c r="F67" s="10" t="n"/>
      <c r="G67" s="10" t="n"/>
      <c r="H67" s="10" t="n"/>
      <c r="I67" s="10" t="n"/>
      <c r="J67" s="10" t="n"/>
      <c r="K67" s="10" t="n"/>
      <c r="L67" s="11" t="n"/>
      <c r="M67" s="11" t="n"/>
      <c r="N67" s="11" t="n"/>
      <c r="O67" s="11" t="n"/>
      <c r="P67" s="11" t="n"/>
      <c r="Q67" s="11" t="n"/>
      <c r="R67" s="12">
        <f>IF(L67="","",IFERROR(INDEX(DAFTAR_FIXTURE!$B$2:$B$51,MATCH(L67,DAFTAR_FIXTURE!$A$2:$A$51,0)),""))</f>
        <v/>
      </c>
      <c r="S67" s="12">
        <f>IF(AND($D67="",L67=""),"",IF(L67="",IF(AND(T67="",AB67=""),"Belum ditempatkan",""),IF(R67="","CEK ID FIXTURE tidak ada di DAFTAR_FIXTURE",IF(M67="","CEK ZONA NO kosong",IF(ISNA(MATCH(R67&amp;"|"&amp;M67,LAYOUT!$E$2:$E$80,0)),"CEK ZONA NO di luar layout",IF(N67&lt;&gt;INDEX(LAYOUT!$D$2:$D$80,MATCH(R67&amp;"|"&amp;M67,LAYOUT!$E$2:$E$80,0)),"CEK JENIS ZONA",IF($D67="","Zona STOCK",IF($E67="","CEK SKU DESCRIPTION kosong",IF(AND(O67&lt;&gt;"",P67=""),"CEK URUTAN SAMBUNG kosong",IF(AND(O67&lt;&gt;"",LEFT(R67,6)="Endcap"),"CEK Endcap tidak ikut sambung","OK"))))))))))</f>
        <v/>
      </c>
      <c r="T67" s="11" t="n"/>
      <c r="U67" s="11" t="n"/>
      <c r="V67" s="11" t="n"/>
      <c r="W67" s="11" t="n"/>
      <c r="X67" s="11" t="n"/>
      <c r="Y67" s="11" t="n"/>
      <c r="Z67" s="12">
        <f>IF(T67="","",IFERROR(INDEX(DAFTAR_FIXTURE!$B$2:$B$51,MATCH(T67,DAFTAR_FIXTURE!$A$2:$A$51,0)),""))</f>
        <v/>
      </c>
      <c r="AA67" s="12">
        <f>IF(T67="","",IF(Z67="","CEK ID FIXTURE tidak ada di DAFTAR_FIXTURE",IF(U67="","CEK ZONA NO kosong",IF(ISNA(MATCH(Z67&amp;"|"&amp;U67,LAYOUT!$E$2:$E$80,0)),"CEK ZONA NO di luar layout",IF(V67&lt;&gt;INDEX(LAYOUT!$D$2:$D$80,MATCH(Z67&amp;"|"&amp;U67,LAYOUT!$E$2:$E$80,0)),"CEK JENIS ZONA",IF($D67="","Zona STOCK",IF($E67="","CEK SKU DESCRIPTION kosong",IF(AND(W67&lt;&gt;"",X67=""),"CEK URUTAN SAMBUNG kosong",IF(AND(W67&lt;&gt;"",LEFT(Z67,6)="Endcap"),"CEK Endcap tidak ikut sambung","OK")))))))))</f>
        <v/>
      </c>
      <c r="AB67" s="11" t="n"/>
      <c r="AC67" s="11" t="n"/>
      <c r="AD67" s="11" t="n"/>
      <c r="AE67" s="11" t="n"/>
      <c r="AF67" s="11" t="n"/>
      <c r="AG67" s="11" t="n"/>
      <c r="AH67" s="12">
        <f>IF(AB67="","",IFERROR(INDEX(DAFTAR_FIXTURE!$B$2:$B$51,MATCH(AB67,DAFTAR_FIXTURE!$A$2:$A$51,0)),""))</f>
        <v/>
      </c>
      <c r="AI67" s="12">
        <f>IF(AB67="","",IF(AH67="","CEK ID FIXTURE tidak ada di DAFTAR_FIXTURE",IF(AC67="","CEK ZONA NO kosong",IF(ISNA(MATCH(AH67&amp;"|"&amp;AC67,LAYOUT!$E$2:$E$80,0)),"CEK ZONA NO di luar layout",IF(AD67&lt;&gt;INDEX(LAYOUT!$D$2:$D$80,MATCH(AH67&amp;"|"&amp;AC67,LAYOUT!$E$2:$E$80,0)),"CEK JENIS ZONA",IF($D67="","Zona STOCK",IF($E67="","CEK SKU DESCRIPTION kosong",IF(AND(AE67&lt;&gt;"",AF67=""),"CEK URUTAN SAMBUNG kosong",IF(AND(AE67&lt;&gt;"",LEFT(AH67,6)="Endcap"),"CEK Endcap tidak ikut sambung","OK")))))))))</f>
        <v/>
      </c>
    </row>
    <row r="68">
      <c r="A68" s="10" t="n"/>
      <c r="B68" s="10" t="n"/>
      <c r="C68" s="10" t="n"/>
      <c r="D68" s="10" t="n"/>
      <c r="E68" s="10" t="n"/>
      <c r="F68" s="10" t="n"/>
      <c r="G68" s="10" t="n"/>
      <c r="H68" s="10" t="n"/>
      <c r="I68" s="10" t="n"/>
      <c r="J68" s="10" t="n"/>
      <c r="K68" s="10" t="n"/>
      <c r="L68" s="11" t="n"/>
      <c r="M68" s="11" t="n"/>
      <c r="N68" s="11" t="n"/>
      <c r="O68" s="11" t="n"/>
      <c r="P68" s="11" t="n"/>
      <c r="Q68" s="11" t="n"/>
      <c r="R68" s="12">
        <f>IF(L68="","",IFERROR(INDEX(DAFTAR_FIXTURE!$B$2:$B$51,MATCH(L68,DAFTAR_FIXTURE!$A$2:$A$51,0)),""))</f>
        <v/>
      </c>
      <c r="S68" s="12">
        <f>IF(AND($D68="",L68=""),"",IF(L68="",IF(AND(T68="",AB68=""),"Belum ditempatkan",""),IF(R68="","CEK ID FIXTURE tidak ada di DAFTAR_FIXTURE",IF(M68="","CEK ZONA NO kosong",IF(ISNA(MATCH(R68&amp;"|"&amp;M68,LAYOUT!$E$2:$E$80,0)),"CEK ZONA NO di luar layout",IF(N68&lt;&gt;INDEX(LAYOUT!$D$2:$D$80,MATCH(R68&amp;"|"&amp;M68,LAYOUT!$E$2:$E$80,0)),"CEK JENIS ZONA",IF($D68="","Zona STOCK",IF($E68="","CEK SKU DESCRIPTION kosong",IF(AND(O68&lt;&gt;"",P68=""),"CEK URUTAN SAMBUNG kosong",IF(AND(O68&lt;&gt;"",LEFT(R68,6)="Endcap"),"CEK Endcap tidak ikut sambung","OK"))))))))))</f>
        <v/>
      </c>
      <c r="T68" s="11" t="n"/>
      <c r="U68" s="11" t="n"/>
      <c r="V68" s="11" t="n"/>
      <c r="W68" s="11" t="n"/>
      <c r="X68" s="11" t="n"/>
      <c r="Y68" s="11" t="n"/>
      <c r="Z68" s="12">
        <f>IF(T68="","",IFERROR(INDEX(DAFTAR_FIXTURE!$B$2:$B$51,MATCH(T68,DAFTAR_FIXTURE!$A$2:$A$51,0)),""))</f>
        <v/>
      </c>
      <c r="AA68" s="12">
        <f>IF(T68="","",IF(Z68="","CEK ID FIXTURE tidak ada di DAFTAR_FIXTURE",IF(U68="","CEK ZONA NO kosong",IF(ISNA(MATCH(Z68&amp;"|"&amp;U68,LAYOUT!$E$2:$E$80,0)),"CEK ZONA NO di luar layout",IF(V68&lt;&gt;INDEX(LAYOUT!$D$2:$D$80,MATCH(Z68&amp;"|"&amp;U68,LAYOUT!$E$2:$E$80,0)),"CEK JENIS ZONA",IF($D68="","Zona STOCK",IF($E68="","CEK SKU DESCRIPTION kosong",IF(AND(W68&lt;&gt;"",X68=""),"CEK URUTAN SAMBUNG kosong",IF(AND(W68&lt;&gt;"",LEFT(Z68,6)="Endcap"),"CEK Endcap tidak ikut sambung","OK")))))))))</f>
        <v/>
      </c>
      <c r="AB68" s="11" t="n"/>
      <c r="AC68" s="11" t="n"/>
      <c r="AD68" s="11" t="n"/>
      <c r="AE68" s="11" t="n"/>
      <c r="AF68" s="11" t="n"/>
      <c r="AG68" s="11" t="n"/>
      <c r="AH68" s="12">
        <f>IF(AB68="","",IFERROR(INDEX(DAFTAR_FIXTURE!$B$2:$B$51,MATCH(AB68,DAFTAR_FIXTURE!$A$2:$A$51,0)),""))</f>
        <v/>
      </c>
      <c r="AI68" s="12">
        <f>IF(AB68="","",IF(AH68="","CEK ID FIXTURE tidak ada di DAFTAR_FIXTURE",IF(AC68="","CEK ZONA NO kosong",IF(ISNA(MATCH(AH68&amp;"|"&amp;AC68,LAYOUT!$E$2:$E$80,0)),"CEK ZONA NO di luar layout",IF(AD68&lt;&gt;INDEX(LAYOUT!$D$2:$D$80,MATCH(AH68&amp;"|"&amp;AC68,LAYOUT!$E$2:$E$80,0)),"CEK JENIS ZONA",IF($D68="","Zona STOCK",IF($E68="","CEK SKU DESCRIPTION kosong",IF(AND(AE68&lt;&gt;"",AF68=""),"CEK URUTAN SAMBUNG kosong",IF(AND(AE68&lt;&gt;"",LEFT(AH68,6)="Endcap"),"CEK Endcap tidak ikut sambung","OK")))))))))</f>
        <v/>
      </c>
    </row>
    <row r="69">
      <c r="A69" s="10" t="n"/>
      <c r="B69" s="10" t="n"/>
      <c r="C69" s="10" t="n"/>
      <c r="D69" s="10" t="n"/>
      <c r="E69" s="10" t="n"/>
      <c r="F69" s="10" t="n"/>
      <c r="G69" s="10" t="n"/>
      <c r="H69" s="10" t="n"/>
      <c r="I69" s="10" t="n"/>
      <c r="J69" s="10" t="n"/>
      <c r="K69" s="10" t="n"/>
      <c r="L69" s="11" t="n"/>
      <c r="M69" s="11" t="n"/>
      <c r="N69" s="11" t="n"/>
      <c r="O69" s="11" t="n"/>
      <c r="P69" s="11" t="n"/>
      <c r="Q69" s="11" t="n"/>
      <c r="R69" s="12">
        <f>IF(L69="","",IFERROR(INDEX(DAFTAR_FIXTURE!$B$2:$B$51,MATCH(L69,DAFTAR_FIXTURE!$A$2:$A$51,0)),""))</f>
        <v/>
      </c>
      <c r="S69" s="12">
        <f>IF(AND($D69="",L69=""),"",IF(L69="",IF(AND(T69="",AB69=""),"Belum ditempatkan",""),IF(R69="","CEK ID FIXTURE tidak ada di DAFTAR_FIXTURE",IF(M69="","CEK ZONA NO kosong",IF(ISNA(MATCH(R69&amp;"|"&amp;M69,LAYOUT!$E$2:$E$80,0)),"CEK ZONA NO di luar layout",IF(N69&lt;&gt;INDEX(LAYOUT!$D$2:$D$80,MATCH(R69&amp;"|"&amp;M69,LAYOUT!$E$2:$E$80,0)),"CEK JENIS ZONA",IF($D69="","Zona STOCK",IF($E69="","CEK SKU DESCRIPTION kosong",IF(AND(O69&lt;&gt;"",P69=""),"CEK URUTAN SAMBUNG kosong",IF(AND(O69&lt;&gt;"",LEFT(R69,6)="Endcap"),"CEK Endcap tidak ikut sambung","OK"))))))))))</f>
        <v/>
      </c>
      <c r="T69" s="11" t="n"/>
      <c r="U69" s="11" t="n"/>
      <c r="V69" s="11" t="n"/>
      <c r="W69" s="11" t="n"/>
      <c r="X69" s="11" t="n"/>
      <c r="Y69" s="11" t="n"/>
      <c r="Z69" s="12">
        <f>IF(T69="","",IFERROR(INDEX(DAFTAR_FIXTURE!$B$2:$B$51,MATCH(T69,DAFTAR_FIXTURE!$A$2:$A$51,0)),""))</f>
        <v/>
      </c>
      <c r="AA69" s="12">
        <f>IF(T69="","",IF(Z69="","CEK ID FIXTURE tidak ada di DAFTAR_FIXTURE",IF(U69="","CEK ZONA NO kosong",IF(ISNA(MATCH(Z69&amp;"|"&amp;U69,LAYOUT!$E$2:$E$80,0)),"CEK ZONA NO di luar layout",IF(V69&lt;&gt;INDEX(LAYOUT!$D$2:$D$80,MATCH(Z69&amp;"|"&amp;U69,LAYOUT!$E$2:$E$80,0)),"CEK JENIS ZONA",IF($D69="","Zona STOCK",IF($E69="","CEK SKU DESCRIPTION kosong",IF(AND(W69&lt;&gt;"",X69=""),"CEK URUTAN SAMBUNG kosong",IF(AND(W69&lt;&gt;"",LEFT(Z69,6)="Endcap"),"CEK Endcap tidak ikut sambung","OK")))))))))</f>
        <v/>
      </c>
      <c r="AB69" s="11" t="n"/>
      <c r="AC69" s="11" t="n"/>
      <c r="AD69" s="11" t="n"/>
      <c r="AE69" s="11" t="n"/>
      <c r="AF69" s="11" t="n"/>
      <c r="AG69" s="11" t="n"/>
      <c r="AH69" s="12">
        <f>IF(AB69="","",IFERROR(INDEX(DAFTAR_FIXTURE!$B$2:$B$51,MATCH(AB69,DAFTAR_FIXTURE!$A$2:$A$51,0)),""))</f>
        <v/>
      </c>
      <c r="AI69" s="12">
        <f>IF(AB69="","",IF(AH69="","CEK ID FIXTURE tidak ada di DAFTAR_FIXTURE",IF(AC69="","CEK ZONA NO kosong",IF(ISNA(MATCH(AH69&amp;"|"&amp;AC69,LAYOUT!$E$2:$E$80,0)),"CEK ZONA NO di luar layout",IF(AD69&lt;&gt;INDEX(LAYOUT!$D$2:$D$80,MATCH(AH69&amp;"|"&amp;AC69,LAYOUT!$E$2:$E$80,0)),"CEK JENIS ZONA",IF($D69="","Zona STOCK",IF($E69="","CEK SKU DESCRIPTION kosong",IF(AND(AE69&lt;&gt;"",AF69=""),"CEK URUTAN SAMBUNG kosong",IF(AND(AE69&lt;&gt;"",LEFT(AH69,6)="Endcap"),"CEK Endcap tidak ikut sambung","OK")))))))))</f>
        <v/>
      </c>
    </row>
    <row r="70">
      <c r="A70" s="10" t="n"/>
      <c r="B70" s="10" t="n"/>
      <c r="C70" s="10" t="n"/>
      <c r="D70" s="10" t="n"/>
      <c r="E70" s="10" t="n"/>
      <c r="F70" s="10" t="n"/>
      <c r="G70" s="10" t="n"/>
      <c r="H70" s="10" t="n"/>
      <c r="I70" s="10" t="n"/>
      <c r="J70" s="10" t="n"/>
      <c r="K70" s="10" t="n"/>
      <c r="L70" s="11" t="n"/>
      <c r="M70" s="11" t="n"/>
      <c r="N70" s="11" t="n"/>
      <c r="O70" s="11" t="n"/>
      <c r="P70" s="11" t="n"/>
      <c r="Q70" s="11" t="n"/>
      <c r="R70" s="12">
        <f>IF(L70="","",IFERROR(INDEX(DAFTAR_FIXTURE!$B$2:$B$51,MATCH(L70,DAFTAR_FIXTURE!$A$2:$A$51,0)),""))</f>
        <v/>
      </c>
      <c r="S70" s="12">
        <f>IF(AND($D70="",L70=""),"",IF(L70="",IF(AND(T70="",AB70=""),"Belum ditempatkan",""),IF(R70="","CEK ID FIXTURE tidak ada di DAFTAR_FIXTURE",IF(M70="","CEK ZONA NO kosong",IF(ISNA(MATCH(R70&amp;"|"&amp;M70,LAYOUT!$E$2:$E$80,0)),"CEK ZONA NO di luar layout",IF(N70&lt;&gt;INDEX(LAYOUT!$D$2:$D$80,MATCH(R70&amp;"|"&amp;M70,LAYOUT!$E$2:$E$80,0)),"CEK JENIS ZONA",IF($D70="","Zona STOCK",IF($E70="","CEK SKU DESCRIPTION kosong",IF(AND(O70&lt;&gt;"",P70=""),"CEK URUTAN SAMBUNG kosong",IF(AND(O70&lt;&gt;"",LEFT(R70,6)="Endcap"),"CEK Endcap tidak ikut sambung","OK"))))))))))</f>
        <v/>
      </c>
      <c r="T70" s="11" t="n"/>
      <c r="U70" s="11" t="n"/>
      <c r="V70" s="11" t="n"/>
      <c r="W70" s="11" t="n"/>
      <c r="X70" s="11" t="n"/>
      <c r="Y70" s="11" t="n"/>
      <c r="Z70" s="12">
        <f>IF(T70="","",IFERROR(INDEX(DAFTAR_FIXTURE!$B$2:$B$51,MATCH(T70,DAFTAR_FIXTURE!$A$2:$A$51,0)),""))</f>
        <v/>
      </c>
      <c r="AA70" s="12">
        <f>IF(T70="","",IF(Z70="","CEK ID FIXTURE tidak ada di DAFTAR_FIXTURE",IF(U70="","CEK ZONA NO kosong",IF(ISNA(MATCH(Z70&amp;"|"&amp;U70,LAYOUT!$E$2:$E$80,0)),"CEK ZONA NO di luar layout",IF(V70&lt;&gt;INDEX(LAYOUT!$D$2:$D$80,MATCH(Z70&amp;"|"&amp;U70,LAYOUT!$E$2:$E$80,0)),"CEK JENIS ZONA",IF($D70="","Zona STOCK",IF($E70="","CEK SKU DESCRIPTION kosong",IF(AND(W70&lt;&gt;"",X70=""),"CEK URUTAN SAMBUNG kosong",IF(AND(W70&lt;&gt;"",LEFT(Z70,6)="Endcap"),"CEK Endcap tidak ikut sambung","OK")))))))))</f>
        <v/>
      </c>
      <c r="AB70" s="11" t="n"/>
      <c r="AC70" s="11" t="n"/>
      <c r="AD70" s="11" t="n"/>
      <c r="AE70" s="11" t="n"/>
      <c r="AF70" s="11" t="n"/>
      <c r="AG70" s="11" t="n"/>
      <c r="AH70" s="12">
        <f>IF(AB70="","",IFERROR(INDEX(DAFTAR_FIXTURE!$B$2:$B$51,MATCH(AB70,DAFTAR_FIXTURE!$A$2:$A$51,0)),""))</f>
        <v/>
      </c>
      <c r="AI70" s="12">
        <f>IF(AB70="","",IF(AH70="","CEK ID FIXTURE tidak ada di DAFTAR_FIXTURE",IF(AC70="","CEK ZONA NO kosong",IF(ISNA(MATCH(AH70&amp;"|"&amp;AC70,LAYOUT!$E$2:$E$80,0)),"CEK ZONA NO di luar layout",IF(AD70&lt;&gt;INDEX(LAYOUT!$D$2:$D$80,MATCH(AH70&amp;"|"&amp;AC70,LAYOUT!$E$2:$E$80,0)),"CEK JENIS ZONA",IF($D70="","Zona STOCK",IF($E70="","CEK SKU DESCRIPTION kosong",IF(AND(AE70&lt;&gt;"",AF70=""),"CEK URUTAN SAMBUNG kosong",IF(AND(AE70&lt;&gt;"",LEFT(AH70,6)="Endcap"),"CEK Endcap tidak ikut sambung","OK")))))))))</f>
        <v/>
      </c>
    </row>
    <row r="71">
      <c r="A71" s="10" t="n"/>
      <c r="B71" s="10" t="n"/>
      <c r="C71" s="10" t="n"/>
      <c r="D71" s="10" t="n"/>
      <c r="E71" s="10" t="n"/>
      <c r="F71" s="10" t="n"/>
      <c r="G71" s="10" t="n"/>
      <c r="H71" s="10" t="n"/>
      <c r="I71" s="10" t="n"/>
      <c r="J71" s="10" t="n"/>
      <c r="K71" s="10" t="n"/>
      <c r="L71" s="11" t="n"/>
      <c r="M71" s="11" t="n"/>
      <c r="N71" s="11" t="n"/>
      <c r="O71" s="11" t="n"/>
      <c r="P71" s="11" t="n"/>
      <c r="Q71" s="11" t="n"/>
      <c r="R71" s="12">
        <f>IF(L71="","",IFERROR(INDEX(DAFTAR_FIXTURE!$B$2:$B$51,MATCH(L71,DAFTAR_FIXTURE!$A$2:$A$51,0)),""))</f>
        <v/>
      </c>
      <c r="S71" s="12">
        <f>IF(AND($D71="",L71=""),"",IF(L71="",IF(AND(T71="",AB71=""),"Belum ditempatkan",""),IF(R71="","CEK ID FIXTURE tidak ada di DAFTAR_FIXTURE",IF(M71="","CEK ZONA NO kosong",IF(ISNA(MATCH(R71&amp;"|"&amp;M71,LAYOUT!$E$2:$E$80,0)),"CEK ZONA NO di luar layout",IF(N71&lt;&gt;INDEX(LAYOUT!$D$2:$D$80,MATCH(R71&amp;"|"&amp;M71,LAYOUT!$E$2:$E$80,0)),"CEK JENIS ZONA",IF($D71="","Zona STOCK",IF($E71="","CEK SKU DESCRIPTION kosong",IF(AND(O71&lt;&gt;"",P71=""),"CEK URUTAN SAMBUNG kosong",IF(AND(O71&lt;&gt;"",LEFT(R71,6)="Endcap"),"CEK Endcap tidak ikut sambung","OK"))))))))))</f>
        <v/>
      </c>
      <c r="T71" s="11" t="n"/>
      <c r="U71" s="11" t="n"/>
      <c r="V71" s="11" t="n"/>
      <c r="W71" s="11" t="n"/>
      <c r="X71" s="11" t="n"/>
      <c r="Y71" s="11" t="n"/>
      <c r="Z71" s="12">
        <f>IF(T71="","",IFERROR(INDEX(DAFTAR_FIXTURE!$B$2:$B$51,MATCH(T71,DAFTAR_FIXTURE!$A$2:$A$51,0)),""))</f>
        <v/>
      </c>
      <c r="AA71" s="12">
        <f>IF(T71="","",IF(Z71="","CEK ID FIXTURE tidak ada di DAFTAR_FIXTURE",IF(U71="","CEK ZONA NO kosong",IF(ISNA(MATCH(Z71&amp;"|"&amp;U71,LAYOUT!$E$2:$E$80,0)),"CEK ZONA NO di luar layout",IF(V71&lt;&gt;INDEX(LAYOUT!$D$2:$D$80,MATCH(Z71&amp;"|"&amp;U71,LAYOUT!$E$2:$E$80,0)),"CEK JENIS ZONA",IF($D71="","Zona STOCK",IF($E71="","CEK SKU DESCRIPTION kosong",IF(AND(W71&lt;&gt;"",X71=""),"CEK URUTAN SAMBUNG kosong",IF(AND(W71&lt;&gt;"",LEFT(Z71,6)="Endcap"),"CEK Endcap tidak ikut sambung","OK")))))))))</f>
        <v/>
      </c>
      <c r="AB71" s="11" t="n"/>
      <c r="AC71" s="11" t="n"/>
      <c r="AD71" s="11" t="n"/>
      <c r="AE71" s="11" t="n"/>
      <c r="AF71" s="11" t="n"/>
      <c r="AG71" s="11" t="n"/>
      <c r="AH71" s="12">
        <f>IF(AB71="","",IFERROR(INDEX(DAFTAR_FIXTURE!$B$2:$B$51,MATCH(AB71,DAFTAR_FIXTURE!$A$2:$A$51,0)),""))</f>
        <v/>
      </c>
      <c r="AI71" s="12">
        <f>IF(AB71="","",IF(AH71="","CEK ID FIXTURE tidak ada di DAFTAR_FIXTURE",IF(AC71="","CEK ZONA NO kosong",IF(ISNA(MATCH(AH71&amp;"|"&amp;AC71,LAYOUT!$E$2:$E$80,0)),"CEK ZONA NO di luar layout",IF(AD71&lt;&gt;INDEX(LAYOUT!$D$2:$D$80,MATCH(AH71&amp;"|"&amp;AC71,LAYOUT!$E$2:$E$80,0)),"CEK JENIS ZONA",IF($D71="","Zona STOCK",IF($E71="","CEK SKU DESCRIPTION kosong",IF(AND(AE71&lt;&gt;"",AF71=""),"CEK URUTAN SAMBUNG kosong",IF(AND(AE71&lt;&gt;"",LEFT(AH71,6)="Endcap"),"CEK Endcap tidak ikut sambung","OK")))))))))</f>
        <v/>
      </c>
    </row>
    <row r="72">
      <c r="A72" s="10" t="n"/>
      <c r="B72" s="10" t="n"/>
      <c r="C72" s="10" t="n"/>
      <c r="D72" s="10" t="n"/>
      <c r="E72" s="10" t="n"/>
      <c r="F72" s="10" t="n"/>
      <c r="G72" s="10" t="n"/>
      <c r="H72" s="10" t="n"/>
      <c r="I72" s="10" t="n"/>
      <c r="J72" s="10" t="n"/>
      <c r="K72" s="10" t="n"/>
      <c r="L72" s="11" t="n"/>
      <c r="M72" s="11" t="n"/>
      <c r="N72" s="11" t="n"/>
      <c r="O72" s="11" t="n"/>
      <c r="P72" s="11" t="n"/>
      <c r="Q72" s="11" t="n"/>
      <c r="R72" s="12">
        <f>IF(L72="","",IFERROR(INDEX(DAFTAR_FIXTURE!$B$2:$B$51,MATCH(L72,DAFTAR_FIXTURE!$A$2:$A$51,0)),""))</f>
        <v/>
      </c>
      <c r="S72" s="12">
        <f>IF(AND($D72="",L72=""),"",IF(L72="",IF(AND(T72="",AB72=""),"Belum ditempatkan",""),IF(R72="","CEK ID FIXTURE tidak ada di DAFTAR_FIXTURE",IF(M72="","CEK ZONA NO kosong",IF(ISNA(MATCH(R72&amp;"|"&amp;M72,LAYOUT!$E$2:$E$80,0)),"CEK ZONA NO di luar layout",IF(N72&lt;&gt;INDEX(LAYOUT!$D$2:$D$80,MATCH(R72&amp;"|"&amp;M72,LAYOUT!$E$2:$E$80,0)),"CEK JENIS ZONA",IF($D72="","Zona STOCK",IF($E72="","CEK SKU DESCRIPTION kosong",IF(AND(O72&lt;&gt;"",P72=""),"CEK URUTAN SAMBUNG kosong",IF(AND(O72&lt;&gt;"",LEFT(R72,6)="Endcap"),"CEK Endcap tidak ikut sambung","OK"))))))))))</f>
        <v/>
      </c>
      <c r="T72" s="11" t="n"/>
      <c r="U72" s="11" t="n"/>
      <c r="V72" s="11" t="n"/>
      <c r="W72" s="11" t="n"/>
      <c r="X72" s="11" t="n"/>
      <c r="Y72" s="11" t="n"/>
      <c r="Z72" s="12">
        <f>IF(T72="","",IFERROR(INDEX(DAFTAR_FIXTURE!$B$2:$B$51,MATCH(T72,DAFTAR_FIXTURE!$A$2:$A$51,0)),""))</f>
        <v/>
      </c>
      <c r="AA72" s="12">
        <f>IF(T72="","",IF(Z72="","CEK ID FIXTURE tidak ada di DAFTAR_FIXTURE",IF(U72="","CEK ZONA NO kosong",IF(ISNA(MATCH(Z72&amp;"|"&amp;U72,LAYOUT!$E$2:$E$80,0)),"CEK ZONA NO di luar layout",IF(V72&lt;&gt;INDEX(LAYOUT!$D$2:$D$80,MATCH(Z72&amp;"|"&amp;U72,LAYOUT!$E$2:$E$80,0)),"CEK JENIS ZONA",IF($D72="","Zona STOCK",IF($E72="","CEK SKU DESCRIPTION kosong",IF(AND(W72&lt;&gt;"",X72=""),"CEK URUTAN SAMBUNG kosong",IF(AND(W72&lt;&gt;"",LEFT(Z72,6)="Endcap"),"CEK Endcap tidak ikut sambung","OK")))))))))</f>
        <v/>
      </c>
      <c r="AB72" s="11" t="n"/>
      <c r="AC72" s="11" t="n"/>
      <c r="AD72" s="11" t="n"/>
      <c r="AE72" s="11" t="n"/>
      <c r="AF72" s="11" t="n"/>
      <c r="AG72" s="11" t="n"/>
      <c r="AH72" s="12">
        <f>IF(AB72="","",IFERROR(INDEX(DAFTAR_FIXTURE!$B$2:$B$51,MATCH(AB72,DAFTAR_FIXTURE!$A$2:$A$51,0)),""))</f>
        <v/>
      </c>
      <c r="AI72" s="12">
        <f>IF(AB72="","",IF(AH72="","CEK ID FIXTURE tidak ada di DAFTAR_FIXTURE",IF(AC72="","CEK ZONA NO kosong",IF(ISNA(MATCH(AH72&amp;"|"&amp;AC72,LAYOUT!$E$2:$E$80,0)),"CEK ZONA NO di luar layout",IF(AD72&lt;&gt;INDEX(LAYOUT!$D$2:$D$80,MATCH(AH72&amp;"|"&amp;AC72,LAYOUT!$E$2:$E$80,0)),"CEK JENIS ZONA",IF($D72="","Zona STOCK",IF($E72="","CEK SKU DESCRIPTION kosong",IF(AND(AE72&lt;&gt;"",AF72=""),"CEK URUTAN SAMBUNG kosong",IF(AND(AE72&lt;&gt;"",LEFT(AH72,6)="Endcap"),"CEK Endcap tidak ikut sambung","OK")))))))))</f>
        <v/>
      </c>
    </row>
    <row r="73">
      <c r="A73" s="10" t="n"/>
      <c r="B73" s="10" t="n"/>
      <c r="C73" s="10" t="n"/>
      <c r="D73" s="10" t="n"/>
      <c r="E73" s="10" t="n"/>
      <c r="F73" s="10" t="n"/>
      <c r="G73" s="10" t="n"/>
      <c r="H73" s="10" t="n"/>
      <c r="I73" s="10" t="n"/>
      <c r="J73" s="10" t="n"/>
      <c r="K73" s="10" t="n"/>
      <c r="L73" s="11" t="n"/>
      <c r="M73" s="11" t="n"/>
      <c r="N73" s="11" t="n"/>
      <c r="O73" s="11" t="n"/>
      <c r="P73" s="11" t="n"/>
      <c r="Q73" s="11" t="n"/>
      <c r="R73" s="12">
        <f>IF(L73="","",IFERROR(INDEX(DAFTAR_FIXTURE!$B$2:$B$51,MATCH(L73,DAFTAR_FIXTURE!$A$2:$A$51,0)),""))</f>
        <v/>
      </c>
      <c r="S73" s="12">
        <f>IF(AND($D73="",L73=""),"",IF(L73="",IF(AND(T73="",AB73=""),"Belum ditempatkan",""),IF(R73="","CEK ID FIXTURE tidak ada di DAFTAR_FIXTURE",IF(M73="","CEK ZONA NO kosong",IF(ISNA(MATCH(R73&amp;"|"&amp;M73,LAYOUT!$E$2:$E$80,0)),"CEK ZONA NO di luar layout",IF(N73&lt;&gt;INDEX(LAYOUT!$D$2:$D$80,MATCH(R73&amp;"|"&amp;M73,LAYOUT!$E$2:$E$80,0)),"CEK JENIS ZONA",IF($D73="","Zona STOCK",IF($E73="","CEK SKU DESCRIPTION kosong",IF(AND(O73&lt;&gt;"",P73=""),"CEK URUTAN SAMBUNG kosong",IF(AND(O73&lt;&gt;"",LEFT(R73,6)="Endcap"),"CEK Endcap tidak ikut sambung","OK"))))))))))</f>
        <v/>
      </c>
      <c r="T73" s="11" t="n"/>
      <c r="U73" s="11" t="n"/>
      <c r="V73" s="11" t="n"/>
      <c r="W73" s="11" t="n"/>
      <c r="X73" s="11" t="n"/>
      <c r="Y73" s="11" t="n"/>
      <c r="Z73" s="12">
        <f>IF(T73="","",IFERROR(INDEX(DAFTAR_FIXTURE!$B$2:$B$51,MATCH(T73,DAFTAR_FIXTURE!$A$2:$A$51,0)),""))</f>
        <v/>
      </c>
      <c r="AA73" s="12">
        <f>IF(T73="","",IF(Z73="","CEK ID FIXTURE tidak ada di DAFTAR_FIXTURE",IF(U73="","CEK ZONA NO kosong",IF(ISNA(MATCH(Z73&amp;"|"&amp;U73,LAYOUT!$E$2:$E$80,0)),"CEK ZONA NO di luar layout",IF(V73&lt;&gt;INDEX(LAYOUT!$D$2:$D$80,MATCH(Z73&amp;"|"&amp;U73,LAYOUT!$E$2:$E$80,0)),"CEK JENIS ZONA",IF($D73="","Zona STOCK",IF($E73="","CEK SKU DESCRIPTION kosong",IF(AND(W73&lt;&gt;"",X73=""),"CEK URUTAN SAMBUNG kosong",IF(AND(W73&lt;&gt;"",LEFT(Z73,6)="Endcap"),"CEK Endcap tidak ikut sambung","OK")))))))))</f>
        <v/>
      </c>
      <c r="AB73" s="11" t="n"/>
      <c r="AC73" s="11" t="n"/>
      <c r="AD73" s="11" t="n"/>
      <c r="AE73" s="11" t="n"/>
      <c r="AF73" s="11" t="n"/>
      <c r="AG73" s="11" t="n"/>
      <c r="AH73" s="12">
        <f>IF(AB73="","",IFERROR(INDEX(DAFTAR_FIXTURE!$B$2:$B$51,MATCH(AB73,DAFTAR_FIXTURE!$A$2:$A$51,0)),""))</f>
        <v/>
      </c>
      <c r="AI73" s="12">
        <f>IF(AB73="","",IF(AH73="","CEK ID FIXTURE tidak ada di DAFTAR_FIXTURE",IF(AC73="","CEK ZONA NO kosong",IF(ISNA(MATCH(AH73&amp;"|"&amp;AC73,LAYOUT!$E$2:$E$80,0)),"CEK ZONA NO di luar layout",IF(AD73&lt;&gt;INDEX(LAYOUT!$D$2:$D$80,MATCH(AH73&amp;"|"&amp;AC73,LAYOUT!$E$2:$E$80,0)),"CEK JENIS ZONA",IF($D73="","Zona STOCK",IF($E73="","CEK SKU DESCRIPTION kosong",IF(AND(AE73&lt;&gt;"",AF73=""),"CEK URUTAN SAMBUNG kosong",IF(AND(AE73&lt;&gt;"",LEFT(AH73,6)="Endcap"),"CEK Endcap tidak ikut sambung","OK")))))))))</f>
        <v/>
      </c>
    </row>
    <row r="74">
      <c r="A74" s="10" t="n"/>
      <c r="B74" s="10" t="n"/>
      <c r="C74" s="10" t="n"/>
      <c r="D74" s="10" t="n"/>
      <c r="E74" s="10" t="n"/>
      <c r="F74" s="10" t="n"/>
      <c r="G74" s="10" t="n"/>
      <c r="H74" s="10" t="n"/>
      <c r="I74" s="10" t="n"/>
      <c r="J74" s="10" t="n"/>
      <c r="K74" s="10" t="n"/>
      <c r="L74" s="11" t="n"/>
      <c r="M74" s="11" t="n"/>
      <c r="N74" s="11" t="n"/>
      <c r="O74" s="11" t="n"/>
      <c r="P74" s="11" t="n"/>
      <c r="Q74" s="11" t="n"/>
      <c r="R74" s="12">
        <f>IF(L74="","",IFERROR(INDEX(DAFTAR_FIXTURE!$B$2:$B$51,MATCH(L74,DAFTAR_FIXTURE!$A$2:$A$51,0)),""))</f>
        <v/>
      </c>
      <c r="S74" s="12">
        <f>IF(AND($D74="",L74=""),"",IF(L74="",IF(AND(T74="",AB74=""),"Belum ditempatkan",""),IF(R74="","CEK ID FIXTURE tidak ada di DAFTAR_FIXTURE",IF(M74="","CEK ZONA NO kosong",IF(ISNA(MATCH(R74&amp;"|"&amp;M74,LAYOUT!$E$2:$E$80,0)),"CEK ZONA NO di luar layout",IF(N74&lt;&gt;INDEX(LAYOUT!$D$2:$D$80,MATCH(R74&amp;"|"&amp;M74,LAYOUT!$E$2:$E$80,0)),"CEK JENIS ZONA",IF($D74="","Zona STOCK",IF($E74="","CEK SKU DESCRIPTION kosong",IF(AND(O74&lt;&gt;"",P74=""),"CEK URUTAN SAMBUNG kosong",IF(AND(O74&lt;&gt;"",LEFT(R74,6)="Endcap"),"CEK Endcap tidak ikut sambung","OK"))))))))))</f>
        <v/>
      </c>
      <c r="T74" s="11" t="n"/>
      <c r="U74" s="11" t="n"/>
      <c r="V74" s="11" t="n"/>
      <c r="W74" s="11" t="n"/>
      <c r="X74" s="11" t="n"/>
      <c r="Y74" s="11" t="n"/>
      <c r="Z74" s="12">
        <f>IF(T74="","",IFERROR(INDEX(DAFTAR_FIXTURE!$B$2:$B$51,MATCH(T74,DAFTAR_FIXTURE!$A$2:$A$51,0)),""))</f>
        <v/>
      </c>
      <c r="AA74" s="12">
        <f>IF(T74="","",IF(Z74="","CEK ID FIXTURE tidak ada di DAFTAR_FIXTURE",IF(U74="","CEK ZONA NO kosong",IF(ISNA(MATCH(Z74&amp;"|"&amp;U74,LAYOUT!$E$2:$E$80,0)),"CEK ZONA NO di luar layout",IF(V74&lt;&gt;INDEX(LAYOUT!$D$2:$D$80,MATCH(Z74&amp;"|"&amp;U74,LAYOUT!$E$2:$E$80,0)),"CEK JENIS ZONA",IF($D74="","Zona STOCK",IF($E74="","CEK SKU DESCRIPTION kosong",IF(AND(W74&lt;&gt;"",X74=""),"CEK URUTAN SAMBUNG kosong",IF(AND(W74&lt;&gt;"",LEFT(Z74,6)="Endcap"),"CEK Endcap tidak ikut sambung","OK")))))))))</f>
        <v/>
      </c>
      <c r="AB74" s="11" t="n"/>
      <c r="AC74" s="11" t="n"/>
      <c r="AD74" s="11" t="n"/>
      <c r="AE74" s="11" t="n"/>
      <c r="AF74" s="11" t="n"/>
      <c r="AG74" s="11" t="n"/>
      <c r="AH74" s="12">
        <f>IF(AB74="","",IFERROR(INDEX(DAFTAR_FIXTURE!$B$2:$B$51,MATCH(AB74,DAFTAR_FIXTURE!$A$2:$A$51,0)),""))</f>
        <v/>
      </c>
      <c r="AI74" s="12">
        <f>IF(AB74="","",IF(AH74="","CEK ID FIXTURE tidak ada di DAFTAR_FIXTURE",IF(AC74="","CEK ZONA NO kosong",IF(ISNA(MATCH(AH74&amp;"|"&amp;AC74,LAYOUT!$E$2:$E$80,0)),"CEK ZONA NO di luar layout",IF(AD74&lt;&gt;INDEX(LAYOUT!$D$2:$D$80,MATCH(AH74&amp;"|"&amp;AC74,LAYOUT!$E$2:$E$80,0)),"CEK JENIS ZONA",IF($D74="","Zona STOCK",IF($E74="","CEK SKU DESCRIPTION kosong",IF(AND(AE74&lt;&gt;"",AF74=""),"CEK URUTAN SAMBUNG kosong",IF(AND(AE74&lt;&gt;"",LEFT(AH74,6)="Endcap"),"CEK Endcap tidak ikut sambung","OK")))))))))</f>
        <v/>
      </c>
    </row>
    <row r="75">
      <c r="A75" s="10" t="n"/>
      <c r="B75" s="10" t="n"/>
      <c r="C75" s="10" t="n"/>
      <c r="D75" s="10" t="n"/>
      <c r="E75" s="10" t="n"/>
      <c r="F75" s="10" t="n"/>
      <c r="G75" s="10" t="n"/>
      <c r="H75" s="10" t="n"/>
      <c r="I75" s="10" t="n"/>
      <c r="J75" s="10" t="n"/>
      <c r="K75" s="10" t="n"/>
      <c r="L75" s="11" t="n"/>
      <c r="M75" s="11" t="n"/>
      <c r="N75" s="11" t="n"/>
      <c r="O75" s="11" t="n"/>
      <c r="P75" s="11" t="n"/>
      <c r="Q75" s="11" t="n"/>
      <c r="R75" s="12">
        <f>IF(L75="","",IFERROR(INDEX(DAFTAR_FIXTURE!$B$2:$B$51,MATCH(L75,DAFTAR_FIXTURE!$A$2:$A$51,0)),""))</f>
        <v/>
      </c>
      <c r="S75" s="12">
        <f>IF(AND($D75="",L75=""),"",IF(L75="",IF(AND(T75="",AB75=""),"Belum ditempatkan",""),IF(R75="","CEK ID FIXTURE tidak ada di DAFTAR_FIXTURE",IF(M75="","CEK ZONA NO kosong",IF(ISNA(MATCH(R75&amp;"|"&amp;M75,LAYOUT!$E$2:$E$80,0)),"CEK ZONA NO di luar layout",IF(N75&lt;&gt;INDEX(LAYOUT!$D$2:$D$80,MATCH(R75&amp;"|"&amp;M75,LAYOUT!$E$2:$E$80,0)),"CEK JENIS ZONA",IF($D75="","Zona STOCK",IF($E75="","CEK SKU DESCRIPTION kosong",IF(AND(O75&lt;&gt;"",P75=""),"CEK URUTAN SAMBUNG kosong",IF(AND(O75&lt;&gt;"",LEFT(R75,6)="Endcap"),"CEK Endcap tidak ikut sambung","OK"))))))))))</f>
        <v/>
      </c>
      <c r="T75" s="11" t="n"/>
      <c r="U75" s="11" t="n"/>
      <c r="V75" s="11" t="n"/>
      <c r="W75" s="11" t="n"/>
      <c r="X75" s="11" t="n"/>
      <c r="Y75" s="11" t="n"/>
      <c r="Z75" s="12">
        <f>IF(T75="","",IFERROR(INDEX(DAFTAR_FIXTURE!$B$2:$B$51,MATCH(T75,DAFTAR_FIXTURE!$A$2:$A$51,0)),""))</f>
        <v/>
      </c>
      <c r="AA75" s="12">
        <f>IF(T75="","",IF(Z75="","CEK ID FIXTURE tidak ada di DAFTAR_FIXTURE",IF(U75="","CEK ZONA NO kosong",IF(ISNA(MATCH(Z75&amp;"|"&amp;U75,LAYOUT!$E$2:$E$80,0)),"CEK ZONA NO di luar layout",IF(V75&lt;&gt;INDEX(LAYOUT!$D$2:$D$80,MATCH(Z75&amp;"|"&amp;U75,LAYOUT!$E$2:$E$80,0)),"CEK JENIS ZONA",IF($D75="","Zona STOCK",IF($E75="","CEK SKU DESCRIPTION kosong",IF(AND(W75&lt;&gt;"",X75=""),"CEK URUTAN SAMBUNG kosong",IF(AND(W75&lt;&gt;"",LEFT(Z75,6)="Endcap"),"CEK Endcap tidak ikut sambung","OK")))))))))</f>
        <v/>
      </c>
      <c r="AB75" s="11" t="n"/>
      <c r="AC75" s="11" t="n"/>
      <c r="AD75" s="11" t="n"/>
      <c r="AE75" s="11" t="n"/>
      <c r="AF75" s="11" t="n"/>
      <c r="AG75" s="11" t="n"/>
      <c r="AH75" s="12">
        <f>IF(AB75="","",IFERROR(INDEX(DAFTAR_FIXTURE!$B$2:$B$51,MATCH(AB75,DAFTAR_FIXTURE!$A$2:$A$51,0)),""))</f>
        <v/>
      </c>
      <c r="AI75" s="12">
        <f>IF(AB75="","",IF(AH75="","CEK ID FIXTURE tidak ada di DAFTAR_FIXTURE",IF(AC75="","CEK ZONA NO kosong",IF(ISNA(MATCH(AH75&amp;"|"&amp;AC75,LAYOUT!$E$2:$E$80,0)),"CEK ZONA NO di luar layout",IF(AD75&lt;&gt;INDEX(LAYOUT!$D$2:$D$80,MATCH(AH75&amp;"|"&amp;AC75,LAYOUT!$E$2:$E$80,0)),"CEK JENIS ZONA",IF($D75="","Zona STOCK",IF($E75="","CEK SKU DESCRIPTION kosong",IF(AND(AE75&lt;&gt;"",AF75=""),"CEK URUTAN SAMBUNG kosong",IF(AND(AE75&lt;&gt;"",LEFT(AH75,6)="Endcap"),"CEK Endcap tidak ikut sambung","OK")))))))))</f>
        <v/>
      </c>
    </row>
    <row r="76">
      <c r="A76" s="10" t="n"/>
      <c r="B76" s="10" t="n"/>
      <c r="C76" s="10" t="n"/>
      <c r="D76" s="10" t="n"/>
      <c r="E76" s="10" t="n"/>
      <c r="F76" s="10" t="n"/>
      <c r="G76" s="10" t="n"/>
      <c r="H76" s="10" t="n"/>
      <c r="I76" s="10" t="n"/>
      <c r="J76" s="10" t="n"/>
      <c r="K76" s="10" t="n"/>
      <c r="L76" s="11" t="n"/>
      <c r="M76" s="11" t="n"/>
      <c r="N76" s="11" t="n"/>
      <c r="O76" s="11" t="n"/>
      <c r="P76" s="11" t="n"/>
      <c r="Q76" s="11" t="n"/>
      <c r="R76" s="12">
        <f>IF(L76="","",IFERROR(INDEX(DAFTAR_FIXTURE!$B$2:$B$51,MATCH(L76,DAFTAR_FIXTURE!$A$2:$A$51,0)),""))</f>
        <v/>
      </c>
      <c r="S76" s="12">
        <f>IF(AND($D76="",L76=""),"",IF(L76="",IF(AND(T76="",AB76=""),"Belum ditempatkan",""),IF(R76="","CEK ID FIXTURE tidak ada di DAFTAR_FIXTURE",IF(M76="","CEK ZONA NO kosong",IF(ISNA(MATCH(R76&amp;"|"&amp;M76,LAYOUT!$E$2:$E$80,0)),"CEK ZONA NO di luar layout",IF(N76&lt;&gt;INDEX(LAYOUT!$D$2:$D$80,MATCH(R76&amp;"|"&amp;M76,LAYOUT!$E$2:$E$80,0)),"CEK JENIS ZONA",IF($D76="","Zona STOCK",IF($E76="","CEK SKU DESCRIPTION kosong",IF(AND(O76&lt;&gt;"",P76=""),"CEK URUTAN SAMBUNG kosong",IF(AND(O76&lt;&gt;"",LEFT(R76,6)="Endcap"),"CEK Endcap tidak ikut sambung","OK"))))))))))</f>
        <v/>
      </c>
      <c r="T76" s="11" t="n"/>
      <c r="U76" s="11" t="n"/>
      <c r="V76" s="11" t="n"/>
      <c r="W76" s="11" t="n"/>
      <c r="X76" s="11" t="n"/>
      <c r="Y76" s="11" t="n"/>
      <c r="Z76" s="12">
        <f>IF(T76="","",IFERROR(INDEX(DAFTAR_FIXTURE!$B$2:$B$51,MATCH(T76,DAFTAR_FIXTURE!$A$2:$A$51,0)),""))</f>
        <v/>
      </c>
      <c r="AA76" s="12">
        <f>IF(T76="","",IF(Z76="","CEK ID FIXTURE tidak ada di DAFTAR_FIXTURE",IF(U76="","CEK ZONA NO kosong",IF(ISNA(MATCH(Z76&amp;"|"&amp;U76,LAYOUT!$E$2:$E$80,0)),"CEK ZONA NO di luar layout",IF(V76&lt;&gt;INDEX(LAYOUT!$D$2:$D$80,MATCH(Z76&amp;"|"&amp;U76,LAYOUT!$E$2:$E$80,0)),"CEK JENIS ZONA",IF($D76="","Zona STOCK",IF($E76="","CEK SKU DESCRIPTION kosong",IF(AND(W76&lt;&gt;"",X76=""),"CEK URUTAN SAMBUNG kosong",IF(AND(W76&lt;&gt;"",LEFT(Z76,6)="Endcap"),"CEK Endcap tidak ikut sambung","OK")))))))))</f>
        <v/>
      </c>
      <c r="AB76" s="11" t="n"/>
      <c r="AC76" s="11" t="n"/>
      <c r="AD76" s="11" t="n"/>
      <c r="AE76" s="11" t="n"/>
      <c r="AF76" s="11" t="n"/>
      <c r="AG76" s="11" t="n"/>
      <c r="AH76" s="12">
        <f>IF(AB76="","",IFERROR(INDEX(DAFTAR_FIXTURE!$B$2:$B$51,MATCH(AB76,DAFTAR_FIXTURE!$A$2:$A$51,0)),""))</f>
        <v/>
      </c>
      <c r="AI76" s="12">
        <f>IF(AB76="","",IF(AH76="","CEK ID FIXTURE tidak ada di DAFTAR_FIXTURE",IF(AC76="","CEK ZONA NO kosong",IF(ISNA(MATCH(AH76&amp;"|"&amp;AC76,LAYOUT!$E$2:$E$80,0)),"CEK ZONA NO di luar layout",IF(AD76&lt;&gt;INDEX(LAYOUT!$D$2:$D$80,MATCH(AH76&amp;"|"&amp;AC76,LAYOUT!$E$2:$E$80,0)),"CEK JENIS ZONA",IF($D76="","Zona STOCK",IF($E76="","CEK SKU DESCRIPTION kosong",IF(AND(AE76&lt;&gt;"",AF76=""),"CEK URUTAN SAMBUNG kosong",IF(AND(AE76&lt;&gt;"",LEFT(AH76,6)="Endcap"),"CEK Endcap tidak ikut sambung","OK")))))))))</f>
        <v/>
      </c>
    </row>
    <row r="77">
      <c r="A77" s="10" t="n"/>
      <c r="B77" s="10" t="n"/>
      <c r="C77" s="10" t="n"/>
      <c r="D77" s="10" t="n"/>
      <c r="E77" s="10" t="n"/>
      <c r="F77" s="10" t="n"/>
      <c r="G77" s="10" t="n"/>
      <c r="H77" s="10" t="n"/>
      <c r="I77" s="10" t="n"/>
      <c r="J77" s="10" t="n"/>
      <c r="K77" s="10" t="n"/>
      <c r="L77" s="11" t="n"/>
      <c r="M77" s="11" t="n"/>
      <c r="N77" s="11" t="n"/>
      <c r="O77" s="11" t="n"/>
      <c r="P77" s="11" t="n"/>
      <c r="Q77" s="11" t="n"/>
      <c r="R77" s="12">
        <f>IF(L77="","",IFERROR(INDEX(DAFTAR_FIXTURE!$B$2:$B$51,MATCH(L77,DAFTAR_FIXTURE!$A$2:$A$51,0)),""))</f>
        <v/>
      </c>
      <c r="S77" s="12">
        <f>IF(AND($D77="",L77=""),"",IF(L77="",IF(AND(T77="",AB77=""),"Belum ditempatkan",""),IF(R77="","CEK ID FIXTURE tidak ada di DAFTAR_FIXTURE",IF(M77="","CEK ZONA NO kosong",IF(ISNA(MATCH(R77&amp;"|"&amp;M77,LAYOUT!$E$2:$E$80,0)),"CEK ZONA NO di luar layout",IF(N77&lt;&gt;INDEX(LAYOUT!$D$2:$D$80,MATCH(R77&amp;"|"&amp;M77,LAYOUT!$E$2:$E$80,0)),"CEK JENIS ZONA",IF($D77="","Zona STOCK",IF($E77="","CEK SKU DESCRIPTION kosong",IF(AND(O77&lt;&gt;"",P77=""),"CEK URUTAN SAMBUNG kosong",IF(AND(O77&lt;&gt;"",LEFT(R77,6)="Endcap"),"CEK Endcap tidak ikut sambung","OK"))))))))))</f>
        <v/>
      </c>
      <c r="T77" s="11" t="n"/>
      <c r="U77" s="11" t="n"/>
      <c r="V77" s="11" t="n"/>
      <c r="W77" s="11" t="n"/>
      <c r="X77" s="11" t="n"/>
      <c r="Y77" s="11" t="n"/>
      <c r="Z77" s="12">
        <f>IF(T77="","",IFERROR(INDEX(DAFTAR_FIXTURE!$B$2:$B$51,MATCH(T77,DAFTAR_FIXTURE!$A$2:$A$51,0)),""))</f>
        <v/>
      </c>
      <c r="AA77" s="12">
        <f>IF(T77="","",IF(Z77="","CEK ID FIXTURE tidak ada di DAFTAR_FIXTURE",IF(U77="","CEK ZONA NO kosong",IF(ISNA(MATCH(Z77&amp;"|"&amp;U77,LAYOUT!$E$2:$E$80,0)),"CEK ZONA NO di luar layout",IF(V77&lt;&gt;INDEX(LAYOUT!$D$2:$D$80,MATCH(Z77&amp;"|"&amp;U77,LAYOUT!$E$2:$E$80,0)),"CEK JENIS ZONA",IF($D77="","Zona STOCK",IF($E77="","CEK SKU DESCRIPTION kosong",IF(AND(W77&lt;&gt;"",X77=""),"CEK URUTAN SAMBUNG kosong",IF(AND(W77&lt;&gt;"",LEFT(Z77,6)="Endcap"),"CEK Endcap tidak ikut sambung","OK")))))))))</f>
        <v/>
      </c>
      <c r="AB77" s="11" t="n"/>
      <c r="AC77" s="11" t="n"/>
      <c r="AD77" s="11" t="n"/>
      <c r="AE77" s="11" t="n"/>
      <c r="AF77" s="11" t="n"/>
      <c r="AG77" s="11" t="n"/>
      <c r="AH77" s="12">
        <f>IF(AB77="","",IFERROR(INDEX(DAFTAR_FIXTURE!$B$2:$B$51,MATCH(AB77,DAFTAR_FIXTURE!$A$2:$A$51,0)),""))</f>
        <v/>
      </c>
      <c r="AI77" s="12">
        <f>IF(AB77="","",IF(AH77="","CEK ID FIXTURE tidak ada di DAFTAR_FIXTURE",IF(AC77="","CEK ZONA NO kosong",IF(ISNA(MATCH(AH77&amp;"|"&amp;AC77,LAYOUT!$E$2:$E$80,0)),"CEK ZONA NO di luar layout",IF(AD77&lt;&gt;INDEX(LAYOUT!$D$2:$D$80,MATCH(AH77&amp;"|"&amp;AC77,LAYOUT!$E$2:$E$80,0)),"CEK JENIS ZONA",IF($D77="","Zona STOCK",IF($E77="","CEK SKU DESCRIPTION kosong",IF(AND(AE77&lt;&gt;"",AF77=""),"CEK URUTAN SAMBUNG kosong",IF(AND(AE77&lt;&gt;"",LEFT(AH77,6)="Endcap"),"CEK Endcap tidak ikut sambung","OK")))))))))</f>
        <v/>
      </c>
    </row>
    <row r="78">
      <c r="A78" s="10" t="n"/>
      <c r="B78" s="10" t="n"/>
      <c r="C78" s="10" t="n"/>
      <c r="D78" s="10" t="n"/>
      <c r="E78" s="10" t="n"/>
      <c r="F78" s="10" t="n"/>
      <c r="G78" s="10" t="n"/>
      <c r="H78" s="10" t="n"/>
      <c r="I78" s="10" t="n"/>
      <c r="J78" s="10" t="n"/>
      <c r="K78" s="10" t="n"/>
      <c r="L78" s="11" t="n"/>
      <c r="M78" s="11" t="n"/>
      <c r="N78" s="11" t="n"/>
      <c r="O78" s="11" t="n"/>
      <c r="P78" s="11" t="n"/>
      <c r="Q78" s="11" t="n"/>
      <c r="R78" s="12">
        <f>IF(L78="","",IFERROR(INDEX(DAFTAR_FIXTURE!$B$2:$B$51,MATCH(L78,DAFTAR_FIXTURE!$A$2:$A$51,0)),""))</f>
        <v/>
      </c>
      <c r="S78" s="12">
        <f>IF(AND($D78="",L78=""),"",IF(L78="",IF(AND(T78="",AB78=""),"Belum ditempatkan",""),IF(R78="","CEK ID FIXTURE tidak ada di DAFTAR_FIXTURE",IF(M78="","CEK ZONA NO kosong",IF(ISNA(MATCH(R78&amp;"|"&amp;M78,LAYOUT!$E$2:$E$80,0)),"CEK ZONA NO di luar layout",IF(N78&lt;&gt;INDEX(LAYOUT!$D$2:$D$80,MATCH(R78&amp;"|"&amp;M78,LAYOUT!$E$2:$E$80,0)),"CEK JENIS ZONA",IF($D78="","Zona STOCK",IF($E78="","CEK SKU DESCRIPTION kosong",IF(AND(O78&lt;&gt;"",P78=""),"CEK URUTAN SAMBUNG kosong",IF(AND(O78&lt;&gt;"",LEFT(R78,6)="Endcap"),"CEK Endcap tidak ikut sambung","OK"))))))))))</f>
        <v/>
      </c>
      <c r="T78" s="11" t="n"/>
      <c r="U78" s="11" t="n"/>
      <c r="V78" s="11" t="n"/>
      <c r="W78" s="11" t="n"/>
      <c r="X78" s="11" t="n"/>
      <c r="Y78" s="11" t="n"/>
      <c r="Z78" s="12">
        <f>IF(T78="","",IFERROR(INDEX(DAFTAR_FIXTURE!$B$2:$B$51,MATCH(T78,DAFTAR_FIXTURE!$A$2:$A$51,0)),""))</f>
        <v/>
      </c>
      <c r="AA78" s="12">
        <f>IF(T78="","",IF(Z78="","CEK ID FIXTURE tidak ada di DAFTAR_FIXTURE",IF(U78="","CEK ZONA NO kosong",IF(ISNA(MATCH(Z78&amp;"|"&amp;U78,LAYOUT!$E$2:$E$80,0)),"CEK ZONA NO di luar layout",IF(V78&lt;&gt;INDEX(LAYOUT!$D$2:$D$80,MATCH(Z78&amp;"|"&amp;U78,LAYOUT!$E$2:$E$80,0)),"CEK JENIS ZONA",IF($D78="","Zona STOCK",IF($E78="","CEK SKU DESCRIPTION kosong",IF(AND(W78&lt;&gt;"",X78=""),"CEK URUTAN SAMBUNG kosong",IF(AND(W78&lt;&gt;"",LEFT(Z78,6)="Endcap"),"CEK Endcap tidak ikut sambung","OK")))))))))</f>
        <v/>
      </c>
      <c r="AB78" s="11" t="n"/>
      <c r="AC78" s="11" t="n"/>
      <c r="AD78" s="11" t="n"/>
      <c r="AE78" s="11" t="n"/>
      <c r="AF78" s="11" t="n"/>
      <c r="AG78" s="11" t="n"/>
      <c r="AH78" s="12">
        <f>IF(AB78="","",IFERROR(INDEX(DAFTAR_FIXTURE!$B$2:$B$51,MATCH(AB78,DAFTAR_FIXTURE!$A$2:$A$51,0)),""))</f>
        <v/>
      </c>
      <c r="AI78" s="12">
        <f>IF(AB78="","",IF(AH78="","CEK ID FIXTURE tidak ada di DAFTAR_FIXTURE",IF(AC78="","CEK ZONA NO kosong",IF(ISNA(MATCH(AH78&amp;"|"&amp;AC78,LAYOUT!$E$2:$E$80,0)),"CEK ZONA NO di luar layout",IF(AD78&lt;&gt;INDEX(LAYOUT!$D$2:$D$80,MATCH(AH78&amp;"|"&amp;AC78,LAYOUT!$E$2:$E$80,0)),"CEK JENIS ZONA",IF($D78="","Zona STOCK",IF($E78="","CEK SKU DESCRIPTION kosong",IF(AND(AE78&lt;&gt;"",AF78=""),"CEK URUTAN SAMBUNG kosong",IF(AND(AE78&lt;&gt;"",LEFT(AH78,6)="Endcap"),"CEK Endcap tidak ikut sambung","OK")))))))))</f>
        <v/>
      </c>
    </row>
    <row r="79">
      <c r="A79" s="10" t="n"/>
      <c r="B79" s="10" t="n"/>
      <c r="C79" s="10" t="n"/>
      <c r="D79" s="10" t="n"/>
      <c r="E79" s="10" t="n"/>
      <c r="F79" s="10" t="n"/>
      <c r="G79" s="10" t="n"/>
      <c r="H79" s="10" t="n"/>
      <c r="I79" s="10" t="n"/>
      <c r="J79" s="10" t="n"/>
      <c r="K79" s="10" t="n"/>
      <c r="L79" s="11" t="n"/>
      <c r="M79" s="11" t="n"/>
      <c r="N79" s="11" t="n"/>
      <c r="O79" s="11" t="n"/>
      <c r="P79" s="11" t="n"/>
      <c r="Q79" s="11" t="n"/>
      <c r="R79" s="12">
        <f>IF(L79="","",IFERROR(INDEX(DAFTAR_FIXTURE!$B$2:$B$51,MATCH(L79,DAFTAR_FIXTURE!$A$2:$A$51,0)),""))</f>
        <v/>
      </c>
      <c r="S79" s="12">
        <f>IF(AND($D79="",L79=""),"",IF(L79="",IF(AND(T79="",AB79=""),"Belum ditempatkan",""),IF(R79="","CEK ID FIXTURE tidak ada di DAFTAR_FIXTURE",IF(M79="","CEK ZONA NO kosong",IF(ISNA(MATCH(R79&amp;"|"&amp;M79,LAYOUT!$E$2:$E$80,0)),"CEK ZONA NO di luar layout",IF(N79&lt;&gt;INDEX(LAYOUT!$D$2:$D$80,MATCH(R79&amp;"|"&amp;M79,LAYOUT!$E$2:$E$80,0)),"CEK JENIS ZONA",IF($D79="","Zona STOCK",IF($E79="","CEK SKU DESCRIPTION kosong",IF(AND(O79&lt;&gt;"",P79=""),"CEK URUTAN SAMBUNG kosong",IF(AND(O79&lt;&gt;"",LEFT(R79,6)="Endcap"),"CEK Endcap tidak ikut sambung","OK"))))))))))</f>
        <v/>
      </c>
      <c r="T79" s="11" t="n"/>
      <c r="U79" s="11" t="n"/>
      <c r="V79" s="11" t="n"/>
      <c r="W79" s="11" t="n"/>
      <c r="X79" s="11" t="n"/>
      <c r="Y79" s="11" t="n"/>
      <c r="Z79" s="12">
        <f>IF(T79="","",IFERROR(INDEX(DAFTAR_FIXTURE!$B$2:$B$51,MATCH(T79,DAFTAR_FIXTURE!$A$2:$A$51,0)),""))</f>
        <v/>
      </c>
      <c r="AA79" s="12">
        <f>IF(T79="","",IF(Z79="","CEK ID FIXTURE tidak ada di DAFTAR_FIXTURE",IF(U79="","CEK ZONA NO kosong",IF(ISNA(MATCH(Z79&amp;"|"&amp;U79,LAYOUT!$E$2:$E$80,0)),"CEK ZONA NO di luar layout",IF(V79&lt;&gt;INDEX(LAYOUT!$D$2:$D$80,MATCH(Z79&amp;"|"&amp;U79,LAYOUT!$E$2:$E$80,0)),"CEK JENIS ZONA",IF($D79="","Zona STOCK",IF($E79="","CEK SKU DESCRIPTION kosong",IF(AND(W79&lt;&gt;"",X79=""),"CEK URUTAN SAMBUNG kosong",IF(AND(W79&lt;&gt;"",LEFT(Z79,6)="Endcap"),"CEK Endcap tidak ikut sambung","OK")))))))))</f>
        <v/>
      </c>
      <c r="AB79" s="11" t="n"/>
      <c r="AC79" s="11" t="n"/>
      <c r="AD79" s="11" t="n"/>
      <c r="AE79" s="11" t="n"/>
      <c r="AF79" s="11" t="n"/>
      <c r="AG79" s="11" t="n"/>
      <c r="AH79" s="12">
        <f>IF(AB79="","",IFERROR(INDEX(DAFTAR_FIXTURE!$B$2:$B$51,MATCH(AB79,DAFTAR_FIXTURE!$A$2:$A$51,0)),""))</f>
        <v/>
      </c>
      <c r="AI79" s="12">
        <f>IF(AB79="","",IF(AH79="","CEK ID FIXTURE tidak ada di DAFTAR_FIXTURE",IF(AC79="","CEK ZONA NO kosong",IF(ISNA(MATCH(AH79&amp;"|"&amp;AC79,LAYOUT!$E$2:$E$80,0)),"CEK ZONA NO di luar layout",IF(AD79&lt;&gt;INDEX(LAYOUT!$D$2:$D$80,MATCH(AH79&amp;"|"&amp;AC79,LAYOUT!$E$2:$E$80,0)),"CEK JENIS ZONA",IF($D79="","Zona STOCK",IF($E79="","CEK SKU DESCRIPTION kosong",IF(AND(AE79&lt;&gt;"",AF79=""),"CEK URUTAN SAMBUNG kosong",IF(AND(AE79&lt;&gt;"",LEFT(AH79,6)="Endcap"),"CEK Endcap tidak ikut sambung","OK")))))))))</f>
        <v/>
      </c>
    </row>
    <row r="80">
      <c r="A80" s="10" t="n"/>
      <c r="B80" s="10" t="n"/>
      <c r="C80" s="10" t="n"/>
      <c r="D80" s="10" t="n"/>
      <c r="E80" s="10" t="n"/>
      <c r="F80" s="10" t="n"/>
      <c r="G80" s="10" t="n"/>
      <c r="H80" s="10" t="n"/>
      <c r="I80" s="10" t="n"/>
      <c r="J80" s="10" t="n"/>
      <c r="K80" s="10" t="n"/>
      <c r="L80" s="11" t="n"/>
      <c r="M80" s="11" t="n"/>
      <c r="N80" s="11" t="n"/>
      <c r="O80" s="11" t="n"/>
      <c r="P80" s="11" t="n"/>
      <c r="Q80" s="11" t="n"/>
      <c r="R80" s="12">
        <f>IF(L80="","",IFERROR(INDEX(DAFTAR_FIXTURE!$B$2:$B$51,MATCH(L80,DAFTAR_FIXTURE!$A$2:$A$51,0)),""))</f>
        <v/>
      </c>
      <c r="S80" s="12">
        <f>IF(AND($D80="",L80=""),"",IF(L80="",IF(AND(T80="",AB80=""),"Belum ditempatkan",""),IF(R80="","CEK ID FIXTURE tidak ada di DAFTAR_FIXTURE",IF(M80="","CEK ZONA NO kosong",IF(ISNA(MATCH(R80&amp;"|"&amp;M80,LAYOUT!$E$2:$E$80,0)),"CEK ZONA NO di luar layout",IF(N80&lt;&gt;INDEX(LAYOUT!$D$2:$D$80,MATCH(R80&amp;"|"&amp;M80,LAYOUT!$E$2:$E$80,0)),"CEK JENIS ZONA",IF($D80="","Zona STOCK",IF($E80="","CEK SKU DESCRIPTION kosong",IF(AND(O80&lt;&gt;"",P80=""),"CEK URUTAN SAMBUNG kosong",IF(AND(O80&lt;&gt;"",LEFT(R80,6)="Endcap"),"CEK Endcap tidak ikut sambung","OK"))))))))))</f>
        <v/>
      </c>
      <c r="T80" s="11" t="n"/>
      <c r="U80" s="11" t="n"/>
      <c r="V80" s="11" t="n"/>
      <c r="W80" s="11" t="n"/>
      <c r="X80" s="11" t="n"/>
      <c r="Y80" s="11" t="n"/>
      <c r="Z80" s="12">
        <f>IF(T80="","",IFERROR(INDEX(DAFTAR_FIXTURE!$B$2:$B$51,MATCH(T80,DAFTAR_FIXTURE!$A$2:$A$51,0)),""))</f>
        <v/>
      </c>
      <c r="AA80" s="12">
        <f>IF(T80="","",IF(Z80="","CEK ID FIXTURE tidak ada di DAFTAR_FIXTURE",IF(U80="","CEK ZONA NO kosong",IF(ISNA(MATCH(Z80&amp;"|"&amp;U80,LAYOUT!$E$2:$E$80,0)),"CEK ZONA NO di luar layout",IF(V80&lt;&gt;INDEX(LAYOUT!$D$2:$D$80,MATCH(Z80&amp;"|"&amp;U80,LAYOUT!$E$2:$E$80,0)),"CEK JENIS ZONA",IF($D80="","Zona STOCK",IF($E80="","CEK SKU DESCRIPTION kosong",IF(AND(W80&lt;&gt;"",X80=""),"CEK URUTAN SAMBUNG kosong",IF(AND(W80&lt;&gt;"",LEFT(Z80,6)="Endcap"),"CEK Endcap tidak ikut sambung","OK")))))))))</f>
        <v/>
      </c>
      <c r="AB80" s="11" t="n"/>
      <c r="AC80" s="11" t="n"/>
      <c r="AD80" s="11" t="n"/>
      <c r="AE80" s="11" t="n"/>
      <c r="AF80" s="11" t="n"/>
      <c r="AG80" s="11" t="n"/>
      <c r="AH80" s="12">
        <f>IF(AB80="","",IFERROR(INDEX(DAFTAR_FIXTURE!$B$2:$B$51,MATCH(AB80,DAFTAR_FIXTURE!$A$2:$A$51,0)),""))</f>
        <v/>
      </c>
      <c r="AI80" s="12">
        <f>IF(AB80="","",IF(AH80="","CEK ID FIXTURE tidak ada di DAFTAR_FIXTURE",IF(AC80="","CEK ZONA NO kosong",IF(ISNA(MATCH(AH80&amp;"|"&amp;AC80,LAYOUT!$E$2:$E$80,0)),"CEK ZONA NO di luar layout",IF(AD80&lt;&gt;INDEX(LAYOUT!$D$2:$D$80,MATCH(AH80&amp;"|"&amp;AC80,LAYOUT!$E$2:$E$80,0)),"CEK JENIS ZONA",IF($D80="","Zona STOCK",IF($E80="","CEK SKU DESCRIPTION kosong",IF(AND(AE80&lt;&gt;"",AF80=""),"CEK URUTAN SAMBUNG kosong",IF(AND(AE80&lt;&gt;"",LEFT(AH80,6)="Endcap"),"CEK Endcap tidak ikut sambung","OK")))))))))</f>
        <v/>
      </c>
    </row>
    <row r="81">
      <c r="A81" s="10" t="n"/>
      <c r="B81" s="10" t="n"/>
      <c r="C81" s="10" t="n"/>
      <c r="D81" s="10" t="n"/>
      <c r="E81" s="10" t="n"/>
      <c r="F81" s="10" t="n"/>
      <c r="G81" s="10" t="n"/>
      <c r="H81" s="10" t="n"/>
      <c r="I81" s="10" t="n"/>
      <c r="J81" s="10" t="n"/>
      <c r="K81" s="10" t="n"/>
      <c r="L81" s="11" t="n"/>
      <c r="M81" s="11" t="n"/>
      <c r="N81" s="11" t="n"/>
      <c r="O81" s="11" t="n"/>
      <c r="P81" s="11" t="n"/>
      <c r="Q81" s="11" t="n"/>
      <c r="R81" s="12">
        <f>IF(L81="","",IFERROR(INDEX(DAFTAR_FIXTURE!$B$2:$B$51,MATCH(L81,DAFTAR_FIXTURE!$A$2:$A$51,0)),""))</f>
        <v/>
      </c>
      <c r="S81" s="12">
        <f>IF(AND($D81="",L81=""),"",IF(L81="",IF(AND(T81="",AB81=""),"Belum ditempatkan",""),IF(R81="","CEK ID FIXTURE tidak ada di DAFTAR_FIXTURE",IF(M81="","CEK ZONA NO kosong",IF(ISNA(MATCH(R81&amp;"|"&amp;M81,LAYOUT!$E$2:$E$80,0)),"CEK ZONA NO di luar layout",IF(N81&lt;&gt;INDEX(LAYOUT!$D$2:$D$80,MATCH(R81&amp;"|"&amp;M81,LAYOUT!$E$2:$E$80,0)),"CEK JENIS ZONA",IF($D81="","Zona STOCK",IF($E81="","CEK SKU DESCRIPTION kosong",IF(AND(O81&lt;&gt;"",P81=""),"CEK URUTAN SAMBUNG kosong",IF(AND(O81&lt;&gt;"",LEFT(R81,6)="Endcap"),"CEK Endcap tidak ikut sambung","OK"))))))))))</f>
        <v/>
      </c>
      <c r="T81" s="11" t="n"/>
      <c r="U81" s="11" t="n"/>
      <c r="V81" s="11" t="n"/>
      <c r="W81" s="11" t="n"/>
      <c r="X81" s="11" t="n"/>
      <c r="Y81" s="11" t="n"/>
      <c r="Z81" s="12">
        <f>IF(T81="","",IFERROR(INDEX(DAFTAR_FIXTURE!$B$2:$B$51,MATCH(T81,DAFTAR_FIXTURE!$A$2:$A$51,0)),""))</f>
        <v/>
      </c>
      <c r="AA81" s="12">
        <f>IF(T81="","",IF(Z81="","CEK ID FIXTURE tidak ada di DAFTAR_FIXTURE",IF(U81="","CEK ZONA NO kosong",IF(ISNA(MATCH(Z81&amp;"|"&amp;U81,LAYOUT!$E$2:$E$80,0)),"CEK ZONA NO di luar layout",IF(V81&lt;&gt;INDEX(LAYOUT!$D$2:$D$80,MATCH(Z81&amp;"|"&amp;U81,LAYOUT!$E$2:$E$80,0)),"CEK JENIS ZONA",IF($D81="","Zona STOCK",IF($E81="","CEK SKU DESCRIPTION kosong",IF(AND(W81&lt;&gt;"",X81=""),"CEK URUTAN SAMBUNG kosong",IF(AND(W81&lt;&gt;"",LEFT(Z81,6)="Endcap"),"CEK Endcap tidak ikut sambung","OK")))))))))</f>
        <v/>
      </c>
      <c r="AB81" s="11" t="n"/>
      <c r="AC81" s="11" t="n"/>
      <c r="AD81" s="11" t="n"/>
      <c r="AE81" s="11" t="n"/>
      <c r="AF81" s="11" t="n"/>
      <c r="AG81" s="11" t="n"/>
      <c r="AH81" s="12">
        <f>IF(AB81="","",IFERROR(INDEX(DAFTAR_FIXTURE!$B$2:$B$51,MATCH(AB81,DAFTAR_FIXTURE!$A$2:$A$51,0)),""))</f>
        <v/>
      </c>
      <c r="AI81" s="12">
        <f>IF(AB81="","",IF(AH81="","CEK ID FIXTURE tidak ada di DAFTAR_FIXTURE",IF(AC81="","CEK ZONA NO kosong",IF(ISNA(MATCH(AH81&amp;"|"&amp;AC81,LAYOUT!$E$2:$E$80,0)),"CEK ZONA NO di luar layout",IF(AD81&lt;&gt;INDEX(LAYOUT!$D$2:$D$80,MATCH(AH81&amp;"|"&amp;AC81,LAYOUT!$E$2:$E$80,0)),"CEK JENIS ZONA",IF($D81="","Zona STOCK",IF($E81="","CEK SKU DESCRIPTION kosong",IF(AND(AE81&lt;&gt;"",AF81=""),"CEK URUTAN SAMBUNG kosong",IF(AND(AE81&lt;&gt;"",LEFT(AH81,6)="Endcap"),"CEK Endcap tidak ikut sambung","OK")))))))))</f>
        <v/>
      </c>
    </row>
    <row r="82">
      <c r="A82" s="10" t="n"/>
      <c r="B82" s="10" t="n"/>
      <c r="C82" s="10" t="n"/>
      <c r="D82" s="10" t="n"/>
      <c r="E82" s="10" t="n"/>
      <c r="F82" s="10" t="n"/>
      <c r="G82" s="10" t="n"/>
      <c r="H82" s="10" t="n"/>
      <c r="I82" s="10" t="n"/>
      <c r="J82" s="10" t="n"/>
      <c r="K82" s="10" t="n"/>
      <c r="L82" s="11" t="n"/>
      <c r="M82" s="11" t="n"/>
      <c r="N82" s="11" t="n"/>
      <c r="O82" s="11" t="n"/>
      <c r="P82" s="11" t="n"/>
      <c r="Q82" s="11" t="n"/>
      <c r="R82" s="12">
        <f>IF(L82="","",IFERROR(INDEX(DAFTAR_FIXTURE!$B$2:$B$51,MATCH(L82,DAFTAR_FIXTURE!$A$2:$A$51,0)),""))</f>
        <v/>
      </c>
      <c r="S82" s="12">
        <f>IF(AND($D82="",L82=""),"",IF(L82="",IF(AND(T82="",AB82=""),"Belum ditempatkan",""),IF(R82="","CEK ID FIXTURE tidak ada di DAFTAR_FIXTURE",IF(M82="","CEK ZONA NO kosong",IF(ISNA(MATCH(R82&amp;"|"&amp;M82,LAYOUT!$E$2:$E$80,0)),"CEK ZONA NO di luar layout",IF(N82&lt;&gt;INDEX(LAYOUT!$D$2:$D$80,MATCH(R82&amp;"|"&amp;M82,LAYOUT!$E$2:$E$80,0)),"CEK JENIS ZONA",IF($D82="","Zona STOCK",IF($E82="","CEK SKU DESCRIPTION kosong",IF(AND(O82&lt;&gt;"",P82=""),"CEK URUTAN SAMBUNG kosong",IF(AND(O82&lt;&gt;"",LEFT(R82,6)="Endcap"),"CEK Endcap tidak ikut sambung","OK"))))))))))</f>
        <v/>
      </c>
      <c r="T82" s="11" t="n"/>
      <c r="U82" s="11" t="n"/>
      <c r="V82" s="11" t="n"/>
      <c r="W82" s="11" t="n"/>
      <c r="X82" s="11" t="n"/>
      <c r="Y82" s="11" t="n"/>
      <c r="Z82" s="12">
        <f>IF(T82="","",IFERROR(INDEX(DAFTAR_FIXTURE!$B$2:$B$51,MATCH(T82,DAFTAR_FIXTURE!$A$2:$A$51,0)),""))</f>
        <v/>
      </c>
      <c r="AA82" s="12">
        <f>IF(T82="","",IF(Z82="","CEK ID FIXTURE tidak ada di DAFTAR_FIXTURE",IF(U82="","CEK ZONA NO kosong",IF(ISNA(MATCH(Z82&amp;"|"&amp;U82,LAYOUT!$E$2:$E$80,0)),"CEK ZONA NO di luar layout",IF(V82&lt;&gt;INDEX(LAYOUT!$D$2:$D$80,MATCH(Z82&amp;"|"&amp;U82,LAYOUT!$E$2:$E$80,0)),"CEK JENIS ZONA",IF($D82="","Zona STOCK",IF($E82="","CEK SKU DESCRIPTION kosong",IF(AND(W82&lt;&gt;"",X82=""),"CEK URUTAN SAMBUNG kosong",IF(AND(W82&lt;&gt;"",LEFT(Z82,6)="Endcap"),"CEK Endcap tidak ikut sambung","OK")))))))))</f>
        <v/>
      </c>
      <c r="AB82" s="11" t="n"/>
      <c r="AC82" s="11" t="n"/>
      <c r="AD82" s="11" t="n"/>
      <c r="AE82" s="11" t="n"/>
      <c r="AF82" s="11" t="n"/>
      <c r="AG82" s="11" t="n"/>
      <c r="AH82" s="12">
        <f>IF(AB82="","",IFERROR(INDEX(DAFTAR_FIXTURE!$B$2:$B$51,MATCH(AB82,DAFTAR_FIXTURE!$A$2:$A$51,0)),""))</f>
        <v/>
      </c>
      <c r="AI82" s="12">
        <f>IF(AB82="","",IF(AH82="","CEK ID FIXTURE tidak ada di DAFTAR_FIXTURE",IF(AC82="","CEK ZONA NO kosong",IF(ISNA(MATCH(AH82&amp;"|"&amp;AC82,LAYOUT!$E$2:$E$80,0)),"CEK ZONA NO di luar layout",IF(AD82&lt;&gt;INDEX(LAYOUT!$D$2:$D$80,MATCH(AH82&amp;"|"&amp;AC82,LAYOUT!$E$2:$E$80,0)),"CEK JENIS ZONA",IF($D82="","Zona STOCK",IF($E82="","CEK SKU DESCRIPTION kosong",IF(AND(AE82&lt;&gt;"",AF82=""),"CEK URUTAN SAMBUNG kosong",IF(AND(AE82&lt;&gt;"",LEFT(AH82,6)="Endcap"),"CEK Endcap tidak ikut sambung","OK")))))))))</f>
        <v/>
      </c>
    </row>
    <row r="83">
      <c r="A83" s="10" t="n"/>
      <c r="B83" s="10" t="n"/>
      <c r="C83" s="10" t="n"/>
      <c r="D83" s="10" t="n"/>
      <c r="E83" s="10" t="n"/>
      <c r="F83" s="10" t="n"/>
      <c r="G83" s="10" t="n"/>
      <c r="H83" s="10" t="n"/>
      <c r="I83" s="10" t="n"/>
      <c r="J83" s="10" t="n"/>
      <c r="K83" s="10" t="n"/>
      <c r="L83" s="11" t="n"/>
      <c r="M83" s="11" t="n"/>
      <c r="N83" s="11" t="n"/>
      <c r="O83" s="11" t="n"/>
      <c r="P83" s="11" t="n"/>
      <c r="Q83" s="11" t="n"/>
      <c r="R83" s="12">
        <f>IF(L83="","",IFERROR(INDEX(DAFTAR_FIXTURE!$B$2:$B$51,MATCH(L83,DAFTAR_FIXTURE!$A$2:$A$51,0)),""))</f>
        <v/>
      </c>
      <c r="S83" s="12">
        <f>IF(AND($D83="",L83=""),"",IF(L83="",IF(AND(T83="",AB83=""),"Belum ditempatkan",""),IF(R83="","CEK ID FIXTURE tidak ada di DAFTAR_FIXTURE",IF(M83="","CEK ZONA NO kosong",IF(ISNA(MATCH(R83&amp;"|"&amp;M83,LAYOUT!$E$2:$E$80,0)),"CEK ZONA NO di luar layout",IF(N83&lt;&gt;INDEX(LAYOUT!$D$2:$D$80,MATCH(R83&amp;"|"&amp;M83,LAYOUT!$E$2:$E$80,0)),"CEK JENIS ZONA",IF($D83="","Zona STOCK",IF($E83="","CEK SKU DESCRIPTION kosong",IF(AND(O83&lt;&gt;"",P83=""),"CEK URUTAN SAMBUNG kosong",IF(AND(O83&lt;&gt;"",LEFT(R83,6)="Endcap"),"CEK Endcap tidak ikut sambung","OK"))))))))))</f>
        <v/>
      </c>
      <c r="T83" s="11" t="n"/>
      <c r="U83" s="11" t="n"/>
      <c r="V83" s="11" t="n"/>
      <c r="W83" s="11" t="n"/>
      <c r="X83" s="11" t="n"/>
      <c r="Y83" s="11" t="n"/>
      <c r="Z83" s="12">
        <f>IF(T83="","",IFERROR(INDEX(DAFTAR_FIXTURE!$B$2:$B$51,MATCH(T83,DAFTAR_FIXTURE!$A$2:$A$51,0)),""))</f>
        <v/>
      </c>
      <c r="AA83" s="12">
        <f>IF(T83="","",IF(Z83="","CEK ID FIXTURE tidak ada di DAFTAR_FIXTURE",IF(U83="","CEK ZONA NO kosong",IF(ISNA(MATCH(Z83&amp;"|"&amp;U83,LAYOUT!$E$2:$E$80,0)),"CEK ZONA NO di luar layout",IF(V83&lt;&gt;INDEX(LAYOUT!$D$2:$D$80,MATCH(Z83&amp;"|"&amp;U83,LAYOUT!$E$2:$E$80,0)),"CEK JENIS ZONA",IF($D83="","Zona STOCK",IF($E83="","CEK SKU DESCRIPTION kosong",IF(AND(W83&lt;&gt;"",X83=""),"CEK URUTAN SAMBUNG kosong",IF(AND(W83&lt;&gt;"",LEFT(Z83,6)="Endcap"),"CEK Endcap tidak ikut sambung","OK")))))))))</f>
        <v/>
      </c>
      <c r="AB83" s="11" t="n"/>
      <c r="AC83" s="11" t="n"/>
      <c r="AD83" s="11" t="n"/>
      <c r="AE83" s="11" t="n"/>
      <c r="AF83" s="11" t="n"/>
      <c r="AG83" s="11" t="n"/>
      <c r="AH83" s="12">
        <f>IF(AB83="","",IFERROR(INDEX(DAFTAR_FIXTURE!$B$2:$B$51,MATCH(AB83,DAFTAR_FIXTURE!$A$2:$A$51,0)),""))</f>
        <v/>
      </c>
      <c r="AI83" s="12">
        <f>IF(AB83="","",IF(AH83="","CEK ID FIXTURE tidak ada di DAFTAR_FIXTURE",IF(AC83="","CEK ZONA NO kosong",IF(ISNA(MATCH(AH83&amp;"|"&amp;AC83,LAYOUT!$E$2:$E$80,0)),"CEK ZONA NO di luar layout",IF(AD83&lt;&gt;INDEX(LAYOUT!$D$2:$D$80,MATCH(AH83&amp;"|"&amp;AC83,LAYOUT!$E$2:$E$80,0)),"CEK JENIS ZONA",IF($D83="","Zona STOCK",IF($E83="","CEK SKU DESCRIPTION kosong",IF(AND(AE83&lt;&gt;"",AF83=""),"CEK URUTAN SAMBUNG kosong",IF(AND(AE83&lt;&gt;"",LEFT(AH83,6)="Endcap"),"CEK Endcap tidak ikut sambung","OK")))))))))</f>
        <v/>
      </c>
    </row>
    <row r="84">
      <c r="A84" s="10" t="n"/>
      <c r="B84" s="10" t="n"/>
      <c r="C84" s="10" t="n"/>
      <c r="D84" s="10" t="n"/>
      <c r="E84" s="10" t="n"/>
      <c r="F84" s="10" t="n"/>
      <c r="G84" s="10" t="n"/>
      <c r="H84" s="10" t="n"/>
      <c r="I84" s="10" t="n"/>
      <c r="J84" s="10" t="n"/>
      <c r="K84" s="10" t="n"/>
      <c r="L84" s="11" t="n"/>
      <c r="M84" s="11" t="n"/>
      <c r="N84" s="11" t="n"/>
      <c r="O84" s="11" t="n"/>
      <c r="P84" s="11" t="n"/>
      <c r="Q84" s="11" t="n"/>
      <c r="R84" s="12">
        <f>IF(L84="","",IFERROR(INDEX(DAFTAR_FIXTURE!$B$2:$B$51,MATCH(L84,DAFTAR_FIXTURE!$A$2:$A$51,0)),""))</f>
        <v/>
      </c>
      <c r="S84" s="12">
        <f>IF(AND($D84="",L84=""),"",IF(L84="",IF(AND(T84="",AB84=""),"Belum ditempatkan",""),IF(R84="","CEK ID FIXTURE tidak ada di DAFTAR_FIXTURE",IF(M84="","CEK ZONA NO kosong",IF(ISNA(MATCH(R84&amp;"|"&amp;M84,LAYOUT!$E$2:$E$80,0)),"CEK ZONA NO di luar layout",IF(N84&lt;&gt;INDEX(LAYOUT!$D$2:$D$80,MATCH(R84&amp;"|"&amp;M84,LAYOUT!$E$2:$E$80,0)),"CEK JENIS ZONA",IF($D84="","Zona STOCK",IF($E84="","CEK SKU DESCRIPTION kosong",IF(AND(O84&lt;&gt;"",P84=""),"CEK URUTAN SAMBUNG kosong",IF(AND(O84&lt;&gt;"",LEFT(R84,6)="Endcap"),"CEK Endcap tidak ikut sambung","OK"))))))))))</f>
        <v/>
      </c>
      <c r="T84" s="11" t="n"/>
      <c r="U84" s="11" t="n"/>
      <c r="V84" s="11" t="n"/>
      <c r="W84" s="11" t="n"/>
      <c r="X84" s="11" t="n"/>
      <c r="Y84" s="11" t="n"/>
      <c r="Z84" s="12">
        <f>IF(T84="","",IFERROR(INDEX(DAFTAR_FIXTURE!$B$2:$B$51,MATCH(T84,DAFTAR_FIXTURE!$A$2:$A$51,0)),""))</f>
        <v/>
      </c>
      <c r="AA84" s="12">
        <f>IF(T84="","",IF(Z84="","CEK ID FIXTURE tidak ada di DAFTAR_FIXTURE",IF(U84="","CEK ZONA NO kosong",IF(ISNA(MATCH(Z84&amp;"|"&amp;U84,LAYOUT!$E$2:$E$80,0)),"CEK ZONA NO di luar layout",IF(V84&lt;&gt;INDEX(LAYOUT!$D$2:$D$80,MATCH(Z84&amp;"|"&amp;U84,LAYOUT!$E$2:$E$80,0)),"CEK JENIS ZONA",IF($D84="","Zona STOCK",IF($E84="","CEK SKU DESCRIPTION kosong",IF(AND(W84&lt;&gt;"",X84=""),"CEK URUTAN SAMBUNG kosong",IF(AND(W84&lt;&gt;"",LEFT(Z84,6)="Endcap"),"CEK Endcap tidak ikut sambung","OK")))))))))</f>
        <v/>
      </c>
      <c r="AB84" s="11" t="n"/>
      <c r="AC84" s="11" t="n"/>
      <c r="AD84" s="11" t="n"/>
      <c r="AE84" s="11" t="n"/>
      <c r="AF84" s="11" t="n"/>
      <c r="AG84" s="11" t="n"/>
      <c r="AH84" s="12">
        <f>IF(AB84="","",IFERROR(INDEX(DAFTAR_FIXTURE!$B$2:$B$51,MATCH(AB84,DAFTAR_FIXTURE!$A$2:$A$51,0)),""))</f>
        <v/>
      </c>
      <c r="AI84" s="12">
        <f>IF(AB84="","",IF(AH84="","CEK ID FIXTURE tidak ada di DAFTAR_FIXTURE",IF(AC84="","CEK ZONA NO kosong",IF(ISNA(MATCH(AH84&amp;"|"&amp;AC84,LAYOUT!$E$2:$E$80,0)),"CEK ZONA NO di luar layout",IF(AD84&lt;&gt;INDEX(LAYOUT!$D$2:$D$80,MATCH(AH84&amp;"|"&amp;AC84,LAYOUT!$E$2:$E$80,0)),"CEK JENIS ZONA",IF($D84="","Zona STOCK",IF($E84="","CEK SKU DESCRIPTION kosong",IF(AND(AE84&lt;&gt;"",AF84=""),"CEK URUTAN SAMBUNG kosong",IF(AND(AE84&lt;&gt;"",LEFT(AH84,6)="Endcap"),"CEK Endcap tidak ikut sambung","OK")))))))))</f>
        <v/>
      </c>
    </row>
    <row r="85">
      <c r="A85" s="10" t="n"/>
      <c r="B85" s="10" t="n"/>
      <c r="C85" s="10" t="n"/>
      <c r="D85" s="10" t="n"/>
      <c r="E85" s="10" t="n"/>
      <c r="F85" s="10" t="n"/>
      <c r="G85" s="10" t="n"/>
      <c r="H85" s="10" t="n"/>
      <c r="I85" s="10" t="n"/>
      <c r="J85" s="10" t="n"/>
      <c r="K85" s="10" t="n"/>
      <c r="L85" s="11" t="n"/>
      <c r="M85" s="11" t="n"/>
      <c r="N85" s="11" t="n"/>
      <c r="O85" s="11" t="n"/>
      <c r="P85" s="11" t="n"/>
      <c r="Q85" s="11" t="n"/>
      <c r="R85" s="12">
        <f>IF(L85="","",IFERROR(INDEX(DAFTAR_FIXTURE!$B$2:$B$51,MATCH(L85,DAFTAR_FIXTURE!$A$2:$A$51,0)),""))</f>
        <v/>
      </c>
      <c r="S85" s="12">
        <f>IF(AND($D85="",L85=""),"",IF(L85="",IF(AND(T85="",AB85=""),"Belum ditempatkan",""),IF(R85="","CEK ID FIXTURE tidak ada di DAFTAR_FIXTURE",IF(M85="","CEK ZONA NO kosong",IF(ISNA(MATCH(R85&amp;"|"&amp;M85,LAYOUT!$E$2:$E$80,0)),"CEK ZONA NO di luar layout",IF(N85&lt;&gt;INDEX(LAYOUT!$D$2:$D$80,MATCH(R85&amp;"|"&amp;M85,LAYOUT!$E$2:$E$80,0)),"CEK JENIS ZONA",IF($D85="","Zona STOCK",IF($E85="","CEK SKU DESCRIPTION kosong",IF(AND(O85&lt;&gt;"",P85=""),"CEK URUTAN SAMBUNG kosong",IF(AND(O85&lt;&gt;"",LEFT(R85,6)="Endcap"),"CEK Endcap tidak ikut sambung","OK"))))))))))</f>
        <v/>
      </c>
      <c r="T85" s="11" t="n"/>
      <c r="U85" s="11" t="n"/>
      <c r="V85" s="11" t="n"/>
      <c r="W85" s="11" t="n"/>
      <c r="X85" s="11" t="n"/>
      <c r="Y85" s="11" t="n"/>
      <c r="Z85" s="12">
        <f>IF(T85="","",IFERROR(INDEX(DAFTAR_FIXTURE!$B$2:$B$51,MATCH(T85,DAFTAR_FIXTURE!$A$2:$A$51,0)),""))</f>
        <v/>
      </c>
      <c r="AA85" s="12">
        <f>IF(T85="","",IF(Z85="","CEK ID FIXTURE tidak ada di DAFTAR_FIXTURE",IF(U85="","CEK ZONA NO kosong",IF(ISNA(MATCH(Z85&amp;"|"&amp;U85,LAYOUT!$E$2:$E$80,0)),"CEK ZONA NO di luar layout",IF(V85&lt;&gt;INDEX(LAYOUT!$D$2:$D$80,MATCH(Z85&amp;"|"&amp;U85,LAYOUT!$E$2:$E$80,0)),"CEK JENIS ZONA",IF($D85="","Zona STOCK",IF($E85="","CEK SKU DESCRIPTION kosong",IF(AND(W85&lt;&gt;"",X85=""),"CEK URUTAN SAMBUNG kosong",IF(AND(W85&lt;&gt;"",LEFT(Z85,6)="Endcap"),"CEK Endcap tidak ikut sambung","OK")))))))))</f>
        <v/>
      </c>
      <c r="AB85" s="11" t="n"/>
      <c r="AC85" s="11" t="n"/>
      <c r="AD85" s="11" t="n"/>
      <c r="AE85" s="11" t="n"/>
      <c r="AF85" s="11" t="n"/>
      <c r="AG85" s="11" t="n"/>
      <c r="AH85" s="12">
        <f>IF(AB85="","",IFERROR(INDEX(DAFTAR_FIXTURE!$B$2:$B$51,MATCH(AB85,DAFTAR_FIXTURE!$A$2:$A$51,0)),""))</f>
        <v/>
      </c>
      <c r="AI85" s="12">
        <f>IF(AB85="","",IF(AH85="","CEK ID FIXTURE tidak ada di DAFTAR_FIXTURE",IF(AC85="","CEK ZONA NO kosong",IF(ISNA(MATCH(AH85&amp;"|"&amp;AC85,LAYOUT!$E$2:$E$80,0)),"CEK ZONA NO di luar layout",IF(AD85&lt;&gt;INDEX(LAYOUT!$D$2:$D$80,MATCH(AH85&amp;"|"&amp;AC85,LAYOUT!$E$2:$E$80,0)),"CEK JENIS ZONA",IF($D85="","Zona STOCK",IF($E85="","CEK SKU DESCRIPTION kosong",IF(AND(AE85&lt;&gt;"",AF85=""),"CEK URUTAN SAMBUNG kosong",IF(AND(AE85&lt;&gt;"",LEFT(AH85,6)="Endcap"),"CEK Endcap tidak ikut sambung","OK")))))))))</f>
        <v/>
      </c>
    </row>
    <row r="86">
      <c r="A86" s="10" t="n"/>
      <c r="B86" s="10" t="n"/>
      <c r="C86" s="10" t="n"/>
      <c r="D86" s="10" t="n"/>
      <c r="E86" s="10" t="n"/>
      <c r="F86" s="10" t="n"/>
      <c r="G86" s="10" t="n"/>
      <c r="H86" s="10" t="n"/>
      <c r="I86" s="10" t="n"/>
      <c r="J86" s="10" t="n"/>
      <c r="K86" s="10" t="n"/>
      <c r="L86" s="11" t="n"/>
      <c r="M86" s="11" t="n"/>
      <c r="N86" s="11" t="n"/>
      <c r="O86" s="11" t="n"/>
      <c r="P86" s="11" t="n"/>
      <c r="Q86" s="11" t="n"/>
      <c r="R86" s="12">
        <f>IF(L86="","",IFERROR(INDEX(DAFTAR_FIXTURE!$B$2:$B$51,MATCH(L86,DAFTAR_FIXTURE!$A$2:$A$51,0)),""))</f>
        <v/>
      </c>
      <c r="S86" s="12">
        <f>IF(AND($D86="",L86=""),"",IF(L86="",IF(AND(T86="",AB86=""),"Belum ditempatkan",""),IF(R86="","CEK ID FIXTURE tidak ada di DAFTAR_FIXTURE",IF(M86="","CEK ZONA NO kosong",IF(ISNA(MATCH(R86&amp;"|"&amp;M86,LAYOUT!$E$2:$E$80,0)),"CEK ZONA NO di luar layout",IF(N86&lt;&gt;INDEX(LAYOUT!$D$2:$D$80,MATCH(R86&amp;"|"&amp;M86,LAYOUT!$E$2:$E$80,0)),"CEK JENIS ZONA",IF($D86="","Zona STOCK",IF($E86="","CEK SKU DESCRIPTION kosong",IF(AND(O86&lt;&gt;"",P86=""),"CEK URUTAN SAMBUNG kosong",IF(AND(O86&lt;&gt;"",LEFT(R86,6)="Endcap"),"CEK Endcap tidak ikut sambung","OK"))))))))))</f>
        <v/>
      </c>
      <c r="T86" s="11" t="n"/>
      <c r="U86" s="11" t="n"/>
      <c r="V86" s="11" t="n"/>
      <c r="W86" s="11" t="n"/>
      <c r="X86" s="11" t="n"/>
      <c r="Y86" s="11" t="n"/>
      <c r="Z86" s="12">
        <f>IF(T86="","",IFERROR(INDEX(DAFTAR_FIXTURE!$B$2:$B$51,MATCH(T86,DAFTAR_FIXTURE!$A$2:$A$51,0)),""))</f>
        <v/>
      </c>
      <c r="AA86" s="12">
        <f>IF(T86="","",IF(Z86="","CEK ID FIXTURE tidak ada di DAFTAR_FIXTURE",IF(U86="","CEK ZONA NO kosong",IF(ISNA(MATCH(Z86&amp;"|"&amp;U86,LAYOUT!$E$2:$E$80,0)),"CEK ZONA NO di luar layout",IF(V86&lt;&gt;INDEX(LAYOUT!$D$2:$D$80,MATCH(Z86&amp;"|"&amp;U86,LAYOUT!$E$2:$E$80,0)),"CEK JENIS ZONA",IF($D86="","Zona STOCK",IF($E86="","CEK SKU DESCRIPTION kosong",IF(AND(W86&lt;&gt;"",X86=""),"CEK URUTAN SAMBUNG kosong",IF(AND(W86&lt;&gt;"",LEFT(Z86,6)="Endcap"),"CEK Endcap tidak ikut sambung","OK")))))))))</f>
        <v/>
      </c>
      <c r="AB86" s="11" t="n"/>
      <c r="AC86" s="11" t="n"/>
      <c r="AD86" s="11" t="n"/>
      <c r="AE86" s="11" t="n"/>
      <c r="AF86" s="11" t="n"/>
      <c r="AG86" s="11" t="n"/>
      <c r="AH86" s="12">
        <f>IF(AB86="","",IFERROR(INDEX(DAFTAR_FIXTURE!$B$2:$B$51,MATCH(AB86,DAFTAR_FIXTURE!$A$2:$A$51,0)),""))</f>
        <v/>
      </c>
      <c r="AI86" s="12">
        <f>IF(AB86="","",IF(AH86="","CEK ID FIXTURE tidak ada di DAFTAR_FIXTURE",IF(AC86="","CEK ZONA NO kosong",IF(ISNA(MATCH(AH86&amp;"|"&amp;AC86,LAYOUT!$E$2:$E$80,0)),"CEK ZONA NO di luar layout",IF(AD86&lt;&gt;INDEX(LAYOUT!$D$2:$D$80,MATCH(AH86&amp;"|"&amp;AC86,LAYOUT!$E$2:$E$80,0)),"CEK JENIS ZONA",IF($D86="","Zona STOCK",IF($E86="","CEK SKU DESCRIPTION kosong",IF(AND(AE86&lt;&gt;"",AF86=""),"CEK URUTAN SAMBUNG kosong",IF(AND(AE86&lt;&gt;"",LEFT(AH86,6)="Endcap"),"CEK Endcap tidak ikut sambung","OK")))))))))</f>
        <v/>
      </c>
    </row>
    <row r="87">
      <c r="A87" s="10" t="n"/>
      <c r="B87" s="10" t="n"/>
      <c r="C87" s="10" t="n"/>
      <c r="D87" s="10" t="n"/>
      <c r="E87" s="10" t="n"/>
      <c r="F87" s="10" t="n"/>
      <c r="G87" s="10" t="n"/>
      <c r="H87" s="10" t="n"/>
      <c r="I87" s="10" t="n"/>
      <c r="J87" s="10" t="n"/>
      <c r="K87" s="10" t="n"/>
      <c r="L87" s="11" t="n"/>
      <c r="M87" s="11" t="n"/>
      <c r="N87" s="11" t="n"/>
      <c r="O87" s="11" t="n"/>
      <c r="P87" s="11" t="n"/>
      <c r="Q87" s="11" t="n"/>
      <c r="R87" s="12">
        <f>IF(L87="","",IFERROR(INDEX(DAFTAR_FIXTURE!$B$2:$B$51,MATCH(L87,DAFTAR_FIXTURE!$A$2:$A$51,0)),""))</f>
        <v/>
      </c>
      <c r="S87" s="12">
        <f>IF(AND($D87="",L87=""),"",IF(L87="",IF(AND(T87="",AB87=""),"Belum ditempatkan",""),IF(R87="","CEK ID FIXTURE tidak ada di DAFTAR_FIXTURE",IF(M87="","CEK ZONA NO kosong",IF(ISNA(MATCH(R87&amp;"|"&amp;M87,LAYOUT!$E$2:$E$80,0)),"CEK ZONA NO di luar layout",IF(N87&lt;&gt;INDEX(LAYOUT!$D$2:$D$80,MATCH(R87&amp;"|"&amp;M87,LAYOUT!$E$2:$E$80,0)),"CEK JENIS ZONA",IF($D87="","Zona STOCK",IF($E87="","CEK SKU DESCRIPTION kosong",IF(AND(O87&lt;&gt;"",P87=""),"CEK URUTAN SAMBUNG kosong",IF(AND(O87&lt;&gt;"",LEFT(R87,6)="Endcap"),"CEK Endcap tidak ikut sambung","OK"))))))))))</f>
        <v/>
      </c>
      <c r="T87" s="11" t="n"/>
      <c r="U87" s="11" t="n"/>
      <c r="V87" s="11" t="n"/>
      <c r="W87" s="11" t="n"/>
      <c r="X87" s="11" t="n"/>
      <c r="Y87" s="11" t="n"/>
      <c r="Z87" s="12">
        <f>IF(T87="","",IFERROR(INDEX(DAFTAR_FIXTURE!$B$2:$B$51,MATCH(T87,DAFTAR_FIXTURE!$A$2:$A$51,0)),""))</f>
        <v/>
      </c>
      <c r="AA87" s="12">
        <f>IF(T87="","",IF(Z87="","CEK ID FIXTURE tidak ada di DAFTAR_FIXTURE",IF(U87="","CEK ZONA NO kosong",IF(ISNA(MATCH(Z87&amp;"|"&amp;U87,LAYOUT!$E$2:$E$80,0)),"CEK ZONA NO di luar layout",IF(V87&lt;&gt;INDEX(LAYOUT!$D$2:$D$80,MATCH(Z87&amp;"|"&amp;U87,LAYOUT!$E$2:$E$80,0)),"CEK JENIS ZONA",IF($D87="","Zona STOCK",IF($E87="","CEK SKU DESCRIPTION kosong",IF(AND(W87&lt;&gt;"",X87=""),"CEK URUTAN SAMBUNG kosong",IF(AND(W87&lt;&gt;"",LEFT(Z87,6)="Endcap"),"CEK Endcap tidak ikut sambung","OK")))))))))</f>
        <v/>
      </c>
      <c r="AB87" s="11" t="n"/>
      <c r="AC87" s="11" t="n"/>
      <c r="AD87" s="11" t="n"/>
      <c r="AE87" s="11" t="n"/>
      <c r="AF87" s="11" t="n"/>
      <c r="AG87" s="11" t="n"/>
      <c r="AH87" s="12">
        <f>IF(AB87="","",IFERROR(INDEX(DAFTAR_FIXTURE!$B$2:$B$51,MATCH(AB87,DAFTAR_FIXTURE!$A$2:$A$51,0)),""))</f>
        <v/>
      </c>
      <c r="AI87" s="12">
        <f>IF(AB87="","",IF(AH87="","CEK ID FIXTURE tidak ada di DAFTAR_FIXTURE",IF(AC87="","CEK ZONA NO kosong",IF(ISNA(MATCH(AH87&amp;"|"&amp;AC87,LAYOUT!$E$2:$E$80,0)),"CEK ZONA NO di luar layout",IF(AD87&lt;&gt;INDEX(LAYOUT!$D$2:$D$80,MATCH(AH87&amp;"|"&amp;AC87,LAYOUT!$E$2:$E$80,0)),"CEK JENIS ZONA",IF($D87="","Zona STOCK",IF($E87="","CEK SKU DESCRIPTION kosong",IF(AND(AE87&lt;&gt;"",AF87=""),"CEK URUTAN SAMBUNG kosong",IF(AND(AE87&lt;&gt;"",LEFT(AH87,6)="Endcap"),"CEK Endcap tidak ikut sambung","OK")))))))))</f>
        <v/>
      </c>
    </row>
    <row r="88">
      <c r="A88" s="10" t="n"/>
      <c r="B88" s="10" t="n"/>
      <c r="C88" s="10" t="n"/>
      <c r="D88" s="10" t="n"/>
      <c r="E88" s="10" t="n"/>
      <c r="F88" s="10" t="n"/>
      <c r="G88" s="10" t="n"/>
      <c r="H88" s="10" t="n"/>
      <c r="I88" s="10" t="n"/>
      <c r="J88" s="10" t="n"/>
      <c r="K88" s="10" t="n"/>
      <c r="L88" s="11" t="n"/>
      <c r="M88" s="11" t="n"/>
      <c r="N88" s="11" t="n"/>
      <c r="O88" s="11" t="n"/>
      <c r="P88" s="11" t="n"/>
      <c r="Q88" s="11" t="n"/>
      <c r="R88" s="12">
        <f>IF(L88="","",IFERROR(INDEX(DAFTAR_FIXTURE!$B$2:$B$51,MATCH(L88,DAFTAR_FIXTURE!$A$2:$A$51,0)),""))</f>
        <v/>
      </c>
      <c r="S88" s="12">
        <f>IF(AND($D88="",L88=""),"",IF(L88="",IF(AND(T88="",AB88=""),"Belum ditempatkan",""),IF(R88="","CEK ID FIXTURE tidak ada di DAFTAR_FIXTURE",IF(M88="","CEK ZONA NO kosong",IF(ISNA(MATCH(R88&amp;"|"&amp;M88,LAYOUT!$E$2:$E$80,0)),"CEK ZONA NO di luar layout",IF(N88&lt;&gt;INDEX(LAYOUT!$D$2:$D$80,MATCH(R88&amp;"|"&amp;M88,LAYOUT!$E$2:$E$80,0)),"CEK JENIS ZONA",IF($D88="","Zona STOCK",IF($E88="","CEK SKU DESCRIPTION kosong",IF(AND(O88&lt;&gt;"",P88=""),"CEK URUTAN SAMBUNG kosong",IF(AND(O88&lt;&gt;"",LEFT(R88,6)="Endcap"),"CEK Endcap tidak ikut sambung","OK"))))))))))</f>
        <v/>
      </c>
      <c r="T88" s="11" t="n"/>
      <c r="U88" s="11" t="n"/>
      <c r="V88" s="11" t="n"/>
      <c r="W88" s="11" t="n"/>
      <c r="X88" s="11" t="n"/>
      <c r="Y88" s="11" t="n"/>
      <c r="Z88" s="12">
        <f>IF(T88="","",IFERROR(INDEX(DAFTAR_FIXTURE!$B$2:$B$51,MATCH(T88,DAFTAR_FIXTURE!$A$2:$A$51,0)),""))</f>
        <v/>
      </c>
      <c r="AA88" s="12">
        <f>IF(T88="","",IF(Z88="","CEK ID FIXTURE tidak ada di DAFTAR_FIXTURE",IF(U88="","CEK ZONA NO kosong",IF(ISNA(MATCH(Z88&amp;"|"&amp;U88,LAYOUT!$E$2:$E$80,0)),"CEK ZONA NO di luar layout",IF(V88&lt;&gt;INDEX(LAYOUT!$D$2:$D$80,MATCH(Z88&amp;"|"&amp;U88,LAYOUT!$E$2:$E$80,0)),"CEK JENIS ZONA",IF($D88="","Zona STOCK",IF($E88="","CEK SKU DESCRIPTION kosong",IF(AND(W88&lt;&gt;"",X88=""),"CEK URUTAN SAMBUNG kosong",IF(AND(W88&lt;&gt;"",LEFT(Z88,6)="Endcap"),"CEK Endcap tidak ikut sambung","OK")))))))))</f>
        <v/>
      </c>
      <c r="AB88" s="11" t="n"/>
      <c r="AC88" s="11" t="n"/>
      <c r="AD88" s="11" t="n"/>
      <c r="AE88" s="11" t="n"/>
      <c r="AF88" s="11" t="n"/>
      <c r="AG88" s="11" t="n"/>
      <c r="AH88" s="12">
        <f>IF(AB88="","",IFERROR(INDEX(DAFTAR_FIXTURE!$B$2:$B$51,MATCH(AB88,DAFTAR_FIXTURE!$A$2:$A$51,0)),""))</f>
        <v/>
      </c>
      <c r="AI88" s="12">
        <f>IF(AB88="","",IF(AH88="","CEK ID FIXTURE tidak ada di DAFTAR_FIXTURE",IF(AC88="","CEK ZONA NO kosong",IF(ISNA(MATCH(AH88&amp;"|"&amp;AC88,LAYOUT!$E$2:$E$80,0)),"CEK ZONA NO di luar layout",IF(AD88&lt;&gt;INDEX(LAYOUT!$D$2:$D$80,MATCH(AH88&amp;"|"&amp;AC88,LAYOUT!$E$2:$E$80,0)),"CEK JENIS ZONA",IF($D88="","Zona STOCK",IF($E88="","CEK SKU DESCRIPTION kosong",IF(AND(AE88&lt;&gt;"",AF88=""),"CEK URUTAN SAMBUNG kosong",IF(AND(AE88&lt;&gt;"",LEFT(AH88,6)="Endcap"),"CEK Endcap tidak ikut sambung","OK")))))))))</f>
        <v/>
      </c>
    </row>
    <row r="89">
      <c r="A89" s="10" t="n"/>
      <c r="B89" s="10" t="n"/>
      <c r="C89" s="10" t="n"/>
      <c r="D89" s="10" t="n"/>
      <c r="E89" s="10" t="n"/>
      <c r="F89" s="10" t="n"/>
      <c r="G89" s="10" t="n"/>
      <c r="H89" s="10" t="n"/>
      <c r="I89" s="10" t="n"/>
      <c r="J89" s="10" t="n"/>
      <c r="K89" s="10" t="n"/>
      <c r="L89" s="11" t="n"/>
      <c r="M89" s="11" t="n"/>
      <c r="N89" s="11" t="n"/>
      <c r="O89" s="11" t="n"/>
      <c r="P89" s="11" t="n"/>
      <c r="Q89" s="11" t="n"/>
      <c r="R89" s="12">
        <f>IF(L89="","",IFERROR(INDEX(DAFTAR_FIXTURE!$B$2:$B$51,MATCH(L89,DAFTAR_FIXTURE!$A$2:$A$51,0)),""))</f>
        <v/>
      </c>
      <c r="S89" s="12">
        <f>IF(AND($D89="",L89=""),"",IF(L89="",IF(AND(T89="",AB89=""),"Belum ditempatkan",""),IF(R89="","CEK ID FIXTURE tidak ada di DAFTAR_FIXTURE",IF(M89="","CEK ZONA NO kosong",IF(ISNA(MATCH(R89&amp;"|"&amp;M89,LAYOUT!$E$2:$E$80,0)),"CEK ZONA NO di luar layout",IF(N89&lt;&gt;INDEX(LAYOUT!$D$2:$D$80,MATCH(R89&amp;"|"&amp;M89,LAYOUT!$E$2:$E$80,0)),"CEK JENIS ZONA",IF($D89="","Zona STOCK",IF($E89="","CEK SKU DESCRIPTION kosong",IF(AND(O89&lt;&gt;"",P89=""),"CEK URUTAN SAMBUNG kosong",IF(AND(O89&lt;&gt;"",LEFT(R89,6)="Endcap"),"CEK Endcap tidak ikut sambung","OK"))))))))))</f>
        <v/>
      </c>
      <c r="T89" s="11" t="n"/>
      <c r="U89" s="11" t="n"/>
      <c r="V89" s="11" t="n"/>
      <c r="W89" s="11" t="n"/>
      <c r="X89" s="11" t="n"/>
      <c r="Y89" s="11" t="n"/>
      <c r="Z89" s="12">
        <f>IF(T89="","",IFERROR(INDEX(DAFTAR_FIXTURE!$B$2:$B$51,MATCH(T89,DAFTAR_FIXTURE!$A$2:$A$51,0)),""))</f>
        <v/>
      </c>
      <c r="AA89" s="12">
        <f>IF(T89="","",IF(Z89="","CEK ID FIXTURE tidak ada di DAFTAR_FIXTURE",IF(U89="","CEK ZONA NO kosong",IF(ISNA(MATCH(Z89&amp;"|"&amp;U89,LAYOUT!$E$2:$E$80,0)),"CEK ZONA NO di luar layout",IF(V89&lt;&gt;INDEX(LAYOUT!$D$2:$D$80,MATCH(Z89&amp;"|"&amp;U89,LAYOUT!$E$2:$E$80,0)),"CEK JENIS ZONA",IF($D89="","Zona STOCK",IF($E89="","CEK SKU DESCRIPTION kosong",IF(AND(W89&lt;&gt;"",X89=""),"CEK URUTAN SAMBUNG kosong",IF(AND(W89&lt;&gt;"",LEFT(Z89,6)="Endcap"),"CEK Endcap tidak ikut sambung","OK")))))))))</f>
        <v/>
      </c>
      <c r="AB89" s="11" t="n"/>
      <c r="AC89" s="11" t="n"/>
      <c r="AD89" s="11" t="n"/>
      <c r="AE89" s="11" t="n"/>
      <c r="AF89" s="11" t="n"/>
      <c r="AG89" s="11" t="n"/>
      <c r="AH89" s="12">
        <f>IF(AB89="","",IFERROR(INDEX(DAFTAR_FIXTURE!$B$2:$B$51,MATCH(AB89,DAFTAR_FIXTURE!$A$2:$A$51,0)),""))</f>
        <v/>
      </c>
      <c r="AI89" s="12">
        <f>IF(AB89="","",IF(AH89="","CEK ID FIXTURE tidak ada di DAFTAR_FIXTURE",IF(AC89="","CEK ZONA NO kosong",IF(ISNA(MATCH(AH89&amp;"|"&amp;AC89,LAYOUT!$E$2:$E$80,0)),"CEK ZONA NO di luar layout",IF(AD89&lt;&gt;INDEX(LAYOUT!$D$2:$D$80,MATCH(AH89&amp;"|"&amp;AC89,LAYOUT!$E$2:$E$80,0)),"CEK JENIS ZONA",IF($D89="","Zona STOCK",IF($E89="","CEK SKU DESCRIPTION kosong",IF(AND(AE89&lt;&gt;"",AF89=""),"CEK URUTAN SAMBUNG kosong",IF(AND(AE89&lt;&gt;"",LEFT(AH89,6)="Endcap"),"CEK Endcap tidak ikut sambung","OK")))))))))</f>
        <v/>
      </c>
    </row>
    <row r="90">
      <c r="A90" s="10" t="n"/>
      <c r="B90" s="10" t="n"/>
      <c r="C90" s="10" t="n"/>
      <c r="D90" s="10" t="n"/>
      <c r="E90" s="10" t="n"/>
      <c r="F90" s="10" t="n"/>
      <c r="G90" s="10" t="n"/>
      <c r="H90" s="10" t="n"/>
      <c r="I90" s="10" t="n"/>
      <c r="J90" s="10" t="n"/>
      <c r="K90" s="10" t="n"/>
      <c r="L90" s="11" t="n"/>
      <c r="M90" s="11" t="n"/>
      <c r="N90" s="11" t="n"/>
      <c r="O90" s="11" t="n"/>
      <c r="P90" s="11" t="n"/>
      <c r="Q90" s="11" t="n"/>
      <c r="R90" s="12">
        <f>IF(L90="","",IFERROR(INDEX(DAFTAR_FIXTURE!$B$2:$B$51,MATCH(L90,DAFTAR_FIXTURE!$A$2:$A$51,0)),""))</f>
        <v/>
      </c>
      <c r="S90" s="12">
        <f>IF(AND($D90="",L90=""),"",IF(L90="",IF(AND(T90="",AB90=""),"Belum ditempatkan",""),IF(R90="","CEK ID FIXTURE tidak ada di DAFTAR_FIXTURE",IF(M90="","CEK ZONA NO kosong",IF(ISNA(MATCH(R90&amp;"|"&amp;M90,LAYOUT!$E$2:$E$80,0)),"CEK ZONA NO di luar layout",IF(N90&lt;&gt;INDEX(LAYOUT!$D$2:$D$80,MATCH(R90&amp;"|"&amp;M90,LAYOUT!$E$2:$E$80,0)),"CEK JENIS ZONA",IF($D90="","Zona STOCK",IF($E90="","CEK SKU DESCRIPTION kosong",IF(AND(O90&lt;&gt;"",P90=""),"CEK URUTAN SAMBUNG kosong",IF(AND(O90&lt;&gt;"",LEFT(R90,6)="Endcap"),"CEK Endcap tidak ikut sambung","OK"))))))))))</f>
        <v/>
      </c>
      <c r="T90" s="11" t="n"/>
      <c r="U90" s="11" t="n"/>
      <c r="V90" s="11" t="n"/>
      <c r="W90" s="11" t="n"/>
      <c r="X90" s="11" t="n"/>
      <c r="Y90" s="11" t="n"/>
      <c r="Z90" s="12">
        <f>IF(T90="","",IFERROR(INDEX(DAFTAR_FIXTURE!$B$2:$B$51,MATCH(T90,DAFTAR_FIXTURE!$A$2:$A$51,0)),""))</f>
        <v/>
      </c>
      <c r="AA90" s="12">
        <f>IF(T90="","",IF(Z90="","CEK ID FIXTURE tidak ada di DAFTAR_FIXTURE",IF(U90="","CEK ZONA NO kosong",IF(ISNA(MATCH(Z90&amp;"|"&amp;U90,LAYOUT!$E$2:$E$80,0)),"CEK ZONA NO di luar layout",IF(V90&lt;&gt;INDEX(LAYOUT!$D$2:$D$80,MATCH(Z90&amp;"|"&amp;U90,LAYOUT!$E$2:$E$80,0)),"CEK JENIS ZONA",IF($D90="","Zona STOCK",IF($E90="","CEK SKU DESCRIPTION kosong",IF(AND(W90&lt;&gt;"",X90=""),"CEK URUTAN SAMBUNG kosong",IF(AND(W90&lt;&gt;"",LEFT(Z90,6)="Endcap"),"CEK Endcap tidak ikut sambung","OK")))))))))</f>
        <v/>
      </c>
      <c r="AB90" s="11" t="n"/>
      <c r="AC90" s="11" t="n"/>
      <c r="AD90" s="11" t="n"/>
      <c r="AE90" s="11" t="n"/>
      <c r="AF90" s="11" t="n"/>
      <c r="AG90" s="11" t="n"/>
      <c r="AH90" s="12">
        <f>IF(AB90="","",IFERROR(INDEX(DAFTAR_FIXTURE!$B$2:$B$51,MATCH(AB90,DAFTAR_FIXTURE!$A$2:$A$51,0)),""))</f>
        <v/>
      </c>
      <c r="AI90" s="12">
        <f>IF(AB90="","",IF(AH90="","CEK ID FIXTURE tidak ada di DAFTAR_FIXTURE",IF(AC90="","CEK ZONA NO kosong",IF(ISNA(MATCH(AH90&amp;"|"&amp;AC90,LAYOUT!$E$2:$E$80,0)),"CEK ZONA NO di luar layout",IF(AD90&lt;&gt;INDEX(LAYOUT!$D$2:$D$80,MATCH(AH90&amp;"|"&amp;AC90,LAYOUT!$E$2:$E$80,0)),"CEK JENIS ZONA",IF($D90="","Zona STOCK",IF($E90="","CEK SKU DESCRIPTION kosong",IF(AND(AE90&lt;&gt;"",AF90=""),"CEK URUTAN SAMBUNG kosong",IF(AND(AE90&lt;&gt;"",LEFT(AH90,6)="Endcap"),"CEK Endcap tidak ikut sambung","OK")))))))))</f>
        <v/>
      </c>
    </row>
    <row r="91">
      <c r="A91" s="10" t="n"/>
      <c r="B91" s="10" t="n"/>
      <c r="C91" s="10" t="n"/>
      <c r="D91" s="10" t="n"/>
      <c r="E91" s="10" t="n"/>
      <c r="F91" s="10" t="n"/>
      <c r="G91" s="10" t="n"/>
      <c r="H91" s="10" t="n"/>
      <c r="I91" s="10" t="n"/>
      <c r="J91" s="10" t="n"/>
      <c r="K91" s="10" t="n"/>
      <c r="L91" s="11" t="n"/>
      <c r="M91" s="11" t="n"/>
      <c r="N91" s="11" t="n"/>
      <c r="O91" s="11" t="n"/>
      <c r="P91" s="11" t="n"/>
      <c r="Q91" s="11" t="n"/>
      <c r="R91" s="12">
        <f>IF(L91="","",IFERROR(INDEX(DAFTAR_FIXTURE!$B$2:$B$51,MATCH(L91,DAFTAR_FIXTURE!$A$2:$A$51,0)),""))</f>
        <v/>
      </c>
      <c r="S91" s="12">
        <f>IF(AND($D91="",L91=""),"",IF(L91="",IF(AND(T91="",AB91=""),"Belum ditempatkan",""),IF(R91="","CEK ID FIXTURE tidak ada di DAFTAR_FIXTURE",IF(M91="","CEK ZONA NO kosong",IF(ISNA(MATCH(R91&amp;"|"&amp;M91,LAYOUT!$E$2:$E$80,0)),"CEK ZONA NO di luar layout",IF(N91&lt;&gt;INDEX(LAYOUT!$D$2:$D$80,MATCH(R91&amp;"|"&amp;M91,LAYOUT!$E$2:$E$80,0)),"CEK JENIS ZONA",IF($D91="","Zona STOCK",IF($E91="","CEK SKU DESCRIPTION kosong",IF(AND(O91&lt;&gt;"",P91=""),"CEK URUTAN SAMBUNG kosong",IF(AND(O91&lt;&gt;"",LEFT(R91,6)="Endcap"),"CEK Endcap tidak ikut sambung","OK"))))))))))</f>
        <v/>
      </c>
      <c r="T91" s="11" t="n"/>
      <c r="U91" s="11" t="n"/>
      <c r="V91" s="11" t="n"/>
      <c r="W91" s="11" t="n"/>
      <c r="X91" s="11" t="n"/>
      <c r="Y91" s="11" t="n"/>
      <c r="Z91" s="12">
        <f>IF(T91="","",IFERROR(INDEX(DAFTAR_FIXTURE!$B$2:$B$51,MATCH(T91,DAFTAR_FIXTURE!$A$2:$A$51,0)),""))</f>
        <v/>
      </c>
      <c r="AA91" s="12">
        <f>IF(T91="","",IF(Z91="","CEK ID FIXTURE tidak ada di DAFTAR_FIXTURE",IF(U91="","CEK ZONA NO kosong",IF(ISNA(MATCH(Z91&amp;"|"&amp;U91,LAYOUT!$E$2:$E$80,0)),"CEK ZONA NO di luar layout",IF(V91&lt;&gt;INDEX(LAYOUT!$D$2:$D$80,MATCH(Z91&amp;"|"&amp;U91,LAYOUT!$E$2:$E$80,0)),"CEK JENIS ZONA",IF($D91="","Zona STOCK",IF($E91="","CEK SKU DESCRIPTION kosong",IF(AND(W91&lt;&gt;"",X91=""),"CEK URUTAN SAMBUNG kosong",IF(AND(W91&lt;&gt;"",LEFT(Z91,6)="Endcap"),"CEK Endcap tidak ikut sambung","OK")))))))))</f>
        <v/>
      </c>
      <c r="AB91" s="11" t="n"/>
      <c r="AC91" s="11" t="n"/>
      <c r="AD91" s="11" t="n"/>
      <c r="AE91" s="11" t="n"/>
      <c r="AF91" s="11" t="n"/>
      <c r="AG91" s="11" t="n"/>
      <c r="AH91" s="12">
        <f>IF(AB91="","",IFERROR(INDEX(DAFTAR_FIXTURE!$B$2:$B$51,MATCH(AB91,DAFTAR_FIXTURE!$A$2:$A$51,0)),""))</f>
        <v/>
      </c>
      <c r="AI91" s="12">
        <f>IF(AB91="","",IF(AH91="","CEK ID FIXTURE tidak ada di DAFTAR_FIXTURE",IF(AC91="","CEK ZONA NO kosong",IF(ISNA(MATCH(AH91&amp;"|"&amp;AC91,LAYOUT!$E$2:$E$80,0)),"CEK ZONA NO di luar layout",IF(AD91&lt;&gt;INDEX(LAYOUT!$D$2:$D$80,MATCH(AH91&amp;"|"&amp;AC91,LAYOUT!$E$2:$E$80,0)),"CEK JENIS ZONA",IF($D91="","Zona STOCK",IF($E91="","CEK SKU DESCRIPTION kosong",IF(AND(AE91&lt;&gt;"",AF91=""),"CEK URUTAN SAMBUNG kosong",IF(AND(AE91&lt;&gt;"",LEFT(AH91,6)="Endcap"),"CEK Endcap tidak ikut sambung","OK")))))))))</f>
        <v/>
      </c>
    </row>
    <row r="92">
      <c r="A92" s="10" t="n"/>
      <c r="B92" s="10" t="n"/>
      <c r="C92" s="10" t="n"/>
      <c r="D92" s="10" t="n"/>
      <c r="E92" s="10" t="n"/>
      <c r="F92" s="10" t="n"/>
      <c r="G92" s="10" t="n"/>
      <c r="H92" s="10" t="n"/>
      <c r="I92" s="10" t="n"/>
      <c r="J92" s="10" t="n"/>
      <c r="K92" s="10" t="n"/>
      <c r="L92" s="11" t="n"/>
      <c r="M92" s="11" t="n"/>
      <c r="N92" s="11" t="n"/>
      <c r="O92" s="11" t="n"/>
      <c r="P92" s="11" t="n"/>
      <c r="Q92" s="11" t="n"/>
      <c r="R92" s="12">
        <f>IF(L92="","",IFERROR(INDEX(DAFTAR_FIXTURE!$B$2:$B$51,MATCH(L92,DAFTAR_FIXTURE!$A$2:$A$51,0)),""))</f>
        <v/>
      </c>
      <c r="S92" s="12">
        <f>IF(AND($D92="",L92=""),"",IF(L92="",IF(AND(T92="",AB92=""),"Belum ditempatkan",""),IF(R92="","CEK ID FIXTURE tidak ada di DAFTAR_FIXTURE",IF(M92="","CEK ZONA NO kosong",IF(ISNA(MATCH(R92&amp;"|"&amp;M92,LAYOUT!$E$2:$E$80,0)),"CEK ZONA NO di luar layout",IF(N92&lt;&gt;INDEX(LAYOUT!$D$2:$D$80,MATCH(R92&amp;"|"&amp;M92,LAYOUT!$E$2:$E$80,0)),"CEK JENIS ZONA",IF($D92="","Zona STOCK",IF($E92="","CEK SKU DESCRIPTION kosong",IF(AND(O92&lt;&gt;"",P92=""),"CEK URUTAN SAMBUNG kosong",IF(AND(O92&lt;&gt;"",LEFT(R92,6)="Endcap"),"CEK Endcap tidak ikut sambung","OK"))))))))))</f>
        <v/>
      </c>
      <c r="T92" s="11" t="n"/>
      <c r="U92" s="11" t="n"/>
      <c r="V92" s="11" t="n"/>
      <c r="W92" s="11" t="n"/>
      <c r="X92" s="11" t="n"/>
      <c r="Y92" s="11" t="n"/>
      <c r="Z92" s="12">
        <f>IF(T92="","",IFERROR(INDEX(DAFTAR_FIXTURE!$B$2:$B$51,MATCH(T92,DAFTAR_FIXTURE!$A$2:$A$51,0)),""))</f>
        <v/>
      </c>
      <c r="AA92" s="12">
        <f>IF(T92="","",IF(Z92="","CEK ID FIXTURE tidak ada di DAFTAR_FIXTURE",IF(U92="","CEK ZONA NO kosong",IF(ISNA(MATCH(Z92&amp;"|"&amp;U92,LAYOUT!$E$2:$E$80,0)),"CEK ZONA NO di luar layout",IF(V92&lt;&gt;INDEX(LAYOUT!$D$2:$D$80,MATCH(Z92&amp;"|"&amp;U92,LAYOUT!$E$2:$E$80,0)),"CEK JENIS ZONA",IF($D92="","Zona STOCK",IF($E92="","CEK SKU DESCRIPTION kosong",IF(AND(W92&lt;&gt;"",X92=""),"CEK URUTAN SAMBUNG kosong",IF(AND(W92&lt;&gt;"",LEFT(Z92,6)="Endcap"),"CEK Endcap tidak ikut sambung","OK")))))))))</f>
        <v/>
      </c>
      <c r="AB92" s="11" t="n"/>
      <c r="AC92" s="11" t="n"/>
      <c r="AD92" s="11" t="n"/>
      <c r="AE92" s="11" t="n"/>
      <c r="AF92" s="11" t="n"/>
      <c r="AG92" s="11" t="n"/>
      <c r="AH92" s="12">
        <f>IF(AB92="","",IFERROR(INDEX(DAFTAR_FIXTURE!$B$2:$B$51,MATCH(AB92,DAFTAR_FIXTURE!$A$2:$A$51,0)),""))</f>
        <v/>
      </c>
      <c r="AI92" s="12">
        <f>IF(AB92="","",IF(AH92="","CEK ID FIXTURE tidak ada di DAFTAR_FIXTURE",IF(AC92="","CEK ZONA NO kosong",IF(ISNA(MATCH(AH92&amp;"|"&amp;AC92,LAYOUT!$E$2:$E$80,0)),"CEK ZONA NO di luar layout",IF(AD92&lt;&gt;INDEX(LAYOUT!$D$2:$D$80,MATCH(AH92&amp;"|"&amp;AC92,LAYOUT!$E$2:$E$80,0)),"CEK JENIS ZONA",IF($D92="","Zona STOCK",IF($E92="","CEK SKU DESCRIPTION kosong",IF(AND(AE92&lt;&gt;"",AF92=""),"CEK URUTAN SAMBUNG kosong",IF(AND(AE92&lt;&gt;"",LEFT(AH92,6)="Endcap"),"CEK Endcap tidak ikut sambung","OK")))))))))</f>
        <v/>
      </c>
    </row>
    <row r="93">
      <c r="A93" s="10" t="n"/>
      <c r="B93" s="10" t="n"/>
      <c r="C93" s="10" t="n"/>
      <c r="D93" s="10" t="n"/>
      <c r="E93" s="10" t="n"/>
      <c r="F93" s="10" t="n"/>
      <c r="G93" s="10" t="n"/>
      <c r="H93" s="10" t="n"/>
      <c r="I93" s="10" t="n"/>
      <c r="J93" s="10" t="n"/>
      <c r="K93" s="10" t="n"/>
      <c r="L93" s="11" t="n"/>
      <c r="M93" s="11" t="n"/>
      <c r="N93" s="11" t="n"/>
      <c r="O93" s="11" t="n"/>
      <c r="P93" s="11" t="n"/>
      <c r="Q93" s="11" t="n"/>
      <c r="R93" s="12">
        <f>IF(L93="","",IFERROR(INDEX(DAFTAR_FIXTURE!$B$2:$B$51,MATCH(L93,DAFTAR_FIXTURE!$A$2:$A$51,0)),""))</f>
        <v/>
      </c>
      <c r="S93" s="12">
        <f>IF(AND($D93="",L93=""),"",IF(L93="",IF(AND(T93="",AB93=""),"Belum ditempatkan",""),IF(R93="","CEK ID FIXTURE tidak ada di DAFTAR_FIXTURE",IF(M93="","CEK ZONA NO kosong",IF(ISNA(MATCH(R93&amp;"|"&amp;M93,LAYOUT!$E$2:$E$80,0)),"CEK ZONA NO di luar layout",IF(N93&lt;&gt;INDEX(LAYOUT!$D$2:$D$80,MATCH(R93&amp;"|"&amp;M93,LAYOUT!$E$2:$E$80,0)),"CEK JENIS ZONA",IF($D93="","Zona STOCK",IF($E93="","CEK SKU DESCRIPTION kosong",IF(AND(O93&lt;&gt;"",P93=""),"CEK URUTAN SAMBUNG kosong",IF(AND(O93&lt;&gt;"",LEFT(R93,6)="Endcap"),"CEK Endcap tidak ikut sambung","OK"))))))))))</f>
        <v/>
      </c>
      <c r="T93" s="11" t="n"/>
      <c r="U93" s="11" t="n"/>
      <c r="V93" s="11" t="n"/>
      <c r="W93" s="11" t="n"/>
      <c r="X93" s="11" t="n"/>
      <c r="Y93" s="11" t="n"/>
      <c r="Z93" s="12">
        <f>IF(T93="","",IFERROR(INDEX(DAFTAR_FIXTURE!$B$2:$B$51,MATCH(T93,DAFTAR_FIXTURE!$A$2:$A$51,0)),""))</f>
        <v/>
      </c>
      <c r="AA93" s="12">
        <f>IF(T93="","",IF(Z93="","CEK ID FIXTURE tidak ada di DAFTAR_FIXTURE",IF(U93="","CEK ZONA NO kosong",IF(ISNA(MATCH(Z93&amp;"|"&amp;U93,LAYOUT!$E$2:$E$80,0)),"CEK ZONA NO di luar layout",IF(V93&lt;&gt;INDEX(LAYOUT!$D$2:$D$80,MATCH(Z93&amp;"|"&amp;U93,LAYOUT!$E$2:$E$80,0)),"CEK JENIS ZONA",IF($D93="","Zona STOCK",IF($E93="","CEK SKU DESCRIPTION kosong",IF(AND(W93&lt;&gt;"",X93=""),"CEK URUTAN SAMBUNG kosong",IF(AND(W93&lt;&gt;"",LEFT(Z93,6)="Endcap"),"CEK Endcap tidak ikut sambung","OK")))))))))</f>
        <v/>
      </c>
      <c r="AB93" s="11" t="n"/>
      <c r="AC93" s="11" t="n"/>
      <c r="AD93" s="11" t="n"/>
      <c r="AE93" s="11" t="n"/>
      <c r="AF93" s="11" t="n"/>
      <c r="AG93" s="11" t="n"/>
      <c r="AH93" s="12">
        <f>IF(AB93="","",IFERROR(INDEX(DAFTAR_FIXTURE!$B$2:$B$51,MATCH(AB93,DAFTAR_FIXTURE!$A$2:$A$51,0)),""))</f>
        <v/>
      </c>
      <c r="AI93" s="12">
        <f>IF(AB93="","",IF(AH93="","CEK ID FIXTURE tidak ada di DAFTAR_FIXTURE",IF(AC93="","CEK ZONA NO kosong",IF(ISNA(MATCH(AH93&amp;"|"&amp;AC93,LAYOUT!$E$2:$E$80,0)),"CEK ZONA NO di luar layout",IF(AD93&lt;&gt;INDEX(LAYOUT!$D$2:$D$80,MATCH(AH93&amp;"|"&amp;AC93,LAYOUT!$E$2:$E$80,0)),"CEK JENIS ZONA",IF($D93="","Zona STOCK",IF($E93="","CEK SKU DESCRIPTION kosong",IF(AND(AE93&lt;&gt;"",AF93=""),"CEK URUTAN SAMBUNG kosong",IF(AND(AE93&lt;&gt;"",LEFT(AH93,6)="Endcap"),"CEK Endcap tidak ikut sambung","OK")))))))))</f>
        <v/>
      </c>
    </row>
    <row r="94">
      <c r="A94" s="10" t="n"/>
      <c r="B94" s="10" t="n"/>
      <c r="C94" s="10" t="n"/>
      <c r="D94" s="10" t="n"/>
      <c r="E94" s="10" t="n"/>
      <c r="F94" s="10" t="n"/>
      <c r="G94" s="10" t="n"/>
      <c r="H94" s="10" t="n"/>
      <c r="I94" s="10" t="n"/>
      <c r="J94" s="10" t="n"/>
      <c r="K94" s="10" t="n"/>
      <c r="L94" s="11" t="n"/>
      <c r="M94" s="11" t="n"/>
      <c r="N94" s="11" t="n"/>
      <c r="O94" s="11" t="n"/>
      <c r="P94" s="11" t="n"/>
      <c r="Q94" s="11" t="n"/>
      <c r="R94" s="12">
        <f>IF(L94="","",IFERROR(INDEX(DAFTAR_FIXTURE!$B$2:$B$51,MATCH(L94,DAFTAR_FIXTURE!$A$2:$A$51,0)),""))</f>
        <v/>
      </c>
      <c r="S94" s="12">
        <f>IF(AND($D94="",L94=""),"",IF(L94="",IF(AND(T94="",AB94=""),"Belum ditempatkan",""),IF(R94="","CEK ID FIXTURE tidak ada di DAFTAR_FIXTURE",IF(M94="","CEK ZONA NO kosong",IF(ISNA(MATCH(R94&amp;"|"&amp;M94,LAYOUT!$E$2:$E$80,0)),"CEK ZONA NO di luar layout",IF(N94&lt;&gt;INDEX(LAYOUT!$D$2:$D$80,MATCH(R94&amp;"|"&amp;M94,LAYOUT!$E$2:$E$80,0)),"CEK JENIS ZONA",IF($D94="","Zona STOCK",IF($E94="","CEK SKU DESCRIPTION kosong",IF(AND(O94&lt;&gt;"",P94=""),"CEK URUTAN SAMBUNG kosong",IF(AND(O94&lt;&gt;"",LEFT(R94,6)="Endcap"),"CEK Endcap tidak ikut sambung","OK"))))))))))</f>
        <v/>
      </c>
      <c r="T94" s="11" t="n"/>
      <c r="U94" s="11" t="n"/>
      <c r="V94" s="11" t="n"/>
      <c r="W94" s="11" t="n"/>
      <c r="X94" s="11" t="n"/>
      <c r="Y94" s="11" t="n"/>
      <c r="Z94" s="12">
        <f>IF(T94="","",IFERROR(INDEX(DAFTAR_FIXTURE!$B$2:$B$51,MATCH(T94,DAFTAR_FIXTURE!$A$2:$A$51,0)),""))</f>
        <v/>
      </c>
      <c r="AA94" s="12">
        <f>IF(T94="","",IF(Z94="","CEK ID FIXTURE tidak ada di DAFTAR_FIXTURE",IF(U94="","CEK ZONA NO kosong",IF(ISNA(MATCH(Z94&amp;"|"&amp;U94,LAYOUT!$E$2:$E$80,0)),"CEK ZONA NO di luar layout",IF(V94&lt;&gt;INDEX(LAYOUT!$D$2:$D$80,MATCH(Z94&amp;"|"&amp;U94,LAYOUT!$E$2:$E$80,0)),"CEK JENIS ZONA",IF($D94="","Zona STOCK",IF($E94="","CEK SKU DESCRIPTION kosong",IF(AND(W94&lt;&gt;"",X94=""),"CEK URUTAN SAMBUNG kosong",IF(AND(W94&lt;&gt;"",LEFT(Z94,6)="Endcap"),"CEK Endcap tidak ikut sambung","OK")))))))))</f>
        <v/>
      </c>
      <c r="AB94" s="11" t="n"/>
      <c r="AC94" s="11" t="n"/>
      <c r="AD94" s="11" t="n"/>
      <c r="AE94" s="11" t="n"/>
      <c r="AF94" s="11" t="n"/>
      <c r="AG94" s="11" t="n"/>
      <c r="AH94" s="12">
        <f>IF(AB94="","",IFERROR(INDEX(DAFTAR_FIXTURE!$B$2:$B$51,MATCH(AB94,DAFTAR_FIXTURE!$A$2:$A$51,0)),""))</f>
        <v/>
      </c>
      <c r="AI94" s="12">
        <f>IF(AB94="","",IF(AH94="","CEK ID FIXTURE tidak ada di DAFTAR_FIXTURE",IF(AC94="","CEK ZONA NO kosong",IF(ISNA(MATCH(AH94&amp;"|"&amp;AC94,LAYOUT!$E$2:$E$80,0)),"CEK ZONA NO di luar layout",IF(AD94&lt;&gt;INDEX(LAYOUT!$D$2:$D$80,MATCH(AH94&amp;"|"&amp;AC94,LAYOUT!$E$2:$E$80,0)),"CEK JENIS ZONA",IF($D94="","Zona STOCK",IF($E94="","CEK SKU DESCRIPTION kosong",IF(AND(AE94&lt;&gt;"",AF94=""),"CEK URUTAN SAMBUNG kosong",IF(AND(AE94&lt;&gt;"",LEFT(AH94,6)="Endcap"),"CEK Endcap tidak ikut sambung","OK")))))))))</f>
        <v/>
      </c>
    </row>
    <row r="95">
      <c r="A95" s="10" t="n"/>
      <c r="B95" s="10" t="n"/>
      <c r="C95" s="10" t="n"/>
      <c r="D95" s="10" t="n"/>
      <c r="E95" s="10" t="n"/>
      <c r="F95" s="10" t="n"/>
      <c r="G95" s="10" t="n"/>
      <c r="H95" s="10" t="n"/>
      <c r="I95" s="10" t="n"/>
      <c r="J95" s="10" t="n"/>
      <c r="K95" s="10" t="n"/>
      <c r="L95" s="11" t="n"/>
      <c r="M95" s="11" t="n"/>
      <c r="N95" s="11" t="n"/>
      <c r="O95" s="11" t="n"/>
      <c r="P95" s="11" t="n"/>
      <c r="Q95" s="11" t="n"/>
      <c r="R95" s="12">
        <f>IF(L95="","",IFERROR(INDEX(DAFTAR_FIXTURE!$B$2:$B$51,MATCH(L95,DAFTAR_FIXTURE!$A$2:$A$51,0)),""))</f>
        <v/>
      </c>
      <c r="S95" s="12">
        <f>IF(AND($D95="",L95=""),"",IF(L95="",IF(AND(T95="",AB95=""),"Belum ditempatkan",""),IF(R95="","CEK ID FIXTURE tidak ada di DAFTAR_FIXTURE",IF(M95="","CEK ZONA NO kosong",IF(ISNA(MATCH(R95&amp;"|"&amp;M95,LAYOUT!$E$2:$E$80,0)),"CEK ZONA NO di luar layout",IF(N95&lt;&gt;INDEX(LAYOUT!$D$2:$D$80,MATCH(R95&amp;"|"&amp;M95,LAYOUT!$E$2:$E$80,0)),"CEK JENIS ZONA",IF($D95="","Zona STOCK",IF($E95="","CEK SKU DESCRIPTION kosong",IF(AND(O95&lt;&gt;"",P95=""),"CEK URUTAN SAMBUNG kosong",IF(AND(O95&lt;&gt;"",LEFT(R95,6)="Endcap"),"CEK Endcap tidak ikut sambung","OK"))))))))))</f>
        <v/>
      </c>
      <c r="T95" s="11" t="n"/>
      <c r="U95" s="11" t="n"/>
      <c r="V95" s="11" t="n"/>
      <c r="W95" s="11" t="n"/>
      <c r="X95" s="11" t="n"/>
      <c r="Y95" s="11" t="n"/>
      <c r="Z95" s="12">
        <f>IF(T95="","",IFERROR(INDEX(DAFTAR_FIXTURE!$B$2:$B$51,MATCH(T95,DAFTAR_FIXTURE!$A$2:$A$51,0)),""))</f>
        <v/>
      </c>
      <c r="AA95" s="12">
        <f>IF(T95="","",IF(Z95="","CEK ID FIXTURE tidak ada di DAFTAR_FIXTURE",IF(U95="","CEK ZONA NO kosong",IF(ISNA(MATCH(Z95&amp;"|"&amp;U95,LAYOUT!$E$2:$E$80,0)),"CEK ZONA NO di luar layout",IF(V95&lt;&gt;INDEX(LAYOUT!$D$2:$D$80,MATCH(Z95&amp;"|"&amp;U95,LAYOUT!$E$2:$E$80,0)),"CEK JENIS ZONA",IF($D95="","Zona STOCK",IF($E95="","CEK SKU DESCRIPTION kosong",IF(AND(W95&lt;&gt;"",X95=""),"CEK URUTAN SAMBUNG kosong",IF(AND(W95&lt;&gt;"",LEFT(Z95,6)="Endcap"),"CEK Endcap tidak ikut sambung","OK")))))))))</f>
        <v/>
      </c>
      <c r="AB95" s="11" t="n"/>
      <c r="AC95" s="11" t="n"/>
      <c r="AD95" s="11" t="n"/>
      <c r="AE95" s="11" t="n"/>
      <c r="AF95" s="11" t="n"/>
      <c r="AG95" s="11" t="n"/>
      <c r="AH95" s="12">
        <f>IF(AB95="","",IFERROR(INDEX(DAFTAR_FIXTURE!$B$2:$B$51,MATCH(AB95,DAFTAR_FIXTURE!$A$2:$A$51,0)),""))</f>
        <v/>
      </c>
      <c r="AI95" s="12">
        <f>IF(AB95="","",IF(AH95="","CEK ID FIXTURE tidak ada di DAFTAR_FIXTURE",IF(AC95="","CEK ZONA NO kosong",IF(ISNA(MATCH(AH95&amp;"|"&amp;AC95,LAYOUT!$E$2:$E$80,0)),"CEK ZONA NO di luar layout",IF(AD95&lt;&gt;INDEX(LAYOUT!$D$2:$D$80,MATCH(AH95&amp;"|"&amp;AC95,LAYOUT!$E$2:$E$80,0)),"CEK JENIS ZONA",IF($D95="","Zona STOCK",IF($E95="","CEK SKU DESCRIPTION kosong",IF(AND(AE95&lt;&gt;"",AF95=""),"CEK URUTAN SAMBUNG kosong",IF(AND(AE95&lt;&gt;"",LEFT(AH95,6)="Endcap"),"CEK Endcap tidak ikut sambung","OK")))))))))</f>
        <v/>
      </c>
    </row>
    <row r="96">
      <c r="A96" s="10" t="n"/>
      <c r="B96" s="10" t="n"/>
      <c r="C96" s="10" t="n"/>
      <c r="D96" s="10" t="n"/>
      <c r="E96" s="10" t="n"/>
      <c r="F96" s="10" t="n"/>
      <c r="G96" s="10" t="n"/>
      <c r="H96" s="10" t="n"/>
      <c r="I96" s="10" t="n"/>
      <c r="J96" s="10" t="n"/>
      <c r="K96" s="10" t="n"/>
      <c r="L96" s="11" t="n"/>
      <c r="M96" s="11" t="n"/>
      <c r="N96" s="11" t="n"/>
      <c r="O96" s="11" t="n"/>
      <c r="P96" s="11" t="n"/>
      <c r="Q96" s="11" t="n"/>
      <c r="R96" s="12">
        <f>IF(L96="","",IFERROR(INDEX(DAFTAR_FIXTURE!$B$2:$B$51,MATCH(L96,DAFTAR_FIXTURE!$A$2:$A$51,0)),""))</f>
        <v/>
      </c>
      <c r="S96" s="12">
        <f>IF(AND($D96="",L96=""),"",IF(L96="",IF(AND(T96="",AB96=""),"Belum ditempatkan",""),IF(R96="","CEK ID FIXTURE tidak ada di DAFTAR_FIXTURE",IF(M96="","CEK ZONA NO kosong",IF(ISNA(MATCH(R96&amp;"|"&amp;M96,LAYOUT!$E$2:$E$80,0)),"CEK ZONA NO di luar layout",IF(N96&lt;&gt;INDEX(LAYOUT!$D$2:$D$80,MATCH(R96&amp;"|"&amp;M96,LAYOUT!$E$2:$E$80,0)),"CEK JENIS ZONA",IF($D96="","Zona STOCK",IF($E96="","CEK SKU DESCRIPTION kosong",IF(AND(O96&lt;&gt;"",P96=""),"CEK URUTAN SAMBUNG kosong",IF(AND(O96&lt;&gt;"",LEFT(R96,6)="Endcap"),"CEK Endcap tidak ikut sambung","OK"))))))))))</f>
        <v/>
      </c>
      <c r="T96" s="11" t="n"/>
      <c r="U96" s="11" t="n"/>
      <c r="V96" s="11" t="n"/>
      <c r="W96" s="11" t="n"/>
      <c r="X96" s="11" t="n"/>
      <c r="Y96" s="11" t="n"/>
      <c r="Z96" s="12">
        <f>IF(T96="","",IFERROR(INDEX(DAFTAR_FIXTURE!$B$2:$B$51,MATCH(T96,DAFTAR_FIXTURE!$A$2:$A$51,0)),""))</f>
        <v/>
      </c>
      <c r="AA96" s="12">
        <f>IF(T96="","",IF(Z96="","CEK ID FIXTURE tidak ada di DAFTAR_FIXTURE",IF(U96="","CEK ZONA NO kosong",IF(ISNA(MATCH(Z96&amp;"|"&amp;U96,LAYOUT!$E$2:$E$80,0)),"CEK ZONA NO di luar layout",IF(V96&lt;&gt;INDEX(LAYOUT!$D$2:$D$80,MATCH(Z96&amp;"|"&amp;U96,LAYOUT!$E$2:$E$80,0)),"CEK JENIS ZONA",IF($D96="","Zona STOCK",IF($E96="","CEK SKU DESCRIPTION kosong",IF(AND(W96&lt;&gt;"",X96=""),"CEK URUTAN SAMBUNG kosong",IF(AND(W96&lt;&gt;"",LEFT(Z96,6)="Endcap"),"CEK Endcap tidak ikut sambung","OK")))))))))</f>
        <v/>
      </c>
      <c r="AB96" s="11" t="n"/>
      <c r="AC96" s="11" t="n"/>
      <c r="AD96" s="11" t="n"/>
      <c r="AE96" s="11" t="n"/>
      <c r="AF96" s="11" t="n"/>
      <c r="AG96" s="11" t="n"/>
      <c r="AH96" s="12">
        <f>IF(AB96="","",IFERROR(INDEX(DAFTAR_FIXTURE!$B$2:$B$51,MATCH(AB96,DAFTAR_FIXTURE!$A$2:$A$51,0)),""))</f>
        <v/>
      </c>
      <c r="AI96" s="12">
        <f>IF(AB96="","",IF(AH96="","CEK ID FIXTURE tidak ada di DAFTAR_FIXTURE",IF(AC96="","CEK ZONA NO kosong",IF(ISNA(MATCH(AH96&amp;"|"&amp;AC96,LAYOUT!$E$2:$E$80,0)),"CEK ZONA NO di luar layout",IF(AD96&lt;&gt;INDEX(LAYOUT!$D$2:$D$80,MATCH(AH96&amp;"|"&amp;AC96,LAYOUT!$E$2:$E$80,0)),"CEK JENIS ZONA",IF($D96="","Zona STOCK",IF($E96="","CEK SKU DESCRIPTION kosong",IF(AND(AE96&lt;&gt;"",AF96=""),"CEK URUTAN SAMBUNG kosong",IF(AND(AE96&lt;&gt;"",LEFT(AH96,6)="Endcap"),"CEK Endcap tidak ikut sambung","OK")))))))))</f>
        <v/>
      </c>
    </row>
    <row r="97">
      <c r="A97" s="10" t="n"/>
      <c r="B97" s="10" t="n"/>
      <c r="C97" s="10" t="n"/>
      <c r="D97" s="10" t="n"/>
      <c r="E97" s="10" t="n"/>
      <c r="F97" s="10" t="n"/>
      <c r="G97" s="10" t="n"/>
      <c r="H97" s="10" t="n"/>
      <c r="I97" s="10" t="n"/>
      <c r="J97" s="10" t="n"/>
      <c r="K97" s="10" t="n"/>
      <c r="L97" s="11" t="n"/>
      <c r="M97" s="11" t="n"/>
      <c r="N97" s="11" t="n"/>
      <c r="O97" s="11" t="n"/>
      <c r="P97" s="11" t="n"/>
      <c r="Q97" s="11" t="n"/>
      <c r="R97" s="12">
        <f>IF(L97="","",IFERROR(INDEX(DAFTAR_FIXTURE!$B$2:$B$51,MATCH(L97,DAFTAR_FIXTURE!$A$2:$A$51,0)),""))</f>
        <v/>
      </c>
      <c r="S97" s="12">
        <f>IF(AND($D97="",L97=""),"",IF(L97="",IF(AND(T97="",AB97=""),"Belum ditempatkan",""),IF(R97="","CEK ID FIXTURE tidak ada di DAFTAR_FIXTURE",IF(M97="","CEK ZONA NO kosong",IF(ISNA(MATCH(R97&amp;"|"&amp;M97,LAYOUT!$E$2:$E$80,0)),"CEK ZONA NO di luar layout",IF(N97&lt;&gt;INDEX(LAYOUT!$D$2:$D$80,MATCH(R97&amp;"|"&amp;M97,LAYOUT!$E$2:$E$80,0)),"CEK JENIS ZONA",IF($D97="","Zona STOCK",IF($E97="","CEK SKU DESCRIPTION kosong",IF(AND(O97&lt;&gt;"",P97=""),"CEK URUTAN SAMBUNG kosong",IF(AND(O97&lt;&gt;"",LEFT(R97,6)="Endcap"),"CEK Endcap tidak ikut sambung","OK"))))))))))</f>
        <v/>
      </c>
      <c r="T97" s="11" t="n"/>
      <c r="U97" s="11" t="n"/>
      <c r="V97" s="11" t="n"/>
      <c r="W97" s="11" t="n"/>
      <c r="X97" s="11" t="n"/>
      <c r="Y97" s="11" t="n"/>
      <c r="Z97" s="12">
        <f>IF(T97="","",IFERROR(INDEX(DAFTAR_FIXTURE!$B$2:$B$51,MATCH(T97,DAFTAR_FIXTURE!$A$2:$A$51,0)),""))</f>
        <v/>
      </c>
      <c r="AA97" s="12">
        <f>IF(T97="","",IF(Z97="","CEK ID FIXTURE tidak ada di DAFTAR_FIXTURE",IF(U97="","CEK ZONA NO kosong",IF(ISNA(MATCH(Z97&amp;"|"&amp;U97,LAYOUT!$E$2:$E$80,0)),"CEK ZONA NO di luar layout",IF(V97&lt;&gt;INDEX(LAYOUT!$D$2:$D$80,MATCH(Z97&amp;"|"&amp;U97,LAYOUT!$E$2:$E$80,0)),"CEK JENIS ZONA",IF($D97="","Zona STOCK",IF($E97="","CEK SKU DESCRIPTION kosong",IF(AND(W97&lt;&gt;"",X97=""),"CEK URUTAN SAMBUNG kosong",IF(AND(W97&lt;&gt;"",LEFT(Z97,6)="Endcap"),"CEK Endcap tidak ikut sambung","OK")))))))))</f>
        <v/>
      </c>
      <c r="AB97" s="11" t="n"/>
      <c r="AC97" s="11" t="n"/>
      <c r="AD97" s="11" t="n"/>
      <c r="AE97" s="11" t="n"/>
      <c r="AF97" s="11" t="n"/>
      <c r="AG97" s="11" t="n"/>
      <c r="AH97" s="12">
        <f>IF(AB97="","",IFERROR(INDEX(DAFTAR_FIXTURE!$B$2:$B$51,MATCH(AB97,DAFTAR_FIXTURE!$A$2:$A$51,0)),""))</f>
        <v/>
      </c>
      <c r="AI97" s="12">
        <f>IF(AB97="","",IF(AH97="","CEK ID FIXTURE tidak ada di DAFTAR_FIXTURE",IF(AC97="","CEK ZONA NO kosong",IF(ISNA(MATCH(AH97&amp;"|"&amp;AC97,LAYOUT!$E$2:$E$80,0)),"CEK ZONA NO di luar layout",IF(AD97&lt;&gt;INDEX(LAYOUT!$D$2:$D$80,MATCH(AH97&amp;"|"&amp;AC97,LAYOUT!$E$2:$E$80,0)),"CEK JENIS ZONA",IF($D97="","Zona STOCK",IF($E97="","CEK SKU DESCRIPTION kosong",IF(AND(AE97&lt;&gt;"",AF97=""),"CEK URUTAN SAMBUNG kosong",IF(AND(AE97&lt;&gt;"",LEFT(AH97,6)="Endcap"),"CEK Endcap tidak ikut sambung","OK")))))))))</f>
        <v/>
      </c>
    </row>
    <row r="98">
      <c r="A98" s="10" t="n"/>
      <c r="B98" s="10" t="n"/>
      <c r="C98" s="10" t="n"/>
      <c r="D98" s="10" t="n"/>
      <c r="E98" s="10" t="n"/>
      <c r="F98" s="10" t="n"/>
      <c r="G98" s="10" t="n"/>
      <c r="H98" s="10" t="n"/>
      <c r="I98" s="10" t="n"/>
      <c r="J98" s="10" t="n"/>
      <c r="K98" s="10" t="n"/>
      <c r="L98" s="11" t="n"/>
      <c r="M98" s="11" t="n"/>
      <c r="N98" s="11" t="n"/>
      <c r="O98" s="11" t="n"/>
      <c r="P98" s="11" t="n"/>
      <c r="Q98" s="11" t="n"/>
      <c r="R98" s="12">
        <f>IF(L98="","",IFERROR(INDEX(DAFTAR_FIXTURE!$B$2:$B$51,MATCH(L98,DAFTAR_FIXTURE!$A$2:$A$51,0)),""))</f>
        <v/>
      </c>
      <c r="S98" s="12">
        <f>IF(AND($D98="",L98=""),"",IF(L98="",IF(AND(T98="",AB98=""),"Belum ditempatkan",""),IF(R98="","CEK ID FIXTURE tidak ada di DAFTAR_FIXTURE",IF(M98="","CEK ZONA NO kosong",IF(ISNA(MATCH(R98&amp;"|"&amp;M98,LAYOUT!$E$2:$E$80,0)),"CEK ZONA NO di luar layout",IF(N98&lt;&gt;INDEX(LAYOUT!$D$2:$D$80,MATCH(R98&amp;"|"&amp;M98,LAYOUT!$E$2:$E$80,0)),"CEK JENIS ZONA",IF($D98="","Zona STOCK",IF($E98="","CEK SKU DESCRIPTION kosong",IF(AND(O98&lt;&gt;"",P98=""),"CEK URUTAN SAMBUNG kosong",IF(AND(O98&lt;&gt;"",LEFT(R98,6)="Endcap"),"CEK Endcap tidak ikut sambung","OK"))))))))))</f>
        <v/>
      </c>
      <c r="T98" s="11" t="n"/>
      <c r="U98" s="11" t="n"/>
      <c r="V98" s="11" t="n"/>
      <c r="W98" s="11" t="n"/>
      <c r="X98" s="11" t="n"/>
      <c r="Y98" s="11" t="n"/>
      <c r="Z98" s="12">
        <f>IF(T98="","",IFERROR(INDEX(DAFTAR_FIXTURE!$B$2:$B$51,MATCH(T98,DAFTAR_FIXTURE!$A$2:$A$51,0)),""))</f>
        <v/>
      </c>
      <c r="AA98" s="12">
        <f>IF(T98="","",IF(Z98="","CEK ID FIXTURE tidak ada di DAFTAR_FIXTURE",IF(U98="","CEK ZONA NO kosong",IF(ISNA(MATCH(Z98&amp;"|"&amp;U98,LAYOUT!$E$2:$E$80,0)),"CEK ZONA NO di luar layout",IF(V98&lt;&gt;INDEX(LAYOUT!$D$2:$D$80,MATCH(Z98&amp;"|"&amp;U98,LAYOUT!$E$2:$E$80,0)),"CEK JENIS ZONA",IF($D98="","Zona STOCK",IF($E98="","CEK SKU DESCRIPTION kosong",IF(AND(W98&lt;&gt;"",X98=""),"CEK URUTAN SAMBUNG kosong",IF(AND(W98&lt;&gt;"",LEFT(Z98,6)="Endcap"),"CEK Endcap tidak ikut sambung","OK")))))))))</f>
        <v/>
      </c>
      <c r="AB98" s="11" t="n"/>
      <c r="AC98" s="11" t="n"/>
      <c r="AD98" s="11" t="n"/>
      <c r="AE98" s="11" t="n"/>
      <c r="AF98" s="11" t="n"/>
      <c r="AG98" s="11" t="n"/>
      <c r="AH98" s="12">
        <f>IF(AB98="","",IFERROR(INDEX(DAFTAR_FIXTURE!$B$2:$B$51,MATCH(AB98,DAFTAR_FIXTURE!$A$2:$A$51,0)),""))</f>
        <v/>
      </c>
      <c r="AI98" s="12">
        <f>IF(AB98="","",IF(AH98="","CEK ID FIXTURE tidak ada di DAFTAR_FIXTURE",IF(AC98="","CEK ZONA NO kosong",IF(ISNA(MATCH(AH98&amp;"|"&amp;AC98,LAYOUT!$E$2:$E$80,0)),"CEK ZONA NO di luar layout",IF(AD98&lt;&gt;INDEX(LAYOUT!$D$2:$D$80,MATCH(AH98&amp;"|"&amp;AC98,LAYOUT!$E$2:$E$80,0)),"CEK JENIS ZONA",IF($D98="","Zona STOCK",IF($E98="","CEK SKU DESCRIPTION kosong",IF(AND(AE98&lt;&gt;"",AF98=""),"CEK URUTAN SAMBUNG kosong",IF(AND(AE98&lt;&gt;"",LEFT(AH98,6)="Endcap"),"CEK Endcap tidak ikut sambung","OK")))))))))</f>
        <v/>
      </c>
    </row>
    <row r="99">
      <c r="A99" s="10" t="n"/>
      <c r="B99" s="10" t="n"/>
      <c r="C99" s="10" t="n"/>
      <c r="D99" s="10" t="n"/>
      <c r="E99" s="10" t="n"/>
      <c r="F99" s="10" t="n"/>
      <c r="G99" s="10" t="n"/>
      <c r="H99" s="10" t="n"/>
      <c r="I99" s="10" t="n"/>
      <c r="J99" s="10" t="n"/>
      <c r="K99" s="10" t="n"/>
      <c r="L99" s="11" t="n"/>
      <c r="M99" s="11" t="n"/>
      <c r="N99" s="11" t="n"/>
      <c r="O99" s="11" t="n"/>
      <c r="P99" s="11" t="n"/>
      <c r="Q99" s="11" t="n"/>
      <c r="R99" s="12">
        <f>IF(L99="","",IFERROR(INDEX(DAFTAR_FIXTURE!$B$2:$B$51,MATCH(L99,DAFTAR_FIXTURE!$A$2:$A$51,0)),""))</f>
        <v/>
      </c>
      <c r="S99" s="12">
        <f>IF(AND($D99="",L99=""),"",IF(L99="",IF(AND(T99="",AB99=""),"Belum ditempatkan",""),IF(R99="","CEK ID FIXTURE tidak ada di DAFTAR_FIXTURE",IF(M99="","CEK ZONA NO kosong",IF(ISNA(MATCH(R99&amp;"|"&amp;M99,LAYOUT!$E$2:$E$80,0)),"CEK ZONA NO di luar layout",IF(N99&lt;&gt;INDEX(LAYOUT!$D$2:$D$80,MATCH(R99&amp;"|"&amp;M99,LAYOUT!$E$2:$E$80,0)),"CEK JENIS ZONA",IF($D99="","Zona STOCK",IF($E99="","CEK SKU DESCRIPTION kosong",IF(AND(O99&lt;&gt;"",P99=""),"CEK URUTAN SAMBUNG kosong",IF(AND(O99&lt;&gt;"",LEFT(R99,6)="Endcap"),"CEK Endcap tidak ikut sambung","OK"))))))))))</f>
        <v/>
      </c>
      <c r="T99" s="11" t="n"/>
      <c r="U99" s="11" t="n"/>
      <c r="V99" s="11" t="n"/>
      <c r="W99" s="11" t="n"/>
      <c r="X99" s="11" t="n"/>
      <c r="Y99" s="11" t="n"/>
      <c r="Z99" s="12">
        <f>IF(T99="","",IFERROR(INDEX(DAFTAR_FIXTURE!$B$2:$B$51,MATCH(T99,DAFTAR_FIXTURE!$A$2:$A$51,0)),""))</f>
        <v/>
      </c>
      <c r="AA99" s="12">
        <f>IF(T99="","",IF(Z99="","CEK ID FIXTURE tidak ada di DAFTAR_FIXTURE",IF(U99="","CEK ZONA NO kosong",IF(ISNA(MATCH(Z99&amp;"|"&amp;U99,LAYOUT!$E$2:$E$80,0)),"CEK ZONA NO di luar layout",IF(V99&lt;&gt;INDEX(LAYOUT!$D$2:$D$80,MATCH(Z99&amp;"|"&amp;U99,LAYOUT!$E$2:$E$80,0)),"CEK JENIS ZONA",IF($D99="","Zona STOCK",IF($E99="","CEK SKU DESCRIPTION kosong",IF(AND(W99&lt;&gt;"",X99=""),"CEK URUTAN SAMBUNG kosong",IF(AND(W99&lt;&gt;"",LEFT(Z99,6)="Endcap"),"CEK Endcap tidak ikut sambung","OK")))))))))</f>
        <v/>
      </c>
      <c r="AB99" s="11" t="n"/>
      <c r="AC99" s="11" t="n"/>
      <c r="AD99" s="11" t="n"/>
      <c r="AE99" s="11" t="n"/>
      <c r="AF99" s="11" t="n"/>
      <c r="AG99" s="11" t="n"/>
      <c r="AH99" s="12">
        <f>IF(AB99="","",IFERROR(INDEX(DAFTAR_FIXTURE!$B$2:$B$51,MATCH(AB99,DAFTAR_FIXTURE!$A$2:$A$51,0)),""))</f>
        <v/>
      </c>
      <c r="AI99" s="12">
        <f>IF(AB99="","",IF(AH99="","CEK ID FIXTURE tidak ada di DAFTAR_FIXTURE",IF(AC99="","CEK ZONA NO kosong",IF(ISNA(MATCH(AH99&amp;"|"&amp;AC99,LAYOUT!$E$2:$E$80,0)),"CEK ZONA NO di luar layout",IF(AD99&lt;&gt;INDEX(LAYOUT!$D$2:$D$80,MATCH(AH99&amp;"|"&amp;AC99,LAYOUT!$E$2:$E$80,0)),"CEK JENIS ZONA",IF($D99="","Zona STOCK",IF($E99="","CEK SKU DESCRIPTION kosong",IF(AND(AE99&lt;&gt;"",AF99=""),"CEK URUTAN SAMBUNG kosong",IF(AND(AE99&lt;&gt;"",LEFT(AH99,6)="Endcap"),"CEK Endcap tidak ikut sambung","OK")))))))))</f>
        <v/>
      </c>
    </row>
    <row r="100">
      <c r="A100" s="10" t="n"/>
      <c r="B100" s="10" t="n"/>
      <c r="C100" s="10" t="n"/>
      <c r="D100" s="10" t="n"/>
      <c r="E100" s="10" t="n"/>
      <c r="F100" s="10" t="n"/>
      <c r="G100" s="10" t="n"/>
      <c r="H100" s="10" t="n"/>
      <c r="I100" s="10" t="n"/>
      <c r="J100" s="10" t="n"/>
      <c r="K100" s="10" t="n"/>
      <c r="L100" s="11" t="n"/>
      <c r="M100" s="11" t="n"/>
      <c r="N100" s="11" t="n"/>
      <c r="O100" s="11" t="n"/>
      <c r="P100" s="11" t="n"/>
      <c r="Q100" s="11" t="n"/>
      <c r="R100" s="12">
        <f>IF(L100="","",IFERROR(INDEX(DAFTAR_FIXTURE!$B$2:$B$51,MATCH(L100,DAFTAR_FIXTURE!$A$2:$A$51,0)),""))</f>
        <v/>
      </c>
      <c r="S100" s="12">
        <f>IF(AND($D100="",L100=""),"",IF(L100="",IF(AND(T100="",AB100=""),"Belum ditempatkan",""),IF(R100="","CEK ID FIXTURE tidak ada di DAFTAR_FIXTURE",IF(M100="","CEK ZONA NO kosong",IF(ISNA(MATCH(R100&amp;"|"&amp;M100,LAYOUT!$E$2:$E$80,0)),"CEK ZONA NO di luar layout",IF(N100&lt;&gt;INDEX(LAYOUT!$D$2:$D$80,MATCH(R100&amp;"|"&amp;M100,LAYOUT!$E$2:$E$80,0)),"CEK JENIS ZONA",IF($D100="","Zona STOCK",IF($E100="","CEK SKU DESCRIPTION kosong",IF(AND(O100&lt;&gt;"",P100=""),"CEK URUTAN SAMBUNG kosong",IF(AND(O100&lt;&gt;"",LEFT(R100,6)="Endcap"),"CEK Endcap tidak ikut sambung","OK"))))))))))</f>
        <v/>
      </c>
      <c r="T100" s="11" t="n"/>
      <c r="U100" s="11" t="n"/>
      <c r="V100" s="11" t="n"/>
      <c r="W100" s="11" t="n"/>
      <c r="X100" s="11" t="n"/>
      <c r="Y100" s="11" t="n"/>
      <c r="Z100" s="12">
        <f>IF(T100="","",IFERROR(INDEX(DAFTAR_FIXTURE!$B$2:$B$51,MATCH(T100,DAFTAR_FIXTURE!$A$2:$A$51,0)),""))</f>
        <v/>
      </c>
      <c r="AA100" s="12">
        <f>IF(T100="","",IF(Z100="","CEK ID FIXTURE tidak ada di DAFTAR_FIXTURE",IF(U100="","CEK ZONA NO kosong",IF(ISNA(MATCH(Z100&amp;"|"&amp;U100,LAYOUT!$E$2:$E$80,0)),"CEK ZONA NO di luar layout",IF(V100&lt;&gt;INDEX(LAYOUT!$D$2:$D$80,MATCH(Z100&amp;"|"&amp;U100,LAYOUT!$E$2:$E$80,0)),"CEK JENIS ZONA",IF($D100="","Zona STOCK",IF($E100="","CEK SKU DESCRIPTION kosong",IF(AND(W100&lt;&gt;"",X100=""),"CEK URUTAN SAMBUNG kosong",IF(AND(W100&lt;&gt;"",LEFT(Z100,6)="Endcap"),"CEK Endcap tidak ikut sambung","OK")))))))))</f>
        <v/>
      </c>
      <c r="AB100" s="11" t="n"/>
      <c r="AC100" s="11" t="n"/>
      <c r="AD100" s="11" t="n"/>
      <c r="AE100" s="11" t="n"/>
      <c r="AF100" s="11" t="n"/>
      <c r="AG100" s="11" t="n"/>
      <c r="AH100" s="12">
        <f>IF(AB100="","",IFERROR(INDEX(DAFTAR_FIXTURE!$B$2:$B$51,MATCH(AB100,DAFTAR_FIXTURE!$A$2:$A$51,0)),""))</f>
        <v/>
      </c>
      <c r="AI100" s="12">
        <f>IF(AB100="","",IF(AH100="","CEK ID FIXTURE tidak ada di DAFTAR_FIXTURE",IF(AC100="","CEK ZONA NO kosong",IF(ISNA(MATCH(AH100&amp;"|"&amp;AC100,LAYOUT!$E$2:$E$80,0)),"CEK ZONA NO di luar layout",IF(AD100&lt;&gt;INDEX(LAYOUT!$D$2:$D$80,MATCH(AH100&amp;"|"&amp;AC100,LAYOUT!$E$2:$E$80,0)),"CEK JENIS ZONA",IF($D100="","Zona STOCK",IF($E100="","CEK SKU DESCRIPTION kosong",IF(AND(AE100&lt;&gt;"",AF100=""),"CEK URUTAN SAMBUNG kosong",IF(AND(AE100&lt;&gt;"",LEFT(AH100,6)="Endcap"),"CEK Endcap tidak ikut sambung","OK")))))))))</f>
        <v/>
      </c>
    </row>
    <row r="101">
      <c r="A101" s="10" t="n"/>
      <c r="B101" s="10" t="n"/>
      <c r="C101" s="10" t="n"/>
      <c r="D101" s="10" t="n"/>
      <c r="E101" s="10" t="n"/>
      <c r="F101" s="10" t="n"/>
      <c r="G101" s="10" t="n"/>
      <c r="H101" s="10" t="n"/>
      <c r="I101" s="10" t="n"/>
      <c r="J101" s="10" t="n"/>
      <c r="K101" s="10" t="n"/>
      <c r="L101" s="11" t="n"/>
      <c r="M101" s="11" t="n"/>
      <c r="N101" s="11" t="n"/>
      <c r="O101" s="11" t="n"/>
      <c r="P101" s="11" t="n"/>
      <c r="Q101" s="11" t="n"/>
      <c r="R101" s="12">
        <f>IF(L101="","",IFERROR(INDEX(DAFTAR_FIXTURE!$B$2:$B$51,MATCH(L101,DAFTAR_FIXTURE!$A$2:$A$51,0)),""))</f>
        <v/>
      </c>
      <c r="S101" s="12">
        <f>IF(AND($D101="",L101=""),"",IF(L101="",IF(AND(T101="",AB101=""),"Belum ditempatkan",""),IF(R101="","CEK ID FIXTURE tidak ada di DAFTAR_FIXTURE",IF(M101="","CEK ZONA NO kosong",IF(ISNA(MATCH(R101&amp;"|"&amp;M101,LAYOUT!$E$2:$E$80,0)),"CEK ZONA NO di luar layout",IF(N101&lt;&gt;INDEX(LAYOUT!$D$2:$D$80,MATCH(R101&amp;"|"&amp;M101,LAYOUT!$E$2:$E$80,0)),"CEK JENIS ZONA",IF($D101="","Zona STOCK",IF($E101="","CEK SKU DESCRIPTION kosong",IF(AND(O101&lt;&gt;"",P101=""),"CEK URUTAN SAMBUNG kosong",IF(AND(O101&lt;&gt;"",LEFT(R101,6)="Endcap"),"CEK Endcap tidak ikut sambung","OK"))))))))))</f>
        <v/>
      </c>
      <c r="T101" s="11" t="n"/>
      <c r="U101" s="11" t="n"/>
      <c r="V101" s="11" t="n"/>
      <c r="W101" s="11" t="n"/>
      <c r="X101" s="11" t="n"/>
      <c r="Y101" s="11" t="n"/>
      <c r="Z101" s="12">
        <f>IF(T101="","",IFERROR(INDEX(DAFTAR_FIXTURE!$B$2:$B$51,MATCH(T101,DAFTAR_FIXTURE!$A$2:$A$51,0)),""))</f>
        <v/>
      </c>
      <c r="AA101" s="12">
        <f>IF(T101="","",IF(Z101="","CEK ID FIXTURE tidak ada di DAFTAR_FIXTURE",IF(U101="","CEK ZONA NO kosong",IF(ISNA(MATCH(Z101&amp;"|"&amp;U101,LAYOUT!$E$2:$E$80,0)),"CEK ZONA NO di luar layout",IF(V101&lt;&gt;INDEX(LAYOUT!$D$2:$D$80,MATCH(Z101&amp;"|"&amp;U101,LAYOUT!$E$2:$E$80,0)),"CEK JENIS ZONA",IF($D101="","Zona STOCK",IF($E101="","CEK SKU DESCRIPTION kosong",IF(AND(W101&lt;&gt;"",X101=""),"CEK URUTAN SAMBUNG kosong",IF(AND(W101&lt;&gt;"",LEFT(Z101,6)="Endcap"),"CEK Endcap tidak ikut sambung","OK")))))))))</f>
        <v/>
      </c>
      <c r="AB101" s="11" t="n"/>
      <c r="AC101" s="11" t="n"/>
      <c r="AD101" s="11" t="n"/>
      <c r="AE101" s="11" t="n"/>
      <c r="AF101" s="11" t="n"/>
      <c r="AG101" s="11" t="n"/>
      <c r="AH101" s="12">
        <f>IF(AB101="","",IFERROR(INDEX(DAFTAR_FIXTURE!$B$2:$B$51,MATCH(AB101,DAFTAR_FIXTURE!$A$2:$A$51,0)),""))</f>
        <v/>
      </c>
      <c r="AI101" s="12">
        <f>IF(AB101="","",IF(AH101="","CEK ID FIXTURE tidak ada di DAFTAR_FIXTURE",IF(AC101="","CEK ZONA NO kosong",IF(ISNA(MATCH(AH101&amp;"|"&amp;AC101,LAYOUT!$E$2:$E$80,0)),"CEK ZONA NO di luar layout",IF(AD101&lt;&gt;INDEX(LAYOUT!$D$2:$D$80,MATCH(AH101&amp;"|"&amp;AC101,LAYOUT!$E$2:$E$80,0)),"CEK JENIS ZONA",IF($D101="","Zona STOCK",IF($E101="","CEK SKU DESCRIPTION kosong",IF(AND(AE101&lt;&gt;"",AF101=""),"CEK URUTAN SAMBUNG kosong",IF(AND(AE101&lt;&gt;"",LEFT(AH101,6)="Endcap"),"CEK Endcap tidak ikut sambung","OK")))))))))</f>
        <v/>
      </c>
    </row>
    <row r="102">
      <c r="A102" s="10" t="n"/>
      <c r="B102" s="10" t="n"/>
      <c r="C102" s="10" t="n"/>
      <c r="D102" s="10" t="n"/>
      <c r="E102" s="10" t="n"/>
      <c r="F102" s="10" t="n"/>
      <c r="G102" s="10" t="n"/>
      <c r="H102" s="10" t="n"/>
      <c r="I102" s="10" t="n"/>
      <c r="J102" s="10" t="n"/>
      <c r="K102" s="10" t="n"/>
      <c r="L102" s="11" t="n"/>
      <c r="M102" s="11" t="n"/>
      <c r="N102" s="11" t="n"/>
      <c r="O102" s="11" t="n"/>
      <c r="P102" s="11" t="n"/>
      <c r="Q102" s="11" t="n"/>
      <c r="R102" s="12">
        <f>IF(L102="","",IFERROR(INDEX(DAFTAR_FIXTURE!$B$2:$B$51,MATCH(L102,DAFTAR_FIXTURE!$A$2:$A$51,0)),""))</f>
        <v/>
      </c>
      <c r="S102" s="12">
        <f>IF(AND($D102="",L102=""),"",IF(L102="",IF(AND(T102="",AB102=""),"Belum ditempatkan",""),IF(R102="","CEK ID FIXTURE tidak ada di DAFTAR_FIXTURE",IF(M102="","CEK ZONA NO kosong",IF(ISNA(MATCH(R102&amp;"|"&amp;M102,LAYOUT!$E$2:$E$80,0)),"CEK ZONA NO di luar layout",IF(N102&lt;&gt;INDEX(LAYOUT!$D$2:$D$80,MATCH(R102&amp;"|"&amp;M102,LAYOUT!$E$2:$E$80,0)),"CEK JENIS ZONA",IF($D102="","Zona STOCK",IF($E102="","CEK SKU DESCRIPTION kosong",IF(AND(O102&lt;&gt;"",P102=""),"CEK URUTAN SAMBUNG kosong",IF(AND(O102&lt;&gt;"",LEFT(R102,6)="Endcap"),"CEK Endcap tidak ikut sambung","OK"))))))))))</f>
        <v/>
      </c>
      <c r="T102" s="11" t="n"/>
      <c r="U102" s="11" t="n"/>
      <c r="V102" s="11" t="n"/>
      <c r="W102" s="11" t="n"/>
      <c r="X102" s="11" t="n"/>
      <c r="Y102" s="11" t="n"/>
      <c r="Z102" s="12">
        <f>IF(T102="","",IFERROR(INDEX(DAFTAR_FIXTURE!$B$2:$B$51,MATCH(T102,DAFTAR_FIXTURE!$A$2:$A$51,0)),""))</f>
        <v/>
      </c>
      <c r="AA102" s="12">
        <f>IF(T102="","",IF(Z102="","CEK ID FIXTURE tidak ada di DAFTAR_FIXTURE",IF(U102="","CEK ZONA NO kosong",IF(ISNA(MATCH(Z102&amp;"|"&amp;U102,LAYOUT!$E$2:$E$80,0)),"CEK ZONA NO di luar layout",IF(V102&lt;&gt;INDEX(LAYOUT!$D$2:$D$80,MATCH(Z102&amp;"|"&amp;U102,LAYOUT!$E$2:$E$80,0)),"CEK JENIS ZONA",IF($D102="","Zona STOCK",IF($E102="","CEK SKU DESCRIPTION kosong",IF(AND(W102&lt;&gt;"",X102=""),"CEK URUTAN SAMBUNG kosong",IF(AND(W102&lt;&gt;"",LEFT(Z102,6)="Endcap"),"CEK Endcap tidak ikut sambung","OK")))))))))</f>
        <v/>
      </c>
      <c r="AB102" s="11" t="n"/>
      <c r="AC102" s="11" t="n"/>
      <c r="AD102" s="11" t="n"/>
      <c r="AE102" s="11" t="n"/>
      <c r="AF102" s="11" t="n"/>
      <c r="AG102" s="11" t="n"/>
      <c r="AH102" s="12">
        <f>IF(AB102="","",IFERROR(INDEX(DAFTAR_FIXTURE!$B$2:$B$51,MATCH(AB102,DAFTAR_FIXTURE!$A$2:$A$51,0)),""))</f>
        <v/>
      </c>
      <c r="AI102" s="12">
        <f>IF(AB102="","",IF(AH102="","CEK ID FIXTURE tidak ada di DAFTAR_FIXTURE",IF(AC102="","CEK ZONA NO kosong",IF(ISNA(MATCH(AH102&amp;"|"&amp;AC102,LAYOUT!$E$2:$E$80,0)),"CEK ZONA NO di luar layout",IF(AD102&lt;&gt;INDEX(LAYOUT!$D$2:$D$80,MATCH(AH102&amp;"|"&amp;AC102,LAYOUT!$E$2:$E$80,0)),"CEK JENIS ZONA",IF($D102="","Zona STOCK",IF($E102="","CEK SKU DESCRIPTION kosong",IF(AND(AE102&lt;&gt;"",AF102=""),"CEK URUTAN SAMBUNG kosong",IF(AND(AE102&lt;&gt;"",LEFT(AH102,6)="Endcap"),"CEK Endcap tidak ikut sambung","OK")))))))))</f>
        <v/>
      </c>
    </row>
    <row r="103">
      <c r="A103" s="10" t="n"/>
      <c r="B103" s="10" t="n"/>
      <c r="C103" s="10" t="n"/>
      <c r="D103" s="10" t="n"/>
      <c r="E103" s="10" t="n"/>
      <c r="F103" s="10" t="n"/>
      <c r="G103" s="10" t="n"/>
      <c r="H103" s="10" t="n"/>
      <c r="I103" s="10" t="n"/>
      <c r="J103" s="10" t="n"/>
      <c r="K103" s="10" t="n"/>
      <c r="L103" s="11" t="n"/>
      <c r="M103" s="11" t="n"/>
      <c r="N103" s="11" t="n"/>
      <c r="O103" s="11" t="n"/>
      <c r="P103" s="11" t="n"/>
      <c r="Q103" s="11" t="n"/>
      <c r="R103" s="12">
        <f>IF(L103="","",IFERROR(INDEX(DAFTAR_FIXTURE!$B$2:$B$51,MATCH(L103,DAFTAR_FIXTURE!$A$2:$A$51,0)),""))</f>
        <v/>
      </c>
      <c r="S103" s="12">
        <f>IF(AND($D103="",L103=""),"",IF(L103="",IF(AND(T103="",AB103=""),"Belum ditempatkan",""),IF(R103="","CEK ID FIXTURE tidak ada di DAFTAR_FIXTURE",IF(M103="","CEK ZONA NO kosong",IF(ISNA(MATCH(R103&amp;"|"&amp;M103,LAYOUT!$E$2:$E$80,0)),"CEK ZONA NO di luar layout",IF(N103&lt;&gt;INDEX(LAYOUT!$D$2:$D$80,MATCH(R103&amp;"|"&amp;M103,LAYOUT!$E$2:$E$80,0)),"CEK JENIS ZONA",IF($D103="","Zona STOCK",IF($E103="","CEK SKU DESCRIPTION kosong",IF(AND(O103&lt;&gt;"",P103=""),"CEK URUTAN SAMBUNG kosong",IF(AND(O103&lt;&gt;"",LEFT(R103,6)="Endcap"),"CEK Endcap tidak ikut sambung","OK"))))))))))</f>
        <v/>
      </c>
      <c r="T103" s="11" t="n"/>
      <c r="U103" s="11" t="n"/>
      <c r="V103" s="11" t="n"/>
      <c r="W103" s="11" t="n"/>
      <c r="X103" s="11" t="n"/>
      <c r="Y103" s="11" t="n"/>
      <c r="Z103" s="12">
        <f>IF(T103="","",IFERROR(INDEX(DAFTAR_FIXTURE!$B$2:$B$51,MATCH(T103,DAFTAR_FIXTURE!$A$2:$A$51,0)),""))</f>
        <v/>
      </c>
      <c r="AA103" s="12">
        <f>IF(T103="","",IF(Z103="","CEK ID FIXTURE tidak ada di DAFTAR_FIXTURE",IF(U103="","CEK ZONA NO kosong",IF(ISNA(MATCH(Z103&amp;"|"&amp;U103,LAYOUT!$E$2:$E$80,0)),"CEK ZONA NO di luar layout",IF(V103&lt;&gt;INDEX(LAYOUT!$D$2:$D$80,MATCH(Z103&amp;"|"&amp;U103,LAYOUT!$E$2:$E$80,0)),"CEK JENIS ZONA",IF($D103="","Zona STOCK",IF($E103="","CEK SKU DESCRIPTION kosong",IF(AND(W103&lt;&gt;"",X103=""),"CEK URUTAN SAMBUNG kosong",IF(AND(W103&lt;&gt;"",LEFT(Z103,6)="Endcap"),"CEK Endcap tidak ikut sambung","OK")))))))))</f>
        <v/>
      </c>
      <c r="AB103" s="11" t="n"/>
      <c r="AC103" s="11" t="n"/>
      <c r="AD103" s="11" t="n"/>
      <c r="AE103" s="11" t="n"/>
      <c r="AF103" s="11" t="n"/>
      <c r="AG103" s="11" t="n"/>
      <c r="AH103" s="12">
        <f>IF(AB103="","",IFERROR(INDEX(DAFTAR_FIXTURE!$B$2:$B$51,MATCH(AB103,DAFTAR_FIXTURE!$A$2:$A$51,0)),""))</f>
        <v/>
      </c>
      <c r="AI103" s="12">
        <f>IF(AB103="","",IF(AH103="","CEK ID FIXTURE tidak ada di DAFTAR_FIXTURE",IF(AC103="","CEK ZONA NO kosong",IF(ISNA(MATCH(AH103&amp;"|"&amp;AC103,LAYOUT!$E$2:$E$80,0)),"CEK ZONA NO di luar layout",IF(AD103&lt;&gt;INDEX(LAYOUT!$D$2:$D$80,MATCH(AH103&amp;"|"&amp;AC103,LAYOUT!$E$2:$E$80,0)),"CEK JENIS ZONA",IF($D103="","Zona STOCK",IF($E103="","CEK SKU DESCRIPTION kosong",IF(AND(AE103&lt;&gt;"",AF103=""),"CEK URUTAN SAMBUNG kosong",IF(AND(AE103&lt;&gt;"",LEFT(AH103,6)="Endcap"),"CEK Endcap tidak ikut sambung","OK")))))))))</f>
        <v/>
      </c>
    </row>
    <row r="104">
      <c r="A104" s="10" t="n"/>
      <c r="B104" s="10" t="n"/>
      <c r="C104" s="10" t="n"/>
      <c r="D104" s="10" t="n"/>
      <c r="E104" s="10" t="n"/>
      <c r="F104" s="10" t="n"/>
      <c r="G104" s="10" t="n"/>
      <c r="H104" s="10" t="n"/>
      <c r="I104" s="10" t="n"/>
      <c r="J104" s="10" t="n"/>
      <c r="K104" s="10" t="n"/>
      <c r="L104" s="11" t="n"/>
      <c r="M104" s="11" t="n"/>
      <c r="N104" s="11" t="n"/>
      <c r="O104" s="11" t="n"/>
      <c r="P104" s="11" t="n"/>
      <c r="Q104" s="11" t="n"/>
      <c r="R104" s="12">
        <f>IF(L104="","",IFERROR(INDEX(DAFTAR_FIXTURE!$B$2:$B$51,MATCH(L104,DAFTAR_FIXTURE!$A$2:$A$51,0)),""))</f>
        <v/>
      </c>
      <c r="S104" s="12">
        <f>IF(AND($D104="",L104=""),"",IF(L104="",IF(AND(T104="",AB104=""),"Belum ditempatkan",""),IF(R104="","CEK ID FIXTURE tidak ada di DAFTAR_FIXTURE",IF(M104="","CEK ZONA NO kosong",IF(ISNA(MATCH(R104&amp;"|"&amp;M104,LAYOUT!$E$2:$E$80,0)),"CEK ZONA NO di luar layout",IF(N104&lt;&gt;INDEX(LAYOUT!$D$2:$D$80,MATCH(R104&amp;"|"&amp;M104,LAYOUT!$E$2:$E$80,0)),"CEK JENIS ZONA",IF($D104="","Zona STOCK",IF($E104="","CEK SKU DESCRIPTION kosong",IF(AND(O104&lt;&gt;"",P104=""),"CEK URUTAN SAMBUNG kosong",IF(AND(O104&lt;&gt;"",LEFT(R104,6)="Endcap"),"CEK Endcap tidak ikut sambung","OK"))))))))))</f>
        <v/>
      </c>
      <c r="T104" s="11" t="n"/>
      <c r="U104" s="11" t="n"/>
      <c r="V104" s="11" t="n"/>
      <c r="W104" s="11" t="n"/>
      <c r="X104" s="11" t="n"/>
      <c r="Y104" s="11" t="n"/>
      <c r="Z104" s="12">
        <f>IF(T104="","",IFERROR(INDEX(DAFTAR_FIXTURE!$B$2:$B$51,MATCH(T104,DAFTAR_FIXTURE!$A$2:$A$51,0)),""))</f>
        <v/>
      </c>
      <c r="AA104" s="12">
        <f>IF(T104="","",IF(Z104="","CEK ID FIXTURE tidak ada di DAFTAR_FIXTURE",IF(U104="","CEK ZONA NO kosong",IF(ISNA(MATCH(Z104&amp;"|"&amp;U104,LAYOUT!$E$2:$E$80,0)),"CEK ZONA NO di luar layout",IF(V104&lt;&gt;INDEX(LAYOUT!$D$2:$D$80,MATCH(Z104&amp;"|"&amp;U104,LAYOUT!$E$2:$E$80,0)),"CEK JENIS ZONA",IF($D104="","Zona STOCK",IF($E104="","CEK SKU DESCRIPTION kosong",IF(AND(W104&lt;&gt;"",X104=""),"CEK URUTAN SAMBUNG kosong",IF(AND(W104&lt;&gt;"",LEFT(Z104,6)="Endcap"),"CEK Endcap tidak ikut sambung","OK")))))))))</f>
        <v/>
      </c>
      <c r="AB104" s="11" t="n"/>
      <c r="AC104" s="11" t="n"/>
      <c r="AD104" s="11" t="n"/>
      <c r="AE104" s="11" t="n"/>
      <c r="AF104" s="11" t="n"/>
      <c r="AG104" s="11" t="n"/>
      <c r="AH104" s="12">
        <f>IF(AB104="","",IFERROR(INDEX(DAFTAR_FIXTURE!$B$2:$B$51,MATCH(AB104,DAFTAR_FIXTURE!$A$2:$A$51,0)),""))</f>
        <v/>
      </c>
      <c r="AI104" s="12">
        <f>IF(AB104="","",IF(AH104="","CEK ID FIXTURE tidak ada di DAFTAR_FIXTURE",IF(AC104="","CEK ZONA NO kosong",IF(ISNA(MATCH(AH104&amp;"|"&amp;AC104,LAYOUT!$E$2:$E$80,0)),"CEK ZONA NO di luar layout",IF(AD104&lt;&gt;INDEX(LAYOUT!$D$2:$D$80,MATCH(AH104&amp;"|"&amp;AC104,LAYOUT!$E$2:$E$80,0)),"CEK JENIS ZONA",IF($D104="","Zona STOCK",IF($E104="","CEK SKU DESCRIPTION kosong",IF(AND(AE104&lt;&gt;"",AF104=""),"CEK URUTAN SAMBUNG kosong",IF(AND(AE104&lt;&gt;"",LEFT(AH104,6)="Endcap"),"CEK Endcap tidak ikut sambung","OK")))))))))</f>
        <v/>
      </c>
    </row>
    <row r="105">
      <c r="A105" s="10" t="n"/>
      <c r="B105" s="10" t="n"/>
      <c r="C105" s="10" t="n"/>
      <c r="D105" s="10" t="n"/>
      <c r="E105" s="10" t="n"/>
      <c r="F105" s="10" t="n"/>
      <c r="G105" s="10" t="n"/>
      <c r="H105" s="10" t="n"/>
      <c r="I105" s="10" t="n"/>
      <c r="J105" s="10" t="n"/>
      <c r="K105" s="10" t="n"/>
      <c r="L105" s="11" t="n"/>
      <c r="M105" s="11" t="n"/>
      <c r="N105" s="11" t="n"/>
      <c r="O105" s="11" t="n"/>
      <c r="P105" s="11" t="n"/>
      <c r="Q105" s="11" t="n"/>
      <c r="R105" s="12">
        <f>IF(L105="","",IFERROR(INDEX(DAFTAR_FIXTURE!$B$2:$B$51,MATCH(L105,DAFTAR_FIXTURE!$A$2:$A$51,0)),""))</f>
        <v/>
      </c>
      <c r="S105" s="12">
        <f>IF(AND($D105="",L105=""),"",IF(L105="",IF(AND(T105="",AB105=""),"Belum ditempatkan",""),IF(R105="","CEK ID FIXTURE tidak ada di DAFTAR_FIXTURE",IF(M105="","CEK ZONA NO kosong",IF(ISNA(MATCH(R105&amp;"|"&amp;M105,LAYOUT!$E$2:$E$80,0)),"CEK ZONA NO di luar layout",IF(N105&lt;&gt;INDEX(LAYOUT!$D$2:$D$80,MATCH(R105&amp;"|"&amp;M105,LAYOUT!$E$2:$E$80,0)),"CEK JENIS ZONA",IF($D105="","Zona STOCK",IF($E105="","CEK SKU DESCRIPTION kosong",IF(AND(O105&lt;&gt;"",P105=""),"CEK URUTAN SAMBUNG kosong",IF(AND(O105&lt;&gt;"",LEFT(R105,6)="Endcap"),"CEK Endcap tidak ikut sambung","OK"))))))))))</f>
        <v/>
      </c>
      <c r="T105" s="11" t="n"/>
      <c r="U105" s="11" t="n"/>
      <c r="V105" s="11" t="n"/>
      <c r="W105" s="11" t="n"/>
      <c r="X105" s="11" t="n"/>
      <c r="Y105" s="11" t="n"/>
      <c r="Z105" s="12">
        <f>IF(T105="","",IFERROR(INDEX(DAFTAR_FIXTURE!$B$2:$B$51,MATCH(T105,DAFTAR_FIXTURE!$A$2:$A$51,0)),""))</f>
        <v/>
      </c>
      <c r="AA105" s="12">
        <f>IF(T105="","",IF(Z105="","CEK ID FIXTURE tidak ada di DAFTAR_FIXTURE",IF(U105="","CEK ZONA NO kosong",IF(ISNA(MATCH(Z105&amp;"|"&amp;U105,LAYOUT!$E$2:$E$80,0)),"CEK ZONA NO di luar layout",IF(V105&lt;&gt;INDEX(LAYOUT!$D$2:$D$80,MATCH(Z105&amp;"|"&amp;U105,LAYOUT!$E$2:$E$80,0)),"CEK JENIS ZONA",IF($D105="","Zona STOCK",IF($E105="","CEK SKU DESCRIPTION kosong",IF(AND(W105&lt;&gt;"",X105=""),"CEK URUTAN SAMBUNG kosong",IF(AND(W105&lt;&gt;"",LEFT(Z105,6)="Endcap"),"CEK Endcap tidak ikut sambung","OK")))))))))</f>
        <v/>
      </c>
      <c r="AB105" s="11" t="n"/>
      <c r="AC105" s="11" t="n"/>
      <c r="AD105" s="11" t="n"/>
      <c r="AE105" s="11" t="n"/>
      <c r="AF105" s="11" t="n"/>
      <c r="AG105" s="11" t="n"/>
      <c r="AH105" s="12">
        <f>IF(AB105="","",IFERROR(INDEX(DAFTAR_FIXTURE!$B$2:$B$51,MATCH(AB105,DAFTAR_FIXTURE!$A$2:$A$51,0)),""))</f>
        <v/>
      </c>
      <c r="AI105" s="12">
        <f>IF(AB105="","",IF(AH105="","CEK ID FIXTURE tidak ada di DAFTAR_FIXTURE",IF(AC105="","CEK ZONA NO kosong",IF(ISNA(MATCH(AH105&amp;"|"&amp;AC105,LAYOUT!$E$2:$E$80,0)),"CEK ZONA NO di luar layout",IF(AD105&lt;&gt;INDEX(LAYOUT!$D$2:$D$80,MATCH(AH105&amp;"|"&amp;AC105,LAYOUT!$E$2:$E$80,0)),"CEK JENIS ZONA",IF($D105="","Zona STOCK",IF($E105="","CEK SKU DESCRIPTION kosong",IF(AND(AE105&lt;&gt;"",AF105=""),"CEK URUTAN SAMBUNG kosong",IF(AND(AE105&lt;&gt;"",LEFT(AH105,6)="Endcap"),"CEK Endcap tidak ikut sambung","OK")))))))))</f>
        <v/>
      </c>
    </row>
    <row r="106">
      <c r="A106" s="10" t="n"/>
      <c r="B106" s="10" t="n"/>
      <c r="C106" s="10" t="n"/>
      <c r="D106" s="10" t="n"/>
      <c r="E106" s="10" t="n"/>
      <c r="F106" s="10" t="n"/>
      <c r="G106" s="10" t="n"/>
      <c r="H106" s="10" t="n"/>
      <c r="I106" s="10" t="n"/>
      <c r="J106" s="10" t="n"/>
      <c r="K106" s="10" t="n"/>
      <c r="L106" s="11" t="n"/>
      <c r="M106" s="11" t="n"/>
      <c r="N106" s="11" t="n"/>
      <c r="O106" s="11" t="n"/>
      <c r="P106" s="11" t="n"/>
      <c r="Q106" s="11" t="n"/>
      <c r="R106" s="12">
        <f>IF(L106="","",IFERROR(INDEX(DAFTAR_FIXTURE!$B$2:$B$51,MATCH(L106,DAFTAR_FIXTURE!$A$2:$A$51,0)),""))</f>
        <v/>
      </c>
      <c r="S106" s="12">
        <f>IF(AND($D106="",L106=""),"",IF(L106="",IF(AND(T106="",AB106=""),"Belum ditempatkan",""),IF(R106="","CEK ID FIXTURE tidak ada di DAFTAR_FIXTURE",IF(M106="","CEK ZONA NO kosong",IF(ISNA(MATCH(R106&amp;"|"&amp;M106,LAYOUT!$E$2:$E$80,0)),"CEK ZONA NO di luar layout",IF(N106&lt;&gt;INDEX(LAYOUT!$D$2:$D$80,MATCH(R106&amp;"|"&amp;M106,LAYOUT!$E$2:$E$80,0)),"CEK JENIS ZONA",IF($D106="","Zona STOCK",IF($E106="","CEK SKU DESCRIPTION kosong",IF(AND(O106&lt;&gt;"",P106=""),"CEK URUTAN SAMBUNG kosong",IF(AND(O106&lt;&gt;"",LEFT(R106,6)="Endcap"),"CEK Endcap tidak ikut sambung","OK"))))))))))</f>
        <v/>
      </c>
      <c r="T106" s="11" t="n"/>
      <c r="U106" s="11" t="n"/>
      <c r="V106" s="11" t="n"/>
      <c r="W106" s="11" t="n"/>
      <c r="X106" s="11" t="n"/>
      <c r="Y106" s="11" t="n"/>
      <c r="Z106" s="12">
        <f>IF(T106="","",IFERROR(INDEX(DAFTAR_FIXTURE!$B$2:$B$51,MATCH(T106,DAFTAR_FIXTURE!$A$2:$A$51,0)),""))</f>
        <v/>
      </c>
      <c r="AA106" s="12">
        <f>IF(T106="","",IF(Z106="","CEK ID FIXTURE tidak ada di DAFTAR_FIXTURE",IF(U106="","CEK ZONA NO kosong",IF(ISNA(MATCH(Z106&amp;"|"&amp;U106,LAYOUT!$E$2:$E$80,0)),"CEK ZONA NO di luar layout",IF(V106&lt;&gt;INDEX(LAYOUT!$D$2:$D$80,MATCH(Z106&amp;"|"&amp;U106,LAYOUT!$E$2:$E$80,0)),"CEK JENIS ZONA",IF($D106="","Zona STOCK",IF($E106="","CEK SKU DESCRIPTION kosong",IF(AND(W106&lt;&gt;"",X106=""),"CEK URUTAN SAMBUNG kosong",IF(AND(W106&lt;&gt;"",LEFT(Z106,6)="Endcap"),"CEK Endcap tidak ikut sambung","OK")))))))))</f>
        <v/>
      </c>
      <c r="AB106" s="11" t="n"/>
      <c r="AC106" s="11" t="n"/>
      <c r="AD106" s="11" t="n"/>
      <c r="AE106" s="11" t="n"/>
      <c r="AF106" s="11" t="n"/>
      <c r="AG106" s="11" t="n"/>
      <c r="AH106" s="12">
        <f>IF(AB106="","",IFERROR(INDEX(DAFTAR_FIXTURE!$B$2:$B$51,MATCH(AB106,DAFTAR_FIXTURE!$A$2:$A$51,0)),""))</f>
        <v/>
      </c>
      <c r="AI106" s="12">
        <f>IF(AB106="","",IF(AH106="","CEK ID FIXTURE tidak ada di DAFTAR_FIXTURE",IF(AC106="","CEK ZONA NO kosong",IF(ISNA(MATCH(AH106&amp;"|"&amp;AC106,LAYOUT!$E$2:$E$80,0)),"CEK ZONA NO di luar layout",IF(AD106&lt;&gt;INDEX(LAYOUT!$D$2:$D$80,MATCH(AH106&amp;"|"&amp;AC106,LAYOUT!$E$2:$E$80,0)),"CEK JENIS ZONA",IF($D106="","Zona STOCK",IF($E106="","CEK SKU DESCRIPTION kosong",IF(AND(AE106&lt;&gt;"",AF106=""),"CEK URUTAN SAMBUNG kosong",IF(AND(AE106&lt;&gt;"",LEFT(AH106,6)="Endcap"),"CEK Endcap tidak ikut sambung","OK")))))))))</f>
        <v/>
      </c>
    </row>
    <row r="107">
      <c r="A107" s="10" t="n"/>
      <c r="B107" s="10" t="n"/>
      <c r="C107" s="10" t="n"/>
      <c r="D107" s="10" t="n"/>
      <c r="E107" s="10" t="n"/>
      <c r="F107" s="10" t="n"/>
      <c r="G107" s="10" t="n"/>
      <c r="H107" s="10" t="n"/>
      <c r="I107" s="10" t="n"/>
      <c r="J107" s="10" t="n"/>
      <c r="K107" s="10" t="n"/>
      <c r="L107" s="11" t="n"/>
      <c r="M107" s="11" t="n"/>
      <c r="N107" s="11" t="n"/>
      <c r="O107" s="11" t="n"/>
      <c r="P107" s="11" t="n"/>
      <c r="Q107" s="11" t="n"/>
      <c r="R107" s="12">
        <f>IF(L107="","",IFERROR(INDEX(DAFTAR_FIXTURE!$B$2:$B$51,MATCH(L107,DAFTAR_FIXTURE!$A$2:$A$51,0)),""))</f>
        <v/>
      </c>
      <c r="S107" s="12">
        <f>IF(AND($D107="",L107=""),"",IF(L107="",IF(AND(T107="",AB107=""),"Belum ditempatkan",""),IF(R107="","CEK ID FIXTURE tidak ada di DAFTAR_FIXTURE",IF(M107="","CEK ZONA NO kosong",IF(ISNA(MATCH(R107&amp;"|"&amp;M107,LAYOUT!$E$2:$E$80,0)),"CEK ZONA NO di luar layout",IF(N107&lt;&gt;INDEX(LAYOUT!$D$2:$D$80,MATCH(R107&amp;"|"&amp;M107,LAYOUT!$E$2:$E$80,0)),"CEK JENIS ZONA",IF($D107="","Zona STOCK",IF($E107="","CEK SKU DESCRIPTION kosong",IF(AND(O107&lt;&gt;"",P107=""),"CEK URUTAN SAMBUNG kosong",IF(AND(O107&lt;&gt;"",LEFT(R107,6)="Endcap"),"CEK Endcap tidak ikut sambung","OK"))))))))))</f>
        <v/>
      </c>
      <c r="T107" s="11" t="n"/>
      <c r="U107" s="11" t="n"/>
      <c r="V107" s="11" t="n"/>
      <c r="W107" s="11" t="n"/>
      <c r="X107" s="11" t="n"/>
      <c r="Y107" s="11" t="n"/>
      <c r="Z107" s="12">
        <f>IF(T107="","",IFERROR(INDEX(DAFTAR_FIXTURE!$B$2:$B$51,MATCH(T107,DAFTAR_FIXTURE!$A$2:$A$51,0)),""))</f>
        <v/>
      </c>
      <c r="AA107" s="12">
        <f>IF(T107="","",IF(Z107="","CEK ID FIXTURE tidak ada di DAFTAR_FIXTURE",IF(U107="","CEK ZONA NO kosong",IF(ISNA(MATCH(Z107&amp;"|"&amp;U107,LAYOUT!$E$2:$E$80,0)),"CEK ZONA NO di luar layout",IF(V107&lt;&gt;INDEX(LAYOUT!$D$2:$D$80,MATCH(Z107&amp;"|"&amp;U107,LAYOUT!$E$2:$E$80,0)),"CEK JENIS ZONA",IF($D107="","Zona STOCK",IF($E107="","CEK SKU DESCRIPTION kosong",IF(AND(W107&lt;&gt;"",X107=""),"CEK URUTAN SAMBUNG kosong",IF(AND(W107&lt;&gt;"",LEFT(Z107,6)="Endcap"),"CEK Endcap tidak ikut sambung","OK")))))))))</f>
        <v/>
      </c>
      <c r="AB107" s="11" t="n"/>
      <c r="AC107" s="11" t="n"/>
      <c r="AD107" s="11" t="n"/>
      <c r="AE107" s="11" t="n"/>
      <c r="AF107" s="11" t="n"/>
      <c r="AG107" s="11" t="n"/>
      <c r="AH107" s="12">
        <f>IF(AB107="","",IFERROR(INDEX(DAFTAR_FIXTURE!$B$2:$B$51,MATCH(AB107,DAFTAR_FIXTURE!$A$2:$A$51,0)),""))</f>
        <v/>
      </c>
      <c r="AI107" s="12">
        <f>IF(AB107="","",IF(AH107="","CEK ID FIXTURE tidak ada di DAFTAR_FIXTURE",IF(AC107="","CEK ZONA NO kosong",IF(ISNA(MATCH(AH107&amp;"|"&amp;AC107,LAYOUT!$E$2:$E$80,0)),"CEK ZONA NO di luar layout",IF(AD107&lt;&gt;INDEX(LAYOUT!$D$2:$D$80,MATCH(AH107&amp;"|"&amp;AC107,LAYOUT!$E$2:$E$80,0)),"CEK JENIS ZONA",IF($D107="","Zona STOCK",IF($E107="","CEK SKU DESCRIPTION kosong",IF(AND(AE107&lt;&gt;"",AF107=""),"CEK URUTAN SAMBUNG kosong",IF(AND(AE107&lt;&gt;"",LEFT(AH107,6)="Endcap"),"CEK Endcap tidak ikut sambung","OK")))))))))</f>
        <v/>
      </c>
    </row>
    <row r="108">
      <c r="A108" s="10" t="n"/>
      <c r="B108" s="10" t="n"/>
      <c r="C108" s="10" t="n"/>
      <c r="D108" s="10" t="n"/>
      <c r="E108" s="10" t="n"/>
      <c r="F108" s="10" t="n"/>
      <c r="G108" s="10" t="n"/>
      <c r="H108" s="10" t="n"/>
      <c r="I108" s="10" t="n"/>
      <c r="J108" s="10" t="n"/>
      <c r="K108" s="10" t="n"/>
      <c r="L108" s="11" t="n"/>
      <c r="M108" s="11" t="n"/>
      <c r="N108" s="11" t="n"/>
      <c r="O108" s="11" t="n"/>
      <c r="P108" s="11" t="n"/>
      <c r="Q108" s="11" t="n"/>
      <c r="R108" s="12">
        <f>IF(L108="","",IFERROR(INDEX(DAFTAR_FIXTURE!$B$2:$B$51,MATCH(L108,DAFTAR_FIXTURE!$A$2:$A$51,0)),""))</f>
        <v/>
      </c>
      <c r="S108" s="12">
        <f>IF(AND($D108="",L108=""),"",IF(L108="",IF(AND(T108="",AB108=""),"Belum ditempatkan",""),IF(R108="","CEK ID FIXTURE tidak ada di DAFTAR_FIXTURE",IF(M108="","CEK ZONA NO kosong",IF(ISNA(MATCH(R108&amp;"|"&amp;M108,LAYOUT!$E$2:$E$80,0)),"CEK ZONA NO di luar layout",IF(N108&lt;&gt;INDEX(LAYOUT!$D$2:$D$80,MATCH(R108&amp;"|"&amp;M108,LAYOUT!$E$2:$E$80,0)),"CEK JENIS ZONA",IF($D108="","Zona STOCK",IF($E108="","CEK SKU DESCRIPTION kosong",IF(AND(O108&lt;&gt;"",P108=""),"CEK URUTAN SAMBUNG kosong",IF(AND(O108&lt;&gt;"",LEFT(R108,6)="Endcap"),"CEK Endcap tidak ikut sambung","OK"))))))))))</f>
        <v/>
      </c>
      <c r="T108" s="11" t="n"/>
      <c r="U108" s="11" t="n"/>
      <c r="V108" s="11" t="n"/>
      <c r="W108" s="11" t="n"/>
      <c r="X108" s="11" t="n"/>
      <c r="Y108" s="11" t="n"/>
      <c r="Z108" s="12">
        <f>IF(T108="","",IFERROR(INDEX(DAFTAR_FIXTURE!$B$2:$B$51,MATCH(T108,DAFTAR_FIXTURE!$A$2:$A$51,0)),""))</f>
        <v/>
      </c>
      <c r="AA108" s="12">
        <f>IF(T108="","",IF(Z108="","CEK ID FIXTURE tidak ada di DAFTAR_FIXTURE",IF(U108="","CEK ZONA NO kosong",IF(ISNA(MATCH(Z108&amp;"|"&amp;U108,LAYOUT!$E$2:$E$80,0)),"CEK ZONA NO di luar layout",IF(V108&lt;&gt;INDEX(LAYOUT!$D$2:$D$80,MATCH(Z108&amp;"|"&amp;U108,LAYOUT!$E$2:$E$80,0)),"CEK JENIS ZONA",IF($D108="","Zona STOCK",IF($E108="","CEK SKU DESCRIPTION kosong",IF(AND(W108&lt;&gt;"",X108=""),"CEK URUTAN SAMBUNG kosong",IF(AND(W108&lt;&gt;"",LEFT(Z108,6)="Endcap"),"CEK Endcap tidak ikut sambung","OK")))))))))</f>
        <v/>
      </c>
      <c r="AB108" s="11" t="n"/>
      <c r="AC108" s="11" t="n"/>
      <c r="AD108" s="11" t="n"/>
      <c r="AE108" s="11" t="n"/>
      <c r="AF108" s="11" t="n"/>
      <c r="AG108" s="11" t="n"/>
      <c r="AH108" s="12">
        <f>IF(AB108="","",IFERROR(INDEX(DAFTAR_FIXTURE!$B$2:$B$51,MATCH(AB108,DAFTAR_FIXTURE!$A$2:$A$51,0)),""))</f>
        <v/>
      </c>
      <c r="AI108" s="12">
        <f>IF(AB108="","",IF(AH108="","CEK ID FIXTURE tidak ada di DAFTAR_FIXTURE",IF(AC108="","CEK ZONA NO kosong",IF(ISNA(MATCH(AH108&amp;"|"&amp;AC108,LAYOUT!$E$2:$E$80,0)),"CEK ZONA NO di luar layout",IF(AD108&lt;&gt;INDEX(LAYOUT!$D$2:$D$80,MATCH(AH108&amp;"|"&amp;AC108,LAYOUT!$E$2:$E$80,0)),"CEK JENIS ZONA",IF($D108="","Zona STOCK",IF($E108="","CEK SKU DESCRIPTION kosong",IF(AND(AE108&lt;&gt;"",AF108=""),"CEK URUTAN SAMBUNG kosong",IF(AND(AE108&lt;&gt;"",LEFT(AH108,6)="Endcap"),"CEK Endcap tidak ikut sambung","OK")))))))))</f>
        <v/>
      </c>
    </row>
    <row r="109">
      <c r="A109" s="10" t="n"/>
      <c r="B109" s="10" t="n"/>
      <c r="C109" s="10" t="n"/>
      <c r="D109" s="10" t="n"/>
      <c r="E109" s="10" t="n"/>
      <c r="F109" s="10" t="n"/>
      <c r="G109" s="10" t="n"/>
      <c r="H109" s="10" t="n"/>
      <c r="I109" s="10" t="n"/>
      <c r="J109" s="10" t="n"/>
      <c r="K109" s="10" t="n"/>
      <c r="L109" s="11" t="n"/>
      <c r="M109" s="11" t="n"/>
      <c r="N109" s="11" t="n"/>
      <c r="O109" s="11" t="n"/>
      <c r="P109" s="11" t="n"/>
      <c r="Q109" s="11" t="n"/>
      <c r="R109" s="12">
        <f>IF(L109="","",IFERROR(INDEX(DAFTAR_FIXTURE!$B$2:$B$51,MATCH(L109,DAFTAR_FIXTURE!$A$2:$A$51,0)),""))</f>
        <v/>
      </c>
      <c r="S109" s="12">
        <f>IF(AND($D109="",L109=""),"",IF(L109="",IF(AND(T109="",AB109=""),"Belum ditempatkan",""),IF(R109="","CEK ID FIXTURE tidak ada di DAFTAR_FIXTURE",IF(M109="","CEK ZONA NO kosong",IF(ISNA(MATCH(R109&amp;"|"&amp;M109,LAYOUT!$E$2:$E$80,0)),"CEK ZONA NO di luar layout",IF(N109&lt;&gt;INDEX(LAYOUT!$D$2:$D$80,MATCH(R109&amp;"|"&amp;M109,LAYOUT!$E$2:$E$80,0)),"CEK JENIS ZONA",IF($D109="","Zona STOCK",IF($E109="","CEK SKU DESCRIPTION kosong",IF(AND(O109&lt;&gt;"",P109=""),"CEK URUTAN SAMBUNG kosong",IF(AND(O109&lt;&gt;"",LEFT(R109,6)="Endcap"),"CEK Endcap tidak ikut sambung","OK"))))))))))</f>
        <v/>
      </c>
      <c r="T109" s="11" t="n"/>
      <c r="U109" s="11" t="n"/>
      <c r="V109" s="11" t="n"/>
      <c r="W109" s="11" t="n"/>
      <c r="X109" s="11" t="n"/>
      <c r="Y109" s="11" t="n"/>
      <c r="Z109" s="12">
        <f>IF(T109="","",IFERROR(INDEX(DAFTAR_FIXTURE!$B$2:$B$51,MATCH(T109,DAFTAR_FIXTURE!$A$2:$A$51,0)),""))</f>
        <v/>
      </c>
      <c r="AA109" s="12">
        <f>IF(T109="","",IF(Z109="","CEK ID FIXTURE tidak ada di DAFTAR_FIXTURE",IF(U109="","CEK ZONA NO kosong",IF(ISNA(MATCH(Z109&amp;"|"&amp;U109,LAYOUT!$E$2:$E$80,0)),"CEK ZONA NO di luar layout",IF(V109&lt;&gt;INDEX(LAYOUT!$D$2:$D$80,MATCH(Z109&amp;"|"&amp;U109,LAYOUT!$E$2:$E$80,0)),"CEK JENIS ZONA",IF($D109="","Zona STOCK",IF($E109="","CEK SKU DESCRIPTION kosong",IF(AND(W109&lt;&gt;"",X109=""),"CEK URUTAN SAMBUNG kosong",IF(AND(W109&lt;&gt;"",LEFT(Z109,6)="Endcap"),"CEK Endcap tidak ikut sambung","OK")))))))))</f>
        <v/>
      </c>
      <c r="AB109" s="11" t="n"/>
      <c r="AC109" s="11" t="n"/>
      <c r="AD109" s="11" t="n"/>
      <c r="AE109" s="11" t="n"/>
      <c r="AF109" s="11" t="n"/>
      <c r="AG109" s="11" t="n"/>
      <c r="AH109" s="12">
        <f>IF(AB109="","",IFERROR(INDEX(DAFTAR_FIXTURE!$B$2:$B$51,MATCH(AB109,DAFTAR_FIXTURE!$A$2:$A$51,0)),""))</f>
        <v/>
      </c>
      <c r="AI109" s="12">
        <f>IF(AB109="","",IF(AH109="","CEK ID FIXTURE tidak ada di DAFTAR_FIXTURE",IF(AC109="","CEK ZONA NO kosong",IF(ISNA(MATCH(AH109&amp;"|"&amp;AC109,LAYOUT!$E$2:$E$80,0)),"CEK ZONA NO di luar layout",IF(AD109&lt;&gt;INDEX(LAYOUT!$D$2:$D$80,MATCH(AH109&amp;"|"&amp;AC109,LAYOUT!$E$2:$E$80,0)),"CEK JENIS ZONA",IF($D109="","Zona STOCK",IF($E109="","CEK SKU DESCRIPTION kosong",IF(AND(AE109&lt;&gt;"",AF109=""),"CEK URUTAN SAMBUNG kosong",IF(AND(AE109&lt;&gt;"",LEFT(AH109,6)="Endcap"),"CEK Endcap tidak ikut sambung","OK")))))))))</f>
        <v/>
      </c>
    </row>
    <row r="110">
      <c r="A110" s="10" t="n"/>
      <c r="B110" s="10" t="n"/>
      <c r="C110" s="10" t="n"/>
      <c r="D110" s="10" t="n"/>
      <c r="E110" s="10" t="n"/>
      <c r="F110" s="10" t="n"/>
      <c r="G110" s="10" t="n"/>
      <c r="H110" s="10" t="n"/>
      <c r="I110" s="10" t="n"/>
      <c r="J110" s="10" t="n"/>
      <c r="K110" s="10" t="n"/>
      <c r="L110" s="11" t="n"/>
      <c r="M110" s="11" t="n"/>
      <c r="N110" s="11" t="n"/>
      <c r="O110" s="11" t="n"/>
      <c r="P110" s="11" t="n"/>
      <c r="Q110" s="11" t="n"/>
      <c r="R110" s="12">
        <f>IF(L110="","",IFERROR(INDEX(DAFTAR_FIXTURE!$B$2:$B$51,MATCH(L110,DAFTAR_FIXTURE!$A$2:$A$51,0)),""))</f>
        <v/>
      </c>
      <c r="S110" s="12">
        <f>IF(AND($D110="",L110=""),"",IF(L110="",IF(AND(T110="",AB110=""),"Belum ditempatkan",""),IF(R110="","CEK ID FIXTURE tidak ada di DAFTAR_FIXTURE",IF(M110="","CEK ZONA NO kosong",IF(ISNA(MATCH(R110&amp;"|"&amp;M110,LAYOUT!$E$2:$E$80,0)),"CEK ZONA NO di luar layout",IF(N110&lt;&gt;INDEX(LAYOUT!$D$2:$D$80,MATCH(R110&amp;"|"&amp;M110,LAYOUT!$E$2:$E$80,0)),"CEK JENIS ZONA",IF($D110="","Zona STOCK",IF($E110="","CEK SKU DESCRIPTION kosong",IF(AND(O110&lt;&gt;"",P110=""),"CEK URUTAN SAMBUNG kosong",IF(AND(O110&lt;&gt;"",LEFT(R110,6)="Endcap"),"CEK Endcap tidak ikut sambung","OK"))))))))))</f>
        <v/>
      </c>
      <c r="T110" s="11" t="n"/>
      <c r="U110" s="11" t="n"/>
      <c r="V110" s="11" t="n"/>
      <c r="W110" s="11" t="n"/>
      <c r="X110" s="11" t="n"/>
      <c r="Y110" s="11" t="n"/>
      <c r="Z110" s="12">
        <f>IF(T110="","",IFERROR(INDEX(DAFTAR_FIXTURE!$B$2:$B$51,MATCH(T110,DAFTAR_FIXTURE!$A$2:$A$51,0)),""))</f>
        <v/>
      </c>
      <c r="AA110" s="12">
        <f>IF(T110="","",IF(Z110="","CEK ID FIXTURE tidak ada di DAFTAR_FIXTURE",IF(U110="","CEK ZONA NO kosong",IF(ISNA(MATCH(Z110&amp;"|"&amp;U110,LAYOUT!$E$2:$E$80,0)),"CEK ZONA NO di luar layout",IF(V110&lt;&gt;INDEX(LAYOUT!$D$2:$D$80,MATCH(Z110&amp;"|"&amp;U110,LAYOUT!$E$2:$E$80,0)),"CEK JENIS ZONA",IF($D110="","Zona STOCK",IF($E110="","CEK SKU DESCRIPTION kosong",IF(AND(W110&lt;&gt;"",X110=""),"CEK URUTAN SAMBUNG kosong",IF(AND(W110&lt;&gt;"",LEFT(Z110,6)="Endcap"),"CEK Endcap tidak ikut sambung","OK")))))))))</f>
        <v/>
      </c>
      <c r="AB110" s="11" t="n"/>
      <c r="AC110" s="11" t="n"/>
      <c r="AD110" s="11" t="n"/>
      <c r="AE110" s="11" t="n"/>
      <c r="AF110" s="11" t="n"/>
      <c r="AG110" s="11" t="n"/>
      <c r="AH110" s="12">
        <f>IF(AB110="","",IFERROR(INDEX(DAFTAR_FIXTURE!$B$2:$B$51,MATCH(AB110,DAFTAR_FIXTURE!$A$2:$A$51,0)),""))</f>
        <v/>
      </c>
      <c r="AI110" s="12">
        <f>IF(AB110="","",IF(AH110="","CEK ID FIXTURE tidak ada di DAFTAR_FIXTURE",IF(AC110="","CEK ZONA NO kosong",IF(ISNA(MATCH(AH110&amp;"|"&amp;AC110,LAYOUT!$E$2:$E$80,0)),"CEK ZONA NO di luar layout",IF(AD110&lt;&gt;INDEX(LAYOUT!$D$2:$D$80,MATCH(AH110&amp;"|"&amp;AC110,LAYOUT!$E$2:$E$80,0)),"CEK JENIS ZONA",IF($D110="","Zona STOCK",IF($E110="","CEK SKU DESCRIPTION kosong",IF(AND(AE110&lt;&gt;"",AF110=""),"CEK URUTAN SAMBUNG kosong",IF(AND(AE110&lt;&gt;"",LEFT(AH110,6)="Endcap"),"CEK Endcap tidak ikut sambung","OK")))))))))</f>
        <v/>
      </c>
    </row>
    <row r="111">
      <c r="A111" s="10" t="n"/>
      <c r="B111" s="10" t="n"/>
      <c r="C111" s="10" t="n"/>
      <c r="D111" s="10" t="n"/>
      <c r="E111" s="10" t="n"/>
      <c r="F111" s="10" t="n"/>
      <c r="G111" s="10" t="n"/>
      <c r="H111" s="10" t="n"/>
      <c r="I111" s="10" t="n"/>
      <c r="J111" s="10" t="n"/>
      <c r="K111" s="10" t="n"/>
      <c r="L111" s="11" t="n"/>
      <c r="M111" s="11" t="n"/>
      <c r="N111" s="11" t="n"/>
      <c r="O111" s="11" t="n"/>
      <c r="P111" s="11" t="n"/>
      <c r="Q111" s="11" t="n"/>
      <c r="R111" s="12">
        <f>IF(L111="","",IFERROR(INDEX(DAFTAR_FIXTURE!$B$2:$B$51,MATCH(L111,DAFTAR_FIXTURE!$A$2:$A$51,0)),""))</f>
        <v/>
      </c>
      <c r="S111" s="12">
        <f>IF(AND($D111="",L111=""),"",IF(L111="",IF(AND(T111="",AB111=""),"Belum ditempatkan",""),IF(R111="","CEK ID FIXTURE tidak ada di DAFTAR_FIXTURE",IF(M111="","CEK ZONA NO kosong",IF(ISNA(MATCH(R111&amp;"|"&amp;M111,LAYOUT!$E$2:$E$80,0)),"CEK ZONA NO di luar layout",IF(N111&lt;&gt;INDEX(LAYOUT!$D$2:$D$80,MATCH(R111&amp;"|"&amp;M111,LAYOUT!$E$2:$E$80,0)),"CEK JENIS ZONA",IF($D111="","Zona STOCK",IF($E111="","CEK SKU DESCRIPTION kosong",IF(AND(O111&lt;&gt;"",P111=""),"CEK URUTAN SAMBUNG kosong",IF(AND(O111&lt;&gt;"",LEFT(R111,6)="Endcap"),"CEK Endcap tidak ikut sambung","OK"))))))))))</f>
        <v/>
      </c>
      <c r="T111" s="11" t="n"/>
      <c r="U111" s="11" t="n"/>
      <c r="V111" s="11" t="n"/>
      <c r="W111" s="11" t="n"/>
      <c r="X111" s="11" t="n"/>
      <c r="Y111" s="11" t="n"/>
      <c r="Z111" s="12">
        <f>IF(T111="","",IFERROR(INDEX(DAFTAR_FIXTURE!$B$2:$B$51,MATCH(T111,DAFTAR_FIXTURE!$A$2:$A$51,0)),""))</f>
        <v/>
      </c>
      <c r="AA111" s="12">
        <f>IF(T111="","",IF(Z111="","CEK ID FIXTURE tidak ada di DAFTAR_FIXTURE",IF(U111="","CEK ZONA NO kosong",IF(ISNA(MATCH(Z111&amp;"|"&amp;U111,LAYOUT!$E$2:$E$80,0)),"CEK ZONA NO di luar layout",IF(V111&lt;&gt;INDEX(LAYOUT!$D$2:$D$80,MATCH(Z111&amp;"|"&amp;U111,LAYOUT!$E$2:$E$80,0)),"CEK JENIS ZONA",IF($D111="","Zona STOCK",IF($E111="","CEK SKU DESCRIPTION kosong",IF(AND(W111&lt;&gt;"",X111=""),"CEK URUTAN SAMBUNG kosong",IF(AND(W111&lt;&gt;"",LEFT(Z111,6)="Endcap"),"CEK Endcap tidak ikut sambung","OK")))))))))</f>
        <v/>
      </c>
      <c r="AB111" s="11" t="n"/>
      <c r="AC111" s="11" t="n"/>
      <c r="AD111" s="11" t="n"/>
      <c r="AE111" s="11" t="n"/>
      <c r="AF111" s="11" t="n"/>
      <c r="AG111" s="11" t="n"/>
      <c r="AH111" s="12">
        <f>IF(AB111="","",IFERROR(INDEX(DAFTAR_FIXTURE!$B$2:$B$51,MATCH(AB111,DAFTAR_FIXTURE!$A$2:$A$51,0)),""))</f>
        <v/>
      </c>
      <c r="AI111" s="12">
        <f>IF(AB111="","",IF(AH111="","CEK ID FIXTURE tidak ada di DAFTAR_FIXTURE",IF(AC111="","CEK ZONA NO kosong",IF(ISNA(MATCH(AH111&amp;"|"&amp;AC111,LAYOUT!$E$2:$E$80,0)),"CEK ZONA NO di luar layout",IF(AD111&lt;&gt;INDEX(LAYOUT!$D$2:$D$80,MATCH(AH111&amp;"|"&amp;AC111,LAYOUT!$E$2:$E$80,0)),"CEK JENIS ZONA",IF($D111="","Zona STOCK",IF($E111="","CEK SKU DESCRIPTION kosong",IF(AND(AE111&lt;&gt;"",AF111=""),"CEK URUTAN SAMBUNG kosong",IF(AND(AE111&lt;&gt;"",LEFT(AH111,6)="Endcap"),"CEK Endcap tidak ikut sambung","OK")))))))))</f>
        <v/>
      </c>
    </row>
    <row r="112">
      <c r="A112" s="10" t="n"/>
      <c r="B112" s="10" t="n"/>
      <c r="C112" s="10" t="n"/>
      <c r="D112" s="10" t="n"/>
      <c r="E112" s="10" t="n"/>
      <c r="F112" s="10" t="n"/>
      <c r="G112" s="10" t="n"/>
      <c r="H112" s="10" t="n"/>
      <c r="I112" s="10" t="n"/>
      <c r="J112" s="10" t="n"/>
      <c r="K112" s="10" t="n"/>
      <c r="L112" s="11" t="n"/>
      <c r="M112" s="11" t="n"/>
      <c r="N112" s="11" t="n"/>
      <c r="O112" s="11" t="n"/>
      <c r="P112" s="11" t="n"/>
      <c r="Q112" s="11" t="n"/>
      <c r="R112" s="12">
        <f>IF(L112="","",IFERROR(INDEX(DAFTAR_FIXTURE!$B$2:$B$51,MATCH(L112,DAFTAR_FIXTURE!$A$2:$A$51,0)),""))</f>
        <v/>
      </c>
      <c r="S112" s="12">
        <f>IF(AND($D112="",L112=""),"",IF(L112="",IF(AND(T112="",AB112=""),"Belum ditempatkan",""),IF(R112="","CEK ID FIXTURE tidak ada di DAFTAR_FIXTURE",IF(M112="","CEK ZONA NO kosong",IF(ISNA(MATCH(R112&amp;"|"&amp;M112,LAYOUT!$E$2:$E$80,0)),"CEK ZONA NO di luar layout",IF(N112&lt;&gt;INDEX(LAYOUT!$D$2:$D$80,MATCH(R112&amp;"|"&amp;M112,LAYOUT!$E$2:$E$80,0)),"CEK JENIS ZONA",IF($D112="","Zona STOCK",IF($E112="","CEK SKU DESCRIPTION kosong",IF(AND(O112&lt;&gt;"",P112=""),"CEK URUTAN SAMBUNG kosong",IF(AND(O112&lt;&gt;"",LEFT(R112,6)="Endcap"),"CEK Endcap tidak ikut sambung","OK"))))))))))</f>
        <v/>
      </c>
      <c r="T112" s="11" t="n"/>
      <c r="U112" s="11" t="n"/>
      <c r="V112" s="11" t="n"/>
      <c r="W112" s="11" t="n"/>
      <c r="X112" s="11" t="n"/>
      <c r="Y112" s="11" t="n"/>
      <c r="Z112" s="12">
        <f>IF(T112="","",IFERROR(INDEX(DAFTAR_FIXTURE!$B$2:$B$51,MATCH(T112,DAFTAR_FIXTURE!$A$2:$A$51,0)),""))</f>
        <v/>
      </c>
      <c r="AA112" s="12">
        <f>IF(T112="","",IF(Z112="","CEK ID FIXTURE tidak ada di DAFTAR_FIXTURE",IF(U112="","CEK ZONA NO kosong",IF(ISNA(MATCH(Z112&amp;"|"&amp;U112,LAYOUT!$E$2:$E$80,0)),"CEK ZONA NO di luar layout",IF(V112&lt;&gt;INDEX(LAYOUT!$D$2:$D$80,MATCH(Z112&amp;"|"&amp;U112,LAYOUT!$E$2:$E$80,0)),"CEK JENIS ZONA",IF($D112="","Zona STOCK",IF($E112="","CEK SKU DESCRIPTION kosong",IF(AND(W112&lt;&gt;"",X112=""),"CEK URUTAN SAMBUNG kosong",IF(AND(W112&lt;&gt;"",LEFT(Z112,6)="Endcap"),"CEK Endcap tidak ikut sambung","OK")))))))))</f>
        <v/>
      </c>
      <c r="AB112" s="11" t="n"/>
      <c r="AC112" s="11" t="n"/>
      <c r="AD112" s="11" t="n"/>
      <c r="AE112" s="11" t="n"/>
      <c r="AF112" s="11" t="n"/>
      <c r="AG112" s="11" t="n"/>
      <c r="AH112" s="12">
        <f>IF(AB112="","",IFERROR(INDEX(DAFTAR_FIXTURE!$B$2:$B$51,MATCH(AB112,DAFTAR_FIXTURE!$A$2:$A$51,0)),""))</f>
        <v/>
      </c>
      <c r="AI112" s="12">
        <f>IF(AB112="","",IF(AH112="","CEK ID FIXTURE tidak ada di DAFTAR_FIXTURE",IF(AC112="","CEK ZONA NO kosong",IF(ISNA(MATCH(AH112&amp;"|"&amp;AC112,LAYOUT!$E$2:$E$80,0)),"CEK ZONA NO di luar layout",IF(AD112&lt;&gt;INDEX(LAYOUT!$D$2:$D$80,MATCH(AH112&amp;"|"&amp;AC112,LAYOUT!$E$2:$E$80,0)),"CEK JENIS ZONA",IF($D112="","Zona STOCK",IF($E112="","CEK SKU DESCRIPTION kosong",IF(AND(AE112&lt;&gt;"",AF112=""),"CEK URUTAN SAMBUNG kosong",IF(AND(AE112&lt;&gt;"",LEFT(AH112,6)="Endcap"),"CEK Endcap tidak ikut sambung","OK")))))))))</f>
        <v/>
      </c>
    </row>
    <row r="113">
      <c r="A113" s="10" t="n"/>
      <c r="B113" s="10" t="n"/>
      <c r="C113" s="10" t="n"/>
      <c r="D113" s="10" t="n"/>
      <c r="E113" s="10" t="n"/>
      <c r="F113" s="10" t="n"/>
      <c r="G113" s="10" t="n"/>
      <c r="H113" s="10" t="n"/>
      <c r="I113" s="10" t="n"/>
      <c r="J113" s="10" t="n"/>
      <c r="K113" s="10" t="n"/>
      <c r="L113" s="11" t="n"/>
      <c r="M113" s="11" t="n"/>
      <c r="N113" s="11" t="n"/>
      <c r="O113" s="11" t="n"/>
      <c r="P113" s="11" t="n"/>
      <c r="Q113" s="11" t="n"/>
      <c r="R113" s="12">
        <f>IF(L113="","",IFERROR(INDEX(DAFTAR_FIXTURE!$B$2:$B$51,MATCH(L113,DAFTAR_FIXTURE!$A$2:$A$51,0)),""))</f>
        <v/>
      </c>
      <c r="S113" s="12">
        <f>IF(AND($D113="",L113=""),"",IF(L113="",IF(AND(T113="",AB113=""),"Belum ditempatkan",""),IF(R113="","CEK ID FIXTURE tidak ada di DAFTAR_FIXTURE",IF(M113="","CEK ZONA NO kosong",IF(ISNA(MATCH(R113&amp;"|"&amp;M113,LAYOUT!$E$2:$E$80,0)),"CEK ZONA NO di luar layout",IF(N113&lt;&gt;INDEX(LAYOUT!$D$2:$D$80,MATCH(R113&amp;"|"&amp;M113,LAYOUT!$E$2:$E$80,0)),"CEK JENIS ZONA",IF($D113="","Zona STOCK",IF($E113="","CEK SKU DESCRIPTION kosong",IF(AND(O113&lt;&gt;"",P113=""),"CEK URUTAN SAMBUNG kosong",IF(AND(O113&lt;&gt;"",LEFT(R113,6)="Endcap"),"CEK Endcap tidak ikut sambung","OK"))))))))))</f>
        <v/>
      </c>
      <c r="T113" s="11" t="n"/>
      <c r="U113" s="11" t="n"/>
      <c r="V113" s="11" t="n"/>
      <c r="W113" s="11" t="n"/>
      <c r="X113" s="11" t="n"/>
      <c r="Y113" s="11" t="n"/>
      <c r="Z113" s="12">
        <f>IF(T113="","",IFERROR(INDEX(DAFTAR_FIXTURE!$B$2:$B$51,MATCH(T113,DAFTAR_FIXTURE!$A$2:$A$51,0)),""))</f>
        <v/>
      </c>
      <c r="AA113" s="12">
        <f>IF(T113="","",IF(Z113="","CEK ID FIXTURE tidak ada di DAFTAR_FIXTURE",IF(U113="","CEK ZONA NO kosong",IF(ISNA(MATCH(Z113&amp;"|"&amp;U113,LAYOUT!$E$2:$E$80,0)),"CEK ZONA NO di luar layout",IF(V113&lt;&gt;INDEX(LAYOUT!$D$2:$D$80,MATCH(Z113&amp;"|"&amp;U113,LAYOUT!$E$2:$E$80,0)),"CEK JENIS ZONA",IF($D113="","Zona STOCK",IF($E113="","CEK SKU DESCRIPTION kosong",IF(AND(W113&lt;&gt;"",X113=""),"CEK URUTAN SAMBUNG kosong",IF(AND(W113&lt;&gt;"",LEFT(Z113,6)="Endcap"),"CEK Endcap tidak ikut sambung","OK")))))))))</f>
        <v/>
      </c>
      <c r="AB113" s="11" t="n"/>
      <c r="AC113" s="11" t="n"/>
      <c r="AD113" s="11" t="n"/>
      <c r="AE113" s="11" t="n"/>
      <c r="AF113" s="11" t="n"/>
      <c r="AG113" s="11" t="n"/>
      <c r="AH113" s="12">
        <f>IF(AB113="","",IFERROR(INDEX(DAFTAR_FIXTURE!$B$2:$B$51,MATCH(AB113,DAFTAR_FIXTURE!$A$2:$A$51,0)),""))</f>
        <v/>
      </c>
      <c r="AI113" s="12">
        <f>IF(AB113="","",IF(AH113="","CEK ID FIXTURE tidak ada di DAFTAR_FIXTURE",IF(AC113="","CEK ZONA NO kosong",IF(ISNA(MATCH(AH113&amp;"|"&amp;AC113,LAYOUT!$E$2:$E$80,0)),"CEK ZONA NO di luar layout",IF(AD113&lt;&gt;INDEX(LAYOUT!$D$2:$D$80,MATCH(AH113&amp;"|"&amp;AC113,LAYOUT!$E$2:$E$80,0)),"CEK JENIS ZONA",IF($D113="","Zona STOCK",IF($E113="","CEK SKU DESCRIPTION kosong",IF(AND(AE113&lt;&gt;"",AF113=""),"CEK URUTAN SAMBUNG kosong",IF(AND(AE113&lt;&gt;"",LEFT(AH113,6)="Endcap"),"CEK Endcap tidak ikut sambung","OK")))))))))</f>
        <v/>
      </c>
    </row>
    <row r="114">
      <c r="A114" s="10" t="n"/>
      <c r="B114" s="10" t="n"/>
      <c r="C114" s="10" t="n"/>
      <c r="D114" s="10" t="n"/>
      <c r="E114" s="10" t="n"/>
      <c r="F114" s="10" t="n"/>
      <c r="G114" s="10" t="n"/>
      <c r="H114" s="10" t="n"/>
      <c r="I114" s="10" t="n"/>
      <c r="J114" s="10" t="n"/>
      <c r="K114" s="10" t="n"/>
      <c r="L114" s="11" t="n"/>
      <c r="M114" s="11" t="n"/>
      <c r="N114" s="11" t="n"/>
      <c r="O114" s="11" t="n"/>
      <c r="P114" s="11" t="n"/>
      <c r="Q114" s="11" t="n"/>
      <c r="R114" s="12">
        <f>IF(L114="","",IFERROR(INDEX(DAFTAR_FIXTURE!$B$2:$B$51,MATCH(L114,DAFTAR_FIXTURE!$A$2:$A$51,0)),""))</f>
        <v/>
      </c>
      <c r="S114" s="12">
        <f>IF(AND($D114="",L114=""),"",IF(L114="",IF(AND(T114="",AB114=""),"Belum ditempatkan",""),IF(R114="","CEK ID FIXTURE tidak ada di DAFTAR_FIXTURE",IF(M114="","CEK ZONA NO kosong",IF(ISNA(MATCH(R114&amp;"|"&amp;M114,LAYOUT!$E$2:$E$80,0)),"CEK ZONA NO di luar layout",IF(N114&lt;&gt;INDEX(LAYOUT!$D$2:$D$80,MATCH(R114&amp;"|"&amp;M114,LAYOUT!$E$2:$E$80,0)),"CEK JENIS ZONA",IF($D114="","Zona STOCK",IF($E114="","CEK SKU DESCRIPTION kosong",IF(AND(O114&lt;&gt;"",P114=""),"CEK URUTAN SAMBUNG kosong",IF(AND(O114&lt;&gt;"",LEFT(R114,6)="Endcap"),"CEK Endcap tidak ikut sambung","OK"))))))))))</f>
        <v/>
      </c>
      <c r="T114" s="11" t="n"/>
      <c r="U114" s="11" t="n"/>
      <c r="V114" s="11" t="n"/>
      <c r="W114" s="11" t="n"/>
      <c r="X114" s="11" t="n"/>
      <c r="Y114" s="11" t="n"/>
      <c r="Z114" s="12">
        <f>IF(T114="","",IFERROR(INDEX(DAFTAR_FIXTURE!$B$2:$B$51,MATCH(T114,DAFTAR_FIXTURE!$A$2:$A$51,0)),""))</f>
        <v/>
      </c>
      <c r="AA114" s="12">
        <f>IF(T114="","",IF(Z114="","CEK ID FIXTURE tidak ada di DAFTAR_FIXTURE",IF(U114="","CEK ZONA NO kosong",IF(ISNA(MATCH(Z114&amp;"|"&amp;U114,LAYOUT!$E$2:$E$80,0)),"CEK ZONA NO di luar layout",IF(V114&lt;&gt;INDEX(LAYOUT!$D$2:$D$80,MATCH(Z114&amp;"|"&amp;U114,LAYOUT!$E$2:$E$80,0)),"CEK JENIS ZONA",IF($D114="","Zona STOCK",IF($E114="","CEK SKU DESCRIPTION kosong",IF(AND(W114&lt;&gt;"",X114=""),"CEK URUTAN SAMBUNG kosong",IF(AND(W114&lt;&gt;"",LEFT(Z114,6)="Endcap"),"CEK Endcap tidak ikut sambung","OK")))))))))</f>
        <v/>
      </c>
      <c r="AB114" s="11" t="n"/>
      <c r="AC114" s="11" t="n"/>
      <c r="AD114" s="11" t="n"/>
      <c r="AE114" s="11" t="n"/>
      <c r="AF114" s="11" t="n"/>
      <c r="AG114" s="11" t="n"/>
      <c r="AH114" s="12">
        <f>IF(AB114="","",IFERROR(INDEX(DAFTAR_FIXTURE!$B$2:$B$51,MATCH(AB114,DAFTAR_FIXTURE!$A$2:$A$51,0)),""))</f>
        <v/>
      </c>
      <c r="AI114" s="12">
        <f>IF(AB114="","",IF(AH114="","CEK ID FIXTURE tidak ada di DAFTAR_FIXTURE",IF(AC114="","CEK ZONA NO kosong",IF(ISNA(MATCH(AH114&amp;"|"&amp;AC114,LAYOUT!$E$2:$E$80,0)),"CEK ZONA NO di luar layout",IF(AD114&lt;&gt;INDEX(LAYOUT!$D$2:$D$80,MATCH(AH114&amp;"|"&amp;AC114,LAYOUT!$E$2:$E$80,0)),"CEK JENIS ZONA",IF($D114="","Zona STOCK",IF($E114="","CEK SKU DESCRIPTION kosong",IF(AND(AE114&lt;&gt;"",AF114=""),"CEK URUTAN SAMBUNG kosong",IF(AND(AE114&lt;&gt;"",LEFT(AH114,6)="Endcap"),"CEK Endcap tidak ikut sambung","OK")))))))))</f>
        <v/>
      </c>
    </row>
    <row r="115">
      <c r="A115" s="10" t="n"/>
      <c r="B115" s="10" t="n"/>
      <c r="C115" s="10" t="n"/>
      <c r="D115" s="10" t="n"/>
      <c r="E115" s="10" t="n"/>
      <c r="F115" s="10" t="n"/>
      <c r="G115" s="10" t="n"/>
      <c r="H115" s="10" t="n"/>
      <c r="I115" s="10" t="n"/>
      <c r="J115" s="10" t="n"/>
      <c r="K115" s="10" t="n"/>
      <c r="L115" s="11" t="n"/>
      <c r="M115" s="11" t="n"/>
      <c r="N115" s="11" t="n"/>
      <c r="O115" s="11" t="n"/>
      <c r="P115" s="11" t="n"/>
      <c r="Q115" s="11" t="n"/>
      <c r="R115" s="12">
        <f>IF(L115="","",IFERROR(INDEX(DAFTAR_FIXTURE!$B$2:$B$51,MATCH(L115,DAFTAR_FIXTURE!$A$2:$A$51,0)),""))</f>
        <v/>
      </c>
      <c r="S115" s="12">
        <f>IF(AND($D115="",L115=""),"",IF(L115="",IF(AND(T115="",AB115=""),"Belum ditempatkan",""),IF(R115="","CEK ID FIXTURE tidak ada di DAFTAR_FIXTURE",IF(M115="","CEK ZONA NO kosong",IF(ISNA(MATCH(R115&amp;"|"&amp;M115,LAYOUT!$E$2:$E$80,0)),"CEK ZONA NO di luar layout",IF(N115&lt;&gt;INDEX(LAYOUT!$D$2:$D$80,MATCH(R115&amp;"|"&amp;M115,LAYOUT!$E$2:$E$80,0)),"CEK JENIS ZONA",IF($D115="","Zona STOCK",IF($E115="","CEK SKU DESCRIPTION kosong",IF(AND(O115&lt;&gt;"",P115=""),"CEK URUTAN SAMBUNG kosong",IF(AND(O115&lt;&gt;"",LEFT(R115,6)="Endcap"),"CEK Endcap tidak ikut sambung","OK"))))))))))</f>
        <v/>
      </c>
      <c r="T115" s="11" t="n"/>
      <c r="U115" s="11" t="n"/>
      <c r="V115" s="11" t="n"/>
      <c r="W115" s="11" t="n"/>
      <c r="X115" s="11" t="n"/>
      <c r="Y115" s="11" t="n"/>
      <c r="Z115" s="12">
        <f>IF(T115="","",IFERROR(INDEX(DAFTAR_FIXTURE!$B$2:$B$51,MATCH(T115,DAFTAR_FIXTURE!$A$2:$A$51,0)),""))</f>
        <v/>
      </c>
      <c r="AA115" s="12">
        <f>IF(T115="","",IF(Z115="","CEK ID FIXTURE tidak ada di DAFTAR_FIXTURE",IF(U115="","CEK ZONA NO kosong",IF(ISNA(MATCH(Z115&amp;"|"&amp;U115,LAYOUT!$E$2:$E$80,0)),"CEK ZONA NO di luar layout",IF(V115&lt;&gt;INDEX(LAYOUT!$D$2:$D$80,MATCH(Z115&amp;"|"&amp;U115,LAYOUT!$E$2:$E$80,0)),"CEK JENIS ZONA",IF($D115="","Zona STOCK",IF($E115="","CEK SKU DESCRIPTION kosong",IF(AND(W115&lt;&gt;"",X115=""),"CEK URUTAN SAMBUNG kosong",IF(AND(W115&lt;&gt;"",LEFT(Z115,6)="Endcap"),"CEK Endcap tidak ikut sambung","OK")))))))))</f>
        <v/>
      </c>
      <c r="AB115" s="11" t="n"/>
      <c r="AC115" s="11" t="n"/>
      <c r="AD115" s="11" t="n"/>
      <c r="AE115" s="11" t="n"/>
      <c r="AF115" s="11" t="n"/>
      <c r="AG115" s="11" t="n"/>
      <c r="AH115" s="12">
        <f>IF(AB115="","",IFERROR(INDEX(DAFTAR_FIXTURE!$B$2:$B$51,MATCH(AB115,DAFTAR_FIXTURE!$A$2:$A$51,0)),""))</f>
        <v/>
      </c>
      <c r="AI115" s="12">
        <f>IF(AB115="","",IF(AH115="","CEK ID FIXTURE tidak ada di DAFTAR_FIXTURE",IF(AC115="","CEK ZONA NO kosong",IF(ISNA(MATCH(AH115&amp;"|"&amp;AC115,LAYOUT!$E$2:$E$80,0)),"CEK ZONA NO di luar layout",IF(AD115&lt;&gt;INDEX(LAYOUT!$D$2:$D$80,MATCH(AH115&amp;"|"&amp;AC115,LAYOUT!$E$2:$E$80,0)),"CEK JENIS ZONA",IF($D115="","Zona STOCK",IF($E115="","CEK SKU DESCRIPTION kosong",IF(AND(AE115&lt;&gt;"",AF115=""),"CEK URUTAN SAMBUNG kosong",IF(AND(AE115&lt;&gt;"",LEFT(AH115,6)="Endcap"),"CEK Endcap tidak ikut sambung","OK")))))))))</f>
        <v/>
      </c>
    </row>
    <row r="116">
      <c r="A116" s="10" t="n"/>
      <c r="B116" s="10" t="n"/>
      <c r="C116" s="10" t="n"/>
      <c r="D116" s="10" t="n"/>
      <c r="E116" s="10" t="n"/>
      <c r="F116" s="10" t="n"/>
      <c r="G116" s="10" t="n"/>
      <c r="H116" s="10" t="n"/>
      <c r="I116" s="10" t="n"/>
      <c r="J116" s="10" t="n"/>
      <c r="K116" s="10" t="n"/>
      <c r="L116" s="11" t="n"/>
      <c r="M116" s="11" t="n"/>
      <c r="N116" s="11" t="n"/>
      <c r="O116" s="11" t="n"/>
      <c r="P116" s="11" t="n"/>
      <c r="Q116" s="11" t="n"/>
      <c r="R116" s="12">
        <f>IF(L116="","",IFERROR(INDEX(DAFTAR_FIXTURE!$B$2:$B$51,MATCH(L116,DAFTAR_FIXTURE!$A$2:$A$51,0)),""))</f>
        <v/>
      </c>
      <c r="S116" s="12">
        <f>IF(AND($D116="",L116=""),"",IF(L116="",IF(AND(T116="",AB116=""),"Belum ditempatkan",""),IF(R116="","CEK ID FIXTURE tidak ada di DAFTAR_FIXTURE",IF(M116="","CEK ZONA NO kosong",IF(ISNA(MATCH(R116&amp;"|"&amp;M116,LAYOUT!$E$2:$E$80,0)),"CEK ZONA NO di luar layout",IF(N116&lt;&gt;INDEX(LAYOUT!$D$2:$D$80,MATCH(R116&amp;"|"&amp;M116,LAYOUT!$E$2:$E$80,0)),"CEK JENIS ZONA",IF($D116="","Zona STOCK",IF($E116="","CEK SKU DESCRIPTION kosong",IF(AND(O116&lt;&gt;"",P116=""),"CEK URUTAN SAMBUNG kosong",IF(AND(O116&lt;&gt;"",LEFT(R116,6)="Endcap"),"CEK Endcap tidak ikut sambung","OK"))))))))))</f>
        <v/>
      </c>
      <c r="T116" s="11" t="n"/>
      <c r="U116" s="11" t="n"/>
      <c r="V116" s="11" t="n"/>
      <c r="W116" s="11" t="n"/>
      <c r="X116" s="11" t="n"/>
      <c r="Y116" s="11" t="n"/>
      <c r="Z116" s="12">
        <f>IF(T116="","",IFERROR(INDEX(DAFTAR_FIXTURE!$B$2:$B$51,MATCH(T116,DAFTAR_FIXTURE!$A$2:$A$51,0)),""))</f>
        <v/>
      </c>
      <c r="AA116" s="12">
        <f>IF(T116="","",IF(Z116="","CEK ID FIXTURE tidak ada di DAFTAR_FIXTURE",IF(U116="","CEK ZONA NO kosong",IF(ISNA(MATCH(Z116&amp;"|"&amp;U116,LAYOUT!$E$2:$E$80,0)),"CEK ZONA NO di luar layout",IF(V116&lt;&gt;INDEX(LAYOUT!$D$2:$D$80,MATCH(Z116&amp;"|"&amp;U116,LAYOUT!$E$2:$E$80,0)),"CEK JENIS ZONA",IF($D116="","Zona STOCK",IF($E116="","CEK SKU DESCRIPTION kosong",IF(AND(W116&lt;&gt;"",X116=""),"CEK URUTAN SAMBUNG kosong",IF(AND(W116&lt;&gt;"",LEFT(Z116,6)="Endcap"),"CEK Endcap tidak ikut sambung","OK")))))))))</f>
        <v/>
      </c>
      <c r="AB116" s="11" t="n"/>
      <c r="AC116" s="11" t="n"/>
      <c r="AD116" s="11" t="n"/>
      <c r="AE116" s="11" t="n"/>
      <c r="AF116" s="11" t="n"/>
      <c r="AG116" s="11" t="n"/>
      <c r="AH116" s="12">
        <f>IF(AB116="","",IFERROR(INDEX(DAFTAR_FIXTURE!$B$2:$B$51,MATCH(AB116,DAFTAR_FIXTURE!$A$2:$A$51,0)),""))</f>
        <v/>
      </c>
      <c r="AI116" s="12">
        <f>IF(AB116="","",IF(AH116="","CEK ID FIXTURE tidak ada di DAFTAR_FIXTURE",IF(AC116="","CEK ZONA NO kosong",IF(ISNA(MATCH(AH116&amp;"|"&amp;AC116,LAYOUT!$E$2:$E$80,0)),"CEK ZONA NO di luar layout",IF(AD116&lt;&gt;INDEX(LAYOUT!$D$2:$D$80,MATCH(AH116&amp;"|"&amp;AC116,LAYOUT!$E$2:$E$80,0)),"CEK JENIS ZONA",IF($D116="","Zona STOCK",IF($E116="","CEK SKU DESCRIPTION kosong",IF(AND(AE116&lt;&gt;"",AF116=""),"CEK URUTAN SAMBUNG kosong",IF(AND(AE116&lt;&gt;"",LEFT(AH116,6)="Endcap"),"CEK Endcap tidak ikut sambung","OK")))))))))</f>
        <v/>
      </c>
    </row>
    <row r="117">
      <c r="A117" s="10" t="n"/>
      <c r="B117" s="10" t="n"/>
      <c r="C117" s="10" t="n"/>
      <c r="D117" s="10" t="n"/>
      <c r="E117" s="10" t="n"/>
      <c r="F117" s="10" t="n"/>
      <c r="G117" s="10" t="n"/>
      <c r="H117" s="10" t="n"/>
      <c r="I117" s="10" t="n"/>
      <c r="J117" s="10" t="n"/>
      <c r="K117" s="10" t="n"/>
      <c r="L117" s="11" t="n"/>
      <c r="M117" s="11" t="n"/>
      <c r="N117" s="11" t="n"/>
      <c r="O117" s="11" t="n"/>
      <c r="P117" s="11" t="n"/>
      <c r="Q117" s="11" t="n"/>
      <c r="R117" s="12">
        <f>IF(L117="","",IFERROR(INDEX(DAFTAR_FIXTURE!$B$2:$B$51,MATCH(L117,DAFTAR_FIXTURE!$A$2:$A$51,0)),""))</f>
        <v/>
      </c>
      <c r="S117" s="12">
        <f>IF(AND($D117="",L117=""),"",IF(L117="",IF(AND(T117="",AB117=""),"Belum ditempatkan",""),IF(R117="","CEK ID FIXTURE tidak ada di DAFTAR_FIXTURE",IF(M117="","CEK ZONA NO kosong",IF(ISNA(MATCH(R117&amp;"|"&amp;M117,LAYOUT!$E$2:$E$80,0)),"CEK ZONA NO di luar layout",IF(N117&lt;&gt;INDEX(LAYOUT!$D$2:$D$80,MATCH(R117&amp;"|"&amp;M117,LAYOUT!$E$2:$E$80,0)),"CEK JENIS ZONA",IF($D117="","Zona STOCK",IF($E117="","CEK SKU DESCRIPTION kosong",IF(AND(O117&lt;&gt;"",P117=""),"CEK URUTAN SAMBUNG kosong",IF(AND(O117&lt;&gt;"",LEFT(R117,6)="Endcap"),"CEK Endcap tidak ikut sambung","OK"))))))))))</f>
        <v/>
      </c>
      <c r="T117" s="11" t="n"/>
      <c r="U117" s="11" t="n"/>
      <c r="V117" s="11" t="n"/>
      <c r="W117" s="11" t="n"/>
      <c r="X117" s="11" t="n"/>
      <c r="Y117" s="11" t="n"/>
      <c r="Z117" s="12">
        <f>IF(T117="","",IFERROR(INDEX(DAFTAR_FIXTURE!$B$2:$B$51,MATCH(T117,DAFTAR_FIXTURE!$A$2:$A$51,0)),""))</f>
        <v/>
      </c>
      <c r="AA117" s="12">
        <f>IF(T117="","",IF(Z117="","CEK ID FIXTURE tidak ada di DAFTAR_FIXTURE",IF(U117="","CEK ZONA NO kosong",IF(ISNA(MATCH(Z117&amp;"|"&amp;U117,LAYOUT!$E$2:$E$80,0)),"CEK ZONA NO di luar layout",IF(V117&lt;&gt;INDEX(LAYOUT!$D$2:$D$80,MATCH(Z117&amp;"|"&amp;U117,LAYOUT!$E$2:$E$80,0)),"CEK JENIS ZONA",IF($D117="","Zona STOCK",IF($E117="","CEK SKU DESCRIPTION kosong",IF(AND(W117&lt;&gt;"",X117=""),"CEK URUTAN SAMBUNG kosong",IF(AND(W117&lt;&gt;"",LEFT(Z117,6)="Endcap"),"CEK Endcap tidak ikut sambung","OK")))))))))</f>
        <v/>
      </c>
      <c r="AB117" s="11" t="n"/>
      <c r="AC117" s="11" t="n"/>
      <c r="AD117" s="11" t="n"/>
      <c r="AE117" s="11" t="n"/>
      <c r="AF117" s="11" t="n"/>
      <c r="AG117" s="11" t="n"/>
      <c r="AH117" s="12">
        <f>IF(AB117="","",IFERROR(INDEX(DAFTAR_FIXTURE!$B$2:$B$51,MATCH(AB117,DAFTAR_FIXTURE!$A$2:$A$51,0)),""))</f>
        <v/>
      </c>
      <c r="AI117" s="12">
        <f>IF(AB117="","",IF(AH117="","CEK ID FIXTURE tidak ada di DAFTAR_FIXTURE",IF(AC117="","CEK ZONA NO kosong",IF(ISNA(MATCH(AH117&amp;"|"&amp;AC117,LAYOUT!$E$2:$E$80,0)),"CEK ZONA NO di luar layout",IF(AD117&lt;&gt;INDEX(LAYOUT!$D$2:$D$80,MATCH(AH117&amp;"|"&amp;AC117,LAYOUT!$E$2:$E$80,0)),"CEK JENIS ZONA",IF($D117="","Zona STOCK",IF($E117="","CEK SKU DESCRIPTION kosong",IF(AND(AE117&lt;&gt;"",AF117=""),"CEK URUTAN SAMBUNG kosong",IF(AND(AE117&lt;&gt;"",LEFT(AH117,6)="Endcap"),"CEK Endcap tidak ikut sambung","OK")))))))))</f>
        <v/>
      </c>
    </row>
    <row r="118">
      <c r="A118" s="10" t="n"/>
      <c r="B118" s="10" t="n"/>
      <c r="C118" s="10" t="n"/>
      <c r="D118" s="10" t="n"/>
      <c r="E118" s="10" t="n"/>
      <c r="F118" s="10" t="n"/>
      <c r="G118" s="10" t="n"/>
      <c r="H118" s="10" t="n"/>
      <c r="I118" s="10" t="n"/>
      <c r="J118" s="10" t="n"/>
      <c r="K118" s="10" t="n"/>
      <c r="L118" s="11" t="n"/>
      <c r="M118" s="11" t="n"/>
      <c r="N118" s="11" t="n"/>
      <c r="O118" s="11" t="n"/>
      <c r="P118" s="11" t="n"/>
      <c r="Q118" s="11" t="n"/>
      <c r="R118" s="12">
        <f>IF(L118="","",IFERROR(INDEX(DAFTAR_FIXTURE!$B$2:$B$51,MATCH(L118,DAFTAR_FIXTURE!$A$2:$A$51,0)),""))</f>
        <v/>
      </c>
      <c r="S118" s="12">
        <f>IF(AND($D118="",L118=""),"",IF(L118="",IF(AND(T118="",AB118=""),"Belum ditempatkan",""),IF(R118="","CEK ID FIXTURE tidak ada di DAFTAR_FIXTURE",IF(M118="","CEK ZONA NO kosong",IF(ISNA(MATCH(R118&amp;"|"&amp;M118,LAYOUT!$E$2:$E$80,0)),"CEK ZONA NO di luar layout",IF(N118&lt;&gt;INDEX(LAYOUT!$D$2:$D$80,MATCH(R118&amp;"|"&amp;M118,LAYOUT!$E$2:$E$80,0)),"CEK JENIS ZONA",IF($D118="","Zona STOCK",IF($E118="","CEK SKU DESCRIPTION kosong",IF(AND(O118&lt;&gt;"",P118=""),"CEK URUTAN SAMBUNG kosong",IF(AND(O118&lt;&gt;"",LEFT(R118,6)="Endcap"),"CEK Endcap tidak ikut sambung","OK"))))))))))</f>
        <v/>
      </c>
      <c r="T118" s="11" t="n"/>
      <c r="U118" s="11" t="n"/>
      <c r="V118" s="11" t="n"/>
      <c r="W118" s="11" t="n"/>
      <c r="X118" s="11" t="n"/>
      <c r="Y118" s="11" t="n"/>
      <c r="Z118" s="12">
        <f>IF(T118="","",IFERROR(INDEX(DAFTAR_FIXTURE!$B$2:$B$51,MATCH(T118,DAFTAR_FIXTURE!$A$2:$A$51,0)),""))</f>
        <v/>
      </c>
      <c r="AA118" s="12">
        <f>IF(T118="","",IF(Z118="","CEK ID FIXTURE tidak ada di DAFTAR_FIXTURE",IF(U118="","CEK ZONA NO kosong",IF(ISNA(MATCH(Z118&amp;"|"&amp;U118,LAYOUT!$E$2:$E$80,0)),"CEK ZONA NO di luar layout",IF(V118&lt;&gt;INDEX(LAYOUT!$D$2:$D$80,MATCH(Z118&amp;"|"&amp;U118,LAYOUT!$E$2:$E$80,0)),"CEK JENIS ZONA",IF($D118="","Zona STOCK",IF($E118="","CEK SKU DESCRIPTION kosong",IF(AND(W118&lt;&gt;"",X118=""),"CEK URUTAN SAMBUNG kosong",IF(AND(W118&lt;&gt;"",LEFT(Z118,6)="Endcap"),"CEK Endcap tidak ikut sambung","OK")))))))))</f>
        <v/>
      </c>
      <c r="AB118" s="11" t="n"/>
      <c r="AC118" s="11" t="n"/>
      <c r="AD118" s="11" t="n"/>
      <c r="AE118" s="11" t="n"/>
      <c r="AF118" s="11" t="n"/>
      <c r="AG118" s="11" t="n"/>
      <c r="AH118" s="12">
        <f>IF(AB118="","",IFERROR(INDEX(DAFTAR_FIXTURE!$B$2:$B$51,MATCH(AB118,DAFTAR_FIXTURE!$A$2:$A$51,0)),""))</f>
        <v/>
      </c>
      <c r="AI118" s="12">
        <f>IF(AB118="","",IF(AH118="","CEK ID FIXTURE tidak ada di DAFTAR_FIXTURE",IF(AC118="","CEK ZONA NO kosong",IF(ISNA(MATCH(AH118&amp;"|"&amp;AC118,LAYOUT!$E$2:$E$80,0)),"CEK ZONA NO di luar layout",IF(AD118&lt;&gt;INDEX(LAYOUT!$D$2:$D$80,MATCH(AH118&amp;"|"&amp;AC118,LAYOUT!$E$2:$E$80,0)),"CEK JENIS ZONA",IF($D118="","Zona STOCK",IF($E118="","CEK SKU DESCRIPTION kosong",IF(AND(AE118&lt;&gt;"",AF118=""),"CEK URUTAN SAMBUNG kosong",IF(AND(AE118&lt;&gt;"",LEFT(AH118,6)="Endcap"),"CEK Endcap tidak ikut sambung","OK")))))))))</f>
        <v/>
      </c>
    </row>
    <row r="119">
      <c r="A119" s="10" t="n"/>
      <c r="B119" s="10" t="n"/>
      <c r="C119" s="10" t="n"/>
      <c r="D119" s="10" t="n"/>
      <c r="E119" s="10" t="n"/>
      <c r="F119" s="10" t="n"/>
      <c r="G119" s="10" t="n"/>
      <c r="H119" s="10" t="n"/>
      <c r="I119" s="10" t="n"/>
      <c r="J119" s="10" t="n"/>
      <c r="K119" s="10" t="n"/>
      <c r="L119" s="11" t="n"/>
      <c r="M119" s="11" t="n"/>
      <c r="N119" s="11" t="n"/>
      <c r="O119" s="11" t="n"/>
      <c r="P119" s="11" t="n"/>
      <c r="Q119" s="11" t="n"/>
      <c r="R119" s="12">
        <f>IF(L119="","",IFERROR(INDEX(DAFTAR_FIXTURE!$B$2:$B$51,MATCH(L119,DAFTAR_FIXTURE!$A$2:$A$51,0)),""))</f>
        <v/>
      </c>
      <c r="S119" s="12">
        <f>IF(AND($D119="",L119=""),"",IF(L119="",IF(AND(T119="",AB119=""),"Belum ditempatkan",""),IF(R119="","CEK ID FIXTURE tidak ada di DAFTAR_FIXTURE",IF(M119="","CEK ZONA NO kosong",IF(ISNA(MATCH(R119&amp;"|"&amp;M119,LAYOUT!$E$2:$E$80,0)),"CEK ZONA NO di luar layout",IF(N119&lt;&gt;INDEX(LAYOUT!$D$2:$D$80,MATCH(R119&amp;"|"&amp;M119,LAYOUT!$E$2:$E$80,0)),"CEK JENIS ZONA",IF($D119="","Zona STOCK",IF($E119="","CEK SKU DESCRIPTION kosong",IF(AND(O119&lt;&gt;"",P119=""),"CEK URUTAN SAMBUNG kosong",IF(AND(O119&lt;&gt;"",LEFT(R119,6)="Endcap"),"CEK Endcap tidak ikut sambung","OK"))))))))))</f>
        <v/>
      </c>
      <c r="T119" s="11" t="n"/>
      <c r="U119" s="11" t="n"/>
      <c r="V119" s="11" t="n"/>
      <c r="W119" s="11" t="n"/>
      <c r="X119" s="11" t="n"/>
      <c r="Y119" s="11" t="n"/>
      <c r="Z119" s="12">
        <f>IF(T119="","",IFERROR(INDEX(DAFTAR_FIXTURE!$B$2:$B$51,MATCH(T119,DAFTAR_FIXTURE!$A$2:$A$51,0)),""))</f>
        <v/>
      </c>
      <c r="AA119" s="12">
        <f>IF(T119="","",IF(Z119="","CEK ID FIXTURE tidak ada di DAFTAR_FIXTURE",IF(U119="","CEK ZONA NO kosong",IF(ISNA(MATCH(Z119&amp;"|"&amp;U119,LAYOUT!$E$2:$E$80,0)),"CEK ZONA NO di luar layout",IF(V119&lt;&gt;INDEX(LAYOUT!$D$2:$D$80,MATCH(Z119&amp;"|"&amp;U119,LAYOUT!$E$2:$E$80,0)),"CEK JENIS ZONA",IF($D119="","Zona STOCK",IF($E119="","CEK SKU DESCRIPTION kosong",IF(AND(W119&lt;&gt;"",X119=""),"CEK URUTAN SAMBUNG kosong",IF(AND(W119&lt;&gt;"",LEFT(Z119,6)="Endcap"),"CEK Endcap tidak ikut sambung","OK")))))))))</f>
        <v/>
      </c>
      <c r="AB119" s="11" t="n"/>
      <c r="AC119" s="11" t="n"/>
      <c r="AD119" s="11" t="n"/>
      <c r="AE119" s="11" t="n"/>
      <c r="AF119" s="11" t="n"/>
      <c r="AG119" s="11" t="n"/>
      <c r="AH119" s="12">
        <f>IF(AB119="","",IFERROR(INDEX(DAFTAR_FIXTURE!$B$2:$B$51,MATCH(AB119,DAFTAR_FIXTURE!$A$2:$A$51,0)),""))</f>
        <v/>
      </c>
      <c r="AI119" s="12">
        <f>IF(AB119="","",IF(AH119="","CEK ID FIXTURE tidak ada di DAFTAR_FIXTURE",IF(AC119="","CEK ZONA NO kosong",IF(ISNA(MATCH(AH119&amp;"|"&amp;AC119,LAYOUT!$E$2:$E$80,0)),"CEK ZONA NO di luar layout",IF(AD119&lt;&gt;INDEX(LAYOUT!$D$2:$D$80,MATCH(AH119&amp;"|"&amp;AC119,LAYOUT!$E$2:$E$80,0)),"CEK JENIS ZONA",IF($D119="","Zona STOCK",IF($E119="","CEK SKU DESCRIPTION kosong",IF(AND(AE119&lt;&gt;"",AF119=""),"CEK URUTAN SAMBUNG kosong",IF(AND(AE119&lt;&gt;"",LEFT(AH119,6)="Endcap"),"CEK Endcap tidak ikut sambung","OK")))))))))</f>
        <v/>
      </c>
    </row>
    <row r="120">
      <c r="A120" s="10" t="n"/>
      <c r="B120" s="10" t="n"/>
      <c r="C120" s="10" t="n"/>
      <c r="D120" s="10" t="n"/>
      <c r="E120" s="10" t="n"/>
      <c r="F120" s="10" t="n"/>
      <c r="G120" s="10" t="n"/>
      <c r="H120" s="10" t="n"/>
      <c r="I120" s="10" t="n"/>
      <c r="J120" s="10" t="n"/>
      <c r="K120" s="10" t="n"/>
      <c r="L120" s="11" t="n"/>
      <c r="M120" s="11" t="n"/>
      <c r="N120" s="11" t="n"/>
      <c r="O120" s="11" t="n"/>
      <c r="P120" s="11" t="n"/>
      <c r="Q120" s="11" t="n"/>
      <c r="R120" s="12">
        <f>IF(L120="","",IFERROR(INDEX(DAFTAR_FIXTURE!$B$2:$B$51,MATCH(L120,DAFTAR_FIXTURE!$A$2:$A$51,0)),""))</f>
        <v/>
      </c>
      <c r="S120" s="12">
        <f>IF(AND($D120="",L120=""),"",IF(L120="",IF(AND(T120="",AB120=""),"Belum ditempatkan",""),IF(R120="","CEK ID FIXTURE tidak ada di DAFTAR_FIXTURE",IF(M120="","CEK ZONA NO kosong",IF(ISNA(MATCH(R120&amp;"|"&amp;M120,LAYOUT!$E$2:$E$80,0)),"CEK ZONA NO di luar layout",IF(N120&lt;&gt;INDEX(LAYOUT!$D$2:$D$80,MATCH(R120&amp;"|"&amp;M120,LAYOUT!$E$2:$E$80,0)),"CEK JENIS ZONA",IF($D120="","Zona STOCK",IF($E120="","CEK SKU DESCRIPTION kosong",IF(AND(O120&lt;&gt;"",P120=""),"CEK URUTAN SAMBUNG kosong",IF(AND(O120&lt;&gt;"",LEFT(R120,6)="Endcap"),"CEK Endcap tidak ikut sambung","OK"))))))))))</f>
        <v/>
      </c>
      <c r="T120" s="11" t="n"/>
      <c r="U120" s="11" t="n"/>
      <c r="V120" s="11" t="n"/>
      <c r="W120" s="11" t="n"/>
      <c r="X120" s="11" t="n"/>
      <c r="Y120" s="11" t="n"/>
      <c r="Z120" s="12">
        <f>IF(T120="","",IFERROR(INDEX(DAFTAR_FIXTURE!$B$2:$B$51,MATCH(T120,DAFTAR_FIXTURE!$A$2:$A$51,0)),""))</f>
        <v/>
      </c>
      <c r="AA120" s="12">
        <f>IF(T120="","",IF(Z120="","CEK ID FIXTURE tidak ada di DAFTAR_FIXTURE",IF(U120="","CEK ZONA NO kosong",IF(ISNA(MATCH(Z120&amp;"|"&amp;U120,LAYOUT!$E$2:$E$80,0)),"CEK ZONA NO di luar layout",IF(V120&lt;&gt;INDEX(LAYOUT!$D$2:$D$80,MATCH(Z120&amp;"|"&amp;U120,LAYOUT!$E$2:$E$80,0)),"CEK JENIS ZONA",IF($D120="","Zona STOCK",IF($E120="","CEK SKU DESCRIPTION kosong",IF(AND(W120&lt;&gt;"",X120=""),"CEK URUTAN SAMBUNG kosong",IF(AND(W120&lt;&gt;"",LEFT(Z120,6)="Endcap"),"CEK Endcap tidak ikut sambung","OK")))))))))</f>
        <v/>
      </c>
      <c r="AB120" s="11" t="n"/>
      <c r="AC120" s="11" t="n"/>
      <c r="AD120" s="11" t="n"/>
      <c r="AE120" s="11" t="n"/>
      <c r="AF120" s="11" t="n"/>
      <c r="AG120" s="11" t="n"/>
      <c r="AH120" s="12">
        <f>IF(AB120="","",IFERROR(INDEX(DAFTAR_FIXTURE!$B$2:$B$51,MATCH(AB120,DAFTAR_FIXTURE!$A$2:$A$51,0)),""))</f>
        <v/>
      </c>
      <c r="AI120" s="12">
        <f>IF(AB120="","",IF(AH120="","CEK ID FIXTURE tidak ada di DAFTAR_FIXTURE",IF(AC120="","CEK ZONA NO kosong",IF(ISNA(MATCH(AH120&amp;"|"&amp;AC120,LAYOUT!$E$2:$E$80,0)),"CEK ZONA NO di luar layout",IF(AD120&lt;&gt;INDEX(LAYOUT!$D$2:$D$80,MATCH(AH120&amp;"|"&amp;AC120,LAYOUT!$E$2:$E$80,0)),"CEK JENIS ZONA",IF($D120="","Zona STOCK",IF($E120="","CEK SKU DESCRIPTION kosong",IF(AND(AE120&lt;&gt;"",AF120=""),"CEK URUTAN SAMBUNG kosong",IF(AND(AE120&lt;&gt;"",LEFT(AH120,6)="Endcap"),"CEK Endcap tidak ikut sambung","OK")))))))))</f>
        <v/>
      </c>
    </row>
    <row r="121">
      <c r="A121" s="10" t="n"/>
      <c r="B121" s="10" t="n"/>
      <c r="C121" s="10" t="n"/>
      <c r="D121" s="10" t="n"/>
      <c r="E121" s="10" t="n"/>
      <c r="F121" s="10" t="n"/>
      <c r="G121" s="10" t="n"/>
      <c r="H121" s="10" t="n"/>
      <c r="I121" s="10" t="n"/>
      <c r="J121" s="10" t="n"/>
      <c r="K121" s="10" t="n"/>
      <c r="L121" s="11" t="n"/>
      <c r="M121" s="11" t="n"/>
      <c r="N121" s="11" t="n"/>
      <c r="O121" s="11" t="n"/>
      <c r="P121" s="11" t="n"/>
      <c r="Q121" s="11" t="n"/>
      <c r="R121" s="12">
        <f>IF(L121="","",IFERROR(INDEX(DAFTAR_FIXTURE!$B$2:$B$51,MATCH(L121,DAFTAR_FIXTURE!$A$2:$A$51,0)),""))</f>
        <v/>
      </c>
      <c r="S121" s="12">
        <f>IF(AND($D121="",L121=""),"",IF(L121="",IF(AND(T121="",AB121=""),"Belum ditempatkan",""),IF(R121="","CEK ID FIXTURE tidak ada di DAFTAR_FIXTURE",IF(M121="","CEK ZONA NO kosong",IF(ISNA(MATCH(R121&amp;"|"&amp;M121,LAYOUT!$E$2:$E$80,0)),"CEK ZONA NO di luar layout",IF(N121&lt;&gt;INDEX(LAYOUT!$D$2:$D$80,MATCH(R121&amp;"|"&amp;M121,LAYOUT!$E$2:$E$80,0)),"CEK JENIS ZONA",IF($D121="","Zona STOCK",IF($E121="","CEK SKU DESCRIPTION kosong",IF(AND(O121&lt;&gt;"",P121=""),"CEK URUTAN SAMBUNG kosong",IF(AND(O121&lt;&gt;"",LEFT(R121,6)="Endcap"),"CEK Endcap tidak ikut sambung","OK"))))))))))</f>
        <v/>
      </c>
      <c r="T121" s="11" t="n"/>
      <c r="U121" s="11" t="n"/>
      <c r="V121" s="11" t="n"/>
      <c r="W121" s="11" t="n"/>
      <c r="X121" s="11" t="n"/>
      <c r="Y121" s="11" t="n"/>
      <c r="Z121" s="12">
        <f>IF(T121="","",IFERROR(INDEX(DAFTAR_FIXTURE!$B$2:$B$51,MATCH(T121,DAFTAR_FIXTURE!$A$2:$A$51,0)),""))</f>
        <v/>
      </c>
      <c r="AA121" s="12">
        <f>IF(T121="","",IF(Z121="","CEK ID FIXTURE tidak ada di DAFTAR_FIXTURE",IF(U121="","CEK ZONA NO kosong",IF(ISNA(MATCH(Z121&amp;"|"&amp;U121,LAYOUT!$E$2:$E$80,0)),"CEK ZONA NO di luar layout",IF(V121&lt;&gt;INDEX(LAYOUT!$D$2:$D$80,MATCH(Z121&amp;"|"&amp;U121,LAYOUT!$E$2:$E$80,0)),"CEK JENIS ZONA",IF($D121="","Zona STOCK",IF($E121="","CEK SKU DESCRIPTION kosong",IF(AND(W121&lt;&gt;"",X121=""),"CEK URUTAN SAMBUNG kosong",IF(AND(W121&lt;&gt;"",LEFT(Z121,6)="Endcap"),"CEK Endcap tidak ikut sambung","OK")))))))))</f>
        <v/>
      </c>
      <c r="AB121" s="11" t="n"/>
      <c r="AC121" s="11" t="n"/>
      <c r="AD121" s="11" t="n"/>
      <c r="AE121" s="11" t="n"/>
      <c r="AF121" s="11" t="n"/>
      <c r="AG121" s="11" t="n"/>
      <c r="AH121" s="12">
        <f>IF(AB121="","",IFERROR(INDEX(DAFTAR_FIXTURE!$B$2:$B$51,MATCH(AB121,DAFTAR_FIXTURE!$A$2:$A$51,0)),""))</f>
        <v/>
      </c>
      <c r="AI121" s="12">
        <f>IF(AB121="","",IF(AH121="","CEK ID FIXTURE tidak ada di DAFTAR_FIXTURE",IF(AC121="","CEK ZONA NO kosong",IF(ISNA(MATCH(AH121&amp;"|"&amp;AC121,LAYOUT!$E$2:$E$80,0)),"CEK ZONA NO di luar layout",IF(AD121&lt;&gt;INDEX(LAYOUT!$D$2:$D$80,MATCH(AH121&amp;"|"&amp;AC121,LAYOUT!$E$2:$E$80,0)),"CEK JENIS ZONA",IF($D121="","Zona STOCK",IF($E121="","CEK SKU DESCRIPTION kosong",IF(AND(AE121&lt;&gt;"",AF121=""),"CEK URUTAN SAMBUNG kosong",IF(AND(AE121&lt;&gt;"",LEFT(AH121,6)="Endcap"),"CEK Endcap tidak ikut sambung","OK")))))))))</f>
        <v/>
      </c>
    </row>
    <row r="122">
      <c r="A122" s="10" t="n"/>
      <c r="B122" s="10" t="n"/>
      <c r="C122" s="10" t="n"/>
      <c r="D122" s="10" t="n"/>
      <c r="E122" s="10" t="n"/>
      <c r="F122" s="10" t="n"/>
      <c r="G122" s="10" t="n"/>
      <c r="H122" s="10" t="n"/>
      <c r="I122" s="10" t="n"/>
      <c r="J122" s="10" t="n"/>
      <c r="K122" s="10" t="n"/>
      <c r="L122" s="11" t="n"/>
      <c r="M122" s="11" t="n"/>
      <c r="N122" s="11" t="n"/>
      <c r="O122" s="11" t="n"/>
      <c r="P122" s="11" t="n"/>
      <c r="Q122" s="11" t="n"/>
      <c r="R122" s="12">
        <f>IF(L122="","",IFERROR(INDEX(DAFTAR_FIXTURE!$B$2:$B$51,MATCH(L122,DAFTAR_FIXTURE!$A$2:$A$51,0)),""))</f>
        <v/>
      </c>
      <c r="S122" s="12">
        <f>IF(AND($D122="",L122=""),"",IF(L122="",IF(AND(T122="",AB122=""),"Belum ditempatkan",""),IF(R122="","CEK ID FIXTURE tidak ada di DAFTAR_FIXTURE",IF(M122="","CEK ZONA NO kosong",IF(ISNA(MATCH(R122&amp;"|"&amp;M122,LAYOUT!$E$2:$E$80,0)),"CEK ZONA NO di luar layout",IF(N122&lt;&gt;INDEX(LAYOUT!$D$2:$D$80,MATCH(R122&amp;"|"&amp;M122,LAYOUT!$E$2:$E$80,0)),"CEK JENIS ZONA",IF($D122="","Zona STOCK",IF($E122="","CEK SKU DESCRIPTION kosong",IF(AND(O122&lt;&gt;"",P122=""),"CEK URUTAN SAMBUNG kosong",IF(AND(O122&lt;&gt;"",LEFT(R122,6)="Endcap"),"CEK Endcap tidak ikut sambung","OK"))))))))))</f>
        <v/>
      </c>
      <c r="T122" s="11" t="n"/>
      <c r="U122" s="11" t="n"/>
      <c r="V122" s="11" t="n"/>
      <c r="W122" s="11" t="n"/>
      <c r="X122" s="11" t="n"/>
      <c r="Y122" s="11" t="n"/>
      <c r="Z122" s="12">
        <f>IF(T122="","",IFERROR(INDEX(DAFTAR_FIXTURE!$B$2:$B$51,MATCH(T122,DAFTAR_FIXTURE!$A$2:$A$51,0)),""))</f>
        <v/>
      </c>
      <c r="AA122" s="12">
        <f>IF(T122="","",IF(Z122="","CEK ID FIXTURE tidak ada di DAFTAR_FIXTURE",IF(U122="","CEK ZONA NO kosong",IF(ISNA(MATCH(Z122&amp;"|"&amp;U122,LAYOUT!$E$2:$E$80,0)),"CEK ZONA NO di luar layout",IF(V122&lt;&gt;INDEX(LAYOUT!$D$2:$D$80,MATCH(Z122&amp;"|"&amp;U122,LAYOUT!$E$2:$E$80,0)),"CEK JENIS ZONA",IF($D122="","Zona STOCK",IF($E122="","CEK SKU DESCRIPTION kosong",IF(AND(W122&lt;&gt;"",X122=""),"CEK URUTAN SAMBUNG kosong",IF(AND(W122&lt;&gt;"",LEFT(Z122,6)="Endcap"),"CEK Endcap tidak ikut sambung","OK")))))))))</f>
        <v/>
      </c>
      <c r="AB122" s="11" t="n"/>
      <c r="AC122" s="11" t="n"/>
      <c r="AD122" s="11" t="n"/>
      <c r="AE122" s="11" t="n"/>
      <c r="AF122" s="11" t="n"/>
      <c r="AG122" s="11" t="n"/>
      <c r="AH122" s="12">
        <f>IF(AB122="","",IFERROR(INDEX(DAFTAR_FIXTURE!$B$2:$B$51,MATCH(AB122,DAFTAR_FIXTURE!$A$2:$A$51,0)),""))</f>
        <v/>
      </c>
      <c r="AI122" s="12">
        <f>IF(AB122="","",IF(AH122="","CEK ID FIXTURE tidak ada di DAFTAR_FIXTURE",IF(AC122="","CEK ZONA NO kosong",IF(ISNA(MATCH(AH122&amp;"|"&amp;AC122,LAYOUT!$E$2:$E$80,0)),"CEK ZONA NO di luar layout",IF(AD122&lt;&gt;INDEX(LAYOUT!$D$2:$D$80,MATCH(AH122&amp;"|"&amp;AC122,LAYOUT!$E$2:$E$80,0)),"CEK JENIS ZONA",IF($D122="","Zona STOCK",IF($E122="","CEK SKU DESCRIPTION kosong",IF(AND(AE122&lt;&gt;"",AF122=""),"CEK URUTAN SAMBUNG kosong",IF(AND(AE122&lt;&gt;"",LEFT(AH122,6)="Endcap"),"CEK Endcap tidak ikut sambung","OK")))))))))</f>
        <v/>
      </c>
    </row>
    <row r="123">
      <c r="A123" s="10" t="n"/>
      <c r="B123" s="10" t="n"/>
      <c r="C123" s="10" t="n"/>
      <c r="D123" s="10" t="n"/>
      <c r="E123" s="10" t="n"/>
      <c r="F123" s="10" t="n"/>
      <c r="G123" s="10" t="n"/>
      <c r="H123" s="10" t="n"/>
      <c r="I123" s="10" t="n"/>
      <c r="J123" s="10" t="n"/>
      <c r="K123" s="10" t="n"/>
      <c r="L123" s="11" t="n"/>
      <c r="M123" s="11" t="n"/>
      <c r="N123" s="11" t="n"/>
      <c r="O123" s="11" t="n"/>
      <c r="P123" s="11" t="n"/>
      <c r="Q123" s="11" t="n"/>
      <c r="R123" s="12">
        <f>IF(L123="","",IFERROR(INDEX(DAFTAR_FIXTURE!$B$2:$B$51,MATCH(L123,DAFTAR_FIXTURE!$A$2:$A$51,0)),""))</f>
        <v/>
      </c>
      <c r="S123" s="12">
        <f>IF(AND($D123="",L123=""),"",IF(L123="",IF(AND(T123="",AB123=""),"Belum ditempatkan",""),IF(R123="","CEK ID FIXTURE tidak ada di DAFTAR_FIXTURE",IF(M123="","CEK ZONA NO kosong",IF(ISNA(MATCH(R123&amp;"|"&amp;M123,LAYOUT!$E$2:$E$80,0)),"CEK ZONA NO di luar layout",IF(N123&lt;&gt;INDEX(LAYOUT!$D$2:$D$80,MATCH(R123&amp;"|"&amp;M123,LAYOUT!$E$2:$E$80,0)),"CEK JENIS ZONA",IF($D123="","Zona STOCK",IF($E123="","CEK SKU DESCRIPTION kosong",IF(AND(O123&lt;&gt;"",P123=""),"CEK URUTAN SAMBUNG kosong",IF(AND(O123&lt;&gt;"",LEFT(R123,6)="Endcap"),"CEK Endcap tidak ikut sambung","OK"))))))))))</f>
        <v/>
      </c>
      <c r="T123" s="11" t="n"/>
      <c r="U123" s="11" t="n"/>
      <c r="V123" s="11" t="n"/>
      <c r="W123" s="11" t="n"/>
      <c r="X123" s="11" t="n"/>
      <c r="Y123" s="11" t="n"/>
      <c r="Z123" s="12">
        <f>IF(T123="","",IFERROR(INDEX(DAFTAR_FIXTURE!$B$2:$B$51,MATCH(T123,DAFTAR_FIXTURE!$A$2:$A$51,0)),""))</f>
        <v/>
      </c>
      <c r="AA123" s="12">
        <f>IF(T123="","",IF(Z123="","CEK ID FIXTURE tidak ada di DAFTAR_FIXTURE",IF(U123="","CEK ZONA NO kosong",IF(ISNA(MATCH(Z123&amp;"|"&amp;U123,LAYOUT!$E$2:$E$80,0)),"CEK ZONA NO di luar layout",IF(V123&lt;&gt;INDEX(LAYOUT!$D$2:$D$80,MATCH(Z123&amp;"|"&amp;U123,LAYOUT!$E$2:$E$80,0)),"CEK JENIS ZONA",IF($D123="","Zona STOCK",IF($E123="","CEK SKU DESCRIPTION kosong",IF(AND(W123&lt;&gt;"",X123=""),"CEK URUTAN SAMBUNG kosong",IF(AND(W123&lt;&gt;"",LEFT(Z123,6)="Endcap"),"CEK Endcap tidak ikut sambung","OK")))))))))</f>
        <v/>
      </c>
      <c r="AB123" s="11" t="n"/>
      <c r="AC123" s="11" t="n"/>
      <c r="AD123" s="11" t="n"/>
      <c r="AE123" s="11" t="n"/>
      <c r="AF123" s="11" t="n"/>
      <c r="AG123" s="11" t="n"/>
      <c r="AH123" s="12">
        <f>IF(AB123="","",IFERROR(INDEX(DAFTAR_FIXTURE!$B$2:$B$51,MATCH(AB123,DAFTAR_FIXTURE!$A$2:$A$51,0)),""))</f>
        <v/>
      </c>
      <c r="AI123" s="12">
        <f>IF(AB123="","",IF(AH123="","CEK ID FIXTURE tidak ada di DAFTAR_FIXTURE",IF(AC123="","CEK ZONA NO kosong",IF(ISNA(MATCH(AH123&amp;"|"&amp;AC123,LAYOUT!$E$2:$E$80,0)),"CEK ZONA NO di luar layout",IF(AD123&lt;&gt;INDEX(LAYOUT!$D$2:$D$80,MATCH(AH123&amp;"|"&amp;AC123,LAYOUT!$E$2:$E$80,0)),"CEK JENIS ZONA",IF($D123="","Zona STOCK",IF($E123="","CEK SKU DESCRIPTION kosong",IF(AND(AE123&lt;&gt;"",AF123=""),"CEK URUTAN SAMBUNG kosong",IF(AND(AE123&lt;&gt;"",LEFT(AH123,6)="Endcap"),"CEK Endcap tidak ikut sambung","OK")))))))))</f>
        <v/>
      </c>
    </row>
    <row r="124">
      <c r="A124" s="10" t="n"/>
      <c r="B124" s="10" t="n"/>
      <c r="C124" s="10" t="n"/>
      <c r="D124" s="10" t="n"/>
      <c r="E124" s="10" t="n"/>
      <c r="F124" s="10" t="n"/>
      <c r="G124" s="10" t="n"/>
      <c r="H124" s="10" t="n"/>
      <c r="I124" s="10" t="n"/>
      <c r="J124" s="10" t="n"/>
      <c r="K124" s="10" t="n"/>
      <c r="L124" s="11" t="n"/>
      <c r="M124" s="11" t="n"/>
      <c r="N124" s="11" t="n"/>
      <c r="O124" s="11" t="n"/>
      <c r="P124" s="11" t="n"/>
      <c r="Q124" s="11" t="n"/>
      <c r="R124" s="12">
        <f>IF(L124="","",IFERROR(INDEX(DAFTAR_FIXTURE!$B$2:$B$51,MATCH(L124,DAFTAR_FIXTURE!$A$2:$A$51,0)),""))</f>
        <v/>
      </c>
      <c r="S124" s="12">
        <f>IF(AND($D124="",L124=""),"",IF(L124="",IF(AND(T124="",AB124=""),"Belum ditempatkan",""),IF(R124="","CEK ID FIXTURE tidak ada di DAFTAR_FIXTURE",IF(M124="","CEK ZONA NO kosong",IF(ISNA(MATCH(R124&amp;"|"&amp;M124,LAYOUT!$E$2:$E$80,0)),"CEK ZONA NO di luar layout",IF(N124&lt;&gt;INDEX(LAYOUT!$D$2:$D$80,MATCH(R124&amp;"|"&amp;M124,LAYOUT!$E$2:$E$80,0)),"CEK JENIS ZONA",IF($D124="","Zona STOCK",IF($E124="","CEK SKU DESCRIPTION kosong",IF(AND(O124&lt;&gt;"",P124=""),"CEK URUTAN SAMBUNG kosong",IF(AND(O124&lt;&gt;"",LEFT(R124,6)="Endcap"),"CEK Endcap tidak ikut sambung","OK"))))))))))</f>
        <v/>
      </c>
      <c r="T124" s="11" t="n"/>
      <c r="U124" s="11" t="n"/>
      <c r="V124" s="11" t="n"/>
      <c r="W124" s="11" t="n"/>
      <c r="X124" s="11" t="n"/>
      <c r="Y124" s="11" t="n"/>
      <c r="Z124" s="12">
        <f>IF(T124="","",IFERROR(INDEX(DAFTAR_FIXTURE!$B$2:$B$51,MATCH(T124,DAFTAR_FIXTURE!$A$2:$A$51,0)),""))</f>
        <v/>
      </c>
      <c r="AA124" s="12">
        <f>IF(T124="","",IF(Z124="","CEK ID FIXTURE tidak ada di DAFTAR_FIXTURE",IF(U124="","CEK ZONA NO kosong",IF(ISNA(MATCH(Z124&amp;"|"&amp;U124,LAYOUT!$E$2:$E$80,0)),"CEK ZONA NO di luar layout",IF(V124&lt;&gt;INDEX(LAYOUT!$D$2:$D$80,MATCH(Z124&amp;"|"&amp;U124,LAYOUT!$E$2:$E$80,0)),"CEK JENIS ZONA",IF($D124="","Zona STOCK",IF($E124="","CEK SKU DESCRIPTION kosong",IF(AND(W124&lt;&gt;"",X124=""),"CEK URUTAN SAMBUNG kosong",IF(AND(W124&lt;&gt;"",LEFT(Z124,6)="Endcap"),"CEK Endcap tidak ikut sambung","OK")))))))))</f>
        <v/>
      </c>
      <c r="AB124" s="11" t="n"/>
      <c r="AC124" s="11" t="n"/>
      <c r="AD124" s="11" t="n"/>
      <c r="AE124" s="11" t="n"/>
      <c r="AF124" s="11" t="n"/>
      <c r="AG124" s="11" t="n"/>
      <c r="AH124" s="12">
        <f>IF(AB124="","",IFERROR(INDEX(DAFTAR_FIXTURE!$B$2:$B$51,MATCH(AB124,DAFTAR_FIXTURE!$A$2:$A$51,0)),""))</f>
        <v/>
      </c>
      <c r="AI124" s="12">
        <f>IF(AB124="","",IF(AH124="","CEK ID FIXTURE tidak ada di DAFTAR_FIXTURE",IF(AC124="","CEK ZONA NO kosong",IF(ISNA(MATCH(AH124&amp;"|"&amp;AC124,LAYOUT!$E$2:$E$80,0)),"CEK ZONA NO di luar layout",IF(AD124&lt;&gt;INDEX(LAYOUT!$D$2:$D$80,MATCH(AH124&amp;"|"&amp;AC124,LAYOUT!$E$2:$E$80,0)),"CEK JENIS ZONA",IF($D124="","Zona STOCK",IF($E124="","CEK SKU DESCRIPTION kosong",IF(AND(AE124&lt;&gt;"",AF124=""),"CEK URUTAN SAMBUNG kosong",IF(AND(AE124&lt;&gt;"",LEFT(AH124,6)="Endcap"),"CEK Endcap tidak ikut sambung","OK")))))))))</f>
        <v/>
      </c>
    </row>
    <row r="125">
      <c r="A125" s="10" t="n"/>
      <c r="B125" s="10" t="n"/>
      <c r="C125" s="10" t="n"/>
      <c r="D125" s="10" t="n"/>
      <c r="E125" s="10" t="n"/>
      <c r="F125" s="10" t="n"/>
      <c r="G125" s="10" t="n"/>
      <c r="H125" s="10" t="n"/>
      <c r="I125" s="10" t="n"/>
      <c r="J125" s="10" t="n"/>
      <c r="K125" s="10" t="n"/>
      <c r="L125" s="11" t="n"/>
      <c r="M125" s="11" t="n"/>
      <c r="N125" s="11" t="n"/>
      <c r="O125" s="11" t="n"/>
      <c r="P125" s="11" t="n"/>
      <c r="Q125" s="11" t="n"/>
      <c r="R125" s="12">
        <f>IF(L125="","",IFERROR(INDEX(DAFTAR_FIXTURE!$B$2:$B$51,MATCH(L125,DAFTAR_FIXTURE!$A$2:$A$51,0)),""))</f>
        <v/>
      </c>
      <c r="S125" s="12">
        <f>IF(AND($D125="",L125=""),"",IF(L125="",IF(AND(T125="",AB125=""),"Belum ditempatkan",""),IF(R125="","CEK ID FIXTURE tidak ada di DAFTAR_FIXTURE",IF(M125="","CEK ZONA NO kosong",IF(ISNA(MATCH(R125&amp;"|"&amp;M125,LAYOUT!$E$2:$E$80,0)),"CEK ZONA NO di luar layout",IF(N125&lt;&gt;INDEX(LAYOUT!$D$2:$D$80,MATCH(R125&amp;"|"&amp;M125,LAYOUT!$E$2:$E$80,0)),"CEK JENIS ZONA",IF($D125="","Zona STOCK",IF($E125="","CEK SKU DESCRIPTION kosong",IF(AND(O125&lt;&gt;"",P125=""),"CEK URUTAN SAMBUNG kosong",IF(AND(O125&lt;&gt;"",LEFT(R125,6)="Endcap"),"CEK Endcap tidak ikut sambung","OK"))))))))))</f>
        <v/>
      </c>
      <c r="T125" s="11" t="n"/>
      <c r="U125" s="11" t="n"/>
      <c r="V125" s="11" t="n"/>
      <c r="W125" s="11" t="n"/>
      <c r="X125" s="11" t="n"/>
      <c r="Y125" s="11" t="n"/>
      <c r="Z125" s="12">
        <f>IF(T125="","",IFERROR(INDEX(DAFTAR_FIXTURE!$B$2:$B$51,MATCH(T125,DAFTAR_FIXTURE!$A$2:$A$51,0)),""))</f>
        <v/>
      </c>
      <c r="AA125" s="12">
        <f>IF(T125="","",IF(Z125="","CEK ID FIXTURE tidak ada di DAFTAR_FIXTURE",IF(U125="","CEK ZONA NO kosong",IF(ISNA(MATCH(Z125&amp;"|"&amp;U125,LAYOUT!$E$2:$E$80,0)),"CEK ZONA NO di luar layout",IF(V125&lt;&gt;INDEX(LAYOUT!$D$2:$D$80,MATCH(Z125&amp;"|"&amp;U125,LAYOUT!$E$2:$E$80,0)),"CEK JENIS ZONA",IF($D125="","Zona STOCK",IF($E125="","CEK SKU DESCRIPTION kosong",IF(AND(W125&lt;&gt;"",X125=""),"CEK URUTAN SAMBUNG kosong",IF(AND(W125&lt;&gt;"",LEFT(Z125,6)="Endcap"),"CEK Endcap tidak ikut sambung","OK")))))))))</f>
        <v/>
      </c>
      <c r="AB125" s="11" t="n"/>
      <c r="AC125" s="11" t="n"/>
      <c r="AD125" s="11" t="n"/>
      <c r="AE125" s="11" t="n"/>
      <c r="AF125" s="11" t="n"/>
      <c r="AG125" s="11" t="n"/>
      <c r="AH125" s="12">
        <f>IF(AB125="","",IFERROR(INDEX(DAFTAR_FIXTURE!$B$2:$B$51,MATCH(AB125,DAFTAR_FIXTURE!$A$2:$A$51,0)),""))</f>
        <v/>
      </c>
      <c r="AI125" s="12">
        <f>IF(AB125="","",IF(AH125="","CEK ID FIXTURE tidak ada di DAFTAR_FIXTURE",IF(AC125="","CEK ZONA NO kosong",IF(ISNA(MATCH(AH125&amp;"|"&amp;AC125,LAYOUT!$E$2:$E$80,0)),"CEK ZONA NO di luar layout",IF(AD125&lt;&gt;INDEX(LAYOUT!$D$2:$D$80,MATCH(AH125&amp;"|"&amp;AC125,LAYOUT!$E$2:$E$80,0)),"CEK JENIS ZONA",IF($D125="","Zona STOCK",IF($E125="","CEK SKU DESCRIPTION kosong",IF(AND(AE125&lt;&gt;"",AF125=""),"CEK URUTAN SAMBUNG kosong",IF(AND(AE125&lt;&gt;"",LEFT(AH125,6)="Endcap"),"CEK Endcap tidak ikut sambung","OK")))))))))</f>
        <v/>
      </c>
    </row>
    <row r="126">
      <c r="A126" s="10" t="n"/>
      <c r="B126" s="10" t="n"/>
      <c r="C126" s="10" t="n"/>
      <c r="D126" s="10" t="n"/>
      <c r="E126" s="10" t="n"/>
      <c r="F126" s="10" t="n"/>
      <c r="G126" s="10" t="n"/>
      <c r="H126" s="10" t="n"/>
      <c r="I126" s="10" t="n"/>
      <c r="J126" s="10" t="n"/>
      <c r="K126" s="10" t="n"/>
      <c r="L126" s="11" t="n"/>
      <c r="M126" s="11" t="n"/>
      <c r="N126" s="11" t="n"/>
      <c r="O126" s="11" t="n"/>
      <c r="P126" s="11" t="n"/>
      <c r="Q126" s="11" t="n"/>
      <c r="R126" s="12">
        <f>IF(L126="","",IFERROR(INDEX(DAFTAR_FIXTURE!$B$2:$B$51,MATCH(L126,DAFTAR_FIXTURE!$A$2:$A$51,0)),""))</f>
        <v/>
      </c>
      <c r="S126" s="12">
        <f>IF(AND($D126="",L126=""),"",IF(L126="",IF(AND(T126="",AB126=""),"Belum ditempatkan",""),IF(R126="","CEK ID FIXTURE tidak ada di DAFTAR_FIXTURE",IF(M126="","CEK ZONA NO kosong",IF(ISNA(MATCH(R126&amp;"|"&amp;M126,LAYOUT!$E$2:$E$80,0)),"CEK ZONA NO di luar layout",IF(N126&lt;&gt;INDEX(LAYOUT!$D$2:$D$80,MATCH(R126&amp;"|"&amp;M126,LAYOUT!$E$2:$E$80,0)),"CEK JENIS ZONA",IF($D126="","Zona STOCK",IF($E126="","CEK SKU DESCRIPTION kosong",IF(AND(O126&lt;&gt;"",P126=""),"CEK URUTAN SAMBUNG kosong",IF(AND(O126&lt;&gt;"",LEFT(R126,6)="Endcap"),"CEK Endcap tidak ikut sambung","OK"))))))))))</f>
        <v/>
      </c>
      <c r="T126" s="11" t="n"/>
      <c r="U126" s="11" t="n"/>
      <c r="V126" s="11" t="n"/>
      <c r="W126" s="11" t="n"/>
      <c r="X126" s="11" t="n"/>
      <c r="Y126" s="11" t="n"/>
      <c r="Z126" s="12">
        <f>IF(T126="","",IFERROR(INDEX(DAFTAR_FIXTURE!$B$2:$B$51,MATCH(T126,DAFTAR_FIXTURE!$A$2:$A$51,0)),""))</f>
        <v/>
      </c>
      <c r="AA126" s="12">
        <f>IF(T126="","",IF(Z126="","CEK ID FIXTURE tidak ada di DAFTAR_FIXTURE",IF(U126="","CEK ZONA NO kosong",IF(ISNA(MATCH(Z126&amp;"|"&amp;U126,LAYOUT!$E$2:$E$80,0)),"CEK ZONA NO di luar layout",IF(V126&lt;&gt;INDEX(LAYOUT!$D$2:$D$80,MATCH(Z126&amp;"|"&amp;U126,LAYOUT!$E$2:$E$80,0)),"CEK JENIS ZONA",IF($D126="","Zona STOCK",IF($E126="","CEK SKU DESCRIPTION kosong",IF(AND(W126&lt;&gt;"",X126=""),"CEK URUTAN SAMBUNG kosong",IF(AND(W126&lt;&gt;"",LEFT(Z126,6)="Endcap"),"CEK Endcap tidak ikut sambung","OK")))))))))</f>
        <v/>
      </c>
      <c r="AB126" s="11" t="n"/>
      <c r="AC126" s="11" t="n"/>
      <c r="AD126" s="11" t="n"/>
      <c r="AE126" s="11" t="n"/>
      <c r="AF126" s="11" t="n"/>
      <c r="AG126" s="11" t="n"/>
      <c r="AH126" s="12">
        <f>IF(AB126="","",IFERROR(INDEX(DAFTAR_FIXTURE!$B$2:$B$51,MATCH(AB126,DAFTAR_FIXTURE!$A$2:$A$51,0)),""))</f>
        <v/>
      </c>
      <c r="AI126" s="12">
        <f>IF(AB126="","",IF(AH126="","CEK ID FIXTURE tidak ada di DAFTAR_FIXTURE",IF(AC126="","CEK ZONA NO kosong",IF(ISNA(MATCH(AH126&amp;"|"&amp;AC126,LAYOUT!$E$2:$E$80,0)),"CEK ZONA NO di luar layout",IF(AD126&lt;&gt;INDEX(LAYOUT!$D$2:$D$80,MATCH(AH126&amp;"|"&amp;AC126,LAYOUT!$E$2:$E$80,0)),"CEK JENIS ZONA",IF($D126="","Zona STOCK",IF($E126="","CEK SKU DESCRIPTION kosong",IF(AND(AE126&lt;&gt;"",AF126=""),"CEK URUTAN SAMBUNG kosong",IF(AND(AE126&lt;&gt;"",LEFT(AH126,6)="Endcap"),"CEK Endcap tidak ikut sambung","OK")))))))))</f>
        <v/>
      </c>
    </row>
    <row r="127">
      <c r="A127" s="10" t="n"/>
      <c r="B127" s="10" t="n"/>
      <c r="C127" s="10" t="n"/>
      <c r="D127" s="10" t="n"/>
      <c r="E127" s="10" t="n"/>
      <c r="F127" s="10" t="n"/>
      <c r="G127" s="10" t="n"/>
      <c r="H127" s="10" t="n"/>
      <c r="I127" s="10" t="n"/>
      <c r="J127" s="10" t="n"/>
      <c r="K127" s="10" t="n"/>
      <c r="L127" s="11" t="n"/>
      <c r="M127" s="11" t="n"/>
      <c r="N127" s="11" t="n"/>
      <c r="O127" s="11" t="n"/>
      <c r="P127" s="11" t="n"/>
      <c r="Q127" s="11" t="n"/>
      <c r="R127" s="12">
        <f>IF(L127="","",IFERROR(INDEX(DAFTAR_FIXTURE!$B$2:$B$51,MATCH(L127,DAFTAR_FIXTURE!$A$2:$A$51,0)),""))</f>
        <v/>
      </c>
      <c r="S127" s="12">
        <f>IF(AND($D127="",L127=""),"",IF(L127="",IF(AND(T127="",AB127=""),"Belum ditempatkan",""),IF(R127="","CEK ID FIXTURE tidak ada di DAFTAR_FIXTURE",IF(M127="","CEK ZONA NO kosong",IF(ISNA(MATCH(R127&amp;"|"&amp;M127,LAYOUT!$E$2:$E$80,0)),"CEK ZONA NO di luar layout",IF(N127&lt;&gt;INDEX(LAYOUT!$D$2:$D$80,MATCH(R127&amp;"|"&amp;M127,LAYOUT!$E$2:$E$80,0)),"CEK JENIS ZONA",IF($D127="","Zona STOCK",IF($E127="","CEK SKU DESCRIPTION kosong",IF(AND(O127&lt;&gt;"",P127=""),"CEK URUTAN SAMBUNG kosong",IF(AND(O127&lt;&gt;"",LEFT(R127,6)="Endcap"),"CEK Endcap tidak ikut sambung","OK"))))))))))</f>
        <v/>
      </c>
      <c r="T127" s="11" t="n"/>
      <c r="U127" s="11" t="n"/>
      <c r="V127" s="11" t="n"/>
      <c r="W127" s="11" t="n"/>
      <c r="X127" s="11" t="n"/>
      <c r="Y127" s="11" t="n"/>
      <c r="Z127" s="12">
        <f>IF(T127="","",IFERROR(INDEX(DAFTAR_FIXTURE!$B$2:$B$51,MATCH(T127,DAFTAR_FIXTURE!$A$2:$A$51,0)),""))</f>
        <v/>
      </c>
      <c r="AA127" s="12">
        <f>IF(T127="","",IF(Z127="","CEK ID FIXTURE tidak ada di DAFTAR_FIXTURE",IF(U127="","CEK ZONA NO kosong",IF(ISNA(MATCH(Z127&amp;"|"&amp;U127,LAYOUT!$E$2:$E$80,0)),"CEK ZONA NO di luar layout",IF(V127&lt;&gt;INDEX(LAYOUT!$D$2:$D$80,MATCH(Z127&amp;"|"&amp;U127,LAYOUT!$E$2:$E$80,0)),"CEK JENIS ZONA",IF($D127="","Zona STOCK",IF($E127="","CEK SKU DESCRIPTION kosong",IF(AND(W127&lt;&gt;"",X127=""),"CEK URUTAN SAMBUNG kosong",IF(AND(W127&lt;&gt;"",LEFT(Z127,6)="Endcap"),"CEK Endcap tidak ikut sambung","OK")))))))))</f>
        <v/>
      </c>
      <c r="AB127" s="11" t="n"/>
      <c r="AC127" s="11" t="n"/>
      <c r="AD127" s="11" t="n"/>
      <c r="AE127" s="11" t="n"/>
      <c r="AF127" s="11" t="n"/>
      <c r="AG127" s="11" t="n"/>
      <c r="AH127" s="12">
        <f>IF(AB127="","",IFERROR(INDEX(DAFTAR_FIXTURE!$B$2:$B$51,MATCH(AB127,DAFTAR_FIXTURE!$A$2:$A$51,0)),""))</f>
        <v/>
      </c>
      <c r="AI127" s="12">
        <f>IF(AB127="","",IF(AH127="","CEK ID FIXTURE tidak ada di DAFTAR_FIXTURE",IF(AC127="","CEK ZONA NO kosong",IF(ISNA(MATCH(AH127&amp;"|"&amp;AC127,LAYOUT!$E$2:$E$80,0)),"CEK ZONA NO di luar layout",IF(AD127&lt;&gt;INDEX(LAYOUT!$D$2:$D$80,MATCH(AH127&amp;"|"&amp;AC127,LAYOUT!$E$2:$E$80,0)),"CEK JENIS ZONA",IF($D127="","Zona STOCK",IF($E127="","CEK SKU DESCRIPTION kosong",IF(AND(AE127&lt;&gt;"",AF127=""),"CEK URUTAN SAMBUNG kosong",IF(AND(AE127&lt;&gt;"",LEFT(AH127,6)="Endcap"),"CEK Endcap tidak ikut sambung","OK")))))))))</f>
        <v/>
      </c>
    </row>
    <row r="128">
      <c r="A128" s="10" t="n"/>
      <c r="B128" s="10" t="n"/>
      <c r="C128" s="10" t="n"/>
      <c r="D128" s="10" t="n"/>
      <c r="E128" s="10" t="n"/>
      <c r="F128" s="10" t="n"/>
      <c r="G128" s="10" t="n"/>
      <c r="H128" s="10" t="n"/>
      <c r="I128" s="10" t="n"/>
      <c r="J128" s="10" t="n"/>
      <c r="K128" s="10" t="n"/>
      <c r="L128" s="11" t="n"/>
      <c r="M128" s="11" t="n"/>
      <c r="N128" s="11" t="n"/>
      <c r="O128" s="11" t="n"/>
      <c r="P128" s="11" t="n"/>
      <c r="Q128" s="11" t="n"/>
      <c r="R128" s="12">
        <f>IF(L128="","",IFERROR(INDEX(DAFTAR_FIXTURE!$B$2:$B$51,MATCH(L128,DAFTAR_FIXTURE!$A$2:$A$51,0)),""))</f>
        <v/>
      </c>
      <c r="S128" s="12">
        <f>IF(AND($D128="",L128=""),"",IF(L128="",IF(AND(T128="",AB128=""),"Belum ditempatkan",""),IF(R128="","CEK ID FIXTURE tidak ada di DAFTAR_FIXTURE",IF(M128="","CEK ZONA NO kosong",IF(ISNA(MATCH(R128&amp;"|"&amp;M128,LAYOUT!$E$2:$E$80,0)),"CEK ZONA NO di luar layout",IF(N128&lt;&gt;INDEX(LAYOUT!$D$2:$D$80,MATCH(R128&amp;"|"&amp;M128,LAYOUT!$E$2:$E$80,0)),"CEK JENIS ZONA",IF($D128="","Zona STOCK",IF($E128="","CEK SKU DESCRIPTION kosong",IF(AND(O128&lt;&gt;"",P128=""),"CEK URUTAN SAMBUNG kosong",IF(AND(O128&lt;&gt;"",LEFT(R128,6)="Endcap"),"CEK Endcap tidak ikut sambung","OK"))))))))))</f>
        <v/>
      </c>
      <c r="T128" s="11" t="n"/>
      <c r="U128" s="11" t="n"/>
      <c r="V128" s="11" t="n"/>
      <c r="W128" s="11" t="n"/>
      <c r="X128" s="11" t="n"/>
      <c r="Y128" s="11" t="n"/>
      <c r="Z128" s="12">
        <f>IF(T128="","",IFERROR(INDEX(DAFTAR_FIXTURE!$B$2:$B$51,MATCH(T128,DAFTAR_FIXTURE!$A$2:$A$51,0)),""))</f>
        <v/>
      </c>
      <c r="AA128" s="12">
        <f>IF(T128="","",IF(Z128="","CEK ID FIXTURE tidak ada di DAFTAR_FIXTURE",IF(U128="","CEK ZONA NO kosong",IF(ISNA(MATCH(Z128&amp;"|"&amp;U128,LAYOUT!$E$2:$E$80,0)),"CEK ZONA NO di luar layout",IF(V128&lt;&gt;INDEX(LAYOUT!$D$2:$D$80,MATCH(Z128&amp;"|"&amp;U128,LAYOUT!$E$2:$E$80,0)),"CEK JENIS ZONA",IF($D128="","Zona STOCK",IF($E128="","CEK SKU DESCRIPTION kosong",IF(AND(W128&lt;&gt;"",X128=""),"CEK URUTAN SAMBUNG kosong",IF(AND(W128&lt;&gt;"",LEFT(Z128,6)="Endcap"),"CEK Endcap tidak ikut sambung","OK")))))))))</f>
        <v/>
      </c>
      <c r="AB128" s="11" t="n"/>
      <c r="AC128" s="11" t="n"/>
      <c r="AD128" s="11" t="n"/>
      <c r="AE128" s="11" t="n"/>
      <c r="AF128" s="11" t="n"/>
      <c r="AG128" s="11" t="n"/>
      <c r="AH128" s="12">
        <f>IF(AB128="","",IFERROR(INDEX(DAFTAR_FIXTURE!$B$2:$B$51,MATCH(AB128,DAFTAR_FIXTURE!$A$2:$A$51,0)),""))</f>
        <v/>
      </c>
      <c r="AI128" s="12">
        <f>IF(AB128="","",IF(AH128="","CEK ID FIXTURE tidak ada di DAFTAR_FIXTURE",IF(AC128="","CEK ZONA NO kosong",IF(ISNA(MATCH(AH128&amp;"|"&amp;AC128,LAYOUT!$E$2:$E$80,0)),"CEK ZONA NO di luar layout",IF(AD128&lt;&gt;INDEX(LAYOUT!$D$2:$D$80,MATCH(AH128&amp;"|"&amp;AC128,LAYOUT!$E$2:$E$80,0)),"CEK JENIS ZONA",IF($D128="","Zona STOCK",IF($E128="","CEK SKU DESCRIPTION kosong",IF(AND(AE128&lt;&gt;"",AF128=""),"CEK URUTAN SAMBUNG kosong",IF(AND(AE128&lt;&gt;"",LEFT(AH128,6)="Endcap"),"CEK Endcap tidak ikut sambung","OK")))))))))</f>
        <v/>
      </c>
    </row>
    <row r="129">
      <c r="A129" s="10" t="n"/>
      <c r="B129" s="10" t="n"/>
      <c r="C129" s="10" t="n"/>
      <c r="D129" s="10" t="n"/>
      <c r="E129" s="10" t="n"/>
      <c r="F129" s="10" t="n"/>
      <c r="G129" s="10" t="n"/>
      <c r="H129" s="10" t="n"/>
      <c r="I129" s="10" t="n"/>
      <c r="J129" s="10" t="n"/>
      <c r="K129" s="10" t="n"/>
      <c r="L129" s="11" t="n"/>
      <c r="M129" s="11" t="n"/>
      <c r="N129" s="11" t="n"/>
      <c r="O129" s="11" t="n"/>
      <c r="P129" s="11" t="n"/>
      <c r="Q129" s="11" t="n"/>
      <c r="R129" s="12">
        <f>IF(L129="","",IFERROR(INDEX(DAFTAR_FIXTURE!$B$2:$B$51,MATCH(L129,DAFTAR_FIXTURE!$A$2:$A$51,0)),""))</f>
        <v/>
      </c>
      <c r="S129" s="12">
        <f>IF(AND($D129="",L129=""),"",IF(L129="",IF(AND(T129="",AB129=""),"Belum ditempatkan",""),IF(R129="","CEK ID FIXTURE tidak ada di DAFTAR_FIXTURE",IF(M129="","CEK ZONA NO kosong",IF(ISNA(MATCH(R129&amp;"|"&amp;M129,LAYOUT!$E$2:$E$80,0)),"CEK ZONA NO di luar layout",IF(N129&lt;&gt;INDEX(LAYOUT!$D$2:$D$80,MATCH(R129&amp;"|"&amp;M129,LAYOUT!$E$2:$E$80,0)),"CEK JENIS ZONA",IF($D129="","Zona STOCK",IF($E129="","CEK SKU DESCRIPTION kosong",IF(AND(O129&lt;&gt;"",P129=""),"CEK URUTAN SAMBUNG kosong",IF(AND(O129&lt;&gt;"",LEFT(R129,6)="Endcap"),"CEK Endcap tidak ikut sambung","OK"))))))))))</f>
        <v/>
      </c>
      <c r="T129" s="11" t="n"/>
      <c r="U129" s="11" t="n"/>
      <c r="V129" s="11" t="n"/>
      <c r="W129" s="11" t="n"/>
      <c r="X129" s="11" t="n"/>
      <c r="Y129" s="11" t="n"/>
      <c r="Z129" s="12">
        <f>IF(T129="","",IFERROR(INDEX(DAFTAR_FIXTURE!$B$2:$B$51,MATCH(T129,DAFTAR_FIXTURE!$A$2:$A$51,0)),""))</f>
        <v/>
      </c>
      <c r="AA129" s="12">
        <f>IF(T129="","",IF(Z129="","CEK ID FIXTURE tidak ada di DAFTAR_FIXTURE",IF(U129="","CEK ZONA NO kosong",IF(ISNA(MATCH(Z129&amp;"|"&amp;U129,LAYOUT!$E$2:$E$80,0)),"CEK ZONA NO di luar layout",IF(V129&lt;&gt;INDEX(LAYOUT!$D$2:$D$80,MATCH(Z129&amp;"|"&amp;U129,LAYOUT!$E$2:$E$80,0)),"CEK JENIS ZONA",IF($D129="","Zona STOCK",IF($E129="","CEK SKU DESCRIPTION kosong",IF(AND(W129&lt;&gt;"",X129=""),"CEK URUTAN SAMBUNG kosong",IF(AND(W129&lt;&gt;"",LEFT(Z129,6)="Endcap"),"CEK Endcap tidak ikut sambung","OK")))))))))</f>
        <v/>
      </c>
      <c r="AB129" s="11" t="n"/>
      <c r="AC129" s="11" t="n"/>
      <c r="AD129" s="11" t="n"/>
      <c r="AE129" s="11" t="n"/>
      <c r="AF129" s="11" t="n"/>
      <c r="AG129" s="11" t="n"/>
      <c r="AH129" s="12">
        <f>IF(AB129="","",IFERROR(INDEX(DAFTAR_FIXTURE!$B$2:$B$51,MATCH(AB129,DAFTAR_FIXTURE!$A$2:$A$51,0)),""))</f>
        <v/>
      </c>
      <c r="AI129" s="12">
        <f>IF(AB129="","",IF(AH129="","CEK ID FIXTURE tidak ada di DAFTAR_FIXTURE",IF(AC129="","CEK ZONA NO kosong",IF(ISNA(MATCH(AH129&amp;"|"&amp;AC129,LAYOUT!$E$2:$E$80,0)),"CEK ZONA NO di luar layout",IF(AD129&lt;&gt;INDEX(LAYOUT!$D$2:$D$80,MATCH(AH129&amp;"|"&amp;AC129,LAYOUT!$E$2:$E$80,0)),"CEK JENIS ZONA",IF($D129="","Zona STOCK",IF($E129="","CEK SKU DESCRIPTION kosong",IF(AND(AE129&lt;&gt;"",AF129=""),"CEK URUTAN SAMBUNG kosong",IF(AND(AE129&lt;&gt;"",LEFT(AH129,6)="Endcap"),"CEK Endcap tidak ikut sambung","OK")))))))))</f>
        <v/>
      </c>
    </row>
    <row r="130">
      <c r="A130" s="10" t="n"/>
      <c r="B130" s="10" t="n"/>
      <c r="C130" s="10" t="n"/>
      <c r="D130" s="10" t="n"/>
      <c r="E130" s="10" t="n"/>
      <c r="F130" s="10" t="n"/>
      <c r="G130" s="10" t="n"/>
      <c r="H130" s="10" t="n"/>
      <c r="I130" s="10" t="n"/>
      <c r="J130" s="10" t="n"/>
      <c r="K130" s="10" t="n"/>
      <c r="L130" s="11" t="n"/>
      <c r="M130" s="11" t="n"/>
      <c r="N130" s="11" t="n"/>
      <c r="O130" s="11" t="n"/>
      <c r="P130" s="11" t="n"/>
      <c r="Q130" s="11" t="n"/>
      <c r="R130" s="12">
        <f>IF(L130="","",IFERROR(INDEX(DAFTAR_FIXTURE!$B$2:$B$51,MATCH(L130,DAFTAR_FIXTURE!$A$2:$A$51,0)),""))</f>
        <v/>
      </c>
      <c r="S130" s="12">
        <f>IF(AND($D130="",L130=""),"",IF(L130="",IF(AND(T130="",AB130=""),"Belum ditempatkan",""),IF(R130="","CEK ID FIXTURE tidak ada di DAFTAR_FIXTURE",IF(M130="","CEK ZONA NO kosong",IF(ISNA(MATCH(R130&amp;"|"&amp;M130,LAYOUT!$E$2:$E$80,0)),"CEK ZONA NO di luar layout",IF(N130&lt;&gt;INDEX(LAYOUT!$D$2:$D$80,MATCH(R130&amp;"|"&amp;M130,LAYOUT!$E$2:$E$80,0)),"CEK JENIS ZONA",IF($D130="","Zona STOCK",IF($E130="","CEK SKU DESCRIPTION kosong",IF(AND(O130&lt;&gt;"",P130=""),"CEK URUTAN SAMBUNG kosong",IF(AND(O130&lt;&gt;"",LEFT(R130,6)="Endcap"),"CEK Endcap tidak ikut sambung","OK"))))))))))</f>
        <v/>
      </c>
      <c r="T130" s="11" t="n"/>
      <c r="U130" s="11" t="n"/>
      <c r="V130" s="11" t="n"/>
      <c r="W130" s="11" t="n"/>
      <c r="X130" s="11" t="n"/>
      <c r="Y130" s="11" t="n"/>
      <c r="Z130" s="12">
        <f>IF(T130="","",IFERROR(INDEX(DAFTAR_FIXTURE!$B$2:$B$51,MATCH(T130,DAFTAR_FIXTURE!$A$2:$A$51,0)),""))</f>
        <v/>
      </c>
      <c r="AA130" s="12">
        <f>IF(T130="","",IF(Z130="","CEK ID FIXTURE tidak ada di DAFTAR_FIXTURE",IF(U130="","CEK ZONA NO kosong",IF(ISNA(MATCH(Z130&amp;"|"&amp;U130,LAYOUT!$E$2:$E$80,0)),"CEK ZONA NO di luar layout",IF(V130&lt;&gt;INDEX(LAYOUT!$D$2:$D$80,MATCH(Z130&amp;"|"&amp;U130,LAYOUT!$E$2:$E$80,0)),"CEK JENIS ZONA",IF($D130="","Zona STOCK",IF($E130="","CEK SKU DESCRIPTION kosong",IF(AND(W130&lt;&gt;"",X130=""),"CEK URUTAN SAMBUNG kosong",IF(AND(W130&lt;&gt;"",LEFT(Z130,6)="Endcap"),"CEK Endcap tidak ikut sambung","OK")))))))))</f>
        <v/>
      </c>
      <c r="AB130" s="11" t="n"/>
      <c r="AC130" s="11" t="n"/>
      <c r="AD130" s="11" t="n"/>
      <c r="AE130" s="11" t="n"/>
      <c r="AF130" s="11" t="n"/>
      <c r="AG130" s="11" t="n"/>
      <c r="AH130" s="12">
        <f>IF(AB130="","",IFERROR(INDEX(DAFTAR_FIXTURE!$B$2:$B$51,MATCH(AB130,DAFTAR_FIXTURE!$A$2:$A$51,0)),""))</f>
        <v/>
      </c>
      <c r="AI130" s="12">
        <f>IF(AB130="","",IF(AH130="","CEK ID FIXTURE tidak ada di DAFTAR_FIXTURE",IF(AC130="","CEK ZONA NO kosong",IF(ISNA(MATCH(AH130&amp;"|"&amp;AC130,LAYOUT!$E$2:$E$80,0)),"CEK ZONA NO di luar layout",IF(AD130&lt;&gt;INDEX(LAYOUT!$D$2:$D$80,MATCH(AH130&amp;"|"&amp;AC130,LAYOUT!$E$2:$E$80,0)),"CEK JENIS ZONA",IF($D130="","Zona STOCK",IF($E130="","CEK SKU DESCRIPTION kosong",IF(AND(AE130&lt;&gt;"",AF130=""),"CEK URUTAN SAMBUNG kosong",IF(AND(AE130&lt;&gt;"",LEFT(AH130,6)="Endcap"),"CEK Endcap tidak ikut sambung","OK")))))))))</f>
        <v/>
      </c>
    </row>
    <row r="131">
      <c r="A131" s="10" t="n"/>
      <c r="B131" s="10" t="n"/>
      <c r="C131" s="10" t="n"/>
      <c r="D131" s="10" t="n"/>
      <c r="E131" s="10" t="n"/>
      <c r="F131" s="10" t="n"/>
      <c r="G131" s="10" t="n"/>
      <c r="H131" s="10" t="n"/>
      <c r="I131" s="10" t="n"/>
      <c r="J131" s="10" t="n"/>
      <c r="K131" s="10" t="n"/>
      <c r="L131" s="11" t="n"/>
      <c r="M131" s="11" t="n"/>
      <c r="N131" s="11" t="n"/>
      <c r="O131" s="11" t="n"/>
      <c r="P131" s="11" t="n"/>
      <c r="Q131" s="11" t="n"/>
      <c r="R131" s="12">
        <f>IF(L131="","",IFERROR(INDEX(DAFTAR_FIXTURE!$B$2:$B$51,MATCH(L131,DAFTAR_FIXTURE!$A$2:$A$51,0)),""))</f>
        <v/>
      </c>
      <c r="S131" s="12">
        <f>IF(AND($D131="",L131=""),"",IF(L131="",IF(AND(T131="",AB131=""),"Belum ditempatkan",""),IF(R131="","CEK ID FIXTURE tidak ada di DAFTAR_FIXTURE",IF(M131="","CEK ZONA NO kosong",IF(ISNA(MATCH(R131&amp;"|"&amp;M131,LAYOUT!$E$2:$E$80,0)),"CEK ZONA NO di luar layout",IF(N131&lt;&gt;INDEX(LAYOUT!$D$2:$D$80,MATCH(R131&amp;"|"&amp;M131,LAYOUT!$E$2:$E$80,0)),"CEK JENIS ZONA",IF($D131="","Zona STOCK",IF($E131="","CEK SKU DESCRIPTION kosong",IF(AND(O131&lt;&gt;"",P131=""),"CEK URUTAN SAMBUNG kosong",IF(AND(O131&lt;&gt;"",LEFT(R131,6)="Endcap"),"CEK Endcap tidak ikut sambung","OK"))))))))))</f>
        <v/>
      </c>
      <c r="T131" s="11" t="n"/>
      <c r="U131" s="11" t="n"/>
      <c r="V131" s="11" t="n"/>
      <c r="W131" s="11" t="n"/>
      <c r="X131" s="11" t="n"/>
      <c r="Y131" s="11" t="n"/>
      <c r="Z131" s="12">
        <f>IF(T131="","",IFERROR(INDEX(DAFTAR_FIXTURE!$B$2:$B$51,MATCH(T131,DAFTAR_FIXTURE!$A$2:$A$51,0)),""))</f>
        <v/>
      </c>
      <c r="AA131" s="12">
        <f>IF(T131="","",IF(Z131="","CEK ID FIXTURE tidak ada di DAFTAR_FIXTURE",IF(U131="","CEK ZONA NO kosong",IF(ISNA(MATCH(Z131&amp;"|"&amp;U131,LAYOUT!$E$2:$E$80,0)),"CEK ZONA NO di luar layout",IF(V131&lt;&gt;INDEX(LAYOUT!$D$2:$D$80,MATCH(Z131&amp;"|"&amp;U131,LAYOUT!$E$2:$E$80,0)),"CEK JENIS ZONA",IF($D131="","Zona STOCK",IF($E131="","CEK SKU DESCRIPTION kosong",IF(AND(W131&lt;&gt;"",X131=""),"CEK URUTAN SAMBUNG kosong",IF(AND(W131&lt;&gt;"",LEFT(Z131,6)="Endcap"),"CEK Endcap tidak ikut sambung","OK")))))))))</f>
        <v/>
      </c>
      <c r="AB131" s="11" t="n"/>
      <c r="AC131" s="11" t="n"/>
      <c r="AD131" s="11" t="n"/>
      <c r="AE131" s="11" t="n"/>
      <c r="AF131" s="11" t="n"/>
      <c r="AG131" s="11" t="n"/>
      <c r="AH131" s="12">
        <f>IF(AB131="","",IFERROR(INDEX(DAFTAR_FIXTURE!$B$2:$B$51,MATCH(AB131,DAFTAR_FIXTURE!$A$2:$A$51,0)),""))</f>
        <v/>
      </c>
      <c r="AI131" s="12">
        <f>IF(AB131="","",IF(AH131="","CEK ID FIXTURE tidak ada di DAFTAR_FIXTURE",IF(AC131="","CEK ZONA NO kosong",IF(ISNA(MATCH(AH131&amp;"|"&amp;AC131,LAYOUT!$E$2:$E$80,0)),"CEK ZONA NO di luar layout",IF(AD131&lt;&gt;INDEX(LAYOUT!$D$2:$D$80,MATCH(AH131&amp;"|"&amp;AC131,LAYOUT!$E$2:$E$80,0)),"CEK JENIS ZONA",IF($D131="","Zona STOCK",IF($E131="","CEK SKU DESCRIPTION kosong",IF(AND(AE131&lt;&gt;"",AF131=""),"CEK URUTAN SAMBUNG kosong",IF(AND(AE131&lt;&gt;"",LEFT(AH131,6)="Endcap"),"CEK Endcap tidak ikut sambung","OK")))))))))</f>
        <v/>
      </c>
    </row>
    <row r="132">
      <c r="A132" s="10" t="n"/>
      <c r="B132" s="10" t="n"/>
      <c r="C132" s="10" t="n"/>
      <c r="D132" s="10" t="n"/>
      <c r="E132" s="10" t="n"/>
      <c r="F132" s="10" t="n"/>
      <c r="G132" s="10" t="n"/>
      <c r="H132" s="10" t="n"/>
      <c r="I132" s="10" t="n"/>
      <c r="J132" s="10" t="n"/>
      <c r="K132" s="10" t="n"/>
      <c r="L132" s="11" t="n"/>
      <c r="M132" s="11" t="n"/>
      <c r="N132" s="11" t="n"/>
      <c r="O132" s="11" t="n"/>
      <c r="P132" s="11" t="n"/>
      <c r="Q132" s="11" t="n"/>
      <c r="R132" s="12">
        <f>IF(L132="","",IFERROR(INDEX(DAFTAR_FIXTURE!$B$2:$B$51,MATCH(L132,DAFTAR_FIXTURE!$A$2:$A$51,0)),""))</f>
        <v/>
      </c>
      <c r="S132" s="12">
        <f>IF(AND($D132="",L132=""),"",IF(L132="",IF(AND(T132="",AB132=""),"Belum ditempatkan",""),IF(R132="","CEK ID FIXTURE tidak ada di DAFTAR_FIXTURE",IF(M132="","CEK ZONA NO kosong",IF(ISNA(MATCH(R132&amp;"|"&amp;M132,LAYOUT!$E$2:$E$80,0)),"CEK ZONA NO di luar layout",IF(N132&lt;&gt;INDEX(LAYOUT!$D$2:$D$80,MATCH(R132&amp;"|"&amp;M132,LAYOUT!$E$2:$E$80,0)),"CEK JENIS ZONA",IF($D132="","Zona STOCK",IF($E132="","CEK SKU DESCRIPTION kosong",IF(AND(O132&lt;&gt;"",P132=""),"CEK URUTAN SAMBUNG kosong",IF(AND(O132&lt;&gt;"",LEFT(R132,6)="Endcap"),"CEK Endcap tidak ikut sambung","OK"))))))))))</f>
        <v/>
      </c>
      <c r="T132" s="11" t="n"/>
      <c r="U132" s="11" t="n"/>
      <c r="V132" s="11" t="n"/>
      <c r="W132" s="11" t="n"/>
      <c r="X132" s="11" t="n"/>
      <c r="Y132" s="11" t="n"/>
      <c r="Z132" s="12">
        <f>IF(T132="","",IFERROR(INDEX(DAFTAR_FIXTURE!$B$2:$B$51,MATCH(T132,DAFTAR_FIXTURE!$A$2:$A$51,0)),""))</f>
        <v/>
      </c>
      <c r="AA132" s="12">
        <f>IF(T132="","",IF(Z132="","CEK ID FIXTURE tidak ada di DAFTAR_FIXTURE",IF(U132="","CEK ZONA NO kosong",IF(ISNA(MATCH(Z132&amp;"|"&amp;U132,LAYOUT!$E$2:$E$80,0)),"CEK ZONA NO di luar layout",IF(V132&lt;&gt;INDEX(LAYOUT!$D$2:$D$80,MATCH(Z132&amp;"|"&amp;U132,LAYOUT!$E$2:$E$80,0)),"CEK JENIS ZONA",IF($D132="","Zona STOCK",IF($E132="","CEK SKU DESCRIPTION kosong",IF(AND(W132&lt;&gt;"",X132=""),"CEK URUTAN SAMBUNG kosong",IF(AND(W132&lt;&gt;"",LEFT(Z132,6)="Endcap"),"CEK Endcap tidak ikut sambung","OK")))))))))</f>
        <v/>
      </c>
      <c r="AB132" s="11" t="n"/>
      <c r="AC132" s="11" t="n"/>
      <c r="AD132" s="11" t="n"/>
      <c r="AE132" s="11" t="n"/>
      <c r="AF132" s="11" t="n"/>
      <c r="AG132" s="11" t="n"/>
      <c r="AH132" s="12">
        <f>IF(AB132="","",IFERROR(INDEX(DAFTAR_FIXTURE!$B$2:$B$51,MATCH(AB132,DAFTAR_FIXTURE!$A$2:$A$51,0)),""))</f>
        <v/>
      </c>
      <c r="AI132" s="12">
        <f>IF(AB132="","",IF(AH132="","CEK ID FIXTURE tidak ada di DAFTAR_FIXTURE",IF(AC132="","CEK ZONA NO kosong",IF(ISNA(MATCH(AH132&amp;"|"&amp;AC132,LAYOUT!$E$2:$E$80,0)),"CEK ZONA NO di luar layout",IF(AD132&lt;&gt;INDEX(LAYOUT!$D$2:$D$80,MATCH(AH132&amp;"|"&amp;AC132,LAYOUT!$E$2:$E$80,0)),"CEK JENIS ZONA",IF($D132="","Zona STOCK",IF($E132="","CEK SKU DESCRIPTION kosong",IF(AND(AE132&lt;&gt;"",AF132=""),"CEK URUTAN SAMBUNG kosong",IF(AND(AE132&lt;&gt;"",LEFT(AH132,6)="Endcap"),"CEK Endcap tidak ikut sambung","OK")))))))))</f>
        <v/>
      </c>
    </row>
    <row r="133">
      <c r="A133" s="10" t="n"/>
      <c r="B133" s="10" t="n"/>
      <c r="C133" s="10" t="n"/>
      <c r="D133" s="10" t="n"/>
      <c r="E133" s="10" t="n"/>
      <c r="F133" s="10" t="n"/>
      <c r="G133" s="10" t="n"/>
      <c r="H133" s="10" t="n"/>
      <c r="I133" s="10" t="n"/>
      <c r="J133" s="10" t="n"/>
      <c r="K133" s="10" t="n"/>
      <c r="L133" s="11" t="n"/>
      <c r="M133" s="11" t="n"/>
      <c r="N133" s="11" t="n"/>
      <c r="O133" s="11" t="n"/>
      <c r="P133" s="11" t="n"/>
      <c r="Q133" s="11" t="n"/>
      <c r="R133" s="12">
        <f>IF(L133="","",IFERROR(INDEX(DAFTAR_FIXTURE!$B$2:$B$51,MATCH(L133,DAFTAR_FIXTURE!$A$2:$A$51,0)),""))</f>
        <v/>
      </c>
      <c r="S133" s="12">
        <f>IF(AND($D133="",L133=""),"",IF(L133="",IF(AND(T133="",AB133=""),"Belum ditempatkan",""),IF(R133="","CEK ID FIXTURE tidak ada di DAFTAR_FIXTURE",IF(M133="","CEK ZONA NO kosong",IF(ISNA(MATCH(R133&amp;"|"&amp;M133,LAYOUT!$E$2:$E$80,0)),"CEK ZONA NO di luar layout",IF(N133&lt;&gt;INDEX(LAYOUT!$D$2:$D$80,MATCH(R133&amp;"|"&amp;M133,LAYOUT!$E$2:$E$80,0)),"CEK JENIS ZONA",IF($D133="","Zona STOCK",IF($E133="","CEK SKU DESCRIPTION kosong",IF(AND(O133&lt;&gt;"",P133=""),"CEK URUTAN SAMBUNG kosong",IF(AND(O133&lt;&gt;"",LEFT(R133,6)="Endcap"),"CEK Endcap tidak ikut sambung","OK"))))))))))</f>
        <v/>
      </c>
      <c r="T133" s="11" t="n"/>
      <c r="U133" s="11" t="n"/>
      <c r="V133" s="11" t="n"/>
      <c r="W133" s="11" t="n"/>
      <c r="X133" s="11" t="n"/>
      <c r="Y133" s="11" t="n"/>
      <c r="Z133" s="12">
        <f>IF(T133="","",IFERROR(INDEX(DAFTAR_FIXTURE!$B$2:$B$51,MATCH(T133,DAFTAR_FIXTURE!$A$2:$A$51,0)),""))</f>
        <v/>
      </c>
      <c r="AA133" s="12">
        <f>IF(T133="","",IF(Z133="","CEK ID FIXTURE tidak ada di DAFTAR_FIXTURE",IF(U133="","CEK ZONA NO kosong",IF(ISNA(MATCH(Z133&amp;"|"&amp;U133,LAYOUT!$E$2:$E$80,0)),"CEK ZONA NO di luar layout",IF(V133&lt;&gt;INDEX(LAYOUT!$D$2:$D$80,MATCH(Z133&amp;"|"&amp;U133,LAYOUT!$E$2:$E$80,0)),"CEK JENIS ZONA",IF($D133="","Zona STOCK",IF($E133="","CEK SKU DESCRIPTION kosong",IF(AND(W133&lt;&gt;"",X133=""),"CEK URUTAN SAMBUNG kosong",IF(AND(W133&lt;&gt;"",LEFT(Z133,6)="Endcap"),"CEK Endcap tidak ikut sambung","OK")))))))))</f>
        <v/>
      </c>
      <c r="AB133" s="11" t="n"/>
      <c r="AC133" s="11" t="n"/>
      <c r="AD133" s="11" t="n"/>
      <c r="AE133" s="11" t="n"/>
      <c r="AF133" s="11" t="n"/>
      <c r="AG133" s="11" t="n"/>
      <c r="AH133" s="12">
        <f>IF(AB133="","",IFERROR(INDEX(DAFTAR_FIXTURE!$B$2:$B$51,MATCH(AB133,DAFTAR_FIXTURE!$A$2:$A$51,0)),""))</f>
        <v/>
      </c>
      <c r="AI133" s="12">
        <f>IF(AB133="","",IF(AH133="","CEK ID FIXTURE tidak ada di DAFTAR_FIXTURE",IF(AC133="","CEK ZONA NO kosong",IF(ISNA(MATCH(AH133&amp;"|"&amp;AC133,LAYOUT!$E$2:$E$80,0)),"CEK ZONA NO di luar layout",IF(AD133&lt;&gt;INDEX(LAYOUT!$D$2:$D$80,MATCH(AH133&amp;"|"&amp;AC133,LAYOUT!$E$2:$E$80,0)),"CEK JENIS ZONA",IF($D133="","Zona STOCK",IF($E133="","CEK SKU DESCRIPTION kosong",IF(AND(AE133&lt;&gt;"",AF133=""),"CEK URUTAN SAMBUNG kosong",IF(AND(AE133&lt;&gt;"",LEFT(AH133,6)="Endcap"),"CEK Endcap tidak ikut sambung","OK")))))))))</f>
        <v/>
      </c>
    </row>
    <row r="134">
      <c r="A134" s="10" t="n"/>
      <c r="B134" s="10" t="n"/>
      <c r="C134" s="10" t="n"/>
      <c r="D134" s="10" t="n"/>
      <c r="E134" s="10" t="n"/>
      <c r="F134" s="10" t="n"/>
      <c r="G134" s="10" t="n"/>
      <c r="H134" s="10" t="n"/>
      <c r="I134" s="10" t="n"/>
      <c r="J134" s="10" t="n"/>
      <c r="K134" s="10" t="n"/>
      <c r="L134" s="11" t="n"/>
      <c r="M134" s="11" t="n"/>
      <c r="N134" s="11" t="n"/>
      <c r="O134" s="11" t="n"/>
      <c r="P134" s="11" t="n"/>
      <c r="Q134" s="11" t="n"/>
      <c r="R134" s="12">
        <f>IF(L134="","",IFERROR(INDEX(DAFTAR_FIXTURE!$B$2:$B$51,MATCH(L134,DAFTAR_FIXTURE!$A$2:$A$51,0)),""))</f>
        <v/>
      </c>
      <c r="S134" s="12">
        <f>IF(AND($D134="",L134=""),"",IF(L134="",IF(AND(T134="",AB134=""),"Belum ditempatkan",""),IF(R134="","CEK ID FIXTURE tidak ada di DAFTAR_FIXTURE",IF(M134="","CEK ZONA NO kosong",IF(ISNA(MATCH(R134&amp;"|"&amp;M134,LAYOUT!$E$2:$E$80,0)),"CEK ZONA NO di luar layout",IF(N134&lt;&gt;INDEX(LAYOUT!$D$2:$D$80,MATCH(R134&amp;"|"&amp;M134,LAYOUT!$E$2:$E$80,0)),"CEK JENIS ZONA",IF($D134="","Zona STOCK",IF($E134="","CEK SKU DESCRIPTION kosong",IF(AND(O134&lt;&gt;"",P134=""),"CEK URUTAN SAMBUNG kosong",IF(AND(O134&lt;&gt;"",LEFT(R134,6)="Endcap"),"CEK Endcap tidak ikut sambung","OK"))))))))))</f>
        <v/>
      </c>
      <c r="T134" s="11" t="n"/>
      <c r="U134" s="11" t="n"/>
      <c r="V134" s="11" t="n"/>
      <c r="W134" s="11" t="n"/>
      <c r="X134" s="11" t="n"/>
      <c r="Y134" s="11" t="n"/>
      <c r="Z134" s="12">
        <f>IF(T134="","",IFERROR(INDEX(DAFTAR_FIXTURE!$B$2:$B$51,MATCH(T134,DAFTAR_FIXTURE!$A$2:$A$51,0)),""))</f>
        <v/>
      </c>
      <c r="AA134" s="12">
        <f>IF(T134="","",IF(Z134="","CEK ID FIXTURE tidak ada di DAFTAR_FIXTURE",IF(U134="","CEK ZONA NO kosong",IF(ISNA(MATCH(Z134&amp;"|"&amp;U134,LAYOUT!$E$2:$E$80,0)),"CEK ZONA NO di luar layout",IF(V134&lt;&gt;INDEX(LAYOUT!$D$2:$D$80,MATCH(Z134&amp;"|"&amp;U134,LAYOUT!$E$2:$E$80,0)),"CEK JENIS ZONA",IF($D134="","Zona STOCK",IF($E134="","CEK SKU DESCRIPTION kosong",IF(AND(W134&lt;&gt;"",X134=""),"CEK URUTAN SAMBUNG kosong",IF(AND(W134&lt;&gt;"",LEFT(Z134,6)="Endcap"),"CEK Endcap tidak ikut sambung","OK")))))))))</f>
        <v/>
      </c>
      <c r="AB134" s="11" t="n"/>
      <c r="AC134" s="11" t="n"/>
      <c r="AD134" s="11" t="n"/>
      <c r="AE134" s="11" t="n"/>
      <c r="AF134" s="11" t="n"/>
      <c r="AG134" s="11" t="n"/>
      <c r="AH134" s="12">
        <f>IF(AB134="","",IFERROR(INDEX(DAFTAR_FIXTURE!$B$2:$B$51,MATCH(AB134,DAFTAR_FIXTURE!$A$2:$A$51,0)),""))</f>
        <v/>
      </c>
      <c r="AI134" s="12">
        <f>IF(AB134="","",IF(AH134="","CEK ID FIXTURE tidak ada di DAFTAR_FIXTURE",IF(AC134="","CEK ZONA NO kosong",IF(ISNA(MATCH(AH134&amp;"|"&amp;AC134,LAYOUT!$E$2:$E$80,0)),"CEK ZONA NO di luar layout",IF(AD134&lt;&gt;INDEX(LAYOUT!$D$2:$D$80,MATCH(AH134&amp;"|"&amp;AC134,LAYOUT!$E$2:$E$80,0)),"CEK JENIS ZONA",IF($D134="","Zona STOCK",IF($E134="","CEK SKU DESCRIPTION kosong",IF(AND(AE134&lt;&gt;"",AF134=""),"CEK URUTAN SAMBUNG kosong",IF(AND(AE134&lt;&gt;"",LEFT(AH134,6)="Endcap"),"CEK Endcap tidak ikut sambung","OK")))))))))</f>
        <v/>
      </c>
    </row>
    <row r="135">
      <c r="A135" s="10" t="n"/>
      <c r="B135" s="10" t="n"/>
      <c r="C135" s="10" t="n"/>
      <c r="D135" s="10" t="n"/>
      <c r="E135" s="10" t="n"/>
      <c r="F135" s="10" t="n"/>
      <c r="G135" s="10" t="n"/>
      <c r="H135" s="10" t="n"/>
      <c r="I135" s="10" t="n"/>
      <c r="J135" s="10" t="n"/>
      <c r="K135" s="10" t="n"/>
      <c r="L135" s="11" t="n"/>
      <c r="M135" s="11" t="n"/>
      <c r="N135" s="11" t="n"/>
      <c r="O135" s="11" t="n"/>
      <c r="P135" s="11" t="n"/>
      <c r="Q135" s="11" t="n"/>
      <c r="R135" s="12">
        <f>IF(L135="","",IFERROR(INDEX(DAFTAR_FIXTURE!$B$2:$B$51,MATCH(L135,DAFTAR_FIXTURE!$A$2:$A$51,0)),""))</f>
        <v/>
      </c>
      <c r="S135" s="12">
        <f>IF(AND($D135="",L135=""),"",IF(L135="",IF(AND(T135="",AB135=""),"Belum ditempatkan",""),IF(R135="","CEK ID FIXTURE tidak ada di DAFTAR_FIXTURE",IF(M135="","CEK ZONA NO kosong",IF(ISNA(MATCH(R135&amp;"|"&amp;M135,LAYOUT!$E$2:$E$80,0)),"CEK ZONA NO di luar layout",IF(N135&lt;&gt;INDEX(LAYOUT!$D$2:$D$80,MATCH(R135&amp;"|"&amp;M135,LAYOUT!$E$2:$E$80,0)),"CEK JENIS ZONA",IF($D135="","Zona STOCK",IF($E135="","CEK SKU DESCRIPTION kosong",IF(AND(O135&lt;&gt;"",P135=""),"CEK URUTAN SAMBUNG kosong",IF(AND(O135&lt;&gt;"",LEFT(R135,6)="Endcap"),"CEK Endcap tidak ikut sambung","OK"))))))))))</f>
        <v/>
      </c>
      <c r="T135" s="11" t="n"/>
      <c r="U135" s="11" t="n"/>
      <c r="V135" s="11" t="n"/>
      <c r="W135" s="11" t="n"/>
      <c r="X135" s="11" t="n"/>
      <c r="Y135" s="11" t="n"/>
      <c r="Z135" s="12">
        <f>IF(T135="","",IFERROR(INDEX(DAFTAR_FIXTURE!$B$2:$B$51,MATCH(T135,DAFTAR_FIXTURE!$A$2:$A$51,0)),""))</f>
        <v/>
      </c>
      <c r="AA135" s="12">
        <f>IF(T135="","",IF(Z135="","CEK ID FIXTURE tidak ada di DAFTAR_FIXTURE",IF(U135="","CEK ZONA NO kosong",IF(ISNA(MATCH(Z135&amp;"|"&amp;U135,LAYOUT!$E$2:$E$80,0)),"CEK ZONA NO di luar layout",IF(V135&lt;&gt;INDEX(LAYOUT!$D$2:$D$80,MATCH(Z135&amp;"|"&amp;U135,LAYOUT!$E$2:$E$80,0)),"CEK JENIS ZONA",IF($D135="","Zona STOCK",IF($E135="","CEK SKU DESCRIPTION kosong",IF(AND(W135&lt;&gt;"",X135=""),"CEK URUTAN SAMBUNG kosong",IF(AND(W135&lt;&gt;"",LEFT(Z135,6)="Endcap"),"CEK Endcap tidak ikut sambung","OK")))))))))</f>
        <v/>
      </c>
      <c r="AB135" s="11" t="n"/>
      <c r="AC135" s="11" t="n"/>
      <c r="AD135" s="11" t="n"/>
      <c r="AE135" s="11" t="n"/>
      <c r="AF135" s="11" t="n"/>
      <c r="AG135" s="11" t="n"/>
      <c r="AH135" s="12">
        <f>IF(AB135="","",IFERROR(INDEX(DAFTAR_FIXTURE!$B$2:$B$51,MATCH(AB135,DAFTAR_FIXTURE!$A$2:$A$51,0)),""))</f>
        <v/>
      </c>
      <c r="AI135" s="12">
        <f>IF(AB135="","",IF(AH135="","CEK ID FIXTURE tidak ada di DAFTAR_FIXTURE",IF(AC135="","CEK ZONA NO kosong",IF(ISNA(MATCH(AH135&amp;"|"&amp;AC135,LAYOUT!$E$2:$E$80,0)),"CEK ZONA NO di luar layout",IF(AD135&lt;&gt;INDEX(LAYOUT!$D$2:$D$80,MATCH(AH135&amp;"|"&amp;AC135,LAYOUT!$E$2:$E$80,0)),"CEK JENIS ZONA",IF($D135="","Zona STOCK",IF($E135="","CEK SKU DESCRIPTION kosong",IF(AND(AE135&lt;&gt;"",AF135=""),"CEK URUTAN SAMBUNG kosong",IF(AND(AE135&lt;&gt;"",LEFT(AH135,6)="Endcap"),"CEK Endcap tidak ikut sambung","OK")))))))))</f>
        <v/>
      </c>
    </row>
    <row r="136">
      <c r="A136" s="10" t="n"/>
      <c r="B136" s="10" t="n"/>
      <c r="C136" s="10" t="n"/>
      <c r="D136" s="10" t="n"/>
      <c r="E136" s="10" t="n"/>
      <c r="F136" s="10" t="n"/>
      <c r="G136" s="10" t="n"/>
      <c r="H136" s="10" t="n"/>
      <c r="I136" s="10" t="n"/>
      <c r="J136" s="10" t="n"/>
      <c r="K136" s="10" t="n"/>
      <c r="L136" s="11" t="n"/>
      <c r="M136" s="11" t="n"/>
      <c r="N136" s="11" t="n"/>
      <c r="O136" s="11" t="n"/>
      <c r="P136" s="11" t="n"/>
      <c r="Q136" s="11" t="n"/>
      <c r="R136" s="12">
        <f>IF(L136="","",IFERROR(INDEX(DAFTAR_FIXTURE!$B$2:$B$51,MATCH(L136,DAFTAR_FIXTURE!$A$2:$A$51,0)),""))</f>
        <v/>
      </c>
      <c r="S136" s="12">
        <f>IF(AND($D136="",L136=""),"",IF(L136="",IF(AND(T136="",AB136=""),"Belum ditempatkan",""),IF(R136="","CEK ID FIXTURE tidak ada di DAFTAR_FIXTURE",IF(M136="","CEK ZONA NO kosong",IF(ISNA(MATCH(R136&amp;"|"&amp;M136,LAYOUT!$E$2:$E$80,0)),"CEK ZONA NO di luar layout",IF(N136&lt;&gt;INDEX(LAYOUT!$D$2:$D$80,MATCH(R136&amp;"|"&amp;M136,LAYOUT!$E$2:$E$80,0)),"CEK JENIS ZONA",IF($D136="","Zona STOCK",IF($E136="","CEK SKU DESCRIPTION kosong",IF(AND(O136&lt;&gt;"",P136=""),"CEK URUTAN SAMBUNG kosong",IF(AND(O136&lt;&gt;"",LEFT(R136,6)="Endcap"),"CEK Endcap tidak ikut sambung","OK"))))))))))</f>
        <v/>
      </c>
      <c r="T136" s="11" t="n"/>
      <c r="U136" s="11" t="n"/>
      <c r="V136" s="11" t="n"/>
      <c r="W136" s="11" t="n"/>
      <c r="X136" s="11" t="n"/>
      <c r="Y136" s="11" t="n"/>
      <c r="Z136" s="12">
        <f>IF(T136="","",IFERROR(INDEX(DAFTAR_FIXTURE!$B$2:$B$51,MATCH(T136,DAFTAR_FIXTURE!$A$2:$A$51,0)),""))</f>
        <v/>
      </c>
      <c r="AA136" s="12">
        <f>IF(T136="","",IF(Z136="","CEK ID FIXTURE tidak ada di DAFTAR_FIXTURE",IF(U136="","CEK ZONA NO kosong",IF(ISNA(MATCH(Z136&amp;"|"&amp;U136,LAYOUT!$E$2:$E$80,0)),"CEK ZONA NO di luar layout",IF(V136&lt;&gt;INDEX(LAYOUT!$D$2:$D$80,MATCH(Z136&amp;"|"&amp;U136,LAYOUT!$E$2:$E$80,0)),"CEK JENIS ZONA",IF($D136="","Zona STOCK",IF($E136="","CEK SKU DESCRIPTION kosong",IF(AND(W136&lt;&gt;"",X136=""),"CEK URUTAN SAMBUNG kosong",IF(AND(W136&lt;&gt;"",LEFT(Z136,6)="Endcap"),"CEK Endcap tidak ikut sambung","OK")))))))))</f>
        <v/>
      </c>
      <c r="AB136" s="11" t="n"/>
      <c r="AC136" s="11" t="n"/>
      <c r="AD136" s="11" t="n"/>
      <c r="AE136" s="11" t="n"/>
      <c r="AF136" s="11" t="n"/>
      <c r="AG136" s="11" t="n"/>
      <c r="AH136" s="12">
        <f>IF(AB136="","",IFERROR(INDEX(DAFTAR_FIXTURE!$B$2:$B$51,MATCH(AB136,DAFTAR_FIXTURE!$A$2:$A$51,0)),""))</f>
        <v/>
      </c>
      <c r="AI136" s="12">
        <f>IF(AB136="","",IF(AH136="","CEK ID FIXTURE tidak ada di DAFTAR_FIXTURE",IF(AC136="","CEK ZONA NO kosong",IF(ISNA(MATCH(AH136&amp;"|"&amp;AC136,LAYOUT!$E$2:$E$80,0)),"CEK ZONA NO di luar layout",IF(AD136&lt;&gt;INDEX(LAYOUT!$D$2:$D$80,MATCH(AH136&amp;"|"&amp;AC136,LAYOUT!$E$2:$E$80,0)),"CEK JENIS ZONA",IF($D136="","Zona STOCK",IF($E136="","CEK SKU DESCRIPTION kosong",IF(AND(AE136&lt;&gt;"",AF136=""),"CEK URUTAN SAMBUNG kosong",IF(AND(AE136&lt;&gt;"",LEFT(AH136,6)="Endcap"),"CEK Endcap tidak ikut sambung","OK")))))))))</f>
        <v/>
      </c>
    </row>
    <row r="137">
      <c r="A137" s="10" t="n"/>
      <c r="B137" s="10" t="n"/>
      <c r="C137" s="10" t="n"/>
      <c r="D137" s="10" t="n"/>
      <c r="E137" s="10" t="n"/>
      <c r="F137" s="10" t="n"/>
      <c r="G137" s="10" t="n"/>
      <c r="H137" s="10" t="n"/>
      <c r="I137" s="10" t="n"/>
      <c r="J137" s="10" t="n"/>
      <c r="K137" s="10" t="n"/>
      <c r="L137" s="11" t="n"/>
      <c r="M137" s="11" t="n"/>
      <c r="N137" s="11" t="n"/>
      <c r="O137" s="11" t="n"/>
      <c r="P137" s="11" t="n"/>
      <c r="Q137" s="11" t="n"/>
      <c r="R137" s="12">
        <f>IF(L137="","",IFERROR(INDEX(DAFTAR_FIXTURE!$B$2:$B$51,MATCH(L137,DAFTAR_FIXTURE!$A$2:$A$51,0)),""))</f>
        <v/>
      </c>
      <c r="S137" s="12">
        <f>IF(AND($D137="",L137=""),"",IF(L137="",IF(AND(T137="",AB137=""),"Belum ditempatkan",""),IF(R137="","CEK ID FIXTURE tidak ada di DAFTAR_FIXTURE",IF(M137="","CEK ZONA NO kosong",IF(ISNA(MATCH(R137&amp;"|"&amp;M137,LAYOUT!$E$2:$E$80,0)),"CEK ZONA NO di luar layout",IF(N137&lt;&gt;INDEX(LAYOUT!$D$2:$D$80,MATCH(R137&amp;"|"&amp;M137,LAYOUT!$E$2:$E$80,0)),"CEK JENIS ZONA",IF($D137="","Zona STOCK",IF($E137="","CEK SKU DESCRIPTION kosong",IF(AND(O137&lt;&gt;"",P137=""),"CEK URUTAN SAMBUNG kosong",IF(AND(O137&lt;&gt;"",LEFT(R137,6)="Endcap"),"CEK Endcap tidak ikut sambung","OK"))))))))))</f>
        <v/>
      </c>
      <c r="T137" s="11" t="n"/>
      <c r="U137" s="11" t="n"/>
      <c r="V137" s="11" t="n"/>
      <c r="W137" s="11" t="n"/>
      <c r="X137" s="11" t="n"/>
      <c r="Y137" s="11" t="n"/>
      <c r="Z137" s="12">
        <f>IF(T137="","",IFERROR(INDEX(DAFTAR_FIXTURE!$B$2:$B$51,MATCH(T137,DAFTAR_FIXTURE!$A$2:$A$51,0)),""))</f>
        <v/>
      </c>
      <c r="AA137" s="12">
        <f>IF(T137="","",IF(Z137="","CEK ID FIXTURE tidak ada di DAFTAR_FIXTURE",IF(U137="","CEK ZONA NO kosong",IF(ISNA(MATCH(Z137&amp;"|"&amp;U137,LAYOUT!$E$2:$E$80,0)),"CEK ZONA NO di luar layout",IF(V137&lt;&gt;INDEX(LAYOUT!$D$2:$D$80,MATCH(Z137&amp;"|"&amp;U137,LAYOUT!$E$2:$E$80,0)),"CEK JENIS ZONA",IF($D137="","Zona STOCK",IF($E137="","CEK SKU DESCRIPTION kosong",IF(AND(W137&lt;&gt;"",X137=""),"CEK URUTAN SAMBUNG kosong",IF(AND(W137&lt;&gt;"",LEFT(Z137,6)="Endcap"),"CEK Endcap tidak ikut sambung","OK")))))))))</f>
        <v/>
      </c>
      <c r="AB137" s="11" t="n"/>
      <c r="AC137" s="11" t="n"/>
      <c r="AD137" s="11" t="n"/>
      <c r="AE137" s="11" t="n"/>
      <c r="AF137" s="11" t="n"/>
      <c r="AG137" s="11" t="n"/>
      <c r="AH137" s="12">
        <f>IF(AB137="","",IFERROR(INDEX(DAFTAR_FIXTURE!$B$2:$B$51,MATCH(AB137,DAFTAR_FIXTURE!$A$2:$A$51,0)),""))</f>
        <v/>
      </c>
      <c r="AI137" s="12">
        <f>IF(AB137="","",IF(AH137="","CEK ID FIXTURE tidak ada di DAFTAR_FIXTURE",IF(AC137="","CEK ZONA NO kosong",IF(ISNA(MATCH(AH137&amp;"|"&amp;AC137,LAYOUT!$E$2:$E$80,0)),"CEK ZONA NO di luar layout",IF(AD137&lt;&gt;INDEX(LAYOUT!$D$2:$D$80,MATCH(AH137&amp;"|"&amp;AC137,LAYOUT!$E$2:$E$80,0)),"CEK JENIS ZONA",IF($D137="","Zona STOCK",IF($E137="","CEK SKU DESCRIPTION kosong",IF(AND(AE137&lt;&gt;"",AF137=""),"CEK URUTAN SAMBUNG kosong",IF(AND(AE137&lt;&gt;"",LEFT(AH137,6)="Endcap"),"CEK Endcap tidak ikut sambung","OK")))))))))</f>
        <v/>
      </c>
    </row>
    <row r="138">
      <c r="A138" s="10" t="n"/>
      <c r="B138" s="10" t="n"/>
      <c r="C138" s="10" t="n"/>
      <c r="D138" s="10" t="n"/>
      <c r="E138" s="10" t="n"/>
      <c r="F138" s="10" t="n"/>
      <c r="G138" s="10" t="n"/>
      <c r="H138" s="10" t="n"/>
      <c r="I138" s="10" t="n"/>
      <c r="J138" s="10" t="n"/>
      <c r="K138" s="10" t="n"/>
      <c r="L138" s="11" t="n"/>
      <c r="M138" s="11" t="n"/>
      <c r="N138" s="11" t="n"/>
      <c r="O138" s="11" t="n"/>
      <c r="P138" s="11" t="n"/>
      <c r="Q138" s="11" t="n"/>
      <c r="R138" s="12">
        <f>IF(L138="","",IFERROR(INDEX(DAFTAR_FIXTURE!$B$2:$B$51,MATCH(L138,DAFTAR_FIXTURE!$A$2:$A$51,0)),""))</f>
        <v/>
      </c>
      <c r="S138" s="12">
        <f>IF(AND($D138="",L138=""),"",IF(L138="",IF(AND(T138="",AB138=""),"Belum ditempatkan",""),IF(R138="","CEK ID FIXTURE tidak ada di DAFTAR_FIXTURE",IF(M138="","CEK ZONA NO kosong",IF(ISNA(MATCH(R138&amp;"|"&amp;M138,LAYOUT!$E$2:$E$80,0)),"CEK ZONA NO di luar layout",IF(N138&lt;&gt;INDEX(LAYOUT!$D$2:$D$80,MATCH(R138&amp;"|"&amp;M138,LAYOUT!$E$2:$E$80,0)),"CEK JENIS ZONA",IF($D138="","Zona STOCK",IF($E138="","CEK SKU DESCRIPTION kosong",IF(AND(O138&lt;&gt;"",P138=""),"CEK URUTAN SAMBUNG kosong",IF(AND(O138&lt;&gt;"",LEFT(R138,6)="Endcap"),"CEK Endcap tidak ikut sambung","OK"))))))))))</f>
        <v/>
      </c>
      <c r="T138" s="11" t="n"/>
      <c r="U138" s="11" t="n"/>
      <c r="V138" s="11" t="n"/>
      <c r="W138" s="11" t="n"/>
      <c r="X138" s="11" t="n"/>
      <c r="Y138" s="11" t="n"/>
      <c r="Z138" s="12">
        <f>IF(T138="","",IFERROR(INDEX(DAFTAR_FIXTURE!$B$2:$B$51,MATCH(T138,DAFTAR_FIXTURE!$A$2:$A$51,0)),""))</f>
        <v/>
      </c>
      <c r="AA138" s="12">
        <f>IF(T138="","",IF(Z138="","CEK ID FIXTURE tidak ada di DAFTAR_FIXTURE",IF(U138="","CEK ZONA NO kosong",IF(ISNA(MATCH(Z138&amp;"|"&amp;U138,LAYOUT!$E$2:$E$80,0)),"CEK ZONA NO di luar layout",IF(V138&lt;&gt;INDEX(LAYOUT!$D$2:$D$80,MATCH(Z138&amp;"|"&amp;U138,LAYOUT!$E$2:$E$80,0)),"CEK JENIS ZONA",IF($D138="","Zona STOCK",IF($E138="","CEK SKU DESCRIPTION kosong",IF(AND(W138&lt;&gt;"",X138=""),"CEK URUTAN SAMBUNG kosong",IF(AND(W138&lt;&gt;"",LEFT(Z138,6)="Endcap"),"CEK Endcap tidak ikut sambung","OK")))))))))</f>
        <v/>
      </c>
      <c r="AB138" s="11" t="n"/>
      <c r="AC138" s="11" t="n"/>
      <c r="AD138" s="11" t="n"/>
      <c r="AE138" s="11" t="n"/>
      <c r="AF138" s="11" t="n"/>
      <c r="AG138" s="11" t="n"/>
      <c r="AH138" s="12">
        <f>IF(AB138="","",IFERROR(INDEX(DAFTAR_FIXTURE!$B$2:$B$51,MATCH(AB138,DAFTAR_FIXTURE!$A$2:$A$51,0)),""))</f>
        <v/>
      </c>
      <c r="AI138" s="12">
        <f>IF(AB138="","",IF(AH138="","CEK ID FIXTURE tidak ada di DAFTAR_FIXTURE",IF(AC138="","CEK ZONA NO kosong",IF(ISNA(MATCH(AH138&amp;"|"&amp;AC138,LAYOUT!$E$2:$E$80,0)),"CEK ZONA NO di luar layout",IF(AD138&lt;&gt;INDEX(LAYOUT!$D$2:$D$80,MATCH(AH138&amp;"|"&amp;AC138,LAYOUT!$E$2:$E$80,0)),"CEK JENIS ZONA",IF($D138="","Zona STOCK",IF($E138="","CEK SKU DESCRIPTION kosong",IF(AND(AE138&lt;&gt;"",AF138=""),"CEK URUTAN SAMBUNG kosong",IF(AND(AE138&lt;&gt;"",LEFT(AH138,6)="Endcap"),"CEK Endcap tidak ikut sambung","OK")))))))))</f>
        <v/>
      </c>
    </row>
    <row r="139">
      <c r="A139" s="10" t="n"/>
      <c r="B139" s="10" t="n"/>
      <c r="C139" s="10" t="n"/>
      <c r="D139" s="10" t="n"/>
      <c r="E139" s="10" t="n"/>
      <c r="F139" s="10" t="n"/>
      <c r="G139" s="10" t="n"/>
      <c r="H139" s="10" t="n"/>
      <c r="I139" s="10" t="n"/>
      <c r="J139" s="10" t="n"/>
      <c r="K139" s="10" t="n"/>
      <c r="L139" s="11" t="n"/>
      <c r="M139" s="11" t="n"/>
      <c r="N139" s="11" t="n"/>
      <c r="O139" s="11" t="n"/>
      <c r="P139" s="11" t="n"/>
      <c r="Q139" s="11" t="n"/>
      <c r="R139" s="12">
        <f>IF(L139="","",IFERROR(INDEX(DAFTAR_FIXTURE!$B$2:$B$51,MATCH(L139,DAFTAR_FIXTURE!$A$2:$A$51,0)),""))</f>
        <v/>
      </c>
      <c r="S139" s="12">
        <f>IF(AND($D139="",L139=""),"",IF(L139="",IF(AND(T139="",AB139=""),"Belum ditempatkan",""),IF(R139="","CEK ID FIXTURE tidak ada di DAFTAR_FIXTURE",IF(M139="","CEK ZONA NO kosong",IF(ISNA(MATCH(R139&amp;"|"&amp;M139,LAYOUT!$E$2:$E$80,0)),"CEK ZONA NO di luar layout",IF(N139&lt;&gt;INDEX(LAYOUT!$D$2:$D$80,MATCH(R139&amp;"|"&amp;M139,LAYOUT!$E$2:$E$80,0)),"CEK JENIS ZONA",IF($D139="","Zona STOCK",IF($E139="","CEK SKU DESCRIPTION kosong",IF(AND(O139&lt;&gt;"",P139=""),"CEK URUTAN SAMBUNG kosong",IF(AND(O139&lt;&gt;"",LEFT(R139,6)="Endcap"),"CEK Endcap tidak ikut sambung","OK"))))))))))</f>
        <v/>
      </c>
      <c r="T139" s="11" t="n"/>
      <c r="U139" s="11" t="n"/>
      <c r="V139" s="11" t="n"/>
      <c r="W139" s="11" t="n"/>
      <c r="X139" s="11" t="n"/>
      <c r="Y139" s="11" t="n"/>
      <c r="Z139" s="12">
        <f>IF(T139="","",IFERROR(INDEX(DAFTAR_FIXTURE!$B$2:$B$51,MATCH(T139,DAFTAR_FIXTURE!$A$2:$A$51,0)),""))</f>
        <v/>
      </c>
      <c r="AA139" s="12">
        <f>IF(T139="","",IF(Z139="","CEK ID FIXTURE tidak ada di DAFTAR_FIXTURE",IF(U139="","CEK ZONA NO kosong",IF(ISNA(MATCH(Z139&amp;"|"&amp;U139,LAYOUT!$E$2:$E$80,0)),"CEK ZONA NO di luar layout",IF(V139&lt;&gt;INDEX(LAYOUT!$D$2:$D$80,MATCH(Z139&amp;"|"&amp;U139,LAYOUT!$E$2:$E$80,0)),"CEK JENIS ZONA",IF($D139="","Zona STOCK",IF($E139="","CEK SKU DESCRIPTION kosong",IF(AND(W139&lt;&gt;"",X139=""),"CEK URUTAN SAMBUNG kosong",IF(AND(W139&lt;&gt;"",LEFT(Z139,6)="Endcap"),"CEK Endcap tidak ikut sambung","OK")))))))))</f>
        <v/>
      </c>
      <c r="AB139" s="11" t="n"/>
      <c r="AC139" s="11" t="n"/>
      <c r="AD139" s="11" t="n"/>
      <c r="AE139" s="11" t="n"/>
      <c r="AF139" s="11" t="n"/>
      <c r="AG139" s="11" t="n"/>
      <c r="AH139" s="12">
        <f>IF(AB139="","",IFERROR(INDEX(DAFTAR_FIXTURE!$B$2:$B$51,MATCH(AB139,DAFTAR_FIXTURE!$A$2:$A$51,0)),""))</f>
        <v/>
      </c>
      <c r="AI139" s="12">
        <f>IF(AB139="","",IF(AH139="","CEK ID FIXTURE tidak ada di DAFTAR_FIXTURE",IF(AC139="","CEK ZONA NO kosong",IF(ISNA(MATCH(AH139&amp;"|"&amp;AC139,LAYOUT!$E$2:$E$80,0)),"CEK ZONA NO di luar layout",IF(AD139&lt;&gt;INDEX(LAYOUT!$D$2:$D$80,MATCH(AH139&amp;"|"&amp;AC139,LAYOUT!$E$2:$E$80,0)),"CEK JENIS ZONA",IF($D139="","Zona STOCK",IF($E139="","CEK SKU DESCRIPTION kosong",IF(AND(AE139&lt;&gt;"",AF139=""),"CEK URUTAN SAMBUNG kosong",IF(AND(AE139&lt;&gt;"",LEFT(AH139,6)="Endcap"),"CEK Endcap tidak ikut sambung","OK")))))))))</f>
        <v/>
      </c>
    </row>
    <row r="140">
      <c r="A140" s="10" t="n"/>
      <c r="B140" s="10" t="n"/>
      <c r="C140" s="10" t="n"/>
      <c r="D140" s="10" t="n"/>
      <c r="E140" s="10" t="n"/>
      <c r="F140" s="10" t="n"/>
      <c r="G140" s="10" t="n"/>
      <c r="H140" s="10" t="n"/>
      <c r="I140" s="10" t="n"/>
      <c r="J140" s="10" t="n"/>
      <c r="K140" s="10" t="n"/>
      <c r="L140" s="11" t="n"/>
      <c r="M140" s="11" t="n"/>
      <c r="N140" s="11" t="n"/>
      <c r="O140" s="11" t="n"/>
      <c r="P140" s="11" t="n"/>
      <c r="Q140" s="11" t="n"/>
      <c r="R140" s="12">
        <f>IF(L140="","",IFERROR(INDEX(DAFTAR_FIXTURE!$B$2:$B$51,MATCH(L140,DAFTAR_FIXTURE!$A$2:$A$51,0)),""))</f>
        <v/>
      </c>
      <c r="S140" s="12">
        <f>IF(AND($D140="",L140=""),"",IF(L140="",IF(AND(T140="",AB140=""),"Belum ditempatkan",""),IF(R140="","CEK ID FIXTURE tidak ada di DAFTAR_FIXTURE",IF(M140="","CEK ZONA NO kosong",IF(ISNA(MATCH(R140&amp;"|"&amp;M140,LAYOUT!$E$2:$E$80,0)),"CEK ZONA NO di luar layout",IF(N140&lt;&gt;INDEX(LAYOUT!$D$2:$D$80,MATCH(R140&amp;"|"&amp;M140,LAYOUT!$E$2:$E$80,0)),"CEK JENIS ZONA",IF($D140="","Zona STOCK",IF($E140="","CEK SKU DESCRIPTION kosong",IF(AND(O140&lt;&gt;"",P140=""),"CEK URUTAN SAMBUNG kosong",IF(AND(O140&lt;&gt;"",LEFT(R140,6)="Endcap"),"CEK Endcap tidak ikut sambung","OK"))))))))))</f>
        <v/>
      </c>
      <c r="T140" s="11" t="n"/>
      <c r="U140" s="11" t="n"/>
      <c r="V140" s="11" t="n"/>
      <c r="W140" s="11" t="n"/>
      <c r="X140" s="11" t="n"/>
      <c r="Y140" s="11" t="n"/>
      <c r="Z140" s="12">
        <f>IF(T140="","",IFERROR(INDEX(DAFTAR_FIXTURE!$B$2:$B$51,MATCH(T140,DAFTAR_FIXTURE!$A$2:$A$51,0)),""))</f>
        <v/>
      </c>
      <c r="AA140" s="12">
        <f>IF(T140="","",IF(Z140="","CEK ID FIXTURE tidak ada di DAFTAR_FIXTURE",IF(U140="","CEK ZONA NO kosong",IF(ISNA(MATCH(Z140&amp;"|"&amp;U140,LAYOUT!$E$2:$E$80,0)),"CEK ZONA NO di luar layout",IF(V140&lt;&gt;INDEX(LAYOUT!$D$2:$D$80,MATCH(Z140&amp;"|"&amp;U140,LAYOUT!$E$2:$E$80,0)),"CEK JENIS ZONA",IF($D140="","Zona STOCK",IF($E140="","CEK SKU DESCRIPTION kosong",IF(AND(W140&lt;&gt;"",X140=""),"CEK URUTAN SAMBUNG kosong",IF(AND(W140&lt;&gt;"",LEFT(Z140,6)="Endcap"),"CEK Endcap tidak ikut sambung","OK")))))))))</f>
        <v/>
      </c>
      <c r="AB140" s="11" t="n"/>
      <c r="AC140" s="11" t="n"/>
      <c r="AD140" s="11" t="n"/>
      <c r="AE140" s="11" t="n"/>
      <c r="AF140" s="11" t="n"/>
      <c r="AG140" s="11" t="n"/>
      <c r="AH140" s="12">
        <f>IF(AB140="","",IFERROR(INDEX(DAFTAR_FIXTURE!$B$2:$B$51,MATCH(AB140,DAFTAR_FIXTURE!$A$2:$A$51,0)),""))</f>
        <v/>
      </c>
      <c r="AI140" s="12">
        <f>IF(AB140="","",IF(AH140="","CEK ID FIXTURE tidak ada di DAFTAR_FIXTURE",IF(AC140="","CEK ZONA NO kosong",IF(ISNA(MATCH(AH140&amp;"|"&amp;AC140,LAYOUT!$E$2:$E$80,0)),"CEK ZONA NO di luar layout",IF(AD140&lt;&gt;INDEX(LAYOUT!$D$2:$D$80,MATCH(AH140&amp;"|"&amp;AC140,LAYOUT!$E$2:$E$80,0)),"CEK JENIS ZONA",IF($D140="","Zona STOCK",IF($E140="","CEK SKU DESCRIPTION kosong",IF(AND(AE140&lt;&gt;"",AF140=""),"CEK URUTAN SAMBUNG kosong",IF(AND(AE140&lt;&gt;"",LEFT(AH140,6)="Endcap"),"CEK Endcap tidak ikut sambung","OK")))))))))</f>
        <v/>
      </c>
    </row>
    <row r="141">
      <c r="A141" s="10" t="n"/>
      <c r="B141" s="10" t="n"/>
      <c r="C141" s="10" t="n"/>
      <c r="D141" s="10" t="n"/>
      <c r="E141" s="10" t="n"/>
      <c r="F141" s="10" t="n"/>
      <c r="G141" s="10" t="n"/>
      <c r="H141" s="10" t="n"/>
      <c r="I141" s="10" t="n"/>
      <c r="J141" s="10" t="n"/>
      <c r="K141" s="10" t="n"/>
      <c r="L141" s="11" t="n"/>
      <c r="M141" s="11" t="n"/>
      <c r="N141" s="11" t="n"/>
      <c r="O141" s="11" t="n"/>
      <c r="P141" s="11" t="n"/>
      <c r="Q141" s="11" t="n"/>
      <c r="R141" s="12">
        <f>IF(L141="","",IFERROR(INDEX(DAFTAR_FIXTURE!$B$2:$B$51,MATCH(L141,DAFTAR_FIXTURE!$A$2:$A$51,0)),""))</f>
        <v/>
      </c>
      <c r="S141" s="12">
        <f>IF(AND($D141="",L141=""),"",IF(L141="",IF(AND(T141="",AB141=""),"Belum ditempatkan",""),IF(R141="","CEK ID FIXTURE tidak ada di DAFTAR_FIXTURE",IF(M141="","CEK ZONA NO kosong",IF(ISNA(MATCH(R141&amp;"|"&amp;M141,LAYOUT!$E$2:$E$80,0)),"CEK ZONA NO di luar layout",IF(N141&lt;&gt;INDEX(LAYOUT!$D$2:$D$80,MATCH(R141&amp;"|"&amp;M141,LAYOUT!$E$2:$E$80,0)),"CEK JENIS ZONA",IF($D141="","Zona STOCK",IF($E141="","CEK SKU DESCRIPTION kosong",IF(AND(O141&lt;&gt;"",P141=""),"CEK URUTAN SAMBUNG kosong",IF(AND(O141&lt;&gt;"",LEFT(R141,6)="Endcap"),"CEK Endcap tidak ikut sambung","OK"))))))))))</f>
        <v/>
      </c>
      <c r="T141" s="11" t="n"/>
      <c r="U141" s="11" t="n"/>
      <c r="V141" s="11" t="n"/>
      <c r="W141" s="11" t="n"/>
      <c r="X141" s="11" t="n"/>
      <c r="Y141" s="11" t="n"/>
      <c r="Z141" s="12">
        <f>IF(T141="","",IFERROR(INDEX(DAFTAR_FIXTURE!$B$2:$B$51,MATCH(T141,DAFTAR_FIXTURE!$A$2:$A$51,0)),""))</f>
        <v/>
      </c>
      <c r="AA141" s="12">
        <f>IF(T141="","",IF(Z141="","CEK ID FIXTURE tidak ada di DAFTAR_FIXTURE",IF(U141="","CEK ZONA NO kosong",IF(ISNA(MATCH(Z141&amp;"|"&amp;U141,LAYOUT!$E$2:$E$80,0)),"CEK ZONA NO di luar layout",IF(V141&lt;&gt;INDEX(LAYOUT!$D$2:$D$80,MATCH(Z141&amp;"|"&amp;U141,LAYOUT!$E$2:$E$80,0)),"CEK JENIS ZONA",IF($D141="","Zona STOCK",IF($E141="","CEK SKU DESCRIPTION kosong",IF(AND(W141&lt;&gt;"",X141=""),"CEK URUTAN SAMBUNG kosong",IF(AND(W141&lt;&gt;"",LEFT(Z141,6)="Endcap"),"CEK Endcap tidak ikut sambung","OK")))))))))</f>
        <v/>
      </c>
      <c r="AB141" s="11" t="n"/>
      <c r="AC141" s="11" t="n"/>
      <c r="AD141" s="11" t="n"/>
      <c r="AE141" s="11" t="n"/>
      <c r="AF141" s="11" t="n"/>
      <c r="AG141" s="11" t="n"/>
      <c r="AH141" s="12">
        <f>IF(AB141="","",IFERROR(INDEX(DAFTAR_FIXTURE!$B$2:$B$51,MATCH(AB141,DAFTAR_FIXTURE!$A$2:$A$51,0)),""))</f>
        <v/>
      </c>
      <c r="AI141" s="12">
        <f>IF(AB141="","",IF(AH141="","CEK ID FIXTURE tidak ada di DAFTAR_FIXTURE",IF(AC141="","CEK ZONA NO kosong",IF(ISNA(MATCH(AH141&amp;"|"&amp;AC141,LAYOUT!$E$2:$E$80,0)),"CEK ZONA NO di luar layout",IF(AD141&lt;&gt;INDEX(LAYOUT!$D$2:$D$80,MATCH(AH141&amp;"|"&amp;AC141,LAYOUT!$E$2:$E$80,0)),"CEK JENIS ZONA",IF($D141="","Zona STOCK",IF($E141="","CEK SKU DESCRIPTION kosong",IF(AND(AE141&lt;&gt;"",AF141=""),"CEK URUTAN SAMBUNG kosong",IF(AND(AE141&lt;&gt;"",LEFT(AH141,6)="Endcap"),"CEK Endcap tidak ikut sambung","OK")))))))))</f>
        <v/>
      </c>
    </row>
    <row r="142">
      <c r="A142" s="10" t="n"/>
      <c r="B142" s="10" t="n"/>
      <c r="C142" s="10" t="n"/>
      <c r="D142" s="10" t="n"/>
      <c r="E142" s="10" t="n"/>
      <c r="F142" s="10" t="n"/>
      <c r="G142" s="10" t="n"/>
      <c r="H142" s="10" t="n"/>
      <c r="I142" s="10" t="n"/>
      <c r="J142" s="10" t="n"/>
      <c r="K142" s="10" t="n"/>
      <c r="L142" s="11" t="n"/>
      <c r="M142" s="11" t="n"/>
      <c r="N142" s="11" t="n"/>
      <c r="O142" s="11" t="n"/>
      <c r="P142" s="11" t="n"/>
      <c r="Q142" s="11" t="n"/>
      <c r="R142" s="12">
        <f>IF(L142="","",IFERROR(INDEX(DAFTAR_FIXTURE!$B$2:$B$51,MATCH(L142,DAFTAR_FIXTURE!$A$2:$A$51,0)),""))</f>
        <v/>
      </c>
      <c r="S142" s="12">
        <f>IF(AND($D142="",L142=""),"",IF(L142="",IF(AND(T142="",AB142=""),"Belum ditempatkan",""),IF(R142="","CEK ID FIXTURE tidak ada di DAFTAR_FIXTURE",IF(M142="","CEK ZONA NO kosong",IF(ISNA(MATCH(R142&amp;"|"&amp;M142,LAYOUT!$E$2:$E$80,0)),"CEK ZONA NO di luar layout",IF(N142&lt;&gt;INDEX(LAYOUT!$D$2:$D$80,MATCH(R142&amp;"|"&amp;M142,LAYOUT!$E$2:$E$80,0)),"CEK JENIS ZONA",IF($D142="","Zona STOCK",IF($E142="","CEK SKU DESCRIPTION kosong",IF(AND(O142&lt;&gt;"",P142=""),"CEK URUTAN SAMBUNG kosong",IF(AND(O142&lt;&gt;"",LEFT(R142,6)="Endcap"),"CEK Endcap tidak ikut sambung","OK"))))))))))</f>
        <v/>
      </c>
      <c r="T142" s="11" t="n"/>
      <c r="U142" s="11" t="n"/>
      <c r="V142" s="11" t="n"/>
      <c r="W142" s="11" t="n"/>
      <c r="X142" s="11" t="n"/>
      <c r="Y142" s="11" t="n"/>
      <c r="Z142" s="12">
        <f>IF(T142="","",IFERROR(INDEX(DAFTAR_FIXTURE!$B$2:$B$51,MATCH(T142,DAFTAR_FIXTURE!$A$2:$A$51,0)),""))</f>
        <v/>
      </c>
      <c r="AA142" s="12">
        <f>IF(T142="","",IF(Z142="","CEK ID FIXTURE tidak ada di DAFTAR_FIXTURE",IF(U142="","CEK ZONA NO kosong",IF(ISNA(MATCH(Z142&amp;"|"&amp;U142,LAYOUT!$E$2:$E$80,0)),"CEK ZONA NO di luar layout",IF(V142&lt;&gt;INDEX(LAYOUT!$D$2:$D$80,MATCH(Z142&amp;"|"&amp;U142,LAYOUT!$E$2:$E$80,0)),"CEK JENIS ZONA",IF($D142="","Zona STOCK",IF($E142="","CEK SKU DESCRIPTION kosong",IF(AND(W142&lt;&gt;"",X142=""),"CEK URUTAN SAMBUNG kosong",IF(AND(W142&lt;&gt;"",LEFT(Z142,6)="Endcap"),"CEK Endcap tidak ikut sambung","OK")))))))))</f>
        <v/>
      </c>
      <c r="AB142" s="11" t="n"/>
      <c r="AC142" s="11" t="n"/>
      <c r="AD142" s="11" t="n"/>
      <c r="AE142" s="11" t="n"/>
      <c r="AF142" s="11" t="n"/>
      <c r="AG142" s="11" t="n"/>
      <c r="AH142" s="12">
        <f>IF(AB142="","",IFERROR(INDEX(DAFTAR_FIXTURE!$B$2:$B$51,MATCH(AB142,DAFTAR_FIXTURE!$A$2:$A$51,0)),""))</f>
        <v/>
      </c>
      <c r="AI142" s="12">
        <f>IF(AB142="","",IF(AH142="","CEK ID FIXTURE tidak ada di DAFTAR_FIXTURE",IF(AC142="","CEK ZONA NO kosong",IF(ISNA(MATCH(AH142&amp;"|"&amp;AC142,LAYOUT!$E$2:$E$80,0)),"CEK ZONA NO di luar layout",IF(AD142&lt;&gt;INDEX(LAYOUT!$D$2:$D$80,MATCH(AH142&amp;"|"&amp;AC142,LAYOUT!$E$2:$E$80,0)),"CEK JENIS ZONA",IF($D142="","Zona STOCK",IF($E142="","CEK SKU DESCRIPTION kosong",IF(AND(AE142&lt;&gt;"",AF142=""),"CEK URUTAN SAMBUNG kosong",IF(AND(AE142&lt;&gt;"",LEFT(AH142,6)="Endcap"),"CEK Endcap tidak ikut sambung","OK")))))))))</f>
        <v/>
      </c>
    </row>
    <row r="143">
      <c r="A143" s="10" t="n"/>
      <c r="B143" s="10" t="n"/>
      <c r="C143" s="10" t="n"/>
      <c r="D143" s="10" t="n"/>
      <c r="E143" s="10" t="n"/>
      <c r="F143" s="10" t="n"/>
      <c r="G143" s="10" t="n"/>
      <c r="H143" s="10" t="n"/>
      <c r="I143" s="10" t="n"/>
      <c r="J143" s="10" t="n"/>
      <c r="K143" s="10" t="n"/>
      <c r="L143" s="11" t="n"/>
      <c r="M143" s="11" t="n"/>
      <c r="N143" s="11" t="n"/>
      <c r="O143" s="11" t="n"/>
      <c r="P143" s="11" t="n"/>
      <c r="Q143" s="11" t="n"/>
      <c r="R143" s="12">
        <f>IF(L143="","",IFERROR(INDEX(DAFTAR_FIXTURE!$B$2:$B$51,MATCH(L143,DAFTAR_FIXTURE!$A$2:$A$51,0)),""))</f>
        <v/>
      </c>
      <c r="S143" s="12">
        <f>IF(AND($D143="",L143=""),"",IF(L143="",IF(AND(T143="",AB143=""),"Belum ditempatkan",""),IF(R143="","CEK ID FIXTURE tidak ada di DAFTAR_FIXTURE",IF(M143="","CEK ZONA NO kosong",IF(ISNA(MATCH(R143&amp;"|"&amp;M143,LAYOUT!$E$2:$E$80,0)),"CEK ZONA NO di luar layout",IF(N143&lt;&gt;INDEX(LAYOUT!$D$2:$D$80,MATCH(R143&amp;"|"&amp;M143,LAYOUT!$E$2:$E$80,0)),"CEK JENIS ZONA",IF($D143="","Zona STOCK",IF($E143="","CEK SKU DESCRIPTION kosong",IF(AND(O143&lt;&gt;"",P143=""),"CEK URUTAN SAMBUNG kosong",IF(AND(O143&lt;&gt;"",LEFT(R143,6)="Endcap"),"CEK Endcap tidak ikut sambung","OK"))))))))))</f>
        <v/>
      </c>
      <c r="T143" s="11" t="n"/>
      <c r="U143" s="11" t="n"/>
      <c r="V143" s="11" t="n"/>
      <c r="W143" s="11" t="n"/>
      <c r="X143" s="11" t="n"/>
      <c r="Y143" s="11" t="n"/>
      <c r="Z143" s="12">
        <f>IF(T143="","",IFERROR(INDEX(DAFTAR_FIXTURE!$B$2:$B$51,MATCH(T143,DAFTAR_FIXTURE!$A$2:$A$51,0)),""))</f>
        <v/>
      </c>
      <c r="AA143" s="12">
        <f>IF(T143="","",IF(Z143="","CEK ID FIXTURE tidak ada di DAFTAR_FIXTURE",IF(U143="","CEK ZONA NO kosong",IF(ISNA(MATCH(Z143&amp;"|"&amp;U143,LAYOUT!$E$2:$E$80,0)),"CEK ZONA NO di luar layout",IF(V143&lt;&gt;INDEX(LAYOUT!$D$2:$D$80,MATCH(Z143&amp;"|"&amp;U143,LAYOUT!$E$2:$E$80,0)),"CEK JENIS ZONA",IF($D143="","Zona STOCK",IF($E143="","CEK SKU DESCRIPTION kosong",IF(AND(W143&lt;&gt;"",X143=""),"CEK URUTAN SAMBUNG kosong",IF(AND(W143&lt;&gt;"",LEFT(Z143,6)="Endcap"),"CEK Endcap tidak ikut sambung","OK")))))))))</f>
        <v/>
      </c>
      <c r="AB143" s="11" t="n"/>
      <c r="AC143" s="11" t="n"/>
      <c r="AD143" s="11" t="n"/>
      <c r="AE143" s="11" t="n"/>
      <c r="AF143" s="11" t="n"/>
      <c r="AG143" s="11" t="n"/>
      <c r="AH143" s="12">
        <f>IF(AB143="","",IFERROR(INDEX(DAFTAR_FIXTURE!$B$2:$B$51,MATCH(AB143,DAFTAR_FIXTURE!$A$2:$A$51,0)),""))</f>
        <v/>
      </c>
      <c r="AI143" s="12">
        <f>IF(AB143="","",IF(AH143="","CEK ID FIXTURE tidak ada di DAFTAR_FIXTURE",IF(AC143="","CEK ZONA NO kosong",IF(ISNA(MATCH(AH143&amp;"|"&amp;AC143,LAYOUT!$E$2:$E$80,0)),"CEK ZONA NO di luar layout",IF(AD143&lt;&gt;INDEX(LAYOUT!$D$2:$D$80,MATCH(AH143&amp;"|"&amp;AC143,LAYOUT!$E$2:$E$80,0)),"CEK JENIS ZONA",IF($D143="","Zona STOCK",IF($E143="","CEK SKU DESCRIPTION kosong",IF(AND(AE143&lt;&gt;"",AF143=""),"CEK URUTAN SAMBUNG kosong",IF(AND(AE143&lt;&gt;"",LEFT(AH143,6)="Endcap"),"CEK Endcap tidak ikut sambung","OK")))))))))</f>
        <v/>
      </c>
    </row>
    <row r="144">
      <c r="A144" s="10" t="n"/>
      <c r="B144" s="10" t="n"/>
      <c r="C144" s="10" t="n"/>
      <c r="D144" s="10" t="n"/>
      <c r="E144" s="10" t="n"/>
      <c r="F144" s="10" t="n"/>
      <c r="G144" s="10" t="n"/>
      <c r="H144" s="10" t="n"/>
      <c r="I144" s="10" t="n"/>
      <c r="J144" s="10" t="n"/>
      <c r="K144" s="10" t="n"/>
      <c r="L144" s="11" t="n"/>
      <c r="M144" s="11" t="n"/>
      <c r="N144" s="11" t="n"/>
      <c r="O144" s="11" t="n"/>
      <c r="P144" s="11" t="n"/>
      <c r="Q144" s="11" t="n"/>
      <c r="R144" s="12">
        <f>IF(L144="","",IFERROR(INDEX(DAFTAR_FIXTURE!$B$2:$B$51,MATCH(L144,DAFTAR_FIXTURE!$A$2:$A$51,0)),""))</f>
        <v/>
      </c>
      <c r="S144" s="12">
        <f>IF(AND($D144="",L144=""),"",IF(L144="",IF(AND(T144="",AB144=""),"Belum ditempatkan",""),IF(R144="","CEK ID FIXTURE tidak ada di DAFTAR_FIXTURE",IF(M144="","CEK ZONA NO kosong",IF(ISNA(MATCH(R144&amp;"|"&amp;M144,LAYOUT!$E$2:$E$80,0)),"CEK ZONA NO di luar layout",IF(N144&lt;&gt;INDEX(LAYOUT!$D$2:$D$80,MATCH(R144&amp;"|"&amp;M144,LAYOUT!$E$2:$E$80,0)),"CEK JENIS ZONA",IF($D144="","Zona STOCK",IF($E144="","CEK SKU DESCRIPTION kosong",IF(AND(O144&lt;&gt;"",P144=""),"CEK URUTAN SAMBUNG kosong",IF(AND(O144&lt;&gt;"",LEFT(R144,6)="Endcap"),"CEK Endcap tidak ikut sambung","OK"))))))))))</f>
        <v/>
      </c>
      <c r="T144" s="11" t="n"/>
      <c r="U144" s="11" t="n"/>
      <c r="V144" s="11" t="n"/>
      <c r="W144" s="11" t="n"/>
      <c r="X144" s="11" t="n"/>
      <c r="Y144" s="11" t="n"/>
      <c r="Z144" s="12">
        <f>IF(T144="","",IFERROR(INDEX(DAFTAR_FIXTURE!$B$2:$B$51,MATCH(T144,DAFTAR_FIXTURE!$A$2:$A$51,0)),""))</f>
        <v/>
      </c>
      <c r="AA144" s="12">
        <f>IF(T144="","",IF(Z144="","CEK ID FIXTURE tidak ada di DAFTAR_FIXTURE",IF(U144="","CEK ZONA NO kosong",IF(ISNA(MATCH(Z144&amp;"|"&amp;U144,LAYOUT!$E$2:$E$80,0)),"CEK ZONA NO di luar layout",IF(V144&lt;&gt;INDEX(LAYOUT!$D$2:$D$80,MATCH(Z144&amp;"|"&amp;U144,LAYOUT!$E$2:$E$80,0)),"CEK JENIS ZONA",IF($D144="","Zona STOCK",IF($E144="","CEK SKU DESCRIPTION kosong",IF(AND(W144&lt;&gt;"",X144=""),"CEK URUTAN SAMBUNG kosong",IF(AND(W144&lt;&gt;"",LEFT(Z144,6)="Endcap"),"CEK Endcap tidak ikut sambung","OK")))))))))</f>
        <v/>
      </c>
      <c r="AB144" s="11" t="n"/>
      <c r="AC144" s="11" t="n"/>
      <c r="AD144" s="11" t="n"/>
      <c r="AE144" s="11" t="n"/>
      <c r="AF144" s="11" t="n"/>
      <c r="AG144" s="11" t="n"/>
      <c r="AH144" s="12">
        <f>IF(AB144="","",IFERROR(INDEX(DAFTAR_FIXTURE!$B$2:$B$51,MATCH(AB144,DAFTAR_FIXTURE!$A$2:$A$51,0)),""))</f>
        <v/>
      </c>
      <c r="AI144" s="12">
        <f>IF(AB144="","",IF(AH144="","CEK ID FIXTURE tidak ada di DAFTAR_FIXTURE",IF(AC144="","CEK ZONA NO kosong",IF(ISNA(MATCH(AH144&amp;"|"&amp;AC144,LAYOUT!$E$2:$E$80,0)),"CEK ZONA NO di luar layout",IF(AD144&lt;&gt;INDEX(LAYOUT!$D$2:$D$80,MATCH(AH144&amp;"|"&amp;AC144,LAYOUT!$E$2:$E$80,0)),"CEK JENIS ZONA",IF($D144="","Zona STOCK",IF($E144="","CEK SKU DESCRIPTION kosong",IF(AND(AE144&lt;&gt;"",AF144=""),"CEK URUTAN SAMBUNG kosong",IF(AND(AE144&lt;&gt;"",LEFT(AH144,6)="Endcap"),"CEK Endcap tidak ikut sambung","OK")))))))))</f>
        <v/>
      </c>
    </row>
    <row r="145">
      <c r="A145" s="10" t="n"/>
      <c r="B145" s="10" t="n"/>
      <c r="C145" s="10" t="n"/>
      <c r="D145" s="10" t="n"/>
      <c r="E145" s="10" t="n"/>
      <c r="F145" s="10" t="n"/>
      <c r="G145" s="10" t="n"/>
      <c r="H145" s="10" t="n"/>
      <c r="I145" s="10" t="n"/>
      <c r="J145" s="10" t="n"/>
      <c r="K145" s="10" t="n"/>
      <c r="L145" s="11" t="n"/>
      <c r="M145" s="11" t="n"/>
      <c r="N145" s="11" t="n"/>
      <c r="O145" s="11" t="n"/>
      <c r="P145" s="11" t="n"/>
      <c r="Q145" s="11" t="n"/>
      <c r="R145" s="12">
        <f>IF(L145="","",IFERROR(INDEX(DAFTAR_FIXTURE!$B$2:$B$51,MATCH(L145,DAFTAR_FIXTURE!$A$2:$A$51,0)),""))</f>
        <v/>
      </c>
      <c r="S145" s="12">
        <f>IF(AND($D145="",L145=""),"",IF(L145="",IF(AND(T145="",AB145=""),"Belum ditempatkan",""),IF(R145="","CEK ID FIXTURE tidak ada di DAFTAR_FIXTURE",IF(M145="","CEK ZONA NO kosong",IF(ISNA(MATCH(R145&amp;"|"&amp;M145,LAYOUT!$E$2:$E$80,0)),"CEK ZONA NO di luar layout",IF(N145&lt;&gt;INDEX(LAYOUT!$D$2:$D$80,MATCH(R145&amp;"|"&amp;M145,LAYOUT!$E$2:$E$80,0)),"CEK JENIS ZONA",IF($D145="","Zona STOCK",IF($E145="","CEK SKU DESCRIPTION kosong",IF(AND(O145&lt;&gt;"",P145=""),"CEK URUTAN SAMBUNG kosong",IF(AND(O145&lt;&gt;"",LEFT(R145,6)="Endcap"),"CEK Endcap tidak ikut sambung","OK"))))))))))</f>
        <v/>
      </c>
      <c r="T145" s="11" t="n"/>
      <c r="U145" s="11" t="n"/>
      <c r="V145" s="11" t="n"/>
      <c r="W145" s="11" t="n"/>
      <c r="X145" s="11" t="n"/>
      <c r="Y145" s="11" t="n"/>
      <c r="Z145" s="12">
        <f>IF(T145="","",IFERROR(INDEX(DAFTAR_FIXTURE!$B$2:$B$51,MATCH(T145,DAFTAR_FIXTURE!$A$2:$A$51,0)),""))</f>
        <v/>
      </c>
      <c r="AA145" s="12">
        <f>IF(T145="","",IF(Z145="","CEK ID FIXTURE tidak ada di DAFTAR_FIXTURE",IF(U145="","CEK ZONA NO kosong",IF(ISNA(MATCH(Z145&amp;"|"&amp;U145,LAYOUT!$E$2:$E$80,0)),"CEK ZONA NO di luar layout",IF(V145&lt;&gt;INDEX(LAYOUT!$D$2:$D$80,MATCH(Z145&amp;"|"&amp;U145,LAYOUT!$E$2:$E$80,0)),"CEK JENIS ZONA",IF($D145="","Zona STOCK",IF($E145="","CEK SKU DESCRIPTION kosong",IF(AND(W145&lt;&gt;"",X145=""),"CEK URUTAN SAMBUNG kosong",IF(AND(W145&lt;&gt;"",LEFT(Z145,6)="Endcap"),"CEK Endcap tidak ikut sambung","OK")))))))))</f>
        <v/>
      </c>
      <c r="AB145" s="11" t="n"/>
      <c r="AC145" s="11" t="n"/>
      <c r="AD145" s="11" t="n"/>
      <c r="AE145" s="11" t="n"/>
      <c r="AF145" s="11" t="n"/>
      <c r="AG145" s="11" t="n"/>
      <c r="AH145" s="12">
        <f>IF(AB145="","",IFERROR(INDEX(DAFTAR_FIXTURE!$B$2:$B$51,MATCH(AB145,DAFTAR_FIXTURE!$A$2:$A$51,0)),""))</f>
        <v/>
      </c>
      <c r="AI145" s="12">
        <f>IF(AB145="","",IF(AH145="","CEK ID FIXTURE tidak ada di DAFTAR_FIXTURE",IF(AC145="","CEK ZONA NO kosong",IF(ISNA(MATCH(AH145&amp;"|"&amp;AC145,LAYOUT!$E$2:$E$80,0)),"CEK ZONA NO di luar layout",IF(AD145&lt;&gt;INDEX(LAYOUT!$D$2:$D$80,MATCH(AH145&amp;"|"&amp;AC145,LAYOUT!$E$2:$E$80,0)),"CEK JENIS ZONA",IF($D145="","Zona STOCK",IF($E145="","CEK SKU DESCRIPTION kosong",IF(AND(AE145&lt;&gt;"",AF145=""),"CEK URUTAN SAMBUNG kosong",IF(AND(AE145&lt;&gt;"",LEFT(AH145,6)="Endcap"),"CEK Endcap tidak ikut sambung","OK")))))))))</f>
        <v/>
      </c>
    </row>
    <row r="146">
      <c r="A146" s="10" t="n"/>
      <c r="B146" s="10" t="n"/>
      <c r="C146" s="10" t="n"/>
      <c r="D146" s="10" t="n"/>
      <c r="E146" s="10" t="n"/>
      <c r="F146" s="10" t="n"/>
      <c r="G146" s="10" t="n"/>
      <c r="H146" s="10" t="n"/>
      <c r="I146" s="10" t="n"/>
      <c r="J146" s="10" t="n"/>
      <c r="K146" s="10" t="n"/>
      <c r="L146" s="11" t="n"/>
      <c r="M146" s="11" t="n"/>
      <c r="N146" s="11" t="n"/>
      <c r="O146" s="11" t="n"/>
      <c r="P146" s="11" t="n"/>
      <c r="Q146" s="11" t="n"/>
      <c r="R146" s="12">
        <f>IF(L146="","",IFERROR(INDEX(DAFTAR_FIXTURE!$B$2:$B$51,MATCH(L146,DAFTAR_FIXTURE!$A$2:$A$51,0)),""))</f>
        <v/>
      </c>
      <c r="S146" s="12">
        <f>IF(AND($D146="",L146=""),"",IF(L146="",IF(AND(T146="",AB146=""),"Belum ditempatkan",""),IF(R146="","CEK ID FIXTURE tidak ada di DAFTAR_FIXTURE",IF(M146="","CEK ZONA NO kosong",IF(ISNA(MATCH(R146&amp;"|"&amp;M146,LAYOUT!$E$2:$E$80,0)),"CEK ZONA NO di luar layout",IF(N146&lt;&gt;INDEX(LAYOUT!$D$2:$D$80,MATCH(R146&amp;"|"&amp;M146,LAYOUT!$E$2:$E$80,0)),"CEK JENIS ZONA",IF($D146="","Zona STOCK",IF($E146="","CEK SKU DESCRIPTION kosong",IF(AND(O146&lt;&gt;"",P146=""),"CEK URUTAN SAMBUNG kosong",IF(AND(O146&lt;&gt;"",LEFT(R146,6)="Endcap"),"CEK Endcap tidak ikut sambung","OK"))))))))))</f>
        <v/>
      </c>
      <c r="T146" s="11" t="n"/>
      <c r="U146" s="11" t="n"/>
      <c r="V146" s="11" t="n"/>
      <c r="W146" s="11" t="n"/>
      <c r="X146" s="11" t="n"/>
      <c r="Y146" s="11" t="n"/>
      <c r="Z146" s="12">
        <f>IF(T146="","",IFERROR(INDEX(DAFTAR_FIXTURE!$B$2:$B$51,MATCH(T146,DAFTAR_FIXTURE!$A$2:$A$51,0)),""))</f>
        <v/>
      </c>
      <c r="AA146" s="12">
        <f>IF(T146="","",IF(Z146="","CEK ID FIXTURE tidak ada di DAFTAR_FIXTURE",IF(U146="","CEK ZONA NO kosong",IF(ISNA(MATCH(Z146&amp;"|"&amp;U146,LAYOUT!$E$2:$E$80,0)),"CEK ZONA NO di luar layout",IF(V146&lt;&gt;INDEX(LAYOUT!$D$2:$D$80,MATCH(Z146&amp;"|"&amp;U146,LAYOUT!$E$2:$E$80,0)),"CEK JENIS ZONA",IF($D146="","Zona STOCK",IF($E146="","CEK SKU DESCRIPTION kosong",IF(AND(W146&lt;&gt;"",X146=""),"CEK URUTAN SAMBUNG kosong",IF(AND(W146&lt;&gt;"",LEFT(Z146,6)="Endcap"),"CEK Endcap tidak ikut sambung","OK")))))))))</f>
        <v/>
      </c>
      <c r="AB146" s="11" t="n"/>
      <c r="AC146" s="11" t="n"/>
      <c r="AD146" s="11" t="n"/>
      <c r="AE146" s="11" t="n"/>
      <c r="AF146" s="11" t="n"/>
      <c r="AG146" s="11" t="n"/>
      <c r="AH146" s="12">
        <f>IF(AB146="","",IFERROR(INDEX(DAFTAR_FIXTURE!$B$2:$B$51,MATCH(AB146,DAFTAR_FIXTURE!$A$2:$A$51,0)),""))</f>
        <v/>
      </c>
      <c r="AI146" s="12">
        <f>IF(AB146="","",IF(AH146="","CEK ID FIXTURE tidak ada di DAFTAR_FIXTURE",IF(AC146="","CEK ZONA NO kosong",IF(ISNA(MATCH(AH146&amp;"|"&amp;AC146,LAYOUT!$E$2:$E$80,0)),"CEK ZONA NO di luar layout",IF(AD146&lt;&gt;INDEX(LAYOUT!$D$2:$D$80,MATCH(AH146&amp;"|"&amp;AC146,LAYOUT!$E$2:$E$80,0)),"CEK JENIS ZONA",IF($D146="","Zona STOCK",IF($E146="","CEK SKU DESCRIPTION kosong",IF(AND(AE146&lt;&gt;"",AF146=""),"CEK URUTAN SAMBUNG kosong",IF(AND(AE146&lt;&gt;"",LEFT(AH146,6)="Endcap"),"CEK Endcap tidak ikut sambung","OK")))))))))</f>
        <v/>
      </c>
    </row>
    <row r="147">
      <c r="A147" s="10" t="n"/>
      <c r="B147" s="10" t="n"/>
      <c r="C147" s="10" t="n"/>
      <c r="D147" s="10" t="n"/>
      <c r="E147" s="10" t="n"/>
      <c r="F147" s="10" t="n"/>
      <c r="G147" s="10" t="n"/>
      <c r="H147" s="10" t="n"/>
      <c r="I147" s="10" t="n"/>
      <c r="J147" s="10" t="n"/>
      <c r="K147" s="10" t="n"/>
      <c r="L147" s="11" t="n"/>
      <c r="M147" s="11" t="n"/>
      <c r="N147" s="11" t="n"/>
      <c r="O147" s="11" t="n"/>
      <c r="P147" s="11" t="n"/>
      <c r="Q147" s="11" t="n"/>
      <c r="R147" s="12">
        <f>IF(L147="","",IFERROR(INDEX(DAFTAR_FIXTURE!$B$2:$B$51,MATCH(L147,DAFTAR_FIXTURE!$A$2:$A$51,0)),""))</f>
        <v/>
      </c>
      <c r="S147" s="12">
        <f>IF(AND($D147="",L147=""),"",IF(L147="",IF(AND(T147="",AB147=""),"Belum ditempatkan",""),IF(R147="","CEK ID FIXTURE tidak ada di DAFTAR_FIXTURE",IF(M147="","CEK ZONA NO kosong",IF(ISNA(MATCH(R147&amp;"|"&amp;M147,LAYOUT!$E$2:$E$80,0)),"CEK ZONA NO di luar layout",IF(N147&lt;&gt;INDEX(LAYOUT!$D$2:$D$80,MATCH(R147&amp;"|"&amp;M147,LAYOUT!$E$2:$E$80,0)),"CEK JENIS ZONA",IF($D147="","Zona STOCK",IF($E147="","CEK SKU DESCRIPTION kosong",IF(AND(O147&lt;&gt;"",P147=""),"CEK URUTAN SAMBUNG kosong",IF(AND(O147&lt;&gt;"",LEFT(R147,6)="Endcap"),"CEK Endcap tidak ikut sambung","OK"))))))))))</f>
        <v/>
      </c>
      <c r="T147" s="11" t="n"/>
      <c r="U147" s="11" t="n"/>
      <c r="V147" s="11" t="n"/>
      <c r="W147" s="11" t="n"/>
      <c r="X147" s="11" t="n"/>
      <c r="Y147" s="11" t="n"/>
      <c r="Z147" s="12">
        <f>IF(T147="","",IFERROR(INDEX(DAFTAR_FIXTURE!$B$2:$B$51,MATCH(T147,DAFTAR_FIXTURE!$A$2:$A$51,0)),""))</f>
        <v/>
      </c>
      <c r="AA147" s="12">
        <f>IF(T147="","",IF(Z147="","CEK ID FIXTURE tidak ada di DAFTAR_FIXTURE",IF(U147="","CEK ZONA NO kosong",IF(ISNA(MATCH(Z147&amp;"|"&amp;U147,LAYOUT!$E$2:$E$80,0)),"CEK ZONA NO di luar layout",IF(V147&lt;&gt;INDEX(LAYOUT!$D$2:$D$80,MATCH(Z147&amp;"|"&amp;U147,LAYOUT!$E$2:$E$80,0)),"CEK JENIS ZONA",IF($D147="","Zona STOCK",IF($E147="","CEK SKU DESCRIPTION kosong",IF(AND(W147&lt;&gt;"",X147=""),"CEK URUTAN SAMBUNG kosong",IF(AND(W147&lt;&gt;"",LEFT(Z147,6)="Endcap"),"CEK Endcap tidak ikut sambung","OK")))))))))</f>
        <v/>
      </c>
      <c r="AB147" s="11" t="n"/>
      <c r="AC147" s="11" t="n"/>
      <c r="AD147" s="11" t="n"/>
      <c r="AE147" s="11" t="n"/>
      <c r="AF147" s="11" t="n"/>
      <c r="AG147" s="11" t="n"/>
      <c r="AH147" s="12">
        <f>IF(AB147="","",IFERROR(INDEX(DAFTAR_FIXTURE!$B$2:$B$51,MATCH(AB147,DAFTAR_FIXTURE!$A$2:$A$51,0)),""))</f>
        <v/>
      </c>
      <c r="AI147" s="12">
        <f>IF(AB147="","",IF(AH147="","CEK ID FIXTURE tidak ada di DAFTAR_FIXTURE",IF(AC147="","CEK ZONA NO kosong",IF(ISNA(MATCH(AH147&amp;"|"&amp;AC147,LAYOUT!$E$2:$E$80,0)),"CEK ZONA NO di luar layout",IF(AD147&lt;&gt;INDEX(LAYOUT!$D$2:$D$80,MATCH(AH147&amp;"|"&amp;AC147,LAYOUT!$E$2:$E$80,0)),"CEK JENIS ZONA",IF($D147="","Zona STOCK",IF($E147="","CEK SKU DESCRIPTION kosong",IF(AND(AE147&lt;&gt;"",AF147=""),"CEK URUTAN SAMBUNG kosong",IF(AND(AE147&lt;&gt;"",LEFT(AH147,6)="Endcap"),"CEK Endcap tidak ikut sambung","OK")))))))))</f>
        <v/>
      </c>
    </row>
    <row r="148">
      <c r="A148" s="10" t="n"/>
      <c r="B148" s="10" t="n"/>
      <c r="C148" s="10" t="n"/>
      <c r="D148" s="10" t="n"/>
      <c r="E148" s="10" t="n"/>
      <c r="F148" s="10" t="n"/>
      <c r="G148" s="10" t="n"/>
      <c r="H148" s="10" t="n"/>
      <c r="I148" s="10" t="n"/>
      <c r="J148" s="10" t="n"/>
      <c r="K148" s="10" t="n"/>
      <c r="L148" s="11" t="n"/>
      <c r="M148" s="11" t="n"/>
      <c r="N148" s="11" t="n"/>
      <c r="O148" s="11" t="n"/>
      <c r="P148" s="11" t="n"/>
      <c r="Q148" s="11" t="n"/>
      <c r="R148" s="12">
        <f>IF(L148="","",IFERROR(INDEX(DAFTAR_FIXTURE!$B$2:$B$51,MATCH(L148,DAFTAR_FIXTURE!$A$2:$A$51,0)),""))</f>
        <v/>
      </c>
      <c r="S148" s="12">
        <f>IF(AND($D148="",L148=""),"",IF(L148="",IF(AND(T148="",AB148=""),"Belum ditempatkan",""),IF(R148="","CEK ID FIXTURE tidak ada di DAFTAR_FIXTURE",IF(M148="","CEK ZONA NO kosong",IF(ISNA(MATCH(R148&amp;"|"&amp;M148,LAYOUT!$E$2:$E$80,0)),"CEK ZONA NO di luar layout",IF(N148&lt;&gt;INDEX(LAYOUT!$D$2:$D$80,MATCH(R148&amp;"|"&amp;M148,LAYOUT!$E$2:$E$80,0)),"CEK JENIS ZONA",IF($D148="","Zona STOCK",IF($E148="","CEK SKU DESCRIPTION kosong",IF(AND(O148&lt;&gt;"",P148=""),"CEK URUTAN SAMBUNG kosong",IF(AND(O148&lt;&gt;"",LEFT(R148,6)="Endcap"),"CEK Endcap tidak ikut sambung","OK"))))))))))</f>
        <v/>
      </c>
      <c r="T148" s="11" t="n"/>
      <c r="U148" s="11" t="n"/>
      <c r="V148" s="11" t="n"/>
      <c r="W148" s="11" t="n"/>
      <c r="X148" s="11" t="n"/>
      <c r="Y148" s="11" t="n"/>
      <c r="Z148" s="12">
        <f>IF(T148="","",IFERROR(INDEX(DAFTAR_FIXTURE!$B$2:$B$51,MATCH(T148,DAFTAR_FIXTURE!$A$2:$A$51,0)),""))</f>
        <v/>
      </c>
      <c r="AA148" s="12">
        <f>IF(T148="","",IF(Z148="","CEK ID FIXTURE tidak ada di DAFTAR_FIXTURE",IF(U148="","CEK ZONA NO kosong",IF(ISNA(MATCH(Z148&amp;"|"&amp;U148,LAYOUT!$E$2:$E$80,0)),"CEK ZONA NO di luar layout",IF(V148&lt;&gt;INDEX(LAYOUT!$D$2:$D$80,MATCH(Z148&amp;"|"&amp;U148,LAYOUT!$E$2:$E$80,0)),"CEK JENIS ZONA",IF($D148="","Zona STOCK",IF($E148="","CEK SKU DESCRIPTION kosong",IF(AND(W148&lt;&gt;"",X148=""),"CEK URUTAN SAMBUNG kosong",IF(AND(W148&lt;&gt;"",LEFT(Z148,6)="Endcap"),"CEK Endcap tidak ikut sambung","OK")))))))))</f>
        <v/>
      </c>
      <c r="AB148" s="11" t="n"/>
      <c r="AC148" s="11" t="n"/>
      <c r="AD148" s="11" t="n"/>
      <c r="AE148" s="11" t="n"/>
      <c r="AF148" s="11" t="n"/>
      <c r="AG148" s="11" t="n"/>
      <c r="AH148" s="12">
        <f>IF(AB148="","",IFERROR(INDEX(DAFTAR_FIXTURE!$B$2:$B$51,MATCH(AB148,DAFTAR_FIXTURE!$A$2:$A$51,0)),""))</f>
        <v/>
      </c>
      <c r="AI148" s="12">
        <f>IF(AB148="","",IF(AH148="","CEK ID FIXTURE tidak ada di DAFTAR_FIXTURE",IF(AC148="","CEK ZONA NO kosong",IF(ISNA(MATCH(AH148&amp;"|"&amp;AC148,LAYOUT!$E$2:$E$80,0)),"CEK ZONA NO di luar layout",IF(AD148&lt;&gt;INDEX(LAYOUT!$D$2:$D$80,MATCH(AH148&amp;"|"&amp;AC148,LAYOUT!$E$2:$E$80,0)),"CEK JENIS ZONA",IF($D148="","Zona STOCK",IF($E148="","CEK SKU DESCRIPTION kosong",IF(AND(AE148&lt;&gt;"",AF148=""),"CEK URUTAN SAMBUNG kosong",IF(AND(AE148&lt;&gt;"",LEFT(AH148,6)="Endcap"),"CEK Endcap tidak ikut sambung","OK")))))))))</f>
        <v/>
      </c>
    </row>
    <row r="149">
      <c r="A149" s="10" t="n"/>
      <c r="B149" s="10" t="n"/>
      <c r="C149" s="10" t="n"/>
      <c r="D149" s="10" t="n"/>
      <c r="E149" s="10" t="n"/>
      <c r="F149" s="10" t="n"/>
      <c r="G149" s="10" t="n"/>
      <c r="H149" s="10" t="n"/>
      <c r="I149" s="10" t="n"/>
      <c r="J149" s="10" t="n"/>
      <c r="K149" s="10" t="n"/>
      <c r="L149" s="11" t="n"/>
      <c r="M149" s="11" t="n"/>
      <c r="N149" s="11" t="n"/>
      <c r="O149" s="11" t="n"/>
      <c r="P149" s="11" t="n"/>
      <c r="Q149" s="11" t="n"/>
      <c r="R149" s="12">
        <f>IF(L149="","",IFERROR(INDEX(DAFTAR_FIXTURE!$B$2:$B$51,MATCH(L149,DAFTAR_FIXTURE!$A$2:$A$51,0)),""))</f>
        <v/>
      </c>
      <c r="S149" s="12">
        <f>IF(AND($D149="",L149=""),"",IF(L149="",IF(AND(T149="",AB149=""),"Belum ditempatkan",""),IF(R149="","CEK ID FIXTURE tidak ada di DAFTAR_FIXTURE",IF(M149="","CEK ZONA NO kosong",IF(ISNA(MATCH(R149&amp;"|"&amp;M149,LAYOUT!$E$2:$E$80,0)),"CEK ZONA NO di luar layout",IF(N149&lt;&gt;INDEX(LAYOUT!$D$2:$D$80,MATCH(R149&amp;"|"&amp;M149,LAYOUT!$E$2:$E$80,0)),"CEK JENIS ZONA",IF($D149="","Zona STOCK",IF($E149="","CEK SKU DESCRIPTION kosong",IF(AND(O149&lt;&gt;"",P149=""),"CEK URUTAN SAMBUNG kosong",IF(AND(O149&lt;&gt;"",LEFT(R149,6)="Endcap"),"CEK Endcap tidak ikut sambung","OK"))))))))))</f>
        <v/>
      </c>
      <c r="T149" s="11" t="n"/>
      <c r="U149" s="11" t="n"/>
      <c r="V149" s="11" t="n"/>
      <c r="W149" s="11" t="n"/>
      <c r="X149" s="11" t="n"/>
      <c r="Y149" s="11" t="n"/>
      <c r="Z149" s="12">
        <f>IF(T149="","",IFERROR(INDEX(DAFTAR_FIXTURE!$B$2:$B$51,MATCH(T149,DAFTAR_FIXTURE!$A$2:$A$51,0)),""))</f>
        <v/>
      </c>
      <c r="AA149" s="12">
        <f>IF(T149="","",IF(Z149="","CEK ID FIXTURE tidak ada di DAFTAR_FIXTURE",IF(U149="","CEK ZONA NO kosong",IF(ISNA(MATCH(Z149&amp;"|"&amp;U149,LAYOUT!$E$2:$E$80,0)),"CEK ZONA NO di luar layout",IF(V149&lt;&gt;INDEX(LAYOUT!$D$2:$D$80,MATCH(Z149&amp;"|"&amp;U149,LAYOUT!$E$2:$E$80,0)),"CEK JENIS ZONA",IF($D149="","Zona STOCK",IF($E149="","CEK SKU DESCRIPTION kosong",IF(AND(W149&lt;&gt;"",X149=""),"CEK URUTAN SAMBUNG kosong",IF(AND(W149&lt;&gt;"",LEFT(Z149,6)="Endcap"),"CEK Endcap tidak ikut sambung","OK")))))))))</f>
        <v/>
      </c>
      <c r="AB149" s="11" t="n"/>
      <c r="AC149" s="11" t="n"/>
      <c r="AD149" s="11" t="n"/>
      <c r="AE149" s="11" t="n"/>
      <c r="AF149" s="11" t="n"/>
      <c r="AG149" s="11" t="n"/>
      <c r="AH149" s="12">
        <f>IF(AB149="","",IFERROR(INDEX(DAFTAR_FIXTURE!$B$2:$B$51,MATCH(AB149,DAFTAR_FIXTURE!$A$2:$A$51,0)),""))</f>
        <v/>
      </c>
      <c r="AI149" s="12">
        <f>IF(AB149="","",IF(AH149="","CEK ID FIXTURE tidak ada di DAFTAR_FIXTURE",IF(AC149="","CEK ZONA NO kosong",IF(ISNA(MATCH(AH149&amp;"|"&amp;AC149,LAYOUT!$E$2:$E$80,0)),"CEK ZONA NO di luar layout",IF(AD149&lt;&gt;INDEX(LAYOUT!$D$2:$D$80,MATCH(AH149&amp;"|"&amp;AC149,LAYOUT!$E$2:$E$80,0)),"CEK JENIS ZONA",IF($D149="","Zona STOCK",IF($E149="","CEK SKU DESCRIPTION kosong",IF(AND(AE149&lt;&gt;"",AF149=""),"CEK URUTAN SAMBUNG kosong",IF(AND(AE149&lt;&gt;"",LEFT(AH149,6)="Endcap"),"CEK Endcap tidak ikut sambung","OK")))))))))</f>
        <v/>
      </c>
    </row>
    <row r="150">
      <c r="A150" s="10" t="n"/>
      <c r="B150" s="10" t="n"/>
      <c r="C150" s="10" t="n"/>
      <c r="D150" s="10" t="n"/>
      <c r="E150" s="10" t="n"/>
      <c r="F150" s="10" t="n"/>
      <c r="G150" s="10" t="n"/>
      <c r="H150" s="10" t="n"/>
      <c r="I150" s="10" t="n"/>
      <c r="J150" s="10" t="n"/>
      <c r="K150" s="10" t="n"/>
      <c r="L150" s="11" t="n"/>
      <c r="M150" s="11" t="n"/>
      <c r="N150" s="11" t="n"/>
      <c r="O150" s="11" t="n"/>
      <c r="P150" s="11" t="n"/>
      <c r="Q150" s="11" t="n"/>
      <c r="R150" s="12">
        <f>IF(L150="","",IFERROR(INDEX(DAFTAR_FIXTURE!$B$2:$B$51,MATCH(L150,DAFTAR_FIXTURE!$A$2:$A$51,0)),""))</f>
        <v/>
      </c>
      <c r="S150" s="12">
        <f>IF(AND($D150="",L150=""),"",IF(L150="",IF(AND(T150="",AB150=""),"Belum ditempatkan",""),IF(R150="","CEK ID FIXTURE tidak ada di DAFTAR_FIXTURE",IF(M150="","CEK ZONA NO kosong",IF(ISNA(MATCH(R150&amp;"|"&amp;M150,LAYOUT!$E$2:$E$80,0)),"CEK ZONA NO di luar layout",IF(N150&lt;&gt;INDEX(LAYOUT!$D$2:$D$80,MATCH(R150&amp;"|"&amp;M150,LAYOUT!$E$2:$E$80,0)),"CEK JENIS ZONA",IF($D150="","Zona STOCK",IF($E150="","CEK SKU DESCRIPTION kosong",IF(AND(O150&lt;&gt;"",P150=""),"CEK URUTAN SAMBUNG kosong",IF(AND(O150&lt;&gt;"",LEFT(R150,6)="Endcap"),"CEK Endcap tidak ikut sambung","OK"))))))))))</f>
        <v/>
      </c>
      <c r="T150" s="11" t="n"/>
      <c r="U150" s="11" t="n"/>
      <c r="V150" s="11" t="n"/>
      <c r="W150" s="11" t="n"/>
      <c r="X150" s="11" t="n"/>
      <c r="Y150" s="11" t="n"/>
      <c r="Z150" s="12">
        <f>IF(T150="","",IFERROR(INDEX(DAFTAR_FIXTURE!$B$2:$B$51,MATCH(T150,DAFTAR_FIXTURE!$A$2:$A$51,0)),""))</f>
        <v/>
      </c>
      <c r="AA150" s="12">
        <f>IF(T150="","",IF(Z150="","CEK ID FIXTURE tidak ada di DAFTAR_FIXTURE",IF(U150="","CEK ZONA NO kosong",IF(ISNA(MATCH(Z150&amp;"|"&amp;U150,LAYOUT!$E$2:$E$80,0)),"CEK ZONA NO di luar layout",IF(V150&lt;&gt;INDEX(LAYOUT!$D$2:$D$80,MATCH(Z150&amp;"|"&amp;U150,LAYOUT!$E$2:$E$80,0)),"CEK JENIS ZONA",IF($D150="","Zona STOCK",IF($E150="","CEK SKU DESCRIPTION kosong",IF(AND(W150&lt;&gt;"",X150=""),"CEK URUTAN SAMBUNG kosong",IF(AND(W150&lt;&gt;"",LEFT(Z150,6)="Endcap"),"CEK Endcap tidak ikut sambung","OK")))))))))</f>
        <v/>
      </c>
      <c r="AB150" s="11" t="n"/>
      <c r="AC150" s="11" t="n"/>
      <c r="AD150" s="11" t="n"/>
      <c r="AE150" s="11" t="n"/>
      <c r="AF150" s="11" t="n"/>
      <c r="AG150" s="11" t="n"/>
      <c r="AH150" s="12">
        <f>IF(AB150="","",IFERROR(INDEX(DAFTAR_FIXTURE!$B$2:$B$51,MATCH(AB150,DAFTAR_FIXTURE!$A$2:$A$51,0)),""))</f>
        <v/>
      </c>
      <c r="AI150" s="12">
        <f>IF(AB150="","",IF(AH150="","CEK ID FIXTURE tidak ada di DAFTAR_FIXTURE",IF(AC150="","CEK ZONA NO kosong",IF(ISNA(MATCH(AH150&amp;"|"&amp;AC150,LAYOUT!$E$2:$E$80,0)),"CEK ZONA NO di luar layout",IF(AD150&lt;&gt;INDEX(LAYOUT!$D$2:$D$80,MATCH(AH150&amp;"|"&amp;AC150,LAYOUT!$E$2:$E$80,0)),"CEK JENIS ZONA",IF($D150="","Zona STOCK",IF($E150="","CEK SKU DESCRIPTION kosong",IF(AND(AE150&lt;&gt;"",AF150=""),"CEK URUTAN SAMBUNG kosong",IF(AND(AE150&lt;&gt;"",LEFT(AH150,6)="Endcap"),"CEK Endcap tidak ikut sambung","OK")))))))))</f>
        <v/>
      </c>
    </row>
    <row r="151">
      <c r="A151" s="10" t="n"/>
      <c r="B151" s="10" t="n"/>
      <c r="C151" s="10" t="n"/>
      <c r="D151" s="10" t="n"/>
      <c r="E151" s="10" t="n"/>
      <c r="F151" s="10" t="n"/>
      <c r="G151" s="10" t="n"/>
      <c r="H151" s="10" t="n"/>
      <c r="I151" s="10" t="n"/>
      <c r="J151" s="10" t="n"/>
      <c r="K151" s="10" t="n"/>
      <c r="L151" s="11" t="n"/>
      <c r="M151" s="11" t="n"/>
      <c r="N151" s="11" t="n"/>
      <c r="O151" s="11" t="n"/>
      <c r="P151" s="11" t="n"/>
      <c r="Q151" s="11" t="n"/>
      <c r="R151" s="12">
        <f>IF(L151="","",IFERROR(INDEX(DAFTAR_FIXTURE!$B$2:$B$51,MATCH(L151,DAFTAR_FIXTURE!$A$2:$A$51,0)),""))</f>
        <v/>
      </c>
      <c r="S151" s="12">
        <f>IF(AND($D151="",L151=""),"",IF(L151="",IF(AND(T151="",AB151=""),"Belum ditempatkan",""),IF(R151="","CEK ID FIXTURE tidak ada di DAFTAR_FIXTURE",IF(M151="","CEK ZONA NO kosong",IF(ISNA(MATCH(R151&amp;"|"&amp;M151,LAYOUT!$E$2:$E$80,0)),"CEK ZONA NO di luar layout",IF(N151&lt;&gt;INDEX(LAYOUT!$D$2:$D$80,MATCH(R151&amp;"|"&amp;M151,LAYOUT!$E$2:$E$80,0)),"CEK JENIS ZONA",IF($D151="","Zona STOCK",IF($E151="","CEK SKU DESCRIPTION kosong",IF(AND(O151&lt;&gt;"",P151=""),"CEK URUTAN SAMBUNG kosong",IF(AND(O151&lt;&gt;"",LEFT(R151,6)="Endcap"),"CEK Endcap tidak ikut sambung","OK"))))))))))</f>
        <v/>
      </c>
      <c r="T151" s="11" t="n"/>
      <c r="U151" s="11" t="n"/>
      <c r="V151" s="11" t="n"/>
      <c r="W151" s="11" t="n"/>
      <c r="X151" s="11" t="n"/>
      <c r="Y151" s="11" t="n"/>
      <c r="Z151" s="12">
        <f>IF(T151="","",IFERROR(INDEX(DAFTAR_FIXTURE!$B$2:$B$51,MATCH(T151,DAFTAR_FIXTURE!$A$2:$A$51,0)),""))</f>
        <v/>
      </c>
      <c r="AA151" s="12">
        <f>IF(T151="","",IF(Z151="","CEK ID FIXTURE tidak ada di DAFTAR_FIXTURE",IF(U151="","CEK ZONA NO kosong",IF(ISNA(MATCH(Z151&amp;"|"&amp;U151,LAYOUT!$E$2:$E$80,0)),"CEK ZONA NO di luar layout",IF(V151&lt;&gt;INDEX(LAYOUT!$D$2:$D$80,MATCH(Z151&amp;"|"&amp;U151,LAYOUT!$E$2:$E$80,0)),"CEK JENIS ZONA",IF($D151="","Zona STOCK",IF($E151="","CEK SKU DESCRIPTION kosong",IF(AND(W151&lt;&gt;"",X151=""),"CEK URUTAN SAMBUNG kosong",IF(AND(W151&lt;&gt;"",LEFT(Z151,6)="Endcap"),"CEK Endcap tidak ikut sambung","OK")))))))))</f>
        <v/>
      </c>
      <c r="AB151" s="11" t="n"/>
      <c r="AC151" s="11" t="n"/>
      <c r="AD151" s="11" t="n"/>
      <c r="AE151" s="11" t="n"/>
      <c r="AF151" s="11" t="n"/>
      <c r="AG151" s="11" t="n"/>
      <c r="AH151" s="12">
        <f>IF(AB151="","",IFERROR(INDEX(DAFTAR_FIXTURE!$B$2:$B$51,MATCH(AB151,DAFTAR_FIXTURE!$A$2:$A$51,0)),""))</f>
        <v/>
      </c>
      <c r="AI151" s="12">
        <f>IF(AB151="","",IF(AH151="","CEK ID FIXTURE tidak ada di DAFTAR_FIXTURE",IF(AC151="","CEK ZONA NO kosong",IF(ISNA(MATCH(AH151&amp;"|"&amp;AC151,LAYOUT!$E$2:$E$80,0)),"CEK ZONA NO di luar layout",IF(AD151&lt;&gt;INDEX(LAYOUT!$D$2:$D$80,MATCH(AH151&amp;"|"&amp;AC151,LAYOUT!$E$2:$E$80,0)),"CEK JENIS ZONA",IF($D151="","Zona STOCK",IF($E151="","CEK SKU DESCRIPTION kosong",IF(AND(AE151&lt;&gt;"",AF151=""),"CEK URUTAN SAMBUNG kosong",IF(AND(AE151&lt;&gt;"",LEFT(AH151,6)="Endcap"),"CEK Endcap tidak ikut sambung","OK")))))))))</f>
        <v/>
      </c>
    </row>
    <row r="152">
      <c r="A152" s="10" t="n"/>
      <c r="B152" s="10" t="n"/>
      <c r="C152" s="10" t="n"/>
      <c r="D152" s="10" t="n"/>
      <c r="E152" s="10" t="n"/>
      <c r="F152" s="10" t="n"/>
      <c r="G152" s="10" t="n"/>
      <c r="H152" s="10" t="n"/>
      <c r="I152" s="10" t="n"/>
      <c r="J152" s="10" t="n"/>
      <c r="K152" s="10" t="n"/>
      <c r="L152" s="11" t="n"/>
      <c r="M152" s="11" t="n"/>
      <c r="N152" s="11" t="n"/>
      <c r="O152" s="11" t="n"/>
      <c r="P152" s="11" t="n"/>
      <c r="Q152" s="11" t="n"/>
      <c r="R152" s="12">
        <f>IF(L152="","",IFERROR(INDEX(DAFTAR_FIXTURE!$B$2:$B$51,MATCH(L152,DAFTAR_FIXTURE!$A$2:$A$51,0)),""))</f>
        <v/>
      </c>
      <c r="S152" s="12">
        <f>IF(AND($D152="",L152=""),"",IF(L152="",IF(AND(T152="",AB152=""),"Belum ditempatkan",""),IF(R152="","CEK ID FIXTURE tidak ada di DAFTAR_FIXTURE",IF(M152="","CEK ZONA NO kosong",IF(ISNA(MATCH(R152&amp;"|"&amp;M152,LAYOUT!$E$2:$E$80,0)),"CEK ZONA NO di luar layout",IF(N152&lt;&gt;INDEX(LAYOUT!$D$2:$D$80,MATCH(R152&amp;"|"&amp;M152,LAYOUT!$E$2:$E$80,0)),"CEK JENIS ZONA",IF($D152="","Zona STOCK",IF($E152="","CEK SKU DESCRIPTION kosong",IF(AND(O152&lt;&gt;"",P152=""),"CEK URUTAN SAMBUNG kosong",IF(AND(O152&lt;&gt;"",LEFT(R152,6)="Endcap"),"CEK Endcap tidak ikut sambung","OK"))))))))))</f>
        <v/>
      </c>
      <c r="T152" s="11" t="n"/>
      <c r="U152" s="11" t="n"/>
      <c r="V152" s="11" t="n"/>
      <c r="W152" s="11" t="n"/>
      <c r="X152" s="11" t="n"/>
      <c r="Y152" s="11" t="n"/>
      <c r="Z152" s="12">
        <f>IF(T152="","",IFERROR(INDEX(DAFTAR_FIXTURE!$B$2:$B$51,MATCH(T152,DAFTAR_FIXTURE!$A$2:$A$51,0)),""))</f>
        <v/>
      </c>
      <c r="AA152" s="12">
        <f>IF(T152="","",IF(Z152="","CEK ID FIXTURE tidak ada di DAFTAR_FIXTURE",IF(U152="","CEK ZONA NO kosong",IF(ISNA(MATCH(Z152&amp;"|"&amp;U152,LAYOUT!$E$2:$E$80,0)),"CEK ZONA NO di luar layout",IF(V152&lt;&gt;INDEX(LAYOUT!$D$2:$D$80,MATCH(Z152&amp;"|"&amp;U152,LAYOUT!$E$2:$E$80,0)),"CEK JENIS ZONA",IF($D152="","Zona STOCK",IF($E152="","CEK SKU DESCRIPTION kosong",IF(AND(W152&lt;&gt;"",X152=""),"CEK URUTAN SAMBUNG kosong",IF(AND(W152&lt;&gt;"",LEFT(Z152,6)="Endcap"),"CEK Endcap tidak ikut sambung","OK")))))))))</f>
        <v/>
      </c>
      <c r="AB152" s="11" t="n"/>
      <c r="AC152" s="11" t="n"/>
      <c r="AD152" s="11" t="n"/>
      <c r="AE152" s="11" t="n"/>
      <c r="AF152" s="11" t="n"/>
      <c r="AG152" s="11" t="n"/>
      <c r="AH152" s="12">
        <f>IF(AB152="","",IFERROR(INDEX(DAFTAR_FIXTURE!$B$2:$B$51,MATCH(AB152,DAFTAR_FIXTURE!$A$2:$A$51,0)),""))</f>
        <v/>
      </c>
      <c r="AI152" s="12">
        <f>IF(AB152="","",IF(AH152="","CEK ID FIXTURE tidak ada di DAFTAR_FIXTURE",IF(AC152="","CEK ZONA NO kosong",IF(ISNA(MATCH(AH152&amp;"|"&amp;AC152,LAYOUT!$E$2:$E$80,0)),"CEK ZONA NO di luar layout",IF(AD152&lt;&gt;INDEX(LAYOUT!$D$2:$D$80,MATCH(AH152&amp;"|"&amp;AC152,LAYOUT!$E$2:$E$80,0)),"CEK JENIS ZONA",IF($D152="","Zona STOCK",IF($E152="","CEK SKU DESCRIPTION kosong",IF(AND(AE152&lt;&gt;"",AF152=""),"CEK URUTAN SAMBUNG kosong",IF(AND(AE152&lt;&gt;"",LEFT(AH152,6)="Endcap"),"CEK Endcap tidak ikut sambung","OK")))))))))</f>
        <v/>
      </c>
    </row>
    <row r="153">
      <c r="A153" s="10" t="n"/>
      <c r="B153" s="10" t="n"/>
      <c r="C153" s="10" t="n"/>
      <c r="D153" s="10" t="n"/>
      <c r="E153" s="10" t="n"/>
      <c r="F153" s="10" t="n"/>
      <c r="G153" s="10" t="n"/>
      <c r="H153" s="10" t="n"/>
      <c r="I153" s="10" t="n"/>
      <c r="J153" s="10" t="n"/>
      <c r="K153" s="10" t="n"/>
      <c r="L153" s="11" t="n"/>
      <c r="M153" s="11" t="n"/>
      <c r="N153" s="11" t="n"/>
      <c r="O153" s="11" t="n"/>
      <c r="P153" s="11" t="n"/>
      <c r="Q153" s="11" t="n"/>
      <c r="R153" s="12">
        <f>IF(L153="","",IFERROR(INDEX(DAFTAR_FIXTURE!$B$2:$B$51,MATCH(L153,DAFTAR_FIXTURE!$A$2:$A$51,0)),""))</f>
        <v/>
      </c>
      <c r="S153" s="12">
        <f>IF(AND($D153="",L153=""),"",IF(L153="",IF(AND(T153="",AB153=""),"Belum ditempatkan",""),IF(R153="","CEK ID FIXTURE tidak ada di DAFTAR_FIXTURE",IF(M153="","CEK ZONA NO kosong",IF(ISNA(MATCH(R153&amp;"|"&amp;M153,LAYOUT!$E$2:$E$80,0)),"CEK ZONA NO di luar layout",IF(N153&lt;&gt;INDEX(LAYOUT!$D$2:$D$80,MATCH(R153&amp;"|"&amp;M153,LAYOUT!$E$2:$E$80,0)),"CEK JENIS ZONA",IF($D153="","Zona STOCK",IF($E153="","CEK SKU DESCRIPTION kosong",IF(AND(O153&lt;&gt;"",P153=""),"CEK URUTAN SAMBUNG kosong",IF(AND(O153&lt;&gt;"",LEFT(R153,6)="Endcap"),"CEK Endcap tidak ikut sambung","OK"))))))))))</f>
        <v/>
      </c>
      <c r="T153" s="11" t="n"/>
      <c r="U153" s="11" t="n"/>
      <c r="V153" s="11" t="n"/>
      <c r="W153" s="11" t="n"/>
      <c r="X153" s="11" t="n"/>
      <c r="Y153" s="11" t="n"/>
      <c r="Z153" s="12">
        <f>IF(T153="","",IFERROR(INDEX(DAFTAR_FIXTURE!$B$2:$B$51,MATCH(T153,DAFTAR_FIXTURE!$A$2:$A$51,0)),""))</f>
        <v/>
      </c>
      <c r="AA153" s="12">
        <f>IF(T153="","",IF(Z153="","CEK ID FIXTURE tidak ada di DAFTAR_FIXTURE",IF(U153="","CEK ZONA NO kosong",IF(ISNA(MATCH(Z153&amp;"|"&amp;U153,LAYOUT!$E$2:$E$80,0)),"CEK ZONA NO di luar layout",IF(V153&lt;&gt;INDEX(LAYOUT!$D$2:$D$80,MATCH(Z153&amp;"|"&amp;U153,LAYOUT!$E$2:$E$80,0)),"CEK JENIS ZONA",IF($D153="","Zona STOCK",IF($E153="","CEK SKU DESCRIPTION kosong",IF(AND(W153&lt;&gt;"",X153=""),"CEK URUTAN SAMBUNG kosong",IF(AND(W153&lt;&gt;"",LEFT(Z153,6)="Endcap"),"CEK Endcap tidak ikut sambung","OK")))))))))</f>
        <v/>
      </c>
      <c r="AB153" s="11" t="n"/>
      <c r="AC153" s="11" t="n"/>
      <c r="AD153" s="11" t="n"/>
      <c r="AE153" s="11" t="n"/>
      <c r="AF153" s="11" t="n"/>
      <c r="AG153" s="11" t="n"/>
      <c r="AH153" s="12">
        <f>IF(AB153="","",IFERROR(INDEX(DAFTAR_FIXTURE!$B$2:$B$51,MATCH(AB153,DAFTAR_FIXTURE!$A$2:$A$51,0)),""))</f>
        <v/>
      </c>
      <c r="AI153" s="12">
        <f>IF(AB153="","",IF(AH153="","CEK ID FIXTURE tidak ada di DAFTAR_FIXTURE",IF(AC153="","CEK ZONA NO kosong",IF(ISNA(MATCH(AH153&amp;"|"&amp;AC153,LAYOUT!$E$2:$E$80,0)),"CEK ZONA NO di luar layout",IF(AD153&lt;&gt;INDEX(LAYOUT!$D$2:$D$80,MATCH(AH153&amp;"|"&amp;AC153,LAYOUT!$E$2:$E$80,0)),"CEK JENIS ZONA",IF($D153="","Zona STOCK",IF($E153="","CEK SKU DESCRIPTION kosong",IF(AND(AE153&lt;&gt;"",AF153=""),"CEK URUTAN SAMBUNG kosong",IF(AND(AE153&lt;&gt;"",LEFT(AH153,6)="Endcap"),"CEK Endcap tidak ikut sambung","OK")))))))))</f>
        <v/>
      </c>
    </row>
    <row r="154">
      <c r="A154" s="10" t="n"/>
      <c r="B154" s="10" t="n"/>
      <c r="C154" s="10" t="n"/>
      <c r="D154" s="10" t="n"/>
      <c r="E154" s="10" t="n"/>
      <c r="F154" s="10" t="n"/>
      <c r="G154" s="10" t="n"/>
      <c r="H154" s="10" t="n"/>
      <c r="I154" s="10" t="n"/>
      <c r="J154" s="10" t="n"/>
      <c r="K154" s="10" t="n"/>
      <c r="L154" s="11" t="n"/>
      <c r="M154" s="11" t="n"/>
      <c r="N154" s="11" t="n"/>
      <c r="O154" s="11" t="n"/>
      <c r="P154" s="11" t="n"/>
      <c r="Q154" s="11" t="n"/>
      <c r="R154" s="12">
        <f>IF(L154="","",IFERROR(INDEX(DAFTAR_FIXTURE!$B$2:$B$51,MATCH(L154,DAFTAR_FIXTURE!$A$2:$A$51,0)),""))</f>
        <v/>
      </c>
      <c r="S154" s="12">
        <f>IF(AND($D154="",L154=""),"",IF(L154="",IF(AND(T154="",AB154=""),"Belum ditempatkan",""),IF(R154="","CEK ID FIXTURE tidak ada di DAFTAR_FIXTURE",IF(M154="","CEK ZONA NO kosong",IF(ISNA(MATCH(R154&amp;"|"&amp;M154,LAYOUT!$E$2:$E$80,0)),"CEK ZONA NO di luar layout",IF(N154&lt;&gt;INDEX(LAYOUT!$D$2:$D$80,MATCH(R154&amp;"|"&amp;M154,LAYOUT!$E$2:$E$80,0)),"CEK JENIS ZONA",IF($D154="","Zona STOCK",IF($E154="","CEK SKU DESCRIPTION kosong",IF(AND(O154&lt;&gt;"",P154=""),"CEK URUTAN SAMBUNG kosong",IF(AND(O154&lt;&gt;"",LEFT(R154,6)="Endcap"),"CEK Endcap tidak ikut sambung","OK"))))))))))</f>
        <v/>
      </c>
      <c r="T154" s="11" t="n"/>
      <c r="U154" s="11" t="n"/>
      <c r="V154" s="11" t="n"/>
      <c r="W154" s="11" t="n"/>
      <c r="X154" s="11" t="n"/>
      <c r="Y154" s="11" t="n"/>
      <c r="Z154" s="12">
        <f>IF(T154="","",IFERROR(INDEX(DAFTAR_FIXTURE!$B$2:$B$51,MATCH(T154,DAFTAR_FIXTURE!$A$2:$A$51,0)),""))</f>
        <v/>
      </c>
      <c r="AA154" s="12">
        <f>IF(T154="","",IF(Z154="","CEK ID FIXTURE tidak ada di DAFTAR_FIXTURE",IF(U154="","CEK ZONA NO kosong",IF(ISNA(MATCH(Z154&amp;"|"&amp;U154,LAYOUT!$E$2:$E$80,0)),"CEK ZONA NO di luar layout",IF(V154&lt;&gt;INDEX(LAYOUT!$D$2:$D$80,MATCH(Z154&amp;"|"&amp;U154,LAYOUT!$E$2:$E$80,0)),"CEK JENIS ZONA",IF($D154="","Zona STOCK",IF($E154="","CEK SKU DESCRIPTION kosong",IF(AND(W154&lt;&gt;"",X154=""),"CEK URUTAN SAMBUNG kosong",IF(AND(W154&lt;&gt;"",LEFT(Z154,6)="Endcap"),"CEK Endcap tidak ikut sambung","OK")))))))))</f>
        <v/>
      </c>
      <c r="AB154" s="11" t="n"/>
      <c r="AC154" s="11" t="n"/>
      <c r="AD154" s="11" t="n"/>
      <c r="AE154" s="11" t="n"/>
      <c r="AF154" s="11" t="n"/>
      <c r="AG154" s="11" t="n"/>
      <c r="AH154" s="12">
        <f>IF(AB154="","",IFERROR(INDEX(DAFTAR_FIXTURE!$B$2:$B$51,MATCH(AB154,DAFTAR_FIXTURE!$A$2:$A$51,0)),""))</f>
        <v/>
      </c>
      <c r="AI154" s="12">
        <f>IF(AB154="","",IF(AH154="","CEK ID FIXTURE tidak ada di DAFTAR_FIXTURE",IF(AC154="","CEK ZONA NO kosong",IF(ISNA(MATCH(AH154&amp;"|"&amp;AC154,LAYOUT!$E$2:$E$80,0)),"CEK ZONA NO di luar layout",IF(AD154&lt;&gt;INDEX(LAYOUT!$D$2:$D$80,MATCH(AH154&amp;"|"&amp;AC154,LAYOUT!$E$2:$E$80,0)),"CEK JENIS ZONA",IF($D154="","Zona STOCK",IF($E154="","CEK SKU DESCRIPTION kosong",IF(AND(AE154&lt;&gt;"",AF154=""),"CEK URUTAN SAMBUNG kosong",IF(AND(AE154&lt;&gt;"",LEFT(AH154,6)="Endcap"),"CEK Endcap tidak ikut sambung","OK")))))))))</f>
        <v/>
      </c>
    </row>
    <row r="155">
      <c r="A155" s="10" t="n"/>
      <c r="B155" s="10" t="n"/>
      <c r="C155" s="10" t="n"/>
      <c r="D155" s="10" t="n"/>
      <c r="E155" s="10" t="n"/>
      <c r="F155" s="10" t="n"/>
      <c r="G155" s="10" t="n"/>
      <c r="H155" s="10" t="n"/>
      <c r="I155" s="10" t="n"/>
      <c r="J155" s="10" t="n"/>
      <c r="K155" s="10" t="n"/>
      <c r="L155" s="11" t="n"/>
      <c r="M155" s="11" t="n"/>
      <c r="N155" s="11" t="n"/>
      <c r="O155" s="11" t="n"/>
      <c r="P155" s="11" t="n"/>
      <c r="Q155" s="11" t="n"/>
      <c r="R155" s="12">
        <f>IF(L155="","",IFERROR(INDEX(DAFTAR_FIXTURE!$B$2:$B$51,MATCH(L155,DAFTAR_FIXTURE!$A$2:$A$51,0)),""))</f>
        <v/>
      </c>
      <c r="S155" s="12">
        <f>IF(AND($D155="",L155=""),"",IF(L155="",IF(AND(T155="",AB155=""),"Belum ditempatkan",""),IF(R155="","CEK ID FIXTURE tidak ada di DAFTAR_FIXTURE",IF(M155="","CEK ZONA NO kosong",IF(ISNA(MATCH(R155&amp;"|"&amp;M155,LAYOUT!$E$2:$E$80,0)),"CEK ZONA NO di luar layout",IF(N155&lt;&gt;INDEX(LAYOUT!$D$2:$D$80,MATCH(R155&amp;"|"&amp;M155,LAYOUT!$E$2:$E$80,0)),"CEK JENIS ZONA",IF($D155="","Zona STOCK",IF($E155="","CEK SKU DESCRIPTION kosong",IF(AND(O155&lt;&gt;"",P155=""),"CEK URUTAN SAMBUNG kosong",IF(AND(O155&lt;&gt;"",LEFT(R155,6)="Endcap"),"CEK Endcap tidak ikut sambung","OK"))))))))))</f>
        <v/>
      </c>
      <c r="T155" s="11" t="n"/>
      <c r="U155" s="11" t="n"/>
      <c r="V155" s="11" t="n"/>
      <c r="W155" s="11" t="n"/>
      <c r="X155" s="11" t="n"/>
      <c r="Y155" s="11" t="n"/>
      <c r="Z155" s="12">
        <f>IF(T155="","",IFERROR(INDEX(DAFTAR_FIXTURE!$B$2:$B$51,MATCH(T155,DAFTAR_FIXTURE!$A$2:$A$51,0)),""))</f>
        <v/>
      </c>
      <c r="AA155" s="12">
        <f>IF(T155="","",IF(Z155="","CEK ID FIXTURE tidak ada di DAFTAR_FIXTURE",IF(U155="","CEK ZONA NO kosong",IF(ISNA(MATCH(Z155&amp;"|"&amp;U155,LAYOUT!$E$2:$E$80,0)),"CEK ZONA NO di luar layout",IF(V155&lt;&gt;INDEX(LAYOUT!$D$2:$D$80,MATCH(Z155&amp;"|"&amp;U155,LAYOUT!$E$2:$E$80,0)),"CEK JENIS ZONA",IF($D155="","Zona STOCK",IF($E155="","CEK SKU DESCRIPTION kosong",IF(AND(W155&lt;&gt;"",X155=""),"CEK URUTAN SAMBUNG kosong",IF(AND(W155&lt;&gt;"",LEFT(Z155,6)="Endcap"),"CEK Endcap tidak ikut sambung","OK")))))))))</f>
        <v/>
      </c>
      <c r="AB155" s="11" t="n"/>
      <c r="AC155" s="11" t="n"/>
      <c r="AD155" s="11" t="n"/>
      <c r="AE155" s="11" t="n"/>
      <c r="AF155" s="11" t="n"/>
      <c r="AG155" s="11" t="n"/>
      <c r="AH155" s="12">
        <f>IF(AB155="","",IFERROR(INDEX(DAFTAR_FIXTURE!$B$2:$B$51,MATCH(AB155,DAFTAR_FIXTURE!$A$2:$A$51,0)),""))</f>
        <v/>
      </c>
      <c r="AI155" s="12">
        <f>IF(AB155="","",IF(AH155="","CEK ID FIXTURE tidak ada di DAFTAR_FIXTURE",IF(AC155="","CEK ZONA NO kosong",IF(ISNA(MATCH(AH155&amp;"|"&amp;AC155,LAYOUT!$E$2:$E$80,0)),"CEK ZONA NO di luar layout",IF(AD155&lt;&gt;INDEX(LAYOUT!$D$2:$D$80,MATCH(AH155&amp;"|"&amp;AC155,LAYOUT!$E$2:$E$80,0)),"CEK JENIS ZONA",IF($D155="","Zona STOCK",IF($E155="","CEK SKU DESCRIPTION kosong",IF(AND(AE155&lt;&gt;"",AF155=""),"CEK URUTAN SAMBUNG kosong",IF(AND(AE155&lt;&gt;"",LEFT(AH155,6)="Endcap"),"CEK Endcap tidak ikut sambung","OK")))))))))</f>
        <v/>
      </c>
    </row>
    <row r="156">
      <c r="A156" s="10" t="n"/>
      <c r="B156" s="10" t="n"/>
      <c r="C156" s="10" t="n"/>
      <c r="D156" s="10" t="n"/>
      <c r="E156" s="10" t="n"/>
      <c r="F156" s="10" t="n"/>
      <c r="G156" s="10" t="n"/>
      <c r="H156" s="10" t="n"/>
      <c r="I156" s="10" t="n"/>
      <c r="J156" s="10" t="n"/>
      <c r="K156" s="10" t="n"/>
      <c r="L156" s="11" t="n"/>
      <c r="M156" s="11" t="n"/>
      <c r="N156" s="11" t="n"/>
      <c r="O156" s="11" t="n"/>
      <c r="P156" s="11" t="n"/>
      <c r="Q156" s="11" t="n"/>
      <c r="R156" s="12">
        <f>IF(L156="","",IFERROR(INDEX(DAFTAR_FIXTURE!$B$2:$B$51,MATCH(L156,DAFTAR_FIXTURE!$A$2:$A$51,0)),""))</f>
        <v/>
      </c>
      <c r="S156" s="12">
        <f>IF(AND($D156="",L156=""),"",IF(L156="",IF(AND(T156="",AB156=""),"Belum ditempatkan",""),IF(R156="","CEK ID FIXTURE tidak ada di DAFTAR_FIXTURE",IF(M156="","CEK ZONA NO kosong",IF(ISNA(MATCH(R156&amp;"|"&amp;M156,LAYOUT!$E$2:$E$80,0)),"CEK ZONA NO di luar layout",IF(N156&lt;&gt;INDEX(LAYOUT!$D$2:$D$80,MATCH(R156&amp;"|"&amp;M156,LAYOUT!$E$2:$E$80,0)),"CEK JENIS ZONA",IF($D156="","Zona STOCK",IF($E156="","CEK SKU DESCRIPTION kosong",IF(AND(O156&lt;&gt;"",P156=""),"CEK URUTAN SAMBUNG kosong",IF(AND(O156&lt;&gt;"",LEFT(R156,6)="Endcap"),"CEK Endcap tidak ikut sambung","OK"))))))))))</f>
        <v/>
      </c>
      <c r="T156" s="11" t="n"/>
      <c r="U156" s="11" t="n"/>
      <c r="V156" s="11" t="n"/>
      <c r="W156" s="11" t="n"/>
      <c r="X156" s="11" t="n"/>
      <c r="Y156" s="11" t="n"/>
      <c r="Z156" s="12">
        <f>IF(T156="","",IFERROR(INDEX(DAFTAR_FIXTURE!$B$2:$B$51,MATCH(T156,DAFTAR_FIXTURE!$A$2:$A$51,0)),""))</f>
        <v/>
      </c>
      <c r="AA156" s="12">
        <f>IF(T156="","",IF(Z156="","CEK ID FIXTURE tidak ada di DAFTAR_FIXTURE",IF(U156="","CEK ZONA NO kosong",IF(ISNA(MATCH(Z156&amp;"|"&amp;U156,LAYOUT!$E$2:$E$80,0)),"CEK ZONA NO di luar layout",IF(V156&lt;&gt;INDEX(LAYOUT!$D$2:$D$80,MATCH(Z156&amp;"|"&amp;U156,LAYOUT!$E$2:$E$80,0)),"CEK JENIS ZONA",IF($D156="","Zona STOCK",IF($E156="","CEK SKU DESCRIPTION kosong",IF(AND(W156&lt;&gt;"",X156=""),"CEK URUTAN SAMBUNG kosong",IF(AND(W156&lt;&gt;"",LEFT(Z156,6)="Endcap"),"CEK Endcap tidak ikut sambung","OK")))))))))</f>
        <v/>
      </c>
      <c r="AB156" s="11" t="n"/>
      <c r="AC156" s="11" t="n"/>
      <c r="AD156" s="11" t="n"/>
      <c r="AE156" s="11" t="n"/>
      <c r="AF156" s="11" t="n"/>
      <c r="AG156" s="11" t="n"/>
      <c r="AH156" s="12">
        <f>IF(AB156="","",IFERROR(INDEX(DAFTAR_FIXTURE!$B$2:$B$51,MATCH(AB156,DAFTAR_FIXTURE!$A$2:$A$51,0)),""))</f>
        <v/>
      </c>
      <c r="AI156" s="12">
        <f>IF(AB156="","",IF(AH156="","CEK ID FIXTURE tidak ada di DAFTAR_FIXTURE",IF(AC156="","CEK ZONA NO kosong",IF(ISNA(MATCH(AH156&amp;"|"&amp;AC156,LAYOUT!$E$2:$E$80,0)),"CEK ZONA NO di luar layout",IF(AD156&lt;&gt;INDEX(LAYOUT!$D$2:$D$80,MATCH(AH156&amp;"|"&amp;AC156,LAYOUT!$E$2:$E$80,0)),"CEK JENIS ZONA",IF($D156="","Zona STOCK",IF($E156="","CEK SKU DESCRIPTION kosong",IF(AND(AE156&lt;&gt;"",AF156=""),"CEK URUTAN SAMBUNG kosong",IF(AND(AE156&lt;&gt;"",LEFT(AH156,6)="Endcap"),"CEK Endcap tidak ikut sambung","OK")))))))))</f>
        <v/>
      </c>
    </row>
    <row r="157">
      <c r="A157" s="10" t="n"/>
      <c r="B157" s="10" t="n"/>
      <c r="C157" s="10" t="n"/>
      <c r="D157" s="10" t="n"/>
      <c r="E157" s="10" t="n"/>
      <c r="F157" s="10" t="n"/>
      <c r="G157" s="10" t="n"/>
      <c r="H157" s="10" t="n"/>
      <c r="I157" s="10" t="n"/>
      <c r="J157" s="10" t="n"/>
      <c r="K157" s="10" t="n"/>
      <c r="L157" s="11" t="n"/>
      <c r="M157" s="11" t="n"/>
      <c r="N157" s="11" t="n"/>
      <c r="O157" s="11" t="n"/>
      <c r="P157" s="11" t="n"/>
      <c r="Q157" s="11" t="n"/>
      <c r="R157" s="12">
        <f>IF(L157="","",IFERROR(INDEX(DAFTAR_FIXTURE!$B$2:$B$51,MATCH(L157,DAFTAR_FIXTURE!$A$2:$A$51,0)),""))</f>
        <v/>
      </c>
      <c r="S157" s="12">
        <f>IF(AND($D157="",L157=""),"",IF(L157="",IF(AND(T157="",AB157=""),"Belum ditempatkan",""),IF(R157="","CEK ID FIXTURE tidak ada di DAFTAR_FIXTURE",IF(M157="","CEK ZONA NO kosong",IF(ISNA(MATCH(R157&amp;"|"&amp;M157,LAYOUT!$E$2:$E$80,0)),"CEK ZONA NO di luar layout",IF(N157&lt;&gt;INDEX(LAYOUT!$D$2:$D$80,MATCH(R157&amp;"|"&amp;M157,LAYOUT!$E$2:$E$80,0)),"CEK JENIS ZONA",IF($D157="","Zona STOCK",IF($E157="","CEK SKU DESCRIPTION kosong",IF(AND(O157&lt;&gt;"",P157=""),"CEK URUTAN SAMBUNG kosong",IF(AND(O157&lt;&gt;"",LEFT(R157,6)="Endcap"),"CEK Endcap tidak ikut sambung","OK"))))))))))</f>
        <v/>
      </c>
      <c r="T157" s="11" t="n"/>
      <c r="U157" s="11" t="n"/>
      <c r="V157" s="11" t="n"/>
      <c r="W157" s="11" t="n"/>
      <c r="X157" s="11" t="n"/>
      <c r="Y157" s="11" t="n"/>
      <c r="Z157" s="12">
        <f>IF(T157="","",IFERROR(INDEX(DAFTAR_FIXTURE!$B$2:$B$51,MATCH(T157,DAFTAR_FIXTURE!$A$2:$A$51,0)),""))</f>
        <v/>
      </c>
      <c r="AA157" s="12">
        <f>IF(T157="","",IF(Z157="","CEK ID FIXTURE tidak ada di DAFTAR_FIXTURE",IF(U157="","CEK ZONA NO kosong",IF(ISNA(MATCH(Z157&amp;"|"&amp;U157,LAYOUT!$E$2:$E$80,0)),"CEK ZONA NO di luar layout",IF(V157&lt;&gt;INDEX(LAYOUT!$D$2:$D$80,MATCH(Z157&amp;"|"&amp;U157,LAYOUT!$E$2:$E$80,0)),"CEK JENIS ZONA",IF($D157="","Zona STOCK",IF($E157="","CEK SKU DESCRIPTION kosong",IF(AND(W157&lt;&gt;"",X157=""),"CEK URUTAN SAMBUNG kosong",IF(AND(W157&lt;&gt;"",LEFT(Z157,6)="Endcap"),"CEK Endcap tidak ikut sambung","OK")))))))))</f>
        <v/>
      </c>
      <c r="AB157" s="11" t="n"/>
      <c r="AC157" s="11" t="n"/>
      <c r="AD157" s="11" t="n"/>
      <c r="AE157" s="11" t="n"/>
      <c r="AF157" s="11" t="n"/>
      <c r="AG157" s="11" t="n"/>
      <c r="AH157" s="12">
        <f>IF(AB157="","",IFERROR(INDEX(DAFTAR_FIXTURE!$B$2:$B$51,MATCH(AB157,DAFTAR_FIXTURE!$A$2:$A$51,0)),""))</f>
        <v/>
      </c>
      <c r="AI157" s="12">
        <f>IF(AB157="","",IF(AH157="","CEK ID FIXTURE tidak ada di DAFTAR_FIXTURE",IF(AC157="","CEK ZONA NO kosong",IF(ISNA(MATCH(AH157&amp;"|"&amp;AC157,LAYOUT!$E$2:$E$80,0)),"CEK ZONA NO di luar layout",IF(AD157&lt;&gt;INDEX(LAYOUT!$D$2:$D$80,MATCH(AH157&amp;"|"&amp;AC157,LAYOUT!$E$2:$E$80,0)),"CEK JENIS ZONA",IF($D157="","Zona STOCK",IF($E157="","CEK SKU DESCRIPTION kosong",IF(AND(AE157&lt;&gt;"",AF157=""),"CEK URUTAN SAMBUNG kosong",IF(AND(AE157&lt;&gt;"",LEFT(AH157,6)="Endcap"),"CEK Endcap tidak ikut sambung","OK")))))))))</f>
        <v/>
      </c>
    </row>
    <row r="158">
      <c r="A158" s="10" t="n"/>
      <c r="B158" s="10" t="n"/>
      <c r="C158" s="10" t="n"/>
      <c r="D158" s="10" t="n"/>
      <c r="E158" s="10" t="n"/>
      <c r="F158" s="10" t="n"/>
      <c r="G158" s="10" t="n"/>
      <c r="H158" s="10" t="n"/>
      <c r="I158" s="10" t="n"/>
      <c r="J158" s="10" t="n"/>
      <c r="K158" s="10" t="n"/>
      <c r="L158" s="11" t="n"/>
      <c r="M158" s="11" t="n"/>
      <c r="N158" s="11" t="n"/>
      <c r="O158" s="11" t="n"/>
      <c r="P158" s="11" t="n"/>
      <c r="Q158" s="11" t="n"/>
      <c r="R158" s="12">
        <f>IF(L158="","",IFERROR(INDEX(DAFTAR_FIXTURE!$B$2:$B$51,MATCH(L158,DAFTAR_FIXTURE!$A$2:$A$51,0)),""))</f>
        <v/>
      </c>
      <c r="S158" s="12">
        <f>IF(AND($D158="",L158=""),"",IF(L158="",IF(AND(T158="",AB158=""),"Belum ditempatkan",""),IF(R158="","CEK ID FIXTURE tidak ada di DAFTAR_FIXTURE",IF(M158="","CEK ZONA NO kosong",IF(ISNA(MATCH(R158&amp;"|"&amp;M158,LAYOUT!$E$2:$E$80,0)),"CEK ZONA NO di luar layout",IF(N158&lt;&gt;INDEX(LAYOUT!$D$2:$D$80,MATCH(R158&amp;"|"&amp;M158,LAYOUT!$E$2:$E$80,0)),"CEK JENIS ZONA",IF($D158="","Zona STOCK",IF($E158="","CEK SKU DESCRIPTION kosong",IF(AND(O158&lt;&gt;"",P158=""),"CEK URUTAN SAMBUNG kosong",IF(AND(O158&lt;&gt;"",LEFT(R158,6)="Endcap"),"CEK Endcap tidak ikut sambung","OK"))))))))))</f>
        <v/>
      </c>
      <c r="T158" s="11" t="n"/>
      <c r="U158" s="11" t="n"/>
      <c r="V158" s="11" t="n"/>
      <c r="W158" s="11" t="n"/>
      <c r="X158" s="11" t="n"/>
      <c r="Y158" s="11" t="n"/>
      <c r="Z158" s="12">
        <f>IF(T158="","",IFERROR(INDEX(DAFTAR_FIXTURE!$B$2:$B$51,MATCH(T158,DAFTAR_FIXTURE!$A$2:$A$51,0)),""))</f>
        <v/>
      </c>
      <c r="AA158" s="12">
        <f>IF(T158="","",IF(Z158="","CEK ID FIXTURE tidak ada di DAFTAR_FIXTURE",IF(U158="","CEK ZONA NO kosong",IF(ISNA(MATCH(Z158&amp;"|"&amp;U158,LAYOUT!$E$2:$E$80,0)),"CEK ZONA NO di luar layout",IF(V158&lt;&gt;INDEX(LAYOUT!$D$2:$D$80,MATCH(Z158&amp;"|"&amp;U158,LAYOUT!$E$2:$E$80,0)),"CEK JENIS ZONA",IF($D158="","Zona STOCK",IF($E158="","CEK SKU DESCRIPTION kosong",IF(AND(W158&lt;&gt;"",X158=""),"CEK URUTAN SAMBUNG kosong",IF(AND(W158&lt;&gt;"",LEFT(Z158,6)="Endcap"),"CEK Endcap tidak ikut sambung","OK")))))))))</f>
        <v/>
      </c>
      <c r="AB158" s="11" t="n"/>
      <c r="AC158" s="11" t="n"/>
      <c r="AD158" s="11" t="n"/>
      <c r="AE158" s="11" t="n"/>
      <c r="AF158" s="11" t="n"/>
      <c r="AG158" s="11" t="n"/>
      <c r="AH158" s="12">
        <f>IF(AB158="","",IFERROR(INDEX(DAFTAR_FIXTURE!$B$2:$B$51,MATCH(AB158,DAFTAR_FIXTURE!$A$2:$A$51,0)),""))</f>
        <v/>
      </c>
      <c r="AI158" s="12">
        <f>IF(AB158="","",IF(AH158="","CEK ID FIXTURE tidak ada di DAFTAR_FIXTURE",IF(AC158="","CEK ZONA NO kosong",IF(ISNA(MATCH(AH158&amp;"|"&amp;AC158,LAYOUT!$E$2:$E$80,0)),"CEK ZONA NO di luar layout",IF(AD158&lt;&gt;INDEX(LAYOUT!$D$2:$D$80,MATCH(AH158&amp;"|"&amp;AC158,LAYOUT!$E$2:$E$80,0)),"CEK JENIS ZONA",IF($D158="","Zona STOCK",IF($E158="","CEK SKU DESCRIPTION kosong",IF(AND(AE158&lt;&gt;"",AF158=""),"CEK URUTAN SAMBUNG kosong",IF(AND(AE158&lt;&gt;"",LEFT(AH158,6)="Endcap"),"CEK Endcap tidak ikut sambung","OK")))))))))</f>
        <v/>
      </c>
    </row>
    <row r="159">
      <c r="A159" s="10" t="n"/>
      <c r="B159" s="10" t="n"/>
      <c r="C159" s="10" t="n"/>
      <c r="D159" s="10" t="n"/>
      <c r="E159" s="10" t="n"/>
      <c r="F159" s="10" t="n"/>
      <c r="G159" s="10" t="n"/>
      <c r="H159" s="10" t="n"/>
      <c r="I159" s="10" t="n"/>
      <c r="J159" s="10" t="n"/>
      <c r="K159" s="10" t="n"/>
      <c r="L159" s="11" t="n"/>
      <c r="M159" s="11" t="n"/>
      <c r="N159" s="11" t="n"/>
      <c r="O159" s="11" t="n"/>
      <c r="P159" s="11" t="n"/>
      <c r="Q159" s="11" t="n"/>
      <c r="R159" s="12">
        <f>IF(L159="","",IFERROR(INDEX(DAFTAR_FIXTURE!$B$2:$B$51,MATCH(L159,DAFTAR_FIXTURE!$A$2:$A$51,0)),""))</f>
        <v/>
      </c>
      <c r="S159" s="12">
        <f>IF(AND($D159="",L159=""),"",IF(L159="",IF(AND(T159="",AB159=""),"Belum ditempatkan",""),IF(R159="","CEK ID FIXTURE tidak ada di DAFTAR_FIXTURE",IF(M159="","CEK ZONA NO kosong",IF(ISNA(MATCH(R159&amp;"|"&amp;M159,LAYOUT!$E$2:$E$80,0)),"CEK ZONA NO di luar layout",IF(N159&lt;&gt;INDEX(LAYOUT!$D$2:$D$80,MATCH(R159&amp;"|"&amp;M159,LAYOUT!$E$2:$E$80,0)),"CEK JENIS ZONA",IF($D159="","Zona STOCK",IF($E159="","CEK SKU DESCRIPTION kosong",IF(AND(O159&lt;&gt;"",P159=""),"CEK URUTAN SAMBUNG kosong",IF(AND(O159&lt;&gt;"",LEFT(R159,6)="Endcap"),"CEK Endcap tidak ikut sambung","OK"))))))))))</f>
        <v/>
      </c>
      <c r="T159" s="11" t="n"/>
      <c r="U159" s="11" t="n"/>
      <c r="V159" s="11" t="n"/>
      <c r="W159" s="11" t="n"/>
      <c r="X159" s="11" t="n"/>
      <c r="Y159" s="11" t="n"/>
      <c r="Z159" s="12">
        <f>IF(T159="","",IFERROR(INDEX(DAFTAR_FIXTURE!$B$2:$B$51,MATCH(T159,DAFTAR_FIXTURE!$A$2:$A$51,0)),""))</f>
        <v/>
      </c>
      <c r="AA159" s="12">
        <f>IF(T159="","",IF(Z159="","CEK ID FIXTURE tidak ada di DAFTAR_FIXTURE",IF(U159="","CEK ZONA NO kosong",IF(ISNA(MATCH(Z159&amp;"|"&amp;U159,LAYOUT!$E$2:$E$80,0)),"CEK ZONA NO di luar layout",IF(V159&lt;&gt;INDEX(LAYOUT!$D$2:$D$80,MATCH(Z159&amp;"|"&amp;U159,LAYOUT!$E$2:$E$80,0)),"CEK JENIS ZONA",IF($D159="","Zona STOCK",IF($E159="","CEK SKU DESCRIPTION kosong",IF(AND(W159&lt;&gt;"",X159=""),"CEK URUTAN SAMBUNG kosong",IF(AND(W159&lt;&gt;"",LEFT(Z159,6)="Endcap"),"CEK Endcap tidak ikut sambung","OK")))))))))</f>
        <v/>
      </c>
      <c r="AB159" s="11" t="n"/>
      <c r="AC159" s="11" t="n"/>
      <c r="AD159" s="11" t="n"/>
      <c r="AE159" s="11" t="n"/>
      <c r="AF159" s="11" t="n"/>
      <c r="AG159" s="11" t="n"/>
      <c r="AH159" s="12">
        <f>IF(AB159="","",IFERROR(INDEX(DAFTAR_FIXTURE!$B$2:$B$51,MATCH(AB159,DAFTAR_FIXTURE!$A$2:$A$51,0)),""))</f>
        <v/>
      </c>
      <c r="AI159" s="12">
        <f>IF(AB159="","",IF(AH159="","CEK ID FIXTURE tidak ada di DAFTAR_FIXTURE",IF(AC159="","CEK ZONA NO kosong",IF(ISNA(MATCH(AH159&amp;"|"&amp;AC159,LAYOUT!$E$2:$E$80,0)),"CEK ZONA NO di luar layout",IF(AD159&lt;&gt;INDEX(LAYOUT!$D$2:$D$80,MATCH(AH159&amp;"|"&amp;AC159,LAYOUT!$E$2:$E$80,0)),"CEK JENIS ZONA",IF($D159="","Zona STOCK",IF($E159="","CEK SKU DESCRIPTION kosong",IF(AND(AE159&lt;&gt;"",AF159=""),"CEK URUTAN SAMBUNG kosong",IF(AND(AE159&lt;&gt;"",LEFT(AH159,6)="Endcap"),"CEK Endcap tidak ikut sambung","OK")))))))))</f>
        <v/>
      </c>
    </row>
    <row r="160">
      <c r="A160" s="10" t="n"/>
      <c r="B160" s="10" t="n"/>
      <c r="C160" s="10" t="n"/>
      <c r="D160" s="10" t="n"/>
      <c r="E160" s="10" t="n"/>
      <c r="F160" s="10" t="n"/>
      <c r="G160" s="10" t="n"/>
      <c r="H160" s="10" t="n"/>
      <c r="I160" s="10" t="n"/>
      <c r="J160" s="10" t="n"/>
      <c r="K160" s="10" t="n"/>
      <c r="L160" s="11" t="n"/>
      <c r="M160" s="11" t="n"/>
      <c r="N160" s="11" t="n"/>
      <c r="O160" s="11" t="n"/>
      <c r="P160" s="11" t="n"/>
      <c r="Q160" s="11" t="n"/>
      <c r="R160" s="12">
        <f>IF(L160="","",IFERROR(INDEX(DAFTAR_FIXTURE!$B$2:$B$51,MATCH(L160,DAFTAR_FIXTURE!$A$2:$A$51,0)),""))</f>
        <v/>
      </c>
      <c r="S160" s="12">
        <f>IF(AND($D160="",L160=""),"",IF(L160="",IF(AND(T160="",AB160=""),"Belum ditempatkan",""),IF(R160="","CEK ID FIXTURE tidak ada di DAFTAR_FIXTURE",IF(M160="","CEK ZONA NO kosong",IF(ISNA(MATCH(R160&amp;"|"&amp;M160,LAYOUT!$E$2:$E$80,0)),"CEK ZONA NO di luar layout",IF(N160&lt;&gt;INDEX(LAYOUT!$D$2:$D$80,MATCH(R160&amp;"|"&amp;M160,LAYOUT!$E$2:$E$80,0)),"CEK JENIS ZONA",IF($D160="","Zona STOCK",IF($E160="","CEK SKU DESCRIPTION kosong",IF(AND(O160&lt;&gt;"",P160=""),"CEK URUTAN SAMBUNG kosong",IF(AND(O160&lt;&gt;"",LEFT(R160,6)="Endcap"),"CEK Endcap tidak ikut sambung","OK"))))))))))</f>
        <v/>
      </c>
      <c r="T160" s="11" t="n"/>
      <c r="U160" s="11" t="n"/>
      <c r="V160" s="11" t="n"/>
      <c r="W160" s="11" t="n"/>
      <c r="X160" s="11" t="n"/>
      <c r="Y160" s="11" t="n"/>
      <c r="Z160" s="12">
        <f>IF(T160="","",IFERROR(INDEX(DAFTAR_FIXTURE!$B$2:$B$51,MATCH(T160,DAFTAR_FIXTURE!$A$2:$A$51,0)),""))</f>
        <v/>
      </c>
      <c r="AA160" s="12">
        <f>IF(T160="","",IF(Z160="","CEK ID FIXTURE tidak ada di DAFTAR_FIXTURE",IF(U160="","CEK ZONA NO kosong",IF(ISNA(MATCH(Z160&amp;"|"&amp;U160,LAYOUT!$E$2:$E$80,0)),"CEK ZONA NO di luar layout",IF(V160&lt;&gt;INDEX(LAYOUT!$D$2:$D$80,MATCH(Z160&amp;"|"&amp;U160,LAYOUT!$E$2:$E$80,0)),"CEK JENIS ZONA",IF($D160="","Zona STOCK",IF($E160="","CEK SKU DESCRIPTION kosong",IF(AND(W160&lt;&gt;"",X160=""),"CEK URUTAN SAMBUNG kosong",IF(AND(W160&lt;&gt;"",LEFT(Z160,6)="Endcap"),"CEK Endcap tidak ikut sambung","OK")))))))))</f>
        <v/>
      </c>
      <c r="AB160" s="11" t="n"/>
      <c r="AC160" s="11" t="n"/>
      <c r="AD160" s="11" t="n"/>
      <c r="AE160" s="11" t="n"/>
      <c r="AF160" s="11" t="n"/>
      <c r="AG160" s="11" t="n"/>
      <c r="AH160" s="12">
        <f>IF(AB160="","",IFERROR(INDEX(DAFTAR_FIXTURE!$B$2:$B$51,MATCH(AB160,DAFTAR_FIXTURE!$A$2:$A$51,0)),""))</f>
        <v/>
      </c>
      <c r="AI160" s="12">
        <f>IF(AB160="","",IF(AH160="","CEK ID FIXTURE tidak ada di DAFTAR_FIXTURE",IF(AC160="","CEK ZONA NO kosong",IF(ISNA(MATCH(AH160&amp;"|"&amp;AC160,LAYOUT!$E$2:$E$80,0)),"CEK ZONA NO di luar layout",IF(AD160&lt;&gt;INDEX(LAYOUT!$D$2:$D$80,MATCH(AH160&amp;"|"&amp;AC160,LAYOUT!$E$2:$E$80,0)),"CEK JENIS ZONA",IF($D160="","Zona STOCK",IF($E160="","CEK SKU DESCRIPTION kosong",IF(AND(AE160&lt;&gt;"",AF160=""),"CEK URUTAN SAMBUNG kosong",IF(AND(AE160&lt;&gt;"",LEFT(AH160,6)="Endcap"),"CEK Endcap tidak ikut sambung","OK")))))))))</f>
        <v/>
      </c>
    </row>
    <row r="161">
      <c r="A161" s="10" t="n"/>
      <c r="B161" s="10" t="n"/>
      <c r="C161" s="10" t="n"/>
      <c r="D161" s="10" t="n"/>
      <c r="E161" s="10" t="n"/>
      <c r="F161" s="10" t="n"/>
      <c r="G161" s="10" t="n"/>
      <c r="H161" s="10" t="n"/>
      <c r="I161" s="10" t="n"/>
      <c r="J161" s="10" t="n"/>
      <c r="K161" s="10" t="n"/>
      <c r="L161" s="11" t="n"/>
      <c r="M161" s="11" t="n"/>
      <c r="N161" s="11" t="n"/>
      <c r="O161" s="11" t="n"/>
      <c r="P161" s="11" t="n"/>
      <c r="Q161" s="11" t="n"/>
      <c r="R161" s="12">
        <f>IF(L161="","",IFERROR(INDEX(DAFTAR_FIXTURE!$B$2:$B$51,MATCH(L161,DAFTAR_FIXTURE!$A$2:$A$51,0)),""))</f>
        <v/>
      </c>
      <c r="S161" s="12">
        <f>IF(AND($D161="",L161=""),"",IF(L161="",IF(AND(T161="",AB161=""),"Belum ditempatkan",""),IF(R161="","CEK ID FIXTURE tidak ada di DAFTAR_FIXTURE",IF(M161="","CEK ZONA NO kosong",IF(ISNA(MATCH(R161&amp;"|"&amp;M161,LAYOUT!$E$2:$E$80,0)),"CEK ZONA NO di luar layout",IF(N161&lt;&gt;INDEX(LAYOUT!$D$2:$D$80,MATCH(R161&amp;"|"&amp;M161,LAYOUT!$E$2:$E$80,0)),"CEK JENIS ZONA",IF($D161="","Zona STOCK",IF($E161="","CEK SKU DESCRIPTION kosong",IF(AND(O161&lt;&gt;"",P161=""),"CEK URUTAN SAMBUNG kosong",IF(AND(O161&lt;&gt;"",LEFT(R161,6)="Endcap"),"CEK Endcap tidak ikut sambung","OK"))))))))))</f>
        <v/>
      </c>
      <c r="T161" s="11" t="n"/>
      <c r="U161" s="11" t="n"/>
      <c r="V161" s="11" t="n"/>
      <c r="W161" s="11" t="n"/>
      <c r="X161" s="11" t="n"/>
      <c r="Y161" s="11" t="n"/>
      <c r="Z161" s="12">
        <f>IF(T161="","",IFERROR(INDEX(DAFTAR_FIXTURE!$B$2:$B$51,MATCH(T161,DAFTAR_FIXTURE!$A$2:$A$51,0)),""))</f>
        <v/>
      </c>
      <c r="AA161" s="12">
        <f>IF(T161="","",IF(Z161="","CEK ID FIXTURE tidak ada di DAFTAR_FIXTURE",IF(U161="","CEK ZONA NO kosong",IF(ISNA(MATCH(Z161&amp;"|"&amp;U161,LAYOUT!$E$2:$E$80,0)),"CEK ZONA NO di luar layout",IF(V161&lt;&gt;INDEX(LAYOUT!$D$2:$D$80,MATCH(Z161&amp;"|"&amp;U161,LAYOUT!$E$2:$E$80,0)),"CEK JENIS ZONA",IF($D161="","Zona STOCK",IF($E161="","CEK SKU DESCRIPTION kosong",IF(AND(W161&lt;&gt;"",X161=""),"CEK URUTAN SAMBUNG kosong",IF(AND(W161&lt;&gt;"",LEFT(Z161,6)="Endcap"),"CEK Endcap tidak ikut sambung","OK")))))))))</f>
        <v/>
      </c>
      <c r="AB161" s="11" t="n"/>
      <c r="AC161" s="11" t="n"/>
      <c r="AD161" s="11" t="n"/>
      <c r="AE161" s="11" t="n"/>
      <c r="AF161" s="11" t="n"/>
      <c r="AG161" s="11" t="n"/>
      <c r="AH161" s="12">
        <f>IF(AB161="","",IFERROR(INDEX(DAFTAR_FIXTURE!$B$2:$B$51,MATCH(AB161,DAFTAR_FIXTURE!$A$2:$A$51,0)),""))</f>
        <v/>
      </c>
      <c r="AI161" s="12">
        <f>IF(AB161="","",IF(AH161="","CEK ID FIXTURE tidak ada di DAFTAR_FIXTURE",IF(AC161="","CEK ZONA NO kosong",IF(ISNA(MATCH(AH161&amp;"|"&amp;AC161,LAYOUT!$E$2:$E$80,0)),"CEK ZONA NO di luar layout",IF(AD161&lt;&gt;INDEX(LAYOUT!$D$2:$D$80,MATCH(AH161&amp;"|"&amp;AC161,LAYOUT!$E$2:$E$80,0)),"CEK JENIS ZONA",IF($D161="","Zona STOCK",IF($E161="","CEK SKU DESCRIPTION kosong",IF(AND(AE161&lt;&gt;"",AF161=""),"CEK URUTAN SAMBUNG kosong",IF(AND(AE161&lt;&gt;"",LEFT(AH161,6)="Endcap"),"CEK Endcap tidak ikut sambung","OK")))))))))</f>
        <v/>
      </c>
    </row>
    <row r="162">
      <c r="A162" s="10" t="n"/>
      <c r="B162" s="10" t="n"/>
      <c r="C162" s="10" t="n"/>
      <c r="D162" s="10" t="n"/>
      <c r="E162" s="10" t="n"/>
      <c r="F162" s="10" t="n"/>
      <c r="G162" s="10" t="n"/>
      <c r="H162" s="10" t="n"/>
      <c r="I162" s="10" t="n"/>
      <c r="J162" s="10" t="n"/>
      <c r="K162" s="10" t="n"/>
      <c r="L162" s="11" t="n"/>
      <c r="M162" s="11" t="n"/>
      <c r="N162" s="11" t="n"/>
      <c r="O162" s="11" t="n"/>
      <c r="P162" s="11" t="n"/>
      <c r="Q162" s="11" t="n"/>
      <c r="R162" s="12">
        <f>IF(L162="","",IFERROR(INDEX(DAFTAR_FIXTURE!$B$2:$B$51,MATCH(L162,DAFTAR_FIXTURE!$A$2:$A$51,0)),""))</f>
        <v/>
      </c>
      <c r="S162" s="12">
        <f>IF(AND($D162="",L162=""),"",IF(L162="",IF(AND(T162="",AB162=""),"Belum ditempatkan",""),IF(R162="","CEK ID FIXTURE tidak ada di DAFTAR_FIXTURE",IF(M162="","CEK ZONA NO kosong",IF(ISNA(MATCH(R162&amp;"|"&amp;M162,LAYOUT!$E$2:$E$80,0)),"CEK ZONA NO di luar layout",IF(N162&lt;&gt;INDEX(LAYOUT!$D$2:$D$80,MATCH(R162&amp;"|"&amp;M162,LAYOUT!$E$2:$E$80,0)),"CEK JENIS ZONA",IF($D162="","Zona STOCK",IF($E162="","CEK SKU DESCRIPTION kosong",IF(AND(O162&lt;&gt;"",P162=""),"CEK URUTAN SAMBUNG kosong",IF(AND(O162&lt;&gt;"",LEFT(R162,6)="Endcap"),"CEK Endcap tidak ikut sambung","OK"))))))))))</f>
        <v/>
      </c>
      <c r="T162" s="11" t="n"/>
      <c r="U162" s="11" t="n"/>
      <c r="V162" s="11" t="n"/>
      <c r="W162" s="11" t="n"/>
      <c r="X162" s="11" t="n"/>
      <c r="Y162" s="11" t="n"/>
      <c r="Z162" s="12">
        <f>IF(T162="","",IFERROR(INDEX(DAFTAR_FIXTURE!$B$2:$B$51,MATCH(T162,DAFTAR_FIXTURE!$A$2:$A$51,0)),""))</f>
        <v/>
      </c>
      <c r="AA162" s="12">
        <f>IF(T162="","",IF(Z162="","CEK ID FIXTURE tidak ada di DAFTAR_FIXTURE",IF(U162="","CEK ZONA NO kosong",IF(ISNA(MATCH(Z162&amp;"|"&amp;U162,LAYOUT!$E$2:$E$80,0)),"CEK ZONA NO di luar layout",IF(V162&lt;&gt;INDEX(LAYOUT!$D$2:$D$80,MATCH(Z162&amp;"|"&amp;U162,LAYOUT!$E$2:$E$80,0)),"CEK JENIS ZONA",IF($D162="","Zona STOCK",IF($E162="","CEK SKU DESCRIPTION kosong",IF(AND(W162&lt;&gt;"",X162=""),"CEK URUTAN SAMBUNG kosong",IF(AND(W162&lt;&gt;"",LEFT(Z162,6)="Endcap"),"CEK Endcap tidak ikut sambung","OK")))))))))</f>
        <v/>
      </c>
      <c r="AB162" s="11" t="n"/>
      <c r="AC162" s="11" t="n"/>
      <c r="AD162" s="11" t="n"/>
      <c r="AE162" s="11" t="n"/>
      <c r="AF162" s="11" t="n"/>
      <c r="AG162" s="11" t="n"/>
      <c r="AH162" s="12">
        <f>IF(AB162="","",IFERROR(INDEX(DAFTAR_FIXTURE!$B$2:$B$51,MATCH(AB162,DAFTAR_FIXTURE!$A$2:$A$51,0)),""))</f>
        <v/>
      </c>
      <c r="AI162" s="12">
        <f>IF(AB162="","",IF(AH162="","CEK ID FIXTURE tidak ada di DAFTAR_FIXTURE",IF(AC162="","CEK ZONA NO kosong",IF(ISNA(MATCH(AH162&amp;"|"&amp;AC162,LAYOUT!$E$2:$E$80,0)),"CEK ZONA NO di luar layout",IF(AD162&lt;&gt;INDEX(LAYOUT!$D$2:$D$80,MATCH(AH162&amp;"|"&amp;AC162,LAYOUT!$E$2:$E$80,0)),"CEK JENIS ZONA",IF($D162="","Zona STOCK",IF($E162="","CEK SKU DESCRIPTION kosong",IF(AND(AE162&lt;&gt;"",AF162=""),"CEK URUTAN SAMBUNG kosong",IF(AND(AE162&lt;&gt;"",LEFT(AH162,6)="Endcap"),"CEK Endcap tidak ikut sambung","OK")))))))))</f>
        <v/>
      </c>
    </row>
    <row r="163">
      <c r="A163" s="10" t="n"/>
      <c r="B163" s="10" t="n"/>
      <c r="C163" s="10" t="n"/>
      <c r="D163" s="10" t="n"/>
      <c r="E163" s="10" t="n"/>
      <c r="F163" s="10" t="n"/>
      <c r="G163" s="10" t="n"/>
      <c r="H163" s="10" t="n"/>
      <c r="I163" s="10" t="n"/>
      <c r="J163" s="10" t="n"/>
      <c r="K163" s="10" t="n"/>
      <c r="L163" s="11" t="n"/>
      <c r="M163" s="11" t="n"/>
      <c r="N163" s="11" t="n"/>
      <c r="O163" s="11" t="n"/>
      <c r="P163" s="11" t="n"/>
      <c r="Q163" s="11" t="n"/>
      <c r="R163" s="12">
        <f>IF(L163="","",IFERROR(INDEX(DAFTAR_FIXTURE!$B$2:$B$51,MATCH(L163,DAFTAR_FIXTURE!$A$2:$A$51,0)),""))</f>
        <v/>
      </c>
      <c r="S163" s="12">
        <f>IF(AND($D163="",L163=""),"",IF(L163="",IF(AND(T163="",AB163=""),"Belum ditempatkan",""),IF(R163="","CEK ID FIXTURE tidak ada di DAFTAR_FIXTURE",IF(M163="","CEK ZONA NO kosong",IF(ISNA(MATCH(R163&amp;"|"&amp;M163,LAYOUT!$E$2:$E$80,0)),"CEK ZONA NO di luar layout",IF(N163&lt;&gt;INDEX(LAYOUT!$D$2:$D$80,MATCH(R163&amp;"|"&amp;M163,LAYOUT!$E$2:$E$80,0)),"CEK JENIS ZONA",IF($D163="","Zona STOCK",IF($E163="","CEK SKU DESCRIPTION kosong",IF(AND(O163&lt;&gt;"",P163=""),"CEK URUTAN SAMBUNG kosong",IF(AND(O163&lt;&gt;"",LEFT(R163,6)="Endcap"),"CEK Endcap tidak ikut sambung","OK"))))))))))</f>
        <v/>
      </c>
      <c r="T163" s="11" t="n"/>
      <c r="U163" s="11" t="n"/>
      <c r="V163" s="11" t="n"/>
      <c r="W163" s="11" t="n"/>
      <c r="X163" s="11" t="n"/>
      <c r="Y163" s="11" t="n"/>
      <c r="Z163" s="12">
        <f>IF(T163="","",IFERROR(INDEX(DAFTAR_FIXTURE!$B$2:$B$51,MATCH(T163,DAFTAR_FIXTURE!$A$2:$A$51,0)),""))</f>
        <v/>
      </c>
      <c r="AA163" s="12">
        <f>IF(T163="","",IF(Z163="","CEK ID FIXTURE tidak ada di DAFTAR_FIXTURE",IF(U163="","CEK ZONA NO kosong",IF(ISNA(MATCH(Z163&amp;"|"&amp;U163,LAYOUT!$E$2:$E$80,0)),"CEK ZONA NO di luar layout",IF(V163&lt;&gt;INDEX(LAYOUT!$D$2:$D$80,MATCH(Z163&amp;"|"&amp;U163,LAYOUT!$E$2:$E$80,0)),"CEK JENIS ZONA",IF($D163="","Zona STOCK",IF($E163="","CEK SKU DESCRIPTION kosong",IF(AND(W163&lt;&gt;"",X163=""),"CEK URUTAN SAMBUNG kosong",IF(AND(W163&lt;&gt;"",LEFT(Z163,6)="Endcap"),"CEK Endcap tidak ikut sambung","OK")))))))))</f>
        <v/>
      </c>
      <c r="AB163" s="11" t="n"/>
      <c r="AC163" s="11" t="n"/>
      <c r="AD163" s="11" t="n"/>
      <c r="AE163" s="11" t="n"/>
      <c r="AF163" s="11" t="n"/>
      <c r="AG163" s="11" t="n"/>
      <c r="AH163" s="12">
        <f>IF(AB163="","",IFERROR(INDEX(DAFTAR_FIXTURE!$B$2:$B$51,MATCH(AB163,DAFTAR_FIXTURE!$A$2:$A$51,0)),""))</f>
        <v/>
      </c>
      <c r="AI163" s="12">
        <f>IF(AB163="","",IF(AH163="","CEK ID FIXTURE tidak ada di DAFTAR_FIXTURE",IF(AC163="","CEK ZONA NO kosong",IF(ISNA(MATCH(AH163&amp;"|"&amp;AC163,LAYOUT!$E$2:$E$80,0)),"CEK ZONA NO di luar layout",IF(AD163&lt;&gt;INDEX(LAYOUT!$D$2:$D$80,MATCH(AH163&amp;"|"&amp;AC163,LAYOUT!$E$2:$E$80,0)),"CEK JENIS ZONA",IF($D163="","Zona STOCK",IF($E163="","CEK SKU DESCRIPTION kosong",IF(AND(AE163&lt;&gt;"",AF163=""),"CEK URUTAN SAMBUNG kosong",IF(AND(AE163&lt;&gt;"",LEFT(AH163,6)="Endcap"),"CEK Endcap tidak ikut sambung","OK")))))))))</f>
        <v/>
      </c>
    </row>
    <row r="164">
      <c r="A164" s="10" t="n"/>
      <c r="B164" s="10" t="n"/>
      <c r="C164" s="10" t="n"/>
      <c r="D164" s="10" t="n"/>
      <c r="E164" s="10" t="n"/>
      <c r="F164" s="10" t="n"/>
      <c r="G164" s="10" t="n"/>
      <c r="H164" s="10" t="n"/>
      <c r="I164" s="10" t="n"/>
      <c r="J164" s="10" t="n"/>
      <c r="K164" s="10" t="n"/>
      <c r="L164" s="11" t="n"/>
      <c r="M164" s="11" t="n"/>
      <c r="N164" s="11" t="n"/>
      <c r="O164" s="11" t="n"/>
      <c r="P164" s="11" t="n"/>
      <c r="Q164" s="11" t="n"/>
      <c r="R164" s="12">
        <f>IF(L164="","",IFERROR(INDEX(DAFTAR_FIXTURE!$B$2:$B$51,MATCH(L164,DAFTAR_FIXTURE!$A$2:$A$51,0)),""))</f>
        <v/>
      </c>
      <c r="S164" s="12">
        <f>IF(AND($D164="",L164=""),"",IF(L164="",IF(AND(T164="",AB164=""),"Belum ditempatkan",""),IF(R164="","CEK ID FIXTURE tidak ada di DAFTAR_FIXTURE",IF(M164="","CEK ZONA NO kosong",IF(ISNA(MATCH(R164&amp;"|"&amp;M164,LAYOUT!$E$2:$E$80,0)),"CEK ZONA NO di luar layout",IF(N164&lt;&gt;INDEX(LAYOUT!$D$2:$D$80,MATCH(R164&amp;"|"&amp;M164,LAYOUT!$E$2:$E$80,0)),"CEK JENIS ZONA",IF($D164="","Zona STOCK",IF($E164="","CEK SKU DESCRIPTION kosong",IF(AND(O164&lt;&gt;"",P164=""),"CEK URUTAN SAMBUNG kosong",IF(AND(O164&lt;&gt;"",LEFT(R164,6)="Endcap"),"CEK Endcap tidak ikut sambung","OK"))))))))))</f>
        <v/>
      </c>
      <c r="T164" s="11" t="n"/>
      <c r="U164" s="11" t="n"/>
      <c r="V164" s="11" t="n"/>
      <c r="W164" s="11" t="n"/>
      <c r="X164" s="11" t="n"/>
      <c r="Y164" s="11" t="n"/>
      <c r="Z164" s="12">
        <f>IF(T164="","",IFERROR(INDEX(DAFTAR_FIXTURE!$B$2:$B$51,MATCH(T164,DAFTAR_FIXTURE!$A$2:$A$51,0)),""))</f>
        <v/>
      </c>
      <c r="AA164" s="12">
        <f>IF(T164="","",IF(Z164="","CEK ID FIXTURE tidak ada di DAFTAR_FIXTURE",IF(U164="","CEK ZONA NO kosong",IF(ISNA(MATCH(Z164&amp;"|"&amp;U164,LAYOUT!$E$2:$E$80,0)),"CEK ZONA NO di luar layout",IF(V164&lt;&gt;INDEX(LAYOUT!$D$2:$D$80,MATCH(Z164&amp;"|"&amp;U164,LAYOUT!$E$2:$E$80,0)),"CEK JENIS ZONA",IF($D164="","Zona STOCK",IF($E164="","CEK SKU DESCRIPTION kosong",IF(AND(W164&lt;&gt;"",X164=""),"CEK URUTAN SAMBUNG kosong",IF(AND(W164&lt;&gt;"",LEFT(Z164,6)="Endcap"),"CEK Endcap tidak ikut sambung","OK")))))))))</f>
        <v/>
      </c>
      <c r="AB164" s="11" t="n"/>
      <c r="AC164" s="11" t="n"/>
      <c r="AD164" s="11" t="n"/>
      <c r="AE164" s="11" t="n"/>
      <c r="AF164" s="11" t="n"/>
      <c r="AG164" s="11" t="n"/>
      <c r="AH164" s="12">
        <f>IF(AB164="","",IFERROR(INDEX(DAFTAR_FIXTURE!$B$2:$B$51,MATCH(AB164,DAFTAR_FIXTURE!$A$2:$A$51,0)),""))</f>
        <v/>
      </c>
      <c r="AI164" s="12">
        <f>IF(AB164="","",IF(AH164="","CEK ID FIXTURE tidak ada di DAFTAR_FIXTURE",IF(AC164="","CEK ZONA NO kosong",IF(ISNA(MATCH(AH164&amp;"|"&amp;AC164,LAYOUT!$E$2:$E$80,0)),"CEK ZONA NO di luar layout",IF(AD164&lt;&gt;INDEX(LAYOUT!$D$2:$D$80,MATCH(AH164&amp;"|"&amp;AC164,LAYOUT!$E$2:$E$80,0)),"CEK JENIS ZONA",IF($D164="","Zona STOCK",IF($E164="","CEK SKU DESCRIPTION kosong",IF(AND(AE164&lt;&gt;"",AF164=""),"CEK URUTAN SAMBUNG kosong",IF(AND(AE164&lt;&gt;"",LEFT(AH164,6)="Endcap"),"CEK Endcap tidak ikut sambung","OK")))))))))</f>
        <v/>
      </c>
    </row>
    <row r="165">
      <c r="A165" s="10" t="n"/>
      <c r="B165" s="10" t="n"/>
      <c r="C165" s="10" t="n"/>
      <c r="D165" s="10" t="n"/>
      <c r="E165" s="10" t="n"/>
      <c r="F165" s="10" t="n"/>
      <c r="G165" s="10" t="n"/>
      <c r="H165" s="10" t="n"/>
      <c r="I165" s="10" t="n"/>
      <c r="J165" s="10" t="n"/>
      <c r="K165" s="10" t="n"/>
      <c r="L165" s="11" t="n"/>
      <c r="M165" s="11" t="n"/>
      <c r="N165" s="11" t="n"/>
      <c r="O165" s="11" t="n"/>
      <c r="P165" s="11" t="n"/>
      <c r="Q165" s="11" t="n"/>
      <c r="R165" s="12">
        <f>IF(L165="","",IFERROR(INDEX(DAFTAR_FIXTURE!$B$2:$B$51,MATCH(L165,DAFTAR_FIXTURE!$A$2:$A$51,0)),""))</f>
        <v/>
      </c>
      <c r="S165" s="12">
        <f>IF(AND($D165="",L165=""),"",IF(L165="",IF(AND(T165="",AB165=""),"Belum ditempatkan",""),IF(R165="","CEK ID FIXTURE tidak ada di DAFTAR_FIXTURE",IF(M165="","CEK ZONA NO kosong",IF(ISNA(MATCH(R165&amp;"|"&amp;M165,LAYOUT!$E$2:$E$80,0)),"CEK ZONA NO di luar layout",IF(N165&lt;&gt;INDEX(LAYOUT!$D$2:$D$80,MATCH(R165&amp;"|"&amp;M165,LAYOUT!$E$2:$E$80,0)),"CEK JENIS ZONA",IF($D165="","Zona STOCK",IF($E165="","CEK SKU DESCRIPTION kosong",IF(AND(O165&lt;&gt;"",P165=""),"CEK URUTAN SAMBUNG kosong",IF(AND(O165&lt;&gt;"",LEFT(R165,6)="Endcap"),"CEK Endcap tidak ikut sambung","OK"))))))))))</f>
        <v/>
      </c>
      <c r="T165" s="11" t="n"/>
      <c r="U165" s="11" t="n"/>
      <c r="V165" s="11" t="n"/>
      <c r="W165" s="11" t="n"/>
      <c r="X165" s="11" t="n"/>
      <c r="Y165" s="11" t="n"/>
      <c r="Z165" s="12">
        <f>IF(T165="","",IFERROR(INDEX(DAFTAR_FIXTURE!$B$2:$B$51,MATCH(T165,DAFTAR_FIXTURE!$A$2:$A$51,0)),""))</f>
        <v/>
      </c>
      <c r="AA165" s="12">
        <f>IF(T165="","",IF(Z165="","CEK ID FIXTURE tidak ada di DAFTAR_FIXTURE",IF(U165="","CEK ZONA NO kosong",IF(ISNA(MATCH(Z165&amp;"|"&amp;U165,LAYOUT!$E$2:$E$80,0)),"CEK ZONA NO di luar layout",IF(V165&lt;&gt;INDEX(LAYOUT!$D$2:$D$80,MATCH(Z165&amp;"|"&amp;U165,LAYOUT!$E$2:$E$80,0)),"CEK JENIS ZONA",IF($D165="","Zona STOCK",IF($E165="","CEK SKU DESCRIPTION kosong",IF(AND(W165&lt;&gt;"",X165=""),"CEK URUTAN SAMBUNG kosong",IF(AND(W165&lt;&gt;"",LEFT(Z165,6)="Endcap"),"CEK Endcap tidak ikut sambung","OK")))))))))</f>
        <v/>
      </c>
      <c r="AB165" s="11" t="n"/>
      <c r="AC165" s="11" t="n"/>
      <c r="AD165" s="11" t="n"/>
      <c r="AE165" s="11" t="n"/>
      <c r="AF165" s="11" t="n"/>
      <c r="AG165" s="11" t="n"/>
      <c r="AH165" s="12">
        <f>IF(AB165="","",IFERROR(INDEX(DAFTAR_FIXTURE!$B$2:$B$51,MATCH(AB165,DAFTAR_FIXTURE!$A$2:$A$51,0)),""))</f>
        <v/>
      </c>
      <c r="AI165" s="12">
        <f>IF(AB165="","",IF(AH165="","CEK ID FIXTURE tidak ada di DAFTAR_FIXTURE",IF(AC165="","CEK ZONA NO kosong",IF(ISNA(MATCH(AH165&amp;"|"&amp;AC165,LAYOUT!$E$2:$E$80,0)),"CEK ZONA NO di luar layout",IF(AD165&lt;&gt;INDEX(LAYOUT!$D$2:$D$80,MATCH(AH165&amp;"|"&amp;AC165,LAYOUT!$E$2:$E$80,0)),"CEK JENIS ZONA",IF($D165="","Zona STOCK",IF($E165="","CEK SKU DESCRIPTION kosong",IF(AND(AE165&lt;&gt;"",AF165=""),"CEK URUTAN SAMBUNG kosong",IF(AND(AE165&lt;&gt;"",LEFT(AH165,6)="Endcap"),"CEK Endcap tidak ikut sambung","OK")))))))))</f>
        <v/>
      </c>
    </row>
    <row r="166">
      <c r="A166" s="10" t="n"/>
      <c r="B166" s="10" t="n"/>
      <c r="C166" s="10" t="n"/>
      <c r="D166" s="10" t="n"/>
      <c r="E166" s="10" t="n"/>
      <c r="F166" s="10" t="n"/>
      <c r="G166" s="10" t="n"/>
      <c r="H166" s="10" t="n"/>
      <c r="I166" s="10" t="n"/>
      <c r="J166" s="10" t="n"/>
      <c r="K166" s="10" t="n"/>
      <c r="L166" s="11" t="n"/>
      <c r="M166" s="11" t="n"/>
      <c r="N166" s="11" t="n"/>
      <c r="O166" s="11" t="n"/>
      <c r="P166" s="11" t="n"/>
      <c r="Q166" s="11" t="n"/>
      <c r="R166" s="12">
        <f>IF(L166="","",IFERROR(INDEX(DAFTAR_FIXTURE!$B$2:$B$51,MATCH(L166,DAFTAR_FIXTURE!$A$2:$A$51,0)),""))</f>
        <v/>
      </c>
      <c r="S166" s="12">
        <f>IF(AND($D166="",L166=""),"",IF(L166="",IF(AND(T166="",AB166=""),"Belum ditempatkan",""),IF(R166="","CEK ID FIXTURE tidak ada di DAFTAR_FIXTURE",IF(M166="","CEK ZONA NO kosong",IF(ISNA(MATCH(R166&amp;"|"&amp;M166,LAYOUT!$E$2:$E$80,0)),"CEK ZONA NO di luar layout",IF(N166&lt;&gt;INDEX(LAYOUT!$D$2:$D$80,MATCH(R166&amp;"|"&amp;M166,LAYOUT!$E$2:$E$80,0)),"CEK JENIS ZONA",IF($D166="","Zona STOCK",IF($E166="","CEK SKU DESCRIPTION kosong",IF(AND(O166&lt;&gt;"",P166=""),"CEK URUTAN SAMBUNG kosong",IF(AND(O166&lt;&gt;"",LEFT(R166,6)="Endcap"),"CEK Endcap tidak ikut sambung","OK"))))))))))</f>
        <v/>
      </c>
      <c r="T166" s="11" t="n"/>
      <c r="U166" s="11" t="n"/>
      <c r="V166" s="11" t="n"/>
      <c r="W166" s="11" t="n"/>
      <c r="X166" s="11" t="n"/>
      <c r="Y166" s="11" t="n"/>
      <c r="Z166" s="12">
        <f>IF(T166="","",IFERROR(INDEX(DAFTAR_FIXTURE!$B$2:$B$51,MATCH(T166,DAFTAR_FIXTURE!$A$2:$A$51,0)),""))</f>
        <v/>
      </c>
      <c r="AA166" s="12">
        <f>IF(T166="","",IF(Z166="","CEK ID FIXTURE tidak ada di DAFTAR_FIXTURE",IF(U166="","CEK ZONA NO kosong",IF(ISNA(MATCH(Z166&amp;"|"&amp;U166,LAYOUT!$E$2:$E$80,0)),"CEK ZONA NO di luar layout",IF(V166&lt;&gt;INDEX(LAYOUT!$D$2:$D$80,MATCH(Z166&amp;"|"&amp;U166,LAYOUT!$E$2:$E$80,0)),"CEK JENIS ZONA",IF($D166="","Zona STOCK",IF($E166="","CEK SKU DESCRIPTION kosong",IF(AND(W166&lt;&gt;"",X166=""),"CEK URUTAN SAMBUNG kosong",IF(AND(W166&lt;&gt;"",LEFT(Z166,6)="Endcap"),"CEK Endcap tidak ikut sambung","OK")))))))))</f>
        <v/>
      </c>
      <c r="AB166" s="11" t="n"/>
      <c r="AC166" s="11" t="n"/>
      <c r="AD166" s="11" t="n"/>
      <c r="AE166" s="11" t="n"/>
      <c r="AF166" s="11" t="n"/>
      <c r="AG166" s="11" t="n"/>
      <c r="AH166" s="12">
        <f>IF(AB166="","",IFERROR(INDEX(DAFTAR_FIXTURE!$B$2:$B$51,MATCH(AB166,DAFTAR_FIXTURE!$A$2:$A$51,0)),""))</f>
        <v/>
      </c>
      <c r="AI166" s="12">
        <f>IF(AB166="","",IF(AH166="","CEK ID FIXTURE tidak ada di DAFTAR_FIXTURE",IF(AC166="","CEK ZONA NO kosong",IF(ISNA(MATCH(AH166&amp;"|"&amp;AC166,LAYOUT!$E$2:$E$80,0)),"CEK ZONA NO di luar layout",IF(AD166&lt;&gt;INDEX(LAYOUT!$D$2:$D$80,MATCH(AH166&amp;"|"&amp;AC166,LAYOUT!$E$2:$E$80,0)),"CEK JENIS ZONA",IF($D166="","Zona STOCK",IF($E166="","CEK SKU DESCRIPTION kosong",IF(AND(AE166&lt;&gt;"",AF166=""),"CEK URUTAN SAMBUNG kosong",IF(AND(AE166&lt;&gt;"",LEFT(AH166,6)="Endcap"),"CEK Endcap tidak ikut sambung","OK")))))))))</f>
        <v/>
      </c>
    </row>
    <row r="167">
      <c r="A167" s="10" t="n"/>
      <c r="B167" s="10" t="n"/>
      <c r="C167" s="10" t="n"/>
      <c r="D167" s="10" t="n"/>
      <c r="E167" s="10" t="n"/>
      <c r="F167" s="10" t="n"/>
      <c r="G167" s="10" t="n"/>
      <c r="H167" s="10" t="n"/>
      <c r="I167" s="10" t="n"/>
      <c r="J167" s="10" t="n"/>
      <c r="K167" s="10" t="n"/>
      <c r="L167" s="11" t="n"/>
      <c r="M167" s="11" t="n"/>
      <c r="N167" s="11" t="n"/>
      <c r="O167" s="11" t="n"/>
      <c r="P167" s="11" t="n"/>
      <c r="Q167" s="11" t="n"/>
      <c r="R167" s="12">
        <f>IF(L167="","",IFERROR(INDEX(DAFTAR_FIXTURE!$B$2:$B$51,MATCH(L167,DAFTAR_FIXTURE!$A$2:$A$51,0)),""))</f>
        <v/>
      </c>
      <c r="S167" s="12">
        <f>IF(AND($D167="",L167=""),"",IF(L167="",IF(AND(T167="",AB167=""),"Belum ditempatkan",""),IF(R167="","CEK ID FIXTURE tidak ada di DAFTAR_FIXTURE",IF(M167="","CEK ZONA NO kosong",IF(ISNA(MATCH(R167&amp;"|"&amp;M167,LAYOUT!$E$2:$E$80,0)),"CEK ZONA NO di luar layout",IF(N167&lt;&gt;INDEX(LAYOUT!$D$2:$D$80,MATCH(R167&amp;"|"&amp;M167,LAYOUT!$E$2:$E$80,0)),"CEK JENIS ZONA",IF($D167="","Zona STOCK",IF($E167="","CEK SKU DESCRIPTION kosong",IF(AND(O167&lt;&gt;"",P167=""),"CEK URUTAN SAMBUNG kosong",IF(AND(O167&lt;&gt;"",LEFT(R167,6)="Endcap"),"CEK Endcap tidak ikut sambung","OK"))))))))))</f>
        <v/>
      </c>
      <c r="T167" s="11" t="n"/>
      <c r="U167" s="11" t="n"/>
      <c r="V167" s="11" t="n"/>
      <c r="W167" s="11" t="n"/>
      <c r="X167" s="11" t="n"/>
      <c r="Y167" s="11" t="n"/>
      <c r="Z167" s="12">
        <f>IF(T167="","",IFERROR(INDEX(DAFTAR_FIXTURE!$B$2:$B$51,MATCH(T167,DAFTAR_FIXTURE!$A$2:$A$51,0)),""))</f>
        <v/>
      </c>
      <c r="AA167" s="12">
        <f>IF(T167="","",IF(Z167="","CEK ID FIXTURE tidak ada di DAFTAR_FIXTURE",IF(U167="","CEK ZONA NO kosong",IF(ISNA(MATCH(Z167&amp;"|"&amp;U167,LAYOUT!$E$2:$E$80,0)),"CEK ZONA NO di luar layout",IF(V167&lt;&gt;INDEX(LAYOUT!$D$2:$D$80,MATCH(Z167&amp;"|"&amp;U167,LAYOUT!$E$2:$E$80,0)),"CEK JENIS ZONA",IF($D167="","Zona STOCK",IF($E167="","CEK SKU DESCRIPTION kosong",IF(AND(W167&lt;&gt;"",X167=""),"CEK URUTAN SAMBUNG kosong",IF(AND(W167&lt;&gt;"",LEFT(Z167,6)="Endcap"),"CEK Endcap tidak ikut sambung","OK")))))))))</f>
        <v/>
      </c>
      <c r="AB167" s="11" t="n"/>
      <c r="AC167" s="11" t="n"/>
      <c r="AD167" s="11" t="n"/>
      <c r="AE167" s="11" t="n"/>
      <c r="AF167" s="11" t="n"/>
      <c r="AG167" s="11" t="n"/>
      <c r="AH167" s="12">
        <f>IF(AB167="","",IFERROR(INDEX(DAFTAR_FIXTURE!$B$2:$B$51,MATCH(AB167,DAFTAR_FIXTURE!$A$2:$A$51,0)),""))</f>
        <v/>
      </c>
      <c r="AI167" s="12">
        <f>IF(AB167="","",IF(AH167="","CEK ID FIXTURE tidak ada di DAFTAR_FIXTURE",IF(AC167="","CEK ZONA NO kosong",IF(ISNA(MATCH(AH167&amp;"|"&amp;AC167,LAYOUT!$E$2:$E$80,0)),"CEK ZONA NO di luar layout",IF(AD167&lt;&gt;INDEX(LAYOUT!$D$2:$D$80,MATCH(AH167&amp;"|"&amp;AC167,LAYOUT!$E$2:$E$80,0)),"CEK JENIS ZONA",IF($D167="","Zona STOCK",IF($E167="","CEK SKU DESCRIPTION kosong",IF(AND(AE167&lt;&gt;"",AF167=""),"CEK URUTAN SAMBUNG kosong",IF(AND(AE167&lt;&gt;"",LEFT(AH167,6)="Endcap"),"CEK Endcap tidak ikut sambung","OK")))))))))</f>
        <v/>
      </c>
    </row>
    <row r="168">
      <c r="A168" s="10" t="n"/>
      <c r="B168" s="10" t="n"/>
      <c r="C168" s="10" t="n"/>
      <c r="D168" s="10" t="n"/>
      <c r="E168" s="10" t="n"/>
      <c r="F168" s="10" t="n"/>
      <c r="G168" s="10" t="n"/>
      <c r="H168" s="10" t="n"/>
      <c r="I168" s="10" t="n"/>
      <c r="J168" s="10" t="n"/>
      <c r="K168" s="10" t="n"/>
      <c r="L168" s="11" t="n"/>
      <c r="M168" s="11" t="n"/>
      <c r="N168" s="11" t="n"/>
      <c r="O168" s="11" t="n"/>
      <c r="P168" s="11" t="n"/>
      <c r="Q168" s="11" t="n"/>
      <c r="R168" s="12">
        <f>IF(L168="","",IFERROR(INDEX(DAFTAR_FIXTURE!$B$2:$B$51,MATCH(L168,DAFTAR_FIXTURE!$A$2:$A$51,0)),""))</f>
        <v/>
      </c>
      <c r="S168" s="12">
        <f>IF(AND($D168="",L168=""),"",IF(L168="",IF(AND(T168="",AB168=""),"Belum ditempatkan",""),IF(R168="","CEK ID FIXTURE tidak ada di DAFTAR_FIXTURE",IF(M168="","CEK ZONA NO kosong",IF(ISNA(MATCH(R168&amp;"|"&amp;M168,LAYOUT!$E$2:$E$80,0)),"CEK ZONA NO di luar layout",IF(N168&lt;&gt;INDEX(LAYOUT!$D$2:$D$80,MATCH(R168&amp;"|"&amp;M168,LAYOUT!$E$2:$E$80,0)),"CEK JENIS ZONA",IF($D168="","Zona STOCK",IF($E168="","CEK SKU DESCRIPTION kosong",IF(AND(O168&lt;&gt;"",P168=""),"CEK URUTAN SAMBUNG kosong",IF(AND(O168&lt;&gt;"",LEFT(R168,6)="Endcap"),"CEK Endcap tidak ikut sambung","OK"))))))))))</f>
        <v/>
      </c>
      <c r="T168" s="11" t="n"/>
      <c r="U168" s="11" t="n"/>
      <c r="V168" s="11" t="n"/>
      <c r="W168" s="11" t="n"/>
      <c r="X168" s="11" t="n"/>
      <c r="Y168" s="11" t="n"/>
      <c r="Z168" s="12">
        <f>IF(T168="","",IFERROR(INDEX(DAFTAR_FIXTURE!$B$2:$B$51,MATCH(T168,DAFTAR_FIXTURE!$A$2:$A$51,0)),""))</f>
        <v/>
      </c>
      <c r="AA168" s="12">
        <f>IF(T168="","",IF(Z168="","CEK ID FIXTURE tidak ada di DAFTAR_FIXTURE",IF(U168="","CEK ZONA NO kosong",IF(ISNA(MATCH(Z168&amp;"|"&amp;U168,LAYOUT!$E$2:$E$80,0)),"CEK ZONA NO di luar layout",IF(V168&lt;&gt;INDEX(LAYOUT!$D$2:$D$80,MATCH(Z168&amp;"|"&amp;U168,LAYOUT!$E$2:$E$80,0)),"CEK JENIS ZONA",IF($D168="","Zona STOCK",IF($E168="","CEK SKU DESCRIPTION kosong",IF(AND(W168&lt;&gt;"",X168=""),"CEK URUTAN SAMBUNG kosong",IF(AND(W168&lt;&gt;"",LEFT(Z168,6)="Endcap"),"CEK Endcap tidak ikut sambung","OK")))))))))</f>
        <v/>
      </c>
      <c r="AB168" s="11" t="n"/>
      <c r="AC168" s="11" t="n"/>
      <c r="AD168" s="11" t="n"/>
      <c r="AE168" s="11" t="n"/>
      <c r="AF168" s="11" t="n"/>
      <c r="AG168" s="11" t="n"/>
      <c r="AH168" s="12">
        <f>IF(AB168="","",IFERROR(INDEX(DAFTAR_FIXTURE!$B$2:$B$51,MATCH(AB168,DAFTAR_FIXTURE!$A$2:$A$51,0)),""))</f>
        <v/>
      </c>
      <c r="AI168" s="12">
        <f>IF(AB168="","",IF(AH168="","CEK ID FIXTURE tidak ada di DAFTAR_FIXTURE",IF(AC168="","CEK ZONA NO kosong",IF(ISNA(MATCH(AH168&amp;"|"&amp;AC168,LAYOUT!$E$2:$E$80,0)),"CEK ZONA NO di luar layout",IF(AD168&lt;&gt;INDEX(LAYOUT!$D$2:$D$80,MATCH(AH168&amp;"|"&amp;AC168,LAYOUT!$E$2:$E$80,0)),"CEK JENIS ZONA",IF($D168="","Zona STOCK",IF($E168="","CEK SKU DESCRIPTION kosong",IF(AND(AE168&lt;&gt;"",AF168=""),"CEK URUTAN SAMBUNG kosong",IF(AND(AE168&lt;&gt;"",LEFT(AH168,6)="Endcap"),"CEK Endcap tidak ikut sambung","OK")))))))))</f>
        <v/>
      </c>
    </row>
    <row r="169">
      <c r="A169" s="10" t="n"/>
      <c r="B169" s="10" t="n"/>
      <c r="C169" s="10" t="n"/>
      <c r="D169" s="10" t="n"/>
      <c r="E169" s="10" t="n"/>
      <c r="F169" s="10" t="n"/>
      <c r="G169" s="10" t="n"/>
      <c r="H169" s="10" t="n"/>
      <c r="I169" s="10" t="n"/>
      <c r="J169" s="10" t="n"/>
      <c r="K169" s="10" t="n"/>
      <c r="L169" s="11" t="n"/>
      <c r="M169" s="11" t="n"/>
      <c r="N169" s="11" t="n"/>
      <c r="O169" s="11" t="n"/>
      <c r="P169" s="11" t="n"/>
      <c r="Q169" s="11" t="n"/>
      <c r="R169" s="12">
        <f>IF(L169="","",IFERROR(INDEX(DAFTAR_FIXTURE!$B$2:$B$51,MATCH(L169,DAFTAR_FIXTURE!$A$2:$A$51,0)),""))</f>
        <v/>
      </c>
      <c r="S169" s="12">
        <f>IF(AND($D169="",L169=""),"",IF(L169="",IF(AND(T169="",AB169=""),"Belum ditempatkan",""),IF(R169="","CEK ID FIXTURE tidak ada di DAFTAR_FIXTURE",IF(M169="","CEK ZONA NO kosong",IF(ISNA(MATCH(R169&amp;"|"&amp;M169,LAYOUT!$E$2:$E$80,0)),"CEK ZONA NO di luar layout",IF(N169&lt;&gt;INDEX(LAYOUT!$D$2:$D$80,MATCH(R169&amp;"|"&amp;M169,LAYOUT!$E$2:$E$80,0)),"CEK JENIS ZONA",IF($D169="","Zona STOCK",IF($E169="","CEK SKU DESCRIPTION kosong",IF(AND(O169&lt;&gt;"",P169=""),"CEK URUTAN SAMBUNG kosong",IF(AND(O169&lt;&gt;"",LEFT(R169,6)="Endcap"),"CEK Endcap tidak ikut sambung","OK"))))))))))</f>
        <v/>
      </c>
      <c r="T169" s="11" t="n"/>
      <c r="U169" s="11" t="n"/>
      <c r="V169" s="11" t="n"/>
      <c r="W169" s="11" t="n"/>
      <c r="X169" s="11" t="n"/>
      <c r="Y169" s="11" t="n"/>
      <c r="Z169" s="12">
        <f>IF(T169="","",IFERROR(INDEX(DAFTAR_FIXTURE!$B$2:$B$51,MATCH(T169,DAFTAR_FIXTURE!$A$2:$A$51,0)),""))</f>
        <v/>
      </c>
      <c r="AA169" s="12">
        <f>IF(T169="","",IF(Z169="","CEK ID FIXTURE tidak ada di DAFTAR_FIXTURE",IF(U169="","CEK ZONA NO kosong",IF(ISNA(MATCH(Z169&amp;"|"&amp;U169,LAYOUT!$E$2:$E$80,0)),"CEK ZONA NO di luar layout",IF(V169&lt;&gt;INDEX(LAYOUT!$D$2:$D$80,MATCH(Z169&amp;"|"&amp;U169,LAYOUT!$E$2:$E$80,0)),"CEK JENIS ZONA",IF($D169="","Zona STOCK",IF($E169="","CEK SKU DESCRIPTION kosong",IF(AND(W169&lt;&gt;"",X169=""),"CEK URUTAN SAMBUNG kosong",IF(AND(W169&lt;&gt;"",LEFT(Z169,6)="Endcap"),"CEK Endcap tidak ikut sambung","OK")))))))))</f>
        <v/>
      </c>
      <c r="AB169" s="11" t="n"/>
      <c r="AC169" s="11" t="n"/>
      <c r="AD169" s="11" t="n"/>
      <c r="AE169" s="11" t="n"/>
      <c r="AF169" s="11" t="n"/>
      <c r="AG169" s="11" t="n"/>
      <c r="AH169" s="12">
        <f>IF(AB169="","",IFERROR(INDEX(DAFTAR_FIXTURE!$B$2:$B$51,MATCH(AB169,DAFTAR_FIXTURE!$A$2:$A$51,0)),""))</f>
        <v/>
      </c>
      <c r="AI169" s="12">
        <f>IF(AB169="","",IF(AH169="","CEK ID FIXTURE tidak ada di DAFTAR_FIXTURE",IF(AC169="","CEK ZONA NO kosong",IF(ISNA(MATCH(AH169&amp;"|"&amp;AC169,LAYOUT!$E$2:$E$80,0)),"CEK ZONA NO di luar layout",IF(AD169&lt;&gt;INDEX(LAYOUT!$D$2:$D$80,MATCH(AH169&amp;"|"&amp;AC169,LAYOUT!$E$2:$E$80,0)),"CEK JENIS ZONA",IF($D169="","Zona STOCK",IF($E169="","CEK SKU DESCRIPTION kosong",IF(AND(AE169&lt;&gt;"",AF169=""),"CEK URUTAN SAMBUNG kosong",IF(AND(AE169&lt;&gt;"",LEFT(AH169,6)="Endcap"),"CEK Endcap tidak ikut sambung","OK")))))))))</f>
        <v/>
      </c>
    </row>
    <row r="170">
      <c r="A170" s="10" t="n"/>
      <c r="B170" s="10" t="n"/>
      <c r="C170" s="10" t="n"/>
      <c r="D170" s="10" t="n"/>
      <c r="E170" s="10" t="n"/>
      <c r="F170" s="10" t="n"/>
      <c r="G170" s="10" t="n"/>
      <c r="H170" s="10" t="n"/>
      <c r="I170" s="10" t="n"/>
      <c r="J170" s="10" t="n"/>
      <c r="K170" s="10" t="n"/>
      <c r="L170" s="11" t="n"/>
      <c r="M170" s="11" t="n"/>
      <c r="N170" s="11" t="n"/>
      <c r="O170" s="11" t="n"/>
      <c r="P170" s="11" t="n"/>
      <c r="Q170" s="11" t="n"/>
      <c r="R170" s="12">
        <f>IF(L170="","",IFERROR(INDEX(DAFTAR_FIXTURE!$B$2:$B$51,MATCH(L170,DAFTAR_FIXTURE!$A$2:$A$51,0)),""))</f>
        <v/>
      </c>
      <c r="S170" s="12">
        <f>IF(AND($D170="",L170=""),"",IF(L170="",IF(AND(T170="",AB170=""),"Belum ditempatkan",""),IF(R170="","CEK ID FIXTURE tidak ada di DAFTAR_FIXTURE",IF(M170="","CEK ZONA NO kosong",IF(ISNA(MATCH(R170&amp;"|"&amp;M170,LAYOUT!$E$2:$E$80,0)),"CEK ZONA NO di luar layout",IF(N170&lt;&gt;INDEX(LAYOUT!$D$2:$D$80,MATCH(R170&amp;"|"&amp;M170,LAYOUT!$E$2:$E$80,0)),"CEK JENIS ZONA",IF($D170="","Zona STOCK",IF($E170="","CEK SKU DESCRIPTION kosong",IF(AND(O170&lt;&gt;"",P170=""),"CEK URUTAN SAMBUNG kosong",IF(AND(O170&lt;&gt;"",LEFT(R170,6)="Endcap"),"CEK Endcap tidak ikut sambung","OK"))))))))))</f>
        <v/>
      </c>
      <c r="T170" s="11" t="n"/>
      <c r="U170" s="11" t="n"/>
      <c r="V170" s="11" t="n"/>
      <c r="W170" s="11" t="n"/>
      <c r="X170" s="11" t="n"/>
      <c r="Y170" s="11" t="n"/>
      <c r="Z170" s="12">
        <f>IF(T170="","",IFERROR(INDEX(DAFTAR_FIXTURE!$B$2:$B$51,MATCH(T170,DAFTAR_FIXTURE!$A$2:$A$51,0)),""))</f>
        <v/>
      </c>
      <c r="AA170" s="12">
        <f>IF(T170="","",IF(Z170="","CEK ID FIXTURE tidak ada di DAFTAR_FIXTURE",IF(U170="","CEK ZONA NO kosong",IF(ISNA(MATCH(Z170&amp;"|"&amp;U170,LAYOUT!$E$2:$E$80,0)),"CEK ZONA NO di luar layout",IF(V170&lt;&gt;INDEX(LAYOUT!$D$2:$D$80,MATCH(Z170&amp;"|"&amp;U170,LAYOUT!$E$2:$E$80,0)),"CEK JENIS ZONA",IF($D170="","Zona STOCK",IF($E170="","CEK SKU DESCRIPTION kosong",IF(AND(W170&lt;&gt;"",X170=""),"CEK URUTAN SAMBUNG kosong",IF(AND(W170&lt;&gt;"",LEFT(Z170,6)="Endcap"),"CEK Endcap tidak ikut sambung","OK")))))))))</f>
        <v/>
      </c>
      <c r="AB170" s="11" t="n"/>
      <c r="AC170" s="11" t="n"/>
      <c r="AD170" s="11" t="n"/>
      <c r="AE170" s="11" t="n"/>
      <c r="AF170" s="11" t="n"/>
      <c r="AG170" s="11" t="n"/>
      <c r="AH170" s="12">
        <f>IF(AB170="","",IFERROR(INDEX(DAFTAR_FIXTURE!$B$2:$B$51,MATCH(AB170,DAFTAR_FIXTURE!$A$2:$A$51,0)),""))</f>
        <v/>
      </c>
      <c r="AI170" s="12">
        <f>IF(AB170="","",IF(AH170="","CEK ID FIXTURE tidak ada di DAFTAR_FIXTURE",IF(AC170="","CEK ZONA NO kosong",IF(ISNA(MATCH(AH170&amp;"|"&amp;AC170,LAYOUT!$E$2:$E$80,0)),"CEK ZONA NO di luar layout",IF(AD170&lt;&gt;INDEX(LAYOUT!$D$2:$D$80,MATCH(AH170&amp;"|"&amp;AC170,LAYOUT!$E$2:$E$80,0)),"CEK JENIS ZONA",IF($D170="","Zona STOCK",IF($E170="","CEK SKU DESCRIPTION kosong",IF(AND(AE170&lt;&gt;"",AF170=""),"CEK URUTAN SAMBUNG kosong",IF(AND(AE170&lt;&gt;"",LEFT(AH170,6)="Endcap"),"CEK Endcap tidak ikut sambung","OK")))))))))</f>
        <v/>
      </c>
    </row>
    <row r="171">
      <c r="A171" s="10" t="n"/>
      <c r="B171" s="10" t="n"/>
      <c r="C171" s="10" t="n"/>
      <c r="D171" s="10" t="n"/>
      <c r="E171" s="10" t="n"/>
      <c r="F171" s="10" t="n"/>
      <c r="G171" s="10" t="n"/>
      <c r="H171" s="10" t="n"/>
      <c r="I171" s="10" t="n"/>
      <c r="J171" s="10" t="n"/>
      <c r="K171" s="10" t="n"/>
      <c r="L171" s="11" t="n"/>
      <c r="M171" s="11" t="n"/>
      <c r="N171" s="11" t="n"/>
      <c r="O171" s="11" t="n"/>
      <c r="P171" s="11" t="n"/>
      <c r="Q171" s="11" t="n"/>
      <c r="R171" s="12">
        <f>IF(L171="","",IFERROR(INDEX(DAFTAR_FIXTURE!$B$2:$B$51,MATCH(L171,DAFTAR_FIXTURE!$A$2:$A$51,0)),""))</f>
        <v/>
      </c>
      <c r="S171" s="12">
        <f>IF(AND($D171="",L171=""),"",IF(L171="",IF(AND(T171="",AB171=""),"Belum ditempatkan",""),IF(R171="","CEK ID FIXTURE tidak ada di DAFTAR_FIXTURE",IF(M171="","CEK ZONA NO kosong",IF(ISNA(MATCH(R171&amp;"|"&amp;M171,LAYOUT!$E$2:$E$80,0)),"CEK ZONA NO di luar layout",IF(N171&lt;&gt;INDEX(LAYOUT!$D$2:$D$80,MATCH(R171&amp;"|"&amp;M171,LAYOUT!$E$2:$E$80,0)),"CEK JENIS ZONA",IF($D171="","Zona STOCK",IF($E171="","CEK SKU DESCRIPTION kosong",IF(AND(O171&lt;&gt;"",P171=""),"CEK URUTAN SAMBUNG kosong",IF(AND(O171&lt;&gt;"",LEFT(R171,6)="Endcap"),"CEK Endcap tidak ikut sambung","OK"))))))))))</f>
        <v/>
      </c>
      <c r="T171" s="11" t="n"/>
      <c r="U171" s="11" t="n"/>
      <c r="V171" s="11" t="n"/>
      <c r="W171" s="11" t="n"/>
      <c r="X171" s="11" t="n"/>
      <c r="Y171" s="11" t="n"/>
      <c r="Z171" s="12">
        <f>IF(T171="","",IFERROR(INDEX(DAFTAR_FIXTURE!$B$2:$B$51,MATCH(T171,DAFTAR_FIXTURE!$A$2:$A$51,0)),""))</f>
        <v/>
      </c>
      <c r="AA171" s="12">
        <f>IF(T171="","",IF(Z171="","CEK ID FIXTURE tidak ada di DAFTAR_FIXTURE",IF(U171="","CEK ZONA NO kosong",IF(ISNA(MATCH(Z171&amp;"|"&amp;U171,LAYOUT!$E$2:$E$80,0)),"CEK ZONA NO di luar layout",IF(V171&lt;&gt;INDEX(LAYOUT!$D$2:$D$80,MATCH(Z171&amp;"|"&amp;U171,LAYOUT!$E$2:$E$80,0)),"CEK JENIS ZONA",IF($D171="","Zona STOCK",IF($E171="","CEK SKU DESCRIPTION kosong",IF(AND(W171&lt;&gt;"",X171=""),"CEK URUTAN SAMBUNG kosong",IF(AND(W171&lt;&gt;"",LEFT(Z171,6)="Endcap"),"CEK Endcap tidak ikut sambung","OK")))))))))</f>
        <v/>
      </c>
      <c r="AB171" s="11" t="n"/>
      <c r="AC171" s="11" t="n"/>
      <c r="AD171" s="11" t="n"/>
      <c r="AE171" s="11" t="n"/>
      <c r="AF171" s="11" t="n"/>
      <c r="AG171" s="11" t="n"/>
      <c r="AH171" s="12">
        <f>IF(AB171="","",IFERROR(INDEX(DAFTAR_FIXTURE!$B$2:$B$51,MATCH(AB171,DAFTAR_FIXTURE!$A$2:$A$51,0)),""))</f>
        <v/>
      </c>
      <c r="AI171" s="12">
        <f>IF(AB171="","",IF(AH171="","CEK ID FIXTURE tidak ada di DAFTAR_FIXTURE",IF(AC171="","CEK ZONA NO kosong",IF(ISNA(MATCH(AH171&amp;"|"&amp;AC171,LAYOUT!$E$2:$E$80,0)),"CEK ZONA NO di luar layout",IF(AD171&lt;&gt;INDEX(LAYOUT!$D$2:$D$80,MATCH(AH171&amp;"|"&amp;AC171,LAYOUT!$E$2:$E$80,0)),"CEK JENIS ZONA",IF($D171="","Zona STOCK",IF($E171="","CEK SKU DESCRIPTION kosong",IF(AND(AE171&lt;&gt;"",AF171=""),"CEK URUTAN SAMBUNG kosong",IF(AND(AE171&lt;&gt;"",LEFT(AH171,6)="Endcap"),"CEK Endcap tidak ikut sambung","OK")))))))))</f>
        <v/>
      </c>
    </row>
    <row r="172">
      <c r="A172" s="10" t="n"/>
      <c r="B172" s="10" t="n"/>
      <c r="C172" s="10" t="n"/>
      <c r="D172" s="10" t="n"/>
      <c r="E172" s="10" t="n"/>
      <c r="F172" s="10" t="n"/>
      <c r="G172" s="10" t="n"/>
      <c r="H172" s="10" t="n"/>
      <c r="I172" s="10" t="n"/>
      <c r="J172" s="10" t="n"/>
      <c r="K172" s="10" t="n"/>
      <c r="L172" s="11" t="n"/>
      <c r="M172" s="11" t="n"/>
      <c r="N172" s="11" t="n"/>
      <c r="O172" s="11" t="n"/>
      <c r="P172" s="11" t="n"/>
      <c r="Q172" s="11" t="n"/>
      <c r="R172" s="12">
        <f>IF(L172="","",IFERROR(INDEX(DAFTAR_FIXTURE!$B$2:$B$51,MATCH(L172,DAFTAR_FIXTURE!$A$2:$A$51,0)),""))</f>
        <v/>
      </c>
      <c r="S172" s="12">
        <f>IF(AND($D172="",L172=""),"",IF(L172="",IF(AND(T172="",AB172=""),"Belum ditempatkan",""),IF(R172="","CEK ID FIXTURE tidak ada di DAFTAR_FIXTURE",IF(M172="","CEK ZONA NO kosong",IF(ISNA(MATCH(R172&amp;"|"&amp;M172,LAYOUT!$E$2:$E$80,0)),"CEK ZONA NO di luar layout",IF(N172&lt;&gt;INDEX(LAYOUT!$D$2:$D$80,MATCH(R172&amp;"|"&amp;M172,LAYOUT!$E$2:$E$80,0)),"CEK JENIS ZONA",IF($D172="","Zona STOCK",IF($E172="","CEK SKU DESCRIPTION kosong",IF(AND(O172&lt;&gt;"",P172=""),"CEK URUTAN SAMBUNG kosong",IF(AND(O172&lt;&gt;"",LEFT(R172,6)="Endcap"),"CEK Endcap tidak ikut sambung","OK"))))))))))</f>
        <v/>
      </c>
      <c r="T172" s="11" t="n"/>
      <c r="U172" s="11" t="n"/>
      <c r="V172" s="11" t="n"/>
      <c r="W172" s="11" t="n"/>
      <c r="X172" s="11" t="n"/>
      <c r="Y172" s="11" t="n"/>
      <c r="Z172" s="12">
        <f>IF(T172="","",IFERROR(INDEX(DAFTAR_FIXTURE!$B$2:$B$51,MATCH(T172,DAFTAR_FIXTURE!$A$2:$A$51,0)),""))</f>
        <v/>
      </c>
      <c r="AA172" s="12">
        <f>IF(T172="","",IF(Z172="","CEK ID FIXTURE tidak ada di DAFTAR_FIXTURE",IF(U172="","CEK ZONA NO kosong",IF(ISNA(MATCH(Z172&amp;"|"&amp;U172,LAYOUT!$E$2:$E$80,0)),"CEK ZONA NO di luar layout",IF(V172&lt;&gt;INDEX(LAYOUT!$D$2:$D$80,MATCH(Z172&amp;"|"&amp;U172,LAYOUT!$E$2:$E$80,0)),"CEK JENIS ZONA",IF($D172="","Zona STOCK",IF($E172="","CEK SKU DESCRIPTION kosong",IF(AND(W172&lt;&gt;"",X172=""),"CEK URUTAN SAMBUNG kosong",IF(AND(W172&lt;&gt;"",LEFT(Z172,6)="Endcap"),"CEK Endcap tidak ikut sambung","OK")))))))))</f>
        <v/>
      </c>
      <c r="AB172" s="11" t="n"/>
      <c r="AC172" s="11" t="n"/>
      <c r="AD172" s="11" t="n"/>
      <c r="AE172" s="11" t="n"/>
      <c r="AF172" s="11" t="n"/>
      <c r="AG172" s="11" t="n"/>
      <c r="AH172" s="12">
        <f>IF(AB172="","",IFERROR(INDEX(DAFTAR_FIXTURE!$B$2:$B$51,MATCH(AB172,DAFTAR_FIXTURE!$A$2:$A$51,0)),""))</f>
        <v/>
      </c>
      <c r="AI172" s="12">
        <f>IF(AB172="","",IF(AH172="","CEK ID FIXTURE tidak ada di DAFTAR_FIXTURE",IF(AC172="","CEK ZONA NO kosong",IF(ISNA(MATCH(AH172&amp;"|"&amp;AC172,LAYOUT!$E$2:$E$80,0)),"CEK ZONA NO di luar layout",IF(AD172&lt;&gt;INDEX(LAYOUT!$D$2:$D$80,MATCH(AH172&amp;"|"&amp;AC172,LAYOUT!$E$2:$E$80,0)),"CEK JENIS ZONA",IF($D172="","Zona STOCK",IF($E172="","CEK SKU DESCRIPTION kosong",IF(AND(AE172&lt;&gt;"",AF172=""),"CEK URUTAN SAMBUNG kosong",IF(AND(AE172&lt;&gt;"",LEFT(AH172,6)="Endcap"),"CEK Endcap tidak ikut sambung","OK")))))))))</f>
        <v/>
      </c>
    </row>
    <row r="173">
      <c r="A173" s="10" t="n"/>
      <c r="B173" s="10" t="n"/>
      <c r="C173" s="10" t="n"/>
      <c r="D173" s="10" t="n"/>
      <c r="E173" s="10" t="n"/>
      <c r="F173" s="10" t="n"/>
      <c r="G173" s="10" t="n"/>
      <c r="H173" s="10" t="n"/>
      <c r="I173" s="10" t="n"/>
      <c r="J173" s="10" t="n"/>
      <c r="K173" s="10" t="n"/>
      <c r="L173" s="11" t="n"/>
      <c r="M173" s="11" t="n"/>
      <c r="N173" s="11" t="n"/>
      <c r="O173" s="11" t="n"/>
      <c r="P173" s="11" t="n"/>
      <c r="Q173" s="11" t="n"/>
      <c r="R173" s="12">
        <f>IF(L173="","",IFERROR(INDEX(DAFTAR_FIXTURE!$B$2:$B$51,MATCH(L173,DAFTAR_FIXTURE!$A$2:$A$51,0)),""))</f>
        <v/>
      </c>
      <c r="S173" s="12">
        <f>IF(AND($D173="",L173=""),"",IF(L173="",IF(AND(T173="",AB173=""),"Belum ditempatkan",""),IF(R173="","CEK ID FIXTURE tidak ada di DAFTAR_FIXTURE",IF(M173="","CEK ZONA NO kosong",IF(ISNA(MATCH(R173&amp;"|"&amp;M173,LAYOUT!$E$2:$E$80,0)),"CEK ZONA NO di luar layout",IF(N173&lt;&gt;INDEX(LAYOUT!$D$2:$D$80,MATCH(R173&amp;"|"&amp;M173,LAYOUT!$E$2:$E$80,0)),"CEK JENIS ZONA",IF($D173="","Zona STOCK",IF($E173="","CEK SKU DESCRIPTION kosong",IF(AND(O173&lt;&gt;"",P173=""),"CEK URUTAN SAMBUNG kosong",IF(AND(O173&lt;&gt;"",LEFT(R173,6)="Endcap"),"CEK Endcap tidak ikut sambung","OK"))))))))))</f>
        <v/>
      </c>
      <c r="T173" s="11" t="n"/>
      <c r="U173" s="11" t="n"/>
      <c r="V173" s="11" t="n"/>
      <c r="W173" s="11" t="n"/>
      <c r="X173" s="11" t="n"/>
      <c r="Y173" s="11" t="n"/>
      <c r="Z173" s="12">
        <f>IF(T173="","",IFERROR(INDEX(DAFTAR_FIXTURE!$B$2:$B$51,MATCH(T173,DAFTAR_FIXTURE!$A$2:$A$51,0)),""))</f>
        <v/>
      </c>
      <c r="AA173" s="12">
        <f>IF(T173="","",IF(Z173="","CEK ID FIXTURE tidak ada di DAFTAR_FIXTURE",IF(U173="","CEK ZONA NO kosong",IF(ISNA(MATCH(Z173&amp;"|"&amp;U173,LAYOUT!$E$2:$E$80,0)),"CEK ZONA NO di luar layout",IF(V173&lt;&gt;INDEX(LAYOUT!$D$2:$D$80,MATCH(Z173&amp;"|"&amp;U173,LAYOUT!$E$2:$E$80,0)),"CEK JENIS ZONA",IF($D173="","Zona STOCK",IF($E173="","CEK SKU DESCRIPTION kosong",IF(AND(W173&lt;&gt;"",X173=""),"CEK URUTAN SAMBUNG kosong",IF(AND(W173&lt;&gt;"",LEFT(Z173,6)="Endcap"),"CEK Endcap tidak ikut sambung","OK")))))))))</f>
        <v/>
      </c>
      <c r="AB173" s="11" t="n"/>
      <c r="AC173" s="11" t="n"/>
      <c r="AD173" s="11" t="n"/>
      <c r="AE173" s="11" t="n"/>
      <c r="AF173" s="11" t="n"/>
      <c r="AG173" s="11" t="n"/>
      <c r="AH173" s="12">
        <f>IF(AB173="","",IFERROR(INDEX(DAFTAR_FIXTURE!$B$2:$B$51,MATCH(AB173,DAFTAR_FIXTURE!$A$2:$A$51,0)),""))</f>
        <v/>
      </c>
      <c r="AI173" s="12">
        <f>IF(AB173="","",IF(AH173="","CEK ID FIXTURE tidak ada di DAFTAR_FIXTURE",IF(AC173="","CEK ZONA NO kosong",IF(ISNA(MATCH(AH173&amp;"|"&amp;AC173,LAYOUT!$E$2:$E$80,0)),"CEK ZONA NO di luar layout",IF(AD173&lt;&gt;INDEX(LAYOUT!$D$2:$D$80,MATCH(AH173&amp;"|"&amp;AC173,LAYOUT!$E$2:$E$80,0)),"CEK JENIS ZONA",IF($D173="","Zona STOCK",IF($E173="","CEK SKU DESCRIPTION kosong",IF(AND(AE173&lt;&gt;"",AF173=""),"CEK URUTAN SAMBUNG kosong",IF(AND(AE173&lt;&gt;"",LEFT(AH173,6)="Endcap"),"CEK Endcap tidak ikut sambung","OK")))))))))</f>
        <v/>
      </c>
    </row>
    <row r="174">
      <c r="A174" s="10" t="n"/>
      <c r="B174" s="10" t="n"/>
      <c r="C174" s="10" t="n"/>
      <c r="D174" s="10" t="n"/>
      <c r="E174" s="10" t="n"/>
      <c r="F174" s="10" t="n"/>
      <c r="G174" s="10" t="n"/>
      <c r="H174" s="10" t="n"/>
      <c r="I174" s="10" t="n"/>
      <c r="J174" s="10" t="n"/>
      <c r="K174" s="10" t="n"/>
      <c r="L174" s="11" t="n"/>
      <c r="M174" s="11" t="n"/>
      <c r="N174" s="11" t="n"/>
      <c r="O174" s="11" t="n"/>
      <c r="P174" s="11" t="n"/>
      <c r="Q174" s="11" t="n"/>
      <c r="R174" s="12">
        <f>IF(L174="","",IFERROR(INDEX(DAFTAR_FIXTURE!$B$2:$B$51,MATCH(L174,DAFTAR_FIXTURE!$A$2:$A$51,0)),""))</f>
        <v/>
      </c>
      <c r="S174" s="12">
        <f>IF(AND($D174="",L174=""),"",IF(L174="",IF(AND(T174="",AB174=""),"Belum ditempatkan",""),IF(R174="","CEK ID FIXTURE tidak ada di DAFTAR_FIXTURE",IF(M174="","CEK ZONA NO kosong",IF(ISNA(MATCH(R174&amp;"|"&amp;M174,LAYOUT!$E$2:$E$80,0)),"CEK ZONA NO di luar layout",IF(N174&lt;&gt;INDEX(LAYOUT!$D$2:$D$80,MATCH(R174&amp;"|"&amp;M174,LAYOUT!$E$2:$E$80,0)),"CEK JENIS ZONA",IF($D174="","Zona STOCK",IF($E174="","CEK SKU DESCRIPTION kosong",IF(AND(O174&lt;&gt;"",P174=""),"CEK URUTAN SAMBUNG kosong",IF(AND(O174&lt;&gt;"",LEFT(R174,6)="Endcap"),"CEK Endcap tidak ikut sambung","OK"))))))))))</f>
        <v/>
      </c>
      <c r="T174" s="11" t="n"/>
      <c r="U174" s="11" t="n"/>
      <c r="V174" s="11" t="n"/>
      <c r="W174" s="11" t="n"/>
      <c r="X174" s="11" t="n"/>
      <c r="Y174" s="11" t="n"/>
      <c r="Z174" s="12">
        <f>IF(T174="","",IFERROR(INDEX(DAFTAR_FIXTURE!$B$2:$B$51,MATCH(T174,DAFTAR_FIXTURE!$A$2:$A$51,0)),""))</f>
        <v/>
      </c>
      <c r="AA174" s="12">
        <f>IF(T174="","",IF(Z174="","CEK ID FIXTURE tidak ada di DAFTAR_FIXTURE",IF(U174="","CEK ZONA NO kosong",IF(ISNA(MATCH(Z174&amp;"|"&amp;U174,LAYOUT!$E$2:$E$80,0)),"CEK ZONA NO di luar layout",IF(V174&lt;&gt;INDEX(LAYOUT!$D$2:$D$80,MATCH(Z174&amp;"|"&amp;U174,LAYOUT!$E$2:$E$80,0)),"CEK JENIS ZONA",IF($D174="","Zona STOCK",IF($E174="","CEK SKU DESCRIPTION kosong",IF(AND(W174&lt;&gt;"",X174=""),"CEK URUTAN SAMBUNG kosong",IF(AND(W174&lt;&gt;"",LEFT(Z174,6)="Endcap"),"CEK Endcap tidak ikut sambung","OK")))))))))</f>
        <v/>
      </c>
      <c r="AB174" s="11" t="n"/>
      <c r="AC174" s="11" t="n"/>
      <c r="AD174" s="11" t="n"/>
      <c r="AE174" s="11" t="n"/>
      <c r="AF174" s="11" t="n"/>
      <c r="AG174" s="11" t="n"/>
      <c r="AH174" s="12">
        <f>IF(AB174="","",IFERROR(INDEX(DAFTAR_FIXTURE!$B$2:$B$51,MATCH(AB174,DAFTAR_FIXTURE!$A$2:$A$51,0)),""))</f>
        <v/>
      </c>
      <c r="AI174" s="12">
        <f>IF(AB174="","",IF(AH174="","CEK ID FIXTURE tidak ada di DAFTAR_FIXTURE",IF(AC174="","CEK ZONA NO kosong",IF(ISNA(MATCH(AH174&amp;"|"&amp;AC174,LAYOUT!$E$2:$E$80,0)),"CEK ZONA NO di luar layout",IF(AD174&lt;&gt;INDEX(LAYOUT!$D$2:$D$80,MATCH(AH174&amp;"|"&amp;AC174,LAYOUT!$E$2:$E$80,0)),"CEK JENIS ZONA",IF($D174="","Zona STOCK",IF($E174="","CEK SKU DESCRIPTION kosong",IF(AND(AE174&lt;&gt;"",AF174=""),"CEK URUTAN SAMBUNG kosong",IF(AND(AE174&lt;&gt;"",LEFT(AH174,6)="Endcap"),"CEK Endcap tidak ikut sambung","OK")))))))))</f>
        <v/>
      </c>
    </row>
    <row r="175">
      <c r="A175" s="10" t="n"/>
      <c r="B175" s="10" t="n"/>
      <c r="C175" s="10" t="n"/>
      <c r="D175" s="10" t="n"/>
      <c r="E175" s="10" t="n"/>
      <c r="F175" s="10" t="n"/>
      <c r="G175" s="10" t="n"/>
      <c r="H175" s="10" t="n"/>
      <c r="I175" s="10" t="n"/>
      <c r="J175" s="10" t="n"/>
      <c r="K175" s="10" t="n"/>
      <c r="L175" s="11" t="n"/>
      <c r="M175" s="11" t="n"/>
      <c r="N175" s="11" t="n"/>
      <c r="O175" s="11" t="n"/>
      <c r="P175" s="11" t="n"/>
      <c r="Q175" s="11" t="n"/>
      <c r="R175" s="12">
        <f>IF(L175="","",IFERROR(INDEX(DAFTAR_FIXTURE!$B$2:$B$51,MATCH(L175,DAFTAR_FIXTURE!$A$2:$A$51,0)),""))</f>
        <v/>
      </c>
      <c r="S175" s="12">
        <f>IF(AND($D175="",L175=""),"",IF(L175="",IF(AND(T175="",AB175=""),"Belum ditempatkan",""),IF(R175="","CEK ID FIXTURE tidak ada di DAFTAR_FIXTURE",IF(M175="","CEK ZONA NO kosong",IF(ISNA(MATCH(R175&amp;"|"&amp;M175,LAYOUT!$E$2:$E$80,0)),"CEK ZONA NO di luar layout",IF(N175&lt;&gt;INDEX(LAYOUT!$D$2:$D$80,MATCH(R175&amp;"|"&amp;M175,LAYOUT!$E$2:$E$80,0)),"CEK JENIS ZONA",IF($D175="","Zona STOCK",IF($E175="","CEK SKU DESCRIPTION kosong",IF(AND(O175&lt;&gt;"",P175=""),"CEK URUTAN SAMBUNG kosong",IF(AND(O175&lt;&gt;"",LEFT(R175,6)="Endcap"),"CEK Endcap tidak ikut sambung","OK"))))))))))</f>
        <v/>
      </c>
      <c r="T175" s="11" t="n"/>
      <c r="U175" s="11" t="n"/>
      <c r="V175" s="11" t="n"/>
      <c r="W175" s="11" t="n"/>
      <c r="X175" s="11" t="n"/>
      <c r="Y175" s="11" t="n"/>
      <c r="Z175" s="12">
        <f>IF(T175="","",IFERROR(INDEX(DAFTAR_FIXTURE!$B$2:$B$51,MATCH(T175,DAFTAR_FIXTURE!$A$2:$A$51,0)),""))</f>
        <v/>
      </c>
      <c r="AA175" s="12">
        <f>IF(T175="","",IF(Z175="","CEK ID FIXTURE tidak ada di DAFTAR_FIXTURE",IF(U175="","CEK ZONA NO kosong",IF(ISNA(MATCH(Z175&amp;"|"&amp;U175,LAYOUT!$E$2:$E$80,0)),"CEK ZONA NO di luar layout",IF(V175&lt;&gt;INDEX(LAYOUT!$D$2:$D$80,MATCH(Z175&amp;"|"&amp;U175,LAYOUT!$E$2:$E$80,0)),"CEK JENIS ZONA",IF($D175="","Zona STOCK",IF($E175="","CEK SKU DESCRIPTION kosong",IF(AND(W175&lt;&gt;"",X175=""),"CEK URUTAN SAMBUNG kosong",IF(AND(W175&lt;&gt;"",LEFT(Z175,6)="Endcap"),"CEK Endcap tidak ikut sambung","OK")))))))))</f>
        <v/>
      </c>
      <c r="AB175" s="11" t="n"/>
      <c r="AC175" s="11" t="n"/>
      <c r="AD175" s="11" t="n"/>
      <c r="AE175" s="11" t="n"/>
      <c r="AF175" s="11" t="n"/>
      <c r="AG175" s="11" t="n"/>
      <c r="AH175" s="12">
        <f>IF(AB175="","",IFERROR(INDEX(DAFTAR_FIXTURE!$B$2:$B$51,MATCH(AB175,DAFTAR_FIXTURE!$A$2:$A$51,0)),""))</f>
        <v/>
      </c>
      <c r="AI175" s="12">
        <f>IF(AB175="","",IF(AH175="","CEK ID FIXTURE tidak ada di DAFTAR_FIXTURE",IF(AC175="","CEK ZONA NO kosong",IF(ISNA(MATCH(AH175&amp;"|"&amp;AC175,LAYOUT!$E$2:$E$80,0)),"CEK ZONA NO di luar layout",IF(AD175&lt;&gt;INDEX(LAYOUT!$D$2:$D$80,MATCH(AH175&amp;"|"&amp;AC175,LAYOUT!$E$2:$E$80,0)),"CEK JENIS ZONA",IF($D175="","Zona STOCK",IF($E175="","CEK SKU DESCRIPTION kosong",IF(AND(AE175&lt;&gt;"",AF175=""),"CEK URUTAN SAMBUNG kosong",IF(AND(AE175&lt;&gt;"",LEFT(AH175,6)="Endcap"),"CEK Endcap tidak ikut sambung","OK")))))))))</f>
        <v/>
      </c>
    </row>
    <row r="176">
      <c r="A176" s="10" t="n"/>
      <c r="B176" s="10" t="n"/>
      <c r="C176" s="10" t="n"/>
      <c r="D176" s="10" t="n"/>
      <c r="E176" s="10" t="n"/>
      <c r="F176" s="10" t="n"/>
      <c r="G176" s="10" t="n"/>
      <c r="H176" s="10" t="n"/>
      <c r="I176" s="10" t="n"/>
      <c r="J176" s="10" t="n"/>
      <c r="K176" s="10" t="n"/>
      <c r="L176" s="11" t="n"/>
      <c r="M176" s="11" t="n"/>
      <c r="N176" s="11" t="n"/>
      <c r="O176" s="11" t="n"/>
      <c r="P176" s="11" t="n"/>
      <c r="Q176" s="11" t="n"/>
      <c r="R176" s="12">
        <f>IF(L176="","",IFERROR(INDEX(DAFTAR_FIXTURE!$B$2:$B$51,MATCH(L176,DAFTAR_FIXTURE!$A$2:$A$51,0)),""))</f>
        <v/>
      </c>
      <c r="S176" s="12">
        <f>IF(AND($D176="",L176=""),"",IF(L176="",IF(AND(T176="",AB176=""),"Belum ditempatkan",""),IF(R176="","CEK ID FIXTURE tidak ada di DAFTAR_FIXTURE",IF(M176="","CEK ZONA NO kosong",IF(ISNA(MATCH(R176&amp;"|"&amp;M176,LAYOUT!$E$2:$E$80,0)),"CEK ZONA NO di luar layout",IF(N176&lt;&gt;INDEX(LAYOUT!$D$2:$D$80,MATCH(R176&amp;"|"&amp;M176,LAYOUT!$E$2:$E$80,0)),"CEK JENIS ZONA",IF($D176="","Zona STOCK",IF($E176="","CEK SKU DESCRIPTION kosong",IF(AND(O176&lt;&gt;"",P176=""),"CEK URUTAN SAMBUNG kosong",IF(AND(O176&lt;&gt;"",LEFT(R176,6)="Endcap"),"CEK Endcap tidak ikut sambung","OK"))))))))))</f>
        <v/>
      </c>
      <c r="T176" s="11" t="n"/>
      <c r="U176" s="11" t="n"/>
      <c r="V176" s="11" t="n"/>
      <c r="W176" s="11" t="n"/>
      <c r="X176" s="11" t="n"/>
      <c r="Y176" s="11" t="n"/>
      <c r="Z176" s="12">
        <f>IF(T176="","",IFERROR(INDEX(DAFTAR_FIXTURE!$B$2:$B$51,MATCH(T176,DAFTAR_FIXTURE!$A$2:$A$51,0)),""))</f>
        <v/>
      </c>
      <c r="AA176" s="12">
        <f>IF(T176="","",IF(Z176="","CEK ID FIXTURE tidak ada di DAFTAR_FIXTURE",IF(U176="","CEK ZONA NO kosong",IF(ISNA(MATCH(Z176&amp;"|"&amp;U176,LAYOUT!$E$2:$E$80,0)),"CEK ZONA NO di luar layout",IF(V176&lt;&gt;INDEX(LAYOUT!$D$2:$D$80,MATCH(Z176&amp;"|"&amp;U176,LAYOUT!$E$2:$E$80,0)),"CEK JENIS ZONA",IF($D176="","Zona STOCK",IF($E176="","CEK SKU DESCRIPTION kosong",IF(AND(W176&lt;&gt;"",X176=""),"CEK URUTAN SAMBUNG kosong",IF(AND(W176&lt;&gt;"",LEFT(Z176,6)="Endcap"),"CEK Endcap tidak ikut sambung","OK")))))))))</f>
        <v/>
      </c>
      <c r="AB176" s="11" t="n"/>
      <c r="AC176" s="11" t="n"/>
      <c r="AD176" s="11" t="n"/>
      <c r="AE176" s="11" t="n"/>
      <c r="AF176" s="11" t="n"/>
      <c r="AG176" s="11" t="n"/>
      <c r="AH176" s="12">
        <f>IF(AB176="","",IFERROR(INDEX(DAFTAR_FIXTURE!$B$2:$B$51,MATCH(AB176,DAFTAR_FIXTURE!$A$2:$A$51,0)),""))</f>
        <v/>
      </c>
      <c r="AI176" s="12">
        <f>IF(AB176="","",IF(AH176="","CEK ID FIXTURE tidak ada di DAFTAR_FIXTURE",IF(AC176="","CEK ZONA NO kosong",IF(ISNA(MATCH(AH176&amp;"|"&amp;AC176,LAYOUT!$E$2:$E$80,0)),"CEK ZONA NO di luar layout",IF(AD176&lt;&gt;INDEX(LAYOUT!$D$2:$D$80,MATCH(AH176&amp;"|"&amp;AC176,LAYOUT!$E$2:$E$80,0)),"CEK JENIS ZONA",IF($D176="","Zona STOCK",IF($E176="","CEK SKU DESCRIPTION kosong",IF(AND(AE176&lt;&gt;"",AF176=""),"CEK URUTAN SAMBUNG kosong",IF(AND(AE176&lt;&gt;"",LEFT(AH176,6)="Endcap"),"CEK Endcap tidak ikut sambung","OK")))))))))</f>
        <v/>
      </c>
    </row>
    <row r="177">
      <c r="A177" s="10" t="n"/>
      <c r="B177" s="10" t="n"/>
      <c r="C177" s="10" t="n"/>
      <c r="D177" s="10" t="n"/>
      <c r="E177" s="10" t="n"/>
      <c r="F177" s="10" t="n"/>
      <c r="G177" s="10" t="n"/>
      <c r="H177" s="10" t="n"/>
      <c r="I177" s="10" t="n"/>
      <c r="J177" s="10" t="n"/>
      <c r="K177" s="10" t="n"/>
      <c r="L177" s="11" t="n"/>
      <c r="M177" s="11" t="n"/>
      <c r="N177" s="11" t="n"/>
      <c r="O177" s="11" t="n"/>
      <c r="P177" s="11" t="n"/>
      <c r="Q177" s="11" t="n"/>
      <c r="R177" s="12">
        <f>IF(L177="","",IFERROR(INDEX(DAFTAR_FIXTURE!$B$2:$B$51,MATCH(L177,DAFTAR_FIXTURE!$A$2:$A$51,0)),""))</f>
        <v/>
      </c>
      <c r="S177" s="12">
        <f>IF(AND($D177="",L177=""),"",IF(L177="",IF(AND(T177="",AB177=""),"Belum ditempatkan",""),IF(R177="","CEK ID FIXTURE tidak ada di DAFTAR_FIXTURE",IF(M177="","CEK ZONA NO kosong",IF(ISNA(MATCH(R177&amp;"|"&amp;M177,LAYOUT!$E$2:$E$80,0)),"CEK ZONA NO di luar layout",IF(N177&lt;&gt;INDEX(LAYOUT!$D$2:$D$80,MATCH(R177&amp;"|"&amp;M177,LAYOUT!$E$2:$E$80,0)),"CEK JENIS ZONA",IF($D177="","Zona STOCK",IF($E177="","CEK SKU DESCRIPTION kosong",IF(AND(O177&lt;&gt;"",P177=""),"CEK URUTAN SAMBUNG kosong",IF(AND(O177&lt;&gt;"",LEFT(R177,6)="Endcap"),"CEK Endcap tidak ikut sambung","OK"))))))))))</f>
        <v/>
      </c>
      <c r="T177" s="11" t="n"/>
      <c r="U177" s="11" t="n"/>
      <c r="V177" s="11" t="n"/>
      <c r="W177" s="11" t="n"/>
      <c r="X177" s="11" t="n"/>
      <c r="Y177" s="11" t="n"/>
      <c r="Z177" s="12">
        <f>IF(T177="","",IFERROR(INDEX(DAFTAR_FIXTURE!$B$2:$B$51,MATCH(T177,DAFTAR_FIXTURE!$A$2:$A$51,0)),""))</f>
        <v/>
      </c>
      <c r="AA177" s="12">
        <f>IF(T177="","",IF(Z177="","CEK ID FIXTURE tidak ada di DAFTAR_FIXTURE",IF(U177="","CEK ZONA NO kosong",IF(ISNA(MATCH(Z177&amp;"|"&amp;U177,LAYOUT!$E$2:$E$80,0)),"CEK ZONA NO di luar layout",IF(V177&lt;&gt;INDEX(LAYOUT!$D$2:$D$80,MATCH(Z177&amp;"|"&amp;U177,LAYOUT!$E$2:$E$80,0)),"CEK JENIS ZONA",IF($D177="","Zona STOCK",IF($E177="","CEK SKU DESCRIPTION kosong",IF(AND(W177&lt;&gt;"",X177=""),"CEK URUTAN SAMBUNG kosong",IF(AND(W177&lt;&gt;"",LEFT(Z177,6)="Endcap"),"CEK Endcap tidak ikut sambung","OK")))))))))</f>
        <v/>
      </c>
      <c r="AB177" s="11" t="n"/>
      <c r="AC177" s="11" t="n"/>
      <c r="AD177" s="11" t="n"/>
      <c r="AE177" s="11" t="n"/>
      <c r="AF177" s="11" t="n"/>
      <c r="AG177" s="11" t="n"/>
      <c r="AH177" s="12">
        <f>IF(AB177="","",IFERROR(INDEX(DAFTAR_FIXTURE!$B$2:$B$51,MATCH(AB177,DAFTAR_FIXTURE!$A$2:$A$51,0)),""))</f>
        <v/>
      </c>
      <c r="AI177" s="12">
        <f>IF(AB177="","",IF(AH177="","CEK ID FIXTURE tidak ada di DAFTAR_FIXTURE",IF(AC177="","CEK ZONA NO kosong",IF(ISNA(MATCH(AH177&amp;"|"&amp;AC177,LAYOUT!$E$2:$E$80,0)),"CEK ZONA NO di luar layout",IF(AD177&lt;&gt;INDEX(LAYOUT!$D$2:$D$80,MATCH(AH177&amp;"|"&amp;AC177,LAYOUT!$E$2:$E$80,0)),"CEK JENIS ZONA",IF($D177="","Zona STOCK",IF($E177="","CEK SKU DESCRIPTION kosong",IF(AND(AE177&lt;&gt;"",AF177=""),"CEK URUTAN SAMBUNG kosong",IF(AND(AE177&lt;&gt;"",LEFT(AH177,6)="Endcap"),"CEK Endcap tidak ikut sambung","OK")))))))))</f>
        <v/>
      </c>
    </row>
    <row r="178">
      <c r="A178" s="10" t="n"/>
      <c r="B178" s="10" t="n"/>
      <c r="C178" s="10" t="n"/>
      <c r="D178" s="10" t="n"/>
      <c r="E178" s="10" t="n"/>
      <c r="F178" s="10" t="n"/>
      <c r="G178" s="10" t="n"/>
      <c r="H178" s="10" t="n"/>
      <c r="I178" s="10" t="n"/>
      <c r="J178" s="10" t="n"/>
      <c r="K178" s="10" t="n"/>
      <c r="L178" s="11" t="n"/>
      <c r="M178" s="11" t="n"/>
      <c r="N178" s="11" t="n"/>
      <c r="O178" s="11" t="n"/>
      <c r="P178" s="11" t="n"/>
      <c r="Q178" s="11" t="n"/>
      <c r="R178" s="12">
        <f>IF(L178="","",IFERROR(INDEX(DAFTAR_FIXTURE!$B$2:$B$51,MATCH(L178,DAFTAR_FIXTURE!$A$2:$A$51,0)),""))</f>
        <v/>
      </c>
      <c r="S178" s="12">
        <f>IF(AND($D178="",L178=""),"",IF(L178="",IF(AND(T178="",AB178=""),"Belum ditempatkan",""),IF(R178="","CEK ID FIXTURE tidak ada di DAFTAR_FIXTURE",IF(M178="","CEK ZONA NO kosong",IF(ISNA(MATCH(R178&amp;"|"&amp;M178,LAYOUT!$E$2:$E$80,0)),"CEK ZONA NO di luar layout",IF(N178&lt;&gt;INDEX(LAYOUT!$D$2:$D$80,MATCH(R178&amp;"|"&amp;M178,LAYOUT!$E$2:$E$80,0)),"CEK JENIS ZONA",IF($D178="","Zona STOCK",IF($E178="","CEK SKU DESCRIPTION kosong",IF(AND(O178&lt;&gt;"",P178=""),"CEK URUTAN SAMBUNG kosong",IF(AND(O178&lt;&gt;"",LEFT(R178,6)="Endcap"),"CEK Endcap tidak ikut sambung","OK"))))))))))</f>
        <v/>
      </c>
      <c r="T178" s="11" t="n"/>
      <c r="U178" s="11" t="n"/>
      <c r="V178" s="11" t="n"/>
      <c r="W178" s="11" t="n"/>
      <c r="X178" s="11" t="n"/>
      <c r="Y178" s="11" t="n"/>
      <c r="Z178" s="12">
        <f>IF(T178="","",IFERROR(INDEX(DAFTAR_FIXTURE!$B$2:$B$51,MATCH(T178,DAFTAR_FIXTURE!$A$2:$A$51,0)),""))</f>
        <v/>
      </c>
      <c r="AA178" s="12">
        <f>IF(T178="","",IF(Z178="","CEK ID FIXTURE tidak ada di DAFTAR_FIXTURE",IF(U178="","CEK ZONA NO kosong",IF(ISNA(MATCH(Z178&amp;"|"&amp;U178,LAYOUT!$E$2:$E$80,0)),"CEK ZONA NO di luar layout",IF(V178&lt;&gt;INDEX(LAYOUT!$D$2:$D$80,MATCH(Z178&amp;"|"&amp;U178,LAYOUT!$E$2:$E$80,0)),"CEK JENIS ZONA",IF($D178="","Zona STOCK",IF($E178="","CEK SKU DESCRIPTION kosong",IF(AND(W178&lt;&gt;"",X178=""),"CEK URUTAN SAMBUNG kosong",IF(AND(W178&lt;&gt;"",LEFT(Z178,6)="Endcap"),"CEK Endcap tidak ikut sambung","OK")))))))))</f>
        <v/>
      </c>
      <c r="AB178" s="11" t="n"/>
      <c r="AC178" s="11" t="n"/>
      <c r="AD178" s="11" t="n"/>
      <c r="AE178" s="11" t="n"/>
      <c r="AF178" s="11" t="n"/>
      <c r="AG178" s="11" t="n"/>
      <c r="AH178" s="12">
        <f>IF(AB178="","",IFERROR(INDEX(DAFTAR_FIXTURE!$B$2:$B$51,MATCH(AB178,DAFTAR_FIXTURE!$A$2:$A$51,0)),""))</f>
        <v/>
      </c>
      <c r="AI178" s="12">
        <f>IF(AB178="","",IF(AH178="","CEK ID FIXTURE tidak ada di DAFTAR_FIXTURE",IF(AC178="","CEK ZONA NO kosong",IF(ISNA(MATCH(AH178&amp;"|"&amp;AC178,LAYOUT!$E$2:$E$80,0)),"CEK ZONA NO di luar layout",IF(AD178&lt;&gt;INDEX(LAYOUT!$D$2:$D$80,MATCH(AH178&amp;"|"&amp;AC178,LAYOUT!$E$2:$E$80,0)),"CEK JENIS ZONA",IF($D178="","Zona STOCK",IF($E178="","CEK SKU DESCRIPTION kosong",IF(AND(AE178&lt;&gt;"",AF178=""),"CEK URUTAN SAMBUNG kosong",IF(AND(AE178&lt;&gt;"",LEFT(AH178,6)="Endcap"),"CEK Endcap tidak ikut sambung","OK")))))))))</f>
        <v/>
      </c>
    </row>
    <row r="179">
      <c r="A179" s="10" t="n"/>
      <c r="B179" s="10" t="n"/>
      <c r="C179" s="10" t="n"/>
      <c r="D179" s="10" t="n"/>
      <c r="E179" s="10" t="n"/>
      <c r="F179" s="10" t="n"/>
      <c r="G179" s="10" t="n"/>
      <c r="H179" s="10" t="n"/>
      <c r="I179" s="10" t="n"/>
      <c r="J179" s="10" t="n"/>
      <c r="K179" s="10" t="n"/>
      <c r="L179" s="11" t="n"/>
      <c r="M179" s="11" t="n"/>
      <c r="N179" s="11" t="n"/>
      <c r="O179" s="11" t="n"/>
      <c r="P179" s="11" t="n"/>
      <c r="Q179" s="11" t="n"/>
      <c r="R179" s="12">
        <f>IF(L179="","",IFERROR(INDEX(DAFTAR_FIXTURE!$B$2:$B$51,MATCH(L179,DAFTAR_FIXTURE!$A$2:$A$51,0)),""))</f>
        <v/>
      </c>
      <c r="S179" s="12">
        <f>IF(AND($D179="",L179=""),"",IF(L179="",IF(AND(T179="",AB179=""),"Belum ditempatkan",""),IF(R179="","CEK ID FIXTURE tidak ada di DAFTAR_FIXTURE",IF(M179="","CEK ZONA NO kosong",IF(ISNA(MATCH(R179&amp;"|"&amp;M179,LAYOUT!$E$2:$E$80,0)),"CEK ZONA NO di luar layout",IF(N179&lt;&gt;INDEX(LAYOUT!$D$2:$D$80,MATCH(R179&amp;"|"&amp;M179,LAYOUT!$E$2:$E$80,0)),"CEK JENIS ZONA",IF($D179="","Zona STOCK",IF($E179="","CEK SKU DESCRIPTION kosong",IF(AND(O179&lt;&gt;"",P179=""),"CEK URUTAN SAMBUNG kosong",IF(AND(O179&lt;&gt;"",LEFT(R179,6)="Endcap"),"CEK Endcap tidak ikut sambung","OK"))))))))))</f>
        <v/>
      </c>
      <c r="T179" s="11" t="n"/>
      <c r="U179" s="11" t="n"/>
      <c r="V179" s="11" t="n"/>
      <c r="W179" s="11" t="n"/>
      <c r="X179" s="11" t="n"/>
      <c r="Y179" s="11" t="n"/>
      <c r="Z179" s="12">
        <f>IF(T179="","",IFERROR(INDEX(DAFTAR_FIXTURE!$B$2:$B$51,MATCH(T179,DAFTAR_FIXTURE!$A$2:$A$51,0)),""))</f>
        <v/>
      </c>
      <c r="AA179" s="12">
        <f>IF(T179="","",IF(Z179="","CEK ID FIXTURE tidak ada di DAFTAR_FIXTURE",IF(U179="","CEK ZONA NO kosong",IF(ISNA(MATCH(Z179&amp;"|"&amp;U179,LAYOUT!$E$2:$E$80,0)),"CEK ZONA NO di luar layout",IF(V179&lt;&gt;INDEX(LAYOUT!$D$2:$D$80,MATCH(Z179&amp;"|"&amp;U179,LAYOUT!$E$2:$E$80,0)),"CEK JENIS ZONA",IF($D179="","Zona STOCK",IF($E179="","CEK SKU DESCRIPTION kosong",IF(AND(W179&lt;&gt;"",X179=""),"CEK URUTAN SAMBUNG kosong",IF(AND(W179&lt;&gt;"",LEFT(Z179,6)="Endcap"),"CEK Endcap tidak ikut sambung","OK")))))))))</f>
        <v/>
      </c>
      <c r="AB179" s="11" t="n"/>
      <c r="AC179" s="11" t="n"/>
      <c r="AD179" s="11" t="n"/>
      <c r="AE179" s="11" t="n"/>
      <c r="AF179" s="11" t="n"/>
      <c r="AG179" s="11" t="n"/>
      <c r="AH179" s="12">
        <f>IF(AB179="","",IFERROR(INDEX(DAFTAR_FIXTURE!$B$2:$B$51,MATCH(AB179,DAFTAR_FIXTURE!$A$2:$A$51,0)),""))</f>
        <v/>
      </c>
      <c r="AI179" s="12">
        <f>IF(AB179="","",IF(AH179="","CEK ID FIXTURE tidak ada di DAFTAR_FIXTURE",IF(AC179="","CEK ZONA NO kosong",IF(ISNA(MATCH(AH179&amp;"|"&amp;AC179,LAYOUT!$E$2:$E$80,0)),"CEK ZONA NO di luar layout",IF(AD179&lt;&gt;INDEX(LAYOUT!$D$2:$D$80,MATCH(AH179&amp;"|"&amp;AC179,LAYOUT!$E$2:$E$80,0)),"CEK JENIS ZONA",IF($D179="","Zona STOCK",IF($E179="","CEK SKU DESCRIPTION kosong",IF(AND(AE179&lt;&gt;"",AF179=""),"CEK URUTAN SAMBUNG kosong",IF(AND(AE179&lt;&gt;"",LEFT(AH179,6)="Endcap"),"CEK Endcap tidak ikut sambung","OK")))))))))</f>
        <v/>
      </c>
    </row>
    <row r="180">
      <c r="A180" s="10" t="n"/>
      <c r="B180" s="10" t="n"/>
      <c r="C180" s="10" t="n"/>
      <c r="D180" s="10" t="n"/>
      <c r="E180" s="10" t="n"/>
      <c r="F180" s="10" t="n"/>
      <c r="G180" s="10" t="n"/>
      <c r="H180" s="10" t="n"/>
      <c r="I180" s="10" t="n"/>
      <c r="J180" s="10" t="n"/>
      <c r="K180" s="10" t="n"/>
      <c r="L180" s="11" t="n"/>
      <c r="M180" s="11" t="n"/>
      <c r="N180" s="11" t="n"/>
      <c r="O180" s="11" t="n"/>
      <c r="P180" s="11" t="n"/>
      <c r="Q180" s="11" t="n"/>
      <c r="R180" s="12">
        <f>IF(L180="","",IFERROR(INDEX(DAFTAR_FIXTURE!$B$2:$B$51,MATCH(L180,DAFTAR_FIXTURE!$A$2:$A$51,0)),""))</f>
        <v/>
      </c>
      <c r="S180" s="12">
        <f>IF(AND($D180="",L180=""),"",IF(L180="",IF(AND(T180="",AB180=""),"Belum ditempatkan",""),IF(R180="","CEK ID FIXTURE tidak ada di DAFTAR_FIXTURE",IF(M180="","CEK ZONA NO kosong",IF(ISNA(MATCH(R180&amp;"|"&amp;M180,LAYOUT!$E$2:$E$80,0)),"CEK ZONA NO di luar layout",IF(N180&lt;&gt;INDEX(LAYOUT!$D$2:$D$80,MATCH(R180&amp;"|"&amp;M180,LAYOUT!$E$2:$E$80,0)),"CEK JENIS ZONA",IF($D180="","Zona STOCK",IF($E180="","CEK SKU DESCRIPTION kosong",IF(AND(O180&lt;&gt;"",P180=""),"CEK URUTAN SAMBUNG kosong",IF(AND(O180&lt;&gt;"",LEFT(R180,6)="Endcap"),"CEK Endcap tidak ikut sambung","OK"))))))))))</f>
        <v/>
      </c>
      <c r="T180" s="11" t="n"/>
      <c r="U180" s="11" t="n"/>
      <c r="V180" s="11" t="n"/>
      <c r="W180" s="11" t="n"/>
      <c r="X180" s="11" t="n"/>
      <c r="Y180" s="11" t="n"/>
      <c r="Z180" s="12">
        <f>IF(T180="","",IFERROR(INDEX(DAFTAR_FIXTURE!$B$2:$B$51,MATCH(T180,DAFTAR_FIXTURE!$A$2:$A$51,0)),""))</f>
        <v/>
      </c>
      <c r="AA180" s="12">
        <f>IF(T180="","",IF(Z180="","CEK ID FIXTURE tidak ada di DAFTAR_FIXTURE",IF(U180="","CEK ZONA NO kosong",IF(ISNA(MATCH(Z180&amp;"|"&amp;U180,LAYOUT!$E$2:$E$80,0)),"CEK ZONA NO di luar layout",IF(V180&lt;&gt;INDEX(LAYOUT!$D$2:$D$80,MATCH(Z180&amp;"|"&amp;U180,LAYOUT!$E$2:$E$80,0)),"CEK JENIS ZONA",IF($D180="","Zona STOCK",IF($E180="","CEK SKU DESCRIPTION kosong",IF(AND(W180&lt;&gt;"",X180=""),"CEK URUTAN SAMBUNG kosong",IF(AND(W180&lt;&gt;"",LEFT(Z180,6)="Endcap"),"CEK Endcap tidak ikut sambung","OK")))))))))</f>
        <v/>
      </c>
      <c r="AB180" s="11" t="n"/>
      <c r="AC180" s="11" t="n"/>
      <c r="AD180" s="11" t="n"/>
      <c r="AE180" s="11" t="n"/>
      <c r="AF180" s="11" t="n"/>
      <c r="AG180" s="11" t="n"/>
      <c r="AH180" s="12">
        <f>IF(AB180="","",IFERROR(INDEX(DAFTAR_FIXTURE!$B$2:$B$51,MATCH(AB180,DAFTAR_FIXTURE!$A$2:$A$51,0)),""))</f>
        <v/>
      </c>
      <c r="AI180" s="12">
        <f>IF(AB180="","",IF(AH180="","CEK ID FIXTURE tidak ada di DAFTAR_FIXTURE",IF(AC180="","CEK ZONA NO kosong",IF(ISNA(MATCH(AH180&amp;"|"&amp;AC180,LAYOUT!$E$2:$E$80,0)),"CEK ZONA NO di luar layout",IF(AD180&lt;&gt;INDEX(LAYOUT!$D$2:$D$80,MATCH(AH180&amp;"|"&amp;AC180,LAYOUT!$E$2:$E$80,0)),"CEK JENIS ZONA",IF($D180="","Zona STOCK",IF($E180="","CEK SKU DESCRIPTION kosong",IF(AND(AE180&lt;&gt;"",AF180=""),"CEK URUTAN SAMBUNG kosong",IF(AND(AE180&lt;&gt;"",LEFT(AH180,6)="Endcap"),"CEK Endcap tidak ikut sambung","OK")))))))))</f>
        <v/>
      </c>
    </row>
    <row r="181">
      <c r="A181" s="10" t="n"/>
      <c r="B181" s="10" t="n"/>
      <c r="C181" s="10" t="n"/>
      <c r="D181" s="10" t="n"/>
      <c r="E181" s="10" t="n"/>
      <c r="F181" s="10" t="n"/>
      <c r="G181" s="10" t="n"/>
      <c r="H181" s="10" t="n"/>
      <c r="I181" s="10" t="n"/>
      <c r="J181" s="10" t="n"/>
      <c r="K181" s="10" t="n"/>
      <c r="L181" s="11" t="n"/>
      <c r="M181" s="11" t="n"/>
      <c r="N181" s="11" t="n"/>
      <c r="O181" s="11" t="n"/>
      <c r="P181" s="11" t="n"/>
      <c r="Q181" s="11" t="n"/>
      <c r="R181" s="12">
        <f>IF(L181="","",IFERROR(INDEX(DAFTAR_FIXTURE!$B$2:$B$51,MATCH(L181,DAFTAR_FIXTURE!$A$2:$A$51,0)),""))</f>
        <v/>
      </c>
      <c r="S181" s="12">
        <f>IF(AND($D181="",L181=""),"",IF(L181="",IF(AND(T181="",AB181=""),"Belum ditempatkan",""),IF(R181="","CEK ID FIXTURE tidak ada di DAFTAR_FIXTURE",IF(M181="","CEK ZONA NO kosong",IF(ISNA(MATCH(R181&amp;"|"&amp;M181,LAYOUT!$E$2:$E$80,0)),"CEK ZONA NO di luar layout",IF(N181&lt;&gt;INDEX(LAYOUT!$D$2:$D$80,MATCH(R181&amp;"|"&amp;M181,LAYOUT!$E$2:$E$80,0)),"CEK JENIS ZONA",IF($D181="","Zona STOCK",IF($E181="","CEK SKU DESCRIPTION kosong",IF(AND(O181&lt;&gt;"",P181=""),"CEK URUTAN SAMBUNG kosong",IF(AND(O181&lt;&gt;"",LEFT(R181,6)="Endcap"),"CEK Endcap tidak ikut sambung","OK"))))))))))</f>
        <v/>
      </c>
      <c r="T181" s="11" t="n"/>
      <c r="U181" s="11" t="n"/>
      <c r="V181" s="11" t="n"/>
      <c r="W181" s="11" t="n"/>
      <c r="X181" s="11" t="n"/>
      <c r="Y181" s="11" t="n"/>
      <c r="Z181" s="12">
        <f>IF(T181="","",IFERROR(INDEX(DAFTAR_FIXTURE!$B$2:$B$51,MATCH(T181,DAFTAR_FIXTURE!$A$2:$A$51,0)),""))</f>
        <v/>
      </c>
      <c r="AA181" s="12">
        <f>IF(T181="","",IF(Z181="","CEK ID FIXTURE tidak ada di DAFTAR_FIXTURE",IF(U181="","CEK ZONA NO kosong",IF(ISNA(MATCH(Z181&amp;"|"&amp;U181,LAYOUT!$E$2:$E$80,0)),"CEK ZONA NO di luar layout",IF(V181&lt;&gt;INDEX(LAYOUT!$D$2:$D$80,MATCH(Z181&amp;"|"&amp;U181,LAYOUT!$E$2:$E$80,0)),"CEK JENIS ZONA",IF($D181="","Zona STOCK",IF($E181="","CEK SKU DESCRIPTION kosong",IF(AND(W181&lt;&gt;"",X181=""),"CEK URUTAN SAMBUNG kosong",IF(AND(W181&lt;&gt;"",LEFT(Z181,6)="Endcap"),"CEK Endcap tidak ikut sambung","OK")))))))))</f>
        <v/>
      </c>
      <c r="AB181" s="11" t="n"/>
      <c r="AC181" s="11" t="n"/>
      <c r="AD181" s="11" t="n"/>
      <c r="AE181" s="11" t="n"/>
      <c r="AF181" s="11" t="n"/>
      <c r="AG181" s="11" t="n"/>
      <c r="AH181" s="12">
        <f>IF(AB181="","",IFERROR(INDEX(DAFTAR_FIXTURE!$B$2:$B$51,MATCH(AB181,DAFTAR_FIXTURE!$A$2:$A$51,0)),""))</f>
        <v/>
      </c>
      <c r="AI181" s="12">
        <f>IF(AB181="","",IF(AH181="","CEK ID FIXTURE tidak ada di DAFTAR_FIXTURE",IF(AC181="","CEK ZONA NO kosong",IF(ISNA(MATCH(AH181&amp;"|"&amp;AC181,LAYOUT!$E$2:$E$80,0)),"CEK ZONA NO di luar layout",IF(AD181&lt;&gt;INDEX(LAYOUT!$D$2:$D$80,MATCH(AH181&amp;"|"&amp;AC181,LAYOUT!$E$2:$E$80,0)),"CEK JENIS ZONA",IF($D181="","Zona STOCK",IF($E181="","CEK SKU DESCRIPTION kosong",IF(AND(AE181&lt;&gt;"",AF181=""),"CEK URUTAN SAMBUNG kosong",IF(AND(AE181&lt;&gt;"",LEFT(AH181,6)="Endcap"),"CEK Endcap tidak ikut sambung","OK")))))))))</f>
        <v/>
      </c>
    </row>
    <row r="182">
      <c r="A182" s="10" t="n"/>
      <c r="B182" s="10" t="n"/>
      <c r="C182" s="10" t="n"/>
      <c r="D182" s="10" t="n"/>
      <c r="E182" s="10" t="n"/>
      <c r="F182" s="10" t="n"/>
      <c r="G182" s="10" t="n"/>
      <c r="H182" s="10" t="n"/>
      <c r="I182" s="10" t="n"/>
      <c r="J182" s="10" t="n"/>
      <c r="K182" s="10" t="n"/>
      <c r="L182" s="11" t="n"/>
      <c r="M182" s="11" t="n"/>
      <c r="N182" s="11" t="n"/>
      <c r="O182" s="11" t="n"/>
      <c r="P182" s="11" t="n"/>
      <c r="Q182" s="11" t="n"/>
      <c r="R182" s="12">
        <f>IF(L182="","",IFERROR(INDEX(DAFTAR_FIXTURE!$B$2:$B$51,MATCH(L182,DAFTAR_FIXTURE!$A$2:$A$51,0)),""))</f>
        <v/>
      </c>
      <c r="S182" s="12">
        <f>IF(AND($D182="",L182=""),"",IF(L182="",IF(AND(T182="",AB182=""),"Belum ditempatkan",""),IF(R182="","CEK ID FIXTURE tidak ada di DAFTAR_FIXTURE",IF(M182="","CEK ZONA NO kosong",IF(ISNA(MATCH(R182&amp;"|"&amp;M182,LAYOUT!$E$2:$E$80,0)),"CEK ZONA NO di luar layout",IF(N182&lt;&gt;INDEX(LAYOUT!$D$2:$D$80,MATCH(R182&amp;"|"&amp;M182,LAYOUT!$E$2:$E$80,0)),"CEK JENIS ZONA",IF($D182="","Zona STOCK",IF($E182="","CEK SKU DESCRIPTION kosong",IF(AND(O182&lt;&gt;"",P182=""),"CEK URUTAN SAMBUNG kosong",IF(AND(O182&lt;&gt;"",LEFT(R182,6)="Endcap"),"CEK Endcap tidak ikut sambung","OK"))))))))))</f>
        <v/>
      </c>
      <c r="T182" s="11" t="n"/>
      <c r="U182" s="11" t="n"/>
      <c r="V182" s="11" t="n"/>
      <c r="W182" s="11" t="n"/>
      <c r="X182" s="11" t="n"/>
      <c r="Y182" s="11" t="n"/>
      <c r="Z182" s="12">
        <f>IF(T182="","",IFERROR(INDEX(DAFTAR_FIXTURE!$B$2:$B$51,MATCH(T182,DAFTAR_FIXTURE!$A$2:$A$51,0)),""))</f>
        <v/>
      </c>
      <c r="AA182" s="12">
        <f>IF(T182="","",IF(Z182="","CEK ID FIXTURE tidak ada di DAFTAR_FIXTURE",IF(U182="","CEK ZONA NO kosong",IF(ISNA(MATCH(Z182&amp;"|"&amp;U182,LAYOUT!$E$2:$E$80,0)),"CEK ZONA NO di luar layout",IF(V182&lt;&gt;INDEX(LAYOUT!$D$2:$D$80,MATCH(Z182&amp;"|"&amp;U182,LAYOUT!$E$2:$E$80,0)),"CEK JENIS ZONA",IF($D182="","Zona STOCK",IF($E182="","CEK SKU DESCRIPTION kosong",IF(AND(W182&lt;&gt;"",X182=""),"CEK URUTAN SAMBUNG kosong",IF(AND(W182&lt;&gt;"",LEFT(Z182,6)="Endcap"),"CEK Endcap tidak ikut sambung","OK")))))))))</f>
        <v/>
      </c>
      <c r="AB182" s="11" t="n"/>
      <c r="AC182" s="11" t="n"/>
      <c r="AD182" s="11" t="n"/>
      <c r="AE182" s="11" t="n"/>
      <c r="AF182" s="11" t="n"/>
      <c r="AG182" s="11" t="n"/>
      <c r="AH182" s="12">
        <f>IF(AB182="","",IFERROR(INDEX(DAFTAR_FIXTURE!$B$2:$B$51,MATCH(AB182,DAFTAR_FIXTURE!$A$2:$A$51,0)),""))</f>
        <v/>
      </c>
      <c r="AI182" s="12">
        <f>IF(AB182="","",IF(AH182="","CEK ID FIXTURE tidak ada di DAFTAR_FIXTURE",IF(AC182="","CEK ZONA NO kosong",IF(ISNA(MATCH(AH182&amp;"|"&amp;AC182,LAYOUT!$E$2:$E$80,0)),"CEK ZONA NO di luar layout",IF(AD182&lt;&gt;INDEX(LAYOUT!$D$2:$D$80,MATCH(AH182&amp;"|"&amp;AC182,LAYOUT!$E$2:$E$80,0)),"CEK JENIS ZONA",IF($D182="","Zona STOCK",IF($E182="","CEK SKU DESCRIPTION kosong",IF(AND(AE182&lt;&gt;"",AF182=""),"CEK URUTAN SAMBUNG kosong",IF(AND(AE182&lt;&gt;"",LEFT(AH182,6)="Endcap"),"CEK Endcap tidak ikut sambung","OK")))))))))</f>
        <v/>
      </c>
    </row>
    <row r="183">
      <c r="A183" s="10" t="n"/>
      <c r="B183" s="10" t="n"/>
      <c r="C183" s="10" t="n"/>
      <c r="D183" s="10" t="n"/>
      <c r="E183" s="10" t="n"/>
      <c r="F183" s="10" t="n"/>
      <c r="G183" s="10" t="n"/>
      <c r="H183" s="10" t="n"/>
      <c r="I183" s="10" t="n"/>
      <c r="J183" s="10" t="n"/>
      <c r="K183" s="10" t="n"/>
      <c r="L183" s="11" t="n"/>
      <c r="M183" s="11" t="n"/>
      <c r="N183" s="11" t="n"/>
      <c r="O183" s="11" t="n"/>
      <c r="P183" s="11" t="n"/>
      <c r="Q183" s="11" t="n"/>
      <c r="R183" s="12">
        <f>IF(L183="","",IFERROR(INDEX(DAFTAR_FIXTURE!$B$2:$B$51,MATCH(L183,DAFTAR_FIXTURE!$A$2:$A$51,0)),""))</f>
        <v/>
      </c>
      <c r="S183" s="12">
        <f>IF(AND($D183="",L183=""),"",IF(L183="",IF(AND(T183="",AB183=""),"Belum ditempatkan",""),IF(R183="","CEK ID FIXTURE tidak ada di DAFTAR_FIXTURE",IF(M183="","CEK ZONA NO kosong",IF(ISNA(MATCH(R183&amp;"|"&amp;M183,LAYOUT!$E$2:$E$80,0)),"CEK ZONA NO di luar layout",IF(N183&lt;&gt;INDEX(LAYOUT!$D$2:$D$80,MATCH(R183&amp;"|"&amp;M183,LAYOUT!$E$2:$E$80,0)),"CEK JENIS ZONA",IF($D183="","Zona STOCK",IF($E183="","CEK SKU DESCRIPTION kosong",IF(AND(O183&lt;&gt;"",P183=""),"CEK URUTAN SAMBUNG kosong",IF(AND(O183&lt;&gt;"",LEFT(R183,6)="Endcap"),"CEK Endcap tidak ikut sambung","OK"))))))))))</f>
        <v/>
      </c>
      <c r="T183" s="11" t="n"/>
      <c r="U183" s="11" t="n"/>
      <c r="V183" s="11" t="n"/>
      <c r="W183" s="11" t="n"/>
      <c r="X183" s="11" t="n"/>
      <c r="Y183" s="11" t="n"/>
      <c r="Z183" s="12">
        <f>IF(T183="","",IFERROR(INDEX(DAFTAR_FIXTURE!$B$2:$B$51,MATCH(T183,DAFTAR_FIXTURE!$A$2:$A$51,0)),""))</f>
        <v/>
      </c>
      <c r="AA183" s="12">
        <f>IF(T183="","",IF(Z183="","CEK ID FIXTURE tidak ada di DAFTAR_FIXTURE",IF(U183="","CEK ZONA NO kosong",IF(ISNA(MATCH(Z183&amp;"|"&amp;U183,LAYOUT!$E$2:$E$80,0)),"CEK ZONA NO di luar layout",IF(V183&lt;&gt;INDEX(LAYOUT!$D$2:$D$80,MATCH(Z183&amp;"|"&amp;U183,LAYOUT!$E$2:$E$80,0)),"CEK JENIS ZONA",IF($D183="","Zona STOCK",IF($E183="","CEK SKU DESCRIPTION kosong",IF(AND(W183&lt;&gt;"",X183=""),"CEK URUTAN SAMBUNG kosong",IF(AND(W183&lt;&gt;"",LEFT(Z183,6)="Endcap"),"CEK Endcap tidak ikut sambung","OK")))))))))</f>
        <v/>
      </c>
      <c r="AB183" s="11" t="n"/>
      <c r="AC183" s="11" t="n"/>
      <c r="AD183" s="11" t="n"/>
      <c r="AE183" s="11" t="n"/>
      <c r="AF183" s="11" t="n"/>
      <c r="AG183" s="11" t="n"/>
      <c r="AH183" s="12">
        <f>IF(AB183="","",IFERROR(INDEX(DAFTAR_FIXTURE!$B$2:$B$51,MATCH(AB183,DAFTAR_FIXTURE!$A$2:$A$51,0)),""))</f>
        <v/>
      </c>
      <c r="AI183" s="12">
        <f>IF(AB183="","",IF(AH183="","CEK ID FIXTURE tidak ada di DAFTAR_FIXTURE",IF(AC183="","CEK ZONA NO kosong",IF(ISNA(MATCH(AH183&amp;"|"&amp;AC183,LAYOUT!$E$2:$E$80,0)),"CEK ZONA NO di luar layout",IF(AD183&lt;&gt;INDEX(LAYOUT!$D$2:$D$80,MATCH(AH183&amp;"|"&amp;AC183,LAYOUT!$E$2:$E$80,0)),"CEK JENIS ZONA",IF($D183="","Zona STOCK",IF($E183="","CEK SKU DESCRIPTION kosong",IF(AND(AE183&lt;&gt;"",AF183=""),"CEK URUTAN SAMBUNG kosong",IF(AND(AE183&lt;&gt;"",LEFT(AH183,6)="Endcap"),"CEK Endcap tidak ikut sambung","OK")))))))))</f>
        <v/>
      </c>
    </row>
    <row r="184">
      <c r="A184" s="10" t="n"/>
      <c r="B184" s="10" t="n"/>
      <c r="C184" s="10" t="n"/>
      <c r="D184" s="10" t="n"/>
      <c r="E184" s="10" t="n"/>
      <c r="F184" s="10" t="n"/>
      <c r="G184" s="10" t="n"/>
      <c r="H184" s="10" t="n"/>
      <c r="I184" s="10" t="n"/>
      <c r="J184" s="10" t="n"/>
      <c r="K184" s="10" t="n"/>
      <c r="L184" s="11" t="n"/>
      <c r="M184" s="11" t="n"/>
      <c r="N184" s="11" t="n"/>
      <c r="O184" s="11" t="n"/>
      <c r="P184" s="11" t="n"/>
      <c r="Q184" s="11" t="n"/>
      <c r="R184" s="12">
        <f>IF(L184="","",IFERROR(INDEX(DAFTAR_FIXTURE!$B$2:$B$51,MATCH(L184,DAFTAR_FIXTURE!$A$2:$A$51,0)),""))</f>
        <v/>
      </c>
      <c r="S184" s="12">
        <f>IF(AND($D184="",L184=""),"",IF(L184="",IF(AND(T184="",AB184=""),"Belum ditempatkan",""),IF(R184="","CEK ID FIXTURE tidak ada di DAFTAR_FIXTURE",IF(M184="","CEK ZONA NO kosong",IF(ISNA(MATCH(R184&amp;"|"&amp;M184,LAYOUT!$E$2:$E$80,0)),"CEK ZONA NO di luar layout",IF(N184&lt;&gt;INDEX(LAYOUT!$D$2:$D$80,MATCH(R184&amp;"|"&amp;M184,LAYOUT!$E$2:$E$80,0)),"CEK JENIS ZONA",IF($D184="","Zona STOCK",IF($E184="","CEK SKU DESCRIPTION kosong",IF(AND(O184&lt;&gt;"",P184=""),"CEK URUTAN SAMBUNG kosong",IF(AND(O184&lt;&gt;"",LEFT(R184,6)="Endcap"),"CEK Endcap tidak ikut sambung","OK"))))))))))</f>
        <v/>
      </c>
      <c r="T184" s="11" t="n"/>
      <c r="U184" s="11" t="n"/>
      <c r="V184" s="11" t="n"/>
      <c r="W184" s="11" t="n"/>
      <c r="X184" s="11" t="n"/>
      <c r="Y184" s="11" t="n"/>
      <c r="Z184" s="12">
        <f>IF(T184="","",IFERROR(INDEX(DAFTAR_FIXTURE!$B$2:$B$51,MATCH(T184,DAFTAR_FIXTURE!$A$2:$A$51,0)),""))</f>
        <v/>
      </c>
      <c r="AA184" s="12">
        <f>IF(T184="","",IF(Z184="","CEK ID FIXTURE tidak ada di DAFTAR_FIXTURE",IF(U184="","CEK ZONA NO kosong",IF(ISNA(MATCH(Z184&amp;"|"&amp;U184,LAYOUT!$E$2:$E$80,0)),"CEK ZONA NO di luar layout",IF(V184&lt;&gt;INDEX(LAYOUT!$D$2:$D$80,MATCH(Z184&amp;"|"&amp;U184,LAYOUT!$E$2:$E$80,0)),"CEK JENIS ZONA",IF($D184="","Zona STOCK",IF($E184="","CEK SKU DESCRIPTION kosong",IF(AND(W184&lt;&gt;"",X184=""),"CEK URUTAN SAMBUNG kosong",IF(AND(W184&lt;&gt;"",LEFT(Z184,6)="Endcap"),"CEK Endcap tidak ikut sambung","OK")))))))))</f>
        <v/>
      </c>
      <c r="AB184" s="11" t="n"/>
      <c r="AC184" s="11" t="n"/>
      <c r="AD184" s="11" t="n"/>
      <c r="AE184" s="11" t="n"/>
      <c r="AF184" s="11" t="n"/>
      <c r="AG184" s="11" t="n"/>
      <c r="AH184" s="12">
        <f>IF(AB184="","",IFERROR(INDEX(DAFTAR_FIXTURE!$B$2:$B$51,MATCH(AB184,DAFTAR_FIXTURE!$A$2:$A$51,0)),""))</f>
        <v/>
      </c>
      <c r="AI184" s="12">
        <f>IF(AB184="","",IF(AH184="","CEK ID FIXTURE tidak ada di DAFTAR_FIXTURE",IF(AC184="","CEK ZONA NO kosong",IF(ISNA(MATCH(AH184&amp;"|"&amp;AC184,LAYOUT!$E$2:$E$80,0)),"CEK ZONA NO di luar layout",IF(AD184&lt;&gt;INDEX(LAYOUT!$D$2:$D$80,MATCH(AH184&amp;"|"&amp;AC184,LAYOUT!$E$2:$E$80,0)),"CEK JENIS ZONA",IF($D184="","Zona STOCK",IF($E184="","CEK SKU DESCRIPTION kosong",IF(AND(AE184&lt;&gt;"",AF184=""),"CEK URUTAN SAMBUNG kosong",IF(AND(AE184&lt;&gt;"",LEFT(AH184,6)="Endcap"),"CEK Endcap tidak ikut sambung","OK")))))))))</f>
        <v/>
      </c>
    </row>
    <row r="185">
      <c r="A185" s="10" t="n"/>
      <c r="B185" s="10" t="n"/>
      <c r="C185" s="10" t="n"/>
      <c r="D185" s="10" t="n"/>
      <c r="E185" s="10" t="n"/>
      <c r="F185" s="10" t="n"/>
      <c r="G185" s="10" t="n"/>
      <c r="H185" s="10" t="n"/>
      <c r="I185" s="10" t="n"/>
      <c r="J185" s="10" t="n"/>
      <c r="K185" s="10" t="n"/>
      <c r="L185" s="11" t="n"/>
      <c r="M185" s="11" t="n"/>
      <c r="N185" s="11" t="n"/>
      <c r="O185" s="11" t="n"/>
      <c r="P185" s="11" t="n"/>
      <c r="Q185" s="11" t="n"/>
      <c r="R185" s="12">
        <f>IF(L185="","",IFERROR(INDEX(DAFTAR_FIXTURE!$B$2:$B$51,MATCH(L185,DAFTAR_FIXTURE!$A$2:$A$51,0)),""))</f>
        <v/>
      </c>
      <c r="S185" s="12">
        <f>IF(AND($D185="",L185=""),"",IF(L185="",IF(AND(T185="",AB185=""),"Belum ditempatkan",""),IF(R185="","CEK ID FIXTURE tidak ada di DAFTAR_FIXTURE",IF(M185="","CEK ZONA NO kosong",IF(ISNA(MATCH(R185&amp;"|"&amp;M185,LAYOUT!$E$2:$E$80,0)),"CEK ZONA NO di luar layout",IF(N185&lt;&gt;INDEX(LAYOUT!$D$2:$D$80,MATCH(R185&amp;"|"&amp;M185,LAYOUT!$E$2:$E$80,0)),"CEK JENIS ZONA",IF($D185="","Zona STOCK",IF($E185="","CEK SKU DESCRIPTION kosong",IF(AND(O185&lt;&gt;"",P185=""),"CEK URUTAN SAMBUNG kosong",IF(AND(O185&lt;&gt;"",LEFT(R185,6)="Endcap"),"CEK Endcap tidak ikut sambung","OK"))))))))))</f>
        <v/>
      </c>
      <c r="T185" s="11" t="n"/>
      <c r="U185" s="11" t="n"/>
      <c r="V185" s="11" t="n"/>
      <c r="W185" s="11" t="n"/>
      <c r="X185" s="11" t="n"/>
      <c r="Y185" s="11" t="n"/>
      <c r="Z185" s="12">
        <f>IF(T185="","",IFERROR(INDEX(DAFTAR_FIXTURE!$B$2:$B$51,MATCH(T185,DAFTAR_FIXTURE!$A$2:$A$51,0)),""))</f>
        <v/>
      </c>
      <c r="AA185" s="12">
        <f>IF(T185="","",IF(Z185="","CEK ID FIXTURE tidak ada di DAFTAR_FIXTURE",IF(U185="","CEK ZONA NO kosong",IF(ISNA(MATCH(Z185&amp;"|"&amp;U185,LAYOUT!$E$2:$E$80,0)),"CEK ZONA NO di luar layout",IF(V185&lt;&gt;INDEX(LAYOUT!$D$2:$D$80,MATCH(Z185&amp;"|"&amp;U185,LAYOUT!$E$2:$E$80,0)),"CEK JENIS ZONA",IF($D185="","Zona STOCK",IF($E185="","CEK SKU DESCRIPTION kosong",IF(AND(W185&lt;&gt;"",X185=""),"CEK URUTAN SAMBUNG kosong",IF(AND(W185&lt;&gt;"",LEFT(Z185,6)="Endcap"),"CEK Endcap tidak ikut sambung","OK")))))))))</f>
        <v/>
      </c>
      <c r="AB185" s="11" t="n"/>
      <c r="AC185" s="11" t="n"/>
      <c r="AD185" s="11" t="n"/>
      <c r="AE185" s="11" t="n"/>
      <c r="AF185" s="11" t="n"/>
      <c r="AG185" s="11" t="n"/>
      <c r="AH185" s="12">
        <f>IF(AB185="","",IFERROR(INDEX(DAFTAR_FIXTURE!$B$2:$B$51,MATCH(AB185,DAFTAR_FIXTURE!$A$2:$A$51,0)),""))</f>
        <v/>
      </c>
      <c r="AI185" s="12">
        <f>IF(AB185="","",IF(AH185="","CEK ID FIXTURE tidak ada di DAFTAR_FIXTURE",IF(AC185="","CEK ZONA NO kosong",IF(ISNA(MATCH(AH185&amp;"|"&amp;AC185,LAYOUT!$E$2:$E$80,0)),"CEK ZONA NO di luar layout",IF(AD185&lt;&gt;INDEX(LAYOUT!$D$2:$D$80,MATCH(AH185&amp;"|"&amp;AC185,LAYOUT!$E$2:$E$80,0)),"CEK JENIS ZONA",IF($D185="","Zona STOCK",IF($E185="","CEK SKU DESCRIPTION kosong",IF(AND(AE185&lt;&gt;"",AF185=""),"CEK URUTAN SAMBUNG kosong",IF(AND(AE185&lt;&gt;"",LEFT(AH185,6)="Endcap"),"CEK Endcap tidak ikut sambung","OK")))))))))</f>
        <v/>
      </c>
    </row>
    <row r="186">
      <c r="A186" s="10" t="n"/>
      <c r="B186" s="10" t="n"/>
      <c r="C186" s="10" t="n"/>
      <c r="D186" s="10" t="n"/>
      <c r="E186" s="10" t="n"/>
      <c r="F186" s="10" t="n"/>
      <c r="G186" s="10" t="n"/>
      <c r="H186" s="10" t="n"/>
      <c r="I186" s="10" t="n"/>
      <c r="J186" s="10" t="n"/>
      <c r="K186" s="10" t="n"/>
      <c r="L186" s="11" t="n"/>
      <c r="M186" s="11" t="n"/>
      <c r="N186" s="11" t="n"/>
      <c r="O186" s="11" t="n"/>
      <c r="P186" s="11" t="n"/>
      <c r="Q186" s="11" t="n"/>
      <c r="R186" s="12">
        <f>IF(L186="","",IFERROR(INDEX(DAFTAR_FIXTURE!$B$2:$B$51,MATCH(L186,DAFTAR_FIXTURE!$A$2:$A$51,0)),""))</f>
        <v/>
      </c>
      <c r="S186" s="12">
        <f>IF(AND($D186="",L186=""),"",IF(L186="",IF(AND(T186="",AB186=""),"Belum ditempatkan",""),IF(R186="","CEK ID FIXTURE tidak ada di DAFTAR_FIXTURE",IF(M186="","CEK ZONA NO kosong",IF(ISNA(MATCH(R186&amp;"|"&amp;M186,LAYOUT!$E$2:$E$80,0)),"CEK ZONA NO di luar layout",IF(N186&lt;&gt;INDEX(LAYOUT!$D$2:$D$80,MATCH(R186&amp;"|"&amp;M186,LAYOUT!$E$2:$E$80,0)),"CEK JENIS ZONA",IF($D186="","Zona STOCK",IF($E186="","CEK SKU DESCRIPTION kosong",IF(AND(O186&lt;&gt;"",P186=""),"CEK URUTAN SAMBUNG kosong",IF(AND(O186&lt;&gt;"",LEFT(R186,6)="Endcap"),"CEK Endcap tidak ikut sambung","OK"))))))))))</f>
        <v/>
      </c>
      <c r="T186" s="11" t="n"/>
      <c r="U186" s="11" t="n"/>
      <c r="V186" s="11" t="n"/>
      <c r="W186" s="11" t="n"/>
      <c r="X186" s="11" t="n"/>
      <c r="Y186" s="11" t="n"/>
      <c r="Z186" s="12">
        <f>IF(T186="","",IFERROR(INDEX(DAFTAR_FIXTURE!$B$2:$B$51,MATCH(T186,DAFTAR_FIXTURE!$A$2:$A$51,0)),""))</f>
        <v/>
      </c>
      <c r="AA186" s="12">
        <f>IF(T186="","",IF(Z186="","CEK ID FIXTURE tidak ada di DAFTAR_FIXTURE",IF(U186="","CEK ZONA NO kosong",IF(ISNA(MATCH(Z186&amp;"|"&amp;U186,LAYOUT!$E$2:$E$80,0)),"CEK ZONA NO di luar layout",IF(V186&lt;&gt;INDEX(LAYOUT!$D$2:$D$80,MATCH(Z186&amp;"|"&amp;U186,LAYOUT!$E$2:$E$80,0)),"CEK JENIS ZONA",IF($D186="","Zona STOCK",IF($E186="","CEK SKU DESCRIPTION kosong",IF(AND(W186&lt;&gt;"",X186=""),"CEK URUTAN SAMBUNG kosong",IF(AND(W186&lt;&gt;"",LEFT(Z186,6)="Endcap"),"CEK Endcap tidak ikut sambung","OK")))))))))</f>
        <v/>
      </c>
      <c r="AB186" s="11" t="n"/>
      <c r="AC186" s="11" t="n"/>
      <c r="AD186" s="11" t="n"/>
      <c r="AE186" s="11" t="n"/>
      <c r="AF186" s="11" t="n"/>
      <c r="AG186" s="11" t="n"/>
      <c r="AH186" s="12">
        <f>IF(AB186="","",IFERROR(INDEX(DAFTAR_FIXTURE!$B$2:$B$51,MATCH(AB186,DAFTAR_FIXTURE!$A$2:$A$51,0)),""))</f>
        <v/>
      </c>
      <c r="AI186" s="12">
        <f>IF(AB186="","",IF(AH186="","CEK ID FIXTURE tidak ada di DAFTAR_FIXTURE",IF(AC186="","CEK ZONA NO kosong",IF(ISNA(MATCH(AH186&amp;"|"&amp;AC186,LAYOUT!$E$2:$E$80,0)),"CEK ZONA NO di luar layout",IF(AD186&lt;&gt;INDEX(LAYOUT!$D$2:$D$80,MATCH(AH186&amp;"|"&amp;AC186,LAYOUT!$E$2:$E$80,0)),"CEK JENIS ZONA",IF($D186="","Zona STOCK",IF($E186="","CEK SKU DESCRIPTION kosong",IF(AND(AE186&lt;&gt;"",AF186=""),"CEK URUTAN SAMBUNG kosong",IF(AND(AE186&lt;&gt;"",LEFT(AH186,6)="Endcap"),"CEK Endcap tidak ikut sambung","OK")))))))))</f>
        <v/>
      </c>
    </row>
    <row r="187">
      <c r="A187" s="10" t="n"/>
      <c r="B187" s="10" t="n"/>
      <c r="C187" s="10" t="n"/>
      <c r="D187" s="10" t="n"/>
      <c r="E187" s="10" t="n"/>
      <c r="F187" s="10" t="n"/>
      <c r="G187" s="10" t="n"/>
      <c r="H187" s="10" t="n"/>
      <c r="I187" s="10" t="n"/>
      <c r="J187" s="10" t="n"/>
      <c r="K187" s="10" t="n"/>
      <c r="L187" s="11" t="n"/>
      <c r="M187" s="11" t="n"/>
      <c r="N187" s="11" t="n"/>
      <c r="O187" s="11" t="n"/>
      <c r="P187" s="11" t="n"/>
      <c r="Q187" s="11" t="n"/>
      <c r="R187" s="12">
        <f>IF(L187="","",IFERROR(INDEX(DAFTAR_FIXTURE!$B$2:$B$51,MATCH(L187,DAFTAR_FIXTURE!$A$2:$A$51,0)),""))</f>
        <v/>
      </c>
      <c r="S187" s="12">
        <f>IF(AND($D187="",L187=""),"",IF(L187="",IF(AND(T187="",AB187=""),"Belum ditempatkan",""),IF(R187="","CEK ID FIXTURE tidak ada di DAFTAR_FIXTURE",IF(M187="","CEK ZONA NO kosong",IF(ISNA(MATCH(R187&amp;"|"&amp;M187,LAYOUT!$E$2:$E$80,0)),"CEK ZONA NO di luar layout",IF(N187&lt;&gt;INDEX(LAYOUT!$D$2:$D$80,MATCH(R187&amp;"|"&amp;M187,LAYOUT!$E$2:$E$80,0)),"CEK JENIS ZONA",IF($D187="","Zona STOCK",IF($E187="","CEK SKU DESCRIPTION kosong",IF(AND(O187&lt;&gt;"",P187=""),"CEK URUTAN SAMBUNG kosong",IF(AND(O187&lt;&gt;"",LEFT(R187,6)="Endcap"),"CEK Endcap tidak ikut sambung","OK"))))))))))</f>
        <v/>
      </c>
      <c r="T187" s="11" t="n"/>
      <c r="U187" s="11" t="n"/>
      <c r="V187" s="11" t="n"/>
      <c r="W187" s="11" t="n"/>
      <c r="X187" s="11" t="n"/>
      <c r="Y187" s="11" t="n"/>
      <c r="Z187" s="12">
        <f>IF(T187="","",IFERROR(INDEX(DAFTAR_FIXTURE!$B$2:$B$51,MATCH(T187,DAFTAR_FIXTURE!$A$2:$A$51,0)),""))</f>
        <v/>
      </c>
      <c r="AA187" s="12">
        <f>IF(T187="","",IF(Z187="","CEK ID FIXTURE tidak ada di DAFTAR_FIXTURE",IF(U187="","CEK ZONA NO kosong",IF(ISNA(MATCH(Z187&amp;"|"&amp;U187,LAYOUT!$E$2:$E$80,0)),"CEK ZONA NO di luar layout",IF(V187&lt;&gt;INDEX(LAYOUT!$D$2:$D$80,MATCH(Z187&amp;"|"&amp;U187,LAYOUT!$E$2:$E$80,0)),"CEK JENIS ZONA",IF($D187="","Zona STOCK",IF($E187="","CEK SKU DESCRIPTION kosong",IF(AND(W187&lt;&gt;"",X187=""),"CEK URUTAN SAMBUNG kosong",IF(AND(W187&lt;&gt;"",LEFT(Z187,6)="Endcap"),"CEK Endcap tidak ikut sambung","OK")))))))))</f>
        <v/>
      </c>
      <c r="AB187" s="11" t="n"/>
      <c r="AC187" s="11" t="n"/>
      <c r="AD187" s="11" t="n"/>
      <c r="AE187" s="11" t="n"/>
      <c r="AF187" s="11" t="n"/>
      <c r="AG187" s="11" t="n"/>
      <c r="AH187" s="12">
        <f>IF(AB187="","",IFERROR(INDEX(DAFTAR_FIXTURE!$B$2:$B$51,MATCH(AB187,DAFTAR_FIXTURE!$A$2:$A$51,0)),""))</f>
        <v/>
      </c>
      <c r="AI187" s="12">
        <f>IF(AB187="","",IF(AH187="","CEK ID FIXTURE tidak ada di DAFTAR_FIXTURE",IF(AC187="","CEK ZONA NO kosong",IF(ISNA(MATCH(AH187&amp;"|"&amp;AC187,LAYOUT!$E$2:$E$80,0)),"CEK ZONA NO di luar layout",IF(AD187&lt;&gt;INDEX(LAYOUT!$D$2:$D$80,MATCH(AH187&amp;"|"&amp;AC187,LAYOUT!$E$2:$E$80,0)),"CEK JENIS ZONA",IF($D187="","Zona STOCK",IF($E187="","CEK SKU DESCRIPTION kosong",IF(AND(AE187&lt;&gt;"",AF187=""),"CEK URUTAN SAMBUNG kosong",IF(AND(AE187&lt;&gt;"",LEFT(AH187,6)="Endcap"),"CEK Endcap tidak ikut sambung","OK")))))))))</f>
        <v/>
      </c>
    </row>
    <row r="188">
      <c r="A188" s="10" t="n"/>
      <c r="B188" s="10" t="n"/>
      <c r="C188" s="10" t="n"/>
      <c r="D188" s="10" t="n"/>
      <c r="E188" s="10" t="n"/>
      <c r="F188" s="10" t="n"/>
      <c r="G188" s="10" t="n"/>
      <c r="H188" s="10" t="n"/>
      <c r="I188" s="10" t="n"/>
      <c r="J188" s="10" t="n"/>
      <c r="K188" s="10" t="n"/>
      <c r="L188" s="11" t="n"/>
      <c r="M188" s="11" t="n"/>
      <c r="N188" s="11" t="n"/>
      <c r="O188" s="11" t="n"/>
      <c r="P188" s="11" t="n"/>
      <c r="Q188" s="11" t="n"/>
      <c r="R188" s="12">
        <f>IF(L188="","",IFERROR(INDEX(DAFTAR_FIXTURE!$B$2:$B$51,MATCH(L188,DAFTAR_FIXTURE!$A$2:$A$51,0)),""))</f>
        <v/>
      </c>
      <c r="S188" s="12">
        <f>IF(AND($D188="",L188=""),"",IF(L188="",IF(AND(T188="",AB188=""),"Belum ditempatkan",""),IF(R188="","CEK ID FIXTURE tidak ada di DAFTAR_FIXTURE",IF(M188="","CEK ZONA NO kosong",IF(ISNA(MATCH(R188&amp;"|"&amp;M188,LAYOUT!$E$2:$E$80,0)),"CEK ZONA NO di luar layout",IF(N188&lt;&gt;INDEX(LAYOUT!$D$2:$D$80,MATCH(R188&amp;"|"&amp;M188,LAYOUT!$E$2:$E$80,0)),"CEK JENIS ZONA",IF($D188="","Zona STOCK",IF($E188="","CEK SKU DESCRIPTION kosong",IF(AND(O188&lt;&gt;"",P188=""),"CEK URUTAN SAMBUNG kosong",IF(AND(O188&lt;&gt;"",LEFT(R188,6)="Endcap"),"CEK Endcap tidak ikut sambung","OK"))))))))))</f>
        <v/>
      </c>
      <c r="T188" s="11" t="n"/>
      <c r="U188" s="11" t="n"/>
      <c r="V188" s="11" t="n"/>
      <c r="W188" s="11" t="n"/>
      <c r="X188" s="11" t="n"/>
      <c r="Y188" s="11" t="n"/>
      <c r="Z188" s="12">
        <f>IF(T188="","",IFERROR(INDEX(DAFTAR_FIXTURE!$B$2:$B$51,MATCH(T188,DAFTAR_FIXTURE!$A$2:$A$51,0)),""))</f>
        <v/>
      </c>
      <c r="AA188" s="12">
        <f>IF(T188="","",IF(Z188="","CEK ID FIXTURE tidak ada di DAFTAR_FIXTURE",IF(U188="","CEK ZONA NO kosong",IF(ISNA(MATCH(Z188&amp;"|"&amp;U188,LAYOUT!$E$2:$E$80,0)),"CEK ZONA NO di luar layout",IF(V188&lt;&gt;INDEX(LAYOUT!$D$2:$D$80,MATCH(Z188&amp;"|"&amp;U188,LAYOUT!$E$2:$E$80,0)),"CEK JENIS ZONA",IF($D188="","Zona STOCK",IF($E188="","CEK SKU DESCRIPTION kosong",IF(AND(W188&lt;&gt;"",X188=""),"CEK URUTAN SAMBUNG kosong",IF(AND(W188&lt;&gt;"",LEFT(Z188,6)="Endcap"),"CEK Endcap tidak ikut sambung","OK")))))))))</f>
        <v/>
      </c>
      <c r="AB188" s="11" t="n"/>
      <c r="AC188" s="11" t="n"/>
      <c r="AD188" s="11" t="n"/>
      <c r="AE188" s="11" t="n"/>
      <c r="AF188" s="11" t="n"/>
      <c r="AG188" s="11" t="n"/>
      <c r="AH188" s="12">
        <f>IF(AB188="","",IFERROR(INDEX(DAFTAR_FIXTURE!$B$2:$B$51,MATCH(AB188,DAFTAR_FIXTURE!$A$2:$A$51,0)),""))</f>
        <v/>
      </c>
      <c r="AI188" s="12">
        <f>IF(AB188="","",IF(AH188="","CEK ID FIXTURE tidak ada di DAFTAR_FIXTURE",IF(AC188="","CEK ZONA NO kosong",IF(ISNA(MATCH(AH188&amp;"|"&amp;AC188,LAYOUT!$E$2:$E$80,0)),"CEK ZONA NO di luar layout",IF(AD188&lt;&gt;INDEX(LAYOUT!$D$2:$D$80,MATCH(AH188&amp;"|"&amp;AC188,LAYOUT!$E$2:$E$80,0)),"CEK JENIS ZONA",IF($D188="","Zona STOCK",IF($E188="","CEK SKU DESCRIPTION kosong",IF(AND(AE188&lt;&gt;"",AF188=""),"CEK URUTAN SAMBUNG kosong",IF(AND(AE188&lt;&gt;"",LEFT(AH188,6)="Endcap"),"CEK Endcap tidak ikut sambung","OK")))))))))</f>
        <v/>
      </c>
    </row>
    <row r="189">
      <c r="A189" s="10" t="n"/>
      <c r="B189" s="10" t="n"/>
      <c r="C189" s="10" t="n"/>
      <c r="D189" s="10" t="n"/>
      <c r="E189" s="10" t="n"/>
      <c r="F189" s="10" t="n"/>
      <c r="G189" s="10" t="n"/>
      <c r="H189" s="10" t="n"/>
      <c r="I189" s="10" t="n"/>
      <c r="J189" s="10" t="n"/>
      <c r="K189" s="10" t="n"/>
      <c r="L189" s="11" t="n"/>
      <c r="M189" s="11" t="n"/>
      <c r="N189" s="11" t="n"/>
      <c r="O189" s="11" t="n"/>
      <c r="P189" s="11" t="n"/>
      <c r="Q189" s="11" t="n"/>
      <c r="R189" s="12">
        <f>IF(L189="","",IFERROR(INDEX(DAFTAR_FIXTURE!$B$2:$B$51,MATCH(L189,DAFTAR_FIXTURE!$A$2:$A$51,0)),""))</f>
        <v/>
      </c>
      <c r="S189" s="12">
        <f>IF(AND($D189="",L189=""),"",IF(L189="",IF(AND(T189="",AB189=""),"Belum ditempatkan",""),IF(R189="","CEK ID FIXTURE tidak ada di DAFTAR_FIXTURE",IF(M189="","CEK ZONA NO kosong",IF(ISNA(MATCH(R189&amp;"|"&amp;M189,LAYOUT!$E$2:$E$80,0)),"CEK ZONA NO di luar layout",IF(N189&lt;&gt;INDEX(LAYOUT!$D$2:$D$80,MATCH(R189&amp;"|"&amp;M189,LAYOUT!$E$2:$E$80,0)),"CEK JENIS ZONA",IF($D189="","Zona STOCK",IF($E189="","CEK SKU DESCRIPTION kosong",IF(AND(O189&lt;&gt;"",P189=""),"CEK URUTAN SAMBUNG kosong",IF(AND(O189&lt;&gt;"",LEFT(R189,6)="Endcap"),"CEK Endcap tidak ikut sambung","OK"))))))))))</f>
        <v/>
      </c>
      <c r="T189" s="11" t="n"/>
      <c r="U189" s="11" t="n"/>
      <c r="V189" s="11" t="n"/>
      <c r="W189" s="11" t="n"/>
      <c r="X189" s="11" t="n"/>
      <c r="Y189" s="11" t="n"/>
      <c r="Z189" s="12">
        <f>IF(T189="","",IFERROR(INDEX(DAFTAR_FIXTURE!$B$2:$B$51,MATCH(T189,DAFTAR_FIXTURE!$A$2:$A$51,0)),""))</f>
        <v/>
      </c>
      <c r="AA189" s="12">
        <f>IF(T189="","",IF(Z189="","CEK ID FIXTURE tidak ada di DAFTAR_FIXTURE",IF(U189="","CEK ZONA NO kosong",IF(ISNA(MATCH(Z189&amp;"|"&amp;U189,LAYOUT!$E$2:$E$80,0)),"CEK ZONA NO di luar layout",IF(V189&lt;&gt;INDEX(LAYOUT!$D$2:$D$80,MATCH(Z189&amp;"|"&amp;U189,LAYOUT!$E$2:$E$80,0)),"CEK JENIS ZONA",IF($D189="","Zona STOCK",IF($E189="","CEK SKU DESCRIPTION kosong",IF(AND(W189&lt;&gt;"",X189=""),"CEK URUTAN SAMBUNG kosong",IF(AND(W189&lt;&gt;"",LEFT(Z189,6)="Endcap"),"CEK Endcap tidak ikut sambung","OK")))))))))</f>
        <v/>
      </c>
      <c r="AB189" s="11" t="n"/>
      <c r="AC189" s="11" t="n"/>
      <c r="AD189" s="11" t="n"/>
      <c r="AE189" s="11" t="n"/>
      <c r="AF189" s="11" t="n"/>
      <c r="AG189" s="11" t="n"/>
      <c r="AH189" s="12">
        <f>IF(AB189="","",IFERROR(INDEX(DAFTAR_FIXTURE!$B$2:$B$51,MATCH(AB189,DAFTAR_FIXTURE!$A$2:$A$51,0)),""))</f>
        <v/>
      </c>
      <c r="AI189" s="12">
        <f>IF(AB189="","",IF(AH189="","CEK ID FIXTURE tidak ada di DAFTAR_FIXTURE",IF(AC189="","CEK ZONA NO kosong",IF(ISNA(MATCH(AH189&amp;"|"&amp;AC189,LAYOUT!$E$2:$E$80,0)),"CEK ZONA NO di luar layout",IF(AD189&lt;&gt;INDEX(LAYOUT!$D$2:$D$80,MATCH(AH189&amp;"|"&amp;AC189,LAYOUT!$E$2:$E$80,0)),"CEK JENIS ZONA",IF($D189="","Zona STOCK",IF($E189="","CEK SKU DESCRIPTION kosong",IF(AND(AE189&lt;&gt;"",AF189=""),"CEK URUTAN SAMBUNG kosong",IF(AND(AE189&lt;&gt;"",LEFT(AH189,6)="Endcap"),"CEK Endcap tidak ikut sambung","OK")))))))))</f>
        <v/>
      </c>
    </row>
    <row r="190">
      <c r="A190" s="10" t="n"/>
      <c r="B190" s="10" t="n"/>
      <c r="C190" s="10" t="n"/>
      <c r="D190" s="10" t="n"/>
      <c r="E190" s="10" t="n"/>
      <c r="F190" s="10" t="n"/>
      <c r="G190" s="10" t="n"/>
      <c r="H190" s="10" t="n"/>
      <c r="I190" s="10" t="n"/>
      <c r="J190" s="10" t="n"/>
      <c r="K190" s="10" t="n"/>
      <c r="L190" s="11" t="n"/>
      <c r="M190" s="11" t="n"/>
      <c r="N190" s="11" t="n"/>
      <c r="O190" s="11" t="n"/>
      <c r="P190" s="11" t="n"/>
      <c r="Q190" s="11" t="n"/>
      <c r="R190" s="12">
        <f>IF(L190="","",IFERROR(INDEX(DAFTAR_FIXTURE!$B$2:$B$51,MATCH(L190,DAFTAR_FIXTURE!$A$2:$A$51,0)),""))</f>
        <v/>
      </c>
      <c r="S190" s="12">
        <f>IF(AND($D190="",L190=""),"",IF(L190="",IF(AND(T190="",AB190=""),"Belum ditempatkan",""),IF(R190="","CEK ID FIXTURE tidak ada di DAFTAR_FIXTURE",IF(M190="","CEK ZONA NO kosong",IF(ISNA(MATCH(R190&amp;"|"&amp;M190,LAYOUT!$E$2:$E$80,0)),"CEK ZONA NO di luar layout",IF(N190&lt;&gt;INDEX(LAYOUT!$D$2:$D$80,MATCH(R190&amp;"|"&amp;M190,LAYOUT!$E$2:$E$80,0)),"CEK JENIS ZONA",IF($D190="","Zona STOCK",IF($E190="","CEK SKU DESCRIPTION kosong",IF(AND(O190&lt;&gt;"",P190=""),"CEK URUTAN SAMBUNG kosong",IF(AND(O190&lt;&gt;"",LEFT(R190,6)="Endcap"),"CEK Endcap tidak ikut sambung","OK"))))))))))</f>
        <v/>
      </c>
      <c r="T190" s="11" t="n"/>
      <c r="U190" s="11" t="n"/>
      <c r="V190" s="11" t="n"/>
      <c r="W190" s="11" t="n"/>
      <c r="X190" s="11" t="n"/>
      <c r="Y190" s="11" t="n"/>
      <c r="Z190" s="12">
        <f>IF(T190="","",IFERROR(INDEX(DAFTAR_FIXTURE!$B$2:$B$51,MATCH(T190,DAFTAR_FIXTURE!$A$2:$A$51,0)),""))</f>
        <v/>
      </c>
      <c r="AA190" s="12">
        <f>IF(T190="","",IF(Z190="","CEK ID FIXTURE tidak ada di DAFTAR_FIXTURE",IF(U190="","CEK ZONA NO kosong",IF(ISNA(MATCH(Z190&amp;"|"&amp;U190,LAYOUT!$E$2:$E$80,0)),"CEK ZONA NO di luar layout",IF(V190&lt;&gt;INDEX(LAYOUT!$D$2:$D$80,MATCH(Z190&amp;"|"&amp;U190,LAYOUT!$E$2:$E$80,0)),"CEK JENIS ZONA",IF($D190="","Zona STOCK",IF($E190="","CEK SKU DESCRIPTION kosong",IF(AND(W190&lt;&gt;"",X190=""),"CEK URUTAN SAMBUNG kosong",IF(AND(W190&lt;&gt;"",LEFT(Z190,6)="Endcap"),"CEK Endcap tidak ikut sambung","OK")))))))))</f>
        <v/>
      </c>
      <c r="AB190" s="11" t="n"/>
      <c r="AC190" s="11" t="n"/>
      <c r="AD190" s="11" t="n"/>
      <c r="AE190" s="11" t="n"/>
      <c r="AF190" s="11" t="n"/>
      <c r="AG190" s="11" t="n"/>
      <c r="AH190" s="12">
        <f>IF(AB190="","",IFERROR(INDEX(DAFTAR_FIXTURE!$B$2:$B$51,MATCH(AB190,DAFTAR_FIXTURE!$A$2:$A$51,0)),""))</f>
        <v/>
      </c>
      <c r="AI190" s="12">
        <f>IF(AB190="","",IF(AH190="","CEK ID FIXTURE tidak ada di DAFTAR_FIXTURE",IF(AC190="","CEK ZONA NO kosong",IF(ISNA(MATCH(AH190&amp;"|"&amp;AC190,LAYOUT!$E$2:$E$80,0)),"CEK ZONA NO di luar layout",IF(AD190&lt;&gt;INDEX(LAYOUT!$D$2:$D$80,MATCH(AH190&amp;"|"&amp;AC190,LAYOUT!$E$2:$E$80,0)),"CEK JENIS ZONA",IF($D190="","Zona STOCK",IF($E190="","CEK SKU DESCRIPTION kosong",IF(AND(AE190&lt;&gt;"",AF190=""),"CEK URUTAN SAMBUNG kosong",IF(AND(AE190&lt;&gt;"",LEFT(AH190,6)="Endcap"),"CEK Endcap tidak ikut sambung","OK")))))))))</f>
        <v/>
      </c>
    </row>
    <row r="191">
      <c r="A191" s="10" t="n"/>
      <c r="B191" s="10" t="n"/>
      <c r="C191" s="10" t="n"/>
      <c r="D191" s="10" t="n"/>
      <c r="E191" s="10" t="n"/>
      <c r="F191" s="10" t="n"/>
      <c r="G191" s="10" t="n"/>
      <c r="H191" s="10" t="n"/>
      <c r="I191" s="10" t="n"/>
      <c r="J191" s="10" t="n"/>
      <c r="K191" s="10" t="n"/>
      <c r="L191" s="11" t="n"/>
      <c r="M191" s="11" t="n"/>
      <c r="N191" s="11" t="n"/>
      <c r="O191" s="11" t="n"/>
      <c r="P191" s="11" t="n"/>
      <c r="Q191" s="11" t="n"/>
      <c r="R191" s="12">
        <f>IF(L191="","",IFERROR(INDEX(DAFTAR_FIXTURE!$B$2:$B$51,MATCH(L191,DAFTAR_FIXTURE!$A$2:$A$51,0)),""))</f>
        <v/>
      </c>
      <c r="S191" s="12">
        <f>IF(AND($D191="",L191=""),"",IF(L191="",IF(AND(T191="",AB191=""),"Belum ditempatkan",""),IF(R191="","CEK ID FIXTURE tidak ada di DAFTAR_FIXTURE",IF(M191="","CEK ZONA NO kosong",IF(ISNA(MATCH(R191&amp;"|"&amp;M191,LAYOUT!$E$2:$E$80,0)),"CEK ZONA NO di luar layout",IF(N191&lt;&gt;INDEX(LAYOUT!$D$2:$D$80,MATCH(R191&amp;"|"&amp;M191,LAYOUT!$E$2:$E$80,0)),"CEK JENIS ZONA",IF($D191="","Zona STOCK",IF($E191="","CEK SKU DESCRIPTION kosong",IF(AND(O191&lt;&gt;"",P191=""),"CEK URUTAN SAMBUNG kosong",IF(AND(O191&lt;&gt;"",LEFT(R191,6)="Endcap"),"CEK Endcap tidak ikut sambung","OK"))))))))))</f>
        <v/>
      </c>
      <c r="T191" s="11" t="n"/>
      <c r="U191" s="11" t="n"/>
      <c r="V191" s="11" t="n"/>
      <c r="W191" s="11" t="n"/>
      <c r="X191" s="11" t="n"/>
      <c r="Y191" s="11" t="n"/>
      <c r="Z191" s="12">
        <f>IF(T191="","",IFERROR(INDEX(DAFTAR_FIXTURE!$B$2:$B$51,MATCH(T191,DAFTAR_FIXTURE!$A$2:$A$51,0)),""))</f>
        <v/>
      </c>
      <c r="AA191" s="12">
        <f>IF(T191="","",IF(Z191="","CEK ID FIXTURE tidak ada di DAFTAR_FIXTURE",IF(U191="","CEK ZONA NO kosong",IF(ISNA(MATCH(Z191&amp;"|"&amp;U191,LAYOUT!$E$2:$E$80,0)),"CEK ZONA NO di luar layout",IF(V191&lt;&gt;INDEX(LAYOUT!$D$2:$D$80,MATCH(Z191&amp;"|"&amp;U191,LAYOUT!$E$2:$E$80,0)),"CEK JENIS ZONA",IF($D191="","Zona STOCK",IF($E191="","CEK SKU DESCRIPTION kosong",IF(AND(W191&lt;&gt;"",X191=""),"CEK URUTAN SAMBUNG kosong",IF(AND(W191&lt;&gt;"",LEFT(Z191,6)="Endcap"),"CEK Endcap tidak ikut sambung","OK")))))))))</f>
        <v/>
      </c>
      <c r="AB191" s="11" t="n"/>
      <c r="AC191" s="11" t="n"/>
      <c r="AD191" s="11" t="n"/>
      <c r="AE191" s="11" t="n"/>
      <c r="AF191" s="11" t="n"/>
      <c r="AG191" s="11" t="n"/>
      <c r="AH191" s="12">
        <f>IF(AB191="","",IFERROR(INDEX(DAFTAR_FIXTURE!$B$2:$B$51,MATCH(AB191,DAFTAR_FIXTURE!$A$2:$A$51,0)),""))</f>
        <v/>
      </c>
      <c r="AI191" s="12">
        <f>IF(AB191="","",IF(AH191="","CEK ID FIXTURE tidak ada di DAFTAR_FIXTURE",IF(AC191="","CEK ZONA NO kosong",IF(ISNA(MATCH(AH191&amp;"|"&amp;AC191,LAYOUT!$E$2:$E$80,0)),"CEK ZONA NO di luar layout",IF(AD191&lt;&gt;INDEX(LAYOUT!$D$2:$D$80,MATCH(AH191&amp;"|"&amp;AC191,LAYOUT!$E$2:$E$80,0)),"CEK JENIS ZONA",IF($D191="","Zona STOCK",IF($E191="","CEK SKU DESCRIPTION kosong",IF(AND(AE191&lt;&gt;"",AF191=""),"CEK URUTAN SAMBUNG kosong",IF(AND(AE191&lt;&gt;"",LEFT(AH191,6)="Endcap"),"CEK Endcap tidak ikut sambung","OK")))))))))</f>
        <v/>
      </c>
    </row>
    <row r="192">
      <c r="A192" s="10" t="n"/>
      <c r="B192" s="10" t="n"/>
      <c r="C192" s="10" t="n"/>
      <c r="D192" s="10" t="n"/>
      <c r="E192" s="10" t="n"/>
      <c r="F192" s="10" t="n"/>
      <c r="G192" s="10" t="n"/>
      <c r="H192" s="10" t="n"/>
      <c r="I192" s="10" t="n"/>
      <c r="J192" s="10" t="n"/>
      <c r="K192" s="10" t="n"/>
      <c r="L192" s="11" t="n"/>
      <c r="M192" s="11" t="n"/>
      <c r="N192" s="11" t="n"/>
      <c r="O192" s="11" t="n"/>
      <c r="P192" s="11" t="n"/>
      <c r="Q192" s="11" t="n"/>
      <c r="R192" s="12">
        <f>IF(L192="","",IFERROR(INDEX(DAFTAR_FIXTURE!$B$2:$B$51,MATCH(L192,DAFTAR_FIXTURE!$A$2:$A$51,0)),""))</f>
        <v/>
      </c>
      <c r="S192" s="12">
        <f>IF(AND($D192="",L192=""),"",IF(L192="",IF(AND(T192="",AB192=""),"Belum ditempatkan",""),IF(R192="","CEK ID FIXTURE tidak ada di DAFTAR_FIXTURE",IF(M192="","CEK ZONA NO kosong",IF(ISNA(MATCH(R192&amp;"|"&amp;M192,LAYOUT!$E$2:$E$80,0)),"CEK ZONA NO di luar layout",IF(N192&lt;&gt;INDEX(LAYOUT!$D$2:$D$80,MATCH(R192&amp;"|"&amp;M192,LAYOUT!$E$2:$E$80,0)),"CEK JENIS ZONA",IF($D192="","Zona STOCK",IF($E192="","CEK SKU DESCRIPTION kosong",IF(AND(O192&lt;&gt;"",P192=""),"CEK URUTAN SAMBUNG kosong",IF(AND(O192&lt;&gt;"",LEFT(R192,6)="Endcap"),"CEK Endcap tidak ikut sambung","OK"))))))))))</f>
        <v/>
      </c>
      <c r="T192" s="11" t="n"/>
      <c r="U192" s="11" t="n"/>
      <c r="V192" s="11" t="n"/>
      <c r="W192" s="11" t="n"/>
      <c r="X192" s="11" t="n"/>
      <c r="Y192" s="11" t="n"/>
      <c r="Z192" s="12">
        <f>IF(T192="","",IFERROR(INDEX(DAFTAR_FIXTURE!$B$2:$B$51,MATCH(T192,DAFTAR_FIXTURE!$A$2:$A$51,0)),""))</f>
        <v/>
      </c>
      <c r="AA192" s="12">
        <f>IF(T192="","",IF(Z192="","CEK ID FIXTURE tidak ada di DAFTAR_FIXTURE",IF(U192="","CEK ZONA NO kosong",IF(ISNA(MATCH(Z192&amp;"|"&amp;U192,LAYOUT!$E$2:$E$80,0)),"CEK ZONA NO di luar layout",IF(V192&lt;&gt;INDEX(LAYOUT!$D$2:$D$80,MATCH(Z192&amp;"|"&amp;U192,LAYOUT!$E$2:$E$80,0)),"CEK JENIS ZONA",IF($D192="","Zona STOCK",IF($E192="","CEK SKU DESCRIPTION kosong",IF(AND(W192&lt;&gt;"",X192=""),"CEK URUTAN SAMBUNG kosong",IF(AND(W192&lt;&gt;"",LEFT(Z192,6)="Endcap"),"CEK Endcap tidak ikut sambung","OK")))))))))</f>
        <v/>
      </c>
      <c r="AB192" s="11" t="n"/>
      <c r="AC192" s="11" t="n"/>
      <c r="AD192" s="11" t="n"/>
      <c r="AE192" s="11" t="n"/>
      <c r="AF192" s="11" t="n"/>
      <c r="AG192" s="11" t="n"/>
      <c r="AH192" s="12">
        <f>IF(AB192="","",IFERROR(INDEX(DAFTAR_FIXTURE!$B$2:$B$51,MATCH(AB192,DAFTAR_FIXTURE!$A$2:$A$51,0)),""))</f>
        <v/>
      </c>
      <c r="AI192" s="12">
        <f>IF(AB192="","",IF(AH192="","CEK ID FIXTURE tidak ada di DAFTAR_FIXTURE",IF(AC192="","CEK ZONA NO kosong",IF(ISNA(MATCH(AH192&amp;"|"&amp;AC192,LAYOUT!$E$2:$E$80,0)),"CEK ZONA NO di luar layout",IF(AD192&lt;&gt;INDEX(LAYOUT!$D$2:$D$80,MATCH(AH192&amp;"|"&amp;AC192,LAYOUT!$E$2:$E$80,0)),"CEK JENIS ZONA",IF($D192="","Zona STOCK",IF($E192="","CEK SKU DESCRIPTION kosong",IF(AND(AE192&lt;&gt;"",AF192=""),"CEK URUTAN SAMBUNG kosong",IF(AND(AE192&lt;&gt;"",LEFT(AH192,6)="Endcap"),"CEK Endcap tidak ikut sambung","OK")))))))))</f>
        <v/>
      </c>
    </row>
    <row r="193">
      <c r="A193" s="10" t="n"/>
      <c r="B193" s="10" t="n"/>
      <c r="C193" s="10" t="n"/>
      <c r="D193" s="10" t="n"/>
      <c r="E193" s="10" t="n"/>
      <c r="F193" s="10" t="n"/>
      <c r="G193" s="10" t="n"/>
      <c r="H193" s="10" t="n"/>
      <c r="I193" s="10" t="n"/>
      <c r="J193" s="10" t="n"/>
      <c r="K193" s="10" t="n"/>
      <c r="L193" s="11" t="n"/>
      <c r="M193" s="11" t="n"/>
      <c r="N193" s="11" t="n"/>
      <c r="O193" s="11" t="n"/>
      <c r="P193" s="11" t="n"/>
      <c r="Q193" s="11" t="n"/>
      <c r="R193" s="12">
        <f>IF(L193="","",IFERROR(INDEX(DAFTAR_FIXTURE!$B$2:$B$51,MATCH(L193,DAFTAR_FIXTURE!$A$2:$A$51,0)),""))</f>
        <v/>
      </c>
      <c r="S193" s="12">
        <f>IF(AND($D193="",L193=""),"",IF(L193="",IF(AND(T193="",AB193=""),"Belum ditempatkan",""),IF(R193="","CEK ID FIXTURE tidak ada di DAFTAR_FIXTURE",IF(M193="","CEK ZONA NO kosong",IF(ISNA(MATCH(R193&amp;"|"&amp;M193,LAYOUT!$E$2:$E$80,0)),"CEK ZONA NO di luar layout",IF(N193&lt;&gt;INDEX(LAYOUT!$D$2:$D$80,MATCH(R193&amp;"|"&amp;M193,LAYOUT!$E$2:$E$80,0)),"CEK JENIS ZONA",IF($D193="","Zona STOCK",IF($E193="","CEK SKU DESCRIPTION kosong",IF(AND(O193&lt;&gt;"",P193=""),"CEK URUTAN SAMBUNG kosong",IF(AND(O193&lt;&gt;"",LEFT(R193,6)="Endcap"),"CEK Endcap tidak ikut sambung","OK"))))))))))</f>
        <v/>
      </c>
      <c r="T193" s="11" t="n"/>
      <c r="U193" s="11" t="n"/>
      <c r="V193" s="11" t="n"/>
      <c r="W193" s="11" t="n"/>
      <c r="X193" s="11" t="n"/>
      <c r="Y193" s="11" t="n"/>
      <c r="Z193" s="12">
        <f>IF(T193="","",IFERROR(INDEX(DAFTAR_FIXTURE!$B$2:$B$51,MATCH(T193,DAFTAR_FIXTURE!$A$2:$A$51,0)),""))</f>
        <v/>
      </c>
      <c r="AA193" s="12">
        <f>IF(T193="","",IF(Z193="","CEK ID FIXTURE tidak ada di DAFTAR_FIXTURE",IF(U193="","CEK ZONA NO kosong",IF(ISNA(MATCH(Z193&amp;"|"&amp;U193,LAYOUT!$E$2:$E$80,0)),"CEK ZONA NO di luar layout",IF(V193&lt;&gt;INDEX(LAYOUT!$D$2:$D$80,MATCH(Z193&amp;"|"&amp;U193,LAYOUT!$E$2:$E$80,0)),"CEK JENIS ZONA",IF($D193="","Zona STOCK",IF($E193="","CEK SKU DESCRIPTION kosong",IF(AND(W193&lt;&gt;"",X193=""),"CEK URUTAN SAMBUNG kosong",IF(AND(W193&lt;&gt;"",LEFT(Z193,6)="Endcap"),"CEK Endcap tidak ikut sambung","OK")))))))))</f>
        <v/>
      </c>
      <c r="AB193" s="11" t="n"/>
      <c r="AC193" s="11" t="n"/>
      <c r="AD193" s="11" t="n"/>
      <c r="AE193" s="11" t="n"/>
      <c r="AF193" s="11" t="n"/>
      <c r="AG193" s="11" t="n"/>
      <c r="AH193" s="12">
        <f>IF(AB193="","",IFERROR(INDEX(DAFTAR_FIXTURE!$B$2:$B$51,MATCH(AB193,DAFTAR_FIXTURE!$A$2:$A$51,0)),""))</f>
        <v/>
      </c>
      <c r="AI193" s="12">
        <f>IF(AB193="","",IF(AH193="","CEK ID FIXTURE tidak ada di DAFTAR_FIXTURE",IF(AC193="","CEK ZONA NO kosong",IF(ISNA(MATCH(AH193&amp;"|"&amp;AC193,LAYOUT!$E$2:$E$80,0)),"CEK ZONA NO di luar layout",IF(AD193&lt;&gt;INDEX(LAYOUT!$D$2:$D$80,MATCH(AH193&amp;"|"&amp;AC193,LAYOUT!$E$2:$E$80,0)),"CEK JENIS ZONA",IF($D193="","Zona STOCK",IF($E193="","CEK SKU DESCRIPTION kosong",IF(AND(AE193&lt;&gt;"",AF193=""),"CEK URUTAN SAMBUNG kosong",IF(AND(AE193&lt;&gt;"",LEFT(AH193,6)="Endcap"),"CEK Endcap tidak ikut sambung","OK")))))))))</f>
        <v/>
      </c>
    </row>
    <row r="194">
      <c r="A194" s="10" t="n"/>
      <c r="B194" s="10" t="n"/>
      <c r="C194" s="10" t="n"/>
      <c r="D194" s="10" t="n"/>
      <c r="E194" s="10" t="n"/>
      <c r="F194" s="10" t="n"/>
      <c r="G194" s="10" t="n"/>
      <c r="H194" s="10" t="n"/>
      <c r="I194" s="10" t="n"/>
      <c r="J194" s="10" t="n"/>
      <c r="K194" s="10" t="n"/>
      <c r="L194" s="11" t="n"/>
      <c r="M194" s="11" t="n"/>
      <c r="N194" s="11" t="n"/>
      <c r="O194" s="11" t="n"/>
      <c r="P194" s="11" t="n"/>
      <c r="Q194" s="11" t="n"/>
      <c r="R194" s="12">
        <f>IF(L194="","",IFERROR(INDEX(DAFTAR_FIXTURE!$B$2:$B$51,MATCH(L194,DAFTAR_FIXTURE!$A$2:$A$51,0)),""))</f>
        <v/>
      </c>
      <c r="S194" s="12">
        <f>IF(AND($D194="",L194=""),"",IF(L194="",IF(AND(T194="",AB194=""),"Belum ditempatkan",""),IF(R194="","CEK ID FIXTURE tidak ada di DAFTAR_FIXTURE",IF(M194="","CEK ZONA NO kosong",IF(ISNA(MATCH(R194&amp;"|"&amp;M194,LAYOUT!$E$2:$E$80,0)),"CEK ZONA NO di luar layout",IF(N194&lt;&gt;INDEX(LAYOUT!$D$2:$D$80,MATCH(R194&amp;"|"&amp;M194,LAYOUT!$E$2:$E$80,0)),"CEK JENIS ZONA",IF($D194="","Zona STOCK",IF($E194="","CEK SKU DESCRIPTION kosong",IF(AND(O194&lt;&gt;"",P194=""),"CEK URUTAN SAMBUNG kosong",IF(AND(O194&lt;&gt;"",LEFT(R194,6)="Endcap"),"CEK Endcap tidak ikut sambung","OK"))))))))))</f>
        <v/>
      </c>
      <c r="T194" s="11" t="n"/>
      <c r="U194" s="11" t="n"/>
      <c r="V194" s="11" t="n"/>
      <c r="W194" s="11" t="n"/>
      <c r="X194" s="11" t="n"/>
      <c r="Y194" s="11" t="n"/>
      <c r="Z194" s="12">
        <f>IF(T194="","",IFERROR(INDEX(DAFTAR_FIXTURE!$B$2:$B$51,MATCH(T194,DAFTAR_FIXTURE!$A$2:$A$51,0)),""))</f>
        <v/>
      </c>
      <c r="AA194" s="12">
        <f>IF(T194="","",IF(Z194="","CEK ID FIXTURE tidak ada di DAFTAR_FIXTURE",IF(U194="","CEK ZONA NO kosong",IF(ISNA(MATCH(Z194&amp;"|"&amp;U194,LAYOUT!$E$2:$E$80,0)),"CEK ZONA NO di luar layout",IF(V194&lt;&gt;INDEX(LAYOUT!$D$2:$D$80,MATCH(Z194&amp;"|"&amp;U194,LAYOUT!$E$2:$E$80,0)),"CEK JENIS ZONA",IF($D194="","Zona STOCK",IF($E194="","CEK SKU DESCRIPTION kosong",IF(AND(W194&lt;&gt;"",X194=""),"CEK URUTAN SAMBUNG kosong",IF(AND(W194&lt;&gt;"",LEFT(Z194,6)="Endcap"),"CEK Endcap tidak ikut sambung","OK")))))))))</f>
        <v/>
      </c>
      <c r="AB194" s="11" t="n"/>
      <c r="AC194" s="11" t="n"/>
      <c r="AD194" s="11" t="n"/>
      <c r="AE194" s="11" t="n"/>
      <c r="AF194" s="11" t="n"/>
      <c r="AG194" s="11" t="n"/>
      <c r="AH194" s="12">
        <f>IF(AB194="","",IFERROR(INDEX(DAFTAR_FIXTURE!$B$2:$B$51,MATCH(AB194,DAFTAR_FIXTURE!$A$2:$A$51,0)),""))</f>
        <v/>
      </c>
      <c r="AI194" s="12">
        <f>IF(AB194="","",IF(AH194="","CEK ID FIXTURE tidak ada di DAFTAR_FIXTURE",IF(AC194="","CEK ZONA NO kosong",IF(ISNA(MATCH(AH194&amp;"|"&amp;AC194,LAYOUT!$E$2:$E$80,0)),"CEK ZONA NO di luar layout",IF(AD194&lt;&gt;INDEX(LAYOUT!$D$2:$D$80,MATCH(AH194&amp;"|"&amp;AC194,LAYOUT!$E$2:$E$80,0)),"CEK JENIS ZONA",IF($D194="","Zona STOCK",IF($E194="","CEK SKU DESCRIPTION kosong",IF(AND(AE194&lt;&gt;"",AF194=""),"CEK URUTAN SAMBUNG kosong",IF(AND(AE194&lt;&gt;"",LEFT(AH194,6)="Endcap"),"CEK Endcap tidak ikut sambung","OK")))))))))</f>
        <v/>
      </c>
    </row>
    <row r="195">
      <c r="A195" s="10" t="n"/>
      <c r="B195" s="10" t="n"/>
      <c r="C195" s="10" t="n"/>
      <c r="D195" s="10" t="n"/>
      <c r="E195" s="10" t="n"/>
      <c r="F195" s="10" t="n"/>
      <c r="G195" s="10" t="n"/>
      <c r="H195" s="10" t="n"/>
      <c r="I195" s="10" t="n"/>
      <c r="J195" s="10" t="n"/>
      <c r="K195" s="10" t="n"/>
      <c r="L195" s="11" t="n"/>
      <c r="M195" s="11" t="n"/>
      <c r="N195" s="11" t="n"/>
      <c r="O195" s="11" t="n"/>
      <c r="P195" s="11" t="n"/>
      <c r="Q195" s="11" t="n"/>
      <c r="R195" s="12">
        <f>IF(L195="","",IFERROR(INDEX(DAFTAR_FIXTURE!$B$2:$B$51,MATCH(L195,DAFTAR_FIXTURE!$A$2:$A$51,0)),""))</f>
        <v/>
      </c>
      <c r="S195" s="12">
        <f>IF(AND($D195="",L195=""),"",IF(L195="",IF(AND(T195="",AB195=""),"Belum ditempatkan",""),IF(R195="","CEK ID FIXTURE tidak ada di DAFTAR_FIXTURE",IF(M195="","CEK ZONA NO kosong",IF(ISNA(MATCH(R195&amp;"|"&amp;M195,LAYOUT!$E$2:$E$80,0)),"CEK ZONA NO di luar layout",IF(N195&lt;&gt;INDEX(LAYOUT!$D$2:$D$80,MATCH(R195&amp;"|"&amp;M195,LAYOUT!$E$2:$E$80,0)),"CEK JENIS ZONA",IF($D195="","Zona STOCK",IF($E195="","CEK SKU DESCRIPTION kosong",IF(AND(O195&lt;&gt;"",P195=""),"CEK URUTAN SAMBUNG kosong",IF(AND(O195&lt;&gt;"",LEFT(R195,6)="Endcap"),"CEK Endcap tidak ikut sambung","OK"))))))))))</f>
        <v/>
      </c>
      <c r="T195" s="11" t="n"/>
      <c r="U195" s="11" t="n"/>
      <c r="V195" s="11" t="n"/>
      <c r="W195" s="11" t="n"/>
      <c r="X195" s="11" t="n"/>
      <c r="Y195" s="11" t="n"/>
      <c r="Z195" s="12">
        <f>IF(T195="","",IFERROR(INDEX(DAFTAR_FIXTURE!$B$2:$B$51,MATCH(T195,DAFTAR_FIXTURE!$A$2:$A$51,0)),""))</f>
        <v/>
      </c>
      <c r="AA195" s="12">
        <f>IF(T195="","",IF(Z195="","CEK ID FIXTURE tidak ada di DAFTAR_FIXTURE",IF(U195="","CEK ZONA NO kosong",IF(ISNA(MATCH(Z195&amp;"|"&amp;U195,LAYOUT!$E$2:$E$80,0)),"CEK ZONA NO di luar layout",IF(V195&lt;&gt;INDEX(LAYOUT!$D$2:$D$80,MATCH(Z195&amp;"|"&amp;U195,LAYOUT!$E$2:$E$80,0)),"CEK JENIS ZONA",IF($D195="","Zona STOCK",IF($E195="","CEK SKU DESCRIPTION kosong",IF(AND(W195&lt;&gt;"",X195=""),"CEK URUTAN SAMBUNG kosong",IF(AND(W195&lt;&gt;"",LEFT(Z195,6)="Endcap"),"CEK Endcap tidak ikut sambung","OK")))))))))</f>
        <v/>
      </c>
      <c r="AB195" s="11" t="n"/>
      <c r="AC195" s="11" t="n"/>
      <c r="AD195" s="11" t="n"/>
      <c r="AE195" s="11" t="n"/>
      <c r="AF195" s="11" t="n"/>
      <c r="AG195" s="11" t="n"/>
      <c r="AH195" s="12">
        <f>IF(AB195="","",IFERROR(INDEX(DAFTAR_FIXTURE!$B$2:$B$51,MATCH(AB195,DAFTAR_FIXTURE!$A$2:$A$51,0)),""))</f>
        <v/>
      </c>
      <c r="AI195" s="12">
        <f>IF(AB195="","",IF(AH195="","CEK ID FIXTURE tidak ada di DAFTAR_FIXTURE",IF(AC195="","CEK ZONA NO kosong",IF(ISNA(MATCH(AH195&amp;"|"&amp;AC195,LAYOUT!$E$2:$E$80,0)),"CEK ZONA NO di luar layout",IF(AD195&lt;&gt;INDEX(LAYOUT!$D$2:$D$80,MATCH(AH195&amp;"|"&amp;AC195,LAYOUT!$E$2:$E$80,0)),"CEK JENIS ZONA",IF($D195="","Zona STOCK",IF($E195="","CEK SKU DESCRIPTION kosong",IF(AND(AE195&lt;&gt;"",AF195=""),"CEK URUTAN SAMBUNG kosong",IF(AND(AE195&lt;&gt;"",LEFT(AH195,6)="Endcap"),"CEK Endcap tidak ikut sambung","OK")))))))))</f>
        <v/>
      </c>
    </row>
    <row r="196">
      <c r="A196" s="10" t="n"/>
      <c r="B196" s="10" t="n"/>
      <c r="C196" s="10" t="n"/>
      <c r="D196" s="10" t="n"/>
      <c r="E196" s="10" t="n"/>
      <c r="F196" s="10" t="n"/>
      <c r="G196" s="10" t="n"/>
      <c r="H196" s="10" t="n"/>
      <c r="I196" s="10" t="n"/>
      <c r="J196" s="10" t="n"/>
      <c r="K196" s="10" t="n"/>
      <c r="L196" s="11" t="n"/>
      <c r="M196" s="11" t="n"/>
      <c r="N196" s="11" t="n"/>
      <c r="O196" s="11" t="n"/>
      <c r="P196" s="11" t="n"/>
      <c r="Q196" s="11" t="n"/>
      <c r="R196" s="12">
        <f>IF(L196="","",IFERROR(INDEX(DAFTAR_FIXTURE!$B$2:$B$51,MATCH(L196,DAFTAR_FIXTURE!$A$2:$A$51,0)),""))</f>
        <v/>
      </c>
      <c r="S196" s="12">
        <f>IF(AND($D196="",L196=""),"",IF(L196="",IF(AND(T196="",AB196=""),"Belum ditempatkan",""),IF(R196="","CEK ID FIXTURE tidak ada di DAFTAR_FIXTURE",IF(M196="","CEK ZONA NO kosong",IF(ISNA(MATCH(R196&amp;"|"&amp;M196,LAYOUT!$E$2:$E$80,0)),"CEK ZONA NO di luar layout",IF(N196&lt;&gt;INDEX(LAYOUT!$D$2:$D$80,MATCH(R196&amp;"|"&amp;M196,LAYOUT!$E$2:$E$80,0)),"CEK JENIS ZONA",IF($D196="","Zona STOCK",IF($E196="","CEK SKU DESCRIPTION kosong",IF(AND(O196&lt;&gt;"",P196=""),"CEK URUTAN SAMBUNG kosong",IF(AND(O196&lt;&gt;"",LEFT(R196,6)="Endcap"),"CEK Endcap tidak ikut sambung","OK"))))))))))</f>
        <v/>
      </c>
      <c r="T196" s="11" t="n"/>
      <c r="U196" s="11" t="n"/>
      <c r="V196" s="11" t="n"/>
      <c r="W196" s="11" t="n"/>
      <c r="X196" s="11" t="n"/>
      <c r="Y196" s="11" t="n"/>
      <c r="Z196" s="12">
        <f>IF(T196="","",IFERROR(INDEX(DAFTAR_FIXTURE!$B$2:$B$51,MATCH(T196,DAFTAR_FIXTURE!$A$2:$A$51,0)),""))</f>
        <v/>
      </c>
      <c r="AA196" s="12">
        <f>IF(T196="","",IF(Z196="","CEK ID FIXTURE tidak ada di DAFTAR_FIXTURE",IF(U196="","CEK ZONA NO kosong",IF(ISNA(MATCH(Z196&amp;"|"&amp;U196,LAYOUT!$E$2:$E$80,0)),"CEK ZONA NO di luar layout",IF(V196&lt;&gt;INDEX(LAYOUT!$D$2:$D$80,MATCH(Z196&amp;"|"&amp;U196,LAYOUT!$E$2:$E$80,0)),"CEK JENIS ZONA",IF($D196="","Zona STOCK",IF($E196="","CEK SKU DESCRIPTION kosong",IF(AND(W196&lt;&gt;"",X196=""),"CEK URUTAN SAMBUNG kosong",IF(AND(W196&lt;&gt;"",LEFT(Z196,6)="Endcap"),"CEK Endcap tidak ikut sambung","OK")))))))))</f>
        <v/>
      </c>
      <c r="AB196" s="11" t="n"/>
      <c r="AC196" s="11" t="n"/>
      <c r="AD196" s="11" t="n"/>
      <c r="AE196" s="11" t="n"/>
      <c r="AF196" s="11" t="n"/>
      <c r="AG196" s="11" t="n"/>
      <c r="AH196" s="12">
        <f>IF(AB196="","",IFERROR(INDEX(DAFTAR_FIXTURE!$B$2:$B$51,MATCH(AB196,DAFTAR_FIXTURE!$A$2:$A$51,0)),""))</f>
        <v/>
      </c>
      <c r="AI196" s="12">
        <f>IF(AB196="","",IF(AH196="","CEK ID FIXTURE tidak ada di DAFTAR_FIXTURE",IF(AC196="","CEK ZONA NO kosong",IF(ISNA(MATCH(AH196&amp;"|"&amp;AC196,LAYOUT!$E$2:$E$80,0)),"CEK ZONA NO di luar layout",IF(AD196&lt;&gt;INDEX(LAYOUT!$D$2:$D$80,MATCH(AH196&amp;"|"&amp;AC196,LAYOUT!$E$2:$E$80,0)),"CEK JENIS ZONA",IF($D196="","Zona STOCK",IF($E196="","CEK SKU DESCRIPTION kosong",IF(AND(AE196&lt;&gt;"",AF196=""),"CEK URUTAN SAMBUNG kosong",IF(AND(AE196&lt;&gt;"",LEFT(AH196,6)="Endcap"),"CEK Endcap tidak ikut sambung","OK")))))))))</f>
        <v/>
      </c>
    </row>
    <row r="197">
      <c r="A197" s="10" t="n"/>
      <c r="B197" s="10" t="n"/>
      <c r="C197" s="10" t="n"/>
      <c r="D197" s="10" t="n"/>
      <c r="E197" s="10" t="n"/>
      <c r="F197" s="10" t="n"/>
      <c r="G197" s="10" t="n"/>
      <c r="H197" s="10" t="n"/>
      <c r="I197" s="10" t="n"/>
      <c r="J197" s="10" t="n"/>
      <c r="K197" s="10" t="n"/>
      <c r="L197" s="11" t="n"/>
      <c r="M197" s="11" t="n"/>
      <c r="N197" s="11" t="n"/>
      <c r="O197" s="11" t="n"/>
      <c r="P197" s="11" t="n"/>
      <c r="Q197" s="11" t="n"/>
      <c r="R197" s="12">
        <f>IF(L197="","",IFERROR(INDEX(DAFTAR_FIXTURE!$B$2:$B$51,MATCH(L197,DAFTAR_FIXTURE!$A$2:$A$51,0)),""))</f>
        <v/>
      </c>
      <c r="S197" s="12">
        <f>IF(AND($D197="",L197=""),"",IF(L197="",IF(AND(T197="",AB197=""),"Belum ditempatkan",""),IF(R197="","CEK ID FIXTURE tidak ada di DAFTAR_FIXTURE",IF(M197="","CEK ZONA NO kosong",IF(ISNA(MATCH(R197&amp;"|"&amp;M197,LAYOUT!$E$2:$E$80,0)),"CEK ZONA NO di luar layout",IF(N197&lt;&gt;INDEX(LAYOUT!$D$2:$D$80,MATCH(R197&amp;"|"&amp;M197,LAYOUT!$E$2:$E$80,0)),"CEK JENIS ZONA",IF($D197="","Zona STOCK",IF($E197="","CEK SKU DESCRIPTION kosong",IF(AND(O197&lt;&gt;"",P197=""),"CEK URUTAN SAMBUNG kosong",IF(AND(O197&lt;&gt;"",LEFT(R197,6)="Endcap"),"CEK Endcap tidak ikut sambung","OK"))))))))))</f>
        <v/>
      </c>
      <c r="T197" s="11" t="n"/>
      <c r="U197" s="11" t="n"/>
      <c r="V197" s="11" t="n"/>
      <c r="W197" s="11" t="n"/>
      <c r="X197" s="11" t="n"/>
      <c r="Y197" s="11" t="n"/>
      <c r="Z197" s="12">
        <f>IF(T197="","",IFERROR(INDEX(DAFTAR_FIXTURE!$B$2:$B$51,MATCH(T197,DAFTAR_FIXTURE!$A$2:$A$51,0)),""))</f>
        <v/>
      </c>
      <c r="AA197" s="12">
        <f>IF(T197="","",IF(Z197="","CEK ID FIXTURE tidak ada di DAFTAR_FIXTURE",IF(U197="","CEK ZONA NO kosong",IF(ISNA(MATCH(Z197&amp;"|"&amp;U197,LAYOUT!$E$2:$E$80,0)),"CEK ZONA NO di luar layout",IF(V197&lt;&gt;INDEX(LAYOUT!$D$2:$D$80,MATCH(Z197&amp;"|"&amp;U197,LAYOUT!$E$2:$E$80,0)),"CEK JENIS ZONA",IF($D197="","Zona STOCK",IF($E197="","CEK SKU DESCRIPTION kosong",IF(AND(W197&lt;&gt;"",X197=""),"CEK URUTAN SAMBUNG kosong",IF(AND(W197&lt;&gt;"",LEFT(Z197,6)="Endcap"),"CEK Endcap tidak ikut sambung","OK")))))))))</f>
        <v/>
      </c>
      <c r="AB197" s="11" t="n"/>
      <c r="AC197" s="11" t="n"/>
      <c r="AD197" s="11" t="n"/>
      <c r="AE197" s="11" t="n"/>
      <c r="AF197" s="11" t="n"/>
      <c r="AG197" s="11" t="n"/>
      <c r="AH197" s="12">
        <f>IF(AB197="","",IFERROR(INDEX(DAFTAR_FIXTURE!$B$2:$B$51,MATCH(AB197,DAFTAR_FIXTURE!$A$2:$A$51,0)),""))</f>
        <v/>
      </c>
      <c r="AI197" s="12">
        <f>IF(AB197="","",IF(AH197="","CEK ID FIXTURE tidak ada di DAFTAR_FIXTURE",IF(AC197="","CEK ZONA NO kosong",IF(ISNA(MATCH(AH197&amp;"|"&amp;AC197,LAYOUT!$E$2:$E$80,0)),"CEK ZONA NO di luar layout",IF(AD197&lt;&gt;INDEX(LAYOUT!$D$2:$D$80,MATCH(AH197&amp;"|"&amp;AC197,LAYOUT!$E$2:$E$80,0)),"CEK JENIS ZONA",IF($D197="","Zona STOCK",IF($E197="","CEK SKU DESCRIPTION kosong",IF(AND(AE197&lt;&gt;"",AF197=""),"CEK URUTAN SAMBUNG kosong",IF(AND(AE197&lt;&gt;"",LEFT(AH197,6)="Endcap"),"CEK Endcap tidak ikut sambung","OK")))))))))</f>
        <v/>
      </c>
    </row>
    <row r="198">
      <c r="A198" s="10" t="n"/>
      <c r="B198" s="10" t="n"/>
      <c r="C198" s="10" t="n"/>
      <c r="D198" s="10" t="n"/>
      <c r="E198" s="10" t="n"/>
      <c r="F198" s="10" t="n"/>
      <c r="G198" s="10" t="n"/>
      <c r="H198" s="10" t="n"/>
      <c r="I198" s="10" t="n"/>
      <c r="J198" s="10" t="n"/>
      <c r="K198" s="10" t="n"/>
      <c r="L198" s="11" t="n"/>
      <c r="M198" s="11" t="n"/>
      <c r="N198" s="11" t="n"/>
      <c r="O198" s="11" t="n"/>
      <c r="P198" s="11" t="n"/>
      <c r="Q198" s="11" t="n"/>
      <c r="R198" s="12">
        <f>IF(L198="","",IFERROR(INDEX(DAFTAR_FIXTURE!$B$2:$B$51,MATCH(L198,DAFTAR_FIXTURE!$A$2:$A$51,0)),""))</f>
        <v/>
      </c>
      <c r="S198" s="12">
        <f>IF(AND($D198="",L198=""),"",IF(L198="",IF(AND(T198="",AB198=""),"Belum ditempatkan",""),IF(R198="","CEK ID FIXTURE tidak ada di DAFTAR_FIXTURE",IF(M198="","CEK ZONA NO kosong",IF(ISNA(MATCH(R198&amp;"|"&amp;M198,LAYOUT!$E$2:$E$80,0)),"CEK ZONA NO di luar layout",IF(N198&lt;&gt;INDEX(LAYOUT!$D$2:$D$80,MATCH(R198&amp;"|"&amp;M198,LAYOUT!$E$2:$E$80,0)),"CEK JENIS ZONA",IF($D198="","Zona STOCK",IF($E198="","CEK SKU DESCRIPTION kosong",IF(AND(O198&lt;&gt;"",P198=""),"CEK URUTAN SAMBUNG kosong",IF(AND(O198&lt;&gt;"",LEFT(R198,6)="Endcap"),"CEK Endcap tidak ikut sambung","OK"))))))))))</f>
        <v/>
      </c>
      <c r="T198" s="11" t="n"/>
      <c r="U198" s="11" t="n"/>
      <c r="V198" s="11" t="n"/>
      <c r="W198" s="11" t="n"/>
      <c r="X198" s="11" t="n"/>
      <c r="Y198" s="11" t="n"/>
      <c r="Z198" s="12">
        <f>IF(T198="","",IFERROR(INDEX(DAFTAR_FIXTURE!$B$2:$B$51,MATCH(T198,DAFTAR_FIXTURE!$A$2:$A$51,0)),""))</f>
        <v/>
      </c>
      <c r="AA198" s="12">
        <f>IF(T198="","",IF(Z198="","CEK ID FIXTURE tidak ada di DAFTAR_FIXTURE",IF(U198="","CEK ZONA NO kosong",IF(ISNA(MATCH(Z198&amp;"|"&amp;U198,LAYOUT!$E$2:$E$80,0)),"CEK ZONA NO di luar layout",IF(V198&lt;&gt;INDEX(LAYOUT!$D$2:$D$80,MATCH(Z198&amp;"|"&amp;U198,LAYOUT!$E$2:$E$80,0)),"CEK JENIS ZONA",IF($D198="","Zona STOCK",IF($E198="","CEK SKU DESCRIPTION kosong",IF(AND(W198&lt;&gt;"",X198=""),"CEK URUTAN SAMBUNG kosong",IF(AND(W198&lt;&gt;"",LEFT(Z198,6)="Endcap"),"CEK Endcap tidak ikut sambung","OK")))))))))</f>
        <v/>
      </c>
      <c r="AB198" s="11" t="n"/>
      <c r="AC198" s="11" t="n"/>
      <c r="AD198" s="11" t="n"/>
      <c r="AE198" s="11" t="n"/>
      <c r="AF198" s="11" t="n"/>
      <c r="AG198" s="11" t="n"/>
      <c r="AH198" s="12">
        <f>IF(AB198="","",IFERROR(INDEX(DAFTAR_FIXTURE!$B$2:$B$51,MATCH(AB198,DAFTAR_FIXTURE!$A$2:$A$51,0)),""))</f>
        <v/>
      </c>
      <c r="AI198" s="12">
        <f>IF(AB198="","",IF(AH198="","CEK ID FIXTURE tidak ada di DAFTAR_FIXTURE",IF(AC198="","CEK ZONA NO kosong",IF(ISNA(MATCH(AH198&amp;"|"&amp;AC198,LAYOUT!$E$2:$E$80,0)),"CEK ZONA NO di luar layout",IF(AD198&lt;&gt;INDEX(LAYOUT!$D$2:$D$80,MATCH(AH198&amp;"|"&amp;AC198,LAYOUT!$E$2:$E$80,0)),"CEK JENIS ZONA",IF($D198="","Zona STOCK",IF($E198="","CEK SKU DESCRIPTION kosong",IF(AND(AE198&lt;&gt;"",AF198=""),"CEK URUTAN SAMBUNG kosong",IF(AND(AE198&lt;&gt;"",LEFT(AH198,6)="Endcap"),"CEK Endcap tidak ikut sambung","OK")))))))))</f>
        <v/>
      </c>
    </row>
    <row r="199">
      <c r="A199" s="10" t="n"/>
      <c r="B199" s="10" t="n"/>
      <c r="C199" s="10" t="n"/>
      <c r="D199" s="10" t="n"/>
      <c r="E199" s="10" t="n"/>
      <c r="F199" s="10" t="n"/>
      <c r="G199" s="10" t="n"/>
      <c r="H199" s="10" t="n"/>
      <c r="I199" s="10" t="n"/>
      <c r="J199" s="10" t="n"/>
      <c r="K199" s="10" t="n"/>
      <c r="L199" s="11" t="n"/>
      <c r="M199" s="11" t="n"/>
      <c r="N199" s="11" t="n"/>
      <c r="O199" s="11" t="n"/>
      <c r="P199" s="11" t="n"/>
      <c r="Q199" s="11" t="n"/>
      <c r="R199" s="12">
        <f>IF(L199="","",IFERROR(INDEX(DAFTAR_FIXTURE!$B$2:$B$51,MATCH(L199,DAFTAR_FIXTURE!$A$2:$A$51,0)),""))</f>
        <v/>
      </c>
      <c r="S199" s="12">
        <f>IF(AND($D199="",L199=""),"",IF(L199="",IF(AND(T199="",AB199=""),"Belum ditempatkan",""),IF(R199="","CEK ID FIXTURE tidak ada di DAFTAR_FIXTURE",IF(M199="","CEK ZONA NO kosong",IF(ISNA(MATCH(R199&amp;"|"&amp;M199,LAYOUT!$E$2:$E$80,0)),"CEK ZONA NO di luar layout",IF(N199&lt;&gt;INDEX(LAYOUT!$D$2:$D$80,MATCH(R199&amp;"|"&amp;M199,LAYOUT!$E$2:$E$80,0)),"CEK JENIS ZONA",IF($D199="","Zona STOCK",IF($E199="","CEK SKU DESCRIPTION kosong",IF(AND(O199&lt;&gt;"",P199=""),"CEK URUTAN SAMBUNG kosong",IF(AND(O199&lt;&gt;"",LEFT(R199,6)="Endcap"),"CEK Endcap tidak ikut sambung","OK"))))))))))</f>
        <v/>
      </c>
      <c r="T199" s="11" t="n"/>
      <c r="U199" s="11" t="n"/>
      <c r="V199" s="11" t="n"/>
      <c r="W199" s="11" t="n"/>
      <c r="X199" s="11" t="n"/>
      <c r="Y199" s="11" t="n"/>
      <c r="Z199" s="12">
        <f>IF(T199="","",IFERROR(INDEX(DAFTAR_FIXTURE!$B$2:$B$51,MATCH(T199,DAFTAR_FIXTURE!$A$2:$A$51,0)),""))</f>
        <v/>
      </c>
      <c r="AA199" s="12">
        <f>IF(T199="","",IF(Z199="","CEK ID FIXTURE tidak ada di DAFTAR_FIXTURE",IF(U199="","CEK ZONA NO kosong",IF(ISNA(MATCH(Z199&amp;"|"&amp;U199,LAYOUT!$E$2:$E$80,0)),"CEK ZONA NO di luar layout",IF(V199&lt;&gt;INDEX(LAYOUT!$D$2:$D$80,MATCH(Z199&amp;"|"&amp;U199,LAYOUT!$E$2:$E$80,0)),"CEK JENIS ZONA",IF($D199="","Zona STOCK",IF($E199="","CEK SKU DESCRIPTION kosong",IF(AND(W199&lt;&gt;"",X199=""),"CEK URUTAN SAMBUNG kosong",IF(AND(W199&lt;&gt;"",LEFT(Z199,6)="Endcap"),"CEK Endcap tidak ikut sambung","OK")))))))))</f>
        <v/>
      </c>
      <c r="AB199" s="11" t="n"/>
      <c r="AC199" s="11" t="n"/>
      <c r="AD199" s="11" t="n"/>
      <c r="AE199" s="11" t="n"/>
      <c r="AF199" s="11" t="n"/>
      <c r="AG199" s="11" t="n"/>
      <c r="AH199" s="12">
        <f>IF(AB199="","",IFERROR(INDEX(DAFTAR_FIXTURE!$B$2:$B$51,MATCH(AB199,DAFTAR_FIXTURE!$A$2:$A$51,0)),""))</f>
        <v/>
      </c>
      <c r="AI199" s="12">
        <f>IF(AB199="","",IF(AH199="","CEK ID FIXTURE tidak ada di DAFTAR_FIXTURE",IF(AC199="","CEK ZONA NO kosong",IF(ISNA(MATCH(AH199&amp;"|"&amp;AC199,LAYOUT!$E$2:$E$80,0)),"CEK ZONA NO di luar layout",IF(AD199&lt;&gt;INDEX(LAYOUT!$D$2:$D$80,MATCH(AH199&amp;"|"&amp;AC199,LAYOUT!$E$2:$E$80,0)),"CEK JENIS ZONA",IF($D199="","Zona STOCK",IF($E199="","CEK SKU DESCRIPTION kosong",IF(AND(AE199&lt;&gt;"",AF199=""),"CEK URUTAN SAMBUNG kosong",IF(AND(AE199&lt;&gt;"",LEFT(AH199,6)="Endcap"),"CEK Endcap tidak ikut sambung","OK")))))))))</f>
        <v/>
      </c>
    </row>
    <row r="200">
      <c r="A200" s="10" t="n"/>
      <c r="B200" s="10" t="n"/>
      <c r="C200" s="10" t="n"/>
      <c r="D200" s="10" t="n"/>
      <c r="E200" s="10" t="n"/>
      <c r="F200" s="10" t="n"/>
      <c r="G200" s="10" t="n"/>
      <c r="H200" s="10" t="n"/>
      <c r="I200" s="10" t="n"/>
      <c r="J200" s="10" t="n"/>
      <c r="K200" s="10" t="n"/>
      <c r="L200" s="11" t="n"/>
      <c r="M200" s="11" t="n"/>
      <c r="N200" s="11" t="n"/>
      <c r="O200" s="11" t="n"/>
      <c r="P200" s="11" t="n"/>
      <c r="Q200" s="11" t="n"/>
      <c r="R200" s="12">
        <f>IF(L200="","",IFERROR(INDEX(DAFTAR_FIXTURE!$B$2:$B$51,MATCH(L200,DAFTAR_FIXTURE!$A$2:$A$51,0)),""))</f>
        <v/>
      </c>
      <c r="S200" s="12">
        <f>IF(AND($D200="",L200=""),"",IF(L200="",IF(AND(T200="",AB200=""),"Belum ditempatkan",""),IF(R200="","CEK ID FIXTURE tidak ada di DAFTAR_FIXTURE",IF(M200="","CEK ZONA NO kosong",IF(ISNA(MATCH(R200&amp;"|"&amp;M200,LAYOUT!$E$2:$E$80,0)),"CEK ZONA NO di luar layout",IF(N200&lt;&gt;INDEX(LAYOUT!$D$2:$D$80,MATCH(R200&amp;"|"&amp;M200,LAYOUT!$E$2:$E$80,0)),"CEK JENIS ZONA",IF($D200="","Zona STOCK",IF($E200="","CEK SKU DESCRIPTION kosong",IF(AND(O200&lt;&gt;"",P200=""),"CEK URUTAN SAMBUNG kosong",IF(AND(O200&lt;&gt;"",LEFT(R200,6)="Endcap"),"CEK Endcap tidak ikut sambung","OK"))))))))))</f>
        <v/>
      </c>
      <c r="T200" s="11" t="n"/>
      <c r="U200" s="11" t="n"/>
      <c r="V200" s="11" t="n"/>
      <c r="W200" s="11" t="n"/>
      <c r="X200" s="11" t="n"/>
      <c r="Y200" s="11" t="n"/>
      <c r="Z200" s="12">
        <f>IF(T200="","",IFERROR(INDEX(DAFTAR_FIXTURE!$B$2:$B$51,MATCH(T200,DAFTAR_FIXTURE!$A$2:$A$51,0)),""))</f>
        <v/>
      </c>
      <c r="AA200" s="12">
        <f>IF(T200="","",IF(Z200="","CEK ID FIXTURE tidak ada di DAFTAR_FIXTURE",IF(U200="","CEK ZONA NO kosong",IF(ISNA(MATCH(Z200&amp;"|"&amp;U200,LAYOUT!$E$2:$E$80,0)),"CEK ZONA NO di luar layout",IF(V200&lt;&gt;INDEX(LAYOUT!$D$2:$D$80,MATCH(Z200&amp;"|"&amp;U200,LAYOUT!$E$2:$E$80,0)),"CEK JENIS ZONA",IF($D200="","Zona STOCK",IF($E200="","CEK SKU DESCRIPTION kosong",IF(AND(W200&lt;&gt;"",X200=""),"CEK URUTAN SAMBUNG kosong",IF(AND(W200&lt;&gt;"",LEFT(Z200,6)="Endcap"),"CEK Endcap tidak ikut sambung","OK")))))))))</f>
        <v/>
      </c>
      <c r="AB200" s="11" t="n"/>
      <c r="AC200" s="11" t="n"/>
      <c r="AD200" s="11" t="n"/>
      <c r="AE200" s="11" t="n"/>
      <c r="AF200" s="11" t="n"/>
      <c r="AG200" s="11" t="n"/>
      <c r="AH200" s="12">
        <f>IF(AB200="","",IFERROR(INDEX(DAFTAR_FIXTURE!$B$2:$B$51,MATCH(AB200,DAFTAR_FIXTURE!$A$2:$A$51,0)),""))</f>
        <v/>
      </c>
      <c r="AI200" s="12">
        <f>IF(AB200="","",IF(AH200="","CEK ID FIXTURE tidak ada di DAFTAR_FIXTURE",IF(AC200="","CEK ZONA NO kosong",IF(ISNA(MATCH(AH200&amp;"|"&amp;AC200,LAYOUT!$E$2:$E$80,0)),"CEK ZONA NO di luar layout",IF(AD200&lt;&gt;INDEX(LAYOUT!$D$2:$D$80,MATCH(AH200&amp;"|"&amp;AC200,LAYOUT!$E$2:$E$80,0)),"CEK JENIS ZONA",IF($D200="","Zona STOCK",IF($E200="","CEK SKU DESCRIPTION kosong",IF(AND(AE200&lt;&gt;"",AF200=""),"CEK URUTAN SAMBUNG kosong",IF(AND(AE200&lt;&gt;"",LEFT(AH200,6)="Endcap"),"CEK Endcap tidak ikut sambung","OK")))))))))</f>
        <v/>
      </c>
    </row>
    <row r="201">
      <c r="A201" s="10" t="n"/>
      <c r="B201" s="10" t="n"/>
      <c r="C201" s="10" t="n"/>
      <c r="D201" s="10" t="n"/>
      <c r="E201" s="10" t="n"/>
      <c r="F201" s="10" t="n"/>
      <c r="G201" s="10" t="n"/>
      <c r="H201" s="10" t="n"/>
      <c r="I201" s="10" t="n"/>
      <c r="J201" s="10" t="n"/>
      <c r="K201" s="10" t="n"/>
      <c r="L201" s="11" t="n"/>
      <c r="M201" s="11" t="n"/>
      <c r="N201" s="11" t="n"/>
      <c r="O201" s="11" t="n"/>
      <c r="P201" s="11" t="n"/>
      <c r="Q201" s="11" t="n"/>
      <c r="R201" s="12">
        <f>IF(L201="","",IFERROR(INDEX(DAFTAR_FIXTURE!$B$2:$B$51,MATCH(L201,DAFTAR_FIXTURE!$A$2:$A$51,0)),""))</f>
        <v/>
      </c>
      <c r="S201" s="12">
        <f>IF(AND($D201="",L201=""),"",IF(L201="",IF(AND(T201="",AB201=""),"Belum ditempatkan",""),IF(R201="","CEK ID FIXTURE tidak ada di DAFTAR_FIXTURE",IF(M201="","CEK ZONA NO kosong",IF(ISNA(MATCH(R201&amp;"|"&amp;M201,LAYOUT!$E$2:$E$80,0)),"CEK ZONA NO di luar layout",IF(N201&lt;&gt;INDEX(LAYOUT!$D$2:$D$80,MATCH(R201&amp;"|"&amp;M201,LAYOUT!$E$2:$E$80,0)),"CEK JENIS ZONA",IF($D201="","Zona STOCK",IF($E201="","CEK SKU DESCRIPTION kosong",IF(AND(O201&lt;&gt;"",P201=""),"CEK URUTAN SAMBUNG kosong",IF(AND(O201&lt;&gt;"",LEFT(R201,6)="Endcap"),"CEK Endcap tidak ikut sambung","OK"))))))))))</f>
        <v/>
      </c>
      <c r="T201" s="11" t="n"/>
      <c r="U201" s="11" t="n"/>
      <c r="V201" s="11" t="n"/>
      <c r="W201" s="11" t="n"/>
      <c r="X201" s="11" t="n"/>
      <c r="Y201" s="11" t="n"/>
      <c r="Z201" s="12">
        <f>IF(T201="","",IFERROR(INDEX(DAFTAR_FIXTURE!$B$2:$B$51,MATCH(T201,DAFTAR_FIXTURE!$A$2:$A$51,0)),""))</f>
        <v/>
      </c>
      <c r="AA201" s="12">
        <f>IF(T201="","",IF(Z201="","CEK ID FIXTURE tidak ada di DAFTAR_FIXTURE",IF(U201="","CEK ZONA NO kosong",IF(ISNA(MATCH(Z201&amp;"|"&amp;U201,LAYOUT!$E$2:$E$80,0)),"CEK ZONA NO di luar layout",IF(V201&lt;&gt;INDEX(LAYOUT!$D$2:$D$80,MATCH(Z201&amp;"|"&amp;U201,LAYOUT!$E$2:$E$80,0)),"CEK JENIS ZONA",IF($D201="","Zona STOCK",IF($E201="","CEK SKU DESCRIPTION kosong",IF(AND(W201&lt;&gt;"",X201=""),"CEK URUTAN SAMBUNG kosong",IF(AND(W201&lt;&gt;"",LEFT(Z201,6)="Endcap"),"CEK Endcap tidak ikut sambung","OK")))))))))</f>
        <v/>
      </c>
      <c r="AB201" s="11" t="n"/>
      <c r="AC201" s="11" t="n"/>
      <c r="AD201" s="11" t="n"/>
      <c r="AE201" s="11" t="n"/>
      <c r="AF201" s="11" t="n"/>
      <c r="AG201" s="11" t="n"/>
      <c r="AH201" s="12">
        <f>IF(AB201="","",IFERROR(INDEX(DAFTAR_FIXTURE!$B$2:$B$51,MATCH(AB201,DAFTAR_FIXTURE!$A$2:$A$51,0)),""))</f>
        <v/>
      </c>
      <c r="AI201" s="12">
        <f>IF(AB201="","",IF(AH201="","CEK ID FIXTURE tidak ada di DAFTAR_FIXTURE",IF(AC201="","CEK ZONA NO kosong",IF(ISNA(MATCH(AH201&amp;"|"&amp;AC201,LAYOUT!$E$2:$E$80,0)),"CEK ZONA NO di luar layout",IF(AD201&lt;&gt;INDEX(LAYOUT!$D$2:$D$80,MATCH(AH201&amp;"|"&amp;AC201,LAYOUT!$E$2:$E$80,0)),"CEK JENIS ZONA",IF($D201="","Zona STOCK",IF($E201="","CEK SKU DESCRIPTION kosong",IF(AND(AE201&lt;&gt;"",AF201=""),"CEK URUTAN SAMBUNG kosong",IF(AND(AE201&lt;&gt;"",LEFT(AH201,6)="Endcap"),"CEK Endcap tidak ikut sambung","OK")))))))))</f>
        <v/>
      </c>
    </row>
    <row r="202">
      <c r="A202" s="10" t="n"/>
      <c r="B202" s="10" t="n"/>
      <c r="C202" s="10" t="n"/>
      <c r="D202" s="10" t="n"/>
      <c r="E202" s="10" t="n"/>
      <c r="F202" s="10" t="n"/>
      <c r="G202" s="10" t="n"/>
      <c r="H202" s="10" t="n"/>
      <c r="I202" s="10" t="n"/>
      <c r="J202" s="10" t="n"/>
      <c r="K202" s="10" t="n"/>
      <c r="L202" s="11" t="n"/>
      <c r="M202" s="11" t="n"/>
      <c r="N202" s="11" t="n"/>
      <c r="O202" s="11" t="n"/>
      <c r="P202" s="11" t="n"/>
      <c r="Q202" s="11" t="n"/>
      <c r="R202" s="12">
        <f>IF(L202="","",IFERROR(INDEX(DAFTAR_FIXTURE!$B$2:$B$51,MATCH(L202,DAFTAR_FIXTURE!$A$2:$A$51,0)),""))</f>
        <v/>
      </c>
      <c r="S202" s="12">
        <f>IF(AND($D202="",L202=""),"",IF(L202="",IF(AND(T202="",AB202=""),"Belum ditempatkan",""),IF(R202="","CEK ID FIXTURE tidak ada di DAFTAR_FIXTURE",IF(M202="","CEK ZONA NO kosong",IF(ISNA(MATCH(R202&amp;"|"&amp;M202,LAYOUT!$E$2:$E$80,0)),"CEK ZONA NO di luar layout",IF(N202&lt;&gt;INDEX(LAYOUT!$D$2:$D$80,MATCH(R202&amp;"|"&amp;M202,LAYOUT!$E$2:$E$80,0)),"CEK JENIS ZONA",IF($D202="","Zona STOCK",IF($E202="","CEK SKU DESCRIPTION kosong",IF(AND(O202&lt;&gt;"",P202=""),"CEK URUTAN SAMBUNG kosong",IF(AND(O202&lt;&gt;"",LEFT(R202,6)="Endcap"),"CEK Endcap tidak ikut sambung","OK"))))))))))</f>
        <v/>
      </c>
      <c r="T202" s="11" t="n"/>
      <c r="U202" s="11" t="n"/>
      <c r="V202" s="11" t="n"/>
      <c r="W202" s="11" t="n"/>
      <c r="X202" s="11" t="n"/>
      <c r="Y202" s="11" t="n"/>
      <c r="Z202" s="12">
        <f>IF(T202="","",IFERROR(INDEX(DAFTAR_FIXTURE!$B$2:$B$51,MATCH(T202,DAFTAR_FIXTURE!$A$2:$A$51,0)),""))</f>
        <v/>
      </c>
      <c r="AA202" s="12">
        <f>IF(T202="","",IF(Z202="","CEK ID FIXTURE tidak ada di DAFTAR_FIXTURE",IF(U202="","CEK ZONA NO kosong",IF(ISNA(MATCH(Z202&amp;"|"&amp;U202,LAYOUT!$E$2:$E$80,0)),"CEK ZONA NO di luar layout",IF(V202&lt;&gt;INDEX(LAYOUT!$D$2:$D$80,MATCH(Z202&amp;"|"&amp;U202,LAYOUT!$E$2:$E$80,0)),"CEK JENIS ZONA",IF($D202="","Zona STOCK",IF($E202="","CEK SKU DESCRIPTION kosong",IF(AND(W202&lt;&gt;"",X202=""),"CEK URUTAN SAMBUNG kosong",IF(AND(W202&lt;&gt;"",LEFT(Z202,6)="Endcap"),"CEK Endcap tidak ikut sambung","OK")))))))))</f>
        <v/>
      </c>
      <c r="AB202" s="11" t="n"/>
      <c r="AC202" s="11" t="n"/>
      <c r="AD202" s="11" t="n"/>
      <c r="AE202" s="11" t="n"/>
      <c r="AF202" s="11" t="n"/>
      <c r="AG202" s="11" t="n"/>
      <c r="AH202" s="12">
        <f>IF(AB202="","",IFERROR(INDEX(DAFTAR_FIXTURE!$B$2:$B$51,MATCH(AB202,DAFTAR_FIXTURE!$A$2:$A$51,0)),""))</f>
        <v/>
      </c>
      <c r="AI202" s="12">
        <f>IF(AB202="","",IF(AH202="","CEK ID FIXTURE tidak ada di DAFTAR_FIXTURE",IF(AC202="","CEK ZONA NO kosong",IF(ISNA(MATCH(AH202&amp;"|"&amp;AC202,LAYOUT!$E$2:$E$80,0)),"CEK ZONA NO di luar layout",IF(AD202&lt;&gt;INDEX(LAYOUT!$D$2:$D$80,MATCH(AH202&amp;"|"&amp;AC202,LAYOUT!$E$2:$E$80,0)),"CEK JENIS ZONA",IF($D202="","Zona STOCK",IF($E202="","CEK SKU DESCRIPTION kosong",IF(AND(AE202&lt;&gt;"",AF202=""),"CEK URUTAN SAMBUNG kosong",IF(AND(AE202&lt;&gt;"",LEFT(AH202,6)="Endcap"),"CEK Endcap tidak ikut sambung","OK")))))))))</f>
        <v/>
      </c>
    </row>
    <row r="203">
      <c r="A203" s="10" t="n"/>
      <c r="B203" s="10" t="n"/>
      <c r="C203" s="10" t="n"/>
      <c r="D203" s="10" t="n"/>
      <c r="E203" s="10" t="n"/>
      <c r="F203" s="10" t="n"/>
      <c r="G203" s="10" t="n"/>
      <c r="H203" s="10" t="n"/>
      <c r="I203" s="10" t="n"/>
      <c r="J203" s="10" t="n"/>
      <c r="K203" s="10" t="n"/>
      <c r="L203" s="11" t="n"/>
      <c r="M203" s="11" t="n"/>
      <c r="N203" s="11" t="n"/>
      <c r="O203" s="11" t="n"/>
      <c r="P203" s="11" t="n"/>
      <c r="Q203" s="11" t="n"/>
      <c r="R203" s="12">
        <f>IF(L203="","",IFERROR(INDEX(DAFTAR_FIXTURE!$B$2:$B$51,MATCH(L203,DAFTAR_FIXTURE!$A$2:$A$51,0)),""))</f>
        <v/>
      </c>
      <c r="S203" s="12">
        <f>IF(AND($D203="",L203=""),"",IF(L203="",IF(AND(T203="",AB203=""),"Belum ditempatkan",""),IF(R203="","CEK ID FIXTURE tidak ada di DAFTAR_FIXTURE",IF(M203="","CEK ZONA NO kosong",IF(ISNA(MATCH(R203&amp;"|"&amp;M203,LAYOUT!$E$2:$E$80,0)),"CEK ZONA NO di luar layout",IF(N203&lt;&gt;INDEX(LAYOUT!$D$2:$D$80,MATCH(R203&amp;"|"&amp;M203,LAYOUT!$E$2:$E$80,0)),"CEK JENIS ZONA",IF($D203="","Zona STOCK",IF($E203="","CEK SKU DESCRIPTION kosong",IF(AND(O203&lt;&gt;"",P203=""),"CEK URUTAN SAMBUNG kosong",IF(AND(O203&lt;&gt;"",LEFT(R203,6)="Endcap"),"CEK Endcap tidak ikut sambung","OK"))))))))))</f>
        <v/>
      </c>
      <c r="T203" s="11" t="n"/>
      <c r="U203" s="11" t="n"/>
      <c r="V203" s="11" t="n"/>
      <c r="W203" s="11" t="n"/>
      <c r="X203" s="11" t="n"/>
      <c r="Y203" s="11" t="n"/>
      <c r="Z203" s="12">
        <f>IF(T203="","",IFERROR(INDEX(DAFTAR_FIXTURE!$B$2:$B$51,MATCH(T203,DAFTAR_FIXTURE!$A$2:$A$51,0)),""))</f>
        <v/>
      </c>
      <c r="AA203" s="12">
        <f>IF(T203="","",IF(Z203="","CEK ID FIXTURE tidak ada di DAFTAR_FIXTURE",IF(U203="","CEK ZONA NO kosong",IF(ISNA(MATCH(Z203&amp;"|"&amp;U203,LAYOUT!$E$2:$E$80,0)),"CEK ZONA NO di luar layout",IF(V203&lt;&gt;INDEX(LAYOUT!$D$2:$D$80,MATCH(Z203&amp;"|"&amp;U203,LAYOUT!$E$2:$E$80,0)),"CEK JENIS ZONA",IF($D203="","Zona STOCK",IF($E203="","CEK SKU DESCRIPTION kosong",IF(AND(W203&lt;&gt;"",X203=""),"CEK URUTAN SAMBUNG kosong",IF(AND(W203&lt;&gt;"",LEFT(Z203,6)="Endcap"),"CEK Endcap tidak ikut sambung","OK")))))))))</f>
        <v/>
      </c>
      <c r="AB203" s="11" t="n"/>
      <c r="AC203" s="11" t="n"/>
      <c r="AD203" s="11" t="n"/>
      <c r="AE203" s="11" t="n"/>
      <c r="AF203" s="11" t="n"/>
      <c r="AG203" s="11" t="n"/>
      <c r="AH203" s="12">
        <f>IF(AB203="","",IFERROR(INDEX(DAFTAR_FIXTURE!$B$2:$B$51,MATCH(AB203,DAFTAR_FIXTURE!$A$2:$A$51,0)),""))</f>
        <v/>
      </c>
      <c r="AI203" s="12">
        <f>IF(AB203="","",IF(AH203="","CEK ID FIXTURE tidak ada di DAFTAR_FIXTURE",IF(AC203="","CEK ZONA NO kosong",IF(ISNA(MATCH(AH203&amp;"|"&amp;AC203,LAYOUT!$E$2:$E$80,0)),"CEK ZONA NO di luar layout",IF(AD203&lt;&gt;INDEX(LAYOUT!$D$2:$D$80,MATCH(AH203&amp;"|"&amp;AC203,LAYOUT!$E$2:$E$80,0)),"CEK JENIS ZONA",IF($D203="","Zona STOCK",IF($E203="","CEK SKU DESCRIPTION kosong",IF(AND(AE203&lt;&gt;"",AF203=""),"CEK URUTAN SAMBUNG kosong",IF(AND(AE203&lt;&gt;"",LEFT(AH203,6)="Endcap"),"CEK Endcap tidak ikut sambung","OK")))))))))</f>
        <v/>
      </c>
    </row>
    <row r="204">
      <c r="A204" s="10" t="n"/>
      <c r="B204" s="10" t="n"/>
      <c r="C204" s="10" t="n"/>
      <c r="D204" s="10" t="n"/>
      <c r="E204" s="10" t="n"/>
      <c r="F204" s="10" t="n"/>
      <c r="G204" s="10" t="n"/>
      <c r="H204" s="10" t="n"/>
      <c r="I204" s="10" t="n"/>
      <c r="J204" s="10" t="n"/>
      <c r="K204" s="10" t="n"/>
      <c r="L204" s="11" t="n"/>
      <c r="M204" s="11" t="n"/>
      <c r="N204" s="11" t="n"/>
      <c r="O204" s="11" t="n"/>
      <c r="P204" s="11" t="n"/>
      <c r="Q204" s="11" t="n"/>
      <c r="R204" s="12">
        <f>IF(L204="","",IFERROR(INDEX(DAFTAR_FIXTURE!$B$2:$B$51,MATCH(L204,DAFTAR_FIXTURE!$A$2:$A$51,0)),""))</f>
        <v/>
      </c>
      <c r="S204" s="12">
        <f>IF(AND($D204="",L204=""),"",IF(L204="",IF(AND(T204="",AB204=""),"Belum ditempatkan",""),IF(R204="","CEK ID FIXTURE tidak ada di DAFTAR_FIXTURE",IF(M204="","CEK ZONA NO kosong",IF(ISNA(MATCH(R204&amp;"|"&amp;M204,LAYOUT!$E$2:$E$80,0)),"CEK ZONA NO di luar layout",IF(N204&lt;&gt;INDEX(LAYOUT!$D$2:$D$80,MATCH(R204&amp;"|"&amp;M204,LAYOUT!$E$2:$E$80,0)),"CEK JENIS ZONA",IF($D204="","Zona STOCK",IF($E204="","CEK SKU DESCRIPTION kosong",IF(AND(O204&lt;&gt;"",P204=""),"CEK URUTAN SAMBUNG kosong",IF(AND(O204&lt;&gt;"",LEFT(R204,6)="Endcap"),"CEK Endcap tidak ikut sambung","OK"))))))))))</f>
        <v/>
      </c>
      <c r="T204" s="11" t="n"/>
      <c r="U204" s="11" t="n"/>
      <c r="V204" s="11" t="n"/>
      <c r="W204" s="11" t="n"/>
      <c r="X204" s="11" t="n"/>
      <c r="Y204" s="11" t="n"/>
      <c r="Z204" s="12">
        <f>IF(T204="","",IFERROR(INDEX(DAFTAR_FIXTURE!$B$2:$B$51,MATCH(T204,DAFTAR_FIXTURE!$A$2:$A$51,0)),""))</f>
        <v/>
      </c>
      <c r="AA204" s="12">
        <f>IF(T204="","",IF(Z204="","CEK ID FIXTURE tidak ada di DAFTAR_FIXTURE",IF(U204="","CEK ZONA NO kosong",IF(ISNA(MATCH(Z204&amp;"|"&amp;U204,LAYOUT!$E$2:$E$80,0)),"CEK ZONA NO di luar layout",IF(V204&lt;&gt;INDEX(LAYOUT!$D$2:$D$80,MATCH(Z204&amp;"|"&amp;U204,LAYOUT!$E$2:$E$80,0)),"CEK JENIS ZONA",IF($D204="","Zona STOCK",IF($E204="","CEK SKU DESCRIPTION kosong",IF(AND(W204&lt;&gt;"",X204=""),"CEK URUTAN SAMBUNG kosong",IF(AND(W204&lt;&gt;"",LEFT(Z204,6)="Endcap"),"CEK Endcap tidak ikut sambung","OK")))))))))</f>
        <v/>
      </c>
      <c r="AB204" s="11" t="n"/>
      <c r="AC204" s="11" t="n"/>
      <c r="AD204" s="11" t="n"/>
      <c r="AE204" s="11" t="n"/>
      <c r="AF204" s="11" t="n"/>
      <c r="AG204" s="11" t="n"/>
      <c r="AH204" s="12">
        <f>IF(AB204="","",IFERROR(INDEX(DAFTAR_FIXTURE!$B$2:$B$51,MATCH(AB204,DAFTAR_FIXTURE!$A$2:$A$51,0)),""))</f>
        <v/>
      </c>
      <c r="AI204" s="12">
        <f>IF(AB204="","",IF(AH204="","CEK ID FIXTURE tidak ada di DAFTAR_FIXTURE",IF(AC204="","CEK ZONA NO kosong",IF(ISNA(MATCH(AH204&amp;"|"&amp;AC204,LAYOUT!$E$2:$E$80,0)),"CEK ZONA NO di luar layout",IF(AD204&lt;&gt;INDEX(LAYOUT!$D$2:$D$80,MATCH(AH204&amp;"|"&amp;AC204,LAYOUT!$E$2:$E$80,0)),"CEK JENIS ZONA",IF($D204="","Zona STOCK",IF($E204="","CEK SKU DESCRIPTION kosong",IF(AND(AE204&lt;&gt;"",AF204=""),"CEK URUTAN SAMBUNG kosong",IF(AND(AE204&lt;&gt;"",LEFT(AH204,6)="Endcap"),"CEK Endcap tidak ikut sambung","OK")))))))))</f>
        <v/>
      </c>
    </row>
    <row r="205">
      <c r="A205" s="10" t="n"/>
      <c r="B205" s="10" t="n"/>
      <c r="C205" s="10" t="n"/>
      <c r="D205" s="10" t="n"/>
      <c r="E205" s="10" t="n"/>
      <c r="F205" s="10" t="n"/>
      <c r="G205" s="10" t="n"/>
      <c r="H205" s="10" t="n"/>
      <c r="I205" s="10" t="n"/>
      <c r="J205" s="10" t="n"/>
      <c r="K205" s="10" t="n"/>
      <c r="L205" s="11" t="n"/>
      <c r="M205" s="11" t="n"/>
      <c r="N205" s="11" t="n"/>
      <c r="O205" s="11" t="n"/>
      <c r="P205" s="11" t="n"/>
      <c r="Q205" s="11" t="n"/>
      <c r="R205" s="12">
        <f>IF(L205="","",IFERROR(INDEX(DAFTAR_FIXTURE!$B$2:$B$51,MATCH(L205,DAFTAR_FIXTURE!$A$2:$A$51,0)),""))</f>
        <v/>
      </c>
      <c r="S205" s="12">
        <f>IF(AND($D205="",L205=""),"",IF(L205="",IF(AND(T205="",AB205=""),"Belum ditempatkan",""),IF(R205="","CEK ID FIXTURE tidak ada di DAFTAR_FIXTURE",IF(M205="","CEK ZONA NO kosong",IF(ISNA(MATCH(R205&amp;"|"&amp;M205,LAYOUT!$E$2:$E$80,0)),"CEK ZONA NO di luar layout",IF(N205&lt;&gt;INDEX(LAYOUT!$D$2:$D$80,MATCH(R205&amp;"|"&amp;M205,LAYOUT!$E$2:$E$80,0)),"CEK JENIS ZONA",IF($D205="","Zona STOCK",IF($E205="","CEK SKU DESCRIPTION kosong",IF(AND(O205&lt;&gt;"",P205=""),"CEK URUTAN SAMBUNG kosong",IF(AND(O205&lt;&gt;"",LEFT(R205,6)="Endcap"),"CEK Endcap tidak ikut sambung","OK"))))))))))</f>
        <v/>
      </c>
      <c r="T205" s="11" t="n"/>
      <c r="U205" s="11" t="n"/>
      <c r="V205" s="11" t="n"/>
      <c r="W205" s="11" t="n"/>
      <c r="X205" s="11" t="n"/>
      <c r="Y205" s="11" t="n"/>
      <c r="Z205" s="12">
        <f>IF(T205="","",IFERROR(INDEX(DAFTAR_FIXTURE!$B$2:$B$51,MATCH(T205,DAFTAR_FIXTURE!$A$2:$A$51,0)),""))</f>
        <v/>
      </c>
      <c r="AA205" s="12">
        <f>IF(T205="","",IF(Z205="","CEK ID FIXTURE tidak ada di DAFTAR_FIXTURE",IF(U205="","CEK ZONA NO kosong",IF(ISNA(MATCH(Z205&amp;"|"&amp;U205,LAYOUT!$E$2:$E$80,0)),"CEK ZONA NO di luar layout",IF(V205&lt;&gt;INDEX(LAYOUT!$D$2:$D$80,MATCH(Z205&amp;"|"&amp;U205,LAYOUT!$E$2:$E$80,0)),"CEK JENIS ZONA",IF($D205="","Zona STOCK",IF($E205="","CEK SKU DESCRIPTION kosong",IF(AND(W205&lt;&gt;"",X205=""),"CEK URUTAN SAMBUNG kosong",IF(AND(W205&lt;&gt;"",LEFT(Z205,6)="Endcap"),"CEK Endcap tidak ikut sambung","OK")))))))))</f>
        <v/>
      </c>
      <c r="AB205" s="11" t="n"/>
      <c r="AC205" s="11" t="n"/>
      <c r="AD205" s="11" t="n"/>
      <c r="AE205" s="11" t="n"/>
      <c r="AF205" s="11" t="n"/>
      <c r="AG205" s="11" t="n"/>
      <c r="AH205" s="12">
        <f>IF(AB205="","",IFERROR(INDEX(DAFTAR_FIXTURE!$B$2:$B$51,MATCH(AB205,DAFTAR_FIXTURE!$A$2:$A$51,0)),""))</f>
        <v/>
      </c>
      <c r="AI205" s="12">
        <f>IF(AB205="","",IF(AH205="","CEK ID FIXTURE tidak ada di DAFTAR_FIXTURE",IF(AC205="","CEK ZONA NO kosong",IF(ISNA(MATCH(AH205&amp;"|"&amp;AC205,LAYOUT!$E$2:$E$80,0)),"CEK ZONA NO di luar layout",IF(AD205&lt;&gt;INDEX(LAYOUT!$D$2:$D$80,MATCH(AH205&amp;"|"&amp;AC205,LAYOUT!$E$2:$E$80,0)),"CEK JENIS ZONA",IF($D205="","Zona STOCK",IF($E205="","CEK SKU DESCRIPTION kosong",IF(AND(AE205&lt;&gt;"",AF205=""),"CEK URUTAN SAMBUNG kosong",IF(AND(AE205&lt;&gt;"",LEFT(AH205,6)="Endcap"),"CEK Endcap tidak ikut sambung","OK")))))))))</f>
        <v/>
      </c>
    </row>
    <row r="206">
      <c r="A206" s="10" t="n"/>
      <c r="B206" s="10" t="n"/>
      <c r="C206" s="10" t="n"/>
      <c r="D206" s="10" t="n"/>
      <c r="E206" s="10" t="n"/>
      <c r="F206" s="10" t="n"/>
      <c r="G206" s="10" t="n"/>
      <c r="H206" s="10" t="n"/>
      <c r="I206" s="10" t="n"/>
      <c r="J206" s="10" t="n"/>
      <c r="K206" s="10" t="n"/>
      <c r="L206" s="11" t="n"/>
      <c r="M206" s="11" t="n"/>
      <c r="N206" s="11" t="n"/>
      <c r="O206" s="11" t="n"/>
      <c r="P206" s="11" t="n"/>
      <c r="Q206" s="11" t="n"/>
      <c r="R206" s="12">
        <f>IF(L206="","",IFERROR(INDEX(DAFTAR_FIXTURE!$B$2:$B$51,MATCH(L206,DAFTAR_FIXTURE!$A$2:$A$51,0)),""))</f>
        <v/>
      </c>
      <c r="S206" s="12">
        <f>IF(AND($D206="",L206=""),"",IF(L206="",IF(AND(T206="",AB206=""),"Belum ditempatkan",""),IF(R206="","CEK ID FIXTURE tidak ada di DAFTAR_FIXTURE",IF(M206="","CEK ZONA NO kosong",IF(ISNA(MATCH(R206&amp;"|"&amp;M206,LAYOUT!$E$2:$E$80,0)),"CEK ZONA NO di luar layout",IF(N206&lt;&gt;INDEX(LAYOUT!$D$2:$D$80,MATCH(R206&amp;"|"&amp;M206,LAYOUT!$E$2:$E$80,0)),"CEK JENIS ZONA",IF($D206="","Zona STOCK",IF($E206="","CEK SKU DESCRIPTION kosong",IF(AND(O206&lt;&gt;"",P206=""),"CEK URUTAN SAMBUNG kosong",IF(AND(O206&lt;&gt;"",LEFT(R206,6)="Endcap"),"CEK Endcap tidak ikut sambung","OK"))))))))))</f>
        <v/>
      </c>
      <c r="T206" s="11" t="n"/>
      <c r="U206" s="11" t="n"/>
      <c r="V206" s="11" t="n"/>
      <c r="W206" s="11" t="n"/>
      <c r="X206" s="11" t="n"/>
      <c r="Y206" s="11" t="n"/>
      <c r="Z206" s="12">
        <f>IF(T206="","",IFERROR(INDEX(DAFTAR_FIXTURE!$B$2:$B$51,MATCH(T206,DAFTAR_FIXTURE!$A$2:$A$51,0)),""))</f>
        <v/>
      </c>
      <c r="AA206" s="12">
        <f>IF(T206="","",IF(Z206="","CEK ID FIXTURE tidak ada di DAFTAR_FIXTURE",IF(U206="","CEK ZONA NO kosong",IF(ISNA(MATCH(Z206&amp;"|"&amp;U206,LAYOUT!$E$2:$E$80,0)),"CEK ZONA NO di luar layout",IF(V206&lt;&gt;INDEX(LAYOUT!$D$2:$D$80,MATCH(Z206&amp;"|"&amp;U206,LAYOUT!$E$2:$E$80,0)),"CEK JENIS ZONA",IF($D206="","Zona STOCK",IF($E206="","CEK SKU DESCRIPTION kosong",IF(AND(W206&lt;&gt;"",X206=""),"CEK URUTAN SAMBUNG kosong",IF(AND(W206&lt;&gt;"",LEFT(Z206,6)="Endcap"),"CEK Endcap tidak ikut sambung","OK")))))))))</f>
        <v/>
      </c>
      <c r="AB206" s="11" t="n"/>
      <c r="AC206" s="11" t="n"/>
      <c r="AD206" s="11" t="n"/>
      <c r="AE206" s="11" t="n"/>
      <c r="AF206" s="11" t="n"/>
      <c r="AG206" s="11" t="n"/>
      <c r="AH206" s="12">
        <f>IF(AB206="","",IFERROR(INDEX(DAFTAR_FIXTURE!$B$2:$B$51,MATCH(AB206,DAFTAR_FIXTURE!$A$2:$A$51,0)),""))</f>
        <v/>
      </c>
      <c r="AI206" s="12">
        <f>IF(AB206="","",IF(AH206="","CEK ID FIXTURE tidak ada di DAFTAR_FIXTURE",IF(AC206="","CEK ZONA NO kosong",IF(ISNA(MATCH(AH206&amp;"|"&amp;AC206,LAYOUT!$E$2:$E$80,0)),"CEK ZONA NO di luar layout",IF(AD206&lt;&gt;INDEX(LAYOUT!$D$2:$D$80,MATCH(AH206&amp;"|"&amp;AC206,LAYOUT!$E$2:$E$80,0)),"CEK JENIS ZONA",IF($D206="","Zona STOCK",IF($E206="","CEK SKU DESCRIPTION kosong",IF(AND(AE206&lt;&gt;"",AF206=""),"CEK URUTAN SAMBUNG kosong",IF(AND(AE206&lt;&gt;"",LEFT(AH206,6)="Endcap"),"CEK Endcap tidak ikut sambung","OK")))))))))</f>
        <v/>
      </c>
    </row>
    <row r="207">
      <c r="A207" s="10" t="n"/>
      <c r="B207" s="10" t="n"/>
      <c r="C207" s="10" t="n"/>
      <c r="D207" s="10" t="n"/>
      <c r="E207" s="10" t="n"/>
      <c r="F207" s="10" t="n"/>
      <c r="G207" s="10" t="n"/>
      <c r="H207" s="10" t="n"/>
      <c r="I207" s="10" t="n"/>
      <c r="J207" s="10" t="n"/>
      <c r="K207" s="10" t="n"/>
      <c r="L207" s="11" t="n"/>
      <c r="M207" s="11" t="n"/>
      <c r="N207" s="11" t="n"/>
      <c r="O207" s="11" t="n"/>
      <c r="P207" s="11" t="n"/>
      <c r="Q207" s="11" t="n"/>
      <c r="R207" s="12">
        <f>IF(L207="","",IFERROR(INDEX(DAFTAR_FIXTURE!$B$2:$B$51,MATCH(L207,DAFTAR_FIXTURE!$A$2:$A$51,0)),""))</f>
        <v/>
      </c>
      <c r="S207" s="12">
        <f>IF(AND($D207="",L207=""),"",IF(L207="",IF(AND(T207="",AB207=""),"Belum ditempatkan",""),IF(R207="","CEK ID FIXTURE tidak ada di DAFTAR_FIXTURE",IF(M207="","CEK ZONA NO kosong",IF(ISNA(MATCH(R207&amp;"|"&amp;M207,LAYOUT!$E$2:$E$80,0)),"CEK ZONA NO di luar layout",IF(N207&lt;&gt;INDEX(LAYOUT!$D$2:$D$80,MATCH(R207&amp;"|"&amp;M207,LAYOUT!$E$2:$E$80,0)),"CEK JENIS ZONA",IF($D207="","Zona STOCK",IF($E207="","CEK SKU DESCRIPTION kosong",IF(AND(O207&lt;&gt;"",P207=""),"CEK URUTAN SAMBUNG kosong",IF(AND(O207&lt;&gt;"",LEFT(R207,6)="Endcap"),"CEK Endcap tidak ikut sambung","OK"))))))))))</f>
        <v/>
      </c>
      <c r="T207" s="11" t="n"/>
      <c r="U207" s="11" t="n"/>
      <c r="V207" s="11" t="n"/>
      <c r="W207" s="11" t="n"/>
      <c r="X207" s="11" t="n"/>
      <c r="Y207" s="11" t="n"/>
      <c r="Z207" s="12">
        <f>IF(T207="","",IFERROR(INDEX(DAFTAR_FIXTURE!$B$2:$B$51,MATCH(T207,DAFTAR_FIXTURE!$A$2:$A$51,0)),""))</f>
        <v/>
      </c>
      <c r="AA207" s="12">
        <f>IF(T207="","",IF(Z207="","CEK ID FIXTURE tidak ada di DAFTAR_FIXTURE",IF(U207="","CEK ZONA NO kosong",IF(ISNA(MATCH(Z207&amp;"|"&amp;U207,LAYOUT!$E$2:$E$80,0)),"CEK ZONA NO di luar layout",IF(V207&lt;&gt;INDEX(LAYOUT!$D$2:$D$80,MATCH(Z207&amp;"|"&amp;U207,LAYOUT!$E$2:$E$80,0)),"CEK JENIS ZONA",IF($D207="","Zona STOCK",IF($E207="","CEK SKU DESCRIPTION kosong",IF(AND(W207&lt;&gt;"",X207=""),"CEK URUTAN SAMBUNG kosong",IF(AND(W207&lt;&gt;"",LEFT(Z207,6)="Endcap"),"CEK Endcap tidak ikut sambung","OK")))))))))</f>
        <v/>
      </c>
      <c r="AB207" s="11" t="n"/>
      <c r="AC207" s="11" t="n"/>
      <c r="AD207" s="11" t="n"/>
      <c r="AE207" s="11" t="n"/>
      <c r="AF207" s="11" t="n"/>
      <c r="AG207" s="11" t="n"/>
      <c r="AH207" s="12">
        <f>IF(AB207="","",IFERROR(INDEX(DAFTAR_FIXTURE!$B$2:$B$51,MATCH(AB207,DAFTAR_FIXTURE!$A$2:$A$51,0)),""))</f>
        <v/>
      </c>
      <c r="AI207" s="12">
        <f>IF(AB207="","",IF(AH207="","CEK ID FIXTURE tidak ada di DAFTAR_FIXTURE",IF(AC207="","CEK ZONA NO kosong",IF(ISNA(MATCH(AH207&amp;"|"&amp;AC207,LAYOUT!$E$2:$E$80,0)),"CEK ZONA NO di luar layout",IF(AD207&lt;&gt;INDEX(LAYOUT!$D$2:$D$80,MATCH(AH207&amp;"|"&amp;AC207,LAYOUT!$E$2:$E$80,0)),"CEK JENIS ZONA",IF($D207="","Zona STOCK",IF($E207="","CEK SKU DESCRIPTION kosong",IF(AND(AE207&lt;&gt;"",AF207=""),"CEK URUTAN SAMBUNG kosong",IF(AND(AE207&lt;&gt;"",LEFT(AH207,6)="Endcap"),"CEK Endcap tidak ikut sambung","OK")))))))))</f>
        <v/>
      </c>
    </row>
    <row r="208">
      <c r="A208" s="10" t="n"/>
      <c r="B208" s="10" t="n"/>
      <c r="C208" s="10" t="n"/>
      <c r="D208" s="10" t="n"/>
      <c r="E208" s="10" t="n"/>
      <c r="F208" s="10" t="n"/>
      <c r="G208" s="10" t="n"/>
      <c r="H208" s="10" t="n"/>
      <c r="I208" s="10" t="n"/>
      <c r="J208" s="10" t="n"/>
      <c r="K208" s="10" t="n"/>
      <c r="L208" s="11" t="n"/>
      <c r="M208" s="11" t="n"/>
      <c r="N208" s="11" t="n"/>
      <c r="O208" s="11" t="n"/>
      <c r="P208" s="11" t="n"/>
      <c r="Q208" s="11" t="n"/>
      <c r="R208" s="12">
        <f>IF(L208="","",IFERROR(INDEX(DAFTAR_FIXTURE!$B$2:$B$51,MATCH(L208,DAFTAR_FIXTURE!$A$2:$A$51,0)),""))</f>
        <v/>
      </c>
      <c r="S208" s="12">
        <f>IF(AND($D208="",L208=""),"",IF(L208="",IF(AND(T208="",AB208=""),"Belum ditempatkan",""),IF(R208="","CEK ID FIXTURE tidak ada di DAFTAR_FIXTURE",IF(M208="","CEK ZONA NO kosong",IF(ISNA(MATCH(R208&amp;"|"&amp;M208,LAYOUT!$E$2:$E$80,0)),"CEK ZONA NO di luar layout",IF(N208&lt;&gt;INDEX(LAYOUT!$D$2:$D$80,MATCH(R208&amp;"|"&amp;M208,LAYOUT!$E$2:$E$80,0)),"CEK JENIS ZONA",IF($D208="","Zona STOCK",IF($E208="","CEK SKU DESCRIPTION kosong",IF(AND(O208&lt;&gt;"",P208=""),"CEK URUTAN SAMBUNG kosong",IF(AND(O208&lt;&gt;"",LEFT(R208,6)="Endcap"),"CEK Endcap tidak ikut sambung","OK"))))))))))</f>
        <v/>
      </c>
      <c r="T208" s="11" t="n"/>
      <c r="U208" s="11" t="n"/>
      <c r="V208" s="11" t="n"/>
      <c r="W208" s="11" t="n"/>
      <c r="X208" s="11" t="n"/>
      <c r="Y208" s="11" t="n"/>
      <c r="Z208" s="12">
        <f>IF(T208="","",IFERROR(INDEX(DAFTAR_FIXTURE!$B$2:$B$51,MATCH(T208,DAFTAR_FIXTURE!$A$2:$A$51,0)),""))</f>
        <v/>
      </c>
      <c r="AA208" s="12">
        <f>IF(T208="","",IF(Z208="","CEK ID FIXTURE tidak ada di DAFTAR_FIXTURE",IF(U208="","CEK ZONA NO kosong",IF(ISNA(MATCH(Z208&amp;"|"&amp;U208,LAYOUT!$E$2:$E$80,0)),"CEK ZONA NO di luar layout",IF(V208&lt;&gt;INDEX(LAYOUT!$D$2:$D$80,MATCH(Z208&amp;"|"&amp;U208,LAYOUT!$E$2:$E$80,0)),"CEK JENIS ZONA",IF($D208="","Zona STOCK",IF($E208="","CEK SKU DESCRIPTION kosong",IF(AND(W208&lt;&gt;"",X208=""),"CEK URUTAN SAMBUNG kosong",IF(AND(W208&lt;&gt;"",LEFT(Z208,6)="Endcap"),"CEK Endcap tidak ikut sambung","OK")))))))))</f>
        <v/>
      </c>
      <c r="AB208" s="11" t="n"/>
      <c r="AC208" s="11" t="n"/>
      <c r="AD208" s="11" t="n"/>
      <c r="AE208" s="11" t="n"/>
      <c r="AF208" s="11" t="n"/>
      <c r="AG208" s="11" t="n"/>
      <c r="AH208" s="12">
        <f>IF(AB208="","",IFERROR(INDEX(DAFTAR_FIXTURE!$B$2:$B$51,MATCH(AB208,DAFTAR_FIXTURE!$A$2:$A$51,0)),""))</f>
        <v/>
      </c>
      <c r="AI208" s="12">
        <f>IF(AB208="","",IF(AH208="","CEK ID FIXTURE tidak ada di DAFTAR_FIXTURE",IF(AC208="","CEK ZONA NO kosong",IF(ISNA(MATCH(AH208&amp;"|"&amp;AC208,LAYOUT!$E$2:$E$80,0)),"CEK ZONA NO di luar layout",IF(AD208&lt;&gt;INDEX(LAYOUT!$D$2:$D$80,MATCH(AH208&amp;"|"&amp;AC208,LAYOUT!$E$2:$E$80,0)),"CEK JENIS ZONA",IF($D208="","Zona STOCK",IF($E208="","CEK SKU DESCRIPTION kosong",IF(AND(AE208&lt;&gt;"",AF208=""),"CEK URUTAN SAMBUNG kosong",IF(AND(AE208&lt;&gt;"",LEFT(AH208,6)="Endcap"),"CEK Endcap tidak ikut sambung","OK")))))))))</f>
        <v/>
      </c>
    </row>
    <row r="209">
      <c r="A209" s="10" t="n"/>
      <c r="B209" s="10" t="n"/>
      <c r="C209" s="10" t="n"/>
      <c r="D209" s="10" t="n"/>
      <c r="E209" s="10" t="n"/>
      <c r="F209" s="10" t="n"/>
      <c r="G209" s="10" t="n"/>
      <c r="H209" s="10" t="n"/>
      <c r="I209" s="10" t="n"/>
      <c r="J209" s="10" t="n"/>
      <c r="K209" s="10" t="n"/>
      <c r="L209" s="11" t="n"/>
      <c r="M209" s="11" t="n"/>
      <c r="N209" s="11" t="n"/>
      <c r="O209" s="11" t="n"/>
      <c r="P209" s="11" t="n"/>
      <c r="Q209" s="11" t="n"/>
      <c r="R209" s="12">
        <f>IF(L209="","",IFERROR(INDEX(DAFTAR_FIXTURE!$B$2:$B$51,MATCH(L209,DAFTAR_FIXTURE!$A$2:$A$51,0)),""))</f>
        <v/>
      </c>
      <c r="S209" s="12">
        <f>IF(AND($D209="",L209=""),"",IF(L209="",IF(AND(T209="",AB209=""),"Belum ditempatkan",""),IF(R209="","CEK ID FIXTURE tidak ada di DAFTAR_FIXTURE",IF(M209="","CEK ZONA NO kosong",IF(ISNA(MATCH(R209&amp;"|"&amp;M209,LAYOUT!$E$2:$E$80,0)),"CEK ZONA NO di luar layout",IF(N209&lt;&gt;INDEX(LAYOUT!$D$2:$D$80,MATCH(R209&amp;"|"&amp;M209,LAYOUT!$E$2:$E$80,0)),"CEK JENIS ZONA",IF($D209="","Zona STOCK",IF($E209="","CEK SKU DESCRIPTION kosong",IF(AND(O209&lt;&gt;"",P209=""),"CEK URUTAN SAMBUNG kosong",IF(AND(O209&lt;&gt;"",LEFT(R209,6)="Endcap"),"CEK Endcap tidak ikut sambung","OK"))))))))))</f>
        <v/>
      </c>
      <c r="T209" s="11" t="n"/>
      <c r="U209" s="11" t="n"/>
      <c r="V209" s="11" t="n"/>
      <c r="W209" s="11" t="n"/>
      <c r="X209" s="11" t="n"/>
      <c r="Y209" s="11" t="n"/>
      <c r="Z209" s="12">
        <f>IF(T209="","",IFERROR(INDEX(DAFTAR_FIXTURE!$B$2:$B$51,MATCH(T209,DAFTAR_FIXTURE!$A$2:$A$51,0)),""))</f>
        <v/>
      </c>
      <c r="AA209" s="12">
        <f>IF(T209="","",IF(Z209="","CEK ID FIXTURE tidak ada di DAFTAR_FIXTURE",IF(U209="","CEK ZONA NO kosong",IF(ISNA(MATCH(Z209&amp;"|"&amp;U209,LAYOUT!$E$2:$E$80,0)),"CEK ZONA NO di luar layout",IF(V209&lt;&gt;INDEX(LAYOUT!$D$2:$D$80,MATCH(Z209&amp;"|"&amp;U209,LAYOUT!$E$2:$E$80,0)),"CEK JENIS ZONA",IF($D209="","Zona STOCK",IF($E209="","CEK SKU DESCRIPTION kosong",IF(AND(W209&lt;&gt;"",X209=""),"CEK URUTAN SAMBUNG kosong",IF(AND(W209&lt;&gt;"",LEFT(Z209,6)="Endcap"),"CEK Endcap tidak ikut sambung","OK")))))))))</f>
        <v/>
      </c>
      <c r="AB209" s="11" t="n"/>
      <c r="AC209" s="11" t="n"/>
      <c r="AD209" s="11" t="n"/>
      <c r="AE209" s="11" t="n"/>
      <c r="AF209" s="11" t="n"/>
      <c r="AG209" s="11" t="n"/>
      <c r="AH209" s="12">
        <f>IF(AB209="","",IFERROR(INDEX(DAFTAR_FIXTURE!$B$2:$B$51,MATCH(AB209,DAFTAR_FIXTURE!$A$2:$A$51,0)),""))</f>
        <v/>
      </c>
      <c r="AI209" s="12">
        <f>IF(AB209="","",IF(AH209="","CEK ID FIXTURE tidak ada di DAFTAR_FIXTURE",IF(AC209="","CEK ZONA NO kosong",IF(ISNA(MATCH(AH209&amp;"|"&amp;AC209,LAYOUT!$E$2:$E$80,0)),"CEK ZONA NO di luar layout",IF(AD209&lt;&gt;INDEX(LAYOUT!$D$2:$D$80,MATCH(AH209&amp;"|"&amp;AC209,LAYOUT!$E$2:$E$80,0)),"CEK JENIS ZONA",IF($D209="","Zona STOCK",IF($E209="","CEK SKU DESCRIPTION kosong",IF(AND(AE209&lt;&gt;"",AF209=""),"CEK URUTAN SAMBUNG kosong",IF(AND(AE209&lt;&gt;"",LEFT(AH209,6)="Endcap"),"CEK Endcap tidak ikut sambung","OK")))))))))</f>
        <v/>
      </c>
    </row>
    <row r="210">
      <c r="A210" s="10" t="n"/>
      <c r="B210" s="10" t="n"/>
      <c r="C210" s="10" t="n"/>
      <c r="D210" s="10" t="n"/>
      <c r="E210" s="10" t="n"/>
      <c r="F210" s="10" t="n"/>
      <c r="G210" s="10" t="n"/>
      <c r="H210" s="10" t="n"/>
      <c r="I210" s="10" t="n"/>
      <c r="J210" s="10" t="n"/>
      <c r="K210" s="10" t="n"/>
      <c r="L210" s="11" t="n"/>
      <c r="M210" s="11" t="n"/>
      <c r="N210" s="11" t="n"/>
      <c r="O210" s="11" t="n"/>
      <c r="P210" s="11" t="n"/>
      <c r="Q210" s="11" t="n"/>
      <c r="R210" s="12">
        <f>IF(L210="","",IFERROR(INDEX(DAFTAR_FIXTURE!$B$2:$B$51,MATCH(L210,DAFTAR_FIXTURE!$A$2:$A$51,0)),""))</f>
        <v/>
      </c>
      <c r="S210" s="12">
        <f>IF(AND($D210="",L210=""),"",IF(L210="",IF(AND(T210="",AB210=""),"Belum ditempatkan",""),IF(R210="","CEK ID FIXTURE tidak ada di DAFTAR_FIXTURE",IF(M210="","CEK ZONA NO kosong",IF(ISNA(MATCH(R210&amp;"|"&amp;M210,LAYOUT!$E$2:$E$80,0)),"CEK ZONA NO di luar layout",IF(N210&lt;&gt;INDEX(LAYOUT!$D$2:$D$80,MATCH(R210&amp;"|"&amp;M210,LAYOUT!$E$2:$E$80,0)),"CEK JENIS ZONA",IF($D210="","Zona STOCK",IF($E210="","CEK SKU DESCRIPTION kosong",IF(AND(O210&lt;&gt;"",P210=""),"CEK URUTAN SAMBUNG kosong",IF(AND(O210&lt;&gt;"",LEFT(R210,6)="Endcap"),"CEK Endcap tidak ikut sambung","OK"))))))))))</f>
        <v/>
      </c>
      <c r="T210" s="11" t="n"/>
      <c r="U210" s="11" t="n"/>
      <c r="V210" s="11" t="n"/>
      <c r="W210" s="11" t="n"/>
      <c r="X210" s="11" t="n"/>
      <c r="Y210" s="11" t="n"/>
      <c r="Z210" s="12">
        <f>IF(T210="","",IFERROR(INDEX(DAFTAR_FIXTURE!$B$2:$B$51,MATCH(T210,DAFTAR_FIXTURE!$A$2:$A$51,0)),""))</f>
        <v/>
      </c>
      <c r="AA210" s="12">
        <f>IF(T210="","",IF(Z210="","CEK ID FIXTURE tidak ada di DAFTAR_FIXTURE",IF(U210="","CEK ZONA NO kosong",IF(ISNA(MATCH(Z210&amp;"|"&amp;U210,LAYOUT!$E$2:$E$80,0)),"CEK ZONA NO di luar layout",IF(V210&lt;&gt;INDEX(LAYOUT!$D$2:$D$80,MATCH(Z210&amp;"|"&amp;U210,LAYOUT!$E$2:$E$80,0)),"CEK JENIS ZONA",IF($D210="","Zona STOCK",IF($E210="","CEK SKU DESCRIPTION kosong",IF(AND(W210&lt;&gt;"",X210=""),"CEK URUTAN SAMBUNG kosong",IF(AND(W210&lt;&gt;"",LEFT(Z210,6)="Endcap"),"CEK Endcap tidak ikut sambung","OK")))))))))</f>
        <v/>
      </c>
      <c r="AB210" s="11" t="n"/>
      <c r="AC210" s="11" t="n"/>
      <c r="AD210" s="11" t="n"/>
      <c r="AE210" s="11" t="n"/>
      <c r="AF210" s="11" t="n"/>
      <c r="AG210" s="11" t="n"/>
      <c r="AH210" s="12">
        <f>IF(AB210="","",IFERROR(INDEX(DAFTAR_FIXTURE!$B$2:$B$51,MATCH(AB210,DAFTAR_FIXTURE!$A$2:$A$51,0)),""))</f>
        <v/>
      </c>
      <c r="AI210" s="12">
        <f>IF(AB210="","",IF(AH210="","CEK ID FIXTURE tidak ada di DAFTAR_FIXTURE",IF(AC210="","CEK ZONA NO kosong",IF(ISNA(MATCH(AH210&amp;"|"&amp;AC210,LAYOUT!$E$2:$E$80,0)),"CEK ZONA NO di luar layout",IF(AD210&lt;&gt;INDEX(LAYOUT!$D$2:$D$80,MATCH(AH210&amp;"|"&amp;AC210,LAYOUT!$E$2:$E$80,0)),"CEK JENIS ZONA",IF($D210="","Zona STOCK",IF($E210="","CEK SKU DESCRIPTION kosong",IF(AND(AE210&lt;&gt;"",AF210=""),"CEK URUTAN SAMBUNG kosong",IF(AND(AE210&lt;&gt;"",LEFT(AH210,6)="Endcap"),"CEK Endcap tidak ikut sambung","OK")))))))))</f>
        <v/>
      </c>
    </row>
    <row r="211">
      <c r="A211" s="10" t="n"/>
      <c r="B211" s="10" t="n"/>
      <c r="C211" s="10" t="n"/>
      <c r="D211" s="10" t="n"/>
      <c r="E211" s="10" t="n"/>
      <c r="F211" s="10" t="n"/>
      <c r="G211" s="10" t="n"/>
      <c r="H211" s="10" t="n"/>
      <c r="I211" s="10" t="n"/>
      <c r="J211" s="10" t="n"/>
      <c r="K211" s="10" t="n"/>
      <c r="L211" s="11" t="n"/>
      <c r="M211" s="11" t="n"/>
      <c r="N211" s="11" t="n"/>
      <c r="O211" s="11" t="n"/>
      <c r="P211" s="11" t="n"/>
      <c r="Q211" s="11" t="n"/>
      <c r="R211" s="12">
        <f>IF(L211="","",IFERROR(INDEX(DAFTAR_FIXTURE!$B$2:$B$51,MATCH(L211,DAFTAR_FIXTURE!$A$2:$A$51,0)),""))</f>
        <v/>
      </c>
      <c r="S211" s="12">
        <f>IF(AND($D211="",L211=""),"",IF(L211="",IF(AND(T211="",AB211=""),"Belum ditempatkan",""),IF(R211="","CEK ID FIXTURE tidak ada di DAFTAR_FIXTURE",IF(M211="","CEK ZONA NO kosong",IF(ISNA(MATCH(R211&amp;"|"&amp;M211,LAYOUT!$E$2:$E$80,0)),"CEK ZONA NO di luar layout",IF(N211&lt;&gt;INDEX(LAYOUT!$D$2:$D$80,MATCH(R211&amp;"|"&amp;M211,LAYOUT!$E$2:$E$80,0)),"CEK JENIS ZONA",IF($D211="","Zona STOCK",IF($E211="","CEK SKU DESCRIPTION kosong",IF(AND(O211&lt;&gt;"",P211=""),"CEK URUTAN SAMBUNG kosong",IF(AND(O211&lt;&gt;"",LEFT(R211,6)="Endcap"),"CEK Endcap tidak ikut sambung","OK"))))))))))</f>
        <v/>
      </c>
      <c r="T211" s="11" t="n"/>
      <c r="U211" s="11" t="n"/>
      <c r="V211" s="11" t="n"/>
      <c r="W211" s="11" t="n"/>
      <c r="X211" s="11" t="n"/>
      <c r="Y211" s="11" t="n"/>
      <c r="Z211" s="12">
        <f>IF(T211="","",IFERROR(INDEX(DAFTAR_FIXTURE!$B$2:$B$51,MATCH(T211,DAFTAR_FIXTURE!$A$2:$A$51,0)),""))</f>
        <v/>
      </c>
      <c r="AA211" s="12">
        <f>IF(T211="","",IF(Z211="","CEK ID FIXTURE tidak ada di DAFTAR_FIXTURE",IF(U211="","CEK ZONA NO kosong",IF(ISNA(MATCH(Z211&amp;"|"&amp;U211,LAYOUT!$E$2:$E$80,0)),"CEK ZONA NO di luar layout",IF(V211&lt;&gt;INDEX(LAYOUT!$D$2:$D$80,MATCH(Z211&amp;"|"&amp;U211,LAYOUT!$E$2:$E$80,0)),"CEK JENIS ZONA",IF($D211="","Zona STOCK",IF($E211="","CEK SKU DESCRIPTION kosong",IF(AND(W211&lt;&gt;"",X211=""),"CEK URUTAN SAMBUNG kosong",IF(AND(W211&lt;&gt;"",LEFT(Z211,6)="Endcap"),"CEK Endcap tidak ikut sambung","OK")))))))))</f>
        <v/>
      </c>
      <c r="AB211" s="11" t="n"/>
      <c r="AC211" s="11" t="n"/>
      <c r="AD211" s="11" t="n"/>
      <c r="AE211" s="11" t="n"/>
      <c r="AF211" s="11" t="n"/>
      <c r="AG211" s="11" t="n"/>
      <c r="AH211" s="12">
        <f>IF(AB211="","",IFERROR(INDEX(DAFTAR_FIXTURE!$B$2:$B$51,MATCH(AB211,DAFTAR_FIXTURE!$A$2:$A$51,0)),""))</f>
        <v/>
      </c>
      <c r="AI211" s="12">
        <f>IF(AB211="","",IF(AH211="","CEK ID FIXTURE tidak ada di DAFTAR_FIXTURE",IF(AC211="","CEK ZONA NO kosong",IF(ISNA(MATCH(AH211&amp;"|"&amp;AC211,LAYOUT!$E$2:$E$80,0)),"CEK ZONA NO di luar layout",IF(AD211&lt;&gt;INDEX(LAYOUT!$D$2:$D$80,MATCH(AH211&amp;"|"&amp;AC211,LAYOUT!$E$2:$E$80,0)),"CEK JENIS ZONA",IF($D211="","Zona STOCK",IF($E211="","CEK SKU DESCRIPTION kosong",IF(AND(AE211&lt;&gt;"",AF211=""),"CEK URUTAN SAMBUNG kosong",IF(AND(AE211&lt;&gt;"",LEFT(AH211,6)="Endcap"),"CEK Endcap tidak ikut sambung","OK")))))))))</f>
        <v/>
      </c>
    </row>
    <row r="212">
      <c r="A212" s="10" t="n"/>
      <c r="B212" s="10" t="n"/>
      <c r="C212" s="10" t="n"/>
      <c r="D212" s="10" t="n"/>
      <c r="E212" s="10" t="n"/>
      <c r="F212" s="10" t="n"/>
      <c r="G212" s="10" t="n"/>
      <c r="H212" s="10" t="n"/>
      <c r="I212" s="10" t="n"/>
      <c r="J212" s="10" t="n"/>
      <c r="K212" s="10" t="n"/>
      <c r="L212" s="11" t="n"/>
      <c r="M212" s="11" t="n"/>
      <c r="N212" s="11" t="n"/>
      <c r="O212" s="11" t="n"/>
      <c r="P212" s="11" t="n"/>
      <c r="Q212" s="11" t="n"/>
      <c r="R212" s="12">
        <f>IF(L212="","",IFERROR(INDEX(DAFTAR_FIXTURE!$B$2:$B$51,MATCH(L212,DAFTAR_FIXTURE!$A$2:$A$51,0)),""))</f>
        <v/>
      </c>
      <c r="S212" s="12">
        <f>IF(AND($D212="",L212=""),"",IF(L212="",IF(AND(T212="",AB212=""),"Belum ditempatkan",""),IF(R212="","CEK ID FIXTURE tidak ada di DAFTAR_FIXTURE",IF(M212="","CEK ZONA NO kosong",IF(ISNA(MATCH(R212&amp;"|"&amp;M212,LAYOUT!$E$2:$E$80,0)),"CEK ZONA NO di luar layout",IF(N212&lt;&gt;INDEX(LAYOUT!$D$2:$D$80,MATCH(R212&amp;"|"&amp;M212,LAYOUT!$E$2:$E$80,0)),"CEK JENIS ZONA",IF($D212="","Zona STOCK",IF($E212="","CEK SKU DESCRIPTION kosong",IF(AND(O212&lt;&gt;"",P212=""),"CEK URUTAN SAMBUNG kosong",IF(AND(O212&lt;&gt;"",LEFT(R212,6)="Endcap"),"CEK Endcap tidak ikut sambung","OK"))))))))))</f>
        <v/>
      </c>
      <c r="T212" s="11" t="n"/>
      <c r="U212" s="11" t="n"/>
      <c r="V212" s="11" t="n"/>
      <c r="W212" s="11" t="n"/>
      <c r="X212" s="11" t="n"/>
      <c r="Y212" s="11" t="n"/>
      <c r="Z212" s="12">
        <f>IF(T212="","",IFERROR(INDEX(DAFTAR_FIXTURE!$B$2:$B$51,MATCH(T212,DAFTAR_FIXTURE!$A$2:$A$51,0)),""))</f>
        <v/>
      </c>
      <c r="AA212" s="12">
        <f>IF(T212="","",IF(Z212="","CEK ID FIXTURE tidak ada di DAFTAR_FIXTURE",IF(U212="","CEK ZONA NO kosong",IF(ISNA(MATCH(Z212&amp;"|"&amp;U212,LAYOUT!$E$2:$E$80,0)),"CEK ZONA NO di luar layout",IF(V212&lt;&gt;INDEX(LAYOUT!$D$2:$D$80,MATCH(Z212&amp;"|"&amp;U212,LAYOUT!$E$2:$E$80,0)),"CEK JENIS ZONA",IF($D212="","Zona STOCK",IF($E212="","CEK SKU DESCRIPTION kosong",IF(AND(W212&lt;&gt;"",X212=""),"CEK URUTAN SAMBUNG kosong",IF(AND(W212&lt;&gt;"",LEFT(Z212,6)="Endcap"),"CEK Endcap tidak ikut sambung","OK")))))))))</f>
        <v/>
      </c>
      <c r="AB212" s="11" t="n"/>
      <c r="AC212" s="11" t="n"/>
      <c r="AD212" s="11" t="n"/>
      <c r="AE212" s="11" t="n"/>
      <c r="AF212" s="11" t="n"/>
      <c r="AG212" s="11" t="n"/>
      <c r="AH212" s="12">
        <f>IF(AB212="","",IFERROR(INDEX(DAFTAR_FIXTURE!$B$2:$B$51,MATCH(AB212,DAFTAR_FIXTURE!$A$2:$A$51,0)),""))</f>
        <v/>
      </c>
      <c r="AI212" s="12">
        <f>IF(AB212="","",IF(AH212="","CEK ID FIXTURE tidak ada di DAFTAR_FIXTURE",IF(AC212="","CEK ZONA NO kosong",IF(ISNA(MATCH(AH212&amp;"|"&amp;AC212,LAYOUT!$E$2:$E$80,0)),"CEK ZONA NO di luar layout",IF(AD212&lt;&gt;INDEX(LAYOUT!$D$2:$D$80,MATCH(AH212&amp;"|"&amp;AC212,LAYOUT!$E$2:$E$80,0)),"CEK JENIS ZONA",IF($D212="","Zona STOCK",IF($E212="","CEK SKU DESCRIPTION kosong",IF(AND(AE212&lt;&gt;"",AF212=""),"CEK URUTAN SAMBUNG kosong",IF(AND(AE212&lt;&gt;"",LEFT(AH212,6)="Endcap"),"CEK Endcap tidak ikut sambung","OK")))))))))</f>
        <v/>
      </c>
    </row>
    <row r="213">
      <c r="A213" s="10" t="n"/>
      <c r="B213" s="10" t="n"/>
      <c r="C213" s="10" t="n"/>
      <c r="D213" s="10" t="n"/>
      <c r="E213" s="10" t="n"/>
      <c r="F213" s="10" t="n"/>
      <c r="G213" s="10" t="n"/>
      <c r="H213" s="10" t="n"/>
      <c r="I213" s="10" t="n"/>
      <c r="J213" s="10" t="n"/>
      <c r="K213" s="10" t="n"/>
      <c r="L213" s="11" t="n"/>
      <c r="M213" s="11" t="n"/>
      <c r="N213" s="11" t="n"/>
      <c r="O213" s="11" t="n"/>
      <c r="P213" s="11" t="n"/>
      <c r="Q213" s="11" t="n"/>
      <c r="R213" s="12">
        <f>IF(L213="","",IFERROR(INDEX(DAFTAR_FIXTURE!$B$2:$B$51,MATCH(L213,DAFTAR_FIXTURE!$A$2:$A$51,0)),""))</f>
        <v/>
      </c>
      <c r="S213" s="12">
        <f>IF(AND($D213="",L213=""),"",IF(L213="",IF(AND(T213="",AB213=""),"Belum ditempatkan",""),IF(R213="","CEK ID FIXTURE tidak ada di DAFTAR_FIXTURE",IF(M213="","CEK ZONA NO kosong",IF(ISNA(MATCH(R213&amp;"|"&amp;M213,LAYOUT!$E$2:$E$80,0)),"CEK ZONA NO di luar layout",IF(N213&lt;&gt;INDEX(LAYOUT!$D$2:$D$80,MATCH(R213&amp;"|"&amp;M213,LAYOUT!$E$2:$E$80,0)),"CEK JENIS ZONA",IF($D213="","Zona STOCK",IF($E213="","CEK SKU DESCRIPTION kosong",IF(AND(O213&lt;&gt;"",P213=""),"CEK URUTAN SAMBUNG kosong",IF(AND(O213&lt;&gt;"",LEFT(R213,6)="Endcap"),"CEK Endcap tidak ikut sambung","OK"))))))))))</f>
        <v/>
      </c>
      <c r="T213" s="11" t="n"/>
      <c r="U213" s="11" t="n"/>
      <c r="V213" s="11" t="n"/>
      <c r="W213" s="11" t="n"/>
      <c r="X213" s="11" t="n"/>
      <c r="Y213" s="11" t="n"/>
      <c r="Z213" s="12">
        <f>IF(T213="","",IFERROR(INDEX(DAFTAR_FIXTURE!$B$2:$B$51,MATCH(T213,DAFTAR_FIXTURE!$A$2:$A$51,0)),""))</f>
        <v/>
      </c>
      <c r="AA213" s="12">
        <f>IF(T213="","",IF(Z213="","CEK ID FIXTURE tidak ada di DAFTAR_FIXTURE",IF(U213="","CEK ZONA NO kosong",IF(ISNA(MATCH(Z213&amp;"|"&amp;U213,LAYOUT!$E$2:$E$80,0)),"CEK ZONA NO di luar layout",IF(V213&lt;&gt;INDEX(LAYOUT!$D$2:$D$80,MATCH(Z213&amp;"|"&amp;U213,LAYOUT!$E$2:$E$80,0)),"CEK JENIS ZONA",IF($D213="","Zona STOCK",IF($E213="","CEK SKU DESCRIPTION kosong",IF(AND(W213&lt;&gt;"",X213=""),"CEK URUTAN SAMBUNG kosong",IF(AND(W213&lt;&gt;"",LEFT(Z213,6)="Endcap"),"CEK Endcap tidak ikut sambung","OK")))))))))</f>
        <v/>
      </c>
      <c r="AB213" s="11" t="n"/>
      <c r="AC213" s="11" t="n"/>
      <c r="AD213" s="11" t="n"/>
      <c r="AE213" s="11" t="n"/>
      <c r="AF213" s="11" t="n"/>
      <c r="AG213" s="11" t="n"/>
      <c r="AH213" s="12">
        <f>IF(AB213="","",IFERROR(INDEX(DAFTAR_FIXTURE!$B$2:$B$51,MATCH(AB213,DAFTAR_FIXTURE!$A$2:$A$51,0)),""))</f>
        <v/>
      </c>
      <c r="AI213" s="12">
        <f>IF(AB213="","",IF(AH213="","CEK ID FIXTURE tidak ada di DAFTAR_FIXTURE",IF(AC213="","CEK ZONA NO kosong",IF(ISNA(MATCH(AH213&amp;"|"&amp;AC213,LAYOUT!$E$2:$E$80,0)),"CEK ZONA NO di luar layout",IF(AD213&lt;&gt;INDEX(LAYOUT!$D$2:$D$80,MATCH(AH213&amp;"|"&amp;AC213,LAYOUT!$E$2:$E$80,0)),"CEK JENIS ZONA",IF($D213="","Zona STOCK",IF($E213="","CEK SKU DESCRIPTION kosong",IF(AND(AE213&lt;&gt;"",AF213=""),"CEK URUTAN SAMBUNG kosong",IF(AND(AE213&lt;&gt;"",LEFT(AH213,6)="Endcap"),"CEK Endcap tidak ikut sambung","OK")))))))))</f>
        <v/>
      </c>
    </row>
    <row r="214">
      <c r="A214" s="10" t="n"/>
      <c r="B214" s="10" t="n"/>
      <c r="C214" s="10" t="n"/>
      <c r="D214" s="10" t="n"/>
      <c r="E214" s="10" t="n"/>
      <c r="F214" s="10" t="n"/>
      <c r="G214" s="10" t="n"/>
      <c r="H214" s="10" t="n"/>
      <c r="I214" s="10" t="n"/>
      <c r="J214" s="10" t="n"/>
      <c r="K214" s="10" t="n"/>
      <c r="L214" s="11" t="n"/>
      <c r="M214" s="11" t="n"/>
      <c r="N214" s="11" t="n"/>
      <c r="O214" s="11" t="n"/>
      <c r="P214" s="11" t="n"/>
      <c r="Q214" s="11" t="n"/>
      <c r="R214" s="12">
        <f>IF(L214="","",IFERROR(INDEX(DAFTAR_FIXTURE!$B$2:$B$51,MATCH(L214,DAFTAR_FIXTURE!$A$2:$A$51,0)),""))</f>
        <v/>
      </c>
      <c r="S214" s="12">
        <f>IF(AND($D214="",L214=""),"",IF(L214="",IF(AND(T214="",AB214=""),"Belum ditempatkan",""),IF(R214="","CEK ID FIXTURE tidak ada di DAFTAR_FIXTURE",IF(M214="","CEK ZONA NO kosong",IF(ISNA(MATCH(R214&amp;"|"&amp;M214,LAYOUT!$E$2:$E$80,0)),"CEK ZONA NO di luar layout",IF(N214&lt;&gt;INDEX(LAYOUT!$D$2:$D$80,MATCH(R214&amp;"|"&amp;M214,LAYOUT!$E$2:$E$80,0)),"CEK JENIS ZONA",IF($D214="","Zona STOCK",IF($E214="","CEK SKU DESCRIPTION kosong",IF(AND(O214&lt;&gt;"",P214=""),"CEK URUTAN SAMBUNG kosong",IF(AND(O214&lt;&gt;"",LEFT(R214,6)="Endcap"),"CEK Endcap tidak ikut sambung","OK"))))))))))</f>
        <v/>
      </c>
      <c r="T214" s="11" t="n"/>
      <c r="U214" s="11" t="n"/>
      <c r="V214" s="11" t="n"/>
      <c r="W214" s="11" t="n"/>
      <c r="X214" s="11" t="n"/>
      <c r="Y214" s="11" t="n"/>
      <c r="Z214" s="12">
        <f>IF(T214="","",IFERROR(INDEX(DAFTAR_FIXTURE!$B$2:$B$51,MATCH(T214,DAFTAR_FIXTURE!$A$2:$A$51,0)),""))</f>
        <v/>
      </c>
      <c r="AA214" s="12">
        <f>IF(T214="","",IF(Z214="","CEK ID FIXTURE tidak ada di DAFTAR_FIXTURE",IF(U214="","CEK ZONA NO kosong",IF(ISNA(MATCH(Z214&amp;"|"&amp;U214,LAYOUT!$E$2:$E$80,0)),"CEK ZONA NO di luar layout",IF(V214&lt;&gt;INDEX(LAYOUT!$D$2:$D$80,MATCH(Z214&amp;"|"&amp;U214,LAYOUT!$E$2:$E$80,0)),"CEK JENIS ZONA",IF($D214="","Zona STOCK",IF($E214="","CEK SKU DESCRIPTION kosong",IF(AND(W214&lt;&gt;"",X214=""),"CEK URUTAN SAMBUNG kosong",IF(AND(W214&lt;&gt;"",LEFT(Z214,6)="Endcap"),"CEK Endcap tidak ikut sambung","OK")))))))))</f>
        <v/>
      </c>
      <c r="AB214" s="11" t="n"/>
      <c r="AC214" s="11" t="n"/>
      <c r="AD214" s="11" t="n"/>
      <c r="AE214" s="11" t="n"/>
      <c r="AF214" s="11" t="n"/>
      <c r="AG214" s="11" t="n"/>
      <c r="AH214" s="12">
        <f>IF(AB214="","",IFERROR(INDEX(DAFTAR_FIXTURE!$B$2:$B$51,MATCH(AB214,DAFTAR_FIXTURE!$A$2:$A$51,0)),""))</f>
        <v/>
      </c>
      <c r="AI214" s="12">
        <f>IF(AB214="","",IF(AH214="","CEK ID FIXTURE tidak ada di DAFTAR_FIXTURE",IF(AC214="","CEK ZONA NO kosong",IF(ISNA(MATCH(AH214&amp;"|"&amp;AC214,LAYOUT!$E$2:$E$80,0)),"CEK ZONA NO di luar layout",IF(AD214&lt;&gt;INDEX(LAYOUT!$D$2:$D$80,MATCH(AH214&amp;"|"&amp;AC214,LAYOUT!$E$2:$E$80,0)),"CEK JENIS ZONA",IF($D214="","Zona STOCK",IF($E214="","CEK SKU DESCRIPTION kosong",IF(AND(AE214&lt;&gt;"",AF214=""),"CEK URUTAN SAMBUNG kosong",IF(AND(AE214&lt;&gt;"",LEFT(AH214,6)="Endcap"),"CEK Endcap tidak ikut sambung","OK")))))))))</f>
        <v/>
      </c>
    </row>
    <row r="215">
      <c r="A215" s="10" t="n"/>
      <c r="B215" s="10" t="n"/>
      <c r="C215" s="10" t="n"/>
      <c r="D215" s="10" t="n"/>
      <c r="E215" s="10" t="n"/>
      <c r="F215" s="10" t="n"/>
      <c r="G215" s="10" t="n"/>
      <c r="H215" s="10" t="n"/>
      <c r="I215" s="10" t="n"/>
      <c r="J215" s="10" t="n"/>
      <c r="K215" s="10" t="n"/>
      <c r="L215" s="11" t="n"/>
      <c r="M215" s="11" t="n"/>
      <c r="N215" s="11" t="n"/>
      <c r="O215" s="11" t="n"/>
      <c r="P215" s="11" t="n"/>
      <c r="Q215" s="11" t="n"/>
      <c r="R215" s="12">
        <f>IF(L215="","",IFERROR(INDEX(DAFTAR_FIXTURE!$B$2:$B$51,MATCH(L215,DAFTAR_FIXTURE!$A$2:$A$51,0)),""))</f>
        <v/>
      </c>
      <c r="S215" s="12">
        <f>IF(AND($D215="",L215=""),"",IF(L215="",IF(AND(T215="",AB215=""),"Belum ditempatkan",""),IF(R215="","CEK ID FIXTURE tidak ada di DAFTAR_FIXTURE",IF(M215="","CEK ZONA NO kosong",IF(ISNA(MATCH(R215&amp;"|"&amp;M215,LAYOUT!$E$2:$E$80,0)),"CEK ZONA NO di luar layout",IF(N215&lt;&gt;INDEX(LAYOUT!$D$2:$D$80,MATCH(R215&amp;"|"&amp;M215,LAYOUT!$E$2:$E$80,0)),"CEK JENIS ZONA",IF($D215="","Zona STOCK",IF($E215="","CEK SKU DESCRIPTION kosong",IF(AND(O215&lt;&gt;"",P215=""),"CEK URUTAN SAMBUNG kosong",IF(AND(O215&lt;&gt;"",LEFT(R215,6)="Endcap"),"CEK Endcap tidak ikut sambung","OK"))))))))))</f>
        <v/>
      </c>
      <c r="T215" s="11" t="n"/>
      <c r="U215" s="11" t="n"/>
      <c r="V215" s="11" t="n"/>
      <c r="W215" s="11" t="n"/>
      <c r="X215" s="11" t="n"/>
      <c r="Y215" s="11" t="n"/>
      <c r="Z215" s="12">
        <f>IF(T215="","",IFERROR(INDEX(DAFTAR_FIXTURE!$B$2:$B$51,MATCH(T215,DAFTAR_FIXTURE!$A$2:$A$51,0)),""))</f>
        <v/>
      </c>
      <c r="AA215" s="12">
        <f>IF(T215="","",IF(Z215="","CEK ID FIXTURE tidak ada di DAFTAR_FIXTURE",IF(U215="","CEK ZONA NO kosong",IF(ISNA(MATCH(Z215&amp;"|"&amp;U215,LAYOUT!$E$2:$E$80,0)),"CEK ZONA NO di luar layout",IF(V215&lt;&gt;INDEX(LAYOUT!$D$2:$D$80,MATCH(Z215&amp;"|"&amp;U215,LAYOUT!$E$2:$E$80,0)),"CEK JENIS ZONA",IF($D215="","Zona STOCK",IF($E215="","CEK SKU DESCRIPTION kosong",IF(AND(W215&lt;&gt;"",X215=""),"CEK URUTAN SAMBUNG kosong",IF(AND(W215&lt;&gt;"",LEFT(Z215,6)="Endcap"),"CEK Endcap tidak ikut sambung","OK")))))))))</f>
        <v/>
      </c>
      <c r="AB215" s="11" t="n"/>
      <c r="AC215" s="11" t="n"/>
      <c r="AD215" s="11" t="n"/>
      <c r="AE215" s="11" t="n"/>
      <c r="AF215" s="11" t="n"/>
      <c r="AG215" s="11" t="n"/>
      <c r="AH215" s="12">
        <f>IF(AB215="","",IFERROR(INDEX(DAFTAR_FIXTURE!$B$2:$B$51,MATCH(AB215,DAFTAR_FIXTURE!$A$2:$A$51,0)),""))</f>
        <v/>
      </c>
      <c r="AI215" s="12">
        <f>IF(AB215="","",IF(AH215="","CEK ID FIXTURE tidak ada di DAFTAR_FIXTURE",IF(AC215="","CEK ZONA NO kosong",IF(ISNA(MATCH(AH215&amp;"|"&amp;AC215,LAYOUT!$E$2:$E$80,0)),"CEK ZONA NO di luar layout",IF(AD215&lt;&gt;INDEX(LAYOUT!$D$2:$D$80,MATCH(AH215&amp;"|"&amp;AC215,LAYOUT!$E$2:$E$80,0)),"CEK JENIS ZONA",IF($D215="","Zona STOCK",IF($E215="","CEK SKU DESCRIPTION kosong",IF(AND(AE215&lt;&gt;"",AF215=""),"CEK URUTAN SAMBUNG kosong",IF(AND(AE215&lt;&gt;"",LEFT(AH215,6)="Endcap"),"CEK Endcap tidak ikut sambung","OK")))))))))</f>
        <v/>
      </c>
    </row>
    <row r="216">
      <c r="A216" s="10" t="n"/>
      <c r="B216" s="10" t="n"/>
      <c r="C216" s="10" t="n"/>
      <c r="D216" s="10" t="n"/>
      <c r="E216" s="10" t="n"/>
      <c r="F216" s="10" t="n"/>
      <c r="G216" s="10" t="n"/>
      <c r="H216" s="10" t="n"/>
      <c r="I216" s="10" t="n"/>
      <c r="J216" s="10" t="n"/>
      <c r="K216" s="10" t="n"/>
      <c r="L216" s="11" t="n"/>
      <c r="M216" s="11" t="n"/>
      <c r="N216" s="11" t="n"/>
      <c r="O216" s="11" t="n"/>
      <c r="P216" s="11" t="n"/>
      <c r="Q216" s="11" t="n"/>
      <c r="R216" s="12">
        <f>IF(L216="","",IFERROR(INDEX(DAFTAR_FIXTURE!$B$2:$B$51,MATCH(L216,DAFTAR_FIXTURE!$A$2:$A$51,0)),""))</f>
        <v/>
      </c>
      <c r="S216" s="12">
        <f>IF(AND($D216="",L216=""),"",IF(L216="",IF(AND(T216="",AB216=""),"Belum ditempatkan",""),IF(R216="","CEK ID FIXTURE tidak ada di DAFTAR_FIXTURE",IF(M216="","CEK ZONA NO kosong",IF(ISNA(MATCH(R216&amp;"|"&amp;M216,LAYOUT!$E$2:$E$80,0)),"CEK ZONA NO di luar layout",IF(N216&lt;&gt;INDEX(LAYOUT!$D$2:$D$80,MATCH(R216&amp;"|"&amp;M216,LAYOUT!$E$2:$E$80,0)),"CEK JENIS ZONA",IF($D216="","Zona STOCK",IF($E216="","CEK SKU DESCRIPTION kosong",IF(AND(O216&lt;&gt;"",P216=""),"CEK URUTAN SAMBUNG kosong",IF(AND(O216&lt;&gt;"",LEFT(R216,6)="Endcap"),"CEK Endcap tidak ikut sambung","OK"))))))))))</f>
        <v/>
      </c>
      <c r="T216" s="11" t="n"/>
      <c r="U216" s="11" t="n"/>
      <c r="V216" s="11" t="n"/>
      <c r="W216" s="11" t="n"/>
      <c r="X216" s="11" t="n"/>
      <c r="Y216" s="11" t="n"/>
      <c r="Z216" s="12">
        <f>IF(T216="","",IFERROR(INDEX(DAFTAR_FIXTURE!$B$2:$B$51,MATCH(T216,DAFTAR_FIXTURE!$A$2:$A$51,0)),""))</f>
        <v/>
      </c>
      <c r="AA216" s="12">
        <f>IF(T216="","",IF(Z216="","CEK ID FIXTURE tidak ada di DAFTAR_FIXTURE",IF(U216="","CEK ZONA NO kosong",IF(ISNA(MATCH(Z216&amp;"|"&amp;U216,LAYOUT!$E$2:$E$80,0)),"CEK ZONA NO di luar layout",IF(V216&lt;&gt;INDEX(LAYOUT!$D$2:$D$80,MATCH(Z216&amp;"|"&amp;U216,LAYOUT!$E$2:$E$80,0)),"CEK JENIS ZONA",IF($D216="","Zona STOCK",IF($E216="","CEK SKU DESCRIPTION kosong",IF(AND(W216&lt;&gt;"",X216=""),"CEK URUTAN SAMBUNG kosong",IF(AND(W216&lt;&gt;"",LEFT(Z216,6)="Endcap"),"CEK Endcap tidak ikut sambung","OK")))))))))</f>
        <v/>
      </c>
      <c r="AB216" s="11" t="n"/>
      <c r="AC216" s="11" t="n"/>
      <c r="AD216" s="11" t="n"/>
      <c r="AE216" s="11" t="n"/>
      <c r="AF216" s="11" t="n"/>
      <c r="AG216" s="11" t="n"/>
      <c r="AH216" s="12">
        <f>IF(AB216="","",IFERROR(INDEX(DAFTAR_FIXTURE!$B$2:$B$51,MATCH(AB216,DAFTAR_FIXTURE!$A$2:$A$51,0)),""))</f>
        <v/>
      </c>
      <c r="AI216" s="12">
        <f>IF(AB216="","",IF(AH216="","CEK ID FIXTURE tidak ada di DAFTAR_FIXTURE",IF(AC216="","CEK ZONA NO kosong",IF(ISNA(MATCH(AH216&amp;"|"&amp;AC216,LAYOUT!$E$2:$E$80,0)),"CEK ZONA NO di luar layout",IF(AD216&lt;&gt;INDEX(LAYOUT!$D$2:$D$80,MATCH(AH216&amp;"|"&amp;AC216,LAYOUT!$E$2:$E$80,0)),"CEK JENIS ZONA",IF($D216="","Zona STOCK",IF($E216="","CEK SKU DESCRIPTION kosong",IF(AND(AE216&lt;&gt;"",AF216=""),"CEK URUTAN SAMBUNG kosong",IF(AND(AE216&lt;&gt;"",LEFT(AH216,6)="Endcap"),"CEK Endcap tidak ikut sambung","OK")))))))))</f>
        <v/>
      </c>
    </row>
    <row r="217">
      <c r="A217" s="10" t="n"/>
      <c r="B217" s="10" t="n"/>
      <c r="C217" s="10" t="n"/>
      <c r="D217" s="10" t="n"/>
      <c r="E217" s="10" t="n"/>
      <c r="F217" s="10" t="n"/>
      <c r="G217" s="10" t="n"/>
      <c r="H217" s="10" t="n"/>
      <c r="I217" s="10" t="n"/>
      <c r="J217" s="10" t="n"/>
      <c r="K217" s="10" t="n"/>
      <c r="L217" s="11" t="n"/>
      <c r="M217" s="11" t="n"/>
      <c r="N217" s="11" t="n"/>
      <c r="O217" s="11" t="n"/>
      <c r="P217" s="11" t="n"/>
      <c r="Q217" s="11" t="n"/>
      <c r="R217" s="12">
        <f>IF(L217="","",IFERROR(INDEX(DAFTAR_FIXTURE!$B$2:$B$51,MATCH(L217,DAFTAR_FIXTURE!$A$2:$A$51,0)),""))</f>
        <v/>
      </c>
      <c r="S217" s="12">
        <f>IF(AND($D217="",L217=""),"",IF(L217="",IF(AND(T217="",AB217=""),"Belum ditempatkan",""),IF(R217="","CEK ID FIXTURE tidak ada di DAFTAR_FIXTURE",IF(M217="","CEK ZONA NO kosong",IF(ISNA(MATCH(R217&amp;"|"&amp;M217,LAYOUT!$E$2:$E$80,0)),"CEK ZONA NO di luar layout",IF(N217&lt;&gt;INDEX(LAYOUT!$D$2:$D$80,MATCH(R217&amp;"|"&amp;M217,LAYOUT!$E$2:$E$80,0)),"CEK JENIS ZONA",IF($D217="","Zona STOCK",IF($E217="","CEK SKU DESCRIPTION kosong",IF(AND(O217&lt;&gt;"",P217=""),"CEK URUTAN SAMBUNG kosong",IF(AND(O217&lt;&gt;"",LEFT(R217,6)="Endcap"),"CEK Endcap tidak ikut sambung","OK"))))))))))</f>
        <v/>
      </c>
      <c r="T217" s="11" t="n"/>
      <c r="U217" s="11" t="n"/>
      <c r="V217" s="11" t="n"/>
      <c r="W217" s="11" t="n"/>
      <c r="X217" s="11" t="n"/>
      <c r="Y217" s="11" t="n"/>
      <c r="Z217" s="12">
        <f>IF(T217="","",IFERROR(INDEX(DAFTAR_FIXTURE!$B$2:$B$51,MATCH(T217,DAFTAR_FIXTURE!$A$2:$A$51,0)),""))</f>
        <v/>
      </c>
      <c r="AA217" s="12">
        <f>IF(T217="","",IF(Z217="","CEK ID FIXTURE tidak ada di DAFTAR_FIXTURE",IF(U217="","CEK ZONA NO kosong",IF(ISNA(MATCH(Z217&amp;"|"&amp;U217,LAYOUT!$E$2:$E$80,0)),"CEK ZONA NO di luar layout",IF(V217&lt;&gt;INDEX(LAYOUT!$D$2:$D$80,MATCH(Z217&amp;"|"&amp;U217,LAYOUT!$E$2:$E$80,0)),"CEK JENIS ZONA",IF($D217="","Zona STOCK",IF($E217="","CEK SKU DESCRIPTION kosong",IF(AND(W217&lt;&gt;"",X217=""),"CEK URUTAN SAMBUNG kosong",IF(AND(W217&lt;&gt;"",LEFT(Z217,6)="Endcap"),"CEK Endcap tidak ikut sambung","OK")))))))))</f>
        <v/>
      </c>
      <c r="AB217" s="11" t="n"/>
      <c r="AC217" s="11" t="n"/>
      <c r="AD217" s="11" t="n"/>
      <c r="AE217" s="11" t="n"/>
      <c r="AF217" s="11" t="n"/>
      <c r="AG217" s="11" t="n"/>
      <c r="AH217" s="12">
        <f>IF(AB217="","",IFERROR(INDEX(DAFTAR_FIXTURE!$B$2:$B$51,MATCH(AB217,DAFTAR_FIXTURE!$A$2:$A$51,0)),""))</f>
        <v/>
      </c>
      <c r="AI217" s="12">
        <f>IF(AB217="","",IF(AH217="","CEK ID FIXTURE tidak ada di DAFTAR_FIXTURE",IF(AC217="","CEK ZONA NO kosong",IF(ISNA(MATCH(AH217&amp;"|"&amp;AC217,LAYOUT!$E$2:$E$80,0)),"CEK ZONA NO di luar layout",IF(AD217&lt;&gt;INDEX(LAYOUT!$D$2:$D$80,MATCH(AH217&amp;"|"&amp;AC217,LAYOUT!$E$2:$E$80,0)),"CEK JENIS ZONA",IF($D217="","Zona STOCK",IF($E217="","CEK SKU DESCRIPTION kosong",IF(AND(AE217&lt;&gt;"",AF217=""),"CEK URUTAN SAMBUNG kosong",IF(AND(AE217&lt;&gt;"",LEFT(AH217,6)="Endcap"),"CEK Endcap tidak ikut sambung","OK")))))))))</f>
        <v/>
      </c>
    </row>
    <row r="218">
      <c r="A218" s="10" t="n"/>
      <c r="B218" s="10" t="n"/>
      <c r="C218" s="10" t="n"/>
      <c r="D218" s="10" t="n"/>
      <c r="E218" s="10" t="n"/>
      <c r="F218" s="10" t="n"/>
      <c r="G218" s="10" t="n"/>
      <c r="H218" s="10" t="n"/>
      <c r="I218" s="10" t="n"/>
      <c r="J218" s="10" t="n"/>
      <c r="K218" s="10" t="n"/>
      <c r="L218" s="11" t="n"/>
      <c r="M218" s="11" t="n"/>
      <c r="N218" s="11" t="n"/>
      <c r="O218" s="11" t="n"/>
      <c r="P218" s="11" t="n"/>
      <c r="Q218" s="11" t="n"/>
      <c r="R218" s="12">
        <f>IF(L218="","",IFERROR(INDEX(DAFTAR_FIXTURE!$B$2:$B$51,MATCH(L218,DAFTAR_FIXTURE!$A$2:$A$51,0)),""))</f>
        <v/>
      </c>
      <c r="S218" s="12">
        <f>IF(AND($D218="",L218=""),"",IF(L218="",IF(AND(T218="",AB218=""),"Belum ditempatkan",""),IF(R218="","CEK ID FIXTURE tidak ada di DAFTAR_FIXTURE",IF(M218="","CEK ZONA NO kosong",IF(ISNA(MATCH(R218&amp;"|"&amp;M218,LAYOUT!$E$2:$E$80,0)),"CEK ZONA NO di luar layout",IF(N218&lt;&gt;INDEX(LAYOUT!$D$2:$D$80,MATCH(R218&amp;"|"&amp;M218,LAYOUT!$E$2:$E$80,0)),"CEK JENIS ZONA",IF($D218="","Zona STOCK",IF($E218="","CEK SKU DESCRIPTION kosong",IF(AND(O218&lt;&gt;"",P218=""),"CEK URUTAN SAMBUNG kosong",IF(AND(O218&lt;&gt;"",LEFT(R218,6)="Endcap"),"CEK Endcap tidak ikut sambung","OK"))))))))))</f>
        <v/>
      </c>
      <c r="T218" s="11" t="n"/>
      <c r="U218" s="11" t="n"/>
      <c r="V218" s="11" t="n"/>
      <c r="W218" s="11" t="n"/>
      <c r="X218" s="11" t="n"/>
      <c r="Y218" s="11" t="n"/>
      <c r="Z218" s="12">
        <f>IF(T218="","",IFERROR(INDEX(DAFTAR_FIXTURE!$B$2:$B$51,MATCH(T218,DAFTAR_FIXTURE!$A$2:$A$51,0)),""))</f>
        <v/>
      </c>
      <c r="AA218" s="12">
        <f>IF(T218="","",IF(Z218="","CEK ID FIXTURE tidak ada di DAFTAR_FIXTURE",IF(U218="","CEK ZONA NO kosong",IF(ISNA(MATCH(Z218&amp;"|"&amp;U218,LAYOUT!$E$2:$E$80,0)),"CEK ZONA NO di luar layout",IF(V218&lt;&gt;INDEX(LAYOUT!$D$2:$D$80,MATCH(Z218&amp;"|"&amp;U218,LAYOUT!$E$2:$E$80,0)),"CEK JENIS ZONA",IF($D218="","Zona STOCK",IF($E218="","CEK SKU DESCRIPTION kosong",IF(AND(W218&lt;&gt;"",X218=""),"CEK URUTAN SAMBUNG kosong",IF(AND(W218&lt;&gt;"",LEFT(Z218,6)="Endcap"),"CEK Endcap tidak ikut sambung","OK")))))))))</f>
        <v/>
      </c>
      <c r="AB218" s="11" t="n"/>
      <c r="AC218" s="11" t="n"/>
      <c r="AD218" s="11" t="n"/>
      <c r="AE218" s="11" t="n"/>
      <c r="AF218" s="11" t="n"/>
      <c r="AG218" s="11" t="n"/>
      <c r="AH218" s="12">
        <f>IF(AB218="","",IFERROR(INDEX(DAFTAR_FIXTURE!$B$2:$B$51,MATCH(AB218,DAFTAR_FIXTURE!$A$2:$A$51,0)),""))</f>
        <v/>
      </c>
      <c r="AI218" s="12">
        <f>IF(AB218="","",IF(AH218="","CEK ID FIXTURE tidak ada di DAFTAR_FIXTURE",IF(AC218="","CEK ZONA NO kosong",IF(ISNA(MATCH(AH218&amp;"|"&amp;AC218,LAYOUT!$E$2:$E$80,0)),"CEK ZONA NO di luar layout",IF(AD218&lt;&gt;INDEX(LAYOUT!$D$2:$D$80,MATCH(AH218&amp;"|"&amp;AC218,LAYOUT!$E$2:$E$80,0)),"CEK JENIS ZONA",IF($D218="","Zona STOCK",IF($E218="","CEK SKU DESCRIPTION kosong",IF(AND(AE218&lt;&gt;"",AF218=""),"CEK URUTAN SAMBUNG kosong",IF(AND(AE218&lt;&gt;"",LEFT(AH218,6)="Endcap"),"CEK Endcap tidak ikut sambung","OK")))))))))</f>
        <v/>
      </c>
    </row>
    <row r="219">
      <c r="A219" s="10" t="n"/>
      <c r="B219" s="10" t="n"/>
      <c r="C219" s="10" t="n"/>
      <c r="D219" s="10" t="n"/>
      <c r="E219" s="10" t="n"/>
      <c r="F219" s="10" t="n"/>
      <c r="G219" s="10" t="n"/>
      <c r="H219" s="10" t="n"/>
      <c r="I219" s="10" t="n"/>
      <c r="J219" s="10" t="n"/>
      <c r="K219" s="10" t="n"/>
      <c r="L219" s="11" t="n"/>
      <c r="M219" s="11" t="n"/>
      <c r="N219" s="11" t="n"/>
      <c r="O219" s="11" t="n"/>
      <c r="P219" s="11" t="n"/>
      <c r="Q219" s="11" t="n"/>
      <c r="R219" s="12">
        <f>IF(L219="","",IFERROR(INDEX(DAFTAR_FIXTURE!$B$2:$B$51,MATCH(L219,DAFTAR_FIXTURE!$A$2:$A$51,0)),""))</f>
        <v/>
      </c>
      <c r="S219" s="12">
        <f>IF(AND($D219="",L219=""),"",IF(L219="",IF(AND(T219="",AB219=""),"Belum ditempatkan",""),IF(R219="","CEK ID FIXTURE tidak ada di DAFTAR_FIXTURE",IF(M219="","CEK ZONA NO kosong",IF(ISNA(MATCH(R219&amp;"|"&amp;M219,LAYOUT!$E$2:$E$80,0)),"CEK ZONA NO di luar layout",IF(N219&lt;&gt;INDEX(LAYOUT!$D$2:$D$80,MATCH(R219&amp;"|"&amp;M219,LAYOUT!$E$2:$E$80,0)),"CEK JENIS ZONA",IF($D219="","Zona STOCK",IF($E219="","CEK SKU DESCRIPTION kosong",IF(AND(O219&lt;&gt;"",P219=""),"CEK URUTAN SAMBUNG kosong",IF(AND(O219&lt;&gt;"",LEFT(R219,6)="Endcap"),"CEK Endcap tidak ikut sambung","OK"))))))))))</f>
        <v/>
      </c>
      <c r="T219" s="11" t="n"/>
      <c r="U219" s="11" t="n"/>
      <c r="V219" s="11" t="n"/>
      <c r="W219" s="11" t="n"/>
      <c r="X219" s="11" t="n"/>
      <c r="Y219" s="11" t="n"/>
      <c r="Z219" s="12">
        <f>IF(T219="","",IFERROR(INDEX(DAFTAR_FIXTURE!$B$2:$B$51,MATCH(T219,DAFTAR_FIXTURE!$A$2:$A$51,0)),""))</f>
        <v/>
      </c>
      <c r="AA219" s="12">
        <f>IF(T219="","",IF(Z219="","CEK ID FIXTURE tidak ada di DAFTAR_FIXTURE",IF(U219="","CEK ZONA NO kosong",IF(ISNA(MATCH(Z219&amp;"|"&amp;U219,LAYOUT!$E$2:$E$80,0)),"CEK ZONA NO di luar layout",IF(V219&lt;&gt;INDEX(LAYOUT!$D$2:$D$80,MATCH(Z219&amp;"|"&amp;U219,LAYOUT!$E$2:$E$80,0)),"CEK JENIS ZONA",IF($D219="","Zona STOCK",IF($E219="","CEK SKU DESCRIPTION kosong",IF(AND(W219&lt;&gt;"",X219=""),"CEK URUTAN SAMBUNG kosong",IF(AND(W219&lt;&gt;"",LEFT(Z219,6)="Endcap"),"CEK Endcap tidak ikut sambung","OK")))))))))</f>
        <v/>
      </c>
      <c r="AB219" s="11" t="n"/>
      <c r="AC219" s="11" t="n"/>
      <c r="AD219" s="11" t="n"/>
      <c r="AE219" s="11" t="n"/>
      <c r="AF219" s="11" t="n"/>
      <c r="AG219" s="11" t="n"/>
      <c r="AH219" s="12">
        <f>IF(AB219="","",IFERROR(INDEX(DAFTAR_FIXTURE!$B$2:$B$51,MATCH(AB219,DAFTAR_FIXTURE!$A$2:$A$51,0)),""))</f>
        <v/>
      </c>
      <c r="AI219" s="12">
        <f>IF(AB219="","",IF(AH219="","CEK ID FIXTURE tidak ada di DAFTAR_FIXTURE",IF(AC219="","CEK ZONA NO kosong",IF(ISNA(MATCH(AH219&amp;"|"&amp;AC219,LAYOUT!$E$2:$E$80,0)),"CEK ZONA NO di luar layout",IF(AD219&lt;&gt;INDEX(LAYOUT!$D$2:$D$80,MATCH(AH219&amp;"|"&amp;AC219,LAYOUT!$E$2:$E$80,0)),"CEK JENIS ZONA",IF($D219="","Zona STOCK",IF($E219="","CEK SKU DESCRIPTION kosong",IF(AND(AE219&lt;&gt;"",AF219=""),"CEK URUTAN SAMBUNG kosong",IF(AND(AE219&lt;&gt;"",LEFT(AH219,6)="Endcap"),"CEK Endcap tidak ikut sambung","OK")))))))))</f>
        <v/>
      </c>
    </row>
    <row r="220">
      <c r="A220" s="10" t="n"/>
      <c r="B220" s="10" t="n"/>
      <c r="C220" s="10" t="n"/>
      <c r="D220" s="10" t="n"/>
      <c r="E220" s="10" t="n"/>
      <c r="F220" s="10" t="n"/>
      <c r="G220" s="10" t="n"/>
      <c r="H220" s="10" t="n"/>
      <c r="I220" s="10" t="n"/>
      <c r="J220" s="10" t="n"/>
      <c r="K220" s="10" t="n"/>
      <c r="L220" s="11" t="n"/>
      <c r="M220" s="11" t="n"/>
      <c r="N220" s="11" t="n"/>
      <c r="O220" s="11" t="n"/>
      <c r="P220" s="11" t="n"/>
      <c r="Q220" s="11" t="n"/>
      <c r="R220" s="12">
        <f>IF(L220="","",IFERROR(INDEX(DAFTAR_FIXTURE!$B$2:$B$51,MATCH(L220,DAFTAR_FIXTURE!$A$2:$A$51,0)),""))</f>
        <v/>
      </c>
      <c r="S220" s="12">
        <f>IF(AND($D220="",L220=""),"",IF(L220="",IF(AND(T220="",AB220=""),"Belum ditempatkan",""),IF(R220="","CEK ID FIXTURE tidak ada di DAFTAR_FIXTURE",IF(M220="","CEK ZONA NO kosong",IF(ISNA(MATCH(R220&amp;"|"&amp;M220,LAYOUT!$E$2:$E$80,0)),"CEK ZONA NO di luar layout",IF(N220&lt;&gt;INDEX(LAYOUT!$D$2:$D$80,MATCH(R220&amp;"|"&amp;M220,LAYOUT!$E$2:$E$80,0)),"CEK JENIS ZONA",IF($D220="","Zona STOCK",IF($E220="","CEK SKU DESCRIPTION kosong",IF(AND(O220&lt;&gt;"",P220=""),"CEK URUTAN SAMBUNG kosong",IF(AND(O220&lt;&gt;"",LEFT(R220,6)="Endcap"),"CEK Endcap tidak ikut sambung","OK"))))))))))</f>
        <v/>
      </c>
      <c r="T220" s="11" t="n"/>
      <c r="U220" s="11" t="n"/>
      <c r="V220" s="11" t="n"/>
      <c r="W220" s="11" t="n"/>
      <c r="X220" s="11" t="n"/>
      <c r="Y220" s="11" t="n"/>
      <c r="Z220" s="12">
        <f>IF(T220="","",IFERROR(INDEX(DAFTAR_FIXTURE!$B$2:$B$51,MATCH(T220,DAFTAR_FIXTURE!$A$2:$A$51,0)),""))</f>
        <v/>
      </c>
      <c r="AA220" s="12">
        <f>IF(T220="","",IF(Z220="","CEK ID FIXTURE tidak ada di DAFTAR_FIXTURE",IF(U220="","CEK ZONA NO kosong",IF(ISNA(MATCH(Z220&amp;"|"&amp;U220,LAYOUT!$E$2:$E$80,0)),"CEK ZONA NO di luar layout",IF(V220&lt;&gt;INDEX(LAYOUT!$D$2:$D$80,MATCH(Z220&amp;"|"&amp;U220,LAYOUT!$E$2:$E$80,0)),"CEK JENIS ZONA",IF($D220="","Zona STOCK",IF($E220="","CEK SKU DESCRIPTION kosong",IF(AND(W220&lt;&gt;"",X220=""),"CEK URUTAN SAMBUNG kosong",IF(AND(W220&lt;&gt;"",LEFT(Z220,6)="Endcap"),"CEK Endcap tidak ikut sambung","OK")))))))))</f>
        <v/>
      </c>
      <c r="AB220" s="11" t="n"/>
      <c r="AC220" s="11" t="n"/>
      <c r="AD220" s="11" t="n"/>
      <c r="AE220" s="11" t="n"/>
      <c r="AF220" s="11" t="n"/>
      <c r="AG220" s="11" t="n"/>
      <c r="AH220" s="12">
        <f>IF(AB220="","",IFERROR(INDEX(DAFTAR_FIXTURE!$B$2:$B$51,MATCH(AB220,DAFTAR_FIXTURE!$A$2:$A$51,0)),""))</f>
        <v/>
      </c>
      <c r="AI220" s="12">
        <f>IF(AB220="","",IF(AH220="","CEK ID FIXTURE tidak ada di DAFTAR_FIXTURE",IF(AC220="","CEK ZONA NO kosong",IF(ISNA(MATCH(AH220&amp;"|"&amp;AC220,LAYOUT!$E$2:$E$80,0)),"CEK ZONA NO di luar layout",IF(AD220&lt;&gt;INDEX(LAYOUT!$D$2:$D$80,MATCH(AH220&amp;"|"&amp;AC220,LAYOUT!$E$2:$E$80,0)),"CEK JENIS ZONA",IF($D220="","Zona STOCK",IF($E220="","CEK SKU DESCRIPTION kosong",IF(AND(AE220&lt;&gt;"",AF220=""),"CEK URUTAN SAMBUNG kosong",IF(AND(AE220&lt;&gt;"",LEFT(AH220,6)="Endcap"),"CEK Endcap tidak ikut sambung","OK")))))))))</f>
        <v/>
      </c>
    </row>
    <row r="221">
      <c r="A221" s="10" t="n"/>
      <c r="B221" s="10" t="n"/>
      <c r="C221" s="10" t="n"/>
      <c r="D221" s="10" t="n"/>
      <c r="E221" s="10" t="n"/>
      <c r="F221" s="10" t="n"/>
      <c r="G221" s="10" t="n"/>
      <c r="H221" s="10" t="n"/>
      <c r="I221" s="10" t="n"/>
      <c r="J221" s="10" t="n"/>
      <c r="K221" s="10" t="n"/>
      <c r="L221" s="11" t="n"/>
      <c r="M221" s="11" t="n"/>
      <c r="N221" s="11" t="n"/>
      <c r="O221" s="11" t="n"/>
      <c r="P221" s="11" t="n"/>
      <c r="Q221" s="11" t="n"/>
      <c r="R221" s="12">
        <f>IF(L221="","",IFERROR(INDEX(DAFTAR_FIXTURE!$B$2:$B$51,MATCH(L221,DAFTAR_FIXTURE!$A$2:$A$51,0)),""))</f>
        <v/>
      </c>
      <c r="S221" s="12">
        <f>IF(AND($D221="",L221=""),"",IF(L221="",IF(AND(T221="",AB221=""),"Belum ditempatkan",""),IF(R221="","CEK ID FIXTURE tidak ada di DAFTAR_FIXTURE",IF(M221="","CEK ZONA NO kosong",IF(ISNA(MATCH(R221&amp;"|"&amp;M221,LAYOUT!$E$2:$E$80,0)),"CEK ZONA NO di luar layout",IF(N221&lt;&gt;INDEX(LAYOUT!$D$2:$D$80,MATCH(R221&amp;"|"&amp;M221,LAYOUT!$E$2:$E$80,0)),"CEK JENIS ZONA",IF($D221="","Zona STOCK",IF($E221="","CEK SKU DESCRIPTION kosong",IF(AND(O221&lt;&gt;"",P221=""),"CEK URUTAN SAMBUNG kosong",IF(AND(O221&lt;&gt;"",LEFT(R221,6)="Endcap"),"CEK Endcap tidak ikut sambung","OK"))))))))))</f>
        <v/>
      </c>
      <c r="T221" s="11" t="n"/>
      <c r="U221" s="11" t="n"/>
      <c r="V221" s="11" t="n"/>
      <c r="W221" s="11" t="n"/>
      <c r="X221" s="11" t="n"/>
      <c r="Y221" s="11" t="n"/>
      <c r="Z221" s="12">
        <f>IF(T221="","",IFERROR(INDEX(DAFTAR_FIXTURE!$B$2:$B$51,MATCH(T221,DAFTAR_FIXTURE!$A$2:$A$51,0)),""))</f>
        <v/>
      </c>
      <c r="AA221" s="12">
        <f>IF(T221="","",IF(Z221="","CEK ID FIXTURE tidak ada di DAFTAR_FIXTURE",IF(U221="","CEK ZONA NO kosong",IF(ISNA(MATCH(Z221&amp;"|"&amp;U221,LAYOUT!$E$2:$E$80,0)),"CEK ZONA NO di luar layout",IF(V221&lt;&gt;INDEX(LAYOUT!$D$2:$D$80,MATCH(Z221&amp;"|"&amp;U221,LAYOUT!$E$2:$E$80,0)),"CEK JENIS ZONA",IF($D221="","Zona STOCK",IF($E221="","CEK SKU DESCRIPTION kosong",IF(AND(W221&lt;&gt;"",X221=""),"CEK URUTAN SAMBUNG kosong",IF(AND(W221&lt;&gt;"",LEFT(Z221,6)="Endcap"),"CEK Endcap tidak ikut sambung","OK")))))))))</f>
        <v/>
      </c>
      <c r="AB221" s="11" t="n"/>
      <c r="AC221" s="11" t="n"/>
      <c r="AD221" s="11" t="n"/>
      <c r="AE221" s="11" t="n"/>
      <c r="AF221" s="11" t="n"/>
      <c r="AG221" s="11" t="n"/>
      <c r="AH221" s="12">
        <f>IF(AB221="","",IFERROR(INDEX(DAFTAR_FIXTURE!$B$2:$B$51,MATCH(AB221,DAFTAR_FIXTURE!$A$2:$A$51,0)),""))</f>
        <v/>
      </c>
      <c r="AI221" s="12">
        <f>IF(AB221="","",IF(AH221="","CEK ID FIXTURE tidak ada di DAFTAR_FIXTURE",IF(AC221="","CEK ZONA NO kosong",IF(ISNA(MATCH(AH221&amp;"|"&amp;AC221,LAYOUT!$E$2:$E$80,0)),"CEK ZONA NO di luar layout",IF(AD221&lt;&gt;INDEX(LAYOUT!$D$2:$D$80,MATCH(AH221&amp;"|"&amp;AC221,LAYOUT!$E$2:$E$80,0)),"CEK JENIS ZONA",IF($D221="","Zona STOCK",IF($E221="","CEK SKU DESCRIPTION kosong",IF(AND(AE221&lt;&gt;"",AF221=""),"CEK URUTAN SAMBUNG kosong",IF(AND(AE221&lt;&gt;"",LEFT(AH221,6)="Endcap"),"CEK Endcap tidak ikut sambung","OK")))))))))</f>
        <v/>
      </c>
    </row>
    <row r="222">
      <c r="A222" s="10" t="n"/>
      <c r="B222" s="10" t="n"/>
      <c r="C222" s="10" t="n"/>
      <c r="D222" s="10" t="n"/>
      <c r="E222" s="10" t="n"/>
      <c r="F222" s="10" t="n"/>
      <c r="G222" s="10" t="n"/>
      <c r="H222" s="10" t="n"/>
      <c r="I222" s="10" t="n"/>
      <c r="J222" s="10" t="n"/>
      <c r="K222" s="10" t="n"/>
      <c r="L222" s="11" t="n"/>
      <c r="M222" s="11" t="n"/>
      <c r="N222" s="11" t="n"/>
      <c r="O222" s="11" t="n"/>
      <c r="P222" s="11" t="n"/>
      <c r="Q222" s="11" t="n"/>
      <c r="R222" s="12">
        <f>IF(L222="","",IFERROR(INDEX(DAFTAR_FIXTURE!$B$2:$B$51,MATCH(L222,DAFTAR_FIXTURE!$A$2:$A$51,0)),""))</f>
        <v/>
      </c>
      <c r="S222" s="12">
        <f>IF(AND($D222="",L222=""),"",IF(L222="",IF(AND(T222="",AB222=""),"Belum ditempatkan",""),IF(R222="","CEK ID FIXTURE tidak ada di DAFTAR_FIXTURE",IF(M222="","CEK ZONA NO kosong",IF(ISNA(MATCH(R222&amp;"|"&amp;M222,LAYOUT!$E$2:$E$80,0)),"CEK ZONA NO di luar layout",IF(N222&lt;&gt;INDEX(LAYOUT!$D$2:$D$80,MATCH(R222&amp;"|"&amp;M222,LAYOUT!$E$2:$E$80,0)),"CEK JENIS ZONA",IF($D222="","Zona STOCK",IF($E222="","CEK SKU DESCRIPTION kosong",IF(AND(O222&lt;&gt;"",P222=""),"CEK URUTAN SAMBUNG kosong",IF(AND(O222&lt;&gt;"",LEFT(R222,6)="Endcap"),"CEK Endcap tidak ikut sambung","OK"))))))))))</f>
        <v/>
      </c>
      <c r="T222" s="11" t="n"/>
      <c r="U222" s="11" t="n"/>
      <c r="V222" s="11" t="n"/>
      <c r="W222" s="11" t="n"/>
      <c r="X222" s="11" t="n"/>
      <c r="Y222" s="11" t="n"/>
      <c r="Z222" s="12">
        <f>IF(T222="","",IFERROR(INDEX(DAFTAR_FIXTURE!$B$2:$B$51,MATCH(T222,DAFTAR_FIXTURE!$A$2:$A$51,0)),""))</f>
        <v/>
      </c>
      <c r="AA222" s="12">
        <f>IF(T222="","",IF(Z222="","CEK ID FIXTURE tidak ada di DAFTAR_FIXTURE",IF(U222="","CEK ZONA NO kosong",IF(ISNA(MATCH(Z222&amp;"|"&amp;U222,LAYOUT!$E$2:$E$80,0)),"CEK ZONA NO di luar layout",IF(V222&lt;&gt;INDEX(LAYOUT!$D$2:$D$80,MATCH(Z222&amp;"|"&amp;U222,LAYOUT!$E$2:$E$80,0)),"CEK JENIS ZONA",IF($D222="","Zona STOCK",IF($E222="","CEK SKU DESCRIPTION kosong",IF(AND(W222&lt;&gt;"",X222=""),"CEK URUTAN SAMBUNG kosong",IF(AND(W222&lt;&gt;"",LEFT(Z222,6)="Endcap"),"CEK Endcap tidak ikut sambung","OK")))))))))</f>
        <v/>
      </c>
      <c r="AB222" s="11" t="n"/>
      <c r="AC222" s="11" t="n"/>
      <c r="AD222" s="11" t="n"/>
      <c r="AE222" s="11" t="n"/>
      <c r="AF222" s="11" t="n"/>
      <c r="AG222" s="11" t="n"/>
      <c r="AH222" s="12">
        <f>IF(AB222="","",IFERROR(INDEX(DAFTAR_FIXTURE!$B$2:$B$51,MATCH(AB222,DAFTAR_FIXTURE!$A$2:$A$51,0)),""))</f>
        <v/>
      </c>
      <c r="AI222" s="12">
        <f>IF(AB222="","",IF(AH222="","CEK ID FIXTURE tidak ada di DAFTAR_FIXTURE",IF(AC222="","CEK ZONA NO kosong",IF(ISNA(MATCH(AH222&amp;"|"&amp;AC222,LAYOUT!$E$2:$E$80,0)),"CEK ZONA NO di luar layout",IF(AD222&lt;&gt;INDEX(LAYOUT!$D$2:$D$80,MATCH(AH222&amp;"|"&amp;AC222,LAYOUT!$E$2:$E$80,0)),"CEK JENIS ZONA",IF($D222="","Zona STOCK",IF($E222="","CEK SKU DESCRIPTION kosong",IF(AND(AE222&lt;&gt;"",AF222=""),"CEK URUTAN SAMBUNG kosong",IF(AND(AE222&lt;&gt;"",LEFT(AH222,6)="Endcap"),"CEK Endcap tidak ikut sambung","OK")))))))))</f>
        <v/>
      </c>
    </row>
    <row r="223">
      <c r="A223" s="10" t="n"/>
      <c r="B223" s="10" t="n"/>
      <c r="C223" s="10" t="n"/>
      <c r="D223" s="10" t="n"/>
      <c r="E223" s="10" t="n"/>
      <c r="F223" s="10" t="n"/>
      <c r="G223" s="10" t="n"/>
      <c r="H223" s="10" t="n"/>
      <c r="I223" s="10" t="n"/>
      <c r="J223" s="10" t="n"/>
      <c r="K223" s="10" t="n"/>
      <c r="L223" s="11" t="n"/>
      <c r="M223" s="11" t="n"/>
      <c r="N223" s="11" t="n"/>
      <c r="O223" s="11" t="n"/>
      <c r="P223" s="11" t="n"/>
      <c r="Q223" s="11" t="n"/>
      <c r="R223" s="12">
        <f>IF(L223="","",IFERROR(INDEX(DAFTAR_FIXTURE!$B$2:$B$51,MATCH(L223,DAFTAR_FIXTURE!$A$2:$A$51,0)),""))</f>
        <v/>
      </c>
      <c r="S223" s="12">
        <f>IF(AND($D223="",L223=""),"",IF(L223="",IF(AND(T223="",AB223=""),"Belum ditempatkan",""),IF(R223="","CEK ID FIXTURE tidak ada di DAFTAR_FIXTURE",IF(M223="","CEK ZONA NO kosong",IF(ISNA(MATCH(R223&amp;"|"&amp;M223,LAYOUT!$E$2:$E$80,0)),"CEK ZONA NO di luar layout",IF(N223&lt;&gt;INDEX(LAYOUT!$D$2:$D$80,MATCH(R223&amp;"|"&amp;M223,LAYOUT!$E$2:$E$80,0)),"CEK JENIS ZONA",IF($D223="","Zona STOCK",IF($E223="","CEK SKU DESCRIPTION kosong",IF(AND(O223&lt;&gt;"",P223=""),"CEK URUTAN SAMBUNG kosong",IF(AND(O223&lt;&gt;"",LEFT(R223,6)="Endcap"),"CEK Endcap tidak ikut sambung","OK"))))))))))</f>
        <v/>
      </c>
      <c r="T223" s="11" t="n"/>
      <c r="U223" s="11" t="n"/>
      <c r="V223" s="11" t="n"/>
      <c r="W223" s="11" t="n"/>
      <c r="X223" s="11" t="n"/>
      <c r="Y223" s="11" t="n"/>
      <c r="Z223" s="12">
        <f>IF(T223="","",IFERROR(INDEX(DAFTAR_FIXTURE!$B$2:$B$51,MATCH(T223,DAFTAR_FIXTURE!$A$2:$A$51,0)),""))</f>
        <v/>
      </c>
      <c r="AA223" s="12">
        <f>IF(T223="","",IF(Z223="","CEK ID FIXTURE tidak ada di DAFTAR_FIXTURE",IF(U223="","CEK ZONA NO kosong",IF(ISNA(MATCH(Z223&amp;"|"&amp;U223,LAYOUT!$E$2:$E$80,0)),"CEK ZONA NO di luar layout",IF(V223&lt;&gt;INDEX(LAYOUT!$D$2:$D$80,MATCH(Z223&amp;"|"&amp;U223,LAYOUT!$E$2:$E$80,0)),"CEK JENIS ZONA",IF($D223="","Zona STOCK",IF($E223="","CEK SKU DESCRIPTION kosong",IF(AND(W223&lt;&gt;"",X223=""),"CEK URUTAN SAMBUNG kosong",IF(AND(W223&lt;&gt;"",LEFT(Z223,6)="Endcap"),"CEK Endcap tidak ikut sambung","OK")))))))))</f>
        <v/>
      </c>
      <c r="AB223" s="11" t="n"/>
      <c r="AC223" s="11" t="n"/>
      <c r="AD223" s="11" t="n"/>
      <c r="AE223" s="11" t="n"/>
      <c r="AF223" s="11" t="n"/>
      <c r="AG223" s="11" t="n"/>
      <c r="AH223" s="12">
        <f>IF(AB223="","",IFERROR(INDEX(DAFTAR_FIXTURE!$B$2:$B$51,MATCH(AB223,DAFTAR_FIXTURE!$A$2:$A$51,0)),""))</f>
        <v/>
      </c>
      <c r="AI223" s="12">
        <f>IF(AB223="","",IF(AH223="","CEK ID FIXTURE tidak ada di DAFTAR_FIXTURE",IF(AC223="","CEK ZONA NO kosong",IF(ISNA(MATCH(AH223&amp;"|"&amp;AC223,LAYOUT!$E$2:$E$80,0)),"CEK ZONA NO di luar layout",IF(AD223&lt;&gt;INDEX(LAYOUT!$D$2:$D$80,MATCH(AH223&amp;"|"&amp;AC223,LAYOUT!$E$2:$E$80,0)),"CEK JENIS ZONA",IF($D223="","Zona STOCK",IF($E223="","CEK SKU DESCRIPTION kosong",IF(AND(AE223&lt;&gt;"",AF223=""),"CEK URUTAN SAMBUNG kosong",IF(AND(AE223&lt;&gt;"",LEFT(AH223,6)="Endcap"),"CEK Endcap tidak ikut sambung","OK")))))))))</f>
        <v/>
      </c>
    </row>
    <row r="224">
      <c r="A224" s="10" t="n"/>
      <c r="B224" s="10" t="n"/>
      <c r="C224" s="10" t="n"/>
      <c r="D224" s="10" t="n"/>
      <c r="E224" s="10" t="n"/>
      <c r="F224" s="10" t="n"/>
      <c r="G224" s="10" t="n"/>
      <c r="H224" s="10" t="n"/>
      <c r="I224" s="10" t="n"/>
      <c r="J224" s="10" t="n"/>
      <c r="K224" s="10" t="n"/>
      <c r="L224" s="11" t="n"/>
      <c r="M224" s="11" t="n"/>
      <c r="N224" s="11" t="n"/>
      <c r="O224" s="11" t="n"/>
      <c r="P224" s="11" t="n"/>
      <c r="Q224" s="11" t="n"/>
      <c r="R224" s="12">
        <f>IF(L224="","",IFERROR(INDEX(DAFTAR_FIXTURE!$B$2:$B$51,MATCH(L224,DAFTAR_FIXTURE!$A$2:$A$51,0)),""))</f>
        <v/>
      </c>
      <c r="S224" s="12">
        <f>IF(AND($D224="",L224=""),"",IF(L224="",IF(AND(T224="",AB224=""),"Belum ditempatkan",""),IF(R224="","CEK ID FIXTURE tidak ada di DAFTAR_FIXTURE",IF(M224="","CEK ZONA NO kosong",IF(ISNA(MATCH(R224&amp;"|"&amp;M224,LAYOUT!$E$2:$E$80,0)),"CEK ZONA NO di luar layout",IF(N224&lt;&gt;INDEX(LAYOUT!$D$2:$D$80,MATCH(R224&amp;"|"&amp;M224,LAYOUT!$E$2:$E$80,0)),"CEK JENIS ZONA",IF($D224="","Zona STOCK",IF($E224="","CEK SKU DESCRIPTION kosong",IF(AND(O224&lt;&gt;"",P224=""),"CEK URUTAN SAMBUNG kosong",IF(AND(O224&lt;&gt;"",LEFT(R224,6)="Endcap"),"CEK Endcap tidak ikut sambung","OK"))))))))))</f>
        <v/>
      </c>
      <c r="T224" s="11" t="n"/>
      <c r="U224" s="11" t="n"/>
      <c r="V224" s="11" t="n"/>
      <c r="W224" s="11" t="n"/>
      <c r="X224" s="11" t="n"/>
      <c r="Y224" s="11" t="n"/>
      <c r="Z224" s="12">
        <f>IF(T224="","",IFERROR(INDEX(DAFTAR_FIXTURE!$B$2:$B$51,MATCH(T224,DAFTAR_FIXTURE!$A$2:$A$51,0)),""))</f>
        <v/>
      </c>
      <c r="AA224" s="12">
        <f>IF(T224="","",IF(Z224="","CEK ID FIXTURE tidak ada di DAFTAR_FIXTURE",IF(U224="","CEK ZONA NO kosong",IF(ISNA(MATCH(Z224&amp;"|"&amp;U224,LAYOUT!$E$2:$E$80,0)),"CEK ZONA NO di luar layout",IF(V224&lt;&gt;INDEX(LAYOUT!$D$2:$D$80,MATCH(Z224&amp;"|"&amp;U224,LAYOUT!$E$2:$E$80,0)),"CEK JENIS ZONA",IF($D224="","Zona STOCK",IF($E224="","CEK SKU DESCRIPTION kosong",IF(AND(W224&lt;&gt;"",X224=""),"CEK URUTAN SAMBUNG kosong",IF(AND(W224&lt;&gt;"",LEFT(Z224,6)="Endcap"),"CEK Endcap tidak ikut sambung","OK")))))))))</f>
        <v/>
      </c>
      <c r="AB224" s="11" t="n"/>
      <c r="AC224" s="11" t="n"/>
      <c r="AD224" s="11" t="n"/>
      <c r="AE224" s="11" t="n"/>
      <c r="AF224" s="11" t="n"/>
      <c r="AG224" s="11" t="n"/>
      <c r="AH224" s="12">
        <f>IF(AB224="","",IFERROR(INDEX(DAFTAR_FIXTURE!$B$2:$B$51,MATCH(AB224,DAFTAR_FIXTURE!$A$2:$A$51,0)),""))</f>
        <v/>
      </c>
      <c r="AI224" s="12">
        <f>IF(AB224="","",IF(AH224="","CEK ID FIXTURE tidak ada di DAFTAR_FIXTURE",IF(AC224="","CEK ZONA NO kosong",IF(ISNA(MATCH(AH224&amp;"|"&amp;AC224,LAYOUT!$E$2:$E$80,0)),"CEK ZONA NO di luar layout",IF(AD224&lt;&gt;INDEX(LAYOUT!$D$2:$D$80,MATCH(AH224&amp;"|"&amp;AC224,LAYOUT!$E$2:$E$80,0)),"CEK JENIS ZONA",IF($D224="","Zona STOCK",IF($E224="","CEK SKU DESCRIPTION kosong",IF(AND(AE224&lt;&gt;"",AF224=""),"CEK URUTAN SAMBUNG kosong",IF(AND(AE224&lt;&gt;"",LEFT(AH224,6)="Endcap"),"CEK Endcap tidak ikut sambung","OK")))))))))</f>
        <v/>
      </c>
    </row>
    <row r="225">
      <c r="A225" s="10" t="n"/>
      <c r="B225" s="10" t="n"/>
      <c r="C225" s="10" t="n"/>
      <c r="D225" s="10" t="n"/>
      <c r="E225" s="10" t="n"/>
      <c r="F225" s="10" t="n"/>
      <c r="G225" s="10" t="n"/>
      <c r="H225" s="10" t="n"/>
      <c r="I225" s="10" t="n"/>
      <c r="J225" s="10" t="n"/>
      <c r="K225" s="10" t="n"/>
      <c r="L225" s="11" t="n"/>
      <c r="M225" s="11" t="n"/>
      <c r="N225" s="11" t="n"/>
      <c r="O225" s="11" t="n"/>
      <c r="P225" s="11" t="n"/>
      <c r="Q225" s="11" t="n"/>
      <c r="R225" s="12">
        <f>IF(L225="","",IFERROR(INDEX(DAFTAR_FIXTURE!$B$2:$B$51,MATCH(L225,DAFTAR_FIXTURE!$A$2:$A$51,0)),""))</f>
        <v/>
      </c>
      <c r="S225" s="12">
        <f>IF(AND($D225="",L225=""),"",IF(L225="",IF(AND(T225="",AB225=""),"Belum ditempatkan",""),IF(R225="","CEK ID FIXTURE tidak ada di DAFTAR_FIXTURE",IF(M225="","CEK ZONA NO kosong",IF(ISNA(MATCH(R225&amp;"|"&amp;M225,LAYOUT!$E$2:$E$80,0)),"CEK ZONA NO di luar layout",IF(N225&lt;&gt;INDEX(LAYOUT!$D$2:$D$80,MATCH(R225&amp;"|"&amp;M225,LAYOUT!$E$2:$E$80,0)),"CEK JENIS ZONA",IF($D225="","Zona STOCK",IF($E225="","CEK SKU DESCRIPTION kosong",IF(AND(O225&lt;&gt;"",P225=""),"CEK URUTAN SAMBUNG kosong",IF(AND(O225&lt;&gt;"",LEFT(R225,6)="Endcap"),"CEK Endcap tidak ikut sambung","OK"))))))))))</f>
        <v/>
      </c>
      <c r="T225" s="11" t="n"/>
      <c r="U225" s="11" t="n"/>
      <c r="V225" s="11" t="n"/>
      <c r="W225" s="11" t="n"/>
      <c r="X225" s="11" t="n"/>
      <c r="Y225" s="11" t="n"/>
      <c r="Z225" s="12">
        <f>IF(T225="","",IFERROR(INDEX(DAFTAR_FIXTURE!$B$2:$B$51,MATCH(T225,DAFTAR_FIXTURE!$A$2:$A$51,0)),""))</f>
        <v/>
      </c>
      <c r="AA225" s="12">
        <f>IF(T225="","",IF(Z225="","CEK ID FIXTURE tidak ada di DAFTAR_FIXTURE",IF(U225="","CEK ZONA NO kosong",IF(ISNA(MATCH(Z225&amp;"|"&amp;U225,LAYOUT!$E$2:$E$80,0)),"CEK ZONA NO di luar layout",IF(V225&lt;&gt;INDEX(LAYOUT!$D$2:$D$80,MATCH(Z225&amp;"|"&amp;U225,LAYOUT!$E$2:$E$80,0)),"CEK JENIS ZONA",IF($D225="","Zona STOCK",IF($E225="","CEK SKU DESCRIPTION kosong",IF(AND(W225&lt;&gt;"",X225=""),"CEK URUTAN SAMBUNG kosong",IF(AND(W225&lt;&gt;"",LEFT(Z225,6)="Endcap"),"CEK Endcap tidak ikut sambung","OK")))))))))</f>
        <v/>
      </c>
      <c r="AB225" s="11" t="n"/>
      <c r="AC225" s="11" t="n"/>
      <c r="AD225" s="11" t="n"/>
      <c r="AE225" s="11" t="n"/>
      <c r="AF225" s="11" t="n"/>
      <c r="AG225" s="11" t="n"/>
      <c r="AH225" s="12">
        <f>IF(AB225="","",IFERROR(INDEX(DAFTAR_FIXTURE!$B$2:$B$51,MATCH(AB225,DAFTAR_FIXTURE!$A$2:$A$51,0)),""))</f>
        <v/>
      </c>
      <c r="AI225" s="12">
        <f>IF(AB225="","",IF(AH225="","CEK ID FIXTURE tidak ada di DAFTAR_FIXTURE",IF(AC225="","CEK ZONA NO kosong",IF(ISNA(MATCH(AH225&amp;"|"&amp;AC225,LAYOUT!$E$2:$E$80,0)),"CEK ZONA NO di luar layout",IF(AD225&lt;&gt;INDEX(LAYOUT!$D$2:$D$80,MATCH(AH225&amp;"|"&amp;AC225,LAYOUT!$E$2:$E$80,0)),"CEK JENIS ZONA",IF($D225="","Zona STOCK",IF($E225="","CEK SKU DESCRIPTION kosong",IF(AND(AE225&lt;&gt;"",AF225=""),"CEK URUTAN SAMBUNG kosong",IF(AND(AE225&lt;&gt;"",LEFT(AH225,6)="Endcap"),"CEK Endcap tidak ikut sambung","OK")))))))))</f>
        <v/>
      </c>
    </row>
    <row r="226">
      <c r="A226" s="10" t="n"/>
      <c r="B226" s="10" t="n"/>
      <c r="C226" s="10" t="n"/>
      <c r="D226" s="10" t="n"/>
      <c r="E226" s="10" t="n"/>
      <c r="F226" s="10" t="n"/>
      <c r="G226" s="10" t="n"/>
      <c r="H226" s="10" t="n"/>
      <c r="I226" s="10" t="n"/>
      <c r="J226" s="10" t="n"/>
      <c r="K226" s="10" t="n"/>
      <c r="L226" s="11" t="n"/>
      <c r="M226" s="11" t="n"/>
      <c r="N226" s="11" t="n"/>
      <c r="O226" s="11" t="n"/>
      <c r="P226" s="11" t="n"/>
      <c r="Q226" s="11" t="n"/>
      <c r="R226" s="12">
        <f>IF(L226="","",IFERROR(INDEX(DAFTAR_FIXTURE!$B$2:$B$51,MATCH(L226,DAFTAR_FIXTURE!$A$2:$A$51,0)),""))</f>
        <v/>
      </c>
      <c r="S226" s="12">
        <f>IF(AND($D226="",L226=""),"",IF(L226="",IF(AND(T226="",AB226=""),"Belum ditempatkan",""),IF(R226="","CEK ID FIXTURE tidak ada di DAFTAR_FIXTURE",IF(M226="","CEK ZONA NO kosong",IF(ISNA(MATCH(R226&amp;"|"&amp;M226,LAYOUT!$E$2:$E$80,0)),"CEK ZONA NO di luar layout",IF(N226&lt;&gt;INDEX(LAYOUT!$D$2:$D$80,MATCH(R226&amp;"|"&amp;M226,LAYOUT!$E$2:$E$80,0)),"CEK JENIS ZONA",IF($D226="","Zona STOCK",IF($E226="","CEK SKU DESCRIPTION kosong",IF(AND(O226&lt;&gt;"",P226=""),"CEK URUTAN SAMBUNG kosong",IF(AND(O226&lt;&gt;"",LEFT(R226,6)="Endcap"),"CEK Endcap tidak ikut sambung","OK"))))))))))</f>
        <v/>
      </c>
      <c r="T226" s="11" t="n"/>
      <c r="U226" s="11" t="n"/>
      <c r="V226" s="11" t="n"/>
      <c r="W226" s="11" t="n"/>
      <c r="X226" s="11" t="n"/>
      <c r="Y226" s="11" t="n"/>
      <c r="Z226" s="12">
        <f>IF(T226="","",IFERROR(INDEX(DAFTAR_FIXTURE!$B$2:$B$51,MATCH(T226,DAFTAR_FIXTURE!$A$2:$A$51,0)),""))</f>
        <v/>
      </c>
      <c r="AA226" s="12">
        <f>IF(T226="","",IF(Z226="","CEK ID FIXTURE tidak ada di DAFTAR_FIXTURE",IF(U226="","CEK ZONA NO kosong",IF(ISNA(MATCH(Z226&amp;"|"&amp;U226,LAYOUT!$E$2:$E$80,0)),"CEK ZONA NO di luar layout",IF(V226&lt;&gt;INDEX(LAYOUT!$D$2:$D$80,MATCH(Z226&amp;"|"&amp;U226,LAYOUT!$E$2:$E$80,0)),"CEK JENIS ZONA",IF($D226="","Zona STOCK",IF($E226="","CEK SKU DESCRIPTION kosong",IF(AND(W226&lt;&gt;"",X226=""),"CEK URUTAN SAMBUNG kosong",IF(AND(W226&lt;&gt;"",LEFT(Z226,6)="Endcap"),"CEK Endcap tidak ikut sambung","OK")))))))))</f>
        <v/>
      </c>
      <c r="AB226" s="11" t="n"/>
      <c r="AC226" s="11" t="n"/>
      <c r="AD226" s="11" t="n"/>
      <c r="AE226" s="11" t="n"/>
      <c r="AF226" s="11" t="n"/>
      <c r="AG226" s="11" t="n"/>
      <c r="AH226" s="12">
        <f>IF(AB226="","",IFERROR(INDEX(DAFTAR_FIXTURE!$B$2:$B$51,MATCH(AB226,DAFTAR_FIXTURE!$A$2:$A$51,0)),""))</f>
        <v/>
      </c>
      <c r="AI226" s="12">
        <f>IF(AB226="","",IF(AH226="","CEK ID FIXTURE tidak ada di DAFTAR_FIXTURE",IF(AC226="","CEK ZONA NO kosong",IF(ISNA(MATCH(AH226&amp;"|"&amp;AC226,LAYOUT!$E$2:$E$80,0)),"CEK ZONA NO di luar layout",IF(AD226&lt;&gt;INDEX(LAYOUT!$D$2:$D$80,MATCH(AH226&amp;"|"&amp;AC226,LAYOUT!$E$2:$E$80,0)),"CEK JENIS ZONA",IF($D226="","Zona STOCK",IF($E226="","CEK SKU DESCRIPTION kosong",IF(AND(AE226&lt;&gt;"",AF226=""),"CEK URUTAN SAMBUNG kosong",IF(AND(AE226&lt;&gt;"",LEFT(AH226,6)="Endcap"),"CEK Endcap tidak ikut sambung","OK")))))))))</f>
        <v/>
      </c>
    </row>
    <row r="227">
      <c r="A227" s="10" t="n"/>
      <c r="B227" s="10" t="n"/>
      <c r="C227" s="10" t="n"/>
      <c r="D227" s="10" t="n"/>
      <c r="E227" s="10" t="n"/>
      <c r="F227" s="10" t="n"/>
      <c r="G227" s="10" t="n"/>
      <c r="H227" s="10" t="n"/>
      <c r="I227" s="10" t="n"/>
      <c r="J227" s="10" t="n"/>
      <c r="K227" s="10" t="n"/>
      <c r="L227" s="11" t="n"/>
      <c r="M227" s="11" t="n"/>
      <c r="N227" s="11" t="n"/>
      <c r="O227" s="11" t="n"/>
      <c r="P227" s="11" t="n"/>
      <c r="Q227" s="11" t="n"/>
      <c r="R227" s="12">
        <f>IF(L227="","",IFERROR(INDEX(DAFTAR_FIXTURE!$B$2:$B$51,MATCH(L227,DAFTAR_FIXTURE!$A$2:$A$51,0)),""))</f>
        <v/>
      </c>
      <c r="S227" s="12">
        <f>IF(AND($D227="",L227=""),"",IF(L227="",IF(AND(T227="",AB227=""),"Belum ditempatkan",""),IF(R227="","CEK ID FIXTURE tidak ada di DAFTAR_FIXTURE",IF(M227="","CEK ZONA NO kosong",IF(ISNA(MATCH(R227&amp;"|"&amp;M227,LAYOUT!$E$2:$E$80,0)),"CEK ZONA NO di luar layout",IF(N227&lt;&gt;INDEX(LAYOUT!$D$2:$D$80,MATCH(R227&amp;"|"&amp;M227,LAYOUT!$E$2:$E$80,0)),"CEK JENIS ZONA",IF($D227="","Zona STOCK",IF($E227="","CEK SKU DESCRIPTION kosong",IF(AND(O227&lt;&gt;"",P227=""),"CEK URUTAN SAMBUNG kosong",IF(AND(O227&lt;&gt;"",LEFT(R227,6)="Endcap"),"CEK Endcap tidak ikut sambung","OK"))))))))))</f>
        <v/>
      </c>
      <c r="T227" s="11" t="n"/>
      <c r="U227" s="11" t="n"/>
      <c r="V227" s="11" t="n"/>
      <c r="W227" s="11" t="n"/>
      <c r="X227" s="11" t="n"/>
      <c r="Y227" s="11" t="n"/>
      <c r="Z227" s="12">
        <f>IF(T227="","",IFERROR(INDEX(DAFTAR_FIXTURE!$B$2:$B$51,MATCH(T227,DAFTAR_FIXTURE!$A$2:$A$51,0)),""))</f>
        <v/>
      </c>
      <c r="AA227" s="12">
        <f>IF(T227="","",IF(Z227="","CEK ID FIXTURE tidak ada di DAFTAR_FIXTURE",IF(U227="","CEK ZONA NO kosong",IF(ISNA(MATCH(Z227&amp;"|"&amp;U227,LAYOUT!$E$2:$E$80,0)),"CEK ZONA NO di luar layout",IF(V227&lt;&gt;INDEX(LAYOUT!$D$2:$D$80,MATCH(Z227&amp;"|"&amp;U227,LAYOUT!$E$2:$E$80,0)),"CEK JENIS ZONA",IF($D227="","Zona STOCK",IF($E227="","CEK SKU DESCRIPTION kosong",IF(AND(W227&lt;&gt;"",X227=""),"CEK URUTAN SAMBUNG kosong",IF(AND(W227&lt;&gt;"",LEFT(Z227,6)="Endcap"),"CEK Endcap tidak ikut sambung","OK")))))))))</f>
        <v/>
      </c>
      <c r="AB227" s="11" t="n"/>
      <c r="AC227" s="11" t="n"/>
      <c r="AD227" s="11" t="n"/>
      <c r="AE227" s="11" t="n"/>
      <c r="AF227" s="11" t="n"/>
      <c r="AG227" s="11" t="n"/>
      <c r="AH227" s="12">
        <f>IF(AB227="","",IFERROR(INDEX(DAFTAR_FIXTURE!$B$2:$B$51,MATCH(AB227,DAFTAR_FIXTURE!$A$2:$A$51,0)),""))</f>
        <v/>
      </c>
      <c r="AI227" s="12">
        <f>IF(AB227="","",IF(AH227="","CEK ID FIXTURE tidak ada di DAFTAR_FIXTURE",IF(AC227="","CEK ZONA NO kosong",IF(ISNA(MATCH(AH227&amp;"|"&amp;AC227,LAYOUT!$E$2:$E$80,0)),"CEK ZONA NO di luar layout",IF(AD227&lt;&gt;INDEX(LAYOUT!$D$2:$D$80,MATCH(AH227&amp;"|"&amp;AC227,LAYOUT!$E$2:$E$80,0)),"CEK JENIS ZONA",IF($D227="","Zona STOCK",IF($E227="","CEK SKU DESCRIPTION kosong",IF(AND(AE227&lt;&gt;"",AF227=""),"CEK URUTAN SAMBUNG kosong",IF(AND(AE227&lt;&gt;"",LEFT(AH227,6)="Endcap"),"CEK Endcap tidak ikut sambung","OK")))))))))</f>
        <v/>
      </c>
    </row>
    <row r="228">
      <c r="A228" s="10" t="n"/>
      <c r="B228" s="10" t="n"/>
      <c r="C228" s="10" t="n"/>
      <c r="D228" s="10" t="n"/>
      <c r="E228" s="10" t="n"/>
      <c r="F228" s="10" t="n"/>
      <c r="G228" s="10" t="n"/>
      <c r="H228" s="10" t="n"/>
      <c r="I228" s="10" t="n"/>
      <c r="J228" s="10" t="n"/>
      <c r="K228" s="10" t="n"/>
      <c r="L228" s="11" t="n"/>
      <c r="M228" s="11" t="n"/>
      <c r="N228" s="11" t="n"/>
      <c r="O228" s="11" t="n"/>
      <c r="P228" s="11" t="n"/>
      <c r="Q228" s="11" t="n"/>
      <c r="R228" s="12">
        <f>IF(L228="","",IFERROR(INDEX(DAFTAR_FIXTURE!$B$2:$B$51,MATCH(L228,DAFTAR_FIXTURE!$A$2:$A$51,0)),""))</f>
        <v/>
      </c>
      <c r="S228" s="12">
        <f>IF(AND($D228="",L228=""),"",IF(L228="",IF(AND(T228="",AB228=""),"Belum ditempatkan",""),IF(R228="","CEK ID FIXTURE tidak ada di DAFTAR_FIXTURE",IF(M228="","CEK ZONA NO kosong",IF(ISNA(MATCH(R228&amp;"|"&amp;M228,LAYOUT!$E$2:$E$80,0)),"CEK ZONA NO di luar layout",IF(N228&lt;&gt;INDEX(LAYOUT!$D$2:$D$80,MATCH(R228&amp;"|"&amp;M228,LAYOUT!$E$2:$E$80,0)),"CEK JENIS ZONA",IF($D228="","Zona STOCK",IF($E228="","CEK SKU DESCRIPTION kosong",IF(AND(O228&lt;&gt;"",P228=""),"CEK URUTAN SAMBUNG kosong",IF(AND(O228&lt;&gt;"",LEFT(R228,6)="Endcap"),"CEK Endcap tidak ikut sambung","OK"))))))))))</f>
        <v/>
      </c>
      <c r="T228" s="11" t="n"/>
      <c r="U228" s="11" t="n"/>
      <c r="V228" s="11" t="n"/>
      <c r="W228" s="11" t="n"/>
      <c r="X228" s="11" t="n"/>
      <c r="Y228" s="11" t="n"/>
      <c r="Z228" s="12">
        <f>IF(T228="","",IFERROR(INDEX(DAFTAR_FIXTURE!$B$2:$B$51,MATCH(T228,DAFTAR_FIXTURE!$A$2:$A$51,0)),""))</f>
        <v/>
      </c>
      <c r="AA228" s="12">
        <f>IF(T228="","",IF(Z228="","CEK ID FIXTURE tidak ada di DAFTAR_FIXTURE",IF(U228="","CEK ZONA NO kosong",IF(ISNA(MATCH(Z228&amp;"|"&amp;U228,LAYOUT!$E$2:$E$80,0)),"CEK ZONA NO di luar layout",IF(V228&lt;&gt;INDEX(LAYOUT!$D$2:$D$80,MATCH(Z228&amp;"|"&amp;U228,LAYOUT!$E$2:$E$80,0)),"CEK JENIS ZONA",IF($D228="","Zona STOCK",IF($E228="","CEK SKU DESCRIPTION kosong",IF(AND(W228&lt;&gt;"",X228=""),"CEK URUTAN SAMBUNG kosong",IF(AND(W228&lt;&gt;"",LEFT(Z228,6)="Endcap"),"CEK Endcap tidak ikut sambung","OK")))))))))</f>
        <v/>
      </c>
      <c r="AB228" s="11" t="n"/>
      <c r="AC228" s="11" t="n"/>
      <c r="AD228" s="11" t="n"/>
      <c r="AE228" s="11" t="n"/>
      <c r="AF228" s="11" t="n"/>
      <c r="AG228" s="11" t="n"/>
      <c r="AH228" s="12">
        <f>IF(AB228="","",IFERROR(INDEX(DAFTAR_FIXTURE!$B$2:$B$51,MATCH(AB228,DAFTAR_FIXTURE!$A$2:$A$51,0)),""))</f>
        <v/>
      </c>
      <c r="AI228" s="12">
        <f>IF(AB228="","",IF(AH228="","CEK ID FIXTURE tidak ada di DAFTAR_FIXTURE",IF(AC228="","CEK ZONA NO kosong",IF(ISNA(MATCH(AH228&amp;"|"&amp;AC228,LAYOUT!$E$2:$E$80,0)),"CEK ZONA NO di luar layout",IF(AD228&lt;&gt;INDEX(LAYOUT!$D$2:$D$80,MATCH(AH228&amp;"|"&amp;AC228,LAYOUT!$E$2:$E$80,0)),"CEK JENIS ZONA",IF($D228="","Zona STOCK",IF($E228="","CEK SKU DESCRIPTION kosong",IF(AND(AE228&lt;&gt;"",AF228=""),"CEK URUTAN SAMBUNG kosong",IF(AND(AE228&lt;&gt;"",LEFT(AH228,6)="Endcap"),"CEK Endcap tidak ikut sambung","OK")))))))))</f>
        <v/>
      </c>
    </row>
    <row r="229">
      <c r="A229" s="10" t="n"/>
      <c r="B229" s="10" t="n"/>
      <c r="C229" s="10" t="n"/>
      <c r="D229" s="10" t="n"/>
      <c r="E229" s="10" t="n"/>
      <c r="F229" s="10" t="n"/>
      <c r="G229" s="10" t="n"/>
      <c r="H229" s="10" t="n"/>
      <c r="I229" s="10" t="n"/>
      <c r="J229" s="10" t="n"/>
      <c r="K229" s="10" t="n"/>
      <c r="L229" s="11" t="n"/>
      <c r="M229" s="11" t="n"/>
      <c r="N229" s="11" t="n"/>
      <c r="O229" s="11" t="n"/>
      <c r="P229" s="11" t="n"/>
      <c r="Q229" s="11" t="n"/>
      <c r="R229" s="12">
        <f>IF(L229="","",IFERROR(INDEX(DAFTAR_FIXTURE!$B$2:$B$51,MATCH(L229,DAFTAR_FIXTURE!$A$2:$A$51,0)),""))</f>
        <v/>
      </c>
      <c r="S229" s="12">
        <f>IF(AND($D229="",L229=""),"",IF(L229="",IF(AND(T229="",AB229=""),"Belum ditempatkan",""),IF(R229="","CEK ID FIXTURE tidak ada di DAFTAR_FIXTURE",IF(M229="","CEK ZONA NO kosong",IF(ISNA(MATCH(R229&amp;"|"&amp;M229,LAYOUT!$E$2:$E$80,0)),"CEK ZONA NO di luar layout",IF(N229&lt;&gt;INDEX(LAYOUT!$D$2:$D$80,MATCH(R229&amp;"|"&amp;M229,LAYOUT!$E$2:$E$80,0)),"CEK JENIS ZONA",IF($D229="","Zona STOCK",IF($E229="","CEK SKU DESCRIPTION kosong",IF(AND(O229&lt;&gt;"",P229=""),"CEK URUTAN SAMBUNG kosong",IF(AND(O229&lt;&gt;"",LEFT(R229,6)="Endcap"),"CEK Endcap tidak ikut sambung","OK"))))))))))</f>
        <v/>
      </c>
      <c r="T229" s="11" t="n"/>
      <c r="U229" s="11" t="n"/>
      <c r="V229" s="11" t="n"/>
      <c r="W229" s="11" t="n"/>
      <c r="X229" s="11" t="n"/>
      <c r="Y229" s="11" t="n"/>
      <c r="Z229" s="12">
        <f>IF(T229="","",IFERROR(INDEX(DAFTAR_FIXTURE!$B$2:$B$51,MATCH(T229,DAFTAR_FIXTURE!$A$2:$A$51,0)),""))</f>
        <v/>
      </c>
      <c r="AA229" s="12">
        <f>IF(T229="","",IF(Z229="","CEK ID FIXTURE tidak ada di DAFTAR_FIXTURE",IF(U229="","CEK ZONA NO kosong",IF(ISNA(MATCH(Z229&amp;"|"&amp;U229,LAYOUT!$E$2:$E$80,0)),"CEK ZONA NO di luar layout",IF(V229&lt;&gt;INDEX(LAYOUT!$D$2:$D$80,MATCH(Z229&amp;"|"&amp;U229,LAYOUT!$E$2:$E$80,0)),"CEK JENIS ZONA",IF($D229="","Zona STOCK",IF($E229="","CEK SKU DESCRIPTION kosong",IF(AND(W229&lt;&gt;"",X229=""),"CEK URUTAN SAMBUNG kosong",IF(AND(W229&lt;&gt;"",LEFT(Z229,6)="Endcap"),"CEK Endcap tidak ikut sambung","OK")))))))))</f>
        <v/>
      </c>
      <c r="AB229" s="11" t="n"/>
      <c r="AC229" s="11" t="n"/>
      <c r="AD229" s="11" t="n"/>
      <c r="AE229" s="11" t="n"/>
      <c r="AF229" s="11" t="n"/>
      <c r="AG229" s="11" t="n"/>
      <c r="AH229" s="12">
        <f>IF(AB229="","",IFERROR(INDEX(DAFTAR_FIXTURE!$B$2:$B$51,MATCH(AB229,DAFTAR_FIXTURE!$A$2:$A$51,0)),""))</f>
        <v/>
      </c>
      <c r="AI229" s="12">
        <f>IF(AB229="","",IF(AH229="","CEK ID FIXTURE tidak ada di DAFTAR_FIXTURE",IF(AC229="","CEK ZONA NO kosong",IF(ISNA(MATCH(AH229&amp;"|"&amp;AC229,LAYOUT!$E$2:$E$80,0)),"CEK ZONA NO di luar layout",IF(AD229&lt;&gt;INDEX(LAYOUT!$D$2:$D$80,MATCH(AH229&amp;"|"&amp;AC229,LAYOUT!$E$2:$E$80,0)),"CEK JENIS ZONA",IF($D229="","Zona STOCK",IF($E229="","CEK SKU DESCRIPTION kosong",IF(AND(AE229&lt;&gt;"",AF229=""),"CEK URUTAN SAMBUNG kosong",IF(AND(AE229&lt;&gt;"",LEFT(AH229,6)="Endcap"),"CEK Endcap tidak ikut sambung","OK")))))))))</f>
        <v/>
      </c>
    </row>
    <row r="230">
      <c r="A230" s="10" t="n"/>
      <c r="B230" s="10" t="n"/>
      <c r="C230" s="10" t="n"/>
      <c r="D230" s="10" t="n"/>
      <c r="E230" s="10" t="n"/>
      <c r="F230" s="10" t="n"/>
      <c r="G230" s="10" t="n"/>
      <c r="H230" s="10" t="n"/>
      <c r="I230" s="10" t="n"/>
      <c r="J230" s="10" t="n"/>
      <c r="K230" s="10" t="n"/>
      <c r="L230" s="11" t="n"/>
      <c r="M230" s="11" t="n"/>
      <c r="N230" s="11" t="n"/>
      <c r="O230" s="11" t="n"/>
      <c r="P230" s="11" t="n"/>
      <c r="Q230" s="11" t="n"/>
      <c r="R230" s="12">
        <f>IF(L230="","",IFERROR(INDEX(DAFTAR_FIXTURE!$B$2:$B$51,MATCH(L230,DAFTAR_FIXTURE!$A$2:$A$51,0)),""))</f>
        <v/>
      </c>
      <c r="S230" s="12">
        <f>IF(AND($D230="",L230=""),"",IF(L230="",IF(AND(T230="",AB230=""),"Belum ditempatkan",""),IF(R230="","CEK ID FIXTURE tidak ada di DAFTAR_FIXTURE",IF(M230="","CEK ZONA NO kosong",IF(ISNA(MATCH(R230&amp;"|"&amp;M230,LAYOUT!$E$2:$E$80,0)),"CEK ZONA NO di luar layout",IF(N230&lt;&gt;INDEX(LAYOUT!$D$2:$D$80,MATCH(R230&amp;"|"&amp;M230,LAYOUT!$E$2:$E$80,0)),"CEK JENIS ZONA",IF($D230="","Zona STOCK",IF($E230="","CEK SKU DESCRIPTION kosong",IF(AND(O230&lt;&gt;"",P230=""),"CEK URUTAN SAMBUNG kosong",IF(AND(O230&lt;&gt;"",LEFT(R230,6)="Endcap"),"CEK Endcap tidak ikut sambung","OK"))))))))))</f>
        <v/>
      </c>
      <c r="T230" s="11" t="n"/>
      <c r="U230" s="11" t="n"/>
      <c r="V230" s="11" t="n"/>
      <c r="W230" s="11" t="n"/>
      <c r="X230" s="11" t="n"/>
      <c r="Y230" s="11" t="n"/>
      <c r="Z230" s="12">
        <f>IF(T230="","",IFERROR(INDEX(DAFTAR_FIXTURE!$B$2:$B$51,MATCH(T230,DAFTAR_FIXTURE!$A$2:$A$51,0)),""))</f>
        <v/>
      </c>
      <c r="AA230" s="12">
        <f>IF(T230="","",IF(Z230="","CEK ID FIXTURE tidak ada di DAFTAR_FIXTURE",IF(U230="","CEK ZONA NO kosong",IF(ISNA(MATCH(Z230&amp;"|"&amp;U230,LAYOUT!$E$2:$E$80,0)),"CEK ZONA NO di luar layout",IF(V230&lt;&gt;INDEX(LAYOUT!$D$2:$D$80,MATCH(Z230&amp;"|"&amp;U230,LAYOUT!$E$2:$E$80,0)),"CEK JENIS ZONA",IF($D230="","Zona STOCK",IF($E230="","CEK SKU DESCRIPTION kosong",IF(AND(W230&lt;&gt;"",X230=""),"CEK URUTAN SAMBUNG kosong",IF(AND(W230&lt;&gt;"",LEFT(Z230,6)="Endcap"),"CEK Endcap tidak ikut sambung","OK")))))))))</f>
        <v/>
      </c>
      <c r="AB230" s="11" t="n"/>
      <c r="AC230" s="11" t="n"/>
      <c r="AD230" s="11" t="n"/>
      <c r="AE230" s="11" t="n"/>
      <c r="AF230" s="11" t="n"/>
      <c r="AG230" s="11" t="n"/>
      <c r="AH230" s="12">
        <f>IF(AB230="","",IFERROR(INDEX(DAFTAR_FIXTURE!$B$2:$B$51,MATCH(AB230,DAFTAR_FIXTURE!$A$2:$A$51,0)),""))</f>
        <v/>
      </c>
      <c r="AI230" s="12">
        <f>IF(AB230="","",IF(AH230="","CEK ID FIXTURE tidak ada di DAFTAR_FIXTURE",IF(AC230="","CEK ZONA NO kosong",IF(ISNA(MATCH(AH230&amp;"|"&amp;AC230,LAYOUT!$E$2:$E$80,0)),"CEK ZONA NO di luar layout",IF(AD230&lt;&gt;INDEX(LAYOUT!$D$2:$D$80,MATCH(AH230&amp;"|"&amp;AC230,LAYOUT!$E$2:$E$80,0)),"CEK JENIS ZONA",IF($D230="","Zona STOCK",IF($E230="","CEK SKU DESCRIPTION kosong",IF(AND(AE230&lt;&gt;"",AF230=""),"CEK URUTAN SAMBUNG kosong",IF(AND(AE230&lt;&gt;"",LEFT(AH230,6)="Endcap"),"CEK Endcap tidak ikut sambung","OK")))))))))</f>
        <v/>
      </c>
    </row>
    <row r="231">
      <c r="A231" s="10" t="n"/>
      <c r="B231" s="10" t="n"/>
      <c r="C231" s="10" t="n"/>
      <c r="D231" s="10" t="n"/>
      <c r="E231" s="10" t="n"/>
      <c r="F231" s="10" t="n"/>
      <c r="G231" s="10" t="n"/>
      <c r="H231" s="10" t="n"/>
      <c r="I231" s="10" t="n"/>
      <c r="J231" s="10" t="n"/>
      <c r="K231" s="10" t="n"/>
      <c r="L231" s="11" t="n"/>
      <c r="M231" s="11" t="n"/>
      <c r="N231" s="11" t="n"/>
      <c r="O231" s="11" t="n"/>
      <c r="P231" s="11" t="n"/>
      <c r="Q231" s="11" t="n"/>
      <c r="R231" s="12">
        <f>IF(L231="","",IFERROR(INDEX(DAFTAR_FIXTURE!$B$2:$B$51,MATCH(L231,DAFTAR_FIXTURE!$A$2:$A$51,0)),""))</f>
        <v/>
      </c>
      <c r="S231" s="12">
        <f>IF(AND($D231="",L231=""),"",IF(L231="",IF(AND(T231="",AB231=""),"Belum ditempatkan",""),IF(R231="","CEK ID FIXTURE tidak ada di DAFTAR_FIXTURE",IF(M231="","CEK ZONA NO kosong",IF(ISNA(MATCH(R231&amp;"|"&amp;M231,LAYOUT!$E$2:$E$80,0)),"CEK ZONA NO di luar layout",IF(N231&lt;&gt;INDEX(LAYOUT!$D$2:$D$80,MATCH(R231&amp;"|"&amp;M231,LAYOUT!$E$2:$E$80,0)),"CEK JENIS ZONA",IF($D231="","Zona STOCK",IF($E231="","CEK SKU DESCRIPTION kosong",IF(AND(O231&lt;&gt;"",P231=""),"CEK URUTAN SAMBUNG kosong",IF(AND(O231&lt;&gt;"",LEFT(R231,6)="Endcap"),"CEK Endcap tidak ikut sambung","OK"))))))))))</f>
        <v/>
      </c>
      <c r="T231" s="11" t="n"/>
      <c r="U231" s="11" t="n"/>
      <c r="V231" s="11" t="n"/>
      <c r="W231" s="11" t="n"/>
      <c r="X231" s="11" t="n"/>
      <c r="Y231" s="11" t="n"/>
      <c r="Z231" s="12">
        <f>IF(T231="","",IFERROR(INDEX(DAFTAR_FIXTURE!$B$2:$B$51,MATCH(T231,DAFTAR_FIXTURE!$A$2:$A$51,0)),""))</f>
        <v/>
      </c>
      <c r="AA231" s="12">
        <f>IF(T231="","",IF(Z231="","CEK ID FIXTURE tidak ada di DAFTAR_FIXTURE",IF(U231="","CEK ZONA NO kosong",IF(ISNA(MATCH(Z231&amp;"|"&amp;U231,LAYOUT!$E$2:$E$80,0)),"CEK ZONA NO di luar layout",IF(V231&lt;&gt;INDEX(LAYOUT!$D$2:$D$80,MATCH(Z231&amp;"|"&amp;U231,LAYOUT!$E$2:$E$80,0)),"CEK JENIS ZONA",IF($D231="","Zona STOCK",IF($E231="","CEK SKU DESCRIPTION kosong",IF(AND(W231&lt;&gt;"",X231=""),"CEK URUTAN SAMBUNG kosong",IF(AND(W231&lt;&gt;"",LEFT(Z231,6)="Endcap"),"CEK Endcap tidak ikut sambung","OK")))))))))</f>
        <v/>
      </c>
      <c r="AB231" s="11" t="n"/>
      <c r="AC231" s="11" t="n"/>
      <c r="AD231" s="11" t="n"/>
      <c r="AE231" s="11" t="n"/>
      <c r="AF231" s="11" t="n"/>
      <c r="AG231" s="11" t="n"/>
      <c r="AH231" s="12">
        <f>IF(AB231="","",IFERROR(INDEX(DAFTAR_FIXTURE!$B$2:$B$51,MATCH(AB231,DAFTAR_FIXTURE!$A$2:$A$51,0)),""))</f>
        <v/>
      </c>
      <c r="AI231" s="12">
        <f>IF(AB231="","",IF(AH231="","CEK ID FIXTURE tidak ada di DAFTAR_FIXTURE",IF(AC231="","CEK ZONA NO kosong",IF(ISNA(MATCH(AH231&amp;"|"&amp;AC231,LAYOUT!$E$2:$E$80,0)),"CEK ZONA NO di luar layout",IF(AD231&lt;&gt;INDEX(LAYOUT!$D$2:$D$80,MATCH(AH231&amp;"|"&amp;AC231,LAYOUT!$E$2:$E$80,0)),"CEK JENIS ZONA",IF($D231="","Zona STOCK",IF($E231="","CEK SKU DESCRIPTION kosong",IF(AND(AE231&lt;&gt;"",AF231=""),"CEK URUTAN SAMBUNG kosong",IF(AND(AE231&lt;&gt;"",LEFT(AH231,6)="Endcap"),"CEK Endcap tidak ikut sambung","OK")))))))))</f>
        <v/>
      </c>
    </row>
    <row r="232">
      <c r="A232" s="10" t="n"/>
      <c r="B232" s="10" t="n"/>
      <c r="C232" s="10" t="n"/>
      <c r="D232" s="10" t="n"/>
      <c r="E232" s="10" t="n"/>
      <c r="F232" s="10" t="n"/>
      <c r="G232" s="10" t="n"/>
      <c r="H232" s="10" t="n"/>
      <c r="I232" s="10" t="n"/>
      <c r="J232" s="10" t="n"/>
      <c r="K232" s="10" t="n"/>
      <c r="L232" s="11" t="n"/>
      <c r="M232" s="11" t="n"/>
      <c r="N232" s="11" t="n"/>
      <c r="O232" s="11" t="n"/>
      <c r="P232" s="11" t="n"/>
      <c r="Q232" s="11" t="n"/>
      <c r="R232" s="12">
        <f>IF(L232="","",IFERROR(INDEX(DAFTAR_FIXTURE!$B$2:$B$51,MATCH(L232,DAFTAR_FIXTURE!$A$2:$A$51,0)),""))</f>
        <v/>
      </c>
      <c r="S232" s="12">
        <f>IF(AND($D232="",L232=""),"",IF(L232="",IF(AND(T232="",AB232=""),"Belum ditempatkan",""),IF(R232="","CEK ID FIXTURE tidak ada di DAFTAR_FIXTURE",IF(M232="","CEK ZONA NO kosong",IF(ISNA(MATCH(R232&amp;"|"&amp;M232,LAYOUT!$E$2:$E$80,0)),"CEK ZONA NO di luar layout",IF(N232&lt;&gt;INDEX(LAYOUT!$D$2:$D$80,MATCH(R232&amp;"|"&amp;M232,LAYOUT!$E$2:$E$80,0)),"CEK JENIS ZONA",IF($D232="","Zona STOCK",IF($E232="","CEK SKU DESCRIPTION kosong",IF(AND(O232&lt;&gt;"",P232=""),"CEK URUTAN SAMBUNG kosong",IF(AND(O232&lt;&gt;"",LEFT(R232,6)="Endcap"),"CEK Endcap tidak ikut sambung","OK"))))))))))</f>
        <v/>
      </c>
      <c r="T232" s="11" t="n"/>
      <c r="U232" s="11" t="n"/>
      <c r="V232" s="11" t="n"/>
      <c r="W232" s="11" t="n"/>
      <c r="X232" s="11" t="n"/>
      <c r="Y232" s="11" t="n"/>
      <c r="Z232" s="12">
        <f>IF(T232="","",IFERROR(INDEX(DAFTAR_FIXTURE!$B$2:$B$51,MATCH(T232,DAFTAR_FIXTURE!$A$2:$A$51,0)),""))</f>
        <v/>
      </c>
      <c r="AA232" s="12">
        <f>IF(T232="","",IF(Z232="","CEK ID FIXTURE tidak ada di DAFTAR_FIXTURE",IF(U232="","CEK ZONA NO kosong",IF(ISNA(MATCH(Z232&amp;"|"&amp;U232,LAYOUT!$E$2:$E$80,0)),"CEK ZONA NO di luar layout",IF(V232&lt;&gt;INDEX(LAYOUT!$D$2:$D$80,MATCH(Z232&amp;"|"&amp;U232,LAYOUT!$E$2:$E$80,0)),"CEK JENIS ZONA",IF($D232="","Zona STOCK",IF($E232="","CEK SKU DESCRIPTION kosong",IF(AND(W232&lt;&gt;"",X232=""),"CEK URUTAN SAMBUNG kosong",IF(AND(W232&lt;&gt;"",LEFT(Z232,6)="Endcap"),"CEK Endcap tidak ikut sambung","OK")))))))))</f>
        <v/>
      </c>
      <c r="AB232" s="11" t="n"/>
      <c r="AC232" s="11" t="n"/>
      <c r="AD232" s="11" t="n"/>
      <c r="AE232" s="11" t="n"/>
      <c r="AF232" s="11" t="n"/>
      <c r="AG232" s="11" t="n"/>
      <c r="AH232" s="12">
        <f>IF(AB232="","",IFERROR(INDEX(DAFTAR_FIXTURE!$B$2:$B$51,MATCH(AB232,DAFTAR_FIXTURE!$A$2:$A$51,0)),""))</f>
        <v/>
      </c>
      <c r="AI232" s="12">
        <f>IF(AB232="","",IF(AH232="","CEK ID FIXTURE tidak ada di DAFTAR_FIXTURE",IF(AC232="","CEK ZONA NO kosong",IF(ISNA(MATCH(AH232&amp;"|"&amp;AC232,LAYOUT!$E$2:$E$80,0)),"CEK ZONA NO di luar layout",IF(AD232&lt;&gt;INDEX(LAYOUT!$D$2:$D$80,MATCH(AH232&amp;"|"&amp;AC232,LAYOUT!$E$2:$E$80,0)),"CEK JENIS ZONA",IF($D232="","Zona STOCK",IF($E232="","CEK SKU DESCRIPTION kosong",IF(AND(AE232&lt;&gt;"",AF232=""),"CEK URUTAN SAMBUNG kosong",IF(AND(AE232&lt;&gt;"",LEFT(AH232,6)="Endcap"),"CEK Endcap tidak ikut sambung","OK")))))))))</f>
        <v/>
      </c>
    </row>
    <row r="233">
      <c r="A233" s="10" t="n"/>
      <c r="B233" s="10" t="n"/>
      <c r="C233" s="10" t="n"/>
      <c r="D233" s="10" t="n"/>
      <c r="E233" s="10" t="n"/>
      <c r="F233" s="10" t="n"/>
      <c r="G233" s="10" t="n"/>
      <c r="H233" s="10" t="n"/>
      <c r="I233" s="10" t="n"/>
      <c r="J233" s="10" t="n"/>
      <c r="K233" s="10" t="n"/>
      <c r="L233" s="11" t="n"/>
      <c r="M233" s="11" t="n"/>
      <c r="N233" s="11" t="n"/>
      <c r="O233" s="11" t="n"/>
      <c r="P233" s="11" t="n"/>
      <c r="Q233" s="11" t="n"/>
      <c r="R233" s="12">
        <f>IF(L233="","",IFERROR(INDEX(DAFTAR_FIXTURE!$B$2:$B$51,MATCH(L233,DAFTAR_FIXTURE!$A$2:$A$51,0)),""))</f>
        <v/>
      </c>
      <c r="S233" s="12">
        <f>IF(AND($D233="",L233=""),"",IF(L233="",IF(AND(T233="",AB233=""),"Belum ditempatkan",""),IF(R233="","CEK ID FIXTURE tidak ada di DAFTAR_FIXTURE",IF(M233="","CEK ZONA NO kosong",IF(ISNA(MATCH(R233&amp;"|"&amp;M233,LAYOUT!$E$2:$E$80,0)),"CEK ZONA NO di luar layout",IF(N233&lt;&gt;INDEX(LAYOUT!$D$2:$D$80,MATCH(R233&amp;"|"&amp;M233,LAYOUT!$E$2:$E$80,0)),"CEK JENIS ZONA",IF($D233="","Zona STOCK",IF($E233="","CEK SKU DESCRIPTION kosong",IF(AND(O233&lt;&gt;"",P233=""),"CEK URUTAN SAMBUNG kosong",IF(AND(O233&lt;&gt;"",LEFT(R233,6)="Endcap"),"CEK Endcap tidak ikut sambung","OK"))))))))))</f>
        <v/>
      </c>
      <c r="T233" s="11" t="n"/>
      <c r="U233" s="11" t="n"/>
      <c r="V233" s="11" t="n"/>
      <c r="W233" s="11" t="n"/>
      <c r="X233" s="11" t="n"/>
      <c r="Y233" s="11" t="n"/>
      <c r="Z233" s="12">
        <f>IF(T233="","",IFERROR(INDEX(DAFTAR_FIXTURE!$B$2:$B$51,MATCH(T233,DAFTAR_FIXTURE!$A$2:$A$51,0)),""))</f>
        <v/>
      </c>
      <c r="AA233" s="12">
        <f>IF(T233="","",IF(Z233="","CEK ID FIXTURE tidak ada di DAFTAR_FIXTURE",IF(U233="","CEK ZONA NO kosong",IF(ISNA(MATCH(Z233&amp;"|"&amp;U233,LAYOUT!$E$2:$E$80,0)),"CEK ZONA NO di luar layout",IF(V233&lt;&gt;INDEX(LAYOUT!$D$2:$D$80,MATCH(Z233&amp;"|"&amp;U233,LAYOUT!$E$2:$E$80,0)),"CEK JENIS ZONA",IF($D233="","Zona STOCK",IF($E233="","CEK SKU DESCRIPTION kosong",IF(AND(W233&lt;&gt;"",X233=""),"CEK URUTAN SAMBUNG kosong",IF(AND(W233&lt;&gt;"",LEFT(Z233,6)="Endcap"),"CEK Endcap tidak ikut sambung","OK")))))))))</f>
        <v/>
      </c>
      <c r="AB233" s="11" t="n"/>
      <c r="AC233" s="11" t="n"/>
      <c r="AD233" s="11" t="n"/>
      <c r="AE233" s="11" t="n"/>
      <c r="AF233" s="11" t="n"/>
      <c r="AG233" s="11" t="n"/>
      <c r="AH233" s="12">
        <f>IF(AB233="","",IFERROR(INDEX(DAFTAR_FIXTURE!$B$2:$B$51,MATCH(AB233,DAFTAR_FIXTURE!$A$2:$A$51,0)),""))</f>
        <v/>
      </c>
      <c r="AI233" s="12">
        <f>IF(AB233="","",IF(AH233="","CEK ID FIXTURE tidak ada di DAFTAR_FIXTURE",IF(AC233="","CEK ZONA NO kosong",IF(ISNA(MATCH(AH233&amp;"|"&amp;AC233,LAYOUT!$E$2:$E$80,0)),"CEK ZONA NO di luar layout",IF(AD233&lt;&gt;INDEX(LAYOUT!$D$2:$D$80,MATCH(AH233&amp;"|"&amp;AC233,LAYOUT!$E$2:$E$80,0)),"CEK JENIS ZONA",IF($D233="","Zona STOCK",IF($E233="","CEK SKU DESCRIPTION kosong",IF(AND(AE233&lt;&gt;"",AF233=""),"CEK URUTAN SAMBUNG kosong",IF(AND(AE233&lt;&gt;"",LEFT(AH233,6)="Endcap"),"CEK Endcap tidak ikut sambung","OK")))))))))</f>
        <v/>
      </c>
    </row>
    <row r="234">
      <c r="A234" s="10" t="n"/>
      <c r="B234" s="10" t="n"/>
      <c r="C234" s="10" t="n"/>
      <c r="D234" s="10" t="n"/>
      <c r="E234" s="10" t="n"/>
      <c r="F234" s="10" t="n"/>
      <c r="G234" s="10" t="n"/>
      <c r="H234" s="10" t="n"/>
      <c r="I234" s="10" t="n"/>
      <c r="J234" s="10" t="n"/>
      <c r="K234" s="10" t="n"/>
      <c r="L234" s="11" t="n"/>
      <c r="M234" s="11" t="n"/>
      <c r="N234" s="11" t="n"/>
      <c r="O234" s="11" t="n"/>
      <c r="P234" s="11" t="n"/>
      <c r="Q234" s="11" t="n"/>
      <c r="R234" s="12">
        <f>IF(L234="","",IFERROR(INDEX(DAFTAR_FIXTURE!$B$2:$B$51,MATCH(L234,DAFTAR_FIXTURE!$A$2:$A$51,0)),""))</f>
        <v/>
      </c>
      <c r="S234" s="12">
        <f>IF(AND($D234="",L234=""),"",IF(L234="",IF(AND(T234="",AB234=""),"Belum ditempatkan",""),IF(R234="","CEK ID FIXTURE tidak ada di DAFTAR_FIXTURE",IF(M234="","CEK ZONA NO kosong",IF(ISNA(MATCH(R234&amp;"|"&amp;M234,LAYOUT!$E$2:$E$80,0)),"CEK ZONA NO di luar layout",IF(N234&lt;&gt;INDEX(LAYOUT!$D$2:$D$80,MATCH(R234&amp;"|"&amp;M234,LAYOUT!$E$2:$E$80,0)),"CEK JENIS ZONA",IF($D234="","Zona STOCK",IF($E234="","CEK SKU DESCRIPTION kosong",IF(AND(O234&lt;&gt;"",P234=""),"CEK URUTAN SAMBUNG kosong",IF(AND(O234&lt;&gt;"",LEFT(R234,6)="Endcap"),"CEK Endcap tidak ikut sambung","OK"))))))))))</f>
        <v/>
      </c>
      <c r="T234" s="11" t="n"/>
      <c r="U234" s="11" t="n"/>
      <c r="V234" s="11" t="n"/>
      <c r="W234" s="11" t="n"/>
      <c r="X234" s="11" t="n"/>
      <c r="Y234" s="11" t="n"/>
      <c r="Z234" s="12">
        <f>IF(T234="","",IFERROR(INDEX(DAFTAR_FIXTURE!$B$2:$B$51,MATCH(T234,DAFTAR_FIXTURE!$A$2:$A$51,0)),""))</f>
        <v/>
      </c>
      <c r="AA234" s="12">
        <f>IF(T234="","",IF(Z234="","CEK ID FIXTURE tidak ada di DAFTAR_FIXTURE",IF(U234="","CEK ZONA NO kosong",IF(ISNA(MATCH(Z234&amp;"|"&amp;U234,LAYOUT!$E$2:$E$80,0)),"CEK ZONA NO di luar layout",IF(V234&lt;&gt;INDEX(LAYOUT!$D$2:$D$80,MATCH(Z234&amp;"|"&amp;U234,LAYOUT!$E$2:$E$80,0)),"CEK JENIS ZONA",IF($D234="","Zona STOCK",IF($E234="","CEK SKU DESCRIPTION kosong",IF(AND(W234&lt;&gt;"",X234=""),"CEK URUTAN SAMBUNG kosong",IF(AND(W234&lt;&gt;"",LEFT(Z234,6)="Endcap"),"CEK Endcap tidak ikut sambung","OK")))))))))</f>
        <v/>
      </c>
      <c r="AB234" s="11" t="n"/>
      <c r="AC234" s="11" t="n"/>
      <c r="AD234" s="11" t="n"/>
      <c r="AE234" s="11" t="n"/>
      <c r="AF234" s="11" t="n"/>
      <c r="AG234" s="11" t="n"/>
      <c r="AH234" s="12">
        <f>IF(AB234="","",IFERROR(INDEX(DAFTAR_FIXTURE!$B$2:$B$51,MATCH(AB234,DAFTAR_FIXTURE!$A$2:$A$51,0)),""))</f>
        <v/>
      </c>
      <c r="AI234" s="12">
        <f>IF(AB234="","",IF(AH234="","CEK ID FIXTURE tidak ada di DAFTAR_FIXTURE",IF(AC234="","CEK ZONA NO kosong",IF(ISNA(MATCH(AH234&amp;"|"&amp;AC234,LAYOUT!$E$2:$E$80,0)),"CEK ZONA NO di luar layout",IF(AD234&lt;&gt;INDEX(LAYOUT!$D$2:$D$80,MATCH(AH234&amp;"|"&amp;AC234,LAYOUT!$E$2:$E$80,0)),"CEK JENIS ZONA",IF($D234="","Zona STOCK",IF($E234="","CEK SKU DESCRIPTION kosong",IF(AND(AE234&lt;&gt;"",AF234=""),"CEK URUTAN SAMBUNG kosong",IF(AND(AE234&lt;&gt;"",LEFT(AH234,6)="Endcap"),"CEK Endcap tidak ikut sambung","OK")))))))))</f>
        <v/>
      </c>
    </row>
    <row r="235">
      <c r="A235" s="10" t="n"/>
      <c r="B235" s="10" t="n"/>
      <c r="C235" s="10" t="n"/>
      <c r="D235" s="10" t="n"/>
      <c r="E235" s="10" t="n"/>
      <c r="F235" s="10" t="n"/>
      <c r="G235" s="10" t="n"/>
      <c r="H235" s="10" t="n"/>
      <c r="I235" s="10" t="n"/>
      <c r="J235" s="10" t="n"/>
      <c r="K235" s="10" t="n"/>
      <c r="L235" s="11" t="n"/>
      <c r="M235" s="11" t="n"/>
      <c r="N235" s="11" t="n"/>
      <c r="O235" s="11" t="n"/>
      <c r="P235" s="11" t="n"/>
      <c r="Q235" s="11" t="n"/>
      <c r="R235" s="12">
        <f>IF(L235="","",IFERROR(INDEX(DAFTAR_FIXTURE!$B$2:$B$51,MATCH(L235,DAFTAR_FIXTURE!$A$2:$A$51,0)),""))</f>
        <v/>
      </c>
      <c r="S235" s="12">
        <f>IF(AND($D235="",L235=""),"",IF(L235="",IF(AND(T235="",AB235=""),"Belum ditempatkan",""),IF(R235="","CEK ID FIXTURE tidak ada di DAFTAR_FIXTURE",IF(M235="","CEK ZONA NO kosong",IF(ISNA(MATCH(R235&amp;"|"&amp;M235,LAYOUT!$E$2:$E$80,0)),"CEK ZONA NO di luar layout",IF(N235&lt;&gt;INDEX(LAYOUT!$D$2:$D$80,MATCH(R235&amp;"|"&amp;M235,LAYOUT!$E$2:$E$80,0)),"CEK JENIS ZONA",IF($D235="","Zona STOCK",IF($E235="","CEK SKU DESCRIPTION kosong",IF(AND(O235&lt;&gt;"",P235=""),"CEK URUTAN SAMBUNG kosong",IF(AND(O235&lt;&gt;"",LEFT(R235,6)="Endcap"),"CEK Endcap tidak ikut sambung","OK"))))))))))</f>
        <v/>
      </c>
      <c r="T235" s="11" t="n"/>
      <c r="U235" s="11" t="n"/>
      <c r="V235" s="11" t="n"/>
      <c r="W235" s="11" t="n"/>
      <c r="X235" s="11" t="n"/>
      <c r="Y235" s="11" t="n"/>
      <c r="Z235" s="12">
        <f>IF(T235="","",IFERROR(INDEX(DAFTAR_FIXTURE!$B$2:$B$51,MATCH(T235,DAFTAR_FIXTURE!$A$2:$A$51,0)),""))</f>
        <v/>
      </c>
      <c r="AA235" s="12">
        <f>IF(T235="","",IF(Z235="","CEK ID FIXTURE tidak ada di DAFTAR_FIXTURE",IF(U235="","CEK ZONA NO kosong",IF(ISNA(MATCH(Z235&amp;"|"&amp;U235,LAYOUT!$E$2:$E$80,0)),"CEK ZONA NO di luar layout",IF(V235&lt;&gt;INDEX(LAYOUT!$D$2:$D$80,MATCH(Z235&amp;"|"&amp;U235,LAYOUT!$E$2:$E$80,0)),"CEK JENIS ZONA",IF($D235="","Zona STOCK",IF($E235="","CEK SKU DESCRIPTION kosong",IF(AND(W235&lt;&gt;"",X235=""),"CEK URUTAN SAMBUNG kosong",IF(AND(W235&lt;&gt;"",LEFT(Z235,6)="Endcap"),"CEK Endcap tidak ikut sambung","OK")))))))))</f>
        <v/>
      </c>
      <c r="AB235" s="11" t="n"/>
      <c r="AC235" s="11" t="n"/>
      <c r="AD235" s="11" t="n"/>
      <c r="AE235" s="11" t="n"/>
      <c r="AF235" s="11" t="n"/>
      <c r="AG235" s="11" t="n"/>
      <c r="AH235" s="12">
        <f>IF(AB235="","",IFERROR(INDEX(DAFTAR_FIXTURE!$B$2:$B$51,MATCH(AB235,DAFTAR_FIXTURE!$A$2:$A$51,0)),""))</f>
        <v/>
      </c>
      <c r="AI235" s="12">
        <f>IF(AB235="","",IF(AH235="","CEK ID FIXTURE tidak ada di DAFTAR_FIXTURE",IF(AC235="","CEK ZONA NO kosong",IF(ISNA(MATCH(AH235&amp;"|"&amp;AC235,LAYOUT!$E$2:$E$80,0)),"CEK ZONA NO di luar layout",IF(AD235&lt;&gt;INDEX(LAYOUT!$D$2:$D$80,MATCH(AH235&amp;"|"&amp;AC235,LAYOUT!$E$2:$E$80,0)),"CEK JENIS ZONA",IF($D235="","Zona STOCK",IF($E235="","CEK SKU DESCRIPTION kosong",IF(AND(AE235&lt;&gt;"",AF235=""),"CEK URUTAN SAMBUNG kosong",IF(AND(AE235&lt;&gt;"",LEFT(AH235,6)="Endcap"),"CEK Endcap tidak ikut sambung","OK")))))))))</f>
        <v/>
      </c>
    </row>
    <row r="236">
      <c r="A236" s="10" t="n"/>
      <c r="B236" s="10" t="n"/>
      <c r="C236" s="10" t="n"/>
      <c r="D236" s="10" t="n"/>
      <c r="E236" s="10" t="n"/>
      <c r="F236" s="10" t="n"/>
      <c r="G236" s="10" t="n"/>
      <c r="H236" s="10" t="n"/>
      <c r="I236" s="10" t="n"/>
      <c r="J236" s="10" t="n"/>
      <c r="K236" s="10" t="n"/>
      <c r="L236" s="11" t="n"/>
      <c r="M236" s="11" t="n"/>
      <c r="N236" s="11" t="n"/>
      <c r="O236" s="11" t="n"/>
      <c r="P236" s="11" t="n"/>
      <c r="Q236" s="11" t="n"/>
      <c r="R236" s="12">
        <f>IF(L236="","",IFERROR(INDEX(DAFTAR_FIXTURE!$B$2:$B$51,MATCH(L236,DAFTAR_FIXTURE!$A$2:$A$51,0)),""))</f>
        <v/>
      </c>
      <c r="S236" s="12">
        <f>IF(AND($D236="",L236=""),"",IF(L236="",IF(AND(T236="",AB236=""),"Belum ditempatkan",""),IF(R236="","CEK ID FIXTURE tidak ada di DAFTAR_FIXTURE",IF(M236="","CEK ZONA NO kosong",IF(ISNA(MATCH(R236&amp;"|"&amp;M236,LAYOUT!$E$2:$E$80,0)),"CEK ZONA NO di luar layout",IF(N236&lt;&gt;INDEX(LAYOUT!$D$2:$D$80,MATCH(R236&amp;"|"&amp;M236,LAYOUT!$E$2:$E$80,0)),"CEK JENIS ZONA",IF($D236="","Zona STOCK",IF($E236="","CEK SKU DESCRIPTION kosong",IF(AND(O236&lt;&gt;"",P236=""),"CEK URUTAN SAMBUNG kosong",IF(AND(O236&lt;&gt;"",LEFT(R236,6)="Endcap"),"CEK Endcap tidak ikut sambung","OK"))))))))))</f>
        <v/>
      </c>
      <c r="T236" s="11" t="n"/>
      <c r="U236" s="11" t="n"/>
      <c r="V236" s="11" t="n"/>
      <c r="W236" s="11" t="n"/>
      <c r="X236" s="11" t="n"/>
      <c r="Y236" s="11" t="n"/>
      <c r="Z236" s="12">
        <f>IF(T236="","",IFERROR(INDEX(DAFTAR_FIXTURE!$B$2:$B$51,MATCH(T236,DAFTAR_FIXTURE!$A$2:$A$51,0)),""))</f>
        <v/>
      </c>
      <c r="AA236" s="12">
        <f>IF(T236="","",IF(Z236="","CEK ID FIXTURE tidak ada di DAFTAR_FIXTURE",IF(U236="","CEK ZONA NO kosong",IF(ISNA(MATCH(Z236&amp;"|"&amp;U236,LAYOUT!$E$2:$E$80,0)),"CEK ZONA NO di luar layout",IF(V236&lt;&gt;INDEX(LAYOUT!$D$2:$D$80,MATCH(Z236&amp;"|"&amp;U236,LAYOUT!$E$2:$E$80,0)),"CEK JENIS ZONA",IF($D236="","Zona STOCK",IF($E236="","CEK SKU DESCRIPTION kosong",IF(AND(W236&lt;&gt;"",X236=""),"CEK URUTAN SAMBUNG kosong",IF(AND(W236&lt;&gt;"",LEFT(Z236,6)="Endcap"),"CEK Endcap tidak ikut sambung","OK")))))))))</f>
        <v/>
      </c>
      <c r="AB236" s="11" t="n"/>
      <c r="AC236" s="11" t="n"/>
      <c r="AD236" s="11" t="n"/>
      <c r="AE236" s="11" t="n"/>
      <c r="AF236" s="11" t="n"/>
      <c r="AG236" s="11" t="n"/>
      <c r="AH236" s="12">
        <f>IF(AB236="","",IFERROR(INDEX(DAFTAR_FIXTURE!$B$2:$B$51,MATCH(AB236,DAFTAR_FIXTURE!$A$2:$A$51,0)),""))</f>
        <v/>
      </c>
      <c r="AI236" s="12">
        <f>IF(AB236="","",IF(AH236="","CEK ID FIXTURE tidak ada di DAFTAR_FIXTURE",IF(AC236="","CEK ZONA NO kosong",IF(ISNA(MATCH(AH236&amp;"|"&amp;AC236,LAYOUT!$E$2:$E$80,0)),"CEK ZONA NO di luar layout",IF(AD236&lt;&gt;INDEX(LAYOUT!$D$2:$D$80,MATCH(AH236&amp;"|"&amp;AC236,LAYOUT!$E$2:$E$80,0)),"CEK JENIS ZONA",IF($D236="","Zona STOCK",IF($E236="","CEK SKU DESCRIPTION kosong",IF(AND(AE236&lt;&gt;"",AF236=""),"CEK URUTAN SAMBUNG kosong",IF(AND(AE236&lt;&gt;"",LEFT(AH236,6)="Endcap"),"CEK Endcap tidak ikut sambung","OK")))))))))</f>
        <v/>
      </c>
    </row>
    <row r="237">
      <c r="A237" s="10" t="n"/>
      <c r="B237" s="10" t="n"/>
      <c r="C237" s="10" t="n"/>
      <c r="D237" s="10" t="n"/>
      <c r="E237" s="10" t="n"/>
      <c r="F237" s="10" t="n"/>
      <c r="G237" s="10" t="n"/>
      <c r="H237" s="10" t="n"/>
      <c r="I237" s="10" t="n"/>
      <c r="J237" s="10" t="n"/>
      <c r="K237" s="10" t="n"/>
      <c r="L237" s="11" t="n"/>
      <c r="M237" s="11" t="n"/>
      <c r="N237" s="11" t="n"/>
      <c r="O237" s="11" t="n"/>
      <c r="P237" s="11" t="n"/>
      <c r="Q237" s="11" t="n"/>
      <c r="R237" s="12">
        <f>IF(L237="","",IFERROR(INDEX(DAFTAR_FIXTURE!$B$2:$B$51,MATCH(L237,DAFTAR_FIXTURE!$A$2:$A$51,0)),""))</f>
        <v/>
      </c>
      <c r="S237" s="12">
        <f>IF(AND($D237="",L237=""),"",IF(L237="",IF(AND(T237="",AB237=""),"Belum ditempatkan",""),IF(R237="","CEK ID FIXTURE tidak ada di DAFTAR_FIXTURE",IF(M237="","CEK ZONA NO kosong",IF(ISNA(MATCH(R237&amp;"|"&amp;M237,LAYOUT!$E$2:$E$80,0)),"CEK ZONA NO di luar layout",IF(N237&lt;&gt;INDEX(LAYOUT!$D$2:$D$80,MATCH(R237&amp;"|"&amp;M237,LAYOUT!$E$2:$E$80,0)),"CEK JENIS ZONA",IF($D237="","Zona STOCK",IF($E237="","CEK SKU DESCRIPTION kosong",IF(AND(O237&lt;&gt;"",P237=""),"CEK URUTAN SAMBUNG kosong",IF(AND(O237&lt;&gt;"",LEFT(R237,6)="Endcap"),"CEK Endcap tidak ikut sambung","OK"))))))))))</f>
        <v/>
      </c>
      <c r="T237" s="11" t="n"/>
      <c r="U237" s="11" t="n"/>
      <c r="V237" s="11" t="n"/>
      <c r="W237" s="11" t="n"/>
      <c r="X237" s="11" t="n"/>
      <c r="Y237" s="11" t="n"/>
      <c r="Z237" s="12">
        <f>IF(T237="","",IFERROR(INDEX(DAFTAR_FIXTURE!$B$2:$B$51,MATCH(T237,DAFTAR_FIXTURE!$A$2:$A$51,0)),""))</f>
        <v/>
      </c>
      <c r="AA237" s="12">
        <f>IF(T237="","",IF(Z237="","CEK ID FIXTURE tidak ada di DAFTAR_FIXTURE",IF(U237="","CEK ZONA NO kosong",IF(ISNA(MATCH(Z237&amp;"|"&amp;U237,LAYOUT!$E$2:$E$80,0)),"CEK ZONA NO di luar layout",IF(V237&lt;&gt;INDEX(LAYOUT!$D$2:$D$80,MATCH(Z237&amp;"|"&amp;U237,LAYOUT!$E$2:$E$80,0)),"CEK JENIS ZONA",IF($D237="","Zona STOCK",IF($E237="","CEK SKU DESCRIPTION kosong",IF(AND(W237&lt;&gt;"",X237=""),"CEK URUTAN SAMBUNG kosong",IF(AND(W237&lt;&gt;"",LEFT(Z237,6)="Endcap"),"CEK Endcap tidak ikut sambung","OK")))))))))</f>
        <v/>
      </c>
      <c r="AB237" s="11" t="n"/>
      <c r="AC237" s="11" t="n"/>
      <c r="AD237" s="11" t="n"/>
      <c r="AE237" s="11" t="n"/>
      <c r="AF237" s="11" t="n"/>
      <c r="AG237" s="11" t="n"/>
      <c r="AH237" s="12">
        <f>IF(AB237="","",IFERROR(INDEX(DAFTAR_FIXTURE!$B$2:$B$51,MATCH(AB237,DAFTAR_FIXTURE!$A$2:$A$51,0)),""))</f>
        <v/>
      </c>
      <c r="AI237" s="12">
        <f>IF(AB237="","",IF(AH237="","CEK ID FIXTURE tidak ada di DAFTAR_FIXTURE",IF(AC237="","CEK ZONA NO kosong",IF(ISNA(MATCH(AH237&amp;"|"&amp;AC237,LAYOUT!$E$2:$E$80,0)),"CEK ZONA NO di luar layout",IF(AD237&lt;&gt;INDEX(LAYOUT!$D$2:$D$80,MATCH(AH237&amp;"|"&amp;AC237,LAYOUT!$E$2:$E$80,0)),"CEK JENIS ZONA",IF($D237="","Zona STOCK",IF($E237="","CEK SKU DESCRIPTION kosong",IF(AND(AE237&lt;&gt;"",AF237=""),"CEK URUTAN SAMBUNG kosong",IF(AND(AE237&lt;&gt;"",LEFT(AH237,6)="Endcap"),"CEK Endcap tidak ikut sambung","OK")))))))))</f>
        <v/>
      </c>
    </row>
    <row r="238">
      <c r="A238" s="10" t="n"/>
      <c r="B238" s="10" t="n"/>
      <c r="C238" s="10" t="n"/>
      <c r="D238" s="10" t="n"/>
      <c r="E238" s="10" t="n"/>
      <c r="F238" s="10" t="n"/>
      <c r="G238" s="10" t="n"/>
      <c r="H238" s="10" t="n"/>
      <c r="I238" s="10" t="n"/>
      <c r="J238" s="10" t="n"/>
      <c r="K238" s="10" t="n"/>
      <c r="L238" s="11" t="n"/>
      <c r="M238" s="11" t="n"/>
      <c r="N238" s="11" t="n"/>
      <c r="O238" s="11" t="n"/>
      <c r="P238" s="11" t="n"/>
      <c r="Q238" s="11" t="n"/>
      <c r="R238" s="12">
        <f>IF(L238="","",IFERROR(INDEX(DAFTAR_FIXTURE!$B$2:$B$51,MATCH(L238,DAFTAR_FIXTURE!$A$2:$A$51,0)),""))</f>
        <v/>
      </c>
      <c r="S238" s="12">
        <f>IF(AND($D238="",L238=""),"",IF(L238="",IF(AND(T238="",AB238=""),"Belum ditempatkan",""),IF(R238="","CEK ID FIXTURE tidak ada di DAFTAR_FIXTURE",IF(M238="","CEK ZONA NO kosong",IF(ISNA(MATCH(R238&amp;"|"&amp;M238,LAYOUT!$E$2:$E$80,0)),"CEK ZONA NO di luar layout",IF(N238&lt;&gt;INDEX(LAYOUT!$D$2:$D$80,MATCH(R238&amp;"|"&amp;M238,LAYOUT!$E$2:$E$80,0)),"CEK JENIS ZONA",IF($D238="","Zona STOCK",IF($E238="","CEK SKU DESCRIPTION kosong",IF(AND(O238&lt;&gt;"",P238=""),"CEK URUTAN SAMBUNG kosong",IF(AND(O238&lt;&gt;"",LEFT(R238,6)="Endcap"),"CEK Endcap tidak ikut sambung","OK"))))))))))</f>
        <v/>
      </c>
      <c r="T238" s="11" t="n"/>
      <c r="U238" s="11" t="n"/>
      <c r="V238" s="11" t="n"/>
      <c r="W238" s="11" t="n"/>
      <c r="X238" s="11" t="n"/>
      <c r="Y238" s="11" t="n"/>
      <c r="Z238" s="12">
        <f>IF(T238="","",IFERROR(INDEX(DAFTAR_FIXTURE!$B$2:$B$51,MATCH(T238,DAFTAR_FIXTURE!$A$2:$A$51,0)),""))</f>
        <v/>
      </c>
      <c r="AA238" s="12">
        <f>IF(T238="","",IF(Z238="","CEK ID FIXTURE tidak ada di DAFTAR_FIXTURE",IF(U238="","CEK ZONA NO kosong",IF(ISNA(MATCH(Z238&amp;"|"&amp;U238,LAYOUT!$E$2:$E$80,0)),"CEK ZONA NO di luar layout",IF(V238&lt;&gt;INDEX(LAYOUT!$D$2:$D$80,MATCH(Z238&amp;"|"&amp;U238,LAYOUT!$E$2:$E$80,0)),"CEK JENIS ZONA",IF($D238="","Zona STOCK",IF($E238="","CEK SKU DESCRIPTION kosong",IF(AND(W238&lt;&gt;"",X238=""),"CEK URUTAN SAMBUNG kosong",IF(AND(W238&lt;&gt;"",LEFT(Z238,6)="Endcap"),"CEK Endcap tidak ikut sambung","OK")))))))))</f>
        <v/>
      </c>
      <c r="AB238" s="11" t="n"/>
      <c r="AC238" s="11" t="n"/>
      <c r="AD238" s="11" t="n"/>
      <c r="AE238" s="11" t="n"/>
      <c r="AF238" s="11" t="n"/>
      <c r="AG238" s="11" t="n"/>
      <c r="AH238" s="12">
        <f>IF(AB238="","",IFERROR(INDEX(DAFTAR_FIXTURE!$B$2:$B$51,MATCH(AB238,DAFTAR_FIXTURE!$A$2:$A$51,0)),""))</f>
        <v/>
      </c>
      <c r="AI238" s="12">
        <f>IF(AB238="","",IF(AH238="","CEK ID FIXTURE tidak ada di DAFTAR_FIXTURE",IF(AC238="","CEK ZONA NO kosong",IF(ISNA(MATCH(AH238&amp;"|"&amp;AC238,LAYOUT!$E$2:$E$80,0)),"CEK ZONA NO di luar layout",IF(AD238&lt;&gt;INDEX(LAYOUT!$D$2:$D$80,MATCH(AH238&amp;"|"&amp;AC238,LAYOUT!$E$2:$E$80,0)),"CEK JENIS ZONA",IF($D238="","Zona STOCK",IF($E238="","CEK SKU DESCRIPTION kosong",IF(AND(AE238&lt;&gt;"",AF238=""),"CEK URUTAN SAMBUNG kosong",IF(AND(AE238&lt;&gt;"",LEFT(AH238,6)="Endcap"),"CEK Endcap tidak ikut sambung","OK")))))))))</f>
        <v/>
      </c>
    </row>
    <row r="239">
      <c r="A239" s="10" t="n"/>
      <c r="B239" s="10" t="n"/>
      <c r="C239" s="10" t="n"/>
      <c r="D239" s="10" t="n"/>
      <c r="E239" s="10" t="n"/>
      <c r="F239" s="10" t="n"/>
      <c r="G239" s="10" t="n"/>
      <c r="H239" s="10" t="n"/>
      <c r="I239" s="10" t="n"/>
      <c r="J239" s="10" t="n"/>
      <c r="K239" s="10" t="n"/>
      <c r="L239" s="11" t="n"/>
      <c r="M239" s="11" t="n"/>
      <c r="N239" s="11" t="n"/>
      <c r="O239" s="11" t="n"/>
      <c r="P239" s="11" t="n"/>
      <c r="Q239" s="11" t="n"/>
      <c r="R239" s="12">
        <f>IF(L239="","",IFERROR(INDEX(DAFTAR_FIXTURE!$B$2:$B$51,MATCH(L239,DAFTAR_FIXTURE!$A$2:$A$51,0)),""))</f>
        <v/>
      </c>
      <c r="S239" s="12">
        <f>IF(AND($D239="",L239=""),"",IF(L239="",IF(AND(T239="",AB239=""),"Belum ditempatkan",""),IF(R239="","CEK ID FIXTURE tidak ada di DAFTAR_FIXTURE",IF(M239="","CEK ZONA NO kosong",IF(ISNA(MATCH(R239&amp;"|"&amp;M239,LAYOUT!$E$2:$E$80,0)),"CEK ZONA NO di luar layout",IF(N239&lt;&gt;INDEX(LAYOUT!$D$2:$D$80,MATCH(R239&amp;"|"&amp;M239,LAYOUT!$E$2:$E$80,0)),"CEK JENIS ZONA",IF($D239="","Zona STOCK",IF($E239="","CEK SKU DESCRIPTION kosong",IF(AND(O239&lt;&gt;"",P239=""),"CEK URUTAN SAMBUNG kosong",IF(AND(O239&lt;&gt;"",LEFT(R239,6)="Endcap"),"CEK Endcap tidak ikut sambung","OK"))))))))))</f>
        <v/>
      </c>
      <c r="T239" s="11" t="n"/>
      <c r="U239" s="11" t="n"/>
      <c r="V239" s="11" t="n"/>
      <c r="W239" s="11" t="n"/>
      <c r="X239" s="11" t="n"/>
      <c r="Y239" s="11" t="n"/>
      <c r="Z239" s="12">
        <f>IF(T239="","",IFERROR(INDEX(DAFTAR_FIXTURE!$B$2:$B$51,MATCH(T239,DAFTAR_FIXTURE!$A$2:$A$51,0)),""))</f>
        <v/>
      </c>
      <c r="AA239" s="12">
        <f>IF(T239="","",IF(Z239="","CEK ID FIXTURE tidak ada di DAFTAR_FIXTURE",IF(U239="","CEK ZONA NO kosong",IF(ISNA(MATCH(Z239&amp;"|"&amp;U239,LAYOUT!$E$2:$E$80,0)),"CEK ZONA NO di luar layout",IF(V239&lt;&gt;INDEX(LAYOUT!$D$2:$D$80,MATCH(Z239&amp;"|"&amp;U239,LAYOUT!$E$2:$E$80,0)),"CEK JENIS ZONA",IF($D239="","Zona STOCK",IF($E239="","CEK SKU DESCRIPTION kosong",IF(AND(W239&lt;&gt;"",X239=""),"CEK URUTAN SAMBUNG kosong",IF(AND(W239&lt;&gt;"",LEFT(Z239,6)="Endcap"),"CEK Endcap tidak ikut sambung","OK")))))))))</f>
        <v/>
      </c>
      <c r="AB239" s="11" t="n"/>
      <c r="AC239" s="11" t="n"/>
      <c r="AD239" s="11" t="n"/>
      <c r="AE239" s="11" t="n"/>
      <c r="AF239" s="11" t="n"/>
      <c r="AG239" s="11" t="n"/>
      <c r="AH239" s="12">
        <f>IF(AB239="","",IFERROR(INDEX(DAFTAR_FIXTURE!$B$2:$B$51,MATCH(AB239,DAFTAR_FIXTURE!$A$2:$A$51,0)),""))</f>
        <v/>
      </c>
      <c r="AI239" s="12">
        <f>IF(AB239="","",IF(AH239="","CEK ID FIXTURE tidak ada di DAFTAR_FIXTURE",IF(AC239="","CEK ZONA NO kosong",IF(ISNA(MATCH(AH239&amp;"|"&amp;AC239,LAYOUT!$E$2:$E$80,0)),"CEK ZONA NO di luar layout",IF(AD239&lt;&gt;INDEX(LAYOUT!$D$2:$D$80,MATCH(AH239&amp;"|"&amp;AC239,LAYOUT!$E$2:$E$80,0)),"CEK JENIS ZONA",IF($D239="","Zona STOCK",IF($E239="","CEK SKU DESCRIPTION kosong",IF(AND(AE239&lt;&gt;"",AF239=""),"CEK URUTAN SAMBUNG kosong",IF(AND(AE239&lt;&gt;"",LEFT(AH239,6)="Endcap"),"CEK Endcap tidak ikut sambung","OK")))))))))</f>
        <v/>
      </c>
    </row>
    <row r="240">
      <c r="A240" s="10" t="n"/>
      <c r="B240" s="10" t="n"/>
      <c r="C240" s="10" t="n"/>
      <c r="D240" s="10" t="n"/>
      <c r="E240" s="10" t="n"/>
      <c r="F240" s="10" t="n"/>
      <c r="G240" s="10" t="n"/>
      <c r="H240" s="10" t="n"/>
      <c r="I240" s="10" t="n"/>
      <c r="J240" s="10" t="n"/>
      <c r="K240" s="10" t="n"/>
      <c r="L240" s="11" t="n"/>
      <c r="M240" s="11" t="n"/>
      <c r="N240" s="11" t="n"/>
      <c r="O240" s="11" t="n"/>
      <c r="P240" s="11" t="n"/>
      <c r="Q240" s="11" t="n"/>
      <c r="R240" s="12">
        <f>IF(L240="","",IFERROR(INDEX(DAFTAR_FIXTURE!$B$2:$B$51,MATCH(L240,DAFTAR_FIXTURE!$A$2:$A$51,0)),""))</f>
        <v/>
      </c>
      <c r="S240" s="12">
        <f>IF(AND($D240="",L240=""),"",IF(L240="",IF(AND(T240="",AB240=""),"Belum ditempatkan",""),IF(R240="","CEK ID FIXTURE tidak ada di DAFTAR_FIXTURE",IF(M240="","CEK ZONA NO kosong",IF(ISNA(MATCH(R240&amp;"|"&amp;M240,LAYOUT!$E$2:$E$80,0)),"CEK ZONA NO di luar layout",IF(N240&lt;&gt;INDEX(LAYOUT!$D$2:$D$80,MATCH(R240&amp;"|"&amp;M240,LAYOUT!$E$2:$E$80,0)),"CEK JENIS ZONA",IF($D240="","Zona STOCK",IF($E240="","CEK SKU DESCRIPTION kosong",IF(AND(O240&lt;&gt;"",P240=""),"CEK URUTAN SAMBUNG kosong",IF(AND(O240&lt;&gt;"",LEFT(R240,6)="Endcap"),"CEK Endcap tidak ikut sambung","OK"))))))))))</f>
        <v/>
      </c>
      <c r="T240" s="11" t="n"/>
      <c r="U240" s="11" t="n"/>
      <c r="V240" s="11" t="n"/>
      <c r="W240" s="11" t="n"/>
      <c r="X240" s="11" t="n"/>
      <c r="Y240" s="11" t="n"/>
      <c r="Z240" s="12">
        <f>IF(T240="","",IFERROR(INDEX(DAFTAR_FIXTURE!$B$2:$B$51,MATCH(T240,DAFTAR_FIXTURE!$A$2:$A$51,0)),""))</f>
        <v/>
      </c>
      <c r="AA240" s="12">
        <f>IF(T240="","",IF(Z240="","CEK ID FIXTURE tidak ada di DAFTAR_FIXTURE",IF(U240="","CEK ZONA NO kosong",IF(ISNA(MATCH(Z240&amp;"|"&amp;U240,LAYOUT!$E$2:$E$80,0)),"CEK ZONA NO di luar layout",IF(V240&lt;&gt;INDEX(LAYOUT!$D$2:$D$80,MATCH(Z240&amp;"|"&amp;U240,LAYOUT!$E$2:$E$80,0)),"CEK JENIS ZONA",IF($D240="","Zona STOCK",IF($E240="","CEK SKU DESCRIPTION kosong",IF(AND(W240&lt;&gt;"",X240=""),"CEK URUTAN SAMBUNG kosong",IF(AND(W240&lt;&gt;"",LEFT(Z240,6)="Endcap"),"CEK Endcap tidak ikut sambung","OK")))))))))</f>
        <v/>
      </c>
      <c r="AB240" s="11" t="n"/>
      <c r="AC240" s="11" t="n"/>
      <c r="AD240" s="11" t="n"/>
      <c r="AE240" s="11" t="n"/>
      <c r="AF240" s="11" t="n"/>
      <c r="AG240" s="11" t="n"/>
      <c r="AH240" s="12">
        <f>IF(AB240="","",IFERROR(INDEX(DAFTAR_FIXTURE!$B$2:$B$51,MATCH(AB240,DAFTAR_FIXTURE!$A$2:$A$51,0)),""))</f>
        <v/>
      </c>
      <c r="AI240" s="12">
        <f>IF(AB240="","",IF(AH240="","CEK ID FIXTURE tidak ada di DAFTAR_FIXTURE",IF(AC240="","CEK ZONA NO kosong",IF(ISNA(MATCH(AH240&amp;"|"&amp;AC240,LAYOUT!$E$2:$E$80,0)),"CEK ZONA NO di luar layout",IF(AD240&lt;&gt;INDEX(LAYOUT!$D$2:$D$80,MATCH(AH240&amp;"|"&amp;AC240,LAYOUT!$E$2:$E$80,0)),"CEK JENIS ZONA",IF($D240="","Zona STOCK",IF($E240="","CEK SKU DESCRIPTION kosong",IF(AND(AE240&lt;&gt;"",AF240=""),"CEK URUTAN SAMBUNG kosong",IF(AND(AE240&lt;&gt;"",LEFT(AH240,6)="Endcap"),"CEK Endcap tidak ikut sambung","OK")))))))))</f>
        <v/>
      </c>
    </row>
    <row r="241">
      <c r="A241" s="10" t="n"/>
      <c r="B241" s="10" t="n"/>
      <c r="C241" s="10" t="n"/>
      <c r="D241" s="10" t="n"/>
      <c r="E241" s="10" t="n"/>
      <c r="F241" s="10" t="n"/>
      <c r="G241" s="10" t="n"/>
      <c r="H241" s="10" t="n"/>
      <c r="I241" s="10" t="n"/>
      <c r="J241" s="10" t="n"/>
      <c r="K241" s="10" t="n"/>
      <c r="L241" s="11" t="n"/>
      <c r="M241" s="11" t="n"/>
      <c r="N241" s="11" t="n"/>
      <c r="O241" s="11" t="n"/>
      <c r="P241" s="11" t="n"/>
      <c r="Q241" s="11" t="n"/>
      <c r="R241" s="12">
        <f>IF(L241="","",IFERROR(INDEX(DAFTAR_FIXTURE!$B$2:$B$51,MATCH(L241,DAFTAR_FIXTURE!$A$2:$A$51,0)),""))</f>
        <v/>
      </c>
      <c r="S241" s="12">
        <f>IF(AND($D241="",L241=""),"",IF(L241="",IF(AND(T241="",AB241=""),"Belum ditempatkan",""),IF(R241="","CEK ID FIXTURE tidak ada di DAFTAR_FIXTURE",IF(M241="","CEK ZONA NO kosong",IF(ISNA(MATCH(R241&amp;"|"&amp;M241,LAYOUT!$E$2:$E$80,0)),"CEK ZONA NO di luar layout",IF(N241&lt;&gt;INDEX(LAYOUT!$D$2:$D$80,MATCH(R241&amp;"|"&amp;M241,LAYOUT!$E$2:$E$80,0)),"CEK JENIS ZONA",IF($D241="","Zona STOCK",IF($E241="","CEK SKU DESCRIPTION kosong",IF(AND(O241&lt;&gt;"",P241=""),"CEK URUTAN SAMBUNG kosong",IF(AND(O241&lt;&gt;"",LEFT(R241,6)="Endcap"),"CEK Endcap tidak ikut sambung","OK"))))))))))</f>
        <v/>
      </c>
      <c r="T241" s="11" t="n"/>
      <c r="U241" s="11" t="n"/>
      <c r="V241" s="11" t="n"/>
      <c r="W241" s="11" t="n"/>
      <c r="X241" s="11" t="n"/>
      <c r="Y241" s="11" t="n"/>
      <c r="Z241" s="12">
        <f>IF(T241="","",IFERROR(INDEX(DAFTAR_FIXTURE!$B$2:$B$51,MATCH(T241,DAFTAR_FIXTURE!$A$2:$A$51,0)),""))</f>
        <v/>
      </c>
      <c r="AA241" s="12">
        <f>IF(T241="","",IF(Z241="","CEK ID FIXTURE tidak ada di DAFTAR_FIXTURE",IF(U241="","CEK ZONA NO kosong",IF(ISNA(MATCH(Z241&amp;"|"&amp;U241,LAYOUT!$E$2:$E$80,0)),"CEK ZONA NO di luar layout",IF(V241&lt;&gt;INDEX(LAYOUT!$D$2:$D$80,MATCH(Z241&amp;"|"&amp;U241,LAYOUT!$E$2:$E$80,0)),"CEK JENIS ZONA",IF($D241="","Zona STOCK",IF($E241="","CEK SKU DESCRIPTION kosong",IF(AND(W241&lt;&gt;"",X241=""),"CEK URUTAN SAMBUNG kosong",IF(AND(W241&lt;&gt;"",LEFT(Z241,6)="Endcap"),"CEK Endcap tidak ikut sambung","OK")))))))))</f>
        <v/>
      </c>
      <c r="AB241" s="11" t="n"/>
      <c r="AC241" s="11" t="n"/>
      <c r="AD241" s="11" t="n"/>
      <c r="AE241" s="11" t="n"/>
      <c r="AF241" s="11" t="n"/>
      <c r="AG241" s="11" t="n"/>
      <c r="AH241" s="12">
        <f>IF(AB241="","",IFERROR(INDEX(DAFTAR_FIXTURE!$B$2:$B$51,MATCH(AB241,DAFTAR_FIXTURE!$A$2:$A$51,0)),""))</f>
        <v/>
      </c>
      <c r="AI241" s="12">
        <f>IF(AB241="","",IF(AH241="","CEK ID FIXTURE tidak ada di DAFTAR_FIXTURE",IF(AC241="","CEK ZONA NO kosong",IF(ISNA(MATCH(AH241&amp;"|"&amp;AC241,LAYOUT!$E$2:$E$80,0)),"CEK ZONA NO di luar layout",IF(AD241&lt;&gt;INDEX(LAYOUT!$D$2:$D$80,MATCH(AH241&amp;"|"&amp;AC241,LAYOUT!$E$2:$E$80,0)),"CEK JENIS ZONA",IF($D241="","Zona STOCK",IF($E241="","CEK SKU DESCRIPTION kosong",IF(AND(AE241&lt;&gt;"",AF241=""),"CEK URUTAN SAMBUNG kosong",IF(AND(AE241&lt;&gt;"",LEFT(AH241,6)="Endcap"),"CEK Endcap tidak ikut sambung","OK")))))))))</f>
        <v/>
      </c>
    </row>
    <row r="242">
      <c r="A242" s="10" t="n"/>
      <c r="B242" s="10" t="n"/>
      <c r="C242" s="10" t="n"/>
      <c r="D242" s="10" t="n"/>
      <c r="E242" s="10" t="n"/>
      <c r="F242" s="10" t="n"/>
      <c r="G242" s="10" t="n"/>
      <c r="H242" s="10" t="n"/>
      <c r="I242" s="10" t="n"/>
      <c r="J242" s="10" t="n"/>
      <c r="K242" s="10" t="n"/>
      <c r="L242" s="11" t="n"/>
      <c r="M242" s="11" t="n"/>
      <c r="N242" s="11" t="n"/>
      <c r="O242" s="11" t="n"/>
      <c r="P242" s="11" t="n"/>
      <c r="Q242" s="11" t="n"/>
      <c r="R242" s="12">
        <f>IF(L242="","",IFERROR(INDEX(DAFTAR_FIXTURE!$B$2:$B$51,MATCH(L242,DAFTAR_FIXTURE!$A$2:$A$51,0)),""))</f>
        <v/>
      </c>
      <c r="S242" s="12">
        <f>IF(AND($D242="",L242=""),"",IF(L242="",IF(AND(T242="",AB242=""),"Belum ditempatkan",""),IF(R242="","CEK ID FIXTURE tidak ada di DAFTAR_FIXTURE",IF(M242="","CEK ZONA NO kosong",IF(ISNA(MATCH(R242&amp;"|"&amp;M242,LAYOUT!$E$2:$E$80,0)),"CEK ZONA NO di luar layout",IF(N242&lt;&gt;INDEX(LAYOUT!$D$2:$D$80,MATCH(R242&amp;"|"&amp;M242,LAYOUT!$E$2:$E$80,0)),"CEK JENIS ZONA",IF($D242="","Zona STOCK",IF($E242="","CEK SKU DESCRIPTION kosong",IF(AND(O242&lt;&gt;"",P242=""),"CEK URUTAN SAMBUNG kosong",IF(AND(O242&lt;&gt;"",LEFT(R242,6)="Endcap"),"CEK Endcap tidak ikut sambung","OK"))))))))))</f>
        <v/>
      </c>
      <c r="T242" s="11" t="n"/>
      <c r="U242" s="11" t="n"/>
      <c r="V242" s="11" t="n"/>
      <c r="W242" s="11" t="n"/>
      <c r="X242" s="11" t="n"/>
      <c r="Y242" s="11" t="n"/>
      <c r="Z242" s="12">
        <f>IF(T242="","",IFERROR(INDEX(DAFTAR_FIXTURE!$B$2:$B$51,MATCH(T242,DAFTAR_FIXTURE!$A$2:$A$51,0)),""))</f>
        <v/>
      </c>
      <c r="AA242" s="12">
        <f>IF(T242="","",IF(Z242="","CEK ID FIXTURE tidak ada di DAFTAR_FIXTURE",IF(U242="","CEK ZONA NO kosong",IF(ISNA(MATCH(Z242&amp;"|"&amp;U242,LAYOUT!$E$2:$E$80,0)),"CEK ZONA NO di luar layout",IF(V242&lt;&gt;INDEX(LAYOUT!$D$2:$D$80,MATCH(Z242&amp;"|"&amp;U242,LAYOUT!$E$2:$E$80,0)),"CEK JENIS ZONA",IF($D242="","Zona STOCK",IF($E242="","CEK SKU DESCRIPTION kosong",IF(AND(W242&lt;&gt;"",X242=""),"CEK URUTAN SAMBUNG kosong",IF(AND(W242&lt;&gt;"",LEFT(Z242,6)="Endcap"),"CEK Endcap tidak ikut sambung","OK")))))))))</f>
        <v/>
      </c>
      <c r="AB242" s="11" t="n"/>
      <c r="AC242" s="11" t="n"/>
      <c r="AD242" s="11" t="n"/>
      <c r="AE242" s="11" t="n"/>
      <c r="AF242" s="11" t="n"/>
      <c r="AG242" s="11" t="n"/>
      <c r="AH242" s="12">
        <f>IF(AB242="","",IFERROR(INDEX(DAFTAR_FIXTURE!$B$2:$B$51,MATCH(AB242,DAFTAR_FIXTURE!$A$2:$A$51,0)),""))</f>
        <v/>
      </c>
      <c r="AI242" s="12">
        <f>IF(AB242="","",IF(AH242="","CEK ID FIXTURE tidak ada di DAFTAR_FIXTURE",IF(AC242="","CEK ZONA NO kosong",IF(ISNA(MATCH(AH242&amp;"|"&amp;AC242,LAYOUT!$E$2:$E$80,0)),"CEK ZONA NO di luar layout",IF(AD242&lt;&gt;INDEX(LAYOUT!$D$2:$D$80,MATCH(AH242&amp;"|"&amp;AC242,LAYOUT!$E$2:$E$80,0)),"CEK JENIS ZONA",IF($D242="","Zona STOCK",IF($E242="","CEK SKU DESCRIPTION kosong",IF(AND(AE242&lt;&gt;"",AF242=""),"CEK URUTAN SAMBUNG kosong",IF(AND(AE242&lt;&gt;"",LEFT(AH242,6)="Endcap"),"CEK Endcap tidak ikut sambung","OK")))))))))</f>
        <v/>
      </c>
    </row>
    <row r="243">
      <c r="A243" s="10" t="n"/>
      <c r="B243" s="10" t="n"/>
      <c r="C243" s="10" t="n"/>
      <c r="D243" s="10" t="n"/>
      <c r="E243" s="10" t="n"/>
      <c r="F243" s="10" t="n"/>
      <c r="G243" s="10" t="n"/>
      <c r="H243" s="10" t="n"/>
      <c r="I243" s="10" t="n"/>
      <c r="J243" s="10" t="n"/>
      <c r="K243" s="10" t="n"/>
      <c r="L243" s="11" t="n"/>
      <c r="M243" s="11" t="n"/>
      <c r="N243" s="11" t="n"/>
      <c r="O243" s="11" t="n"/>
      <c r="P243" s="11" t="n"/>
      <c r="Q243" s="11" t="n"/>
      <c r="R243" s="12">
        <f>IF(L243="","",IFERROR(INDEX(DAFTAR_FIXTURE!$B$2:$B$51,MATCH(L243,DAFTAR_FIXTURE!$A$2:$A$51,0)),""))</f>
        <v/>
      </c>
      <c r="S243" s="12">
        <f>IF(AND($D243="",L243=""),"",IF(L243="",IF(AND(T243="",AB243=""),"Belum ditempatkan",""),IF(R243="","CEK ID FIXTURE tidak ada di DAFTAR_FIXTURE",IF(M243="","CEK ZONA NO kosong",IF(ISNA(MATCH(R243&amp;"|"&amp;M243,LAYOUT!$E$2:$E$80,0)),"CEK ZONA NO di luar layout",IF(N243&lt;&gt;INDEX(LAYOUT!$D$2:$D$80,MATCH(R243&amp;"|"&amp;M243,LAYOUT!$E$2:$E$80,0)),"CEK JENIS ZONA",IF($D243="","Zona STOCK",IF($E243="","CEK SKU DESCRIPTION kosong",IF(AND(O243&lt;&gt;"",P243=""),"CEK URUTAN SAMBUNG kosong",IF(AND(O243&lt;&gt;"",LEFT(R243,6)="Endcap"),"CEK Endcap tidak ikut sambung","OK"))))))))))</f>
        <v/>
      </c>
      <c r="T243" s="11" t="n"/>
      <c r="U243" s="11" t="n"/>
      <c r="V243" s="11" t="n"/>
      <c r="W243" s="11" t="n"/>
      <c r="X243" s="11" t="n"/>
      <c r="Y243" s="11" t="n"/>
      <c r="Z243" s="12">
        <f>IF(T243="","",IFERROR(INDEX(DAFTAR_FIXTURE!$B$2:$B$51,MATCH(T243,DAFTAR_FIXTURE!$A$2:$A$51,0)),""))</f>
        <v/>
      </c>
      <c r="AA243" s="12">
        <f>IF(T243="","",IF(Z243="","CEK ID FIXTURE tidak ada di DAFTAR_FIXTURE",IF(U243="","CEK ZONA NO kosong",IF(ISNA(MATCH(Z243&amp;"|"&amp;U243,LAYOUT!$E$2:$E$80,0)),"CEK ZONA NO di luar layout",IF(V243&lt;&gt;INDEX(LAYOUT!$D$2:$D$80,MATCH(Z243&amp;"|"&amp;U243,LAYOUT!$E$2:$E$80,0)),"CEK JENIS ZONA",IF($D243="","Zona STOCK",IF($E243="","CEK SKU DESCRIPTION kosong",IF(AND(W243&lt;&gt;"",X243=""),"CEK URUTAN SAMBUNG kosong",IF(AND(W243&lt;&gt;"",LEFT(Z243,6)="Endcap"),"CEK Endcap tidak ikut sambung","OK")))))))))</f>
        <v/>
      </c>
      <c r="AB243" s="11" t="n"/>
      <c r="AC243" s="11" t="n"/>
      <c r="AD243" s="11" t="n"/>
      <c r="AE243" s="11" t="n"/>
      <c r="AF243" s="11" t="n"/>
      <c r="AG243" s="11" t="n"/>
      <c r="AH243" s="12">
        <f>IF(AB243="","",IFERROR(INDEX(DAFTAR_FIXTURE!$B$2:$B$51,MATCH(AB243,DAFTAR_FIXTURE!$A$2:$A$51,0)),""))</f>
        <v/>
      </c>
      <c r="AI243" s="12">
        <f>IF(AB243="","",IF(AH243="","CEK ID FIXTURE tidak ada di DAFTAR_FIXTURE",IF(AC243="","CEK ZONA NO kosong",IF(ISNA(MATCH(AH243&amp;"|"&amp;AC243,LAYOUT!$E$2:$E$80,0)),"CEK ZONA NO di luar layout",IF(AD243&lt;&gt;INDEX(LAYOUT!$D$2:$D$80,MATCH(AH243&amp;"|"&amp;AC243,LAYOUT!$E$2:$E$80,0)),"CEK JENIS ZONA",IF($D243="","Zona STOCK",IF($E243="","CEK SKU DESCRIPTION kosong",IF(AND(AE243&lt;&gt;"",AF243=""),"CEK URUTAN SAMBUNG kosong",IF(AND(AE243&lt;&gt;"",LEFT(AH243,6)="Endcap"),"CEK Endcap tidak ikut sambung","OK")))))))))</f>
        <v/>
      </c>
    </row>
    <row r="244">
      <c r="A244" s="10" t="n"/>
      <c r="B244" s="10" t="n"/>
      <c r="C244" s="10" t="n"/>
      <c r="D244" s="10" t="n"/>
      <c r="E244" s="10" t="n"/>
      <c r="F244" s="10" t="n"/>
      <c r="G244" s="10" t="n"/>
      <c r="H244" s="10" t="n"/>
      <c r="I244" s="10" t="n"/>
      <c r="J244" s="10" t="n"/>
      <c r="K244" s="10" t="n"/>
      <c r="L244" s="11" t="n"/>
      <c r="M244" s="11" t="n"/>
      <c r="N244" s="11" t="n"/>
      <c r="O244" s="11" t="n"/>
      <c r="P244" s="11" t="n"/>
      <c r="Q244" s="11" t="n"/>
      <c r="R244" s="12">
        <f>IF(L244="","",IFERROR(INDEX(DAFTAR_FIXTURE!$B$2:$B$51,MATCH(L244,DAFTAR_FIXTURE!$A$2:$A$51,0)),""))</f>
        <v/>
      </c>
      <c r="S244" s="12">
        <f>IF(AND($D244="",L244=""),"",IF(L244="",IF(AND(T244="",AB244=""),"Belum ditempatkan",""),IF(R244="","CEK ID FIXTURE tidak ada di DAFTAR_FIXTURE",IF(M244="","CEK ZONA NO kosong",IF(ISNA(MATCH(R244&amp;"|"&amp;M244,LAYOUT!$E$2:$E$80,0)),"CEK ZONA NO di luar layout",IF(N244&lt;&gt;INDEX(LAYOUT!$D$2:$D$80,MATCH(R244&amp;"|"&amp;M244,LAYOUT!$E$2:$E$80,0)),"CEK JENIS ZONA",IF($D244="","Zona STOCK",IF($E244="","CEK SKU DESCRIPTION kosong",IF(AND(O244&lt;&gt;"",P244=""),"CEK URUTAN SAMBUNG kosong",IF(AND(O244&lt;&gt;"",LEFT(R244,6)="Endcap"),"CEK Endcap tidak ikut sambung","OK"))))))))))</f>
        <v/>
      </c>
      <c r="T244" s="11" t="n"/>
      <c r="U244" s="11" t="n"/>
      <c r="V244" s="11" t="n"/>
      <c r="W244" s="11" t="n"/>
      <c r="X244" s="11" t="n"/>
      <c r="Y244" s="11" t="n"/>
      <c r="Z244" s="12">
        <f>IF(T244="","",IFERROR(INDEX(DAFTAR_FIXTURE!$B$2:$B$51,MATCH(T244,DAFTAR_FIXTURE!$A$2:$A$51,0)),""))</f>
        <v/>
      </c>
      <c r="AA244" s="12">
        <f>IF(T244="","",IF(Z244="","CEK ID FIXTURE tidak ada di DAFTAR_FIXTURE",IF(U244="","CEK ZONA NO kosong",IF(ISNA(MATCH(Z244&amp;"|"&amp;U244,LAYOUT!$E$2:$E$80,0)),"CEK ZONA NO di luar layout",IF(V244&lt;&gt;INDEX(LAYOUT!$D$2:$D$80,MATCH(Z244&amp;"|"&amp;U244,LAYOUT!$E$2:$E$80,0)),"CEK JENIS ZONA",IF($D244="","Zona STOCK",IF($E244="","CEK SKU DESCRIPTION kosong",IF(AND(W244&lt;&gt;"",X244=""),"CEK URUTAN SAMBUNG kosong",IF(AND(W244&lt;&gt;"",LEFT(Z244,6)="Endcap"),"CEK Endcap tidak ikut sambung","OK")))))))))</f>
        <v/>
      </c>
      <c r="AB244" s="11" t="n"/>
      <c r="AC244" s="11" t="n"/>
      <c r="AD244" s="11" t="n"/>
      <c r="AE244" s="11" t="n"/>
      <c r="AF244" s="11" t="n"/>
      <c r="AG244" s="11" t="n"/>
      <c r="AH244" s="12">
        <f>IF(AB244="","",IFERROR(INDEX(DAFTAR_FIXTURE!$B$2:$B$51,MATCH(AB244,DAFTAR_FIXTURE!$A$2:$A$51,0)),""))</f>
        <v/>
      </c>
      <c r="AI244" s="12">
        <f>IF(AB244="","",IF(AH244="","CEK ID FIXTURE tidak ada di DAFTAR_FIXTURE",IF(AC244="","CEK ZONA NO kosong",IF(ISNA(MATCH(AH244&amp;"|"&amp;AC244,LAYOUT!$E$2:$E$80,0)),"CEK ZONA NO di luar layout",IF(AD244&lt;&gt;INDEX(LAYOUT!$D$2:$D$80,MATCH(AH244&amp;"|"&amp;AC244,LAYOUT!$E$2:$E$80,0)),"CEK JENIS ZONA",IF($D244="","Zona STOCK",IF($E244="","CEK SKU DESCRIPTION kosong",IF(AND(AE244&lt;&gt;"",AF244=""),"CEK URUTAN SAMBUNG kosong",IF(AND(AE244&lt;&gt;"",LEFT(AH244,6)="Endcap"),"CEK Endcap tidak ikut sambung","OK")))))))))</f>
        <v/>
      </c>
    </row>
    <row r="245">
      <c r="A245" s="10" t="n"/>
      <c r="B245" s="10" t="n"/>
      <c r="C245" s="10" t="n"/>
      <c r="D245" s="10" t="n"/>
      <c r="E245" s="10" t="n"/>
      <c r="F245" s="10" t="n"/>
      <c r="G245" s="10" t="n"/>
      <c r="H245" s="10" t="n"/>
      <c r="I245" s="10" t="n"/>
      <c r="J245" s="10" t="n"/>
      <c r="K245" s="10" t="n"/>
      <c r="L245" s="11" t="n"/>
      <c r="M245" s="11" t="n"/>
      <c r="N245" s="11" t="n"/>
      <c r="O245" s="11" t="n"/>
      <c r="P245" s="11" t="n"/>
      <c r="Q245" s="11" t="n"/>
      <c r="R245" s="12">
        <f>IF(L245="","",IFERROR(INDEX(DAFTAR_FIXTURE!$B$2:$B$51,MATCH(L245,DAFTAR_FIXTURE!$A$2:$A$51,0)),""))</f>
        <v/>
      </c>
      <c r="S245" s="12">
        <f>IF(AND($D245="",L245=""),"",IF(L245="",IF(AND(T245="",AB245=""),"Belum ditempatkan",""),IF(R245="","CEK ID FIXTURE tidak ada di DAFTAR_FIXTURE",IF(M245="","CEK ZONA NO kosong",IF(ISNA(MATCH(R245&amp;"|"&amp;M245,LAYOUT!$E$2:$E$80,0)),"CEK ZONA NO di luar layout",IF(N245&lt;&gt;INDEX(LAYOUT!$D$2:$D$80,MATCH(R245&amp;"|"&amp;M245,LAYOUT!$E$2:$E$80,0)),"CEK JENIS ZONA",IF($D245="","Zona STOCK",IF($E245="","CEK SKU DESCRIPTION kosong",IF(AND(O245&lt;&gt;"",P245=""),"CEK URUTAN SAMBUNG kosong",IF(AND(O245&lt;&gt;"",LEFT(R245,6)="Endcap"),"CEK Endcap tidak ikut sambung","OK"))))))))))</f>
        <v/>
      </c>
      <c r="T245" s="11" t="n"/>
      <c r="U245" s="11" t="n"/>
      <c r="V245" s="11" t="n"/>
      <c r="W245" s="11" t="n"/>
      <c r="X245" s="11" t="n"/>
      <c r="Y245" s="11" t="n"/>
      <c r="Z245" s="12">
        <f>IF(T245="","",IFERROR(INDEX(DAFTAR_FIXTURE!$B$2:$B$51,MATCH(T245,DAFTAR_FIXTURE!$A$2:$A$51,0)),""))</f>
        <v/>
      </c>
      <c r="AA245" s="12">
        <f>IF(T245="","",IF(Z245="","CEK ID FIXTURE tidak ada di DAFTAR_FIXTURE",IF(U245="","CEK ZONA NO kosong",IF(ISNA(MATCH(Z245&amp;"|"&amp;U245,LAYOUT!$E$2:$E$80,0)),"CEK ZONA NO di luar layout",IF(V245&lt;&gt;INDEX(LAYOUT!$D$2:$D$80,MATCH(Z245&amp;"|"&amp;U245,LAYOUT!$E$2:$E$80,0)),"CEK JENIS ZONA",IF($D245="","Zona STOCK",IF($E245="","CEK SKU DESCRIPTION kosong",IF(AND(W245&lt;&gt;"",X245=""),"CEK URUTAN SAMBUNG kosong",IF(AND(W245&lt;&gt;"",LEFT(Z245,6)="Endcap"),"CEK Endcap tidak ikut sambung","OK")))))))))</f>
        <v/>
      </c>
      <c r="AB245" s="11" t="n"/>
      <c r="AC245" s="11" t="n"/>
      <c r="AD245" s="11" t="n"/>
      <c r="AE245" s="11" t="n"/>
      <c r="AF245" s="11" t="n"/>
      <c r="AG245" s="11" t="n"/>
      <c r="AH245" s="12">
        <f>IF(AB245="","",IFERROR(INDEX(DAFTAR_FIXTURE!$B$2:$B$51,MATCH(AB245,DAFTAR_FIXTURE!$A$2:$A$51,0)),""))</f>
        <v/>
      </c>
      <c r="AI245" s="12">
        <f>IF(AB245="","",IF(AH245="","CEK ID FIXTURE tidak ada di DAFTAR_FIXTURE",IF(AC245="","CEK ZONA NO kosong",IF(ISNA(MATCH(AH245&amp;"|"&amp;AC245,LAYOUT!$E$2:$E$80,0)),"CEK ZONA NO di luar layout",IF(AD245&lt;&gt;INDEX(LAYOUT!$D$2:$D$80,MATCH(AH245&amp;"|"&amp;AC245,LAYOUT!$E$2:$E$80,0)),"CEK JENIS ZONA",IF($D245="","Zona STOCK",IF($E245="","CEK SKU DESCRIPTION kosong",IF(AND(AE245&lt;&gt;"",AF245=""),"CEK URUTAN SAMBUNG kosong",IF(AND(AE245&lt;&gt;"",LEFT(AH245,6)="Endcap"),"CEK Endcap tidak ikut sambung","OK")))))))))</f>
        <v/>
      </c>
    </row>
    <row r="246">
      <c r="A246" s="10" t="n"/>
      <c r="B246" s="10" t="n"/>
      <c r="C246" s="10" t="n"/>
      <c r="D246" s="10" t="n"/>
      <c r="E246" s="10" t="n"/>
      <c r="F246" s="10" t="n"/>
      <c r="G246" s="10" t="n"/>
      <c r="H246" s="10" t="n"/>
      <c r="I246" s="10" t="n"/>
      <c r="J246" s="10" t="n"/>
      <c r="K246" s="10" t="n"/>
      <c r="L246" s="11" t="n"/>
      <c r="M246" s="11" t="n"/>
      <c r="N246" s="11" t="n"/>
      <c r="O246" s="11" t="n"/>
      <c r="P246" s="11" t="n"/>
      <c r="Q246" s="11" t="n"/>
      <c r="R246" s="12">
        <f>IF(L246="","",IFERROR(INDEX(DAFTAR_FIXTURE!$B$2:$B$51,MATCH(L246,DAFTAR_FIXTURE!$A$2:$A$51,0)),""))</f>
        <v/>
      </c>
      <c r="S246" s="12">
        <f>IF(AND($D246="",L246=""),"",IF(L246="",IF(AND(T246="",AB246=""),"Belum ditempatkan",""),IF(R246="","CEK ID FIXTURE tidak ada di DAFTAR_FIXTURE",IF(M246="","CEK ZONA NO kosong",IF(ISNA(MATCH(R246&amp;"|"&amp;M246,LAYOUT!$E$2:$E$80,0)),"CEK ZONA NO di luar layout",IF(N246&lt;&gt;INDEX(LAYOUT!$D$2:$D$80,MATCH(R246&amp;"|"&amp;M246,LAYOUT!$E$2:$E$80,0)),"CEK JENIS ZONA",IF($D246="","Zona STOCK",IF($E246="","CEK SKU DESCRIPTION kosong",IF(AND(O246&lt;&gt;"",P246=""),"CEK URUTAN SAMBUNG kosong",IF(AND(O246&lt;&gt;"",LEFT(R246,6)="Endcap"),"CEK Endcap tidak ikut sambung","OK"))))))))))</f>
        <v/>
      </c>
      <c r="T246" s="11" t="n"/>
      <c r="U246" s="11" t="n"/>
      <c r="V246" s="11" t="n"/>
      <c r="W246" s="11" t="n"/>
      <c r="X246" s="11" t="n"/>
      <c r="Y246" s="11" t="n"/>
      <c r="Z246" s="12">
        <f>IF(T246="","",IFERROR(INDEX(DAFTAR_FIXTURE!$B$2:$B$51,MATCH(T246,DAFTAR_FIXTURE!$A$2:$A$51,0)),""))</f>
        <v/>
      </c>
      <c r="AA246" s="12">
        <f>IF(T246="","",IF(Z246="","CEK ID FIXTURE tidak ada di DAFTAR_FIXTURE",IF(U246="","CEK ZONA NO kosong",IF(ISNA(MATCH(Z246&amp;"|"&amp;U246,LAYOUT!$E$2:$E$80,0)),"CEK ZONA NO di luar layout",IF(V246&lt;&gt;INDEX(LAYOUT!$D$2:$D$80,MATCH(Z246&amp;"|"&amp;U246,LAYOUT!$E$2:$E$80,0)),"CEK JENIS ZONA",IF($D246="","Zona STOCK",IF($E246="","CEK SKU DESCRIPTION kosong",IF(AND(W246&lt;&gt;"",X246=""),"CEK URUTAN SAMBUNG kosong",IF(AND(W246&lt;&gt;"",LEFT(Z246,6)="Endcap"),"CEK Endcap tidak ikut sambung","OK")))))))))</f>
        <v/>
      </c>
      <c r="AB246" s="11" t="n"/>
      <c r="AC246" s="11" t="n"/>
      <c r="AD246" s="11" t="n"/>
      <c r="AE246" s="11" t="n"/>
      <c r="AF246" s="11" t="n"/>
      <c r="AG246" s="11" t="n"/>
      <c r="AH246" s="12">
        <f>IF(AB246="","",IFERROR(INDEX(DAFTAR_FIXTURE!$B$2:$B$51,MATCH(AB246,DAFTAR_FIXTURE!$A$2:$A$51,0)),""))</f>
        <v/>
      </c>
      <c r="AI246" s="12">
        <f>IF(AB246="","",IF(AH246="","CEK ID FIXTURE tidak ada di DAFTAR_FIXTURE",IF(AC246="","CEK ZONA NO kosong",IF(ISNA(MATCH(AH246&amp;"|"&amp;AC246,LAYOUT!$E$2:$E$80,0)),"CEK ZONA NO di luar layout",IF(AD246&lt;&gt;INDEX(LAYOUT!$D$2:$D$80,MATCH(AH246&amp;"|"&amp;AC246,LAYOUT!$E$2:$E$80,0)),"CEK JENIS ZONA",IF($D246="","Zona STOCK",IF($E246="","CEK SKU DESCRIPTION kosong",IF(AND(AE246&lt;&gt;"",AF246=""),"CEK URUTAN SAMBUNG kosong",IF(AND(AE246&lt;&gt;"",LEFT(AH246,6)="Endcap"),"CEK Endcap tidak ikut sambung","OK")))))))))</f>
        <v/>
      </c>
    </row>
    <row r="247">
      <c r="A247" s="10" t="n"/>
      <c r="B247" s="10" t="n"/>
      <c r="C247" s="10" t="n"/>
      <c r="D247" s="10" t="n"/>
      <c r="E247" s="10" t="n"/>
      <c r="F247" s="10" t="n"/>
      <c r="G247" s="10" t="n"/>
      <c r="H247" s="10" t="n"/>
      <c r="I247" s="10" t="n"/>
      <c r="J247" s="10" t="n"/>
      <c r="K247" s="10" t="n"/>
      <c r="L247" s="11" t="n"/>
      <c r="M247" s="11" t="n"/>
      <c r="N247" s="11" t="n"/>
      <c r="O247" s="11" t="n"/>
      <c r="P247" s="11" t="n"/>
      <c r="Q247" s="11" t="n"/>
      <c r="R247" s="12">
        <f>IF(L247="","",IFERROR(INDEX(DAFTAR_FIXTURE!$B$2:$B$51,MATCH(L247,DAFTAR_FIXTURE!$A$2:$A$51,0)),""))</f>
        <v/>
      </c>
      <c r="S247" s="12">
        <f>IF(AND($D247="",L247=""),"",IF(L247="",IF(AND(T247="",AB247=""),"Belum ditempatkan",""),IF(R247="","CEK ID FIXTURE tidak ada di DAFTAR_FIXTURE",IF(M247="","CEK ZONA NO kosong",IF(ISNA(MATCH(R247&amp;"|"&amp;M247,LAYOUT!$E$2:$E$80,0)),"CEK ZONA NO di luar layout",IF(N247&lt;&gt;INDEX(LAYOUT!$D$2:$D$80,MATCH(R247&amp;"|"&amp;M247,LAYOUT!$E$2:$E$80,0)),"CEK JENIS ZONA",IF($D247="","Zona STOCK",IF($E247="","CEK SKU DESCRIPTION kosong",IF(AND(O247&lt;&gt;"",P247=""),"CEK URUTAN SAMBUNG kosong",IF(AND(O247&lt;&gt;"",LEFT(R247,6)="Endcap"),"CEK Endcap tidak ikut sambung","OK"))))))))))</f>
        <v/>
      </c>
      <c r="T247" s="11" t="n"/>
      <c r="U247" s="11" t="n"/>
      <c r="V247" s="11" t="n"/>
      <c r="W247" s="11" t="n"/>
      <c r="X247" s="11" t="n"/>
      <c r="Y247" s="11" t="n"/>
      <c r="Z247" s="12">
        <f>IF(T247="","",IFERROR(INDEX(DAFTAR_FIXTURE!$B$2:$B$51,MATCH(T247,DAFTAR_FIXTURE!$A$2:$A$51,0)),""))</f>
        <v/>
      </c>
      <c r="AA247" s="12">
        <f>IF(T247="","",IF(Z247="","CEK ID FIXTURE tidak ada di DAFTAR_FIXTURE",IF(U247="","CEK ZONA NO kosong",IF(ISNA(MATCH(Z247&amp;"|"&amp;U247,LAYOUT!$E$2:$E$80,0)),"CEK ZONA NO di luar layout",IF(V247&lt;&gt;INDEX(LAYOUT!$D$2:$D$80,MATCH(Z247&amp;"|"&amp;U247,LAYOUT!$E$2:$E$80,0)),"CEK JENIS ZONA",IF($D247="","Zona STOCK",IF($E247="","CEK SKU DESCRIPTION kosong",IF(AND(W247&lt;&gt;"",X247=""),"CEK URUTAN SAMBUNG kosong",IF(AND(W247&lt;&gt;"",LEFT(Z247,6)="Endcap"),"CEK Endcap tidak ikut sambung","OK")))))))))</f>
        <v/>
      </c>
      <c r="AB247" s="11" t="n"/>
      <c r="AC247" s="11" t="n"/>
      <c r="AD247" s="11" t="n"/>
      <c r="AE247" s="11" t="n"/>
      <c r="AF247" s="11" t="n"/>
      <c r="AG247" s="11" t="n"/>
      <c r="AH247" s="12">
        <f>IF(AB247="","",IFERROR(INDEX(DAFTAR_FIXTURE!$B$2:$B$51,MATCH(AB247,DAFTAR_FIXTURE!$A$2:$A$51,0)),""))</f>
        <v/>
      </c>
      <c r="AI247" s="12">
        <f>IF(AB247="","",IF(AH247="","CEK ID FIXTURE tidak ada di DAFTAR_FIXTURE",IF(AC247="","CEK ZONA NO kosong",IF(ISNA(MATCH(AH247&amp;"|"&amp;AC247,LAYOUT!$E$2:$E$80,0)),"CEK ZONA NO di luar layout",IF(AD247&lt;&gt;INDEX(LAYOUT!$D$2:$D$80,MATCH(AH247&amp;"|"&amp;AC247,LAYOUT!$E$2:$E$80,0)),"CEK JENIS ZONA",IF($D247="","Zona STOCK",IF($E247="","CEK SKU DESCRIPTION kosong",IF(AND(AE247&lt;&gt;"",AF247=""),"CEK URUTAN SAMBUNG kosong",IF(AND(AE247&lt;&gt;"",LEFT(AH247,6)="Endcap"),"CEK Endcap tidak ikut sambung","OK")))))))))</f>
        <v/>
      </c>
    </row>
    <row r="248">
      <c r="A248" s="10" t="n"/>
      <c r="B248" s="10" t="n"/>
      <c r="C248" s="10" t="n"/>
      <c r="D248" s="10" t="n"/>
      <c r="E248" s="10" t="n"/>
      <c r="F248" s="10" t="n"/>
      <c r="G248" s="10" t="n"/>
      <c r="H248" s="10" t="n"/>
      <c r="I248" s="10" t="n"/>
      <c r="J248" s="10" t="n"/>
      <c r="K248" s="10" t="n"/>
      <c r="L248" s="11" t="n"/>
      <c r="M248" s="11" t="n"/>
      <c r="N248" s="11" t="n"/>
      <c r="O248" s="11" t="n"/>
      <c r="P248" s="11" t="n"/>
      <c r="Q248" s="11" t="n"/>
      <c r="R248" s="12">
        <f>IF(L248="","",IFERROR(INDEX(DAFTAR_FIXTURE!$B$2:$B$51,MATCH(L248,DAFTAR_FIXTURE!$A$2:$A$51,0)),""))</f>
        <v/>
      </c>
      <c r="S248" s="12">
        <f>IF(AND($D248="",L248=""),"",IF(L248="",IF(AND(T248="",AB248=""),"Belum ditempatkan",""),IF(R248="","CEK ID FIXTURE tidak ada di DAFTAR_FIXTURE",IF(M248="","CEK ZONA NO kosong",IF(ISNA(MATCH(R248&amp;"|"&amp;M248,LAYOUT!$E$2:$E$80,0)),"CEK ZONA NO di luar layout",IF(N248&lt;&gt;INDEX(LAYOUT!$D$2:$D$80,MATCH(R248&amp;"|"&amp;M248,LAYOUT!$E$2:$E$80,0)),"CEK JENIS ZONA",IF($D248="","Zona STOCK",IF($E248="","CEK SKU DESCRIPTION kosong",IF(AND(O248&lt;&gt;"",P248=""),"CEK URUTAN SAMBUNG kosong",IF(AND(O248&lt;&gt;"",LEFT(R248,6)="Endcap"),"CEK Endcap tidak ikut sambung","OK"))))))))))</f>
        <v/>
      </c>
      <c r="T248" s="11" t="n"/>
      <c r="U248" s="11" t="n"/>
      <c r="V248" s="11" t="n"/>
      <c r="W248" s="11" t="n"/>
      <c r="X248" s="11" t="n"/>
      <c r="Y248" s="11" t="n"/>
      <c r="Z248" s="12">
        <f>IF(T248="","",IFERROR(INDEX(DAFTAR_FIXTURE!$B$2:$B$51,MATCH(T248,DAFTAR_FIXTURE!$A$2:$A$51,0)),""))</f>
        <v/>
      </c>
      <c r="AA248" s="12">
        <f>IF(T248="","",IF(Z248="","CEK ID FIXTURE tidak ada di DAFTAR_FIXTURE",IF(U248="","CEK ZONA NO kosong",IF(ISNA(MATCH(Z248&amp;"|"&amp;U248,LAYOUT!$E$2:$E$80,0)),"CEK ZONA NO di luar layout",IF(V248&lt;&gt;INDEX(LAYOUT!$D$2:$D$80,MATCH(Z248&amp;"|"&amp;U248,LAYOUT!$E$2:$E$80,0)),"CEK JENIS ZONA",IF($D248="","Zona STOCK",IF($E248="","CEK SKU DESCRIPTION kosong",IF(AND(W248&lt;&gt;"",X248=""),"CEK URUTAN SAMBUNG kosong",IF(AND(W248&lt;&gt;"",LEFT(Z248,6)="Endcap"),"CEK Endcap tidak ikut sambung","OK")))))))))</f>
        <v/>
      </c>
      <c r="AB248" s="11" t="n"/>
      <c r="AC248" s="11" t="n"/>
      <c r="AD248" s="11" t="n"/>
      <c r="AE248" s="11" t="n"/>
      <c r="AF248" s="11" t="n"/>
      <c r="AG248" s="11" t="n"/>
      <c r="AH248" s="12">
        <f>IF(AB248="","",IFERROR(INDEX(DAFTAR_FIXTURE!$B$2:$B$51,MATCH(AB248,DAFTAR_FIXTURE!$A$2:$A$51,0)),""))</f>
        <v/>
      </c>
      <c r="AI248" s="12">
        <f>IF(AB248="","",IF(AH248="","CEK ID FIXTURE tidak ada di DAFTAR_FIXTURE",IF(AC248="","CEK ZONA NO kosong",IF(ISNA(MATCH(AH248&amp;"|"&amp;AC248,LAYOUT!$E$2:$E$80,0)),"CEK ZONA NO di luar layout",IF(AD248&lt;&gt;INDEX(LAYOUT!$D$2:$D$80,MATCH(AH248&amp;"|"&amp;AC248,LAYOUT!$E$2:$E$80,0)),"CEK JENIS ZONA",IF($D248="","Zona STOCK",IF($E248="","CEK SKU DESCRIPTION kosong",IF(AND(AE248&lt;&gt;"",AF248=""),"CEK URUTAN SAMBUNG kosong",IF(AND(AE248&lt;&gt;"",LEFT(AH248,6)="Endcap"),"CEK Endcap tidak ikut sambung","OK")))))))))</f>
        <v/>
      </c>
    </row>
    <row r="249">
      <c r="A249" s="10" t="n"/>
      <c r="B249" s="10" t="n"/>
      <c r="C249" s="10" t="n"/>
      <c r="D249" s="10" t="n"/>
      <c r="E249" s="10" t="n"/>
      <c r="F249" s="10" t="n"/>
      <c r="G249" s="10" t="n"/>
      <c r="H249" s="10" t="n"/>
      <c r="I249" s="10" t="n"/>
      <c r="J249" s="10" t="n"/>
      <c r="K249" s="10" t="n"/>
      <c r="L249" s="11" t="n"/>
      <c r="M249" s="11" t="n"/>
      <c r="N249" s="11" t="n"/>
      <c r="O249" s="11" t="n"/>
      <c r="P249" s="11" t="n"/>
      <c r="Q249" s="11" t="n"/>
      <c r="R249" s="12">
        <f>IF(L249="","",IFERROR(INDEX(DAFTAR_FIXTURE!$B$2:$B$51,MATCH(L249,DAFTAR_FIXTURE!$A$2:$A$51,0)),""))</f>
        <v/>
      </c>
      <c r="S249" s="12">
        <f>IF(AND($D249="",L249=""),"",IF(L249="",IF(AND(T249="",AB249=""),"Belum ditempatkan",""),IF(R249="","CEK ID FIXTURE tidak ada di DAFTAR_FIXTURE",IF(M249="","CEK ZONA NO kosong",IF(ISNA(MATCH(R249&amp;"|"&amp;M249,LAYOUT!$E$2:$E$80,0)),"CEK ZONA NO di luar layout",IF(N249&lt;&gt;INDEX(LAYOUT!$D$2:$D$80,MATCH(R249&amp;"|"&amp;M249,LAYOUT!$E$2:$E$80,0)),"CEK JENIS ZONA",IF($D249="","Zona STOCK",IF($E249="","CEK SKU DESCRIPTION kosong",IF(AND(O249&lt;&gt;"",P249=""),"CEK URUTAN SAMBUNG kosong",IF(AND(O249&lt;&gt;"",LEFT(R249,6)="Endcap"),"CEK Endcap tidak ikut sambung","OK"))))))))))</f>
        <v/>
      </c>
      <c r="T249" s="11" t="n"/>
      <c r="U249" s="11" t="n"/>
      <c r="V249" s="11" t="n"/>
      <c r="W249" s="11" t="n"/>
      <c r="X249" s="11" t="n"/>
      <c r="Y249" s="11" t="n"/>
      <c r="Z249" s="12">
        <f>IF(T249="","",IFERROR(INDEX(DAFTAR_FIXTURE!$B$2:$B$51,MATCH(T249,DAFTAR_FIXTURE!$A$2:$A$51,0)),""))</f>
        <v/>
      </c>
      <c r="AA249" s="12">
        <f>IF(T249="","",IF(Z249="","CEK ID FIXTURE tidak ada di DAFTAR_FIXTURE",IF(U249="","CEK ZONA NO kosong",IF(ISNA(MATCH(Z249&amp;"|"&amp;U249,LAYOUT!$E$2:$E$80,0)),"CEK ZONA NO di luar layout",IF(V249&lt;&gt;INDEX(LAYOUT!$D$2:$D$80,MATCH(Z249&amp;"|"&amp;U249,LAYOUT!$E$2:$E$80,0)),"CEK JENIS ZONA",IF($D249="","Zona STOCK",IF($E249="","CEK SKU DESCRIPTION kosong",IF(AND(W249&lt;&gt;"",X249=""),"CEK URUTAN SAMBUNG kosong",IF(AND(W249&lt;&gt;"",LEFT(Z249,6)="Endcap"),"CEK Endcap tidak ikut sambung","OK")))))))))</f>
        <v/>
      </c>
      <c r="AB249" s="11" t="n"/>
      <c r="AC249" s="11" t="n"/>
      <c r="AD249" s="11" t="n"/>
      <c r="AE249" s="11" t="n"/>
      <c r="AF249" s="11" t="n"/>
      <c r="AG249" s="11" t="n"/>
      <c r="AH249" s="12">
        <f>IF(AB249="","",IFERROR(INDEX(DAFTAR_FIXTURE!$B$2:$B$51,MATCH(AB249,DAFTAR_FIXTURE!$A$2:$A$51,0)),""))</f>
        <v/>
      </c>
      <c r="AI249" s="12">
        <f>IF(AB249="","",IF(AH249="","CEK ID FIXTURE tidak ada di DAFTAR_FIXTURE",IF(AC249="","CEK ZONA NO kosong",IF(ISNA(MATCH(AH249&amp;"|"&amp;AC249,LAYOUT!$E$2:$E$80,0)),"CEK ZONA NO di luar layout",IF(AD249&lt;&gt;INDEX(LAYOUT!$D$2:$D$80,MATCH(AH249&amp;"|"&amp;AC249,LAYOUT!$E$2:$E$80,0)),"CEK JENIS ZONA",IF($D249="","Zona STOCK",IF($E249="","CEK SKU DESCRIPTION kosong",IF(AND(AE249&lt;&gt;"",AF249=""),"CEK URUTAN SAMBUNG kosong",IF(AND(AE249&lt;&gt;"",LEFT(AH249,6)="Endcap"),"CEK Endcap tidak ikut sambung","OK")))))))))</f>
        <v/>
      </c>
    </row>
    <row r="250">
      <c r="A250" s="10" t="n"/>
      <c r="B250" s="10" t="n"/>
      <c r="C250" s="10" t="n"/>
      <c r="D250" s="10" t="n"/>
      <c r="E250" s="10" t="n"/>
      <c r="F250" s="10" t="n"/>
      <c r="G250" s="10" t="n"/>
      <c r="H250" s="10" t="n"/>
      <c r="I250" s="10" t="n"/>
      <c r="J250" s="10" t="n"/>
      <c r="K250" s="10" t="n"/>
      <c r="L250" s="11" t="n"/>
      <c r="M250" s="11" t="n"/>
      <c r="N250" s="11" t="n"/>
      <c r="O250" s="11" t="n"/>
      <c r="P250" s="11" t="n"/>
      <c r="Q250" s="11" t="n"/>
      <c r="R250" s="12">
        <f>IF(L250="","",IFERROR(INDEX(DAFTAR_FIXTURE!$B$2:$B$51,MATCH(L250,DAFTAR_FIXTURE!$A$2:$A$51,0)),""))</f>
        <v/>
      </c>
      <c r="S250" s="12">
        <f>IF(AND($D250="",L250=""),"",IF(L250="",IF(AND(T250="",AB250=""),"Belum ditempatkan",""),IF(R250="","CEK ID FIXTURE tidak ada di DAFTAR_FIXTURE",IF(M250="","CEK ZONA NO kosong",IF(ISNA(MATCH(R250&amp;"|"&amp;M250,LAYOUT!$E$2:$E$80,0)),"CEK ZONA NO di luar layout",IF(N250&lt;&gt;INDEX(LAYOUT!$D$2:$D$80,MATCH(R250&amp;"|"&amp;M250,LAYOUT!$E$2:$E$80,0)),"CEK JENIS ZONA",IF($D250="","Zona STOCK",IF($E250="","CEK SKU DESCRIPTION kosong",IF(AND(O250&lt;&gt;"",P250=""),"CEK URUTAN SAMBUNG kosong",IF(AND(O250&lt;&gt;"",LEFT(R250,6)="Endcap"),"CEK Endcap tidak ikut sambung","OK"))))))))))</f>
        <v/>
      </c>
      <c r="T250" s="11" t="n"/>
      <c r="U250" s="11" t="n"/>
      <c r="V250" s="11" t="n"/>
      <c r="W250" s="11" t="n"/>
      <c r="X250" s="11" t="n"/>
      <c r="Y250" s="11" t="n"/>
      <c r="Z250" s="12">
        <f>IF(T250="","",IFERROR(INDEX(DAFTAR_FIXTURE!$B$2:$B$51,MATCH(T250,DAFTAR_FIXTURE!$A$2:$A$51,0)),""))</f>
        <v/>
      </c>
      <c r="AA250" s="12">
        <f>IF(T250="","",IF(Z250="","CEK ID FIXTURE tidak ada di DAFTAR_FIXTURE",IF(U250="","CEK ZONA NO kosong",IF(ISNA(MATCH(Z250&amp;"|"&amp;U250,LAYOUT!$E$2:$E$80,0)),"CEK ZONA NO di luar layout",IF(V250&lt;&gt;INDEX(LAYOUT!$D$2:$D$80,MATCH(Z250&amp;"|"&amp;U250,LAYOUT!$E$2:$E$80,0)),"CEK JENIS ZONA",IF($D250="","Zona STOCK",IF($E250="","CEK SKU DESCRIPTION kosong",IF(AND(W250&lt;&gt;"",X250=""),"CEK URUTAN SAMBUNG kosong",IF(AND(W250&lt;&gt;"",LEFT(Z250,6)="Endcap"),"CEK Endcap tidak ikut sambung","OK")))))))))</f>
        <v/>
      </c>
      <c r="AB250" s="11" t="n"/>
      <c r="AC250" s="11" t="n"/>
      <c r="AD250" s="11" t="n"/>
      <c r="AE250" s="11" t="n"/>
      <c r="AF250" s="11" t="n"/>
      <c r="AG250" s="11" t="n"/>
      <c r="AH250" s="12">
        <f>IF(AB250="","",IFERROR(INDEX(DAFTAR_FIXTURE!$B$2:$B$51,MATCH(AB250,DAFTAR_FIXTURE!$A$2:$A$51,0)),""))</f>
        <v/>
      </c>
      <c r="AI250" s="12">
        <f>IF(AB250="","",IF(AH250="","CEK ID FIXTURE tidak ada di DAFTAR_FIXTURE",IF(AC250="","CEK ZONA NO kosong",IF(ISNA(MATCH(AH250&amp;"|"&amp;AC250,LAYOUT!$E$2:$E$80,0)),"CEK ZONA NO di luar layout",IF(AD250&lt;&gt;INDEX(LAYOUT!$D$2:$D$80,MATCH(AH250&amp;"|"&amp;AC250,LAYOUT!$E$2:$E$80,0)),"CEK JENIS ZONA",IF($D250="","Zona STOCK",IF($E250="","CEK SKU DESCRIPTION kosong",IF(AND(AE250&lt;&gt;"",AF250=""),"CEK URUTAN SAMBUNG kosong",IF(AND(AE250&lt;&gt;"",LEFT(AH250,6)="Endcap"),"CEK Endcap tidak ikut sambung","OK")))))))))</f>
        <v/>
      </c>
    </row>
    <row r="251">
      <c r="A251" s="10" t="n"/>
      <c r="B251" s="10" t="n"/>
      <c r="C251" s="10" t="n"/>
      <c r="D251" s="10" t="n"/>
      <c r="E251" s="10" t="n"/>
      <c r="F251" s="10" t="n"/>
      <c r="G251" s="10" t="n"/>
      <c r="H251" s="10" t="n"/>
      <c r="I251" s="10" t="n"/>
      <c r="J251" s="10" t="n"/>
      <c r="K251" s="10" t="n"/>
      <c r="L251" s="11" t="n"/>
      <c r="M251" s="11" t="n"/>
      <c r="N251" s="11" t="n"/>
      <c r="O251" s="11" t="n"/>
      <c r="P251" s="11" t="n"/>
      <c r="Q251" s="11" t="n"/>
      <c r="R251" s="12">
        <f>IF(L251="","",IFERROR(INDEX(DAFTAR_FIXTURE!$B$2:$B$51,MATCH(L251,DAFTAR_FIXTURE!$A$2:$A$51,0)),""))</f>
        <v/>
      </c>
      <c r="S251" s="12">
        <f>IF(AND($D251="",L251=""),"",IF(L251="",IF(AND(T251="",AB251=""),"Belum ditempatkan",""),IF(R251="","CEK ID FIXTURE tidak ada di DAFTAR_FIXTURE",IF(M251="","CEK ZONA NO kosong",IF(ISNA(MATCH(R251&amp;"|"&amp;M251,LAYOUT!$E$2:$E$80,0)),"CEK ZONA NO di luar layout",IF(N251&lt;&gt;INDEX(LAYOUT!$D$2:$D$80,MATCH(R251&amp;"|"&amp;M251,LAYOUT!$E$2:$E$80,0)),"CEK JENIS ZONA",IF($D251="","Zona STOCK",IF($E251="","CEK SKU DESCRIPTION kosong",IF(AND(O251&lt;&gt;"",P251=""),"CEK URUTAN SAMBUNG kosong",IF(AND(O251&lt;&gt;"",LEFT(R251,6)="Endcap"),"CEK Endcap tidak ikut sambung","OK"))))))))))</f>
        <v/>
      </c>
      <c r="T251" s="11" t="n"/>
      <c r="U251" s="11" t="n"/>
      <c r="V251" s="11" t="n"/>
      <c r="W251" s="11" t="n"/>
      <c r="X251" s="11" t="n"/>
      <c r="Y251" s="11" t="n"/>
      <c r="Z251" s="12">
        <f>IF(T251="","",IFERROR(INDEX(DAFTAR_FIXTURE!$B$2:$B$51,MATCH(T251,DAFTAR_FIXTURE!$A$2:$A$51,0)),""))</f>
        <v/>
      </c>
      <c r="AA251" s="12">
        <f>IF(T251="","",IF(Z251="","CEK ID FIXTURE tidak ada di DAFTAR_FIXTURE",IF(U251="","CEK ZONA NO kosong",IF(ISNA(MATCH(Z251&amp;"|"&amp;U251,LAYOUT!$E$2:$E$80,0)),"CEK ZONA NO di luar layout",IF(V251&lt;&gt;INDEX(LAYOUT!$D$2:$D$80,MATCH(Z251&amp;"|"&amp;U251,LAYOUT!$E$2:$E$80,0)),"CEK JENIS ZONA",IF($D251="","Zona STOCK",IF($E251="","CEK SKU DESCRIPTION kosong",IF(AND(W251&lt;&gt;"",X251=""),"CEK URUTAN SAMBUNG kosong",IF(AND(W251&lt;&gt;"",LEFT(Z251,6)="Endcap"),"CEK Endcap tidak ikut sambung","OK")))))))))</f>
        <v/>
      </c>
      <c r="AB251" s="11" t="n"/>
      <c r="AC251" s="11" t="n"/>
      <c r="AD251" s="11" t="n"/>
      <c r="AE251" s="11" t="n"/>
      <c r="AF251" s="11" t="n"/>
      <c r="AG251" s="11" t="n"/>
      <c r="AH251" s="12">
        <f>IF(AB251="","",IFERROR(INDEX(DAFTAR_FIXTURE!$B$2:$B$51,MATCH(AB251,DAFTAR_FIXTURE!$A$2:$A$51,0)),""))</f>
        <v/>
      </c>
      <c r="AI251" s="12">
        <f>IF(AB251="","",IF(AH251="","CEK ID FIXTURE tidak ada di DAFTAR_FIXTURE",IF(AC251="","CEK ZONA NO kosong",IF(ISNA(MATCH(AH251&amp;"|"&amp;AC251,LAYOUT!$E$2:$E$80,0)),"CEK ZONA NO di luar layout",IF(AD251&lt;&gt;INDEX(LAYOUT!$D$2:$D$80,MATCH(AH251&amp;"|"&amp;AC251,LAYOUT!$E$2:$E$80,0)),"CEK JENIS ZONA",IF($D251="","Zona STOCK",IF($E251="","CEK SKU DESCRIPTION kosong",IF(AND(AE251&lt;&gt;"",AF251=""),"CEK URUTAN SAMBUNG kosong",IF(AND(AE251&lt;&gt;"",LEFT(AH251,6)="Endcap"),"CEK Endcap tidak ikut sambung","OK")))))))))</f>
        <v/>
      </c>
    </row>
    <row r="252">
      <c r="A252" s="10" t="n"/>
      <c r="B252" s="10" t="n"/>
      <c r="C252" s="10" t="n"/>
      <c r="D252" s="10" t="n"/>
      <c r="E252" s="10" t="n"/>
      <c r="F252" s="10" t="n"/>
      <c r="G252" s="10" t="n"/>
      <c r="H252" s="10" t="n"/>
      <c r="I252" s="10" t="n"/>
      <c r="J252" s="10" t="n"/>
      <c r="K252" s="10" t="n"/>
      <c r="L252" s="11" t="n"/>
      <c r="M252" s="11" t="n"/>
      <c r="N252" s="11" t="n"/>
      <c r="O252" s="11" t="n"/>
      <c r="P252" s="11" t="n"/>
      <c r="Q252" s="11" t="n"/>
      <c r="R252" s="12">
        <f>IF(L252="","",IFERROR(INDEX(DAFTAR_FIXTURE!$B$2:$B$51,MATCH(L252,DAFTAR_FIXTURE!$A$2:$A$51,0)),""))</f>
        <v/>
      </c>
      <c r="S252" s="12">
        <f>IF(AND($D252="",L252=""),"",IF(L252="",IF(AND(T252="",AB252=""),"Belum ditempatkan",""),IF(R252="","CEK ID FIXTURE tidak ada di DAFTAR_FIXTURE",IF(M252="","CEK ZONA NO kosong",IF(ISNA(MATCH(R252&amp;"|"&amp;M252,LAYOUT!$E$2:$E$80,0)),"CEK ZONA NO di luar layout",IF(N252&lt;&gt;INDEX(LAYOUT!$D$2:$D$80,MATCH(R252&amp;"|"&amp;M252,LAYOUT!$E$2:$E$80,0)),"CEK JENIS ZONA",IF($D252="","Zona STOCK",IF($E252="","CEK SKU DESCRIPTION kosong",IF(AND(O252&lt;&gt;"",P252=""),"CEK URUTAN SAMBUNG kosong",IF(AND(O252&lt;&gt;"",LEFT(R252,6)="Endcap"),"CEK Endcap tidak ikut sambung","OK"))))))))))</f>
        <v/>
      </c>
      <c r="T252" s="11" t="n"/>
      <c r="U252" s="11" t="n"/>
      <c r="V252" s="11" t="n"/>
      <c r="W252" s="11" t="n"/>
      <c r="X252" s="11" t="n"/>
      <c r="Y252" s="11" t="n"/>
      <c r="Z252" s="12">
        <f>IF(T252="","",IFERROR(INDEX(DAFTAR_FIXTURE!$B$2:$B$51,MATCH(T252,DAFTAR_FIXTURE!$A$2:$A$51,0)),""))</f>
        <v/>
      </c>
      <c r="AA252" s="12">
        <f>IF(T252="","",IF(Z252="","CEK ID FIXTURE tidak ada di DAFTAR_FIXTURE",IF(U252="","CEK ZONA NO kosong",IF(ISNA(MATCH(Z252&amp;"|"&amp;U252,LAYOUT!$E$2:$E$80,0)),"CEK ZONA NO di luar layout",IF(V252&lt;&gt;INDEX(LAYOUT!$D$2:$D$80,MATCH(Z252&amp;"|"&amp;U252,LAYOUT!$E$2:$E$80,0)),"CEK JENIS ZONA",IF($D252="","Zona STOCK",IF($E252="","CEK SKU DESCRIPTION kosong",IF(AND(W252&lt;&gt;"",X252=""),"CEK URUTAN SAMBUNG kosong",IF(AND(W252&lt;&gt;"",LEFT(Z252,6)="Endcap"),"CEK Endcap tidak ikut sambung","OK")))))))))</f>
        <v/>
      </c>
      <c r="AB252" s="11" t="n"/>
      <c r="AC252" s="11" t="n"/>
      <c r="AD252" s="11" t="n"/>
      <c r="AE252" s="11" t="n"/>
      <c r="AF252" s="11" t="n"/>
      <c r="AG252" s="11" t="n"/>
      <c r="AH252" s="12">
        <f>IF(AB252="","",IFERROR(INDEX(DAFTAR_FIXTURE!$B$2:$B$51,MATCH(AB252,DAFTAR_FIXTURE!$A$2:$A$51,0)),""))</f>
        <v/>
      </c>
      <c r="AI252" s="12">
        <f>IF(AB252="","",IF(AH252="","CEK ID FIXTURE tidak ada di DAFTAR_FIXTURE",IF(AC252="","CEK ZONA NO kosong",IF(ISNA(MATCH(AH252&amp;"|"&amp;AC252,LAYOUT!$E$2:$E$80,0)),"CEK ZONA NO di luar layout",IF(AD252&lt;&gt;INDEX(LAYOUT!$D$2:$D$80,MATCH(AH252&amp;"|"&amp;AC252,LAYOUT!$E$2:$E$80,0)),"CEK JENIS ZONA",IF($D252="","Zona STOCK",IF($E252="","CEK SKU DESCRIPTION kosong",IF(AND(AE252&lt;&gt;"",AF252=""),"CEK URUTAN SAMBUNG kosong",IF(AND(AE252&lt;&gt;"",LEFT(AH252,6)="Endcap"),"CEK Endcap tidak ikut sambung","OK")))))))))</f>
        <v/>
      </c>
    </row>
    <row r="253">
      <c r="A253" s="10" t="n"/>
      <c r="B253" s="10" t="n"/>
      <c r="C253" s="10" t="n"/>
      <c r="D253" s="10" t="n"/>
      <c r="E253" s="10" t="n"/>
      <c r="F253" s="10" t="n"/>
      <c r="G253" s="10" t="n"/>
      <c r="H253" s="10" t="n"/>
      <c r="I253" s="10" t="n"/>
      <c r="J253" s="10" t="n"/>
      <c r="K253" s="10" t="n"/>
      <c r="L253" s="11" t="n"/>
      <c r="M253" s="11" t="n"/>
      <c r="N253" s="11" t="n"/>
      <c r="O253" s="11" t="n"/>
      <c r="P253" s="11" t="n"/>
      <c r="Q253" s="11" t="n"/>
      <c r="R253" s="12">
        <f>IF(L253="","",IFERROR(INDEX(DAFTAR_FIXTURE!$B$2:$B$51,MATCH(L253,DAFTAR_FIXTURE!$A$2:$A$51,0)),""))</f>
        <v/>
      </c>
      <c r="S253" s="12">
        <f>IF(AND($D253="",L253=""),"",IF(L253="",IF(AND(T253="",AB253=""),"Belum ditempatkan",""),IF(R253="","CEK ID FIXTURE tidak ada di DAFTAR_FIXTURE",IF(M253="","CEK ZONA NO kosong",IF(ISNA(MATCH(R253&amp;"|"&amp;M253,LAYOUT!$E$2:$E$80,0)),"CEK ZONA NO di luar layout",IF(N253&lt;&gt;INDEX(LAYOUT!$D$2:$D$80,MATCH(R253&amp;"|"&amp;M253,LAYOUT!$E$2:$E$80,0)),"CEK JENIS ZONA",IF($D253="","Zona STOCK",IF($E253="","CEK SKU DESCRIPTION kosong",IF(AND(O253&lt;&gt;"",P253=""),"CEK URUTAN SAMBUNG kosong",IF(AND(O253&lt;&gt;"",LEFT(R253,6)="Endcap"),"CEK Endcap tidak ikut sambung","OK"))))))))))</f>
        <v/>
      </c>
      <c r="T253" s="11" t="n"/>
      <c r="U253" s="11" t="n"/>
      <c r="V253" s="11" t="n"/>
      <c r="W253" s="11" t="n"/>
      <c r="X253" s="11" t="n"/>
      <c r="Y253" s="11" t="n"/>
      <c r="Z253" s="12">
        <f>IF(T253="","",IFERROR(INDEX(DAFTAR_FIXTURE!$B$2:$B$51,MATCH(T253,DAFTAR_FIXTURE!$A$2:$A$51,0)),""))</f>
        <v/>
      </c>
      <c r="AA253" s="12">
        <f>IF(T253="","",IF(Z253="","CEK ID FIXTURE tidak ada di DAFTAR_FIXTURE",IF(U253="","CEK ZONA NO kosong",IF(ISNA(MATCH(Z253&amp;"|"&amp;U253,LAYOUT!$E$2:$E$80,0)),"CEK ZONA NO di luar layout",IF(V253&lt;&gt;INDEX(LAYOUT!$D$2:$D$80,MATCH(Z253&amp;"|"&amp;U253,LAYOUT!$E$2:$E$80,0)),"CEK JENIS ZONA",IF($D253="","Zona STOCK",IF($E253="","CEK SKU DESCRIPTION kosong",IF(AND(W253&lt;&gt;"",X253=""),"CEK URUTAN SAMBUNG kosong",IF(AND(W253&lt;&gt;"",LEFT(Z253,6)="Endcap"),"CEK Endcap tidak ikut sambung","OK")))))))))</f>
        <v/>
      </c>
      <c r="AB253" s="11" t="n"/>
      <c r="AC253" s="11" t="n"/>
      <c r="AD253" s="11" t="n"/>
      <c r="AE253" s="11" t="n"/>
      <c r="AF253" s="11" t="n"/>
      <c r="AG253" s="11" t="n"/>
      <c r="AH253" s="12">
        <f>IF(AB253="","",IFERROR(INDEX(DAFTAR_FIXTURE!$B$2:$B$51,MATCH(AB253,DAFTAR_FIXTURE!$A$2:$A$51,0)),""))</f>
        <v/>
      </c>
      <c r="AI253" s="12">
        <f>IF(AB253="","",IF(AH253="","CEK ID FIXTURE tidak ada di DAFTAR_FIXTURE",IF(AC253="","CEK ZONA NO kosong",IF(ISNA(MATCH(AH253&amp;"|"&amp;AC253,LAYOUT!$E$2:$E$80,0)),"CEK ZONA NO di luar layout",IF(AD253&lt;&gt;INDEX(LAYOUT!$D$2:$D$80,MATCH(AH253&amp;"|"&amp;AC253,LAYOUT!$E$2:$E$80,0)),"CEK JENIS ZONA",IF($D253="","Zona STOCK",IF($E253="","CEK SKU DESCRIPTION kosong",IF(AND(AE253&lt;&gt;"",AF253=""),"CEK URUTAN SAMBUNG kosong",IF(AND(AE253&lt;&gt;"",LEFT(AH253,6)="Endcap"),"CEK Endcap tidak ikut sambung","OK")))))))))</f>
        <v/>
      </c>
    </row>
    <row r="254">
      <c r="A254" s="10" t="n"/>
      <c r="B254" s="10" t="n"/>
      <c r="C254" s="10" t="n"/>
      <c r="D254" s="10" t="n"/>
      <c r="E254" s="10" t="n"/>
      <c r="F254" s="10" t="n"/>
      <c r="G254" s="10" t="n"/>
      <c r="H254" s="10" t="n"/>
      <c r="I254" s="10" t="n"/>
      <c r="J254" s="10" t="n"/>
      <c r="K254" s="10" t="n"/>
      <c r="L254" s="11" t="n"/>
      <c r="M254" s="11" t="n"/>
      <c r="N254" s="11" t="n"/>
      <c r="O254" s="11" t="n"/>
      <c r="P254" s="11" t="n"/>
      <c r="Q254" s="11" t="n"/>
      <c r="R254" s="12">
        <f>IF(L254="","",IFERROR(INDEX(DAFTAR_FIXTURE!$B$2:$B$51,MATCH(L254,DAFTAR_FIXTURE!$A$2:$A$51,0)),""))</f>
        <v/>
      </c>
      <c r="S254" s="12">
        <f>IF(AND($D254="",L254=""),"",IF(L254="",IF(AND(T254="",AB254=""),"Belum ditempatkan",""),IF(R254="","CEK ID FIXTURE tidak ada di DAFTAR_FIXTURE",IF(M254="","CEK ZONA NO kosong",IF(ISNA(MATCH(R254&amp;"|"&amp;M254,LAYOUT!$E$2:$E$80,0)),"CEK ZONA NO di luar layout",IF(N254&lt;&gt;INDEX(LAYOUT!$D$2:$D$80,MATCH(R254&amp;"|"&amp;M254,LAYOUT!$E$2:$E$80,0)),"CEK JENIS ZONA",IF($D254="","Zona STOCK",IF($E254="","CEK SKU DESCRIPTION kosong",IF(AND(O254&lt;&gt;"",P254=""),"CEK URUTAN SAMBUNG kosong",IF(AND(O254&lt;&gt;"",LEFT(R254,6)="Endcap"),"CEK Endcap tidak ikut sambung","OK"))))))))))</f>
        <v/>
      </c>
      <c r="T254" s="11" t="n"/>
      <c r="U254" s="11" t="n"/>
      <c r="V254" s="11" t="n"/>
      <c r="W254" s="11" t="n"/>
      <c r="X254" s="11" t="n"/>
      <c r="Y254" s="11" t="n"/>
      <c r="Z254" s="12">
        <f>IF(T254="","",IFERROR(INDEX(DAFTAR_FIXTURE!$B$2:$B$51,MATCH(T254,DAFTAR_FIXTURE!$A$2:$A$51,0)),""))</f>
        <v/>
      </c>
      <c r="AA254" s="12">
        <f>IF(T254="","",IF(Z254="","CEK ID FIXTURE tidak ada di DAFTAR_FIXTURE",IF(U254="","CEK ZONA NO kosong",IF(ISNA(MATCH(Z254&amp;"|"&amp;U254,LAYOUT!$E$2:$E$80,0)),"CEK ZONA NO di luar layout",IF(V254&lt;&gt;INDEX(LAYOUT!$D$2:$D$80,MATCH(Z254&amp;"|"&amp;U254,LAYOUT!$E$2:$E$80,0)),"CEK JENIS ZONA",IF($D254="","Zona STOCK",IF($E254="","CEK SKU DESCRIPTION kosong",IF(AND(W254&lt;&gt;"",X254=""),"CEK URUTAN SAMBUNG kosong",IF(AND(W254&lt;&gt;"",LEFT(Z254,6)="Endcap"),"CEK Endcap tidak ikut sambung","OK")))))))))</f>
        <v/>
      </c>
      <c r="AB254" s="11" t="n"/>
      <c r="AC254" s="11" t="n"/>
      <c r="AD254" s="11" t="n"/>
      <c r="AE254" s="11" t="n"/>
      <c r="AF254" s="11" t="n"/>
      <c r="AG254" s="11" t="n"/>
      <c r="AH254" s="12">
        <f>IF(AB254="","",IFERROR(INDEX(DAFTAR_FIXTURE!$B$2:$B$51,MATCH(AB254,DAFTAR_FIXTURE!$A$2:$A$51,0)),""))</f>
        <v/>
      </c>
      <c r="AI254" s="12">
        <f>IF(AB254="","",IF(AH254="","CEK ID FIXTURE tidak ada di DAFTAR_FIXTURE",IF(AC254="","CEK ZONA NO kosong",IF(ISNA(MATCH(AH254&amp;"|"&amp;AC254,LAYOUT!$E$2:$E$80,0)),"CEK ZONA NO di luar layout",IF(AD254&lt;&gt;INDEX(LAYOUT!$D$2:$D$80,MATCH(AH254&amp;"|"&amp;AC254,LAYOUT!$E$2:$E$80,0)),"CEK JENIS ZONA",IF($D254="","Zona STOCK",IF($E254="","CEK SKU DESCRIPTION kosong",IF(AND(AE254&lt;&gt;"",AF254=""),"CEK URUTAN SAMBUNG kosong",IF(AND(AE254&lt;&gt;"",LEFT(AH254,6)="Endcap"),"CEK Endcap tidak ikut sambung","OK")))))))))</f>
        <v/>
      </c>
    </row>
    <row r="255">
      <c r="A255" s="10" t="n"/>
      <c r="B255" s="10" t="n"/>
      <c r="C255" s="10" t="n"/>
      <c r="D255" s="10" t="n"/>
      <c r="E255" s="10" t="n"/>
      <c r="F255" s="10" t="n"/>
      <c r="G255" s="10" t="n"/>
      <c r="H255" s="10" t="n"/>
      <c r="I255" s="10" t="n"/>
      <c r="J255" s="10" t="n"/>
      <c r="K255" s="10" t="n"/>
      <c r="L255" s="11" t="n"/>
      <c r="M255" s="11" t="n"/>
      <c r="N255" s="11" t="n"/>
      <c r="O255" s="11" t="n"/>
      <c r="P255" s="11" t="n"/>
      <c r="Q255" s="11" t="n"/>
      <c r="R255" s="12">
        <f>IF(L255="","",IFERROR(INDEX(DAFTAR_FIXTURE!$B$2:$B$51,MATCH(L255,DAFTAR_FIXTURE!$A$2:$A$51,0)),""))</f>
        <v/>
      </c>
      <c r="S255" s="12">
        <f>IF(AND($D255="",L255=""),"",IF(L255="",IF(AND(T255="",AB255=""),"Belum ditempatkan",""),IF(R255="","CEK ID FIXTURE tidak ada di DAFTAR_FIXTURE",IF(M255="","CEK ZONA NO kosong",IF(ISNA(MATCH(R255&amp;"|"&amp;M255,LAYOUT!$E$2:$E$80,0)),"CEK ZONA NO di luar layout",IF(N255&lt;&gt;INDEX(LAYOUT!$D$2:$D$80,MATCH(R255&amp;"|"&amp;M255,LAYOUT!$E$2:$E$80,0)),"CEK JENIS ZONA",IF($D255="","Zona STOCK",IF($E255="","CEK SKU DESCRIPTION kosong",IF(AND(O255&lt;&gt;"",P255=""),"CEK URUTAN SAMBUNG kosong",IF(AND(O255&lt;&gt;"",LEFT(R255,6)="Endcap"),"CEK Endcap tidak ikut sambung","OK"))))))))))</f>
        <v/>
      </c>
      <c r="T255" s="11" t="n"/>
      <c r="U255" s="11" t="n"/>
      <c r="V255" s="11" t="n"/>
      <c r="W255" s="11" t="n"/>
      <c r="X255" s="11" t="n"/>
      <c r="Y255" s="11" t="n"/>
      <c r="Z255" s="12">
        <f>IF(T255="","",IFERROR(INDEX(DAFTAR_FIXTURE!$B$2:$B$51,MATCH(T255,DAFTAR_FIXTURE!$A$2:$A$51,0)),""))</f>
        <v/>
      </c>
      <c r="AA255" s="12">
        <f>IF(T255="","",IF(Z255="","CEK ID FIXTURE tidak ada di DAFTAR_FIXTURE",IF(U255="","CEK ZONA NO kosong",IF(ISNA(MATCH(Z255&amp;"|"&amp;U255,LAYOUT!$E$2:$E$80,0)),"CEK ZONA NO di luar layout",IF(V255&lt;&gt;INDEX(LAYOUT!$D$2:$D$80,MATCH(Z255&amp;"|"&amp;U255,LAYOUT!$E$2:$E$80,0)),"CEK JENIS ZONA",IF($D255="","Zona STOCK",IF($E255="","CEK SKU DESCRIPTION kosong",IF(AND(W255&lt;&gt;"",X255=""),"CEK URUTAN SAMBUNG kosong",IF(AND(W255&lt;&gt;"",LEFT(Z255,6)="Endcap"),"CEK Endcap tidak ikut sambung","OK")))))))))</f>
        <v/>
      </c>
      <c r="AB255" s="11" t="n"/>
      <c r="AC255" s="11" t="n"/>
      <c r="AD255" s="11" t="n"/>
      <c r="AE255" s="11" t="n"/>
      <c r="AF255" s="11" t="n"/>
      <c r="AG255" s="11" t="n"/>
      <c r="AH255" s="12">
        <f>IF(AB255="","",IFERROR(INDEX(DAFTAR_FIXTURE!$B$2:$B$51,MATCH(AB255,DAFTAR_FIXTURE!$A$2:$A$51,0)),""))</f>
        <v/>
      </c>
      <c r="AI255" s="12">
        <f>IF(AB255="","",IF(AH255="","CEK ID FIXTURE tidak ada di DAFTAR_FIXTURE",IF(AC255="","CEK ZONA NO kosong",IF(ISNA(MATCH(AH255&amp;"|"&amp;AC255,LAYOUT!$E$2:$E$80,0)),"CEK ZONA NO di luar layout",IF(AD255&lt;&gt;INDEX(LAYOUT!$D$2:$D$80,MATCH(AH255&amp;"|"&amp;AC255,LAYOUT!$E$2:$E$80,0)),"CEK JENIS ZONA",IF($D255="","Zona STOCK",IF($E255="","CEK SKU DESCRIPTION kosong",IF(AND(AE255&lt;&gt;"",AF255=""),"CEK URUTAN SAMBUNG kosong",IF(AND(AE255&lt;&gt;"",LEFT(AH255,6)="Endcap"),"CEK Endcap tidak ikut sambung","OK")))))))))</f>
        <v/>
      </c>
    </row>
    <row r="256">
      <c r="A256" s="10" t="n"/>
      <c r="B256" s="10" t="n"/>
      <c r="C256" s="10" t="n"/>
      <c r="D256" s="10" t="n"/>
      <c r="E256" s="10" t="n"/>
      <c r="F256" s="10" t="n"/>
      <c r="G256" s="10" t="n"/>
      <c r="H256" s="10" t="n"/>
      <c r="I256" s="10" t="n"/>
      <c r="J256" s="10" t="n"/>
      <c r="K256" s="10" t="n"/>
      <c r="L256" s="11" t="n"/>
      <c r="M256" s="11" t="n"/>
      <c r="N256" s="11" t="n"/>
      <c r="O256" s="11" t="n"/>
      <c r="P256" s="11" t="n"/>
      <c r="Q256" s="11" t="n"/>
      <c r="R256" s="12">
        <f>IF(L256="","",IFERROR(INDEX(DAFTAR_FIXTURE!$B$2:$B$51,MATCH(L256,DAFTAR_FIXTURE!$A$2:$A$51,0)),""))</f>
        <v/>
      </c>
      <c r="S256" s="12">
        <f>IF(AND($D256="",L256=""),"",IF(L256="",IF(AND(T256="",AB256=""),"Belum ditempatkan",""),IF(R256="","CEK ID FIXTURE tidak ada di DAFTAR_FIXTURE",IF(M256="","CEK ZONA NO kosong",IF(ISNA(MATCH(R256&amp;"|"&amp;M256,LAYOUT!$E$2:$E$80,0)),"CEK ZONA NO di luar layout",IF(N256&lt;&gt;INDEX(LAYOUT!$D$2:$D$80,MATCH(R256&amp;"|"&amp;M256,LAYOUT!$E$2:$E$80,0)),"CEK JENIS ZONA",IF($D256="","Zona STOCK",IF($E256="","CEK SKU DESCRIPTION kosong",IF(AND(O256&lt;&gt;"",P256=""),"CEK URUTAN SAMBUNG kosong",IF(AND(O256&lt;&gt;"",LEFT(R256,6)="Endcap"),"CEK Endcap tidak ikut sambung","OK"))))))))))</f>
        <v/>
      </c>
      <c r="T256" s="11" t="n"/>
      <c r="U256" s="11" t="n"/>
      <c r="V256" s="11" t="n"/>
      <c r="W256" s="11" t="n"/>
      <c r="X256" s="11" t="n"/>
      <c r="Y256" s="11" t="n"/>
      <c r="Z256" s="12">
        <f>IF(T256="","",IFERROR(INDEX(DAFTAR_FIXTURE!$B$2:$B$51,MATCH(T256,DAFTAR_FIXTURE!$A$2:$A$51,0)),""))</f>
        <v/>
      </c>
      <c r="AA256" s="12">
        <f>IF(T256="","",IF(Z256="","CEK ID FIXTURE tidak ada di DAFTAR_FIXTURE",IF(U256="","CEK ZONA NO kosong",IF(ISNA(MATCH(Z256&amp;"|"&amp;U256,LAYOUT!$E$2:$E$80,0)),"CEK ZONA NO di luar layout",IF(V256&lt;&gt;INDEX(LAYOUT!$D$2:$D$80,MATCH(Z256&amp;"|"&amp;U256,LAYOUT!$E$2:$E$80,0)),"CEK JENIS ZONA",IF($D256="","Zona STOCK",IF($E256="","CEK SKU DESCRIPTION kosong",IF(AND(W256&lt;&gt;"",X256=""),"CEK URUTAN SAMBUNG kosong",IF(AND(W256&lt;&gt;"",LEFT(Z256,6)="Endcap"),"CEK Endcap tidak ikut sambung","OK")))))))))</f>
        <v/>
      </c>
      <c r="AB256" s="11" t="n"/>
      <c r="AC256" s="11" t="n"/>
      <c r="AD256" s="11" t="n"/>
      <c r="AE256" s="11" t="n"/>
      <c r="AF256" s="11" t="n"/>
      <c r="AG256" s="11" t="n"/>
      <c r="AH256" s="12">
        <f>IF(AB256="","",IFERROR(INDEX(DAFTAR_FIXTURE!$B$2:$B$51,MATCH(AB256,DAFTAR_FIXTURE!$A$2:$A$51,0)),""))</f>
        <v/>
      </c>
      <c r="AI256" s="12">
        <f>IF(AB256="","",IF(AH256="","CEK ID FIXTURE tidak ada di DAFTAR_FIXTURE",IF(AC256="","CEK ZONA NO kosong",IF(ISNA(MATCH(AH256&amp;"|"&amp;AC256,LAYOUT!$E$2:$E$80,0)),"CEK ZONA NO di luar layout",IF(AD256&lt;&gt;INDEX(LAYOUT!$D$2:$D$80,MATCH(AH256&amp;"|"&amp;AC256,LAYOUT!$E$2:$E$80,0)),"CEK JENIS ZONA",IF($D256="","Zona STOCK",IF($E256="","CEK SKU DESCRIPTION kosong",IF(AND(AE256&lt;&gt;"",AF256=""),"CEK URUTAN SAMBUNG kosong",IF(AND(AE256&lt;&gt;"",LEFT(AH256,6)="Endcap"),"CEK Endcap tidak ikut sambung","OK")))))))))</f>
        <v/>
      </c>
    </row>
    <row r="257">
      <c r="A257" s="10" t="n"/>
      <c r="B257" s="10" t="n"/>
      <c r="C257" s="10" t="n"/>
      <c r="D257" s="10" t="n"/>
      <c r="E257" s="10" t="n"/>
      <c r="F257" s="10" t="n"/>
      <c r="G257" s="10" t="n"/>
      <c r="H257" s="10" t="n"/>
      <c r="I257" s="10" t="n"/>
      <c r="J257" s="10" t="n"/>
      <c r="K257" s="10" t="n"/>
      <c r="L257" s="11" t="n"/>
      <c r="M257" s="11" t="n"/>
      <c r="N257" s="11" t="n"/>
      <c r="O257" s="11" t="n"/>
      <c r="P257" s="11" t="n"/>
      <c r="Q257" s="11" t="n"/>
      <c r="R257" s="12">
        <f>IF(L257="","",IFERROR(INDEX(DAFTAR_FIXTURE!$B$2:$B$51,MATCH(L257,DAFTAR_FIXTURE!$A$2:$A$51,0)),""))</f>
        <v/>
      </c>
      <c r="S257" s="12">
        <f>IF(AND($D257="",L257=""),"",IF(L257="",IF(AND(T257="",AB257=""),"Belum ditempatkan",""),IF(R257="","CEK ID FIXTURE tidak ada di DAFTAR_FIXTURE",IF(M257="","CEK ZONA NO kosong",IF(ISNA(MATCH(R257&amp;"|"&amp;M257,LAYOUT!$E$2:$E$80,0)),"CEK ZONA NO di luar layout",IF(N257&lt;&gt;INDEX(LAYOUT!$D$2:$D$80,MATCH(R257&amp;"|"&amp;M257,LAYOUT!$E$2:$E$80,0)),"CEK JENIS ZONA",IF($D257="","Zona STOCK",IF($E257="","CEK SKU DESCRIPTION kosong",IF(AND(O257&lt;&gt;"",P257=""),"CEK URUTAN SAMBUNG kosong",IF(AND(O257&lt;&gt;"",LEFT(R257,6)="Endcap"),"CEK Endcap tidak ikut sambung","OK"))))))))))</f>
        <v/>
      </c>
      <c r="T257" s="11" t="n"/>
      <c r="U257" s="11" t="n"/>
      <c r="V257" s="11" t="n"/>
      <c r="W257" s="11" t="n"/>
      <c r="X257" s="11" t="n"/>
      <c r="Y257" s="11" t="n"/>
      <c r="Z257" s="12">
        <f>IF(T257="","",IFERROR(INDEX(DAFTAR_FIXTURE!$B$2:$B$51,MATCH(T257,DAFTAR_FIXTURE!$A$2:$A$51,0)),""))</f>
        <v/>
      </c>
      <c r="AA257" s="12">
        <f>IF(T257="","",IF(Z257="","CEK ID FIXTURE tidak ada di DAFTAR_FIXTURE",IF(U257="","CEK ZONA NO kosong",IF(ISNA(MATCH(Z257&amp;"|"&amp;U257,LAYOUT!$E$2:$E$80,0)),"CEK ZONA NO di luar layout",IF(V257&lt;&gt;INDEX(LAYOUT!$D$2:$D$80,MATCH(Z257&amp;"|"&amp;U257,LAYOUT!$E$2:$E$80,0)),"CEK JENIS ZONA",IF($D257="","Zona STOCK",IF($E257="","CEK SKU DESCRIPTION kosong",IF(AND(W257&lt;&gt;"",X257=""),"CEK URUTAN SAMBUNG kosong",IF(AND(W257&lt;&gt;"",LEFT(Z257,6)="Endcap"),"CEK Endcap tidak ikut sambung","OK")))))))))</f>
        <v/>
      </c>
      <c r="AB257" s="11" t="n"/>
      <c r="AC257" s="11" t="n"/>
      <c r="AD257" s="11" t="n"/>
      <c r="AE257" s="11" t="n"/>
      <c r="AF257" s="11" t="n"/>
      <c r="AG257" s="11" t="n"/>
      <c r="AH257" s="12">
        <f>IF(AB257="","",IFERROR(INDEX(DAFTAR_FIXTURE!$B$2:$B$51,MATCH(AB257,DAFTAR_FIXTURE!$A$2:$A$51,0)),""))</f>
        <v/>
      </c>
      <c r="AI257" s="12">
        <f>IF(AB257="","",IF(AH257="","CEK ID FIXTURE tidak ada di DAFTAR_FIXTURE",IF(AC257="","CEK ZONA NO kosong",IF(ISNA(MATCH(AH257&amp;"|"&amp;AC257,LAYOUT!$E$2:$E$80,0)),"CEK ZONA NO di luar layout",IF(AD257&lt;&gt;INDEX(LAYOUT!$D$2:$D$80,MATCH(AH257&amp;"|"&amp;AC257,LAYOUT!$E$2:$E$80,0)),"CEK JENIS ZONA",IF($D257="","Zona STOCK",IF($E257="","CEK SKU DESCRIPTION kosong",IF(AND(AE257&lt;&gt;"",AF257=""),"CEK URUTAN SAMBUNG kosong",IF(AND(AE257&lt;&gt;"",LEFT(AH257,6)="Endcap"),"CEK Endcap tidak ikut sambung","OK")))))))))</f>
        <v/>
      </c>
    </row>
    <row r="258">
      <c r="A258" s="10" t="n"/>
      <c r="B258" s="10" t="n"/>
      <c r="C258" s="10" t="n"/>
      <c r="D258" s="10" t="n"/>
      <c r="E258" s="10" t="n"/>
      <c r="F258" s="10" t="n"/>
      <c r="G258" s="10" t="n"/>
      <c r="H258" s="10" t="n"/>
      <c r="I258" s="10" t="n"/>
      <c r="J258" s="10" t="n"/>
      <c r="K258" s="10" t="n"/>
      <c r="L258" s="11" t="n"/>
      <c r="M258" s="11" t="n"/>
      <c r="N258" s="11" t="n"/>
      <c r="O258" s="11" t="n"/>
      <c r="P258" s="11" t="n"/>
      <c r="Q258" s="11" t="n"/>
      <c r="R258" s="12">
        <f>IF(L258="","",IFERROR(INDEX(DAFTAR_FIXTURE!$B$2:$B$51,MATCH(L258,DAFTAR_FIXTURE!$A$2:$A$51,0)),""))</f>
        <v/>
      </c>
      <c r="S258" s="12">
        <f>IF(AND($D258="",L258=""),"",IF(L258="",IF(AND(T258="",AB258=""),"Belum ditempatkan",""),IF(R258="","CEK ID FIXTURE tidak ada di DAFTAR_FIXTURE",IF(M258="","CEK ZONA NO kosong",IF(ISNA(MATCH(R258&amp;"|"&amp;M258,LAYOUT!$E$2:$E$80,0)),"CEK ZONA NO di luar layout",IF(N258&lt;&gt;INDEX(LAYOUT!$D$2:$D$80,MATCH(R258&amp;"|"&amp;M258,LAYOUT!$E$2:$E$80,0)),"CEK JENIS ZONA",IF($D258="","Zona STOCK",IF($E258="","CEK SKU DESCRIPTION kosong",IF(AND(O258&lt;&gt;"",P258=""),"CEK URUTAN SAMBUNG kosong",IF(AND(O258&lt;&gt;"",LEFT(R258,6)="Endcap"),"CEK Endcap tidak ikut sambung","OK"))))))))))</f>
        <v/>
      </c>
      <c r="T258" s="11" t="n"/>
      <c r="U258" s="11" t="n"/>
      <c r="V258" s="11" t="n"/>
      <c r="W258" s="11" t="n"/>
      <c r="X258" s="11" t="n"/>
      <c r="Y258" s="11" t="n"/>
      <c r="Z258" s="12">
        <f>IF(T258="","",IFERROR(INDEX(DAFTAR_FIXTURE!$B$2:$B$51,MATCH(T258,DAFTAR_FIXTURE!$A$2:$A$51,0)),""))</f>
        <v/>
      </c>
      <c r="AA258" s="12">
        <f>IF(T258="","",IF(Z258="","CEK ID FIXTURE tidak ada di DAFTAR_FIXTURE",IF(U258="","CEK ZONA NO kosong",IF(ISNA(MATCH(Z258&amp;"|"&amp;U258,LAYOUT!$E$2:$E$80,0)),"CEK ZONA NO di luar layout",IF(V258&lt;&gt;INDEX(LAYOUT!$D$2:$D$80,MATCH(Z258&amp;"|"&amp;U258,LAYOUT!$E$2:$E$80,0)),"CEK JENIS ZONA",IF($D258="","Zona STOCK",IF($E258="","CEK SKU DESCRIPTION kosong",IF(AND(W258&lt;&gt;"",X258=""),"CEK URUTAN SAMBUNG kosong",IF(AND(W258&lt;&gt;"",LEFT(Z258,6)="Endcap"),"CEK Endcap tidak ikut sambung","OK")))))))))</f>
        <v/>
      </c>
      <c r="AB258" s="11" t="n"/>
      <c r="AC258" s="11" t="n"/>
      <c r="AD258" s="11" t="n"/>
      <c r="AE258" s="11" t="n"/>
      <c r="AF258" s="11" t="n"/>
      <c r="AG258" s="11" t="n"/>
      <c r="AH258" s="12">
        <f>IF(AB258="","",IFERROR(INDEX(DAFTAR_FIXTURE!$B$2:$B$51,MATCH(AB258,DAFTAR_FIXTURE!$A$2:$A$51,0)),""))</f>
        <v/>
      </c>
      <c r="AI258" s="12">
        <f>IF(AB258="","",IF(AH258="","CEK ID FIXTURE tidak ada di DAFTAR_FIXTURE",IF(AC258="","CEK ZONA NO kosong",IF(ISNA(MATCH(AH258&amp;"|"&amp;AC258,LAYOUT!$E$2:$E$80,0)),"CEK ZONA NO di luar layout",IF(AD258&lt;&gt;INDEX(LAYOUT!$D$2:$D$80,MATCH(AH258&amp;"|"&amp;AC258,LAYOUT!$E$2:$E$80,0)),"CEK JENIS ZONA",IF($D258="","Zona STOCK",IF($E258="","CEK SKU DESCRIPTION kosong",IF(AND(AE258&lt;&gt;"",AF258=""),"CEK URUTAN SAMBUNG kosong",IF(AND(AE258&lt;&gt;"",LEFT(AH258,6)="Endcap"),"CEK Endcap tidak ikut sambung","OK")))))))))</f>
        <v/>
      </c>
    </row>
    <row r="259">
      <c r="A259" s="10" t="n"/>
      <c r="B259" s="10" t="n"/>
      <c r="C259" s="10" t="n"/>
      <c r="D259" s="10" t="n"/>
      <c r="E259" s="10" t="n"/>
      <c r="F259" s="10" t="n"/>
      <c r="G259" s="10" t="n"/>
      <c r="H259" s="10" t="n"/>
      <c r="I259" s="10" t="n"/>
      <c r="J259" s="10" t="n"/>
      <c r="K259" s="10" t="n"/>
      <c r="L259" s="11" t="n"/>
      <c r="M259" s="11" t="n"/>
      <c r="N259" s="11" t="n"/>
      <c r="O259" s="11" t="n"/>
      <c r="P259" s="11" t="n"/>
      <c r="Q259" s="11" t="n"/>
      <c r="R259" s="12">
        <f>IF(L259="","",IFERROR(INDEX(DAFTAR_FIXTURE!$B$2:$B$51,MATCH(L259,DAFTAR_FIXTURE!$A$2:$A$51,0)),""))</f>
        <v/>
      </c>
      <c r="S259" s="12">
        <f>IF(AND($D259="",L259=""),"",IF(L259="",IF(AND(T259="",AB259=""),"Belum ditempatkan",""),IF(R259="","CEK ID FIXTURE tidak ada di DAFTAR_FIXTURE",IF(M259="","CEK ZONA NO kosong",IF(ISNA(MATCH(R259&amp;"|"&amp;M259,LAYOUT!$E$2:$E$80,0)),"CEK ZONA NO di luar layout",IF(N259&lt;&gt;INDEX(LAYOUT!$D$2:$D$80,MATCH(R259&amp;"|"&amp;M259,LAYOUT!$E$2:$E$80,0)),"CEK JENIS ZONA",IF($D259="","Zona STOCK",IF($E259="","CEK SKU DESCRIPTION kosong",IF(AND(O259&lt;&gt;"",P259=""),"CEK URUTAN SAMBUNG kosong",IF(AND(O259&lt;&gt;"",LEFT(R259,6)="Endcap"),"CEK Endcap tidak ikut sambung","OK"))))))))))</f>
        <v/>
      </c>
      <c r="T259" s="11" t="n"/>
      <c r="U259" s="11" t="n"/>
      <c r="V259" s="11" t="n"/>
      <c r="W259" s="11" t="n"/>
      <c r="X259" s="11" t="n"/>
      <c r="Y259" s="11" t="n"/>
      <c r="Z259" s="12">
        <f>IF(T259="","",IFERROR(INDEX(DAFTAR_FIXTURE!$B$2:$B$51,MATCH(T259,DAFTAR_FIXTURE!$A$2:$A$51,0)),""))</f>
        <v/>
      </c>
      <c r="AA259" s="12">
        <f>IF(T259="","",IF(Z259="","CEK ID FIXTURE tidak ada di DAFTAR_FIXTURE",IF(U259="","CEK ZONA NO kosong",IF(ISNA(MATCH(Z259&amp;"|"&amp;U259,LAYOUT!$E$2:$E$80,0)),"CEK ZONA NO di luar layout",IF(V259&lt;&gt;INDEX(LAYOUT!$D$2:$D$80,MATCH(Z259&amp;"|"&amp;U259,LAYOUT!$E$2:$E$80,0)),"CEK JENIS ZONA",IF($D259="","Zona STOCK",IF($E259="","CEK SKU DESCRIPTION kosong",IF(AND(W259&lt;&gt;"",X259=""),"CEK URUTAN SAMBUNG kosong",IF(AND(W259&lt;&gt;"",LEFT(Z259,6)="Endcap"),"CEK Endcap tidak ikut sambung","OK")))))))))</f>
        <v/>
      </c>
      <c r="AB259" s="11" t="n"/>
      <c r="AC259" s="11" t="n"/>
      <c r="AD259" s="11" t="n"/>
      <c r="AE259" s="11" t="n"/>
      <c r="AF259" s="11" t="n"/>
      <c r="AG259" s="11" t="n"/>
      <c r="AH259" s="12">
        <f>IF(AB259="","",IFERROR(INDEX(DAFTAR_FIXTURE!$B$2:$B$51,MATCH(AB259,DAFTAR_FIXTURE!$A$2:$A$51,0)),""))</f>
        <v/>
      </c>
      <c r="AI259" s="12">
        <f>IF(AB259="","",IF(AH259="","CEK ID FIXTURE tidak ada di DAFTAR_FIXTURE",IF(AC259="","CEK ZONA NO kosong",IF(ISNA(MATCH(AH259&amp;"|"&amp;AC259,LAYOUT!$E$2:$E$80,0)),"CEK ZONA NO di luar layout",IF(AD259&lt;&gt;INDEX(LAYOUT!$D$2:$D$80,MATCH(AH259&amp;"|"&amp;AC259,LAYOUT!$E$2:$E$80,0)),"CEK JENIS ZONA",IF($D259="","Zona STOCK",IF($E259="","CEK SKU DESCRIPTION kosong",IF(AND(AE259&lt;&gt;"",AF259=""),"CEK URUTAN SAMBUNG kosong",IF(AND(AE259&lt;&gt;"",LEFT(AH259,6)="Endcap"),"CEK Endcap tidak ikut sambung","OK")))))))))</f>
        <v/>
      </c>
    </row>
    <row r="260">
      <c r="A260" s="10" t="n"/>
      <c r="B260" s="10" t="n"/>
      <c r="C260" s="10" t="n"/>
      <c r="D260" s="10" t="n"/>
      <c r="E260" s="10" t="n"/>
      <c r="F260" s="10" t="n"/>
      <c r="G260" s="10" t="n"/>
      <c r="H260" s="10" t="n"/>
      <c r="I260" s="10" t="n"/>
      <c r="J260" s="10" t="n"/>
      <c r="K260" s="10" t="n"/>
      <c r="L260" s="11" t="n"/>
      <c r="M260" s="11" t="n"/>
      <c r="N260" s="11" t="n"/>
      <c r="O260" s="11" t="n"/>
      <c r="P260" s="11" t="n"/>
      <c r="Q260" s="11" t="n"/>
      <c r="R260" s="12">
        <f>IF(L260="","",IFERROR(INDEX(DAFTAR_FIXTURE!$B$2:$B$51,MATCH(L260,DAFTAR_FIXTURE!$A$2:$A$51,0)),""))</f>
        <v/>
      </c>
      <c r="S260" s="12">
        <f>IF(AND($D260="",L260=""),"",IF(L260="",IF(AND(T260="",AB260=""),"Belum ditempatkan",""),IF(R260="","CEK ID FIXTURE tidak ada di DAFTAR_FIXTURE",IF(M260="","CEK ZONA NO kosong",IF(ISNA(MATCH(R260&amp;"|"&amp;M260,LAYOUT!$E$2:$E$80,0)),"CEK ZONA NO di luar layout",IF(N260&lt;&gt;INDEX(LAYOUT!$D$2:$D$80,MATCH(R260&amp;"|"&amp;M260,LAYOUT!$E$2:$E$80,0)),"CEK JENIS ZONA",IF($D260="","Zona STOCK",IF($E260="","CEK SKU DESCRIPTION kosong",IF(AND(O260&lt;&gt;"",P260=""),"CEK URUTAN SAMBUNG kosong",IF(AND(O260&lt;&gt;"",LEFT(R260,6)="Endcap"),"CEK Endcap tidak ikut sambung","OK"))))))))))</f>
        <v/>
      </c>
      <c r="T260" s="11" t="n"/>
      <c r="U260" s="11" t="n"/>
      <c r="V260" s="11" t="n"/>
      <c r="W260" s="11" t="n"/>
      <c r="X260" s="11" t="n"/>
      <c r="Y260" s="11" t="n"/>
      <c r="Z260" s="12">
        <f>IF(T260="","",IFERROR(INDEX(DAFTAR_FIXTURE!$B$2:$B$51,MATCH(T260,DAFTAR_FIXTURE!$A$2:$A$51,0)),""))</f>
        <v/>
      </c>
      <c r="AA260" s="12">
        <f>IF(T260="","",IF(Z260="","CEK ID FIXTURE tidak ada di DAFTAR_FIXTURE",IF(U260="","CEK ZONA NO kosong",IF(ISNA(MATCH(Z260&amp;"|"&amp;U260,LAYOUT!$E$2:$E$80,0)),"CEK ZONA NO di luar layout",IF(V260&lt;&gt;INDEX(LAYOUT!$D$2:$D$80,MATCH(Z260&amp;"|"&amp;U260,LAYOUT!$E$2:$E$80,0)),"CEK JENIS ZONA",IF($D260="","Zona STOCK",IF($E260="","CEK SKU DESCRIPTION kosong",IF(AND(W260&lt;&gt;"",X260=""),"CEK URUTAN SAMBUNG kosong",IF(AND(W260&lt;&gt;"",LEFT(Z260,6)="Endcap"),"CEK Endcap tidak ikut sambung","OK")))))))))</f>
        <v/>
      </c>
      <c r="AB260" s="11" t="n"/>
      <c r="AC260" s="11" t="n"/>
      <c r="AD260" s="11" t="n"/>
      <c r="AE260" s="11" t="n"/>
      <c r="AF260" s="11" t="n"/>
      <c r="AG260" s="11" t="n"/>
      <c r="AH260" s="12">
        <f>IF(AB260="","",IFERROR(INDEX(DAFTAR_FIXTURE!$B$2:$B$51,MATCH(AB260,DAFTAR_FIXTURE!$A$2:$A$51,0)),""))</f>
        <v/>
      </c>
      <c r="AI260" s="12">
        <f>IF(AB260="","",IF(AH260="","CEK ID FIXTURE tidak ada di DAFTAR_FIXTURE",IF(AC260="","CEK ZONA NO kosong",IF(ISNA(MATCH(AH260&amp;"|"&amp;AC260,LAYOUT!$E$2:$E$80,0)),"CEK ZONA NO di luar layout",IF(AD260&lt;&gt;INDEX(LAYOUT!$D$2:$D$80,MATCH(AH260&amp;"|"&amp;AC260,LAYOUT!$E$2:$E$80,0)),"CEK JENIS ZONA",IF($D260="","Zona STOCK",IF($E260="","CEK SKU DESCRIPTION kosong",IF(AND(AE260&lt;&gt;"",AF260=""),"CEK URUTAN SAMBUNG kosong",IF(AND(AE260&lt;&gt;"",LEFT(AH260,6)="Endcap"),"CEK Endcap tidak ikut sambung","OK")))))))))</f>
        <v/>
      </c>
    </row>
    <row r="261">
      <c r="A261" s="10" t="n"/>
      <c r="B261" s="10" t="n"/>
      <c r="C261" s="10" t="n"/>
      <c r="D261" s="10" t="n"/>
      <c r="E261" s="10" t="n"/>
      <c r="F261" s="10" t="n"/>
      <c r="G261" s="10" t="n"/>
      <c r="H261" s="10" t="n"/>
      <c r="I261" s="10" t="n"/>
      <c r="J261" s="10" t="n"/>
      <c r="K261" s="10" t="n"/>
      <c r="L261" s="11" t="n"/>
      <c r="M261" s="11" t="n"/>
      <c r="N261" s="11" t="n"/>
      <c r="O261" s="11" t="n"/>
      <c r="P261" s="11" t="n"/>
      <c r="Q261" s="11" t="n"/>
      <c r="R261" s="12">
        <f>IF(L261="","",IFERROR(INDEX(DAFTAR_FIXTURE!$B$2:$B$51,MATCH(L261,DAFTAR_FIXTURE!$A$2:$A$51,0)),""))</f>
        <v/>
      </c>
      <c r="S261" s="12">
        <f>IF(AND($D261="",L261=""),"",IF(L261="",IF(AND(T261="",AB261=""),"Belum ditempatkan",""),IF(R261="","CEK ID FIXTURE tidak ada di DAFTAR_FIXTURE",IF(M261="","CEK ZONA NO kosong",IF(ISNA(MATCH(R261&amp;"|"&amp;M261,LAYOUT!$E$2:$E$80,0)),"CEK ZONA NO di luar layout",IF(N261&lt;&gt;INDEX(LAYOUT!$D$2:$D$80,MATCH(R261&amp;"|"&amp;M261,LAYOUT!$E$2:$E$80,0)),"CEK JENIS ZONA",IF($D261="","Zona STOCK",IF($E261="","CEK SKU DESCRIPTION kosong",IF(AND(O261&lt;&gt;"",P261=""),"CEK URUTAN SAMBUNG kosong",IF(AND(O261&lt;&gt;"",LEFT(R261,6)="Endcap"),"CEK Endcap tidak ikut sambung","OK"))))))))))</f>
        <v/>
      </c>
      <c r="T261" s="11" t="n"/>
      <c r="U261" s="11" t="n"/>
      <c r="V261" s="11" t="n"/>
      <c r="W261" s="11" t="n"/>
      <c r="X261" s="11" t="n"/>
      <c r="Y261" s="11" t="n"/>
      <c r="Z261" s="12">
        <f>IF(T261="","",IFERROR(INDEX(DAFTAR_FIXTURE!$B$2:$B$51,MATCH(T261,DAFTAR_FIXTURE!$A$2:$A$51,0)),""))</f>
        <v/>
      </c>
      <c r="AA261" s="12">
        <f>IF(T261="","",IF(Z261="","CEK ID FIXTURE tidak ada di DAFTAR_FIXTURE",IF(U261="","CEK ZONA NO kosong",IF(ISNA(MATCH(Z261&amp;"|"&amp;U261,LAYOUT!$E$2:$E$80,0)),"CEK ZONA NO di luar layout",IF(V261&lt;&gt;INDEX(LAYOUT!$D$2:$D$80,MATCH(Z261&amp;"|"&amp;U261,LAYOUT!$E$2:$E$80,0)),"CEK JENIS ZONA",IF($D261="","Zona STOCK",IF($E261="","CEK SKU DESCRIPTION kosong",IF(AND(W261&lt;&gt;"",X261=""),"CEK URUTAN SAMBUNG kosong",IF(AND(W261&lt;&gt;"",LEFT(Z261,6)="Endcap"),"CEK Endcap tidak ikut sambung","OK")))))))))</f>
        <v/>
      </c>
      <c r="AB261" s="11" t="n"/>
      <c r="AC261" s="11" t="n"/>
      <c r="AD261" s="11" t="n"/>
      <c r="AE261" s="11" t="n"/>
      <c r="AF261" s="11" t="n"/>
      <c r="AG261" s="11" t="n"/>
      <c r="AH261" s="12">
        <f>IF(AB261="","",IFERROR(INDEX(DAFTAR_FIXTURE!$B$2:$B$51,MATCH(AB261,DAFTAR_FIXTURE!$A$2:$A$51,0)),""))</f>
        <v/>
      </c>
      <c r="AI261" s="12">
        <f>IF(AB261="","",IF(AH261="","CEK ID FIXTURE tidak ada di DAFTAR_FIXTURE",IF(AC261="","CEK ZONA NO kosong",IF(ISNA(MATCH(AH261&amp;"|"&amp;AC261,LAYOUT!$E$2:$E$80,0)),"CEK ZONA NO di luar layout",IF(AD261&lt;&gt;INDEX(LAYOUT!$D$2:$D$80,MATCH(AH261&amp;"|"&amp;AC261,LAYOUT!$E$2:$E$80,0)),"CEK JENIS ZONA",IF($D261="","Zona STOCK",IF($E261="","CEK SKU DESCRIPTION kosong",IF(AND(AE261&lt;&gt;"",AF261=""),"CEK URUTAN SAMBUNG kosong",IF(AND(AE261&lt;&gt;"",LEFT(AH261,6)="Endcap"),"CEK Endcap tidak ikut sambung","OK")))))))))</f>
        <v/>
      </c>
    </row>
    <row r="262">
      <c r="A262" s="10" t="n"/>
      <c r="B262" s="10" t="n"/>
      <c r="C262" s="10" t="n"/>
      <c r="D262" s="10" t="n"/>
      <c r="E262" s="10" t="n"/>
      <c r="F262" s="10" t="n"/>
      <c r="G262" s="10" t="n"/>
      <c r="H262" s="10" t="n"/>
      <c r="I262" s="10" t="n"/>
      <c r="J262" s="10" t="n"/>
      <c r="K262" s="10" t="n"/>
      <c r="L262" s="11" t="n"/>
      <c r="M262" s="11" t="n"/>
      <c r="N262" s="11" t="n"/>
      <c r="O262" s="11" t="n"/>
      <c r="P262" s="11" t="n"/>
      <c r="Q262" s="11" t="n"/>
      <c r="R262" s="12">
        <f>IF(L262="","",IFERROR(INDEX(DAFTAR_FIXTURE!$B$2:$B$51,MATCH(L262,DAFTAR_FIXTURE!$A$2:$A$51,0)),""))</f>
        <v/>
      </c>
      <c r="S262" s="12">
        <f>IF(AND($D262="",L262=""),"",IF(L262="",IF(AND(T262="",AB262=""),"Belum ditempatkan",""),IF(R262="","CEK ID FIXTURE tidak ada di DAFTAR_FIXTURE",IF(M262="","CEK ZONA NO kosong",IF(ISNA(MATCH(R262&amp;"|"&amp;M262,LAYOUT!$E$2:$E$80,0)),"CEK ZONA NO di luar layout",IF(N262&lt;&gt;INDEX(LAYOUT!$D$2:$D$80,MATCH(R262&amp;"|"&amp;M262,LAYOUT!$E$2:$E$80,0)),"CEK JENIS ZONA",IF($D262="","Zona STOCK",IF($E262="","CEK SKU DESCRIPTION kosong",IF(AND(O262&lt;&gt;"",P262=""),"CEK URUTAN SAMBUNG kosong",IF(AND(O262&lt;&gt;"",LEFT(R262,6)="Endcap"),"CEK Endcap tidak ikut sambung","OK"))))))))))</f>
        <v/>
      </c>
      <c r="T262" s="11" t="n"/>
      <c r="U262" s="11" t="n"/>
      <c r="V262" s="11" t="n"/>
      <c r="W262" s="11" t="n"/>
      <c r="X262" s="11" t="n"/>
      <c r="Y262" s="11" t="n"/>
      <c r="Z262" s="12">
        <f>IF(T262="","",IFERROR(INDEX(DAFTAR_FIXTURE!$B$2:$B$51,MATCH(T262,DAFTAR_FIXTURE!$A$2:$A$51,0)),""))</f>
        <v/>
      </c>
      <c r="AA262" s="12">
        <f>IF(T262="","",IF(Z262="","CEK ID FIXTURE tidak ada di DAFTAR_FIXTURE",IF(U262="","CEK ZONA NO kosong",IF(ISNA(MATCH(Z262&amp;"|"&amp;U262,LAYOUT!$E$2:$E$80,0)),"CEK ZONA NO di luar layout",IF(V262&lt;&gt;INDEX(LAYOUT!$D$2:$D$80,MATCH(Z262&amp;"|"&amp;U262,LAYOUT!$E$2:$E$80,0)),"CEK JENIS ZONA",IF($D262="","Zona STOCK",IF($E262="","CEK SKU DESCRIPTION kosong",IF(AND(W262&lt;&gt;"",X262=""),"CEK URUTAN SAMBUNG kosong",IF(AND(W262&lt;&gt;"",LEFT(Z262,6)="Endcap"),"CEK Endcap tidak ikut sambung","OK")))))))))</f>
        <v/>
      </c>
      <c r="AB262" s="11" t="n"/>
      <c r="AC262" s="11" t="n"/>
      <c r="AD262" s="11" t="n"/>
      <c r="AE262" s="11" t="n"/>
      <c r="AF262" s="11" t="n"/>
      <c r="AG262" s="11" t="n"/>
      <c r="AH262" s="12">
        <f>IF(AB262="","",IFERROR(INDEX(DAFTAR_FIXTURE!$B$2:$B$51,MATCH(AB262,DAFTAR_FIXTURE!$A$2:$A$51,0)),""))</f>
        <v/>
      </c>
      <c r="AI262" s="12">
        <f>IF(AB262="","",IF(AH262="","CEK ID FIXTURE tidak ada di DAFTAR_FIXTURE",IF(AC262="","CEK ZONA NO kosong",IF(ISNA(MATCH(AH262&amp;"|"&amp;AC262,LAYOUT!$E$2:$E$80,0)),"CEK ZONA NO di luar layout",IF(AD262&lt;&gt;INDEX(LAYOUT!$D$2:$D$80,MATCH(AH262&amp;"|"&amp;AC262,LAYOUT!$E$2:$E$80,0)),"CEK JENIS ZONA",IF($D262="","Zona STOCK",IF($E262="","CEK SKU DESCRIPTION kosong",IF(AND(AE262&lt;&gt;"",AF262=""),"CEK URUTAN SAMBUNG kosong",IF(AND(AE262&lt;&gt;"",LEFT(AH262,6)="Endcap"),"CEK Endcap tidak ikut sambung","OK")))))))))</f>
        <v/>
      </c>
    </row>
    <row r="263">
      <c r="A263" s="10" t="n"/>
      <c r="B263" s="10" t="n"/>
      <c r="C263" s="10" t="n"/>
      <c r="D263" s="10" t="n"/>
      <c r="E263" s="10" t="n"/>
      <c r="F263" s="10" t="n"/>
      <c r="G263" s="10" t="n"/>
      <c r="H263" s="10" t="n"/>
      <c r="I263" s="10" t="n"/>
      <c r="J263" s="10" t="n"/>
      <c r="K263" s="10" t="n"/>
      <c r="L263" s="11" t="n"/>
      <c r="M263" s="11" t="n"/>
      <c r="N263" s="11" t="n"/>
      <c r="O263" s="11" t="n"/>
      <c r="P263" s="11" t="n"/>
      <c r="Q263" s="11" t="n"/>
      <c r="R263" s="12">
        <f>IF(L263="","",IFERROR(INDEX(DAFTAR_FIXTURE!$B$2:$B$51,MATCH(L263,DAFTAR_FIXTURE!$A$2:$A$51,0)),""))</f>
        <v/>
      </c>
      <c r="S263" s="12">
        <f>IF(AND($D263="",L263=""),"",IF(L263="",IF(AND(T263="",AB263=""),"Belum ditempatkan",""),IF(R263="","CEK ID FIXTURE tidak ada di DAFTAR_FIXTURE",IF(M263="","CEK ZONA NO kosong",IF(ISNA(MATCH(R263&amp;"|"&amp;M263,LAYOUT!$E$2:$E$80,0)),"CEK ZONA NO di luar layout",IF(N263&lt;&gt;INDEX(LAYOUT!$D$2:$D$80,MATCH(R263&amp;"|"&amp;M263,LAYOUT!$E$2:$E$80,0)),"CEK JENIS ZONA",IF($D263="","Zona STOCK",IF($E263="","CEK SKU DESCRIPTION kosong",IF(AND(O263&lt;&gt;"",P263=""),"CEK URUTAN SAMBUNG kosong",IF(AND(O263&lt;&gt;"",LEFT(R263,6)="Endcap"),"CEK Endcap tidak ikut sambung","OK"))))))))))</f>
        <v/>
      </c>
      <c r="T263" s="11" t="n"/>
      <c r="U263" s="11" t="n"/>
      <c r="V263" s="11" t="n"/>
      <c r="W263" s="11" t="n"/>
      <c r="X263" s="11" t="n"/>
      <c r="Y263" s="11" t="n"/>
      <c r="Z263" s="12">
        <f>IF(T263="","",IFERROR(INDEX(DAFTAR_FIXTURE!$B$2:$B$51,MATCH(T263,DAFTAR_FIXTURE!$A$2:$A$51,0)),""))</f>
        <v/>
      </c>
      <c r="AA263" s="12">
        <f>IF(T263="","",IF(Z263="","CEK ID FIXTURE tidak ada di DAFTAR_FIXTURE",IF(U263="","CEK ZONA NO kosong",IF(ISNA(MATCH(Z263&amp;"|"&amp;U263,LAYOUT!$E$2:$E$80,0)),"CEK ZONA NO di luar layout",IF(V263&lt;&gt;INDEX(LAYOUT!$D$2:$D$80,MATCH(Z263&amp;"|"&amp;U263,LAYOUT!$E$2:$E$80,0)),"CEK JENIS ZONA",IF($D263="","Zona STOCK",IF($E263="","CEK SKU DESCRIPTION kosong",IF(AND(W263&lt;&gt;"",X263=""),"CEK URUTAN SAMBUNG kosong",IF(AND(W263&lt;&gt;"",LEFT(Z263,6)="Endcap"),"CEK Endcap tidak ikut sambung","OK")))))))))</f>
        <v/>
      </c>
      <c r="AB263" s="11" t="n"/>
      <c r="AC263" s="11" t="n"/>
      <c r="AD263" s="11" t="n"/>
      <c r="AE263" s="11" t="n"/>
      <c r="AF263" s="11" t="n"/>
      <c r="AG263" s="11" t="n"/>
      <c r="AH263" s="12">
        <f>IF(AB263="","",IFERROR(INDEX(DAFTAR_FIXTURE!$B$2:$B$51,MATCH(AB263,DAFTAR_FIXTURE!$A$2:$A$51,0)),""))</f>
        <v/>
      </c>
      <c r="AI263" s="12">
        <f>IF(AB263="","",IF(AH263="","CEK ID FIXTURE tidak ada di DAFTAR_FIXTURE",IF(AC263="","CEK ZONA NO kosong",IF(ISNA(MATCH(AH263&amp;"|"&amp;AC263,LAYOUT!$E$2:$E$80,0)),"CEK ZONA NO di luar layout",IF(AD263&lt;&gt;INDEX(LAYOUT!$D$2:$D$80,MATCH(AH263&amp;"|"&amp;AC263,LAYOUT!$E$2:$E$80,0)),"CEK JENIS ZONA",IF($D263="","Zona STOCK",IF($E263="","CEK SKU DESCRIPTION kosong",IF(AND(AE263&lt;&gt;"",AF263=""),"CEK URUTAN SAMBUNG kosong",IF(AND(AE263&lt;&gt;"",LEFT(AH263,6)="Endcap"),"CEK Endcap tidak ikut sambung","OK")))))))))</f>
        <v/>
      </c>
    </row>
    <row r="264">
      <c r="A264" s="10" t="n"/>
      <c r="B264" s="10" t="n"/>
      <c r="C264" s="10" t="n"/>
      <c r="D264" s="10" t="n"/>
      <c r="E264" s="10" t="n"/>
      <c r="F264" s="10" t="n"/>
      <c r="G264" s="10" t="n"/>
      <c r="H264" s="10" t="n"/>
      <c r="I264" s="10" t="n"/>
      <c r="J264" s="10" t="n"/>
      <c r="K264" s="10" t="n"/>
      <c r="L264" s="11" t="n"/>
      <c r="M264" s="11" t="n"/>
      <c r="N264" s="11" t="n"/>
      <c r="O264" s="11" t="n"/>
      <c r="P264" s="11" t="n"/>
      <c r="Q264" s="11" t="n"/>
      <c r="R264" s="12">
        <f>IF(L264="","",IFERROR(INDEX(DAFTAR_FIXTURE!$B$2:$B$51,MATCH(L264,DAFTAR_FIXTURE!$A$2:$A$51,0)),""))</f>
        <v/>
      </c>
      <c r="S264" s="12">
        <f>IF(AND($D264="",L264=""),"",IF(L264="",IF(AND(T264="",AB264=""),"Belum ditempatkan",""),IF(R264="","CEK ID FIXTURE tidak ada di DAFTAR_FIXTURE",IF(M264="","CEK ZONA NO kosong",IF(ISNA(MATCH(R264&amp;"|"&amp;M264,LAYOUT!$E$2:$E$80,0)),"CEK ZONA NO di luar layout",IF(N264&lt;&gt;INDEX(LAYOUT!$D$2:$D$80,MATCH(R264&amp;"|"&amp;M264,LAYOUT!$E$2:$E$80,0)),"CEK JENIS ZONA",IF($D264="","Zona STOCK",IF($E264="","CEK SKU DESCRIPTION kosong",IF(AND(O264&lt;&gt;"",P264=""),"CEK URUTAN SAMBUNG kosong",IF(AND(O264&lt;&gt;"",LEFT(R264,6)="Endcap"),"CEK Endcap tidak ikut sambung","OK"))))))))))</f>
        <v/>
      </c>
      <c r="T264" s="11" t="n"/>
      <c r="U264" s="11" t="n"/>
      <c r="V264" s="11" t="n"/>
      <c r="W264" s="11" t="n"/>
      <c r="X264" s="11" t="n"/>
      <c r="Y264" s="11" t="n"/>
      <c r="Z264" s="12">
        <f>IF(T264="","",IFERROR(INDEX(DAFTAR_FIXTURE!$B$2:$B$51,MATCH(T264,DAFTAR_FIXTURE!$A$2:$A$51,0)),""))</f>
        <v/>
      </c>
      <c r="AA264" s="12">
        <f>IF(T264="","",IF(Z264="","CEK ID FIXTURE tidak ada di DAFTAR_FIXTURE",IF(U264="","CEK ZONA NO kosong",IF(ISNA(MATCH(Z264&amp;"|"&amp;U264,LAYOUT!$E$2:$E$80,0)),"CEK ZONA NO di luar layout",IF(V264&lt;&gt;INDEX(LAYOUT!$D$2:$D$80,MATCH(Z264&amp;"|"&amp;U264,LAYOUT!$E$2:$E$80,0)),"CEK JENIS ZONA",IF($D264="","Zona STOCK",IF($E264="","CEK SKU DESCRIPTION kosong",IF(AND(W264&lt;&gt;"",X264=""),"CEK URUTAN SAMBUNG kosong",IF(AND(W264&lt;&gt;"",LEFT(Z264,6)="Endcap"),"CEK Endcap tidak ikut sambung","OK")))))))))</f>
        <v/>
      </c>
      <c r="AB264" s="11" t="n"/>
      <c r="AC264" s="11" t="n"/>
      <c r="AD264" s="11" t="n"/>
      <c r="AE264" s="11" t="n"/>
      <c r="AF264" s="11" t="n"/>
      <c r="AG264" s="11" t="n"/>
      <c r="AH264" s="12">
        <f>IF(AB264="","",IFERROR(INDEX(DAFTAR_FIXTURE!$B$2:$B$51,MATCH(AB264,DAFTAR_FIXTURE!$A$2:$A$51,0)),""))</f>
        <v/>
      </c>
      <c r="AI264" s="12">
        <f>IF(AB264="","",IF(AH264="","CEK ID FIXTURE tidak ada di DAFTAR_FIXTURE",IF(AC264="","CEK ZONA NO kosong",IF(ISNA(MATCH(AH264&amp;"|"&amp;AC264,LAYOUT!$E$2:$E$80,0)),"CEK ZONA NO di luar layout",IF(AD264&lt;&gt;INDEX(LAYOUT!$D$2:$D$80,MATCH(AH264&amp;"|"&amp;AC264,LAYOUT!$E$2:$E$80,0)),"CEK JENIS ZONA",IF($D264="","Zona STOCK",IF($E264="","CEK SKU DESCRIPTION kosong",IF(AND(AE264&lt;&gt;"",AF264=""),"CEK URUTAN SAMBUNG kosong",IF(AND(AE264&lt;&gt;"",LEFT(AH264,6)="Endcap"),"CEK Endcap tidak ikut sambung","OK")))))))))</f>
        <v/>
      </c>
    </row>
    <row r="265">
      <c r="A265" s="10" t="n"/>
      <c r="B265" s="10" t="n"/>
      <c r="C265" s="10" t="n"/>
      <c r="D265" s="10" t="n"/>
      <c r="E265" s="10" t="n"/>
      <c r="F265" s="10" t="n"/>
      <c r="G265" s="10" t="n"/>
      <c r="H265" s="10" t="n"/>
      <c r="I265" s="10" t="n"/>
      <c r="J265" s="10" t="n"/>
      <c r="K265" s="10" t="n"/>
      <c r="L265" s="11" t="n"/>
      <c r="M265" s="11" t="n"/>
      <c r="N265" s="11" t="n"/>
      <c r="O265" s="11" t="n"/>
      <c r="P265" s="11" t="n"/>
      <c r="Q265" s="11" t="n"/>
      <c r="R265" s="12">
        <f>IF(L265="","",IFERROR(INDEX(DAFTAR_FIXTURE!$B$2:$B$51,MATCH(L265,DAFTAR_FIXTURE!$A$2:$A$51,0)),""))</f>
        <v/>
      </c>
      <c r="S265" s="12">
        <f>IF(AND($D265="",L265=""),"",IF(L265="",IF(AND(T265="",AB265=""),"Belum ditempatkan",""),IF(R265="","CEK ID FIXTURE tidak ada di DAFTAR_FIXTURE",IF(M265="","CEK ZONA NO kosong",IF(ISNA(MATCH(R265&amp;"|"&amp;M265,LAYOUT!$E$2:$E$80,0)),"CEK ZONA NO di luar layout",IF(N265&lt;&gt;INDEX(LAYOUT!$D$2:$D$80,MATCH(R265&amp;"|"&amp;M265,LAYOUT!$E$2:$E$80,0)),"CEK JENIS ZONA",IF($D265="","Zona STOCK",IF($E265="","CEK SKU DESCRIPTION kosong",IF(AND(O265&lt;&gt;"",P265=""),"CEK URUTAN SAMBUNG kosong",IF(AND(O265&lt;&gt;"",LEFT(R265,6)="Endcap"),"CEK Endcap tidak ikut sambung","OK"))))))))))</f>
        <v/>
      </c>
      <c r="T265" s="11" t="n"/>
      <c r="U265" s="11" t="n"/>
      <c r="V265" s="11" t="n"/>
      <c r="W265" s="11" t="n"/>
      <c r="X265" s="11" t="n"/>
      <c r="Y265" s="11" t="n"/>
      <c r="Z265" s="12">
        <f>IF(T265="","",IFERROR(INDEX(DAFTAR_FIXTURE!$B$2:$B$51,MATCH(T265,DAFTAR_FIXTURE!$A$2:$A$51,0)),""))</f>
        <v/>
      </c>
      <c r="AA265" s="12">
        <f>IF(T265="","",IF(Z265="","CEK ID FIXTURE tidak ada di DAFTAR_FIXTURE",IF(U265="","CEK ZONA NO kosong",IF(ISNA(MATCH(Z265&amp;"|"&amp;U265,LAYOUT!$E$2:$E$80,0)),"CEK ZONA NO di luar layout",IF(V265&lt;&gt;INDEX(LAYOUT!$D$2:$D$80,MATCH(Z265&amp;"|"&amp;U265,LAYOUT!$E$2:$E$80,0)),"CEK JENIS ZONA",IF($D265="","Zona STOCK",IF($E265="","CEK SKU DESCRIPTION kosong",IF(AND(W265&lt;&gt;"",X265=""),"CEK URUTAN SAMBUNG kosong",IF(AND(W265&lt;&gt;"",LEFT(Z265,6)="Endcap"),"CEK Endcap tidak ikut sambung","OK")))))))))</f>
        <v/>
      </c>
      <c r="AB265" s="11" t="n"/>
      <c r="AC265" s="11" t="n"/>
      <c r="AD265" s="11" t="n"/>
      <c r="AE265" s="11" t="n"/>
      <c r="AF265" s="11" t="n"/>
      <c r="AG265" s="11" t="n"/>
      <c r="AH265" s="12">
        <f>IF(AB265="","",IFERROR(INDEX(DAFTAR_FIXTURE!$B$2:$B$51,MATCH(AB265,DAFTAR_FIXTURE!$A$2:$A$51,0)),""))</f>
        <v/>
      </c>
      <c r="AI265" s="12">
        <f>IF(AB265="","",IF(AH265="","CEK ID FIXTURE tidak ada di DAFTAR_FIXTURE",IF(AC265="","CEK ZONA NO kosong",IF(ISNA(MATCH(AH265&amp;"|"&amp;AC265,LAYOUT!$E$2:$E$80,0)),"CEK ZONA NO di luar layout",IF(AD265&lt;&gt;INDEX(LAYOUT!$D$2:$D$80,MATCH(AH265&amp;"|"&amp;AC265,LAYOUT!$E$2:$E$80,0)),"CEK JENIS ZONA",IF($D265="","Zona STOCK",IF($E265="","CEK SKU DESCRIPTION kosong",IF(AND(AE265&lt;&gt;"",AF265=""),"CEK URUTAN SAMBUNG kosong",IF(AND(AE265&lt;&gt;"",LEFT(AH265,6)="Endcap"),"CEK Endcap tidak ikut sambung","OK")))))))))</f>
        <v/>
      </c>
    </row>
    <row r="266">
      <c r="A266" s="10" t="n"/>
      <c r="B266" s="10" t="n"/>
      <c r="C266" s="10" t="n"/>
      <c r="D266" s="10" t="n"/>
      <c r="E266" s="10" t="n"/>
      <c r="F266" s="10" t="n"/>
      <c r="G266" s="10" t="n"/>
      <c r="H266" s="10" t="n"/>
      <c r="I266" s="10" t="n"/>
      <c r="J266" s="10" t="n"/>
      <c r="K266" s="10" t="n"/>
      <c r="L266" s="11" t="n"/>
      <c r="M266" s="11" t="n"/>
      <c r="N266" s="11" t="n"/>
      <c r="O266" s="11" t="n"/>
      <c r="P266" s="11" t="n"/>
      <c r="Q266" s="11" t="n"/>
      <c r="R266" s="12">
        <f>IF(L266="","",IFERROR(INDEX(DAFTAR_FIXTURE!$B$2:$B$51,MATCH(L266,DAFTAR_FIXTURE!$A$2:$A$51,0)),""))</f>
        <v/>
      </c>
      <c r="S266" s="12">
        <f>IF(AND($D266="",L266=""),"",IF(L266="",IF(AND(T266="",AB266=""),"Belum ditempatkan",""),IF(R266="","CEK ID FIXTURE tidak ada di DAFTAR_FIXTURE",IF(M266="","CEK ZONA NO kosong",IF(ISNA(MATCH(R266&amp;"|"&amp;M266,LAYOUT!$E$2:$E$80,0)),"CEK ZONA NO di luar layout",IF(N266&lt;&gt;INDEX(LAYOUT!$D$2:$D$80,MATCH(R266&amp;"|"&amp;M266,LAYOUT!$E$2:$E$80,0)),"CEK JENIS ZONA",IF($D266="","Zona STOCK",IF($E266="","CEK SKU DESCRIPTION kosong",IF(AND(O266&lt;&gt;"",P266=""),"CEK URUTAN SAMBUNG kosong",IF(AND(O266&lt;&gt;"",LEFT(R266,6)="Endcap"),"CEK Endcap tidak ikut sambung","OK"))))))))))</f>
        <v/>
      </c>
      <c r="T266" s="11" t="n"/>
      <c r="U266" s="11" t="n"/>
      <c r="V266" s="11" t="n"/>
      <c r="W266" s="11" t="n"/>
      <c r="X266" s="11" t="n"/>
      <c r="Y266" s="11" t="n"/>
      <c r="Z266" s="12">
        <f>IF(T266="","",IFERROR(INDEX(DAFTAR_FIXTURE!$B$2:$B$51,MATCH(T266,DAFTAR_FIXTURE!$A$2:$A$51,0)),""))</f>
        <v/>
      </c>
      <c r="AA266" s="12">
        <f>IF(T266="","",IF(Z266="","CEK ID FIXTURE tidak ada di DAFTAR_FIXTURE",IF(U266="","CEK ZONA NO kosong",IF(ISNA(MATCH(Z266&amp;"|"&amp;U266,LAYOUT!$E$2:$E$80,0)),"CEK ZONA NO di luar layout",IF(V266&lt;&gt;INDEX(LAYOUT!$D$2:$D$80,MATCH(Z266&amp;"|"&amp;U266,LAYOUT!$E$2:$E$80,0)),"CEK JENIS ZONA",IF($D266="","Zona STOCK",IF($E266="","CEK SKU DESCRIPTION kosong",IF(AND(W266&lt;&gt;"",X266=""),"CEK URUTAN SAMBUNG kosong",IF(AND(W266&lt;&gt;"",LEFT(Z266,6)="Endcap"),"CEK Endcap tidak ikut sambung","OK")))))))))</f>
        <v/>
      </c>
      <c r="AB266" s="11" t="n"/>
      <c r="AC266" s="11" t="n"/>
      <c r="AD266" s="11" t="n"/>
      <c r="AE266" s="11" t="n"/>
      <c r="AF266" s="11" t="n"/>
      <c r="AG266" s="11" t="n"/>
      <c r="AH266" s="12">
        <f>IF(AB266="","",IFERROR(INDEX(DAFTAR_FIXTURE!$B$2:$B$51,MATCH(AB266,DAFTAR_FIXTURE!$A$2:$A$51,0)),""))</f>
        <v/>
      </c>
      <c r="AI266" s="12">
        <f>IF(AB266="","",IF(AH266="","CEK ID FIXTURE tidak ada di DAFTAR_FIXTURE",IF(AC266="","CEK ZONA NO kosong",IF(ISNA(MATCH(AH266&amp;"|"&amp;AC266,LAYOUT!$E$2:$E$80,0)),"CEK ZONA NO di luar layout",IF(AD266&lt;&gt;INDEX(LAYOUT!$D$2:$D$80,MATCH(AH266&amp;"|"&amp;AC266,LAYOUT!$E$2:$E$80,0)),"CEK JENIS ZONA",IF($D266="","Zona STOCK",IF($E266="","CEK SKU DESCRIPTION kosong",IF(AND(AE266&lt;&gt;"",AF266=""),"CEK URUTAN SAMBUNG kosong",IF(AND(AE266&lt;&gt;"",LEFT(AH266,6)="Endcap"),"CEK Endcap tidak ikut sambung","OK")))))))))</f>
        <v/>
      </c>
    </row>
    <row r="267">
      <c r="A267" s="10" t="n"/>
      <c r="B267" s="10" t="n"/>
      <c r="C267" s="10" t="n"/>
      <c r="D267" s="10" t="n"/>
      <c r="E267" s="10" t="n"/>
      <c r="F267" s="10" t="n"/>
      <c r="G267" s="10" t="n"/>
      <c r="H267" s="10" t="n"/>
      <c r="I267" s="10" t="n"/>
      <c r="J267" s="10" t="n"/>
      <c r="K267" s="10" t="n"/>
      <c r="L267" s="11" t="n"/>
      <c r="M267" s="11" t="n"/>
      <c r="N267" s="11" t="n"/>
      <c r="O267" s="11" t="n"/>
      <c r="P267" s="11" t="n"/>
      <c r="Q267" s="11" t="n"/>
      <c r="R267" s="12">
        <f>IF(L267="","",IFERROR(INDEX(DAFTAR_FIXTURE!$B$2:$B$51,MATCH(L267,DAFTAR_FIXTURE!$A$2:$A$51,0)),""))</f>
        <v/>
      </c>
      <c r="S267" s="12">
        <f>IF(AND($D267="",L267=""),"",IF(L267="",IF(AND(T267="",AB267=""),"Belum ditempatkan",""),IF(R267="","CEK ID FIXTURE tidak ada di DAFTAR_FIXTURE",IF(M267="","CEK ZONA NO kosong",IF(ISNA(MATCH(R267&amp;"|"&amp;M267,LAYOUT!$E$2:$E$80,0)),"CEK ZONA NO di luar layout",IF(N267&lt;&gt;INDEX(LAYOUT!$D$2:$D$80,MATCH(R267&amp;"|"&amp;M267,LAYOUT!$E$2:$E$80,0)),"CEK JENIS ZONA",IF($D267="","Zona STOCK",IF($E267="","CEK SKU DESCRIPTION kosong",IF(AND(O267&lt;&gt;"",P267=""),"CEK URUTAN SAMBUNG kosong",IF(AND(O267&lt;&gt;"",LEFT(R267,6)="Endcap"),"CEK Endcap tidak ikut sambung","OK"))))))))))</f>
        <v/>
      </c>
      <c r="T267" s="11" t="n"/>
      <c r="U267" s="11" t="n"/>
      <c r="V267" s="11" t="n"/>
      <c r="W267" s="11" t="n"/>
      <c r="X267" s="11" t="n"/>
      <c r="Y267" s="11" t="n"/>
      <c r="Z267" s="12">
        <f>IF(T267="","",IFERROR(INDEX(DAFTAR_FIXTURE!$B$2:$B$51,MATCH(T267,DAFTAR_FIXTURE!$A$2:$A$51,0)),""))</f>
        <v/>
      </c>
      <c r="AA267" s="12">
        <f>IF(T267="","",IF(Z267="","CEK ID FIXTURE tidak ada di DAFTAR_FIXTURE",IF(U267="","CEK ZONA NO kosong",IF(ISNA(MATCH(Z267&amp;"|"&amp;U267,LAYOUT!$E$2:$E$80,0)),"CEK ZONA NO di luar layout",IF(V267&lt;&gt;INDEX(LAYOUT!$D$2:$D$80,MATCH(Z267&amp;"|"&amp;U267,LAYOUT!$E$2:$E$80,0)),"CEK JENIS ZONA",IF($D267="","Zona STOCK",IF($E267="","CEK SKU DESCRIPTION kosong",IF(AND(W267&lt;&gt;"",X267=""),"CEK URUTAN SAMBUNG kosong",IF(AND(W267&lt;&gt;"",LEFT(Z267,6)="Endcap"),"CEK Endcap tidak ikut sambung","OK")))))))))</f>
        <v/>
      </c>
      <c r="AB267" s="11" t="n"/>
      <c r="AC267" s="11" t="n"/>
      <c r="AD267" s="11" t="n"/>
      <c r="AE267" s="11" t="n"/>
      <c r="AF267" s="11" t="n"/>
      <c r="AG267" s="11" t="n"/>
      <c r="AH267" s="12">
        <f>IF(AB267="","",IFERROR(INDEX(DAFTAR_FIXTURE!$B$2:$B$51,MATCH(AB267,DAFTAR_FIXTURE!$A$2:$A$51,0)),""))</f>
        <v/>
      </c>
      <c r="AI267" s="12">
        <f>IF(AB267="","",IF(AH267="","CEK ID FIXTURE tidak ada di DAFTAR_FIXTURE",IF(AC267="","CEK ZONA NO kosong",IF(ISNA(MATCH(AH267&amp;"|"&amp;AC267,LAYOUT!$E$2:$E$80,0)),"CEK ZONA NO di luar layout",IF(AD267&lt;&gt;INDEX(LAYOUT!$D$2:$D$80,MATCH(AH267&amp;"|"&amp;AC267,LAYOUT!$E$2:$E$80,0)),"CEK JENIS ZONA",IF($D267="","Zona STOCK",IF($E267="","CEK SKU DESCRIPTION kosong",IF(AND(AE267&lt;&gt;"",AF267=""),"CEK URUTAN SAMBUNG kosong",IF(AND(AE267&lt;&gt;"",LEFT(AH267,6)="Endcap"),"CEK Endcap tidak ikut sambung","OK")))))))))</f>
        <v/>
      </c>
    </row>
    <row r="268">
      <c r="A268" s="10" t="n"/>
      <c r="B268" s="10" t="n"/>
      <c r="C268" s="10" t="n"/>
      <c r="D268" s="10" t="n"/>
      <c r="E268" s="10" t="n"/>
      <c r="F268" s="10" t="n"/>
      <c r="G268" s="10" t="n"/>
      <c r="H268" s="10" t="n"/>
      <c r="I268" s="10" t="n"/>
      <c r="J268" s="10" t="n"/>
      <c r="K268" s="10" t="n"/>
      <c r="L268" s="11" t="n"/>
      <c r="M268" s="11" t="n"/>
      <c r="N268" s="11" t="n"/>
      <c r="O268" s="11" t="n"/>
      <c r="P268" s="11" t="n"/>
      <c r="Q268" s="11" t="n"/>
      <c r="R268" s="12">
        <f>IF(L268="","",IFERROR(INDEX(DAFTAR_FIXTURE!$B$2:$B$51,MATCH(L268,DAFTAR_FIXTURE!$A$2:$A$51,0)),""))</f>
        <v/>
      </c>
      <c r="S268" s="12">
        <f>IF(AND($D268="",L268=""),"",IF(L268="",IF(AND(T268="",AB268=""),"Belum ditempatkan",""),IF(R268="","CEK ID FIXTURE tidak ada di DAFTAR_FIXTURE",IF(M268="","CEK ZONA NO kosong",IF(ISNA(MATCH(R268&amp;"|"&amp;M268,LAYOUT!$E$2:$E$80,0)),"CEK ZONA NO di luar layout",IF(N268&lt;&gt;INDEX(LAYOUT!$D$2:$D$80,MATCH(R268&amp;"|"&amp;M268,LAYOUT!$E$2:$E$80,0)),"CEK JENIS ZONA",IF($D268="","Zona STOCK",IF($E268="","CEK SKU DESCRIPTION kosong",IF(AND(O268&lt;&gt;"",P268=""),"CEK URUTAN SAMBUNG kosong",IF(AND(O268&lt;&gt;"",LEFT(R268,6)="Endcap"),"CEK Endcap tidak ikut sambung","OK"))))))))))</f>
        <v/>
      </c>
      <c r="T268" s="11" t="n"/>
      <c r="U268" s="11" t="n"/>
      <c r="V268" s="11" t="n"/>
      <c r="W268" s="11" t="n"/>
      <c r="X268" s="11" t="n"/>
      <c r="Y268" s="11" t="n"/>
      <c r="Z268" s="12">
        <f>IF(T268="","",IFERROR(INDEX(DAFTAR_FIXTURE!$B$2:$B$51,MATCH(T268,DAFTAR_FIXTURE!$A$2:$A$51,0)),""))</f>
        <v/>
      </c>
      <c r="AA268" s="12">
        <f>IF(T268="","",IF(Z268="","CEK ID FIXTURE tidak ada di DAFTAR_FIXTURE",IF(U268="","CEK ZONA NO kosong",IF(ISNA(MATCH(Z268&amp;"|"&amp;U268,LAYOUT!$E$2:$E$80,0)),"CEK ZONA NO di luar layout",IF(V268&lt;&gt;INDEX(LAYOUT!$D$2:$D$80,MATCH(Z268&amp;"|"&amp;U268,LAYOUT!$E$2:$E$80,0)),"CEK JENIS ZONA",IF($D268="","Zona STOCK",IF($E268="","CEK SKU DESCRIPTION kosong",IF(AND(W268&lt;&gt;"",X268=""),"CEK URUTAN SAMBUNG kosong",IF(AND(W268&lt;&gt;"",LEFT(Z268,6)="Endcap"),"CEK Endcap tidak ikut sambung","OK")))))))))</f>
        <v/>
      </c>
      <c r="AB268" s="11" t="n"/>
      <c r="AC268" s="11" t="n"/>
      <c r="AD268" s="11" t="n"/>
      <c r="AE268" s="11" t="n"/>
      <c r="AF268" s="11" t="n"/>
      <c r="AG268" s="11" t="n"/>
      <c r="AH268" s="12">
        <f>IF(AB268="","",IFERROR(INDEX(DAFTAR_FIXTURE!$B$2:$B$51,MATCH(AB268,DAFTAR_FIXTURE!$A$2:$A$51,0)),""))</f>
        <v/>
      </c>
      <c r="AI268" s="12">
        <f>IF(AB268="","",IF(AH268="","CEK ID FIXTURE tidak ada di DAFTAR_FIXTURE",IF(AC268="","CEK ZONA NO kosong",IF(ISNA(MATCH(AH268&amp;"|"&amp;AC268,LAYOUT!$E$2:$E$80,0)),"CEK ZONA NO di luar layout",IF(AD268&lt;&gt;INDEX(LAYOUT!$D$2:$D$80,MATCH(AH268&amp;"|"&amp;AC268,LAYOUT!$E$2:$E$80,0)),"CEK JENIS ZONA",IF($D268="","Zona STOCK",IF($E268="","CEK SKU DESCRIPTION kosong",IF(AND(AE268&lt;&gt;"",AF268=""),"CEK URUTAN SAMBUNG kosong",IF(AND(AE268&lt;&gt;"",LEFT(AH268,6)="Endcap"),"CEK Endcap tidak ikut sambung","OK")))))))))</f>
        <v/>
      </c>
    </row>
    <row r="269">
      <c r="A269" s="10" t="n"/>
      <c r="B269" s="10" t="n"/>
      <c r="C269" s="10" t="n"/>
      <c r="D269" s="10" t="n"/>
      <c r="E269" s="10" t="n"/>
      <c r="F269" s="10" t="n"/>
      <c r="G269" s="10" t="n"/>
      <c r="H269" s="10" t="n"/>
      <c r="I269" s="10" t="n"/>
      <c r="J269" s="10" t="n"/>
      <c r="K269" s="10" t="n"/>
      <c r="L269" s="11" t="n"/>
      <c r="M269" s="11" t="n"/>
      <c r="N269" s="11" t="n"/>
      <c r="O269" s="11" t="n"/>
      <c r="P269" s="11" t="n"/>
      <c r="Q269" s="11" t="n"/>
      <c r="R269" s="12">
        <f>IF(L269="","",IFERROR(INDEX(DAFTAR_FIXTURE!$B$2:$B$51,MATCH(L269,DAFTAR_FIXTURE!$A$2:$A$51,0)),""))</f>
        <v/>
      </c>
      <c r="S269" s="12">
        <f>IF(AND($D269="",L269=""),"",IF(L269="",IF(AND(T269="",AB269=""),"Belum ditempatkan",""),IF(R269="","CEK ID FIXTURE tidak ada di DAFTAR_FIXTURE",IF(M269="","CEK ZONA NO kosong",IF(ISNA(MATCH(R269&amp;"|"&amp;M269,LAYOUT!$E$2:$E$80,0)),"CEK ZONA NO di luar layout",IF(N269&lt;&gt;INDEX(LAYOUT!$D$2:$D$80,MATCH(R269&amp;"|"&amp;M269,LAYOUT!$E$2:$E$80,0)),"CEK JENIS ZONA",IF($D269="","Zona STOCK",IF($E269="","CEK SKU DESCRIPTION kosong",IF(AND(O269&lt;&gt;"",P269=""),"CEK URUTAN SAMBUNG kosong",IF(AND(O269&lt;&gt;"",LEFT(R269,6)="Endcap"),"CEK Endcap tidak ikut sambung","OK"))))))))))</f>
        <v/>
      </c>
      <c r="T269" s="11" t="n"/>
      <c r="U269" s="11" t="n"/>
      <c r="V269" s="11" t="n"/>
      <c r="W269" s="11" t="n"/>
      <c r="X269" s="11" t="n"/>
      <c r="Y269" s="11" t="n"/>
      <c r="Z269" s="12">
        <f>IF(T269="","",IFERROR(INDEX(DAFTAR_FIXTURE!$B$2:$B$51,MATCH(T269,DAFTAR_FIXTURE!$A$2:$A$51,0)),""))</f>
        <v/>
      </c>
      <c r="AA269" s="12">
        <f>IF(T269="","",IF(Z269="","CEK ID FIXTURE tidak ada di DAFTAR_FIXTURE",IF(U269="","CEK ZONA NO kosong",IF(ISNA(MATCH(Z269&amp;"|"&amp;U269,LAYOUT!$E$2:$E$80,0)),"CEK ZONA NO di luar layout",IF(V269&lt;&gt;INDEX(LAYOUT!$D$2:$D$80,MATCH(Z269&amp;"|"&amp;U269,LAYOUT!$E$2:$E$80,0)),"CEK JENIS ZONA",IF($D269="","Zona STOCK",IF($E269="","CEK SKU DESCRIPTION kosong",IF(AND(W269&lt;&gt;"",X269=""),"CEK URUTAN SAMBUNG kosong",IF(AND(W269&lt;&gt;"",LEFT(Z269,6)="Endcap"),"CEK Endcap tidak ikut sambung","OK")))))))))</f>
        <v/>
      </c>
      <c r="AB269" s="11" t="n"/>
      <c r="AC269" s="11" t="n"/>
      <c r="AD269" s="11" t="n"/>
      <c r="AE269" s="11" t="n"/>
      <c r="AF269" s="11" t="n"/>
      <c r="AG269" s="11" t="n"/>
      <c r="AH269" s="12">
        <f>IF(AB269="","",IFERROR(INDEX(DAFTAR_FIXTURE!$B$2:$B$51,MATCH(AB269,DAFTAR_FIXTURE!$A$2:$A$51,0)),""))</f>
        <v/>
      </c>
      <c r="AI269" s="12">
        <f>IF(AB269="","",IF(AH269="","CEK ID FIXTURE tidak ada di DAFTAR_FIXTURE",IF(AC269="","CEK ZONA NO kosong",IF(ISNA(MATCH(AH269&amp;"|"&amp;AC269,LAYOUT!$E$2:$E$80,0)),"CEK ZONA NO di luar layout",IF(AD269&lt;&gt;INDEX(LAYOUT!$D$2:$D$80,MATCH(AH269&amp;"|"&amp;AC269,LAYOUT!$E$2:$E$80,0)),"CEK JENIS ZONA",IF($D269="","Zona STOCK",IF($E269="","CEK SKU DESCRIPTION kosong",IF(AND(AE269&lt;&gt;"",AF269=""),"CEK URUTAN SAMBUNG kosong",IF(AND(AE269&lt;&gt;"",LEFT(AH269,6)="Endcap"),"CEK Endcap tidak ikut sambung","OK")))))))))</f>
        <v/>
      </c>
    </row>
    <row r="270">
      <c r="A270" s="10" t="n"/>
      <c r="B270" s="10" t="n"/>
      <c r="C270" s="10" t="n"/>
      <c r="D270" s="10" t="n"/>
      <c r="E270" s="10" t="n"/>
      <c r="F270" s="10" t="n"/>
      <c r="G270" s="10" t="n"/>
      <c r="H270" s="10" t="n"/>
      <c r="I270" s="10" t="n"/>
      <c r="J270" s="10" t="n"/>
      <c r="K270" s="10" t="n"/>
      <c r="L270" s="11" t="n"/>
      <c r="M270" s="11" t="n"/>
      <c r="N270" s="11" t="n"/>
      <c r="O270" s="11" t="n"/>
      <c r="P270" s="11" t="n"/>
      <c r="Q270" s="11" t="n"/>
      <c r="R270" s="12">
        <f>IF(L270="","",IFERROR(INDEX(DAFTAR_FIXTURE!$B$2:$B$51,MATCH(L270,DAFTAR_FIXTURE!$A$2:$A$51,0)),""))</f>
        <v/>
      </c>
      <c r="S270" s="12">
        <f>IF(AND($D270="",L270=""),"",IF(L270="",IF(AND(T270="",AB270=""),"Belum ditempatkan",""),IF(R270="","CEK ID FIXTURE tidak ada di DAFTAR_FIXTURE",IF(M270="","CEK ZONA NO kosong",IF(ISNA(MATCH(R270&amp;"|"&amp;M270,LAYOUT!$E$2:$E$80,0)),"CEK ZONA NO di luar layout",IF(N270&lt;&gt;INDEX(LAYOUT!$D$2:$D$80,MATCH(R270&amp;"|"&amp;M270,LAYOUT!$E$2:$E$80,0)),"CEK JENIS ZONA",IF($D270="","Zona STOCK",IF($E270="","CEK SKU DESCRIPTION kosong",IF(AND(O270&lt;&gt;"",P270=""),"CEK URUTAN SAMBUNG kosong",IF(AND(O270&lt;&gt;"",LEFT(R270,6)="Endcap"),"CEK Endcap tidak ikut sambung","OK"))))))))))</f>
        <v/>
      </c>
      <c r="T270" s="11" t="n"/>
      <c r="U270" s="11" t="n"/>
      <c r="V270" s="11" t="n"/>
      <c r="W270" s="11" t="n"/>
      <c r="X270" s="11" t="n"/>
      <c r="Y270" s="11" t="n"/>
      <c r="Z270" s="12">
        <f>IF(T270="","",IFERROR(INDEX(DAFTAR_FIXTURE!$B$2:$B$51,MATCH(T270,DAFTAR_FIXTURE!$A$2:$A$51,0)),""))</f>
        <v/>
      </c>
      <c r="AA270" s="12">
        <f>IF(T270="","",IF(Z270="","CEK ID FIXTURE tidak ada di DAFTAR_FIXTURE",IF(U270="","CEK ZONA NO kosong",IF(ISNA(MATCH(Z270&amp;"|"&amp;U270,LAYOUT!$E$2:$E$80,0)),"CEK ZONA NO di luar layout",IF(V270&lt;&gt;INDEX(LAYOUT!$D$2:$D$80,MATCH(Z270&amp;"|"&amp;U270,LAYOUT!$E$2:$E$80,0)),"CEK JENIS ZONA",IF($D270="","Zona STOCK",IF($E270="","CEK SKU DESCRIPTION kosong",IF(AND(W270&lt;&gt;"",X270=""),"CEK URUTAN SAMBUNG kosong",IF(AND(W270&lt;&gt;"",LEFT(Z270,6)="Endcap"),"CEK Endcap tidak ikut sambung","OK")))))))))</f>
        <v/>
      </c>
      <c r="AB270" s="11" t="n"/>
      <c r="AC270" s="11" t="n"/>
      <c r="AD270" s="11" t="n"/>
      <c r="AE270" s="11" t="n"/>
      <c r="AF270" s="11" t="n"/>
      <c r="AG270" s="11" t="n"/>
      <c r="AH270" s="12">
        <f>IF(AB270="","",IFERROR(INDEX(DAFTAR_FIXTURE!$B$2:$B$51,MATCH(AB270,DAFTAR_FIXTURE!$A$2:$A$51,0)),""))</f>
        <v/>
      </c>
      <c r="AI270" s="12">
        <f>IF(AB270="","",IF(AH270="","CEK ID FIXTURE tidak ada di DAFTAR_FIXTURE",IF(AC270="","CEK ZONA NO kosong",IF(ISNA(MATCH(AH270&amp;"|"&amp;AC270,LAYOUT!$E$2:$E$80,0)),"CEK ZONA NO di luar layout",IF(AD270&lt;&gt;INDEX(LAYOUT!$D$2:$D$80,MATCH(AH270&amp;"|"&amp;AC270,LAYOUT!$E$2:$E$80,0)),"CEK JENIS ZONA",IF($D270="","Zona STOCK",IF($E270="","CEK SKU DESCRIPTION kosong",IF(AND(AE270&lt;&gt;"",AF270=""),"CEK URUTAN SAMBUNG kosong",IF(AND(AE270&lt;&gt;"",LEFT(AH270,6)="Endcap"),"CEK Endcap tidak ikut sambung","OK")))))))))</f>
        <v/>
      </c>
    </row>
    <row r="271">
      <c r="A271" s="10" t="n"/>
      <c r="B271" s="10" t="n"/>
      <c r="C271" s="10" t="n"/>
      <c r="D271" s="10" t="n"/>
      <c r="E271" s="10" t="n"/>
      <c r="F271" s="10" t="n"/>
      <c r="G271" s="10" t="n"/>
      <c r="H271" s="10" t="n"/>
      <c r="I271" s="10" t="n"/>
      <c r="J271" s="10" t="n"/>
      <c r="K271" s="10" t="n"/>
      <c r="L271" s="11" t="n"/>
      <c r="M271" s="11" t="n"/>
      <c r="N271" s="11" t="n"/>
      <c r="O271" s="11" t="n"/>
      <c r="P271" s="11" t="n"/>
      <c r="Q271" s="11" t="n"/>
      <c r="R271" s="12">
        <f>IF(L271="","",IFERROR(INDEX(DAFTAR_FIXTURE!$B$2:$B$51,MATCH(L271,DAFTAR_FIXTURE!$A$2:$A$51,0)),""))</f>
        <v/>
      </c>
      <c r="S271" s="12">
        <f>IF(AND($D271="",L271=""),"",IF(L271="",IF(AND(T271="",AB271=""),"Belum ditempatkan",""),IF(R271="","CEK ID FIXTURE tidak ada di DAFTAR_FIXTURE",IF(M271="","CEK ZONA NO kosong",IF(ISNA(MATCH(R271&amp;"|"&amp;M271,LAYOUT!$E$2:$E$80,0)),"CEK ZONA NO di luar layout",IF(N271&lt;&gt;INDEX(LAYOUT!$D$2:$D$80,MATCH(R271&amp;"|"&amp;M271,LAYOUT!$E$2:$E$80,0)),"CEK JENIS ZONA",IF($D271="","Zona STOCK",IF($E271="","CEK SKU DESCRIPTION kosong",IF(AND(O271&lt;&gt;"",P271=""),"CEK URUTAN SAMBUNG kosong",IF(AND(O271&lt;&gt;"",LEFT(R271,6)="Endcap"),"CEK Endcap tidak ikut sambung","OK"))))))))))</f>
        <v/>
      </c>
      <c r="T271" s="11" t="n"/>
      <c r="U271" s="11" t="n"/>
      <c r="V271" s="11" t="n"/>
      <c r="W271" s="11" t="n"/>
      <c r="X271" s="11" t="n"/>
      <c r="Y271" s="11" t="n"/>
      <c r="Z271" s="12">
        <f>IF(T271="","",IFERROR(INDEX(DAFTAR_FIXTURE!$B$2:$B$51,MATCH(T271,DAFTAR_FIXTURE!$A$2:$A$51,0)),""))</f>
        <v/>
      </c>
      <c r="AA271" s="12">
        <f>IF(T271="","",IF(Z271="","CEK ID FIXTURE tidak ada di DAFTAR_FIXTURE",IF(U271="","CEK ZONA NO kosong",IF(ISNA(MATCH(Z271&amp;"|"&amp;U271,LAYOUT!$E$2:$E$80,0)),"CEK ZONA NO di luar layout",IF(V271&lt;&gt;INDEX(LAYOUT!$D$2:$D$80,MATCH(Z271&amp;"|"&amp;U271,LAYOUT!$E$2:$E$80,0)),"CEK JENIS ZONA",IF($D271="","Zona STOCK",IF($E271="","CEK SKU DESCRIPTION kosong",IF(AND(W271&lt;&gt;"",X271=""),"CEK URUTAN SAMBUNG kosong",IF(AND(W271&lt;&gt;"",LEFT(Z271,6)="Endcap"),"CEK Endcap tidak ikut sambung","OK")))))))))</f>
        <v/>
      </c>
      <c r="AB271" s="11" t="n"/>
      <c r="AC271" s="11" t="n"/>
      <c r="AD271" s="11" t="n"/>
      <c r="AE271" s="11" t="n"/>
      <c r="AF271" s="11" t="n"/>
      <c r="AG271" s="11" t="n"/>
      <c r="AH271" s="12">
        <f>IF(AB271="","",IFERROR(INDEX(DAFTAR_FIXTURE!$B$2:$B$51,MATCH(AB271,DAFTAR_FIXTURE!$A$2:$A$51,0)),""))</f>
        <v/>
      </c>
      <c r="AI271" s="12">
        <f>IF(AB271="","",IF(AH271="","CEK ID FIXTURE tidak ada di DAFTAR_FIXTURE",IF(AC271="","CEK ZONA NO kosong",IF(ISNA(MATCH(AH271&amp;"|"&amp;AC271,LAYOUT!$E$2:$E$80,0)),"CEK ZONA NO di luar layout",IF(AD271&lt;&gt;INDEX(LAYOUT!$D$2:$D$80,MATCH(AH271&amp;"|"&amp;AC271,LAYOUT!$E$2:$E$80,0)),"CEK JENIS ZONA",IF($D271="","Zona STOCK",IF($E271="","CEK SKU DESCRIPTION kosong",IF(AND(AE271&lt;&gt;"",AF271=""),"CEK URUTAN SAMBUNG kosong",IF(AND(AE271&lt;&gt;"",LEFT(AH271,6)="Endcap"),"CEK Endcap tidak ikut sambung","OK")))))))))</f>
        <v/>
      </c>
    </row>
    <row r="272">
      <c r="A272" s="10" t="n"/>
      <c r="B272" s="10" t="n"/>
      <c r="C272" s="10" t="n"/>
      <c r="D272" s="10" t="n"/>
      <c r="E272" s="10" t="n"/>
      <c r="F272" s="10" t="n"/>
      <c r="G272" s="10" t="n"/>
      <c r="H272" s="10" t="n"/>
      <c r="I272" s="10" t="n"/>
      <c r="J272" s="10" t="n"/>
      <c r="K272" s="10" t="n"/>
      <c r="L272" s="11" t="n"/>
      <c r="M272" s="11" t="n"/>
      <c r="N272" s="11" t="n"/>
      <c r="O272" s="11" t="n"/>
      <c r="P272" s="11" t="n"/>
      <c r="Q272" s="11" t="n"/>
      <c r="R272" s="12">
        <f>IF(L272="","",IFERROR(INDEX(DAFTAR_FIXTURE!$B$2:$B$51,MATCH(L272,DAFTAR_FIXTURE!$A$2:$A$51,0)),""))</f>
        <v/>
      </c>
      <c r="S272" s="12">
        <f>IF(AND($D272="",L272=""),"",IF(L272="",IF(AND(T272="",AB272=""),"Belum ditempatkan",""),IF(R272="","CEK ID FIXTURE tidak ada di DAFTAR_FIXTURE",IF(M272="","CEK ZONA NO kosong",IF(ISNA(MATCH(R272&amp;"|"&amp;M272,LAYOUT!$E$2:$E$80,0)),"CEK ZONA NO di luar layout",IF(N272&lt;&gt;INDEX(LAYOUT!$D$2:$D$80,MATCH(R272&amp;"|"&amp;M272,LAYOUT!$E$2:$E$80,0)),"CEK JENIS ZONA",IF($D272="","Zona STOCK",IF($E272="","CEK SKU DESCRIPTION kosong",IF(AND(O272&lt;&gt;"",P272=""),"CEK URUTAN SAMBUNG kosong",IF(AND(O272&lt;&gt;"",LEFT(R272,6)="Endcap"),"CEK Endcap tidak ikut sambung","OK"))))))))))</f>
        <v/>
      </c>
      <c r="T272" s="11" t="n"/>
      <c r="U272" s="11" t="n"/>
      <c r="V272" s="11" t="n"/>
      <c r="W272" s="11" t="n"/>
      <c r="X272" s="11" t="n"/>
      <c r="Y272" s="11" t="n"/>
      <c r="Z272" s="12">
        <f>IF(T272="","",IFERROR(INDEX(DAFTAR_FIXTURE!$B$2:$B$51,MATCH(T272,DAFTAR_FIXTURE!$A$2:$A$51,0)),""))</f>
        <v/>
      </c>
      <c r="AA272" s="12">
        <f>IF(T272="","",IF(Z272="","CEK ID FIXTURE tidak ada di DAFTAR_FIXTURE",IF(U272="","CEK ZONA NO kosong",IF(ISNA(MATCH(Z272&amp;"|"&amp;U272,LAYOUT!$E$2:$E$80,0)),"CEK ZONA NO di luar layout",IF(V272&lt;&gt;INDEX(LAYOUT!$D$2:$D$80,MATCH(Z272&amp;"|"&amp;U272,LAYOUT!$E$2:$E$80,0)),"CEK JENIS ZONA",IF($D272="","Zona STOCK",IF($E272="","CEK SKU DESCRIPTION kosong",IF(AND(W272&lt;&gt;"",X272=""),"CEK URUTAN SAMBUNG kosong",IF(AND(W272&lt;&gt;"",LEFT(Z272,6)="Endcap"),"CEK Endcap tidak ikut sambung","OK")))))))))</f>
        <v/>
      </c>
      <c r="AB272" s="11" t="n"/>
      <c r="AC272" s="11" t="n"/>
      <c r="AD272" s="11" t="n"/>
      <c r="AE272" s="11" t="n"/>
      <c r="AF272" s="11" t="n"/>
      <c r="AG272" s="11" t="n"/>
      <c r="AH272" s="12">
        <f>IF(AB272="","",IFERROR(INDEX(DAFTAR_FIXTURE!$B$2:$B$51,MATCH(AB272,DAFTAR_FIXTURE!$A$2:$A$51,0)),""))</f>
        <v/>
      </c>
      <c r="AI272" s="12">
        <f>IF(AB272="","",IF(AH272="","CEK ID FIXTURE tidak ada di DAFTAR_FIXTURE",IF(AC272="","CEK ZONA NO kosong",IF(ISNA(MATCH(AH272&amp;"|"&amp;AC272,LAYOUT!$E$2:$E$80,0)),"CEK ZONA NO di luar layout",IF(AD272&lt;&gt;INDEX(LAYOUT!$D$2:$D$80,MATCH(AH272&amp;"|"&amp;AC272,LAYOUT!$E$2:$E$80,0)),"CEK JENIS ZONA",IF($D272="","Zona STOCK",IF($E272="","CEK SKU DESCRIPTION kosong",IF(AND(AE272&lt;&gt;"",AF272=""),"CEK URUTAN SAMBUNG kosong",IF(AND(AE272&lt;&gt;"",LEFT(AH272,6)="Endcap"),"CEK Endcap tidak ikut sambung","OK")))))))))</f>
        <v/>
      </c>
    </row>
    <row r="273">
      <c r="A273" s="10" t="n"/>
      <c r="B273" s="10" t="n"/>
      <c r="C273" s="10" t="n"/>
      <c r="D273" s="10" t="n"/>
      <c r="E273" s="10" t="n"/>
      <c r="F273" s="10" t="n"/>
      <c r="G273" s="10" t="n"/>
      <c r="H273" s="10" t="n"/>
      <c r="I273" s="10" t="n"/>
      <c r="J273" s="10" t="n"/>
      <c r="K273" s="10" t="n"/>
      <c r="L273" s="11" t="n"/>
      <c r="M273" s="11" t="n"/>
      <c r="N273" s="11" t="n"/>
      <c r="O273" s="11" t="n"/>
      <c r="P273" s="11" t="n"/>
      <c r="Q273" s="11" t="n"/>
      <c r="R273" s="12">
        <f>IF(L273="","",IFERROR(INDEX(DAFTAR_FIXTURE!$B$2:$B$51,MATCH(L273,DAFTAR_FIXTURE!$A$2:$A$51,0)),""))</f>
        <v/>
      </c>
      <c r="S273" s="12">
        <f>IF(AND($D273="",L273=""),"",IF(L273="",IF(AND(T273="",AB273=""),"Belum ditempatkan",""),IF(R273="","CEK ID FIXTURE tidak ada di DAFTAR_FIXTURE",IF(M273="","CEK ZONA NO kosong",IF(ISNA(MATCH(R273&amp;"|"&amp;M273,LAYOUT!$E$2:$E$80,0)),"CEK ZONA NO di luar layout",IF(N273&lt;&gt;INDEX(LAYOUT!$D$2:$D$80,MATCH(R273&amp;"|"&amp;M273,LAYOUT!$E$2:$E$80,0)),"CEK JENIS ZONA",IF($D273="","Zona STOCK",IF($E273="","CEK SKU DESCRIPTION kosong",IF(AND(O273&lt;&gt;"",P273=""),"CEK URUTAN SAMBUNG kosong",IF(AND(O273&lt;&gt;"",LEFT(R273,6)="Endcap"),"CEK Endcap tidak ikut sambung","OK"))))))))))</f>
        <v/>
      </c>
      <c r="T273" s="11" t="n"/>
      <c r="U273" s="11" t="n"/>
      <c r="V273" s="11" t="n"/>
      <c r="W273" s="11" t="n"/>
      <c r="X273" s="11" t="n"/>
      <c r="Y273" s="11" t="n"/>
      <c r="Z273" s="12">
        <f>IF(T273="","",IFERROR(INDEX(DAFTAR_FIXTURE!$B$2:$B$51,MATCH(T273,DAFTAR_FIXTURE!$A$2:$A$51,0)),""))</f>
        <v/>
      </c>
      <c r="AA273" s="12">
        <f>IF(T273="","",IF(Z273="","CEK ID FIXTURE tidak ada di DAFTAR_FIXTURE",IF(U273="","CEK ZONA NO kosong",IF(ISNA(MATCH(Z273&amp;"|"&amp;U273,LAYOUT!$E$2:$E$80,0)),"CEK ZONA NO di luar layout",IF(V273&lt;&gt;INDEX(LAYOUT!$D$2:$D$80,MATCH(Z273&amp;"|"&amp;U273,LAYOUT!$E$2:$E$80,0)),"CEK JENIS ZONA",IF($D273="","Zona STOCK",IF($E273="","CEK SKU DESCRIPTION kosong",IF(AND(W273&lt;&gt;"",X273=""),"CEK URUTAN SAMBUNG kosong",IF(AND(W273&lt;&gt;"",LEFT(Z273,6)="Endcap"),"CEK Endcap tidak ikut sambung","OK")))))))))</f>
        <v/>
      </c>
      <c r="AB273" s="11" t="n"/>
      <c r="AC273" s="11" t="n"/>
      <c r="AD273" s="11" t="n"/>
      <c r="AE273" s="11" t="n"/>
      <c r="AF273" s="11" t="n"/>
      <c r="AG273" s="11" t="n"/>
      <c r="AH273" s="12">
        <f>IF(AB273="","",IFERROR(INDEX(DAFTAR_FIXTURE!$B$2:$B$51,MATCH(AB273,DAFTAR_FIXTURE!$A$2:$A$51,0)),""))</f>
        <v/>
      </c>
      <c r="AI273" s="12">
        <f>IF(AB273="","",IF(AH273="","CEK ID FIXTURE tidak ada di DAFTAR_FIXTURE",IF(AC273="","CEK ZONA NO kosong",IF(ISNA(MATCH(AH273&amp;"|"&amp;AC273,LAYOUT!$E$2:$E$80,0)),"CEK ZONA NO di luar layout",IF(AD273&lt;&gt;INDEX(LAYOUT!$D$2:$D$80,MATCH(AH273&amp;"|"&amp;AC273,LAYOUT!$E$2:$E$80,0)),"CEK JENIS ZONA",IF($D273="","Zona STOCK",IF($E273="","CEK SKU DESCRIPTION kosong",IF(AND(AE273&lt;&gt;"",AF273=""),"CEK URUTAN SAMBUNG kosong",IF(AND(AE273&lt;&gt;"",LEFT(AH273,6)="Endcap"),"CEK Endcap tidak ikut sambung","OK")))))))))</f>
        <v/>
      </c>
    </row>
    <row r="274">
      <c r="A274" s="10" t="n"/>
      <c r="B274" s="10" t="n"/>
      <c r="C274" s="10" t="n"/>
      <c r="D274" s="10" t="n"/>
      <c r="E274" s="10" t="n"/>
      <c r="F274" s="10" t="n"/>
      <c r="G274" s="10" t="n"/>
      <c r="H274" s="10" t="n"/>
      <c r="I274" s="10" t="n"/>
      <c r="J274" s="10" t="n"/>
      <c r="K274" s="10" t="n"/>
      <c r="L274" s="11" t="n"/>
      <c r="M274" s="11" t="n"/>
      <c r="N274" s="11" t="n"/>
      <c r="O274" s="11" t="n"/>
      <c r="P274" s="11" t="n"/>
      <c r="Q274" s="11" t="n"/>
      <c r="R274" s="12">
        <f>IF(L274="","",IFERROR(INDEX(DAFTAR_FIXTURE!$B$2:$B$51,MATCH(L274,DAFTAR_FIXTURE!$A$2:$A$51,0)),""))</f>
        <v/>
      </c>
      <c r="S274" s="12">
        <f>IF(AND($D274="",L274=""),"",IF(L274="",IF(AND(T274="",AB274=""),"Belum ditempatkan",""),IF(R274="","CEK ID FIXTURE tidak ada di DAFTAR_FIXTURE",IF(M274="","CEK ZONA NO kosong",IF(ISNA(MATCH(R274&amp;"|"&amp;M274,LAYOUT!$E$2:$E$80,0)),"CEK ZONA NO di luar layout",IF(N274&lt;&gt;INDEX(LAYOUT!$D$2:$D$80,MATCH(R274&amp;"|"&amp;M274,LAYOUT!$E$2:$E$80,0)),"CEK JENIS ZONA",IF($D274="","Zona STOCK",IF($E274="","CEK SKU DESCRIPTION kosong",IF(AND(O274&lt;&gt;"",P274=""),"CEK URUTAN SAMBUNG kosong",IF(AND(O274&lt;&gt;"",LEFT(R274,6)="Endcap"),"CEK Endcap tidak ikut sambung","OK"))))))))))</f>
        <v/>
      </c>
      <c r="T274" s="11" t="n"/>
      <c r="U274" s="11" t="n"/>
      <c r="V274" s="11" t="n"/>
      <c r="W274" s="11" t="n"/>
      <c r="X274" s="11" t="n"/>
      <c r="Y274" s="11" t="n"/>
      <c r="Z274" s="12">
        <f>IF(T274="","",IFERROR(INDEX(DAFTAR_FIXTURE!$B$2:$B$51,MATCH(T274,DAFTAR_FIXTURE!$A$2:$A$51,0)),""))</f>
        <v/>
      </c>
      <c r="AA274" s="12">
        <f>IF(T274="","",IF(Z274="","CEK ID FIXTURE tidak ada di DAFTAR_FIXTURE",IF(U274="","CEK ZONA NO kosong",IF(ISNA(MATCH(Z274&amp;"|"&amp;U274,LAYOUT!$E$2:$E$80,0)),"CEK ZONA NO di luar layout",IF(V274&lt;&gt;INDEX(LAYOUT!$D$2:$D$80,MATCH(Z274&amp;"|"&amp;U274,LAYOUT!$E$2:$E$80,0)),"CEK JENIS ZONA",IF($D274="","Zona STOCK",IF($E274="","CEK SKU DESCRIPTION kosong",IF(AND(W274&lt;&gt;"",X274=""),"CEK URUTAN SAMBUNG kosong",IF(AND(W274&lt;&gt;"",LEFT(Z274,6)="Endcap"),"CEK Endcap tidak ikut sambung","OK")))))))))</f>
        <v/>
      </c>
      <c r="AB274" s="11" t="n"/>
      <c r="AC274" s="11" t="n"/>
      <c r="AD274" s="11" t="n"/>
      <c r="AE274" s="11" t="n"/>
      <c r="AF274" s="11" t="n"/>
      <c r="AG274" s="11" t="n"/>
      <c r="AH274" s="12">
        <f>IF(AB274="","",IFERROR(INDEX(DAFTAR_FIXTURE!$B$2:$B$51,MATCH(AB274,DAFTAR_FIXTURE!$A$2:$A$51,0)),""))</f>
        <v/>
      </c>
      <c r="AI274" s="12">
        <f>IF(AB274="","",IF(AH274="","CEK ID FIXTURE tidak ada di DAFTAR_FIXTURE",IF(AC274="","CEK ZONA NO kosong",IF(ISNA(MATCH(AH274&amp;"|"&amp;AC274,LAYOUT!$E$2:$E$80,0)),"CEK ZONA NO di luar layout",IF(AD274&lt;&gt;INDEX(LAYOUT!$D$2:$D$80,MATCH(AH274&amp;"|"&amp;AC274,LAYOUT!$E$2:$E$80,0)),"CEK JENIS ZONA",IF($D274="","Zona STOCK",IF($E274="","CEK SKU DESCRIPTION kosong",IF(AND(AE274&lt;&gt;"",AF274=""),"CEK URUTAN SAMBUNG kosong",IF(AND(AE274&lt;&gt;"",LEFT(AH274,6)="Endcap"),"CEK Endcap tidak ikut sambung","OK")))))))))</f>
        <v/>
      </c>
    </row>
    <row r="275">
      <c r="A275" s="10" t="n"/>
      <c r="B275" s="10" t="n"/>
      <c r="C275" s="10" t="n"/>
      <c r="D275" s="10" t="n"/>
      <c r="E275" s="10" t="n"/>
      <c r="F275" s="10" t="n"/>
      <c r="G275" s="10" t="n"/>
      <c r="H275" s="10" t="n"/>
      <c r="I275" s="10" t="n"/>
      <c r="J275" s="10" t="n"/>
      <c r="K275" s="10" t="n"/>
      <c r="L275" s="11" t="n"/>
      <c r="M275" s="11" t="n"/>
      <c r="N275" s="11" t="n"/>
      <c r="O275" s="11" t="n"/>
      <c r="P275" s="11" t="n"/>
      <c r="Q275" s="11" t="n"/>
      <c r="R275" s="12">
        <f>IF(L275="","",IFERROR(INDEX(DAFTAR_FIXTURE!$B$2:$B$51,MATCH(L275,DAFTAR_FIXTURE!$A$2:$A$51,0)),""))</f>
        <v/>
      </c>
      <c r="S275" s="12">
        <f>IF(AND($D275="",L275=""),"",IF(L275="",IF(AND(T275="",AB275=""),"Belum ditempatkan",""),IF(R275="","CEK ID FIXTURE tidak ada di DAFTAR_FIXTURE",IF(M275="","CEK ZONA NO kosong",IF(ISNA(MATCH(R275&amp;"|"&amp;M275,LAYOUT!$E$2:$E$80,0)),"CEK ZONA NO di luar layout",IF(N275&lt;&gt;INDEX(LAYOUT!$D$2:$D$80,MATCH(R275&amp;"|"&amp;M275,LAYOUT!$E$2:$E$80,0)),"CEK JENIS ZONA",IF($D275="","Zona STOCK",IF($E275="","CEK SKU DESCRIPTION kosong",IF(AND(O275&lt;&gt;"",P275=""),"CEK URUTAN SAMBUNG kosong",IF(AND(O275&lt;&gt;"",LEFT(R275,6)="Endcap"),"CEK Endcap tidak ikut sambung","OK"))))))))))</f>
        <v/>
      </c>
      <c r="T275" s="11" t="n"/>
      <c r="U275" s="11" t="n"/>
      <c r="V275" s="11" t="n"/>
      <c r="W275" s="11" t="n"/>
      <c r="X275" s="11" t="n"/>
      <c r="Y275" s="11" t="n"/>
      <c r="Z275" s="12">
        <f>IF(T275="","",IFERROR(INDEX(DAFTAR_FIXTURE!$B$2:$B$51,MATCH(T275,DAFTAR_FIXTURE!$A$2:$A$51,0)),""))</f>
        <v/>
      </c>
      <c r="AA275" s="12">
        <f>IF(T275="","",IF(Z275="","CEK ID FIXTURE tidak ada di DAFTAR_FIXTURE",IF(U275="","CEK ZONA NO kosong",IF(ISNA(MATCH(Z275&amp;"|"&amp;U275,LAYOUT!$E$2:$E$80,0)),"CEK ZONA NO di luar layout",IF(V275&lt;&gt;INDEX(LAYOUT!$D$2:$D$80,MATCH(Z275&amp;"|"&amp;U275,LAYOUT!$E$2:$E$80,0)),"CEK JENIS ZONA",IF($D275="","Zona STOCK",IF($E275="","CEK SKU DESCRIPTION kosong",IF(AND(W275&lt;&gt;"",X275=""),"CEK URUTAN SAMBUNG kosong",IF(AND(W275&lt;&gt;"",LEFT(Z275,6)="Endcap"),"CEK Endcap tidak ikut sambung","OK")))))))))</f>
        <v/>
      </c>
      <c r="AB275" s="11" t="n"/>
      <c r="AC275" s="11" t="n"/>
      <c r="AD275" s="11" t="n"/>
      <c r="AE275" s="11" t="n"/>
      <c r="AF275" s="11" t="n"/>
      <c r="AG275" s="11" t="n"/>
      <c r="AH275" s="12">
        <f>IF(AB275="","",IFERROR(INDEX(DAFTAR_FIXTURE!$B$2:$B$51,MATCH(AB275,DAFTAR_FIXTURE!$A$2:$A$51,0)),""))</f>
        <v/>
      </c>
      <c r="AI275" s="12">
        <f>IF(AB275="","",IF(AH275="","CEK ID FIXTURE tidak ada di DAFTAR_FIXTURE",IF(AC275="","CEK ZONA NO kosong",IF(ISNA(MATCH(AH275&amp;"|"&amp;AC275,LAYOUT!$E$2:$E$80,0)),"CEK ZONA NO di luar layout",IF(AD275&lt;&gt;INDEX(LAYOUT!$D$2:$D$80,MATCH(AH275&amp;"|"&amp;AC275,LAYOUT!$E$2:$E$80,0)),"CEK JENIS ZONA",IF($D275="","Zona STOCK",IF($E275="","CEK SKU DESCRIPTION kosong",IF(AND(AE275&lt;&gt;"",AF275=""),"CEK URUTAN SAMBUNG kosong",IF(AND(AE275&lt;&gt;"",LEFT(AH275,6)="Endcap"),"CEK Endcap tidak ikut sambung","OK")))))))))</f>
        <v/>
      </c>
    </row>
    <row r="276">
      <c r="A276" s="10" t="n"/>
      <c r="B276" s="10" t="n"/>
      <c r="C276" s="10" t="n"/>
      <c r="D276" s="10" t="n"/>
      <c r="E276" s="10" t="n"/>
      <c r="F276" s="10" t="n"/>
      <c r="G276" s="10" t="n"/>
      <c r="H276" s="10" t="n"/>
      <c r="I276" s="10" t="n"/>
      <c r="J276" s="10" t="n"/>
      <c r="K276" s="10" t="n"/>
      <c r="L276" s="11" t="n"/>
      <c r="M276" s="11" t="n"/>
      <c r="N276" s="11" t="n"/>
      <c r="O276" s="11" t="n"/>
      <c r="P276" s="11" t="n"/>
      <c r="Q276" s="11" t="n"/>
      <c r="R276" s="12">
        <f>IF(L276="","",IFERROR(INDEX(DAFTAR_FIXTURE!$B$2:$B$51,MATCH(L276,DAFTAR_FIXTURE!$A$2:$A$51,0)),""))</f>
        <v/>
      </c>
      <c r="S276" s="12">
        <f>IF(AND($D276="",L276=""),"",IF(L276="",IF(AND(T276="",AB276=""),"Belum ditempatkan",""),IF(R276="","CEK ID FIXTURE tidak ada di DAFTAR_FIXTURE",IF(M276="","CEK ZONA NO kosong",IF(ISNA(MATCH(R276&amp;"|"&amp;M276,LAYOUT!$E$2:$E$80,0)),"CEK ZONA NO di luar layout",IF(N276&lt;&gt;INDEX(LAYOUT!$D$2:$D$80,MATCH(R276&amp;"|"&amp;M276,LAYOUT!$E$2:$E$80,0)),"CEK JENIS ZONA",IF($D276="","Zona STOCK",IF($E276="","CEK SKU DESCRIPTION kosong",IF(AND(O276&lt;&gt;"",P276=""),"CEK URUTAN SAMBUNG kosong",IF(AND(O276&lt;&gt;"",LEFT(R276,6)="Endcap"),"CEK Endcap tidak ikut sambung","OK"))))))))))</f>
        <v/>
      </c>
      <c r="T276" s="11" t="n"/>
      <c r="U276" s="11" t="n"/>
      <c r="V276" s="11" t="n"/>
      <c r="W276" s="11" t="n"/>
      <c r="X276" s="11" t="n"/>
      <c r="Y276" s="11" t="n"/>
      <c r="Z276" s="12">
        <f>IF(T276="","",IFERROR(INDEX(DAFTAR_FIXTURE!$B$2:$B$51,MATCH(T276,DAFTAR_FIXTURE!$A$2:$A$51,0)),""))</f>
        <v/>
      </c>
      <c r="AA276" s="12">
        <f>IF(T276="","",IF(Z276="","CEK ID FIXTURE tidak ada di DAFTAR_FIXTURE",IF(U276="","CEK ZONA NO kosong",IF(ISNA(MATCH(Z276&amp;"|"&amp;U276,LAYOUT!$E$2:$E$80,0)),"CEK ZONA NO di luar layout",IF(V276&lt;&gt;INDEX(LAYOUT!$D$2:$D$80,MATCH(Z276&amp;"|"&amp;U276,LAYOUT!$E$2:$E$80,0)),"CEK JENIS ZONA",IF($D276="","Zona STOCK",IF($E276="","CEK SKU DESCRIPTION kosong",IF(AND(W276&lt;&gt;"",X276=""),"CEK URUTAN SAMBUNG kosong",IF(AND(W276&lt;&gt;"",LEFT(Z276,6)="Endcap"),"CEK Endcap tidak ikut sambung","OK")))))))))</f>
        <v/>
      </c>
      <c r="AB276" s="11" t="n"/>
      <c r="AC276" s="11" t="n"/>
      <c r="AD276" s="11" t="n"/>
      <c r="AE276" s="11" t="n"/>
      <c r="AF276" s="11" t="n"/>
      <c r="AG276" s="11" t="n"/>
      <c r="AH276" s="12">
        <f>IF(AB276="","",IFERROR(INDEX(DAFTAR_FIXTURE!$B$2:$B$51,MATCH(AB276,DAFTAR_FIXTURE!$A$2:$A$51,0)),""))</f>
        <v/>
      </c>
      <c r="AI276" s="12">
        <f>IF(AB276="","",IF(AH276="","CEK ID FIXTURE tidak ada di DAFTAR_FIXTURE",IF(AC276="","CEK ZONA NO kosong",IF(ISNA(MATCH(AH276&amp;"|"&amp;AC276,LAYOUT!$E$2:$E$80,0)),"CEK ZONA NO di luar layout",IF(AD276&lt;&gt;INDEX(LAYOUT!$D$2:$D$80,MATCH(AH276&amp;"|"&amp;AC276,LAYOUT!$E$2:$E$80,0)),"CEK JENIS ZONA",IF($D276="","Zona STOCK",IF($E276="","CEK SKU DESCRIPTION kosong",IF(AND(AE276&lt;&gt;"",AF276=""),"CEK URUTAN SAMBUNG kosong",IF(AND(AE276&lt;&gt;"",LEFT(AH276,6)="Endcap"),"CEK Endcap tidak ikut sambung","OK")))))))))</f>
        <v/>
      </c>
    </row>
    <row r="277">
      <c r="A277" s="10" t="n"/>
      <c r="B277" s="10" t="n"/>
      <c r="C277" s="10" t="n"/>
      <c r="D277" s="10" t="n"/>
      <c r="E277" s="10" t="n"/>
      <c r="F277" s="10" t="n"/>
      <c r="G277" s="10" t="n"/>
      <c r="H277" s="10" t="n"/>
      <c r="I277" s="10" t="n"/>
      <c r="J277" s="10" t="n"/>
      <c r="K277" s="10" t="n"/>
      <c r="L277" s="11" t="n"/>
      <c r="M277" s="11" t="n"/>
      <c r="N277" s="11" t="n"/>
      <c r="O277" s="11" t="n"/>
      <c r="P277" s="11" t="n"/>
      <c r="Q277" s="11" t="n"/>
      <c r="R277" s="12">
        <f>IF(L277="","",IFERROR(INDEX(DAFTAR_FIXTURE!$B$2:$B$51,MATCH(L277,DAFTAR_FIXTURE!$A$2:$A$51,0)),""))</f>
        <v/>
      </c>
      <c r="S277" s="12">
        <f>IF(AND($D277="",L277=""),"",IF(L277="",IF(AND(T277="",AB277=""),"Belum ditempatkan",""),IF(R277="","CEK ID FIXTURE tidak ada di DAFTAR_FIXTURE",IF(M277="","CEK ZONA NO kosong",IF(ISNA(MATCH(R277&amp;"|"&amp;M277,LAYOUT!$E$2:$E$80,0)),"CEK ZONA NO di luar layout",IF(N277&lt;&gt;INDEX(LAYOUT!$D$2:$D$80,MATCH(R277&amp;"|"&amp;M277,LAYOUT!$E$2:$E$80,0)),"CEK JENIS ZONA",IF($D277="","Zona STOCK",IF($E277="","CEK SKU DESCRIPTION kosong",IF(AND(O277&lt;&gt;"",P277=""),"CEK URUTAN SAMBUNG kosong",IF(AND(O277&lt;&gt;"",LEFT(R277,6)="Endcap"),"CEK Endcap tidak ikut sambung","OK"))))))))))</f>
        <v/>
      </c>
      <c r="T277" s="11" t="n"/>
      <c r="U277" s="11" t="n"/>
      <c r="V277" s="11" t="n"/>
      <c r="W277" s="11" t="n"/>
      <c r="X277" s="11" t="n"/>
      <c r="Y277" s="11" t="n"/>
      <c r="Z277" s="12">
        <f>IF(T277="","",IFERROR(INDEX(DAFTAR_FIXTURE!$B$2:$B$51,MATCH(T277,DAFTAR_FIXTURE!$A$2:$A$51,0)),""))</f>
        <v/>
      </c>
      <c r="AA277" s="12">
        <f>IF(T277="","",IF(Z277="","CEK ID FIXTURE tidak ada di DAFTAR_FIXTURE",IF(U277="","CEK ZONA NO kosong",IF(ISNA(MATCH(Z277&amp;"|"&amp;U277,LAYOUT!$E$2:$E$80,0)),"CEK ZONA NO di luar layout",IF(V277&lt;&gt;INDEX(LAYOUT!$D$2:$D$80,MATCH(Z277&amp;"|"&amp;U277,LAYOUT!$E$2:$E$80,0)),"CEK JENIS ZONA",IF($D277="","Zona STOCK",IF($E277="","CEK SKU DESCRIPTION kosong",IF(AND(W277&lt;&gt;"",X277=""),"CEK URUTAN SAMBUNG kosong",IF(AND(W277&lt;&gt;"",LEFT(Z277,6)="Endcap"),"CEK Endcap tidak ikut sambung","OK")))))))))</f>
        <v/>
      </c>
      <c r="AB277" s="11" t="n"/>
      <c r="AC277" s="11" t="n"/>
      <c r="AD277" s="11" t="n"/>
      <c r="AE277" s="11" t="n"/>
      <c r="AF277" s="11" t="n"/>
      <c r="AG277" s="11" t="n"/>
      <c r="AH277" s="12">
        <f>IF(AB277="","",IFERROR(INDEX(DAFTAR_FIXTURE!$B$2:$B$51,MATCH(AB277,DAFTAR_FIXTURE!$A$2:$A$51,0)),""))</f>
        <v/>
      </c>
      <c r="AI277" s="12">
        <f>IF(AB277="","",IF(AH277="","CEK ID FIXTURE tidak ada di DAFTAR_FIXTURE",IF(AC277="","CEK ZONA NO kosong",IF(ISNA(MATCH(AH277&amp;"|"&amp;AC277,LAYOUT!$E$2:$E$80,0)),"CEK ZONA NO di luar layout",IF(AD277&lt;&gt;INDEX(LAYOUT!$D$2:$D$80,MATCH(AH277&amp;"|"&amp;AC277,LAYOUT!$E$2:$E$80,0)),"CEK JENIS ZONA",IF($D277="","Zona STOCK",IF($E277="","CEK SKU DESCRIPTION kosong",IF(AND(AE277&lt;&gt;"",AF277=""),"CEK URUTAN SAMBUNG kosong",IF(AND(AE277&lt;&gt;"",LEFT(AH277,6)="Endcap"),"CEK Endcap tidak ikut sambung","OK")))))))))</f>
        <v/>
      </c>
    </row>
    <row r="278">
      <c r="A278" s="10" t="n"/>
      <c r="B278" s="10" t="n"/>
      <c r="C278" s="10" t="n"/>
      <c r="D278" s="10" t="n"/>
      <c r="E278" s="10" t="n"/>
      <c r="F278" s="10" t="n"/>
      <c r="G278" s="10" t="n"/>
      <c r="H278" s="10" t="n"/>
      <c r="I278" s="10" t="n"/>
      <c r="J278" s="10" t="n"/>
      <c r="K278" s="10" t="n"/>
      <c r="L278" s="11" t="n"/>
      <c r="M278" s="11" t="n"/>
      <c r="N278" s="11" t="n"/>
      <c r="O278" s="11" t="n"/>
      <c r="P278" s="11" t="n"/>
      <c r="Q278" s="11" t="n"/>
      <c r="R278" s="12">
        <f>IF(L278="","",IFERROR(INDEX(DAFTAR_FIXTURE!$B$2:$B$51,MATCH(L278,DAFTAR_FIXTURE!$A$2:$A$51,0)),""))</f>
        <v/>
      </c>
      <c r="S278" s="12">
        <f>IF(AND($D278="",L278=""),"",IF(L278="",IF(AND(T278="",AB278=""),"Belum ditempatkan",""),IF(R278="","CEK ID FIXTURE tidak ada di DAFTAR_FIXTURE",IF(M278="","CEK ZONA NO kosong",IF(ISNA(MATCH(R278&amp;"|"&amp;M278,LAYOUT!$E$2:$E$80,0)),"CEK ZONA NO di luar layout",IF(N278&lt;&gt;INDEX(LAYOUT!$D$2:$D$80,MATCH(R278&amp;"|"&amp;M278,LAYOUT!$E$2:$E$80,0)),"CEK JENIS ZONA",IF($D278="","Zona STOCK",IF($E278="","CEK SKU DESCRIPTION kosong",IF(AND(O278&lt;&gt;"",P278=""),"CEK URUTAN SAMBUNG kosong",IF(AND(O278&lt;&gt;"",LEFT(R278,6)="Endcap"),"CEK Endcap tidak ikut sambung","OK"))))))))))</f>
        <v/>
      </c>
      <c r="T278" s="11" t="n"/>
      <c r="U278" s="11" t="n"/>
      <c r="V278" s="11" t="n"/>
      <c r="W278" s="11" t="n"/>
      <c r="X278" s="11" t="n"/>
      <c r="Y278" s="11" t="n"/>
      <c r="Z278" s="12">
        <f>IF(T278="","",IFERROR(INDEX(DAFTAR_FIXTURE!$B$2:$B$51,MATCH(T278,DAFTAR_FIXTURE!$A$2:$A$51,0)),""))</f>
        <v/>
      </c>
      <c r="AA278" s="12">
        <f>IF(T278="","",IF(Z278="","CEK ID FIXTURE tidak ada di DAFTAR_FIXTURE",IF(U278="","CEK ZONA NO kosong",IF(ISNA(MATCH(Z278&amp;"|"&amp;U278,LAYOUT!$E$2:$E$80,0)),"CEK ZONA NO di luar layout",IF(V278&lt;&gt;INDEX(LAYOUT!$D$2:$D$80,MATCH(Z278&amp;"|"&amp;U278,LAYOUT!$E$2:$E$80,0)),"CEK JENIS ZONA",IF($D278="","Zona STOCK",IF($E278="","CEK SKU DESCRIPTION kosong",IF(AND(W278&lt;&gt;"",X278=""),"CEK URUTAN SAMBUNG kosong",IF(AND(W278&lt;&gt;"",LEFT(Z278,6)="Endcap"),"CEK Endcap tidak ikut sambung","OK")))))))))</f>
        <v/>
      </c>
      <c r="AB278" s="11" t="n"/>
      <c r="AC278" s="11" t="n"/>
      <c r="AD278" s="11" t="n"/>
      <c r="AE278" s="11" t="n"/>
      <c r="AF278" s="11" t="n"/>
      <c r="AG278" s="11" t="n"/>
      <c r="AH278" s="12">
        <f>IF(AB278="","",IFERROR(INDEX(DAFTAR_FIXTURE!$B$2:$B$51,MATCH(AB278,DAFTAR_FIXTURE!$A$2:$A$51,0)),""))</f>
        <v/>
      </c>
      <c r="AI278" s="12">
        <f>IF(AB278="","",IF(AH278="","CEK ID FIXTURE tidak ada di DAFTAR_FIXTURE",IF(AC278="","CEK ZONA NO kosong",IF(ISNA(MATCH(AH278&amp;"|"&amp;AC278,LAYOUT!$E$2:$E$80,0)),"CEK ZONA NO di luar layout",IF(AD278&lt;&gt;INDEX(LAYOUT!$D$2:$D$80,MATCH(AH278&amp;"|"&amp;AC278,LAYOUT!$E$2:$E$80,0)),"CEK JENIS ZONA",IF($D278="","Zona STOCK",IF($E278="","CEK SKU DESCRIPTION kosong",IF(AND(AE278&lt;&gt;"",AF278=""),"CEK URUTAN SAMBUNG kosong",IF(AND(AE278&lt;&gt;"",LEFT(AH278,6)="Endcap"),"CEK Endcap tidak ikut sambung","OK")))))))))</f>
        <v/>
      </c>
    </row>
    <row r="279">
      <c r="A279" s="10" t="n"/>
      <c r="B279" s="10" t="n"/>
      <c r="C279" s="10" t="n"/>
      <c r="D279" s="10" t="n"/>
      <c r="E279" s="10" t="n"/>
      <c r="F279" s="10" t="n"/>
      <c r="G279" s="10" t="n"/>
      <c r="H279" s="10" t="n"/>
      <c r="I279" s="10" t="n"/>
      <c r="J279" s="10" t="n"/>
      <c r="K279" s="10" t="n"/>
      <c r="L279" s="11" t="n"/>
      <c r="M279" s="11" t="n"/>
      <c r="N279" s="11" t="n"/>
      <c r="O279" s="11" t="n"/>
      <c r="P279" s="11" t="n"/>
      <c r="Q279" s="11" t="n"/>
      <c r="R279" s="12">
        <f>IF(L279="","",IFERROR(INDEX(DAFTAR_FIXTURE!$B$2:$B$51,MATCH(L279,DAFTAR_FIXTURE!$A$2:$A$51,0)),""))</f>
        <v/>
      </c>
      <c r="S279" s="12">
        <f>IF(AND($D279="",L279=""),"",IF(L279="",IF(AND(T279="",AB279=""),"Belum ditempatkan",""),IF(R279="","CEK ID FIXTURE tidak ada di DAFTAR_FIXTURE",IF(M279="","CEK ZONA NO kosong",IF(ISNA(MATCH(R279&amp;"|"&amp;M279,LAYOUT!$E$2:$E$80,0)),"CEK ZONA NO di luar layout",IF(N279&lt;&gt;INDEX(LAYOUT!$D$2:$D$80,MATCH(R279&amp;"|"&amp;M279,LAYOUT!$E$2:$E$80,0)),"CEK JENIS ZONA",IF($D279="","Zona STOCK",IF($E279="","CEK SKU DESCRIPTION kosong",IF(AND(O279&lt;&gt;"",P279=""),"CEK URUTAN SAMBUNG kosong",IF(AND(O279&lt;&gt;"",LEFT(R279,6)="Endcap"),"CEK Endcap tidak ikut sambung","OK"))))))))))</f>
        <v/>
      </c>
      <c r="T279" s="11" t="n"/>
      <c r="U279" s="11" t="n"/>
      <c r="V279" s="11" t="n"/>
      <c r="W279" s="11" t="n"/>
      <c r="X279" s="11" t="n"/>
      <c r="Y279" s="11" t="n"/>
      <c r="Z279" s="12">
        <f>IF(T279="","",IFERROR(INDEX(DAFTAR_FIXTURE!$B$2:$B$51,MATCH(T279,DAFTAR_FIXTURE!$A$2:$A$51,0)),""))</f>
        <v/>
      </c>
      <c r="AA279" s="12">
        <f>IF(T279="","",IF(Z279="","CEK ID FIXTURE tidak ada di DAFTAR_FIXTURE",IF(U279="","CEK ZONA NO kosong",IF(ISNA(MATCH(Z279&amp;"|"&amp;U279,LAYOUT!$E$2:$E$80,0)),"CEK ZONA NO di luar layout",IF(V279&lt;&gt;INDEX(LAYOUT!$D$2:$D$80,MATCH(Z279&amp;"|"&amp;U279,LAYOUT!$E$2:$E$80,0)),"CEK JENIS ZONA",IF($D279="","Zona STOCK",IF($E279="","CEK SKU DESCRIPTION kosong",IF(AND(W279&lt;&gt;"",X279=""),"CEK URUTAN SAMBUNG kosong",IF(AND(W279&lt;&gt;"",LEFT(Z279,6)="Endcap"),"CEK Endcap tidak ikut sambung","OK")))))))))</f>
        <v/>
      </c>
      <c r="AB279" s="11" t="n"/>
      <c r="AC279" s="11" t="n"/>
      <c r="AD279" s="11" t="n"/>
      <c r="AE279" s="11" t="n"/>
      <c r="AF279" s="11" t="n"/>
      <c r="AG279" s="11" t="n"/>
      <c r="AH279" s="12">
        <f>IF(AB279="","",IFERROR(INDEX(DAFTAR_FIXTURE!$B$2:$B$51,MATCH(AB279,DAFTAR_FIXTURE!$A$2:$A$51,0)),""))</f>
        <v/>
      </c>
      <c r="AI279" s="12">
        <f>IF(AB279="","",IF(AH279="","CEK ID FIXTURE tidak ada di DAFTAR_FIXTURE",IF(AC279="","CEK ZONA NO kosong",IF(ISNA(MATCH(AH279&amp;"|"&amp;AC279,LAYOUT!$E$2:$E$80,0)),"CEK ZONA NO di luar layout",IF(AD279&lt;&gt;INDEX(LAYOUT!$D$2:$D$80,MATCH(AH279&amp;"|"&amp;AC279,LAYOUT!$E$2:$E$80,0)),"CEK JENIS ZONA",IF($D279="","Zona STOCK",IF($E279="","CEK SKU DESCRIPTION kosong",IF(AND(AE279&lt;&gt;"",AF279=""),"CEK URUTAN SAMBUNG kosong",IF(AND(AE279&lt;&gt;"",LEFT(AH279,6)="Endcap"),"CEK Endcap tidak ikut sambung","OK")))))))))</f>
        <v/>
      </c>
    </row>
    <row r="280">
      <c r="A280" s="10" t="n"/>
      <c r="B280" s="10" t="n"/>
      <c r="C280" s="10" t="n"/>
      <c r="D280" s="10" t="n"/>
      <c r="E280" s="10" t="n"/>
      <c r="F280" s="10" t="n"/>
      <c r="G280" s="10" t="n"/>
      <c r="H280" s="10" t="n"/>
      <c r="I280" s="10" t="n"/>
      <c r="J280" s="10" t="n"/>
      <c r="K280" s="10" t="n"/>
      <c r="L280" s="11" t="n"/>
      <c r="M280" s="11" t="n"/>
      <c r="N280" s="11" t="n"/>
      <c r="O280" s="11" t="n"/>
      <c r="P280" s="11" t="n"/>
      <c r="Q280" s="11" t="n"/>
      <c r="R280" s="12">
        <f>IF(L280="","",IFERROR(INDEX(DAFTAR_FIXTURE!$B$2:$B$51,MATCH(L280,DAFTAR_FIXTURE!$A$2:$A$51,0)),""))</f>
        <v/>
      </c>
      <c r="S280" s="12">
        <f>IF(AND($D280="",L280=""),"",IF(L280="",IF(AND(T280="",AB280=""),"Belum ditempatkan",""),IF(R280="","CEK ID FIXTURE tidak ada di DAFTAR_FIXTURE",IF(M280="","CEK ZONA NO kosong",IF(ISNA(MATCH(R280&amp;"|"&amp;M280,LAYOUT!$E$2:$E$80,0)),"CEK ZONA NO di luar layout",IF(N280&lt;&gt;INDEX(LAYOUT!$D$2:$D$80,MATCH(R280&amp;"|"&amp;M280,LAYOUT!$E$2:$E$80,0)),"CEK JENIS ZONA",IF($D280="","Zona STOCK",IF($E280="","CEK SKU DESCRIPTION kosong",IF(AND(O280&lt;&gt;"",P280=""),"CEK URUTAN SAMBUNG kosong",IF(AND(O280&lt;&gt;"",LEFT(R280,6)="Endcap"),"CEK Endcap tidak ikut sambung","OK"))))))))))</f>
        <v/>
      </c>
      <c r="T280" s="11" t="n"/>
      <c r="U280" s="11" t="n"/>
      <c r="V280" s="11" t="n"/>
      <c r="W280" s="11" t="n"/>
      <c r="X280" s="11" t="n"/>
      <c r="Y280" s="11" t="n"/>
      <c r="Z280" s="12">
        <f>IF(T280="","",IFERROR(INDEX(DAFTAR_FIXTURE!$B$2:$B$51,MATCH(T280,DAFTAR_FIXTURE!$A$2:$A$51,0)),""))</f>
        <v/>
      </c>
      <c r="AA280" s="12">
        <f>IF(T280="","",IF(Z280="","CEK ID FIXTURE tidak ada di DAFTAR_FIXTURE",IF(U280="","CEK ZONA NO kosong",IF(ISNA(MATCH(Z280&amp;"|"&amp;U280,LAYOUT!$E$2:$E$80,0)),"CEK ZONA NO di luar layout",IF(V280&lt;&gt;INDEX(LAYOUT!$D$2:$D$80,MATCH(Z280&amp;"|"&amp;U280,LAYOUT!$E$2:$E$80,0)),"CEK JENIS ZONA",IF($D280="","Zona STOCK",IF($E280="","CEK SKU DESCRIPTION kosong",IF(AND(W280&lt;&gt;"",X280=""),"CEK URUTAN SAMBUNG kosong",IF(AND(W280&lt;&gt;"",LEFT(Z280,6)="Endcap"),"CEK Endcap tidak ikut sambung","OK")))))))))</f>
        <v/>
      </c>
      <c r="AB280" s="11" t="n"/>
      <c r="AC280" s="11" t="n"/>
      <c r="AD280" s="11" t="n"/>
      <c r="AE280" s="11" t="n"/>
      <c r="AF280" s="11" t="n"/>
      <c r="AG280" s="11" t="n"/>
      <c r="AH280" s="12">
        <f>IF(AB280="","",IFERROR(INDEX(DAFTAR_FIXTURE!$B$2:$B$51,MATCH(AB280,DAFTAR_FIXTURE!$A$2:$A$51,0)),""))</f>
        <v/>
      </c>
      <c r="AI280" s="12">
        <f>IF(AB280="","",IF(AH280="","CEK ID FIXTURE tidak ada di DAFTAR_FIXTURE",IF(AC280="","CEK ZONA NO kosong",IF(ISNA(MATCH(AH280&amp;"|"&amp;AC280,LAYOUT!$E$2:$E$80,0)),"CEK ZONA NO di luar layout",IF(AD280&lt;&gt;INDEX(LAYOUT!$D$2:$D$80,MATCH(AH280&amp;"|"&amp;AC280,LAYOUT!$E$2:$E$80,0)),"CEK JENIS ZONA",IF($D280="","Zona STOCK",IF($E280="","CEK SKU DESCRIPTION kosong",IF(AND(AE280&lt;&gt;"",AF280=""),"CEK URUTAN SAMBUNG kosong",IF(AND(AE280&lt;&gt;"",LEFT(AH280,6)="Endcap"),"CEK Endcap tidak ikut sambung","OK")))))))))</f>
        <v/>
      </c>
    </row>
    <row r="281">
      <c r="A281" s="10" t="n"/>
      <c r="B281" s="10" t="n"/>
      <c r="C281" s="10" t="n"/>
      <c r="D281" s="10" t="n"/>
      <c r="E281" s="10" t="n"/>
      <c r="F281" s="10" t="n"/>
      <c r="G281" s="10" t="n"/>
      <c r="H281" s="10" t="n"/>
      <c r="I281" s="10" t="n"/>
      <c r="J281" s="10" t="n"/>
      <c r="K281" s="10" t="n"/>
      <c r="L281" s="11" t="n"/>
      <c r="M281" s="11" t="n"/>
      <c r="N281" s="11" t="n"/>
      <c r="O281" s="11" t="n"/>
      <c r="P281" s="11" t="n"/>
      <c r="Q281" s="11" t="n"/>
      <c r="R281" s="12">
        <f>IF(L281="","",IFERROR(INDEX(DAFTAR_FIXTURE!$B$2:$B$51,MATCH(L281,DAFTAR_FIXTURE!$A$2:$A$51,0)),""))</f>
        <v/>
      </c>
      <c r="S281" s="12">
        <f>IF(AND($D281="",L281=""),"",IF(L281="",IF(AND(T281="",AB281=""),"Belum ditempatkan",""),IF(R281="","CEK ID FIXTURE tidak ada di DAFTAR_FIXTURE",IF(M281="","CEK ZONA NO kosong",IF(ISNA(MATCH(R281&amp;"|"&amp;M281,LAYOUT!$E$2:$E$80,0)),"CEK ZONA NO di luar layout",IF(N281&lt;&gt;INDEX(LAYOUT!$D$2:$D$80,MATCH(R281&amp;"|"&amp;M281,LAYOUT!$E$2:$E$80,0)),"CEK JENIS ZONA",IF($D281="","Zona STOCK",IF($E281="","CEK SKU DESCRIPTION kosong",IF(AND(O281&lt;&gt;"",P281=""),"CEK URUTAN SAMBUNG kosong",IF(AND(O281&lt;&gt;"",LEFT(R281,6)="Endcap"),"CEK Endcap tidak ikut sambung","OK"))))))))))</f>
        <v/>
      </c>
      <c r="T281" s="11" t="n"/>
      <c r="U281" s="11" t="n"/>
      <c r="V281" s="11" t="n"/>
      <c r="W281" s="11" t="n"/>
      <c r="X281" s="11" t="n"/>
      <c r="Y281" s="11" t="n"/>
      <c r="Z281" s="12">
        <f>IF(T281="","",IFERROR(INDEX(DAFTAR_FIXTURE!$B$2:$B$51,MATCH(T281,DAFTAR_FIXTURE!$A$2:$A$51,0)),""))</f>
        <v/>
      </c>
      <c r="AA281" s="12">
        <f>IF(T281="","",IF(Z281="","CEK ID FIXTURE tidak ada di DAFTAR_FIXTURE",IF(U281="","CEK ZONA NO kosong",IF(ISNA(MATCH(Z281&amp;"|"&amp;U281,LAYOUT!$E$2:$E$80,0)),"CEK ZONA NO di luar layout",IF(V281&lt;&gt;INDEX(LAYOUT!$D$2:$D$80,MATCH(Z281&amp;"|"&amp;U281,LAYOUT!$E$2:$E$80,0)),"CEK JENIS ZONA",IF($D281="","Zona STOCK",IF($E281="","CEK SKU DESCRIPTION kosong",IF(AND(W281&lt;&gt;"",X281=""),"CEK URUTAN SAMBUNG kosong",IF(AND(W281&lt;&gt;"",LEFT(Z281,6)="Endcap"),"CEK Endcap tidak ikut sambung","OK")))))))))</f>
        <v/>
      </c>
      <c r="AB281" s="11" t="n"/>
      <c r="AC281" s="11" t="n"/>
      <c r="AD281" s="11" t="n"/>
      <c r="AE281" s="11" t="n"/>
      <c r="AF281" s="11" t="n"/>
      <c r="AG281" s="11" t="n"/>
      <c r="AH281" s="12">
        <f>IF(AB281="","",IFERROR(INDEX(DAFTAR_FIXTURE!$B$2:$B$51,MATCH(AB281,DAFTAR_FIXTURE!$A$2:$A$51,0)),""))</f>
        <v/>
      </c>
      <c r="AI281" s="12">
        <f>IF(AB281="","",IF(AH281="","CEK ID FIXTURE tidak ada di DAFTAR_FIXTURE",IF(AC281="","CEK ZONA NO kosong",IF(ISNA(MATCH(AH281&amp;"|"&amp;AC281,LAYOUT!$E$2:$E$80,0)),"CEK ZONA NO di luar layout",IF(AD281&lt;&gt;INDEX(LAYOUT!$D$2:$D$80,MATCH(AH281&amp;"|"&amp;AC281,LAYOUT!$E$2:$E$80,0)),"CEK JENIS ZONA",IF($D281="","Zona STOCK",IF($E281="","CEK SKU DESCRIPTION kosong",IF(AND(AE281&lt;&gt;"",AF281=""),"CEK URUTAN SAMBUNG kosong",IF(AND(AE281&lt;&gt;"",LEFT(AH281,6)="Endcap"),"CEK Endcap tidak ikut sambung","OK")))))))))</f>
        <v/>
      </c>
    </row>
    <row r="282">
      <c r="A282" s="10" t="n"/>
      <c r="B282" s="10" t="n"/>
      <c r="C282" s="10" t="n"/>
      <c r="D282" s="10" t="n"/>
      <c r="E282" s="10" t="n"/>
      <c r="F282" s="10" t="n"/>
      <c r="G282" s="10" t="n"/>
      <c r="H282" s="10" t="n"/>
      <c r="I282" s="10" t="n"/>
      <c r="J282" s="10" t="n"/>
      <c r="K282" s="10" t="n"/>
      <c r="L282" s="11" t="n"/>
      <c r="M282" s="11" t="n"/>
      <c r="N282" s="11" t="n"/>
      <c r="O282" s="11" t="n"/>
      <c r="P282" s="11" t="n"/>
      <c r="Q282" s="11" t="n"/>
      <c r="R282" s="12">
        <f>IF(L282="","",IFERROR(INDEX(DAFTAR_FIXTURE!$B$2:$B$51,MATCH(L282,DAFTAR_FIXTURE!$A$2:$A$51,0)),""))</f>
        <v/>
      </c>
      <c r="S282" s="12">
        <f>IF(AND($D282="",L282=""),"",IF(L282="",IF(AND(T282="",AB282=""),"Belum ditempatkan",""),IF(R282="","CEK ID FIXTURE tidak ada di DAFTAR_FIXTURE",IF(M282="","CEK ZONA NO kosong",IF(ISNA(MATCH(R282&amp;"|"&amp;M282,LAYOUT!$E$2:$E$80,0)),"CEK ZONA NO di luar layout",IF(N282&lt;&gt;INDEX(LAYOUT!$D$2:$D$80,MATCH(R282&amp;"|"&amp;M282,LAYOUT!$E$2:$E$80,0)),"CEK JENIS ZONA",IF($D282="","Zona STOCK",IF($E282="","CEK SKU DESCRIPTION kosong",IF(AND(O282&lt;&gt;"",P282=""),"CEK URUTAN SAMBUNG kosong",IF(AND(O282&lt;&gt;"",LEFT(R282,6)="Endcap"),"CEK Endcap tidak ikut sambung","OK"))))))))))</f>
        <v/>
      </c>
      <c r="T282" s="11" t="n"/>
      <c r="U282" s="11" t="n"/>
      <c r="V282" s="11" t="n"/>
      <c r="W282" s="11" t="n"/>
      <c r="X282" s="11" t="n"/>
      <c r="Y282" s="11" t="n"/>
      <c r="Z282" s="12">
        <f>IF(T282="","",IFERROR(INDEX(DAFTAR_FIXTURE!$B$2:$B$51,MATCH(T282,DAFTAR_FIXTURE!$A$2:$A$51,0)),""))</f>
        <v/>
      </c>
      <c r="AA282" s="12">
        <f>IF(T282="","",IF(Z282="","CEK ID FIXTURE tidak ada di DAFTAR_FIXTURE",IF(U282="","CEK ZONA NO kosong",IF(ISNA(MATCH(Z282&amp;"|"&amp;U282,LAYOUT!$E$2:$E$80,0)),"CEK ZONA NO di luar layout",IF(V282&lt;&gt;INDEX(LAYOUT!$D$2:$D$80,MATCH(Z282&amp;"|"&amp;U282,LAYOUT!$E$2:$E$80,0)),"CEK JENIS ZONA",IF($D282="","Zona STOCK",IF($E282="","CEK SKU DESCRIPTION kosong",IF(AND(W282&lt;&gt;"",X282=""),"CEK URUTAN SAMBUNG kosong",IF(AND(W282&lt;&gt;"",LEFT(Z282,6)="Endcap"),"CEK Endcap tidak ikut sambung","OK")))))))))</f>
        <v/>
      </c>
      <c r="AB282" s="11" t="n"/>
      <c r="AC282" s="11" t="n"/>
      <c r="AD282" s="11" t="n"/>
      <c r="AE282" s="11" t="n"/>
      <c r="AF282" s="11" t="n"/>
      <c r="AG282" s="11" t="n"/>
      <c r="AH282" s="12">
        <f>IF(AB282="","",IFERROR(INDEX(DAFTAR_FIXTURE!$B$2:$B$51,MATCH(AB282,DAFTAR_FIXTURE!$A$2:$A$51,0)),""))</f>
        <v/>
      </c>
      <c r="AI282" s="12">
        <f>IF(AB282="","",IF(AH282="","CEK ID FIXTURE tidak ada di DAFTAR_FIXTURE",IF(AC282="","CEK ZONA NO kosong",IF(ISNA(MATCH(AH282&amp;"|"&amp;AC282,LAYOUT!$E$2:$E$80,0)),"CEK ZONA NO di luar layout",IF(AD282&lt;&gt;INDEX(LAYOUT!$D$2:$D$80,MATCH(AH282&amp;"|"&amp;AC282,LAYOUT!$E$2:$E$80,0)),"CEK JENIS ZONA",IF($D282="","Zona STOCK",IF($E282="","CEK SKU DESCRIPTION kosong",IF(AND(AE282&lt;&gt;"",AF282=""),"CEK URUTAN SAMBUNG kosong",IF(AND(AE282&lt;&gt;"",LEFT(AH282,6)="Endcap"),"CEK Endcap tidak ikut sambung","OK")))))))))</f>
        <v/>
      </c>
    </row>
    <row r="283">
      <c r="A283" s="10" t="n"/>
      <c r="B283" s="10" t="n"/>
      <c r="C283" s="10" t="n"/>
      <c r="D283" s="10" t="n"/>
      <c r="E283" s="10" t="n"/>
      <c r="F283" s="10" t="n"/>
      <c r="G283" s="10" t="n"/>
      <c r="H283" s="10" t="n"/>
      <c r="I283" s="10" t="n"/>
      <c r="J283" s="10" t="n"/>
      <c r="K283" s="10" t="n"/>
      <c r="L283" s="11" t="n"/>
      <c r="M283" s="11" t="n"/>
      <c r="N283" s="11" t="n"/>
      <c r="O283" s="11" t="n"/>
      <c r="P283" s="11" t="n"/>
      <c r="Q283" s="11" t="n"/>
      <c r="R283" s="12">
        <f>IF(L283="","",IFERROR(INDEX(DAFTAR_FIXTURE!$B$2:$B$51,MATCH(L283,DAFTAR_FIXTURE!$A$2:$A$51,0)),""))</f>
        <v/>
      </c>
      <c r="S283" s="12">
        <f>IF(AND($D283="",L283=""),"",IF(L283="",IF(AND(T283="",AB283=""),"Belum ditempatkan",""),IF(R283="","CEK ID FIXTURE tidak ada di DAFTAR_FIXTURE",IF(M283="","CEK ZONA NO kosong",IF(ISNA(MATCH(R283&amp;"|"&amp;M283,LAYOUT!$E$2:$E$80,0)),"CEK ZONA NO di luar layout",IF(N283&lt;&gt;INDEX(LAYOUT!$D$2:$D$80,MATCH(R283&amp;"|"&amp;M283,LAYOUT!$E$2:$E$80,0)),"CEK JENIS ZONA",IF($D283="","Zona STOCK",IF($E283="","CEK SKU DESCRIPTION kosong",IF(AND(O283&lt;&gt;"",P283=""),"CEK URUTAN SAMBUNG kosong",IF(AND(O283&lt;&gt;"",LEFT(R283,6)="Endcap"),"CEK Endcap tidak ikut sambung","OK"))))))))))</f>
        <v/>
      </c>
      <c r="T283" s="11" t="n"/>
      <c r="U283" s="11" t="n"/>
      <c r="V283" s="11" t="n"/>
      <c r="W283" s="11" t="n"/>
      <c r="X283" s="11" t="n"/>
      <c r="Y283" s="11" t="n"/>
      <c r="Z283" s="12">
        <f>IF(T283="","",IFERROR(INDEX(DAFTAR_FIXTURE!$B$2:$B$51,MATCH(T283,DAFTAR_FIXTURE!$A$2:$A$51,0)),""))</f>
        <v/>
      </c>
      <c r="AA283" s="12">
        <f>IF(T283="","",IF(Z283="","CEK ID FIXTURE tidak ada di DAFTAR_FIXTURE",IF(U283="","CEK ZONA NO kosong",IF(ISNA(MATCH(Z283&amp;"|"&amp;U283,LAYOUT!$E$2:$E$80,0)),"CEK ZONA NO di luar layout",IF(V283&lt;&gt;INDEX(LAYOUT!$D$2:$D$80,MATCH(Z283&amp;"|"&amp;U283,LAYOUT!$E$2:$E$80,0)),"CEK JENIS ZONA",IF($D283="","Zona STOCK",IF($E283="","CEK SKU DESCRIPTION kosong",IF(AND(W283&lt;&gt;"",X283=""),"CEK URUTAN SAMBUNG kosong",IF(AND(W283&lt;&gt;"",LEFT(Z283,6)="Endcap"),"CEK Endcap tidak ikut sambung","OK")))))))))</f>
        <v/>
      </c>
      <c r="AB283" s="11" t="n"/>
      <c r="AC283" s="11" t="n"/>
      <c r="AD283" s="11" t="n"/>
      <c r="AE283" s="11" t="n"/>
      <c r="AF283" s="11" t="n"/>
      <c r="AG283" s="11" t="n"/>
      <c r="AH283" s="12">
        <f>IF(AB283="","",IFERROR(INDEX(DAFTAR_FIXTURE!$B$2:$B$51,MATCH(AB283,DAFTAR_FIXTURE!$A$2:$A$51,0)),""))</f>
        <v/>
      </c>
      <c r="AI283" s="12">
        <f>IF(AB283="","",IF(AH283="","CEK ID FIXTURE tidak ada di DAFTAR_FIXTURE",IF(AC283="","CEK ZONA NO kosong",IF(ISNA(MATCH(AH283&amp;"|"&amp;AC283,LAYOUT!$E$2:$E$80,0)),"CEK ZONA NO di luar layout",IF(AD283&lt;&gt;INDEX(LAYOUT!$D$2:$D$80,MATCH(AH283&amp;"|"&amp;AC283,LAYOUT!$E$2:$E$80,0)),"CEK JENIS ZONA",IF($D283="","Zona STOCK",IF($E283="","CEK SKU DESCRIPTION kosong",IF(AND(AE283&lt;&gt;"",AF283=""),"CEK URUTAN SAMBUNG kosong",IF(AND(AE283&lt;&gt;"",LEFT(AH283,6)="Endcap"),"CEK Endcap tidak ikut sambung","OK")))))))))</f>
        <v/>
      </c>
    </row>
    <row r="284">
      <c r="A284" s="10" t="n"/>
      <c r="B284" s="10" t="n"/>
      <c r="C284" s="10" t="n"/>
      <c r="D284" s="10" t="n"/>
      <c r="E284" s="10" t="n"/>
      <c r="F284" s="10" t="n"/>
      <c r="G284" s="10" t="n"/>
      <c r="H284" s="10" t="n"/>
      <c r="I284" s="10" t="n"/>
      <c r="J284" s="10" t="n"/>
      <c r="K284" s="10" t="n"/>
      <c r="L284" s="11" t="n"/>
      <c r="M284" s="11" t="n"/>
      <c r="N284" s="11" t="n"/>
      <c r="O284" s="11" t="n"/>
      <c r="P284" s="11" t="n"/>
      <c r="Q284" s="11" t="n"/>
      <c r="R284" s="12">
        <f>IF(L284="","",IFERROR(INDEX(DAFTAR_FIXTURE!$B$2:$B$51,MATCH(L284,DAFTAR_FIXTURE!$A$2:$A$51,0)),""))</f>
        <v/>
      </c>
      <c r="S284" s="12">
        <f>IF(AND($D284="",L284=""),"",IF(L284="",IF(AND(T284="",AB284=""),"Belum ditempatkan",""),IF(R284="","CEK ID FIXTURE tidak ada di DAFTAR_FIXTURE",IF(M284="","CEK ZONA NO kosong",IF(ISNA(MATCH(R284&amp;"|"&amp;M284,LAYOUT!$E$2:$E$80,0)),"CEK ZONA NO di luar layout",IF(N284&lt;&gt;INDEX(LAYOUT!$D$2:$D$80,MATCH(R284&amp;"|"&amp;M284,LAYOUT!$E$2:$E$80,0)),"CEK JENIS ZONA",IF($D284="","Zona STOCK",IF($E284="","CEK SKU DESCRIPTION kosong",IF(AND(O284&lt;&gt;"",P284=""),"CEK URUTAN SAMBUNG kosong",IF(AND(O284&lt;&gt;"",LEFT(R284,6)="Endcap"),"CEK Endcap tidak ikut sambung","OK"))))))))))</f>
        <v/>
      </c>
      <c r="T284" s="11" t="n"/>
      <c r="U284" s="11" t="n"/>
      <c r="V284" s="11" t="n"/>
      <c r="W284" s="11" t="n"/>
      <c r="X284" s="11" t="n"/>
      <c r="Y284" s="11" t="n"/>
      <c r="Z284" s="12">
        <f>IF(T284="","",IFERROR(INDEX(DAFTAR_FIXTURE!$B$2:$B$51,MATCH(T284,DAFTAR_FIXTURE!$A$2:$A$51,0)),""))</f>
        <v/>
      </c>
      <c r="AA284" s="12">
        <f>IF(T284="","",IF(Z284="","CEK ID FIXTURE tidak ada di DAFTAR_FIXTURE",IF(U284="","CEK ZONA NO kosong",IF(ISNA(MATCH(Z284&amp;"|"&amp;U284,LAYOUT!$E$2:$E$80,0)),"CEK ZONA NO di luar layout",IF(V284&lt;&gt;INDEX(LAYOUT!$D$2:$D$80,MATCH(Z284&amp;"|"&amp;U284,LAYOUT!$E$2:$E$80,0)),"CEK JENIS ZONA",IF($D284="","Zona STOCK",IF($E284="","CEK SKU DESCRIPTION kosong",IF(AND(W284&lt;&gt;"",X284=""),"CEK URUTAN SAMBUNG kosong",IF(AND(W284&lt;&gt;"",LEFT(Z284,6)="Endcap"),"CEK Endcap tidak ikut sambung","OK")))))))))</f>
        <v/>
      </c>
      <c r="AB284" s="11" t="n"/>
      <c r="AC284" s="11" t="n"/>
      <c r="AD284" s="11" t="n"/>
      <c r="AE284" s="11" t="n"/>
      <c r="AF284" s="11" t="n"/>
      <c r="AG284" s="11" t="n"/>
      <c r="AH284" s="12">
        <f>IF(AB284="","",IFERROR(INDEX(DAFTAR_FIXTURE!$B$2:$B$51,MATCH(AB284,DAFTAR_FIXTURE!$A$2:$A$51,0)),""))</f>
        <v/>
      </c>
      <c r="AI284" s="12">
        <f>IF(AB284="","",IF(AH284="","CEK ID FIXTURE tidak ada di DAFTAR_FIXTURE",IF(AC284="","CEK ZONA NO kosong",IF(ISNA(MATCH(AH284&amp;"|"&amp;AC284,LAYOUT!$E$2:$E$80,0)),"CEK ZONA NO di luar layout",IF(AD284&lt;&gt;INDEX(LAYOUT!$D$2:$D$80,MATCH(AH284&amp;"|"&amp;AC284,LAYOUT!$E$2:$E$80,0)),"CEK JENIS ZONA",IF($D284="","Zona STOCK",IF($E284="","CEK SKU DESCRIPTION kosong",IF(AND(AE284&lt;&gt;"",AF284=""),"CEK URUTAN SAMBUNG kosong",IF(AND(AE284&lt;&gt;"",LEFT(AH284,6)="Endcap"),"CEK Endcap tidak ikut sambung","OK")))))))))</f>
        <v/>
      </c>
    </row>
    <row r="285">
      <c r="A285" s="10" t="n"/>
      <c r="B285" s="10" t="n"/>
      <c r="C285" s="10" t="n"/>
      <c r="D285" s="10" t="n"/>
      <c r="E285" s="10" t="n"/>
      <c r="F285" s="10" t="n"/>
      <c r="G285" s="10" t="n"/>
      <c r="H285" s="10" t="n"/>
      <c r="I285" s="10" t="n"/>
      <c r="J285" s="10" t="n"/>
      <c r="K285" s="10" t="n"/>
      <c r="L285" s="11" t="n"/>
      <c r="M285" s="11" t="n"/>
      <c r="N285" s="11" t="n"/>
      <c r="O285" s="11" t="n"/>
      <c r="P285" s="11" t="n"/>
      <c r="Q285" s="11" t="n"/>
      <c r="R285" s="12">
        <f>IF(L285="","",IFERROR(INDEX(DAFTAR_FIXTURE!$B$2:$B$51,MATCH(L285,DAFTAR_FIXTURE!$A$2:$A$51,0)),""))</f>
        <v/>
      </c>
      <c r="S285" s="12">
        <f>IF(AND($D285="",L285=""),"",IF(L285="",IF(AND(T285="",AB285=""),"Belum ditempatkan",""),IF(R285="","CEK ID FIXTURE tidak ada di DAFTAR_FIXTURE",IF(M285="","CEK ZONA NO kosong",IF(ISNA(MATCH(R285&amp;"|"&amp;M285,LAYOUT!$E$2:$E$80,0)),"CEK ZONA NO di luar layout",IF(N285&lt;&gt;INDEX(LAYOUT!$D$2:$D$80,MATCH(R285&amp;"|"&amp;M285,LAYOUT!$E$2:$E$80,0)),"CEK JENIS ZONA",IF($D285="","Zona STOCK",IF($E285="","CEK SKU DESCRIPTION kosong",IF(AND(O285&lt;&gt;"",P285=""),"CEK URUTAN SAMBUNG kosong",IF(AND(O285&lt;&gt;"",LEFT(R285,6)="Endcap"),"CEK Endcap tidak ikut sambung","OK"))))))))))</f>
        <v/>
      </c>
      <c r="T285" s="11" t="n"/>
      <c r="U285" s="11" t="n"/>
      <c r="V285" s="11" t="n"/>
      <c r="W285" s="11" t="n"/>
      <c r="X285" s="11" t="n"/>
      <c r="Y285" s="11" t="n"/>
      <c r="Z285" s="12">
        <f>IF(T285="","",IFERROR(INDEX(DAFTAR_FIXTURE!$B$2:$B$51,MATCH(T285,DAFTAR_FIXTURE!$A$2:$A$51,0)),""))</f>
        <v/>
      </c>
      <c r="AA285" s="12">
        <f>IF(T285="","",IF(Z285="","CEK ID FIXTURE tidak ada di DAFTAR_FIXTURE",IF(U285="","CEK ZONA NO kosong",IF(ISNA(MATCH(Z285&amp;"|"&amp;U285,LAYOUT!$E$2:$E$80,0)),"CEK ZONA NO di luar layout",IF(V285&lt;&gt;INDEX(LAYOUT!$D$2:$D$80,MATCH(Z285&amp;"|"&amp;U285,LAYOUT!$E$2:$E$80,0)),"CEK JENIS ZONA",IF($D285="","Zona STOCK",IF($E285="","CEK SKU DESCRIPTION kosong",IF(AND(W285&lt;&gt;"",X285=""),"CEK URUTAN SAMBUNG kosong",IF(AND(W285&lt;&gt;"",LEFT(Z285,6)="Endcap"),"CEK Endcap tidak ikut sambung","OK")))))))))</f>
        <v/>
      </c>
      <c r="AB285" s="11" t="n"/>
      <c r="AC285" s="11" t="n"/>
      <c r="AD285" s="11" t="n"/>
      <c r="AE285" s="11" t="n"/>
      <c r="AF285" s="11" t="n"/>
      <c r="AG285" s="11" t="n"/>
      <c r="AH285" s="12">
        <f>IF(AB285="","",IFERROR(INDEX(DAFTAR_FIXTURE!$B$2:$B$51,MATCH(AB285,DAFTAR_FIXTURE!$A$2:$A$51,0)),""))</f>
        <v/>
      </c>
      <c r="AI285" s="12">
        <f>IF(AB285="","",IF(AH285="","CEK ID FIXTURE tidak ada di DAFTAR_FIXTURE",IF(AC285="","CEK ZONA NO kosong",IF(ISNA(MATCH(AH285&amp;"|"&amp;AC285,LAYOUT!$E$2:$E$80,0)),"CEK ZONA NO di luar layout",IF(AD285&lt;&gt;INDEX(LAYOUT!$D$2:$D$80,MATCH(AH285&amp;"|"&amp;AC285,LAYOUT!$E$2:$E$80,0)),"CEK JENIS ZONA",IF($D285="","Zona STOCK",IF($E285="","CEK SKU DESCRIPTION kosong",IF(AND(AE285&lt;&gt;"",AF285=""),"CEK URUTAN SAMBUNG kosong",IF(AND(AE285&lt;&gt;"",LEFT(AH285,6)="Endcap"),"CEK Endcap tidak ikut sambung","OK")))))))))</f>
        <v/>
      </c>
    </row>
    <row r="286">
      <c r="A286" s="10" t="n"/>
      <c r="B286" s="10" t="n"/>
      <c r="C286" s="10" t="n"/>
      <c r="D286" s="10" t="n"/>
      <c r="E286" s="10" t="n"/>
      <c r="F286" s="10" t="n"/>
      <c r="G286" s="10" t="n"/>
      <c r="H286" s="10" t="n"/>
      <c r="I286" s="10" t="n"/>
      <c r="J286" s="10" t="n"/>
      <c r="K286" s="10" t="n"/>
      <c r="L286" s="11" t="n"/>
      <c r="M286" s="11" t="n"/>
      <c r="N286" s="11" t="n"/>
      <c r="O286" s="11" t="n"/>
      <c r="P286" s="11" t="n"/>
      <c r="Q286" s="11" t="n"/>
      <c r="R286" s="12">
        <f>IF(L286="","",IFERROR(INDEX(DAFTAR_FIXTURE!$B$2:$B$51,MATCH(L286,DAFTAR_FIXTURE!$A$2:$A$51,0)),""))</f>
        <v/>
      </c>
      <c r="S286" s="12">
        <f>IF(AND($D286="",L286=""),"",IF(L286="",IF(AND(T286="",AB286=""),"Belum ditempatkan",""),IF(R286="","CEK ID FIXTURE tidak ada di DAFTAR_FIXTURE",IF(M286="","CEK ZONA NO kosong",IF(ISNA(MATCH(R286&amp;"|"&amp;M286,LAYOUT!$E$2:$E$80,0)),"CEK ZONA NO di luar layout",IF(N286&lt;&gt;INDEX(LAYOUT!$D$2:$D$80,MATCH(R286&amp;"|"&amp;M286,LAYOUT!$E$2:$E$80,0)),"CEK JENIS ZONA",IF($D286="","Zona STOCK",IF($E286="","CEK SKU DESCRIPTION kosong",IF(AND(O286&lt;&gt;"",P286=""),"CEK URUTAN SAMBUNG kosong",IF(AND(O286&lt;&gt;"",LEFT(R286,6)="Endcap"),"CEK Endcap tidak ikut sambung","OK"))))))))))</f>
        <v/>
      </c>
      <c r="T286" s="11" t="n"/>
      <c r="U286" s="11" t="n"/>
      <c r="V286" s="11" t="n"/>
      <c r="W286" s="11" t="n"/>
      <c r="X286" s="11" t="n"/>
      <c r="Y286" s="11" t="n"/>
      <c r="Z286" s="12">
        <f>IF(T286="","",IFERROR(INDEX(DAFTAR_FIXTURE!$B$2:$B$51,MATCH(T286,DAFTAR_FIXTURE!$A$2:$A$51,0)),""))</f>
        <v/>
      </c>
      <c r="AA286" s="12">
        <f>IF(T286="","",IF(Z286="","CEK ID FIXTURE tidak ada di DAFTAR_FIXTURE",IF(U286="","CEK ZONA NO kosong",IF(ISNA(MATCH(Z286&amp;"|"&amp;U286,LAYOUT!$E$2:$E$80,0)),"CEK ZONA NO di luar layout",IF(V286&lt;&gt;INDEX(LAYOUT!$D$2:$D$80,MATCH(Z286&amp;"|"&amp;U286,LAYOUT!$E$2:$E$80,0)),"CEK JENIS ZONA",IF($D286="","Zona STOCK",IF($E286="","CEK SKU DESCRIPTION kosong",IF(AND(W286&lt;&gt;"",X286=""),"CEK URUTAN SAMBUNG kosong",IF(AND(W286&lt;&gt;"",LEFT(Z286,6)="Endcap"),"CEK Endcap tidak ikut sambung","OK")))))))))</f>
        <v/>
      </c>
      <c r="AB286" s="11" t="n"/>
      <c r="AC286" s="11" t="n"/>
      <c r="AD286" s="11" t="n"/>
      <c r="AE286" s="11" t="n"/>
      <c r="AF286" s="11" t="n"/>
      <c r="AG286" s="11" t="n"/>
      <c r="AH286" s="12">
        <f>IF(AB286="","",IFERROR(INDEX(DAFTAR_FIXTURE!$B$2:$B$51,MATCH(AB286,DAFTAR_FIXTURE!$A$2:$A$51,0)),""))</f>
        <v/>
      </c>
      <c r="AI286" s="12">
        <f>IF(AB286="","",IF(AH286="","CEK ID FIXTURE tidak ada di DAFTAR_FIXTURE",IF(AC286="","CEK ZONA NO kosong",IF(ISNA(MATCH(AH286&amp;"|"&amp;AC286,LAYOUT!$E$2:$E$80,0)),"CEK ZONA NO di luar layout",IF(AD286&lt;&gt;INDEX(LAYOUT!$D$2:$D$80,MATCH(AH286&amp;"|"&amp;AC286,LAYOUT!$E$2:$E$80,0)),"CEK JENIS ZONA",IF($D286="","Zona STOCK",IF($E286="","CEK SKU DESCRIPTION kosong",IF(AND(AE286&lt;&gt;"",AF286=""),"CEK URUTAN SAMBUNG kosong",IF(AND(AE286&lt;&gt;"",LEFT(AH286,6)="Endcap"),"CEK Endcap tidak ikut sambung","OK")))))))))</f>
        <v/>
      </c>
    </row>
    <row r="287">
      <c r="A287" s="10" t="n"/>
      <c r="B287" s="10" t="n"/>
      <c r="C287" s="10" t="n"/>
      <c r="D287" s="10" t="n"/>
      <c r="E287" s="10" t="n"/>
      <c r="F287" s="10" t="n"/>
      <c r="G287" s="10" t="n"/>
      <c r="H287" s="10" t="n"/>
      <c r="I287" s="10" t="n"/>
      <c r="J287" s="10" t="n"/>
      <c r="K287" s="10" t="n"/>
      <c r="L287" s="11" t="n"/>
      <c r="M287" s="11" t="n"/>
      <c r="N287" s="11" t="n"/>
      <c r="O287" s="11" t="n"/>
      <c r="P287" s="11" t="n"/>
      <c r="Q287" s="11" t="n"/>
      <c r="R287" s="12">
        <f>IF(L287="","",IFERROR(INDEX(DAFTAR_FIXTURE!$B$2:$B$51,MATCH(L287,DAFTAR_FIXTURE!$A$2:$A$51,0)),""))</f>
        <v/>
      </c>
      <c r="S287" s="12">
        <f>IF(AND($D287="",L287=""),"",IF(L287="",IF(AND(T287="",AB287=""),"Belum ditempatkan",""),IF(R287="","CEK ID FIXTURE tidak ada di DAFTAR_FIXTURE",IF(M287="","CEK ZONA NO kosong",IF(ISNA(MATCH(R287&amp;"|"&amp;M287,LAYOUT!$E$2:$E$80,0)),"CEK ZONA NO di luar layout",IF(N287&lt;&gt;INDEX(LAYOUT!$D$2:$D$80,MATCH(R287&amp;"|"&amp;M287,LAYOUT!$E$2:$E$80,0)),"CEK JENIS ZONA",IF($D287="","Zona STOCK",IF($E287="","CEK SKU DESCRIPTION kosong",IF(AND(O287&lt;&gt;"",P287=""),"CEK URUTAN SAMBUNG kosong",IF(AND(O287&lt;&gt;"",LEFT(R287,6)="Endcap"),"CEK Endcap tidak ikut sambung","OK"))))))))))</f>
        <v/>
      </c>
      <c r="T287" s="11" t="n"/>
      <c r="U287" s="11" t="n"/>
      <c r="V287" s="11" t="n"/>
      <c r="W287" s="11" t="n"/>
      <c r="X287" s="11" t="n"/>
      <c r="Y287" s="11" t="n"/>
      <c r="Z287" s="12">
        <f>IF(T287="","",IFERROR(INDEX(DAFTAR_FIXTURE!$B$2:$B$51,MATCH(T287,DAFTAR_FIXTURE!$A$2:$A$51,0)),""))</f>
        <v/>
      </c>
      <c r="AA287" s="12">
        <f>IF(T287="","",IF(Z287="","CEK ID FIXTURE tidak ada di DAFTAR_FIXTURE",IF(U287="","CEK ZONA NO kosong",IF(ISNA(MATCH(Z287&amp;"|"&amp;U287,LAYOUT!$E$2:$E$80,0)),"CEK ZONA NO di luar layout",IF(V287&lt;&gt;INDEX(LAYOUT!$D$2:$D$80,MATCH(Z287&amp;"|"&amp;U287,LAYOUT!$E$2:$E$80,0)),"CEK JENIS ZONA",IF($D287="","Zona STOCK",IF($E287="","CEK SKU DESCRIPTION kosong",IF(AND(W287&lt;&gt;"",X287=""),"CEK URUTAN SAMBUNG kosong",IF(AND(W287&lt;&gt;"",LEFT(Z287,6)="Endcap"),"CEK Endcap tidak ikut sambung","OK")))))))))</f>
        <v/>
      </c>
      <c r="AB287" s="11" t="n"/>
      <c r="AC287" s="11" t="n"/>
      <c r="AD287" s="11" t="n"/>
      <c r="AE287" s="11" t="n"/>
      <c r="AF287" s="11" t="n"/>
      <c r="AG287" s="11" t="n"/>
      <c r="AH287" s="12">
        <f>IF(AB287="","",IFERROR(INDEX(DAFTAR_FIXTURE!$B$2:$B$51,MATCH(AB287,DAFTAR_FIXTURE!$A$2:$A$51,0)),""))</f>
        <v/>
      </c>
      <c r="AI287" s="12">
        <f>IF(AB287="","",IF(AH287="","CEK ID FIXTURE tidak ada di DAFTAR_FIXTURE",IF(AC287="","CEK ZONA NO kosong",IF(ISNA(MATCH(AH287&amp;"|"&amp;AC287,LAYOUT!$E$2:$E$80,0)),"CEK ZONA NO di luar layout",IF(AD287&lt;&gt;INDEX(LAYOUT!$D$2:$D$80,MATCH(AH287&amp;"|"&amp;AC287,LAYOUT!$E$2:$E$80,0)),"CEK JENIS ZONA",IF($D287="","Zona STOCK",IF($E287="","CEK SKU DESCRIPTION kosong",IF(AND(AE287&lt;&gt;"",AF287=""),"CEK URUTAN SAMBUNG kosong",IF(AND(AE287&lt;&gt;"",LEFT(AH287,6)="Endcap"),"CEK Endcap tidak ikut sambung","OK")))))))))</f>
        <v/>
      </c>
    </row>
    <row r="288">
      <c r="A288" s="10" t="n"/>
      <c r="B288" s="10" t="n"/>
      <c r="C288" s="10" t="n"/>
      <c r="D288" s="10" t="n"/>
      <c r="E288" s="10" t="n"/>
      <c r="F288" s="10" t="n"/>
      <c r="G288" s="10" t="n"/>
      <c r="H288" s="10" t="n"/>
      <c r="I288" s="10" t="n"/>
      <c r="J288" s="10" t="n"/>
      <c r="K288" s="10" t="n"/>
      <c r="L288" s="11" t="n"/>
      <c r="M288" s="11" t="n"/>
      <c r="N288" s="11" t="n"/>
      <c r="O288" s="11" t="n"/>
      <c r="P288" s="11" t="n"/>
      <c r="Q288" s="11" t="n"/>
      <c r="R288" s="12">
        <f>IF(L288="","",IFERROR(INDEX(DAFTAR_FIXTURE!$B$2:$B$51,MATCH(L288,DAFTAR_FIXTURE!$A$2:$A$51,0)),""))</f>
        <v/>
      </c>
      <c r="S288" s="12">
        <f>IF(AND($D288="",L288=""),"",IF(L288="",IF(AND(T288="",AB288=""),"Belum ditempatkan",""),IF(R288="","CEK ID FIXTURE tidak ada di DAFTAR_FIXTURE",IF(M288="","CEK ZONA NO kosong",IF(ISNA(MATCH(R288&amp;"|"&amp;M288,LAYOUT!$E$2:$E$80,0)),"CEK ZONA NO di luar layout",IF(N288&lt;&gt;INDEX(LAYOUT!$D$2:$D$80,MATCH(R288&amp;"|"&amp;M288,LAYOUT!$E$2:$E$80,0)),"CEK JENIS ZONA",IF($D288="","Zona STOCK",IF($E288="","CEK SKU DESCRIPTION kosong",IF(AND(O288&lt;&gt;"",P288=""),"CEK URUTAN SAMBUNG kosong",IF(AND(O288&lt;&gt;"",LEFT(R288,6)="Endcap"),"CEK Endcap tidak ikut sambung","OK"))))))))))</f>
        <v/>
      </c>
      <c r="T288" s="11" t="n"/>
      <c r="U288" s="11" t="n"/>
      <c r="V288" s="11" t="n"/>
      <c r="W288" s="11" t="n"/>
      <c r="X288" s="11" t="n"/>
      <c r="Y288" s="11" t="n"/>
      <c r="Z288" s="12">
        <f>IF(T288="","",IFERROR(INDEX(DAFTAR_FIXTURE!$B$2:$B$51,MATCH(T288,DAFTAR_FIXTURE!$A$2:$A$51,0)),""))</f>
        <v/>
      </c>
      <c r="AA288" s="12">
        <f>IF(T288="","",IF(Z288="","CEK ID FIXTURE tidak ada di DAFTAR_FIXTURE",IF(U288="","CEK ZONA NO kosong",IF(ISNA(MATCH(Z288&amp;"|"&amp;U288,LAYOUT!$E$2:$E$80,0)),"CEK ZONA NO di luar layout",IF(V288&lt;&gt;INDEX(LAYOUT!$D$2:$D$80,MATCH(Z288&amp;"|"&amp;U288,LAYOUT!$E$2:$E$80,0)),"CEK JENIS ZONA",IF($D288="","Zona STOCK",IF($E288="","CEK SKU DESCRIPTION kosong",IF(AND(W288&lt;&gt;"",X288=""),"CEK URUTAN SAMBUNG kosong",IF(AND(W288&lt;&gt;"",LEFT(Z288,6)="Endcap"),"CEK Endcap tidak ikut sambung","OK")))))))))</f>
        <v/>
      </c>
      <c r="AB288" s="11" t="n"/>
      <c r="AC288" s="11" t="n"/>
      <c r="AD288" s="11" t="n"/>
      <c r="AE288" s="11" t="n"/>
      <c r="AF288" s="11" t="n"/>
      <c r="AG288" s="11" t="n"/>
      <c r="AH288" s="12">
        <f>IF(AB288="","",IFERROR(INDEX(DAFTAR_FIXTURE!$B$2:$B$51,MATCH(AB288,DAFTAR_FIXTURE!$A$2:$A$51,0)),""))</f>
        <v/>
      </c>
      <c r="AI288" s="12">
        <f>IF(AB288="","",IF(AH288="","CEK ID FIXTURE tidak ada di DAFTAR_FIXTURE",IF(AC288="","CEK ZONA NO kosong",IF(ISNA(MATCH(AH288&amp;"|"&amp;AC288,LAYOUT!$E$2:$E$80,0)),"CEK ZONA NO di luar layout",IF(AD288&lt;&gt;INDEX(LAYOUT!$D$2:$D$80,MATCH(AH288&amp;"|"&amp;AC288,LAYOUT!$E$2:$E$80,0)),"CEK JENIS ZONA",IF($D288="","Zona STOCK",IF($E288="","CEK SKU DESCRIPTION kosong",IF(AND(AE288&lt;&gt;"",AF288=""),"CEK URUTAN SAMBUNG kosong",IF(AND(AE288&lt;&gt;"",LEFT(AH288,6)="Endcap"),"CEK Endcap tidak ikut sambung","OK")))))))))</f>
        <v/>
      </c>
    </row>
    <row r="289">
      <c r="A289" s="10" t="n"/>
      <c r="B289" s="10" t="n"/>
      <c r="C289" s="10" t="n"/>
      <c r="D289" s="10" t="n"/>
      <c r="E289" s="10" t="n"/>
      <c r="F289" s="10" t="n"/>
      <c r="G289" s="10" t="n"/>
      <c r="H289" s="10" t="n"/>
      <c r="I289" s="10" t="n"/>
      <c r="J289" s="10" t="n"/>
      <c r="K289" s="10" t="n"/>
      <c r="L289" s="11" t="n"/>
      <c r="M289" s="11" t="n"/>
      <c r="N289" s="11" t="n"/>
      <c r="O289" s="11" t="n"/>
      <c r="P289" s="11" t="n"/>
      <c r="Q289" s="11" t="n"/>
      <c r="R289" s="12">
        <f>IF(L289="","",IFERROR(INDEX(DAFTAR_FIXTURE!$B$2:$B$51,MATCH(L289,DAFTAR_FIXTURE!$A$2:$A$51,0)),""))</f>
        <v/>
      </c>
      <c r="S289" s="12">
        <f>IF(AND($D289="",L289=""),"",IF(L289="",IF(AND(T289="",AB289=""),"Belum ditempatkan",""),IF(R289="","CEK ID FIXTURE tidak ada di DAFTAR_FIXTURE",IF(M289="","CEK ZONA NO kosong",IF(ISNA(MATCH(R289&amp;"|"&amp;M289,LAYOUT!$E$2:$E$80,0)),"CEK ZONA NO di luar layout",IF(N289&lt;&gt;INDEX(LAYOUT!$D$2:$D$80,MATCH(R289&amp;"|"&amp;M289,LAYOUT!$E$2:$E$80,0)),"CEK JENIS ZONA",IF($D289="","Zona STOCK",IF($E289="","CEK SKU DESCRIPTION kosong",IF(AND(O289&lt;&gt;"",P289=""),"CEK URUTAN SAMBUNG kosong",IF(AND(O289&lt;&gt;"",LEFT(R289,6)="Endcap"),"CEK Endcap tidak ikut sambung","OK"))))))))))</f>
        <v/>
      </c>
      <c r="T289" s="11" t="n"/>
      <c r="U289" s="11" t="n"/>
      <c r="V289" s="11" t="n"/>
      <c r="W289" s="11" t="n"/>
      <c r="X289" s="11" t="n"/>
      <c r="Y289" s="11" t="n"/>
      <c r="Z289" s="12">
        <f>IF(T289="","",IFERROR(INDEX(DAFTAR_FIXTURE!$B$2:$B$51,MATCH(T289,DAFTAR_FIXTURE!$A$2:$A$51,0)),""))</f>
        <v/>
      </c>
      <c r="AA289" s="12">
        <f>IF(T289="","",IF(Z289="","CEK ID FIXTURE tidak ada di DAFTAR_FIXTURE",IF(U289="","CEK ZONA NO kosong",IF(ISNA(MATCH(Z289&amp;"|"&amp;U289,LAYOUT!$E$2:$E$80,0)),"CEK ZONA NO di luar layout",IF(V289&lt;&gt;INDEX(LAYOUT!$D$2:$D$80,MATCH(Z289&amp;"|"&amp;U289,LAYOUT!$E$2:$E$80,0)),"CEK JENIS ZONA",IF($D289="","Zona STOCK",IF($E289="","CEK SKU DESCRIPTION kosong",IF(AND(W289&lt;&gt;"",X289=""),"CEK URUTAN SAMBUNG kosong",IF(AND(W289&lt;&gt;"",LEFT(Z289,6)="Endcap"),"CEK Endcap tidak ikut sambung","OK")))))))))</f>
        <v/>
      </c>
      <c r="AB289" s="11" t="n"/>
      <c r="AC289" s="11" t="n"/>
      <c r="AD289" s="11" t="n"/>
      <c r="AE289" s="11" t="n"/>
      <c r="AF289" s="11" t="n"/>
      <c r="AG289" s="11" t="n"/>
      <c r="AH289" s="12">
        <f>IF(AB289="","",IFERROR(INDEX(DAFTAR_FIXTURE!$B$2:$B$51,MATCH(AB289,DAFTAR_FIXTURE!$A$2:$A$51,0)),""))</f>
        <v/>
      </c>
      <c r="AI289" s="12">
        <f>IF(AB289="","",IF(AH289="","CEK ID FIXTURE tidak ada di DAFTAR_FIXTURE",IF(AC289="","CEK ZONA NO kosong",IF(ISNA(MATCH(AH289&amp;"|"&amp;AC289,LAYOUT!$E$2:$E$80,0)),"CEK ZONA NO di luar layout",IF(AD289&lt;&gt;INDEX(LAYOUT!$D$2:$D$80,MATCH(AH289&amp;"|"&amp;AC289,LAYOUT!$E$2:$E$80,0)),"CEK JENIS ZONA",IF($D289="","Zona STOCK",IF($E289="","CEK SKU DESCRIPTION kosong",IF(AND(AE289&lt;&gt;"",AF289=""),"CEK URUTAN SAMBUNG kosong",IF(AND(AE289&lt;&gt;"",LEFT(AH289,6)="Endcap"),"CEK Endcap tidak ikut sambung","OK")))))))))</f>
        <v/>
      </c>
    </row>
    <row r="290">
      <c r="A290" s="10" t="n"/>
      <c r="B290" s="10" t="n"/>
      <c r="C290" s="10" t="n"/>
      <c r="D290" s="10" t="n"/>
      <c r="E290" s="10" t="n"/>
      <c r="F290" s="10" t="n"/>
      <c r="G290" s="10" t="n"/>
      <c r="H290" s="10" t="n"/>
      <c r="I290" s="10" t="n"/>
      <c r="J290" s="10" t="n"/>
      <c r="K290" s="10" t="n"/>
      <c r="L290" s="11" t="n"/>
      <c r="M290" s="11" t="n"/>
      <c r="N290" s="11" t="n"/>
      <c r="O290" s="11" t="n"/>
      <c r="P290" s="11" t="n"/>
      <c r="Q290" s="11" t="n"/>
      <c r="R290" s="12">
        <f>IF(L290="","",IFERROR(INDEX(DAFTAR_FIXTURE!$B$2:$B$51,MATCH(L290,DAFTAR_FIXTURE!$A$2:$A$51,0)),""))</f>
        <v/>
      </c>
      <c r="S290" s="12">
        <f>IF(AND($D290="",L290=""),"",IF(L290="",IF(AND(T290="",AB290=""),"Belum ditempatkan",""),IF(R290="","CEK ID FIXTURE tidak ada di DAFTAR_FIXTURE",IF(M290="","CEK ZONA NO kosong",IF(ISNA(MATCH(R290&amp;"|"&amp;M290,LAYOUT!$E$2:$E$80,0)),"CEK ZONA NO di luar layout",IF(N290&lt;&gt;INDEX(LAYOUT!$D$2:$D$80,MATCH(R290&amp;"|"&amp;M290,LAYOUT!$E$2:$E$80,0)),"CEK JENIS ZONA",IF($D290="","Zona STOCK",IF($E290="","CEK SKU DESCRIPTION kosong",IF(AND(O290&lt;&gt;"",P290=""),"CEK URUTAN SAMBUNG kosong",IF(AND(O290&lt;&gt;"",LEFT(R290,6)="Endcap"),"CEK Endcap tidak ikut sambung","OK"))))))))))</f>
        <v/>
      </c>
      <c r="T290" s="11" t="n"/>
      <c r="U290" s="11" t="n"/>
      <c r="V290" s="11" t="n"/>
      <c r="W290" s="11" t="n"/>
      <c r="X290" s="11" t="n"/>
      <c r="Y290" s="11" t="n"/>
      <c r="Z290" s="12">
        <f>IF(T290="","",IFERROR(INDEX(DAFTAR_FIXTURE!$B$2:$B$51,MATCH(T290,DAFTAR_FIXTURE!$A$2:$A$51,0)),""))</f>
        <v/>
      </c>
      <c r="AA290" s="12">
        <f>IF(T290="","",IF(Z290="","CEK ID FIXTURE tidak ada di DAFTAR_FIXTURE",IF(U290="","CEK ZONA NO kosong",IF(ISNA(MATCH(Z290&amp;"|"&amp;U290,LAYOUT!$E$2:$E$80,0)),"CEK ZONA NO di luar layout",IF(V290&lt;&gt;INDEX(LAYOUT!$D$2:$D$80,MATCH(Z290&amp;"|"&amp;U290,LAYOUT!$E$2:$E$80,0)),"CEK JENIS ZONA",IF($D290="","Zona STOCK",IF($E290="","CEK SKU DESCRIPTION kosong",IF(AND(W290&lt;&gt;"",X290=""),"CEK URUTAN SAMBUNG kosong",IF(AND(W290&lt;&gt;"",LEFT(Z290,6)="Endcap"),"CEK Endcap tidak ikut sambung","OK")))))))))</f>
        <v/>
      </c>
      <c r="AB290" s="11" t="n"/>
      <c r="AC290" s="11" t="n"/>
      <c r="AD290" s="11" t="n"/>
      <c r="AE290" s="11" t="n"/>
      <c r="AF290" s="11" t="n"/>
      <c r="AG290" s="11" t="n"/>
      <c r="AH290" s="12">
        <f>IF(AB290="","",IFERROR(INDEX(DAFTAR_FIXTURE!$B$2:$B$51,MATCH(AB290,DAFTAR_FIXTURE!$A$2:$A$51,0)),""))</f>
        <v/>
      </c>
      <c r="AI290" s="12">
        <f>IF(AB290="","",IF(AH290="","CEK ID FIXTURE tidak ada di DAFTAR_FIXTURE",IF(AC290="","CEK ZONA NO kosong",IF(ISNA(MATCH(AH290&amp;"|"&amp;AC290,LAYOUT!$E$2:$E$80,0)),"CEK ZONA NO di luar layout",IF(AD290&lt;&gt;INDEX(LAYOUT!$D$2:$D$80,MATCH(AH290&amp;"|"&amp;AC290,LAYOUT!$E$2:$E$80,0)),"CEK JENIS ZONA",IF($D290="","Zona STOCK",IF($E290="","CEK SKU DESCRIPTION kosong",IF(AND(AE290&lt;&gt;"",AF290=""),"CEK URUTAN SAMBUNG kosong",IF(AND(AE290&lt;&gt;"",LEFT(AH290,6)="Endcap"),"CEK Endcap tidak ikut sambung","OK")))))))))</f>
        <v/>
      </c>
    </row>
    <row r="291">
      <c r="A291" s="10" t="n"/>
      <c r="B291" s="10" t="n"/>
      <c r="C291" s="10" t="n"/>
      <c r="D291" s="10" t="n"/>
      <c r="E291" s="10" t="n"/>
      <c r="F291" s="10" t="n"/>
      <c r="G291" s="10" t="n"/>
      <c r="H291" s="10" t="n"/>
      <c r="I291" s="10" t="n"/>
      <c r="J291" s="10" t="n"/>
      <c r="K291" s="10" t="n"/>
      <c r="L291" s="11" t="n"/>
      <c r="M291" s="11" t="n"/>
      <c r="N291" s="11" t="n"/>
      <c r="O291" s="11" t="n"/>
      <c r="P291" s="11" t="n"/>
      <c r="Q291" s="11" t="n"/>
      <c r="R291" s="12">
        <f>IF(L291="","",IFERROR(INDEX(DAFTAR_FIXTURE!$B$2:$B$51,MATCH(L291,DAFTAR_FIXTURE!$A$2:$A$51,0)),""))</f>
        <v/>
      </c>
      <c r="S291" s="12">
        <f>IF(AND($D291="",L291=""),"",IF(L291="",IF(AND(T291="",AB291=""),"Belum ditempatkan",""),IF(R291="","CEK ID FIXTURE tidak ada di DAFTAR_FIXTURE",IF(M291="","CEK ZONA NO kosong",IF(ISNA(MATCH(R291&amp;"|"&amp;M291,LAYOUT!$E$2:$E$80,0)),"CEK ZONA NO di luar layout",IF(N291&lt;&gt;INDEX(LAYOUT!$D$2:$D$80,MATCH(R291&amp;"|"&amp;M291,LAYOUT!$E$2:$E$80,0)),"CEK JENIS ZONA",IF($D291="","Zona STOCK",IF($E291="","CEK SKU DESCRIPTION kosong",IF(AND(O291&lt;&gt;"",P291=""),"CEK URUTAN SAMBUNG kosong",IF(AND(O291&lt;&gt;"",LEFT(R291,6)="Endcap"),"CEK Endcap tidak ikut sambung","OK"))))))))))</f>
        <v/>
      </c>
      <c r="T291" s="11" t="n"/>
      <c r="U291" s="11" t="n"/>
      <c r="V291" s="11" t="n"/>
      <c r="W291" s="11" t="n"/>
      <c r="X291" s="11" t="n"/>
      <c r="Y291" s="11" t="n"/>
      <c r="Z291" s="12">
        <f>IF(T291="","",IFERROR(INDEX(DAFTAR_FIXTURE!$B$2:$B$51,MATCH(T291,DAFTAR_FIXTURE!$A$2:$A$51,0)),""))</f>
        <v/>
      </c>
      <c r="AA291" s="12">
        <f>IF(T291="","",IF(Z291="","CEK ID FIXTURE tidak ada di DAFTAR_FIXTURE",IF(U291="","CEK ZONA NO kosong",IF(ISNA(MATCH(Z291&amp;"|"&amp;U291,LAYOUT!$E$2:$E$80,0)),"CEK ZONA NO di luar layout",IF(V291&lt;&gt;INDEX(LAYOUT!$D$2:$D$80,MATCH(Z291&amp;"|"&amp;U291,LAYOUT!$E$2:$E$80,0)),"CEK JENIS ZONA",IF($D291="","Zona STOCK",IF($E291="","CEK SKU DESCRIPTION kosong",IF(AND(W291&lt;&gt;"",X291=""),"CEK URUTAN SAMBUNG kosong",IF(AND(W291&lt;&gt;"",LEFT(Z291,6)="Endcap"),"CEK Endcap tidak ikut sambung","OK")))))))))</f>
        <v/>
      </c>
      <c r="AB291" s="11" t="n"/>
      <c r="AC291" s="11" t="n"/>
      <c r="AD291" s="11" t="n"/>
      <c r="AE291" s="11" t="n"/>
      <c r="AF291" s="11" t="n"/>
      <c r="AG291" s="11" t="n"/>
      <c r="AH291" s="12">
        <f>IF(AB291="","",IFERROR(INDEX(DAFTAR_FIXTURE!$B$2:$B$51,MATCH(AB291,DAFTAR_FIXTURE!$A$2:$A$51,0)),""))</f>
        <v/>
      </c>
      <c r="AI291" s="12">
        <f>IF(AB291="","",IF(AH291="","CEK ID FIXTURE tidak ada di DAFTAR_FIXTURE",IF(AC291="","CEK ZONA NO kosong",IF(ISNA(MATCH(AH291&amp;"|"&amp;AC291,LAYOUT!$E$2:$E$80,0)),"CEK ZONA NO di luar layout",IF(AD291&lt;&gt;INDEX(LAYOUT!$D$2:$D$80,MATCH(AH291&amp;"|"&amp;AC291,LAYOUT!$E$2:$E$80,0)),"CEK JENIS ZONA",IF($D291="","Zona STOCK",IF($E291="","CEK SKU DESCRIPTION kosong",IF(AND(AE291&lt;&gt;"",AF291=""),"CEK URUTAN SAMBUNG kosong",IF(AND(AE291&lt;&gt;"",LEFT(AH291,6)="Endcap"),"CEK Endcap tidak ikut sambung","OK")))))))))</f>
        <v/>
      </c>
    </row>
    <row r="292">
      <c r="A292" s="10" t="n"/>
      <c r="B292" s="10" t="n"/>
      <c r="C292" s="10" t="n"/>
      <c r="D292" s="10" t="n"/>
      <c r="E292" s="10" t="n"/>
      <c r="F292" s="10" t="n"/>
      <c r="G292" s="10" t="n"/>
      <c r="H292" s="10" t="n"/>
      <c r="I292" s="10" t="n"/>
      <c r="J292" s="10" t="n"/>
      <c r="K292" s="10" t="n"/>
      <c r="L292" s="11" t="n"/>
      <c r="M292" s="11" t="n"/>
      <c r="N292" s="11" t="n"/>
      <c r="O292" s="11" t="n"/>
      <c r="P292" s="11" t="n"/>
      <c r="Q292" s="11" t="n"/>
      <c r="R292" s="12">
        <f>IF(L292="","",IFERROR(INDEX(DAFTAR_FIXTURE!$B$2:$B$51,MATCH(L292,DAFTAR_FIXTURE!$A$2:$A$51,0)),""))</f>
        <v/>
      </c>
      <c r="S292" s="12">
        <f>IF(AND($D292="",L292=""),"",IF(L292="",IF(AND(T292="",AB292=""),"Belum ditempatkan",""),IF(R292="","CEK ID FIXTURE tidak ada di DAFTAR_FIXTURE",IF(M292="","CEK ZONA NO kosong",IF(ISNA(MATCH(R292&amp;"|"&amp;M292,LAYOUT!$E$2:$E$80,0)),"CEK ZONA NO di luar layout",IF(N292&lt;&gt;INDEX(LAYOUT!$D$2:$D$80,MATCH(R292&amp;"|"&amp;M292,LAYOUT!$E$2:$E$80,0)),"CEK JENIS ZONA",IF($D292="","Zona STOCK",IF($E292="","CEK SKU DESCRIPTION kosong",IF(AND(O292&lt;&gt;"",P292=""),"CEK URUTAN SAMBUNG kosong",IF(AND(O292&lt;&gt;"",LEFT(R292,6)="Endcap"),"CEK Endcap tidak ikut sambung","OK"))))))))))</f>
        <v/>
      </c>
      <c r="T292" s="11" t="n"/>
      <c r="U292" s="11" t="n"/>
      <c r="V292" s="11" t="n"/>
      <c r="W292" s="11" t="n"/>
      <c r="X292" s="11" t="n"/>
      <c r="Y292" s="11" t="n"/>
      <c r="Z292" s="12">
        <f>IF(T292="","",IFERROR(INDEX(DAFTAR_FIXTURE!$B$2:$B$51,MATCH(T292,DAFTAR_FIXTURE!$A$2:$A$51,0)),""))</f>
        <v/>
      </c>
      <c r="AA292" s="12">
        <f>IF(T292="","",IF(Z292="","CEK ID FIXTURE tidak ada di DAFTAR_FIXTURE",IF(U292="","CEK ZONA NO kosong",IF(ISNA(MATCH(Z292&amp;"|"&amp;U292,LAYOUT!$E$2:$E$80,0)),"CEK ZONA NO di luar layout",IF(V292&lt;&gt;INDEX(LAYOUT!$D$2:$D$80,MATCH(Z292&amp;"|"&amp;U292,LAYOUT!$E$2:$E$80,0)),"CEK JENIS ZONA",IF($D292="","Zona STOCK",IF($E292="","CEK SKU DESCRIPTION kosong",IF(AND(W292&lt;&gt;"",X292=""),"CEK URUTAN SAMBUNG kosong",IF(AND(W292&lt;&gt;"",LEFT(Z292,6)="Endcap"),"CEK Endcap tidak ikut sambung","OK")))))))))</f>
        <v/>
      </c>
      <c r="AB292" s="11" t="n"/>
      <c r="AC292" s="11" t="n"/>
      <c r="AD292" s="11" t="n"/>
      <c r="AE292" s="11" t="n"/>
      <c r="AF292" s="11" t="n"/>
      <c r="AG292" s="11" t="n"/>
      <c r="AH292" s="12">
        <f>IF(AB292="","",IFERROR(INDEX(DAFTAR_FIXTURE!$B$2:$B$51,MATCH(AB292,DAFTAR_FIXTURE!$A$2:$A$51,0)),""))</f>
        <v/>
      </c>
      <c r="AI292" s="12">
        <f>IF(AB292="","",IF(AH292="","CEK ID FIXTURE tidak ada di DAFTAR_FIXTURE",IF(AC292="","CEK ZONA NO kosong",IF(ISNA(MATCH(AH292&amp;"|"&amp;AC292,LAYOUT!$E$2:$E$80,0)),"CEK ZONA NO di luar layout",IF(AD292&lt;&gt;INDEX(LAYOUT!$D$2:$D$80,MATCH(AH292&amp;"|"&amp;AC292,LAYOUT!$E$2:$E$80,0)),"CEK JENIS ZONA",IF($D292="","Zona STOCK",IF($E292="","CEK SKU DESCRIPTION kosong",IF(AND(AE292&lt;&gt;"",AF292=""),"CEK URUTAN SAMBUNG kosong",IF(AND(AE292&lt;&gt;"",LEFT(AH292,6)="Endcap"),"CEK Endcap tidak ikut sambung","OK")))))))))</f>
        <v/>
      </c>
    </row>
    <row r="293">
      <c r="A293" s="10" t="n"/>
      <c r="B293" s="10" t="n"/>
      <c r="C293" s="10" t="n"/>
      <c r="D293" s="10" t="n"/>
      <c r="E293" s="10" t="n"/>
      <c r="F293" s="10" t="n"/>
      <c r="G293" s="10" t="n"/>
      <c r="H293" s="10" t="n"/>
      <c r="I293" s="10" t="n"/>
      <c r="J293" s="10" t="n"/>
      <c r="K293" s="10" t="n"/>
      <c r="L293" s="11" t="n"/>
      <c r="M293" s="11" t="n"/>
      <c r="N293" s="11" t="n"/>
      <c r="O293" s="11" t="n"/>
      <c r="P293" s="11" t="n"/>
      <c r="Q293" s="11" t="n"/>
      <c r="R293" s="12">
        <f>IF(L293="","",IFERROR(INDEX(DAFTAR_FIXTURE!$B$2:$B$51,MATCH(L293,DAFTAR_FIXTURE!$A$2:$A$51,0)),""))</f>
        <v/>
      </c>
      <c r="S293" s="12">
        <f>IF(AND($D293="",L293=""),"",IF(L293="",IF(AND(T293="",AB293=""),"Belum ditempatkan",""),IF(R293="","CEK ID FIXTURE tidak ada di DAFTAR_FIXTURE",IF(M293="","CEK ZONA NO kosong",IF(ISNA(MATCH(R293&amp;"|"&amp;M293,LAYOUT!$E$2:$E$80,0)),"CEK ZONA NO di luar layout",IF(N293&lt;&gt;INDEX(LAYOUT!$D$2:$D$80,MATCH(R293&amp;"|"&amp;M293,LAYOUT!$E$2:$E$80,0)),"CEK JENIS ZONA",IF($D293="","Zona STOCK",IF($E293="","CEK SKU DESCRIPTION kosong",IF(AND(O293&lt;&gt;"",P293=""),"CEK URUTAN SAMBUNG kosong",IF(AND(O293&lt;&gt;"",LEFT(R293,6)="Endcap"),"CEK Endcap tidak ikut sambung","OK"))))))))))</f>
        <v/>
      </c>
      <c r="T293" s="11" t="n"/>
      <c r="U293" s="11" t="n"/>
      <c r="V293" s="11" t="n"/>
      <c r="W293" s="11" t="n"/>
      <c r="X293" s="11" t="n"/>
      <c r="Y293" s="11" t="n"/>
      <c r="Z293" s="12">
        <f>IF(T293="","",IFERROR(INDEX(DAFTAR_FIXTURE!$B$2:$B$51,MATCH(T293,DAFTAR_FIXTURE!$A$2:$A$51,0)),""))</f>
        <v/>
      </c>
      <c r="AA293" s="12">
        <f>IF(T293="","",IF(Z293="","CEK ID FIXTURE tidak ada di DAFTAR_FIXTURE",IF(U293="","CEK ZONA NO kosong",IF(ISNA(MATCH(Z293&amp;"|"&amp;U293,LAYOUT!$E$2:$E$80,0)),"CEK ZONA NO di luar layout",IF(V293&lt;&gt;INDEX(LAYOUT!$D$2:$D$80,MATCH(Z293&amp;"|"&amp;U293,LAYOUT!$E$2:$E$80,0)),"CEK JENIS ZONA",IF($D293="","Zona STOCK",IF($E293="","CEK SKU DESCRIPTION kosong",IF(AND(W293&lt;&gt;"",X293=""),"CEK URUTAN SAMBUNG kosong",IF(AND(W293&lt;&gt;"",LEFT(Z293,6)="Endcap"),"CEK Endcap tidak ikut sambung","OK")))))))))</f>
        <v/>
      </c>
      <c r="AB293" s="11" t="n"/>
      <c r="AC293" s="11" t="n"/>
      <c r="AD293" s="11" t="n"/>
      <c r="AE293" s="11" t="n"/>
      <c r="AF293" s="11" t="n"/>
      <c r="AG293" s="11" t="n"/>
      <c r="AH293" s="12">
        <f>IF(AB293="","",IFERROR(INDEX(DAFTAR_FIXTURE!$B$2:$B$51,MATCH(AB293,DAFTAR_FIXTURE!$A$2:$A$51,0)),""))</f>
        <v/>
      </c>
      <c r="AI293" s="12">
        <f>IF(AB293="","",IF(AH293="","CEK ID FIXTURE tidak ada di DAFTAR_FIXTURE",IF(AC293="","CEK ZONA NO kosong",IF(ISNA(MATCH(AH293&amp;"|"&amp;AC293,LAYOUT!$E$2:$E$80,0)),"CEK ZONA NO di luar layout",IF(AD293&lt;&gt;INDEX(LAYOUT!$D$2:$D$80,MATCH(AH293&amp;"|"&amp;AC293,LAYOUT!$E$2:$E$80,0)),"CEK JENIS ZONA",IF($D293="","Zona STOCK",IF($E293="","CEK SKU DESCRIPTION kosong",IF(AND(AE293&lt;&gt;"",AF293=""),"CEK URUTAN SAMBUNG kosong",IF(AND(AE293&lt;&gt;"",LEFT(AH293,6)="Endcap"),"CEK Endcap tidak ikut sambung","OK")))))))))</f>
        <v/>
      </c>
    </row>
    <row r="294">
      <c r="A294" s="10" t="n"/>
      <c r="B294" s="10" t="n"/>
      <c r="C294" s="10" t="n"/>
      <c r="D294" s="10" t="n"/>
      <c r="E294" s="10" t="n"/>
      <c r="F294" s="10" t="n"/>
      <c r="G294" s="10" t="n"/>
      <c r="H294" s="10" t="n"/>
      <c r="I294" s="10" t="n"/>
      <c r="J294" s="10" t="n"/>
      <c r="K294" s="10" t="n"/>
      <c r="L294" s="11" t="n"/>
      <c r="M294" s="11" t="n"/>
      <c r="N294" s="11" t="n"/>
      <c r="O294" s="11" t="n"/>
      <c r="P294" s="11" t="n"/>
      <c r="Q294" s="11" t="n"/>
      <c r="R294" s="12">
        <f>IF(L294="","",IFERROR(INDEX(DAFTAR_FIXTURE!$B$2:$B$51,MATCH(L294,DAFTAR_FIXTURE!$A$2:$A$51,0)),""))</f>
        <v/>
      </c>
      <c r="S294" s="12">
        <f>IF(AND($D294="",L294=""),"",IF(L294="",IF(AND(T294="",AB294=""),"Belum ditempatkan",""),IF(R294="","CEK ID FIXTURE tidak ada di DAFTAR_FIXTURE",IF(M294="","CEK ZONA NO kosong",IF(ISNA(MATCH(R294&amp;"|"&amp;M294,LAYOUT!$E$2:$E$80,0)),"CEK ZONA NO di luar layout",IF(N294&lt;&gt;INDEX(LAYOUT!$D$2:$D$80,MATCH(R294&amp;"|"&amp;M294,LAYOUT!$E$2:$E$80,0)),"CEK JENIS ZONA",IF($D294="","Zona STOCK",IF($E294="","CEK SKU DESCRIPTION kosong",IF(AND(O294&lt;&gt;"",P294=""),"CEK URUTAN SAMBUNG kosong",IF(AND(O294&lt;&gt;"",LEFT(R294,6)="Endcap"),"CEK Endcap tidak ikut sambung","OK"))))))))))</f>
        <v/>
      </c>
      <c r="T294" s="11" t="n"/>
      <c r="U294" s="11" t="n"/>
      <c r="V294" s="11" t="n"/>
      <c r="W294" s="11" t="n"/>
      <c r="X294" s="11" t="n"/>
      <c r="Y294" s="11" t="n"/>
      <c r="Z294" s="12">
        <f>IF(T294="","",IFERROR(INDEX(DAFTAR_FIXTURE!$B$2:$B$51,MATCH(T294,DAFTAR_FIXTURE!$A$2:$A$51,0)),""))</f>
        <v/>
      </c>
      <c r="AA294" s="12">
        <f>IF(T294="","",IF(Z294="","CEK ID FIXTURE tidak ada di DAFTAR_FIXTURE",IF(U294="","CEK ZONA NO kosong",IF(ISNA(MATCH(Z294&amp;"|"&amp;U294,LAYOUT!$E$2:$E$80,0)),"CEK ZONA NO di luar layout",IF(V294&lt;&gt;INDEX(LAYOUT!$D$2:$D$80,MATCH(Z294&amp;"|"&amp;U294,LAYOUT!$E$2:$E$80,0)),"CEK JENIS ZONA",IF($D294="","Zona STOCK",IF($E294="","CEK SKU DESCRIPTION kosong",IF(AND(W294&lt;&gt;"",X294=""),"CEK URUTAN SAMBUNG kosong",IF(AND(W294&lt;&gt;"",LEFT(Z294,6)="Endcap"),"CEK Endcap tidak ikut sambung","OK")))))))))</f>
        <v/>
      </c>
      <c r="AB294" s="11" t="n"/>
      <c r="AC294" s="11" t="n"/>
      <c r="AD294" s="11" t="n"/>
      <c r="AE294" s="11" t="n"/>
      <c r="AF294" s="11" t="n"/>
      <c r="AG294" s="11" t="n"/>
      <c r="AH294" s="12">
        <f>IF(AB294="","",IFERROR(INDEX(DAFTAR_FIXTURE!$B$2:$B$51,MATCH(AB294,DAFTAR_FIXTURE!$A$2:$A$51,0)),""))</f>
        <v/>
      </c>
      <c r="AI294" s="12">
        <f>IF(AB294="","",IF(AH294="","CEK ID FIXTURE tidak ada di DAFTAR_FIXTURE",IF(AC294="","CEK ZONA NO kosong",IF(ISNA(MATCH(AH294&amp;"|"&amp;AC294,LAYOUT!$E$2:$E$80,0)),"CEK ZONA NO di luar layout",IF(AD294&lt;&gt;INDEX(LAYOUT!$D$2:$D$80,MATCH(AH294&amp;"|"&amp;AC294,LAYOUT!$E$2:$E$80,0)),"CEK JENIS ZONA",IF($D294="","Zona STOCK",IF($E294="","CEK SKU DESCRIPTION kosong",IF(AND(AE294&lt;&gt;"",AF294=""),"CEK URUTAN SAMBUNG kosong",IF(AND(AE294&lt;&gt;"",LEFT(AH294,6)="Endcap"),"CEK Endcap tidak ikut sambung","OK")))))))))</f>
        <v/>
      </c>
    </row>
    <row r="295">
      <c r="A295" s="10" t="n"/>
      <c r="B295" s="10" t="n"/>
      <c r="C295" s="10" t="n"/>
      <c r="D295" s="10" t="n"/>
      <c r="E295" s="10" t="n"/>
      <c r="F295" s="10" t="n"/>
      <c r="G295" s="10" t="n"/>
      <c r="H295" s="10" t="n"/>
      <c r="I295" s="10" t="n"/>
      <c r="J295" s="10" t="n"/>
      <c r="K295" s="10" t="n"/>
      <c r="L295" s="11" t="n"/>
      <c r="M295" s="11" t="n"/>
      <c r="N295" s="11" t="n"/>
      <c r="O295" s="11" t="n"/>
      <c r="P295" s="11" t="n"/>
      <c r="Q295" s="11" t="n"/>
      <c r="R295" s="12">
        <f>IF(L295="","",IFERROR(INDEX(DAFTAR_FIXTURE!$B$2:$B$51,MATCH(L295,DAFTAR_FIXTURE!$A$2:$A$51,0)),""))</f>
        <v/>
      </c>
      <c r="S295" s="12">
        <f>IF(AND($D295="",L295=""),"",IF(L295="",IF(AND(T295="",AB295=""),"Belum ditempatkan",""),IF(R295="","CEK ID FIXTURE tidak ada di DAFTAR_FIXTURE",IF(M295="","CEK ZONA NO kosong",IF(ISNA(MATCH(R295&amp;"|"&amp;M295,LAYOUT!$E$2:$E$80,0)),"CEK ZONA NO di luar layout",IF(N295&lt;&gt;INDEX(LAYOUT!$D$2:$D$80,MATCH(R295&amp;"|"&amp;M295,LAYOUT!$E$2:$E$80,0)),"CEK JENIS ZONA",IF($D295="","Zona STOCK",IF($E295="","CEK SKU DESCRIPTION kosong",IF(AND(O295&lt;&gt;"",P295=""),"CEK URUTAN SAMBUNG kosong",IF(AND(O295&lt;&gt;"",LEFT(R295,6)="Endcap"),"CEK Endcap tidak ikut sambung","OK"))))))))))</f>
        <v/>
      </c>
      <c r="T295" s="11" t="n"/>
      <c r="U295" s="11" t="n"/>
      <c r="V295" s="11" t="n"/>
      <c r="W295" s="11" t="n"/>
      <c r="X295" s="11" t="n"/>
      <c r="Y295" s="11" t="n"/>
      <c r="Z295" s="12">
        <f>IF(T295="","",IFERROR(INDEX(DAFTAR_FIXTURE!$B$2:$B$51,MATCH(T295,DAFTAR_FIXTURE!$A$2:$A$51,0)),""))</f>
        <v/>
      </c>
      <c r="AA295" s="12">
        <f>IF(T295="","",IF(Z295="","CEK ID FIXTURE tidak ada di DAFTAR_FIXTURE",IF(U295="","CEK ZONA NO kosong",IF(ISNA(MATCH(Z295&amp;"|"&amp;U295,LAYOUT!$E$2:$E$80,0)),"CEK ZONA NO di luar layout",IF(V295&lt;&gt;INDEX(LAYOUT!$D$2:$D$80,MATCH(Z295&amp;"|"&amp;U295,LAYOUT!$E$2:$E$80,0)),"CEK JENIS ZONA",IF($D295="","Zona STOCK",IF($E295="","CEK SKU DESCRIPTION kosong",IF(AND(W295&lt;&gt;"",X295=""),"CEK URUTAN SAMBUNG kosong",IF(AND(W295&lt;&gt;"",LEFT(Z295,6)="Endcap"),"CEK Endcap tidak ikut sambung","OK")))))))))</f>
        <v/>
      </c>
      <c r="AB295" s="11" t="n"/>
      <c r="AC295" s="11" t="n"/>
      <c r="AD295" s="11" t="n"/>
      <c r="AE295" s="11" t="n"/>
      <c r="AF295" s="11" t="n"/>
      <c r="AG295" s="11" t="n"/>
      <c r="AH295" s="12">
        <f>IF(AB295="","",IFERROR(INDEX(DAFTAR_FIXTURE!$B$2:$B$51,MATCH(AB295,DAFTAR_FIXTURE!$A$2:$A$51,0)),""))</f>
        <v/>
      </c>
      <c r="AI295" s="12">
        <f>IF(AB295="","",IF(AH295="","CEK ID FIXTURE tidak ada di DAFTAR_FIXTURE",IF(AC295="","CEK ZONA NO kosong",IF(ISNA(MATCH(AH295&amp;"|"&amp;AC295,LAYOUT!$E$2:$E$80,0)),"CEK ZONA NO di luar layout",IF(AD295&lt;&gt;INDEX(LAYOUT!$D$2:$D$80,MATCH(AH295&amp;"|"&amp;AC295,LAYOUT!$E$2:$E$80,0)),"CEK JENIS ZONA",IF($D295="","Zona STOCK",IF($E295="","CEK SKU DESCRIPTION kosong",IF(AND(AE295&lt;&gt;"",AF295=""),"CEK URUTAN SAMBUNG kosong",IF(AND(AE295&lt;&gt;"",LEFT(AH295,6)="Endcap"),"CEK Endcap tidak ikut sambung","OK")))))))))</f>
        <v/>
      </c>
    </row>
    <row r="296">
      <c r="A296" s="10" t="n"/>
      <c r="B296" s="10" t="n"/>
      <c r="C296" s="10" t="n"/>
      <c r="D296" s="10" t="n"/>
      <c r="E296" s="10" t="n"/>
      <c r="F296" s="10" t="n"/>
      <c r="G296" s="10" t="n"/>
      <c r="H296" s="10" t="n"/>
      <c r="I296" s="10" t="n"/>
      <c r="J296" s="10" t="n"/>
      <c r="K296" s="10" t="n"/>
      <c r="L296" s="11" t="n"/>
      <c r="M296" s="11" t="n"/>
      <c r="N296" s="11" t="n"/>
      <c r="O296" s="11" t="n"/>
      <c r="P296" s="11" t="n"/>
      <c r="Q296" s="11" t="n"/>
      <c r="R296" s="12">
        <f>IF(L296="","",IFERROR(INDEX(DAFTAR_FIXTURE!$B$2:$B$51,MATCH(L296,DAFTAR_FIXTURE!$A$2:$A$51,0)),""))</f>
        <v/>
      </c>
      <c r="S296" s="12">
        <f>IF(AND($D296="",L296=""),"",IF(L296="",IF(AND(T296="",AB296=""),"Belum ditempatkan",""),IF(R296="","CEK ID FIXTURE tidak ada di DAFTAR_FIXTURE",IF(M296="","CEK ZONA NO kosong",IF(ISNA(MATCH(R296&amp;"|"&amp;M296,LAYOUT!$E$2:$E$80,0)),"CEK ZONA NO di luar layout",IF(N296&lt;&gt;INDEX(LAYOUT!$D$2:$D$80,MATCH(R296&amp;"|"&amp;M296,LAYOUT!$E$2:$E$80,0)),"CEK JENIS ZONA",IF($D296="","Zona STOCK",IF($E296="","CEK SKU DESCRIPTION kosong",IF(AND(O296&lt;&gt;"",P296=""),"CEK URUTAN SAMBUNG kosong",IF(AND(O296&lt;&gt;"",LEFT(R296,6)="Endcap"),"CEK Endcap tidak ikut sambung","OK"))))))))))</f>
        <v/>
      </c>
      <c r="T296" s="11" t="n"/>
      <c r="U296" s="11" t="n"/>
      <c r="V296" s="11" t="n"/>
      <c r="W296" s="11" t="n"/>
      <c r="X296" s="11" t="n"/>
      <c r="Y296" s="11" t="n"/>
      <c r="Z296" s="12">
        <f>IF(T296="","",IFERROR(INDEX(DAFTAR_FIXTURE!$B$2:$B$51,MATCH(T296,DAFTAR_FIXTURE!$A$2:$A$51,0)),""))</f>
        <v/>
      </c>
      <c r="AA296" s="12">
        <f>IF(T296="","",IF(Z296="","CEK ID FIXTURE tidak ada di DAFTAR_FIXTURE",IF(U296="","CEK ZONA NO kosong",IF(ISNA(MATCH(Z296&amp;"|"&amp;U296,LAYOUT!$E$2:$E$80,0)),"CEK ZONA NO di luar layout",IF(V296&lt;&gt;INDEX(LAYOUT!$D$2:$D$80,MATCH(Z296&amp;"|"&amp;U296,LAYOUT!$E$2:$E$80,0)),"CEK JENIS ZONA",IF($D296="","Zona STOCK",IF($E296="","CEK SKU DESCRIPTION kosong",IF(AND(W296&lt;&gt;"",X296=""),"CEK URUTAN SAMBUNG kosong",IF(AND(W296&lt;&gt;"",LEFT(Z296,6)="Endcap"),"CEK Endcap tidak ikut sambung","OK")))))))))</f>
        <v/>
      </c>
      <c r="AB296" s="11" t="n"/>
      <c r="AC296" s="11" t="n"/>
      <c r="AD296" s="11" t="n"/>
      <c r="AE296" s="11" t="n"/>
      <c r="AF296" s="11" t="n"/>
      <c r="AG296" s="11" t="n"/>
      <c r="AH296" s="12">
        <f>IF(AB296="","",IFERROR(INDEX(DAFTAR_FIXTURE!$B$2:$B$51,MATCH(AB296,DAFTAR_FIXTURE!$A$2:$A$51,0)),""))</f>
        <v/>
      </c>
      <c r="AI296" s="12">
        <f>IF(AB296="","",IF(AH296="","CEK ID FIXTURE tidak ada di DAFTAR_FIXTURE",IF(AC296="","CEK ZONA NO kosong",IF(ISNA(MATCH(AH296&amp;"|"&amp;AC296,LAYOUT!$E$2:$E$80,0)),"CEK ZONA NO di luar layout",IF(AD296&lt;&gt;INDEX(LAYOUT!$D$2:$D$80,MATCH(AH296&amp;"|"&amp;AC296,LAYOUT!$E$2:$E$80,0)),"CEK JENIS ZONA",IF($D296="","Zona STOCK",IF($E296="","CEK SKU DESCRIPTION kosong",IF(AND(AE296&lt;&gt;"",AF296=""),"CEK URUTAN SAMBUNG kosong",IF(AND(AE296&lt;&gt;"",LEFT(AH296,6)="Endcap"),"CEK Endcap tidak ikut sambung","OK")))))))))</f>
        <v/>
      </c>
    </row>
    <row r="297">
      <c r="A297" s="10" t="n"/>
      <c r="B297" s="10" t="n"/>
      <c r="C297" s="10" t="n"/>
      <c r="D297" s="10" t="n"/>
      <c r="E297" s="10" t="n"/>
      <c r="F297" s="10" t="n"/>
      <c r="G297" s="10" t="n"/>
      <c r="H297" s="10" t="n"/>
      <c r="I297" s="10" t="n"/>
      <c r="J297" s="10" t="n"/>
      <c r="K297" s="10" t="n"/>
      <c r="L297" s="11" t="n"/>
      <c r="M297" s="11" t="n"/>
      <c r="N297" s="11" t="n"/>
      <c r="O297" s="11" t="n"/>
      <c r="P297" s="11" t="n"/>
      <c r="Q297" s="11" t="n"/>
      <c r="R297" s="12">
        <f>IF(L297="","",IFERROR(INDEX(DAFTAR_FIXTURE!$B$2:$B$51,MATCH(L297,DAFTAR_FIXTURE!$A$2:$A$51,0)),""))</f>
        <v/>
      </c>
      <c r="S297" s="12">
        <f>IF(AND($D297="",L297=""),"",IF(L297="",IF(AND(T297="",AB297=""),"Belum ditempatkan",""),IF(R297="","CEK ID FIXTURE tidak ada di DAFTAR_FIXTURE",IF(M297="","CEK ZONA NO kosong",IF(ISNA(MATCH(R297&amp;"|"&amp;M297,LAYOUT!$E$2:$E$80,0)),"CEK ZONA NO di luar layout",IF(N297&lt;&gt;INDEX(LAYOUT!$D$2:$D$80,MATCH(R297&amp;"|"&amp;M297,LAYOUT!$E$2:$E$80,0)),"CEK JENIS ZONA",IF($D297="","Zona STOCK",IF($E297="","CEK SKU DESCRIPTION kosong",IF(AND(O297&lt;&gt;"",P297=""),"CEK URUTAN SAMBUNG kosong",IF(AND(O297&lt;&gt;"",LEFT(R297,6)="Endcap"),"CEK Endcap tidak ikut sambung","OK"))))))))))</f>
        <v/>
      </c>
      <c r="T297" s="11" t="n"/>
      <c r="U297" s="11" t="n"/>
      <c r="V297" s="11" t="n"/>
      <c r="W297" s="11" t="n"/>
      <c r="X297" s="11" t="n"/>
      <c r="Y297" s="11" t="n"/>
      <c r="Z297" s="12">
        <f>IF(T297="","",IFERROR(INDEX(DAFTAR_FIXTURE!$B$2:$B$51,MATCH(T297,DAFTAR_FIXTURE!$A$2:$A$51,0)),""))</f>
        <v/>
      </c>
      <c r="AA297" s="12">
        <f>IF(T297="","",IF(Z297="","CEK ID FIXTURE tidak ada di DAFTAR_FIXTURE",IF(U297="","CEK ZONA NO kosong",IF(ISNA(MATCH(Z297&amp;"|"&amp;U297,LAYOUT!$E$2:$E$80,0)),"CEK ZONA NO di luar layout",IF(V297&lt;&gt;INDEX(LAYOUT!$D$2:$D$80,MATCH(Z297&amp;"|"&amp;U297,LAYOUT!$E$2:$E$80,0)),"CEK JENIS ZONA",IF($D297="","Zona STOCK",IF($E297="","CEK SKU DESCRIPTION kosong",IF(AND(W297&lt;&gt;"",X297=""),"CEK URUTAN SAMBUNG kosong",IF(AND(W297&lt;&gt;"",LEFT(Z297,6)="Endcap"),"CEK Endcap tidak ikut sambung","OK")))))))))</f>
        <v/>
      </c>
      <c r="AB297" s="11" t="n"/>
      <c r="AC297" s="11" t="n"/>
      <c r="AD297" s="11" t="n"/>
      <c r="AE297" s="11" t="n"/>
      <c r="AF297" s="11" t="n"/>
      <c r="AG297" s="11" t="n"/>
      <c r="AH297" s="12">
        <f>IF(AB297="","",IFERROR(INDEX(DAFTAR_FIXTURE!$B$2:$B$51,MATCH(AB297,DAFTAR_FIXTURE!$A$2:$A$51,0)),""))</f>
        <v/>
      </c>
      <c r="AI297" s="12">
        <f>IF(AB297="","",IF(AH297="","CEK ID FIXTURE tidak ada di DAFTAR_FIXTURE",IF(AC297="","CEK ZONA NO kosong",IF(ISNA(MATCH(AH297&amp;"|"&amp;AC297,LAYOUT!$E$2:$E$80,0)),"CEK ZONA NO di luar layout",IF(AD297&lt;&gt;INDEX(LAYOUT!$D$2:$D$80,MATCH(AH297&amp;"|"&amp;AC297,LAYOUT!$E$2:$E$80,0)),"CEK JENIS ZONA",IF($D297="","Zona STOCK",IF($E297="","CEK SKU DESCRIPTION kosong",IF(AND(AE297&lt;&gt;"",AF297=""),"CEK URUTAN SAMBUNG kosong",IF(AND(AE297&lt;&gt;"",LEFT(AH297,6)="Endcap"),"CEK Endcap tidak ikut sambung","OK")))))))))</f>
        <v/>
      </c>
    </row>
    <row r="298">
      <c r="A298" s="10" t="n"/>
      <c r="B298" s="10" t="n"/>
      <c r="C298" s="10" t="n"/>
      <c r="D298" s="10" t="n"/>
      <c r="E298" s="10" t="n"/>
      <c r="F298" s="10" t="n"/>
      <c r="G298" s="10" t="n"/>
      <c r="H298" s="10" t="n"/>
      <c r="I298" s="10" t="n"/>
      <c r="J298" s="10" t="n"/>
      <c r="K298" s="10" t="n"/>
      <c r="L298" s="11" t="n"/>
      <c r="M298" s="11" t="n"/>
      <c r="N298" s="11" t="n"/>
      <c r="O298" s="11" t="n"/>
      <c r="P298" s="11" t="n"/>
      <c r="Q298" s="11" t="n"/>
      <c r="R298" s="12">
        <f>IF(L298="","",IFERROR(INDEX(DAFTAR_FIXTURE!$B$2:$B$51,MATCH(L298,DAFTAR_FIXTURE!$A$2:$A$51,0)),""))</f>
        <v/>
      </c>
      <c r="S298" s="12">
        <f>IF(AND($D298="",L298=""),"",IF(L298="",IF(AND(T298="",AB298=""),"Belum ditempatkan",""),IF(R298="","CEK ID FIXTURE tidak ada di DAFTAR_FIXTURE",IF(M298="","CEK ZONA NO kosong",IF(ISNA(MATCH(R298&amp;"|"&amp;M298,LAYOUT!$E$2:$E$80,0)),"CEK ZONA NO di luar layout",IF(N298&lt;&gt;INDEX(LAYOUT!$D$2:$D$80,MATCH(R298&amp;"|"&amp;M298,LAYOUT!$E$2:$E$80,0)),"CEK JENIS ZONA",IF($D298="","Zona STOCK",IF($E298="","CEK SKU DESCRIPTION kosong",IF(AND(O298&lt;&gt;"",P298=""),"CEK URUTAN SAMBUNG kosong",IF(AND(O298&lt;&gt;"",LEFT(R298,6)="Endcap"),"CEK Endcap tidak ikut sambung","OK"))))))))))</f>
        <v/>
      </c>
      <c r="T298" s="11" t="n"/>
      <c r="U298" s="11" t="n"/>
      <c r="V298" s="11" t="n"/>
      <c r="W298" s="11" t="n"/>
      <c r="X298" s="11" t="n"/>
      <c r="Y298" s="11" t="n"/>
      <c r="Z298" s="12">
        <f>IF(T298="","",IFERROR(INDEX(DAFTAR_FIXTURE!$B$2:$B$51,MATCH(T298,DAFTAR_FIXTURE!$A$2:$A$51,0)),""))</f>
        <v/>
      </c>
      <c r="AA298" s="12">
        <f>IF(T298="","",IF(Z298="","CEK ID FIXTURE tidak ada di DAFTAR_FIXTURE",IF(U298="","CEK ZONA NO kosong",IF(ISNA(MATCH(Z298&amp;"|"&amp;U298,LAYOUT!$E$2:$E$80,0)),"CEK ZONA NO di luar layout",IF(V298&lt;&gt;INDEX(LAYOUT!$D$2:$D$80,MATCH(Z298&amp;"|"&amp;U298,LAYOUT!$E$2:$E$80,0)),"CEK JENIS ZONA",IF($D298="","Zona STOCK",IF($E298="","CEK SKU DESCRIPTION kosong",IF(AND(W298&lt;&gt;"",X298=""),"CEK URUTAN SAMBUNG kosong",IF(AND(W298&lt;&gt;"",LEFT(Z298,6)="Endcap"),"CEK Endcap tidak ikut sambung","OK")))))))))</f>
        <v/>
      </c>
      <c r="AB298" s="11" t="n"/>
      <c r="AC298" s="11" t="n"/>
      <c r="AD298" s="11" t="n"/>
      <c r="AE298" s="11" t="n"/>
      <c r="AF298" s="11" t="n"/>
      <c r="AG298" s="11" t="n"/>
      <c r="AH298" s="12">
        <f>IF(AB298="","",IFERROR(INDEX(DAFTAR_FIXTURE!$B$2:$B$51,MATCH(AB298,DAFTAR_FIXTURE!$A$2:$A$51,0)),""))</f>
        <v/>
      </c>
      <c r="AI298" s="12">
        <f>IF(AB298="","",IF(AH298="","CEK ID FIXTURE tidak ada di DAFTAR_FIXTURE",IF(AC298="","CEK ZONA NO kosong",IF(ISNA(MATCH(AH298&amp;"|"&amp;AC298,LAYOUT!$E$2:$E$80,0)),"CEK ZONA NO di luar layout",IF(AD298&lt;&gt;INDEX(LAYOUT!$D$2:$D$80,MATCH(AH298&amp;"|"&amp;AC298,LAYOUT!$E$2:$E$80,0)),"CEK JENIS ZONA",IF($D298="","Zona STOCK",IF($E298="","CEK SKU DESCRIPTION kosong",IF(AND(AE298&lt;&gt;"",AF298=""),"CEK URUTAN SAMBUNG kosong",IF(AND(AE298&lt;&gt;"",LEFT(AH298,6)="Endcap"),"CEK Endcap tidak ikut sambung","OK")))))))))</f>
        <v/>
      </c>
    </row>
    <row r="299">
      <c r="A299" s="10" t="n"/>
      <c r="B299" s="10" t="n"/>
      <c r="C299" s="10" t="n"/>
      <c r="D299" s="10" t="n"/>
      <c r="E299" s="10" t="n"/>
      <c r="F299" s="10" t="n"/>
      <c r="G299" s="10" t="n"/>
      <c r="H299" s="10" t="n"/>
      <c r="I299" s="10" t="n"/>
      <c r="J299" s="10" t="n"/>
      <c r="K299" s="10" t="n"/>
      <c r="L299" s="11" t="n"/>
      <c r="M299" s="11" t="n"/>
      <c r="N299" s="11" t="n"/>
      <c r="O299" s="11" t="n"/>
      <c r="P299" s="11" t="n"/>
      <c r="Q299" s="11" t="n"/>
      <c r="R299" s="12">
        <f>IF(L299="","",IFERROR(INDEX(DAFTAR_FIXTURE!$B$2:$B$51,MATCH(L299,DAFTAR_FIXTURE!$A$2:$A$51,0)),""))</f>
        <v/>
      </c>
      <c r="S299" s="12">
        <f>IF(AND($D299="",L299=""),"",IF(L299="",IF(AND(T299="",AB299=""),"Belum ditempatkan",""),IF(R299="","CEK ID FIXTURE tidak ada di DAFTAR_FIXTURE",IF(M299="","CEK ZONA NO kosong",IF(ISNA(MATCH(R299&amp;"|"&amp;M299,LAYOUT!$E$2:$E$80,0)),"CEK ZONA NO di luar layout",IF(N299&lt;&gt;INDEX(LAYOUT!$D$2:$D$80,MATCH(R299&amp;"|"&amp;M299,LAYOUT!$E$2:$E$80,0)),"CEK JENIS ZONA",IF($D299="","Zona STOCK",IF($E299="","CEK SKU DESCRIPTION kosong",IF(AND(O299&lt;&gt;"",P299=""),"CEK URUTAN SAMBUNG kosong",IF(AND(O299&lt;&gt;"",LEFT(R299,6)="Endcap"),"CEK Endcap tidak ikut sambung","OK"))))))))))</f>
        <v/>
      </c>
      <c r="T299" s="11" t="n"/>
      <c r="U299" s="11" t="n"/>
      <c r="V299" s="11" t="n"/>
      <c r="W299" s="11" t="n"/>
      <c r="X299" s="11" t="n"/>
      <c r="Y299" s="11" t="n"/>
      <c r="Z299" s="12">
        <f>IF(T299="","",IFERROR(INDEX(DAFTAR_FIXTURE!$B$2:$B$51,MATCH(T299,DAFTAR_FIXTURE!$A$2:$A$51,0)),""))</f>
        <v/>
      </c>
      <c r="AA299" s="12">
        <f>IF(T299="","",IF(Z299="","CEK ID FIXTURE tidak ada di DAFTAR_FIXTURE",IF(U299="","CEK ZONA NO kosong",IF(ISNA(MATCH(Z299&amp;"|"&amp;U299,LAYOUT!$E$2:$E$80,0)),"CEK ZONA NO di luar layout",IF(V299&lt;&gt;INDEX(LAYOUT!$D$2:$D$80,MATCH(Z299&amp;"|"&amp;U299,LAYOUT!$E$2:$E$80,0)),"CEK JENIS ZONA",IF($D299="","Zona STOCK",IF($E299="","CEK SKU DESCRIPTION kosong",IF(AND(W299&lt;&gt;"",X299=""),"CEK URUTAN SAMBUNG kosong",IF(AND(W299&lt;&gt;"",LEFT(Z299,6)="Endcap"),"CEK Endcap tidak ikut sambung","OK")))))))))</f>
        <v/>
      </c>
      <c r="AB299" s="11" t="n"/>
      <c r="AC299" s="11" t="n"/>
      <c r="AD299" s="11" t="n"/>
      <c r="AE299" s="11" t="n"/>
      <c r="AF299" s="11" t="n"/>
      <c r="AG299" s="11" t="n"/>
      <c r="AH299" s="12">
        <f>IF(AB299="","",IFERROR(INDEX(DAFTAR_FIXTURE!$B$2:$B$51,MATCH(AB299,DAFTAR_FIXTURE!$A$2:$A$51,0)),""))</f>
        <v/>
      </c>
      <c r="AI299" s="12">
        <f>IF(AB299="","",IF(AH299="","CEK ID FIXTURE tidak ada di DAFTAR_FIXTURE",IF(AC299="","CEK ZONA NO kosong",IF(ISNA(MATCH(AH299&amp;"|"&amp;AC299,LAYOUT!$E$2:$E$80,0)),"CEK ZONA NO di luar layout",IF(AD299&lt;&gt;INDEX(LAYOUT!$D$2:$D$80,MATCH(AH299&amp;"|"&amp;AC299,LAYOUT!$E$2:$E$80,0)),"CEK JENIS ZONA",IF($D299="","Zona STOCK",IF($E299="","CEK SKU DESCRIPTION kosong",IF(AND(AE299&lt;&gt;"",AF299=""),"CEK URUTAN SAMBUNG kosong",IF(AND(AE299&lt;&gt;"",LEFT(AH299,6)="Endcap"),"CEK Endcap tidak ikut sambung","OK")))))))))</f>
        <v/>
      </c>
    </row>
    <row r="300">
      <c r="A300" s="10" t="n"/>
      <c r="B300" s="10" t="n"/>
      <c r="C300" s="10" t="n"/>
      <c r="D300" s="10" t="n"/>
      <c r="E300" s="10" t="n"/>
      <c r="F300" s="10" t="n"/>
      <c r="G300" s="10" t="n"/>
      <c r="H300" s="10" t="n"/>
      <c r="I300" s="10" t="n"/>
      <c r="J300" s="10" t="n"/>
      <c r="K300" s="10" t="n"/>
      <c r="L300" s="11" t="n"/>
      <c r="M300" s="11" t="n"/>
      <c r="N300" s="11" t="n"/>
      <c r="O300" s="11" t="n"/>
      <c r="P300" s="11" t="n"/>
      <c r="Q300" s="11" t="n"/>
      <c r="R300" s="12">
        <f>IF(L300="","",IFERROR(INDEX(DAFTAR_FIXTURE!$B$2:$B$51,MATCH(L300,DAFTAR_FIXTURE!$A$2:$A$51,0)),""))</f>
        <v/>
      </c>
      <c r="S300" s="12">
        <f>IF(AND($D300="",L300=""),"",IF(L300="",IF(AND(T300="",AB300=""),"Belum ditempatkan",""),IF(R300="","CEK ID FIXTURE tidak ada di DAFTAR_FIXTURE",IF(M300="","CEK ZONA NO kosong",IF(ISNA(MATCH(R300&amp;"|"&amp;M300,LAYOUT!$E$2:$E$80,0)),"CEK ZONA NO di luar layout",IF(N300&lt;&gt;INDEX(LAYOUT!$D$2:$D$80,MATCH(R300&amp;"|"&amp;M300,LAYOUT!$E$2:$E$80,0)),"CEK JENIS ZONA",IF($D300="","Zona STOCK",IF($E300="","CEK SKU DESCRIPTION kosong",IF(AND(O300&lt;&gt;"",P300=""),"CEK URUTAN SAMBUNG kosong",IF(AND(O300&lt;&gt;"",LEFT(R300,6)="Endcap"),"CEK Endcap tidak ikut sambung","OK"))))))))))</f>
        <v/>
      </c>
      <c r="T300" s="11" t="n"/>
      <c r="U300" s="11" t="n"/>
      <c r="V300" s="11" t="n"/>
      <c r="W300" s="11" t="n"/>
      <c r="X300" s="11" t="n"/>
      <c r="Y300" s="11" t="n"/>
      <c r="Z300" s="12">
        <f>IF(T300="","",IFERROR(INDEX(DAFTAR_FIXTURE!$B$2:$B$51,MATCH(T300,DAFTAR_FIXTURE!$A$2:$A$51,0)),""))</f>
        <v/>
      </c>
      <c r="AA300" s="12">
        <f>IF(T300="","",IF(Z300="","CEK ID FIXTURE tidak ada di DAFTAR_FIXTURE",IF(U300="","CEK ZONA NO kosong",IF(ISNA(MATCH(Z300&amp;"|"&amp;U300,LAYOUT!$E$2:$E$80,0)),"CEK ZONA NO di luar layout",IF(V300&lt;&gt;INDEX(LAYOUT!$D$2:$D$80,MATCH(Z300&amp;"|"&amp;U300,LAYOUT!$E$2:$E$80,0)),"CEK JENIS ZONA",IF($D300="","Zona STOCK",IF($E300="","CEK SKU DESCRIPTION kosong",IF(AND(W300&lt;&gt;"",X300=""),"CEK URUTAN SAMBUNG kosong",IF(AND(W300&lt;&gt;"",LEFT(Z300,6)="Endcap"),"CEK Endcap tidak ikut sambung","OK")))))))))</f>
        <v/>
      </c>
      <c r="AB300" s="11" t="n"/>
      <c r="AC300" s="11" t="n"/>
      <c r="AD300" s="11" t="n"/>
      <c r="AE300" s="11" t="n"/>
      <c r="AF300" s="11" t="n"/>
      <c r="AG300" s="11" t="n"/>
      <c r="AH300" s="12">
        <f>IF(AB300="","",IFERROR(INDEX(DAFTAR_FIXTURE!$B$2:$B$51,MATCH(AB300,DAFTAR_FIXTURE!$A$2:$A$51,0)),""))</f>
        <v/>
      </c>
      <c r="AI300" s="12">
        <f>IF(AB300="","",IF(AH300="","CEK ID FIXTURE tidak ada di DAFTAR_FIXTURE",IF(AC300="","CEK ZONA NO kosong",IF(ISNA(MATCH(AH300&amp;"|"&amp;AC300,LAYOUT!$E$2:$E$80,0)),"CEK ZONA NO di luar layout",IF(AD300&lt;&gt;INDEX(LAYOUT!$D$2:$D$80,MATCH(AH300&amp;"|"&amp;AC300,LAYOUT!$E$2:$E$80,0)),"CEK JENIS ZONA",IF($D300="","Zona STOCK",IF($E300="","CEK SKU DESCRIPTION kosong",IF(AND(AE300&lt;&gt;"",AF300=""),"CEK URUTAN SAMBUNG kosong",IF(AND(AE300&lt;&gt;"",LEFT(AH300,6)="Endcap"),"CEK Endcap tidak ikut sambung","OK")))))))))</f>
        <v/>
      </c>
    </row>
    <row r="301">
      <c r="A301" s="10" t="n"/>
      <c r="B301" s="10" t="n"/>
      <c r="C301" s="10" t="n"/>
      <c r="D301" s="10" t="n"/>
      <c r="E301" s="10" t="n"/>
      <c r="F301" s="10" t="n"/>
      <c r="G301" s="10" t="n"/>
      <c r="H301" s="10" t="n"/>
      <c r="I301" s="10" t="n"/>
      <c r="J301" s="10" t="n"/>
      <c r="K301" s="10" t="n"/>
      <c r="L301" s="11" t="n"/>
      <c r="M301" s="11" t="n"/>
      <c r="N301" s="11" t="n"/>
      <c r="O301" s="11" t="n"/>
      <c r="P301" s="11" t="n"/>
      <c r="Q301" s="11" t="n"/>
      <c r="R301" s="12">
        <f>IF(L301="","",IFERROR(INDEX(DAFTAR_FIXTURE!$B$2:$B$51,MATCH(L301,DAFTAR_FIXTURE!$A$2:$A$51,0)),""))</f>
        <v/>
      </c>
      <c r="S301" s="12">
        <f>IF(AND($D301="",L301=""),"",IF(L301="",IF(AND(T301="",AB301=""),"Belum ditempatkan",""),IF(R301="","CEK ID FIXTURE tidak ada di DAFTAR_FIXTURE",IF(M301="","CEK ZONA NO kosong",IF(ISNA(MATCH(R301&amp;"|"&amp;M301,LAYOUT!$E$2:$E$80,0)),"CEK ZONA NO di luar layout",IF(N301&lt;&gt;INDEX(LAYOUT!$D$2:$D$80,MATCH(R301&amp;"|"&amp;M301,LAYOUT!$E$2:$E$80,0)),"CEK JENIS ZONA",IF($D301="","Zona STOCK",IF($E301="","CEK SKU DESCRIPTION kosong",IF(AND(O301&lt;&gt;"",P301=""),"CEK URUTAN SAMBUNG kosong",IF(AND(O301&lt;&gt;"",LEFT(R301,6)="Endcap"),"CEK Endcap tidak ikut sambung","OK"))))))))))</f>
        <v/>
      </c>
      <c r="T301" s="11" t="n"/>
      <c r="U301" s="11" t="n"/>
      <c r="V301" s="11" t="n"/>
      <c r="W301" s="11" t="n"/>
      <c r="X301" s="11" t="n"/>
      <c r="Y301" s="11" t="n"/>
      <c r="Z301" s="12">
        <f>IF(T301="","",IFERROR(INDEX(DAFTAR_FIXTURE!$B$2:$B$51,MATCH(T301,DAFTAR_FIXTURE!$A$2:$A$51,0)),""))</f>
        <v/>
      </c>
      <c r="AA301" s="12">
        <f>IF(T301="","",IF(Z301="","CEK ID FIXTURE tidak ada di DAFTAR_FIXTURE",IF(U301="","CEK ZONA NO kosong",IF(ISNA(MATCH(Z301&amp;"|"&amp;U301,LAYOUT!$E$2:$E$80,0)),"CEK ZONA NO di luar layout",IF(V301&lt;&gt;INDEX(LAYOUT!$D$2:$D$80,MATCH(Z301&amp;"|"&amp;U301,LAYOUT!$E$2:$E$80,0)),"CEK JENIS ZONA",IF($D301="","Zona STOCK",IF($E301="","CEK SKU DESCRIPTION kosong",IF(AND(W301&lt;&gt;"",X301=""),"CEK URUTAN SAMBUNG kosong",IF(AND(W301&lt;&gt;"",LEFT(Z301,6)="Endcap"),"CEK Endcap tidak ikut sambung","OK")))))))))</f>
        <v/>
      </c>
      <c r="AB301" s="11" t="n"/>
      <c r="AC301" s="11" t="n"/>
      <c r="AD301" s="11" t="n"/>
      <c r="AE301" s="11" t="n"/>
      <c r="AF301" s="11" t="n"/>
      <c r="AG301" s="11" t="n"/>
      <c r="AH301" s="12">
        <f>IF(AB301="","",IFERROR(INDEX(DAFTAR_FIXTURE!$B$2:$B$51,MATCH(AB301,DAFTAR_FIXTURE!$A$2:$A$51,0)),""))</f>
        <v/>
      </c>
      <c r="AI301" s="12">
        <f>IF(AB301="","",IF(AH301="","CEK ID FIXTURE tidak ada di DAFTAR_FIXTURE",IF(AC301="","CEK ZONA NO kosong",IF(ISNA(MATCH(AH301&amp;"|"&amp;AC301,LAYOUT!$E$2:$E$80,0)),"CEK ZONA NO di luar layout",IF(AD301&lt;&gt;INDEX(LAYOUT!$D$2:$D$80,MATCH(AH301&amp;"|"&amp;AC301,LAYOUT!$E$2:$E$80,0)),"CEK JENIS ZONA",IF($D301="","Zona STOCK",IF($E301="","CEK SKU DESCRIPTION kosong",IF(AND(AE301&lt;&gt;"",AF301=""),"CEK URUTAN SAMBUNG kosong",IF(AND(AE301&lt;&gt;"",LEFT(AH301,6)="Endcap"),"CEK Endcap tidak ikut sambung","OK")))))))))</f>
        <v/>
      </c>
    </row>
    <row r="302">
      <c r="A302" s="10" t="n"/>
      <c r="B302" s="10" t="n"/>
      <c r="C302" s="10" t="n"/>
      <c r="D302" s="10" t="n"/>
      <c r="E302" s="10" t="n"/>
      <c r="F302" s="10" t="n"/>
      <c r="G302" s="10" t="n"/>
      <c r="H302" s="10" t="n"/>
      <c r="I302" s="10" t="n"/>
      <c r="J302" s="10" t="n"/>
      <c r="K302" s="10" t="n"/>
      <c r="L302" s="11" t="n"/>
      <c r="M302" s="11" t="n"/>
      <c r="N302" s="11" t="n"/>
      <c r="O302" s="11" t="n"/>
      <c r="P302" s="11" t="n"/>
      <c r="Q302" s="11" t="n"/>
      <c r="R302" s="12">
        <f>IF(L302="","",IFERROR(INDEX(DAFTAR_FIXTURE!$B$2:$B$51,MATCH(L302,DAFTAR_FIXTURE!$A$2:$A$51,0)),""))</f>
        <v/>
      </c>
      <c r="S302" s="12">
        <f>IF(AND($D302="",L302=""),"",IF(L302="",IF(AND(T302="",AB302=""),"Belum ditempatkan",""),IF(R302="","CEK ID FIXTURE tidak ada di DAFTAR_FIXTURE",IF(M302="","CEK ZONA NO kosong",IF(ISNA(MATCH(R302&amp;"|"&amp;M302,LAYOUT!$E$2:$E$80,0)),"CEK ZONA NO di luar layout",IF(N302&lt;&gt;INDEX(LAYOUT!$D$2:$D$80,MATCH(R302&amp;"|"&amp;M302,LAYOUT!$E$2:$E$80,0)),"CEK JENIS ZONA",IF($D302="","Zona STOCK",IF($E302="","CEK SKU DESCRIPTION kosong",IF(AND(O302&lt;&gt;"",P302=""),"CEK URUTAN SAMBUNG kosong",IF(AND(O302&lt;&gt;"",LEFT(R302,6)="Endcap"),"CEK Endcap tidak ikut sambung","OK"))))))))))</f>
        <v/>
      </c>
      <c r="T302" s="11" t="n"/>
      <c r="U302" s="11" t="n"/>
      <c r="V302" s="11" t="n"/>
      <c r="W302" s="11" t="n"/>
      <c r="X302" s="11" t="n"/>
      <c r="Y302" s="11" t="n"/>
      <c r="Z302" s="12">
        <f>IF(T302="","",IFERROR(INDEX(DAFTAR_FIXTURE!$B$2:$B$51,MATCH(T302,DAFTAR_FIXTURE!$A$2:$A$51,0)),""))</f>
        <v/>
      </c>
      <c r="AA302" s="12">
        <f>IF(T302="","",IF(Z302="","CEK ID FIXTURE tidak ada di DAFTAR_FIXTURE",IF(U302="","CEK ZONA NO kosong",IF(ISNA(MATCH(Z302&amp;"|"&amp;U302,LAYOUT!$E$2:$E$80,0)),"CEK ZONA NO di luar layout",IF(V302&lt;&gt;INDEX(LAYOUT!$D$2:$D$80,MATCH(Z302&amp;"|"&amp;U302,LAYOUT!$E$2:$E$80,0)),"CEK JENIS ZONA",IF($D302="","Zona STOCK",IF($E302="","CEK SKU DESCRIPTION kosong",IF(AND(W302&lt;&gt;"",X302=""),"CEK URUTAN SAMBUNG kosong",IF(AND(W302&lt;&gt;"",LEFT(Z302,6)="Endcap"),"CEK Endcap tidak ikut sambung","OK")))))))))</f>
        <v/>
      </c>
      <c r="AB302" s="11" t="n"/>
      <c r="AC302" s="11" t="n"/>
      <c r="AD302" s="11" t="n"/>
      <c r="AE302" s="11" t="n"/>
      <c r="AF302" s="11" t="n"/>
      <c r="AG302" s="11" t="n"/>
      <c r="AH302" s="12">
        <f>IF(AB302="","",IFERROR(INDEX(DAFTAR_FIXTURE!$B$2:$B$51,MATCH(AB302,DAFTAR_FIXTURE!$A$2:$A$51,0)),""))</f>
        <v/>
      </c>
      <c r="AI302" s="12">
        <f>IF(AB302="","",IF(AH302="","CEK ID FIXTURE tidak ada di DAFTAR_FIXTURE",IF(AC302="","CEK ZONA NO kosong",IF(ISNA(MATCH(AH302&amp;"|"&amp;AC302,LAYOUT!$E$2:$E$80,0)),"CEK ZONA NO di luar layout",IF(AD302&lt;&gt;INDEX(LAYOUT!$D$2:$D$80,MATCH(AH302&amp;"|"&amp;AC302,LAYOUT!$E$2:$E$80,0)),"CEK JENIS ZONA",IF($D302="","Zona STOCK",IF($E302="","CEK SKU DESCRIPTION kosong",IF(AND(AE302&lt;&gt;"",AF302=""),"CEK URUTAN SAMBUNG kosong",IF(AND(AE302&lt;&gt;"",LEFT(AH302,6)="Endcap"),"CEK Endcap tidak ikut sambung","OK")))))))))</f>
        <v/>
      </c>
    </row>
    <row r="303">
      <c r="A303" s="10" t="n"/>
      <c r="B303" s="10" t="n"/>
      <c r="C303" s="10" t="n"/>
      <c r="D303" s="10" t="n"/>
      <c r="E303" s="10" t="n"/>
      <c r="F303" s="10" t="n"/>
      <c r="G303" s="10" t="n"/>
      <c r="H303" s="10" t="n"/>
      <c r="I303" s="10" t="n"/>
      <c r="J303" s="10" t="n"/>
      <c r="K303" s="10" t="n"/>
      <c r="L303" s="11" t="n"/>
      <c r="M303" s="11" t="n"/>
      <c r="N303" s="11" t="n"/>
      <c r="O303" s="11" t="n"/>
      <c r="P303" s="11" t="n"/>
      <c r="Q303" s="11" t="n"/>
      <c r="R303" s="12">
        <f>IF(L303="","",IFERROR(INDEX(DAFTAR_FIXTURE!$B$2:$B$51,MATCH(L303,DAFTAR_FIXTURE!$A$2:$A$51,0)),""))</f>
        <v/>
      </c>
      <c r="S303" s="12">
        <f>IF(AND($D303="",L303=""),"",IF(L303="",IF(AND(T303="",AB303=""),"Belum ditempatkan",""),IF(R303="","CEK ID FIXTURE tidak ada di DAFTAR_FIXTURE",IF(M303="","CEK ZONA NO kosong",IF(ISNA(MATCH(R303&amp;"|"&amp;M303,LAYOUT!$E$2:$E$80,0)),"CEK ZONA NO di luar layout",IF(N303&lt;&gt;INDEX(LAYOUT!$D$2:$D$80,MATCH(R303&amp;"|"&amp;M303,LAYOUT!$E$2:$E$80,0)),"CEK JENIS ZONA",IF($D303="","Zona STOCK",IF($E303="","CEK SKU DESCRIPTION kosong",IF(AND(O303&lt;&gt;"",P303=""),"CEK URUTAN SAMBUNG kosong",IF(AND(O303&lt;&gt;"",LEFT(R303,6)="Endcap"),"CEK Endcap tidak ikut sambung","OK"))))))))))</f>
        <v/>
      </c>
      <c r="T303" s="11" t="n"/>
      <c r="U303" s="11" t="n"/>
      <c r="V303" s="11" t="n"/>
      <c r="W303" s="11" t="n"/>
      <c r="X303" s="11" t="n"/>
      <c r="Y303" s="11" t="n"/>
      <c r="Z303" s="12">
        <f>IF(T303="","",IFERROR(INDEX(DAFTAR_FIXTURE!$B$2:$B$51,MATCH(T303,DAFTAR_FIXTURE!$A$2:$A$51,0)),""))</f>
        <v/>
      </c>
      <c r="AA303" s="12">
        <f>IF(T303="","",IF(Z303="","CEK ID FIXTURE tidak ada di DAFTAR_FIXTURE",IF(U303="","CEK ZONA NO kosong",IF(ISNA(MATCH(Z303&amp;"|"&amp;U303,LAYOUT!$E$2:$E$80,0)),"CEK ZONA NO di luar layout",IF(V303&lt;&gt;INDEX(LAYOUT!$D$2:$D$80,MATCH(Z303&amp;"|"&amp;U303,LAYOUT!$E$2:$E$80,0)),"CEK JENIS ZONA",IF($D303="","Zona STOCK",IF($E303="","CEK SKU DESCRIPTION kosong",IF(AND(W303&lt;&gt;"",X303=""),"CEK URUTAN SAMBUNG kosong",IF(AND(W303&lt;&gt;"",LEFT(Z303,6)="Endcap"),"CEK Endcap tidak ikut sambung","OK")))))))))</f>
        <v/>
      </c>
      <c r="AB303" s="11" t="n"/>
      <c r="AC303" s="11" t="n"/>
      <c r="AD303" s="11" t="n"/>
      <c r="AE303" s="11" t="n"/>
      <c r="AF303" s="11" t="n"/>
      <c r="AG303" s="11" t="n"/>
      <c r="AH303" s="12">
        <f>IF(AB303="","",IFERROR(INDEX(DAFTAR_FIXTURE!$B$2:$B$51,MATCH(AB303,DAFTAR_FIXTURE!$A$2:$A$51,0)),""))</f>
        <v/>
      </c>
      <c r="AI303" s="12">
        <f>IF(AB303="","",IF(AH303="","CEK ID FIXTURE tidak ada di DAFTAR_FIXTURE",IF(AC303="","CEK ZONA NO kosong",IF(ISNA(MATCH(AH303&amp;"|"&amp;AC303,LAYOUT!$E$2:$E$80,0)),"CEK ZONA NO di luar layout",IF(AD303&lt;&gt;INDEX(LAYOUT!$D$2:$D$80,MATCH(AH303&amp;"|"&amp;AC303,LAYOUT!$E$2:$E$80,0)),"CEK JENIS ZONA",IF($D303="","Zona STOCK",IF($E303="","CEK SKU DESCRIPTION kosong",IF(AND(AE303&lt;&gt;"",AF303=""),"CEK URUTAN SAMBUNG kosong",IF(AND(AE303&lt;&gt;"",LEFT(AH303,6)="Endcap"),"CEK Endcap tidak ikut sambung","OK")))))))))</f>
        <v/>
      </c>
    </row>
    <row r="304">
      <c r="A304" s="10" t="n"/>
      <c r="B304" s="10" t="n"/>
      <c r="C304" s="10" t="n"/>
      <c r="D304" s="10" t="n"/>
      <c r="E304" s="10" t="n"/>
      <c r="F304" s="10" t="n"/>
      <c r="G304" s="10" t="n"/>
      <c r="H304" s="10" t="n"/>
      <c r="I304" s="10" t="n"/>
      <c r="J304" s="10" t="n"/>
      <c r="K304" s="10" t="n"/>
      <c r="L304" s="11" t="n"/>
      <c r="M304" s="11" t="n"/>
      <c r="N304" s="11" t="n"/>
      <c r="O304" s="11" t="n"/>
      <c r="P304" s="11" t="n"/>
      <c r="Q304" s="11" t="n"/>
      <c r="R304" s="12">
        <f>IF(L304="","",IFERROR(INDEX(DAFTAR_FIXTURE!$B$2:$B$51,MATCH(L304,DAFTAR_FIXTURE!$A$2:$A$51,0)),""))</f>
        <v/>
      </c>
      <c r="S304" s="12">
        <f>IF(AND($D304="",L304=""),"",IF(L304="",IF(AND(T304="",AB304=""),"Belum ditempatkan",""),IF(R304="","CEK ID FIXTURE tidak ada di DAFTAR_FIXTURE",IF(M304="","CEK ZONA NO kosong",IF(ISNA(MATCH(R304&amp;"|"&amp;M304,LAYOUT!$E$2:$E$80,0)),"CEK ZONA NO di luar layout",IF(N304&lt;&gt;INDEX(LAYOUT!$D$2:$D$80,MATCH(R304&amp;"|"&amp;M304,LAYOUT!$E$2:$E$80,0)),"CEK JENIS ZONA",IF($D304="","Zona STOCK",IF($E304="","CEK SKU DESCRIPTION kosong",IF(AND(O304&lt;&gt;"",P304=""),"CEK URUTAN SAMBUNG kosong",IF(AND(O304&lt;&gt;"",LEFT(R304,6)="Endcap"),"CEK Endcap tidak ikut sambung","OK"))))))))))</f>
        <v/>
      </c>
      <c r="T304" s="11" t="n"/>
      <c r="U304" s="11" t="n"/>
      <c r="V304" s="11" t="n"/>
      <c r="W304" s="11" t="n"/>
      <c r="X304" s="11" t="n"/>
      <c r="Y304" s="11" t="n"/>
      <c r="Z304" s="12">
        <f>IF(T304="","",IFERROR(INDEX(DAFTAR_FIXTURE!$B$2:$B$51,MATCH(T304,DAFTAR_FIXTURE!$A$2:$A$51,0)),""))</f>
        <v/>
      </c>
      <c r="AA304" s="12">
        <f>IF(T304="","",IF(Z304="","CEK ID FIXTURE tidak ada di DAFTAR_FIXTURE",IF(U304="","CEK ZONA NO kosong",IF(ISNA(MATCH(Z304&amp;"|"&amp;U304,LAYOUT!$E$2:$E$80,0)),"CEK ZONA NO di luar layout",IF(V304&lt;&gt;INDEX(LAYOUT!$D$2:$D$80,MATCH(Z304&amp;"|"&amp;U304,LAYOUT!$E$2:$E$80,0)),"CEK JENIS ZONA",IF($D304="","Zona STOCK",IF($E304="","CEK SKU DESCRIPTION kosong",IF(AND(W304&lt;&gt;"",X304=""),"CEK URUTAN SAMBUNG kosong",IF(AND(W304&lt;&gt;"",LEFT(Z304,6)="Endcap"),"CEK Endcap tidak ikut sambung","OK")))))))))</f>
        <v/>
      </c>
      <c r="AB304" s="11" t="n"/>
      <c r="AC304" s="11" t="n"/>
      <c r="AD304" s="11" t="n"/>
      <c r="AE304" s="11" t="n"/>
      <c r="AF304" s="11" t="n"/>
      <c r="AG304" s="11" t="n"/>
      <c r="AH304" s="12">
        <f>IF(AB304="","",IFERROR(INDEX(DAFTAR_FIXTURE!$B$2:$B$51,MATCH(AB304,DAFTAR_FIXTURE!$A$2:$A$51,0)),""))</f>
        <v/>
      </c>
      <c r="AI304" s="12">
        <f>IF(AB304="","",IF(AH304="","CEK ID FIXTURE tidak ada di DAFTAR_FIXTURE",IF(AC304="","CEK ZONA NO kosong",IF(ISNA(MATCH(AH304&amp;"|"&amp;AC304,LAYOUT!$E$2:$E$80,0)),"CEK ZONA NO di luar layout",IF(AD304&lt;&gt;INDEX(LAYOUT!$D$2:$D$80,MATCH(AH304&amp;"|"&amp;AC304,LAYOUT!$E$2:$E$80,0)),"CEK JENIS ZONA",IF($D304="","Zona STOCK",IF($E304="","CEK SKU DESCRIPTION kosong",IF(AND(AE304&lt;&gt;"",AF304=""),"CEK URUTAN SAMBUNG kosong",IF(AND(AE304&lt;&gt;"",LEFT(AH304,6)="Endcap"),"CEK Endcap tidak ikut sambung","OK")))))))))</f>
        <v/>
      </c>
    </row>
    <row r="305">
      <c r="A305" s="10" t="n"/>
      <c r="B305" s="10" t="n"/>
      <c r="C305" s="10" t="n"/>
      <c r="D305" s="10" t="n"/>
      <c r="E305" s="10" t="n"/>
      <c r="F305" s="10" t="n"/>
      <c r="G305" s="10" t="n"/>
      <c r="H305" s="10" t="n"/>
      <c r="I305" s="10" t="n"/>
      <c r="J305" s="10" t="n"/>
      <c r="K305" s="10" t="n"/>
      <c r="L305" s="11" t="n"/>
      <c r="M305" s="11" t="n"/>
      <c r="N305" s="11" t="n"/>
      <c r="O305" s="11" t="n"/>
      <c r="P305" s="11" t="n"/>
      <c r="Q305" s="11" t="n"/>
      <c r="R305" s="12">
        <f>IF(L305="","",IFERROR(INDEX(DAFTAR_FIXTURE!$B$2:$B$51,MATCH(L305,DAFTAR_FIXTURE!$A$2:$A$51,0)),""))</f>
        <v/>
      </c>
      <c r="S305" s="12">
        <f>IF(AND($D305="",L305=""),"",IF(L305="",IF(AND(T305="",AB305=""),"Belum ditempatkan",""),IF(R305="","CEK ID FIXTURE tidak ada di DAFTAR_FIXTURE",IF(M305="","CEK ZONA NO kosong",IF(ISNA(MATCH(R305&amp;"|"&amp;M305,LAYOUT!$E$2:$E$80,0)),"CEK ZONA NO di luar layout",IF(N305&lt;&gt;INDEX(LAYOUT!$D$2:$D$80,MATCH(R305&amp;"|"&amp;M305,LAYOUT!$E$2:$E$80,0)),"CEK JENIS ZONA",IF($D305="","Zona STOCK",IF($E305="","CEK SKU DESCRIPTION kosong",IF(AND(O305&lt;&gt;"",P305=""),"CEK URUTAN SAMBUNG kosong",IF(AND(O305&lt;&gt;"",LEFT(R305,6)="Endcap"),"CEK Endcap tidak ikut sambung","OK"))))))))))</f>
        <v/>
      </c>
      <c r="T305" s="11" t="n"/>
      <c r="U305" s="11" t="n"/>
      <c r="V305" s="11" t="n"/>
      <c r="W305" s="11" t="n"/>
      <c r="X305" s="11" t="n"/>
      <c r="Y305" s="11" t="n"/>
      <c r="Z305" s="12">
        <f>IF(T305="","",IFERROR(INDEX(DAFTAR_FIXTURE!$B$2:$B$51,MATCH(T305,DAFTAR_FIXTURE!$A$2:$A$51,0)),""))</f>
        <v/>
      </c>
      <c r="AA305" s="12">
        <f>IF(T305="","",IF(Z305="","CEK ID FIXTURE tidak ada di DAFTAR_FIXTURE",IF(U305="","CEK ZONA NO kosong",IF(ISNA(MATCH(Z305&amp;"|"&amp;U305,LAYOUT!$E$2:$E$80,0)),"CEK ZONA NO di luar layout",IF(V305&lt;&gt;INDEX(LAYOUT!$D$2:$D$80,MATCH(Z305&amp;"|"&amp;U305,LAYOUT!$E$2:$E$80,0)),"CEK JENIS ZONA",IF($D305="","Zona STOCK",IF($E305="","CEK SKU DESCRIPTION kosong",IF(AND(W305&lt;&gt;"",X305=""),"CEK URUTAN SAMBUNG kosong",IF(AND(W305&lt;&gt;"",LEFT(Z305,6)="Endcap"),"CEK Endcap tidak ikut sambung","OK")))))))))</f>
        <v/>
      </c>
      <c r="AB305" s="11" t="n"/>
      <c r="AC305" s="11" t="n"/>
      <c r="AD305" s="11" t="n"/>
      <c r="AE305" s="11" t="n"/>
      <c r="AF305" s="11" t="n"/>
      <c r="AG305" s="11" t="n"/>
      <c r="AH305" s="12">
        <f>IF(AB305="","",IFERROR(INDEX(DAFTAR_FIXTURE!$B$2:$B$51,MATCH(AB305,DAFTAR_FIXTURE!$A$2:$A$51,0)),""))</f>
        <v/>
      </c>
      <c r="AI305" s="12">
        <f>IF(AB305="","",IF(AH305="","CEK ID FIXTURE tidak ada di DAFTAR_FIXTURE",IF(AC305="","CEK ZONA NO kosong",IF(ISNA(MATCH(AH305&amp;"|"&amp;AC305,LAYOUT!$E$2:$E$80,0)),"CEK ZONA NO di luar layout",IF(AD305&lt;&gt;INDEX(LAYOUT!$D$2:$D$80,MATCH(AH305&amp;"|"&amp;AC305,LAYOUT!$E$2:$E$80,0)),"CEK JENIS ZONA",IF($D305="","Zona STOCK",IF($E305="","CEK SKU DESCRIPTION kosong",IF(AND(AE305&lt;&gt;"",AF305=""),"CEK URUTAN SAMBUNG kosong",IF(AND(AE305&lt;&gt;"",LEFT(AH305,6)="Endcap"),"CEK Endcap tidak ikut sambung","OK")))))))))</f>
        <v/>
      </c>
    </row>
    <row r="306">
      <c r="A306" s="10" t="n"/>
      <c r="B306" s="10" t="n"/>
      <c r="C306" s="10" t="n"/>
      <c r="D306" s="10" t="n"/>
      <c r="E306" s="10" t="n"/>
      <c r="F306" s="10" t="n"/>
      <c r="G306" s="10" t="n"/>
      <c r="H306" s="10" t="n"/>
      <c r="I306" s="10" t="n"/>
      <c r="J306" s="10" t="n"/>
      <c r="K306" s="10" t="n"/>
      <c r="L306" s="11" t="n"/>
      <c r="M306" s="11" t="n"/>
      <c r="N306" s="11" t="n"/>
      <c r="O306" s="11" t="n"/>
      <c r="P306" s="11" t="n"/>
      <c r="Q306" s="11" t="n"/>
      <c r="R306" s="12">
        <f>IF(L306="","",IFERROR(INDEX(DAFTAR_FIXTURE!$B$2:$B$51,MATCH(L306,DAFTAR_FIXTURE!$A$2:$A$51,0)),""))</f>
        <v/>
      </c>
      <c r="S306" s="12">
        <f>IF(AND($D306="",L306=""),"",IF(L306="",IF(AND(T306="",AB306=""),"Belum ditempatkan",""),IF(R306="","CEK ID FIXTURE tidak ada di DAFTAR_FIXTURE",IF(M306="","CEK ZONA NO kosong",IF(ISNA(MATCH(R306&amp;"|"&amp;M306,LAYOUT!$E$2:$E$80,0)),"CEK ZONA NO di luar layout",IF(N306&lt;&gt;INDEX(LAYOUT!$D$2:$D$80,MATCH(R306&amp;"|"&amp;M306,LAYOUT!$E$2:$E$80,0)),"CEK JENIS ZONA",IF($D306="","Zona STOCK",IF($E306="","CEK SKU DESCRIPTION kosong",IF(AND(O306&lt;&gt;"",P306=""),"CEK URUTAN SAMBUNG kosong",IF(AND(O306&lt;&gt;"",LEFT(R306,6)="Endcap"),"CEK Endcap tidak ikut sambung","OK"))))))))))</f>
        <v/>
      </c>
      <c r="T306" s="11" t="n"/>
      <c r="U306" s="11" t="n"/>
      <c r="V306" s="11" t="n"/>
      <c r="W306" s="11" t="n"/>
      <c r="X306" s="11" t="n"/>
      <c r="Y306" s="11" t="n"/>
      <c r="Z306" s="12">
        <f>IF(T306="","",IFERROR(INDEX(DAFTAR_FIXTURE!$B$2:$B$51,MATCH(T306,DAFTAR_FIXTURE!$A$2:$A$51,0)),""))</f>
        <v/>
      </c>
      <c r="AA306" s="12">
        <f>IF(T306="","",IF(Z306="","CEK ID FIXTURE tidak ada di DAFTAR_FIXTURE",IF(U306="","CEK ZONA NO kosong",IF(ISNA(MATCH(Z306&amp;"|"&amp;U306,LAYOUT!$E$2:$E$80,0)),"CEK ZONA NO di luar layout",IF(V306&lt;&gt;INDEX(LAYOUT!$D$2:$D$80,MATCH(Z306&amp;"|"&amp;U306,LAYOUT!$E$2:$E$80,0)),"CEK JENIS ZONA",IF($D306="","Zona STOCK",IF($E306="","CEK SKU DESCRIPTION kosong",IF(AND(W306&lt;&gt;"",X306=""),"CEK URUTAN SAMBUNG kosong",IF(AND(W306&lt;&gt;"",LEFT(Z306,6)="Endcap"),"CEK Endcap tidak ikut sambung","OK")))))))))</f>
        <v/>
      </c>
      <c r="AB306" s="11" t="n"/>
      <c r="AC306" s="11" t="n"/>
      <c r="AD306" s="11" t="n"/>
      <c r="AE306" s="11" t="n"/>
      <c r="AF306" s="11" t="n"/>
      <c r="AG306" s="11" t="n"/>
      <c r="AH306" s="12">
        <f>IF(AB306="","",IFERROR(INDEX(DAFTAR_FIXTURE!$B$2:$B$51,MATCH(AB306,DAFTAR_FIXTURE!$A$2:$A$51,0)),""))</f>
        <v/>
      </c>
      <c r="AI306" s="12">
        <f>IF(AB306="","",IF(AH306="","CEK ID FIXTURE tidak ada di DAFTAR_FIXTURE",IF(AC306="","CEK ZONA NO kosong",IF(ISNA(MATCH(AH306&amp;"|"&amp;AC306,LAYOUT!$E$2:$E$80,0)),"CEK ZONA NO di luar layout",IF(AD306&lt;&gt;INDEX(LAYOUT!$D$2:$D$80,MATCH(AH306&amp;"|"&amp;AC306,LAYOUT!$E$2:$E$80,0)),"CEK JENIS ZONA",IF($D306="","Zona STOCK",IF($E306="","CEK SKU DESCRIPTION kosong",IF(AND(AE306&lt;&gt;"",AF306=""),"CEK URUTAN SAMBUNG kosong",IF(AND(AE306&lt;&gt;"",LEFT(AH306,6)="Endcap"),"CEK Endcap tidak ikut sambung","OK")))))))))</f>
        <v/>
      </c>
    </row>
    <row r="307">
      <c r="A307" s="10" t="n"/>
      <c r="B307" s="10" t="n"/>
      <c r="C307" s="10" t="n"/>
      <c r="D307" s="10" t="n"/>
      <c r="E307" s="10" t="n"/>
      <c r="F307" s="10" t="n"/>
      <c r="G307" s="10" t="n"/>
      <c r="H307" s="10" t="n"/>
      <c r="I307" s="10" t="n"/>
      <c r="J307" s="10" t="n"/>
      <c r="K307" s="10" t="n"/>
      <c r="L307" s="11" t="n"/>
      <c r="M307" s="11" t="n"/>
      <c r="N307" s="11" t="n"/>
      <c r="O307" s="11" t="n"/>
      <c r="P307" s="11" t="n"/>
      <c r="Q307" s="11" t="n"/>
      <c r="R307" s="12">
        <f>IF(L307="","",IFERROR(INDEX(DAFTAR_FIXTURE!$B$2:$B$51,MATCH(L307,DAFTAR_FIXTURE!$A$2:$A$51,0)),""))</f>
        <v/>
      </c>
      <c r="S307" s="12">
        <f>IF(AND($D307="",L307=""),"",IF(L307="",IF(AND(T307="",AB307=""),"Belum ditempatkan",""),IF(R307="","CEK ID FIXTURE tidak ada di DAFTAR_FIXTURE",IF(M307="","CEK ZONA NO kosong",IF(ISNA(MATCH(R307&amp;"|"&amp;M307,LAYOUT!$E$2:$E$80,0)),"CEK ZONA NO di luar layout",IF(N307&lt;&gt;INDEX(LAYOUT!$D$2:$D$80,MATCH(R307&amp;"|"&amp;M307,LAYOUT!$E$2:$E$80,0)),"CEK JENIS ZONA",IF($D307="","Zona STOCK",IF($E307="","CEK SKU DESCRIPTION kosong",IF(AND(O307&lt;&gt;"",P307=""),"CEK URUTAN SAMBUNG kosong",IF(AND(O307&lt;&gt;"",LEFT(R307,6)="Endcap"),"CEK Endcap tidak ikut sambung","OK"))))))))))</f>
        <v/>
      </c>
      <c r="T307" s="11" t="n"/>
      <c r="U307" s="11" t="n"/>
      <c r="V307" s="11" t="n"/>
      <c r="W307" s="11" t="n"/>
      <c r="X307" s="11" t="n"/>
      <c r="Y307" s="11" t="n"/>
      <c r="Z307" s="12">
        <f>IF(T307="","",IFERROR(INDEX(DAFTAR_FIXTURE!$B$2:$B$51,MATCH(T307,DAFTAR_FIXTURE!$A$2:$A$51,0)),""))</f>
        <v/>
      </c>
      <c r="AA307" s="12">
        <f>IF(T307="","",IF(Z307="","CEK ID FIXTURE tidak ada di DAFTAR_FIXTURE",IF(U307="","CEK ZONA NO kosong",IF(ISNA(MATCH(Z307&amp;"|"&amp;U307,LAYOUT!$E$2:$E$80,0)),"CEK ZONA NO di luar layout",IF(V307&lt;&gt;INDEX(LAYOUT!$D$2:$D$80,MATCH(Z307&amp;"|"&amp;U307,LAYOUT!$E$2:$E$80,0)),"CEK JENIS ZONA",IF($D307="","Zona STOCK",IF($E307="","CEK SKU DESCRIPTION kosong",IF(AND(W307&lt;&gt;"",X307=""),"CEK URUTAN SAMBUNG kosong",IF(AND(W307&lt;&gt;"",LEFT(Z307,6)="Endcap"),"CEK Endcap tidak ikut sambung","OK")))))))))</f>
        <v/>
      </c>
      <c r="AB307" s="11" t="n"/>
      <c r="AC307" s="11" t="n"/>
      <c r="AD307" s="11" t="n"/>
      <c r="AE307" s="11" t="n"/>
      <c r="AF307" s="11" t="n"/>
      <c r="AG307" s="11" t="n"/>
      <c r="AH307" s="12">
        <f>IF(AB307="","",IFERROR(INDEX(DAFTAR_FIXTURE!$B$2:$B$51,MATCH(AB307,DAFTAR_FIXTURE!$A$2:$A$51,0)),""))</f>
        <v/>
      </c>
      <c r="AI307" s="12">
        <f>IF(AB307="","",IF(AH307="","CEK ID FIXTURE tidak ada di DAFTAR_FIXTURE",IF(AC307="","CEK ZONA NO kosong",IF(ISNA(MATCH(AH307&amp;"|"&amp;AC307,LAYOUT!$E$2:$E$80,0)),"CEK ZONA NO di luar layout",IF(AD307&lt;&gt;INDEX(LAYOUT!$D$2:$D$80,MATCH(AH307&amp;"|"&amp;AC307,LAYOUT!$E$2:$E$80,0)),"CEK JENIS ZONA",IF($D307="","Zona STOCK",IF($E307="","CEK SKU DESCRIPTION kosong",IF(AND(AE307&lt;&gt;"",AF307=""),"CEK URUTAN SAMBUNG kosong",IF(AND(AE307&lt;&gt;"",LEFT(AH307,6)="Endcap"),"CEK Endcap tidak ikut sambung","OK")))))))))</f>
        <v/>
      </c>
    </row>
    <row r="308">
      <c r="A308" s="10" t="n"/>
      <c r="B308" s="10" t="n"/>
      <c r="C308" s="10" t="n"/>
      <c r="D308" s="10" t="n"/>
      <c r="E308" s="10" t="n"/>
      <c r="F308" s="10" t="n"/>
      <c r="G308" s="10" t="n"/>
      <c r="H308" s="10" t="n"/>
      <c r="I308" s="10" t="n"/>
      <c r="J308" s="10" t="n"/>
      <c r="K308" s="10" t="n"/>
      <c r="L308" s="11" t="n"/>
      <c r="M308" s="11" t="n"/>
      <c r="N308" s="11" t="n"/>
      <c r="O308" s="11" t="n"/>
      <c r="P308" s="11" t="n"/>
      <c r="Q308" s="11" t="n"/>
      <c r="R308" s="12">
        <f>IF(L308="","",IFERROR(INDEX(DAFTAR_FIXTURE!$B$2:$B$51,MATCH(L308,DAFTAR_FIXTURE!$A$2:$A$51,0)),""))</f>
        <v/>
      </c>
      <c r="S308" s="12">
        <f>IF(AND($D308="",L308=""),"",IF(L308="",IF(AND(T308="",AB308=""),"Belum ditempatkan",""),IF(R308="","CEK ID FIXTURE tidak ada di DAFTAR_FIXTURE",IF(M308="","CEK ZONA NO kosong",IF(ISNA(MATCH(R308&amp;"|"&amp;M308,LAYOUT!$E$2:$E$80,0)),"CEK ZONA NO di luar layout",IF(N308&lt;&gt;INDEX(LAYOUT!$D$2:$D$80,MATCH(R308&amp;"|"&amp;M308,LAYOUT!$E$2:$E$80,0)),"CEK JENIS ZONA",IF($D308="","Zona STOCK",IF($E308="","CEK SKU DESCRIPTION kosong",IF(AND(O308&lt;&gt;"",P308=""),"CEK URUTAN SAMBUNG kosong",IF(AND(O308&lt;&gt;"",LEFT(R308,6)="Endcap"),"CEK Endcap tidak ikut sambung","OK"))))))))))</f>
        <v/>
      </c>
      <c r="T308" s="11" t="n"/>
      <c r="U308" s="11" t="n"/>
      <c r="V308" s="11" t="n"/>
      <c r="W308" s="11" t="n"/>
      <c r="X308" s="11" t="n"/>
      <c r="Y308" s="11" t="n"/>
      <c r="Z308" s="12">
        <f>IF(T308="","",IFERROR(INDEX(DAFTAR_FIXTURE!$B$2:$B$51,MATCH(T308,DAFTAR_FIXTURE!$A$2:$A$51,0)),""))</f>
        <v/>
      </c>
      <c r="AA308" s="12">
        <f>IF(T308="","",IF(Z308="","CEK ID FIXTURE tidak ada di DAFTAR_FIXTURE",IF(U308="","CEK ZONA NO kosong",IF(ISNA(MATCH(Z308&amp;"|"&amp;U308,LAYOUT!$E$2:$E$80,0)),"CEK ZONA NO di luar layout",IF(V308&lt;&gt;INDEX(LAYOUT!$D$2:$D$80,MATCH(Z308&amp;"|"&amp;U308,LAYOUT!$E$2:$E$80,0)),"CEK JENIS ZONA",IF($D308="","Zona STOCK",IF($E308="","CEK SKU DESCRIPTION kosong",IF(AND(W308&lt;&gt;"",X308=""),"CEK URUTAN SAMBUNG kosong",IF(AND(W308&lt;&gt;"",LEFT(Z308,6)="Endcap"),"CEK Endcap tidak ikut sambung","OK")))))))))</f>
        <v/>
      </c>
      <c r="AB308" s="11" t="n"/>
      <c r="AC308" s="11" t="n"/>
      <c r="AD308" s="11" t="n"/>
      <c r="AE308" s="11" t="n"/>
      <c r="AF308" s="11" t="n"/>
      <c r="AG308" s="11" t="n"/>
      <c r="AH308" s="12">
        <f>IF(AB308="","",IFERROR(INDEX(DAFTAR_FIXTURE!$B$2:$B$51,MATCH(AB308,DAFTAR_FIXTURE!$A$2:$A$51,0)),""))</f>
        <v/>
      </c>
      <c r="AI308" s="12">
        <f>IF(AB308="","",IF(AH308="","CEK ID FIXTURE tidak ada di DAFTAR_FIXTURE",IF(AC308="","CEK ZONA NO kosong",IF(ISNA(MATCH(AH308&amp;"|"&amp;AC308,LAYOUT!$E$2:$E$80,0)),"CEK ZONA NO di luar layout",IF(AD308&lt;&gt;INDEX(LAYOUT!$D$2:$D$80,MATCH(AH308&amp;"|"&amp;AC308,LAYOUT!$E$2:$E$80,0)),"CEK JENIS ZONA",IF($D308="","Zona STOCK",IF($E308="","CEK SKU DESCRIPTION kosong",IF(AND(AE308&lt;&gt;"",AF308=""),"CEK URUTAN SAMBUNG kosong",IF(AND(AE308&lt;&gt;"",LEFT(AH308,6)="Endcap"),"CEK Endcap tidak ikut sambung","OK")))))))))</f>
        <v/>
      </c>
    </row>
    <row r="309">
      <c r="A309" s="10" t="n"/>
      <c r="B309" s="10" t="n"/>
      <c r="C309" s="10" t="n"/>
      <c r="D309" s="10" t="n"/>
      <c r="E309" s="10" t="n"/>
      <c r="F309" s="10" t="n"/>
      <c r="G309" s="10" t="n"/>
      <c r="H309" s="10" t="n"/>
      <c r="I309" s="10" t="n"/>
      <c r="J309" s="10" t="n"/>
      <c r="K309" s="10" t="n"/>
      <c r="L309" s="11" t="n"/>
      <c r="M309" s="11" t="n"/>
      <c r="N309" s="11" t="n"/>
      <c r="O309" s="11" t="n"/>
      <c r="P309" s="11" t="n"/>
      <c r="Q309" s="11" t="n"/>
      <c r="R309" s="12">
        <f>IF(L309="","",IFERROR(INDEX(DAFTAR_FIXTURE!$B$2:$B$51,MATCH(L309,DAFTAR_FIXTURE!$A$2:$A$51,0)),""))</f>
        <v/>
      </c>
      <c r="S309" s="12">
        <f>IF(AND($D309="",L309=""),"",IF(L309="",IF(AND(T309="",AB309=""),"Belum ditempatkan",""),IF(R309="","CEK ID FIXTURE tidak ada di DAFTAR_FIXTURE",IF(M309="","CEK ZONA NO kosong",IF(ISNA(MATCH(R309&amp;"|"&amp;M309,LAYOUT!$E$2:$E$80,0)),"CEK ZONA NO di luar layout",IF(N309&lt;&gt;INDEX(LAYOUT!$D$2:$D$80,MATCH(R309&amp;"|"&amp;M309,LAYOUT!$E$2:$E$80,0)),"CEK JENIS ZONA",IF($D309="","Zona STOCK",IF($E309="","CEK SKU DESCRIPTION kosong",IF(AND(O309&lt;&gt;"",P309=""),"CEK URUTAN SAMBUNG kosong",IF(AND(O309&lt;&gt;"",LEFT(R309,6)="Endcap"),"CEK Endcap tidak ikut sambung","OK"))))))))))</f>
        <v/>
      </c>
      <c r="T309" s="11" t="n"/>
      <c r="U309" s="11" t="n"/>
      <c r="V309" s="11" t="n"/>
      <c r="W309" s="11" t="n"/>
      <c r="X309" s="11" t="n"/>
      <c r="Y309" s="11" t="n"/>
      <c r="Z309" s="12">
        <f>IF(T309="","",IFERROR(INDEX(DAFTAR_FIXTURE!$B$2:$B$51,MATCH(T309,DAFTAR_FIXTURE!$A$2:$A$51,0)),""))</f>
        <v/>
      </c>
      <c r="AA309" s="12">
        <f>IF(T309="","",IF(Z309="","CEK ID FIXTURE tidak ada di DAFTAR_FIXTURE",IF(U309="","CEK ZONA NO kosong",IF(ISNA(MATCH(Z309&amp;"|"&amp;U309,LAYOUT!$E$2:$E$80,0)),"CEK ZONA NO di luar layout",IF(V309&lt;&gt;INDEX(LAYOUT!$D$2:$D$80,MATCH(Z309&amp;"|"&amp;U309,LAYOUT!$E$2:$E$80,0)),"CEK JENIS ZONA",IF($D309="","Zona STOCK",IF($E309="","CEK SKU DESCRIPTION kosong",IF(AND(W309&lt;&gt;"",X309=""),"CEK URUTAN SAMBUNG kosong",IF(AND(W309&lt;&gt;"",LEFT(Z309,6)="Endcap"),"CEK Endcap tidak ikut sambung","OK")))))))))</f>
        <v/>
      </c>
      <c r="AB309" s="11" t="n"/>
      <c r="AC309" s="11" t="n"/>
      <c r="AD309" s="11" t="n"/>
      <c r="AE309" s="11" t="n"/>
      <c r="AF309" s="11" t="n"/>
      <c r="AG309" s="11" t="n"/>
      <c r="AH309" s="12">
        <f>IF(AB309="","",IFERROR(INDEX(DAFTAR_FIXTURE!$B$2:$B$51,MATCH(AB309,DAFTAR_FIXTURE!$A$2:$A$51,0)),""))</f>
        <v/>
      </c>
      <c r="AI309" s="12">
        <f>IF(AB309="","",IF(AH309="","CEK ID FIXTURE tidak ada di DAFTAR_FIXTURE",IF(AC309="","CEK ZONA NO kosong",IF(ISNA(MATCH(AH309&amp;"|"&amp;AC309,LAYOUT!$E$2:$E$80,0)),"CEK ZONA NO di luar layout",IF(AD309&lt;&gt;INDEX(LAYOUT!$D$2:$D$80,MATCH(AH309&amp;"|"&amp;AC309,LAYOUT!$E$2:$E$80,0)),"CEK JENIS ZONA",IF($D309="","Zona STOCK",IF($E309="","CEK SKU DESCRIPTION kosong",IF(AND(AE309&lt;&gt;"",AF309=""),"CEK URUTAN SAMBUNG kosong",IF(AND(AE309&lt;&gt;"",LEFT(AH309,6)="Endcap"),"CEK Endcap tidak ikut sambung","OK")))))))))</f>
        <v/>
      </c>
    </row>
    <row r="310">
      <c r="A310" s="10" t="n"/>
      <c r="B310" s="10" t="n"/>
      <c r="C310" s="10" t="n"/>
      <c r="D310" s="10" t="n"/>
      <c r="E310" s="10" t="n"/>
      <c r="F310" s="10" t="n"/>
      <c r="G310" s="10" t="n"/>
      <c r="H310" s="10" t="n"/>
      <c r="I310" s="10" t="n"/>
      <c r="J310" s="10" t="n"/>
      <c r="K310" s="10" t="n"/>
      <c r="L310" s="11" t="n"/>
      <c r="M310" s="11" t="n"/>
      <c r="N310" s="11" t="n"/>
      <c r="O310" s="11" t="n"/>
      <c r="P310" s="11" t="n"/>
      <c r="Q310" s="11" t="n"/>
      <c r="R310" s="12">
        <f>IF(L310="","",IFERROR(INDEX(DAFTAR_FIXTURE!$B$2:$B$51,MATCH(L310,DAFTAR_FIXTURE!$A$2:$A$51,0)),""))</f>
        <v/>
      </c>
      <c r="S310" s="12">
        <f>IF(AND($D310="",L310=""),"",IF(L310="",IF(AND(T310="",AB310=""),"Belum ditempatkan",""),IF(R310="","CEK ID FIXTURE tidak ada di DAFTAR_FIXTURE",IF(M310="","CEK ZONA NO kosong",IF(ISNA(MATCH(R310&amp;"|"&amp;M310,LAYOUT!$E$2:$E$80,0)),"CEK ZONA NO di luar layout",IF(N310&lt;&gt;INDEX(LAYOUT!$D$2:$D$80,MATCH(R310&amp;"|"&amp;M310,LAYOUT!$E$2:$E$80,0)),"CEK JENIS ZONA",IF($D310="","Zona STOCK",IF($E310="","CEK SKU DESCRIPTION kosong",IF(AND(O310&lt;&gt;"",P310=""),"CEK URUTAN SAMBUNG kosong",IF(AND(O310&lt;&gt;"",LEFT(R310,6)="Endcap"),"CEK Endcap tidak ikut sambung","OK"))))))))))</f>
        <v/>
      </c>
      <c r="T310" s="11" t="n"/>
      <c r="U310" s="11" t="n"/>
      <c r="V310" s="11" t="n"/>
      <c r="W310" s="11" t="n"/>
      <c r="X310" s="11" t="n"/>
      <c r="Y310" s="11" t="n"/>
      <c r="Z310" s="12">
        <f>IF(T310="","",IFERROR(INDEX(DAFTAR_FIXTURE!$B$2:$B$51,MATCH(T310,DAFTAR_FIXTURE!$A$2:$A$51,0)),""))</f>
        <v/>
      </c>
      <c r="AA310" s="12">
        <f>IF(T310="","",IF(Z310="","CEK ID FIXTURE tidak ada di DAFTAR_FIXTURE",IF(U310="","CEK ZONA NO kosong",IF(ISNA(MATCH(Z310&amp;"|"&amp;U310,LAYOUT!$E$2:$E$80,0)),"CEK ZONA NO di luar layout",IF(V310&lt;&gt;INDEX(LAYOUT!$D$2:$D$80,MATCH(Z310&amp;"|"&amp;U310,LAYOUT!$E$2:$E$80,0)),"CEK JENIS ZONA",IF($D310="","Zona STOCK",IF($E310="","CEK SKU DESCRIPTION kosong",IF(AND(W310&lt;&gt;"",X310=""),"CEK URUTAN SAMBUNG kosong",IF(AND(W310&lt;&gt;"",LEFT(Z310,6)="Endcap"),"CEK Endcap tidak ikut sambung","OK")))))))))</f>
        <v/>
      </c>
      <c r="AB310" s="11" t="n"/>
      <c r="AC310" s="11" t="n"/>
      <c r="AD310" s="11" t="n"/>
      <c r="AE310" s="11" t="n"/>
      <c r="AF310" s="11" t="n"/>
      <c r="AG310" s="11" t="n"/>
      <c r="AH310" s="12">
        <f>IF(AB310="","",IFERROR(INDEX(DAFTAR_FIXTURE!$B$2:$B$51,MATCH(AB310,DAFTAR_FIXTURE!$A$2:$A$51,0)),""))</f>
        <v/>
      </c>
      <c r="AI310" s="12">
        <f>IF(AB310="","",IF(AH310="","CEK ID FIXTURE tidak ada di DAFTAR_FIXTURE",IF(AC310="","CEK ZONA NO kosong",IF(ISNA(MATCH(AH310&amp;"|"&amp;AC310,LAYOUT!$E$2:$E$80,0)),"CEK ZONA NO di luar layout",IF(AD310&lt;&gt;INDEX(LAYOUT!$D$2:$D$80,MATCH(AH310&amp;"|"&amp;AC310,LAYOUT!$E$2:$E$80,0)),"CEK JENIS ZONA",IF($D310="","Zona STOCK",IF($E310="","CEK SKU DESCRIPTION kosong",IF(AND(AE310&lt;&gt;"",AF310=""),"CEK URUTAN SAMBUNG kosong",IF(AND(AE310&lt;&gt;"",LEFT(AH310,6)="Endcap"),"CEK Endcap tidak ikut sambung","OK")))))))))</f>
        <v/>
      </c>
    </row>
    <row r="311">
      <c r="A311" s="10" t="n"/>
      <c r="B311" s="10" t="n"/>
      <c r="C311" s="10" t="n"/>
      <c r="D311" s="10" t="n"/>
      <c r="E311" s="10" t="n"/>
      <c r="F311" s="10" t="n"/>
      <c r="G311" s="10" t="n"/>
      <c r="H311" s="10" t="n"/>
      <c r="I311" s="10" t="n"/>
      <c r="J311" s="10" t="n"/>
      <c r="K311" s="10" t="n"/>
      <c r="L311" s="11" t="n"/>
      <c r="M311" s="11" t="n"/>
      <c r="N311" s="11" t="n"/>
      <c r="O311" s="11" t="n"/>
      <c r="P311" s="11" t="n"/>
      <c r="Q311" s="11" t="n"/>
      <c r="R311" s="12">
        <f>IF(L311="","",IFERROR(INDEX(DAFTAR_FIXTURE!$B$2:$B$51,MATCH(L311,DAFTAR_FIXTURE!$A$2:$A$51,0)),""))</f>
        <v/>
      </c>
      <c r="S311" s="12">
        <f>IF(AND($D311="",L311=""),"",IF(L311="",IF(AND(T311="",AB311=""),"Belum ditempatkan",""),IF(R311="","CEK ID FIXTURE tidak ada di DAFTAR_FIXTURE",IF(M311="","CEK ZONA NO kosong",IF(ISNA(MATCH(R311&amp;"|"&amp;M311,LAYOUT!$E$2:$E$80,0)),"CEK ZONA NO di luar layout",IF(N311&lt;&gt;INDEX(LAYOUT!$D$2:$D$80,MATCH(R311&amp;"|"&amp;M311,LAYOUT!$E$2:$E$80,0)),"CEK JENIS ZONA",IF($D311="","Zona STOCK",IF($E311="","CEK SKU DESCRIPTION kosong",IF(AND(O311&lt;&gt;"",P311=""),"CEK URUTAN SAMBUNG kosong",IF(AND(O311&lt;&gt;"",LEFT(R311,6)="Endcap"),"CEK Endcap tidak ikut sambung","OK"))))))))))</f>
        <v/>
      </c>
      <c r="T311" s="11" t="n"/>
      <c r="U311" s="11" t="n"/>
      <c r="V311" s="11" t="n"/>
      <c r="W311" s="11" t="n"/>
      <c r="X311" s="11" t="n"/>
      <c r="Y311" s="11" t="n"/>
      <c r="Z311" s="12">
        <f>IF(T311="","",IFERROR(INDEX(DAFTAR_FIXTURE!$B$2:$B$51,MATCH(T311,DAFTAR_FIXTURE!$A$2:$A$51,0)),""))</f>
        <v/>
      </c>
      <c r="AA311" s="12">
        <f>IF(T311="","",IF(Z311="","CEK ID FIXTURE tidak ada di DAFTAR_FIXTURE",IF(U311="","CEK ZONA NO kosong",IF(ISNA(MATCH(Z311&amp;"|"&amp;U311,LAYOUT!$E$2:$E$80,0)),"CEK ZONA NO di luar layout",IF(V311&lt;&gt;INDEX(LAYOUT!$D$2:$D$80,MATCH(Z311&amp;"|"&amp;U311,LAYOUT!$E$2:$E$80,0)),"CEK JENIS ZONA",IF($D311="","Zona STOCK",IF($E311="","CEK SKU DESCRIPTION kosong",IF(AND(W311&lt;&gt;"",X311=""),"CEK URUTAN SAMBUNG kosong",IF(AND(W311&lt;&gt;"",LEFT(Z311,6)="Endcap"),"CEK Endcap tidak ikut sambung","OK")))))))))</f>
        <v/>
      </c>
      <c r="AB311" s="11" t="n"/>
      <c r="AC311" s="11" t="n"/>
      <c r="AD311" s="11" t="n"/>
      <c r="AE311" s="11" t="n"/>
      <c r="AF311" s="11" t="n"/>
      <c r="AG311" s="11" t="n"/>
      <c r="AH311" s="12">
        <f>IF(AB311="","",IFERROR(INDEX(DAFTAR_FIXTURE!$B$2:$B$51,MATCH(AB311,DAFTAR_FIXTURE!$A$2:$A$51,0)),""))</f>
        <v/>
      </c>
      <c r="AI311" s="12">
        <f>IF(AB311="","",IF(AH311="","CEK ID FIXTURE tidak ada di DAFTAR_FIXTURE",IF(AC311="","CEK ZONA NO kosong",IF(ISNA(MATCH(AH311&amp;"|"&amp;AC311,LAYOUT!$E$2:$E$80,0)),"CEK ZONA NO di luar layout",IF(AD311&lt;&gt;INDEX(LAYOUT!$D$2:$D$80,MATCH(AH311&amp;"|"&amp;AC311,LAYOUT!$E$2:$E$80,0)),"CEK JENIS ZONA",IF($D311="","Zona STOCK",IF($E311="","CEK SKU DESCRIPTION kosong",IF(AND(AE311&lt;&gt;"",AF311=""),"CEK URUTAN SAMBUNG kosong",IF(AND(AE311&lt;&gt;"",LEFT(AH311,6)="Endcap"),"CEK Endcap tidak ikut sambung","OK")))))))))</f>
        <v/>
      </c>
    </row>
    <row r="312">
      <c r="A312" s="10" t="n"/>
      <c r="B312" s="10" t="n"/>
      <c r="C312" s="10" t="n"/>
      <c r="D312" s="10" t="n"/>
      <c r="E312" s="10" t="n"/>
      <c r="F312" s="10" t="n"/>
      <c r="G312" s="10" t="n"/>
      <c r="H312" s="10" t="n"/>
      <c r="I312" s="10" t="n"/>
      <c r="J312" s="10" t="n"/>
      <c r="K312" s="10" t="n"/>
      <c r="L312" s="11" t="n"/>
      <c r="M312" s="11" t="n"/>
      <c r="N312" s="11" t="n"/>
      <c r="O312" s="11" t="n"/>
      <c r="P312" s="11" t="n"/>
      <c r="Q312" s="11" t="n"/>
      <c r="R312" s="12">
        <f>IF(L312="","",IFERROR(INDEX(DAFTAR_FIXTURE!$B$2:$B$51,MATCH(L312,DAFTAR_FIXTURE!$A$2:$A$51,0)),""))</f>
        <v/>
      </c>
      <c r="S312" s="12">
        <f>IF(AND($D312="",L312=""),"",IF(L312="",IF(AND(T312="",AB312=""),"Belum ditempatkan",""),IF(R312="","CEK ID FIXTURE tidak ada di DAFTAR_FIXTURE",IF(M312="","CEK ZONA NO kosong",IF(ISNA(MATCH(R312&amp;"|"&amp;M312,LAYOUT!$E$2:$E$80,0)),"CEK ZONA NO di luar layout",IF(N312&lt;&gt;INDEX(LAYOUT!$D$2:$D$80,MATCH(R312&amp;"|"&amp;M312,LAYOUT!$E$2:$E$80,0)),"CEK JENIS ZONA",IF($D312="","Zona STOCK",IF($E312="","CEK SKU DESCRIPTION kosong",IF(AND(O312&lt;&gt;"",P312=""),"CEK URUTAN SAMBUNG kosong",IF(AND(O312&lt;&gt;"",LEFT(R312,6)="Endcap"),"CEK Endcap tidak ikut sambung","OK"))))))))))</f>
        <v/>
      </c>
      <c r="T312" s="11" t="n"/>
      <c r="U312" s="11" t="n"/>
      <c r="V312" s="11" t="n"/>
      <c r="W312" s="11" t="n"/>
      <c r="X312" s="11" t="n"/>
      <c r="Y312" s="11" t="n"/>
      <c r="Z312" s="12">
        <f>IF(T312="","",IFERROR(INDEX(DAFTAR_FIXTURE!$B$2:$B$51,MATCH(T312,DAFTAR_FIXTURE!$A$2:$A$51,0)),""))</f>
        <v/>
      </c>
      <c r="AA312" s="12">
        <f>IF(T312="","",IF(Z312="","CEK ID FIXTURE tidak ada di DAFTAR_FIXTURE",IF(U312="","CEK ZONA NO kosong",IF(ISNA(MATCH(Z312&amp;"|"&amp;U312,LAYOUT!$E$2:$E$80,0)),"CEK ZONA NO di luar layout",IF(V312&lt;&gt;INDEX(LAYOUT!$D$2:$D$80,MATCH(Z312&amp;"|"&amp;U312,LAYOUT!$E$2:$E$80,0)),"CEK JENIS ZONA",IF($D312="","Zona STOCK",IF($E312="","CEK SKU DESCRIPTION kosong",IF(AND(W312&lt;&gt;"",X312=""),"CEK URUTAN SAMBUNG kosong",IF(AND(W312&lt;&gt;"",LEFT(Z312,6)="Endcap"),"CEK Endcap tidak ikut sambung","OK")))))))))</f>
        <v/>
      </c>
      <c r="AB312" s="11" t="n"/>
      <c r="AC312" s="11" t="n"/>
      <c r="AD312" s="11" t="n"/>
      <c r="AE312" s="11" t="n"/>
      <c r="AF312" s="11" t="n"/>
      <c r="AG312" s="11" t="n"/>
      <c r="AH312" s="12">
        <f>IF(AB312="","",IFERROR(INDEX(DAFTAR_FIXTURE!$B$2:$B$51,MATCH(AB312,DAFTAR_FIXTURE!$A$2:$A$51,0)),""))</f>
        <v/>
      </c>
      <c r="AI312" s="12">
        <f>IF(AB312="","",IF(AH312="","CEK ID FIXTURE tidak ada di DAFTAR_FIXTURE",IF(AC312="","CEK ZONA NO kosong",IF(ISNA(MATCH(AH312&amp;"|"&amp;AC312,LAYOUT!$E$2:$E$80,0)),"CEK ZONA NO di luar layout",IF(AD312&lt;&gt;INDEX(LAYOUT!$D$2:$D$80,MATCH(AH312&amp;"|"&amp;AC312,LAYOUT!$E$2:$E$80,0)),"CEK JENIS ZONA",IF($D312="","Zona STOCK",IF($E312="","CEK SKU DESCRIPTION kosong",IF(AND(AE312&lt;&gt;"",AF312=""),"CEK URUTAN SAMBUNG kosong",IF(AND(AE312&lt;&gt;"",LEFT(AH312,6)="Endcap"),"CEK Endcap tidak ikut sambung","OK")))))))))</f>
        <v/>
      </c>
    </row>
    <row r="313">
      <c r="A313" s="10" t="n"/>
      <c r="B313" s="10" t="n"/>
      <c r="C313" s="10" t="n"/>
      <c r="D313" s="10" t="n"/>
      <c r="E313" s="10" t="n"/>
      <c r="F313" s="10" t="n"/>
      <c r="G313" s="10" t="n"/>
      <c r="H313" s="10" t="n"/>
      <c r="I313" s="10" t="n"/>
      <c r="J313" s="10" t="n"/>
      <c r="K313" s="10" t="n"/>
      <c r="L313" s="11" t="n"/>
      <c r="M313" s="11" t="n"/>
      <c r="N313" s="11" t="n"/>
      <c r="O313" s="11" t="n"/>
      <c r="P313" s="11" t="n"/>
      <c r="Q313" s="11" t="n"/>
      <c r="R313" s="12">
        <f>IF(L313="","",IFERROR(INDEX(DAFTAR_FIXTURE!$B$2:$B$51,MATCH(L313,DAFTAR_FIXTURE!$A$2:$A$51,0)),""))</f>
        <v/>
      </c>
      <c r="S313" s="12">
        <f>IF(AND($D313="",L313=""),"",IF(L313="",IF(AND(T313="",AB313=""),"Belum ditempatkan",""),IF(R313="","CEK ID FIXTURE tidak ada di DAFTAR_FIXTURE",IF(M313="","CEK ZONA NO kosong",IF(ISNA(MATCH(R313&amp;"|"&amp;M313,LAYOUT!$E$2:$E$80,0)),"CEK ZONA NO di luar layout",IF(N313&lt;&gt;INDEX(LAYOUT!$D$2:$D$80,MATCH(R313&amp;"|"&amp;M313,LAYOUT!$E$2:$E$80,0)),"CEK JENIS ZONA",IF($D313="","Zona STOCK",IF($E313="","CEK SKU DESCRIPTION kosong",IF(AND(O313&lt;&gt;"",P313=""),"CEK URUTAN SAMBUNG kosong",IF(AND(O313&lt;&gt;"",LEFT(R313,6)="Endcap"),"CEK Endcap tidak ikut sambung","OK"))))))))))</f>
        <v/>
      </c>
      <c r="T313" s="11" t="n"/>
      <c r="U313" s="11" t="n"/>
      <c r="V313" s="11" t="n"/>
      <c r="W313" s="11" t="n"/>
      <c r="X313" s="11" t="n"/>
      <c r="Y313" s="11" t="n"/>
      <c r="Z313" s="12">
        <f>IF(T313="","",IFERROR(INDEX(DAFTAR_FIXTURE!$B$2:$B$51,MATCH(T313,DAFTAR_FIXTURE!$A$2:$A$51,0)),""))</f>
        <v/>
      </c>
      <c r="AA313" s="12">
        <f>IF(T313="","",IF(Z313="","CEK ID FIXTURE tidak ada di DAFTAR_FIXTURE",IF(U313="","CEK ZONA NO kosong",IF(ISNA(MATCH(Z313&amp;"|"&amp;U313,LAYOUT!$E$2:$E$80,0)),"CEK ZONA NO di luar layout",IF(V313&lt;&gt;INDEX(LAYOUT!$D$2:$D$80,MATCH(Z313&amp;"|"&amp;U313,LAYOUT!$E$2:$E$80,0)),"CEK JENIS ZONA",IF($D313="","Zona STOCK",IF($E313="","CEK SKU DESCRIPTION kosong",IF(AND(W313&lt;&gt;"",X313=""),"CEK URUTAN SAMBUNG kosong",IF(AND(W313&lt;&gt;"",LEFT(Z313,6)="Endcap"),"CEK Endcap tidak ikut sambung","OK")))))))))</f>
        <v/>
      </c>
      <c r="AB313" s="11" t="n"/>
      <c r="AC313" s="11" t="n"/>
      <c r="AD313" s="11" t="n"/>
      <c r="AE313" s="11" t="n"/>
      <c r="AF313" s="11" t="n"/>
      <c r="AG313" s="11" t="n"/>
      <c r="AH313" s="12">
        <f>IF(AB313="","",IFERROR(INDEX(DAFTAR_FIXTURE!$B$2:$B$51,MATCH(AB313,DAFTAR_FIXTURE!$A$2:$A$51,0)),""))</f>
        <v/>
      </c>
      <c r="AI313" s="12">
        <f>IF(AB313="","",IF(AH313="","CEK ID FIXTURE tidak ada di DAFTAR_FIXTURE",IF(AC313="","CEK ZONA NO kosong",IF(ISNA(MATCH(AH313&amp;"|"&amp;AC313,LAYOUT!$E$2:$E$80,0)),"CEK ZONA NO di luar layout",IF(AD313&lt;&gt;INDEX(LAYOUT!$D$2:$D$80,MATCH(AH313&amp;"|"&amp;AC313,LAYOUT!$E$2:$E$80,0)),"CEK JENIS ZONA",IF($D313="","Zona STOCK",IF($E313="","CEK SKU DESCRIPTION kosong",IF(AND(AE313&lt;&gt;"",AF313=""),"CEK URUTAN SAMBUNG kosong",IF(AND(AE313&lt;&gt;"",LEFT(AH313,6)="Endcap"),"CEK Endcap tidak ikut sambung","OK")))))))))</f>
        <v/>
      </c>
    </row>
    <row r="314">
      <c r="A314" s="10" t="n"/>
      <c r="B314" s="10" t="n"/>
      <c r="C314" s="10" t="n"/>
      <c r="D314" s="10" t="n"/>
      <c r="E314" s="10" t="n"/>
      <c r="F314" s="10" t="n"/>
      <c r="G314" s="10" t="n"/>
      <c r="H314" s="10" t="n"/>
      <c r="I314" s="10" t="n"/>
      <c r="J314" s="10" t="n"/>
      <c r="K314" s="10" t="n"/>
      <c r="L314" s="11" t="n"/>
      <c r="M314" s="11" t="n"/>
      <c r="N314" s="11" t="n"/>
      <c r="O314" s="11" t="n"/>
      <c r="P314" s="11" t="n"/>
      <c r="Q314" s="11" t="n"/>
      <c r="R314" s="12">
        <f>IF(L314="","",IFERROR(INDEX(DAFTAR_FIXTURE!$B$2:$B$51,MATCH(L314,DAFTAR_FIXTURE!$A$2:$A$51,0)),""))</f>
        <v/>
      </c>
      <c r="S314" s="12">
        <f>IF(AND($D314="",L314=""),"",IF(L314="",IF(AND(T314="",AB314=""),"Belum ditempatkan",""),IF(R314="","CEK ID FIXTURE tidak ada di DAFTAR_FIXTURE",IF(M314="","CEK ZONA NO kosong",IF(ISNA(MATCH(R314&amp;"|"&amp;M314,LAYOUT!$E$2:$E$80,0)),"CEK ZONA NO di luar layout",IF(N314&lt;&gt;INDEX(LAYOUT!$D$2:$D$80,MATCH(R314&amp;"|"&amp;M314,LAYOUT!$E$2:$E$80,0)),"CEK JENIS ZONA",IF($D314="","Zona STOCK",IF($E314="","CEK SKU DESCRIPTION kosong",IF(AND(O314&lt;&gt;"",P314=""),"CEK URUTAN SAMBUNG kosong",IF(AND(O314&lt;&gt;"",LEFT(R314,6)="Endcap"),"CEK Endcap tidak ikut sambung","OK"))))))))))</f>
        <v/>
      </c>
      <c r="T314" s="11" t="n"/>
      <c r="U314" s="11" t="n"/>
      <c r="V314" s="11" t="n"/>
      <c r="W314" s="11" t="n"/>
      <c r="X314" s="11" t="n"/>
      <c r="Y314" s="11" t="n"/>
      <c r="Z314" s="12">
        <f>IF(T314="","",IFERROR(INDEX(DAFTAR_FIXTURE!$B$2:$B$51,MATCH(T314,DAFTAR_FIXTURE!$A$2:$A$51,0)),""))</f>
        <v/>
      </c>
      <c r="AA314" s="12">
        <f>IF(T314="","",IF(Z314="","CEK ID FIXTURE tidak ada di DAFTAR_FIXTURE",IF(U314="","CEK ZONA NO kosong",IF(ISNA(MATCH(Z314&amp;"|"&amp;U314,LAYOUT!$E$2:$E$80,0)),"CEK ZONA NO di luar layout",IF(V314&lt;&gt;INDEX(LAYOUT!$D$2:$D$80,MATCH(Z314&amp;"|"&amp;U314,LAYOUT!$E$2:$E$80,0)),"CEK JENIS ZONA",IF($D314="","Zona STOCK",IF($E314="","CEK SKU DESCRIPTION kosong",IF(AND(W314&lt;&gt;"",X314=""),"CEK URUTAN SAMBUNG kosong",IF(AND(W314&lt;&gt;"",LEFT(Z314,6)="Endcap"),"CEK Endcap tidak ikut sambung","OK")))))))))</f>
        <v/>
      </c>
      <c r="AB314" s="11" t="n"/>
      <c r="AC314" s="11" t="n"/>
      <c r="AD314" s="11" t="n"/>
      <c r="AE314" s="11" t="n"/>
      <c r="AF314" s="11" t="n"/>
      <c r="AG314" s="11" t="n"/>
      <c r="AH314" s="12">
        <f>IF(AB314="","",IFERROR(INDEX(DAFTAR_FIXTURE!$B$2:$B$51,MATCH(AB314,DAFTAR_FIXTURE!$A$2:$A$51,0)),""))</f>
        <v/>
      </c>
      <c r="AI314" s="12">
        <f>IF(AB314="","",IF(AH314="","CEK ID FIXTURE tidak ada di DAFTAR_FIXTURE",IF(AC314="","CEK ZONA NO kosong",IF(ISNA(MATCH(AH314&amp;"|"&amp;AC314,LAYOUT!$E$2:$E$80,0)),"CEK ZONA NO di luar layout",IF(AD314&lt;&gt;INDEX(LAYOUT!$D$2:$D$80,MATCH(AH314&amp;"|"&amp;AC314,LAYOUT!$E$2:$E$80,0)),"CEK JENIS ZONA",IF($D314="","Zona STOCK",IF($E314="","CEK SKU DESCRIPTION kosong",IF(AND(AE314&lt;&gt;"",AF314=""),"CEK URUTAN SAMBUNG kosong",IF(AND(AE314&lt;&gt;"",LEFT(AH314,6)="Endcap"),"CEK Endcap tidak ikut sambung","OK")))))))))</f>
        <v/>
      </c>
    </row>
    <row r="315">
      <c r="A315" s="10" t="n"/>
      <c r="B315" s="10" t="n"/>
      <c r="C315" s="10" t="n"/>
      <c r="D315" s="10" t="n"/>
      <c r="E315" s="10" t="n"/>
      <c r="F315" s="10" t="n"/>
      <c r="G315" s="10" t="n"/>
      <c r="H315" s="10" t="n"/>
      <c r="I315" s="10" t="n"/>
      <c r="J315" s="10" t="n"/>
      <c r="K315" s="10" t="n"/>
      <c r="L315" s="11" t="n"/>
      <c r="M315" s="11" t="n"/>
      <c r="N315" s="11" t="n"/>
      <c r="O315" s="11" t="n"/>
      <c r="P315" s="11" t="n"/>
      <c r="Q315" s="11" t="n"/>
      <c r="R315" s="12">
        <f>IF(L315="","",IFERROR(INDEX(DAFTAR_FIXTURE!$B$2:$B$51,MATCH(L315,DAFTAR_FIXTURE!$A$2:$A$51,0)),""))</f>
        <v/>
      </c>
      <c r="S315" s="12">
        <f>IF(AND($D315="",L315=""),"",IF(L315="",IF(AND(T315="",AB315=""),"Belum ditempatkan",""),IF(R315="","CEK ID FIXTURE tidak ada di DAFTAR_FIXTURE",IF(M315="","CEK ZONA NO kosong",IF(ISNA(MATCH(R315&amp;"|"&amp;M315,LAYOUT!$E$2:$E$80,0)),"CEK ZONA NO di luar layout",IF(N315&lt;&gt;INDEX(LAYOUT!$D$2:$D$80,MATCH(R315&amp;"|"&amp;M315,LAYOUT!$E$2:$E$80,0)),"CEK JENIS ZONA",IF($D315="","Zona STOCK",IF($E315="","CEK SKU DESCRIPTION kosong",IF(AND(O315&lt;&gt;"",P315=""),"CEK URUTAN SAMBUNG kosong",IF(AND(O315&lt;&gt;"",LEFT(R315,6)="Endcap"),"CEK Endcap tidak ikut sambung","OK"))))))))))</f>
        <v/>
      </c>
      <c r="T315" s="11" t="n"/>
      <c r="U315" s="11" t="n"/>
      <c r="V315" s="11" t="n"/>
      <c r="W315" s="11" t="n"/>
      <c r="X315" s="11" t="n"/>
      <c r="Y315" s="11" t="n"/>
      <c r="Z315" s="12">
        <f>IF(T315="","",IFERROR(INDEX(DAFTAR_FIXTURE!$B$2:$B$51,MATCH(T315,DAFTAR_FIXTURE!$A$2:$A$51,0)),""))</f>
        <v/>
      </c>
      <c r="AA315" s="12">
        <f>IF(T315="","",IF(Z315="","CEK ID FIXTURE tidak ada di DAFTAR_FIXTURE",IF(U315="","CEK ZONA NO kosong",IF(ISNA(MATCH(Z315&amp;"|"&amp;U315,LAYOUT!$E$2:$E$80,0)),"CEK ZONA NO di luar layout",IF(V315&lt;&gt;INDEX(LAYOUT!$D$2:$D$80,MATCH(Z315&amp;"|"&amp;U315,LAYOUT!$E$2:$E$80,0)),"CEK JENIS ZONA",IF($D315="","Zona STOCK",IF($E315="","CEK SKU DESCRIPTION kosong",IF(AND(W315&lt;&gt;"",X315=""),"CEK URUTAN SAMBUNG kosong",IF(AND(W315&lt;&gt;"",LEFT(Z315,6)="Endcap"),"CEK Endcap tidak ikut sambung","OK")))))))))</f>
        <v/>
      </c>
      <c r="AB315" s="11" t="n"/>
      <c r="AC315" s="11" t="n"/>
      <c r="AD315" s="11" t="n"/>
      <c r="AE315" s="11" t="n"/>
      <c r="AF315" s="11" t="n"/>
      <c r="AG315" s="11" t="n"/>
      <c r="AH315" s="12">
        <f>IF(AB315="","",IFERROR(INDEX(DAFTAR_FIXTURE!$B$2:$B$51,MATCH(AB315,DAFTAR_FIXTURE!$A$2:$A$51,0)),""))</f>
        <v/>
      </c>
      <c r="AI315" s="12">
        <f>IF(AB315="","",IF(AH315="","CEK ID FIXTURE tidak ada di DAFTAR_FIXTURE",IF(AC315="","CEK ZONA NO kosong",IF(ISNA(MATCH(AH315&amp;"|"&amp;AC315,LAYOUT!$E$2:$E$80,0)),"CEK ZONA NO di luar layout",IF(AD315&lt;&gt;INDEX(LAYOUT!$D$2:$D$80,MATCH(AH315&amp;"|"&amp;AC315,LAYOUT!$E$2:$E$80,0)),"CEK JENIS ZONA",IF($D315="","Zona STOCK",IF($E315="","CEK SKU DESCRIPTION kosong",IF(AND(AE315&lt;&gt;"",AF315=""),"CEK URUTAN SAMBUNG kosong",IF(AND(AE315&lt;&gt;"",LEFT(AH315,6)="Endcap"),"CEK Endcap tidak ikut sambung","OK")))))))))</f>
        <v/>
      </c>
    </row>
    <row r="316">
      <c r="A316" s="10" t="n"/>
      <c r="B316" s="10" t="n"/>
      <c r="C316" s="10" t="n"/>
      <c r="D316" s="10" t="n"/>
      <c r="E316" s="10" t="n"/>
      <c r="F316" s="10" t="n"/>
      <c r="G316" s="10" t="n"/>
      <c r="H316" s="10" t="n"/>
      <c r="I316" s="10" t="n"/>
      <c r="J316" s="10" t="n"/>
      <c r="K316" s="10" t="n"/>
      <c r="L316" s="11" t="n"/>
      <c r="M316" s="11" t="n"/>
      <c r="N316" s="11" t="n"/>
      <c r="O316" s="11" t="n"/>
      <c r="P316" s="11" t="n"/>
      <c r="Q316" s="11" t="n"/>
      <c r="R316" s="12">
        <f>IF(L316="","",IFERROR(INDEX(DAFTAR_FIXTURE!$B$2:$B$51,MATCH(L316,DAFTAR_FIXTURE!$A$2:$A$51,0)),""))</f>
        <v/>
      </c>
      <c r="S316" s="12">
        <f>IF(AND($D316="",L316=""),"",IF(L316="",IF(AND(T316="",AB316=""),"Belum ditempatkan",""),IF(R316="","CEK ID FIXTURE tidak ada di DAFTAR_FIXTURE",IF(M316="","CEK ZONA NO kosong",IF(ISNA(MATCH(R316&amp;"|"&amp;M316,LAYOUT!$E$2:$E$80,0)),"CEK ZONA NO di luar layout",IF(N316&lt;&gt;INDEX(LAYOUT!$D$2:$D$80,MATCH(R316&amp;"|"&amp;M316,LAYOUT!$E$2:$E$80,0)),"CEK JENIS ZONA",IF($D316="","Zona STOCK",IF($E316="","CEK SKU DESCRIPTION kosong",IF(AND(O316&lt;&gt;"",P316=""),"CEK URUTAN SAMBUNG kosong",IF(AND(O316&lt;&gt;"",LEFT(R316,6)="Endcap"),"CEK Endcap tidak ikut sambung","OK"))))))))))</f>
        <v/>
      </c>
      <c r="T316" s="11" t="n"/>
      <c r="U316" s="11" t="n"/>
      <c r="V316" s="11" t="n"/>
      <c r="W316" s="11" t="n"/>
      <c r="X316" s="11" t="n"/>
      <c r="Y316" s="11" t="n"/>
      <c r="Z316" s="12">
        <f>IF(T316="","",IFERROR(INDEX(DAFTAR_FIXTURE!$B$2:$B$51,MATCH(T316,DAFTAR_FIXTURE!$A$2:$A$51,0)),""))</f>
        <v/>
      </c>
      <c r="AA316" s="12">
        <f>IF(T316="","",IF(Z316="","CEK ID FIXTURE tidak ada di DAFTAR_FIXTURE",IF(U316="","CEK ZONA NO kosong",IF(ISNA(MATCH(Z316&amp;"|"&amp;U316,LAYOUT!$E$2:$E$80,0)),"CEK ZONA NO di luar layout",IF(V316&lt;&gt;INDEX(LAYOUT!$D$2:$D$80,MATCH(Z316&amp;"|"&amp;U316,LAYOUT!$E$2:$E$80,0)),"CEK JENIS ZONA",IF($D316="","Zona STOCK",IF($E316="","CEK SKU DESCRIPTION kosong",IF(AND(W316&lt;&gt;"",X316=""),"CEK URUTAN SAMBUNG kosong",IF(AND(W316&lt;&gt;"",LEFT(Z316,6)="Endcap"),"CEK Endcap tidak ikut sambung","OK")))))))))</f>
        <v/>
      </c>
      <c r="AB316" s="11" t="n"/>
      <c r="AC316" s="11" t="n"/>
      <c r="AD316" s="11" t="n"/>
      <c r="AE316" s="11" t="n"/>
      <c r="AF316" s="11" t="n"/>
      <c r="AG316" s="11" t="n"/>
      <c r="AH316" s="12">
        <f>IF(AB316="","",IFERROR(INDEX(DAFTAR_FIXTURE!$B$2:$B$51,MATCH(AB316,DAFTAR_FIXTURE!$A$2:$A$51,0)),""))</f>
        <v/>
      </c>
      <c r="AI316" s="12">
        <f>IF(AB316="","",IF(AH316="","CEK ID FIXTURE tidak ada di DAFTAR_FIXTURE",IF(AC316="","CEK ZONA NO kosong",IF(ISNA(MATCH(AH316&amp;"|"&amp;AC316,LAYOUT!$E$2:$E$80,0)),"CEK ZONA NO di luar layout",IF(AD316&lt;&gt;INDEX(LAYOUT!$D$2:$D$80,MATCH(AH316&amp;"|"&amp;AC316,LAYOUT!$E$2:$E$80,0)),"CEK JENIS ZONA",IF($D316="","Zona STOCK",IF($E316="","CEK SKU DESCRIPTION kosong",IF(AND(AE316&lt;&gt;"",AF316=""),"CEK URUTAN SAMBUNG kosong",IF(AND(AE316&lt;&gt;"",LEFT(AH316,6)="Endcap"),"CEK Endcap tidak ikut sambung","OK")))))))))</f>
        <v/>
      </c>
    </row>
    <row r="317">
      <c r="A317" s="10" t="n"/>
      <c r="B317" s="10" t="n"/>
      <c r="C317" s="10" t="n"/>
      <c r="D317" s="10" t="n"/>
      <c r="E317" s="10" t="n"/>
      <c r="F317" s="10" t="n"/>
      <c r="G317" s="10" t="n"/>
      <c r="H317" s="10" t="n"/>
      <c r="I317" s="10" t="n"/>
      <c r="J317" s="10" t="n"/>
      <c r="K317" s="10" t="n"/>
      <c r="L317" s="11" t="n"/>
      <c r="M317" s="11" t="n"/>
      <c r="N317" s="11" t="n"/>
      <c r="O317" s="11" t="n"/>
      <c r="P317" s="11" t="n"/>
      <c r="Q317" s="11" t="n"/>
      <c r="R317" s="12">
        <f>IF(L317="","",IFERROR(INDEX(DAFTAR_FIXTURE!$B$2:$B$51,MATCH(L317,DAFTAR_FIXTURE!$A$2:$A$51,0)),""))</f>
        <v/>
      </c>
      <c r="S317" s="12">
        <f>IF(AND($D317="",L317=""),"",IF(L317="",IF(AND(T317="",AB317=""),"Belum ditempatkan",""),IF(R317="","CEK ID FIXTURE tidak ada di DAFTAR_FIXTURE",IF(M317="","CEK ZONA NO kosong",IF(ISNA(MATCH(R317&amp;"|"&amp;M317,LAYOUT!$E$2:$E$80,0)),"CEK ZONA NO di luar layout",IF(N317&lt;&gt;INDEX(LAYOUT!$D$2:$D$80,MATCH(R317&amp;"|"&amp;M317,LAYOUT!$E$2:$E$80,0)),"CEK JENIS ZONA",IF($D317="","Zona STOCK",IF($E317="","CEK SKU DESCRIPTION kosong",IF(AND(O317&lt;&gt;"",P317=""),"CEK URUTAN SAMBUNG kosong",IF(AND(O317&lt;&gt;"",LEFT(R317,6)="Endcap"),"CEK Endcap tidak ikut sambung","OK"))))))))))</f>
        <v/>
      </c>
      <c r="T317" s="11" t="n"/>
      <c r="U317" s="11" t="n"/>
      <c r="V317" s="11" t="n"/>
      <c r="W317" s="11" t="n"/>
      <c r="X317" s="11" t="n"/>
      <c r="Y317" s="11" t="n"/>
      <c r="Z317" s="12">
        <f>IF(T317="","",IFERROR(INDEX(DAFTAR_FIXTURE!$B$2:$B$51,MATCH(T317,DAFTAR_FIXTURE!$A$2:$A$51,0)),""))</f>
        <v/>
      </c>
      <c r="AA317" s="12">
        <f>IF(T317="","",IF(Z317="","CEK ID FIXTURE tidak ada di DAFTAR_FIXTURE",IF(U317="","CEK ZONA NO kosong",IF(ISNA(MATCH(Z317&amp;"|"&amp;U317,LAYOUT!$E$2:$E$80,0)),"CEK ZONA NO di luar layout",IF(V317&lt;&gt;INDEX(LAYOUT!$D$2:$D$80,MATCH(Z317&amp;"|"&amp;U317,LAYOUT!$E$2:$E$80,0)),"CEK JENIS ZONA",IF($D317="","Zona STOCK",IF($E317="","CEK SKU DESCRIPTION kosong",IF(AND(W317&lt;&gt;"",X317=""),"CEK URUTAN SAMBUNG kosong",IF(AND(W317&lt;&gt;"",LEFT(Z317,6)="Endcap"),"CEK Endcap tidak ikut sambung","OK")))))))))</f>
        <v/>
      </c>
      <c r="AB317" s="11" t="n"/>
      <c r="AC317" s="11" t="n"/>
      <c r="AD317" s="11" t="n"/>
      <c r="AE317" s="11" t="n"/>
      <c r="AF317" s="11" t="n"/>
      <c r="AG317" s="11" t="n"/>
      <c r="AH317" s="12">
        <f>IF(AB317="","",IFERROR(INDEX(DAFTAR_FIXTURE!$B$2:$B$51,MATCH(AB317,DAFTAR_FIXTURE!$A$2:$A$51,0)),""))</f>
        <v/>
      </c>
      <c r="AI317" s="12">
        <f>IF(AB317="","",IF(AH317="","CEK ID FIXTURE tidak ada di DAFTAR_FIXTURE",IF(AC317="","CEK ZONA NO kosong",IF(ISNA(MATCH(AH317&amp;"|"&amp;AC317,LAYOUT!$E$2:$E$80,0)),"CEK ZONA NO di luar layout",IF(AD317&lt;&gt;INDEX(LAYOUT!$D$2:$D$80,MATCH(AH317&amp;"|"&amp;AC317,LAYOUT!$E$2:$E$80,0)),"CEK JENIS ZONA",IF($D317="","Zona STOCK",IF($E317="","CEK SKU DESCRIPTION kosong",IF(AND(AE317&lt;&gt;"",AF317=""),"CEK URUTAN SAMBUNG kosong",IF(AND(AE317&lt;&gt;"",LEFT(AH317,6)="Endcap"),"CEK Endcap tidak ikut sambung","OK")))))))))</f>
        <v/>
      </c>
    </row>
    <row r="318">
      <c r="A318" s="10" t="n"/>
      <c r="B318" s="10" t="n"/>
      <c r="C318" s="10" t="n"/>
      <c r="D318" s="10" t="n"/>
      <c r="E318" s="10" t="n"/>
      <c r="F318" s="10" t="n"/>
      <c r="G318" s="10" t="n"/>
      <c r="H318" s="10" t="n"/>
      <c r="I318" s="10" t="n"/>
      <c r="J318" s="10" t="n"/>
      <c r="K318" s="10" t="n"/>
      <c r="L318" s="11" t="n"/>
      <c r="M318" s="11" t="n"/>
      <c r="N318" s="11" t="n"/>
      <c r="O318" s="11" t="n"/>
      <c r="P318" s="11" t="n"/>
      <c r="Q318" s="11" t="n"/>
      <c r="R318" s="12">
        <f>IF(L318="","",IFERROR(INDEX(DAFTAR_FIXTURE!$B$2:$B$51,MATCH(L318,DAFTAR_FIXTURE!$A$2:$A$51,0)),""))</f>
        <v/>
      </c>
      <c r="S318" s="12">
        <f>IF(AND($D318="",L318=""),"",IF(L318="",IF(AND(T318="",AB318=""),"Belum ditempatkan",""),IF(R318="","CEK ID FIXTURE tidak ada di DAFTAR_FIXTURE",IF(M318="","CEK ZONA NO kosong",IF(ISNA(MATCH(R318&amp;"|"&amp;M318,LAYOUT!$E$2:$E$80,0)),"CEK ZONA NO di luar layout",IF(N318&lt;&gt;INDEX(LAYOUT!$D$2:$D$80,MATCH(R318&amp;"|"&amp;M318,LAYOUT!$E$2:$E$80,0)),"CEK JENIS ZONA",IF($D318="","Zona STOCK",IF($E318="","CEK SKU DESCRIPTION kosong",IF(AND(O318&lt;&gt;"",P318=""),"CEK URUTAN SAMBUNG kosong",IF(AND(O318&lt;&gt;"",LEFT(R318,6)="Endcap"),"CEK Endcap tidak ikut sambung","OK"))))))))))</f>
        <v/>
      </c>
      <c r="T318" s="11" t="n"/>
      <c r="U318" s="11" t="n"/>
      <c r="V318" s="11" t="n"/>
      <c r="W318" s="11" t="n"/>
      <c r="X318" s="11" t="n"/>
      <c r="Y318" s="11" t="n"/>
      <c r="Z318" s="12">
        <f>IF(T318="","",IFERROR(INDEX(DAFTAR_FIXTURE!$B$2:$B$51,MATCH(T318,DAFTAR_FIXTURE!$A$2:$A$51,0)),""))</f>
        <v/>
      </c>
      <c r="AA318" s="12">
        <f>IF(T318="","",IF(Z318="","CEK ID FIXTURE tidak ada di DAFTAR_FIXTURE",IF(U318="","CEK ZONA NO kosong",IF(ISNA(MATCH(Z318&amp;"|"&amp;U318,LAYOUT!$E$2:$E$80,0)),"CEK ZONA NO di luar layout",IF(V318&lt;&gt;INDEX(LAYOUT!$D$2:$D$80,MATCH(Z318&amp;"|"&amp;U318,LAYOUT!$E$2:$E$80,0)),"CEK JENIS ZONA",IF($D318="","Zona STOCK",IF($E318="","CEK SKU DESCRIPTION kosong",IF(AND(W318&lt;&gt;"",X318=""),"CEK URUTAN SAMBUNG kosong",IF(AND(W318&lt;&gt;"",LEFT(Z318,6)="Endcap"),"CEK Endcap tidak ikut sambung","OK")))))))))</f>
        <v/>
      </c>
      <c r="AB318" s="11" t="n"/>
      <c r="AC318" s="11" t="n"/>
      <c r="AD318" s="11" t="n"/>
      <c r="AE318" s="11" t="n"/>
      <c r="AF318" s="11" t="n"/>
      <c r="AG318" s="11" t="n"/>
      <c r="AH318" s="12">
        <f>IF(AB318="","",IFERROR(INDEX(DAFTAR_FIXTURE!$B$2:$B$51,MATCH(AB318,DAFTAR_FIXTURE!$A$2:$A$51,0)),""))</f>
        <v/>
      </c>
      <c r="AI318" s="12">
        <f>IF(AB318="","",IF(AH318="","CEK ID FIXTURE tidak ada di DAFTAR_FIXTURE",IF(AC318="","CEK ZONA NO kosong",IF(ISNA(MATCH(AH318&amp;"|"&amp;AC318,LAYOUT!$E$2:$E$80,0)),"CEK ZONA NO di luar layout",IF(AD318&lt;&gt;INDEX(LAYOUT!$D$2:$D$80,MATCH(AH318&amp;"|"&amp;AC318,LAYOUT!$E$2:$E$80,0)),"CEK JENIS ZONA",IF($D318="","Zona STOCK",IF($E318="","CEK SKU DESCRIPTION kosong",IF(AND(AE318&lt;&gt;"",AF318=""),"CEK URUTAN SAMBUNG kosong",IF(AND(AE318&lt;&gt;"",LEFT(AH318,6)="Endcap"),"CEK Endcap tidak ikut sambung","OK")))))))))</f>
        <v/>
      </c>
    </row>
    <row r="319">
      <c r="A319" s="10" t="n"/>
      <c r="B319" s="10" t="n"/>
      <c r="C319" s="10" t="n"/>
      <c r="D319" s="10" t="n"/>
      <c r="E319" s="10" t="n"/>
      <c r="F319" s="10" t="n"/>
      <c r="G319" s="10" t="n"/>
      <c r="H319" s="10" t="n"/>
      <c r="I319" s="10" t="n"/>
      <c r="J319" s="10" t="n"/>
      <c r="K319" s="10" t="n"/>
      <c r="L319" s="11" t="n"/>
      <c r="M319" s="11" t="n"/>
      <c r="N319" s="11" t="n"/>
      <c r="O319" s="11" t="n"/>
      <c r="P319" s="11" t="n"/>
      <c r="Q319" s="11" t="n"/>
      <c r="R319" s="12">
        <f>IF(L319="","",IFERROR(INDEX(DAFTAR_FIXTURE!$B$2:$B$51,MATCH(L319,DAFTAR_FIXTURE!$A$2:$A$51,0)),""))</f>
        <v/>
      </c>
      <c r="S319" s="12">
        <f>IF(AND($D319="",L319=""),"",IF(L319="",IF(AND(T319="",AB319=""),"Belum ditempatkan",""),IF(R319="","CEK ID FIXTURE tidak ada di DAFTAR_FIXTURE",IF(M319="","CEK ZONA NO kosong",IF(ISNA(MATCH(R319&amp;"|"&amp;M319,LAYOUT!$E$2:$E$80,0)),"CEK ZONA NO di luar layout",IF(N319&lt;&gt;INDEX(LAYOUT!$D$2:$D$80,MATCH(R319&amp;"|"&amp;M319,LAYOUT!$E$2:$E$80,0)),"CEK JENIS ZONA",IF($D319="","Zona STOCK",IF($E319="","CEK SKU DESCRIPTION kosong",IF(AND(O319&lt;&gt;"",P319=""),"CEK URUTAN SAMBUNG kosong",IF(AND(O319&lt;&gt;"",LEFT(R319,6)="Endcap"),"CEK Endcap tidak ikut sambung","OK"))))))))))</f>
        <v/>
      </c>
      <c r="T319" s="11" t="n"/>
      <c r="U319" s="11" t="n"/>
      <c r="V319" s="11" t="n"/>
      <c r="W319" s="11" t="n"/>
      <c r="X319" s="11" t="n"/>
      <c r="Y319" s="11" t="n"/>
      <c r="Z319" s="12">
        <f>IF(T319="","",IFERROR(INDEX(DAFTAR_FIXTURE!$B$2:$B$51,MATCH(T319,DAFTAR_FIXTURE!$A$2:$A$51,0)),""))</f>
        <v/>
      </c>
      <c r="AA319" s="12">
        <f>IF(T319="","",IF(Z319="","CEK ID FIXTURE tidak ada di DAFTAR_FIXTURE",IF(U319="","CEK ZONA NO kosong",IF(ISNA(MATCH(Z319&amp;"|"&amp;U319,LAYOUT!$E$2:$E$80,0)),"CEK ZONA NO di luar layout",IF(V319&lt;&gt;INDEX(LAYOUT!$D$2:$D$80,MATCH(Z319&amp;"|"&amp;U319,LAYOUT!$E$2:$E$80,0)),"CEK JENIS ZONA",IF($D319="","Zona STOCK",IF($E319="","CEK SKU DESCRIPTION kosong",IF(AND(W319&lt;&gt;"",X319=""),"CEK URUTAN SAMBUNG kosong",IF(AND(W319&lt;&gt;"",LEFT(Z319,6)="Endcap"),"CEK Endcap tidak ikut sambung","OK")))))))))</f>
        <v/>
      </c>
      <c r="AB319" s="11" t="n"/>
      <c r="AC319" s="11" t="n"/>
      <c r="AD319" s="11" t="n"/>
      <c r="AE319" s="11" t="n"/>
      <c r="AF319" s="11" t="n"/>
      <c r="AG319" s="11" t="n"/>
      <c r="AH319" s="12">
        <f>IF(AB319="","",IFERROR(INDEX(DAFTAR_FIXTURE!$B$2:$B$51,MATCH(AB319,DAFTAR_FIXTURE!$A$2:$A$51,0)),""))</f>
        <v/>
      </c>
      <c r="AI319" s="12">
        <f>IF(AB319="","",IF(AH319="","CEK ID FIXTURE tidak ada di DAFTAR_FIXTURE",IF(AC319="","CEK ZONA NO kosong",IF(ISNA(MATCH(AH319&amp;"|"&amp;AC319,LAYOUT!$E$2:$E$80,0)),"CEK ZONA NO di luar layout",IF(AD319&lt;&gt;INDEX(LAYOUT!$D$2:$D$80,MATCH(AH319&amp;"|"&amp;AC319,LAYOUT!$E$2:$E$80,0)),"CEK JENIS ZONA",IF($D319="","Zona STOCK",IF($E319="","CEK SKU DESCRIPTION kosong",IF(AND(AE319&lt;&gt;"",AF319=""),"CEK URUTAN SAMBUNG kosong",IF(AND(AE319&lt;&gt;"",LEFT(AH319,6)="Endcap"),"CEK Endcap tidak ikut sambung","OK")))))))))</f>
        <v/>
      </c>
    </row>
    <row r="320">
      <c r="A320" s="10" t="n"/>
      <c r="B320" s="10" t="n"/>
      <c r="C320" s="10" t="n"/>
      <c r="D320" s="10" t="n"/>
      <c r="E320" s="10" t="n"/>
      <c r="F320" s="10" t="n"/>
      <c r="G320" s="10" t="n"/>
      <c r="H320" s="10" t="n"/>
      <c r="I320" s="10" t="n"/>
      <c r="J320" s="10" t="n"/>
      <c r="K320" s="10" t="n"/>
      <c r="L320" s="11" t="n"/>
      <c r="M320" s="11" t="n"/>
      <c r="N320" s="11" t="n"/>
      <c r="O320" s="11" t="n"/>
      <c r="P320" s="11" t="n"/>
      <c r="Q320" s="11" t="n"/>
      <c r="R320" s="12">
        <f>IF(L320="","",IFERROR(INDEX(DAFTAR_FIXTURE!$B$2:$B$51,MATCH(L320,DAFTAR_FIXTURE!$A$2:$A$51,0)),""))</f>
        <v/>
      </c>
      <c r="S320" s="12">
        <f>IF(AND($D320="",L320=""),"",IF(L320="",IF(AND(T320="",AB320=""),"Belum ditempatkan",""),IF(R320="","CEK ID FIXTURE tidak ada di DAFTAR_FIXTURE",IF(M320="","CEK ZONA NO kosong",IF(ISNA(MATCH(R320&amp;"|"&amp;M320,LAYOUT!$E$2:$E$80,0)),"CEK ZONA NO di luar layout",IF(N320&lt;&gt;INDEX(LAYOUT!$D$2:$D$80,MATCH(R320&amp;"|"&amp;M320,LAYOUT!$E$2:$E$80,0)),"CEK JENIS ZONA",IF($D320="","Zona STOCK",IF($E320="","CEK SKU DESCRIPTION kosong",IF(AND(O320&lt;&gt;"",P320=""),"CEK URUTAN SAMBUNG kosong",IF(AND(O320&lt;&gt;"",LEFT(R320,6)="Endcap"),"CEK Endcap tidak ikut sambung","OK"))))))))))</f>
        <v/>
      </c>
      <c r="T320" s="11" t="n"/>
      <c r="U320" s="11" t="n"/>
      <c r="V320" s="11" t="n"/>
      <c r="W320" s="11" t="n"/>
      <c r="X320" s="11" t="n"/>
      <c r="Y320" s="11" t="n"/>
      <c r="Z320" s="12">
        <f>IF(T320="","",IFERROR(INDEX(DAFTAR_FIXTURE!$B$2:$B$51,MATCH(T320,DAFTAR_FIXTURE!$A$2:$A$51,0)),""))</f>
        <v/>
      </c>
      <c r="AA320" s="12">
        <f>IF(T320="","",IF(Z320="","CEK ID FIXTURE tidak ada di DAFTAR_FIXTURE",IF(U320="","CEK ZONA NO kosong",IF(ISNA(MATCH(Z320&amp;"|"&amp;U320,LAYOUT!$E$2:$E$80,0)),"CEK ZONA NO di luar layout",IF(V320&lt;&gt;INDEX(LAYOUT!$D$2:$D$80,MATCH(Z320&amp;"|"&amp;U320,LAYOUT!$E$2:$E$80,0)),"CEK JENIS ZONA",IF($D320="","Zona STOCK",IF($E320="","CEK SKU DESCRIPTION kosong",IF(AND(W320&lt;&gt;"",X320=""),"CEK URUTAN SAMBUNG kosong",IF(AND(W320&lt;&gt;"",LEFT(Z320,6)="Endcap"),"CEK Endcap tidak ikut sambung","OK")))))))))</f>
        <v/>
      </c>
      <c r="AB320" s="11" t="n"/>
      <c r="AC320" s="11" t="n"/>
      <c r="AD320" s="11" t="n"/>
      <c r="AE320" s="11" t="n"/>
      <c r="AF320" s="11" t="n"/>
      <c r="AG320" s="11" t="n"/>
      <c r="AH320" s="12">
        <f>IF(AB320="","",IFERROR(INDEX(DAFTAR_FIXTURE!$B$2:$B$51,MATCH(AB320,DAFTAR_FIXTURE!$A$2:$A$51,0)),""))</f>
        <v/>
      </c>
      <c r="AI320" s="12">
        <f>IF(AB320="","",IF(AH320="","CEK ID FIXTURE tidak ada di DAFTAR_FIXTURE",IF(AC320="","CEK ZONA NO kosong",IF(ISNA(MATCH(AH320&amp;"|"&amp;AC320,LAYOUT!$E$2:$E$80,0)),"CEK ZONA NO di luar layout",IF(AD320&lt;&gt;INDEX(LAYOUT!$D$2:$D$80,MATCH(AH320&amp;"|"&amp;AC320,LAYOUT!$E$2:$E$80,0)),"CEK JENIS ZONA",IF($D320="","Zona STOCK",IF($E320="","CEK SKU DESCRIPTION kosong",IF(AND(AE320&lt;&gt;"",AF320=""),"CEK URUTAN SAMBUNG kosong",IF(AND(AE320&lt;&gt;"",LEFT(AH320,6)="Endcap"),"CEK Endcap tidak ikut sambung","OK")))))))))</f>
        <v/>
      </c>
    </row>
    <row r="321">
      <c r="A321" s="10" t="n"/>
      <c r="B321" s="10" t="n"/>
      <c r="C321" s="10" t="n"/>
      <c r="D321" s="10" t="n"/>
      <c r="E321" s="10" t="n"/>
      <c r="F321" s="10" t="n"/>
      <c r="G321" s="10" t="n"/>
      <c r="H321" s="10" t="n"/>
      <c r="I321" s="10" t="n"/>
      <c r="J321" s="10" t="n"/>
      <c r="K321" s="10" t="n"/>
      <c r="L321" s="11" t="n"/>
      <c r="M321" s="11" t="n"/>
      <c r="N321" s="11" t="n"/>
      <c r="O321" s="11" t="n"/>
      <c r="P321" s="11" t="n"/>
      <c r="Q321" s="11" t="n"/>
      <c r="R321" s="12">
        <f>IF(L321="","",IFERROR(INDEX(DAFTAR_FIXTURE!$B$2:$B$51,MATCH(L321,DAFTAR_FIXTURE!$A$2:$A$51,0)),""))</f>
        <v/>
      </c>
      <c r="S321" s="12">
        <f>IF(AND($D321="",L321=""),"",IF(L321="",IF(AND(T321="",AB321=""),"Belum ditempatkan",""),IF(R321="","CEK ID FIXTURE tidak ada di DAFTAR_FIXTURE",IF(M321="","CEK ZONA NO kosong",IF(ISNA(MATCH(R321&amp;"|"&amp;M321,LAYOUT!$E$2:$E$80,0)),"CEK ZONA NO di luar layout",IF(N321&lt;&gt;INDEX(LAYOUT!$D$2:$D$80,MATCH(R321&amp;"|"&amp;M321,LAYOUT!$E$2:$E$80,0)),"CEK JENIS ZONA",IF($D321="","Zona STOCK",IF($E321="","CEK SKU DESCRIPTION kosong",IF(AND(O321&lt;&gt;"",P321=""),"CEK URUTAN SAMBUNG kosong",IF(AND(O321&lt;&gt;"",LEFT(R321,6)="Endcap"),"CEK Endcap tidak ikut sambung","OK"))))))))))</f>
        <v/>
      </c>
      <c r="T321" s="11" t="n"/>
      <c r="U321" s="11" t="n"/>
      <c r="V321" s="11" t="n"/>
      <c r="W321" s="11" t="n"/>
      <c r="X321" s="11" t="n"/>
      <c r="Y321" s="11" t="n"/>
      <c r="Z321" s="12">
        <f>IF(T321="","",IFERROR(INDEX(DAFTAR_FIXTURE!$B$2:$B$51,MATCH(T321,DAFTAR_FIXTURE!$A$2:$A$51,0)),""))</f>
        <v/>
      </c>
      <c r="AA321" s="12">
        <f>IF(T321="","",IF(Z321="","CEK ID FIXTURE tidak ada di DAFTAR_FIXTURE",IF(U321="","CEK ZONA NO kosong",IF(ISNA(MATCH(Z321&amp;"|"&amp;U321,LAYOUT!$E$2:$E$80,0)),"CEK ZONA NO di luar layout",IF(V321&lt;&gt;INDEX(LAYOUT!$D$2:$D$80,MATCH(Z321&amp;"|"&amp;U321,LAYOUT!$E$2:$E$80,0)),"CEK JENIS ZONA",IF($D321="","Zona STOCK",IF($E321="","CEK SKU DESCRIPTION kosong",IF(AND(W321&lt;&gt;"",X321=""),"CEK URUTAN SAMBUNG kosong",IF(AND(W321&lt;&gt;"",LEFT(Z321,6)="Endcap"),"CEK Endcap tidak ikut sambung","OK")))))))))</f>
        <v/>
      </c>
      <c r="AB321" s="11" t="n"/>
      <c r="AC321" s="11" t="n"/>
      <c r="AD321" s="11" t="n"/>
      <c r="AE321" s="11" t="n"/>
      <c r="AF321" s="11" t="n"/>
      <c r="AG321" s="11" t="n"/>
      <c r="AH321" s="12">
        <f>IF(AB321="","",IFERROR(INDEX(DAFTAR_FIXTURE!$B$2:$B$51,MATCH(AB321,DAFTAR_FIXTURE!$A$2:$A$51,0)),""))</f>
        <v/>
      </c>
      <c r="AI321" s="12">
        <f>IF(AB321="","",IF(AH321="","CEK ID FIXTURE tidak ada di DAFTAR_FIXTURE",IF(AC321="","CEK ZONA NO kosong",IF(ISNA(MATCH(AH321&amp;"|"&amp;AC321,LAYOUT!$E$2:$E$80,0)),"CEK ZONA NO di luar layout",IF(AD321&lt;&gt;INDEX(LAYOUT!$D$2:$D$80,MATCH(AH321&amp;"|"&amp;AC321,LAYOUT!$E$2:$E$80,0)),"CEK JENIS ZONA",IF($D321="","Zona STOCK",IF($E321="","CEK SKU DESCRIPTION kosong",IF(AND(AE321&lt;&gt;"",AF321=""),"CEK URUTAN SAMBUNG kosong",IF(AND(AE321&lt;&gt;"",LEFT(AH321,6)="Endcap"),"CEK Endcap tidak ikut sambung","OK")))))))))</f>
        <v/>
      </c>
    </row>
    <row r="322">
      <c r="A322" s="10" t="n"/>
      <c r="B322" s="10" t="n"/>
      <c r="C322" s="10" t="n"/>
      <c r="D322" s="10" t="n"/>
      <c r="E322" s="10" t="n"/>
      <c r="F322" s="10" t="n"/>
      <c r="G322" s="10" t="n"/>
      <c r="H322" s="10" t="n"/>
      <c r="I322" s="10" t="n"/>
      <c r="J322" s="10" t="n"/>
      <c r="K322" s="10" t="n"/>
      <c r="L322" s="11" t="n"/>
      <c r="M322" s="11" t="n"/>
      <c r="N322" s="11" t="n"/>
      <c r="O322" s="11" t="n"/>
      <c r="P322" s="11" t="n"/>
      <c r="Q322" s="11" t="n"/>
      <c r="R322" s="12">
        <f>IF(L322="","",IFERROR(INDEX(DAFTAR_FIXTURE!$B$2:$B$51,MATCH(L322,DAFTAR_FIXTURE!$A$2:$A$51,0)),""))</f>
        <v/>
      </c>
      <c r="S322" s="12">
        <f>IF(AND($D322="",L322=""),"",IF(L322="",IF(AND(T322="",AB322=""),"Belum ditempatkan",""),IF(R322="","CEK ID FIXTURE tidak ada di DAFTAR_FIXTURE",IF(M322="","CEK ZONA NO kosong",IF(ISNA(MATCH(R322&amp;"|"&amp;M322,LAYOUT!$E$2:$E$80,0)),"CEK ZONA NO di luar layout",IF(N322&lt;&gt;INDEX(LAYOUT!$D$2:$D$80,MATCH(R322&amp;"|"&amp;M322,LAYOUT!$E$2:$E$80,0)),"CEK JENIS ZONA",IF($D322="","Zona STOCK",IF($E322="","CEK SKU DESCRIPTION kosong",IF(AND(O322&lt;&gt;"",P322=""),"CEK URUTAN SAMBUNG kosong",IF(AND(O322&lt;&gt;"",LEFT(R322,6)="Endcap"),"CEK Endcap tidak ikut sambung","OK"))))))))))</f>
        <v/>
      </c>
      <c r="T322" s="11" t="n"/>
      <c r="U322" s="11" t="n"/>
      <c r="V322" s="11" t="n"/>
      <c r="W322" s="11" t="n"/>
      <c r="X322" s="11" t="n"/>
      <c r="Y322" s="11" t="n"/>
      <c r="Z322" s="12">
        <f>IF(T322="","",IFERROR(INDEX(DAFTAR_FIXTURE!$B$2:$B$51,MATCH(T322,DAFTAR_FIXTURE!$A$2:$A$51,0)),""))</f>
        <v/>
      </c>
      <c r="AA322" s="12">
        <f>IF(T322="","",IF(Z322="","CEK ID FIXTURE tidak ada di DAFTAR_FIXTURE",IF(U322="","CEK ZONA NO kosong",IF(ISNA(MATCH(Z322&amp;"|"&amp;U322,LAYOUT!$E$2:$E$80,0)),"CEK ZONA NO di luar layout",IF(V322&lt;&gt;INDEX(LAYOUT!$D$2:$D$80,MATCH(Z322&amp;"|"&amp;U322,LAYOUT!$E$2:$E$80,0)),"CEK JENIS ZONA",IF($D322="","Zona STOCK",IF($E322="","CEK SKU DESCRIPTION kosong",IF(AND(W322&lt;&gt;"",X322=""),"CEK URUTAN SAMBUNG kosong",IF(AND(W322&lt;&gt;"",LEFT(Z322,6)="Endcap"),"CEK Endcap tidak ikut sambung","OK")))))))))</f>
        <v/>
      </c>
      <c r="AB322" s="11" t="n"/>
      <c r="AC322" s="11" t="n"/>
      <c r="AD322" s="11" t="n"/>
      <c r="AE322" s="11" t="n"/>
      <c r="AF322" s="11" t="n"/>
      <c r="AG322" s="11" t="n"/>
      <c r="AH322" s="12">
        <f>IF(AB322="","",IFERROR(INDEX(DAFTAR_FIXTURE!$B$2:$B$51,MATCH(AB322,DAFTAR_FIXTURE!$A$2:$A$51,0)),""))</f>
        <v/>
      </c>
      <c r="AI322" s="12">
        <f>IF(AB322="","",IF(AH322="","CEK ID FIXTURE tidak ada di DAFTAR_FIXTURE",IF(AC322="","CEK ZONA NO kosong",IF(ISNA(MATCH(AH322&amp;"|"&amp;AC322,LAYOUT!$E$2:$E$80,0)),"CEK ZONA NO di luar layout",IF(AD322&lt;&gt;INDEX(LAYOUT!$D$2:$D$80,MATCH(AH322&amp;"|"&amp;AC322,LAYOUT!$E$2:$E$80,0)),"CEK JENIS ZONA",IF($D322="","Zona STOCK",IF($E322="","CEK SKU DESCRIPTION kosong",IF(AND(AE322&lt;&gt;"",AF322=""),"CEK URUTAN SAMBUNG kosong",IF(AND(AE322&lt;&gt;"",LEFT(AH322,6)="Endcap"),"CEK Endcap tidak ikut sambung","OK")))))))))</f>
        <v/>
      </c>
    </row>
    <row r="323">
      <c r="A323" s="10" t="n"/>
      <c r="B323" s="10" t="n"/>
      <c r="C323" s="10" t="n"/>
      <c r="D323" s="10" t="n"/>
      <c r="E323" s="10" t="n"/>
      <c r="F323" s="10" t="n"/>
      <c r="G323" s="10" t="n"/>
      <c r="H323" s="10" t="n"/>
      <c r="I323" s="10" t="n"/>
      <c r="J323" s="10" t="n"/>
      <c r="K323" s="10" t="n"/>
      <c r="L323" s="11" t="n"/>
      <c r="M323" s="11" t="n"/>
      <c r="N323" s="11" t="n"/>
      <c r="O323" s="11" t="n"/>
      <c r="P323" s="11" t="n"/>
      <c r="Q323" s="11" t="n"/>
      <c r="R323" s="12">
        <f>IF(L323="","",IFERROR(INDEX(DAFTAR_FIXTURE!$B$2:$B$51,MATCH(L323,DAFTAR_FIXTURE!$A$2:$A$51,0)),""))</f>
        <v/>
      </c>
      <c r="S323" s="12">
        <f>IF(AND($D323="",L323=""),"",IF(L323="",IF(AND(T323="",AB323=""),"Belum ditempatkan",""),IF(R323="","CEK ID FIXTURE tidak ada di DAFTAR_FIXTURE",IF(M323="","CEK ZONA NO kosong",IF(ISNA(MATCH(R323&amp;"|"&amp;M323,LAYOUT!$E$2:$E$80,0)),"CEK ZONA NO di luar layout",IF(N323&lt;&gt;INDEX(LAYOUT!$D$2:$D$80,MATCH(R323&amp;"|"&amp;M323,LAYOUT!$E$2:$E$80,0)),"CEK JENIS ZONA",IF($D323="","Zona STOCK",IF($E323="","CEK SKU DESCRIPTION kosong",IF(AND(O323&lt;&gt;"",P323=""),"CEK URUTAN SAMBUNG kosong",IF(AND(O323&lt;&gt;"",LEFT(R323,6)="Endcap"),"CEK Endcap tidak ikut sambung","OK"))))))))))</f>
        <v/>
      </c>
      <c r="T323" s="11" t="n"/>
      <c r="U323" s="11" t="n"/>
      <c r="V323" s="11" t="n"/>
      <c r="W323" s="11" t="n"/>
      <c r="X323" s="11" t="n"/>
      <c r="Y323" s="11" t="n"/>
      <c r="Z323" s="12">
        <f>IF(T323="","",IFERROR(INDEX(DAFTAR_FIXTURE!$B$2:$B$51,MATCH(T323,DAFTAR_FIXTURE!$A$2:$A$51,0)),""))</f>
        <v/>
      </c>
      <c r="AA323" s="12">
        <f>IF(T323="","",IF(Z323="","CEK ID FIXTURE tidak ada di DAFTAR_FIXTURE",IF(U323="","CEK ZONA NO kosong",IF(ISNA(MATCH(Z323&amp;"|"&amp;U323,LAYOUT!$E$2:$E$80,0)),"CEK ZONA NO di luar layout",IF(V323&lt;&gt;INDEX(LAYOUT!$D$2:$D$80,MATCH(Z323&amp;"|"&amp;U323,LAYOUT!$E$2:$E$80,0)),"CEK JENIS ZONA",IF($D323="","Zona STOCK",IF($E323="","CEK SKU DESCRIPTION kosong",IF(AND(W323&lt;&gt;"",X323=""),"CEK URUTAN SAMBUNG kosong",IF(AND(W323&lt;&gt;"",LEFT(Z323,6)="Endcap"),"CEK Endcap tidak ikut sambung","OK")))))))))</f>
        <v/>
      </c>
      <c r="AB323" s="11" t="n"/>
      <c r="AC323" s="11" t="n"/>
      <c r="AD323" s="11" t="n"/>
      <c r="AE323" s="11" t="n"/>
      <c r="AF323" s="11" t="n"/>
      <c r="AG323" s="11" t="n"/>
      <c r="AH323" s="12">
        <f>IF(AB323="","",IFERROR(INDEX(DAFTAR_FIXTURE!$B$2:$B$51,MATCH(AB323,DAFTAR_FIXTURE!$A$2:$A$51,0)),""))</f>
        <v/>
      </c>
      <c r="AI323" s="12">
        <f>IF(AB323="","",IF(AH323="","CEK ID FIXTURE tidak ada di DAFTAR_FIXTURE",IF(AC323="","CEK ZONA NO kosong",IF(ISNA(MATCH(AH323&amp;"|"&amp;AC323,LAYOUT!$E$2:$E$80,0)),"CEK ZONA NO di luar layout",IF(AD323&lt;&gt;INDEX(LAYOUT!$D$2:$D$80,MATCH(AH323&amp;"|"&amp;AC323,LAYOUT!$E$2:$E$80,0)),"CEK JENIS ZONA",IF($D323="","Zona STOCK",IF($E323="","CEK SKU DESCRIPTION kosong",IF(AND(AE323&lt;&gt;"",AF323=""),"CEK URUTAN SAMBUNG kosong",IF(AND(AE323&lt;&gt;"",LEFT(AH323,6)="Endcap"),"CEK Endcap tidak ikut sambung","OK")))))))))</f>
        <v/>
      </c>
    </row>
    <row r="324">
      <c r="A324" s="10" t="n"/>
      <c r="B324" s="10" t="n"/>
      <c r="C324" s="10" t="n"/>
      <c r="D324" s="10" t="n"/>
      <c r="E324" s="10" t="n"/>
      <c r="F324" s="10" t="n"/>
      <c r="G324" s="10" t="n"/>
      <c r="H324" s="10" t="n"/>
      <c r="I324" s="10" t="n"/>
      <c r="J324" s="10" t="n"/>
      <c r="K324" s="10" t="n"/>
      <c r="L324" s="11" t="n"/>
      <c r="M324" s="11" t="n"/>
      <c r="N324" s="11" t="n"/>
      <c r="O324" s="11" t="n"/>
      <c r="P324" s="11" t="n"/>
      <c r="Q324" s="11" t="n"/>
      <c r="R324" s="12">
        <f>IF(L324="","",IFERROR(INDEX(DAFTAR_FIXTURE!$B$2:$B$51,MATCH(L324,DAFTAR_FIXTURE!$A$2:$A$51,0)),""))</f>
        <v/>
      </c>
      <c r="S324" s="12">
        <f>IF(AND($D324="",L324=""),"",IF(L324="",IF(AND(T324="",AB324=""),"Belum ditempatkan",""),IF(R324="","CEK ID FIXTURE tidak ada di DAFTAR_FIXTURE",IF(M324="","CEK ZONA NO kosong",IF(ISNA(MATCH(R324&amp;"|"&amp;M324,LAYOUT!$E$2:$E$80,0)),"CEK ZONA NO di luar layout",IF(N324&lt;&gt;INDEX(LAYOUT!$D$2:$D$80,MATCH(R324&amp;"|"&amp;M324,LAYOUT!$E$2:$E$80,0)),"CEK JENIS ZONA",IF($D324="","Zona STOCK",IF($E324="","CEK SKU DESCRIPTION kosong",IF(AND(O324&lt;&gt;"",P324=""),"CEK URUTAN SAMBUNG kosong",IF(AND(O324&lt;&gt;"",LEFT(R324,6)="Endcap"),"CEK Endcap tidak ikut sambung","OK"))))))))))</f>
        <v/>
      </c>
      <c r="T324" s="11" t="n"/>
      <c r="U324" s="11" t="n"/>
      <c r="V324" s="11" t="n"/>
      <c r="W324" s="11" t="n"/>
      <c r="X324" s="11" t="n"/>
      <c r="Y324" s="11" t="n"/>
      <c r="Z324" s="12">
        <f>IF(T324="","",IFERROR(INDEX(DAFTAR_FIXTURE!$B$2:$B$51,MATCH(T324,DAFTAR_FIXTURE!$A$2:$A$51,0)),""))</f>
        <v/>
      </c>
      <c r="AA324" s="12">
        <f>IF(T324="","",IF(Z324="","CEK ID FIXTURE tidak ada di DAFTAR_FIXTURE",IF(U324="","CEK ZONA NO kosong",IF(ISNA(MATCH(Z324&amp;"|"&amp;U324,LAYOUT!$E$2:$E$80,0)),"CEK ZONA NO di luar layout",IF(V324&lt;&gt;INDEX(LAYOUT!$D$2:$D$80,MATCH(Z324&amp;"|"&amp;U324,LAYOUT!$E$2:$E$80,0)),"CEK JENIS ZONA",IF($D324="","Zona STOCK",IF($E324="","CEK SKU DESCRIPTION kosong",IF(AND(W324&lt;&gt;"",X324=""),"CEK URUTAN SAMBUNG kosong",IF(AND(W324&lt;&gt;"",LEFT(Z324,6)="Endcap"),"CEK Endcap tidak ikut sambung","OK")))))))))</f>
        <v/>
      </c>
      <c r="AB324" s="11" t="n"/>
      <c r="AC324" s="11" t="n"/>
      <c r="AD324" s="11" t="n"/>
      <c r="AE324" s="11" t="n"/>
      <c r="AF324" s="11" t="n"/>
      <c r="AG324" s="11" t="n"/>
      <c r="AH324" s="12">
        <f>IF(AB324="","",IFERROR(INDEX(DAFTAR_FIXTURE!$B$2:$B$51,MATCH(AB324,DAFTAR_FIXTURE!$A$2:$A$51,0)),""))</f>
        <v/>
      </c>
      <c r="AI324" s="12">
        <f>IF(AB324="","",IF(AH324="","CEK ID FIXTURE tidak ada di DAFTAR_FIXTURE",IF(AC324="","CEK ZONA NO kosong",IF(ISNA(MATCH(AH324&amp;"|"&amp;AC324,LAYOUT!$E$2:$E$80,0)),"CEK ZONA NO di luar layout",IF(AD324&lt;&gt;INDEX(LAYOUT!$D$2:$D$80,MATCH(AH324&amp;"|"&amp;AC324,LAYOUT!$E$2:$E$80,0)),"CEK JENIS ZONA",IF($D324="","Zona STOCK",IF($E324="","CEK SKU DESCRIPTION kosong",IF(AND(AE324&lt;&gt;"",AF324=""),"CEK URUTAN SAMBUNG kosong",IF(AND(AE324&lt;&gt;"",LEFT(AH324,6)="Endcap"),"CEK Endcap tidak ikut sambung","OK")))))))))</f>
        <v/>
      </c>
    </row>
    <row r="325">
      <c r="A325" s="10" t="n"/>
      <c r="B325" s="10" t="n"/>
      <c r="C325" s="10" t="n"/>
      <c r="D325" s="10" t="n"/>
      <c r="E325" s="10" t="n"/>
      <c r="F325" s="10" t="n"/>
      <c r="G325" s="10" t="n"/>
      <c r="H325" s="10" t="n"/>
      <c r="I325" s="10" t="n"/>
      <c r="J325" s="10" t="n"/>
      <c r="K325" s="10" t="n"/>
      <c r="L325" s="11" t="n"/>
      <c r="M325" s="11" t="n"/>
      <c r="N325" s="11" t="n"/>
      <c r="O325" s="11" t="n"/>
      <c r="P325" s="11" t="n"/>
      <c r="Q325" s="11" t="n"/>
      <c r="R325" s="12">
        <f>IF(L325="","",IFERROR(INDEX(DAFTAR_FIXTURE!$B$2:$B$51,MATCH(L325,DAFTAR_FIXTURE!$A$2:$A$51,0)),""))</f>
        <v/>
      </c>
      <c r="S325" s="12">
        <f>IF(AND($D325="",L325=""),"",IF(L325="",IF(AND(T325="",AB325=""),"Belum ditempatkan",""),IF(R325="","CEK ID FIXTURE tidak ada di DAFTAR_FIXTURE",IF(M325="","CEK ZONA NO kosong",IF(ISNA(MATCH(R325&amp;"|"&amp;M325,LAYOUT!$E$2:$E$80,0)),"CEK ZONA NO di luar layout",IF(N325&lt;&gt;INDEX(LAYOUT!$D$2:$D$80,MATCH(R325&amp;"|"&amp;M325,LAYOUT!$E$2:$E$80,0)),"CEK JENIS ZONA",IF($D325="","Zona STOCK",IF($E325="","CEK SKU DESCRIPTION kosong",IF(AND(O325&lt;&gt;"",P325=""),"CEK URUTAN SAMBUNG kosong",IF(AND(O325&lt;&gt;"",LEFT(R325,6)="Endcap"),"CEK Endcap tidak ikut sambung","OK"))))))))))</f>
        <v/>
      </c>
      <c r="T325" s="11" t="n"/>
      <c r="U325" s="11" t="n"/>
      <c r="V325" s="11" t="n"/>
      <c r="W325" s="11" t="n"/>
      <c r="X325" s="11" t="n"/>
      <c r="Y325" s="11" t="n"/>
      <c r="Z325" s="12">
        <f>IF(T325="","",IFERROR(INDEX(DAFTAR_FIXTURE!$B$2:$B$51,MATCH(T325,DAFTAR_FIXTURE!$A$2:$A$51,0)),""))</f>
        <v/>
      </c>
      <c r="AA325" s="12">
        <f>IF(T325="","",IF(Z325="","CEK ID FIXTURE tidak ada di DAFTAR_FIXTURE",IF(U325="","CEK ZONA NO kosong",IF(ISNA(MATCH(Z325&amp;"|"&amp;U325,LAYOUT!$E$2:$E$80,0)),"CEK ZONA NO di luar layout",IF(V325&lt;&gt;INDEX(LAYOUT!$D$2:$D$80,MATCH(Z325&amp;"|"&amp;U325,LAYOUT!$E$2:$E$80,0)),"CEK JENIS ZONA",IF($D325="","Zona STOCK",IF($E325="","CEK SKU DESCRIPTION kosong",IF(AND(W325&lt;&gt;"",X325=""),"CEK URUTAN SAMBUNG kosong",IF(AND(W325&lt;&gt;"",LEFT(Z325,6)="Endcap"),"CEK Endcap tidak ikut sambung","OK")))))))))</f>
        <v/>
      </c>
      <c r="AB325" s="11" t="n"/>
      <c r="AC325" s="11" t="n"/>
      <c r="AD325" s="11" t="n"/>
      <c r="AE325" s="11" t="n"/>
      <c r="AF325" s="11" t="n"/>
      <c r="AG325" s="11" t="n"/>
      <c r="AH325" s="12">
        <f>IF(AB325="","",IFERROR(INDEX(DAFTAR_FIXTURE!$B$2:$B$51,MATCH(AB325,DAFTAR_FIXTURE!$A$2:$A$51,0)),""))</f>
        <v/>
      </c>
      <c r="AI325" s="12">
        <f>IF(AB325="","",IF(AH325="","CEK ID FIXTURE tidak ada di DAFTAR_FIXTURE",IF(AC325="","CEK ZONA NO kosong",IF(ISNA(MATCH(AH325&amp;"|"&amp;AC325,LAYOUT!$E$2:$E$80,0)),"CEK ZONA NO di luar layout",IF(AD325&lt;&gt;INDEX(LAYOUT!$D$2:$D$80,MATCH(AH325&amp;"|"&amp;AC325,LAYOUT!$E$2:$E$80,0)),"CEK JENIS ZONA",IF($D325="","Zona STOCK",IF($E325="","CEK SKU DESCRIPTION kosong",IF(AND(AE325&lt;&gt;"",AF325=""),"CEK URUTAN SAMBUNG kosong",IF(AND(AE325&lt;&gt;"",LEFT(AH325,6)="Endcap"),"CEK Endcap tidak ikut sambung","OK")))))))))</f>
        <v/>
      </c>
    </row>
    <row r="326">
      <c r="A326" s="10" t="n"/>
      <c r="B326" s="10" t="n"/>
      <c r="C326" s="10" t="n"/>
      <c r="D326" s="10" t="n"/>
      <c r="E326" s="10" t="n"/>
      <c r="F326" s="10" t="n"/>
      <c r="G326" s="10" t="n"/>
      <c r="H326" s="10" t="n"/>
      <c r="I326" s="10" t="n"/>
      <c r="J326" s="10" t="n"/>
      <c r="K326" s="10" t="n"/>
      <c r="L326" s="11" t="n"/>
      <c r="M326" s="11" t="n"/>
      <c r="N326" s="11" t="n"/>
      <c r="O326" s="11" t="n"/>
      <c r="P326" s="11" t="n"/>
      <c r="Q326" s="11" t="n"/>
      <c r="R326" s="12">
        <f>IF(L326="","",IFERROR(INDEX(DAFTAR_FIXTURE!$B$2:$B$51,MATCH(L326,DAFTAR_FIXTURE!$A$2:$A$51,0)),""))</f>
        <v/>
      </c>
      <c r="S326" s="12">
        <f>IF(AND($D326="",L326=""),"",IF(L326="",IF(AND(T326="",AB326=""),"Belum ditempatkan",""),IF(R326="","CEK ID FIXTURE tidak ada di DAFTAR_FIXTURE",IF(M326="","CEK ZONA NO kosong",IF(ISNA(MATCH(R326&amp;"|"&amp;M326,LAYOUT!$E$2:$E$80,0)),"CEK ZONA NO di luar layout",IF(N326&lt;&gt;INDEX(LAYOUT!$D$2:$D$80,MATCH(R326&amp;"|"&amp;M326,LAYOUT!$E$2:$E$80,0)),"CEK JENIS ZONA",IF($D326="","Zona STOCK",IF($E326="","CEK SKU DESCRIPTION kosong",IF(AND(O326&lt;&gt;"",P326=""),"CEK URUTAN SAMBUNG kosong",IF(AND(O326&lt;&gt;"",LEFT(R326,6)="Endcap"),"CEK Endcap tidak ikut sambung","OK"))))))))))</f>
        <v/>
      </c>
      <c r="T326" s="11" t="n"/>
      <c r="U326" s="11" t="n"/>
      <c r="V326" s="11" t="n"/>
      <c r="W326" s="11" t="n"/>
      <c r="X326" s="11" t="n"/>
      <c r="Y326" s="11" t="n"/>
      <c r="Z326" s="12">
        <f>IF(T326="","",IFERROR(INDEX(DAFTAR_FIXTURE!$B$2:$B$51,MATCH(T326,DAFTAR_FIXTURE!$A$2:$A$51,0)),""))</f>
        <v/>
      </c>
      <c r="AA326" s="12">
        <f>IF(T326="","",IF(Z326="","CEK ID FIXTURE tidak ada di DAFTAR_FIXTURE",IF(U326="","CEK ZONA NO kosong",IF(ISNA(MATCH(Z326&amp;"|"&amp;U326,LAYOUT!$E$2:$E$80,0)),"CEK ZONA NO di luar layout",IF(V326&lt;&gt;INDEX(LAYOUT!$D$2:$D$80,MATCH(Z326&amp;"|"&amp;U326,LAYOUT!$E$2:$E$80,0)),"CEK JENIS ZONA",IF($D326="","Zona STOCK",IF($E326="","CEK SKU DESCRIPTION kosong",IF(AND(W326&lt;&gt;"",X326=""),"CEK URUTAN SAMBUNG kosong",IF(AND(W326&lt;&gt;"",LEFT(Z326,6)="Endcap"),"CEK Endcap tidak ikut sambung","OK")))))))))</f>
        <v/>
      </c>
      <c r="AB326" s="11" t="n"/>
      <c r="AC326" s="11" t="n"/>
      <c r="AD326" s="11" t="n"/>
      <c r="AE326" s="11" t="n"/>
      <c r="AF326" s="11" t="n"/>
      <c r="AG326" s="11" t="n"/>
      <c r="AH326" s="12">
        <f>IF(AB326="","",IFERROR(INDEX(DAFTAR_FIXTURE!$B$2:$B$51,MATCH(AB326,DAFTAR_FIXTURE!$A$2:$A$51,0)),""))</f>
        <v/>
      </c>
      <c r="AI326" s="12">
        <f>IF(AB326="","",IF(AH326="","CEK ID FIXTURE tidak ada di DAFTAR_FIXTURE",IF(AC326="","CEK ZONA NO kosong",IF(ISNA(MATCH(AH326&amp;"|"&amp;AC326,LAYOUT!$E$2:$E$80,0)),"CEK ZONA NO di luar layout",IF(AD326&lt;&gt;INDEX(LAYOUT!$D$2:$D$80,MATCH(AH326&amp;"|"&amp;AC326,LAYOUT!$E$2:$E$80,0)),"CEK JENIS ZONA",IF($D326="","Zona STOCK",IF($E326="","CEK SKU DESCRIPTION kosong",IF(AND(AE326&lt;&gt;"",AF326=""),"CEK URUTAN SAMBUNG kosong",IF(AND(AE326&lt;&gt;"",LEFT(AH326,6)="Endcap"),"CEK Endcap tidak ikut sambung","OK")))))))))</f>
        <v/>
      </c>
    </row>
    <row r="327">
      <c r="A327" s="10" t="n"/>
      <c r="B327" s="10" t="n"/>
      <c r="C327" s="10" t="n"/>
      <c r="D327" s="10" t="n"/>
      <c r="E327" s="10" t="n"/>
      <c r="F327" s="10" t="n"/>
      <c r="G327" s="10" t="n"/>
      <c r="H327" s="10" t="n"/>
      <c r="I327" s="10" t="n"/>
      <c r="J327" s="10" t="n"/>
      <c r="K327" s="10" t="n"/>
      <c r="L327" s="11" t="n"/>
      <c r="M327" s="11" t="n"/>
      <c r="N327" s="11" t="n"/>
      <c r="O327" s="11" t="n"/>
      <c r="P327" s="11" t="n"/>
      <c r="Q327" s="11" t="n"/>
      <c r="R327" s="12">
        <f>IF(L327="","",IFERROR(INDEX(DAFTAR_FIXTURE!$B$2:$B$51,MATCH(L327,DAFTAR_FIXTURE!$A$2:$A$51,0)),""))</f>
        <v/>
      </c>
      <c r="S327" s="12">
        <f>IF(AND($D327="",L327=""),"",IF(L327="",IF(AND(T327="",AB327=""),"Belum ditempatkan",""),IF(R327="","CEK ID FIXTURE tidak ada di DAFTAR_FIXTURE",IF(M327="","CEK ZONA NO kosong",IF(ISNA(MATCH(R327&amp;"|"&amp;M327,LAYOUT!$E$2:$E$80,0)),"CEK ZONA NO di luar layout",IF(N327&lt;&gt;INDEX(LAYOUT!$D$2:$D$80,MATCH(R327&amp;"|"&amp;M327,LAYOUT!$E$2:$E$80,0)),"CEK JENIS ZONA",IF($D327="","Zona STOCK",IF($E327="","CEK SKU DESCRIPTION kosong",IF(AND(O327&lt;&gt;"",P327=""),"CEK URUTAN SAMBUNG kosong",IF(AND(O327&lt;&gt;"",LEFT(R327,6)="Endcap"),"CEK Endcap tidak ikut sambung","OK"))))))))))</f>
        <v/>
      </c>
      <c r="T327" s="11" t="n"/>
      <c r="U327" s="11" t="n"/>
      <c r="V327" s="11" t="n"/>
      <c r="W327" s="11" t="n"/>
      <c r="X327" s="11" t="n"/>
      <c r="Y327" s="11" t="n"/>
      <c r="Z327" s="12">
        <f>IF(T327="","",IFERROR(INDEX(DAFTAR_FIXTURE!$B$2:$B$51,MATCH(T327,DAFTAR_FIXTURE!$A$2:$A$51,0)),""))</f>
        <v/>
      </c>
      <c r="AA327" s="12">
        <f>IF(T327="","",IF(Z327="","CEK ID FIXTURE tidak ada di DAFTAR_FIXTURE",IF(U327="","CEK ZONA NO kosong",IF(ISNA(MATCH(Z327&amp;"|"&amp;U327,LAYOUT!$E$2:$E$80,0)),"CEK ZONA NO di luar layout",IF(V327&lt;&gt;INDEX(LAYOUT!$D$2:$D$80,MATCH(Z327&amp;"|"&amp;U327,LAYOUT!$E$2:$E$80,0)),"CEK JENIS ZONA",IF($D327="","Zona STOCK",IF($E327="","CEK SKU DESCRIPTION kosong",IF(AND(W327&lt;&gt;"",X327=""),"CEK URUTAN SAMBUNG kosong",IF(AND(W327&lt;&gt;"",LEFT(Z327,6)="Endcap"),"CEK Endcap tidak ikut sambung","OK")))))))))</f>
        <v/>
      </c>
      <c r="AB327" s="11" t="n"/>
      <c r="AC327" s="11" t="n"/>
      <c r="AD327" s="11" t="n"/>
      <c r="AE327" s="11" t="n"/>
      <c r="AF327" s="11" t="n"/>
      <c r="AG327" s="11" t="n"/>
      <c r="AH327" s="12">
        <f>IF(AB327="","",IFERROR(INDEX(DAFTAR_FIXTURE!$B$2:$B$51,MATCH(AB327,DAFTAR_FIXTURE!$A$2:$A$51,0)),""))</f>
        <v/>
      </c>
      <c r="AI327" s="12">
        <f>IF(AB327="","",IF(AH327="","CEK ID FIXTURE tidak ada di DAFTAR_FIXTURE",IF(AC327="","CEK ZONA NO kosong",IF(ISNA(MATCH(AH327&amp;"|"&amp;AC327,LAYOUT!$E$2:$E$80,0)),"CEK ZONA NO di luar layout",IF(AD327&lt;&gt;INDEX(LAYOUT!$D$2:$D$80,MATCH(AH327&amp;"|"&amp;AC327,LAYOUT!$E$2:$E$80,0)),"CEK JENIS ZONA",IF($D327="","Zona STOCK",IF($E327="","CEK SKU DESCRIPTION kosong",IF(AND(AE327&lt;&gt;"",AF327=""),"CEK URUTAN SAMBUNG kosong",IF(AND(AE327&lt;&gt;"",LEFT(AH327,6)="Endcap"),"CEK Endcap tidak ikut sambung","OK")))))))))</f>
        <v/>
      </c>
    </row>
    <row r="328">
      <c r="A328" s="10" t="n"/>
      <c r="B328" s="10" t="n"/>
      <c r="C328" s="10" t="n"/>
      <c r="D328" s="10" t="n"/>
      <c r="E328" s="10" t="n"/>
      <c r="F328" s="10" t="n"/>
      <c r="G328" s="10" t="n"/>
      <c r="H328" s="10" t="n"/>
      <c r="I328" s="10" t="n"/>
      <c r="J328" s="10" t="n"/>
      <c r="K328" s="10" t="n"/>
      <c r="L328" s="11" t="n"/>
      <c r="M328" s="11" t="n"/>
      <c r="N328" s="11" t="n"/>
      <c r="O328" s="11" t="n"/>
      <c r="P328" s="11" t="n"/>
      <c r="Q328" s="11" t="n"/>
      <c r="R328" s="12">
        <f>IF(L328="","",IFERROR(INDEX(DAFTAR_FIXTURE!$B$2:$B$51,MATCH(L328,DAFTAR_FIXTURE!$A$2:$A$51,0)),""))</f>
        <v/>
      </c>
      <c r="S328" s="12">
        <f>IF(AND($D328="",L328=""),"",IF(L328="",IF(AND(T328="",AB328=""),"Belum ditempatkan",""),IF(R328="","CEK ID FIXTURE tidak ada di DAFTAR_FIXTURE",IF(M328="","CEK ZONA NO kosong",IF(ISNA(MATCH(R328&amp;"|"&amp;M328,LAYOUT!$E$2:$E$80,0)),"CEK ZONA NO di luar layout",IF(N328&lt;&gt;INDEX(LAYOUT!$D$2:$D$80,MATCH(R328&amp;"|"&amp;M328,LAYOUT!$E$2:$E$80,0)),"CEK JENIS ZONA",IF($D328="","Zona STOCK",IF($E328="","CEK SKU DESCRIPTION kosong",IF(AND(O328&lt;&gt;"",P328=""),"CEK URUTAN SAMBUNG kosong",IF(AND(O328&lt;&gt;"",LEFT(R328,6)="Endcap"),"CEK Endcap tidak ikut sambung","OK"))))))))))</f>
        <v/>
      </c>
      <c r="T328" s="11" t="n"/>
      <c r="U328" s="11" t="n"/>
      <c r="V328" s="11" t="n"/>
      <c r="W328" s="11" t="n"/>
      <c r="X328" s="11" t="n"/>
      <c r="Y328" s="11" t="n"/>
      <c r="Z328" s="12">
        <f>IF(T328="","",IFERROR(INDEX(DAFTAR_FIXTURE!$B$2:$B$51,MATCH(T328,DAFTAR_FIXTURE!$A$2:$A$51,0)),""))</f>
        <v/>
      </c>
      <c r="AA328" s="12">
        <f>IF(T328="","",IF(Z328="","CEK ID FIXTURE tidak ada di DAFTAR_FIXTURE",IF(U328="","CEK ZONA NO kosong",IF(ISNA(MATCH(Z328&amp;"|"&amp;U328,LAYOUT!$E$2:$E$80,0)),"CEK ZONA NO di luar layout",IF(V328&lt;&gt;INDEX(LAYOUT!$D$2:$D$80,MATCH(Z328&amp;"|"&amp;U328,LAYOUT!$E$2:$E$80,0)),"CEK JENIS ZONA",IF($D328="","Zona STOCK",IF($E328="","CEK SKU DESCRIPTION kosong",IF(AND(W328&lt;&gt;"",X328=""),"CEK URUTAN SAMBUNG kosong",IF(AND(W328&lt;&gt;"",LEFT(Z328,6)="Endcap"),"CEK Endcap tidak ikut sambung","OK")))))))))</f>
        <v/>
      </c>
      <c r="AB328" s="11" t="n"/>
      <c r="AC328" s="11" t="n"/>
      <c r="AD328" s="11" t="n"/>
      <c r="AE328" s="11" t="n"/>
      <c r="AF328" s="11" t="n"/>
      <c r="AG328" s="11" t="n"/>
      <c r="AH328" s="12">
        <f>IF(AB328="","",IFERROR(INDEX(DAFTAR_FIXTURE!$B$2:$B$51,MATCH(AB328,DAFTAR_FIXTURE!$A$2:$A$51,0)),""))</f>
        <v/>
      </c>
      <c r="AI328" s="12">
        <f>IF(AB328="","",IF(AH328="","CEK ID FIXTURE tidak ada di DAFTAR_FIXTURE",IF(AC328="","CEK ZONA NO kosong",IF(ISNA(MATCH(AH328&amp;"|"&amp;AC328,LAYOUT!$E$2:$E$80,0)),"CEK ZONA NO di luar layout",IF(AD328&lt;&gt;INDEX(LAYOUT!$D$2:$D$80,MATCH(AH328&amp;"|"&amp;AC328,LAYOUT!$E$2:$E$80,0)),"CEK JENIS ZONA",IF($D328="","Zona STOCK",IF($E328="","CEK SKU DESCRIPTION kosong",IF(AND(AE328&lt;&gt;"",AF328=""),"CEK URUTAN SAMBUNG kosong",IF(AND(AE328&lt;&gt;"",LEFT(AH328,6)="Endcap"),"CEK Endcap tidak ikut sambung","OK")))))))))</f>
        <v/>
      </c>
    </row>
    <row r="329">
      <c r="A329" s="10" t="n"/>
      <c r="B329" s="10" t="n"/>
      <c r="C329" s="10" t="n"/>
      <c r="D329" s="10" t="n"/>
      <c r="E329" s="10" t="n"/>
      <c r="F329" s="10" t="n"/>
      <c r="G329" s="10" t="n"/>
      <c r="H329" s="10" t="n"/>
      <c r="I329" s="10" t="n"/>
      <c r="J329" s="10" t="n"/>
      <c r="K329" s="10" t="n"/>
      <c r="L329" s="11" t="n"/>
      <c r="M329" s="11" t="n"/>
      <c r="N329" s="11" t="n"/>
      <c r="O329" s="11" t="n"/>
      <c r="P329" s="11" t="n"/>
      <c r="Q329" s="11" t="n"/>
      <c r="R329" s="12">
        <f>IF(L329="","",IFERROR(INDEX(DAFTAR_FIXTURE!$B$2:$B$51,MATCH(L329,DAFTAR_FIXTURE!$A$2:$A$51,0)),""))</f>
        <v/>
      </c>
      <c r="S329" s="12">
        <f>IF(AND($D329="",L329=""),"",IF(L329="",IF(AND(T329="",AB329=""),"Belum ditempatkan",""),IF(R329="","CEK ID FIXTURE tidak ada di DAFTAR_FIXTURE",IF(M329="","CEK ZONA NO kosong",IF(ISNA(MATCH(R329&amp;"|"&amp;M329,LAYOUT!$E$2:$E$80,0)),"CEK ZONA NO di luar layout",IF(N329&lt;&gt;INDEX(LAYOUT!$D$2:$D$80,MATCH(R329&amp;"|"&amp;M329,LAYOUT!$E$2:$E$80,0)),"CEK JENIS ZONA",IF($D329="","Zona STOCK",IF($E329="","CEK SKU DESCRIPTION kosong",IF(AND(O329&lt;&gt;"",P329=""),"CEK URUTAN SAMBUNG kosong",IF(AND(O329&lt;&gt;"",LEFT(R329,6)="Endcap"),"CEK Endcap tidak ikut sambung","OK"))))))))))</f>
        <v/>
      </c>
      <c r="T329" s="11" t="n"/>
      <c r="U329" s="11" t="n"/>
      <c r="V329" s="11" t="n"/>
      <c r="W329" s="11" t="n"/>
      <c r="X329" s="11" t="n"/>
      <c r="Y329" s="11" t="n"/>
      <c r="Z329" s="12">
        <f>IF(T329="","",IFERROR(INDEX(DAFTAR_FIXTURE!$B$2:$B$51,MATCH(T329,DAFTAR_FIXTURE!$A$2:$A$51,0)),""))</f>
        <v/>
      </c>
      <c r="AA329" s="12">
        <f>IF(T329="","",IF(Z329="","CEK ID FIXTURE tidak ada di DAFTAR_FIXTURE",IF(U329="","CEK ZONA NO kosong",IF(ISNA(MATCH(Z329&amp;"|"&amp;U329,LAYOUT!$E$2:$E$80,0)),"CEK ZONA NO di luar layout",IF(V329&lt;&gt;INDEX(LAYOUT!$D$2:$D$80,MATCH(Z329&amp;"|"&amp;U329,LAYOUT!$E$2:$E$80,0)),"CEK JENIS ZONA",IF($D329="","Zona STOCK",IF($E329="","CEK SKU DESCRIPTION kosong",IF(AND(W329&lt;&gt;"",X329=""),"CEK URUTAN SAMBUNG kosong",IF(AND(W329&lt;&gt;"",LEFT(Z329,6)="Endcap"),"CEK Endcap tidak ikut sambung","OK")))))))))</f>
        <v/>
      </c>
      <c r="AB329" s="11" t="n"/>
      <c r="AC329" s="11" t="n"/>
      <c r="AD329" s="11" t="n"/>
      <c r="AE329" s="11" t="n"/>
      <c r="AF329" s="11" t="n"/>
      <c r="AG329" s="11" t="n"/>
      <c r="AH329" s="12">
        <f>IF(AB329="","",IFERROR(INDEX(DAFTAR_FIXTURE!$B$2:$B$51,MATCH(AB329,DAFTAR_FIXTURE!$A$2:$A$51,0)),""))</f>
        <v/>
      </c>
      <c r="AI329" s="12">
        <f>IF(AB329="","",IF(AH329="","CEK ID FIXTURE tidak ada di DAFTAR_FIXTURE",IF(AC329="","CEK ZONA NO kosong",IF(ISNA(MATCH(AH329&amp;"|"&amp;AC329,LAYOUT!$E$2:$E$80,0)),"CEK ZONA NO di luar layout",IF(AD329&lt;&gt;INDEX(LAYOUT!$D$2:$D$80,MATCH(AH329&amp;"|"&amp;AC329,LAYOUT!$E$2:$E$80,0)),"CEK JENIS ZONA",IF($D329="","Zona STOCK",IF($E329="","CEK SKU DESCRIPTION kosong",IF(AND(AE329&lt;&gt;"",AF329=""),"CEK URUTAN SAMBUNG kosong",IF(AND(AE329&lt;&gt;"",LEFT(AH329,6)="Endcap"),"CEK Endcap tidak ikut sambung","OK")))))))))</f>
        <v/>
      </c>
    </row>
    <row r="330">
      <c r="A330" s="10" t="n"/>
      <c r="B330" s="10" t="n"/>
      <c r="C330" s="10" t="n"/>
      <c r="D330" s="10" t="n"/>
      <c r="E330" s="10" t="n"/>
      <c r="F330" s="10" t="n"/>
      <c r="G330" s="10" t="n"/>
      <c r="H330" s="10" t="n"/>
      <c r="I330" s="10" t="n"/>
      <c r="J330" s="10" t="n"/>
      <c r="K330" s="10" t="n"/>
      <c r="L330" s="11" t="n"/>
      <c r="M330" s="11" t="n"/>
      <c r="N330" s="11" t="n"/>
      <c r="O330" s="11" t="n"/>
      <c r="P330" s="11" t="n"/>
      <c r="Q330" s="11" t="n"/>
      <c r="R330" s="12">
        <f>IF(L330="","",IFERROR(INDEX(DAFTAR_FIXTURE!$B$2:$B$51,MATCH(L330,DAFTAR_FIXTURE!$A$2:$A$51,0)),""))</f>
        <v/>
      </c>
      <c r="S330" s="12">
        <f>IF(AND($D330="",L330=""),"",IF(L330="",IF(AND(T330="",AB330=""),"Belum ditempatkan",""),IF(R330="","CEK ID FIXTURE tidak ada di DAFTAR_FIXTURE",IF(M330="","CEK ZONA NO kosong",IF(ISNA(MATCH(R330&amp;"|"&amp;M330,LAYOUT!$E$2:$E$80,0)),"CEK ZONA NO di luar layout",IF(N330&lt;&gt;INDEX(LAYOUT!$D$2:$D$80,MATCH(R330&amp;"|"&amp;M330,LAYOUT!$E$2:$E$80,0)),"CEK JENIS ZONA",IF($D330="","Zona STOCK",IF($E330="","CEK SKU DESCRIPTION kosong",IF(AND(O330&lt;&gt;"",P330=""),"CEK URUTAN SAMBUNG kosong",IF(AND(O330&lt;&gt;"",LEFT(R330,6)="Endcap"),"CEK Endcap tidak ikut sambung","OK"))))))))))</f>
        <v/>
      </c>
      <c r="T330" s="11" t="n"/>
      <c r="U330" s="11" t="n"/>
      <c r="V330" s="11" t="n"/>
      <c r="W330" s="11" t="n"/>
      <c r="X330" s="11" t="n"/>
      <c r="Y330" s="11" t="n"/>
      <c r="Z330" s="12">
        <f>IF(T330="","",IFERROR(INDEX(DAFTAR_FIXTURE!$B$2:$B$51,MATCH(T330,DAFTAR_FIXTURE!$A$2:$A$51,0)),""))</f>
        <v/>
      </c>
      <c r="AA330" s="12">
        <f>IF(T330="","",IF(Z330="","CEK ID FIXTURE tidak ada di DAFTAR_FIXTURE",IF(U330="","CEK ZONA NO kosong",IF(ISNA(MATCH(Z330&amp;"|"&amp;U330,LAYOUT!$E$2:$E$80,0)),"CEK ZONA NO di luar layout",IF(V330&lt;&gt;INDEX(LAYOUT!$D$2:$D$80,MATCH(Z330&amp;"|"&amp;U330,LAYOUT!$E$2:$E$80,0)),"CEK JENIS ZONA",IF($D330="","Zona STOCK",IF($E330="","CEK SKU DESCRIPTION kosong",IF(AND(W330&lt;&gt;"",X330=""),"CEK URUTAN SAMBUNG kosong",IF(AND(W330&lt;&gt;"",LEFT(Z330,6)="Endcap"),"CEK Endcap tidak ikut sambung","OK")))))))))</f>
        <v/>
      </c>
      <c r="AB330" s="11" t="n"/>
      <c r="AC330" s="11" t="n"/>
      <c r="AD330" s="11" t="n"/>
      <c r="AE330" s="11" t="n"/>
      <c r="AF330" s="11" t="n"/>
      <c r="AG330" s="11" t="n"/>
      <c r="AH330" s="12">
        <f>IF(AB330="","",IFERROR(INDEX(DAFTAR_FIXTURE!$B$2:$B$51,MATCH(AB330,DAFTAR_FIXTURE!$A$2:$A$51,0)),""))</f>
        <v/>
      </c>
      <c r="AI330" s="12">
        <f>IF(AB330="","",IF(AH330="","CEK ID FIXTURE tidak ada di DAFTAR_FIXTURE",IF(AC330="","CEK ZONA NO kosong",IF(ISNA(MATCH(AH330&amp;"|"&amp;AC330,LAYOUT!$E$2:$E$80,0)),"CEK ZONA NO di luar layout",IF(AD330&lt;&gt;INDEX(LAYOUT!$D$2:$D$80,MATCH(AH330&amp;"|"&amp;AC330,LAYOUT!$E$2:$E$80,0)),"CEK JENIS ZONA",IF($D330="","Zona STOCK",IF($E330="","CEK SKU DESCRIPTION kosong",IF(AND(AE330&lt;&gt;"",AF330=""),"CEK URUTAN SAMBUNG kosong",IF(AND(AE330&lt;&gt;"",LEFT(AH330,6)="Endcap"),"CEK Endcap tidak ikut sambung","OK")))))))))</f>
        <v/>
      </c>
    </row>
    <row r="331">
      <c r="A331" s="10" t="n"/>
      <c r="B331" s="10" t="n"/>
      <c r="C331" s="10" t="n"/>
      <c r="D331" s="10" t="n"/>
      <c r="E331" s="10" t="n"/>
      <c r="F331" s="10" t="n"/>
      <c r="G331" s="10" t="n"/>
      <c r="H331" s="10" t="n"/>
      <c r="I331" s="10" t="n"/>
      <c r="J331" s="10" t="n"/>
      <c r="K331" s="10" t="n"/>
      <c r="L331" s="11" t="n"/>
      <c r="M331" s="11" t="n"/>
      <c r="N331" s="11" t="n"/>
      <c r="O331" s="11" t="n"/>
      <c r="P331" s="11" t="n"/>
      <c r="Q331" s="11" t="n"/>
      <c r="R331" s="12">
        <f>IF(L331="","",IFERROR(INDEX(DAFTAR_FIXTURE!$B$2:$B$51,MATCH(L331,DAFTAR_FIXTURE!$A$2:$A$51,0)),""))</f>
        <v/>
      </c>
      <c r="S331" s="12">
        <f>IF(AND($D331="",L331=""),"",IF(L331="",IF(AND(T331="",AB331=""),"Belum ditempatkan",""),IF(R331="","CEK ID FIXTURE tidak ada di DAFTAR_FIXTURE",IF(M331="","CEK ZONA NO kosong",IF(ISNA(MATCH(R331&amp;"|"&amp;M331,LAYOUT!$E$2:$E$80,0)),"CEK ZONA NO di luar layout",IF(N331&lt;&gt;INDEX(LAYOUT!$D$2:$D$80,MATCH(R331&amp;"|"&amp;M331,LAYOUT!$E$2:$E$80,0)),"CEK JENIS ZONA",IF($D331="","Zona STOCK",IF($E331="","CEK SKU DESCRIPTION kosong",IF(AND(O331&lt;&gt;"",P331=""),"CEK URUTAN SAMBUNG kosong",IF(AND(O331&lt;&gt;"",LEFT(R331,6)="Endcap"),"CEK Endcap tidak ikut sambung","OK"))))))))))</f>
        <v/>
      </c>
      <c r="T331" s="11" t="n"/>
      <c r="U331" s="11" t="n"/>
      <c r="V331" s="11" t="n"/>
      <c r="W331" s="11" t="n"/>
      <c r="X331" s="11" t="n"/>
      <c r="Y331" s="11" t="n"/>
      <c r="Z331" s="12">
        <f>IF(T331="","",IFERROR(INDEX(DAFTAR_FIXTURE!$B$2:$B$51,MATCH(T331,DAFTAR_FIXTURE!$A$2:$A$51,0)),""))</f>
        <v/>
      </c>
      <c r="AA331" s="12">
        <f>IF(T331="","",IF(Z331="","CEK ID FIXTURE tidak ada di DAFTAR_FIXTURE",IF(U331="","CEK ZONA NO kosong",IF(ISNA(MATCH(Z331&amp;"|"&amp;U331,LAYOUT!$E$2:$E$80,0)),"CEK ZONA NO di luar layout",IF(V331&lt;&gt;INDEX(LAYOUT!$D$2:$D$80,MATCH(Z331&amp;"|"&amp;U331,LAYOUT!$E$2:$E$80,0)),"CEK JENIS ZONA",IF($D331="","Zona STOCK",IF($E331="","CEK SKU DESCRIPTION kosong",IF(AND(W331&lt;&gt;"",X331=""),"CEK URUTAN SAMBUNG kosong",IF(AND(W331&lt;&gt;"",LEFT(Z331,6)="Endcap"),"CEK Endcap tidak ikut sambung","OK")))))))))</f>
        <v/>
      </c>
      <c r="AB331" s="11" t="n"/>
      <c r="AC331" s="11" t="n"/>
      <c r="AD331" s="11" t="n"/>
      <c r="AE331" s="11" t="n"/>
      <c r="AF331" s="11" t="n"/>
      <c r="AG331" s="11" t="n"/>
      <c r="AH331" s="12">
        <f>IF(AB331="","",IFERROR(INDEX(DAFTAR_FIXTURE!$B$2:$B$51,MATCH(AB331,DAFTAR_FIXTURE!$A$2:$A$51,0)),""))</f>
        <v/>
      </c>
      <c r="AI331" s="12">
        <f>IF(AB331="","",IF(AH331="","CEK ID FIXTURE tidak ada di DAFTAR_FIXTURE",IF(AC331="","CEK ZONA NO kosong",IF(ISNA(MATCH(AH331&amp;"|"&amp;AC331,LAYOUT!$E$2:$E$80,0)),"CEK ZONA NO di luar layout",IF(AD331&lt;&gt;INDEX(LAYOUT!$D$2:$D$80,MATCH(AH331&amp;"|"&amp;AC331,LAYOUT!$E$2:$E$80,0)),"CEK JENIS ZONA",IF($D331="","Zona STOCK",IF($E331="","CEK SKU DESCRIPTION kosong",IF(AND(AE331&lt;&gt;"",AF331=""),"CEK URUTAN SAMBUNG kosong",IF(AND(AE331&lt;&gt;"",LEFT(AH331,6)="Endcap"),"CEK Endcap tidak ikut sambung","OK")))))))))</f>
        <v/>
      </c>
    </row>
    <row r="332">
      <c r="A332" s="10" t="n"/>
      <c r="B332" s="10" t="n"/>
      <c r="C332" s="10" t="n"/>
      <c r="D332" s="10" t="n"/>
      <c r="E332" s="10" t="n"/>
      <c r="F332" s="10" t="n"/>
      <c r="G332" s="10" t="n"/>
      <c r="H332" s="10" t="n"/>
      <c r="I332" s="10" t="n"/>
      <c r="J332" s="10" t="n"/>
      <c r="K332" s="10" t="n"/>
      <c r="L332" s="11" t="n"/>
      <c r="M332" s="11" t="n"/>
      <c r="N332" s="11" t="n"/>
      <c r="O332" s="11" t="n"/>
      <c r="P332" s="11" t="n"/>
      <c r="Q332" s="11" t="n"/>
      <c r="R332" s="12">
        <f>IF(L332="","",IFERROR(INDEX(DAFTAR_FIXTURE!$B$2:$B$51,MATCH(L332,DAFTAR_FIXTURE!$A$2:$A$51,0)),""))</f>
        <v/>
      </c>
      <c r="S332" s="12">
        <f>IF(AND($D332="",L332=""),"",IF(L332="",IF(AND(T332="",AB332=""),"Belum ditempatkan",""),IF(R332="","CEK ID FIXTURE tidak ada di DAFTAR_FIXTURE",IF(M332="","CEK ZONA NO kosong",IF(ISNA(MATCH(R332&amp;"|"&amp;M332,LAYOUT!$E$2:$E$80,0)),"CEK ZONA NO di luar layout",IF(N332&lt;&gt;INDEX(LAYOUT!$D$2:$D$80,MATCH(R332&amp;"|"&amp;M332,LAYOUT!$E$2:$E$80,0)),"CEK JENIS ZONA",IF($D332="","Zona STOCK",IF($E332="","CEK SKU DESCRIPTION kosong",IF(AND(O332&lt;&gt;"",P332=""),"CEK URUTAN SAMBUNG kosong",IF(AND(O332&lt;&gt;"",LEFT(R332,6)="Endcap"),"CEK Endcap tidak ikut sambung","OK"))))))))))</f>
        <v/>
      </c>
      <c r="T332" s="11" t="n"/>
      <c r="U332" s="11" t="n"/>
      <c r="V332" s="11" t="n"/>
      <c r="W332" s="11" t="n"/>
      <c r="X332" s="11" t="n"/>
      <c r="Y332" s="11" t="n"/>
      <c r="Z332" s="12">
        <f>IF(T332="","",IFERROR(INDEX(DAFTAR_FIXTURE!$B$2:$B$51,MATCH(T332,DAFTAR_FIXTURE!$A$2:$A$51,0)),""))</f>
        <v/>
      </c>
      <c r="AA332" s="12">
        <f>IF(T332="","",IF(Z332="","CEK ID FIXTURE tidak ada di DAFTAR_FIXTURE",IF(U332="","CEK ZONA NO kosong",IF(ISNA(MATCH(Z332&amp;"|"&amp;U332,LAYOUT!$E$2:$E$80,0)),"CEK ZONA NO di luar layout",IF(V332&lt;&gt;INDEX(LAYOUT!$D$2:$D$80,MATCH(Z332&amp;"|"&amp;U332,LAYOUT!$E$2:$E$80,0)),"CEK JENIS ZONA",IF($D332="","Zona STOCK",IF($E332="","CEK SKU DESCRIPTION kosong",IF(AND(W332&lt;&gt;"",X332=""),"CEK URUTAN SAMBUNG kosong",IF(AND(W332&lt;&gt;"",LEFT(Z332,6)="Endcap"),"CEK Endcap tidak ikut sambung","OK")))))))))</f>
        <v/>
      </c>
      <c r="AB332" s="11" t="n"/>
      <c r="AC332" s="11" t="n"/>
      <c r="AD332" s="11" t="n"/>
      <c r="AE332" s="11" t="n"/>
      <c r="AF332" s="11" t="n"/>
      <c r="AG332" s="11" t="n"/>
      <c r="AH332" s="12">
        <f>IF(AB332="","",IFERROR(INDEX(DAFTAR_FIXTURE!$B$2:$B$51,MATCH(AB332,DAFTAR_FIXTURE!$A$2:$A$51,0)),""))</f>
        <v/>
      </c>
      <c r="AI332" s="12">
        <f>IF(AB332="","",IF(AH332="","CEK ID FIXTURE tidak ada di DAFTAR_FIXTURE",IF(AC332="","CEK ZONA NO kosong",IF(ISNA(MATCH(AH332&amp;"|"&amp;AC332,LAYOUT!$E$2:$E$80,0)),"CEK ZONA NO di luar layout",IF(AD332&lt;&gt;INDEX(LAYOUT!$D$2:$D$80,MATCH(AH332&amp;"|"&amp;AC332,LAYOUT!$E$2:$E$80,0)),"CEK JENIS ZONA",IF($D332="","Zona STOCK",IF($E332="","CEK SKU DESCRIPTION kosong",IF(AND(AE332&lt;&gt;"",AF332=""),"CEK URUTAN SAMBUNG kosong",IF(AND(AE332&lt;&gt;"",LEFT(AH332,6)="Endcap"),"CEK Endcap tidak ikut sambung","OK")))))))))</f>
        <v/>
      </c>
    </row>
    <row r="333">
      <c r="A333" s="10" t="n"/>
      <c r="B333" s="10" t="n"/>
      <c r="C333" s="10" t="n"/>
      <c r="D333" s="10" t="n"/>
      <c r="E333" s="10" t="n"/>
      <c r="F333" s="10" t="n"/>
      <c r="G333" s="10" t="n"/>
      <c r="H333" s="10" t="n"/>
      <c r="I333" s="10" t="n"/>
      <c r="J333" s="10" t="n"/>
      <c r="K333" s="10" t="n"/>
      <c r="L333" s="11" t="n"/>
      <c r="M333" s="11" t="n"/>
      <c r="N333" s="11" t="n"/>
      <c r="O333" s="11" t="n"/>
      <c r="P333" s="11" t="n"/>
      <c r="Q333" s="11" t="n"/>
      <c r="R333" s="12">
        <f>IF(L333="","",IFERROR(INDEX(DAFTAR_FIXTURE!$B$2:$B$51,MATCH(L333,DAFTAR_FIXTURE!$A$2:$A$51,0)),""))</f>
        <v/>
      </c>
      <c r="S333" s="12">
        <f>IF(AND($D333="",L333=""),"",IF(L333="",IF(AND(T333="",AB333=""),"Belum ditempatkan",""),IF(R333="","CEK ID FIXTURE tidak ada di DAFTAR_FIXTURE",IF(M333="","CEK ZONA NO kosong",IF(ISNA(MATCH(R333&amp;"|"&amp;M333,LAYOUT!$E$2:$E$80,0)),"CEK ZONA NO di luar layout",IF(N333&lt;&gt;INDEX(LAYOUT!$D$2:$D$80,MATCH(R333&amp;"|"&amp;M333,LAYOUT!$E$2:$E$80,0)),"CEK JENIS ZONA",IF($D333="","Zona STOCK",IF($E333="","CEK SKU DESCRIPTION kosong",IF(AND(O333&lt;&gt;"",P333=""),"CEK URUTAN SAMBUNG kosong",IF(AND(O333&lt;&gt;"",LEFT(R333,6)="Endcap"),"CEK Endcap tidak ikut sambung","OK"))))))))))</f>
        <v/>
      </c>
      <c r="T333" s="11" t="n"/>
      <c r="U333" s="11" t="n"/>
      <c r="V333" s="11" t="n"/>
      <c r="W333" s="11" t="n"/>
      <c r="X333" s="11" t="n"/>
      <c r="Y333" s="11" t="n"/>
      <c r="Z333" s="12">
        <f>IF(T333="","",IFERROR(INDEX(DAFTAR_FIXTURE!$B$2:$B$51,MATCH(T333,DAFTAR_FIXTURE!$A$2:$A$51,0)),""))</f>
        <v/>
      </c>
      <c r="AA333" s="12">
        <f>IF(T333="","",IF(Z333="","CEK ID FIXTURE tidak ada di DAFTAR_FIXTURE",IF(U333="","CEK ZONA NO kosong",IF(ISNA(MATCH(Z333&amp;"|"&amp;U333,LAYOUT!$E$2:$E$80,0)),"CEK ZONA NO di luar layout",IF(V333&lt;&gt;INDEX(LAYOUT!$D$2:$D$80,MATCH(Z333&amp;"|"&amp;U333,LAYOUT!$E$2:$E$80,0)),"CEK JENIS ZONA",IF($D333="","Zona STOCK",IF($E333="","CEK SKU DESCRIPTION kosong",IF(AND(W333&lt;&gt;"",X333=""),"CEK URUTAN SAMBUNG kosong",IF(AND(W333&lt;&gt;"",LEFT(Z333,6)="Endcap"),"CEK Endcap tidak ikut sambung","OK")))))))))</f>
        <v/>
      </c>
      <c r="AB333" s="11" t="n"/>
      <c r="AC333" s="11" t="n"/>
      <c r="AD333" s="11" t="n"/>
      <c r="AE333" s="11" t="n"/>
      <c r="AF333" s="11" t="n"/>
      <c r="AG333" s="11" t="n"/>
      <c r="AH333" s="12">
        <f>IF(AB333="","",IFERROR(INDEX(DAFTAR_FIXTURE!$B$2:$B$51,MATCH(AB333,DAFTAR_FIXTURE!$A$2:$A$51,0)),""))</f>
        <v/>
      </c>
      <c r="AI333" s="12">
        <f>IF(AB333="","",IF(AH333="","CEK ID FIXTURE tidak ada di DAFTAR_FIXTURE",IF(AC333="","CEK ZONA NO kosong",IF(ISNA(MATCH(AH333&amp;"|"&amp;AC333,LAYOUT!$E$2:$E$80,0)),"CEK ZONA NO di luar layout",IF(AD333&lt;&gt;INDEX(LAYOUT!$D$2:$D$80,MATCH(AH333&amp;"|"&amp;AC333,LAYOUT!$E$2:$E$80,0)),"CEK JENIS ZONA",IF($D333="","Zona STOCK",IF($E333="","CEK SKU DESCRIPTION kosong",IF(AND(AE333&lt;&gt;"",AF333=""),"CEK URUTAN SAMBUNG kosong",IF(AND(AE333&lt;&gt;"",LEFT(AH333,6)="Endcap"),"CEK Endcap tidak ikut sambung","OK")))))))))</f>
        <v/>
      </c>
    </row>
    <row r="334">
      <c r="A334" s="10" t="n"/>
      <c r="B334" s="10" t="n"/>
      <c r="C334" s="10" t="n"/>
      <c r="D334" s="10" t="n"/>
      <c r="E334" s="10" t="n"/>
      <c r="F334" s="10" t="n"/>
      <c r="G334" s="10" t="n"/>
      <c r="H334" s="10" t="n"/>
      <c r="I334" s="10" t="n"/>
      <c r="J334" s="10" t="n"/>
      <c r="K334" s="10" t="n"/>
      <c r="L334" s="11" t="n"/>
      <c r="M334" s="11" t="n"/>
      <c r="N334" s="11" t="n"/>
      <c r="O334" s="11" t="n"/>
      <c r="P334" s="11" t="n"/>
      <c r="Q334" s="11" t="n"/>
      <c r="R334" s="12">
        <f>IF(L334="","",IFERROR(INDEX(DAFTAR_FIXTURE!$B$2:$B$51,MATCH(L334,DAFTAR_FIXTURE!$A$2:$A$51,0)),""))</f>
        <v/>
      </c>
      <c r="S334" s="12">
        <f>IF(AND($D334="",L334=""),"",IF(L334="",IF(AND(T334="",AB334=""),"Belum ditempatkan",""),IF(R334="","CEK ID FIXTURE tidak ada di DAFTAR_FIXTURE",IF(M334="","CEK ZONA NO kosong",IF(ISNA(MATCH(R334&amp;"|"&amp;M334,LAYOUT!$E$2:$E$80,0)),"CEK ZONA NO di luar layout",IF(N334&lt;&gt;INDEX(LAYOUT!$D$2:$D$80,MATCH(R334&amp;"|"&amp;M334,LAYOUT!$E$2:$E$80,0)),"CEK JENIS ZONA",IF($D334="","Zona STOCK",IF($E334="","CEK SKU DESCRIPTION kosong",IF(AND(O334&lt;&gt;"",P334=""),"CEK URUTAN SAMBUNG kosong",IF(AND(O334&lt;&gt;"",LEFT(R334,6)="Endcap"),"CEK Endcap tidak ikut sambung","OK"))))))))))</f>
        <v/>
      </c>
      <c r="T334" s="11" t="n"/>
      <c r="U334" s="11" t="n"/>
      <c r="V334" s="11" t="n"/>
      <c r="W334" s="11" t="n"/>
      <c r="X334" s="11" t="n"/>
      <c r="Y334" s="11" t="n"/>
      <c r="Z334" s="12">
        <f>IF(T334="","",IFERROR(INDEX(DAFTAR_FIXTURE!$B$2:$B$51,MATCH(T334,DAFTAR_FIXTURE!$A$2:$A$51,0)),""))</f>
        <v/>
      </c>
      <c r="AA334" s="12">
        <f>IF(T334="","",IF(Z334="","CEK ID FIXTURE tidak ada di DAFTAR_FIXTURE",IF(U334="","CEK ZONA NO kosong",IF(ISNA(MATCH(Z334&amp;"|"&amp;U334,LAYOUT!$E$2:$E$80,0)),"CEK ZONA NO di luar layout",IF(V334&lt;&gt;INDEX(LAYOUT!$D$2:$D$80,MATCH(Z334&amp;"|"&amp;U334,LAYOUT!$E$2:$E$80,0)),"CEK JENIS ZONA",IF($D334="","Zona STOCK",IF($E334="","CEK SKU DESCRIPTION kosong",IF(AND(W334&lt;&gt;"",X334=""),"CEK URUTAN SAMBUNG kosong",IF(AND(W334&lt;&gt;"",LEFT(Z334,6)="Endcap"),"CEK Endcap tidak ikut sambung","OK")))))))))</f>
        <v/>
      </c>
      <c r="AB334" s="11" t="n"/>
      <c r="AC334" s="11" t="n"/>
      <c r="AD334" s="11" t="n"/>
      <c r="AE334" s="11" t="n"/>
      <c r="AF334" s="11" t="n"/>
      <c r="AG334" s="11" t="n"/>
      <c r="AH334" s="12">
        <f>IF(AB334="","",IFERROR(INDEX(DAFTAR_FIXTURE!$B$2:$B$51,MATCH(AB334,DAFTAR_FIXTURE!$A$2:$A$51,0)),""))</f>
        <v/>
      </c>
      <c r="AI334" s="12">
        <f>IF(AB334="","",IF(AH334="","CEK ID FIXTURE tidak ada di DAFTAR_FIXTURE",IF(AC334="","CEK ZONA NO kosong",IF(ISNA(MATCH(AH334&amp;"|"&amp;AC334,LAYOUT!$E$2:$E$80,0)),"CEK ZONA NO di luar layout",IF(AD334&lt;&gt;INDEX(LAYOUT!$D$2:$D$80,MATCH(AH334&amp;"|"&amp;AC334,LAYOUT!$E$2:$E$80,0)),"CEK JENIS ZONA",IF($D334="","Zona STOCK",IF($E334="","CEK SKU DESCRIPTION kosong",IF(AND(AE334&lt;&gt;"",AF334=""),"CEK URUTAN SAMBUNG kosong",IF(AND(AE334&lt;&gt;"",LEFT(AH334,6)="Endcap"),"CEK Endcap tidak ikut sambung","OK")))))))))</f>
        <v/>
      </c>
    </row>
    <row r="335">
      <c r="A335" s="10" t="n"/>
      <c r="B335" s="10" t="n"/>
      <c r="C335" s="10" t="n"/>
      <c r="D335" s="10" t="n"/>
      <c r="E335" s="10" t="n"/>
      <c r="F335" s="10" t="n"/>
      <c r="G335" s="10" t="n"/>
      <c r="H335" s="10" t="n"/>
      <c r="I335" s="10" t="n"/>
      <c r="J335" s="10" t="n"/>
      <c r="K335" s="10" t="n"/>
      <c r="L335" s="11" t="n"/>
      <c r="M335" s="11" t="n"/>
      <c r="N335" s="11" t="n"/>
      <c r="O335" s="11" t="n"/>
      <c r="P335" s="11" t="n"/>
      <c r="Q335" s="11" t="n"/>
      <c r="R335" s="12">
        <f>IF(L335="","",IFERROR(INDEX(DAFTAR_FIXTURE!$B$2:$B$51,MATCH(L335,DAFTAR_FIXTURE!$A$2:$A$51,0)),""))</f>
        <v/>
      </c>
      <c r="S335" s="12">
        <f>IF(AND($D335="",L335=""),"",IF(L335="",IF(AND(T335="",AB335=""),"Belum ditempatkan",""),IF(R335="","CEK ID FIXTURE tidak ada di DAFTAR_FIXTURE",IF(M335="","CEK ZONA NO kosong",IF(ISNA(MATCH(R335&amp;"|"&amp;M335,LAYOUT!$E$2:$E$80,0)),"CEK ZONA NO di luar layout",IF(N335&lt;&gt;INDEX(LAYOUT!$D$2:$D$80,MATCH(R335&amp;"|"&amp;M335,LAYOUT!$E$2:$E$80,0)),"CEK JENIS ZONA",IF($D335="","Zona STOCK",IF($E335="","CEK SKU DESCRIPTION kosong",IF(AND(O335&lt;&gt;"",P335=""),"CEK URUTAN SAMBUNG kosong",IF(AND(O335&lt;&gt;"",LEFT(R335,6)="Endcap"),"CEK Endcap tidak ikut sambung","OK"))))))))))</f>
        <v/>
      </c>
      <c r="T335" s="11" t="n"/>
      <c r="U335" s="11" t="n"/>
      <c r="V335" s="11" t="n"/>
      <c r="W335" s="11" t="n"/>
      <c r="X335" s="11" t="n"/>
      <c r="Y335" s="11" t="n"/>
      <c r="Z335" s="12">
        <f>IF(T335="","",IFERROR(INDEX(DAFTAR_FIXTURE!$B$2:$B$51,MATCH(T335,DAFTAR_FIXTURE!$A$2:$A$51,0)),""))</f>
        <v/>
      </c>
      <c r="AA335" s="12">
        <f>IF(T335="","",IF(Z335="","CEK ID FIXTURE tidak ada di DAFTAR_FIXTURE",IF(U335="","CEK ZONA NO kosong",IF(ISNA(MATCH(Z335&amp;"|"&amp;U335,LAYOUT!$E$2:$E$80,0)),"CEK ZONA NO di luar layout",IF(V335&lt;&gt;INDEX(LAYOUT!$D$2:$D$80,MATCH(Z335&amp;"|"&amp;U335,LAYOUT!$E$2:$E$80,0)),"CEK JENIS ZONA",IF($D335="","Zona STOCK",IF($E335="","CEK SKU DESCRIPTION kosong",IF(AND(W335&lt;&gt;"",X335=""),"CEK URUTAN SAMBUNG kosong",IF(AND(W335&lt;&gt;"",LEFT(Z335,6)="Endcap"),"CEK Endcap tidak ikut sambung","OK")))))))))</f>
        <v/>
      </c>
      <c r="AB335" s="11" t="n"/>
      <c r="AC335" s="11" t="n"/>
      <c r="AD335" s="11" t="n"/>
      <c r="AE335" s="11" t="n"/>
      <c r="AF335" s="11" t="n"/>
      <c r="AG335" s="11" t="n"/>
      <c r="AH335" s="12">
        <f>IF(AB335="","",IFERROR(INDEX(DAFTAR_FIXTURE!$B$2:$B$51,MATCH(AB335,DAFTAR_FIXTURE!$A$2:$A$51,0)),""))</f>
        <v/>
      </c>
      <c r="AI335" s="12">
        <f>IF(AB335="","",IF(AH335="","CEK ID FIXTURE tidak ada di DAFTAR_FIXTURE",IF(AC335="","CEK ZONA NO kosong",IF(ISNA(MATCH(AH335&amp;"|"&amp;AC335,LAYOUT!$E$2:$E$80,0)),"CEK ZONA NO di luar layout",IF(AD335&lt;&gt;INDEX(LAYOUT!$D$2:$D$80,MATCH(AH335&amp;"|"&amp;AC335,LAYOUT!$E$2:$E$80,0)),"CEK JENIS ZONA",IF($D335="","Zona STOCK",IF($E335="","CEK SKU DESCRIPTION kosong",IF(AND(AE335&lt;&gt;"",AF335=""),"CEK URUTAN SAMBUNG kosong",IF(AND(AE335&lt;&gt;"",LEFT(AH335,6)="Endcap"),"CEK Endcap tidak ikut sambung","OK")))))))))</f>
        <v/>
      </c>
    </row>
    <row r="336">
      <c r="A336" s="10" t="n"/>
      <c r="B336" s="10" t="n"/>
      <c r="C336" s="10" t="n"/>
      <c r="D336" s="10" t="n"/>
      <c r="E336" s="10" t="n"/>
      <c r="F336" s="10" t="n"/>
      <c r="G336" s="10" t="n"/>
      <c r="H336" s="10" t="n"/>
      <c r="I336" s="10" t="n"/>
      <c r="J336" s="10" t="n"/>
      <c r="K336" s="10" t="n"/>
      <c r="L336" s="11" t="n"/>
      <c r="M336" s="11" t="n"/>
      <c r="N336" s="11" t="n"/>
      <c r="O336" s="11" t="n"/>
      <c r="P336" s="11" t="n"/>
      <c r="Q336" s="11" t="n"/>
      <c r="R336" s="12">
        <f>IF(L336="","",IFERROR(INDEX(DAFTAR_FIXTURE!$B$2:$B$51,MATCH(L336,DAFTAR_FIXTURE!$A$2:$A$51,0)),""))</f>
        <v/>
      </c>
      <c r="S336" s="12">
        <f>IF(AND($D336="",L336=""),"",IF(L336="",IF(AND(T336="",AB336=""),"Belum ditempatkan",""),IF(R336="","CEK ID FIXTURE tidak ada di DAFTAR_FIXTURE",IF(M336="","CEK ZONA NO kosong",IF(ISNA(MATCH(R336&amp;"|"&amp;M336,LAYOUT!$E$2:$E$80,0)),"CEK ZONA NO di luar layout",IF(N336&lt;&gt;INDEX(LAYOUT!$D$2:$D$80,MATCH(R336&amp;"|"&amp;M336,LAYOUT!$E$2:$E$80,0)),"CEK JENIS ZONA",IF($D336="","Zona STOCK",IF($E336="","CEK SKU DESCRIPTION kosong",IF(AND(O336&lt;&gt;"",P336=""),"CEK URUTAN SAMBUNG kosong",IF(AND(O336&lt;&gt;"",LEFT(R336,6)="Endcap"),"CEK Endcap tidak ikut sambung","OK"))))))))))</f>
        <v/>
      </c>
      <c r="T336" s="11" t="n"/>
      <c r="U336" s="11" t="n"/>
      <c r="V336" s="11" t="n"/>
      <c r="W336" s="11" t="n"/>
      <c r="X336" s="11" t="n"/>
      <c r="Y336" s="11" t="n"/>
      <c r="Z336" s="12">
        <f>IF(T336="","",IFERROR(INDEX(DAFTAR_FIXTURE!$B$2:$B$51,MATCH(T336,DAFTAR_FIXTURE!$A$2:$A$51,0)),""))</f>
        <v/>
      </c>
      <c r="AA336" s="12">
        <f>IF(T336="","",IF(Z336="","CEK ID FIXTURE tidak ada di DAFTAR_FIXTURE",IF(U336="","CEK ZONA NO kosong",IF(ISNA(MATCH(Z336&amp;"|"&amp;U336,LAYOUT!$E$2:$E$80,0)),"CEK ZONA NO di luar layout",IF(V336&lt;&gt;INDEX(LAYOUT!$D$2:$D$80,MATCH(Z336&amp;"|"&amp;U336,LAYOUT!$E$2:$E$80,0)),"CEK JENIS ZONA",IF($D336="","Zona STOCK",IF($E336="","CEK SKU DESCRIPTION kosong",IF(AND(W336&lt;&gt;"",X336=""),"CEK URUTAN SAMBUNG kosong",IF(AND(W336&lt;&gt;"",LEFT(Z336,6)="Endcap"),"CEK Endcap tidak ikut sambung","OK")))))))))</f>
        <v/>
      </c>
      <c r="AB336" s="11" t="n"/>
      <c r="AC336" s="11" t="n"/>
      <c r="AD336" s="11" t="n"/>
      <c r="AE336" s="11" t="n"/>
      <c r="AF336" s="11" t="n"/>
      <c r="AG336" s="11" t="n"/>
      <c r="AH336" s="12">
        <f>IF(AB336="","",IFERROR(INDEX(DAFTAR_FIXTURE!$B$2:$B$51,MATCH(AB336,DAFTAR_FIXTURE!$A$2:$A$51,0)),""))</f>
        <v/>
      </c>
      <c r="AI336" s="12">
        <f>IF(AB336="","",IF(AH336="","CEK ID FIXTURE tidak ada di DAFTAR_FIXTURE",IF(AC336="","CEK ZONA NO kosong",IF(ISNA(MATCH(AH336&amp;"|"&amp;AC336,LAYOUT!$E$2:$E$80,0)),"CEK ZONA NO di luar layout",IF(AD336&lt;&gt;INDEX(LAYOUT!$D$2:$D$80,MATCH(AH336&amp;"|"&amp;AC336,LAYOUT!$E$2:$E$80,0)),"CEK JENIS ZONA",IF($D336="","Zona STOCK",IF($E336="","CEK SKU DESCRIPTION kosong",IF(AND(AE336&lt;&gt;"",AF336=""),"CEK URUTAN SAMBUNG kosong",IF(AND(AE336&lt;&gt;"",LEFT(AH336,6)="Endcap"),"CEK Endcap tidak ikut sambung","OK")))))))))</f>
        <v/>
      </c>
    </row>
    <row r="337">
      <c r="A337" s="10" t="n"/>
      <c r="B337" s="10" t="n"/>
      <c r="C337" s="10" t="n"/>
      <c r="D337" s="10" t="n"/>
      <c r="E337" s="10" t="n"/>
      <c r="F337" s="10" t="n"/>
      <c r="G337" s="10" t="n"/>
      <c r="H337" s="10" t="n"/>
      <c r="I337" s="10" t="n"/>
      <c r="J337" s="10" t="n"/>
      <c r="K337" s="10" t="n"/>
      <c r="L337" s="11" t="n"/>
      <c r="M337" s="11" t="n"/>
      <c r="N337" s="11" t="n"/>
      <c r="O337" s="11" t="n"/>
      <c r="P337" s="11" t="n"/>
      <c r="Q337" s="11" t="n"/>
      <c r="R337" s="12">
        <f>IF(L337="","",IFERROR(INDEX(DAFTAR_FIXTURE!$B$2:$B$51,MATCH(L337,DAFTAR_FIXTURE!$A$2:$A$51,0)),""))</f>
        <v/>
      </c>
      <c r="S337" s="12">
        <f>IF(AND($D337="",L337=""),"",IF(L337="",IF(AND(T337="",AB337=""),"Belum ditempatkan",""),IF(R337="","CEK ID FIXTURE tidak ada di DAFTAR_FIXTURE",IF(M337="","CEK ZONA NO kosong",IF(ISNA(MATCH(R337&amp;"|"&amp;M337,LAYOUT!$E$2:$E$80,0)),"CEK ZONA NO di luar layout",IF(N337&lt;&gt;INDEX(LAYOUT!$D$2:$D$80,MATCH(R337&amp;"|"&amp;M337,LAYOUT!$E$2:$E$80,0)),"CEK JENIS ZONA",IF($D337="","Zona STOCK",IF($E337="","CEK SKU DESCRIPTION kosong",IF(AND(O337&lt;&gt;"",P337=""),"CEK URUTAN SAMBUNG kosong",IF(AND(O337&lt;&gt;"",LEFT(R337,6)="Endcap"),"CEK Endcap tidak ikut sambung","OK"))))))))))</f>
        <v/>
      </c>
      <c r="T337" s="11" t="n"/>
      <c r="U337" s="11" t="n"/>
      <c r="V337" s="11" t="n"/>
      <c r="W337" s="11" t="n"/>
      <c r="X337" s="11" t="n"/>
      <c r="Y337" s="11" t="n"/>
      <c r="Z337" s="12">
        <f>IF(T337="","",IFERROR(INDEX(DAFTAR_FIXTURE!$B$2:$B$51,MATCH(T337,DAFTAR_FIXTURE!$A$2:$A$51,0)),""))</f>
        <v/>
      </c>
      <c r="AA337" s="12">
        <f>IF(T337="","",IF(Z337="","CEK ID FIXTURE tidak ada di DAFTAR_FIXTURE",IF(U337="","CEK ZONA NO kosong",IF(ISNA(MATCH(Z337&amp;"|"&amp;U337,LAYOUT!$E$2:$E$80,0)),"CEK ZONA NO di luar layout",IF(V337&lt;&gt;INDEX(LAYOUT!$D$2:$D$80,MATCH(Z337&amp;"|"&amp;U337,LAYOUT!$E$2:$E$80,0)),"CEK JENIS ZONA",IF($D337="","Zona STOCK",IF($E337="","CEK SKU DESCRIPTION kosong",IF(AND(W337&lt;&gt;"",X337=""),"CEK URUTAN SAMBUNG kosong",IF(AND(W337&lt;&gt;"",LEFT(Z337,6)="Endcap"),"CEK Endcap tidak ikut sambung","OK")))))))))</f>
        <v/>
      </c>
      <c r="AB337" s="11" t="n"/>
      <c r="AC337" s="11" t="n"/>
      <c r="AD337" s="11" t="n"/>
      <c r="AE337" s="11" t="n"/>
      <c r="AF337" s="11" t="n"/>
      <c r="AG337" s="11" t="n"/>
      <c r="AH337" s="12">
        <f>IF(AB337="","",IFERROR(INDEX(DAFTAR_FIXTURE!$B$2:$B$51,MATCH(AB337,DAFTAR_FIXTURE!$A$2:$A$51,0)),""))</f>
        <v/>
      </c>
      <c r="AI337" s="12">
        <f>IF(AB337="","",IF(AH337="","CEK ID FIXTURE tidak ada di DAFTAR_FIXTURE",IF(AC337="","CEK ZONA NO kosong",IF(ISNA(MATCH(AH337&amp;"|"&amp;AC337,LAYOUT!$E$2:$E$80,0)),"CEK ZONA NO di luar layout",IF(AD337&lt;&gt;INDEX(LAYOUT!$D$2:$D$80,MATCH(AH337&amp;"|"&amp;AC337,LAYOUT!$E$2:$E$80,0)),"CEK JENIS ZONA",IF($D337="","Zona STOCK",IF($E337="","CEK SKU DESCRIPTION kosong",IF(AND(AE337&lt;&gt;"",AF337=""),"CEK URUTAN SAMBUNG kosong",IF(AND(AE337&lt;&gt;"",LEFT(AH337,6)="Endcap"),"CEK Endcap tidak ikut sambung","OK")))))))))</f>
        <v/>
      </c>
    </row>
    <row r="338">
      <c r="A338" s="10" t="n"/>
      <c r="B338" s="10" t="n"/>
      <c r="C338" s="10" t="n"/>
      <c r="D338" s="10" t="n"/>
      <c r="E338" s="10" t="n"/>
      <c r="F338" s="10" t="n"/>
      <c r="G338" s="10" t="n"/>
      <c r="H338" s="10" t="n"/>
      <c r="I338" s="10" t="n"/>
      <c r="J338" s="10" t="n"/>
      <c r="K338" s="10" t="n"/>
      <c r="L338" s="11" t="n"/>
      <c r="M338" s="11" t="n"/>
      <c r="N338" s="11" t="n"/>
      <c r="O338" s="11" t="n"/>
      <c r="P338" s="11" t="n"/>
      <c r="Q338" s="11" t="n"/>
      <c r="R338" s="12">
        <f>IF(L338="","",IFERROR(INDEX(DAFTAR_FIXTURE!$B$2:$B$51,MATCH(L338,DAFTAR_FIXTURE!$A$2:$A$51,0)),""))</f>
        <v/>
      </c>
      <c r="S338" s="12">
        <f>IF(AND($D338="",L338=""),"",IF(L338="",IF(AND(T338="",AB338=""),"Belum ditempatkan",""),IF(R338="","CEK ID FIXTURE tidak ada di DAFTAR_FIXTURE",IF(M338="","CEK ZONA NO kosong",IF(ISNA(MATCH(R338&amp;"|"&amp;M338,LAYOUT!$E$2:$E$80,0)),"CEK ZONA NO di luar layout",IF(N338&lt;&gt;INDEX(LAYOUT!$D$2:$D$80,MATCH(R338&amp;"|"&amp;M338,LAYOUT!$E$2:$E$80,0)),"CEK JENIS ZONA",IF($D338="","Zona STOCK",IF($E338="","CEK SKU DESCRIPTION kosong",IF(AND(O338&lt;&gt;"",P338=""),"CEK URUTAN SAMBUNG kosong",IF(AND(O338&lt;&gt;"",LEFT(R338,6)="Endcap"),"CEK Endcap tidak ikut sambung","OK"))))))))))</f>
        <v/>
      </c>
      <c r="T338" s="11" t="n"/>
      <c r="U338" s="11" t="n"/>
      <c r="V338" s="11" t="n"/>
      <c r="W338" s="11" t="n"/>
      <c r="X338" s="11" t="n"/>
      <c r="Y338" s="11" t="n"/>
      <c r="Z338" s="12">
        <f>IF(T338="","",IFERROR(INDEX(DAFTAR_FIXTURE!$B$2:$B$51,MATCH(T338,DAFTAR_FIXTURE!$A$2:$A$51,0)),""))</f>
        <v/>
      </c>
      <c r="AA338" s="12">
        <f>IF(T338="","",IF(Z338="","CEK ID FIXTURE tidak ada di DAFTAR_FIXTURE",IF(U338="","CEK ZONA NO kosong",IF(ISNA(MATCH(Z338&amp;"|"&amp;U338,LAYOUT!$E$2:$E$80,0)),"CEK ZONA NO di luar layout",IF(V338&lt;&gt;INDEX(LAYOUT!$D$2:$D$80,MATCH(Z338&amp;"|"&amp;U338,LAYOUT!$E$2:$E$80,0)),"CEK JENIS ZONA",IF($D338="","Zona STOCK",IF($E338="","CEK SKU DESCRIPTION kosong",IF(AND(W338&lt;&gt;"",X338=""),"CEK URUTAN SAMBUNG kosong",IF(AND(W338&lt;&gt;"",LEFT(Z338,6)="Endcap"),"CEK Endcap tidak ikut sambung","OK")))))))))</f>
        <v/>
      </c>
      <c r="AB338" s="11" t="n"/>
      <c r="AC338" s="11" t="n"/>
      <c r="AD338" s="11" t="n"/>
      <c r="AE338" s="11" t="n"/>
      <c r="AF338" s="11" t="n"/>
      <c r="AG338" s="11" t="n"/>
      <c r="AH338" s="12">
        <f>IF(AB338="","",IFERROR(INDEX(DAFTAR_FIXTURE!$B$2:$B$51,MATCH(AB338,DAFTAR_FIXTURE!$A$2:$A$51,0)),""))</f>
        <v/>
      </c>
      <c r="AI338" s="12">
        <f>IF(AB338="","",IF(AH338="","CEK ID FIXTURE tidak ada di DAFTAR_FIXTURE",IF(AC338="","CEK ZONA NO kosong",IF(ISNA(MATCH(AH338&amp;"|"&amp;AC338,LAYOUT!$E$2:$E$80,0)),"CEK ZONA NO di luar layout",IF(AD338&lt;&gt;INDEX(LAYOUT!$D$2:$D$80,MATCH(AH338&amp;"|"&amp;AC338,LAYOUT!$E$2:$E$80,0)),"CEK JENIS ZONA",IF($D338="","Zona STOCK",IF($E338="","CEK SKU DESCRIPTION kosong",IF(AND(AE338&lt;&gt;"",AF338=""),"CEK URUTAN SAMBUNG kosong",IF(AND(AE338&lt;&gt;"",LEFT(AH338,6)="Endcap"),"CEK Endcap tidak ikut sambung","OK")))))))))</f>
        <v/>
      </c>
    </row>
    <row r="339">
      <c r="A339" s="10" t="n"/>
      <c r="B339" s="10" t="n"/>
      <c r="C339" s="10" t="n"/>
      <c r="D339" s="10" t="n"/>
      <c r="E339" s="10" t="n"/>
      <c r="F339" s="10" t="n"/>
      <c r="G339" s="10" t="n"/>
      <c r="H339" s="10" t="n"/>
      <c r="I339" s="10" t="n"/>
      <c r="J339" s="10" t="n"/>
      <c r="K339" s="10" t="n"/>
      <c r="L339" s="11" t="n"/>
      <c r="M339" s="11" t="n"/>
      <c r="N339" s="11" t="n"/>
      <c r="O339" s="11" t="n"/>
      <c r="P339" s="11" t="n"/>
      <c r="Q339" s="11" t="n"/>
      <c r="R339" s="12">
        <f>IF(L339="","",IFERROR(INDEX(DAFTAR_FIXTURE!$B$2:$B$51,MATCH(L339,DAFTAR_FIXTURE!$A$2:$A$51,0)),""))</f>
        <v/>
      </c>
      <c r="S339" s="12">
        <f>IF(AND($D339="",L339=""),"",IF(L339="",IF(AND(T339="",AB339=""),"Belum ditempatkan",""),IF(R339="","CEK ID FIXTURE tidak ada di DAFTAR_FIXTURE",IF(M339="","CEK ZONA NO kosong",IF(ISNA(MATCH(R339&amp;"|"&amp;M339,LAYOUT!$E$2:$E$80,0)),"CEK ZONA NO di luar layout",IF(N339&lt;&gt;INDEX(LAYOUT!$D$2:$D$80,MATCH(R339&amp;"|"&amp;M339,LAYOUT!$E$2:$E$80,0)),"CEK JENIS ZONA",IF($D339="","Zona STOCK",IF($E339="","CEK SKU DESCRIPTION kosong",IF(AND(O339&lt;&gt;"",P339=""),"CEK URUTAN SAMBUNG kosong",IF(AND(O339&lt;&gt;"",LEFT(R339,6)="Endcap"),"CEK Endcap tidak ikut sambung","OK"))))))))))</f>
        <v/>
      </c>
      <c r="T339" s="11" t="n"/>
      <c r="U339" s="11" t="n"/>
      <c r="V339" s="11" t="n"/>
      <c r="W339" s="11" t="n"/>
      <c r="X339" s="11" t="n"/>
      <c r="Y339" s="11" t="n"/>
      <c r="Z339" s="12">
        <f>IF(T339="","",IFERROR(INDEX(DAFTAR_FIXTURE!$B$2:$B$51,MATCH(T339,DAFTAR_FIXTURE!$A$2:$A$51,0)),""))</f>
        <v/>
      </c>
      <c r="AA339" s="12">
        <f>IF(T339="","",IF(Z339="","CEK ID FIXTURE tidak ada di DAFTAR_FIXTURE",IF(U339="","CEK ZONA NO kosong",IF(ISNA(MATCH(Z339&amp;"|"&amp;U339,LAYOUT!$E$2:$E$80,0)),"CEK ZONA NO di luar layout",IF(V339&lt;&gt;INDEX(LAYOUT!$D$2:$D$80,MATCH(Z339&amp;"|"&amp;U339,LAYOUT!$E$2:$E$80,0)),"CEK JENIS ZONA",IF($D339="","Zona STOCK",IF($E339="","CEK SKU DESCRIPTION kosong",IF(AND(W339&lt;&gt;"",X339=""),"CEK URUTAN SAMBUNG kosong",IF(AND(W339&lt;&gt;"",LEFT(Z339,6)="Endcap"),"CEK Endcap tidak ikut sambung","OK")))))))))</f>
        <v/>
      </c>
      <c r="AB339" s="11" t="n"/>
      <c r="AC339" s="11" t="n"/>
      <c r="AD339" s="11" t="n"/>
      <c r="AE339" s="11" t="n"/>
      <c r="AF339" s="11" t="n"/>
      <c r="AG339" s="11" t="n"/>
      <c r="AH339" s="12">
        <f>IF(AB339="","",IFERROR(INDEX(DAFTAR_FIXTURE!$B$2:$B$51,MATCH(AB339,DAFTAR_FIXTURE!$A$2:$A$51,0)),""))</f>
        <v/>
      </c>
      <c r="AI339" s="12">
        <f>IF(AB339="","",IF(AH339="","CEK ID FIXTURE tidak ada di DAFTAR_FIXTURE",IF(AC339="","CEK ZONA NO kosong",IF(ISNA(MATCH(AH339&amp;"|"&amp;AC339,LAYOUT!$E$2:$E$80,0)),"CEK ZONA NO di luar layout",IF(AD339&lt;&gt;INDEX(LAYOUT!$D$2:$D$80,MATCH(AH339&amp;"|"&amp;AC339,LAYOUT!$E$2:$E$80,0)),"CEK JENIS ZONA",IF($D339="","Zona STOCK",IF($E339="","CEK SKU DESCRIPTION kosong",IF(AND(AE339&lt;&gt;"",AF339=""),"CEK URUTAN SAMBUNG kosong",IF(AND(AE339&lt;&gt;"",LEFT(AH339,6)="Endcap"),"CEK Endcap tidak ikut sambung","OK")))))))))</f>
        <v/>
      </c>
    </row>
    <row r="340">
      <c r="A340" s="10" t="n"/>
      <c r="B340" s="10" t="n"/>
      <c r="C340" s="10" t="n"/>
      <c r="D340" s="10" t="n"/>
      <c r="E340" s="10" t="n"/>
      <c r="F340" s="10" t="n"/>
      <c r="G340" s="10" t="n"/>
      <c r="H340" s="10" t="n"/>
      <c r="I340" s="10" t="n"/>
      <c r="J340" s="10" t="n"/>
      <c r="K340" s="10" t="n"/>
      <c r="L340" s="11" t="n"/>
      <c r="M340" s="11" t="n"/>
      <c r="N340" s="11" t="n"/>
      <c r="O340" s="11" t="n"/>
      <c r="P340" s="11" t="n"/>
      <c r="Q340" s="11" t="n"/>
      <c r="R340" s="12">
        <f>IF(L340="","",IFERROR(INDEX(DAFTAR_FIXTURE!$B$2:$B$51,MATCH(L340,DAFTAR_FIXTURE!$A$2:$A$51,0)),""))</f>
        <v/>
      </c>
      <c r="S340" s="12">
        <f>IF(AND($D340="",L340=""),"",IF(L340="",IF(AND(T340="",AB340=""),"Belum ditempatkan",""),IF(R340="","CEK ID FIXTURE tidak ada di DAFTAR_FIXTURE",IF(M340="","CEK ZONA NO kosong",IF(ISNA(MATCH(R340&amp;"|"&amp;M340,LAYOUT!$E$2:$E$80,0)),"CEK ZONA NO di luar layout",IF(N340&lt;&gt;INDEX(LAYOUT!$D$2:$D$80,MATCH(R340&amp;"|"&amp;M340,LAYOUT!$E$2:$E$80,0)),"CEK JENIS ZONA",IF($D340="","Zona STOCK",IF($E340="","CEK SKU DESCRIPTION kosong",IF(AND(O340&lt;&gt;"",P340=""),"CEK URUTAN SAMBUNG kosong",IF(AND(O340&lt;&gt;"",LEFT(R340,6)="Endcap"),"CEK Endcap tidak ikut sambung","OK"))))))))))</f>
        <v/>
      </c>
      <c r="T340" s="11" t="n"/>
      <c r="U340" s="11" t="n"/>
      <c r="V340" s="11" t="n"/>
      <c r="W340" s="11" t="n"/>
      <c r="X340" s="11" t="n"/>
      <c r="Y340" s="11" t="n"/>
      <c r="Z340" s="12">
        <f>IF(T340="","",IFERROR(INDEX(DAFTAR_FIXTURE!$B$2:$B$51,MATCH(T340,DAFTAR_FIXTURE!$A$2:$A$51,0)),""))</f>
        <v/>
      </c>
      <c r="AA340" s="12">
        <f>IF(T340="","",IF(Z340="","CEK ID FIXTURE tidak ada di DAFTAR_FIXTURE",IF(U340="","CEK ZONA NO kosong",IF(ISNA(MATCH(Z340&amp;"|"&amp;U340,LAYOUT!$E$2:$E$80,0)),"CEK ZONA NO di luar layout",IF(V340&lt;&gt;INDEX(LAYOUT!$D$2:$D$80,MATCH(Z340&amp;"|"&amp;U340,LAYOUT!$E$2:$E$80,0)),"CEK JENIS ZONA",IF($D340="","Zona STOCK",IF($E340="","CEK SKU DESCRIPTION kosong",IF(AND(W340&lt;&gt;"",X340=""),"CEK URUTAN SAMBUNG kosong",IF(AND(W340&lt;&gt;"",LEFT(Z340,6)="Endcap"),"CEK Endcap tidak ikut sambung","OK")))))))))</f>
        <v/>
      </c>
      <c r="AB340" s="11" t="n"/>
      <c r="AC340" s="11" t="n"/>
      <c r="AD340" s="11" t="n"/>
      <c r="AE340" s="11" t="n"/>
      <c r="AF340" s="11" t="n"/>
      <c r="AG340" s="11" t="n"/>
      <c r="AH340" s="12">
        <f>IF(AB340="","",IFERROR(INDEX(DAFTAR_FIXTURE!$B$2:$B$51,MATCH(AB340,DAFTAR_FIXTURE!$A$2:$A$51,0)),""))</f>
        <v/>
      </c>
      <c r="AI340" s="12">
        <f>IF(AB340="","",IF(AH340="","CEK ID FIXTURE tidak ada di DAFTAR_FIXTURE",IF(AC340="","CEK ZONA NO kosong",IF(ISNA(MATCH(AH340&amp;"|"&amp;AC340,LAYOUT!$E$2:$E$80,0)),"CEK ZONA NO di luar layout",IF(AD340&lt;&gt;INDEX(LAYOUT!$D$2:$D$80,MATCH(AH340&amp;"|"&amp;AC340,LAYOUT!$E$2:$E$80,0)),"CEK JENIS ZONA",IF($D340="","Zona STOCK",IF($E340="","CEK SKU DESCRIPTION kosong",IF(AND(AE340&lt;&gt;"",AF340=""),"CEK URUTAN SAMBUNG kosong",IF(AND(AE340&lt;&gt;"",LEFT(AH340,6)="Endcap"),"CEK Endcap tidak ikut sambung","OK")))))))))</f>
        <v/>
      </c>
    </row>
    <row r="341">
      <c r="A341" s="10" t="n"/>
      <c r="B341" s="10" t="n"/>
      <c r="C341" s="10" t="n"/>
      <c r="D341" s="10" t="n"/>
      <c r="E341" s="10" t="n"/>
      <c r="F341" s="10" t="n"/>
      <c r="G341" s="10" t="n"/>
      <c r="H341" s="10" t="n"/>
      <c r="I341" s="10" t="n"/>
      <c r="J341" s="10" t="n"/>
      <c r="K341" s="10" t="n"/>
      <c r="L341" s="11" t="n"/>
      <c r="M341" s="11" t="n"/>
      <c r="N341" s="11" t="n"/>
      <c r="O341" s="11" t="n"/>
      <c r="P341" s="11" t="n"/>
      <c r="Q341" s="11" t="n"/>
      <c r="R341" s="12">
        <f>IF(L341="","",IFERROR(INDEX(DAFTAR_FIXTURE!$B$2:$B$51,MATCH(L341,DAFTAR_FIXTURE!$A$2:$A$51,0)),""))</f>
        <v/>
      </c>
      <c r="S341" s="12">
        <f>IF(AND($D341="",L341=""),"",IF(L341="",IF(AND(T341="",AB341=""),"Belum ditempatkan",""),IF(R341="","CEK ID FIXTURE tidak ada di DAFTAR_FIXTURE",IF(M341="","CEK ZONA NO kosong",IF(ISNA(MATCH(R341&amp;"|"&amp;M341,LAYOUT!$E$2:$E$80,0)),"CEK ZONA NO di luar layout",IF(N341&lt;&gt;INDEX(LAYOUT!$D$2:$D$80,MATCH(R341&amp;"|"&amp;M341,LAYOUT!$E$2:$E$80,0)),"CEK JENIS ZONA",IF($D341="","Zona STOCK",IF($E341="","CEK SKU DESCRIPTION kosong",IF(AND(O341&lt;&gt;"",P341=""),"CEK URUTAN SAMBUNG kosong",IF(AND(O341&lt;&gt;"",LEFT(R341,6)="Endcap"),"CEK Endcap tidak ikut sambung","OK"))))))))))</f>
        <v/>
      </c>
      <c r="T341" s="11" t="n"/>
      <c r="U341" s="11" t="n"/>
      <c r="V341" s="11" t="n"/>
      <c r="W341" s="11" t="n"/>
      <c r="X341" s="11" t="n"/>
      <c r="Y341" s="11" t="n"/>
      <c r="Z341" s="12">
        <f>IF(T341="","",IFERROR(INDEX(DAFTAR_FIXTURE!$B$2:$B$51,MATCH(T341,DAFTAR_FIXTURE!$A$2:$A$51,0)),""))</f>
        <v/>
      </c>
      <c r="AA341" s="12">
        <f>IF(T341="","",IF(Z341="","CEK ID FIXTURE tidak ada di DAFTAR_FIXTURE",IF(U341="","CEK ZONA NO kosong",IF(ISNA(MATCH(Z341&amp;"|"&amp;U341,LAYOUT!$E$2:$E$80,0)),"CEK ZONA NO di luar layout",IF(V341&lt;&gt;INDEX(LAYOUT!$D$2:$D$80,MATCH(Z341&amp;"|"&amp;U341,LAYOUT!$E$2:$E$80,0)),"CEK JENIS ZONA",IF($D341="","Zona STOCK",IF($E341="","CEK SKU DESCRIPTION kosong",IF(AND(W341&lt;&gt;"",X341=""),"CEK URUTAN SAMBUNG kosong",IF(AND(W341&lt;&gt;"",LEFT(Z341,6)="Endcap"),"CEK Endcap tidak ikut sambung","OK")))))))))</f>
        <v/>
      </c>
      <c r="AB341" s="11" t="n"/>
      <c r="AC341" s="11" t="n"/>
      <c r="AD341" s="11" t="n"/>
      <c r="AE341" s="11" t="n"/>
      <c r="AF341" s="11" t="n"/>
      <c r="AG341" s="11" t="n"/>
      <c r="AH341" s="12">
        <f>IF(AB341="","",IFERROR(INDEX(DAFTAR_FIXTURE!$B$2:$B$51,MATCH(AB341,DAFTAR_FIXTURE!$A$2:$A$51,0)),""))</f>
        <v/>
      </c>
      <c r="AI341" s="12">
        <f>IF(AB341="","",IF(AH341="","CEK ID FIXTURE tidak ada di DAFTAR_FIXTURE",IF(AC341="","CEK ZONA NO kosong",IF(ISNA(MATCH(AH341&amp;"|"&amp;AC341,LAYOUT!$E$2:$E$80,0)),"CEK ZONA NO di luar layout",IF(AD341&lt;&gt;INDEX(LAYOUT!$D$2:$D$80,MATCH(AH341&amp;"|"&amp;AC341,LAYOUT!$E$2:$E$80,0)),"CEK JENIS ZONA",IF($D341="","Zona STOCK",IF($E341="","CEK SKU DESCRIPTION kosong",IF(AND(AE341&lt;&gt;"",AF341=""),"CEK URUTAN SAMBUNG kosong",IF(AND(AE341&lt;&gt;"",LEFT(AH341,6)="Endcap"),"CEK Endcap tidak ikut sambung","OK")))))))))</f>
        <v/>
      </c>
    </row>
    <row r="342">
      <c r="A342" s="10" t="n"/>
      <c r="B342" s="10" t="n"/>
      <c r="C342" s="10" t="n"/>
      <c r="D342" s="10" t="n"/>
      <c r="E342" s="10" t="n"/>
      <c r="F342" s="10" t="n"/>
      <c r="G342" s="10" t="n"/>
      <c r="H342" s="10" t="n"/>
      <c r="I342" s="10" t="n"/>
      <c r="J342" s="10" t="n"/>
      <c r="K342" s="10" t="n"/>
      <c r="L342" s="11" t="n"/>
      <c r="M342" s="11" t="n"/>
      <c r="N342" s="11" t="n"/>
      <c r="O342" s="11" t="n"/>
      <c r="P342" s="11" t="n"/>
      <c r="Q342" s="11" t="n"/>
      <c r="R342" s="12">
        <f>IF(L342="","",IFERROR(INDEX(DAFTAR_FIXTURE!$B$2:$B$51,MATCH(L342,DAFTAR_FIXTURE!$A$2:$A$51,0)),""))</f>
        <v/>
      </c>
      <c r="S342" s="12">
        <f>IF(AND($D342="",L342=""),"",IF(L342="",IF(AND(T342="",AB342=""),"Belum ditempatkan",""),IF(R342="","CEK ID FIXTURE tidak ada di DAFTAR_FIXTURE",IF(M342="","CEK ZONA NO kosong",IF(ISNA(MATCH(R342&amp;"|"&amp;M342,LAYOUT!$E$2:$E$80,0)),"CEK ZONA NO di luar layout",IF(N342&lt;&gt;INDEX(LAYOUT!$D$2:$D$80,MATCH(R342&amp;"|"&amp;M342,LAYOUT!$E$2:$E$80,0)),"CEK JENIS ZONA",IF($D342="","Zona STOCK",IF($E342="","CEK SKU DESCRIPTION kosong",IF(AND(O342&lt;&gt;"",P342=""),"CEK URUTAN SAMBUNG kosong",IF(AND(O342&lt;&gt;"",LEFT(R342,6)="Endcap"),"CEK Endcap tidak ikut sambung","OK"))))))))))</f>
        <v/>
      </c>
      <c r="T342" s="11" t="n"/>
      <c r="U342" s="11" t="n"/>
      <c r="V342" s="11" t="n"/>
      <c r="W342" s="11" t="n"/>
      <c r="X342" s="11" t="n"/>
      <c r="Y342" s="11" t="n"/>
      <c r="Z342" s="12">
        <f>IF(T342="","",IFERROR(INDEX(DAFTAR_FIXTURE!$B$2:$B$51,MATCH(T342,DAFTAR_FIXTURE!$A$2:$A$51,0)),""))</f>
        <v/>
      </c>
      <c r="AA342" s="12">
        <f>IF(T342="","",IF(Z342="","CEK ID FIXTURE tidak ada di DAFTAR_FIXTURE",IF(U342="","CEK ZONA NO kosong",IF(ISNA(MATCH(Z342&amp;"|"&amp;U342,LAYOUT!$E$2:$E$80,0)),"CEK ZONA NO di luar layout",IF(V342&lt;&gt;INDEX(LAYOUT!$D$2:$D$80,MATCH(Z342&amp;"|"&amp;U342,LAYOUT!$E$2:$E$80,0)),"CEK JENIS ZONA",IF($D342="","Zona STOCK",IF($E342="","CEK SKU DESCRIPTION kosong",IF(AND(W342&lt;&gt;"",X342=""),"CEK URUTAN SAMBUNG kosong",IF(AND(W342&lt;&gt;"",LEFT(Z342,6)="Endcap"),"CEK Endcap tidak ikut sambung","OK")))))))))</f>
        <v/>
      </c>
      <c r="AB342" s="11" t="n"/>
      <c r="AC342" s="11" t="n"/>
      <c r="AD342" s="11" t="n"/>
      <c r="AE342" s="11" t="n"/>
      <c r="AF342" s="11" t="n"/>
      <c r="AG342" s="11" t="n"/>
      <c r="AH342" s="12">
        <f>IF(AB342="","",IFERROR(INDEX(DAFTAR_FIXTURE!$B$2:$B$51,MATCH(AB342,DAFTAR_FIXTURE!$A$2:$A$51,0)),""))</f>
        <v/>
      </c>
      <c r="AI342" s="12">
        <f>IF(AB342="","",IF(AH342="","CEK ID FIXTURE tidak ada di DAFTAR_FIXTURE",IF(AC342="","CEK ZONA NO kosong",IF(ISNA(MATCH(AH342&amp;"|"&amp;AC342,LAYOUT!$E$2:$E$80,0)),"CEK ZONA NO di luar layout",IF(AD342&lt;&gt;INDEX(LAYOUT!$D$2:$D$80,MATCH(AH342&amp;"|"&amp;AC342,LAYOUT!$E$2:$E$80,0)),"CEK JENIS ZONA",IF($D342="","Zona STOCK",IF($E342="","CEK SKU DESCRIPTION kosong",IF(AND(AE342&lt;&gt;"",AF342=""),"CEK URUTAN SAMBUNG kosong",IF(AND(AE342&lt;&gt;"",LEFT(AH342,6)="Endcap"),"CEK Endcap tidak ikut sambung","OK")))))))))</f>
        <v/>
      </c>
    </row>
    <row r="343">
      <c r="A343" s="10" t="n"/>
      <c r="B343" s="10" t="n"/>
      <c r="C343" s="10" t="n"/>
      <c r="D343" s="10" t="n"/>
      <c r="E343" s="10" t="n"/>
      <c r="F343" s="10" t="n"/>
      <c r="G343" s="10" t="n"/>
      <c r="H343" s="10" t="n"/>
      <c r="I343" s="10" t="n"/>
      <c r="J343" s="10" t="n"/>
      <c r="K343" s="10" t="n"/>
      <c r="L343" s="11" t="n"/>
      <c r="M343" s="11" t="n"/>
      <c r="N343" s="11" t="n"/>
      <c r="O343" s="11" t="n"/>
      <c r="P343" s="11" t="n"/>
      <c r="Q343" s="11" t="n"/>
      <c r="R343" s="12">
        <f>IF(L343="","",IFERROR(INDEX(DAFTAR_FIXTURE!$B$2:$B$51,MATCH(L343,DAFTAR_FIXTURE!$A$2:$A$51,0)),""))</f>
        <v/>
      </c>
      <c r="S343" s="12">
        <f>IF(AND($D343="",L343=""),"",IF(L343="",IF(AND(T343="",AB343=""),"Belum ditempatkan",""),IF(R343="","CEK ID FIXTURE tidak ada di DAFTAR_FIXTURE",IF(M343="","CEK ZONA NO kosong",IF(ISNA(MATCH(R343&amp;"|"&amp;M343,LAYOUT!$E$2:$E$80,0)),"CEK ZONA NO di luar layout",IF(N343&lt;&gt;INDEX(LAYOUT!$D$2:$D$80,MATCH(R343&amp;"|"&amp;M343,LAYOUT!$E$2:$E$80,0)),"CEK JENIS ZONA",IF($D343="","Zona STOCK",IF($E343="","CEK SKU DESCRIPTION kosong",IF(AND(O343&lt;&gt;"",P343=""),"CEK URUTAN SAMBUNG kosong",IF(AND(O343&lt;&gt;"",LEFT(R343,6)="Endcap"),"CEK Endcap tidak ikut sambung","OK"))))))))))</f>
        <v/>
      </c>
      <c r="T343" s="11" t="n"/>
      <c r="U343" s="11" t="n"/>
      <c r="V343" s="11" t="n"/>
      <c r="W343" s="11" t="n"/>
      <c r="X343" s="11" t="n"/>
      <c r="Y343" s="11" t="n"/>
      <c r="Z343" s="12">
        <f>IF(T343="","",IFERROR(INDEX(DAFTAR_FIXTURE!$B$2:$B$51,MATCH(T343,DAFTAR_FIXTURE!$A$2:$A$51,0)),""))</f>
        <v/>
      </c>
      <c r="AA343" s="12">
        <f>IF(T343="","",IF(Z343="","CEK ID FIXTURE tidak ada di DAFTAR_FIXTURE",IF(U343="","CEK ZONA NO kosong",IF(ISNA(MATCH(Z343&amp;"|"&amp;U343,LAYOUT!$E$2:$E$80,0)),"CEK ZONA NO di luar layout",IF(V343&lt;&gt;INDEX(LAYOUT!$D$2:$D$80,MATCH(Z343&amp;"|"&amp;U343,LAYOUT!$E$2:$E$80,0)),"CEK JENIS ZONA",IF($D343="","Zona STOCK",IF($E343="","CEK SKU DESCRIPTION kosong",IF(AND(W343&lt;&gt;"",X343=""),"CEK URUTAN SAMBUNG kosong",IF(AND(W343&lt;&gt;"",LEFT(Z343,6)="Endcap"),"CEK Endcap tidak ikut sambung","OK")))))))))</f>
        <v/>
      </c>
      <c r="AB343" s="11" t="n"/>
      <c r="AC343" s="11" t="n"/>
      <c r="AD343" s="11" t="n"/>
      <c r="AE343" s="11" t="n"/>
      <c r="AF343" s="11" t="n"/>
      <c r="AG343" s="11" t="n"/>
      <c r="AH343" s="12">
        <f>IF(AB343="","",IFERROR(INDEX(DAFTAR_FIXTURE!$B$2:$B$51,MATCH(AB343,DAFTAR_FIXTURE!$A$2:$A$51,0)),""))</f>
        <v/>
      </c>
      <c r="AI343" s="12">
        <f>IF(AB343="","",IF(AH343="","CEK ID FIXTURE tidak ada di DAFTAR_FIXTURE",IF(AC343="","CEK ZONA NO kosong",IF(ISNA(MATCH(AH343&amp;"|"&amp;AC343,LAYOUT!$E$2:$E$80,0)),"CEK ZONA NO di luar layout",IF(AD343&lt;&gt;INDEX(LAYOUT!$D$2:$D$80,MATCH(AH343&amp;"|"&amp;AC343,LAYOUT!$E$2:$E$80,0)),"CEK JENIS ZONA",IF($D343="","Zona STOCK",IF($E343="","CEK SKU DESCRIPTION kosong",IF(AND(AE343&lt;&gt;"",AF343=""),"CEK URUTAN SAMBUNG kosong",IF(AND(AE343&lt;&gt;"",LEFT(AH343,6)="Endcap"),"CEK Endcap tidak ikut sambung","OK")))))))))</f>
        <v/>
      </c>
    </row>
    <row r="344">
      <c r="A344" s="10" t="n"/>
      <c r="B344" s="10" t="n"/>
      <c r="C344" s="10" t="n"/>
      <c r="D344" s="10" t="n"/>
      <c r="E344" s="10" t="n"/>
      <c r="F344" s="10" t="n"/>
      <c r="G344" s="10" t="n"/>
      <c r="H344" s="10" t="n"/>
      <c r="I344" s="10" t="n"/>
      <c r="J344" s="10" t="n"/>
      <c r="K344" s="10" t="n"/>
      <c r="L344" s="11" t="n"/>
      <c r="M344" s="11" t="n"/>
      <c r="N344" s="11" t="n"/>
      <c r="O344" s="11" t="n"/>
      <c r="P344" s="11" t="n"/>
      <c r="Q344" s="11" t="n"/>
      <c r="R344" s="12">
        <f>IF(L344="","",IFERROR(INDEX(DAFTAR_FIXTURE!$B$2:$B$51,MATCH(L344,DAFTAR_FIXTURE!$A$2:$A$51,0)),""))</f>
        <v/>
      </c>
      <c r="S344" s="12">
        <f>IF(AND($D344="",L344=""),"",IF(L344="",IF(AND(T344="",AB344=""),"Belum ditempatkan",""),IF(R344="","CEK ID FIXTURE tidak ada di DAFTAR_FIXTURE",IF(M344="","CEK ZONA NO kosong",IF(ISNA(MATCH(R344&amp;"|"&amp;M344,LAYOUT!$E$2:$E$80,0)),"CEK ZONA NO di luar layout",IF(N344&lt;&gt;INDEX(LAYOUT!$D$2:$D$80,MATCH(R344&amp;"|"&amp;M344,LAYOUT!$E$2:$E$80,0)),"CEK JENIS ZONA",IF($D344="","Zona STOCK",IF($E344="","CEK SKU DESCRIPTION kosong",IF(AND(O344&lt;&gt;"",P344=""),"CEK URUTAN SAMBUNG kosong",IF(AND(O344&lt;&gt;"",LEFT(R344,6)="Endcap"),"CEK Endcap tidak ikut sambung","OK"))))))))))</f>
        <v/>
      </c>
      <c r="T344" s="11" t="n"/>
      <c r="U344" s="11" t="n"/>
      <c r="V344" s="11" t="n"/>
      <c r="W344" s="11" t="n"/>
      <c r="X344" s="11" t="n"/>
      <c r="Y344" s="11" t="n"/>
      <c r="Z344" s="12">
        <f>IF(T344="","",IFERROR(INDEX(DAFTAR_FIXTURE!$B$2:$B$51,MATCH(T344,DAFTAR_FIXTURE!$A$2:$A$51,0)),""))</f>
        <v/>
      </c>
      <c r="AA344" s="12">
        <f>IF(T344="","",IF(Z344="","CEK ID FIXTURE tidak ada di DAFTAR_FIXTURE",IF(U344="","CEK ZONA NO kosong",IF(ISNA(MATCH(Z344&amp;"|"&amp;U344,LAYOUT!$E$2:$E$80,0)),"CEK ZONA NO di luar layout",IF(V344&lt;&gt;INDEX(LAYOUT!$D$2:$D$80,MATCH(Z344&amp;"|"&amp;U344,LAYOUT!$E$2:$E$80,0)),"CEK JENIS ZONA",IF($D344="","Zona STOCK",IF($E344="","CEK SKU DESCRIPTION kosong",IF(AND(W344&lt;&gt;"",X344=""),"CEK URUTAN SAMBUNG kosong",IF(AND(W344&lt;&gt;"",LEFT(Z344,6)="Endcap"),"CEK Endcap tidak ikut sambung","OK")))))))))</f>
        <v/>
      </c>
      <c r="AB344" s="11" t="n"/>
      <c r="AC344" s="11" t="n"/>
      <c r="AD344" s="11" t="n"/>
      <c r="AE344" s="11" t="n"/>
      <c r="AF344" s="11" t="n"/>
      <c r="AG344" s="11" t="n"/>
      <c r="AH344" s="12">
        <f>IF(AB344="","",IFERROR(INDEX(DAFTAR_FIXTURE!$B$2:$B$51,MATCH(AB344,DAFTAR_FIXTURE!$A$2:$A$51,0)),""))</f>
        <v/>
      </c>
      <c r="AI344" s="12">
        <f>IF(AB344="","",IF(AH344="","CEK ID FIXTURE tidak ada di DAFTAR_FIXTURE",IF(AC344="","CEK ZONA NO kosong",IF(ISNA(MATCH(AH344&amp;"|"&amp;AC344,LAYOUT!$E$2:$E$80,0)),"CEK ZONA NO di luar layout",IF(AD344&lt;&gt;INDEX(LAYOUT!$D$2:$D$80,MATCH(AH344&amp;"|"&amp;AC344,LAYOUT!$E$2:$E$80,0)),"CEK JENIS ZONA",IF($D344="","Zona STOCK",IF($E344="","CEK SKU DESCRIPTION kosong",IF(AND(AE344&lt;&gt;"",AF344=""),"CEK URUTAN SAMBUNG kosong",IF(AND(AE344&lt;&gt;"",LEFT(AH344,6)="Endcap"),"CEK Endcap tidak ikut sambung","OK")))))))))</f>
        <v/>
      </c>
    </row>
    <row r="345">
      <c r="A345" s="10" t="n"/>
      <c r="B345" s="10" t="n"/>
      <c r="C345" s="10" t="n"/>
      <c r="D345" s="10" t="n"/>
      <c r="E345" s="10" t="n"/>
      <c r="F345" s="10" t="n"/>
      <c r="G345" s="10" t="n"/>
      <c r="H345" s="10" t="n"/>
      <c r="I345" s="10" t="n"/>
      <c r="J345" s="10" t="n"/>
      <c r="K345" s="10" t="n"/>
      <c r="L345" s="11" t="n"/>
      <c r="M345" s="11" t="n"/>
      <c r="N345" s="11" t="n"/>
      <c r="O345" s="11" t="n"/>
      <c r="P345" s="11" t="n"/>
      <c r="Q345" s="11" t="n"/>
      <c r="R345" s="12">
        <f>IF(L345="","",IFERROR(INDEX(DAFTAR_FIXTURE!$B$2:$B$51,MATCH(L345,DAFTAR_FIXTURE!$A$2:$A$51,0)),""))</f>
        <v/>
      </c>
      <c r="S345" s="12">
        <f>IF(AND($D345="",L345=""),"",IF(L345="",IF(AND(T345="",AB345=""),"Belum ditempatkan",""),IF(R345="","CEK ID FIXTURE tidak ada di DAFTAR_FIXTURE",IF(M345="","CEK ZONA NO kosong",IF(ISNA(MATCH(R345&amp;"|"&amp;M345,LAYOUT!$E$2:$E$80,0)),"CEK ZONA NO di luar layout",IF(N345&lt;&gt;INDEX(LAYOUT!$D$2:$D$80,MATCH(R345&amp;"|"&amp;M345,LAYOUT!$E$2:$E$80,0)),"CEK JENIS ZONA",IF($D345="","Zona STOCK",IF($E345="","CEK SKU DESCRIPTION kosong",IF(AND(O345&lt;&gt;"",P345=""),"CEK URUTAN SAMBUNG kosong",IF(AND(O345&lt;&gt;"",LEFT(R345,6)="Endcap"),"CEK Endcap tidak ikut sambung","OK"))))))))))</f>
        <v/>
      </c>
      <c r="T345" s="11" t="n"/>
      <c r="U345" s="11" t="n"/>
      <c r="V345" s="11" t="n"/>
      <c r="W345" s="11" t="n"/>
      <c r="X345" s="11" t="n"/>
      <c r="Y345" s="11" t="n"/>
      <c r="Z345" s="12">
        <f>IF(T345="","",IFERROR(INDEX(DAFTAR_FIXTURE!$B$2:$B$51,MATCH(T345,DAFTAR_FIXTURE!$A$2:$A$51,0)),""))</f>
        <v/>
      </c>
      <c r="AA345" s="12">
        <f>IF(T345="","",IF(Z345="","CEK ID FIXTURE tidak ada di DAFTAR_FIXTURE",IF(U345="","CEK ZONA NO kosong",IF(ISNA(MATCH(Z345&amp;"|"&amp;U345,LAYOUT!$E$2:$E$80,0)),"CEK ZONA NO di luar layout",IF(V345&lt;&gt;INDEX(LAYOUT!$D$2:$D$80,MATCH(Z345&amp;"|"&amp;U345,LAYOUT!$E$2:$E$80,0)),"CEK JENIS ZONA",IF($D345="","Zona STOCK",IF($E345="","CEK SKU DESCRIPTION kosong",IF(AND(W345&lt;&gt;"",X345=""),"CEK URUTAN SAMBUNG kosong",IF(AND(W345&lt;&gt;"",LEFT(Z345,6)="Endcap"),"CEK Endcap tidak ikut sambung","OK")))))))))</f>
        <v/>
      </c>
      <c r="AB345" s="11" t="n"/>
      <c r="AC345" s="11" t="n"/>
      <c r="AD345" s="11" t="n"/>
      <c r="AE345" s="11" t="n"/>
      <c r="AF345" s="11" t="n"/>
      <c r="AG345" s="11" t="n"/>
      <c r="AH345" s="12">
        <f>IF(AB345="","",IFERROR(INDEX(DAFTAR_FIXTURE!$B$2:$B$51,MATCH(AB345,DAFTAR_FIXTURE!$A$2:$A$51,0)),""))</f>
        <v/>
      </c>
      <c r="AI345" s="12">
        <f>IF(AB345="","",IF(AH345="","CEK ID FIXTURE tidak ada di DAFTAR_FIXTURE",IF(AC345="","CEK ZONA NO kosong",IF(ISNA(MATCH(AH345&amp;"|"&amp;AC345,LAYOUT!$E$2:$E$80,0)),"CEK ZONA NO di luar layout",IF(AD345&lt;&gt;INDEX(LAYOUT!$D$2:$D$80,MATCH(AH345&amp;"|"&amp;AC345,LAYOUT!$E$2:$E$80,0)),"CEK JENIS ZONA",IF($D345="","Zona STOCK",IF($E345="","CEK SKU DESCRIPTION kosong",IF(AND(AE345&lt;&gt;"",AF345=""),"CEK URUTAN SAMBUNG kosong",IF(AND(AE345&lt;&gt;"",LEFT(AH345,6)="Endcap"),"CEK Endcap tidak ikut sambung","OK")))))))))</f>
        <v/>
      </c>
    </row>
    <row r="346">
      <c r="A346" s="10" t="n"/>
      <c r="B346" s="10" t="n"/>
      <c r="C346" s="10" t="n"/>
      <c r="D346" s="10" t="n"/>
      <c r="E346" s="10" t="n"/>
      <c r="F346" s="10" t="n"/>
      <c r="G346" s="10" t="n"/>
      <c r="H346" s="10" t="n"/>
      <c r="I346" s="10" t="n"/>
      <c r="J346" s="10" t="n"/>
      <c r="K346" s="10" t="n"/>
      <c r="L346" s="11" t="n"/>
      <c r="M346" s="11" t="n"/>
      <c r="N346" s="11" t="n"/>
      <c r="O346" s="11" t="n"/>
      <c r="P346" s="11" t="n"/>
      <c r="Q346" s="11" t="n"/>
      <c r="R346" s="12">
        <f>IF(L346="","",IFERROR(INDEX(DAFTAR_FIXTURE!$B$2:$B$51,MATCH(L346,DAFTAR_FIXTURE!$A$2:$A$51,0)),""))</f>
        <v/>
      </c>
      <c r="S346" s="12">
        <f>IF(AND($D346="",L346=""),"",IF(L346="",IF(AND(T346="",AB346=""),"Belum ditempatkan",""),IF(R346="","CEK ID FIXTURE tidak ada di DAFTAR_FIXTURE",IF(M346="","CEK ZONA NO kosong",IF(ISNA(MATCH(R346&amp;"|"&amp;M346,LAYOUT!$E$2:$E$80,0)),"CEK ZONA NO di luar layout",IF(N346&lt;&gt;INDEX(LAYOUT!$D$2:$D$80,MATCH(R346&amp;"|"&amp;M346,LAYOUT!$E$2:$E$80,0)),"CEK JENIS ZONA",IF($D346="","Zona STOCK",IF($E346="","CEK SKU DESCRIPTION kosong",IF(AND(O346&lt;&gt;"",P346=""),"CEK URUTAN SAMBUNG kosong",IF(AND(O346&lt;&gt;"",LEFT(R346,6)="Endcap"),"CEK Endcap tidak ikut sambung","OK"))))))))))</f>
        <v/>
      </c>
      <c r="T346" s="11" t="n"/>
      <c r="U346" s="11" t="n"/>
      <c r="V346" s="11" t="n"/>
      <c r="W346" s="11" t="n"/>
      <c r="X346" s="11" t="n"/>
      <c r="Y346" s="11" t="n"/>
      <c r="Z346" s="12">
        <f>IF(T346="","",IFERROR(INDEX(DAFTAR_FIXTURE!$B$2:$B$51,MATCH(T346,DAFTAR_FIXTURE!$A$2:$A$51,0)),""))</f>
        <v/>
      </c>
      <c r="AA346" s="12">
        <f>IF(T346="","",IF(Z346="","CEK ID FIXTURE tidak ada di DAFTAR_FIXTURE",IF(U346="","CEK ZONA NO kosong",IF(ISNA(MATCH(Z346&amp;"|"&amp;U346,LAYOUT!$E$2:$E$80,0)),"CEK ZONA NO di luar layout",IF(V346&lt;&gt;INDEX(LAYOUT!$D$2:$D$80,MATCH(Z346&amp;"|"&amp;U346,LAYOUT!$E$2:$E$80,0)),"CEK JENIS ZONA",IF($D346="","Zona STOCK",IF($E346="","CEK SKU DESCRIPTION kosong",IF(AND(W346&lt;&gt;"",X346=""),"CEK URUTAN SAMBUNG kosong",IF(AND(W346&lt;&gt;"",LEFT(Z346,6)="Endcap"),"CEK Endcap tidak ikut sambung","OK")))))))))</f>
        <v/>
      </c>
      <c r="AB346" s="11" t="n"/>
      <c r="AC346" s="11" t="n"/>
      <c r="AD346" s="11" t="n"/>
      <c r="AE346" s="11" t="n"/>
      <c r="AF346" s="11" t="n"/>
      <c r="AG346" s="11" t="n"/>
      <c r="AH346" s="12">
        <f>IF(AB346="","",IFERROR(INDEX(DAFTAR_FIXTURE!$B$2:$B$51,MATCH(AB346,DAFTAR_FIXTURE!$A$2:$A$51,0)),""))</f>
        <v/>
      </c>
      <c r="AI346" s="12">
        <f>IF(AB346="","",IF(AH346="","CEK ID FIXTURE tidak ada di DAFTAR_FIXTURE",IF(AC346="","CEK ZONA NO kosong",IF(ISNA(MATCH(AH346&amp;"|"&amp;AC346,LAYOUT!$E$2:$E$80,0)),"CEK ZONA NO di luar layout",IF(AD346&lt;&gt;INDEX(LAYOUT!$D$2:$D$80,MATCH(AH346&amp;"|"&amp;AC346,LAYOUT!$E$2:$E$80,0)),"CEK JENIS ZONA",IF($D346="","Zona STOCK",IF($E346="","CEK SKU DESCRIPTION kosong",IF(AND(AE346&lt;&gt;"",AF346=""),"CEK URUTAN SAMBUNG kosong",IF(AND(AE346&lt;&gt;"",LEFT(AH346,6)="Endcap"),"CEK Endcap tidak ikut sambung","OK")))))))))</f>
        <v/>
      </c>
    </row>
    <row r="347">
      <c r="A347" s="10" t="n"/>
      <c r="B347" s="10" t="n"/>
      <c r="C347" s="10" t="n"/>
      <c r="D347" s="10" t="n"/>
      <c r="E347" s="10" t="n"/>
      <c r="F347" s="10" t="n"/>
      <c r="G347" s="10" t="n"/>
      <c r="H347" s="10" t="n"/>
      <c r="I347" s="10" t="n"/>
      <c r="J347" s="10" t="n"/>
      <c r="K347" s="10" t="n"/>
      <c r="L347" s="11" t="n"/>
      <c r="M347" s="11" t="n"/>
      <c r="N347" s="11" t="n"/>
      <c r="O347" s="11" t="n"/>
      <c r="P347" s="11" t="n"/>
      <c r="Q347" s="11" t="n"/>
      <c r="R347" s="12">
        <f>IF(L347="","",IFERROR(INDEX(DAFTAR_FIXTURE!$B$2:$B$51,MATCH(L347,DAFTAR_FIXTURE!$A$2:$A$51,0)),""))</f>
        <v/>
      </c>
      <c r="S347" s="12">
        <f>IF(AND($D347="",L347=""),"",IF(L347="",IF(AND(T347="",AB347=""),"Belum ditempatkan",""),IF(R347="","CEK ID FIXTURE tidak ada di DAFTAR_FIXTURE",IF(M347="","CEK ZONA NO kosong",IF(ISNA(MATCH(R347&amp;"|"&amp;M347,LAYOUT!$E$2:$E$80,0)),"CEK ZONA NO di luar layout",IF(N347&lt;&gt;INDEX(LAYOUT!$D$2:$D$80,MATCH(R347&amp;"|"&amp;M347,LAYOUT!$E$2:$E$80,0)),"CEK JENIS ZONA",IF($D347="","Zona STOCK",IF($E347="","CEK SKU DESCRIPTION kosong",IF(AND(O347&lt;&gt;"",P347=""),"CEK URUTAN SAMBUNG kosong",IF(AND(O347&lt;&gt;"",LEFT(R347,6)="Endcap"),"CEK Endcap tidak ikut sambung","OK"))))))))))</f>
        <v/>
      </c>
      <c r="T347" s="11" t="n"/>
      <c r="U347" s="11" t="n"/>
      <c r="V347" s="11" t="n"/>
      <c r="W347" s="11" t="n"/>
      <c r="X347" s="11" t="n"/>
      <c r="Y347" s="11" t="n"/>
      <c r="Z347" s="12">
        <f>IF(T347="","",IFERROR(INDEX(DAFTAR_FIXTURE!$B$2:$B$51,MATCH(T347,DAFTAR_FIXTURE!$A$2:$A$51,0)),""))</f>
        <v/>
      </c>
      <c r="AA347" s="12">
        <f>IF(T347="","",IF(Z347="","CEK ID FIXTURE tidak ada di DAFTAR_FIXTURE",IF(U347="","CEK ZONA NO kosong",IF(ISNA(MATCH(Z347&amp;"|"&amp;U347,LAYOUT!$E$2:$E$80,0)),"CEK ZONA NO di luar layout",IF(V347&lt;&gt;INDEX(LAYOUT!$D$2:$D$80,MATCH(Z347&amp;"|"&amp;U347,LAYOUT!$E$2:$E$80,0)),"CEK JENIS ZONA",IF($D347="","Zona STOCK",IF($E347="","CEK SKU DESCRIPTION kosong",IF(AND(W347&lt;&gt;"",X347=""),"CEK URUTAN SAMBUNG kosong",IF(AND(W347&lt;&gt;"",LEFT(Z347,6)="Endcap"),"CEK Endcap tidak ikut sambung","OK")))))))))</f>
        <v/>
      </c>
      <c r="AB347" s="11" t="n"/>
      <c r="AC347" s="11" t="n"/>
      <c r="AD347" s="11" t="n"/>
      <c r="AE347" s="11" t="n"/>
      <c r="AF347" s="11" t="n"/>
      <c r="AG347" s="11" t="n"/>
      <c r="AH347" s="12">
        <f>IF(AB347="","",IFERROR(INDEX(DAFTAR_FIXTURE!$B$2:$B$51,MATCH(AB347,DAFTAR_FIXTURE!$A$2:$A$51,0)),""))</f>
        <v/>
      </c>
      <c r="AI347" s="12">
        <f>IF(AB347="","",IF(AH347="","CEK ID FIXTURE tidak ada di DAFTAR_FIXTURE",IF(AC347="","CEK ZONA NO kosong",IF(ISNA(MATCH(AH347&amp;"|"&amp;AC347,LAYOUT!$E$2:$E$80,0)),"CEK ZONA NO di luar layout",IF(AD347&lt;&gt;INDEX(LAYOUT!$D$2:$D$80,MATCH(AH347&amp;"|"&amp;AC347,LAYOUT!$E$2:$E$80,0)),"CEK JENIS ZONA",IF($D347="","Zona STOCK",IF($E347="","CEK SKU DESCRIPTION kosong",IF(AND(AE347&lt;&gt;"",AF347=""),"CEK URUTAN SAMBUNG kosong",IF(AND(AE347&lt;&gt;"",LEFT(AH347,6)="Endcap"),"CEK Endcap tidak ikut sambung","OK")))))))))</f>
        <v/>
      </c>
    </row>
    <row r="348">
      <c r="A348" s="10" t="n"/>
      <c r="B348" s="10" t="n"/>
      <c r="C348" s="10" t="n"/>
      <c r="D348" s="10" t="n"/>
      <c r="E348" s="10" t="n"/>
      <c r="F348" s="10" t="n"/>
      <c r="G348" s="10" t="n"/>
      <c r="H348" s="10" t="n"/>
      <c r="I348" s="10" t="n"/>
      <c r="J348" s="10" t="n"/>
      <c r="K348" s="10" t="n"/>
      <c r="L348" s="11" t="n"/>
      <c r="M348" s="11" t="n"/>
      <c r="N348" s="11" t="n"/>
      <c r="O348" s="11" t="n"/>
      <c r="P348" s="11" t="n"/>
      <c r="Q348" s="11" t="n"/>
      <c r="R348" s="12">
        <f>IF(L348="","",IFERROR(INDEX(DAFTAR_FIXTURE!$B$2:$B$51,MATCH(L348,DAFTAR_FIXTURE!$A$2:$A$51,0)),""))</f>
        <v/>
      </c>
      <c r="S348" s="12">
        <f>IF(AND($D348="",L348=""),"",IF(L348="",IF(AND(T348="",AB348=""),"Belum ditempatkan",""),IF(R348="","CEK ID FIXTURE tidak ada di DAFTAR_FIXTURE",IF(M348="","CEK ZONA NO kosong",IF(ISNA(MATCH(R348&amp;"|"&amp;M348,LAYOUT!$E$2:$E$80,0)),"CEK ZONA NO di luar layout",IF(N348&lt;&gt;INDEX(LAYOUT!$D$2:$D$80,MATCH(R348&amp;"|"&amp;M348,LAYOUT!$E$2:$E$80,0)),"CEK JENIS ZONA",IF($D348="","Zona STOCK",IF($E348="","CEK SKU DESCRIPTION kosong",IF(AND(O348&lt;&gt;"",P348=""),"CEK URUTAN SAMBUNG kosong",IF(AND(O348&lt;&gt;"",LEFT(R348,6)="Endcap"),"CEK Endcap tidak ikut sambung","OK"))))))))))</f>
        <v/>
      </c>
      <c r="T348" s="11" t="n"/>
      <c r="U348" s="11" t="n"/>
      <c r="V348" s="11" t="n"/>
      <c r="W348" s="11" t="n"/>
      <c r="X348" s="11" t="n"/>
      <c r="Y348" s="11" t="n"/>
      <c r="Z348" s="12">
        <f>IF(T348="","",IFERROR(INDEX(DAFTAR_FIXTURE!$B$2:$B$51,MATCH(T348,DAFTAR_FIXTURE!$A$2:$A$51,0)),""))</f>
        <v/>
      </c>
      <c r="AA348" s="12">
        <f>IF(T348="","",IF(Z348="","CEK ID FIXTURE tidak ada di DAFTAR_FIXTURE",IF(U348="","CEK ZONA NO kosong",IF(ISNA(MATCH(Z348&amp;"|"&amp;U348,LAYOUT!$E$2:$E$80,0)),"CEK ZONA NO di luar layout",IF(V348&lt;&gt;INDEX(LAYOUT!$D$2:$D$80,MATCH(Z348&amp;"|"&amp;U348,LAYOUT!$E$2:$E$80,0)),"CEK JENIS ZONA",IF($D348="","Zona STOCK",IF($E348="","CEK SKU DESCRIPTION kosong",IF(AND(W348&lt;&gt;"",X348=""),"CEK URUTAN SAMBUNG kosong",IF(AND(W348&lt;&gt;"",LEFT(Z348,6)="Endcap"),"CEK Endcap tidak ikut sambung","OK")))))))))</f>
        <v/>
      </c>
      <c r="AB348" s="11" t="n"/>
      <c r="AC348" s="11" t="n"/>
      <c r="AD348" s="11" t="n"/>
      <c r="AE348" s="11" t="n"/>
      <c r="AF348" s="11" t="n"/>
      <c r="AG348" s="11" t="n"/>
      <c r="AH348" s="12">
        <f>IF(AB348="","",IFERROR(INDEX(DAFTAR_FIXTURE!$B$2:$B$51,MATCH(AB348,DAFTAR_FIXTURE!$A$2:$A$51,0)),""))</f>
        <v/>
      </c>
      <c r="AI348" s="12">
        <f>IF(AB348="","",IF(AH348="","CEK ID FIXTURE tidak ada di DAFTAR_FIXTURE",IF(AC348="","CEK ZONA NO kosong",IF(ISNA(MATCH(AH348&amp;"|"&amp;AC348,LAYOUT!$E$2:$E$80,0)),"CEK ZONA NO di luar layout",IF(AD348&lt;&gt;INDEX(LAYOUT!$D$2:$D$80,MATCH(AH348&amp;"|"&amp;AC348,LAYOUT!$E$2:$E$80,0)),"CEK JENIS ZONA",IF($D348="","Zona STOCK",IF($E348="","CEK SKU DESCRIPTION kosong",IF(AND(AE348&lt;&gt;"",AF348=""),"CEK URUTAN SAMBUNG kosong",IF(AND(AE348&lt;&gt;"",LEFT(AH348,6)="Endcap"),"CEK Endcap tidak ikut sambung","OK")))))))))</f>
        <v/>
      </c>
    </row>
    <row r="349">
      <c r="A349" s="10" t="n"/>
      <c r="B349" s="10" t="n"/>
      <c r="C349" s="10" t="n"/>
      <c r="D349" s="10" t="n"/>
      <c r="E349" s="10" t="n"/>
      <c r="F349" s="10" t="n"/>
      <c r="G349" s="10" t="n"/>
      <c r="H349" s="10" t="n"/>
      <c r="I349" s="10" t="n"/>
      <c r="J349" s="10" t="n"/>
      <c r="K349" s="10" t="n"/>
      <c r="L349" s="11" t="n"/>
      <c r="M349" s="11" t="n"/>
      <c r="N349" s="11" t="n"/>
      <c r="O349" s="11" t="n"/>
      <c r="P349" s="11" t="n"/>
      <c r="Q349" s="11" t="n"/>
      <c r="R349" s="12">
        <f>IF(L349="","",IFERROR(INDEX(DAFTAR_FIXTURE!$B$2:$B$51,MATCH(L349,DAFTAR_FIXTURE!$A$2:$A$51,0)),""))</f>
        <v/>
      </c>
      <c r="S349" s="12">
        <f>IF(AND($D349="",L349=""),"",IF(L349="",IF(AND(T349="",AB349=""),"Belum ditempatkan",""),IF(R349="","CEK ID FIXTURE tidak ada di DAFTAR_FIXTURE",IF(M349="","CEK ZONA NO kosong",IF(ISNA(MATCH(R349&amp;"|"&amp;M349,LAYOUT!$E$2:$E$80,0)),"CEK ZONA NO di luar layout",IF(N349&lt;&gt;INDEX(LAYOUT!$D$2:$D$80,MATCH(R349&amp;"|"&amp;M349,LAYOUT!$E$2:$E$80,0)),"CEK JENIS ZONA",IF($D349="","Zona STOCK",IF($E349="","CEK SKU DESCRIPTION kosong",IF(AND(O349&lt;&gt;"",P349=""),"CEK URUTAN SAMBUNG kosong",IF(AND(O349&lt;&gt;"",LEFT(R349,6)="Endcap"),"CEK Endcap tidak ikut sambung","OK"))))))))))</f>
        <v/>
      </c>
      <c r="T349" s="11" t="n"/>
      <c r="U349" s="11" t="n"/>
      <c r="V349" s="11" t="n"/>
      <c r="W349" s="11" t="n"/>
      <c r="X349" s="11" t="n"/>
      <c r="Y349" s="11" t="n"/>
      <c r="Z349" s="12">
        <f>IF(T349="","",IFERROR(INDEX(DAFTAR_FIXTURE!$B$2:$B$51,MATCH(T349,DAFTAR_FIXTURE!$A$2:$A$51,0)),""))</f>
        <v/>
      </c>
      <c r="AA349" s="12">
        <f>IF(T349="","",IF(Z349="","CEK ID FIXTURE tidak ada di DAFTAR_FIXTURE",IF(U349="","CEK ZONA NO kosong",IF(ISNA(MATCH(Z349&amp;"|"&amp;U349,LAYOUT!$E$2:$E$80,0)),"CEK ZONA NO di luar layout",IF(V349&lt;&gt;INDEX(LAYOUT!$D$2:$D$80,MATCH(Z349&amp;"|"&amp;U349,LAYOUT!$E$2:$E$80,0)),"CEK JENIS ZONA",IF($D349="","Zona STOCK",IF($E349="","CEK SKU DESCRIPTION kosong",IF(AND(W349&lt;&gt;"",X349=""),"CEK URUTAN SAMBUNG kosong",IF(AND(W349&lt;&gt;"",LEFT(Z349,6)="Endcap"),"CEK Endcap tidak ikut sambung","OK")))))))))</f>
        <v/>
      </c>
      <c r="AB349" s="11" t="n"/>
      <c r="AC349" s="11" t="n"/>
      <c r="AD349" s="11" t="n"/>
      <c r="AE349" s="11" t="n"/>
      <c r="AF349" s="11" t="n"/>
      <c r="AG349" s="11" t="n"/>
      <c r="AH349" s="12">
        <f>IF(AB349="","",IFERROR(INDEX(DAFTAR_FIXTURE!$B$2:$B$51,MATCH(AB349,DAFTAR_FIXTURE!$A$2:$A$51,0)),""))</f>
        <v/>
      </c>
      <c r="AI349" s="12">
        <f>IF(AB349="","",IF(AH349="","CEK ID FIXTURE tidak ada di DAFTAR_FIXTURE",IF(AC349="","CEK ZONA NO kosong",IF(ISNA(MATCH(AH349&amp;"|"&amp;AC349,LAYOUT!$E$2:$E$80,0)),"CEK ZONA NO di luar layout",IF(AD349&lt;&gt;INDEX(LAYOUT!$D$2:$D$80,MATCH(AH349&amp;"|"&amp;AC349,LAYOUT!$E$2:$E$80,0)),"CEK JENIS ZONA",IF($D349="","Zona STOCK",IF($E349="","CEK SKU DESCRIPTION kosong",IF(AND(AE349&lt;&gt;"",AF349=""),"CEK URUTAN SAMBUNG kosong",IF(AND(AE349&lt;&gt;"",LEFT(AH349,6)="Endcap"),"CEK Endcap tidak ikut sambung","OK")))))))))</f>
        <v/>
      </c>
    </row>
    <row r="350">
      <c r="A350" s="10" t="n"/>
      <c r="B350" s="10" t="n"/>
      <c r="C350" s="10" t="n"/>
      <c r="D350" s="10" t="n"/>
      <c r="E350" s="10" t="n"/>
      <c r="F350" s="10" t="n"/>
      <c r="G350" s="10" t="n"/>
      <c r="H350" s="10" t="n"/>
      <c r="I350" s="10" t="n"/>
      <c r="J350" s="10" t="n"/>
      <c r="K350" s="10" t="n"/>
      <c r="L350" s="11" t="n"/>
      <c r="M350" s="11" t="n"/>
      <c r="N350" s="11" t="n"/>
      <c r="O350" s="11" t="n"/>
      <c r="P350" s="11" t="n"/>
      <c r="Q350" s="11" t="n"/>
      <c r="R350" s="12">
        <f>IF(L350="","",IFERROR(INDEX(DAFTAR_FIXTURE!$B$2:$B$51,MATCH(L350,DAFTAR_FIXTURE!$A$2:$A$51,0)),""))</f>
        <v/>
      </c>
      <c r="S350" s="12">
        <f>IF(AND($D350="",L350=""),"",IF(L350="",IF(AND(T350="",AB350=""),"Belum ditempatkan",""),IF(R350="","CEK ID FIXTURE tidak ada di DAFTAR_FIXTURE",IF(M350="","CEK ZONA NO kosong",IF(ISNA(MATCH(R350&amp;"|"&amp;M350,LAYOUT!$E$2:$E$80,0)),"CEK ZONA NO di luar layout",IF(N350&lt;&gt;INDEX(LAYOUT!$D$2:$D$80,MATCH(R350&amp;"|"&amp;M350,LAYOUT!$E$2:$E$80,0)),"CEK JENIS ZONA",IF($D350="","Zona STOCK",IF($E350="","CEK SKU DESCRIPTION kosong",IF(AND(O350&lt;&gt;"",P350=""),"CEK URUTAN SAMBUNG kosong",IF(AND(O350&lt;&gt;"",LEFT(R350,6)="Endcap"),"CEK Endcap tidak ikut sambung","OK"))))))))))</f>
        <v/>
      </c>
      <c r="T350" s="11" t="n"/>
      <c r="U350" s="11" t="n"/>
      <c r="V350" s="11" t="n"/>
      <c r="W350" s="11" t="n"/>
      <c r="X350" s="11" t="n"/>
      <c r="Y350" s="11" t="n"/>
      <c r="Z350" s="12">
        <f>IF(T350="","",IFERROR(INDEX(DAFTAR_FIXTURE!$B$2:$B$51,MATCH(T350,DAFTAR_FIXTURE!$A$2:$A$51,0)),""))</f>
        <v/>
      </c>
      <c r="AA350" s="12">
        <f>IF(T350="","",IF(Z350="","CEK ID FIXTURE tidak ada di DAFTAR_FIXTURE",IF(U350="","CEK ZONA NO kosong",IF(ISNA(MATCH(Z350&amp;"|"&amp;U350,LAYOUT!$E$2:$E$80,0)),"CEK ZONA NO di luar layout",IF(V350&lt;&gt;INDEX(LAYOUT!$D$2:$D$80,MATCH(Z350&amp;"|"&amp;U350,LAYOUT!$E$2:$E$80,0)),"CEK JENIS ZONA",IF($D350="","Zona STOCK",IF($E350="","CEK SKU DESCRIPTION kosong",IF(AND(W350&lt;&gt;"",X350=""),"CEK URUTAN SAMBUNG kosong",IF(AND(W350&lt;&gt;"",LEFT(Z350,6)="Endcap"),"CEK Endcap tidak ikut sambung","OK")))))))))</f>
        <v/>
      </c>
      <c r="AB350" s="11" t="n"/>
      <c r="AC350" s="11" t="n"/>
      <c r="AD350" s="11" t="n"/>
      <c r="AE350" s="11" t="n"/>
      <c r="AF350" s="11" t="n"/>
      <c r="AG350" s="11" t="n"/>
      <c r="AH350" s="12">
        <f>IF(AB350="","",IFERROR(INDEX(DAFTAR_FIXTURE!$B$2:$B$51,MATCH(AB350,DAFTAR_FIXTURE!$A$2:$A$51,0)),""))</f>
        <v/>
      </c>
      <c r="AI350" s="12">
        <f>IF(AB350="","",IF(AH350="","CEK ID FIXTURE tidak ada di DAFTAR_FIXTURE",IF(AC350="","CEK ZONA NO kosong",IF(ISNA(MATCH(AH350&amp;"|"&amp;AC350,LAYOUT!$E$2:$E$80,0)),"CEK ZONA NO di luar layout",IF(AD350&lt;&gt;INDEX(LAYOUT!$D$2:$D$80,MATCH(AH350&amp;"|"&amp;AC350,LAYOUT!$E$2:$E$80,0)),"CEK JENIS ZONA",IF($D350="","Zona STOCK",IF($E350="","CEK SKU DESCRIPTION kosong",IF(AND(AE350&lt;&gt;"",AF350=""),"CEK URUTAN SAMBUNG kosong",IF(AND(AE350&lt;&gt;"",LEFT(AH350,6)="Endcap"),"CEK Endcap tidak ikut sambung","OK")))))))))</f>
        <v/>
      </c>
    </row>
    <row r="351">
      <c r="A351" s="10" t="n"/>
      <c r="B351" s="10" t="n"/>
      <c r="C351" s="10" t="n"/>
      <c r="D351" s="10" t="n"/>
      <c r="E351" s="10" t="n"/>
      <c r="F351" s="10" t="n"/>
      <c r="G351" s="10" t="n"/>
      <c r="H351" s="10" t="n"/>
      <c r="I351" s="10" t="n"/>
      <c r="J351" s="10" t="n"/>
      <c r="K351" s="10" t="n"/>
      <c r="L351" s="11" t="n"/>
      <c r="M351" s="11" t="n"/>
      <c r="N351" s="11" t="n"/>
      <c r="O351" s="11" t="n"/>
      <c r="P351" s="11" t="n"/>
      <c r="Q351" s="11" t="n"/>
      <c r="R351" s="12">
        <f>IF(L351="","",IFERROR(INDEX(DAFTAR_FIXTURE!$B$2:$B$51,MATCH(L351,DAFTAR_FIXTURE!$A$2:$A$51,0)),""))</f>
        <v/>
      </c>
      <c r="S351" s="12">
        <f>IF(AND($D351="",L351=""),"",IF(L351="",IF(AND(T351="",AB351=""),"Belum ditempatkan",""),IF(R351="","CEK ID FIXTURE tidak ada di DAFTAR_FIXTURE",IF(M351="","CEK ZONA NO kosong",IF(ISNA(MATCH(R351&amp;"|"&amp;M351,LAYOUT!$E$2:$E$80,0)),"CEK ZONA NO di luar layout",IF(N351&lt;&gt;INDEX(LAYOUT!$D$2:$D$80,MATCH(R351&amp;"|"&amp;M351,LAYOUT!$E$2:$E$80,0)),"CEK JENIS ZONA",IF($D351="","Zona STOCK",IF($E351="","CEK SKU DESCRIPTION kosong",IF(AND(O351&lt;&gt;"",P351=""),"CEK URUTAN SAMBUNG kosong",IF(AND(O351&lt;&gt;"",LEFT(R351,6)="Endcap"),"CEK Endcap tidak ikut sambung","OK"))))))))))</f>
        <v/>
      </c>
      <c r="T351" s="11" t="n"/>
      <c r="U351" s="11" t="n"/>
      <c r="V351" s="11" t="n"/>
      <c r="W351" s="11" t="n"/>
      <c r="X351" s="11" t="n"/>
      <c r="Y351" s="11" t="n"/>
      <c r="Z351" s="12">
        <f>IF(T351="","",IFERROR(INDEX(DAFTAR_FIXTURE!$B$2:$B$51,MATCH(T351,DAFTAR_FIXTURE!$A$2:$A$51,0)),""))</f>
        <v/>
      </c>
      <c r="AA351" s="12">
        <f>IF(T351="","",IF(Z351="","CEK ID FIXTURE tidak ada di DAFTAR_FIXTURE",IF(U351="","CEK ZONA NO kosong",IF(ISNA(MATCH(Z351&amp;"|"&amp;U351,LAYOUT!$E$2:$E$80,0)),"CEK ZONA NO di luar layout",IF(V351&lt;&gt;INDEX(LAYOUT!$D$2:$D$80,MATCH(Z351&amp;"|"&amp;U351,LAYOUT!$E$2:$E$80,0)),"CEK JENIS ZONA",IF($D351="","Zona STOCK",IF($E351="","CEK SKU DESCRIPTION kosong",IF(AND(W351&lt;&gt;"",X351=""),"CEK URUTAN SAMBUNG kosong",IF(AND(W351&lt;&gt;"",LEFT(Z351,6)="Endcap"),"CEK Endcap tidak ikut sambung","OK")))))))))</f>
        <v/>
      </c>
      <c r="AB351" s="11" t="n"/>
      <c r="AC351" s="11" t="n"/>
      <c r="AD351" s="11" t="n"/>
      <c r="AE351" s="11" t="n"/>
      <c r="AF351" s="11" t="n"/>
      <c r="AG351" s="11" t="n"/>
      <c r="AH351" s="12">
        <f>IF(AB351="","",IFERROR(INDEX(DAFTAR_FIXTURE!$B$2:$B$51,MATCH(AB351,DAFTAR_FIXTURE!$A$2:$A$51,0)),""))</f>
        <v/>
      </c>
      <c r="AI351" s="12">
        <f>IF(AB351="","",IF(AH351="","CEK ID FIXTURE tidak ada di DAFTAR_FIXTURE",IF(AC351="","CEK ZONA NO kosong",IF(ISNA(MATCH(AH351&amp;"|"&amp;AC351,LAYOUT!$E$2:$E$80,0)),"CEK ZONA NO di luar layout",IF(AD351&lt;&gt;INDEX(LAYOUT!$D$2:$D$80,MATCH(AH351&amp;"|"&amp;AC351,LAYOUT!$E$2:$E$80,0)),"CEK JENIS ZONA",IF($D351="","Zona STOCK",IF($E351="","CEK SKU DESCRIPTION kosong",IF(AND(AE351&lt;&gt;"",AF351=""),"CEK URUTAN SAMBUNG kosong",IF(AND(AE351&lt;&gt;"",LEFT(AH351,6)="Endcap"),"CEK Endcap tidak ikut sambung","OK")))))))))</f>
        <v/>
      </c>
    </row>
    <row r="352">
      <c r="A352" s="10" t="n"/>
      <c r="B352" s="10" t="n"/>
      <c r="C352" s="10" t="n"/>
      <c r="D352" s="10" t="n"/>
      <c r="E352" s="10" t="n"/>
      <c r="F352" s="10" t="n"/>
      <c r="G352" s="10" t="n"/>
      <c r="H352" s="10" t="n"/>
      <c r="I352" s="10" t="n"/>
      <c r="J352" s="10" t="n"/>
      <c r="K352" s="10" t="n"/>
      <c r="L352" s="11" t="n"/>
      <c r="M352" s="11" t="n"/>
      <c r="N352" s="11" t="n"/>
      <c r="O352" s="11" t="n"/>
      <c r="P352" s="11" t="n"/>
      <c r="Q352" s="11" t="n"/>
      <c r="R352" s="12">
        <f>IF(L352="","",IFERROR(INDEX(DAFTAR_FIXTURE!$B$2:$B$51,MATCH(L352,DAFTAR_FIXTURE!$A$2:$A$51,0)),""))</f>
        <v/>
      </c>
      <c r="S352" s="12">
        <f>IF(AND($D352="",L352=""),"",IF(L352="",IF(AND(T352="",AB352=""),"Belum ditempatkan",""),IF(R352="","CEK ID FIXTURE tidak ada di DAFTAR_FIXTURE",IF(M352="","CEK ZONA NO kosong",IF(ISNA(MATCH(R352&amp;"|"&amp;M352,LAYOUT!$E$2:$E$80,0)),"CEK ZONA NO di luar layout",IF(N352&lt;&gt;INDEX(LAYOUT!$D$2:$D$80,MATCH(R352&amp;"|"&amp;M352,LAYOUT!$E$2:$E$80,0)),"CEK JENIS ZONA",IF($D352="","Zona STOCK",IF($E352="","CEK SKU DESCRIPTION kosong",IF(AND(O352&lt;&gt;"",P352=""),"CEK URUTAN SAMBUNG kosong",IF(AND(O352&lt;&gt;"",LEFT(R352,6)="Endcap"),"CEK Endcap tidak ikut sambung","OK"))))))))))</f>
        <v/>
      </c>
      <c r="T352" s="11" t="n"/>
      <c r="U352" s="11" t="n"/>
      <c r="V352" s="11" t="n"/>
      <c r="W352" s="11" t="n"/>
      <c r="X352" s="11" t="n"/>
      <c r="Y352" s="11" t="n"/>
      <c r="Z352" s="12">
        <f>IF(T352="","",IFERROR(INDEX(DAFTAR_FIXTURE!$B$2:$B$51,MATCH(T352,DAFTAR_FIXTURE!$A$2:$A$51,0)),""))</f>
        <v/>
      </c>
      <c r="AA352" s="12">
        <f>IF(T352="","",IF(Z352="","CEK ID FIXTURE tidak ada di DAFTAR_FIXTURE",IF(U352="","CEK ZONA NO kosong",IF(ISNA(MATCH(Z352&amp;"|"&amp;U352,LAYOUT!$E$2:$E$80,0)),"CEK ZONA NO di luar layout",IF(V352&lt;&gt;INDEX(LAYOUT!$D$2:$D$80,MATCH(Z352&amp;"|"&amp;U352,LAYOUT!$E$2:$E$80,0)),"CEK JENIS ZONA",IF($D352="","Zona STOCK",IF($E352="","CEK SKU DESCRIPTION kosong",IF(AND(W352&lt;&gt;"",X352=""),"CEK URUTAN SAMBUNG kosong",IF(AND(W352&lt;&gt;"",LEFT(Z352,6)="Endcap"),"CEK Endcap tidak ikut sambung","OK")))))))))</f>
        <v/>
      </c>
      <c r="AB352" s="11" t="n"/>
      <c r="AC352" s="11" t="n"/>
      <c r="AD352" s="11" t="n"/>
      <c r="AE352" s="11" t="n"/>
      <c r="AF352" s="11" t="n"/>
      <c r="AG352" s="11" t="n"/>
      <c r="AH352" s="12">
        <f>IF(AB352="","",IFERROR(INDEX(DAFTAR_FIXTURE!$B$2:$B$51,MATCH(AB352,DAFTAR_FIXTURE!$A$2:$A$51,0)),""))</f>
        <v/>
      </c>
      <c r="AI352" s="12">
        <f>IF(AB352="","",IF(AH352="","CEK ID FIXTURE tidak ada di DAFTAR_FIXTURE",IF(AC352="","CEK ZONA NO kosong",IF(ISNA(MATCH(AH352&amp;"|"&amp;AC352,LAYOUT!$E$2:$E$80,0)),"CEK ZONA NO di luar layout",IF(AD352&lt;&gt;INDEX(LAYOUT!$D$2:$D$80,MATCH(AH352&amp;"|"&amp;AC352,LAYOUT!$E$2:$E$80,0)),"CEK JENIS ZONA",IF($D352="","Zona STOCK",IF($E352="","CEK SKU DESCRIPTION kosong",IF(AND(AE352&lt;&gt;"",AF352=""),"CEK URUTAN SAMBUNG kosong",IF(AND(AE352&lt;&gt;"",LEFT(AH352,6)="Endcap"),"CEK Endcap tidak ikut sambung","OK")))))))))</f>
        <v/>
      </c>
    </row>
    <row r="353">
      <c r="A353" s="10" t="n"/>
      <c r="B353" s="10" t="n"/>
      <c r="C353" s="10" t="n"/>
      <c r="D353" s="10" t="n"/>
      <c r="E353" s="10" t="n"/>
      <c r="F353" s="10" t="n"/>
      <c r="G353" s="10" t="n"/>
      <c r="H353" s="10" t="n"/>
      <c r="I353" s="10" t="n"/>
      <c r="J353" s="10" t="n"/>
      <c r="K353" s="10" t="n"/>
      <c r="L353" s="11" t="n"/>
      <c r="M353" s="11" t="n"/>
      <c r="N353" s="11" t="n"/>
      <c r="O353" s="11" t="n"/>
      <c r="P353" s="11" t="n"/>
      <c r="Q353" s="11" t="n"/>
      <c r="R353" s="12">
        <f>IF(L353="","",IFERROR(INDEX(DAFTAR_FIXTURE!$B$2:$B$51,MATCH(L353,DAFTAR_FIXTURE!$A$2:$A$51,0)),""))</f>
        <v/>
      </c>
      <c r="S353" s="12">
        <f>IF(AND($D353="",L353=""),"",IF(L353="",IF(AND(T353="",AB353=""),"Belum ditempatkan",""),IF(R353="","CEK ID FIXTURE tidak ada di DAFTAR_FIXTURE",IF(M353="","CEK ZONA NO kosong",IF(ISNA(MATCH(R353&amp;"|"&amp;M353,LAYOUT!$E$2:$E$80,0)),"CEK ZONA NO di luar layout",IF(N353&lt;&gt;INDEX(LAYOUT!$D$2:$D$80,MATCH(R353&amp;"|"&amp;M353,LAYOUT!$E$2:$E$80,0)),"CEK JENIS ZONA",IF($D353="","Zona STOCK",IF($E353="","CEK SKU DESCRIPTION kosong",IF(AND(O353&lt;&gt;"",P353=""),"CEK URUTAN SAMBUNG kosong",IF(AND(O353&lt;&gt;"",LEFT(R353,6)="Endcap"),"CEK Endcap tidak ikut sambung","OK"))))))))))</f>
        <v/>
      </c>
      <c r="T353" s="11" t="n"/>
      <c r="U353" s="11" t="n"/>
      <c r="V353" s="11" t="n"/>
      <c r="W353" s="11" t="n"/>
      <c r="X353" s="11" t="n"/>
      <c r="Y353" s="11" t="n"/>
      <c r="Z353" s="12">
        <f>IF(T353="","",IFERROR(INDEX(DAFTAR_FIXTURE!$B$2:$B$51,MATCH(T353,DAFTAR_FIXTURE!$A$2:$A$51,0)),""))</f>
        <v/>
      </c>
      <c r="AA353" s="12">
        <f>IF(T353="","",IF(Z353="","CEK ID FIXTURE tidak ada di DAFTAR_FIXTURE",IF(U353="","CEK ZONA NO kosong",IF(ISNA(MATCH(Z353&amp;"|"&amp;U353,LAYOUT!$E$2:$E$80,0)),"CEK ZONA NO di luar layout",IF(V353&lt;&gt;INDEX(LAYOUT!$D$2:$D$80,MATCH(Z353&amp;"|"&amp;U353,LAYOUT!$E$2:$E$80,0)),"CEK JENIS ZONA",IF($D353="","Zona STOCK",IF($E353="","CEK SKU DESCRIPTION kosong",IF(AND(W353&lt;&gt;"",X353=""),"CEK URUTAN SAMBUNG kosong",IF(AND(W353&lt;&gt;"",LEFT(Z353,6)="Endcap"),"CEK Endcap tidak ikut sambung","OK")))))))))</f>
        <v/>
      </c>
      <c r="AB353" s="11" t="n"/>
      <c r="AC353" s="11" t="n"/>
      <c r="AD353" s="11" t="n"/>
      <c r="AE353" s="11" t="n"/>
      <c r="AF353" s="11" t="n"/>
      <c r="AG353" s="11" t="n"/>
      <c r="AH353" s="12">
        <f>IF(AB353="","",IFERROR(INDEX(DAFTAR_FIXTURE!$B$2:$B$51,MATCH(AB353,DAFTAR_FIXTURE!$A$2:$A$51,0)),""))</f>
        <v/>
      </c>
      <c r="AI353" s="12">
        <f>IF(AB353="","",IF(AH353="","CEK ID FIXTURE tidak ada di DAFTAR_FIXTURE",IF(AC353="","CEK ZONA NO kosong",IF(ISNA(MATCH(AH353&amp;"|"&amp;AC353,LAYOUT!$E$2:$E$80,0)),"CEK ZONA NO di luar layout",IF(AD353&lt;&gt;INDEX(LAYOUT!$D$2:$D$80,MATCH(AH353&amp;"|"&amp;AC353,LAYOUT!$E$2:$E$80,0)),"CEK JENIS ZONA",IF($D353="","Zona STOCK",IF($E353="","CEK SKU DESCRIPTION kosong",IF(AND(AE353&lt;&gt;"",AF353=""),"CEK URUTAN SAMBUNG kosong",IF(AND(AE353&lt;&gt;"",LEFT(AH353,6)="Endcap"),"CEK Endcap tidak ikut sambung","OK")))))))))</f>
        <v/>
      </c>
    </row>
    <row r="354">
      <c r="A354" s="10" t="n"/>
      <c r="B354" s="10" t="n"/>
      <c r="C354" s="10" t="n"/>
      <c r="D354" s="10" t="n"/>
      <c r="E354" s="10" t="n"/>
      <c r="F354" s="10" t="n"/>
      <c r="G354" s="10" t="n"/>
      <c r="H354" s="10" t="n"/>
      <c r="I354" s="10" t="n"/>
      <c r="J354" s="10" t="n"/>
      <c r="K354" s="10" t="n"/>
      <c r="L354" s="11" t="n"/>
      <c r="M354" s="11" t="n"/>
      <c r="N354" s="11" t="n"/>
      <c r="O354" s="11" t="n"/>
      <c r="P354" s="11" t="n"/>
      <c r="Q354" s="11" t="n"/>
      <c r="R354" s="12">
        <f>IF(L354="","",IFERROR(INDEX(DAFTAR_FIXTURE!$B$2:$B$51,MATCH(L354,DAFTAR_FIXTURE!$A$2:$A$51,0)),""))</f>
        <v/>
      </c>
      <c r="S354" s="12">
        <f>IF(AND($D354="",L354=""),"",IF(L354="",IF(AND(T354="",AB354=""),"Belum ditempatkan",""),IF(R354="","CEK ID FIXTURE tidak ada di DAFTAR_FIXTURE",IF(M354="","CEK ZONA NO kosong",IF(ISNA(MATCH(R354&amp;"|"&amp;M354,LAYOUT!$E$2:$E$80,0)),"CEK ZONA NO di luar layout",IF(N354&lt;&gt;INDEX(LAYOUT!$D$2:$D$80,MATCH(R354&amp;"|"&amp;M354,LAYOUT!$E$2:$E$80,0)),"CEK JENIS ZONA",IF($D354="","Zona STOCK",IF($E354="","CEK SKU DESCRIPTION kosong",IF(AND(O354&lt;&gt;"",P354=""),"CEK URUTAN SAMBUNG kosong",IF(AND(O354&lt;&gt;"",LEFT(R354,6)="Endcap"),"CEK Endcap tidak ikut sambung","OK"))))))))))</f>
        <v/>
      </c>
      <c r="T354" s="11" t="n"/>
      <c r="U354" s="11" t="n"/>
      <c r="V354" s="11" t="n"/>
      <c r="W354" s="11" t="n"/>
      <c r="X354" s="11" t="n"/>
      <c r="Y354" s="11" t="n"/>
      <c r="Z354" s="12">
        <f>IF(T354="","",IFERROR(INDEX(DAFTAR_FIXTURE!$B$2:$B$51,MATCH(T354,DAFTAR_FIXTURE!$A$2:$A$51,0)),""))</f>
        <v/>
      </c>
      <c r="AA354" s="12">
        <f>IF(T354="","",IF(Z354="","CEK ID FIXTURE tidak ada di DAFTAR_FIXTURE",IF(U354="","CEK ZONA NO kosong",IF(ISNA(MATCH(Z354&amp;"|"&amp;U354,LAYOUT!$E$2:$E$80,0)),"CEK ZONA NO di luar layout",IF(V354&lt;&gt;INDEX(LAYOUT!$D$2:$D$80,MATCH(Z354&amp;"|"&amp;U354,LAYOUT!$E$2:$E$80,0)),"CEK JENIS ZONA",IF($D354="","Zona STOCK",IF($E354="","CEK SKU DESCRIPTION kosong",IF(AND(W354&lt;&gt;"",X354=""),"CEK URUTAN SAMBUNG kosong",IF(AND(W354&lt;&gt;"",LEFT(Z354,6)="Endcap"),"CEK Endcap tidak ikut sambung","OK")))))))))</f>
        <v/>
      </c>
      <c r="AB354" s="11" t="n"/>
      <c r="AC354" s="11" t="n"/>
      <c r="AD354" s="11" t="n"/>
      <c r="AE354" s="11" t="n"/>
      <c r="AF354" s="11" t="n"/>
      <c r="AG354" s="11" t="n"/>
      <c r="AH354" s="12">
        <f>IF(AB354="","",IFERROR(INDEX(DAFTAR_FIXTURE!$B$2:$B$51,MATCH(AB354,DAFTAR_FIXTURE!$A$2:$A$51,0)),""))</f>
        <v/>
      </c>
      <c r="AI354" s="12">
        <f>IF(AB354="","",IF(AH354="","CEK ID FIXTURE tidak ada di DAFTAR_FIXTURE",IF(AC354="","CEK ZONA NO kosong",IF(ISNA(MATCH(AH354&amp;"|"&amp;AC354,LAYOUT!$E$2:$E$80,0)),"CEK ZONA NO di luar layout",IF(AD354&lt;&gt;INDEX(LAYOUT!$D$2:$D$80,MATCH(AH354&amp;"|"&amp;AC354,LAYOUT!$E$2:$E$80,0)),"CEK JENIS ZONA",IF($D354="","Zona STOCK",IF($E354="","CEK SKU DESCRIPTION kosong",IF(AND(AE354&lt;&gt;"",AF354=""),"CEK URUTAN SAMBUNG kosong",IF(AND(AE354&lt;&gt;"",LEFT(AH354,6)="Endcap"),"CEK Endcap tidak ikut sambung","OK")))))))))</f>
        <v/>
      </c>
    </row>
    <row r="355">
      <c r="A355" s="10" t="n"/>
      <c r="B355" s="10" t="n"/>
      <c r="C355" s="10" t="n"/>
      <c r="D355" s="10" t="n"/>
      <c r="E355" s="10" t="n"/>
      <c r="F355" s="10" t="n"/>
      <c r="G355" s="10" t="n"/>
      <c r="H355" s="10" t="n"/>
      <c r="I355" s="10" t="n"/>
      <c r="J355" s="10" t="n"/>
      <c r="K355" s="10" t="n"/>
      <c r="L355" s="11" t="n"/>
      <c r="M355" s="11" t="n"/>
      <c r="N355" s="11" t="n"/>
      <c r="O355" s="11" t="n"/>
      <c r="P355" s="11" t="n"/>
      <c r="Q355" s="11" t="n"/>
      <c r="R355" s="12">
        <f>IF(L355="","",IFERROR(INDEX(DAFTAR_FIXTURE!$B$2:$B$51,MATCH(L355,DAFTAR_FIXTURE!$A$2:$A$51,0)),""))</f>
        <v/>
      </c>
      <c r="S355" s="12">
        <f>IF(AND($D355="",L355=""),"",IF(L355="",IF(AND(T355="",AB355=""),"Belum ditempatkan",""),IF(R355="","CEK ID FIXTURE tidak ada di DAFTAR_FIXTURE",IF(M355="","CEK ZONA NO kosong",IF(ISNA(MATCH(R355&amp;"|"&amp;M355,LAYOUT!$E$2:$E$80,0)),"CEK ZONA NO di luar layout",IF(N355&lt;&gt;INDEX(LAYOUT!$D$2:$D$80,MATCH(R355&amp;"|"&amp;M355,LAYOUT!$E$2:$E$80,0)),"CEK JENIS ZONA",IF($D355="","Zona STOCK",IF($E355="","CEK SKU DESCRIPTION kosong",IF(AND(O355&lt;&gt;"",P355=""),"CEK URUTAN SAMBUNG kosong",IF(AND(O355&lt;&gt;"",LEFT(R355,6)="Endcap"),"CEK Endcap tidak ikut sambung","OK"))))))))))</f>
        <v/>
      </c>
      <c r="T355" s="11" t="n"/>
      <c r="U355" s="11" t="n"/>
      <c r="V355" s="11" t="n"/>
      <c r="W355" s="11" t="n"/>
      <c r="X355" s="11" t="n"/>
      <c r="Y355" s="11" t="n"/>
      <c r="Z355" s="12">
        <f>IF(T355="","",IFERROR(INDEX(DAFTAR_FIXTURE!$B$2:$B$51,MATCH(T355,DAFTAR_FIXTURE!$A$2:$A$51,0)),""))</f>
        <v/>
      </c>
      <c r="AA355" s="12">
        <f>IF(T355="","",IF(Z355="","CEK ID FIXTURE tidak ada di DAFTAR_FIXTURE",IF(U355="","CEK ZONA NO kosong",IF(ISNA(MATCH(Z355&amp;"|"&amp;U355,LAYOUT!$E$2:$E$80,0)),"CEK ZONA NO di luar layout",IF(V355&lt;&gt;INDEX(LAYOUT!$D$2:$D$80,MATCH(Z355&amp;"|"&amp;U355,LAYOUT!$E$2:$E$80,0)),"CEK JENIS ZONA",IF($D355="","Zona STOCK",IF($E355="","CEK SKU DESCRIPTION kosong",IF(AND(W355&lt;&gt;"",X355=""),"CEK URUTAN SAMBUNG kosong",IF(AND(W355&lt;&gt;"",LEFT(Z355,6)="Endcap"),"CEK Endcap tidak ikut sambung","OK")))))))))</f>
        <v/>
      </c>
      <c r="AB355" s="11" t="n"/>
      <c r="AC355" s="11" t="n"/>
      <c r="AD355" s="11" t="n"/>
      <c r="AE355" s="11" t="n"/>
      <c r="AF355" s="11" t="n"/>
      <c r="AG355" s="11" t="n"/>
      <c r="AH355" s="12">
        <f>IF(AB355="","",IFERROR(INDEX(DAFTAR_FIXTURE!$B$2:$B$51,MATCH(AB355,DAFTAR_FIXTURE!$A$2:$A$51,0)),""))</f>
        <v/>
      </c>
      <c r="AI355" s="12">
        <f>IF(AB355="","",IF(AH355="","CEK ID FIXTURE tidak ada di DAFTAR_FIXTURE",IF(AC355="","CEK ZONA NO kosong",IF(ISNA(MATCH(AH355&amp;"|"&amp;AC355,LAYOUT!$E$2:$E$80,0)),"CEK ZONA NO di luar layout",IF(AD355&lt;&gt;INDEX(LAYOUT!$D$2:$D$80,MATCH(AH355&amp;"|"&amp;AC355,LAYOUT!$E$2:$E$80,0)),"CEK JENIS ZONA",IF($D355="","Zona STOCK",IF($E355="","CEK SKU DESCRIPTION kosong",IF(AND(AE355&lt;&gt;"",AF355=""),"CEK URUTAN SAMBUNG kosong",IF(AND(AE355&lt;&gt;"",LEFT(AH355,6)="Endcap"),"CEK Endcap tidak ikut sambung","OK")))))))))</f>
        <v/>
      </c>
    </row>
    <row r="356">
      <c r="A356" s="10" t="n"/>
      <c r="B356" s="10" t="n"/>
      <c r="C356" s="10" t="n"/>
      <c r="D356" s="10" t="n"/>
      <c r="E356" s="10" t="n"/>
      <c r="F356" s="10" t="n"/>
      <c r="G356" s="10" t="n"/>
      <c r="H356" s="10" t="n"/>
      <c r="I356" s="10" t="n"/>
      <c r="J356" s="10" t="n"/>
      <c r="K356" s="10" t="n"/>
      <c r="L356" s="11" t="n"/>
      <c r="M356" s="11" t="n"/>
      <c r="N356" s="11" t="n"/>
      <c r="O356" s="11" t="n"/>
      <c r="P356" s="11" t="n"/>
      <c r="Q356" s="11" t="n"/>
      <c r="R356" s="12">
        <f>IF(L356="","",IFERROR(INDEX(DAFTAR_FIXTURE!$B$2:$B$51,MATCH(L356,DAFTAR_FIXTURE!$A$2:$A$51,0)),""))</f>
        <v/>
      </c>
      <c r="S356" s="12">
        <f>IF(AND($D356="",L356=""),"",IF(L356="",IF(AND(T356="",AB356=""),"Belum ditempatkan",""),IF(R356="","CEK ID FIXTURE tidak ada di DAFTAR_FIXTURE",IF(M356="","CEK ZONA NO kosong",IF(ISNA(MATCH(R356&amp;"|"&amp;M356,LAYOUT!$E$2:$E$80,0)),"CEK ZONA NO di luar layout",IF(N356&lt;&gt;INDEX(LAYOUT!$D$2:$D$80,MATCH(R356&amp;"|"&amp;M356,LAYOUT!$E$2:$E$80,0)),"CEK JENIS ZONA",IF($D356="","Zona STOCK",IF($E356="","CEK SKU DESCRIPTION kosong",IF(AND(O356&lt;&gt;"",P356=""),"CEK URUTAN SAMBUNG kosong",IF(AND(O356&lt;&gt;"",LEFT(R356,6)="Endcap"),"CEK Endcap tidak ikut sambung","OK"))))))))))</f>
        <v/>
      </c>
      <c r="T356" s="11" t="n"/>
      <c r="U356" s="11" t="n"/>
      <c r="V356" s="11" t="n"/>
      <c r="W356" s="11" t="n"/>
      <c r="X356" s="11" t="n"/>
      <c r="Y356" s="11" t="n"/>
      <c r="Z356" s="12">
        <f>IF(T356="","",IFERROR(INDEX(DAFTAR_FIXTURE!$B$2:$B$51,MATCH(T356,DAFTAR_FIXTURE!$A$2:$A$51,0)),""))</f>
        <v/>
      </c>
      <c r="AA356" s="12">
        <f>IF(T356="","",IF(Z356="","CEK ID FIXTURE tidak ada di DAFTAR_FIXTURE",IF(U356="","CEK ZONA NO kosong",IF(ISNA(MATCH(Z356&amp;"|"&amp;U356,LAYOUT!$E$2:$E$80,0)),"CEK ZONA NO di luar layout",IF(V356&lt;&gt;INDEX(LAYOUT!$D$2:$D$80,MATCH(Z356&amp;"|"&amp;U356,LAYOUT!$E$2:$E$80,0)),"CEK JENIS ZONA",IF($D356="","Zona STOCK",IF($E356="","CEK SKU DESCRIPTION kosong",IF(AND(W356&lt;&gt;"",X356=""),"CEK URUTAN SAMBUNG kosong",IF(AND(W356&lt;&gt;"",LEFT(Z356,6)="Endcap"),"CEK Endcap tidak ikut sambung","OK")))))))))</f>
        <v/>
      </c>
      <c r="AB356" s="11" t="n"/>
      <c r="AC356" s="11" t="n"/>
      <c r="AD356" s="11" t="n"/>
      <c r="AE356" s="11" t="n"/>
      <c r="AF356" s="11" t="n"/>
      <c r="AG356" s="11" t="n"/>
      <c r="AH356" s="12">
        <f>IF(AB356="","",IFERROR(INDEX(DAFTAR_FIXTURE!$B$2:$B$51,MATCH(AB356,DAFTAR_FIXTURE!$A$2:$A$51,0)),""))</f>
        <v/>
      </c>
      <c r="AI356" s="12">
        <f>IF(AB356="","",IF(AH356="","CEK ID FIXTURE tidak ada di DAFTAR_FIXTURE",IF(AC356="","CEK ZONA NO kosong",IF(ISNA(MATCH(AH356&amp;"|"&amp;AC356,LAYOUT!$E$2:$E$80,0)),"CEK ZONA NO di luar layout",IF(AD356&lt;&gt;INDEX(LAYOUT!$D$2:$D$80,MATCH(AH356&amp;"|"&amp;AC356,LAYOUT!$E$2:$E$80,0)),"CEK JENIS ZONA",IF($D356="","Zona STOCK",IF($E356="","CEK SKU DESCRIPTION kosong",IF(AND(AE356&lt;&gt;"",AF356=""),"CEK URUTAN SAMBUNG kosong",IF(AND(AE356&lt;&gt;"",LEFT(AH356,6)="Endcap"),"CEK Endcap tidak ikut sambung","OK")))))))))</f>
        <v/>
      </c>
    </row>
    <row r="357">
      <c r="A357" s="10" t="n"/>
      <c r="B357" s="10" t="n"/>
      <c r="C357" s="10" t="n"/>
      <c r="D357" s="10" t="n"/>
      <c r="E357" s="10" t="n"/>
      <c r="F357" s="10" t="n"/>
      <c r="G357" s="10" t="n"/>
      <c r="H357" s="10" t="n"/>
      <c r="I357" s="10" t="n"/>
      <c r="J357" s="10" t="n"/>
      <c r="K357" s="10" t="n"/>
      <c r="L357" s="11" t="n"/>
      <c r="M357" s="11" t="n"/>
      <c r="N357" s="11" t="n"/>
      <c r="O357" s="11" t="n"/>
      <c r="P357" s="11" t="n"/>
      <c r="Q357" s="11" t="n"/>
      <c r="R357" s="12">
        <f>IF(L357="","",IFERROR(INDEX(DAFTAR_FIXTURE!$B$2:$B$51,MATCH(L357,DAFTAR_FIXTURE!$A$2:$A$51,0)),""))</f>
        <v/>
      </c>
      <c r="S357" s="12">
        <f>IF(AND($D357="",L357=""),"",IF(L357="",IF(AND(T357="",AB357=""),"Belum ditempatkan",""),IF(R357="","CEK ID FIXTURE tidak ada di DAFTAR_FIXTURE",IF(M357="","CEK ZONA NO kosong",IF(ISNA(MATCH(R357&amp;"|"&amp;M357,LAYOUT!$E$2:$E$80,0)),"CEK ZONA NO di luar layout",IF(N357&lt;&gt;INDEX(LAYOUT!$D$2:$D$80,MATCH(R357&amp;"|"&amp;M357,LAYOUT!$E$2:$E$80,0)),"CEK JENIS ZONA",IF($D357="","Zona STOCK",IF($E357="","CEK SKU DESCRIPTION kosong",IF(AND(O357&lt;&gt;"",P357=""),"CEK URUTAN SAMBUNG kosong",IF(AND(O357&lt;&gt;"",LEFT(R357,6)="Endcap"),"CEK Endcap tidak ikut sambung","OK"))))))))))</f>
        <v/>
      </c>
      <c r="T357" s="11" t="n"/>
      <c r="U357" s="11" t="n"/>
      <c r="V357" s="11" t="n"/>
      <c r="W357" s="11" t="n"/>
      <c r="X357" s="11" t="n"/>
      <c r="Y357" s="11" t="n"/>
      <c r="Z357" s="12">
        <f>IF(T357="","",IFERROR(INDEX(DAFTAR_FIXTURE!$B$2:$B$51,MATCH(T357,DAFTAR_FIXTURE!$A$2:$A$51,0)),""))</f>
        <v/>
      </c>
      <c r="AA357" s="12">
        <f>IF(T357="","",IF(Z357="","CEK ID FIXTURE tidak ada di DAFTAR_FIXTURE",IF(U357="","CEK ZONA NO kosong",IF(ISNA(MATCH(Z357&amp;"|"&amp;U357,LAYOUT!$E$2:$E$80,0)),"CEK ZONA NO di luar layout",IF(V357&lt;&gt;INDEX(LAYOUT!$D$2:$D$80,MATCH(Z357&amp;"|"&amp;U357,LAYOUT!$E$2:$E$80,0)),"CEK JENIS ZONA",IF($D357="","Zona STOCK",IF($E357="","CEK SKU DESCRIPTION kosong",IF(AND(W357&lt;&gt;"",X357=""),"CEK URUTAN SAMBUNG kosong",IF(AND(W357&lt;&gt;"",LEFT(Z357,6)="Endcap"),"CEK Endcap tidak ikut sambung","OK")))))))))</f>
        <v/>
      </c>
      <c r="AB357" s="11" t="n"/>
      <c r="AC357" s="11" t="n"/>
      <c r="AD357" s="11" t="n"/>
      <c r="AE357" s="11" t="n"/>
      <c r="AF357" s="11" t="n"/>
      <c r="AG357" s="11" t="n"/>
      <c r="AH357" s="12">
        <f>IF(AB357="","",IFERROR(INDEX(DAFTAR_FIXTURE!$B$2:$B$51,MATCH(AB357,DAFTAR_FIXTURE!$A$2:$A$51,0)),""))</f>
        <v/>
      </c>
      <c r="AI357" s="12">
        <f>IF(AB357="","",IF(AH357="","CEK ID FIXTURE tidak ada di DAFTAR_FIXTURE",IF(AC357="","CEK ZONA NO kosong",IF(ISNA(MATCH(AH357&amp;"|"&amp;AC357,LAYOUT!$E$2:$E$80,0)),"CEK ZONA NO di luar layout",IF(AD357&lt;&gt;INDEX(LAYOUT!$D$2:$D$80,MATCH(AH357&amp;"|"&amp;AC357,LAYOUT!$E$2:$E$80,0)),"CEK JENIS ZONA",IF($D357="","Zona STOCK",IF($E357="","CEK SKU DESCRIPTION kosong",IF(AND(AE357&lt;&gt;"",AF357=""),"CEK URUTAN SAMBUNG kosong",IF(AND(AE357&lt;&gt;"",LEFT(AH357,6)="Endcap"),"CEK Endcap tidak ikut sambung","OK")))))))))</f>
        <v/>
      </c>
    </row>
    <row r="358">
      <c r="A358" s="10" t="n"/>
      <c r="B358" s="10" t="n"/>
      <c r="C358" s="10" t="n"/>
      <c r="D358" s="10" t="n"/>
      <c r="E358" s="10" t="n"/>
      <c r="F358" s="10" t="n"/>
      <c r="G358" s="10" t="n"/>
      <c r="H358" s="10" t="n"/>
      <c r="I358" s="10" t="n"/>
      <c r="J358" s="10" t="n"/>
      <c r="K358" s="10" t="n"/>
      <c r="L358" s="11" t="n"/>
      <c r="M358" s="11" t="n"/>
      <c r="N358" s="11" t="n"/>
      <c r="O358" s="11" t="n"/>
      <c r="P358" s="11" t="n"/>
      <c r="Q358" s="11" t="n"/>
      <c r="R358" s="12">
        <f>IF(L358="","",IFERROR(INDEX(DAFTAR_FIXTURE!$B$2:$B$51,MATCH(L358,DAFTAR_FIXTURE!$A$2:$A$51,0)),""))</f>
        <v/>
      </c>
      <c r="S358" s="12">
        <f>IF(AND($D358="",L358=""),"",IF(L358="",IF(AND(T358="",AB358=""),"Belum ditempatkan",""),IF(R358="","CEK ID FIXTURE tidak ada di DAFTAR_FIXTURE",IF(M358="","CEK ZONA NO kosong",IF(ISNA(MATCH(R358&amp;"|"&amp;M358,LAYOUT!$E$2:$E$80,0)),"CEK ZONA NO di luar layout",IF(N358&lt;&gt;INDEX(LAYOUT!$D$2:$D$80,MATCH(R358&amp;"|"&amp;M358,LAYOUT!$E$2:$E$80,0)),"CEK JENIS ZONA",IF($D358="","Zona STOCK",IF($E358="","CEK SKU DESCRIPTION kosong",IF(AND(O358&lt;&gt;"",P358=""),"CEK URUTAN SAMBUNG kosong",IF(AND(O358&lt;&gt;"",LEFT(R358,6)="Endcap"),"CEK Endcap tidak ikut sambung","OK"))))))))))</f>
        <v/>
      </c>
      <c r="T358" s="11" t="n"/>
      <c r="U358" s="11" t="n"/>
      <c r="V358" s="11" t="n"/>
      <c r="W358" s="11" t="n"/>
      <c r="X358" s="11" t="n"/>
      <c r="Y358" s="11" t="n"/>
      <c r="Z358" s="12">
        <f>IF(T358="","",IFERROR(INDEX(DAFTAR_FIXTURE!$B$2:$B$51,MATCH(T358,DAFTAR_FIXTURE!$A$2:$A$51,0)),""))</f>
        <v/>
      </c>
      <c r="AA358" s="12">
        <f>IF(T358="","",IF(Z358="","CEK ID FIXTURE tidak ada di DAFTAR_FIXTURE",IF(U358="","CEK ZONA NO kosong",IF(ISNA(MATCH(Z358&amp;"|"&amp;U358,LAYOUT!$E$2:$E$80,0)),"CEK ZONA NO di luar layout",IF(V358&lt;&gt;INDEX(LAYOUT!$D$2:$D$80,MATCH(Z358&amp;"|"&amp;U358,LAYOUT!$E$2:$E$80,0)),"CEK JENIS ZONA",IF($D358="","Zona STOCK",IF($E358="","CEK SKU DESCRIPTION kosong",IF(AND(W358&lt;&gt;"",X358=""),"CEK URUTAN SAMBUNG kosong",IF(AND(W358&lt;&gt;"",LEFT(Z358,6)="Endcap"),"CEK Endcap tidak ikut sambung","OK")))))))))</f>
        <v/>
      </c>
      <c r="AB358" s="11" t="n"/>
      <c r="AC358" s="11" t="n"/>
      <c r="AD358" s="11" t="n"/>
      <c r="AE358" s="11" t="n"/>
      <c r="AF358" s="11" t="n"/>
      <c r="AG358" s="11" t="n"/>
      <c r="AH358" s="12">
        <f>IF(AB358="","",IFERROR(INDEX(DAFTAR_FIXTURE!$B$2:$B$51,MATCH(AB358,DAFTAR_FIXTURE!$A$2:$A$51,0)),""))</f>
        <v/>
      </c>
      <c r="AI358" s="12">
        <f>IF(AB358="","",IF(AH358="","CEK ID FIXTURE tidak ada di DAFTAR_FIXTURE",IF(AC358="","CEK ZONA NO kosong",IF(ISNA(MATCH(AH358&amp;"|"&amp;AC358,LAYOUT!$E$2:$E$80,0)),"CEK ZONA NO di luar layout",IF(AD358&lt;&gt;INDEX(LAYOUT!$D$2:$D$80,MATCH(AH358&amp;"|"&amp;AC358,LAYOUT!$E$2:$E$80,0)),"CEK JENIS ZONA",IF($D358="","Zona STOCK",IF($E358="","CEK SKU DESCRIPTION kosong",IF(AND(AE358&lt;&gt;"",AF358=""),"CEK URUTAN SAMBUNG kosong",IF(AND(AE358&lt;&gt;"",LEFT(AH358,6)="Endcap"),"CEK Endcap tidak ikut sambung","OK")))))))))</f>
        <v/>
      </c>
    </row>
    <row r="359">
      <c r="A359" s="10" t="n"/>
      <c r="B359" s="10" t="n"/>
      <c r="C359" s="10" t="n"/>
      <c r="D359" s="10" t="n"/>
      <c r="E359" s="10" t="n"/>
      <c r="F359" s="10" t="n"/>
      <c r="G359" s="10" t="n"/>
      <c r="H359" s="10" t="n"/>
      <c r="I359" s="10" t="n"/>
      <c r="J359" s="10" t="n"/>
      <c r="K359" s="10" t="n"/>
      <c r="L359" s="11" t="n"/>
      <c r="M359" s="11" t="n"/>
      <c r="N359" s="11" t="n"/>
      <c r="O359" s="11" t="n"/>
      <c r="P359" s="11" t="n"/>
      <c r="Q359" s="11" t="n"/>
      <c r="R359" s="12">
        <f>IF(L359="","",IFERROR(INDEX(DAFTAR_FIXTURE!$B$2:$B$51,MATCH(L359,DAFTAR_FIXTURE!$A$2:$A$51,0)),""))</f>
        <v/>
      </c>
      <c r="S359" s="12">
        <f>IF(AND($D359="",L359=""),"",IF(L359="",IF(AND(T359="",AB359=""),"Belum ditempatkan",""),IF(R359="","CEK ID FIXTURE tidak ada di DAFTAR_FIXTURE",IF(M359="","CEK ZONA NO kosong",IF(ISNA(MATCH(R359&amp;"|"&amp;M359,LAYOUT!$E$2:$E$80,0)),"CEK ZONA NO di luar layout",IF(N359&lt;&gt;INDEX(LAYOUT!$D$2:$D$80,MATCH(R359&amp;"|"&amp;M359,LAYOUT!$E$2:$E$80,0)),"CEK JENIS ZONA",IF($D359="","Zona STOCK",IF($E359="","CEK SKU DESCRIPTION kosong",IF(AND(O359&lt;&gt;"",P359=""),"CEK URUTAN SAMBUNG kosong",IF(AND(O359&lt;&gt;"",LEFT(R359,6)="Endcap"),"CEK Endcap tidak ikut sambung","OK"))))))))))</f>
        <v/>
      </c>
      <c r="T359" s="11" t="n"/>
      <c r="U359" s="11" t="n"/>
      <c r="V359" s="11" t="n"/>
      <c r="W359" s="11" t="n"/>
      <c r="X359" s="11" t="n"/>
      <c r="Y359" s="11" t="n"/>
      <c r="Z359" s="12">
        <f>IF(T359="","",IFERROR(INDEX(DAFTAR_FIXTURE!$B$2:$B$51,MATCH(T359,DAFTAR_FIXTURE!$A$2:$A$51,0)),""))</f>
        <v/>
      </c>
      <c r="AA359" s="12">
        <f>IF(T359="","",IF(Z359="","CEK ID FIXTURE tidak ada di DAFTAR_FIXTURE",IF(U359="","CEK ZONA NO kosong",IF(ISNA(MATCH(Z359&amp;"|"&amp;U359,LAYOUT!$E$2:$E$80,0)),"CEK ZONA NO di luar layout",IF(V359&lt;&gt;INDEX(LAYOUT!$D$2:$D$80,MATCH(Z359&amp;"|"&amp;U359,LAYOUT!$E$2:$E$80,0)),"CEK JENIS ZONA",IF($D359="","Zona STOCK",IF($E359="","CEK SKU DESCRIPTION kosong",IF(AND(W359&lt;&gt;"",X359=""),"CEK URUTAN SAMBUNG kosong",IF(AND(W359&lt;&gt;"",LEFT(Z359,6)="Endcap"),"CEK Endcap tidak ikut sambung","OK")))))))))</f>
        <v/>
      </c>
      <c r="AB359" s="11" t="n"/>
      <c r="AC359" s="11" t="n"/>
      <c r="AD359" s="11" t="n"/>
      <c r="AE359" s="11" t="n"/>
      <c r="AF359" s="11" t="n"/>
      <c r="AG359" s="11" t="n"/>
      <c r="AH359" s="12">
        <f>IF(AB359="","",IFERROR(INDEX(DAFTAR_FIXTURE!$B$2:$B$51,MATCH(AB359,DAFTAR_FIXTURE!$A$2:$A$51,0)),""))</f>
        <v/>
      </c>
      <c r="AI359" s="12">
        <f>IF(AB359="","",IF(AH359="","CEK ID FIXTURE tidak ada di DAFTAR_FIXTURE",IF(AC359="","CEK ZONA NO kosong",IF(ISNA(MATCH(AH359&amp;"|"&amp;AC359,LAYOUT!$E$2:$E$80,0)),"CEK ZONA NO di luar layout",IF(AD359&lt;&gt;INDEX(LAYOUT!$D$2:$D$80,MATCH(AH359&amp;"|"&amp;AC359,LAYOUT!$E$2:$E$80,0)),"CEK JENIS ZONA",IF($D359="","Zona STOCK",IF($E359="","CEK SKU DESCRIPTION kosong",IF(AND(AE359&lt;&gt;"",AF359=""),"CEK URUTAN SAMBUNG kosong",IF(AND(AE359&lt;&gt;"",LEFT(AH359,6)="Endcap"),"CEK Endcap tidak ikut sambung","OK")))))))))</f>
        <v/>
      </c>
    </row>
    <row r="360">
      <c r="A360" s="10" t="n"/>
      <c r="B360" s="10" t="n"/>
      <c r="C360" s="10" t="n"/>
      <c r="D360" s="10" t="n"/>
      <c r="E360" s="10" t="n"/>
      <c r="F360" s="10" t="n"/>
      <c r="G360" s="10" t="n"/>
      <c r="H360" s="10" t="n"/>
      <c r="I360" s="10" t="n"/>
      <c r="J360" s="10" t="n"/>
      <c r="K360" s="10" t="n"/>
      <c r="L360" s="11" t="n"/>
      <c r="M360" s="11" t="n"/>
      <c r="N360" s="11" t="n"/>
      <c r="O360" s="11" t="n"/>
      <c r="P360" s="11" t="n"/>
      <c r="Q360" s="11" t="n"/>
      <c r="R360" s="12">
        <f>IF(L360="","",IFERROR(INDEX(DAFTAR_FIXTURE!$B$2:$B$51,MATCH(L360,DAFTAR_FIXTURE!$A$2:$A$51,0)),""))</f>
        <v/>
      </c>
      <c r="S360" s="12">
        <f>IF(AND($D360="",L360=""),"",IF(L360="",IF(AND(T360="",AB360=""),"Belum ditempatkan",""),IF(R360="","CEK ID FIXTURE tidak ada di DAFTAR_FIXTURE",IF(M360="","CEK ZONA NO kosong",IF(ISNA(MATCH(R360&amp;"|"&amp;M360,LAYOUT!$E$2:$E$80,0)),"CEK ZONA NO di luar layout",IF(N360&lt;&gt;INDEX(LAYOUT!$D$2:$D$80,MATCH(R360&amp;"|"&amp;M360,LAYOUT!$E$2:$E$80,0)),"CEK JENIS ZONA",IF($D360="","Zona STOCK",IF($E360="","CEK SKU DESCRIPTION kosong",IF(AND(O360&lt;&gt;"",P360=""),"CEK URUTAN SAMBUNG kosong",IF(AND(O360&lt;&gt;"",LEFT(R360,6)="Endcap"),"CEK Endcap tidak ikut sambung","OK"))))))))))</f>
        <v/>
      </c>
      <c r="T360" s="11" t="n"/>
      <c r="U360" s="11" t="n"/>
      <c r="V360" s="11" t="n"/>
      <c r="W360" s="11" t="n"/>
      <c r="X360" s="11" t="n"/>
      <c r="Y360" s="11" t="n"/>
      <c r="Z360" s="12">
        <f>IF(T360="","",IFERROR(INDEX(DAFTAR_FIXTURE!$B$2:$B$51,MATCH(T360,DAFTAR_FIXTURE!$A$2:$A$51,0)),""))</f>
        <v/>
      </c>
      <c r="AA360" s="12">
        <f>IF(T360="","",IF(Z360="","CEK ID FIXTURE tidak ada di DAFTAR_FIXTURE",IF(U360="","CEK ZONA NO kosong",IF(ISNA(MATCH(Z360&amp;"|"&amp;U360,LAYOUT!$E$2:$E$80,0)),"CEK ZONA NO di luar layout",IF(V360&lt;&gt;INDEX(LAYOUT!$D$2:$D$80,MATCH(Z360&amp;"|"&amp;U360,LAYOUT!$E$2:$E$80,0)),"CEK JENIS ZONA",IF($D360="","Zona STOCK",IF($E360="","CEK SKU DESCRIPTION kosong",IF(AND(W360&lt;&gt;"",X360=""),"CEK URUTAN SAMBUNG kosong",IF(AND(W360&lt;&gt;"",LEFT(Z360,6)="Endcap"),"CEK Endcap tidak ikut sambung","OK")))))))))</f>
        <v/>
      </c>
      <c r="AB360" s="11" t="n"/>
      <c r="AC360" s="11" t="n"/>
      <c r="AD360" s="11" t="n"/>
      <c r="AE360" s="11" t="n"/>
      <c r="AF360" s="11" t="n"/>
      <c r="AG360" s="11" t="n"/>
      <c r="AH360" s="12">
        <f>IF(AB360="","",IFERROR(INDEX(DAFTAR_FIXTURE!$B$2:$B$51,MATCH(AB360,DAFTAR_FIXTURE!$A$2:$A$51,0)),""))</f>
        <v/>
      </c>
      <c r="AI360" s="12">
        <f>IF(AB360="","",IF(AH360="","CEK ID FIXTURE tidak ada di DAFTAR_FIXTURE",IF(AC360="","CEK ZONA NO kosong",IF(ISNA(MATCH(AH360&amp;"|"&amp;AC360,LAYOUT!$E$2:$E$80,0)),"CEK ZONA NO di luar layout",IF(AD360&lt;&gt;INDEX(LAYOUT!$D$2:$D$80,MATCH(AH360&amp;"|"&amp;AC360,LAYOUT!$E$2:$E$80,0)),"CEK JENIS ZONA",IF($D360="","Zona STOCK",IF($E360="","CEK SKU DESCRIPTION kosong",IF(AND(AE360&lt;&gt;"",AF360=""),"CEK URUTAN SAMBUNG kosong",IF(AND(AE360&lt;&gt;"",LEFT(AH360,6)="Endcap"),"CEK Endcap tidak ikut sambung","OK")))))))))</f>
        <v/>
      </c>
    </row>
    <row r="361">
      <c r="A361" s="10" t="n"/>
      <c r="B361" s="10" t="n"/>
      <c r="C361" s="10" t="n"/>
      <c r="D361" s="10" t="n"/>
      <c r="E361" s="10" t="n"/>
      <c r="F361" s="10" t="n"/>
      <c r="G361" s="10" t="n"/>
      <c r="H361" s="10" t="n"/>
      <c r="I361" s="10" t="n"/>
      <c r="J361" s="10" t="n"/>
      <c r="K361" s="10" t="n"/>
      <c r="L361" s="11" t="n"/>
      <c r="M361" s="11" t="n"/>
      <c r="N361" s="11" t="n"/>
      <c r="O361" s="11" t="n"/>
      <c r="P361" s="11" t="n"/>
      <c r="Q361" s="11" t="n"/>
      <c r="R361" s="12">
        <f>IF(L361="","",IFERROR(INDEX(DAFTAR_FIXTURE!$B$2:$B$51,MATCH(L361,DAFTAR_FIXTURE!$A$2:$A$51,0)),""))</f>
        <v/>
      </c>
      <c r="S361" s="12">
        <f>IF(AND($D361="",L361=""),"",IF(L361="",IF(AND(T361="",AB361=""),"Belum ditempatkan",""),IF(R361="","CEK ID FIXTURE tidak ada di DAFTAR_FIXTURE",IF(M361="","CEK ZONA NO kosong",IF(ISNA(MATCH(R361&amp;"|"&amp;M361,LAYOUT!$E$2:$E$80,0)),"CEK ZONA NO di luar layout",IF(N361&lt;&gt;INDEX(LAYOUT!$D$2:$D$80,MATCH(R361&amp;"|"&amp;M361,LAYOUT!$E$2:$E$80,0)),"CEK JENIS ZONA",IF($D361="","Zona STOCK",IF($E361="","CEK SKU DESCRIPTION kosong",IF(AND(O361&lt;&gt;"",P361=""),"CEK URUTAN SAMBUNG kosong",IF(AND(O361&lt;&gt;"",LEFT(R361,6)="Endcap"),"CEK Endcap tidak ikut sambung","OK"))))))))))</f>
        <v/>
      </c>
      <c r="T361" s="11" t="n"/>
      <c r="U361" s="11" t="n"/>
      <c r="V361" s="11" t="n"/>
      <c r="W361" s="11" t="n"/>
      <c r="X361" s="11" t="n"/>
      <c r="Y361" s="11" t="n"/>
      <c r="Z361" s="12">
        <f>IF(T361="","",IFERROR(INDEX(DAFTAR_FIXTURE!$B$2:$B$51,MATCH(T361,DAFTAR_FIXTURE!$A$2:$A$51,0)),""))</f>
        <v/>
      </c>
      <c r="AA361" s="12">
        <f>IF(T361="","",IF(Z361="","CEK ID FIXTURE tidak ada di DAFTAR_FIXTURE",IF(U361="","CEK ZONA NO kosong",IF(ISNA(MATCH(Z361&amp;"|"&amp;U361,LAYOUT!$E$2:$E$80,0)),"CEK ZONA NO di luar layout",IF(V361&lt;&gt;INDEX(LAYOUT!$D$2:$D$80,MATCH(Z361&amp;"|"&amp;U361,LAYOUT!$E$2:$E$80,0)),"CEK JENIS ZONA",IF($D361="","Zona STOCK",IF($E361="","CEK SKU DESCRIPTION kosong",IF(AND(W361&lt;&gt;"",X361=""),"CEK URUTAN SAMBUNG kosong",IF(AND(W361&lt;&gt;"",LEFT(Z361,6)="Endcap"),"CEK Endcap tidak ikut sambung","OK")))))))))</f>
        <v/>
      </c>
      <c r="AB361" s="11" t="n"/>
      <c r="AC361" s="11" t="n"/>
      <c r="AD361" s="11" t="n"/>
      <c r="AE361" s="11" t="n"/>
      <c r="AF361" s="11" t="n"/>
      <c r="AG361" s="11" t="n"/>
      <c r="AH361" s="12">
        <f>IF(AB361="","",IFERROR(INDEX(DAFTAR_FIXTURE!$B$2:$B$51,MATCH(AB361,DAFTAR_FIXTURE!$A$2:$A$51,0)),""))</f>
        <v/>
      </c>
      <c r="AI361" s="12">
        <f>IF(AB361="","",IF(AH361="","CEK ID FIXTURE tidak ada di DAFTAR_FIXTURE",IF(AC361="","CEK ZONA NO kosong",IF(ISNA(MATCH(AH361&amp;"|"&amp;AC361,LAYOUT!$E$2:$E$80,0)),"CEK ZONA NO di luar layout",IF(AD361&lt;&gt;INDEX(LAYOUT!$D$2:$D$80,MATCH(AH361&amp;"|"&amp;AC361,LAYOUT!$E$2:$E$80,0)),"CEK JENIS ZONA",IF($D361="","Zona STOCK",IF($E361="","CEK SKU DESCRIPTION kosong",IF(AND(AE361&lt;&gt;"",AF361=""),"CEK URUTAN SAMBUNG kosong",IF(AND(AE361&lt;&gt;"",LEFT(AH361,6)="Endcap"),"CEK Endcap tidak ikut sambung","OK")))))))))</f>
        <v/>
      </c>
    </row>
    <row r="362">
      <c r="A362" s="10" t="n"/>
      <c r="B362" s="10" t="n"/>
      <c r="C362" s="10" t="n"/>
      <c r="D362" s="10" t="n"/>
      <c r="E362" s="10" t="n"/>
      <c r="F362" s="10" t="n"/>
      <c r="G362" s="10" t="n"/>
      <c r="H362" s="10" t="n"/>
      <c r="I362" s="10" t="n"/>
      <c r="J362" s="10" t="n"/>
      <c r="K362" s="10" t="n"/>
      <c r="L362" s="11" t="n"/>
      <c r="M362" s="11" t="n"/>
      <c r="N362" s="11" t="n"/>
      <c r="O362" s="11" t="n"/>
      <c r="P362" s="11" t="n"/>
      <c r="Q362" s="11" t="n"/>
      <c r="R362" s="12">
        <f>IF(L362="","",IFERROR(INDEX(DAFTAR_FIXTURE!$B$2:$B$51,MATCH(L362,DAFTAR_FIXTURE!$A$2:$A$51,0)),""))</f>
        <v/>
      </c>
      <c r="S362" s="12">
        <f>IF(AND($D362="",L362=""),"",IF(L362="",IF(AND(T362="",AB362=""),"Belum ditempatkan",""),IF(R362="","CEK ID FIXTURE tidak ada di DAFTAR_FIXTURE",IF(M362="","CEK ZONA NO kosong",IF(ISNA(MATCH(R362&amp;"|"&amp;M362,LAYOUT!$E$2:$E$80,0)),"CEK ZONA NO di luar layout",IF(N362&lt;&gt;INDEX(LAYOUT!$D$2:$D$80,MATCH(R362&amp;"|"&amp;M362,LAYOUT!$E$2:$E$80,0)),"CEK JENIS ZONA",IF($D362="","Zona STOCK",IF($E362="","CEK SKU DESCRIPTION kosong",IF(AND(O362&lt;&gt;"",P362=""),"CEK URUTAN SAMBUNG kosong",IF(AND(O362&lt;&gt;"",LEFT(R362,6)="Endcap"),"CEK Endcap tidak ikut sambung","OK"))))))))))</f>
        <v/>
      </c>
      <c r="T362" s="11" t="n"/>
      <c r="U362" s="11" t="n"/>
      <c r="V362" s="11" t="n"/>
      <c r="W362" s="11" t="n"/>
      <c r="X362" s="11" t="n"/>
      <c r="Y362" s="11" t="n"/>
      <c r="Z362" s="12">
        <f>IF(T362="","",IFERROR(INDEX(DAFTAR_FIXTURE!$B$2:$B$51,MATCH(T362,DAFTAR_FIXTURE!$A$2:$A$51,0)),""))</f>
        <v/>
      </c>
      <c r="AA362" s="12">
        <f>IF(T362="","",IF(Z362="","CEK ID FIXTURE tidak ada di DAFTAR_FIXTURE",IF(U362="","CEK ZONA NO kosong",IF(ISNA(MATCH(Z362&amp;"|"&amp;U362,LAYOUT!$E$2:$E$80,0)),"CEK ZONA NO di luar layout",IF(V362&lt;&gt;INDEX(LAYOUT!$D$2:$D$80,MATCH(Z362&amp;"|"&amp;U362,LAYOUT!$E$2:$E$80,0)),"CEK JENIS ZONA",IF($D362="","Zona STOCK",IF($E362="","CEK SKU DESCRIPTION kosong",IF(AND(W362&lt;&gt;"",X362=""),"CEK URUTAN SAMBUNG kosong",IF(AND(W362&lt;&gt;"",LEFT(Z362,6)="Endcap"),"CEK Endcap tidak ikut sambung","OK")))))))))</f>
        <v/>
      </c>
      <c r="AB362" s="11" t="n"/>
      <c r="AC362" s="11" t="n"/>
      <c r="AD362" s="11" t="n"/>
      <c r="AE362" s="11" t="n"/>
      <c r="AF362" s="11" t="n"/>
      <c r="AG362" s="11" t="n"/>
      <c r="AH362" s="12">
        <f>IF(AB362="","",IFERROR(INDEX(DAFTAR_FIXTURE!$B$2:$B$51,MATCH(AB362,DAFTAR_FIXTURE!$A$2:$A$51,0)),""))</f>
        <v/>
      </c>
      <c r="AI362" s="12">
        <f>IF(AB362="","",IF(AH362="","CEK ID FIXTURE tidak ada di DAFTAR_FIXTURE",IF(AC362="","CEK ZONA NO kosong",IF(ISNA(MATCH(AH362&amp;"|"&amp;AC362,LAYOUT!$E$2:$E$80,0)),"CEK ZONA NO di luar layout",IF(AD362&lt;&gt;INDEX(LAYOUT!$D$2:$D$80,MATCH(AH362&amp;"|"&amp;AC362,LAYOUT!$E$2:$E$80,0)),"CEK JENIS ZONA",IF($D362="","Zona STOCK",IF($E362="","CEK SKU DESCRIPTION kosong",IF(AND(AE362&lt;&gt;"",AF362=""),"CEK URUTAN SAMBUNG kosong",IF(AND(AE362&lt;&gt;"",LEFT(AH362,6)="Endcap"),"CEK Endcap tidak ikut sambung","OK")))))))))</f>
        <v/>
      </c>
    </row>
    <row r="363">
      <c r="A363" s="10" t="n"/>
      <c r="B363" s="10" t="n"/>
      <c r="C363" s="10" t="n"/>
      <c r="D363" s="10" t="n"/>
      <c r="E363" s="10" t="n"/>
      <c r="F363" s="10" t="n"/>
      <c r="G363" s="10" t="n"/>
      <c r="H363" s="10" t="n"/>
      <c r="I363" s="10" t="n"/>
      <c r="J363" s="10" t="n"/>
      <c r="K363" s="10" t="n"/>
      <c r="L363" s="11" t="n"/>
      <c r="M363" s="11" t="n"/>
      <c r="N363" s="11" t="n"/>
      <c r="O363" s="11" t="n"/>
      <c r="P363" s="11" t="n"/>
      <c r="Q363" s="11" t="n"/>
      <c r="R363" s="12">
        <f>IF(L363="","",IFERROR(INDEX(DAFTAR_FIXTURE!$B$2:$B$51,MATCH(L363,DAFTAR_FIXTURE!$A$2:$A$51,0)),""))</f>
        <v/>
      </c>
      <c r="S363" s="12">
        <f>IF(AND($D363="",L363=""),"",IF(L363="",IF(AND(T363="",AB363=""),"Belum ditempatkan",""),IF(R363="","CEK ID FIXTURE tidak ada di DAFTAR_FIXTURE",IF(M363="","CEK ZONA NO kosong",IF(ISNA(MATCH(R363&amp;"|"&amp;M363,LAYOUT!$E$2:$E$80,0)),"CEK ZONA NO di luar layout",IF(N363&lt;&gt;INDEX(LAYOUT!$D$2:$D$80,MATCH(R363&amp;"|"&amp;M363,LAYOUT!$E$2:$E$80,0)),"CEK JENIS ZONA",IF($D363="","Zona STOCK",IF($E363="","CEK SKU DESCRIPTION kosong",IF(AND(O363&lt;&gt;"",P363=""),"CEK URUTAN SAMBUNG kosong",IF(AND(O363&lt;&gt;"",LEFT(R363,6)="Endcap"),"CEK Endcap tidak ikut sambung","OK"))))))))))</f>
        <v/>
      </c>
      <c r="T363" s="11" t="n"/>
      <c r="U363" s="11" t="n"/>
      <c r="V363" s="11" t="n"/>
      <c r="W363" s="11" t="n"/>
      <c r="X363" s="11" t="n"/>
      <c r="Y363" s="11" t="n"/>
      <c r="Z363" s="12">
        <f>IF(T363="","",IFERROR(INDEX(DAFTAR_FIXTURE!$B$2:$B$51,MATCH(T363,DAFTAR_FIXTURE!$A$2:$A$51,0)),""))</f>
        <v/>
      </c>
      <c r="AA363" s="12">
        <f>IF(T363="","",IF(Z363="","CEK ID FIXTURE tidak ada di DAFTAR_FIXTURE",IF(U363="","CEK ZONA NO kosong",IF(ISNA(MATCH(Z363&amp;"|"&amp;U363,LAYOUT!$E$2:$E$80,0)),"CEK ZONA NO di luar layout",IF(V363&lt;&gt;INDEX(LAYOUT!$D$2:$D$80,MATCH(Z363&amp;"|"&amp;U363,LAYOUT!$E$2:$E$80,0)),"CEK JENIS ZONA",IF($D363="","Zona STOCK",IF($E363="","CEK SKU DESCRIPTION kosong",IF(AND(W363&lt;&gt;"",X363=""),"CEK URUTAN SAMBUNG kosong",IF(AND(W363&lt;&gt;"",LEFT(Z363,6)="Endcap"),"CEK Endcap tidak ikut sambung","OK")))))))))</f>
        <v/>
      </c>
      <c r="AB363" s="11" t="n"/>
      <c r="AC363" s="11" t="n"/>
      <c r="AD363" s="11" t="n"/>
      <c r="AE363" s="11" t="n"/>
      <c r="AF363" s="11" t="n"/>
      <c r="AG363" s="11" t="n"/>
      <c r="AH363" s="12">
        <f>IF(AB363="","",IFERROR(INDEX(DAFTAR_FIXTURE!$B$2:$B$51,MATCH(AB363,DAFTAR_FIXTURE!$A$2:$A$51,0)),""))</f>
        <v/>
      </c>
      <c r="AI363" s="12">
        <f>IF(AB363="","",IF(AH363="","CEK ID FIXTURE tidak ada di DAFTAR_FIXTURE",IF(AC363="","CEK ZONA NO kosong",IF(ISNA(MATCH(AH363&amp;"|"&amp;AC363,LAYOUT!$E$2:$E$80,0)),"CEK ZONA NO di luar layout",IF(AD363&lt;&gt;INDEX(LAYOUT!$D$2:$D$80,MATCH(AH363&amp;"|"&amp;AC363,LAYOUT!$E$2:$E$80,0)),"CEK JENIS ZONA",IF($D363="","Zona STOCK",IF($E363="","CEK SKU DESCRIPTION kosong",IF(AND(AE363&lt;&gt;"",AF363=""),"CEK URUTAN SAMBUNG kosong",IF(AND(AE363&lt;&gt;"",LEFT(AH363,6)="Endcap"),"CEK Endcap tidak ikut sambung","OK")))))))))</f>
        <v/>
      </c>
    </row>
    <row r="364">
      <c r="A364" s="10" t="n"/>
      <c r="B364" s="10" t="n"/>
      <c r="C364" s="10" t="n"/>
      <c r="D364" s="10" t="n"/>
      <c r="E364" s="10" t="n"/>
      <c r="F364" s="10" t="n"/>
      <c r="G364" s="10" t="n"/>
      <c r="H364" s="10" t="n"/>
      <c r="I364" s="10" t="n"/>
      <c r="J364" s="10" t="n"/>
      <c r="K364" s="10" t="n"/>
      <c r="L364" s="11" t="n"/>
      <c r="M364" s="11" t="n"/>
      <c r="N364" s="11" t="n"/>
      <c r="O364" s="11" t="n"/>
      <c r="P364" s="11" t="n"/>
      <c r="Q364" s="11" t="n"/>
      <c r="R364" s="12">
        <f>IF(L364="","",IFERROR(INDEX(DAFTAR_FIXTURE!$B$2:$B$51,MATCH(L364,DAFTAR_FIXTURE!$A$2:$A$51,0)),""))</f>
        <v/>
      </c>
      <c r="S364" s="12">
        <f>IF(AND($D364="",L364=""),"",IF(L364="",IF(AND(T364="",AB364=""),"Belum ditempatkan",""),IF(R364="","CEK ID FIXTURE tidak ada di DAFTAR_FIXTURE",IF(M364="","CEK ZONA NO kosong",IF(ISNA(MATCH(R364&amp;"|"&amp;M364,LAYOUT!$E$2:$E$80,0)),"CEK ZONA NO di luar layout",IF(N364&lt;&gt;INDEX(LAYOUT!$D$2:$D$80,MATCH(R364&amp;"|"&amp;M364,LAYOUT!$E$2:$E$80,0)),"CEK JENIS ZONA",IF($D364="","Zona STOCK",IF($E364="","CEK SKU DESCRIPTION kosong",IF(AND(O364&lt;&gt;"",P364=""),"CEK URUTAN SAMBUNG kosong",IF(AND(O364&lt;&gt;"",LEFT(R364,6)="Endcap"),"CEK Endcap tidak ikut sambung","OK"))))))))))</f>
        <v/>
      </c>
      <c r="T364" s="11" t="n"/>
      <c r="U364" s="11" t="n"/>
      <c r="V364" s="11" t="n"/>
      <c r="W364" s="11" t="n"/>
      <c r="X364" s="11" t="n"/>
      <c r="Y364" s="11" t="n"/>
      <c r="Z364" s="12">
        <f>IF(T364="","",IFERROR(INDEX(DAFTAR_FIXTURE!$B$2:$B$51,MATCH(T364,DAFTAR_FIXTURE!$A$2:$A$51,0)),""))</f>
        <v/>
      </c>
      <c r="AA364" s="12">
        <f>IF(T364="","",IF(Z364="","CEK ID FIXTURE tidak ada di DAFTAR_FIXTURE",IF(U364="","CEK ZONA NO kosong",IF(ISNA(MATCH(Z364&amp;"|"&amp;U364,LAYOUT!$E$2:$E$80,0)),"CEK ZONA NO di luar layout",IF(V364&lt;&gt;INDEX(LAYOUT!$D$2:$D$80,MATCH(Z364&amp;"|"&amp;U364,LAYOUT!$E$2:$E$80,0)),"CEK JENIS ZONA",IF($D364="","Zona STOCK",IF($E364="","CEK SKU DESCRIPTION kosong",IF(AND(W364&lt;&gt;"",X364=""),"CEK URUTAN SAMBUNG kosong",IF(AND(W364&lt;&gt;"",LEFT(Z364,6)="Endcap"),"CEK Endcap tidak ikut sambung","OK")))))))))</f>
        <v/>
      </c>
      <c r="AB364" s="11" t="n"/>
      <c r="AC364" s="11" t="n"/>
      <c r="AD364" s="11" t="n"/>
      <c r="AE364" s="11" t="n"/>
      <c r="AF364" s="11" t="n"/>
      <c r="AG364" s="11" t="n"/>
      <c r="AH364" s="12">
        <f>IF(AB364="","",IFERROR(INDEX(DAFTAR_FIXTURE!$B$2:$B$51,MATCH(AB364,DAFTAR_FIXTURE!$A$2:$A$51,0)),""))</f>
        <v/>
      </c>
      <c r="AI364" s="12">
        <f>IF(AB364="","",IF(AH364="","CEK ID FIXTURE tidak ada di DAFTAR_FIXTURE",IF(AC364="","CEK ZONA NO kosong",IF(ISNA(MATCH(AH364&amp;"|"&amp;AC364,LAYOUT!$E$2:$E$80,0)),"CEK ZONA NO di luar layout",IF(AD364&lt;&gt;INDEX(LAYOUT!$D$2:$D$80,MATCH(AH364&amp;"|"&amp;AC364,LAYOUT!$E$2:$E$80,0)),"CEK JENIS ZONA",IF($D364="","Zona STOCK",IF($E364="","CEK SKU DESCRIPTION kosong",IF(AND(AE364&lt;&gt;"",AF364=""),"CEK URUTAN SAMBUNG kosong",IF(AND(AE364&lt;&gt;"",LEFT(AH364,6)="Endcap"),"CEK Endcap tidak ikut sambung","OK")))))))))</f>
        <v/>
      </c>
    </row>
    <row r="365">
      <c r="A365" s="10" t="n"/>
      <c r="B365" s="10" t="n"/>
      <c r="C365" s="10" t="n"/>
      <c r="D365" s="10" t="n"/>
      <c r="E365" s="10" t="n"/>
      <c r="F365" s="10" t="n"/>
      <c r="G365" s="10" t="n"/>
      <c r="H365" s="10" t="n"/>
      <c r="I365" s="10" t="n"/>
      <c r="J365" s="10" t="n"/>
      <c r="K365" s="10" t="n"/>
      <c r="L365" s="11" t="n"/>
      <c r="M365" s="11" t="n"/>
      <c r="N365" s="11" t="n"/>
      <c r="O365" s="11" t="n"/>
      <c r="P365" s="11" t="n"/>
      <c r="Q365" s="11" t="n"/>
      <c r="R365" s="12">
        <f>IF(L365="","",IFERROR(INDEX(DAFTAR_FIXTURE!$B$2:$B$51,MATCH(L365,DAFTAR_FIXTURE!$A$2:$A$51,0)),""))</f>
        <v/>
      </c>
      <c r="S365" s="12">
        <f>IF(AND($D365="",L365=""),"",IF(L365="",IF(AND(T365="",AB365=""),"Belum ditempatkan",""),IF(R365="","CEK ID FIXTURE tidak ada di DAFTAR_FIXTURE",IF(M365="","CEK ZONA NO kosong",IF(ISNA(MATCH(R365&amp;"|"&amp;M365,LAYOUT!$E$2:$E$80,0)),"CEK ZONA NO di luar layout",IF(N365&lt;&gt;INDEX(LAYOUT!$D$2:$D$80,MATCH(R365&amp;"|"&amp;M365,LAYOUT!$E$2:$E$80,0)),"CEK JENIS ZONA",IF($D365="","Zona STOCK",IF($E365="","CEK SKU DESCRIPTION kosong",IF(AND(O365&lt;&gt;"",P365=""),"CEK URUTAN SAMBUNG kosong",IF(AND(O365&lt;&gt;"",LEFT(R365,6)="Endcap"),"CEK Endcap tidak ikut sambung","OK"))))))))))</f>
        <v/>
      </c>
      <c r="T365" s="11" t="n"/>
      <c r="U365" s="11" t="n"/>
      <c r="V365" s="11" t="n"/>
      <c r="W365" s="11" t="n"/>
      <c r="X365" s="11" t="n"/>
      <c r="Y365" s="11" t="n"/>
      <c r="Z365" s="12">
        <f>IF(T365="","",IFERROR(INDEX(DAFTAR_FIXTURE!$B$2:$B$51,MATCH(T365,DAFTAR_FIXTURE!$A$2:$A$51,0)),""))</f>
        <v/>
      </c>
      <c r="AA365" s="12">
        <f>IF(T365="","",IF(Z365="","CEK ID FIXTURE tidak ada di DAFTAR_FIXTURE",IF(U365="","CEK ZONA NO kosong",IF(ISNA(MATCH(Z365&amp;"|"&amp;U365,LAYOUT!$E$2:$E$80,0)),"CEK ZONA NO di luar layout",IF(V365&lt;&gt;INDEX(LAYOUT!$D$2:$D$80,MATCH(Z365&amp;"|"&amp;U365,LAYOUT!$E$2:$E$80,0)),"CEK JENIS ZONA",IF($D365="","Zona STOCK",IF($E365="","CEK SKU DESCRIPTION kosong",IF(AND(W365&lt;&gt;"",X365=""),"CEK URUTAN SAMBUNG kosong",IF(AND(W365&lt;&gt;"",LEFT(Z365,6)="Endcap"),"CEK Endcap tidak ikut sambung","OK")))))))))</f>
        <v/>
      </c>
      <c r="AB365" s="11" t="n"/>
      <c r="AC365" s="11" t="n"/>
      <c r="AD365" s="11" t="n"/>
      <c r="AE365" s="11" t="n"/>
      <c r="AF365" s="11" t="n"/>
      <c r="AG365" s="11" t="n"/>
      <c r="AH365" s="12">
        <f>IF(AB365="","",IFERROR(INDEX(DAFTAR_FIXTURE!$B$2:$B$51,MATCH(AB365,DAFTAR_FIXTURE!$A$2:$A$51,0)),""))</f>
        <v/>
      </c>
      <c r="AI365" s="12">
        <f>IF(AB365="","",IF(AH365="","CEK ID FIXTURE tidak ada di DAFTAR_FIXTURE",IF(AC365="","CEK ZONA NO kosong",IF(ISNA(MATCH(AH365&amp;"|"&amp;AC365,LAYOUT!$E$2:$E$80,0)),"CEK ZONA NO di luar layout",IF(AD365&lt;&gt;INDEX(LAYOUT!$D$2:$D$80,MATCH(AH365&amp;"|"&amp;AC365,LAYOUT!$E$2:$E$80,0)),"CEK JENIS ZONA",IF($D365="","Zona STOCK",IF($E365="","CEK SKU DESCRIPTION kosong",IF(AND(AE365&lt;&gt;"",AF365=""),"CEK URUTAN SAMBUNG kosong",IF(AND(AE365&lt;&gt;"",LEFT(AH365,6)="Endcap"),"CEK Endcap tidak ikut sambung","OK")))))))))</f>
        <v/>
      </c>
    </row>
    <row r="366">
      <c r="A366" s="10" t="n"/>
      <c r="B366" s="10" t="n"/>
      <c r="C366" s="10" t="n"/>
      <c r="D366" s="10" t="n"/>
      <c r="E366" s="10" t="n"/>
      <c r="F366" s="10" t="n"/>
      <c r="G366" s="10" t="n"/>
      <c r="H366" s="10" t="n"/>
      <c r="I366" s="10" t="n"/>
      <c r="J366" s="10" t="n"/>
      <c r="K366" s="10" t="n"/>
      <c r="L366" s="11" t="n"/>
      <c r="M366" s="11" t="n"/>
      <c r="N366" s="11" t="n"/>
      <c r="O366" s="11" t="n"/>
      <c r="P366" s="11" t="n"/>
      <c r="Q366" s="11" t="n"/>
      <c r="R366" s="12">
        <f>IF(L366="","",IFERROR(INDEX(DAFTAR_FIXTURE!$B$2:$B$51,MATCH(L366,DAFTAR_FIXTURE!$A$2:$A$51,0)),""))</f>
        <v/>
      </c>
      <c r="S366" s="12">
        <f>IF(AND($D366="",L366=""),"",IF(L366="",IF(AND(T366="",AB366=""),"Belum ditempatkan",""),IF(R366="","CEK ID FIXTURE tidak ada di DAFTAR_FIXTURE",IF(M366="","CEK ZONA NO kosong",IF(ISNA(MATCH(R366&amp;"|"&amp;M366,LAYOUT!$E$2:$E$80,0)),"CEK ZONA NO di luar layout",IF(N366&lt;&gt;INDEX(LAYOUT!$D$2:$D$80,MATCH(R366&amp;"|"&amp;M366,LAYOUT!$E$2:$E$80,0)),"CEK JENIS ZONA",IF($D366="","Zona STOCK",IF($E366="","CEK SKU DESCRIPTION kosong",IF(AND(O366&lt;&gt;"",P366=""),"CEK URUTAN SAMBUNG kosong",IF(AND(O366&lt;&gt;"",LEFT(R366,6)="Endcap"),"CEK Endcap tidak ikut sambung","OK"))))))))))</f>
        <v/>
      </c>
      <c r="T366" s="11" t="n"/>
      <c r="U366" s="11" t="n"/>
      <c r="V366" s="11" t="n"/>
      <c r="W366" s="11" t="n"/>
      <c r="X366" s="11" t="n"/>
      <c r="Y366" s="11" t="n"/>
      <c r="Z366" s="12">
        <f>IF(T366="","",IFERROR(INDEX(DAFTAR_FIXTURE!$B$2:$B$51,MATCH(T366,DAFTAR_FIXTURE!$A$2:$A$51,0)),""))</f>
        <v/>
      </c>
      <c r="AA366" s="12">
        <f>IF(T366="","",IF(Z366="","CEK ID FIXTURE tidak ada di DAFTAR_FIXTURE",IF(U366="","CEK ZONA NO kosong",IF(ISNA(MATCH(Z366&amp;"|"&amp;U366,LAYOUT!$E$2:$E$80,0)),"CEK ZONA NO di luar layout",IF(V366&lt;&gt;INDEX(LAYOUT!$D$2:$D$80,MATCH(Z366&amp;"|"&amp;U366,LAYOUT!$E$2:$E$80,0)),"CEK JENIS ZONA",IF($D366="","Zona STOCK",IF($E366="","CEK SKU DESCRIPTION kosong",IF(AND(W366&lt;&gt;"",X366=""),"CEK URUTAN SAMBUNG kosong",IF(AND(W366&lt;&gt;"",LEFT(Z366,6)="Endcap"),"CEK Endcap tidak ikut sambung","OK")))))))))</f>
        <v/>
      </c>
      <c r="AB366" s="11" t="n"/>
      <c r="AC366" s="11" t="n"/>
      <c r="AD366" s="11" t="n"/>
      <c r="AE366" s="11" t="n"/>
      <c r="AF366" s="11" t="n"/>
      <c r="AG366" s="11" t="n"/>
      <c r="AH366" s="12">
        <f>IF(AB366="","",IFERROR(INDEX(DAFTAR_FIXTURE!$B$2:$B$51,MATCH(AB366,DAFTAR_FIXTURE!$A$2:$A$51,0)),""))</f>
        <v/>
      </c>
      <c r="AI366" s="12">
        <f>IF(AB366="","",IF(AH366="","CEK ID FIXTURE tidak ada di DAFTAR_FIXTURE",IF(AC366="","CEK ZONA NO kosong",IF(ISNA(MATCH(AH366&amp;"|"&amp;AC366,LAYOUT!$E$2:$E$80,0)),"CEK ZONA NO di luar layout",IF(AD366&lt;&gt;INDEX(LAYOUT!$D$2:$D$80,MATCH(AH366&amp;"|"&amp;AC366,LAYOUT!$E$2:$E$80,0)),"CEK JENIS ZONA",IF($D366="","Zona STOCK",IF($E366="","CEK SKU DESCRIPTION kosong",IF(AND(AE366&lt;&gt;"",AF366=""),"CEK URUTAN SAMBUNG kosong",IF(AND(AE366&lt;&gt;"",LEFT(AH366,6)="Endcap"),"CEK Endcap tidak ikut sambung","OK")))))))))</f>
        <v/>
      </c>
    </row>
    <row r="367">
      <c r="A367" s="10" t="n"/>
      <c r="B367" s="10" t="n"/>
      <c r="C367" s="10" t="n"/>
      <c r="D367" s="10" t="n"/>
      <c r="E367" s="10" t="n"/>
      <c r="F367" s="10" t="n"/>
      <c r="G367" s="10" t="n"/>
      <c r="H367" s="10" t="n"/>
      <c r="I367" s="10" t="n"/>
      <c r="J367" s="10" t="n"/>
      <c r="K367" s="10" t="n"/>
      <c r="L367" s="11" t="n"/>
      <c r="M367" s="11" t="n"/>
      <c r="N367" s="11" t="n"/>
      <c r="O367" s="11" t="n"/>
      <c r="P367" s="11" t="n"/>
      <c r="Q367" s="11" t="n"/>
      <c r="R367" s="12">
        <f>IF(L367="","",IFERROR(INDEX(DAFTAR_FIXTURE!$B$2:$B$51,MATCH(L367,DAFTAR_FIXTURE!$A$2:$A$51,0)),""))</f>
        <v/>
      </c>
      <c r="S367" s="12">
        <f>IF(AND($D367="",L367=""),"",IF(L367="",IF(AND(T367="",AB367=""),"Belum ditempatkan",""),IF(R367="","CEK ID FIXTURE tidak ada di DAFTAR_FIXTURE",IF(M367="","CEK ZONA NO kosong",IF(ISNA(MATCH(R367&amp;"|"&amp;M367,LAYOUT!$E$2:$E$80,0)),"CEK ZONA NO di luar layout",IF(N367&lt;&gt;INDEX(LAYOUT!$D$2:$D$80,MATCH(R367&amp;"|"&amp;M367,LAYOUT!$E$2:$E$80,0)),"CEK JENIS ZONA",IF($D367="","Zona STOCK",IF($E367="","CEK SKU DESCRIPTION kosong",IF(AND(O367&lt;&gt;"",P367=""),"CEK URUTAN SAMBUNG kosong",IF(AND(O367&lt;&gt;"",LEFT(R367,6)="Endcap"),"CEK Endcap tidak ikut sambung","OK"))))))))))</f>
        <v/>
      </c>
      <c r="T367" s="11" t="n"/>
      <c r="U367" s="11" t="n"/>
      <c r="V367" s="11" t="n"/>
      <c r="W367" s="11" t="n"/>
      <c r="X367" s="11" t="n"/>
      <c r="Y367" s="11" t="n"/>
      <c r="Z367" s="12">
        <f>IF(T367="","",IFERROR(INDEX(DAFTAR_FIXTURE!$B$2:$B$51,MATCH(T367,DAFTAR_FIXTURE!$A$2:$A$51,0)),""))</f>
        <v/>
      </c>
      <c r="AA367" s="12">
        <f>IF(T367="","",IF(Z367="","CEK ID FIXTURE tidak ada di DAFTAR_FIXTURE",IF(U367="","CEK ZONA NO kosong",IF(ISNA(MATCH(Z367&amp;"|"&amp;U367,LAYOUT!$E$2:$E$80,0)),"CEK ZONA NO di luar layout",IF(V367&lt;&gt;INDEX(LAYOUT!$D$2:$D$80,MATCH(Z367&amp;"|"&amp;U367,LAYOUT!$E$2:$E$80,0)),"CEK JENIS ZONA",IF($D367="","Zona STOCK",IF($E367="","CEK SKU DESCRIPTION kosong",IF(AND(W367&lt;&gt;"",X367=""),"CEK URUTAN SAMBUNG kosong",IF(AND(W367&lt;&gt;"",LEFT(Z367,6)="Endcap"),"CEK Endcap tidak ikut sambung","OK")))))))))</f>
        <v/>
      </c>
      <c r="AB367" s="11" t="n"/>
      <c r="AC367" s="11" t="n"/>
      <c r="AD367" s="11" t="n"/>
      <c r="AE367" s="11" t="n"/>
      <c r="AF367" s="11" t="n"/>
      <c r="AG367" s="11" t="n"/>
      <c r="AH367" s="12">
        <f>IF(AB367="","",IFERROR(INDEX(DAFTAR_FIXTURE!$B$2:$B$51,MATCH(AB367,DAFTAR_FIXTURE!$A$2:$A$51,0)),""))</f>
        <v/>
      </c>
      <c r="AI367" s="12">
        <f>IF(AB367="","",IF(AH367="","CEK ID FIXTURE tidak ada di DAFTAR_FIXTURE",IF(AC367="","CEK ZONA NO kosong",IF(ISNA(MATCH(AH367&amp;"|"&amp;AC367,LAYOUT!$E$2:$E$80,0)),"CEK ZONA NO di luar layout",IF(AD367&lt;&gt;INDEX(LAYOUT!$D$2:$D$80,MATCH(AH367&amp;"|"&amp;AC367,LAYOUT!$E$2:$E$80,0)),"CEK JENIS ZONA",IF($D367="","Zona STOCK",IF($E367="","CEK SKU DESCRIPTION kosong",IF(AND(AE367&lt;&gt;"",AF367=""),"CEK URUTAN SAMBUNG kosong",IF(AND(AE367&lt;&gt;"",LEFT(AH367,6)="Endcap"),"CEK Endcap tidak ikut sambung","OK")))))))))</f>
        <v/>
      </c>
    </row>
    <row r="368">
      <c r="A368" s="10" t="n"/>
      <c r="B368" s="10" t="n"/>
      <c r="C368" s="10" t="n"/>
      <c r="D368" s="10" t="n"/>
      <c r="E368" s="10" t="n"/>
      <c r="F368" s="10" t="n"/>
      <c r="G368" s="10" t="n"/>
      <c r="H368" s="10" t="n"/>
      <c r="I368" s="10" t="n"/>
      <c r="J368" s="10" t="n"/>
      <c r="K368" s="10" t="n"/>
      <c r="L368" s="11" t="n"/>
      <c r="M368" s="11" t="n"/>
      <c r="N368" s="11" t="n"/>
      <c r="O368" s="11" t="n"/>
      <c r="P368" s="11" t="n"/>
      <c r="Q368" s="11" t="n"/>
      <c r="R368" s="12">
        <f>IF(L368="","",IFERROR(INDEX(DAFTAR_FIXTURE!$B$2:$B$51,MATCH(L368,DAFTAR_FIXTURE!$A$2:$A$51,0)),""))</f>
        <v/>
      </c>
      <c r="S368" s="12">
        <f>IF(AND($D368="",L368=""),"",IF(L368="",IF(AND(T368="",AB368=""),"Belum ditempatkan",""),IF(R368="","CEK ID FIXTURE tidak ada di DAFTAR_FIXTURE",IF(M368="","CEK ZONA NO kosong",IF(ISNA(MATCH(R368&amp;"|"&amp;M368,LAYOUT!$E$2:$E$80,0)),"CEK ZONA NO di luar layout",IF(N368&lt;&gt;INDEX(LAYOUT!$D$2:$D$80,MATCH(R368&amp;"|"&amp;M368,LAYOUT!$E$2:$E$80,0)),"CEK JENIS ZONA",IF($D368="","Zona STOCK",IF($E368="","CEK SKU DESCRIPTION kosong",IF(AND(O368&lt;&gt;"",P368=""),"CEK URUTAN SAMBUNG kosong",IF(AND(O368&lt;&gt;"",LEFT(R368,6)="Endcap"),"CEK Endcap tidak ikut sambung","OK"))))))))))</f>
        <v/>
      </c>
      <c r="T368" s="11" t="n"/>
      <c r="U368" s="11" t="n"/>
      <c r="V368" s="11" t="n"/>
      <c r="W368" s="11" t="n"/>
      <c r="X368" s="11" t="n"/>
      <c r="Y368" s="11" t="n"/>
      <c r="Z368" s="12">
        <f>IF(T368="","",IFERROR(INDEX(DAFTAR_FIXTURE!$B$2:$B$51,MATCH(T368,DAFTAR_FIXTURE!$A$2:$A$51,0)),""))</f>
        <v/>
      </c>
      <c r="AA368" s="12">
        <f>IF(T368="","",IF(Z368="","CEK ID FIXTURE tidak ada di DAFTAR_FIXTURE",IF(U368="","CEK ZONA NO kosong",IF(ISNA(MATCH(Z368&amp;"|"&amp;U368,LAYOUT!$E$2:$E$80,0)),"CEK ZONA NO di luar layout",IF(V368&lt;&gt;INDEX(LAYOUT!$D$2:$D$80,MATCH(Z368&amp;"|"&amp;U368,LAYOUT!$E$2:$E$80,0)),"CEK JENIS ZONA",IF($D368="","Zona STOCK",IF($E368="","CEK SKU DESCRIPTION kosong",IF(AND(W368&lt;&gt;"",X368=""),"CEK URUTAN SAMBUNG kosong",IF(AND(W368&lt;&gt;"",LEFT(Z368,6)="Endcap"),"CEK Endcap tidak ikut sambung","OK")))))))))</f>
        <v/>
      </c>
      <c r="AB368" s="11" t="n"/>
      <c r="AC368" s="11" t="n"/>
      <c r="AD368" s="11" t="n"/>
      <c r="AE368" s="11" t="n"/>
      <c r="AF368" s="11" t="n"/>
      <c r="AG368" s="11" t="n"/>
      <c r="AH368" s="12">
        <f>IF(AB368="","",IFERROR(INDEX(DAFTAR_FIXTURE!$B$2:$B$51,MATCH(AB368,DAFTAR_FIXTURE!$A$2:$A$51,0)),""))</f>
        <v/>
      </c>
      <c r="AI368" s="12">
        <f>IF(AB368="","",IF(AH368="","CEK ID FIXTURE tidak ada di DAFTAR_FIXTURE",IF(AC368="","CEK ZONA NO kosong",IF(ISNA(MATCH(AH368&amp;"|"&amp;AC368,LAYOUT!$E$2:$E$80,0)),"CEK ZONA NO di luar layout",IF(AD368&lt;&gt;INDEX(LAYOUT!$D$2:$D$80,MATCH(AH368&amp;"|"&amp;AC368,LAYOUT!$E$2:$E$80,0)),"CEK JENIS ZONA",IF($D368="","Zona STOCK",IF($E368="","CEK SKU DESCRIPTION kosong",IF(AND(AE368&lt;&gt;"",AF368=""),"CEK URUTAN SAMBUNG kosong",IF(AND(AE368&lt;&gt;"",LEFT(AH368,6)="Endcap"),"CEK Endcap tidak ikut sambung","OK")))))))))</f>
        <v/>
      </c>
    </row>
    <row r="369">
      <c r="A369" s="10" t="n"/>
      <c r="B369" s="10" t="n"/>
      <c r="C369" s="10" t="n"/>
      <c r="D369" s="10" t="n"/>
      <c r="E369" s="10" t="n"/>
      <c r="F369" s="10" t="n"/>
      <c r="G369" s="10" t="n"/>
      <c r="H369" s="10" t="n"/>
      <c r="I369" s="10" t="n"/>
      <c r="J369" s="10" t="n"/>
      <c r="K369" s="10" t="n"/>
      <c r="L369" s="11" t="n"/>
      <c r="M369" s="11" t="n"/>
      <c r="N369" s="11" t="n"/>
      <c r="O369" s="11" t="n"/>
      <c r="P369" s="11" t="n"/>
      <c r="Q369" s="11" t="n"/>
      <c r="R369" s="12">
        <f>IF(L369="","",IFERROR(INDEX(DAFTAR_FIXTURE!$B$2:$B$51,MATCH(L369,DAFTAR_FIXTURE!$A$2:$A$51,0)),""))</f>
        <v/>
      </c>
      <c r="S369" s="12">
        <f>IF(AND($D369="",L369=""),"",IF(L369="",IF(AND(T369="",AB369=""),"Belum ditempatkan",""),IF(R369="","CEK ID FIXTURE tidak ada di DAFTAR_FIXTURE",IF(M369="","CEK ZONA NO kosong",IF(ISNA(MATCH(R369&amp;"|"&amp;M369,LAYOUT!$E$2:$E$80,0)),"CEK ZONA NO di luar layout",IF(N369&lt;&gt;INDEX(LAYOUT!$D$2:$D$80,MATCH(R369&amp;"|"&amp;M369,LAYOUT!$E$2:$E$80,0)),"CEK JENIS ZONA",IF($D369="","Zona STOCK",IF($E369="","CEK SKU DESCRIPTION kosong",IF(AND(O369&lt;&gt;"",P369=""),"CEK URUTAN SAMBUNG kosong",IF(AND(O369&lt;&gt;"",LEFT(R369,6)="Endcap"),"CEK Endcap tidak ikut sambung","OK"))))))))))</f>
        <v/>
      </c>
      <c r="T369" s="11" t="n"/>
      <c r="U369" s="11" t="n"/>
      <c r="V369" s="11" t="n"/>
      <c r="W369" s="11" t="n"/>
      <c r="X369" s="11" t="n"/>
      <c r="Y369" s="11" t="n"/>
      <c r="Z369" s="12">
        <f>IF(T369="","",IFERROR(INDEX(DAFTAR_FIXTURE!$B$2:$B$51,MATCH(T369,DAFTAR_FIXTURE!$A$2:$A$51,0)),""))</f>
        <v/>
      </c>
      <c r="AA369" s="12">
        <f>IF(T369="","",IF(Z369="","CEK ID FIXTURE tidak ada di DAFTAR_FIXTURE",IF(U369="","CEK ZONA NO kosong",IF(ISNA(MATCH(Z369&amp;"|"&amp;U369,LAYOUT!$E$2:$E$80,0)),"CEK ZONA NO di luar layout",IF(V369&lt;&gt;INDEX(LAYOUT!$D$2:$D$80,MATCH(Z369&amp;"|"&amp;U369,LAYOUT!$E$2:$E$80,0)),"CEK JENIS ZONA",IF($D369="","Zona STOCK",IF($E369="","CEK SKU DESCRIPTION kosong",IF(AND(W369&lt;&gt;"",X369=""),"CEK URUTAN SAMBUNG kosong",IF(AND(W369&lt;&gt;"",LEFT(Z369,6)="Endcap"),"CEK Endcap tidak ikut sambung","OK")))))))))</f>
        <v/>
      </c>
      <c r="AB369" s="11" t="n"/>
      <c r="AC369" s="11" t="n"/>
      <c r="AD369" s="11" t="n"/>
      <c r="AE369" s="11" t="n"/>
      <c r="AF369" s="11" t="n"/>
      <c r="AG369" s="11" t="n"/>
      <c r="AH369" s="12">
        <f>IF(AB369="","",IFERROR(INDEX(DAFTAR_FIXTURE!$B$2:$B$51,MATCH(AB369,DAFTAR_FIXTURE!$A$2:$A$51,0)),""))</f>
        <v/>
      </c>
      <c r="AI369" s="12">
        <f>IF(AB369="","",IF(AH369="","CEK ID FIXTURE tidak ada di DAFTAR_FIXTURE",IF(AC369="","CEK ZONA NO kosong",IF(ISNA(MATCH(AH369&amp;"|"&amp;AC369,LAYOUT!$E$2:$E$80,0)),"CEK ZONA NO di luar layout",IF(AD369&lt;&gt;INDEX(LAYOUT!$D$2:$D$80,MATCH(AH369&amp;"|"&amp;AC369,LAYOUT!$E$2:$E$80,0)),"CEK JENIS ZONA",IF($D369="","Zona STOCK",IF($E369="","CEK SKU DESCRIPTION kosong",IF(AND(AE369&lt;&gt;"",AF369=""),"CEK URUTAN SAMBUNG kosong",IF(AND(AE369&lt;&gt;"",LEFT(AH369,6)="Endcap"),"CEK Endcap tidak ikut sambung","OK")))))))))</f>
        <v/>
      </c>
    </row>
    <row r="370">
      <c r="A370" s="10" t="n"/>
      <c r="B370" s="10" t="n"/>
      <c r="C370" s="10" t="n"/>
      <c r="D370" s="10" t="n"/>
      <c r="E370" s="10" t="n"/>
      <c r="F370" s="10" t="n"/>
      <c r="G370" s="10" t="n"/>
      <c r="H370" s="10" t="n"/>
      <c r="I370" s="10" t="n"/>
      <c r="J370" s="10" t="n"/>
      <c r="K370" s="10" t="n"/>
      <c r="L370" s="11" t="n"/>
      <c r="M370" s="11" t="n"/>
      <c r="N370" s="11" t="n"/>
      <c r="O370" s="11" t="n"/>
      <c r="P370" s="11" t="n"/>
      <c r="Q370" s="11" t="n"/>
      <c r="R370" s="12">
        <f>IF(L370="","",IFERROR(INDEX(DAFTAR_FIXTURE!$B$2:$B$51,MATCH(L370,DAFTAR_FIXTURE!$A$2:$A$51,0)),""))</f>
        <v/>
      </c>
      <c r="S370" s="12">
        <f>IF(AND($D370="",L370=""),"",IF(L370="",IF(AND(T370="",AB370=""),"Belum ditempatkan",""),IF(R370="","CEK ID FIXTURE tidak ada di DAFTAR_FIXTURE",IF(M370="","CEK ZONA NO kosong",IF(ISNA(MATCH(R370&amp;"|"&amp;M370,LAYOUT!$E$2:$E$80,0)),"CEK ZONA NO di luar layout",IF(N370&lt;&gt;INDEX(LAYOUT!$D$2:$D$80,MATCH(R370&amp;"|"&amp;M370,LAYOUT!$E$2:$E$80,0)),"CEK JENIS ZONA",IF($D370="","Zona STOCK",IF($E370="","CEK SKU DESCRIPTION kosong",IF(AND(O370&lt;&gt;"",P370=""),"CEK URUTAN SAMBUNG kosong",IF(AND(O370&lt;&gt;"",LEFT(R370,6)="Endcap"),"CEK Endcap tidak ikut sambung","OK"))))))))))</f>
        <v/>
      </c>
      <c r="T370" s="11" t="n"/>
      <c r="U370" s="11" t="n"/>
      <c r="V370" s="11" t="n"/>
      <c r="W370" s="11" t="n"/>
      <c r="X370" s="11" t="n"/>
      <c r="Y370" s="11" t="n"/>
      <c r="Z370" s="12">
        <f>IF(T370="","",IFERROR(INDEX(DAFTAR_FIXTURE!$B$2:$B$51,MATCH(T370,DAFTAR_FIXTURE!$A$2:$A$51,0)),""))</f>
        <v/>
      </c>
      <c r="AA370" s="12">
        <f>IF(T370="","",IF(Z370="","CEK ID FIXTURE tidak ada di DAFTAR_FIXTURE",IF(U370="","CEK ZONA NO kosong",IF(ISNA(MATCH(Z370&amp;"|"&amp;U370,LAYOUT!$E$2:$E$80,0)),"CEK ZONA NO di luar layout",IF(V370&lt;&gt;INDEX(LAYOUT!$D$2:$D$80,MATCH(Z370&amp;"|"&amp;U370,LAYOUT!$E$2:$E$80,0)),"CEK JENIS ZONA",IF($D370="","Zona STOCK",IF($E370="","CEK SKU DESCRIPTION kosong",IF(AND(W370&lt;&gt;"",X370=""),"CEK URUTAN SAMBUNG kosong",IF(AND(W370&lt;&gt;"",LEFT(Z370,6)="Endcap"),"CEK Endcap tidak ikut sambung","OK")))))))))</f>
        <v/>
      </c>
      <c r="AB370" s="11" t="n"/>
      <c r="AC370" s="11" t="n"/>
      <c r="AD370" s="11" t="n"/>
      <c r="AE370" s="11" t="n"/>
      <c r="AF370" s="11" t="n"/>
      <c r="AG370" s="11" t="n"/>
      <c r="AH370" s="12">
        <f>IF(AB370="","",IFERROR(INDEX(DAFTAR_FIXTURE!$B$2:$B$51,MATCH(AB370,DAFTAR_FIXTURE!$A$2:$A$51,0)),""))</f>
        <v/>
      </c>
      <c r="AI370" s="12">
        <f>IF(AB370="","",IF(AH370="","CEK ID FIXTURE tidak ada di DAFTAR_FIXTURE",IF(AC370="","CEK ZONA NO kosong",IF(ISNA(MATCH(AH370&amp;"|"&amp;AC370,LAYOUT!$E$2:$E$80,0)),"CEK ZONA NO di luar layout",IF(AD370&lt;&gt;INDEX(LAYOUT!$D$2:$D$80,MATCH(AH370&amp;"|"&amp;AC370,LAYOUT!$E$2:$E$80,0)),"CEK JENIS ZONA",IF($D370="","Zona STOCK",IF($E370="","CEK SKU DESCRIPTION kosong",IF(AND(AE370&lt;&gt;"",AF370=""),"CEK URUTAN SAMBUNG kosong",IF(AND(AE370&lt;&gt;"",LEFT(AH370,6)="Endcap"),"CEK Endcap tidak ikut sambung","OK")))))))))</f>
        <v/>
      </c>
    </row>
    <row r="371">
      <c r="A371" s="10" t="n"/>
      <c r="B371" s="10" t="n"/>
      <c r="C371" s="10" t="n"/>
      <c r="D371" s="10" t="n"/>
      <c r="E371" s="10" t="n"/>
      <c r="F371" s="10" t="n"/>
      <c r="G371" s="10" t="n"/>
      <c r="H371" s="10" t="n"/>
      <c r="I371" s="10" t="n"/>
      <c r="J371" s="10" t="n"/>
      <c r="K371" s="10" t="n"/>
      <c r="L371" s="11" t="n"/>
      <c r="M371" s="11" t="n"/>
      <c r="N371" s="11" t="n"/>
      <c r="O371" s="11" t="n"/>
      <c r="P371" s="11" t="n"/>
      <c r="Q371" s="11" t="n"/>
      <c r="R371" s="12">
        <f>IF(L371="","",IFERROR(INDEX(DAFTAR_FIXTURE!$B$2:$B$51,MATCH(L371,DAFTAR_FIXTURE!$A$2:$A$51,0)),""))</f>
        <v/>
      </c>
      <c r="S371" s="12">
        <f>IF(AND($D371="",L371=""),"",IF(L371="",IF(AND(T371="",AB371=""),"Belum ditempatkan",""),IF(R371="","CEK ID FIXTURE tidak ada di DAFTAR_FIXTURE",IF(M371="","CEK ZONA NO kosong",IF(ISNA(MATCH(R371&amp;"|"&amp;M371,LAYOUT!$E$2:$E$80,0)),"CEK ZONA NO di luar layout",IF(N371&lt;&gt;INDEX(LAYOUT!$D$2:$D$80,MATCH(R371&amp;"|"&amp;M371,LAYOUT!$E$2:$E$80,0)),"CEK JENIS ZONA",IF($D371="","Zona STOCK",IF($E371="","CEK SKU DESCRIPTION kosong",IF(AND(O371&lt;&gt;"",P371=""),"CEK URUTAN SAMBUNG kosong",IF(AND(O371&lt;&gt;"",LEFT(R371,6)="Endcap"),"CEK Endcap tidak ikut sambung","OK"))))))))))</f>
        <v/>
      </c>
      <c r="T371" s="11" t="n"/>
      <c r="U371" s="11" t="n"/>
      <c r="V371" s="11" t="n"/>
      <c r="W371" s="11" t="n"/>
      <c r="X371" s="11" t="n"/>
      <c r="Y371" s="11" t="n"/>
      <c r="Z371" s="12">
        <f>IF(T371="","",IFERROR(INDEX(DAFTAR_FIXTURE!$B$2:$B$51,MATCH(T371,DAFTAR_FIXTURE!$A$2:$A$51,0)),""))</f>
        <v/>
      </c>
      <c r="AA371" s="12">
        <f>IF(T371="","",IF(Z371="","CEK ID FIXTURE tidak ada di DAFTAR_FIXTURE",IF(U371="","CEK ZONA NO kosong",IF(ISNA(MATCH(Z371&amp;"|"&amp;U371,LAYOUT!$E$2:$E$80,0)),"CEK ZONA NO di luar layout",IF(V371&lt;&gt;INDEX(LAYOUT!$D$2:$D$80,MATCH(Z371&amp;"|"&amp;U371,LAYOUT!$E$2:$E$80,0)),"CEK JENIS ZONA",IF($D371="","Zona STOCK",IF($E371="","CEK SKU DESCRIPTION kosong",IF(AND(W371&lt;&gt;"",X371=""),"CEK URUTAN SAMBUNG kosong",IF(AND(W371&lt;&gt;"",LEFT(Z371,6)="Endcap"),"CEK Endcap tidak ikut sambung","OK")))))))))</f>
        <v/>
      </c>
      <c r="AB371" s="11" t="n"/>
      <c r="AC371" s="11" t="n"/>
      <c r="AD371" s="11" t="n"/>
      <c r="AE371" s="11" t="n"/>
      <c r="AF371" s="11" t="n"/>
      <c r="AG371" s="11" t="n"/>
      <c r="AH371" s="12">
        <f>IF(AB371="","",IFERROR(INDEX(DAFTAR_FIXTURE!$B$2:$B$51,MATCH(AB371,DAFTAR_FIXTURE!$A$2:$A$51,0)),""))</f>
        <v/>
      </c>
      <c r="AI371" s="12">
        <f>IF(AB371="","",IF(AH371="","CEK ID FIXTURE tidak ada di DAFTAR_FIXTURE",IF(AC371="","CEK ZONA NO kosong",IF(ISNA(MATCH(AH371&amp;"|"&amp;AC371,LAYOUT!$E$2:$E$80,0)),"CEK ZONA NO di luar layout",IF(AD371&lt;&gt;INDEX(LAYOUT!$D$2:$D$80,MATCH(AH371&amp;"|"&amp;AC371,LAYOUT!$E$2:$E$80,0)),"CEK JENIS ZONA",IF($D371="","Zona STOCK",IF($E371="","CEK SKU DESCRIPTION kosong",IF(AND(AE371&lt;&gt;"",AF371=""),"CEK URUTAN SAMBUNG kosong",IF(AND(AE371&lt;&gt;"",LEFT(AH371,6)="Endcap"),"CEK Endcap tidak ikut sambung","OK")))))))))</f>
        <v/>
      </c>
    </row>
    <row r="372">
      <c r="A372" s="10" t="n"/>
      <c r="B372" s="10" t="n"/>
      <c r="C372" s="10" t="n"/>
      <c r="D372" s="10" t="n"/>
      <c r="E372" s="10" t="n"/>
      <c r="F372" s="10" t="n"/>
      <c r="G372" s="10" t="n"/>
      <c r="H372" s="10" t="n"/>
      <c r="I372" s="10" t="n"/>
      <c r="J372" s="10" t="n"/>
      <c r="K372" s="10" t="n"/>
      <c r="L372" s="11" t="n"/>
      <c r="M372" s="11" t="n"/>
      <c r="N372" s="11" t="n"/>
      <c r="O372" s="11" t="n"/>
      <c r="P372" s="11" t="n"/>
      <c r="Q372" s="11" t="n"/>
      <c r="R372" s="12">
        <f>IF(L372="","",IFERROR(INDEX(DAFTAR_FIXTURE!$B$2:$B$51,MATCH(L372,DAFTAR_FIXTURE!$A$2:$A$51,0)),""))</f>
        <v/>
      </c>
      <c r="S372" s="12">
        <f>IF(AND($D372="",L372=""),"",IF(L372="",IF(AND(T372="",AB372=""),"Belum ditempatkan",""),IF(R372="","CEK ID FIXTURE tidak ada di DAFTAR_FIXTURE",IF(M372="","CEK ZONA NO kosong",IF(ISNA(MATCH(R372&amp;"|"&amp;M372,LAYOUT!$E$2:$E$80,0)),"CEK ZONA NO di luar layout",IF(N372&lt;&gt;INDEX(LAYOUT!$D$2:$D$80,MATCH(R372&amp;"|"&amp;M372,LAYOUT!$E$2:$E$80,0)),"CEK JENIS ZONA",IF($D372="","Zona STOCK",IF($E372="","CEK SKU DESCRIPTION kosong",IF(AND(O372&lt;&gt;"",P372=""),"CEK URUTAN SAMBUNG kosong",IF(AND(O372&lt;&gt;"",LEFT(R372,6)="Endcap"),"CEK Endcap tidak ikut sambung","OK"))))))))))</f>
        <v/>
      </c>
      <c r="T372" s="11" t="n"/>
      <c r="U372" s="11" t="n"/>
      <c r="V372" s="11" t="n"/>
      <c r="W372" s="11" t="n"/>
      <c r="X372" s="11" t="n"/>
      <c r="Y372" s="11" t="n"/>
      <c r="Z372" s="12">
        <f>IF(T372="","",IFERROR(INDEX(DAFTAR_FIXTURE!$B$2:$B$51,MATCH(T372,DAFTAR_FIXTURE!$A$2:$A$51,0)),""))</f>
        <v/>
      </c>
      <c r="AA372" s="12">
        <f>IF(T372="","",IF(Z372="","CEK ID FIXTURE tidak ada di DAFTAR_FIXTURE",IF(U372="","CEK ZONA NO kosong",IF(ISNA(MATCH(Z372&amp;"|"&amp;U372,LAYOUT!$E$2:$E$80,0)),"CEK ZONA NO di luar layout",IF(V372&lt;&gt;INDEX(LAYOUT!$D$2:$D$80,MATCH(Z372&amp;"|"&amp;U372,LAYOUT!$E$2:$E$80,0)),"CEK JENIS ZONA",IF($D372="","Zona STOCK",IF($E372="","CEK SKU DESCRIPTION kosong",IF(AND(W372&lt;&gt;"",X372=""),"CEK URUTAN SAMBUNG kosong",IF(AND(W372&lt;&gt;"",LEFT(Z372,6)="Endcap"),"CEK Endcap tidak ikut sambung","OK")))))))))</f>
        <v/>
      </c>
      <c r="AB372" s="11" t="n"/>
      <c r="AC372" s="11" t="n"/>
      <c r="AD372" s="11" t="n"/>
      <c r="AE372" s="11" t="n"/>
      <c r="AF372" s="11" t="n"/>
      <c r="AG372" s="11" t="n"/>
      <c r="AH372" s="12">
        <f>IF(AB372="","",IFERROR(INDEX(DAFTAR_FIXTURE!$B$2:$B$51,MATCH(AB372,DAFTAR_FIXTURE!$A$2:$A$51,0)),""))</f>
        <v/>
      </c>
      <c r="AI372" s="12">
        <f>IF(AB372="","",IF(AH372="","CEK ID FIXTURE tidak ada di DAFTAR_FIXTURE",IF(AC372="","CEK ZONA NO kosong",IF(ISNA(MATCH(AH372&amp;"|"&amp;AC372,LAYOUT!$E$2:$E$80,0)),"CEK ZONA NO di luar layout",IF(AD372&lt;&gt;INDEX(LAYOUT!$D$2:$D$80,MATCH(AH372&amp;"|"&amp;AC372,LAYOUT!$E$2:$E$80,0)),"CEK JENIS ZONA",IF($D372="","Zona STOCK",IF($E372="","CEK SKU DESCRIPTION kosong",IF(AND(AE372&lt;&gt;"",AF372=""),"CEK URUTAN SAMBUNG kosong",IF(AND(AE372&lt;&gt;"",LEFT(AH372,6)="Endcap"),"CEK Endcap tidak ikut sambung","OK")))))))))</f>
        <v/>
      </c>
    </row>
    <row r="373">
      <c r="A373" s="10" t="n"/>
      <c r="B373" s="10" t="n"/>
      <c r="C373" s="10" t="n"/>
      <c r="D373" s="10" t="n"/>
      <c r="E373" s="10" t="n"/>
      <c r="F373" s="10" t="n"/>
      <c r="G373" s="10" t="n"/>
      <c r="H373" s="10" t="n"/>
      <c r="I373" s="10" t="n"/>
      <c r="J373" s="10" t="n"/>
      <c r="K373" s="10" t="n"/>
      <c r="L373" s="11" t="n"/>
      <c r="M373" s="11" t="n"/>
      <c r="N373" s="11" t="n"/>
      <c r="O373" s="11" t="n"/>
      <c r="P373" s="11" t="n"/>
      <c r="Q373" s="11" t="n"/>
      <c r="R373" s="12">
        <f>IF(L373="","",IFERROR(INDEX(DAFTAR_FIXTURE!$B$2:$B$51,MATCH(L373,DAFTAR_FIXTURE!$A$2:$A$51,0)),""))</f>
        <v/>
      </c>
      <c r="S373" s="12">
        <f>IF(AND($D373="",L373=""),"",IF(L373="",IF(AND(T373="",AB373=""),"Belum ditempatkan",""),IF(R373="","CEK ID FIXTURE tidak ada di DAFTAR_FIXTURE",IF(M373="","CEK ZONA NO kosong",IF(ISNA(MATCH(R373&amp;"|"&amp;M373,LAYOUT!$E$2:$E$80,0)),"CEK ZONA NO di luar layout",IF(N373&lt;&gt;INDEX(LAYOUT!$D$2:$D$80,MATCH(R373&amp;"|"&amp;M373,LAYOUT!$E$2:$E$80,0)),"CEK JENIS ZONA",IF($D373="","Zona STOCK",IF($E373="","CEK SKU DESCRIPTION kosong",IF(AND(O373&lt;&gt;"",P373=""),"CEK URUTAN SAMBUNG kosong",IF(AND(O373&lt;&gt;"",LEFT(R373,6)="Endcap"),"CEK Endcap tidak ikut sambung","OK"))))))))))</f>
        <v/>
      </c>
      <c r="T373" s="11" t="n"/>
      <c r="U373" s="11" t="n"/>
      <c r="V373" s="11" t="n"/>
      <c r="W373" s="11" t="n"/>
      <c r="X373" s="11" t="n"/>
      <c r="Y373" s="11" t="n"/>
      <c r="Z373" s="12">
        <f>IF(T373="","",IFERROR(INDEX(DAFTAR_FIXTURE!$B$2:$B$51,MATCH(T373,DAFTAR_FIXTURE!$A$2:$A$51,0)),""))</f>
        <v/>
      </c>
      <c r="AA373" s="12">
        <f>IF(T373="","",IF(Z373="","CEK ID FIXTURE tidak ada di DAFTAR_FIXTURE",IF(U373="","CEK ZONA NO kosong",IF(ISNA(MATCH(Z373&amp;"|"&amp;U373,LAYOUT!$E$2:$E$80,0)),"CEK ZONA NO di luar layout",IF(V373&lt;&gt;INDEX(LAYOUT!$D$2:$D$80,MATCH(Z373&amp;"|"&amp;U373,LAYOUT!$E$2:$E$80,0)),"CEK JENIS ZONA",IF($D373="","Zona STOCK",IF($E373="","CEK SKU DESCRIPTION kosong",IF(AND(W373&lt;&gt;"",X373=""),"CEK URUTAN SAMBUNG kosong",IF(AND(W373&lt;&gt;"",LEFT(Z373,6)="Endcap"),"CEK Endcap tidak ikut sambung","OK")))))))))</f>
        <v/>
      </c>
      <c r="AB373" s="11" t="n"/>
      <c r="AC373" s="11" t="n"/>
      <c r="AD373" s="11" t="n"/>
      <c r="AE373" s="11" t="n"/>
      <c r="AF373" s="11" t="n"/>
      <c r="AG373" s="11" t="n"/>
      <c r="AH373" s="12">
        <f>IF(AB373="","",IFERROR(INDEX(DAFTAR_FIXTURE!$B$2:$B$51,MATCH(AB373,DAFTAR_FIXTURE!$A$2:$A$51,0)),""))</f>
        <v/>
      </c>
      <c r="AI373" s="12">
        <f>IF(AB373="","",IF(AH373="","CEK ID FIXTURE tidak ada di DAFTAR_FIXTURE",IF(AC373="","CEK ZONA NO kosong",IF(ISNA(MATCH(AH373&amp;"|"&amp;AC373,LAYOUT!$E$2:$E$80,0)),"CEK ZONA NO di luar layout",IF(AD373&lt;&gt;INDEX(LAYOUT!$D$2:$D$80,MATCH(AH373&amp;"|"&amp;AC373,LAYOUT!$E$2:$E$80,0)),"CEK JENIS ZONA",IF($D373="","Zona STOCK",IF($E373="","CEK SKU DESCRIPTION kosong",IF(AND(AE373&lt;&gt;"",AF373=""),"CEK URUTAN SAMBUNG kosong",IF(AND(AE373&lt;&gt;"",LEFT(AH373,6)="Endcap"),"CEK Endcap tidak ikut sambung","OK")))))))))</f>
        <v/>
      </c>
    </row>
    <row r="374">
      <c r="A374" s="10" t="n"/>
      <c r="B374" s="10" t="n"/>
      <c r="C374" s="10" t="n"/>
      <c r="D374" s="10" t="n"/>
      <c r="E374" s="10" t="n"/>
      <c r="F374" s="10" t="n"/>
      <c r="G374" s="10" t="n"/>
      <c r="H374" s="10" t="n"/>
      <c r="I374" s="10" t="n"/>
      <c r="J374" s="10" t="n"/>
      <c r="K374" s="10" t="n"/>
      <c r="L374" s="11" t="n"/>
      <c r="M374" s="11" t="n"/>
      <c r="N374" s="11" t="n"/>
      <c r="O374" s="11" t="n"/>
      <c r="P374" s="11" t="n"/>
      <c r="Q374" s="11" t="n"/>
      <c r="R374" s="12">
        <f>IF(L374="","",IFERROR(INDEX(DAFTAR_FIXTURE!$B$2:$B$51,MATCH(L374,DAFTAR_FIXTURE!$A$2:$A$51,0)),""))</f>
        <v/>
      </c>
      <c r="S374" s="12">
        <f>IF(AND($D374="",L374=""),"",IF(L374="",IF(AND(T374="",AB374=""),"Belum ditempatkan",""),IF(R374="","CEK ID FIXTURE tidak ada di DAFTAR_FIXTURE",IF(M374="","CEK ZONA NO kosong",IF(ISNA(MATCH(R374&amp;"|"&amp;M374,LAYOUT!$E$2:$E$80,0)),"CEK ZONA NO di luar layout",IF(N374&lt;&gt;INDEX(LAYOUT!$D$2:$D$80,MATCH(R374&amp;"|"&amp;M374,LAYOUT!$E$2:$E$80,0)),"CEK JENIS ZONA",IF($D374="","Zona STOCK",IF($E374="","CEK SKU DESCRIPTION kosong",IF(AND(O374&lt;&gt;"",P374=""),"CEK URUTAN SAMBUNG kosong",IF(AND(O374&lt;&gt;"",LEFT(R374,6)="Endcap"),"CEK Endcap tidak ikut sambung","OK"))))))))))</f>
        <v/>
      </c>
      <c r="T374" s="11" t="n"/>
      <c r="U374" s="11" t="n"/>
      <c r="V374" s="11" t="n"/>
      <c r="W374" s="11" t="n"/>
      <c r="X374" s="11" t="n"/>
      <c r="Y374" s="11" t="n"/>
      <c r="Z374" s="12">
        <f>IF(T374="","",IFERROR(INDEX(DAFTAR_FIXTURE!$B$2:$B$51,MATCH(T374,DAFTAR_FIXTURE!$A$2:$A$51,0)),""))</f>
        <v/>
      </c>
      <c r="AA374" s="12">
        <f>IF(T374="","",IF(Z374="","CEK ID FIXTURE tidak ada di DAFTAR_FIXTURE",IF(U374="","CEK ZONA NO kosong",IF(ISNA(MATCH(Z374&amp;"|"&amp;U374,LAYOUT!$E$2:$E$80,0)),"CEK ZONA NO di luar layout",IF(V374&lt;&gt;INDEX(LAYOUT!$D$2:$D$80,MATCH(Z374&amp;"|"&amp;U374,LAYOUT!$E$2:$E$80,0)),"CEK JENIS ZONA",IF($D374="","Zona STOCK",IF($E374="","CEK SKU DESCRIPTION kosong",IF(AND(W374&lt;&gt;"",X374=""),"CEK URUTAN SAMBUNG kosong",IF(AND(W374&lt;&gt;"",LEFT(Z374,6)="Endcap"),"CEK Endcap tidak ikut sambung","OK")))))))))</f>
        <v/>
      </c>
      <c r="AB374" s="11" t="n"/>
      <c r="AC374" s="11" t="n"/>
      <c r="AD374" s="11" t="n"/>
      <c r="AE374" s="11" t="n"/>
      <c r="AF374" s="11" t="n"/>
      <c r="AG374" s="11" t="n"/>
      <c r="AH374" s="12">
        <f>IF(AB374="","",IFERROR(INDEX(DAFTAR_FIXTURE!$B$2:$B$51,MATCH(AB374,DAFTAR_FIXTURE!$A$2:$A$51,0)),""))</f>
        <v/>
      </c>
      <c r="AI374" s="12">
        <f>IF(AB374="","",IF(AH374="","CEK ID FIXTURE tidak ada di DAFTAR_FIXTURE",IF(AC374="","CEK ZONA NO kosong",IF(ISNA(MATCH(AH374&amp;"|"&amp;AC374,LAYOUT!$E$2:$E$80,0)),"CEK ZONA NO di luar layout",IF(AD374&lt;&gt;INDEX(LAYOUT!$D$2:$D$80,MATCH(AH374&amp;"|"&amp;AC374,LAYOUT!$E$2:$E$80,0)),"CEK JENIS ZONA",IF($D374="","Zona STOCK",IF($E374="","CEK SKU DESCRIPTION kosong",IF(AND(AE374&lt;&gt;"",AF374=""),"CEK URUTAN SAMBUNG kosong",IF(AND(AE374&lt;&gt;"",LEFT(AH374,6)="Endcap"),"CEK Endcap tidak ikut sambung","OK")))))))))</f>
        <v/>
      </c>
    </row>
    <row r="375">
      <c r="A375" s="10" t="n"/>
      <c r="B375" s="10" t="n"/>
      <c r="C375" s="10" t="n"/>
      <c r="D375" s="10" t="n"/>
      <c r="E375" s="10" t="n"/>
      <c r="F375" s="10" t="n"/>
      <c r="G375" s="10" t="n"/>
      <c r="H375" s="10" t="n"/>
      <c r="I375" s="10" t="n"/>
      <c r="J375" s="10" t="n"/>
      <c r="K375" s="10" t="n"/>
      <c r="L375" s="11" t="n"/>
      <c r="M375" s="11" t="n"/>
      <c r="N375" s="11" t="n"/>
      <c r="O375" s="11" t="n"/>
      <c r="P375" s="11" t="n"/>
      <c r="Q375" s="11" t="n"/>
      <c r="R375" s="12">
        <f>IF(L375="","",IFERROR(INDEX(DAFTAR_FIXTURE!$B$2:$B$51,MATCH(L375,DAFTAR_FIXTURE!$A$2:$A$51,0)),""))</f>
        <v/>
      </c>
      <c r="S375" s="12">
        <f>IF(AND($D375="",L375=""),"",IF(L375="",IF(AND(T375="",AB375=""),"Belum ditempatkan",""),IF(R375="","CEK ID FIXTURE tidak ada di DAFTAR_FIXTURE",IF(M375="","CEK ZONA NO kosong",IF(ISNA(MATCH(R375&amp;"|"&amp;M375,LAYOUT!$E$2:$E$80,0)),"CEK ZONA NO di luar layout",IF(N375&lt;&gt;INDEX(LAYOUT!$D$2:$D$80,MATCH(R375&amp;"|"&amp;M375,LAYOUT!$E$2:$E$80,0)),"CEK JENIS ZONA",IF($D375="","Zona STOCK",IF($E375="","CEK SKU DESCRIPTION kosong",IF(AND(O375&lt;&gt;"",P375=""),"CEK URUTAN SAMBUNG kosong",IF(AND(O375&lt;&gt;"",LEFT(R375,6)="Endcap"),"CEK Endcap tidak ikut sambung","OK"))))))))))</f>
        <v/>
      </c>
      <c r="T375" s="11" t="n"/>
      <c r="U375" s="11" t="n"/>
      <c r="V375" s="11" t="n"/>
      <c r="W375" s="11" t="n"/>
      <c r="X375" s="11" t="n"/>
      <c r="Y375" s="11" t="n"/>
      <c r="Z375" s="12">
        <f>IF(T375="","",IFERROR(INDEX(DAFTAR_FIXTURE!$B$2:$B$51,MATCH(T375,DAFTAR_FIXTURE!$A$2:$A$51,0)),""))</f>
        <v/>
      </c>
      <c r="AA375" s="12">
        <f>IF(T375="","",IF(Z375="","CEK ID FIXTURE tidak ada di DAFTAR_FIXTURE",IF(U375="","CEK ZONA NO kosong",IF(ISNA(MATCH(Z375&amp;"|"&amp;U375,LAYOUT!$E$2:$E$80,0)),"CEK ZONA NO di luar layout",IF(V375&lt;&gt;INDEX(LAYOUT!$D$2:$D$80,MATCH(Z375&amp;"|"&amp;U375,LAYOUT!$E$2:$E$80,0)),"CEK JENIS ZONA",IF($D375="","Zona STOCK",IF($E375="","CEK SKU DESCRIPTION kosong",IF(AND(W375&lt;&gt;"",X375=""),"CEK URUTAN SAMBUNG kosong",IF(AND(W375&lt;&gt;"",LEFT(Z375,6)="Endcap"),"CEK Endcap tidak ikut sambung","OK")))))))))</f>
        <v/>
      </c>
      <c r="AB375" s="11" t="n"/>
      <c r="AC375" s="11" t="n"/>
      <c r="AD375" s="11" t="n"/>
      <c r="AE375" s="11" t="n"/>
      <c r="AF375" s="11" t="n"/>
      <c r="AG375" s="11" t="n"/>
      <c r="AH375" s="12">
        <f>IF(AB375="","",IFERROR(INDEX(DAFTAR_FIXTURE!$B$2:$B$51,MATCH(AB375,DAFTAR_FIXTURE!$A$2:$A$51,0)),""))</f>
        <v/>
      </c>
      <c r="AI375" s="12">
        <f>IF(AB375="","",IF(AH375="","CEK ID FIXTURE tidak ada di DAFTAR_FIXTURE",IF(AC375="","CEK ZONA NO kosong",IF(ISNA(MATCH(AH375&amp;"|"&amp;AC375,LAYOUT!$E$2:$E$80,0)),"CEK ZONA NO di luar layout",IF(AD375&lt;&gt;INDEX(LAYOUT!$D$2:$D$80,MATCH(AH375&amp;"|"&amp;AC375,LAYOUT!$E$2:$E$80,0)),"CEK JENIS ZONA",IF($D375="","Zona STOCK",IF($E375="","CEK SKU DESCRIPTION kosong",IF(AND(AE375&lt;&gt;"",AF375=""),"CEK URUTAN SAMBUNG kosong",IF(AND(AE375&lt;&gt;"",LEFT(AH375,6)="Endcap"),"CEK Endcap tidak ikut sambung","OK")))))))))</f>
        <v/>
      </c>
    </row>
    <row r="376">
      <c r="A376" s="10" t="n"/>
      <c r="B376" s="10" t="n"/>
      <c r="C376" s="10" t="n"/>
      <c r="D376" s="10" t="n"/>
      <c r="E376" s="10" t="n"/>
      <c r="F376" s="10" t="n"/>
      <c r="G376" s="10" t="n"/>
      <c r="H376" s="10" t="n"/>
      <c r="I376" s="10" t="n"/>
      <c r="J376" s="10" t="n"/>
      <c r="K376" s="10" t="n"/>
      <c r="L376" s="11" t="n"/>
      <c r="M376" s="11" t="n"/>
      <c r="N376" s="11" t="n"/>
      <c r="O376" s="11" t="n"/>
      <c r="P376" s="11" t="n"/>
      <c r="Q376" s="11" t="n"/>
      <c r="R376" s="12">
        <f>IF(L376="","",IFERROR(INDEX(DAFTAR_FIXTURE!$B$2:$B$51,MATCH(L376,DAFTAR_FIXTURE!$A$2:$A$51,0)),""))</f>
        <v/>
      </c>
      <c r="S376" s="12">
        <f>IF(AND($D376="",L376=""),"",IF(L376="",IF(AND(T376="",AB376=""),"Belum ditempatkan",""),IF(R376="","CEK ID FIXTURE tidak ada di DAFTAR_FIXTURE",IF(M376="","CEK ZONA NO kosong",IF(ISNA(MATCH(R376&amp;"|"&amp;M376,LAYOUT!$E$2:$E$80,0)),"CEK ZONA NO di luar layout",IF(N376&lt;&gt;INDEX(LAYOUT!$D$2:$D$80,MATCH(R376&amp;"|"&amp;M376,LAYOUT!$E$2:$E$80,0)),"CEK JENIS ZONA",IF($D376="","Zona STOCK",IF($E376="","CEK SKU DESCRIPTION kosong",IF(AND(O376&lt;&gt;"",P376=""),"CEK URUTAN SAMBUNG kosong",IF(AND(O376&lt;&gt;"",LEFT(R376,6)="Endcap"),"CEK Endcap tidak ikut sambung","OK"))))))))))</f>
        <v/>
      </c>
      <c r="T376" s="11" t="n"/>
      <c r="U376" s="11" t="n"/>
      <c r="V376" s="11" t="n"/>
      <c r="W376" s="11" t="n"/>
      <c r="X376" s="11" t="n"/>
      <c r="Y376" s="11" t="n"/>
      <c r="Z376" s="12">
        <f>IF(T376="","",IFERROR(INDEX(DAFTAR_FIXTURE!$B$2:$B$51,MATCH(T376,DAFTAR_FIXTURE!$A$2:$A$51,0)),""))</f>
        <v/>
      </c>
      <c r="AA376" s="12">
        <f>IF(T376="","",IF(Z376="","CEK ID FIXTURE tidak ada di DAFTAR_FIXTURE",IF(U376="","CEK ZONA NO kosong",IF(ISNA(MATCH(Z376&amp;"|"&amp;U376,LAYOUT!$E$2:$E$80,0)),"CEK ZONA NO di luar layout",IF(V376&lt;&gt;INDEX(LAYOUT!$D$2:$D$80,MATCH(Z376&amp;"|"&amp;U376,LAYOUT!$E$2:$E$80,0)),"CEK JENIS ZONA",IF($D376="","Zona STOCK",IF($E376="","CEK SKU DESCRIPTION kosong",IF(AND(W376&lt;&gt;"",X376=""),"CEK URUTAN SAMBUNG kosong",IF(AND(W376&lt;&gt;"",LEFT(Z376,6)="Endcap"),"CEK Endcap tidak ikut sambung","OK")))))))))</f>
        <v/>
      </c>
      <c r="AB376" s="11" t="n"/>
      <c r="AC376" s="11" t="n"/>
      <c r="AD376" s="11" t="n"/>
      <c r="AE376" s="11" t="n"/>
      <c r="AF376" s="11" t="n"/>
      <c r="AG376" s="11" t="n"/>
      <c r="AH376" s="12">
        <f>IF(AB376="","",IFERROR(INDEX(DAFTAR_FIXTURE!$B$2:$B$51,MATCH(AB376,DAFTAR_FIXTURE!$A$2:$A$51,0)),""))</f>
        <v/>
      </c>
      <c r="AI376" s="12">
        <f>IF(AB376="","",IF(AH376="","CEK ID FIXTURE tidak ada di DAFTAR_FIXTURE",IF(AC376="","CEK ZONA NO kosong",IF(ISNA(MATCH(AH376&amp;"|"&amp;AC376,LAYOUT!$E$2:$E$80,0)),"CEK ZONA NO di luar layout",IF(AD376&lt;&gt;INDEX(LAYOUT!$D$2:$D$80,MATCH(AH376&amp;"|"&amp;AC376,LAYOUT!$E$2:$E$80,0)),"CEK JENIS ZONA",IF($D376="","Zona STOCK",IF($E376="","CEK SKU DESCRIPTION kosong",IF(AND(AE376&lt;&gt;"",AF376=""),"CEK URUTAN SAMBUNG kosong",IF(AND(AE376&lt;&gt;"",LEFT(AH376,6)="Endcap"),"CEK Endcap tidak ikut sambung","OK")))))))))</f>
        <v/>
      </c>
    </row>
    <row r="377">
      <c r="A377" s="10" t="n"/>
      <c r="B377" s="10" t="n"/>
      <c r="C377" s="10" t="n"/>
      <c r="D377" s="10" t="n"/>
      <c r="E377" s="10" t="n"/>
      <c r="F377" s="10" t="n"/>
      <c r="G377" s="10" t="n"/>
      <c r="H377" s="10" t="n"/>
      <c r="I377" s="10" t="n"/>
      <c r="J377" s="10" t="n"/>
      <c r="K377" s="10" t="n"/>
      <c r="L377" s="11" t="n"/>
      <c r="M377" s="11" t="n"/>
      <c r="N377" s="11" t="n"/>
      <c r="O377" s="11" t="n"/>
      <c r="P377" s="11" t="n"/>
      <c r="Q377" s="11" t="n"/>
      <c r="R377" s="12">
        <f>IF(L377="","",IFERROR(INDEX(DAFTAR_FIXTURE!$B$2:$B$51,MATCH(L377,DAFTAR_FIXTURE!$A$2:$A$51,0)),""))</f>
        <v/>
      </c>
      <c r="S377" s="12">
        <f>IF(AND($D377="",L377=""),"",IF(L377="",IF(AND(T377="",AB377=""),"Belum ditempatkan",""),IF(R377="","CEK ID FIXTURE tidak ada di DAFTAR_FIXTURE",IF(M377="","CEK ZONA NO kosong",IF(ISNA(MATCH(R377&amp;"|"&amp;M377,LAYOUT!$E$2:$E$80,0)),"CEK ZONA NO di luar layout",IF(N377&lt;&gt;INDEX(LAYOUT!$D$2:$D$80,MATCH(R377&amp;"|"&amp;M377,LAYOUT!$E$2:$E$80,0)),"CEK JENIS ZONA",IF($D377="","Zona STOCK",IF($E377="","CEK SKU DESCRIPTION kosong",IF(AND(O377&lt;&gt;"",P377=""),"CEK URUTAN SAMBUNG kosong",IF(AND(O377&lt;&gt;"",LEFT(R377,6)="Endcap"),"CEK Endcap tidak ikut sambung","OK"))))))))))</f>
        <v/>
      </c>
      <c r="T377" s="11" t="n"/>
      <c r="U377" s="11" t="n"/>
      <c r="V377" s="11" t="n"/>
      <c r="W377" s="11" t="n"/>
      <c r="X377" s="11" t="n"/>
      <c r="Y377" s="11" t="n"/>
      <c r="Z377" s="12">
        <f>IF(T377="","",IFERROR(INDEX(DAFTAR_FIXTURE!$B$2:$B$51,MATCH(T377,DAFTAR_FIXTURE!$A$2:$A$51,0)),""))</f>
        <v/>
      </c>
      <c r="AA377" s="12">
        <f>IF(T377="","",IF(Z377="","CEK ID FIXTURE tidak ada di DAFTAR_FIXTURE",IF(U377="","CEK ZONA NO kosong",IF(ISNA(MATCH(Z377&amp;"|"&amp;U377,LAYOUT!$E$2:$E$80,0)),"CEK ZONA NO di luar layout",IF(V377&lt;&gt;INDEX(LAYOUT!$D$2:$D$80,MATCH(Z377&amp;"|"&amp;U377,LAYOUT!$E$2:$E$80,0)),"CEK JENIS ZONA",IF($D377="","Zona STOCK",IF($E377="","CEK SKU DESCRIPTION kosong",IF(AND(W377&lt;&gt;"",X377=""),"CEK URUTAN SAMBUNG kosong",IF(AND(W377&lt;&gt;"",LEFT(Z377,6)="Endcap"),"CEK Endcap tidak ikut sambung","OK")))))))))</f>
        <v/>
      </c>
      <c r="AB377" s="11" t="n"/>
      <c r="AC377" s="11" t="n"/>
      <c r="AD377" s="11" t="n"/>
      <c r="AE377" s="11" t="n"/>
      <c r="AF377" s="11" t="n"/>
      <c r="AG377" s="11" t="n"/>
      <c r="AH377" s="12">
        <f>IF(AB377="","",IFERROR(INDEX(DAFTAR_FIXTURE!$B$2:$B$51,MATCH(AB377,DAFTAR_FIXTURE!$A$2:$A$51,0)),""))</f>
        <v/>
      </c>
      <c r="AI377" s="12">
        <f>IF(AB377="","",IF(AH377="","CEK ID FIXTURE tidak ada di DAFTAR_FIXTURE",IF(AC377="","CEK ZONA NO kosong",IF(ISNA(MATCH(AH377&amp;"|"&amp;AC377,LAYOUT!$E$2:$E$80,0)),"CEK ZONA NO di luar layout",IF(AD377&lt;&gt;INDEX(LAYOUT!$D$2:$D$80,MATCH(AH377&amp;"|"&amp;AC377,LAYOUT!$E$2:$E$80,0)),"CEK JENIS ZONA",IF($D377="","Zona STOCK",IF($E377="","CEK SKU DESCRIPTION kosong",IF(AND(AE377&lt;&gt;"",AF377=""),"CEK URUTAN SAMBUNG kosong",IF(AND(AE377&lt;&gt;"",LEFT(AH377,6)="Endcap"),"CEK Endcap tidak ikut sambung","OK")))))))))</f>
        <v/>
      </c>
    </row>
    <row r="378">
      <c r="A378" s="10" t="n"/>
      <c r="B378" s="10" t="n"/>
      <c r="C378" s="10" t="n"/>
      <c r="D378" s="10" t="n"/>
      <c r="E378" s="10" t="n"/>
      <c r="F378" s="10" t="n"/>
      <c r="G378" s="10" t="n"/>
      <c r="H378" s="10" t="n"/>
      <c r="I378" s="10" t="n"/>
      <c r="J378" s="10" t="n"/>
      <c r="K378" s="10" t="n"/>
      <c r="L378" s="11" t="n"/>
      <c r="M378" s="11" t="n"/>
      <c r="N378" s="11" t="n"/>
      <c r="O378" s="11" t="n"/>
      <c r="P378" s="11" t="n"/>
      <c r="Q378" s="11" t="n"/>
      <c r="R378" s="12">
        <f>IF(L378="","",IFERROR(INDEX(DAFTAR_FIXTURE!$B$2:$B$51,MATCH(L378,DAFTAR_FIXTURE!$A$2:$A$51,0)),""))</f>
        <v/>
      </c>
      <c r="S378" s="12">
        <f>IF(AND($D378="",L378=""),"",IF(L378="",IF(AND(T378="",AB378=""),"Belum ditempatkan",""),IF(R378="","CEK ID FIXTURE tidak ada di DAFTAR_FIXTURE",IF(M378="","CEK ZONA NO kosong",IF(ISNA(MATCH(R378&amp;"|"&amp;M378,LAYOUT!$E$2:$E$80,0)),"CEK ZONA NO di luar layout",IF(N378&lt;&gt;INDEX(LAYOUT!$D$2:$D$80,MATCH(R378&amp;"|"&amp;M378,LAYOUT!$E$2:$E$80,0)),"CEK JENIS ZONA",IF($D378="","Zona STOCK",IF($E378="","CEK SKU DESCRIPTION kosong",IF(AND(O378&lt;&gt;"",P378=""),"CEK URUTAN SAMBUNG kosong",IF(AND(O378&lt;&gt;"",LEFT(R378,6)="Endcap"),"CEK Endcap tidak ikut sambung","OK"))))))))))</f>
        <v/>
      </c>
      <c r="T378" s="11" t="n"/>
      <c r="U378" s="11" t="n"/>
      <c r="V378" s="11" t="n"/>
      <c r="W378" s="11" t="n"/>
      <c r="X378" s="11" t="n"/>
      <c r="Y378" s="11" t="n"/>
      <c r="Z378" s="12">
        <f>IF(T378="","",IFERROR(INDEX(DAFTAR_FIXTURE!$B$2:$B$51,MATCH(T378,DAFTAR_FIXTURE!$A$2:$A$51,0)),""))</f>
        <v/>
      </c>
      <c r="AA378" s="12">
        <f>IF(T378="","",IF(Z378="","CEK ID FIXTURE tidak ada di DAFTAR_FIXTURE",IF(U378="","CEK ZONA NO kosong",IF(ISNA(MATCH(Z378&amp;"|"&amp;U378,LAYOUT!$E$2:$E$80,0)),"CEK ZONA NO di luar layout",IF(V378&lt;&gt;INDEX(LAYOUT!$D$2:$D$80,MATCH(Z378&amp;"|"&amp;U378,LAYOUT!$E$2:$E$80,0)),"CEK JENIS ZONA",IF($D378="","Zona STOCK",IF($E378="","CEK SKU DESCRIPTION kosong",IF(AND(W378&lt;&gt;"",X378=""),"CEK URUTAN SAMBUNG kosong",IF(AND(W378&lt;&gt;"",LEFT(Z378,6)="Endcap"),"CEK Endcap tidak ikut sambung","OK")))))))))</f>
        <v/>
      </c>
      <c r="AB378" s="11" t="n"/>
      <c r="AC378" s="11" t="n"/>
      <c r="AD378" s="11" t="n"/>
      <c r="AE378" s="11" t="n"/>
      <c r="AF378" s="11" t="n"/>
      <c r="AG378" s="11" t="n"/>
      <c r="AH378" s="12">
        <f>IF(AB378="","",IFERROR(INDEX(DAFTAR_FIXTURE!$B$2:$B$51,MATCH(AB378,DAFTAR_FIXTURE!$A$2:$A$51,0)),""))</f>
        <v/>
      </c>
      <c r="AI378" s="12">
        <f>IF(AB378="","",IF(AH378="","CEK ID FIXTURE tidak ada di DAFTAR_FIXTURE",IF(AC378="","CEK ZONA NO kosong",IF(ISNA(MATCH(AH378&amp;"|"&amp;AC378,LAYOUT!$E$2:$E$80,0)),"CEK ZONA NO di luar layout",IF(AD378&lt;&gt;INDEX(LAYOUT!$D$2:$D$80,MATCH(AH378&amp;"|"&amp;AC378,LAYOUT!$E$2:$E$80,0)),"CEK JENIS ZONA",IF($D378="","Zona STOCK",IF($E378="","CEK SKU DESCRIPTION kosong",IF(AND(AE378&lt;&gt;"",AF378=""),"CEK URUTAN SAMBUNG kosong",IF(AND(AE378&lt;&gt;"",LEFT(AH378,6)="Endcap"),"CEK Endcap tidak ikut sambung","OK")))))))))</f>
        <v/>
      </c>
    </row>
    <row r="379">
      <c r="A379" s="10" t="n"/>
      <c r="B379" s="10" t="n"/>
      <c r="C379" s="10" t="n"/>
      <c r="D379" s="10" t="n"/>
      <c r="E379" s="10" t="n"/>
      <c r="F379" s="10" t="n"/>
      <c r="G379" s="10" t="n"/>
      <c r="H379" s="10" t="n"/>
      <c r="I379" s="10" t="n"/>
      <c r="J379" s="10" t="n"/>
      <c r="K379" s="10" t="n"/>
      <c r="L379" s="11" t="n"/>
      <c r="M379" s="11" t="n"/>
      <c r="N379" s="11" t="n"/>
      <c r="O379" s="11" t="n"/>
      <c r="P379" s="11" t="n"/>
      <c r="Q379" s="11" t="n"/>
      <c r="R379" s="12">
        <f>IF(L379="","",IFERROR(INDEX(DAFTAR_FIXTURE!$B$2:$B$51,MATCH(L379,DAFTAR_FIXTURE!$A$2:$A$51,0)),""))</f>
        <v/>
      </c>
      <c r="S379" s="12">
        <f>IF(AND($D379="",L379=""),"",IF(L379="",IF(AND(T379="",AB379=""),"Belum ditempatkan",""),IF(R379="","CEK ID FIXTURE tidak ada di DAFTAR_FIXTURE",IF(M379="","CEK ZONA NO kosong",IF(ISNA(MATCH(R379&amp;"|"&amp;M379,LAYOUT!$E$2:$E$80,0)),"CEK ZONA NO di luar layout",IF(N379&lt;&gt;INDEX(LAYOUT!$D$2:$D$80,MATCH(R379&amp;"|"&amp;M379,LAYOUT!$E$2:$E$80,0)),"CEK JENIS ZONA",IF($D379="","Zona STOCK",IF($E379="","CEK SKU DESCRIPTION kosong",IF(AND(O379&lt;&gt;"",P379=""),"CEK URUTAN SAMBUNG kosong",IF(AND(O379&lt;&gt;"",LEFT(R379,6)="Endcap"),"CEK Endcap tidak ikut sambung","OK"))))))))))</f>
        <v/>
      </c>
      <c r="T379" s="11" t="n"/>
      <c r="U379" s="11" t="n"/>
      <c r="V379" s="11" t="n"/>
      <c r="W379" s="11" t="n"/>
      <c r="X379" s="11" t="n"/>
      <c r="Y379" s="11" t="n"/>
      <c r="Z379" s="12">
        <f>IF(T379="","",IFERROR(INDEX(DAFTAR_FIXTURE!$B$2:$B$51,MATCH(T379,DAFTAR_FIXTURE!$A$2:$A$51,0)),""))</f>
        <v/>
      </c>
      <c r="AA379" s="12">
        <f>IF(T379="","",IF(Z379="","CEK ID FIXTURE tidak ada di DAFTAR_FIXTURE",IF(U379="","CEK ZONA NO kosong",IF(ISNA(MATCH(Z379&amp;"|"&amp;U379,LAYOUT!$E$2:$E$80,0)),"CEK ZONA NO di luar layout",IF(V379&lt;&gt;INDEX(LAYOUT!$D$2:$D$80,MATCH(Z379&amp;"|"&amp;U379,LAYOUT!$E$2:$E$80,0)),"CEK JENIS ZONA",IF($D379="","Zona STOCK",IF($E379="","CEK SKU DESCRIPTION kosong",IF(AND(W379&lt;&gt;"",X379=""),"CEK URUTAN SAMBUNG kosong",IF(AND(W379&lt;&gt;"",LEFT(Z379,6)="Endcap"),"CEK Endcap tidak ikut sambung","OK")))))))))</f>
        <v/>
      </c>
      <c r="AB379" s="11" t="n"/>
      <c r="AC379" s="11" t="n"/>
      <c r="AD379" s="11" t="n"/>
      <c r="AE379" s="11" t="n"/>
      <c r="AF379" s="11" t="n"/>
      <c r="AG379" s="11" t="n"/>
      <c r="AH379" s="12">
        <f>IF(AB379="","",IFERROR(INDEX(DAFTAR_FIXTURE!$B$2:$B$51,MATCH(AB379,DAFTAR_FIXTURE!$A$2:$A$51,0)),""))</f>
        <v/>
      </c>
      <c r="AI379" s="12">
        <f>IF(AB379="","",IF(AH379="","CEK ID FIXTURE tidak ada di DAFTAR_FIXTURE",IF(AC379="","CEK ZONA NO kosong",IF(ISNA(MATCH(AH379&amp;"|"&amp;AC379,LAYOUT!$E$2:$E$80,0)),"CEK ZONA NO di luar layout",IF(AD379&lt;&gt;INDEX(LAYOUT!$D$2:$D$80,MATCH(AH379&amp;"|"&amp;AC379,LAYOUT!$E$2:$E$80,0)),"CEK JENIS ZONA",IF($D379="","Zona STOCK",IF($E379="","CEK SKU DESCRIPTION kosong",IF(AND(AE379&lt;&gt;"",AF379=""),"CEK URUTAN SAMBUNG kosong",IF(AND(AE379&lt;&gt;"",LEFT(AH379,6)="Endcap"),"CEK Endcap tidak ikut sambung","OK")))))))))</f>
        <v/>
      </c>
    </row>
    <row r="380">
      <c r="A380" s="10" t="n"/>
      <c r="B380" s="10" t="n"/>
      <c r="C380" s="10" t="n"/>
      <c r="D380" s="10" t="n"/>
      <c r="E380" s="10" t="n"/>
      <c r="F380" s="10" t="n"/>
      <c r="G380" s="10" t="n"/>
      <c r="H380" s="10" t="n"/>
      <c r="I380" s="10" t="n"/>
      <c r="J380" s="10" t="n"/>
      <c r="K380" s="10" t="n"/>
      <c r="L380" s="11" t="n"/>
      <c r="M380" s="11" t="n"/>
      <c r="N380" s="11" t="n"/>
      <c r="O380" s="11" t="n"/>
      <c r="P380" s="11" t="n"/>
      <c r="Q380" s="11" t="n"/>
      <c r="R380" s="12">
        <f>IF(L380="","",IFERROR(INDEX(DAFTAR_FIXTURE!$B$2:$B$51,MATCH(L380,DAFTAR_FIXTURE!$A$2:$A$51,0)),""))</f>
        <v/>
      </c>
      <c r="S380" s="12">
        <f>IF(AND($D380="",L380=""),"",IF(L380="",IF(AND(T380="",AB380=""),"Belum ditempatkan",""),IF(R380="","CEK ID FIXTURE tidak ada di DAFTAR_FIXTURE",IF(M380="","CEK ZONA NO kosong",IF(ISNA(MATCH(R380&amp;"|"&amp;M380,LAYOUT!$E$2:$E$80,0)),"CEK ZONA NO di luar layout",IF(N380&lt;&gt;INDEX(LAYOUT!$D$2:$D$80,MATCH(R380&amp;"|"&amp;M380,LAYOUT!$E$2:$E$80,0)),"CEK JENIS ZONA",IF($D380="","Zona STOCK",IF($E380="","CEK SKU DESCRIPTION kosong",IF(AND(O380&lt;&gt;"",P380=""),"CEK URUTAN SAMBUNG kosong",IF(AND(O380&lt;&gt;"",LEFT(R380,6)="Endcap"),"CEK Endcap tidak ikut sambung","OK"))))))))))</f>
        <v/>
      </c>
      <c r="T380" s="11" t="n"/>
      <c r="U380" s="11" t="n"/>
      <c r="V380" s="11" t="n"/>
      <c r="W380" s="11" t="n"/>
      <c r="X380" s="11" t="n"/>
      <c r="Y380" s="11" t="n"/>
      <c r="Z380" s="12">
        <f>IF(T380="","",IFERROR(INDEX(DAFTAR_FIXTURE!$B$2:$B$51,MATCH(T380,DAFTAR_FIXTURE!$A$2:$A$51,0)),""))</f>
        <v/>
      </c>
      <c r="AA380" s="12">
        <f>IF(T380="","",IF(Z380="","CEK ID FIXTURE tidak ada di DAFTAR_FIXTURE",IF(U380="","CEK ZONA NO kosong",IF(ISNA(MATCH(Z380&amp;"|"&amp;U380,LAYOUT!$E$2:$E$80,0)),"CEK ZONA NO di luar layout",IF(V380&lt;&gt;INDEX(LAYOUT!$D$2:$D$80,MATCH(Z380&amp;"|"&amp;U380,LAYOUT!$E$2:$E$80,0)),"CEK JENIS ZONA",IF($D380="","Zona STOCK",IF($E380="","CEK SKU DESCRIPTION kosong",IF(AND(W380&lt;&gt;"",X380=""),"CEK URUTAN SAMBUNG kosong",IF(AND(W380&lt;&gt;"",LEFT(Z380,6)="Endcap"),"CEK Endcap tidak ikut sambung","OK")))))))))</f>
        <v/>
      </c>
      <c r="AB380" s="11" t="n"/>
      <c r="AC380" s="11" t="n"/>
      <c r="AD380" s="11" t="n"/>
      <c r="AE380" s="11" t="n"/>
      <c r="AF380" s="11" t="n"/>
      <c r="AG380" s="11" t="n"/>
      <c r="AH380" s="12">
        <f>IF(AB380="","",IFERROR(INDEX(DAFTAR_FIXTURE!$B$2:$B$51,MATCH(AB380,DAFTAR_FIXTURE!$A$2:$A$51,0)),""))</f>
        <v/>
      </c>
      <c r="AI380" s="12">
        <f>IF(AB380="","",IF(AH380="","CEK ID FIXTURE tidak ada di DAFTAR_FIXTURE",IF(AC380="","CEK ZONA NO kosong",IF(ISNA(MATCH(AH380&amp;"|"&amp;AC380,LAYOUT!$E$2:$E$80,0)),"CEK ZONA NO di luar layout",IF(AD380&lt;&gt;INDEX(LAYOUT!$D$2:$D$80,MATCH(AH380&amp;"|"&amp;AC380,LAYOUT!$E$2:$E$80,0)),"CEK JENIS ZONA",IF($D380="","Zona STOCK",IF($E380="","CEK SKU DESCRIPTION kosong",IF(AND(AE380&lt;&gt;"",AF380=""),"CEK URUTAN SAMBUNG kosong",IF(AND(AE380&lt;&gt;"",LEFT(AH380,6)="Endcap"),"CEK Endcap tidak ikut sambung","OK")))))))))</f>
        <v/>
      </c>
    </row>
    <row r="381">
      <c r="A381" s="10" t="n"/>
      <c r="B381" s="10" t="n"/>
      <c r="C381" s="10" t="n"/>
      <c r="D381" s="10" t="n"/>
      <c r="E381" s="10" t="n"/>
      <c r="F381" s="10" t="n"/>
      <c r="G381" s="10" t="n"/>
      <c r="H381" s="10" t="n"/>
      <c r="I381" s="10" t="n"/>
      <c r="J381" s="10" t="n"/>
      <c r="K381" s="10" t="n"/>
      <c r="L381" s="11" t="n"/>
      <c r="M381" s="11" t="n"/>
      <c r="N381" s="11" t="n"/>
      <c r="O381" s="11" t="n"/>
      <c r="P381" s="11" t="n"/>
      <c r="Q381" s="11" t="n"/>
      <c r="R381" s="12">
        <f>IF(L381="","",IFERROR(INDEX(DAFTAR_FIXTURE!$B$2:$B$51,MATCH(L381,DAFTAR_FIXTURE!$A$2:$A$51,0)),""))</f>
        <v/>
      </c>
      <c r="S381" s="12">
        <f>IF(AND($D381="",L381=""),"",IF(L381="",IF(AND(T381="",AB381=""),"Belum ditempatkan",""),IF(R381="","CEK ID FIXTURE tidak ada di DAFTAR_FIXTURE",IF(M381="","CEK ZONA NO kosong",IF(ISNA(MATCH(R381&amp;"|"&amp;M381,LAYOUT!$E$2:$E$80,0)),"CEK ZONA NO di luar layout",IF(N381&lt;&gt;INDEX(LAYOUT!$D$2:$D$80,MATCH(R381&amp;"|"&amp;M381,LAYOUT!$E$2:$E$80,0)),"CEK JENIS ZONA",IF($D381="","Zona STOCK",IF($E381="","CEK SKU DESCRIPTION kosong",IF(AND(O381&lt;&gt;"",P381=""),"CEK URUTAN SAMBUNG kosong",IF(AND(O381&lt;&gt;"",LEFT(R381,6)="Endcap"),"CEK Endcap tidak ikut sambung","OK"))))))))))</f>
        <v/>
      </c>
      <c r="T381" s="11" t="n"/>
      <c r="U381" s="11" t="n"/>
      <c r="V381" s="11" t="n"/>
      <c r="W381" s="11" t="n"/>
      <c r="X381" s="11" t="n"/>
      <c r="Y381" s="11" t="n"/>
      <c r="Z381" s="12">
        <f>IF(T381="","",IFERROR(INDEX(DAFTAR_FIXTURE!$B$2:$B$51,MATCH(T381,DAFTAR_FIXTURE!$A$2:$A$51,0)),""))</f>
        <v/>
      </c>
      <c r="AA381" s="12">
        <f>IF(T381="","",IF(Z381="","CEK ID FIXTURE tidak ada di DAFTAR_FIXTURE",IF(U381="","CEK ZONA NO kosong",IF(ISNA(MATCH(Z381&amp;"|"&amp;U381,LAYOUT!$E$2:$E$80,0)),"CEK ZONA NO di luar layout",IF(V381&lt;&gt;INDEX(LAYOUT!$D$2:$D$80,MATCH(Z381&amp;"|"&amp;U381,LAYOUT!$E$2:$E$80,0)),"CEK JENIS ZONA",IF($D381="","Zona STOCK",IF($E381="","CEK SKU DESCRIPTION kosong",IF(AND(W381&lt;&gt;"",X381=""),"CEK URUTAN SAMBUNG kosong",IF(AND(W381&lt;&gt;"",LEFT(Z381,6)="Endcap"),"CEK Endcap tidak ikut sambung","OK")))))))))</f>
        <v/>
      </c>
      <c r="AB381" s="11" t="n"/>
      <c r="AC381" s="11" t="n"/>
      <c r="AD381" s="11" t="n"/>
      <c r="AE381" s="11" t="n"/>
      <c r="AF381" s="11" t="n"/>
      <c r="AG381" s="11" t="n"/>
      <c r="AH381" s="12">
        <f>IF(AB381="","",IFERROR(INDEX(DAFTAR_FIXTURE!$B$2:$B$51,MATCH(AB381,DAFTAR_FIXTURE!$A$2:$A$51,0)),""))</f>
        <v/>
      </c>
      <c r="AI381" s="12">
        <f>IF(AB381="","",IF(AH381="","CEK ID FIXTURE tidak ada di DAFTAR_FIXTURE",IF(AC381="","CEK ZONA NO kosong",IF(ISNA(MATCH(AH381&amp;"|"&amp;AC381,LAYOUT!$E$2:$E$80,0)),"CEK ZONA NO di luar layout",IF(AD381&lt;&gt;INDEX(LAYOUT!$D$2:$D$80,MATCH(AH381&amp;"|"&amp;AC381,LAYOUT!$E$2:$E$80,0)),"CEK JENIS ZONA",IF($D381="","Zona STOCK",IF($E381="","CEK SKU DESCRIPTION kosong",IF(AND(AE381&lt;&gt;"",AF381=""),"CEK URUTAN SAMBUNG kosong",IF(AND(AE381&lt;&gt;"",LEFT(AH381,6)="Endcap"),"CEK Endcap tidak ikut sambung","OK")))))))))</f>
        <v/>
      </c>
    </row>
    <row r="382">
      <c r="A382" s="10" t="n"/>
      <c r="B382" s="10" t="n"/>
      <c r="C382" s="10" t="n"/>
      <c r="D382" s="10" t="n"/>
      <c r="E382" s="10" t="n"/>
      <c r="F382" s="10" t="n"/>
      <c r="G382" s="10" t="n"/>
      <c r="H382" s="10" t="n"/>
      <c r="I382" s="10" t="n"/>
      <c r="J382" s="10" t="n"/>
      <c r="K382" s="10" t="n"/>
      <c r="L382" s="11" t="n"/>
      <c r="M382" s="11" t="n"/>
      <c r="N382" s="11" t="n"/>
      <c r="O382" s="11" t="n"/>
      <c r="P382" s="11" t="n"/>
      <c r="Q382" s="11" t="n"/>
      <c r="R382" s="12">
        <f>IF(L382="","",IFERROR(INDEX(DAFTAR_FIXTURE!$B$2:$B$51,MATCH(L382,DAFTAR_FIXTURE!$A$2:$A$51,0)),""))</f>
        <v/>
      </c>
      <c r="S382" s="12">
        <f>IF(AND($D382="",L382=""),"",IF(L382="",IF(AND(T382="",AB382=""),"Belum ditempatkan",""),IF(R382="","CEK ID FIXTURE tidak ada di DAFTAR_FIXTURE",IF(M382="","CEK ZONA NO kosong",IF(ISNA(MATCH(R382&amp;"|"&amp;M382,LAYOUT!$E$2:$E$80,0)),"CEK ZONA NO di luar layout",IF(N382&lt;&gt;INDEX(LAYOUT!$D$2:$D$80,MATCH(R382&amp;"|"&amp;M382,LAYOUT!$E$2:$E$80,0)),"CEK JENIS ZONA",IF($D382="","Zona STOCK",IF($E382="","CEK SKU DESCRIPTION kosong",IF(AND(O382&lt;&gt;"",P382=""),"CEK URUTAN SAMBUNG kosong",IF(AND(O382&lt;&gt;"",LEFT(R382,6)="Endcap"),"CEK Endcap tidak ikut sambung","OK"))))))))))</f>
        <v/>
      </c>
      <c r="T382" s="11" t="n"/>
      <c r="U382" s="11" t="n"/>
      <c r="V382" s="11" t="n"/>
      <c r="W382" s="11" t="n"/>
      <c r="X382" s="11" t="n"/>
      <c r="Y382" s="11" t="n"/>
      <c r="Z382" s="12">
        <f>IF(T382="","",IFERROR(INDEX(DAFTAR_FIXTURE!$B$2:$B$51,MATCH(T382,DAFTAR_FIXTURE!$A$2:$A$51,0)),""))</f>
        <v/>
      </c>
      <c r="AA382" s="12">
        <f>IF(T382="","",IF(Z382="","CEK ID FIXTURE tidak ada di DAFTAR_FIXTURE",IF(U382="","CEK ZONA NO kosong",IF(ISNA(MATCH(Z382&amp;"|"&amp;U382,LAYOUT!$E$2:$E$80,0)),"CEK ZONA NO di luar layout",IF(V382&lt;&gt;INDEX(LAYOUT!$D$2:$D$80,MATCH(Z382&amp;"|"&amp;U382,LAYOUT!$E$2:$E$80,0)),"CEK JENIS ZONA",IF($D382="","Zona STOCK",IF($E382="","CEK SKU DESCRIPTION kosong",IF(AND(W382&lt;&gt;"",X382=""),"CEK URUTAN SAMBUNG kosong",IF(AND(W382&lt;&gt;"",LEFT(Z382,6)="Endcap"),"CEK Endcap tidak ikut sambung","OK")))))))))</f>
        <v/>
      </c>
      <c r="AB382" s="11" t="n"/>
      <c r="AC382" s="11" t="n"/>
      <c r="AD382" s="11" t="n"/>
      <c r="AE382" s="11" t="n"/>
      <c r="AF382" s="11" t="n"/>
      <c r="AG382" s="11" t="n"/>
      <c r="AH382" s="12">
        <f>IF(AB382="","",IFERROR(INDEX(DAFTAR_FIXTURE!$B$2:$B$51,MATCH(AB382,DAFTAR_FIXTURE!$A$2:$A$51,0)),""))</f>
        <v/>
      </c>
      <c r="AI382" s="12">
        <f>IF(AB382="","",IF(AH382="","CEK ID FIXTURE tidak ada di DAFTAR_FIXTURE",IF(AC382="","CEK ZONA NO kosong",IF(ISNA(MATCH(AH382&amp;"|"&amp;AC382,LAYOUT!$E$2:$E$80,0)),"CEK ZONA NO di luar layout",IF(AD382&lt;&gt;INDEX(LAYOUT!$D$2:$D$80,MATCH(AH382&amp;"|"&amp;AC382,LAYOUT!$E$2:$E$80,0)),"CEK JENIS ZONA",IF($D382="","Zona STOCK",IF($E382="","CEK SKU DESCRIPTION kosong",IF(AND(AE382&lt;&gt;"",AF382=""),"CEK URUTAN SAMBUNG kosong",IF(AND(AE382&lt;&gt;"",LEFT(AH382,6)="Endcap"),"CEK Endcap tidak ikut sambung","OK")))))))))</f>
        <v/>
      </c>
    </row>
    <row r="383">
      <c r="A383" s="10" t="n"/>
      <c r="B383" s="10" t="n"/>
      <c r="C383" s="10" t="n"/>
      <c r="D383" s="10" t="n"/>
      <c r="E383" s="10" t="n"/>
      <c r="F383" s="10" t="n"/>
      <c r="G383" s="10" t="n"/>
      <c r="H383" s="10" t="n"/>
      <c r="I383" s="10" t="n"/>
      <c r="J383" s="10" t="n"/>
      <c r="K383" s="10" t="n"/>
      <c r="L383" s="11" t="n"/>
      <c r="M383" s="11" t="n"/>
      <c r="N383" s="11" t="n"/>
      <c r="O383" s="11" t="n"/>
      <c r="P383" s="11" t="n"/>
      <c r="Q383" s="11" t="n"/>
      <c r="R383" s="12">
        <f>IF(L383="","",IFERROR(INDEX(DAFTAR_FIXTURE!$B$2:$B$51,MATCH(L383,DAFTAR_FIXTURE!$A$2:$A$51,0)),""))</f>
        <v/>
      </c>
      <c r="S383" s="12">
        <f>IF(AND($D383="",L383=""),"",IF(L383="",IF(AND(T383="",AB383=""),"Belum ditempatkan",""),IF(R383="","CEK ID FIXTURE tidak ada di DAFTAR_FIXTURE",IF(M383="","CEK ZONA NO kosong",IF(ISNA(MATCH(R383&amp;"|"&amp;M383,LAYOUT!$E$2:$E$80,0)),"CEK ZONA NO di luar layout",IF(N383&lt;&gt;INDEX(LAYOUT!$D$2:$D$80,MATCH(R383&amp;"|"&amp;M383,LAYOUT!$E$2:$E$80,0)),"CEK JENIS ZONA",IF($D383="","Zona STOCK",IF($E383="","CEK SKU DESCRIPTION kosong",IF(AND(O383&lt;&gt;"",P383=""),"CEK URUTAN SAMBUNG kosong",IF(AND(O383&lt;&gt;"",LEFT(R383,6)="Endcap"),"CEK Endcap tidak ikut sambung","OK"))))))))))</f>
        <v/>
      </c>
      <c r="T383" s="11" t="n"/>
      <c r="U383" s="11" t="n"/>
      <c r="V383" s="11" t="n"/>
      <c r="W383" s="11" t="n"/>
      <c r="X383" s="11" t="n"/>
      <c r="Y383" s="11" t="n"/>
      <c r="Z383" s="12">
        <f>IF(T383="","",IFERROR(INDEX(DAFTAR_FIXTURE!$B$2:$B$51,MATCH(T383,DAFTAR_FIXTURE!$A$2:$A$51,0)),""))</f>
        <v/>
      </c>
      <c r="AA383" s="12">
        <f>IF(T383="","",IF(Z383="","CEK ID FIXTURE tidak ada di DAFTAR_FIXTURE",IF(U383="","CEK ZONA NO kosong",IF(ISNA(MATCH(Z383&amp;"|"&amp;U383,LAYOUT!$E$2:$E$80,0)),"CEK ZONA NO di luar layout",IF(V383&lt;&gt;INDEX(LAYOUT!$D$2:$D$80,MATCH(Z383&amp;"|"&amp;U383,LAYOUT!$E$2:$E$80,0)),"CEK JENIS ZONA",IF($D383="","Zona STOCK",IF($E383="","CEK SKU DESCRIPTION kosong",IF(AND(W383&lt;&gt;"",X383=""),"CEK URUTAN SAMBUNG kosong",IF(AND(W383&lt;&gt;"",LEFT(Z383,6)="Endcap"),"CEK Endcap tidak ikut sambung","OK")))))))))</f>
        <v/>
      </c>
      <c r="AB383" s="11" t="n"/>
      <c r="AC383" s="11" t="n"/>
      <c r="AD383" s="11" t="n"/>
      <c r="AE383" s="11" t="n"/>
      <c r="AF383" s="11" t="n"/>
      <c r="AG383" s="11" t="n"/>
      <c r="AH383" s="12">
        <f>IF(AB383="","",IFERROR(INDEX(DAFTAR_FIXTURE!$B$2:$B$51,MATCH(AB383,DAFTAR_FIXTURE!$A$2:$A$51,0)),""))</f>
        <v/>
      </c>
      <c r="AI383" s="12">
        <f>IF(AB383="","",IF(AH383="","CEK ID FIXTURE tidak ada di DAFTAR_FIXTURE",IF(AC383="","CEK ZONA NO kosong",IF(ISNA(MATCH(AH383&amp;"|"&amp;AC383,LAYOUT!$E$2:$E$80,0)),"CEK ZONA NO di luar layout",IF(AD383&lt;&gt;INDEX(LAYOUT!$D$2:$D$80,MATCH(AH383&amp;"|"&amp;AC383,LAYOUT!$E$2:$E$80,0)),"CEK JENIS ZONA",IF($D383="","Zona STOCK",IF($E383="","CEK SKU DESCRIPTION kosong",IF(AND(AE383&lt;&gt;"",AF383=""),"CEK URUTAN SAMBUNG kosong",IF(AND(AE383&lt;&gt;"",LEFT(AH383,6)="Endcap"),"CEK Endcap tidak ikut sambung","OK")))))))))</f>
        <v/>
      </c>
    </row>
    <row r="384">
      <c r="A384" s="10" t="n"/>
      <c r="B384" s="10" t="n"/>
      <c r="C384" s="10" t="n"/>
      <c r="D384" s="10" t="n"/>
      <c r="E384" s="10" t="n"/>
      <c r="F384" s="10" t="n"/>
      <c r="G384" s="10" t="n"/>
      <c r="H384" s="10" t="n"/>
      <c r="I384" s="10" t="n"/>
      <c r="J384" s="10" t="n"/>
      <c r="K384" s="10" t="n"/>
      <c r="L384" s="11" t="n"/>
      <c r="M384" s="11" t="n"/>
      <c r="N384" s="11" t="n"/>
      <c r="O384" s="11" t="n"/>
      <c r="P384" s="11" t="n"/>
      <c r="Q384" s="11" t="n"/>
      <c r="R384" s="12">
        <f>IF(L384="","",IFERROR(INDEX(DAFTAR_FIXTURE!$B$2:$B$51,MATCH(L384,DAFTAR_FIXTURE!$A$2:$A$51,0)),""))</f>
        <v/>
      </c>
      <c r="S384" s="12">
        <f>IF(AND($D384="",L384=""),"",IF(L384="",IF(AND(T384="",AB384=""),"Belum ditempatkan",""),IF(R384="","CEK ID FIXTURE tidak ada di DAFTAR_FIXTURE",IF(M384="","CEK ZONA NO kosong",IF(ISNA(MATCH(R384&amp;"|"&amp;M384,LAYOUT!$E$2:$E$80,0)),"CEK ZONA NO di luar layout",IF(N384&lt;&gt;INDEX(LAYOUT!$D$2:$D$80,MATCH(R384&amp;"|"&amp;M384,LAYOUT!$E$2:$E$80,0)),"CEK JENIS ZONA",IF($D384="","Zona STOCK",IF($E384="","CEK SKU DESCRIPTION kosong",IF(AND(O384&lt;&gt;"",P384=""),"CEK URUTAN SAMBUNG kosong",IF(AND(O384&lt;&gt;"",LEFT(R384,6)="Endcap"),"CEK Endcap tidak ikut sambung","OK"))))))))))</f>
        <v/>
      </c>
      <c r="T384" s="11" t="n"/>
      <c r="U384" s="11" t="n"/>
      <c r="V384" s="11" t="n"/>
      <c r="W384" s="11" t="n"/>
      <c r="X384" s="11" t="n"/>
      <c r="Y384" s="11" t="n"/>
      <c r="Z384" s="12">
        <f>IF(T384="","",IFERROR(INDEX(DAFTAR_FIXTURE!$B$2:$B$51,MATCH(T384,DAFTAR_FIXTURE!$A$2:$A$51,0)),""))</f>
        <v/>
      </c>
      <c r="AA384" s="12">
        <f>IF(T384="","",IF(Z384="","CEK ID FIXTURE tidak ada di DAFTAR_FIXTURE",IF(U384="","CEK ZONA NO kosong",IF(ISNA(MATCH(Z384&amp;"|"&amp;U384,LAYOUT!$E$2:$E$80,0)),"CEK ZONA NO di luar layout",IF(V384&lt;&gt;INDEX(LAYOUT!$D$2:$D$80,MATCH(Z384&amp;"|"&amp;U384,LAYOUT!$E$2:$E$80,0)),"CEK JENIS ZONA",IF($D384="","Zona STOCK",IF($E384="","CEK SKU DESCRIPTION kosong",IF(AND(W384&lt;&gt;"",X384=""),"CEK URUTAN SAMBUNG kosong",IF(AND(W384&lt;&gt;"",LEFT(Z384,6)="Endcap"),"CEK Endcap tidak ikut sambung","OK")))))))))</f>
        <v/>
      </c>
      <c r="AB384" s="11" t="n"/>
      <c r="AC384" s="11" t="n"/>
      <c r="AD384" s="11" t="n"/>
      <c r="AE384" s="11" t="n"/>
      <c r="AF384" s="11" t="n"/>
      <c r="AG384" s="11" t="n"/>
      <c r="AH384" s="12">
        <f>IF(AB384="","",IFERROR(INDEX(DAFTAR_FIXTURE!$B$2:$B$51,MATCH(AB384,DAFTAR_FIXTURE!$A$2:$A$51,0)),""))</f>
        <v/>
      </c>
      <c r="AI384" s="12">
        <f>IF(AB384="","",IF(AH384="","CEK ID FIXTURE tidak ada di DAFTAR_FIXTURE",IF(AC384="","CEK ZONA NO kosong",IF(ISNA(MATCH(AH384&amp;"|"&amp;AC384,LAYOUT!$E$2:$E$80,0)),"CEK ZONA NO di luar layout",IF(AD384&lt;&gt;INDEX(LAYOUT!$D$2:$D$80,MATCH(AH384&amp;"|"&amp;AC384,LAYOUT!$E$2:$E$80,0)),"CEK JENIS ZONA",IF($D384="","Zona STOCK",IF($E384="","CEK SKU DESCRIPTION kosong",IF(AND(AE384&lt;&gt;"",AF384=""),"CEK URUTAN SAMBUNG kosong",IF(AND(AE384&lt;&gt;"",LEFT(AH384,6)="Endcap"),"CEK Endcap tidak ikut sambung","OK")))))))))</f>
        <v/>
      </c>
    </row>
    <row r="385">
      <c r="A385" s="10" t="n"/>
      <c r="B385" s="10" t="n"/>
      <c r="C385" s="10" t="n"/>
      <c r="D385" s="10" t="n"/>
      <c r="E385" s="10" t="n"/>
      <c r="F385" s="10" t="n"/>
      <c r="G385" s="10" t="n"/>
      <c r="H385" s="10" t="n"/>
      <c r="I385" s="10" t="n"/>
      <c r="J385" s="10" t="n"/>
      <c r="K385" s="10" t="n"/>
      <c r="L385" s="11" t="n"/>
      <c r="M385" s="11" t="n"/>
      <c r="N385" s="11" t="n"/>
      <c r="O385" s="11" t="n"/>
      <c r="P385" s="11" t="n"/>
      <c r="Q385" s="11" t="n"/>
      <c r="R385" s="12">
        <f>IF(L385="","",IFERROR(INDEX(DAFTAR_FIXTURE!$B$2:$B$51,MATCH(L385,DAFTAR_FIXTURE!$A$2:$A$51,0)),""))</f>
        <v/>
      </c>
      <c r="S385" s="12">
        <f>IF(AND($D385="",L385=""),"",IF(L385="",IF(AND(T385="",AB385=""),"Belum ditempatkan",""),IF(R385="","CEK ID FIXTURE tidak ada di DAFTAR_FIXTURE",IF(M385="","CEK ZONA NO kosong",IF(ISNA(MATCH(R385&amp;"|"&amp;M385,LAYOUT!$E$2:$E$80,0)),"CEK ZONA NO di luar layout",IF(N385&lt;&gt;INDEX(LAYOUT!$D$2:$D$80,MATCH(R385&amp;"|"&amp;M385,LAYOUT!$E$2:$E$80,0)),"CEK JENIS ZONA",IF($D385="","Zona STOCK",IF($E385="","CEK SKU DESCRIPTION kosong",IF(AND(O385&lt;&gt;"",P385=""),"CEK URUTAN SAMBUNG kosong",IF(AND(O385&lt;&gt;"",LEFT(R385,6)="Endcap"),"CEK Endcap tidak ikut sambung","OK"))))))))))</f>
        <v/>
      </c>
      <c r="T385" s="11" t="n"/>
      <c r="U385" s="11" t="n"/>
      <c r="V385" s="11" t="n"/>
      <c r="W385" s="11" t="n"/>
      <c r="X385" s="11" t="n"/>
      <c r="Y385" s="11" t="n"/>
      <c r="Z385" s="12">
        <f>IF(T385="","",IFERROR(INDEX(DAFTAR_FIXTURE!$B$2:$B$51,MATCH(T385,DAFTAR_FIXTURE!$A$2:$A$51,0)),""))</f>
        <v/>
      </c>
      <c r="AA385" s="12">
        <f>IF(T385="","",IF(Z385="","CEK ID FIXTURE tidak ada di DAFTAR_FIXTURE",IF(U385="","CEK ZONA NO kosong",IF(ISNA(MATCH(Z385&amp;"|"&amp;U385,LAYOUT!$E$2:$E$80,0)),"CEK ZONA NO di luar layout",IF(V385&lt;&gt;INDEX(LAYOUT!$D$2:$D$80,MATCH(Z385&amp;"|"&amp;U385,LAYOUT!$E$2:$E$80,0)),"CEK JENIS ZONA",IF($D385="","Zona STOCK",IF($E385="","CEK SKU DESCRIPTION kosong",IF(AND(W385&lt;&gt;"",X385=""),"CEK URUTAN SAMBUNG kosong",IF(AND(W385&lt;&gt;"",LEFT(Z385,6)="Endcap"),"CEK Endcap tidak ikut sambung","OK")))))))))</f>
        <v/>
      </c>
      <c r="AB385" s="11" t="n"/>
      <c r="AC385" s="11" t="n"/>
      <c r="AD385" s="11" t="n"/>
      <c r="AE385" s="11" t="n"/>
      <c r="AF385" s="11" t="n"/>
      <c r="AG385" s="11" t="n"/>
      <c r="AH385" s="12">
        <f>IF(AB385="","",IFERROR(INDEX(DAFTAR_FIXTURE!$B$2:$B$51,MATCH(AB385,DAFTAR_FIXTURE!$A$2:$A$51,0)),""))</f>
        <v/>
      </c>
      <c r="AI385" s="12">
        <f>IF(AB385="","",IF(AH385="","CEK ID FIXTURE tidak ada di DAFTAR_FIXTURE",IF(AC385="","CEK ZONA NO kosong",IF(ISNA(MATCH(AH385&amp;"|"&amp;AC385,LAYOUT!$E$2:$E$80,0)),"CEK ZONA NO di luar layout",IF(AD385&lt;&gt;INDEX(LAYOUT!$D$2:$D$80,MATCH(AH385&amp;"|"&amp;AC385,LAYOUT!$E$2:$E$80,0)),"CEK JENIS ZONA",IF($D385="","Zona STOCK",IF($E385="","CEK SKU DESCRIPTION kosong",IF(AND(AE385&lt;&gt;"",AF385=""),"CEK URUTAN SAMBUNG kosong",IF(AND(AE385&lt;&gt;"",LEFT(AH385,6)="Endcap"),"CEK Endcap tidak ikut sambung","OK")))))))))</f>
        <v/>
      </c>
    </row>
    <row r="386">
      <c r="A386" s="10" t="n"/>
      <c r="B386" s="10" t="n"/>
      <c r="C386" s="10" t="n"/>
      <c r="D386" s="10" t="n"/>
      <c r="E386" s="10" t="n"/>
      <c r="F386" s="10" t="n"/>
      <c r="G386" s="10" t="n"/>
      <c r="H386" s="10" t="n"/>
      <c r="I386" s="10" t="n"/>
      <c r="J386" s="10" t="n"/>
      <c r="K386" s="10" t="n"/>
      <c r="L386" s="11" t="n"/>
      <c r="M386" s="11" t="n"/>
      <c r="N386" s="11" t="n"/>
      <c r="O386" s="11" t="n"/>
      <c r="P386" s="11" t="n"/>
      <c r="Q386" s="11" t="n"/>
      <c r="R386" s="12">
        <f>IF(L386="","",IFERROR(INDEX(DAFTAR_FIXTURE!$B$2:$B$51,MATCH(L386,DAFTAR_FIXTURE!$A$2:$A$51,0)),""))</f>
        <v/>
      </c>
      <c r="S386" s="12">
        <f>IF(AND($D386="",L386=""),"",IF(L386="",IF(AND(T386="",AB386=""),"Belum ditempatkan",""),IF(R386="","CEK ID FIXTURE tidak ada di DAFTAR_FIXTURE",IF(M386="","CEK ZONA NO kosong",IF(ISNA(MATCH(R386&amp;"|"&amp;M386,LAYOUT!$E$2:$E$80,0)),"CEK ZONA NO di luar layout",IF(N386&lt;&gt;INDEX(LAYOUT!$D$2:$D$80,MATCH(R386&amp;"|"&amp;M386,LAYOUT!$E$2:$E$80,0)),"CEK JENIS ZONA",IF($D386="","Zona STOCK",IF($E386="","CEK SKU DESCRIPTION kosong",IF(AND(O386&lt;&gt;"",P386=""),"CEK URUTAN SAMBUNG kosong",IF(AND(O386&lt;&gt;"",LEFT(R386,6)="Endcap"),"CEK Endcap tidak ikut sambung","OK"))))))))))</f>
        <v/>
      </c>
      <c r="T386" s="11" t="n"/>
      <c r="U386" s="11" t="n"/>
      <c r="V386" s="11" t="n"/>
      <c r="W386" s="11" t="n"/>
      <c r="X386" s="11" t="n"/>
      <c r="Y386" s="11" t="n"/>
      <c r="Z386" s="12">
        <f>IF(T386="","",IFERROR(INDEX(DAFTAR_FIXTURE!$B$2:$B$51,MATCH(T386,DAFTAR_FIXTURE!$A$2:$A$51,0)),""))</f>
        <v/>
      </c>
      <c r="AA386" s="12">
        <f>IF(T386="","",IF(Z386="","CEK ID FIXTURE tidak ada di DAFTAR_FIXTURE",IF(U386="","CEK ZONA NO kosong",IF(ISNA(MATCH(Z386&amp;"|"&amp;U386,LAYOUT!$E$2:$E$80,0)),"CEK ZONA NO di luar layout",IF(V386&lt;&gt;INDEX(LAYOUT!$D$2:$D$80,MATCH(Z386&amp;"|"&amp;U386,LAYOUT!$E$2:$E$80,0)),"CEK JENIS ZONA",IF($D386="","Zona STOCK",IF($E386="","CEK SKU DESCRIPTION kosong",IF(AND(W386&lt;&gt;"",X386=""),"CEK URUTAN SAMBUNG kosong",IF(AND(W386&lt;&gt;"",LEFT(Z386,6)="Endcap"),"CEK Endcap tidak ikut sambung","OK")))))))))</f>
        <v/>
      </c>
      <c r="AB386" s="11" t="n"/>
      <c r="AC386" s="11" t="n"/>
      <c r="AD386" s="11" t="n"/>
      <c r="AE386" s="11" t="n"/>
      <c r="AF386" s="11" t="n"/>
      <c r="AG386" s="11" t="n"/>
      <c r="AH386" s="12">
        <f>IF(AB386="","",IFERROR(INDEX(DAFTAR_FIXTURE!$B$2:$B$51,MATCH(AB386,DAFTAR_FIXTURE!$A$2:$A$51,0)),""))</f>
        <v/>
      </c>
      <c r="AI386" s="12">
        <f>IF(AB386="","",IF(AH386="","CEK ID FIXTURE tidak ada di DAFTAR_FIXTURE",IF(AC386="","CEK ZONA NO kosong",IF(ISNA(MATCH(AH386&amp;"|"&amp;AC386,LAYOUT!$E$2:$E$80,0)),"CEK ZONA NO di luar layout",IF(AD386&lt;&gt;INDEX(LAYOUT!$D$2:$D$80,MATCH(AH386&amp;"|"&amp;AC386,LAYOUT!$E$2:$E$80,0)),"CEK JENIS ZONA",IF($D386="","Zona STOCK",IF($E386="","CEK SKU DESCRIPTION kosong",IF(AND(AE386&lt;&gt;"",AF386=""),"CEK URUTAN SAMBUNG kosong",IF(AND(AE386&lt;&gt;"",LEFT(AH386,6)="Endcap"),"CEK Endcap tidak ikut sambung","OK")))))))))</f>
        <v/>
      </c>
    </row>
    <row r="387">
      <c r="A387" s="10" t="n"/>
      <c r="B387" s="10" t="n"/>
      <c r="C387" s="10" t="n"/>
      <c r="D387" s="10" t="n"/>
      <c r="E387" s="10" t="n"/>
      <c r="F387" s="10" t="n"/>
      <c r="G387" s="10" t="n"/>
      <c r="H387" s="10" t="n"/>
      <c r="I387" s="10" t="n"/>
      <c r="J387" s="10" t="n"/>
      <c r="K387" s="10" t="n"/>
      <c r="L387" s="11" t="n"/>
      <c r="M387" s="11" t="n"/>
      <c r="N387" s="11" t="n"/>
      <c r="O387" s="11" t="n"/>
      <c r="P387" s="11" t="n"/>
      <c r="Q387" s="11" t="n"/>
      <c r="R387" s="12">
        <f>IF(L387="","",IFERROR(INDEX(DAFTAR_FIXTURE!$B$2:$B$51,MATCH(L387,DAFTAR_FIXTURE!$A$2:$A$51,0)),""))</f>
        <v/>
      </c>
      <c r="S387" s="12">
        <f>IF(AND($D387="",L387=""),"",IF(L387="",IF(AND(T387="",AB387=""),"Belum ditempatkan",""),IF(R387="","CEK ID FIXTURE tidak ada di DAFTAR_FIXTURE",IF(M387="","CEK ZONA NO kosong",IF(ISNA(MATCH(R387&amp;"|"&amp;M387,LAYOUT!$E$2:$E$80,0)),"CEK ZONA NO di luar layout",IF(N387&lt;&gt;INDEX(LAYOUT!$D$2:$D$80,MATCH(R387&amp;"|"&amp;M387,LAYOUT!$E$2:$E$80,0)),"CEK JENIS ZONA",IF($D387="","Zona STOCK",IF($E387="","CEK SKU DESCRIPTION kosong",IF(AND(O387&lt;&gt;"",P387=""),"CEK URUTAN SAMBUNG kosong",IF(AND(O387&lt;&gt;"",LEFT(R387,6)="Endcap"),"CEK Endcap tidak ikut sambung","OK"))))))))))</f>
        <v/>
      </c>
      <c r="T387" s="11" t="n"/>
      <c r="U387" s="11" t="n"/>
      <c r="V387" s="11" t="n"/>
      <c r="W387" s="11" t="n"/>
      <c r="X387" s="11" t="n"/>
      <c r="Y387" s="11" t="n"/>
      <c r="Z387" s="12">
        <f>IF(T387="","",IFERROR(INDEX(DAFTAR_FIXTURE!$B$2:$B$51,MATCH(T387,DAFTAR_FIXTURE!$A$2:$A$51,0)),""))</f>
        <v/>
      </c>
      <c r="AA387" s="12">
        <f>IF(T387="","",IF(Z387="","CEK ID FIXTURE tidak ada di DAFTAR_FIXTURE",IF(U387="","CEK ZONA NO kosong",IF(ISNA(MATCH(Z387&amp;"|"&amp;U387,LAYOUT!$E$2:$E$80,0)),"CEK ZONA NO di luar layout",IF(V387&lt;&gt;INDEX(LAYOUT!$D$2:$D$80,MATCH(Z387&amp;"|"&amp;U387,LAYOUT!$E$2:$E$80,0)),"CEK JENIS ZONA",IF($D387="","Zona STOCK",IF($E387="","CEK SKU DESCRIPTION kosong",IF(AND(W387&lt;&gt;"",X387=""),"CEK URUTAN SAMBUNG kosong",IF(AND(W387&lt;&gt;"",LEFT(Z387,6)="Endcap"),"CEK Endcap tidak ikut sambung","OK")))))))))</f>
        <v/>
      </c>
      <c r="AB387" s="11" t="n"/>
      <c r="AC387" s="11" t="n"/>
      <c r="AD387" s="11" t="n"/>
      <c r="AE387" s="11" t="n"/>
      <c r="AF387" s="11" t="n"/>
      <c r="AG387" s="11" t="n"/>
      <c r="AH387" s="12">
        <f>IF(AB387="","",IFERROR(INDEX(DAFTAR_FIXTURE!$B$2:$B$51,MATCH(AB387,DAFTAR_FIXTURE!$A$2:$A$51,0)),""))</f>
        <v/>
      </c>
      <c r="AI387" s="12">
        <f>IF(AB387="","",IF(AH387="","CEK ID FIXTURE tidak ada di DAFTAR_FIXTURE",IF(AC387="","CEK ZONA NO kosong",IF(ISNA(MATCH(AH387&amp;"|"&amp;AC387,LAYOUT!$E$2:$E$80,0)),"CEK ZONA NO di luar layout",IF(AD387&lt;&gt;INDEX(LAYOUT!$D$2:$D$80,MATCH(AH387&amp;"|"&amp;AC387,LAYOUT!$E$2:$E$80,0)),"CEK JENIS ZONA",IF($D387="","Zona STOCK",IF($E387="","CEK SKU DESCRIPTION kosong",IF(AND(AE387&lt;&gt;"",AF387=""),"CEK URUTAN SAMBUNG kosong",IF(AND(AE387&lt;&gt;"",LEFT(AH387,6)="Endcap"),"CEK Endcap tidak ikut sambung","OK")))))))))</f>
        <v/>
      </c>
    </row>
    <row r="388">
      <c r="A388" s="10" t="n"/>
      <c r="B388" s="10" t="n"/>
      <c r="C388" s="10" t="n"/>
      <c r="D388" s="10" t="n"/>
      <c r="E388" s="10" t="n"/>
      <c r="F388" s="10" t="n"/>
      <c r="G388" s="10" t="n"/>
      <c r="H388" s="10" t="n"/>
      <c r="I388" s="10" t="n"/>
      <c r="J388" s="10" t="n"/>
      <c r="K388" s="10" t="n"/>
      <c r="L388" s="11" t="n"/>
      <c r="M388" s="11" t="n"/>
      <c r="N388" s="11" t="n"/>
      <c r="O388" s="11" t="n"/>
      <c r="P388" s="11" t="n"/>
      <c r="Q388" s="11" t="n"/>
      <c r="R388" s="12">
        <f>IF(L388="","",IFERROR(INDEX(DAFTAR_FIXTURE!$B$2:$B$51,MATCH(L388,DAFTAR_FIXTURE!$A$2:$A$51,0)),""))</f>
        <v/>
      </c>
      <c r="S388" s="12">
        <f>IF(AND($D388="",L388=""),"",IF(L388="",IF(AND(T388="",AB388=""),"Belum ditempatkan",""),IF(R388="","CEK ID FIXTURE tidak ada di DAFTAR_FIXTURE",IF(M388="","CEK ZONA NO kosong",IF(ISNA(MATCH(R388&amp;"|"&amp;M388,LAYOUT!$E$2:$E$80,0)),"CEK ZONA NO di luar layout",IF(N388&lt;&gt;INDEX(LAYOUT!$D$2:$D$80,MATCH(R388&amp;"|"&amp;M388,LAYOUT!$E$2:$E$80,0)),"CEK JENIS ZONA",IF($D388="","Zona STOCK",IF($E388="","CEK SKU DESCRIPTION kosong",IF(AND(O388&lt;&gt;"",P388=""),"CEK URUTAN SAMBUNG kosong",IF(AND(O388&lt;&gt;"",LEFT(R388,6)="Endcap"),"CEK Endcap tidak ikut sambung","OK"))))))))))</f>
        <v/>
      </c>
      <c r="T388" s="11" t="n"/>
      <c r="U388" s="11" t="n"/>
      <c r="V388" s="11" t="n"/>
      <c r="W388" s="11" t="n"/>
      <c r="X388" s="11" t="n"/>
      <c r="Y388" s="11" t="n"/>
      <c r="Z388" s="12">
        <f>IF(T388="","",IFERROR(INDEX(DAFTAR_FIXTURE!$B$2:$B$51,MATCH(T388,DAFTAR_FIXTURE!$A$2:$A$51,0)),""))</f>
        <v/>
      </c>
      <c r="AA388" s="12">
        <f>IF(T388="","",IF(Z388="","CEK ID FIXTURE tidak ada di DAFTAR_FIXTURE",IF(U388="","CEK ZONA NO kosong",IF(ISNA(MATCH(Z388&amp;"|"&amp;U388,LAYOUT!$E$2:$E$80,0)),"CEK ZONA NO di luar layout",IF(V388&lt;&gt;INDEX(LAYOUT!$D$2:$D$80,MATCH(Z388&amp;"|"&amp;U388,LAYOUT!$E$2:$E$80,0)),"CEK JENIS ZONA",IF($D388="","Zona STOCK",IF($E388="","CEK SKU DESCRIPTION kosong",IF(AND(W388&lt;&gt;"",X388=""),"CEK URUTAN SAMBUNG kosong",IF(AND(W388&lt;&gt;"",LEFT(Z388,6)="Endcap"),"CEK Endcap tidak ikut sambung","OK")))))))))</f>
        <v/>
      </c>
      <c r="AB388" s="11" t="n"/>
      <c r="AC388" s="11" t="n"/>
      <c r="AD388" s="11" t="n"/>
      <c r="AE388" s="11" t="n"/>
      <c r="AF388" s="11" t="n"/>
      <c r="AG388" s="11" t="n"/>
      <c r="AH388" s="12">
        <f>IF(AB388="","",IFERROR(INDEX(DAFTAR_FIXTURE!$B$2:$B$51,MATCH(AB388,DAFTAR_FIXTURE!$A$2:$A$51,0)),""))</f>
        <v/>
      </c>
      <c r="AI388" s="12">
        <f>IF(AB388="","",IF(AH388="","CEK ID FIXTURE tidak ada di DAFTAR_FIXTURE",IF(AC388="","CEK ZONA NO kosong",IF(ISNA(MATCH(AH388&amp;"|"&amp;AC388,LAYOUT!$E$2:$E$80,0)),"CEK ZONA NO di luar layout",IF(AD388&lt;&gt;INDEX(LAYOUT!$D$2:$D$80,MATCH(AH388&amp;"|"&amp;AC388,LAYOUT!$E$2:$E$80,0)),"CEK JENIS ZONA",IF($D388="","Zona STOCK",IF($E388="","CEK SKU DESCRIPTION kosong",IF(AND(AE388&lt;&gt;"",AF388=""),"CEK URUTAN SAMBUNG kosong",IF(AND(AE388&lt;&gt;"",LEFT(AH388,6)="Endcap"),"CEK Endcap tidak ikut sambung","OK")))))))))</f>
        <v/>
      </c>
    </row>
    <row r="389">
      <c r="A389" s="10" t="n"/>
      <c r="B389" s="10" t="n"/>
      <c r="C389" s="10" t="n"/>
      <c r="D389" s="10" t="n"/>
      <c r="E389" s="10" t="n"/>
      <c r="F389" s="10" t="n"/>
      <c r="G389" s="10" t="n"/>
      <c r="H389" s="10" t="n"/>
      <c r="I389" s="10" t="n"/>
      <c r="J389" s="10" t="n"/>
      <c r="K389" s="10" t="n"/>
      <c r="L389" s="11" t="n"/>
      <c r="M389" s="11" t="n"/>
      <c r="N389" s="11" t="n"/>
      <c r="O389" s="11" t="n"/>
      <c r="P389" s="11" t="n"/>
      <c r="Q389" s="11" t="n"/>
      <c r="R389" s="12">
        <f>IF(L389="","",IFERROR(INDEX(DAFTAR_FIXTURE!$B$2:$B$51,MATCH(L389,DAFTAR_FIXTURE!$A$2:$A$51,0)),""))</f>
        <v/>
      </c>
      <c r="S389" s="12">
        <f>IF(AND($D389="",L389=""),"",IF(L389="",IF(AND(T389="",AB389=""),"Belum ditempatkan",""),IF(R389="","CEK ID FIXTURE tidak ada di DAFTAR_FIXTURE",IF(M389="","CEK ZONA NO kosong",IF(ISNA(MATCH(R389&amp;"|"&amp;M389,LAYOUT!$E$2:$E$80,0)),"CEK ZONA NO di luar layout",IF(N389&lt;&gt;INDEX(LAYOUT!$D$2:$D$80,MATCH(R389&amp;"|"&amp;M389,LAYOUT!$E$2:$E$80,0)),"CEK JENIS ZONA",IF($D389="","Zona STOCK",IF($E389="","CEK SKU DESCRIPTION kosong",IF(AND(O389&lt;&gt;"",P389=""),"CEK URUTAN SAMBUNG kosong",IF(AND(O389&lt;&gt;"",LEFT(R389,6)="Endcap"),"CEK Endcap tidak ikut sambung","OK"))))))))))</f>
        <v/>
      </c>
      <c r="T389" s="11" t="n"/>
      <c r="U389" s="11" t="n"/>
      <c r="V389" s="11" t="n"/>
      <c r="W389" s="11" t="n"/>
      <c r="X389" s="11" t="n"/>
      <c r="Y389" s="11" t="n"/>
      <c r="Z389" s="12">
        <f>IF(T389="","",IFERROR(INDEX(DAFTAR_FIXTURE!$B$2:$B$51,MATCH(T389,DAFTAR_FIXTURE!$A$2:$A$51,0)),""))</f>
        <v/>
      </c>
      <c r="AA389" s="12">
        <f>IF(T389="","",IF(Z389="","CEK ID FIXTURE tidak ada di DAFTAR_FIXTURE",IF(U389="","CEK ZONA NO kosong",IF(ISNA(MATCH(Z389&amp;"|"&amp;U389,LAYOUT!$E$2:$E$80,0)),"CEK ZONA NO di luar layout",IF(V389&lt;&gt;INDEX(LAYOUT!$D$2:$D$80,MATCH(Z389&amp;"|"&amp;U389,LAYOUT!$E$2:$E$80,0)),"CEK JENIS ZONA",IF($D389="","Zona STOCK",IF($E389="","CEK SKU DESCRIPTION kosong",IF(AND(W389&lt;&gt;"",X389=""),"CEK URUTAN SAMBUNG kosong",IF(AND(W389&lt;&gt;"",LEFT(Z389,6)="Endcap"),"CEK Endcap tidak ikut sambung","OK")))))))))</f>
        <v/>
      </c>
      <c r="AB389" s="11" t="n"/>
      <c r="AC389" s="11" t="n"/>
      <c r="AD389" s="11" t="n"/>
      <c r="AE389" s="11" t="n"/>
      <c r="AF389" s="11" t="n"/>
      <c r="AG389" s="11" t="n"/>
      <c r="AH389" s="12">
        <f>IF(AB389="","",IFERROR(INDEX(DAFTAR_FIXTURE!$B$2:$B$51,MATCH(AB389,DAFTAR_FIXTURE!$A$2:$A$51,0)),""))</f>
        <v/>
      </c>
      <c r="AI389" s="12">
        <f>IF(AB389="","",IF(AH389="","CEK ID FIXTURE tidak ada di DAFTAR_FIXTURE",IF(AC389="","CEK ZONA NO kosong",IF(ISNA(MATCH(AH389&amp;"|"&amp;AC389,LAYOUT!$E$2:$E$80,0)),"CEK ZONA NO di luar layout",IF(AD389&lt;&gt;INDEX(LAYOUT!$D$2:$D$80,MATCH(AH389&amp;"|"&amp;AC389,LAYOUT!$E$2:$E$80,0)),"CEK JENIS ZONA",IF($D389="","Zona STOCK",IF($E389="","CEK SKU DESCRIPTION kosong",IF(AND(AE389&lt;&gt;"",AF389=""),"CEK URUTAN SAMBUNG kosong",IF(AND(AE389&lt;&gt;"",LEFT(AH389,6)="Endcap"),"CEK Endcap tidak ikut sambung","OK")))))))))</f>
        <v/>
      </c>
    </row>
    <row r="390">
      <c r="A390" s="10" t="n"/>
      <c r="B390" s="10" t="n"/>
      <c r="C390" s="10" t="n"/>
      <c r="D390" s="10" t="n"/>
      <c r="E390" s="10" t="n"/>
      <c r="F390" s="10" t="n"/>
      <c r="G390" s="10" t="n"/>
      <c r="H390" s="10" t="n"/>
      <c r="I390" s="10" t="n"/>
      <c r="J390" s="10" t="n"/>
      <c r="K390" s="10" t="n"/>
      <c r="L390" s="11" t="n"/>
      <c r="M390" s="11" t="n"/>
      <c r="N390" s="11" t="n"/>
      <c r="O390" s="11" t="n"/>
      <c r="P390" s="11" t="n"/>
      <c r="Q390" s="11" t="n"/>
      <c r="R390" s="12">
        <f>IF(L390="","",IFERROR(INDEX(DAFTAR_FIXTURE!$B$2:$B$51,MATCH(L390,DAFTAR_FIXTURE!$A$2:$A$51,0)),""))</f>
        <v/>
      </c>
      <c r="S390" s="12">
        <f>IF(AND($D390="",L390=""),"",IF(L390="",IF(AND(T390="",AB390=""),"Belum ditempatkan",""),IF(R390="","CEK ID FIXTURE tidak ada di DAFTAR_FIXTURE",IF(M390="","CEK ZONA NO kosong",IF(ISNA(MATCH(R390&amp;"|"&amp;M390,LAYOUT!$E$2:$E$80,0)),"CEK ZONA NO di luar layout",IF(N390&lt;&gt;INDEX(LAYOUT!$D$2:$D$80,MATCH(R390&amp;"|"&amp;M390,LAYOUT!$E$2:$E$80,0)),"CEK JENIS ZONA",IF($D390="","Zona STOCK",IF($E390="","CEK SKU DESCRIPTION kosong",IF(AND(O390&lt;&gt;"",P390=""),"CEK URUTAN SAMBUNG kosong",IF(AND(O390&lt;&gt;"",LEFT(R390,6)="Endcap"),"CEK Endcap tidak ikut sambung","OK"))))))))))</f>
        <v/>
      </c>
      <c r="T390" s="11" t="n"/>
      <c r="U390" s="11" t="n"/>
      <c r="V390" s="11" t="n"/>
      <c r="W390" s="11" t="n"/>
      <c r="X390" s="11" t="n"/>
      <c r="Y390" s="11" t="n"/>
      <c r="Z390" s="12">
        <f>IF(T390="","",IFERROR(INDEX(DAFTAR_FIXTURE!$B$2:$B$51,MATCH(T390,DAFTAR_FIXTURE!$A$2:$A$51,0)),""))</f>
        <v/>
      </c>
      <c r="AA390" s="12">
        <f>IF(T390="","",IF(Z390="","CEK ID FIXTURE tidak ada di DAFTAR_FIXTURE",IF(U390="","CEK ZONA NO kosong",IF(ISNA(MATCH(Z390&amp;"|"&amp;U390,LAYOUT!$E$2:$E$80,0)),"CEK ZONA NO di luar layout",IF(V390&lt;&gt;INDEX(LAYOUT!$D$2:$D$80,MATCH(Z390&amp;"|"&amp;U390,LAYOUT!$E$2:$E$80,0)),"CEK JENIS ZONA",IF($D390="","Zona STOCK",IF($E390="","CEK SKU DESCRIPTION kosong",IF(AND(W390&lt;&gt;"",X390=""),"CEK URUTAN SAMBUNG kosong",IF(AND(W390&lt;&gt;"",LEFT(Z390,6)="Endcap"),"CEK Endcap tidak ikut sambung","OK")))))))))</f>
        <v/>
      </c>
      <c r="AB390" s="11" t="n"/>
      <c r="AC390" s="11" t="n"/>
      <c r="AD390" s="11" t="n"/>
      <c r="AE390" s="11" t="n"/>
      <c r="AF390" s="11" t="n"/>
      <c r="AG390" s="11" t="n"/>
      <c r="AH390" s="12">
        <f>IF(AB390="","",IFERROR(INDEX(DAFTAR_FIXTURE!$B$2:$B$51,MATCH(AB390,DAFTAR_FIXTURE!$A$2:$A$51,0)),""))</f>
        <v/>
      </c>
      <c r="AI390" s="12">
        <f>IF(AB390="","",IF(AH390="","CEK ID FIXTURE tidak ada di DAFTAR_FIXTURE",IF(AC390="","CEK ZONA NO kosong",IF(ISNA(MATCH(AH390&amp;"|"&amp;AC390,LAYOUT!$E$2:$E$80,0)),"CEK ZONA NO di luar layout",IF(AD390&lt;&gt;INDEX(LAYOUT!$D$2:$D$80,MATCH(AH390&amp;"|"&amp;AC390,LAYOUT!$E$2:$E$80,0)),"CEK JENIS ZONA",IF($D390="","Zona STOCK",IF($E390="","CEK SKU DESCRIPTION kosong",IF(AND(AE390&lt;&gt;"",AF390=""),"CEK URUTAN SAMBUNG kosong",IF(AND(AE390&lt;&gt;"",LEFT(AH390,6)="Endcap"),"CEK Endcap tidak ikut sambung","OK")))))))))</f>
        <v/>
      </c>
    </row>
    <row r="391">
      <c r="A391" s="10" t="n"/>
      <c r="B391" s="10" t="n"/>
      <c r="C391" s="10" t="n"/>
      <c r="D391" s="10" t="n"/>
      <c r="E391" s="10" t="n"/>
      <c r="F391" s="10" t="n"/>
      <c r="G391" s="10" t="n"/>
      <c r="H391" s="10" t="n"/>
      <c r="I391" s="10" t="n"/>
      <c r="J391" s="10" t="n"/>
      <c r="K391" s="10" t="n"/>
      <c r="L391" s="11" t="n"/>
      <c r="M391" s="11" t="n"/>
      <c r="N391" s="11" t="n"/>
      <c r="O391" s="11" t="n"/>
      <c r="P391" s="11" t="n"/>
      <c r="Q391" s="11" t="n"/>
      <c r="R391" s="12">
        <f>IF(L391="","",IFERROR(INDEX(DAFTAR_FIXTURE!$B$2:$B$51,MATCH(L391,DAFTAR_FIXTURE!$A$2:$A$51,0)),""))</f>
        <v/>
      </c>
      <c r="S391" s="12">
        <f>IF(AND($D391="",L391=""),"",IF(L391="",IF(AND(T391="",AB391=""),"Belum ditempatkan",""),IF(R391="","CEK ID FIXTURE tidak ada di DAFTAR_FIXTURE",IF(M391="","CEK ZONA NO kosong",IF(ISNA(MATCH(R391&amp;"|"&amp;M391,LAYOUT!$E$2:$E$80,0)),"CEK ZONA NO di luar layout",IF(N391&lt;&gt;INDEX(LAYOUT!$D$2:$D$80,MATCH(R391&amp;"|"&amp;M391,LAYOUT!$E$2:$E$80,0)),"CEK JENIS ZONA",IF($D391="","Zona STOCK",IF($E391="","CEK SKU DESCRIPTION kosong",IF(AND(O391&lt;&gt;"",P391=""),"CEK URUTAN SAMBUNG kosong",IF(AND(O391&lt;&gt;"",LEFT(R391,6)="Endcap"),"CEK Endcap tidak ikut sambung","OK"))))))))))</f>
        <v/>
      </c>
      <c r="T391" s="11" t="n"/>
      <c r="U391" s="11" t="n"/>
      <c r="V391" s="11" t="n"/>
      <c r="W391" s="11" t="n"/>
      <c r="X391" s="11" t="n"/>
      <c r="Y391" s="11" t="n"/>
      <c r="Z391" s="12">
        <f>IF(T391="","",IFERROR(INDEX(DAFTAR_FIXTURE!$B$2:$B$51,MATCH(T391,DAFTAR_FIXTURE!$A$2:$A$51,0)),""))</f>
        <v/>
      </c>
      <c r="AA391" s="12">
        <f>IF(T391="","",IF(Z391="","CEK ID FIXTURE tidak ada di DAFTAR_FIXTURE",IF(U391="","CEK ZONA NO kosong",IF(ISNA(MATCH(Z391&amp;"|"&amp;U391,LAYOUT!$E$2:$E$80,0)),"CEK ZONA NO di luar layout",IF(V391&lt;&gt;INDEX(LAYOUT!$D$2:$D$80,MATCH(Z391&amp;"|"&amp;U391,LAYOUT!$E$2:$E$80,0)),"CEK JENIS ZONA",IF($D391="","Zona STOCK",IF($E391="","CEK SKU DESCRIPTION kosong",IF(AND(W391&lt;&gt;"",X391=""),"CEK URUTAN SAMBUNG kosong",IF(AND(W391&lt;&gt;"",LEFT(Z391,6)="Endcap"),"CEK Endcap tidak ikut sambung","OK")))))))))</f>
        <v/>
      </c>
      <c r="AB391" s="11" t="n"/>
      <c r="AC391" s="11" t="n"/>
      <c r="AD391" s="11" t="n"/>
      <c r="AE391" s="11" t="n"/>
      <c r="AF391" s="11" t="n"/>
      <c r="AG391" s="11" t="n"/>
      <c r="AH391" s="12">
        <f>IF(AB391="","",IFERROR(INDEX(DAFTAR_FIXTURE!$B$2:$B$51,MATCH(AB391,DAFTAR_FIXTURE!$A$2:$A$51,0)),""))</f>
        <v/>
      </c>
      <c r="AI391" s="12">
        <f>IF(AB391="","",IF(AH391="","CEK ID FIXTURE tidak ada di DAFTAR_FIXTURE",IF(AC391="","CEK ZONA NO kosong",IF(ISNA(MATCH(AH391&amp;"|"&amp;AC391,LAYOUT!$E$2:$E$80,0)),"CEK ZONA NO di luar layout",IF(AD391&lt;&gt;INDEX(LAYOUT!$D$2:$D$80,MATCH(AH391&amp;"|"&amp;AC391,LAYOUT!$E$2:$E$80,0)),"CEK JENIS ZONA",IF($D391="","Zona STOCK",IF($E391="","CEK SKU DESCRIPTION kosong",IF(AND(AE391&lt;&gt;"",AF391=""),"CEK URUTAN SAMBUNG kosong",IF(AND(AE391&lt;&gt;"",LEFT(AH391,6)="Endcap"),"CEK Endcap tidak ikut sambung","OK")))))))))</f>
        <v/>
      </c>
    </row>
    <row r="392">
      <c r="A392" s="10" t="n"/>
      <c r="B392" s="10" t="n"/>
      <c r="C392" s="10" t="n"/>
      <c r="D392" s="10" t="n"/>
      <c r="E392" s="10" t="n"/>
      <c r="F392" s="10" t="n"/>
      <c r="G392" s="10" t="n"/>
      <c r="H392" s="10" t="n"/>
      <c r="I392" s="10" t="n"/>
      <c r="J392" s="10" t="n"/>
      <c r="K392" s="10" t="n"/>
      <c r="L392" s="11" t="n"/>
      <c r="M392" s="11" t="n"/>
      <c r="N392" s="11" t="n"/>
      <c r="O392" s="11" t="n"/>
      <c r="P392" s="11" t="n"/>
      <c r="Q392" s="11" t="n"/>
      <c r="R392" s="12">
        <f>IF(L392="","",IFERROR(INDEX(DAFTAR_FIXTURE!$B$2:$B$51,MATCH(L392,DAFTAR_FIXTURE!$A$2:$A$51,0)),""))</f>
        <v/>
      </c>
      <c r="S392" s="12">
        <f>IF(AND($D392="",L392=""),"",IF(L392="",IF(AND(T392="",AB392=""),"Belum ditempatkan",""),IF(R392="","CEK ID FIXTURE tidak ada di DAFTAR_FIXTURE",IF(M392="","CEK ZONA NO kosong",IF(ISNA(MATCH(R392&amp;"|"&amp;M392,LAYOUT!$E$2:$E$80,0)),"CEK ZONA NO di luar layout",IF(N392&lt;&gt;INDEX(LAYOUT!$D$2:$D$80,MATCH(R392&amp;"|"&amp;M392,LAYOUT!$E$2:$E$80,0)),"CEK JENIS ZONA",IF($D392="","Zona STOCK",IF($E392="","CEK SKU DESCRIPTION kosong",IF(AND(O392&lt;&gt;"",P392=""),"CEK URUTAN SAMBUNG kosong",IF(AND(O392&lt;&gt;"",LEFT(R392,6)="Endcap"),"CEK Endcap tidak ikut sambung","OK"))))))))))</f>
        <v/>
      </c>
      <c r="T392" s="11" t="n"/>
      <c r="U392" s="11" t="n"/>
      <c r="V392" s="11" t="n"/>
      <c r="W392" s="11" t="n"/>
      <c r="X392" s="11" t="n"/>
      <c r="Y392" s="11" t="n"/>
      <c r="Z392" s="12">
        <f>IF(T392="","",IFERROR(INDEX(DAFTAR_FIXTURE!$B$2:$B$51,MATCH(T392,DAFTAR_FIXTURE!$A$2:$A$51,0)),""))</f>
        <v/>
      </c>
      <c r="AA392" s="12">
        <f>IF(T392="","",IF(Z392="","CEK ID FIXTURE tidak ada di DAFTAR_FIXTURE",IF(U392="","CEK ZONA NO kosong",IF(ISNA(MATCH(Z392&amp;"|"&amp;U392,LAYOUT!$E$2:$E$80,0)),"CEK ZONA NO di luar layout",IF(V392&lt;&gt;INDEX(LAYOUT!$D$2:$D$80,MATCH(Z392&amp;"|"&amp;U392,LAYOUT!$E$2:$E$80,0)),"CEK JENIS ZONA",IF($D392="","Zona STOCK",IF($E392="","CEK SKU DESCRIPTION kosong",IF(AND(W392&lt;&gt;"",X392=""),"CEK URUTAN SAMBUNG kosong",IF(AND(W392&lt;&gt;"",LEFT(Z392,6)="Endcap"),"CEK Endcap tidak ikut sambung","OK")))))))))</f>
        <v/>
      </c>
      <c r="AB392" s="11" t="n"/>
      <c r="AC392" s="11" t="n"/>
      <c r="AD392" s="11" t="n"/>
      <c r="AE392" s="11" t="n"/>
      <c r="AF392" s="11" t="n"/>
      <c r="AG392" s="11" t="n"/>
      <c r="AH392" s="12">
        <f>IF(AB392="","",IFERROR(INDEX(DAFTAR_FIXTURE!$B$2:$B$51,MATCH(AB392,DAFTAR_FIXTURE!$A$2:$A$51,0)),""))</f>
        <v/>
      </c>
      <c r="AI392" s="12">
        <f>IF(AB392="","",IF(AH392="","CEK ID FIXTURE tidak ada di DAFTAR_FIXTURE",IF(AC392="","CEK ZONA NO kosong",IF(ISNA(MATCH(AH392&amp;"|"&amp;AC392,LAYOUT!$E$2:$E$80,0)),"CEK ZONA NO di luar layout",IF(AD392&lt;&gt;INDEX(LAYOUT!$D$2:$D$80,MATCH(AH392&amp;"|"&amp;AC392,LAYOUT!$E$2:$E$80,0)),"CEK JENIS ZONA",IF($D392="","Zona STOCK",IF($E392="","CEK SKU DESCRIPTION kosong",IF(AND(AE392&lt;&gt;"",AF392=""),"CEK URUTAN SAMBUNG kosong",IF(AND(AE392&lt;&gt;"",LEFT(AH392,6)="Endcap"),"CEK Endcap tidak ikut sambung","OK")))))))))</f>
        <v/>
      </c>
    </row>
    <row r="393">
      <c r="A393" s="10" t="n"/>
      <c r="B393" s="10" t="n"/>
      <c r="C393" s="10" t="n"/>
      <c r="D393" s="10" t="n"/>
      <c r="E393" s="10" t="n"/>
      <c r="F393" s="10" t="n"/>
      <c r="G393" s="10" t="n"/>
      <c r="H393" s="10" t="n"/>
      <c r="I393" s="10" t="n"/>
      <c r="J393" s="10" t="n"/>
      <c r="K393" s="10" t="n"/>
      <c r="L393" s="11" t="n"/>
      <c r="M393" s="11" t="n"/>
      <c r="N393" s="11" t="n"/>
      <c r="O393" s="11" t="n"/>
      <c r="P393" s="11" t="n"/>
      <c r="Q393" s="11" t="n"/>
      <c r="R393" s="12">
        <f>IF(L393="","",IFERROR(INDEX(DAFTAR_FIXTURE!$B$2:$B$51,MATCH(L393,DAFTAR_FIXTURE!$A$2:$A$51,0)),""))</f>
        <v/>
      </c>
      <c r="S393" s="12">
        <f>IF(AND($D393="",L393=""),"",IF(L393="",IF(AND(T393="",AB393=""),"Belum ditempatkan",""),IF(R393="","CEK ID FIXTURE tidak ada di DAFTAR_FIXTURE",IF(M393="","CEK ZONA NO kosong",IF(ISNA(MATCH(R393&amp;"|"&amp;M393,LAYOUT!$E$2:$E$80,0)),"CEK ZONA NO di luar layout",IF(N393&lt;&gt;INDEX(LAYOUT!$D$2:$D$80,MATCH(R393&amp;"|"&amp;M393,LAYOUT!$E$2:$E$80,0)),"CEK JENIS ZONA",IF($D393="","Zona STOCK",IF($E393="","CEK SKU DESCRIPTION kosong",IF(AND(O393&lt;&gt;"",P393=""),"CEK URUTAN SAMBUNG kosong",IF(AND(O393&lt;&gt;"",LEFT(R393,6)="Endcap"),"CEK Endcap tidak ikut sambung","OK"))))))))))</f>
        <v/>
      </c>
      <c r="T393" s="11" t="n"/>
      <c r="U393" s="11" t="n"/>
      <c r="V393" s="11" t="n"/>
      <c r="W393" s="11" t="n"/>
      <c r="X393" s="11" t="n"/>
      <c r="Y393" s="11" t="n"/>
      <c r="Z393" s="12">
        <f>IF(T393="","",IFERROR(INDEX(DAFTAR_FIXTURE!$B$2:$B$51,MATCH(T393,DAFTAR_FIXTURE!$A$2:$A$51,0)),""))</f>
        <v/>
      </c>
      <c r="AA393" s="12">
        <f>IF(T393="","",IF(Z393="","CEK ID FIXTURE tidak ada di DAFTAR_FIXTURE",IF(U393="","CEK ZONA NO kosong",IF(ISNA(MATCH(Z393&amp;"|"&amp;U393,LAYOUT!$E$2:$E$80,0)),"CEK ZONA NO di luar layout",IF(V393&lt;&gt;INDEX(LAYOUT!$D$2:$D$80,MATCH(Z393&amp;"|"&amp;U393,LAYOUT!$E$2:$E$80,0)),"CEK JENIS ZONA",IF($D393="","Zona STOCK",IF($E393="","CEK SKU DESCRIPTION kosong",IF(AND(W393&lt;&gt;"",X393=""),"CEK URUTAN SAMBUNG kosong",IF(AND(W393&lt;&gt;"",LEFT(Z393,6)="Endcap"),"CEK Endcap tidak ikut sambung","OK")))))))))</f>
        <v/>
      </c>
      <c r="AB393" s="11" t="n"/>
      <c r="AC393" s="11" t="n"/>
      <c r="AD393" s="11" t="n"/>
      <c r="AE393" s="11" t="n"/>
      <c r="AF393" s="11" t="n"/>
      <c r="AG393" s="11" t="n"/>
      <c r="AH393" s="12">
        <f>IF(AB393="","",IFERROR(INDEX(DAFTAR_FIXTURE!$B$2:$B$51,MATCH(AB393,DAFTAR_FIXTURE!$A$2:$A$51,0)),""))</f>
        <v/>
      </c>
      <c r="AI393" s="12">
        <f>IF(AB393="","",IF(AH393="","CEK ID FIXTURE tidak ada di DAFTAR_FIXTURE",IF(AC393="","CEK ZONA NO kosong",IF(ISNA(MATCH(AH393&amp;"|"&amp;AC393,LAYOUT!$E$2:$E$80,0)),"CEK ZONA NO di luar layout",IF(AD393&lt;&gt;INDEX(LAYOUT!$D$2:$D$80,MATCH(AH393&amp;"|"&amp;AC393,LAYOUT!$E$2:$E$80,0)),"CEK JENIS ZONA",IF($D393="","Zona STOCK",IF($E393="","CEK SKU DESCRIPTION kosong",IF(AND(AE393&lt;&gt;"",AF393=""),"CEK URUTAN SAMBUNG kosong",IF(AND(AE393&lt;&gt;"",LEFT(AH393,6)="Endcap"),"CEK Endcap tidak ikut sambung","OK")))))))))</f>
        <v/>
      </c>
    </row>
    <row r="394">
      <c r="A394" s="10" t="n"/>
      <c r="B394" s="10" t="n"/>
      <c r="C394" s="10" t="n"/>
      <c r="D394" s="10" t="n"/>
      <c r="E394" s="10" t="n"/>
      <c r="F394" s="10" t="n"/>
      <c r="G394" s="10" t="n"/>
      <c r="H394" s="10" t="n"/>
      <c r="I394" s="10" t="n"/>
      <c r="J394" s="10" t="n"/>
      <c r="K394" s="10" t="n"/>
      <c r="L394" s="11" t="n"/>
      <c r="M394" s="11" t="n"/>
      <c r="N394" s="11" t="n"/>
      <c r="O394" s="11" t="n"/>
      <c r="P394" s="11" t="n"/>
      <c r="Q394" s="11" t="n"/>
      <c r="R394" s="12">
        <f>IF(L394="","",IFERROR(INDEX(DAFTAR_FIXTURE!$B$2:$B$51,MATCH(L394,DAFTAR_FIXTURE!$A$2:$A$51,0)),""))</f>
        <v/>
      </c>
      <c r="S394" s="12">
        <f>IF(AND($D394="",L394=""),"",IF(L394="",IF(AND(T394="",AB394=""),"Belum ditempatkan",""),IF(R394="","CEK ID FIXTURE tidak ada di DAFTAR_FIXTURE",IF(M394="","CEK ZONA NO kosong",IF(ISNA(MATCH(R394&amp;"|"&amp;M394,LAYOUT!$E$2:$E$80,0)),"CEK ZONA NO di luar layout",IF(N394&lt;&gt;INDEX(LAYOUT!$D$2:$D$80,MATCH(R394&amp;"|"&amp;M394,LAYOUT!$E$2:$E$80,0)),"CEK JENIS ZONA",IF($D394="","Zona STOCK",IF($E394="","CEK SKU DESCRIPTION kosong",IF(AND(O394&lt;&gt;"",P394=""),"CEK URUTAN SAMBUNG kosong",IF(AND(O394&lt;&gt;"",LEFT(R394,6)="Endcap"),"CEK Endcap tidak ikut sambung","OK"))))))))))</f>
        <v/>
      </c>
      <c r="T394" s="11" t="n"/>
      <c r="U394" s="11" t="n"/>
      <c r="V394" s="11" t="n"/>
      <c r="W394" s="11" t="n"/>
      <c r="X394" s="11" t="n"/>
      <c r="Y394" s="11" t="n"/>
      <c r="Z394" s="12">
        <f>IF(T394="","",IFERROR(INDEX(DAFTAR_FIXTURE!$B$2:$B$51,MATCH(T394,DAFTAR_FIXTURE!$A$2:$A$51,0)),""))</f>
        <v/>
      </c>
      <c r="AA394" s="12">
        <f>IF(T394="","",IF(Z394="","CEK ID FIXTURE tidak ada di DAFTAR_FIXTURE",IF(U394="","CEK ZONA NO kosong",IF(ISNA(MATCH(Z394&amp;"|"&amp;U394,LAYOUT!$E$2:$E$80,0)),"CEK ZONA NO di luar layout",IF(V394&lt;&gt;INDEX(LAYOUT!$D$2:$D$80,MATCH(Z394&amp;"|"&amp;U394,LAYOUT!$E$2:$E$80,0)),"CEK JENIS ZONA",IF($D394="","Zona STOCK",IF($E394="","CEK SKU DESCRIPTION kosong",IF(AND(W394&lt;&gt;"",X394=""),"CEK URUTAN SAMBUNG kosong",IF(AND(W394&lt;&gt;"",LEFT(Z394,6)="Endcap"),"CEK Endcap tidak ikut sambung","OK")))))))))</f>
        <v/>
      </c>
      <c r="AB394" s="11" t="n"/>
      <c r="AC394" s="11" t="n"/>
      <c r="AD394" s="11" t="n"/>
      <c r="AE394" s="11" t="n"/>
      <c r="AF394" s="11" t="n"/>
      <c r="AG394" s="11" t="n"/>
      <c r="AH394" s="12">
        <f>IF(AB394="","",IFERROR(INDEX(DAFTAR_FIXTURE!$B$2:$B$51,MATCH(AB394,DAFTAR_FIXTURE!$A$2:$A$51,0)),""))</f>
        <v/>
      </c>
      <c r="AI394" s="12">
        <f>IF(AB394="","",IF(AH394="","CEK ID FIXTURE tidak ada di DAFTAR_FIXTURE",IF(AC394="","CEK ZONA NO kosong",IF(ISNA(MATCH(AH394&amp;"|"&amp;AC394,LAYOUT!$E$2:$E$80,0)),"CEK ZONA NO di luar layout",IF(AD394&lt;&gt;INDEX(LAYOUT!$D$2:$D$80,MATCH(AH394&amp;"|"&amp;AC394,LAYOUT!$E$2:$E$80,0)),"CEK JENIS ZONA",IF($D394="","Zona STOCK",IF($E394="","CEK SKU DESCRIPTION kosong",IF(AND(AE394&lt;&gt;"",AF394=""),"CEK URUTAN SAMBUNG kosong",IF(AND(AE394&lt;&gt;"",LEFT(AH394,6)="Endcap"),"CEK Endcap tidak ikut sambung","OK")))))))))</f>
        <v/>
      </c>
    </row>
    <row r="395">
      <c r="A395" s="10" t="n"/>
      <c r="B395" s="10" t="n"/>
      <c r="C395" s="10" t="n"/>
      <c r="D395" s="10" t="n"/>
      <c r="E395" s="10" t="n"/>
      <c r="F395" s="10" t="n"/>
      <c r="G395" s="10" t="n"/>
      <c r="H395" s="10" t="n"/>
      <c r="I395" s="10" t="n"/>
      <c r="J395" s="10" t="n"/>
      <c r="K395" s="10" t="n"/>
      <c r="L395" s="11" t="n"/>
      <c r="M395" s="11" t="n"/>
      <c r="N395" s="11" t="n"/>
      <c r="O395" s="11" t="n"/>
      <c r="P395" s="11" t="n"/>
      <c r="Q395" s="11" t="n"/>
      <c r="R395" s="12">
        <f>IF(L395="","",IFERROR(INDEX(DAFTAR_FIXTURE!$B$2:$B$51,MATCH(L395,DAFTAR_FIXTURE!$A$2:$A$51,0)),""))</f>
        <v/>
      </c>
      <c r="S395" s="12">
        <f>IF(AND($D395="",L395=""),"",IF(L395="",IF(AND(T395="",AB395=""),"Belum ditempatkan",""),IF(R395="","CEK ID FIXTURE tidak ada di DAFTAR_FIXTURE",IF(M395="","CEK ZONA NO kosong",IF(ISNA(MATCH(R395&amp;"|"&amp;M395,LAYOUT!$E$2:$E$80,0)),"CEK ZONA NO di luar layout",IF(N395&lt;&gt;INDEX(LAYOUT!$D$2:$D$80,MATCH(R395&amp;"|"&amp;M395,LAYOUT!$E$2:$E$80,0)),"CEK JENIS ZONA",IF($D395="","Zona STOCK",IF($E395="","CEK SKU DESCRIPTION kosong",IF(AND(O395&lt;&gt;"",P395=""),"CEK URUTAN SAMBUNG kosong",IF(AND(O395&lt;&gt;"",LEFT(R395,6)="Endcap"),"CEK Endcap tidak ikut sambung","OK"))))))))))</f>
        <v/>
      </c>
      <c r="T395" s="11" t="n"/>
      <c r="U395" s="11" t="n"/>
      <c r="V395" s="11" t="n"/>
      <c r="W395" s="11" t="n"/>
      <c r="X395" s="11" t="n"/>
      <c r="Y395" s="11" t="n"/>
      <c r="Z395" s="12">
        <f>IF(T395="","",IFERROR(INDEX(DAFTAR_FIXTURE!$B$2:$B$51,MATCH(T395,DAFTAR_FIXTURE!$A$2:$A$51,0)),""))</f>
        <v/>
      </c>
      <c r="AA395" s="12">
        <f>IF(T395="","",IF(Z395="","CEK ID FIXTURE tidak ada di DAFTAR_FIXTURE",IF(U395="","CEK ZONA NO kosong",IF(ISNA(MATCH(Z395&amp;"|"&amp;U395,LAYOUT!$E$2:$E$80,0)),"CEK ZONA NO di luar layout",IF(V395&lt;&gt;INDEX(LAYOUT!$D$2:$D$80,MATCH(Z395&amp;"|"&amp;U395,LAYOUT!$E$2:$E$80,0)),"CEK JENIS ZONA",IF($D395="","Zona STOCK",IF($E395="","CEK SKU DESCRIPTION kosong",IF(AND(W395&lt;&gt;"",X395=""),"CEK URUTAN SAMBUNG kosong",IF(AND(W395&lt;&gt;"",LEFT(Z395,6)="Endcap"),"CEK Endcap tidak ikut sambung","OK")))))))))</f>
        <v/>
      </c>
      <c r="AB395" s="11" t="n"/>
      <c r="AC395" s="11" t="n"/>
      <c r="AD395" s="11" t="n"/>
      <c r="AE395" s="11" t="n"/>
      <c r="AF395" s="11" t="n"/>
      <c r="AG395" s="11" t="n"/>
      <c r="AH395" s="12">
        <f>IF(AB395="","",IFERROR(INDEX(DAFTAR_FIXTURE!$B$2:$B$51,MATCH(AB395,DAFTAR_FIXTURE!$A$2:$A$51,0)),""))</f>
        <v/>
      </c>
      <c r="AI395" s="12">
        <f>IF(AB395="","",IF(AH395="","CEK ID FIXTURE tidak ada di DAFTAR_FIXTURE",IF(AC395="","CEK ZONA NO kosong",IF(ISNA(MATCH(AH395&amp;"|"&amp;AC395,LAYOUT!$E$2:$E$80,0)),"CEK ZONA NO di luar layout",IF(AD395&lt;&gt;INDEX(LAYOUT!$D$2:$D$80,MATCH(AH395&amp;"|"&amp;AC395,LAYOUT!$E$2:$E$80,0)),"CEK JENIS ZONA",IF($D395="","Zona STOCK",IF($E395="","CEK SKU DESCRIPTION kosong",IF(AND(AE395&lt;&gt;"",AF395=""),"CEK URUTAN SAMBUNG kosong",IF(AND(AE395&lt;&gt;"",LEFT(AH395,6)="Endcap"),"CEK Endcap tidak ikut sambung","OK")))))))))</f>
        <v/>
      </c>
    </row>
    <row r="396">
      <c r="A396" s="10" t="n"/>
      <c r="B396" s="10" t="n"/>
      <c r="C396" s="10" t="n"/>
      <c r="D396" s="10" t="n"/>
      <c r="E396" s="10" t="n"/>
      <c r="F396" s="10" t="n"/>
      <c r="G396" s="10" t="n"/>
      <c r="H396" s="10" t="n"/>
      <c r="I396" s="10" t="n"/>
      <c r="J396" s="10" t="n"/>
      <c r="K396" s="10" t="n"/>
      <c r="L396" s="11" t="n"/>
      <c r="M396" s="11" t="n"/>
      <c r="N396" s="11" t="n"/>
      <c r="O396" s="11" t="n"/>
      <c r="P396" s="11" t="n"/>
      <c r="Q396" s="11" t="n"/>
      <c r="R396" s="12">
        <f>IF(L396="","",IFERROR(INDEX(DAFTAR_FIXTURE!$B$2:$B$51,MATCH(L396,DAFTAR_FIXTURE!$A$2:$A$51,0)),""))</f>
        <v/>
      </c>
      <c r="S396" s="12">
        <f>IF(AND($D396="",L396=""),"",IF(L396="",IF(AND(T396="",AB396=""),"Belum ditempatkan",""),IF(R396="","CEK ID FIXTURE tidak ada di DAFTAR_FIXTURE",IF(M396="","CEK ZONA NO kosong",IF(ISNA(MATCH(R396&amp;"|"&amp;M396,LAYOUT!$E$2:$E$80,0)),"CEK ZONA NO di luar layout",IF(N396&lt;&gt;INDEX(LAYOUT!$D$2:$D$80,MATCH(R396&amp;"|"&amp;M396,LAYOUT!$E$2:$E$80,0)),"CEK JENIS ZONA",IF($D396="","Zona STOCK",IF($E396="","CEK SKU DESCRIPTION kosong",IF(AND(O396&lt;&gt;"",P396=""),"CEK URUTAN SAMBUNG kosong",IF(AND(O396&lt;&gt;"",LEFT(R396,6)="Endcap"),"CEK Endcap tidak ikut sambung","OK"))))))))))</f>
        <v/>
      </c>
      <c r="T396" s="11" t="n"/>
      <c r="U396" s="11" t="n"/>
      <c r="V396" s="11" t="n"/>
      <c r="W396" s="11" t="n"/>
      <c r="X396" s="11" t="n"/>
      <c r="Y396" s="11" t="n"/>
      <c r="Z396" s="12">
        <f>IF(T396="","",IFERROR(INDEX(DAFTAR_FIXTURE!$B$2:$B$51,MATCH(T396,DAFTAR_FIXTURE!$A$2:$A$51,0)),""))</f>
        <v/>
      </c>
      <c r="AA396" s="12">
        <f>IF(T396="","",IF(Z396="","CEK ID FIXTURE tidak ada di DAFTAR_FIXTURE",IF(U396="","CEK ZONA NO kosong",IF(ISNA(MATCH(Z396&amp;"|"&amp;U396,LAYOUT!$E$2:$E$80,0)),"CEK ZONA NO di luar layout",IF(V396&lt;&gt;INDEX(LAYOUT!$D$2:$D$80,MATCH(Z396&amp;"|"&amp;U396,LAYOUT!$E$2:$E$80,0)),"CEK JENIS ZONA",IF($D396="","Zona STOCK",IF($E396="","CEK SKU DESCRIPTION kosong",IF(AND(W396&lt;&gt;"",X396=""),"CEK URUTAN SAMBUNG kosong",IF(AND(W396&lt;&gt;"",LEFT(Z396,6)="Endcap"),"CEK Endcap tidak ikut sambung","OK")))))))))</f>
        <v/>
      </c>
      <c r="AB396" s="11" t="n"/>
      <c r="AC396" s="11" t="n"/>
      <c r="AD396" s="11" t="n"/>
      <c r="AE396" s="11" t="n"/>
      <c r="AF396" s="11" t="n"/>
      <c r="AG396" s="11" t="n"/>
      <c r="AH396" s="12">
        <f>IF(AB396="","",IFERROR(INDEX(DAFTAR_FIXTURE!$B$2:$B$51,MATCH(AB396,DAFTAR_FIXTURE!$A$2:$A$51,0)),""))</f>
        <v/>
      </c>
      <c r="AI396" s="12">
        <f>IF(AB396="","",IF(AH396="","CEK ID FIXTURE tidak ada di DAFTAR_FIXTURE",IF(AC396="","CEK ZONA NO kosong",IF(ISNA(MATCH(AH396&amp;"|"&amp;AC396,LAYOUT!$E$2:$E$80,0)),"CEK ZONA NO di luar layout",IF(AD396&lt;&gt;INDEX(LAYOUT!$D$2:$D$80,MATCH(AH396&amp;"|"&amp;AC396,LAYOUT!$E$2:$E$80,0)),"CEK JENIS ZONA",IF($D396="","Zona STOCK",IF($E396="","CEK SKU DESCRIPTION kosong",IF(AND(AE396&lt;&gt;"",AF396=""),"CEK URUTAN SAMBUNG kosong",IF(AND(AE396&lt;&gt;"",LEFT(AH396,6)="Endcap"),"CEK Endcap tidak ikut sambung","OK")))))))))</f>
        <v/>
      </c>
    </row>
    <row r="397">
      <c r="A397" s="10" t="n"/>
      <c r="B397" s="10" t="n"/>
      <c r="C397" s="10" t="n"/>
      <c r="D397" s="10" t="n"/>
      <c r="E397" s="10" t="n"/>
      <c r="F397" s="10" t="n"/>
      <c r="G397" s="10" t="n"/>
      <c r="H397" s="10" t="n"/>
      <c r="I397" s="10" t="n"/>
      <c r="J397" s="10" t="n"/>
      <c r="K397" s="10" t="n"/>
      <c r="L397" s="11" t="n"/>
      <c r="M397" s="11" t="n"/>
      <c r="N397" s="11" t="n"/>
      <c r="O397" s="11" t="n"/>
      <c r="P397" s="11" t="n"/>
      <c r="Q397" s="11" t="n"/>
      <c r="R397" s="12">
        <f>IF(L397="","",IFERROR(INDEX(DAFTAR_FIXTURE!$B$2:$B$51,MATCH(L397,DAFTAR_FIXTURE!$A$2:$A$51,0)),""))</f>
        <v/>
      </c>
      <c r="S397" s="12">
        <f>IF(AND($D397="",L397=""),"",IF(L397="",IF(AND(T397="",AB397=""),"Belum ditempatkan",""),IF(R397="","CEK ID FIXTURE tidak ada di DAFTAR_FIXTURE",IF(M397="","CEK ZONA NO kosong",IF(ISNA(MATCH(R397&amp;"|"&amp;M397,LAYOUT!$E$2:$E$80,0)),"CEK ZONA NO di luar layout",IF(N397&lt;&gt;INDEX(LAYOUT!$D$2:$D$80,MATCH(R397&amp;"|"&amp;M397,LAYOUT!$E$2:$E$80,0)),"CEK JENIS ZONA",IF($D397="","Zona STOCK",IF($E397="","CEK SKU DESCRIPTION kosong",IF(AND(O397&lt;&gt;"",P397=""),"CEK URUTAN SAMBUNG kosong",IF(AND(O397&lt;&gt;"",LEFT(R397,6)="Endcap"),"CEK Endcap tidak ikut sambung","OK"))))))))))</f>
        <v/>
      </c>
      <c r="T397" s="11" t="n"/>
      <c r="U397" s="11" t="n"/>
      <c r="V397" s="11" t="n"/>
      <c r="W397" s="11" t="n"/>
      <c r="X397" s="11" t="n"/>
      <c r="Y397" s="11" t="n"/>
      <c r="Z397" s="12">
        <f>IF(T397="","",IFERROR(INDEX(DAFTAR_FIXTURE!$B$2:$B$51,MATCH(T397,DAFTAR_FIXTURE!$A$2:$A$51,0)),""))</f>
        <v/>
      </c>
      <c r="AA397" s="12">
        <f>IF(T397="","",IF(Z397="","CEK ID FIXTURE tidak ada di DAFTAR_FIXTURE",IF(U397="","CEK ZONA NO kosong",IF(ISNA(MATCH(Z397&amp;"|"&amp;U397,LAYOUT!$E$2:$E$80,0)),"CEK ZONA NO di luar layout",IF(V397&lt;&gt;INDEX(LAYOUT!$D$2:$D$80,MATCH(Z397&amp;"|"&amp;U397,LAYOUT!$E$2:$E$80,0)),"CEK JENIS ZONA",IF($D397="","Zona STOCK",IF($E397="","CEK SKU DESCRIPTION kosong",IF(AND(W397&lt;&gt;"",X397=""),"CEK URUTAN SAMBUNG kosong",IF(AND(W397&lt;&gt;"",LEFT(Z397,6)="Endcap"),"CEK Endcap tidak ikut sambung","OK")))))))))</f>
        <v/>
      </c>
      <c r="AB397" s="11" t="n"/>
      <c r="AC397" s="11" t="n"/>
      <c r="AD397" s="11" t="n"/>
      <c r="AE397" s="11" t="n"/>
      <c r="AF397" s="11" t="n"/>
      <c r="AG397" s="11" t="n"/>
      <c r="AH397" s="12">
        <f>IF(AB397="","",IFERROR(INDEX(DAFTAR_FIXTURE!$B$2:$B$51,MATCH(AB397,DAFTAR_FIXTURE!$A$2:$A$51,0)),""))</f>
        <v/>
      </c>
      <c r="AI397" s="12">
        <f>IF(AB397="","",IF(AH397="","CEK ID FIXTURE tidak ada di DAFTAR_FIXTURE",IF(AC397="","CEK ZONA NO kosong",IF(ISNA(MATCH(AH397&amp;"|"&amp;AC397,LAYOUT!$E$2:$E$80,0)),"CEK ZONA NO di luar layout",IF(AD397&lt;&gt;INDEX(LAYOUT!$D$2:$D$80,MATCH(AH397&amp;"|"&amp;AC397,LAYOUT!$E$2:$E$80,0)),"CEK JENIS ZONA",IF($D397="","Zona STOCK",IF($E397="","CEK SKU DESCRIPTION kosong",IF(AND(AE397&lt;&gt;"",AF397=""),"CEK URUTAN SAMBUNG kosong",IF(AND(AE397&lt;&gt;"",LEFT(AH397,6)="Endcap"),"CEK Endcap tidak ikut sambung","OK")))))))))</f>
        <v/>
      </c>
    </row>
    <row r="398">
      <c r="A398" s="10" t="n"/>
      <c r="B398" s="10" t="n"/>
      <c r="C398" s="10" t="n"/>
      <c r="D398" s="10" t="n"/>
      <c r="E398" s="10" t="n"/>
      <c r="F398" s="10" t="n"/>
      <c r="G398" s="10" t="n"/>
      <c r="H398" s="10" t="n"/>
      <c r="I398" s="10" t="n"/>
      <c r="J398" s="10" t="n"/>
      <c r="K398" s="10" t="n"/>
      <c r="L398" s="11" t="n"/>
      <c r="M398" s="11" t="n"/>
      <c r="N398" s="11" t="n"/>
      <c r="O398" s="11" t="n"/>
      <c r="P398" s="11" t="n"/>
      <c r="Q398" s="11" t="n"/>
      <c r="R398" s="12">
        <f>IF(L398="","",IFERROR(INDEX(DAFTAR_FIXTURE!$B$2:$B$51,MATCH(L398,DAFTAR_FIXTURE!$A$2:$A$51,0)),""))</f>
        <v/>
      </c>
      <c r="S398" s="12">
        <f>IF(AND($D398="",L398=""),"",IF(L398="",IF(AND(T398="",AB398=""),"Belum ditempatkan",""),IF(R398="","CEK ID FIXTURE tidak ada di DAFTAR_FIXTURE",IF(M398="","CEK ZONA NO kosong",IF(ISNA(MATCH(R398&amp;"|"&amp;M398,LAYOUT!$E$2:$E$80,0)),"CEK ZONA NO di luar layout",IF(N398&lt;&gt;INDEX(LAYOUT!$D$2:$D$80,MATCH(R398&amp;"|"&amp;M398,LAYOUT!$E$2:$E$80,0)),"CEK JENIS ZONA",IF($D398="","Zona STOCK",IF($E398="","CEK SKU DESCRIPTION kosong",IF(AND(O398&lt;&gt;"",P398=""),"CEK URUTAN SAMBUNG kosong",IF(AND(O398&lt;&gt;"",LEFT(R398,6)="Endcap"),"CEK Endcap tidak ikut sambung","OK"))))))))))</f>
        <v/>
      </c>
      <c r="T398" s="11" t="n"/>
      <c r="U398" s="11" t="n"/>
      <c r="V398" s="11" t="n"/>
      <c r="W398" s="11" t="n"/>
      <c r="X398" s="11" t="n"/>
      <c r="Y398" s="11" t="n"/>
      <c r="Z398" s="12">
        <f>IF(T398="","",IFERROR(INDEX(DAFTAR_FIXTURE!$B$2:$B$51,MATCH(T398,DAFTAR_FIXTURE!$A$2:$A$51,0)),""))</f>
        <v/>
      </c>
      <c r="AA398" s="12">
        <f>IF(T398="","",IF(Z398="","CEK ID FIXTURE tidak ada di DAFTAR_FIXTURE",IF(U398="","CEK ZONA NO kosong",IF(ISNA(MATCH(Z398&amp;"|"&amp;U398,LAYOUT!$E$2:$E$80,0)),"CEK ZONA NO di luar layout",IF(V398&lt;&gt;INDEX(LAYOUT!$D$2:$D$80,MATCH(Z398&amp;"|"&amp;U398,LAYOUT!$E$2:$E$80,0)),"CEK JENIS ZONA",IF($D398="","Zona STOCK",IF($E398="","CEK SKU DESCRIPTION kosong",IF(AND(W398&lt;&gt;"",X398=""),"CEK URUTAN SAMBUNG kosong",IF(AND(W398&lt;&gt;"",LEFT(Z398,6)="Endcap"),"CEK Endcap tidak ikut sambung","OK")))))))))</f>
        <v/>
      </c>
      <c r="AB398" s="11" t="n"/>
      <c r="AC398" s="11" t="n"/>
      <c r="AD398" s="11" t="n"/>
      <c r="AE398" s="11" t="n"/>
      <c r="AF398" s="11" t="n"/>
      <c r="AG398" s="11" t="n"/>
      <c r="AH398" s="12">
        <f>IF(AB398="","",IFERROR(INDEX(DAFTAR_FIXTURE!$B$2:$B$51,MATCH(AB398,DAFTAR_FIXTURE!$A$2:$A$51,0)),""))</f>
        <v/>
      </c>
      <c r="AI398" s="12">
        <f>IF(AB398="","",IF(AH398="","CEK ID FIXTURE tidak ada di DAFTAR_FIXTURE",IF(AC398="","CEK ZONA NO kosong",IF(ISNA(MATCH(AH398&amp;"|"&amp;AC398,LAYOUT!$E$2:$E$80,0)),"CEK ZONA NO di luar layout",IF(AD398&lt;&gt;INDEX(LAYOUT!$D$2:$D$80,MATCH(AH398&amp;"|"&amp;AC398,LAYOUT!$E$2:$E$80,0)),"CEK JENIS ZONA",IF($D398="","Zona STOCK",IF($E398="","CEK SKU DESCRIPTION kosong",IF(AND(AE398&lt;&gt;"",AF398=""),"CEK URUTAN SAMBUNG kosong",IF(AND(AE398&lt;&gt;"",LEFT(AH398,6)="Endcap"),"CEK Endcap tidak ikut sambung","OK")))))))))</f>
        <v/>
      </c>
    </row>
    <row r="399">
      <c r="A399" s="10" t="n"/>
      <c r="B399" s="10" t="n"/>
      <c r="C399" s="10" t="n"/>
      <c r="D399" s="10" t="n"/>
      <c r="E399" s="10" t="n"/>
      <c r="F399" s="10" t="n"/>
      <c r="G399" s="10" t="n"/>
      <c r="H399" s="10" t="n"/>
      <c r="I399" s="10" t="n"/>
      <c r="J399" s="10" t="n"/>
      <c r="K399" s="10" t="n"/>
      <c r="L399" s="11" t="n"/>
      <c r="M399" s="11" t="n"/>
      <c r="N399" s="11" t="n"/>
      <c r="O399" s="11" t="n"/>
      <c r="P399" s="11" t="n"/>
      <c r="Q399" s="11" t="n"/>
      <c r="R399" s="12">
        <f>IF(L399="","",IFERROR(INDEX(DAFTAR_FIXTURE!$B$2:$B$51,MATCH(L399,DAFTAR_FIXTURE!$A$2:$A$51,0)),""))</f>
        <v/>
      </c>
      <c r="S399" s="12">
        <f>IF(AND($D399="",L399=""),"",IF(L399="",IF(AND(T399="",AB399=""),"Belum ditempatkan",""),IF(R399="","CEK ID FIXTURE tidak ada di DAFTAR_FIXTURE",IF(M399="","CEK ZONA NO kosong",IF(ISNA(MATCH(R399&amp;"|"&amp;M399,LAYOUT!$E$2:$E$80,0)),"CEK ZONA NO di luar layout",IF(N399&lt;&gt;INDEX(LAYOUT!$D$2:$D$80,MATCH(R399&amp;"|"&amp;M399,LAYOUT!$E$2:$E$80,0)),"CEK JENIS ZONA",IF($D399="","Zona STOCK",IF($E399="","CEK SKU DESCRIPTION kosong",IF(AND(O399&lt;&gt;"",P399=""),"CEK URUTAN SAMBUNG kosong",IF(AND(O399&lt;&gt;"",LEFT(R399,6)="Endcap"),"CEK Endcap tidak ikut sambung","OK"))))))))))</f>
        <v/>
      </c>
      <c r="T399" s="11" t="n"/>
      <c r="U399" s="11" t="n"/>
      <c r="V399" s="11" t="n"/>
      <c r="W399" s="11" t="n"/>
      <c r="X399" s="11" t="n"/>
      <c r="Y399" s="11" t="n"/>
      <c r="Z399" s="12">
        <f>IF(T399="","",IFERROR(INDEX(DAFTAR_FIXTURE!$B$2:$B$51,MATCH(T399,DAFTAR_FIXTURE!$A$2:$A$51,0)),""))</f>
        <v/>
      </c>
      <c r="AA399" s="12">
        <f>IF(T399="","",IF(Z399="","CEK ID FIXTURE tidak ada di DAFTAR_FIXTURE",IF(U399="","CEK ZONA NO kosong",IF(ISNA(MATCH(Z399&amp;"|"&amp;U399,LAYOUT!$E$2:$E$80,0)),"CEK ZONA NO di luar layout",IF(V399&lt;&gt;INDEX(LAYOUT!$D$2:$D$80,MATCH(Z399&amp;"|"&amp;U399,LAYOUT!$E$2:$E$80,0)),"CEK JENIS ZONA",IF($D399="","Zona STOCK",IF($E399="","CEK SKU DESCRIPTION kosong",IF(AND(W399&lt;&gt;"",X399=""),"CEK URUTAN SAMBUNG kosong",IF(AND(W399&lt;&gt;"",LEFT(Z399,6)="Endcap"),"CEK Endcap tidak ikut sambung","OK")))))))))</f>
        <v/>
      </c>
      <c r="AB399" s="11" t="n"/>
      <c r="AC399" s="11" t="n"/>
      <c r="AD399" s="11" t="n"/>
      <c r="AE399" s="11" t="n"/>
      <c r="AF399" s="11" t="n"/>
      <c r="AG399" s="11" t="n"/>
      <c r="AH399" s="12">
        <f>IF(AB399="","",IFERROR(INDEX(DAFTAR_FIXTURE!$B$2:$B$51,MATCH(AB399,DAFTAR_FIXTURE!$A$2:$A$51,0)),""))</f>
        <v/>
      </c>
      <c r="AI399" s="12">
        <f>IF(AB399="","",IF(AH399="","CEK ID FIXTURE tidak ada di DAFTAR_FIXTURE",IF(AC399="","CEK ZONA NO kosong",IF(ISNA(MATCH(AH399&amp;"|"&amp;AC399,LAYOUT!$E$2:$E$80,0)),"CEK ZONA NO di luar layout",IF(AD399&lt;&gt;INDEX(LAYOUT!$D$2:$D$80,MATCH(AH399&amp;"|"&amp;AC399,LAYOUT!$E$2:$E$80,0)),"CEK JENIS ZONA",IF($D399="","Zona STOCK",IF($E399="","CEK SKU DESCRIPTION kosong",IF(AND(AE399&lt;&gt;"",AF399=""),"CEK URUTAN SAMBUNG kosong",IF(AND(AE399&lt;&gt;"",LEFT(AH399,6)="Endcap"),"CEK Endcap tidak ikut sambung","OK")))))))))</f>
        <v/>
      </c>
    </row>
    <row r="400">
      <c r="A400" s="10" t="n"/>
      <c r="B400" s="10" t="n"/>
      <c r="C400" s="10" t="n"/>
      <c r="D400" s="10" t="n"/>
      <c r="E400" s="10" t="n"/>
      <c r="F400" s="10" t="n"/>
      <c r="G400" s="10" t="n"/>
      <c r="H400" s="10" t="n"/>
      <c r="I400" s="10" t="n"/>
      <c r="J400" s="10" t="n"/>
      <c r="K400" s="10" t="n"/>
      <c r="L400" s="11" t="n"/>
      <c r="M400" s="11" t="n"/>
      <c r="N400" s="11" t="n"/>
      <c r="O400" s="11" t="n"/>
      <c r="P400" s="11" t="n"/>
      <c r="Q400" s="11" t="n"/>
      <c r="R400" s="12">
        <f>IF(L400="","",IFERROR(INDEX(DAFTAR_FIXTURE!$B$2:$B$51,MATCH(L400,DAFTAR_FIXTURE!$A$2:$A$51,0)),""))</f>
        <v/>
      </c>
      <c r="S400" s="12">
        <f>IF(AND($D400="",L400=""),"",IF(L400="",IF(AND(T400="",AB400=""),"Belum ditempatkan",""),IF(R400="","CEK ID FIXTURE tidak ada di DAFTAR_FIXTURE",IF(M400="","CEK ZONA NO kosong",IF(ISNA(MATCH(R400&amp;"|"&amp;M400,LAYOUT!$E$2:$E$80,0)),"CEK ZONA NO di luar layout",IF(N400&lt;&gt;INDEX(LAYOUT!$D$2:$D$80,MATCH(R400&amp;"|"&amp;M400,LAYOUT!$E$2:$E$80,0)),"CEK JENIS ZONA",IF($D400="","Zona STOCK",IF($E400="","CEK SKU DESCRIPTION kosong",IF(AND(O400&lt;&gt;"",P400=""),"CEK URUTAN SAMBUNG kosong",IF(AND(O400&lt;&gt;"",LEFT(R400,6)="Endcap"),"CEK Endcap tidak ikut sambung","OK"))))))))))</f>
        <v/>
      </c>
      <c r="T400" s="11" t="n"/>
      <c r="U400" s="11" t="n"/>
      <c r="V400" s="11" t="n"/>
      <c r="W400" s="11" t="n"/>
      <c r="X400" s="11" t="n"/>
      <c r="Y400" s="11" t="n"/>
      <c r="Z400" s="12">
        <f>IF(T400="","",IFERROR(INDEX(DAFTAR_FIXTURE!$B$2:$B$51,MATCH(T400,DAFTAR_FIXTURE!$A$2:$A$51,0)),""))</f>
        <v/>
      </c>
      <c r="AA400" s="12">
        <f>IF(T400="","",IF(Z400="","CEK ID FIXTURE tidak ada di DAFTAR_FIXTURE",IF(U400="","CEK ZONA NO kosong",IF(ISNA(MATCH(Z400&amp;"|"&amp;U400,LAYOUT!$E$2:$E$80,0)),"CEK ZONA NO di luar layout",IF(V400&lt;&gt;INDEX(LAYOUT!$D$2:$D$80,MATCH(Z400&amp;"|"&amp;U400,LAYOUT!$E$2:$E$80,0)),"CEK JENIS ZONA",IF($D400="","Zona STOCK",IF($E400="","CEK SKU DESCRIPTION kosong",IF(AND(W400&lt;&gt;"",X400=""),"CEK URUTAN SAMBUNG kosong",IF(AND(W400&lt;&gt;"",LEFT(Z400,6)="Endcap"),"CEK Endcap tidak ikut sambung","OK")))))))))</f>
        <v/>
      </c>
      <c r="AB400" s="11" t="n"/>
      <c r="AC400" s="11" t="n"/>
      <c r="AD400" s="11" t="n"/>
      <c r="AE400" s="11" t="n"/>
      <c r="AF400" s="11" t="n"/>
      <c r="AG400" s="11" t="n"/>
      <c r="AH400" s="12">
        <f>IF(AB400="","",IFERROR(INDEX(DAFTAR_FIXTURE!$B$2:$B$51,MATCH(AB400,DAFTAR_FIXTURE!$A$2:$A$51,0)),""))</f>
        <v/>
      </c>
      <c r="AI400" s="12">
        <f>IF(AB400="","",IF(AH400="","CEK ID FIXTURE tidak ada di DAFTAR_FIXTURE",IF(AC400="","CEK ZONA NO kosong",IF(ISNA(MATCH(AH400&amp;"|"&amp;AC400,LAYOUT!$E$2:$E$80,0)),"CEK ZONA NO di luar layout",IF(AD400&lt;&gt;INDEX(LAYOUT!$D$2:$D$80,MATCH(AH400&amp;"|"&amp;AC400,LAYOUT!$E$2:$E$80,0)),"CEK JENIS ZONA",IF($D400="","Zona STOCK",IF($E400="","CEK SKU DESCRIPTION kosong",IF(AND(AE400&lt;&gt;"",AF400=""),"CEK URUTAN SAMBUNG kosong",IF(AND(AE400&lt;&gt;"",LEFT(AH400,6)="Endcap"),"CEK Endcap tidak ikut sambung","OK")))))))))</f>
        <v/>
      </c>
    </row>
    <row r="401">
      <c r="A401" s="10" t="n"/>
      <c r="B401" s="10" t="n"/>
      <c r="C401" s="10" t="n"/>
      <c r="D401" s="10" t="n"/>
      <c r="E401" s="10" t="n"/>
      <c r="F401" s="10" t="n"/>
      <c r="G401" s="10" t="n"/>
      <c r="H401" s="10" t="n"/>
      <c r="I401" s="10" t="n"/>
      <c r="J401" s="10" t="n"/>
      <c r="K401" s="10" t="n"/>
      <c r="L401" s="11" t="n"/>
      <c r="M401" s="11" t="n"/>
      <c r="N401" s="11" t="n"/>
      <c r="O401" s="11" t="n"/>
      <c r="P401" s="11" t="n"/>
      <c r="Q401" s="11" t="n"/>
      <c r="R401" s="12">
        <f>IF(L401="","",IFERROR(INDEX(DAFTAR_FIXTURE!$B$2:$B$51,MATCH(L401,DAFTAR_FIXTURE!$A$2:$A$51,0)),""))</f>
        <v/>
      </c>
      <c r="S401" s="12">
        <f>IF(AND($D401="",L401=""),"",IF(L401="",IF(AND(T401="",AB401=""),"Belum ditempatkan",""),IF(R401="","CEK ID FIXTURE tidak ada di DAFTAR_FIXTURE",IF(M401="","CEK ZONA NO kosong",IF(ISNA(MATCH(R401&amp;"|"&amp;M401,LAYOUT!$E$2:$E$80,0)),"CEK ZONA NO di luar layout",IF(N401&lt;&gt;INDEX(LAYOUT!$D$2:$D$80,MATCH(R401&amp;"|"&amp;M401,LAYOUT!$E$2:$E$80,0)),"CEK JENIS ZONA",IF($D401="","Zona STOCK",IF($E401="","CEK SKU DESCRIPTION kosong",IF(AND(O401&lt;&gt;"",P401=""),"CEK URUTAN SAMBUNG kosong",IF(AND(O401&lt;&gt;"",LEFT(R401,6)="Endcap"),"CEK Endcap tidak ikut sambung","OK"))))))))))</f>
        <v/>
      </c>
      <c r="T401" s="11" t="n"/>
      <c r="U401" s="11" t="n"/>
      <c r="V401" s="11" t="n"/>
      <c r="W401" s="11" t="n"/>
      <c r="X401" s="11" t="n"/>
      <c r="Y401" s="11" t="n"/>
      <c r="Z401" s="12">
        <f>IF(T401="","",IFERROR(INDEX(DAFTAR_FIXTURE!$B$2:$B$51,MATCH(T401,DAFTAR_FIXTURE!$A$2:$A$51,0)),""))</f>
        <v/>
      </c>
      <c r="AA401" s="12">
        <f>IF(T401="","",IF(Z401="","CEK ID FIXTURE tidak ada di DAFTAR_FIXTURE",IF(U401="","CEK ZONA NO kosong",IF(ISNA(MATCH(Z401&amp;"|"&amp;U401,LAYOUT!$E$2:$E$80,0)),"CEK ZONA NO di luar layout",IF(V401&lt;&gt;INDEX(LAYOUT!$D$2:$D$80,MATCH(Z401&amp;"|"&amp;U401,LAYOUT!$E$2:$E$80,0)),"CEK JENIS ZONA",IF($D401="","Zona STOCK",IF($E401="","CEK SKU DESCRIPTION kosong",IF(AND(W401&lt;&gt;"",X401=""),"CEK URUTAN SAMBUNG kosong",IF(AND(W401&lt;&gt;"",LEFT(Z401,6)="Endcap"),"CEK Endcap tidak ikut sambung","OK")))))))))</f>
        <v/>
      </c>
      <c r="AB401" s="11" t="n"/>
      <c r="AC401" s="11" t="n"/>
      <c r="AD401" s="11" t="n"/>
      <c r="AE401" s="11" t="n"/>
      <c r="AF401" s="11" t="n"/>
      <c r="AG401" s="11" t="n"/>
      <c r="AH401" s="12">
        <f>IF(AB401="","",IFERROR(INDEX(DAFTAR_FIXTURE!$B$2:$B$51,MATCH(AB401,DAFTAR_FIXTURE!$A$2:$A$51,0)),""))</f>
        <v/>
      </c>
      <c r="AI401" s="12">
        <f>IF(AB401="","",IF(AH401="","CEK ID FIXTURE tidak ada di DAFTAR_FIXTURE",IF(AC401="","CEK ZONA NO kosong",IF(ISNA(MATCH(AH401&amp;"|"&amp;AC401,LAYOUT!$E$2:$E$80,0)),"CEK ZONA NO di luar layout",IF(AD401&lt;&gt;INDEX(LAYOUT!$D$2:$D$80,MATCH(AH401&amp;"|"&amp;AC401,LAYOUT!$E$2:$E$80,0)),"CEK JENIS ZONA",IF($D401="","Zona STOCK",IF($E401="","CEK SKU DESCRIPTION kosong",IF(AND(AE401&lt;&gt;"",AF401=""),"CEK URUTAN SAMBUNG kosong",IF(AND(AE401&lt;&gt;"",LEFT(AH401,6)="Endcap"),"CEK Endcap tidak ikut sambung","OK")))))))))</f>
        <v/>
      </c>
    </row>
    <row r="402">
      <c r="A402" s="10" t="n"/>
      <c r="B402" s="10" t="n"/>
      <c r="C402" s="10" t="n"/>
      <c r="D402" s="10" t="n"/>
      <c r="E402" s="10" t="n"/>
      <c r="F402" s="10" t="n"/>
      <c r="G402" s="10" t="n"/>
      <c r="H402" s="10" t="n"/>
      <c r="I402" s="10" t="n"/>
      <c r="J402" s="10" t="n"/>
      <c r="K402" s="10" t="n"/>
      <c r="L402" s="11" t="n"/>
      <c r="M402" s="11" t="n"/>
      <c r="N402" s="11" t="n"/>
      <c r="O402" s="11" t="n"/>
      <c r="P402" s="11" t="n"/>
      <c r="Q402" s="11" t="n"/>
      <c r="R402" s="12">
        <f>IF(L402="","",IFERROR(INDEX(DAFTAR_FIXTURE!$B$2:$B$51,MATCH(L402,DAFTAR_FIXTURE!$A$2:$A$51,0)),""))</f>
        <v/>
      </c>
      <c r="S402" s="12">
        <f>IF(AND($D402="",L402=""),"",IF(L402="",IF(AND(T402="",AB402=""),"Belum ditempatkan",""),IF(R402="","CEK ID FIXTURE tidak ada di DAFTAR_FIXTURE",IF(M402="","CEK ZONA NO kosong",IF(ISNA(MATCH(R402&amp;"|"&amp;M402,LAYOUT!$E$2:$E$80,0)),"CEK ZONA NO di luar layout",IF(N402&lt;&gt;INDEX(LAYOUT!$D$2:$D$80,MATCH(R402&amp;"|"&amp;M402,LAYOUT!$E$2:$E$80,0)),"CEK JENIS ZONA",IF($D402="","Zona STOCK",IF($E402="","CEK SKU DESCRIPTION kosong",IF(AND(O402&lt;&gt;"",P402=""),"CEK URUTAN SAMBUNG kosong",IF(AND(O402&lt;&gt;"",LEFT(R402,6)="Endcap"),"CEK Endcap tidak ikut sambung","OK"))))))))))</f>
        <v/>
      </c>
      <c r="T402" s="11" t="n"/>
      <c r="U402" s="11" t="n"/>
      <c r="V402" s="11" t="n"/>
      <c r="W402" s="11" t="n"/>
      <c r="X402" s="11" t="n"/>
      <c r="Y402" s="11" t="n"/>
      <c r="Z402" s="12">
        <f>IF(T402="","",IFERROR(INDEX(DAFTAR_FIXTURE!$B$2:$B$51,MATCH(T402,DAFTAR_FIXTURE!$A$2:$A$51,0)),""))</f>
        <v/>
      </c>
      <c r="AA402" s="12">
        <f>IF(T402="","",IF(Z402="","CEK ID FIXTURE tidak ada di DAFTAR_FIXTURE",IF(U402="","CEK ZONA NO kosong",IF(ISNA(MATCH(Z402&amp;"|"&amp;U402,LAYOUT!$E$2:$E$80,0)),"CEK ZONA NO di luar layout",IF(V402&lt;&gt;INDEX(LAYOUT!$D$2:$D$80,MATCH(Z402&amp;"|"&amp;U402,LAYOUT!$E$2:$E$80,0)),"CEK JENIS ZONA",IF($D402="","Zona STOCK",IF($E402="","CEK SKU DESCRIPTION kosong",IF(AND(W402&lt;&gt;"",X402=""),"CEK URUTAN SAMBUNG kosong",IF(AND(W402&lt;&gt;"",LEFT(Z402,6)="Endcap"),"CEK Endcap tidak ikut sambung","OK")))))))))</f>
        <v/>
      </c>
      <c r="AB402" s="11" t="n"/>
      <c r="AC402" s="11" t="n"/>
      <c r="AD402" s="11" t="n"/>
      <c r="AE402" s="11" t="n"/>
      <c r="AF402" s="11" t="n"/>
      <c r="AG402" s="11" t="n"/>
      <c r="AH402" s="12">
        <f>IF(AB402="","",IFERROR(INDEX(DAFTAR_FIXTURE!$B$2:$B$51,MATCH(AB402,DAFTAR_FIXTURE!$A$2:$A$51,0)),""))</f>
        <v/>
      </c>
      <c r="AI402" s="12">
        <f>IF(AB402="","",IF(AH402="","CEK ID FIXTURE tidak ada di DAFTAR_FIXTURE",IF(AC402="","CEK ZONA NO kosong",IF(ISNA(MATCH(AH402&amp;"|"&amp;AC402,LAYOUT!$E$2:$E$80,0)),"CEK ZONA NO di luar layout",IF(AD402&lt;&gt;INDEX(LAYOUT!$D$2:$D$80,MATCH(AH402&amp;"|"&amp;AC402,LAYOUT!$E$2:$E$80,0)),"CEK JENIS ZONA",IF($D402="","Zona STOCK",IF($E402="","CEK SKU DESCRIPTION kosong",IF(AND(AE402&lt;&gt;"",AF402=""),"CEK URUTAN SAMBUNG kosong",IF(AND(AE402&lt;&gt;"",LEFT(AH402,6)="Endcap"),"CEK Endcap tidak ikut sambung","OK")))))))))</f>
        <v/>
      </c>
    </row>
    <row r="403">
      <c r="A403" s="10" t="n"/>
      <c r="B403" s="10" t="n"/>
      <c r="C403" s="10" t="n"/>
      <c r="D403" s="10" t="n"/>
      <c r="E403" s="10" t="n"/>
      <c r="F403" s="10" t="n"/>
      <c r="G403" s="10" t="n"/>
      <c r="H403" s="10" t="n"/>
      <c r="I403" s="10" t="n"/>
      <c r="J403" s="10" t="n"/>
      <c r="K403" s="10" t="n"/>
      <c r="L403" s="11" t="n"/>
      <c r="M403" s="11" t="n"/>
      <c r="N403" s="11" t="n"/>
      <c r="O403" s="11" t="n"/>
      <c r="P403" s="11" t="n"/>
      <c r="Q403" s="11" t="n"/>
      <c r="R403" s="12">
        <f>IF(L403="","",IFERROR(INDEX(DAFTAR_FIXTURE!$B$2:$B$51,MATCH(L403,DAFTAR_FIXTURE!$A$2:$A$51,0)),""))</f>
        <v/>
      </c>
      <c r="S403" s="12">
        <f>IF(AND($D403="",L403=""),"",IF(L403="",IF(AND(T403="",AB403=""),"Belum ditempatkan",""),IF(R403="","CEK ID FIXTURE tidak ada di DAFTAR_FIXTURE",IF(M403="","CEK ZONA NO kosong",IF(ISNA(MATCH(R403&amp;"|"&amp;M403,LAYOUT!$E$2:$E$80,0)),"CEK ZONA NO di luar layout",IF(N403&lt;&gt;INDEX(LAYOUT!$D$2:$D$80,MATCH(R403&amp;"|"&amp;M403,LAYOUT!$E$2:$E$80,0)),"CEK JENIS ZONA",IF($D403="","Zona STOCK",IF($E403="","CEK SKU DESCRIPTION kosong",IF(AND(O403&lt;&gt;"",P403=""),"CEK URUTAN SAMBUNG kosong",IF(AND(O403&lt;&gt;"",LEFT(R403,6)="Endcap"),"CEK Endcap tidak ikut sambung","OK"))))))))))</f>
        <v/>
      </c>
      <c r="T403" s="11" t="n"/>
      <c r="U403" s="11" t="n"/>
      <c r="V403" s="11" t="n"/>
      <c r="W403" s="11" t="n"/>
      <c r="X403" s="11" t="n"/>
      <c r="Y403" s="11" t="n"/>
      <c r="Z403" s="12">
        <f>IF(T403="","",IFERROR(INDEX(DAFTAR_FIXTURE!$B$2:$B$51,MATCH(T403,DAFTAR_FIXTURE!$A$2:$A$51,0)),""))</f>
        <v/>
      </c>
      <c r="AA403" s="12">
        <f>IF(T403="","",IF(Z403="","CEK ID FIXTURE tidak ada di DAFTAR_FIXTURE",IF(U403="","CEK ZONA NO kosong",IF(ISNA(MATCH(Z403&amp;"|"&amp;U403,LAYOUT!$E$2:$E$80,0)),"CEK ZONA NO di luar layout",IF(V403&lt;&gt;INDEX(LAYOUT!$D$2:$D$80,MATCH(Z403&amp;"|"&amp;U403,LAYOUT!$E$2:$E$80,0)),"CEK JENIS ZONA",IF($D403="","Zona STOCK",IF($E403="","CEK SKU DESCRIPTION kosong",IF(AND(W403&lt;&gt;"",X403=""),"CEK URUTAN SAMBUNG kosong",IF(AND(W403&lt;&gt;"",LEFT(Z403,6)="Endcap"),"CEK Endcap tidak ikut sambung","OK")))))))))</f>
        <v/>
      </c>
      <c r="AB403" s="11" t="n"/>
      <c r="AC403" s="11" t="n"/>
      <c r="AD403" s="11" t="n"/>
      <c r="AE403" s="11" t="n"/>
      <c r="AF403" s="11" t="n"/>
      <c r="AG403" s="11" t="n"/>
      <c r="AH403" s="12">
        <f>IF(AB403="","",IFERROR(INDEX(DAFTAR_FIXTURE!$B$2:$B$51,MATCH(AB403,DAFTAR_FIXTURE!$A$2:$A$51,0)),""))</f>
        <v/>
      </c>
      <c r="AI403" s="12">
        <f>IF(AB403="","",IF(AH403="","CEK ID FIXTURE tidak ada di DAFTAR_FIXTURE",IF(AC403="","CEK ZONA NO kosong",IF(ISNA(MATCH(AH403&amp;"|"&amp;AC403,LAYOUT!$E$2:$E$80,0)),"CEK ZONA NO di luar layout",IF(AD403&lt;&gt;INDEX(LAYOUT!$D$2:$D$80,MATCH(AH403&amp;"|"&amp;AC403,LAYOUT!$E$2:$E$80,0)),"CEK JENIS ZONA",IF($D403="","Zona STOCK",IF($E403="","CEK SKU DESCRIPTION kosong",IF(AND(AE403&lt;&gt;"",AF403=""),"CEK URUTAN SAMBUNG kosong",IF(AND(AE403&lt;&gt;"",LEFT(AH403,6)="Endcap"),"CEK Endcap tidak ikut sambung","OK")))))))))</f>
        <v/>
      </c>
    </row>
    <row r="404">
      <c r="A404" s="10" t="n"/>
      <c r="B404" s="10" t="n"/>
      <c r="C404" s="10" t="n"/>
      <c r="D404" s="10" t="n"/>
      <c r="E404" s="10" t="n"/>
      <c r="F404" s="10" t="n"/>
      <c r="G404" s="10" t="n"/>
      <c r="H404" s="10" t="n"/>
      <c r="I404" s="10" t="n"/>
      <c r="J404" s="10" t="n"/>
      <c r="K404" s="10" t="n"/>
      <c r="L404" s="11" t="n"/>
      <c r="M404" s="11" t="n"/>
      <c r="N404" s="11" t="n"/>
      <c r="O404" s="11" t="n"/>
      <c r="P404" s="11" t="n"/>
      <c r="Q404" s="11" t="n"/>
      <c r="R404" s="12">
        <f>IF(L404="","",IFERROR(INDEX(DAFTAR_FIXTURE!$B$2:$B$51,MATCH(L404,DAFTAR_FIXTURE!$A$2:$A$51,0)),""))</f>
        <v/>
      </c>
      <c r="S404" s="12">
        <f>IF(AND($D404="",L404=""),"",IF(L404="",IF(AND(T404="",AB404=""),"Belum ditempatkan",""),IF(R404="","CEK ID FIXTURE tidak ada di DAFTAR_FIXTURE",IF(M404="","CEK ZONA NO kosong",IF(ISNA(MATCH(R404&amp;"|"&amp;M404,LAYOUT!$E$2:$E$80,0)),"CEK ZONA NO di luar layout",IF(N404&lt;&gt;INDEX(LAYOUT!$D$2:$D$80,MATCH(R404&amp;"|"&amp;M404,LAYOUT!$E$2:$E$80,0)),"CEK JENIS ZONA",IF($D404="","Zona STOCK",IF($E404="","CEK SKU DESCRIPTION kosong",IF(AND(O404&lt;&gt;"",P404=""),"CEK URUTAN SAMBUNG kosong",IF(AND(O404&lt;&gt;"",LEFT(R404,6)="Endcap"),"CEK Endcap tidak ikut sambung","OK"))))))))))</f>
        <v/>
      </c>
      <c r="T404" s="11" t="n"/>
      <c r="U404" s="11" t="n"/>
      <c r="V404" s="11" t="n"/>
      <c r="W404" s="11" t="n"/>
      <c r="X404" s="11" t="n"/>
      <c r="Y404" s="11" t="n"/>
      <c r="Z404" s="12">
        <f>IF(T404="","",IFERROR(INDEX(DAFTAR_FIXTURE!$B$2:$B$51,MATCH(T404,DAFTAR_FIXTURE!$A$2:$A$51,0)),""))</f>
        <v/>
      </c>
      <c r="AA404" s="12">
        <f>IF(T404="","",IF(Z404="","CEK ID FIXTURE tidak ada di DAFTAR_FIXTURE",IF(U404="","CEK ZONA NO kosong",IF(ISNA(MATCH(Z404&amp;"|"&amp;U404,LAYOUT!$E$2:$E$80,0)),"CEK ZONA NO di luar layout",IF(V404&lt;&gt;INDEX(LAYOUT!$D$2:$D$80,MATCH(Z404&amp;"|"&amp;U404,LAYOUT!$E$2:$E$80,0)),"CEK JENIS ZONA",IF($D404="","Zona STOCK",IF($E404="","CEK SKU DESCRIPTION kosong",IF(AND(W404&lt;&gt;"",X404=""),"CEK URUTAN SAMBUNG kosong",IF(AND(W404&lt;&gt;"",LEFT(Z404,6)="Endcap"),"CEK Endcap tidak ikut sambung","OK")))))))))</f>
        <v/>
      </c>
      <c r="AB404" s="11" t="n"/>
      <c r="AC404" s="11" t="n"/>
      <c r="AD404" s="11" t="n"/>
      <c r="AE404" s="11" t="n"/>
      <c r="AF404" s="11" t="n"/>
      <c r="AG404" s="11" t="n"/>
      <c r="AH404" s="12">
        <f>IF(AB404="","",IFERROR(INDEX(DAFTAR_FIXTURE!$B$2:$B$51,MATCH(AB404,DAFTAR_FIXTURE!$A$2:$A$51,0)),""))</f>
        <v/>
      </c>
      <c r="AI404" s="12">
        <f>IF(AB404="","",IF(AH404="","CEK ID FIXTURE tidak ada di DAFTAR_FIXTURE",IF(AC404="","CEK ZONA NO kosong",IF(ISNA(MATCH(AH404&amp;"|"&amp;AC404,LAYOUT!$E$2:$E$80,0)),"CEK ZONA NO di luar layout",IF(AD404&lt;&gt;INDEX(LAYOUT!$D$2:$D$80,MATCH(AH404&amp;"|"&amp;AC404,LAYOUT!$E$2:$E$80,0)),"CEK JENIS ZONA",IF($D404="","Zona STOCK",IF($E404="","CEK SKU DESCRIPTION kosong",IF(AND(AE404&lt;&gt;"",AF404=""),"CEK URUTAN SAMBUNG kosong",IF(AND(AE404&lt;&gt;"",LEFT(AH404,6)="Endcap"),"CEK Endcap tidak ikut sambung","OK")))))))))</f>
        <v/>
      </c>
    </row>
    <row r="405">
      <c r="A405" s="10" t="n"/>
      <c r="B405" s="10" t="n"/>
      <c r="C405" s="10" t="n"/>
      <c r="D405" s="10" t="n"/>
      <c r="E405" s="10" t="n"/>
      <c r="F405" s="10" t="n"/>
      <c r="G405" s="10" t="n"/>
      <c r="H405" s="10" t="n"/>
      <c r="I405" s="10" t="n"/>
      <c r="J405" s="10" t="n"/>
      <c r="K405" s="10" t="n"/>
      <c r="L405" s="11" t="n"/>
      <c r="M405" s="11" t="n"/>
      <c r="N405" s="11" t="n"/>
      <c r="O405" s="11" t="n"/>
      <c r="P405" s="11" t="n"/>
      <c r="Q405" s="11" t="n"/>
      <c r="R405" s="12">
        <f>IF(L405="","",IFERROR(INDEX(DAFTAR_FIXTURE!$B$2:$B$51,MATCH(L405,DAFTAR_FIXTURE!$A$2:$A$51,0)),""))</f>
        <v/>
      </c>
      <c r="S405" s="12">
        <f>IF(AND($D405="",L405=""),"",IF(L405="",IF(AND(T405="",AB405=""),"Belum ditempatkan",""),IF(R405="","CEK ID FIXTURE tidak ada di DAFTAR_FIXTURE",IF(M405="","CEK ZONA NO kosong",IF(ISNA(MATCH(R405&amp;"|"&amp;M405,LAYOUT!$E$2:$E$80,0)),"CEK ZONA NO di luar layout",IF(N405&lt;&gt;INDEX(LAYOUT!$D$2:$D$80,MATCH(R405&amp;"|"&amp;M405,LAYOUT!$E$2:$E$80,0)),"CEK JENIS ZONA",IF($D405="","Zona STOCK",IF($E405="","CEK SKU DESCRIPTION kosong",IF(AND(O405&lt;&gt;"",P405=""),"CEK URUTAN SAMBUNG kosong",IF(AND(O405&lt;&gt;"",LEFT(R405,6)="Endcap"),"CEK Endcap tidak ikut sambung","OK"))))))))))</f>
        <v/>
      </c>
      <c r="T405" s="11" t="n"/>
      <c r="U405" s="11" t="n"/>
      <c r="V405" s="11" t="n"/>
      <c r="W405" s="11" t="n"/>
      <c r="X405" s="11" t="n"/>
      <c r="Y405" s="11" t="n"/>
      <c r="Z405" s="12">
        <f>IF(T405="","",IFERROR(INDEX(DAFTAR_FIXTURE!$B$2:$B$51,MATCH(T405,DAFTAR_FIXTURE!$A$2:$A$51,0)),""))</f>
        <v/>
      </c>
      <c r="AA405" s="12">
        <f>IF(T405="","",IF(Z405="","CEK ID FIXTURE tidak ada di DAFTAR_FIXTURE",IF(U405="","CEK ZONA NO kosong",IF(ISNA(MATCH(Z405&amp;"|"&amp;U405,LAYOUT!$E$2:$E$80,0)),"CEK ZONA NO di luar layout",IF(V405&lt;&gt;INDEX(LAYOUT!$D$2:$D$80,MATCH(Z405&amp;"|"&amp;U405,LAYOUT!$E$2:$E$80,0)),"CEK JENIS ZONA",IF($D405="","Zona STOCK",IF($E405="","CEK SKU DESCRIPTION kosong",IF(AND(W405&lt;&gt;"",X405=""),"CEK URUTAN SAMBUNG kosong",IF(AND(W405&lt;&gt;"",LEFT(Z405,6)="Endcap"),"CEK Endcap tidak ikut sambung","OK")))))))))</f>
        <v/>
      </c>
      <c r="AB405" s="11" t="n"/>
      <c r="AC405" s="11" t="n"/>
      <c r="AD405" s="11" t="n"/>
      <c r="AE405" s="11" t="n"/>
      <c r="AF405" s="11" t="n"/>
      <c r="AG405" s="11" t="n"/>
      <c r="AH405" s="12">
        <f>IF(AB405="","",IFERROR(INDEX(DAFTAR_FIXTURE!$B$2:$B$51,MATCH(AB405,DAFTAR_FIXTURE!$A$2:$A$51,0)),""))</f>
        <v/>
      </c>
      <c r="AI405" s="12">
        <f>IF(AB405="","",IF(AH405="","CEK ID FIXTURE tidak ada di DAFTAR_FIXTURE",IF(AC405="","CEK ZONA NO kosong",IF(ISNA(MATCH(AH405&amp;"|"&amp;AC405,LAYOUT!$E$2:$E$80,0)),"CEK ZONA NO di luar layout",IF(AD405&lt;&gt;INDEX(LAYOUT!$D$2:$D$80,MATCH(AH405&amp;"|"&amp;AC405,LAYOUT!$E$2:$E$80,0)),"CEK JENIS ZONA",IF($D405="","Zona STOCK",IF($E405="","CEK SKU DESCRIPTION kosong",IF(AND(AE405&lt;&gt;"",AF405=""),"CEK URUTAN SAMBUNG kosong",IF(AND(AE405&lt;&gt;"",LEFT(AH405,6)="Endcap"),"CEK Endcap tidak ikut sambung","OK")))))))))</f>
        <v/>
      </c>
    </row>
    <row r="406">
      <c r="A406" s="10" t="n"/>
      <c r="B406" s="10" t="n"/>
      <c r="C406" s="10" t="n"/>
      <c r="D406" s="10" t="n"/>
      <c r="E406" s="10" t="n"/>
      <c r="F406" s="10" t="n"/>
      <c r="G406" s="10" t="n"/>
      <c r="H406" s="10" t="n"/>
      <c r="I406" s="10" t="n"/>
      <c r="J406" s="10" t="n"/>
      <c r="K406" s="10" t="n"/>
      <c r="L406" s="11" t="n"/>
      <c r="M406" s="11" t="n"/>
      <c r="N406" s="11" t="n"/>
      <c r="O406" s="11" t="n"/>
      <c r="P406" s="11" t="n"/>
      <c r="Q406" s="11" t="n"/>
      <c r="R406" s="12">
        <f>IF(L406="","",IFERROR(INDEX(DAFTAR_FIXTURE!$B$2:$B$51,MATCH(L406,DAFTAR_FIXTURE!$A$2:$A$51,0)),""))</f>
        <v/>
      </c>
      <c r="S406" s="12">
        <f>IF(AND($D406="",L406=""),"",IF(L406="",IF(AND(T406="",AB406=""),"Belum ditempatkan",""),IF(R406="","CEK ID FIXTURE tidak ada di DAFTAR_FIXTURE",IF(M406="","CEK ZONA NO kosong",IF(ISNA(MATCH(R406&amp;"|"&amp;M406,LAYOUT!$E$2:$E$80,0)),"CEK ZONA NO di luar layout",IF(N406&lt;&gt;INDEX(LAYOUT!$D$2:$D$80,MATCH(R406&amp;"|"&amp;M406,LAYOUT!$E$2:$E$80,0)),"CEK JENIS ZONA",IF($D406="","Zona STOCK",IF($E406="","CEK SKU DESCRIPTION kosong",IF(AND(O406&lt;&gt;"",P406=""),"CEK URUTAN SAMBUNG kosong",IF(AND(O406&lt;&gt;"",LEFT(R406,6)="Endcap"),"CEK Endcap tidak ikut sambung","OK"))))))))))</f>
        <v/>
      </c>
      <c r="T406" s="11" t="n"/>
      <c r="U406" s="11" t="n"/>
      <c r="V406" s="11" t="n"/>
      <c r="W406" s="11" t="n"/>
      <c r="X406" s="11" t="n"/>
      <c r="Y406" s="11" t="n"/>
      <c r="Z406" s="12">
        <f>IF(T406="","",IFERROR(INDEX(DAFTAR_FIXTURE!$B$2:$B$51,MATCH(T406,DAFTAR_FIXTURE!$A$2:$A$51,0)),""))</f>
        <v/>
      </c>
      <c r="AA406" s="12">
        <f>IF(T406="","",IF(Z406="","CEK ID FIXTURE tidak ada di DAFTAR_FIXTURE",IF(U406="","CEK ZONA NO kosong",IF(ISNA(MATCH(Z406&amp;"|"&amp;U406,LAYOUT!$E$2:$E$80,0)),"CEK ZONA NO di luar layout",IF(V406&lt;&gt;INDEX(LAYOUT!$D$2:$D$80,MATCH(Z406&amp;"|"&amp;U406,LAYOUT!$E$2:$E$80,0)),"CEK JENIS ZONA",IF($D406="","Zona STOCK",IF($E406="","CEK SKU DESCRIPTION kosong",IF(AND(W406&lt;&gt;"",X406=""),"CEK URUTAN SAMBUNG kosong",IF(AND(W406&lt;&gt;"",LEFT(Z406,6)="Endcap"),"CEK Endcap tidak ikut sambung","OK")))))))))</f>
        <v/>
      </c>
      <c r="AB406" s="11" t="n"/>
      <c r="AC406" s="11" t="n"/>
      <c r="AD406" s="11" t="n"/>
      <c r="AE406" s="11" t="n"/>
      <c r="AF406" s="11" t="n"/>
      <c r="AG406" s="11" t="n"/>
      <c r="AH406" s="12">
        <f>IF(AB406="","",IFERROR(INDEX(DAFTAR_FIXTURE!$B$2:$B$51,MATCH(AB406,DAFTAR_FIXTURE!$A$2:$A$51,0)),""))</f>
        <v/>
      </c>
      <c r="AI406" s="12">
        <f>IF(AB406="","",IF(AH406="","CEK ID FIXTURE tidak ada di DAFTAR_FIXTURE",IF(AC406="","CEK ZONA NO kosong",IF(ISNA(MATCH(AH406&amp;"|"&amp;AC406,LAYOUT!$E$2:$E$80,0)),"CEK ZONA NO di luar layout",IF(AD406&lt;&gt;INDEX(LAYOUT!$D$2:$D$80,MATCH(AH406&amp;"|"&amp;AC406,LAYOUT!$E$2:$E$80,0)),"CEK JENIS ZONA",IF($D406="","Zona STOCK",IF($E406="","CEK SKU DESCRIPTION kosong",IF(AND(AE406&lt;&gt;"",AF406=""),"CEK URUTAN SAMBUNG kosong",IF(AND(AE406&lt;&gt;"",LEFT(AH406,6)="Endcap"),"CEK Endcap tidak ikut sambung","OK")))))))))</f>
        <v/>
      </c>
    </row>
    <row r="407">
      <c r="A407" s="10" t="n"/>
      <c r="B407" s="10" t="n"/>
      <c r="C407" s="10" t="n"/>
      <c r="D407" s="10" t="n"/>
      <c r="E407" s="10" t="n"/>
      <c r="F407" s="10" t="n"/>
      <c r="G407" s="10" t="n"/>
      <c r="H407" s="10" t="n"/>
      <c r="I407" s="10" t="n"/>
      <c r="J407" s="10" t="n"/>
      <c r="K407" s="10" t="n"/>
      <c r="L407" s="11" t="n"/>
      <c r="M407" s="11" t="n"/>
      <c r="N407" s="11" t="n"/>
      <c r="O407" s="11" t="n"/>
      <c r="P407" s="11" t="n"/>
      <c r="Q407" s="11" t="n"/>
      <c r="R407" s="12">
        <f>IF(L407="","",IFERROR(INDEX(DAFTAR_FIXTURE!$B$2:$B$51,MATCH(L407,DAFTAR_FIXTURE!$A$2:$A$51,0)),""))</f>
        <v/>
      </c>
      <c r="S407" s="12">
        <f>IF(AND($D407="",L407=""),"",IF(L407="",IF(AND(T407="",AB407=""),"Belum ditempatkan",""),IF(R407="","CEK ID FIXTURE tidak ada di DAFTAR_FIXTURE",IF(M407="","CEK ZONA NO kosong",IF(ISNA(MATCH(R407&amp;"|"&amp;M407,LAYOUT!$E$2:$E$80,0)),"CEK ZONA NO di luar layout",IF(N407&lt;&gt;INDEX(LAYOUT!$D$2:$D$80,MATCH(R407&amp;"|"&amp;M407,LAYOUT!$E$2:$E$80,0)),"CEK JENIS ZONA",IF($D407="","Zona STOCK",IF($E407="","CEK SKU DESCRIPTION kosong",IF(AND(O407&lt;&gt;"",P407=""),"CEK URUTAN SAMBUNG kosong",IF(AND(O407&lt;&gt;"",LEFT(R407,6)="Endcap"),"CEK Endcap tidak ikut sambung","OK"))))))))))</f>
        <v/>
      </c>
      <c r="T407" s="11" t="n"/>
      <c r="U407" s="11" t="n"/>
      <c r="V407" s="11" t="n"/>
      <c r="W407" s="11" t="n"/>
      <c r="X407" s="11" t="n"/>
      <c r="Y407" s="11" t="n"/>
      <c r="Z407" s="12">
        <f>IF(T407="","",IFERROR(INDEX(DAFTAR_FIXTURE!$B$2:$B$51,MATCH(T407,DAFTAR_FIXTURE!$A$2:$A$51,0)),""))</f>
        <v/>
      </c>
      <c r="AA407" s="12">
        <f>IF(T407="","",IF(Z407="","CEK ID FIXTURE tidak ada di DAFTAR_FIXTURE",IF(U407="","CEK ZONA NO kosong",IF(ISNA(MATCH(Z407&amp;"|"&amp;U407,LAYOUT!$E$2:$E$80,0)),"CEK ZONA NO di luar layout",IF(V407&lt;&gt;INDEX(LAYOUT!$D$2:$D$80,MATCH(Z407&amp;"|"&amp;U407,LAYOUT!$E$2:$E$80,0)),"CEK JENIS ZONA",IF($D407="","Zona STOCK",IF($E407="","CEK SKU DESCRIPTION kosong",IF(AND(W407&lt;&gt;"",X407=""),"CEK URUTAN SAMBUNG kosong",IF(AND(W407&lt;&gt;"",LEFT(Z407,6)="Endcap"),"CEK Endcap tidak ikut sambung","OK")))))))))</f>
        <v/>
      </c>
      <c r="AB407" s="11" t="n"/>
      <c r="AC407" s="11" t="n"/>
      <c r="AD407" s="11" t="n"/>
      <c r="AE407" s="11" t="n"/>
      <c r="AF407" s="11" t="n"/>
      <c r="AG407" s="11" t="n"/>
      <c r="AH407" s="12">
        <f>IF(AB407="","",IFERROR(INDEX(DAFTAR_FIXTURE!$B$2:$B$51,MATCH(AB407,DAFTAR_FIXTURE!$A$2:$A$51,0)),""))</f>
        <v/>
      </c>
      <c r="AI407" s="12">
        <f>IF(AB407="","",IF(AH407="","CEK ID FIXTURE tidak ada di DAFTAR_FIXTURE",IF(AC407="","CEK ZONA NO kosong",IF(ISNA(MATCH(AH407&amp;"|"&amp;AC407,LAYOUT!$E$2:$E$80,0)),"CEK ZONA NO di luar layout",IF(AD407&lt;&gt;INDEX(LAYOUT!$D$2:$D$80,MATCH(AH407&amp;"|"&amp;AC407,LAYOUT!$E$2:$E$80,0)),"CEK JENIS ZONA",IF($D407="","Zona STOCK",IF($E407="","CEK SKU DESCRIPTION kosong",IF(AND(AE407&lt;&gt;"",AF407=""),"CEK URUTAN SAMBUNG kosong",IF(AND(AE407&lt;&gt;"",LEFT(AH407,6)="Endcap"),"CEK Endcap tidak ikut sambung","OK")))))))))</f>
        <v/>
      </c>
    </row>
    <row r="408">
      <c r="A408" s="10" t="n"/>
      <c r="B408" s="10" t="n"/>
      <c r="C408" s="10" t="n"/>
      <c r="D408" s="10" t="n"/>
      <c r="E408" s="10" t="n"/>
      <c r="F408" s="10" t="n"/>
      <c r="G408" s="10" t="n"/>
      <c r="H408" s="10" t="n"/>
      <c r="I408" s="10" t="n"/>
      <c r="J408" s="10" t="n"/>
      <c r="K408" s="10" t="n"/>
      <c r="L408" s="11" t="n"/>
      <c r="M408" s="11" t="n"/>
      <c r="N408" s="11" t="n"/>
      <c r="O408" s="11" t="n"/>
      <c r="P408" s="11" t="n"/>
      <c r="Q408" s="11" t="n"/>
      <c r="R408" s="12">
        <f>IF(L408="","",IFERROR(INDEX(DAFTAR_FIXTURE!$B$2:$B$51,MATCH(L408,DAFTAR_FIXTURE!$A$2:$A$51,0)),""))</f>
        <v/>
      </c>
      <c r="S408" s="12">
        <f>IF(AND($D408="",L408=""),"",IF(L408="",IF(AND(T408="",AB408=""),"Belum ditempatkan",""),IF(R408="","CEK ID FIXTURE tidak ada di DAFTAR_FIXTURE",IF(M408="","CEK ZONA NO kosong",IF(ISNA(MATCH(R408&amp;"|"&amp;M408,LAYOUT!$E$2:$E$80,0)),"CEK ZONA NO di luar layout",IF(N408&lt;&gt;INDEX(LAYOUT!$D$2:$D$80,MATCH(R408&amp;"|"&amp;M408,LAYOUT!$E$2:$E$80,0)),"CEK JENIS ZONA",IF($D408="","Zona STOCK",IF($E408="","CEK SKU DESCRIPTION kosong",IF(AND(O408&lt;&gt;"",P408=""),"CEK URUTAN SAMBUNG kosong",IF(AND(O408&lt;&gt;"",LEFT(R408,6)="Endcap"),"CEK Endcap tidak ikut sambung","OK"))))))))))</f>
        <v/>
      </c>
      <c r="T408" s="11" t="n"/>
      <c r="U408" s="11" t="n"/>
      <c r="V408" s="11" t="n"/>
      <c r="W408" s="11" t="n"/>
      <c r="X408" s="11" t="n"/>
      <c r="Y408" s="11" t="n"/>
      <c r="Z408" s="12">
        <f>IF(T408="","",IFERROR(INDEX(DAFTAR_FIXTURE!$B$2:$B$51,MATCH(T408,DAFTAR_FIXTURE!$A$2:$A$51,0)),""))</f>
        <v/>
      </c>
      <c r="AA408" s="12">
        <f>IF(T408="","",IF(Z408="","CEK ID FIXTURE tidak ada di DAFTAR_FIXTURE",IF(U408="","CEK ZONA NO kosong",IF(ISNA(MATCH(Z408&amp;"|"&amp;U408,LAYOUT!$E$2:$E$80,0)),"CEK ZONA NO di luar layout",IF(V408&lt;&gt;INDEX(LAYOUT!$D$2:$D$80,MATCH(Z408&amp;"|"&amp;U408,LAYOUT!$E$2:$E$80,0)),"CEK JENIS ZONA",IF($D408="","Zona STOCK",IF($E408="","CEK SKU DESCRIPTION kosong",IF(AND(W408&lt;&gt;"",X408=""),"CEK URUTAN SAMBUNG kosong",IF(AND(W408&lt;&gt;"",LEFT(Z408,6)="Endcap"),"CEK Endcap tidak ikut sambung","OK")))))))))</f>
        <v/>
      </c>
      <c r="AB408" s="11" t="n"/>
      <c r="AC408" s="11" t="n"/>
      <c r="AD408" s="11" t="n"/>
      <c r="AE408" s="11" t="n"/>
      <c r="AF408" s="11" t="n"/>
      <c r="AG408" s="11" t="n"/>
      <c r="AH408" s="12">
        <f>IF(AB408="","",IFERROR(INDEX(DAFTAR_FIXTURE!$B$2:$B$51,MATCH(AB408,DAFTAR_FIXTURE!$A$2:$A$51,0)),""))</f>
        <v/>
      </c>
      <c r="AI408" s="12">
        <f>IF(AB408="","",IF(AH408="","CEK ID FIXTURE tidak ada di DAFTAR_FIXTURE",IF(AC408="","CEK ZONA NO kosong",IF(ISNA(MATCH(AH408&amp;"|"&amp;AC408,LAYOUT!$E$2:$E$80,0)),"CEK ZONA NO di luar layout",IF(AD408&lt;&gt;INDEX(LAYOUT!$D$2:$D$80,MATCH(AH408&amp;"|"&amp;AC408,LAYOUT!$E$2:$E$80,0)),"CEK JENIS ZONA",IF($D408="","Zona STOCK",IF($E408="","CEK SKU DESCRIPTION kosong",IF(AND(AE408&lt;&gt;"",AF408=""),"CEK URUTAN SAMBUNG kosong",IF(AND(AE408&lt;&gt;"",LEFT(AH408,6)="Endcap"),"CEK Endcap tidak ikut sambung","OK")))))))))</f>
        <v/>
      </c>
    </row>
    <row r="409">
      <c r="A409" s="10" t="n"/>
      <c r="B409" s="10" t="n"/>
      <c r="C409" s="10" t="n"/>
      <c r="D409" s="10" t="n"/>
      <c r="E409" s="10" t="n"/>
      <c r="F409" s="10" t="n"/>
      <c r="G409" s="10" t="n"/>
      <c r="H409" s="10" t="n"/>
      <c r="I409" s="10" t="n"/>
      <c r="J409" s="10" t="n"/>
      <c r="K409" s="10" t="n"/>
      <c r="L409" s="11" t="n"/>
      <c r="M409" s="11" t="n"/>
      <c r="N409" s="11" t="n"/>
      <c r="O409" s="11" t="n"/>
      <c r="P409" s="11" t="n"/>
      <c r="Q409" s="11" t="n"/>
      <c r="R409" s="12">
        <f>IF(L409="","",IFERROR(INDEX(DAFTAR_FIXTURE!$B$2:$B$51,MATCH(L409,DAFTAR_FIXTURE!$A$2:$A$51,0)),""))</f>
        <v/>
      </c>
      <c r="S409" s="12">
        <f>IF(AND($D409="",L409=""),"",IF(L409="",IF(AND(T409="",AB409=""),"Belum ditempatkan",""),IF(R409="","CEK ID FIXTURE tidak ada di DAFTAR_FIXTURE",IF(M409="","CEK ZONA NO kosong",IF(ISNA(MATCH(R409&amp;"|"&amp;M409,LAYOUT!$E$2:$E$80,0)),"CEK ZONA NO di luar layout",IF(N409&lt;&gt;INDEX(LAYOUT!$D$2:$D$80,MATCH(R409&amp;"|"&amp;M409,LAYOUT!$E$2:$E$80,0)),"CEK JENIS ZONA",IF($D409="","Zona STOCK",IF($E409="","CEK SKU DESCRIPTION kosong",IF(AND(O409&lt;&gt;"",P409=""),"CEK URUTAN SAMBUNG kosong",IF(AND(O409&lt;&gt;"",LEFT(R409,6)="Endcap"),"CEK Endcap tidak ikut sambung","OK"))))))))))</f>
        <v/>
      </c>
      <c r="T409" s="11" t="n"/>
      <c r="U409" s="11" t="n"/>
      <c r="V409" s="11" t="n"/>
      <c r="W409" s="11" t="n"/>
      <c r="X409" s="11" t="n"/>
      <c r="Y409" s="11" t="n"/>
      <c r="Z409" s="12">
        <f>IF(T409="","",IFERROR(INDEX(DAFTAR_FIXTURE!$B$2:$B$51,MATCH(T409,DAFTAR_FIXTURE!$A$2:$A$51,0)),""))</f>
        <v/>
      </c>
      <c r="AA409" s="12">
        <f>IF(T409="","",IF(Z409="","CEK ID FIXTURE tidak ada di DAFTAR_FIXTURE",IF(U409="","CEK ZONA NO kosong",IF(ISNA(MATCH(Z409&amp;"|"&amp;U409,LAYOUT!$E$2:$E$80,0)),"CEK ZONA NO di luar layout",IF(V409&lt;&gt;INDEX(LAYOUT!$D$2:$D$80,MATCH(Z409&amp;"|"&amp;U409,LAYOUT!$E$2:$E$80,0)),"CEK JENIS ZONA",IF($D409="","Zona STOCK",IF($E409="","CEK SKU DESCRIPTION kosong",IF(AND(W409&lt;&gt;"",X409=""),"CEK URUTAN SAMBUNG kosong",IF(AND(W409&lt;&gt;"",LEFT(Z409,6)="Endcap"),"CEK Endcap tidak ikut sambung","OK")))))))))</f>
        <v/>
      </c>
      <c r="AB409" s="11" t="n"/>
      <c r="AC409" s="11" t="n"/>
      <c r="AD409" s="11" t="n"/>
      <c r="AE409" s="11" t="n"/>
      <c r="AF409" s="11" t="n"/>
      <c r="AG409" s="11" t="n"/>
      <c r="AH409" s="12">
        <f>IF(AB409="","",IFERROR(INDEX(DAFTAR_FIXTURE!$B$2:$B$51,MATCH(AB409,DAFTAR_FIXTURE!$A$2:$A$51,0)),""))</f>
        <v/>
      </c>
      <c r="AI409" s="12">
        <f>IF(AB409="","",IF(AH409="","CEK ID FIXTURE tidak ada di DAFTAR_FIXTURE",IF(AC409="","CEK ZONA NO kosong",IF(ISNA(MATCH(AH409&amp;"|"&amp;AC409,LAYOUT!$E$2:$E$80,0)),"CEK ZONA NO di luar layout",IF(AD409&lt;&gt;INDEX(LAYOUT!$D$2:$D$80,MATCH(AH409&amp;"|"&amp;AC409,LAYOUT!$E$2:$E$80,0)),"CEK JENIS ZONA",IF($D409="","Zona STOCK",IF($E409="","CEK SKU DESCRIPTION kosong",IF(AND(AE409&lt;&gt;"",AF409=""),"CEK URUTAN SAMBUNG kosong",IF(AND(AE409&lt;&gt;"",LEFT(AH409,6)="Endcap"),"CEK Endcap tidak ikut sambung","OK")))))))))</f>
        <v/>
      </c>
    </row>
    <row r="410">
      <c r="A410" s="10" t="n"/>
      <c r="B410" s="10" t="n"/>
      <c r="C410" s="10" t="n"/>
      <c r="D410" s="10" t="n"/>
      <c r="E410" s="10" t="n"/>
      <c r="F410" s="10" t="n"/>
      <c r="G410" s="10" t="n"/>
      <c r="H410" s="10" t="n"/>
      <c r="I410" s="10" t="n"/>
      <c r="J410" s="10" t="n"/>
      <c r="K410" s="10" t="n"/>
      <c r="L410" s="11" t="n"/>
      <c r="M410" s="11" t="n"/>
      <c r="N410" s="11" t="n"/>
      <c r="O410" s="11" t="n"/>
      <c r="P410" s="11" t="n"/>
      <c r="Q410" s="11" t="n"/>
      <c r="R410" s="12">
        <f>IF(L410="","",IFERROR(INDEX(DAFTAR_FIXTURE!$B$2:$B$51,MATCH(L410,DAFTAR_FIXTURE!$A$2:$A$51,0)),""))</f>
        <v/>
      </c>
      <c r="S410" s="12">
        <f>IF(AND($D410="",L410=""),"",IF(L410="",IF(AND(T410="",AB410=""),"Belum ditempatkan",""),IF(R410="","CEK ID FIXTURE tidak ada di DAFTAR_FIXTURE",IF(M410="","CEK ZONA NO kosong",IF(ISNA(MATCH(R410&amp;"|"&amp;M410,LAYOUT!$E$2:$E$80,0)),"CEK ZONA NO di luar layout",IF(N410&lt;&gt;INDEX(LAYOUT!$D$2:$D$80,MATCH(R410&amp;"|"&amp;M410,LAYOUT!$E$2:$E$80,0)),"CEK JENIS ZONA",IF($D410="","Zona STOCK",IF($E410="","CEK SKU DESCRIPTION kosong",IF(AND(O410&lt;&gt;"",P410=""),"CEK URUTAN SAMBUNG kosong",IF(AND(O410&lt;&gt;"",LEFT(R410,6)="Endcap"),"CEK Endcap tidak ikut sambung","OK"))))))))))</f>
        <v/>
      </c>
      <c r="T410" s="11" t="n"/>
      <c r="U410" s="11" t="n"/>
      <c r="V410" s="11" t="n"/>
      <c r="W410" s="11" t="n"/>
      <c r="X410" s="11" t="n"/>
      <c r="Y410" s="11" t="n"/>
      <c r="Z410" s="12">
        <f>IF(T410="","",IFERROR(INDEX(DAFTAR_FIXTURE!$B$2:$B$51,MATCH(T410,DAFTAR_FIXTURE!$A$2:$A$51,0)),""))</f>
        <v/>
      </c>
      <c r="AA410" s="12">
        <f>IF(T410="","",IF(Z410="","CEK ID FIXTURE tidak ada di DAFTAR_FIXTURE",IF(U410="","CEK ZONA NO kosong",IF(ISNA(MATCH(Z410&amp;"|"&amp;U410,LAYOUT!$E$2:$E$80,0)),"CEK ZONA NO di luar layout",IF(V410&lt;&gt;INDEX(LAYOUT!$D$2:$D$80,MATCH(Z410&amp;"|"&amp;U410,LAYOUT!$E$2:$E$80,0)),"CEK JENIS ZONA",IF($D410="","Zona STOCK",IF($E410="","CEK SKU DESCRIPTION kosong",IF(AND(W410&lt;&gt;"",X410=""),"CEK URUTAN SAMBUNG kosong",IF(AND(W410&lt;&gt;"",LEFT(Z410,6)="Endcap"),"CEK Endcap tidak ikut sambung","OK")))))))))</f>
        <v/>
      </c>
      <c r="AB410" s="11" t="n"/>
      <c r="AC410" s="11" t="n"/>
      <c r="AD410" s="11" t="n"/>
      <c r="AE410" s="11" t="n"/>
      <c r="AF410" s="11" t="n"/>
      <c r="AG410" s="11" t="n"/>
      <c r="AH410" s="12">
        <f>IF(AB410="","",IFERROR(INDEX(DAFTAR_FIXTURE!$B$2:$B$51,MATCH(AB410,DAFTAR_FIXTURE!$A$2:$A$51,0)),""))</f>
        <v/>
      </c>
      <c r="AI410" s="12">
        <f>IF(AB410="","",IF(AH410="","CEK ID FIXTURE tidak ada di DAFTAR_FIXTURE",IF(AC410="","CEK ZONA NO kosong",IF(ISNA(MATCH(AH410&amp;"|"&amp;AC410,LAYOUT!$E$2:$E$80,0)),"CEK ZONA NO di luar layout",IF(AD410&lt;&gt;INDEX(LAYOUT!$D$2:$D$80,MATCH(AH410&amp;"|"&amp;AC410,LAYOUT!$E$2:$E$80,0)),"CEK JENIS ZONA",IF($D410="","Zona STOCK",IF($E410="","CEK SKU DESCRIPTION kosong",IF(AND(AE410&lt;&gt;"",AF410=""),"CEK URUTAN SAMBUNG kosong",IF(AND(AE410&lt;&gt;"",LEFT(AH410,6)="Endcap"),"CEK Endcap tidak ikut sambung","OK")))))))))</f>
        <v/>
      </c>
    </row>
    <row r="411">
      <c r="A411" s="10" t="n"/>
      <c r="B411" s="10" t="n"/>
      <c r="C411" s="10" t="n"/>
      <c r="D411" s="10" t="n"/>
      <c r="E411" s="10" t="n"/>
      <c r="F411" s="10" t="n"/>
      <c r="G411" s="10" t="n"/>
      <c r="H411" s="10" t="n"/>
      <c r="I411" s="10" t="n"/>
      <c r="J411" s="10" t="n"/>
      <c r="K411" s="10" t="n"/>
      <c r="L411" s="11" t="n"/>
      <c r="M411" s="11" t="n"/>
      <c r="N411" s="11" t="n"/>
      <c r="O411" s="11" t="n"/>
      <c r="P411" s="11" t="n"/>
      <c r="Q411" s="11" t="n"/>
      <c r="R411" s="12">
        <f>IF(L411="","",IFERROR(INDEX(DAFTAR_FIXTURE!$B$2:$B$51,MATCH(L411,DAFTAR_FIXTURE!$A$2:$A$51,0)),""))</f>
        <v/>
      </c>
      <c r="S411" s="12">
        <f>IF(AND($D411="",L411=""),"",IF(L411="",IF(AND(T411="",AB411=""),"Belum ditempatkan",""),IF(R411="","CEK ID FIXTURE tidak ada di DAFTAR_FIXTURE",IF(M411="","CEK ZONA NO kosong",IF(ISNA(MATCH(R411&amp;"|"&amp;M411,LAYOUT!$E$2:$E$80,0)),"CEK ZONA NO di luar layout",IF(N411&lt;&gt;INDEX(LAYOUT!$D$2:$D$80,MATCH(R411&amp;"|"&amp;M411,LAYOUT!$E$2:$E$80,0)),"CEK JENIS ZONA",IF($D411="","Zona STOCK",IF($E411="","CEK SKU DESCRIPTION kosong",IF(AND(O411&lt;&gt;"",P411=""),"CEK URUTAN SAMBUNG kosong",IF(AND(O411&lt;&gt;"",LEFT(R411,6)="Endcap"),"CEK Endcap tidak ikut sambung","OK"))))))))))</f>
        <v/>
      </c>
      <c r="T411" s="11" t="n"/>
      <c r="U411" s="11" t="n"/>
      <c r="V411" s="11" t="n"/>
      <c r="W411" s="11" t="n"/>
      <c r="X411" s="11" t="n"/>
      <c r="Y411" s="11" t="n"/>
      <c r="Z411" s="12">
        <f>IF(T411="","",IFERROR(INDEX(DAFTAR_FIXTURE!$B$2:$B$51,MATCH(T411,DAFTAR_FIXTURE!$A$2:$A$51,0)),""))</f>
        <v/>
      </c>
      <c r="AA411" s="12">
        <f>IF(T411="","",IF(Z411="","CEK ID FIXTURE tidak ada di DAFTAR_FIXTURE",IF(U411="","CEK ZONA NO kosong",IF(ISNA(MATCH(Z411&amp;"|"&amp;U411,LAYOUT!$E$2:$E$80,0)),"CEK ZONA NO di luar layout",IF(V411&lt;&gt;INDEX(LAYOUT!$D$2:$D$80,MATCH(Z411&amp;"|"&amp;U411,LAYOUT!$E$2:$E$80,0)),"CEK JENIS ZONA",IF($D411="","Zona STOCK",IF($E411="","CEK SKU DESCRIPTION kosong",IF(AND(W411&lt;&gt;"",X411=""),"CEK URUTAN SAMBUNG kosong",IF(AND(W411&lt;&gt;"",LEFT(Z411,6)="Endcap"),"CEK Endcap tidak ikut sambung","OK")))))))))</f>
        <v/>
      </c>
      <c r="AB411" s="11" t="n"/>
      <c r="AC411" s="11" t="n"/>
      <c r="AD411" s="11" t="n"/>
      <c r="AE411" s="11" t="n"/>
      <c r="AF411" s="11" t="n"/>
      <c r="AG411" s="11" t="n"/>
      <c r="AH411" s="12">
        <f>IF(AB411="","",IFERROR(INDEX(DAFTAR_FIXTURE!$B$2:$B$51,MATCH(AB411,DAFTAR_FIXTURE!$A$2:$A$51,0)),""))</f>
        <v/>
      </c>
      <c r="AI411" s="12">
        <f>IF(AB411="","",IF(AH411="","CEK ID FIXTURE tidak ada di DAFTAR_FIXTURE",IF(AC411="","CEK ZONA NO kosong",IF(ISNA(MATCH(AH411&amp;"|"&amp;AC411,LAYOUT!$E$2:$E$80,0)),"CEK ZONA NO di luar layout",IF(AD411&lt;&gt;INDEX(LAYOUT!$D$2:$D$80,MATCH(AH411&amp;"|"&amp;AC411,LAYOUT!$E$2:$E$80,0)),"CEK JENIS ZONA",IF($D411="","Zona STOCK",IF($E411="","CEK SKU DESCRIPTION kosong",IF(AND(AE411&lt;&gt;"",AF411=""),"CEK URUTAN SAMBUNG kosong",IF(AND(AE411&lt;&gt;"",LEFT(AH411,6)="Endcap"),"CEK Endcap tidak ikut sambung","OK")))))))))</f>
        <v/>
      </c>
    </row>
    <row r="412">
      <c r="A412" s="10" t="n"/>
      <c r="B412" s="10" t="n"/>
      <c r="C412" s="10" t="n"/>
      <c r="D412" s="10" t="n"/>
      <c r="E412" s="10" t="n"/>
      <c r="F412" s="10" t="n"/>
      <c r="G412" s="10" t="n"/>
      <c r="H412" s="10" t="n"/>
      <c r="I412" s="10" t="n"/>
      <c r="J412" s="10" t="n"/>
      <c r="K412" s="10" t="n"/>
      <c r="L412" s="11" t="n"/>
      <c r="M412" s="11" t="n"/>
      <c r="N412" s="11" t="n"/>
      <c r="O412" s="11" t="n"/>
      <c r="P412" s="11" t="n"/>
      <c r="Q412" s="11" t="n"/>
      <c r="R412" s="12">
        <f>IF(L412="","",IFERROR(INDEX(DAFTAR_FIXTURE!$B$2:$B$51,MATCH(L412,DAFTAR_FIXTURE!$A$2:$A$51,0)),""))</f>
        <v/>
      </c>
      <c r="S412" s="12">
        <f>IF(AND($D412="",L412=""),"",IF(L412="",IF(AND(T412="",AB412=""),"Belum ditempatkan",""),IF(R412="","CEK ID FIXTURE tidak ada di DAFTAR_FIXTURE",IF(M412="","CEK ZONA NO kosong",IF(ISNA(MATCH(R412&amp;"|"&amp;M412,LAYOUT!$E$2:$E$80,0)),"CEK ZONA NO di luar layout",IF(N412&lt;&gt;INDEX(LAYOUT!$D$2:$D$80,MATCH(R412&amp;"|"&amp;M412,LAYOUT!$E$2:$E$80,0)),"CEK JENIS ZONA",IF($D412="","Zona STOCK",IF($E412="","CEK SKU DESCRIPTION kosong",IF(AND(O412&lt;&gt;"",P412=""),"CEK URUTAN SAMBUNG kosong",IF(AND(O412&lt;&gt;"",LEFT(R412,6)="Endcap"),"CEK Endcap tidak ikut sambung","OK"))))))))))</f>
        <v/>
      </c>
      <c r="T412" s="11" t="n"/>
      <c r="U412" s="11" t="n"/>
      <c r="V412" s="11" t="n"/>
      <c r="W412" s="11" t="n"/>
      <c r="X412" s="11" t="n"/>
      <c r="Y412" s="11" t="n"/>
      <c r="Z412" s="12">
        <f>IF(T412="","",IFERROR(INDEX(DAFTAR_FIXTURE!$B$2:$B$51,MATCH(T412,DAFTAR_FIXTURE!$A$2:$A$51,0)),""))</f>
        <v/>
      </c>
      <c r="AA412" s="12">
        <f>IF(T412="","",IF(Z412="","CEK ID FIXTURE tidak ada di DAFTAR_FIXTURE",IF(U412="","CEK ZONA NO kosong",IF(ISNA(MATCH(Z412&amp;"|"&amp;U412,LAYOUT!$E$2:$E$80,0)),"CEK ZONA NO di luar layout",IF(V412&lt;&gt;INDEX(LAYOUT!$D$2:$D$80,MATCH(Z412&amp;"|"&amp;U412,LAYOUT!$E$2:$E$80,0)),"CEK JENIS ZONA",IF($D412="","Zona STOCK",IF($E412="","CEK SKU DESCRIPTION kosong",IF(AND(W412&lt;&gt;"",X412=""),"CEK URUTAN SAMBUNG kosong",IF(AND(W412&lt;&gt;"",LEFT(Z412,6)="Endcap"),"CEK Endcap tidak ikut sambung","OK")))))))))</f>
        <v/>
      </c>
      <c r="AB412" s="11" t="n"/>
      <c r="AC412" s="11" t="n"/>
      <c r="AD412" s="11" t="n"/>
      <c r="AE412" s="11" t="n"/>
      <c r="AF412" s="11" t="n"/>
      <c r="AG412" s="11" t="n"/>
      <c r="AH412" s="12">
        <f>IF(AB412="","",IFERROR(INDEX(DAFTAR_FIXTURE!$B$2:$B$51,MATCH(AB412,DAFTAR_FIXTURE!$A$2:$A$51,0)),""))</f>
        <v/>
      </c>
      <c r="AI412" s="12">
        <f>IF(AB412="","",IF(AH412="","CEK ID FIXTURE tidak ada di DAFTAR_FIXTURE",IF(AC412="","CEK ZONA NO kosong",IF(ISNA(MATCH(AH412&amp;"|"&amp;AC412,LAYOUT!$E$2:$E$80,0)),"CEK ZONA NO di luar layout",IF(AD412&lt;&gt;INDEX(LAYOUT!$D$2:$D$80,MATCH(AH412&amp;"|"&amp;AC412,LAYOUT!$E$2:$E$80,0)),"CEK JENIS ZONA",IF($D412="","Zona STOCK",IF($E412="","CEK SKU DESCRIPTION kosong",IF(AND(AE412&lt;&gt;"",AF412=""),"CEK URUTAN SAMBUNG kosong",IF(AND(AE412&lt;&gt;"",LEFT(AH412,6)="Endcap"),"CEK Endcap tidak ikut sambung","OK")))))))))</f>
        <v/>
      </c>
    </row>
    <row r="413">
      <c r="A413" s="10" t="n"/>
      <c r="B413" s="10" t="n"/>
      <c r="C413" s="10" t="n"/>
      <c r="D413" s="10" t="n"/>
      <c r="E413" s="10" t="n"/>
      <c r="F413" s="10" t="n"/>
      <c r="G413" s="10" t="n"/>
      <c r="H413" s="10" t="n"/>
      <c r="I413" s="10" t="n"/>
      <c r="J413" s="10" t="n"/>
      <c r="K413" s="10" t="n"/>
      <c r="L413" s="11" t="n"/>
      <c r="M413" s="11" t="n"/>
      <c r="N413" s="11" t="n"/>
      <c r="O413" s="11" t="n"/>
      <c r="P413" s="11" t="n"/>
      <c r="Q413" s="11" t="n"/>
      <c r="R413" s="12">
        <f>IF(L413="","",IFERROR(INDEX(DAFTAR_FIXTURE!$B$2:$B$51,MATCH(L413,DAFTAR_FIXTURE!$A$2:$A$51,0)),""))</f>
        <v/>
      </c>
      <c r="S413" s="12">
        <f>IF(AND($D413="",L413=""),"",IF(L413="",IF(AND(T413="",AB413=""),"Belum ditempatkan",""),IF(R413="","CEK ID FIXTURE tidak ada di DAFTAR_FIXTURE",IF(M413="","CEK ZONA NO kosong",IF(ISNA(MATCH(R413&amp;"|"&amp;M413,LAYOUT!$E$2:$E$80,0)),"CEK ZONA NO di luar layout",IF(N413&lt;&gt;INDEX(LAYOUT!$D$2:$D$80,MATCH(R413&amp;"|"&amp;M413,LAYOUT!$E$2:$E$80,0)),"CEK JENIS ZONA",IF($D413="","Zona STOCK",IF($E413="","CEK SKU DESCRIPTION kosong",IF(AND(O413&lt;&gt;"",P413=""),"CEK URUTAN SAMBUNG kosong",IF(AND(O413&lt;&gt;"",LEFT(R413,6)="Endcap"),"CEK Endcap tidak ikut sambung","OK"))))))))))</f>
        <v/>
      </c>
      <c r="T413" s="11" t="n"/>
      <c r="U413" s="11" t="n"/>
      <c r="V413" s="11" t="n"/>
      <c r="W413" s="11" t="n"/>
      <c r="X413" s="11" t="n"/>
      <c r="Y413" s="11" t="n"/>
      <c r="Z413" s="12">
        <f>IF(T413="","",IFERROR(INDEX(DAFTAR_FIXTURE!$B$2:$B$51,MATCH(T413,DAFTAR_FIXTURE!$A$2:$A$51,0)),""))</f>
        <v/>
      </c>
      <c r="AA413" s="12">
        <f>IF(T413="","",IF(Z413="","CEK ID FIXTURE tidak ada di DAFTAR_FIXTURE",IF(U413="","CEK ZONA NO kosong",IF(ISNA(MATCH(Z413&amp;"|"&amp;U413,LAYOUT!$E$2:$E$80,0)),"CEK ZONA NO di luar layout",IF(V413&lt;&gt;INDEX(LAYOUT!$D$2:$D$80,MATCH(Z413&amp;"|"&amp;U413,LAYOUT!$E$2:$E$80,0)),"CEK JENIS ZONA",IF($D413="","Zona STOCK",IF($E413="","CEK SKU DESCRIPTION kosong",IF(AND(W413&lt;&gt;"",X413=""),"CEK URUTAN SAMBUNG kosong",IF(AND(W413&lt;&gt;"",LEFT(Z413,6)="Endcap"),"CEK Endcap tidak ikut sambung","OK")))))))))</f>
        <v/>
      </c>
      <c r="AB413" s="11" t="n"/>
      <c r="AC413" s="11" t="n"/>
      <c r="AD413" s="11" t="n"/>
      <c r="AE413" s="11" t="n"/>
      <c r="AF413" s="11" t="n"/>
      <c r="AG413" s="11" t="n"/>
      <c r="AH413" s="12">
        <f>IF(AB413="","",IFERROR(INDEX(DAFTAR_FIXTURE!$B$2:$B$51,MATCH(AB413,DAFTAR_FIXTURE!$A$2:$A$51,0)),""))</f>
        <v/>
      </c>
      <c r="AI413" s="12">
        <f>IF(AB413="","",IF(AH413="","CEK ID FIXTURE tidak ada di DAFTAR_FIXTURE",IF(AC413="","CEK ZONA NO kosong",IF(ISNA(MATCH(AH413&amp;"|"&amp;AC413,LAYOUT!$E$2:$E$80,0)),"CEK ZONA NO di luar layout",IF(AD413&lt;&gt;INDEX(LAYOUT!$D$2:$D$80,MATCH(AH413&amp;"|"&amp;AC413,LAYOUT!$E$2:$E$80,0)),"CEK JENIS ZONA",IF($D413="","Zona STOCK",IF($E413="","CEK SKU DESCRIPTION kosong",IF(AND(AE413&lt;&gt;"",AF413=""),"CEK URUTAN SAMBUNG kosong",IF(AND(AE413&lt;&gt;"",LEFT(AH413,6)="Endcap"),"CEK Endcap tidak ikut sambung","OK")))))))))</f>
        <v/>
      </c>
    </row>
    <row r="414">
      <c r="A414" s="10" t="n"/>
      <c r="B414" s="10" t="n"/>
      <c r="C414" s="10" t="n"/>
      <c r="D414" s="10" t="n"/>
      <c r="E414" s="10" t="n"/>
      <c r="F414" s="10" t="n"/>
      <c r="G414" s="10" t="n"/>
      <c r="H414" s="10" t="n"/>
      <c r="I414" s="10" t="n"/>
      <c r="J414" s="10" t="n"/>
      <c r="K414" s="10" t="n"/>
      <c r="L414" s="11" t="n"/>
      <c r="M414" s="11" t="n"/>
      <c r="N414" s="11" t="n"/>
      <c r="O414" s="11" t="n"/>
      <c r="P414" s="11" t="n"/>
      <c r="Q414" s="11" t="n"/>
      <c r="R414" s="12">
        <f>IF(L414="","",IFERROR(INDEX(DAFTAR_FIXTURE!$B$2:$B$51,MATCH(L414,DAFTAR_FIXTURE!$A$2:$A$51,0)),""))</f>
        <v/>
      </c>
      <c r="S414" s="12">
        <f>IF(AND($D414="",L414=""),"",IF(L414="",IF(AND(T414="",AB414=""),"Belum ditempatkan",""),IF(R414="","CEK ID FIXTURE tidak ada di DAFTAR_FIXTURE",IF(M414="","CEK ZONA NO kosong",IF(ISNA(MATCH(R414&amp;"|"&amp;M414,LAYOUT!$E$2:$E$80,0)),"CEK ZONA NO di luar layout",IF(N414&lt;&gt;INDEX(LAYOUT!$D$2:$D$80,MATCH(R414&amp;"|"&amp;M414,LAYOUT!$E$2:$E$80,0)),"CEK JENIS ZONA",IF($D414="","Zona STOCK",IF($E414="","CEK SKU DESCRIPTION kosong",IF(AND(O414&lt;&gt;"",P414=""),"CEK URUTAN SAMBUNG kosong",IF(AND(O414&lt;&gt;"",LEFT(R414,6)="Endcap"),"CEK Endcap tidak ikut sambung","OK"))))))))))</f>
        <v/>
      </c>
      <c r="T414" s="11" t="n"/>
      <c r="U414" s="11" t="n"/>
      <c r="V414" s="11" t="n"/>
      <c r="W414" s="11" t="n"/>
      <c r="X414" s="11" t="n"/>
      <c r="Y414" s="11" t="n"/>
      <c r="Z414" s="12">
        <f>IF(T414="","",IFERROR(INDEX(DAFTAR_FIXTURE!$B$2:$B$51,MATCH(T414,DAFTAR_FIXTURE!$A$2:$A$51,0)),""))</f>
        <v/>
      </c>
      <c r="AA414" s="12">
        <f>IF(T414="","",IF(Z414="","CEK ID FIXTURE tidak ada di DAFTAR_FIXTURE",IF(U414="","CEK ZONA NO kosong",IF(ISNA(MATCH(Z414&amp;"|"&amp;U414,LAYOUT!$E$2:$E$80,0)),"CEK ZONA NO di luar layout",IF(V414&lt;&gt;INDEX(LAYOUT!$D$2:$D$80,MATCH(Z414&amp;"|"&amp;U414,LAYOUT!$E$2:$E$80,0)),"CEK JENIS ZONA",IF($D414="","Zona STOCK",IF($E414="","CEK SKU DESCRIPTION kosong",IF(AND(W414&lt;&gt;"",X414=""),"CEK URUTAN SAMBUNG kosong",IF(AND(W414&lt;&gt;"",LEFT(Z414,6)="Endcap"),"CEK Endcap tidak ikut sambung","OK")))))))))</f>
        <v/>
      </c>
      <c r="AB414" s="11" t="n"/>
      <c r="AC414" s="11" t="n"/>
      <c r="AD414" s="11" t="n"/>
      <c r="AE414" s="11" t="n"/>
      <c r="AF414" s="11" t="n"/>
      <c r="AG414" s="11" t="n"/>
      <c r="AH414" s="12">
        <f>IF(AB414="","",IFERROR(INDEX(DAFTAR_FIXTURE!$B$2:$B$51,MATCH(AB414,DAFTAR_FIXTURE!$A$2:$A$51,0)),""))</f>
        <v/>
      </c>
      <c r="AI414" s="12">
        <f>IF(AB414="","",IF(AH414="","CEK ID FIXTURE tidak ada di DAFTAR_FIXTURE",IF(AC414="","CEK ZONA NO kosong",IF(ISNA(MATCH(AH414&amp;"|"&amp;AC414,LAYOUT!$E$2:$E$80,0)),"CEK ZONA NO di luar layout",IF(AD414&lt;&gt;INDEX(LAYOUT!$D$2:$D$80,MATCH(AH414&amp;"|"&amp;AC414,LAYOUT!$E$2:$E$80,0)),"CEK JENIS ZONA",IF($D414="","Zona STOCK",IF($E414="","CEK SKU DESCRIPTION kosong",IF(AND(AE414&lt;&gt;"",AF414=""),"CEK URUTAN SAMBUNG kosong",IF(AND(AE414&lt;&gt;"",LEFT(AH414,6)="Endcap"),"CEK Endcap tidak ikut sambung","OK")))))))))</f>
        <v/>
      </c>
    </row>
    <row r="415">
      <c r="A415" s="10" t="n"/>
      <c r="B415" s="10" t="n"/>
      <c r="C415" s="10" t="n"/>
      <c r="D415" s="10" t="n"/>
      <c r="E415" s="10" t="n"/>
      <c r="F415" s="10" t="n"/>
      <c r="G415" s="10" t="n"/>
      <c r="H415" s="10" t="n"/>
      <c r="I415" s="10" t="n"/>
      <c r="J415" s="10" t="n"/>
      <c r="K415" s="10" t="n"/>
      <c r="L415" s="11" t="n"/>
      <c r="M415" s="11" t="n"/>
      <c r="N415" s="11" t="n"/>
      <c r="O415" s="11" t="n"/>
      <c r="P415" s="11" t="n"/>
      <c r="Q415" s="11" t="n"/>
      <c r="R415" s="12">
        <f>IF(L415="","",IFERROR(INDEX(DAFTAR_FIXTURE!$B$2:$B$51,MATCH(L415,DAFTAR_FIXTURE!$A$2:$A$51,0)),""))</f>
        <v/>
      </c>
      <c r="S415" s="12">
        <f>IF(AND($D415="",L415=""),"",IF(L415="",IF(AND(T415="",AB415=""),"Belum ditempatkan",""),IF(R415="","CEK ID FIXTURE tidak ada di DAFTAR_FIXTURE",IF(M415="","CEK ZONA NO kosong",IF(ISNA(MATCH(R415&amp;"|"&amp;M415,LAYOUT!$E$2:$E$80,0)),"CEK ZONA NO di luar layout",IF(N415&lt;&gt;INDEX(LAYOUT!$D$2:$D$80,MATCH(R415&amp;"|"&amp;M415,LAYOUT!$E$2:$E$80,0)),"CEK JENIS ZONA",IF($D415="","Zona STOCK",IF($E415="","CEK SKU DESCRIPTION kosong",IF(AND(O415&lt;&gt;"",P415=""),"CEK URUTAN SAMBUNG kosong",IF(AND(O415&lt;&gt;"",LEFT(R415,6)="Endcap"),"CEK Endcap tidak ikut sambung","OK"))))))))))</f>
        <v/>
      </c>
      <c r="T415" s="11" t="n"/>
      <c r="U415" s="11" t="n"/>
      <c r="V415" s="11" t="n"/>
      <c r="W415" s="11" t="n"/>
      <c r="X415" s="11" t="n"/>
      <c r="Y415" s="11" t="n"/>
      <c r="Z415" s="12">
        <f>IF(T415="","",IFERROR(INDEX(DAFTAR_FIXTURE!$B$2:$B$51,MATCH(T415,DAFTAR_FIXTURE!$A$2:$A$51,0)),""))</f>
        <v/>
      </c>
      <c r="AA415" s="12">
        <f>IF(T415="","",IF(Z415="","CEK ID FIXTURE tidak ada di DAFTAR_FIXTURE",IF(U415="","CEK ZONA NO kosong",IF(ISNA(MATCH(Z415&amp;"|"&amp;U415,LAYOUT!$E$2:$E$80,0)),"CEK ZONA NO di luar layout",IF(V415&lt;&gt;INDEX(LAYOUT!$D$2:$D$80,MATCH(Z415&amp;"|"&amp;U415,LAYOUT!$E$2:$E$80,0)),"CEK JENIS ZONA",IF($D415="","Zona STOCK",IF($E415="","CEK SKU DESCRIPTION kosong",IF(AND(W415&lt;&gt;"",X415=""),"CEK URUTAN SAMBUNG kosong",IF(AND(W415&lt;&gt;"",LEFT(Z415,6)="Endcap"),"CEK Endcap tidak ikut sambung","OK")))))))))</f>
        <v/>
      </c>
      <c r="AB415" s="11" t="n"/>
      <c r="AC415" s="11" t="n"/>
      <c r="AD415" s="11" t="n"/>
      <c r="AE415" s="11" t="n"/>
      <c r="AF415" s="11" t="n"/>
      <c r="AG415" s="11" t="n"/>
      <c r="AH415" s="12">
        <f>IF(AB415="","",IFERROR(INDEX(DAFTAR_FIXTURE!$B$2:$B$51,MATCH(AB415,DAFTAR_FIXTURE!$A$2:$A$51,0)),""))</f>
        <v/>
      </c>
      <c r="AI415" s="12">
        <f>IF(AB415="","",IF(AH415="","CEK ID FIXTURE tidak ada di DAFTAR_FIXTURE",IF(AC415="","CEK ZONA NO kosong",IF(ISNA(MATCH(AH415&amp;"|"&amp;AC415,LAYOUT!$E$2:$E$80,0)),"CEK ZONA NO di luar layout",IF(AD415&lt;&gt;INDEX(LAYOUT!$D$2:$D$80,MATCH(AH415&amp;"|"&amp;AC415,LAYOUT!$E$2:$E$80,0)),"CEK JENIS ZONA",IF($D415="","Zona STOCK",IF($E415="","CEK SKU DESCRIPTION kosong",IF(AND(AE415&lt;&gt;"",AF415=""),"CEK URUTAN SAMBUNG kosong",IF(AND(AE415&lt;&gt;"",LEFT(AH415,6)="Endcap"),"CEK Endcap tidak ikut sambung","OK")))))))))</f>
        <v/>
      </c>
    </row>
    <row r="416">
      <c r="A416" s="10" t="n"/>
      <c r="B416" s="10" t="n"/>
      <c r="C416" s="10" t="n"/>
      <c r="D416" s="10" t="n"/>
      <c r="E416" s="10" t="n"/>
      <c r="F416" s="10" t="n"/>
      <c r="G416" s="10" t="n"/>
      <c r="H416" s="10" t="n"/>
      <c r="I416" s="10" t="n"/>
      <c r="J416" s="10" t="n"/>
      <c r="K416" s="10" t="n"/>
      <c r="L416" s="11" t="n"/>
      <c r="M416" s="11" t="n"/>
      <c r="N416" s="11" t="n"/>
      <c r="O416" s="11" t="n"/>
      <c r="P416" s="11" t="n"/>
      <c r="Q416" s="11" t="n"/>
      <c r="R416" s="12">
        <f>IF(L416="","",IFERROR(INDEX(DAFTAR_FIXTURE!$B$2:$B$51,MATCH(L416,DAFTAR_FIXTURE!$A$2:$A$51,0)),""))</f>
        <v/>
      </c>
      <c r="S416" s="12">
        <f>IF(AND($D416="",L416=""),"",IF(L416="",IF(AND(T416="",AB416=""),"Belum ditempatkan",""),IF(R416="","CEK ID FIXTURE tidak ada di DAFTAR_FIXTURE",IF(M416="","CEK ZONA NO kosong",IF(ISNA(MATCH(R416&amp;"|"&amp;M416,LAYOUT!$E$2:$E$80,0)),"CEK ZONA NO di luar layout",IF(N416&lt;&gt;INDEX(LAYOUT!$D$2:$D$80,MATCH(R416&amp;"|"&amp;M416,LAYOUT!$E$2:$E$80,0)),"CEK JENIS ZONA",IF($D416="","Zona STOCK",IF($E416="","CEK SKU DESCRIPTION kosong",IF(AND(O416&lt;&gt;"",P416=""),"CEK URUTAN SAMBUNG kosong",IF(AND(O416&lt;&gt;"",LEFT(R416,6)="Endcap"),"CEK Endcap tidak ikut sambung","OK"))))))))))</f>
        <v/>
      </c>
      <c r="T416" s="11" t="n"/>
      <c r="U416" s="11" t="n"/>
      <c r="V416" s="11" t="n"/>
      <c r="W416" s="11" t="n"/>
      <c r="X416" s="11" t="n"/>
      <c r="Y416" s="11" t="n"/>
      <c r="Z416" s="12">
        <f>IF(T416="","",IFERROR(INDEX(DAFTAR_FIXTURE!$B$2:$B$51,MATCH(T416,DAFTAR_FIXTURE!$A$2:$A$51,0)),""))</f>
        <v/>
      </c>
      <c r="AA416" s="12">
        <f>IF(T416="","",IF(Z416="","CEK ID FIXTURE tidak ada di DAFTAR_FIXTURE",IF(U416="","CEK ZONA NO kosong",IF(ISNA(MATCH(Z416&amp;"|"&amp;U416,LAYOUT!$E$2:$E$80,0)),"CEK ZONA NO di luar layout",IF(V416&lt;&gt;INDEX(LAYOUT!$D$2:$D$80,MATCH(Z416&amp;"|"&amp;U416,LAYOUT!$E$2:$E$80,0)),"CEK JENIS ZONA",IF($D416="","Zona STOCK",IF($E416="","CEK SKU DESCRIPTION kosong",IF(AND(W416&lt;&gt;"",X416=""),"CEK URUTAN SAMBUNG kosong",IF(AND(W416&lt;&gt;"",LEFT(Z416,6)="Endcap"),"CEK Endcap tidak ikut sambung","OK")))))))))</f>
        <v/>
      </c>
      <c r="AB416" s="11" t="n"/>
      <c r="AC416" s="11" t="n"/>
      <c r="AD416" s="11" t="n"/>
      <c r="AE416" s="11" t="n"/>
      <c r="AF416" s="11" t="n"/>
      <c r="AG416" s="11" t="n"/>
      <c r="AH416" s="12">
        <f>IF(AB416="","",IFERROR(INDEX(DAFTAR_FIXTURE!$B$2:$B$51,MATCH(AB416,DAFTAR_FIXTURE!$A$2:$A$51,0)),""))</f>
        <v/>
      </c>
      <c r="AI416" s="12">
        <f>IF(AB416="","",IF(AH416="","CEK ID FIXTURE tidak ada di DAFTAR_FIXTURE",IF(AC416="","CEK ZONA NO kosong",IF(ISNA(MATCH(AH416&amp;"|"&amp;AC416,LAYOUT!$E$2:$E$80,0)),"CEK ZONA NO di luar layout",IF(AD416&lt;&gt;INDEX(LAYOUT!$D$2:$D$80,MATCH(AH416&amp;"|"&amp;AC416,LAYOUT!$E$2:$E$80,0)),"CEK JENIS ZONA",IF($D416="","Zona STOCK",IF($E416="","CEK SKU DESCRIPTION kosong",IF(AND(AE416&lt;&gt;"",AF416=""),"CEK URUTAN SAMBUNG kosong",IF(AND(AE416&lt;&gt;"",LEFT(AH416,6)="Endcap"),"CEK Endcap tidak ikut sambung","OK")))))))))</f>
        <v/>
      </c>
    </row>
    <row r="417">
      <c r="A417" s="10" t="n"/>
      <c r="B417" s="10" t="n"/>
      <c r="C417" s="10" t="n"/>
      <c r="D417" s="10" t="n"/>
      <c r="E417" s="10" t="n"/>
      <c r="F417" s="10" t="n"/>
      <c r="G417" s="10" t="n"/>
      <c r="H417" s="10" t="n"/>
      <c r="I417" s="10" t="n"/>
      <c r="J417" s="10" t="n"/>
      <c r="K417" s="10" t="n"/>
      <c r="L417" s="11" t="n"/>
      <c r="M417" s="11" t="n"/>
      <c r="N417" s="11" t="n"/>
      <c r="O417" s="11" t="n"/>
      <c r="P417" s="11" t="n"/>
      <c r="Q417" s="11" t="n"/>
      <c r="R417" s="12">
        <f>IF(L417="","",IFERROR(INDEX(DAFTAR_FIXTURE!$B$2:$B$51,MATCH(L417,DAFTAR_FIXTURE!$A$2:$A$51,0)),""))</f>
        <v/>
      </c>
      <c r="S417" s="12">
        <f>IF(AND($D417="",L417=""),"",IF(L417="",IF(AND(T417="",AB417=""),"Belum ditempatkan",""),IF(R417="","CEK ID FIXTURE tidak ada di DAFTAR_FIXTURE",IF(M417="","CEK ZONA NO kosong",IF(ISNA(MATCH(R417&amp;"|"&amp;M417,LAYOUT!$E$2:$E$80,0)),"CEK ZONA NO di luar layout",IF(N417&lt;&gt;INDEX(LAYOUT!$D$2:$D$80,MATCH(R417&amp;"|"&amp;M417,LAYOUT!$E$2:$E$80,0)),"CEK JENIS ZONA",IF($D417="","Zona STOCK",IF($E417="","CEK SKU DESCRIPTION kosong",IF(AND(O417&lt;&gt;"",P417=""),"CEK URUTAN SAMBUNG kosong",IF(AND(O417&lt;&gt;"",LEFT(R417,6)="Endcap"),"CEK Endcap tidak ikut sambung","OK"))))))))))</f>
        <v/>
      </c>
      <c r="T417" s="11" t="n"/>
      <c r="U417" s="11" t="n"/>
      <c r="V417" s="11" t="n"/>
      <c r="W417" s="11" t="n"/>
      <c r="X417" s="11" t="n"/>
      <c r="Y417" s="11" t="n"/>
      <c r="Z417" s="12">
        <f>IF(T417="","",IFERROR(INDEX(DAFTAR_FIXTURE!$B$2:$B$51,MATCH(T417,DAFTAR_FIXTURE!$A$2:$A$51,0)),""))</f>
        <v/>
      </c>
      <c r="AA417" s="12">
        <f>IF(T417="","",IF(Z417="","CEK ID FIXTURE tidak ada di DAFTAR_FIXTURE",IF(U417="","CEK ZONA NO kosong",IF(ISNA(MATCH(Z417&amp;"|"&amp;U417,LAYOUT!$E$2:$E$80,0)),"CEK ZONA NO di luar layout",IF(V417&lt;&gt;INDEX(LAYOUT!$D$2:$D$80,MATCH(Z417&amp;"|"&amp;U417,LAYOUT!$E$2:$E$80,0)),"CEK JENIS ZONA",IF($D417="","Zona STOCK",IF($E417="","CEK SKU DESCRIPTION kosong",IF(AND(W417&lt;&gt;"",X417=""),"CEK URUTAN SAMBUNG kosong",IF(AND(W417&lt;&gt;"",LEFT(Z417,6)="Endcap"),"CEK Endcap tidak ikut sambung","OK")))))))))</f>
        <v/>
      </c>
      <c r="AB417" s="11" t="n"/>
      <c r="AC417" s="11" t="n"/>
      <c r="AD417" s="11" t="n"/>
      <c r="AE417" s="11" t="n"/>
      <c r="AF417" s="11" t="n"/>
      <c r="AG417" s="11" t="n"/>
      <c r="AH417" s="12">
        <f>IF(AB417="","",IFERROR(INDEX(DAFTAR_FIXTURE!$B$2:$B$51,MATCH(AB417,DAFTAR_FIXTURE!$A$2:$A$51,0)),""))</f>
        <v/>
      </c>
      <c r="AI417" s="12">
        <f>IF(AB417="","",IF(AH417="","CEK ID FIXTURE tidak ada di DAFTAR_FIXTURE",IF(AC417="","CEK ZONA NO kosong",IF(ISNA(MATCH(AH417&amp;"|"&amp;AC417,LAYOUT!$E$2:$E$80,0)),"CEK ZONA NO di luar layout",IF(AD417&lt;&gt;INDEX(LAYOUT!$D$2:$D$80,MATCH(AH417&amp;"|"&amp;AC417,LAYOUT!$E$2:$E$80,0)),"CEK JENIS ZONA",IF($D417="","Zona STOCK",IF($E417="","CEK SKU DESCRIPTION kosong",IF(AND(AE417&lt;&gt;"",AF417=""),"CEK URUTAN SAMBUNG kosong",IF(AND(AE417&lt;&gt;"",LEFT(AH417,6)="Endcap"),"CEK Endcap tidak ikut sambung","OK")))))))))</f>
        <v/>
      </c>
    </row>
    <row r="418">
      <c r="A418" s="10" t="n"/>
      <c r="B418" s="10" t="n"/>
      <c r="C418" s="10" t="n"/>
      <c r="D418" s="10" t="n"/>
      <c r="E418" s="10" t="n"/>
      <c r="F418" s="10" t="n"/>
      <c r="G418" s="10" t="n"/>
      <c r="H418" s="10" t="n"/>
      <c r="I418" s="10" t="n"/>
      <c r="J418" s="10" t="n"/>
      <c r="K418" s="10" t="n"/>
      <c r="L418" s="11" t="n"/>
      <c r="M418" s="11" t="n"/>
      <c r="N418" s="11" t="n"/>
      <c r="O418" s="11" t="n"/>
      <c r="P418" s="11" t="n"/>
      <c r="Q418" s="11" t="n"/>
      <c r="R418" s="12">
        <f>IF(L418="","",IFERROR(INDEX(DAFTAR_FIXTURE!$B$2:$B$51,MATCH(L418,DAFTAR_FIXTURE!$A$2:$A$51,0)),""))</f>
        <v/>
      </c>
      <c r="S418" s="12">
        <f>IF(AND($D418="",L418=""),"",IF(L418="",IF(AND(T418="",AB418=""),"Belum ditempatkan",""),IF(R418="","CEK ID FIXTURE tidak ada di DAFTAR_FIXTURE",IF(M418="","CEK ZONA NO kosong",IF(ISNA(MATCH(R418&amp;"|"&amp;M418,LAYOUT!$E$2:$E$80,0)),"CEK ZONA NO di luar layout",IF(N418&lt;&gt;INDEX(LAYOUT!$D$2:$D$80,MATCH(R418&amp;"|"&amp;M418,LAYOUT!$E$2:$E$80,0)),"CEK JENIS ZONA",IF($D418="","Zona STOCK",IF($E418="","CEK SKU DESCRIPTION kosong",IF(AND(O418&lt;&gt;"",P418=""),"CEK URUTAN SAMBUNG kosong",IF(AND(O418&lt;&gt;"",LEFT(R418,6)="Endcap"),"CEK Endcap tidak ikut sambung","OK"))))))))))</f>
        <v/>
      </c>
      <c r="T418" s="11" t="n"/>
      <c r="U418" s="11" t="n"/>
      <c r="V418" s="11" t="n"/>
      <c r="W418" s="11" t="n"/>
      <c r="X418" s="11" t="n"/>
      <c r="Y418" s="11" t="n"/>
      <c r="Z418" s="12">
        <f>IF(T418="","",IFERROR(INDEX(DAFTAR_FIXTURE!$B$2:$B$51,MATCH(T418,DAFTAR_FIXTURE!$A$2:$A$51,0)),""))</f>
        <v/>
      </c>
      <c r="AA418" s="12">
        <f>IF(T418="","",IF(Z418="","CEK ID FIXTURE tidak ada di DAFTAR_FIXTURE",IF(U418="","CEK ZONA NO kosong",IF(ISNA(MATCH(Z418&amp;"|"&amp;U418,LAYOUT!$E$2:$E$80,0)),"CEK ZONA NO di luar layout",IF(V418&lt;&gt;INDEX(LAYOUT!$D$2:$D$80,MATCH(Z418&amp;"|"&amp;U418,LAYOUT!$E$2:$E$80,0)),"CEK JENIS ZONA",IF($D418="","Zona STOCK",IF($E418="","CEK SKU DESCRIPTION kosong",IF(AND(W418&lt;&gt;"",X418=""),"CEK URUTAN SAMBUNG kosong",IF(AND(W418&lt;&gt;"",LEFT(Z418,6)="Endcap"),"CEK Endcap tidak ikut sambung","OK")))))))))</f>
        <v/>
      </c>
      <c r="AB418" s="11" t="n"/>
      <c r="AC418" s="11" t="n"/>
      <c r="AD418" s="11" t="n"/>
      <c r="AE418" s="11" t="n"/>
      <c r="AF418" s="11" t="n"/>
      <c r="AG418" s="11" t="n"/>
      <c r="AH418" s="12">
        <f>IF(AB418="","",IFERROR(INDEX(DAFTAR_FIXTURE!$B$2:$B$51,MATCH(AB418,DAFTAR_FIXTURE!$A$2:$A$51,0)),""))</f>
        <v/>
      </c>
      <c r="AI418" s="12">
        <f>IF(AB418="","",IF(AH418="","CEK ID FIXTURE tidak ada di DAFTAR_FIXTURE",IF(AC418="","CEK ZONA NO kosong",IF(ISNA(MATCH(AH418&amp;"|"&amp;AC418,LAYOUT!$E$2:$E$80,0)),"CEK ZONA NO di luar layout",IF(AD418&lt;&gt;INDEX(LAYOUT!$D$2:$D$80,MATCH(AH418&amp;"|"&amp;AC418,LAYOUT!$E$2:$E$80,0)),"CEK JENIS ZONA",IF($D418="","Zona STOCK",IF($E418="","CEK SKU DESCRIPTION kosong",IF(AND(AE418&lt;&gt;"",AF418=""),"CEK URUTAN SAMBUNG kosong",IF(AND(AE418&lt;&gt;"",LEFT(AH418,6)="Endcap"),"CEK Endcap tidak ikut sambung","OK")))))))))</f>
        <v/>
      </c>
    </row>
    <row r="419">
      <c r="A419" s="10" t="n"/>
      <c r="B419" s="10" t="n"/>
      <c r="C419" s="10" t="n"/>
      <c r="D419" s="10" t="n"/>
      <c r="E419" s="10" t="n"/>
      <c r="F419" s="10" t="n"/>
      <c r="G419" s="10" t="n"/>
      <c r="H419" s="10" t="n"/>
      <c r="I419" s="10" t="n"/>
      <c r="J419" s="10" t="n"/>
      <c r="K419" s="10" t="n"/>
      <c r="L419" s="11" t="n"/>
      <c r="M419" s="11" t="n"/>
      <c r="N419" s="11" t="n"/>
      <c r="O419" s="11" t="n"/>
      <c r="P419" s="11" t="n"/>
      <c r="Q419" s="11" t="n"/>
      <c r="R419" s="12">
        <f>IF(L419="","",IFERROR(INDEX(DAFTAR_FIXTURE!$B$2:$B$51,MATCH(L419,DAFTAR_FIXTURE!$A$2:$A$51,0)),""))</f>
        <v/>
      </c>
      <c r="S419" s="12">
        <f>IF(AND($D419="",L419=""),"",IF(L419="",IF(AND(T419="",AB419=""),"Belum ditempatkan",""),IF(R419="","CEK ID FIXTURE tidak ada di DAFTAR_FIXTURE",IF(M419="","CEK ZONA NO kosong",IF(ISNA(MATCH(R419&amp;"|"&amp;M419,LAYOUT!$E$2:$E$80,0)),"CEK ZONA NO di luar layout",IF(N419&lt;&gt;INDEX(LAYOUT!$D$2:$D$80,MATCH(R419&amp;"|"&amp;M419,LAYOUT!$E$2:$E$80,0)),"CEK JENIS ZONA",IF($D419="","Zona STOCK",IF($E419="","CEK SKU DESCRIPTION kosong",IF(AND(O419&lt;&gt;"",P419=""),"CEK URUTAN SAMBUNG kosong",IF(AND(O419&lt;&gt;"",LEFT(R419,6)="Endcap"),"CEK Endcap tidak ikut sambung","OK"))))))))))</f>
        <v/>
      </c>
      <c r="T419" s="11" t="n"/>
      <c r="U419" s="11" t="n"/>
      <c r="V419" s="11" t="n"/>
      <c r="W419" s="11" t="n"/>
      <c r="X419" s="11" t="n"/>
      <c r="Y419" s="11" t="n"/>
      <c r="Z419" s="12">
        <f>IF(T419="","",IFERROR(INDEX(DAFTAR_FIXTURE!$B$2:$B$51,MATCH(T419,DAFTAR_FIXTURE!$A$2:$A$51,0)),""))</f>
        <v/>
      </c>
      <c r="AA419" s="12">
        <f>IF(T419="","",IF(Z419="","CEK ID FIXTURE tidak ada di DAFTAR_FIXTURE",IF(U419="","CEK ZONA NO kosong",IF(ISNA(MATCH(Z419&amp;"|"&amp;U419,LAYOUT!$E$2:$E$80,0)),"CEK ZONA NO di luar layout",IF(V419&lt;&gt;INDEX(LAYOUT!$D$2:$D$80,MATCH(Z419&amp;"|"&amp;U419,LAYOUT!$E$2:$E$80,0)),"CEK JENIS ZONA",IF($D419="","Zona STOCK",IF($E419="","CEK SKU DESCRIPTION kosong",IF(AND(W419&lt;&gt;"",X419=""),"CEK URUTAN SAMBUNG kosong",IF(AND(W419&lt;&gt;"",LEFT(Z419,6)="Endcap"),"CEK Endcap tidak ikut sambung","OK")))))))))</f>
        <v/>
      </c>
      <c r="AB419" s="11" t="n"/>
      <c r="AC419" s="11" t="n"/>
      <c r="AD419" s="11" t="n"/>
      <c r="AE419" s="11" t="n"/>
      <c r="AF419" s="11" t="n"/>
      <c r="AG419" s="11" t="n"/>
      <c r="AH419" s="12">
        <f>IF(AB419="","",IFERROR(INDEX(DAFTAR_FIXTURE!$B$2:$B$51,MATCH(AB419,DAFTAR_FIXTURE!$A$2:$A$51,0)),""))</f>
        <v/>
      </c>
      <c r="AI419" s="12">
        <f>IF(AB419="","",IF(AH419="","CEK ID FIXTURE tidak ada di DAFTAR_FIXTURE",IF(AC419="","CEK ZONA NO kosong",IF(ISNA(MATCH(AH419&amp;"|"&amp;AC419,LAYOUT!$E$2:$E$80,0)),"CEK ZONA NO di luar layout",IF(AD419&lt;&gt;INDEX(LAYOUT!$D$2:$D$80,MATCH(AH419&amp;"|"&amp;AC419,LAYOUT!$E$2:$E$80,0)),"CEK JENIS ZONA",IF($D419="","Zona STOCK",IF($E419="","CEK SKU DESCRIPTION kosong",IF(AND(AE419&lt;&gt;"",AF419=""),"CEK URUTAN SAMBUNG kosong",IF(AND(AE419&lt;&gt;"",LEFT(AH419,6)="Endcap"),"CEK Endcap tidak ikut sambung","OK")))))))))</f>
        <v/>
      </c>
    </row>
    <row r="420">
      <c r="A420" s="10" t="n"/>
      <c r="B420" s="10" t="n"/>
      <c r="C420" s="10" t="n"/>
      <c r="D420" s="10" t="n"/>
      <c r="E420" s="10" t="n"/>
      <c r="F420" s="10" t="n"/>
      <c r="G420" s="10" t="n"/>
      <c r="H420" s="10" t="n"/>
      <c r="I420" s="10" t="n"/>
      <c r="J420" s="10" t="n"/>
      <c r="K420" s="10" t="n"/>
      <c r="L420" s="11" t="n"/>
      <c r="M420" s="11" t="n"/>
      <c r="N420" s="11" t="n"/>
      <c r="O420" s="11" t="n"/>
      <c r="P420" s="11" t="n"/>
      <c r="Q420" s="11" t="n"/>
      <c r="R420" s="12">
        <f>IF(L420="","",IFERROR(INDEX(DAFTAR_FIXTURE!$B$2:$B$51,MATCH(L420,DAFTAR_FIXTURE!$A$2:$A$51,0)),""))</f>
        <v/>
      </c>
      <c r="S420" s="12">
        <f>IF(AND($D420="",L420=""),"",IF(L420="",IF(AND(T420="",AB420=""),"Belum ditempatkan",""),IF(R420="","CEK ID FIXTURE tidak ada di DAFTAR_FIXTURE",IF(M420="","CEK ZONA NO kosong",IF(ISNA(MATCH(R420&amp;"|"&amp;M420,LAYOUT!$E$2:$E$80,0)),"CEK ZONA NO di luar layout",IF(N420&lt;&gt;INDEX(LAYOUT!$D$2:$D$80,MATCH(R420&amp;"|"&amp;M420,LAYOUT!$E$2:$E$80,0)),"CEK JENIS ZONA",IF($D420="","Zona STOCK",IF($E420="","CEK SKU DESCRIPTION kosong",IF(AND(O420&lt;&gt;"",P420=""),"CEK URUTAN SAMBUNG kosong",IF(AND(O420&lt;&gt;"",LEFT(R420,6)="Endcap"),"CEK Endcap tidak ikut sambung","OK"))))))))))</f>
        <v/>
      </c>
      <c r="T420" s="11" t="n"/>
      <c r="U420" s="11" t="n"/>
      <c r="V420" s="11" t="n"/>
      <c r="W420" s="11" t="n"/>
      <c r="X420" s="11" t="n"/>
      <c r="Y420" s="11" t="n"/>
      <c r="Z420" s="12">
        <f>IF(T420="","",IFERROR(INDEX(DAFTAR_FIXTURE!$B$2:$B$51,MATCH(T420,DAFTAR_FIXTURE!$A$2:$A$51,0)),""))</f>
        <v/>
      </c>
      <c r="AA420" s="12">
        <f>IF(T420="","",IF(Z420="","CEK ID FIXTURE tidak ada di DAFTAR_FIXTURE",IF(U420="","CEK ZONA NO kosong",IF(ISNA(MATCH(Z420&amp;"|"&amp;U420,LAYOUT!$E$2:$E$80,0)),"CEK ZONA NO di luar layout",IF(V420&lt;&gt;INDEX(LAYOUT!$D$2:$D$80,MATCH(Z420&amp;"|"&amp;U420,LAYOUT!$E$2:$E$80,0)),"CEK JENIS ZONA",IF($D420="","Zona STOCK",IF($E420="","CEK SKU DESCRIPTION kosong",IF(AND(W420&lt;&gt;"",X420=""),"CEK URUTAN SAMBUNG kosong",IF(AND(W420&lt;&gt;"",LEFT(Z420,6)="Endcap"),"CEK Endcap tidak ikut sambung","OK")))))))))</f>
        <v/>
      </c>
      <c r="AB420" s="11" t="n"/>
      <c r="AC420" s="11" t="n"/>
      <c r="AD420" s="11" t="n"/>
      <c r="AE420" s="11" t="n"/>
      <c r="AF420" s="11" t="n"/>
      <c r="AG420" s="11" t="n"/>
      <c r="AH420" s="12">
        <f>IF(AB420="","",IFERROR(INDEX(DAFTAR_FIXTURE!$B$2:$B$51,MATCH(AB420,DAFTAR_FIXTURE!$A$2:$A$51,0)),""))</f>
        <v/>
      </c>
      <c r="AI420" s="12">
        <f>IF(AB420="","",IF(AH420="","CEK ID FIXTURE tidak ada di DAFTAR_FIXTURE",IF(AC420="","CEK ZONA NO kosong",IF(ISNA(MATCH(AH420&amp;"|"&amp;AC420,LAYOUT!$E$2:$E$80,0)),"CEK ZONA NO di luar layout",IF(AD420&lt;&gt;INDEX(LAYOUT!$D$2:$D$80,MATCH(AH420&amp;"|"&amp;AC420,LAYOUT!$E$2:$E$80,0)),"CEK JENIS ZONA",IF($D420="","Zona STOCK",IF($E420="","CEK SKU DESCRIPTION kosong",IF(AND(AE420&lt;&gt;"",AF420=""),"CEK URUTAN SAMBUNG kosong",IF(AND(AE420&lt;&gt;"",LEFT(AH420,6)="Endcap"),"CEK Endcap tidak ikut sambung","OK")))))))))</f>
        <v/>
      </c>
    </row>
    <row r="421">
      <c r="A421" s="10" t="n"/>
      <c r="B421" s="10" t="n"/>
      <c r="C421" s="10" t="n"/>
      <c r="D421" s="10" t="n"/>
      <c r="E421" s="10" t="n"/>
      <c r="F421" s="10" t="n"/>
      <c r="G421" s="10" t="n"/>
      <c r="H421" s="10" t="n"/>
      <c r="I421" s="10" t="n"/>
      <c r="J421" s="10" t="n"/>
      <c r="K421" s="10" t="n"/>
      <c r="L421" s="11" t="n"/>
      <c r="M421" s="11" t="n"/>
      <c r="N421" s="11" t="n"/>
      <c r="O421" s="11" t="n"/>
      <c r="P421" s="11" t="n"/>
      <c r="Q421" s="11" t="n"/>
      <c r="R421" s="12">
        <f>IF(L421="","",IFERROR(INDEX(DAFTAR_FIXTURE!$B$2:$B$51,MATCH(L421,DAFTAR_FIXTURE!$A$2:$A$51,0)),""))</f>
        <v/>
      </c>
      <c r="S421" s="12">
        <f>IF(AND($D421="",L421=""),"",IF(L421="",IF(AND(T421="",AB421=""),"Belum ditempatkan",""),IF(R421="","CEK ID FIXTURE tidak ada di DAFTAR_FIXTURE",IF(M421="","CEK ZONA NO kosong",IF(ISNA(MATCH(R421&amp;"|"&amp;M421,LAYOUT!$E$2:$E$80,0)),"CEK ZONA NO di luar layout",IF(N421&lt;&gt;INDEX(LAYOUT!$D$2:$D$80,MATCH(R421&amp;"|"&amp;M421,LAYOUT!$E$2:$E$80,0)),"CEK JENIS ZONA",IF($D421="","Zona STOCK",IF($E421="","CEK SKU DESCRIPTION kosong",IF(AND(O421&lt;&gt;"",P421=""),"CEK URUTAN SAMBUNG kosong",IF(AND(O421&lt;&gt;"",LEFT(R421,6)="Endcap"),"CEK Endcap tidak ikut sambung","OK"))))))))))</f>
        <v/>
      </c>
      <c r="T421" s="11" t="n"/>
      <c r="U421" s="11" t="n"/>
      <c r="V421" s="11" t="n"/>
      <c r="W421" s="11" t="n"/>
      <c r="X421" s="11" t="n"/>
      <c r="Y421" s="11" t="n"/>
      <c r="Z421" s="12">
        <f>IF(T421="","",IFERROR(INDEX(DAFTAR_FIXTURE!$B$2:$B$51,MATCH(T421,DAFTAR_FIXTURE!$A$2:$A$51,0)),""))</f>
        <v/>
      </c>
      <c r="AA421" s="12">
        <f>IF(T421="","",IF(Z421="","CEK ID FIXTURE tidak ada di DAFTAR_FIXTURE",IF(U421="","CEK ZONA NO kosong",IF(ISNA(MATCH(Z421&amp;"|"&amp;U421,LAYOUT!$E$2:$E$80,0)),"CEK ZONA NO di luar layout",IF(V421&lt;&gt;INDEX(LAYOUT!$D$2:$D$80,MATCH(Z421&amp;"|"&amp;U421,LAYOUT!$E$2:$E$80,0)),"CEK JENIS ZONA",IF($D421="","Zona STOCK",IF($E421="","CEK SKU DESCRIPTION kosong",IF(AND(W421&lt;&gt;"",X421=""),"CEK URUTAN SAMBUNG kosong",IF(AND(W421&lt;&gt;"",LEFT(Z421,6)="Endcap"),"CEK Endcap tidak ikut sambung","OK")))))))))</f>
        <v/>
      </c>
      <c r="AB421" s="11" t="n"/>
      <c r="AC421" s="11" t="n"/>
      <c r="AD421" s="11" t="n"/>
      <c r="AE421" s="11" t="n"/>
      <c r="AF421" s="11" t="n"/>
      <c r="AG421" s="11" t="n"/>
      <c r="AH421" s="12">
        <f>IF(AB421="","",IFERROR(INDEX(DAFTAR_FIXTURE!$B$2:$B$51,MATCH(AB421,DAFTAR_FIXTURE!$A$2:$A$51,0)),""))</f>
        <v/>
      </c>
      <c r="AI421" s="12">
        <f>IF(AB421="","",IF(AH421="","CEK ID FIXTURE tidak ada di DAFTAR_FIXTURE",IF(AC421="","CEK ZONA NO kosong",IF(ISNA(MATCH(AH421&amp;"|"&amp;AC421,LAYOUT!$E$2:$E$80,0)),"CEK ZONA NO di luar layout",IF(AD421&lt;&gt;INDEX(LAYOUT!$D$2:$D$80,MATCH(AH421&amp;"|"&amp;AC421,LAYOUT!$E$2:$E$80,0)),"CEK JENIS ZONA",IF($D421="","Zona STOCK",IF($E421="","CEK SKU DESCRIPTION kosong",IF(AND(AE421&lt;&gt;"",AF421=""),"CEK URUTAN SAMBUNG kosong",IF(AND(AE421&lt;&gt;"",LEFT(AH421,6)="Endcap"),"CEK Endcap tidak ikut sambung","OK")))))))))</f>
        <v/>
      </c>
    </row>
    <row r="422">
      <c r="A422" s="10" t="n"/>
      <c r="B422" s="10" t="n"/>
      <c r="C422" s="10" t="n"/>
      <c r="D422" s="10" t="n"/>
      <c r="E422" s="10" t="n"/>
      <c r="F422" s="10" t="n"/>
      <c r="G422" s="10" t="n"/>
      <c r="H422" s="10" t="n"/>
      <c r="I422" s="10" t="n"/>
      <c r="J422" s="10" t="n"/>
      <c r="K422" s="10" t="n"/>
      <c r="L422" s="11" t="n"/>
      <c r="M422" s="11" t="n"/>
      <c r="N422" s="11" t="n"/>
      <c r="O422" s="11" t="n"/>
      <c r="P422" s="11" t="n"/>
      <c r="Q422" s="11" t="n"/>
      <c r="R422" s="12">
        <f>IF(L422="","",IFERROR(INDEX(DAFTAR_FIXTURE!$B$2:$B$51,MATCH(L422,DAFTAR_FIXTURE!$A$2:$A$51,0)),""))</f>
        <v/>
      </c>
      <c r="S422" s="12">
        <f>IF(AND($D422="",L422=""),"",IF(L422="",IF(AND(T422="",AB422=""),"Belum ditempatkan",""),IF(R422="","CEK ID FIXTURE tidak ada di DAFTAR_FIXTURE",IF(M422="","CEK ZONA NO kosong",IF(ISNA(MATCH(R422&amp;"|"&amp;M422,LAYOUT!$E$2:$E$80,0)),"CEK ZONA NO di luar layout",IF(N422&lt;&gt;INDEX(LAYOUT!$D$2:$D$80,MATCH(R422&amp;"|"&amp;M422,LAYOUT!$E$2:$E$80,0)),"CEK JENIS ZONA",IF($D422="","Zona STOCK",IF($E422="","CEK SKU DESCRIPTION kosong",IF(AND(O422&lt;&gt;"",P422=""),"CEK URUTAN SAMBUNG kosong",IF(AND(O422&lt;&gt;"",LEFT(R422,6)="Endcap"),"CEK Endcap tidak ikut sambung","OK"))))))))))</f>
        <v/>
      </c>
      <c r="T422" s="11" t="n"/>
      <c r="U422" s="11" t="n"/>
      <c r="V422" s="11" t="n"/>
      <c r="W422" s="11" t="n"/>
      <c r="X422" s="11" t="n"/>
      <c r="Y422" s="11" t="n"/>
      <c r="Z422" s="12">
        <f>IF(T422="","",IFERROR(INDEX(DAFTAR_FIXTURE!$B$2:$B$51,MATCH(T422,DAFTAR_FIXTURE!$A$2:$A$51,0)),""))</f>
        <v/>
      </c>
      <c r="AA422" s="12">
        <f>IF(T422="","",IF(Z422="","CEK ID FIXTURE tidak ada di DAFTAR_FIXTURE",IF(U422="","CEK ZONA NO kosong",IF(ISNA(MATCH(Z422&amp;"|"&amp;U422,LAYOUT!$E$2:$E$80,0)),"CEK ZONA NO di luar layout",IF(V422&lt;&gt;INDEX(LAYOUT!$D$2:$D$80,MATCH(Z422&amp;"|"&amp;U422,LAYOUT!$E$2:$E$80,0)),"CEK JENIS ZONA",IF($D422="","Zona STOCK",IF($E422="","CEK SKU DESCRIPTION kosong",IF(AND(W422&lt;&gt;"",X422=""),"CEK URUTAN SAMBUNG kosong",IF(AND(W422&lt;&gt;"",LEFT(Z422,6)="Endcap"),"CEK Endcap tidak ikut sambung","OK")))))))))</f>
        <v/>
      </c>
      <c r="AB422" s="11" t="n"/>
      <c r="AC422" s="11" t="n"/>
      <c r="AD422" s="11" t="n"/>
      <c r="AE422" s="11" t="n"/>
      <c r="AF422" s="11" t="n"/>
      <c r="AG422" s="11" t="n"/>
      <c r="AH422" s="12">
        <f>IF(AB422="","",IFERROR(INDEX(DAFTAR_FIXTURE!$B$2:$B$51,MATCH(AB422,DAFTAR_FIXTURE!$A$2:$A$51,0)),""))</f>
        <v/>
      </c>
      <c r="AI422" s="12">
        <f>IF(AB422="","",IF(AH422="","CEK ID FIXTURE tidak ada di DAFTAR_FIXTURE",IF(AC422="","CEK ZONA NO kosong",IF(ISNA(MATCH(AH422&amp;"|"&amp;AC422,LAYOUT!$E$2:$E$80,0)),"CEK ZONA NO di luar layout",IF(AD422&lt;&gt;INDEX(LAYOUT!$D$2:$D$80,MATCH(AH422&amp;"|"&amp;AC422,LAYOUT!$E$2:$E$80,0)),"CEK JENIS ZONA",IF($D422="","Zona STOCK",IF($E422="","CEK SKU DESCRIPTION kosong",IF(AND(AE422&lt;&gt;"",AF422=""),"CEK URUTAN SAMBUNG kosong",IF(AND(AE422&lt;&gt;"",LEFT(AH422,6)="Endcap"),"CEK Endcap tidak ikut sambung","OK")))))))))</f>
        <v/>
      </c>
    </row>
    <row r="423">
      <c r="A423" s="10" t="n"/>
      <c r="B423" s="10" t="n"/>
      <c r="C423" s="10" t="n"/>
      <c r="D423" s="10" t="n"/>
      <c r="E423" s="10" t="n"/>
      <c r="F423" s="10" t="n"/>
      <c r="G423" s="10" t="n"/>
      <c r="H423" s="10" t="n"/>
      <c r="I423" s="10" t="n"/>
      <c r="J423" s="10" t="n"/>
      <c r="K423" s="10" t="n"/>
      <c r="L423" s="11" t="n"/>
      <c r="M423" s="11" t="n"/>
      <c r="N423" s="11" t="n"/>
      <c r="O423" s="11" t="n"/>
      <c r="P423" s="11" t="n"/>
      <c r="Q423" s="11" t="n"/>
      <c r="R423" s="12">
        <f>IF(L423="","",IFERROR(INDEX(DAFTAR_FIXTURE!$B$2:$B$51,MATCH(L423,DAFTAR_FIXTURE!$A$2:$A$51,0)),""))</f>
        <v/>
      </c>
      <c r="S423" s="12">
        <f>IF(AND($D423="",L423=""),"",IF(L423="",IF(AND(T423="",AB423=""),"Belum ditempatkan",""),IF(R423="","CEK ID FIXTURE tidak ada di DAFTAR_FIXTURE",IF(M423="","CEK ZONA NO kosong",IF(ISNA(MATCH(R423&amp;"|"&amp;M423,LAYOUT!$E$2:$E$80,0)),"CEK ZONA NO di luar layout",IF(N423&lt;&gt;INDEX(LAYOUT!$D$2:$D$80,MATCH(R423&amp;"|"&amp;M423,LAYOUT!$E$2:$E$80,0)),"CEK JENIS ZONA",IF($D423="","Zona STOCK",IF($E423="","CEK SKU DESCRIPTION kosong",IF(AND(O423&lt;&gt;"",P423=""),"CEK URUTAN SAMBUNG kosong",IF(AND(O423&lt;&gt;"",LEFT(R423,6)="Endcap"),"CEK Endcap tidak ikut sambung","OK"))))))))))</f>
        <v/>
      </c>
      <c r="T423" s="11" t="n"/>
      <c r="U423" s="11" t="n"/>
      <c r="V423" s="11" t="n"/>
      <c r="W423" s="11" t="n"/>
      <c r="X423" s="11" t="n"/>
      <c r="Y423" s="11" t="n"/>
      <c r="Z423" s="12">
        <f>IF(T423="","",IFERROR(INDEX(DAFTAR_FIXTURE!$B$2:$B$51,MATCH(T423,DAFTAR_FIXTURE!$A$2:$A$51,0)),""))</f>
        <v/>
      </c>
      <c r="AA423" s="12">
        <f>IF(T423="","",IF(Z423="","CEK ID FIXTURE tidak ada di DAFTAR_FIXTURE",IF(U423="","CEK ZONA NO kosong",IF(ISNA(MATCH(Z423&amp;"|"&amp;U423,LAYOUT!$E$2:$E$80,0)),"CEK ZONA NO di luar layout",IF(V423&lt;&gt;INDEX(LAYOUT!$D$2:$D$80,MATCH(Z423&amp;"|"&amp;U423,LAYOUT!$E$2:$E$80,0)),"CEK JENIS ZONA",IF($D423="","Zona STOCK",IF($E423="","CEK SKU DESCRIPTION kosong",IF(AND(W423&lt;&gt;"",X423=""),"CEK URUTAN SAMBUNG kosong",IF(AND(W423&lt;&gt;"",LEFT(Z423,6)="Endcap"),"CEK Endcap tidak ikut sambung","OK")))))))))</f>
        <v/>
      </c>
      <c r="AB423" s="11" t="n"/>
      <c r="AC423" s="11" t="n"/>
      <c r="AD423" s="11" t="n"/>
      <c r="AE423" s="11" t="n"/>
      <c r="AF423" s="11" t="n"/>
      <c r="AG423" s="11" t="n"/>
      <c r="AH423" s="12">
        <f>IF(AB423="","",IFERROR(INDEX(DAFTAR_FIXTURE!$B$2:$B$51,MATCH(AB423,DAFTAR_FIXTURE!$A$2:$A$51,0)),""))</f>
        <v/>
      </c>
      <c r="AI423" s="12">
        <f>IF(AB423="","",IF(AH423="","CEK ID FIXTURE tidak ada di DAFTAR_FIXTURE",IF(AC423="","CEK ZONA NO kosong",IF(ISNA(MATCH(AH423&amp;"|"&amp;AC423,LAYOUT!$E$2:$E$80,0)),"CEK ZONA NO di luar layout",IF(AD423&lt;&gt;INDEX(LAYOUT!$D$2:$D$80,MATCH(AH423&amp;"|"&amp;AC423,LAYOUT!$E$2:$E$80,0)),"CEK JENIS ZONA",IF($D423="","Zona STOCK",IF($E423="","CEK SKU DESCRIPTION kosong",IF(AND(AE423&lt;&gt;"",AF423=""),"CEK URUTAN SAMBUNG kosong",IF(AND(AE423&lt;&gt;"",LEFT(AH423,6)="Endcap"),"CEK Endcap tidak ikut sambung","OK")))))))))</f>
        <v/>
      </c>
    </row>
    <row r="424">
      <c r="A424" s="10" t="n"/>
      <c r="B424" s="10" t="n"/>
      <c r="C424" s="10" t="n"/>
      <c r="D424" s="10" t="n"/>
      <c r="E424" s="10" t="n"/>
      <c r="F424" s="10" t="n"/>
      <c r="G424" s="10" t="n"/>
      <c r="H424" s="10" t="n"/>
      <c r="I424" s="10" t="n"/>
      <c r="J424" s="10" t="n"/>
      <c r="K424" s="10" t="n"/>
      <c r="L424" s="11" t="n"/>
      <c r="M424" s="11" t="n"/>
      <c r="N424" s="11" t="n"/>
      <c r="O424" s="11" t="n"/>
      <c r="P424" s="11" t="n"/>
      <c r="Q424" s="11" t="n"/>
      <c r="R424" s="12">
        <f>IF(L424="","",IFERROR(INDEX(DAFTAR_FIXTURE!$B$2:$B$51,MATCH(L424,DAFTAR_FIXTURE!$A$2:$A$51,0)),""))</f>
        <v/>
      </c>
      <c r="S424" s="12">
        <f>IF(AND($D424="",L424=""),"",IF(L424="",IF(AND(T424="",AB424=""),"Belum ditempatkan",""),IF(R424="","CEK ID FIXTURE tidak ada di DAFTAR_FIXTURE",IF(M424="","CEK ZONA NO kosong",IF(ISNA(MATCH(R424&amp;"|"&amp;M424,LAYOUT!$E$2:$E$80,0)),"CEK ZONA NO di luar layout",IF(N424&lt;&gt;INDEX(LAYOUT!$D$2:$D$80,MATCH(R424&amp;"|"&amp;M424,LAYOUT!$E$2:$E$80,0)),"CEK JENIS ZONA",IF($D424="","Zona STOCK",IF($E424="","CEK SKU DESCRIPTION kosong",IF(AND(O424&lt;&gt;"",P424=""),"CEK URUTAN SAMBUNG kosong",IF(AND(O424&lt;&gt;"",LEFT(R424,6)="Endcap"),"CEK Endcap tidak ikut sambung","OK"))))))))))</f>
        <v/>
      </c>
      <c r="T424" s="11" t="n"/>
      <c r="U424" s="11" t="n"/>
      <c r="V424" s="11" t="n"/>
      <c r="W424" s="11" t="n"/>
      <c r="X424" s="11" t="n"/>
      <c r="Y424" s="11" t="n"/>
      <c r="Z424" s="12">
        <f>IF(T424="","",IFERROR(INDEX(DAFTAR_FIXTURE!$B$2:$B$51,MATCH(T424,DAFTAR_FIXTURE!$A$2:$A$51,0)),""))</f>
        <v/>
      </c>
      <c r="AA424" s="12">
        <f>IF(T424="","",IF(Z424="","CEK ID FIXTURE tidak ada di DAFTAR_FIXTURE",IF(U424="","CEK ZONA NO kosong",IF(ISNA(MATCH(Z424&amp;"|"&amp;U424,LAYOUT!$E$2:$E$80,0)),"CEK ZONA NO di luar layout",IF(V424&lt;&gt;INDEX(LAYOUT!$D$2:$D$80,MATCH(Z424&amp;"|"&amp;U424,LAYOUT!$E$2:$E$80,0)),"CEK JENIS ZONA",IF($D424="","Zona STOCK",IF($E424="","CEK SKU DESCRIPTION kosong",IF(AND(W424&lt;&gt;"",X424=""),"CEK URUTAN SAMBUNG kosong",IF(AND(W424&lt;&gt;"",LEFT(Z424,6)="Endcap"),"CEK Endcap tidak ikut sambung","OK")))))))))</f>
        <v/>
      </c>
      <c r="AB424" s="11" t="n"/>
      <c r="AC424" s="11" t="n"/>
      <c r="AD424" s="11" t="n"/>
      <c r="AE424" s="11" t="n"/>
      <c r="AF424" s="11" t="n"/>
      <c r="AG424" s="11" t="n"/>
      <c r="AH424" s="12">
        <f>IF(AB424="","",IFERROR(INDEX(DAFTAR_FIXTURE!$B$2:$B$51,MATCH(AB424,DAFTAR_FIXTURE!$A$2:$A$51,0)),""))</f>
        <v/>
      </c>
      <c r="AI424" s="12">
        <f>IF(AB424="","",IF(AH424="","CEK ID FIXTURE tidak ada di DAFTAR_FIXTURE",IF(AC424="","CEK ZONA NO kosong",IF(ISNA(MATCH(AH424&amp;"|"&amp;AC424,LAYOUT!$E$2:$E$80,0)),"CEK ZONA NO di luar layout",IF(AD424&lt;&gt;INDEX(LAYOUT!$D$2:$D$80,MATCH(AH424&amp;"|"&amp;AC424,LAYOUT!$E$2:$E$80,0)),"CEK JENIS ZONA",IF($D424="","Zona STOCK",IF($E424="","CEK SKU DESCRIPTION kosong",IF(AND(AE424&lt;&gt;"",AF424=""),"CEK URUTAN SAMBUNG kosong",IF(AND(AE424&lt;&gt;"",LEFT(AH424,6)="Endcap"),"CEK Endcap tidak ikut sambung","OK")))))))))</f>
        <v/>
      </c>
    </row>
    <row r="425">
      <c r="A425" s="10" t="n"/>
      <c r="B425" s="10" t="n"/>
      <c r="C425" s="10" t="n"/>
      <c r="D425" s="10" t="n"/>
      <c r="E425" s="10" t="n"/>
      <c r="F425" s="10" t="n"/>
      <c r="G425" s="10" t="n"/>
      <c r="H425" s="10" t="n"/>
      <c r="I425" s="10" t="n"/>
      <c r="J425" s="10" t="n"/>
      <c r="K425" s="10" t="n"/>
      <c r="L425" s="11" t="n"/>
      <c r="M425" s="11" t="n"/>
      <c r="N425" s="11" t="n"/>
      <c r="O425" s="11" t="n"/>
      <c r="P425" s="11" t="n"/>
      <c r="Q425" s="11" t="n"/>
      <c r="R425" s="12">
        <f>IF(L425="","",IFERROR(INDEX(DAFTAR_FIXTURE!$B$2:$B$51,MATCH(L425,DAFTAR_FIXTURE!$A$2:$A$51,0)),""))</f>
        <v/>
      </c>
      <c r="S425" s="12">
        <f>IF(AND($D425="",L425=""),"",IF(L425="",IF(AND(T425="",AB425=""),"Belum ditempatkan",""),IF(R425="","CEK ID FIXTURE tidak ada di DAFTAR_FIXTURE",IF(M425="","CEK ZONA NO kosong",IF(ISNA(MATCH(R425&amp;"|"&amp;M425,LAYOUT!$E$2:$E$80,0)),"CEK ZONA NO di luar layout",IF(N425&lt;&gt;INDEX(LAYOUT!$D$2:$D$80,MATCH(R425&amp;"|"&amp;M425,LAYOUT!$E$2:$E$80,0)),"CEK JENIS ZONA",IF($D425="","Zona STOCK",IF($E425="","CEK SKU DESCRIPTION kosong",IF(AND(O425&lt;&gt;"",P425=""),"CEK URUTAN SAMBUNG kosong",IF(AND(O425&lt;&gt;"",LEFT(R425,6)="Endcap"),"CEK Endcap tidak ikut sambung","OK"))))))))))</f>
        <v/>
      </c>
      <c r="T425" s="11" t="n"/>
      <c r="U425" s="11" t="n"/>
      <c r="V425" s="11" t="n"/>
      <c r="W425" s="11" t="n"/>
      <c r="X425" s="11" t="n"/>
      <c r="Y425" s="11" t="n"/>
      <c r="Z425" s="12">
        <f>IF(T425="","",IFERROR(INDEX(DAFTAR_FIXTURE!$B$2:$B$51,MATCH(T425,DAFTAR_FIXTURE!$A$2:$A$51,0)),""))</f>
        <v/>
      </c>
      <c r="AA425" s="12">
        <f>IF(T425="","",IF(Z425="","CEK ID FIXTURE tidak ada di DAFTAR_FIXTURE",IF(U425="","CEK ZONA NO kosong",IF(ISNA(MATCH(Z425&amp;"|"&amp;U425,LAYOUT!$E$2:$E$80,0)),"CEK ZONA NO di luar layout",IF(V425&lt;&gt;INDEX(LAYOUT!$D$2:$D$80,MATCH(Z425&amp;"|"&amp;U425,LAYOUT!$E$2:$E$80,0)),"CEK JENIS ZONA",IF($D425="","Zona STOCK",IF($E425="","CEK SKU DESCRIPTION kosong",IF(AND(W425&lt;&gt;"",X425=""),"CEK URUTAN SAMBUNG kosong",IF(AND(W425&lt;&gt;"",LEFT(Z425,6)="Endcap"),"CEK Endcap tidak ikut sambung","OK")))))))))</f>
        <v/>
      </c>
      <c r="AB425" s="11" t="n"/>
      <c r="AC425" s="11" t="n"/>
      <c r="AD425" s="11" t="n"/>
      <c r="AE425" s="11" t="n"/>
      <c r="AF425" s="11" t="n"/>
      <c r="AG425" s="11" t="n"/>
      <c r="AH425" s="12">
        <f>IF(AB425="","",IFERROR(INDEX(DAFTAR_FIXTURE!$B$2:$B$51,MATCH(AB425,DAFTAR_FIXTURE!$A$2:$A$51,0)),""))</f>
        <v/>
      </c>
      <c r="AI425" s="12">
        <f>IF(AB425="","",IF(AH425="","CEK ID FIXTURE tidak ada di DAFTAR_FIXTURE",IF(AC425="","CEK ZONA NO kosong",IF(ISNA(MATCH(AH425&amp;"|"&amp;AC425,LAYOUT!$E$2:$E$80,0)),"CEK ZONA NO di luar layout",IF(AD425&lt;&gt;INDEX(LAYOUT!$D$2:$D$80,MATCH(AH425&amp;"|"&amp;AC425,LAYOUT!$E$2:$E$80,0)),"CEK JENIS ZONA",IF($D425="","Zona STOCK",IF($E425="","CEK SKU DESCRIPTION kosong",IF(AND(AE425&lt;&gt;"",AF425=""),"CEK URUTAN SAMBUNG kosong",IF(AND(AE425&lt;&gt;"",LEFT(AH425,6)="Endcap"),"CEK Endcap tidak ikut sambung","OK")))))))))</f>
        <v/>
      </c>
    </row>
    <row r="426">
      <c r="A426" s="10" t="n"/>
      <c r="B426" s="10" t="n"/>
      <c r="C426" s="10" t="n"/>
      <c r="D426" s="10" t="n"/>
      <c r="E426" s="10" t="n"/>
      <c r="F426" s="10" t="n"/>
      <c r="G426" s="10" t="n"/>
      <c r="H426" s="10" t="n"/>
      <c r="I426" s="10" t="n"/>
      <c r="J426" s="10" t="n"/>
      <c r="K426" s="10" t="n"/>
      <c r="L426" s="11" t="n"/>
      <c r="M426" s="11" t="n"/>
      <c r="N426" s="11" t="n"/>
      <c r="O426" s="11" t="n"/>
      <c r="P426" s="11" t="n"/>
      <c r="Q426" s="11" t="n"/>
      <c r="R426" s="12">
        <f>IF(L426="","",IFERROR(INDEX(DAFTAR_FIXTURE!$B$2:$B$51,MATCH(L426,DAFTAR_FIXTURE!$A$2:$A$51,0)),""))</f>
        <v/>
      </c>
      <c r="S426" s="12">
        <f>IF(AND($D426="",L426=""),"",IF(L426="",IF(AND(T426="",AB426=""),"Belum ditempatkan",""),IF(R426="","CEK ID FIXTURE tidak ada di DAFTAR_FIXTURE",IF(M426="","CEK ZONA NO kosong",IF(ISNA(MATCH(R426&amp;"|"&amp;M426,LAYOUT!$E$2:$E$80,0)),"CEK ZONA NO di luar layout",IF(N426&lt;&gt;INDEX(LAYOUT!$D$2:$D$80,MATCH(R426&amp;"|"&amp;M426,LAYOUT!$E$2:$E$80,0)),"CEK JENIS ZONA",IF($D426="","Zona STOCK",IF($E426="","CEK SKU DESCRIPTION kosong",IF(AND(O426&lt;&gt;"",P426=""),"CEK URUTAN SAMBUNG kosong",IF(AND(O426&lt;&gt;"",LEFT(R426,6)="Endcap"),"CEK Endcap tidak ikut sambung","OK"))))))))))</f>
        <v/>
      </c>
      <c r="T426" s="11" t="n"/>
      <c r="U426" s="11" t="n"/>
      <c r="V426" s="11" t="n"/>
      <c r="W426" s="11" t="n"/>
      <c r="X426" s="11" t="n"/>
      <c r="Y426" s="11" t="n"/>
      <c r="Z426" s="12">
        <f>IF(T426="","",IFERROR(INDEX(DAFTAR_FIXTURE!$B$2:$B$51,MATCH(T426,DAFTAR_FIXTURE!$A$2:$A$51,0)),""))</f>
        <v/>
      </c>
      <c r="AA426" s="12">
        <f>IF(T426="","",IF(Z426="","CEK ID FIXTURE tidak ada di DAFTAR_FIXTURE",IF(U426="","CEK ZONA NO kosong",IF(ISNA(MATCH(Z426&amp;"|"&amp;U426,LAYOUT!$E$2:$E$80,0)),"CEK ZONA NO di luar layout",IF(V426&lt;&gt;INDEX(LAYOUT!$D$2:$D$80,MATCH(Z426&amp;"|"&amp;U426,LAYOUT!$E$2:$E$80,0)),"CEK JENIS ZONA",IF($D426="","Zona STOCK",IF($E426="","CEK SKU DESCRIPTION kosong",IF(AND(W426&lt;&gt;"",X426=""),"CEK URUTAN SAMBUNG kosong",IF(AND(W426&lt;&gt;"",LEFT(Z426,6)="Endcap"),"CEK Endcap tidak ikut sambung","OK")))))))))</f>
        <v/>
      </c>
      <c r="AB426" s="11" t="n"/>
      <c r="AC426" s="11" t="n"/>
      <c r="AD426" s="11" t="n"/>
      <c r="AE426" s="11" t="n"/>
      <c r="AF426" s="11" t="n"/>
      <c r="AG426" s="11" t="n"/>
      <c r="AH426" s="12">
        <f>IF(AB426="","",IFERROR(INDEX(DAFTAR_FIXTURE!$B$2:$B$51,MATCH(AB426,DAFTAR_FIXTURE!$A$2:$A$51,0)),""))</f>
        <v/>
      </c>
      <c r="AI426" s="12">
        <f>IF(AB426="","",IF(AH426="","CEK ID FIXTURE tidak ada di DAFTAR_FIXTURE",IF(AC426="","CEK ZONA NO kosong",IF(ISNA(MATCH(AH426&amp;"|"&amp;AC426,LAYOUT!$E$2:$E$80,0)),"CEK ZONA NO di luar layout",IF(AD426&lt;&gt;INDEX(LAYOUT!$D$2:$D$80,MATCH(AH426&amp;"|"&amp;AC426,LAYOUT!$E$2:$E$80,0)),"CEK JENIS ZONA",IF($D426="","Zona STOCK",IF($E426="","CEK SKU DESCRIPTION kosong",IF(AND(AE426&lt;&gt;"",AF426=""),"CEK URUTAN SAMBUNG kosong",IF(AND(AE426&lt;&gt;"",LEFT(AH426,6)="Endcap"),"CEK Endcap tidak ikut sambung","OK")))))))))</f>
        <v/>
      </c>
    </row>
    <row r="427">
      <c r="A427" s="10" t="n"/>
      <c r="B427" s="10" t="n"/>
      <c r="C427" s="10" t="n"/>
      <c r="D427" s="10" t="n"/>
      <c r="E427" s="10" t="n"/>
      <c r="F427" s="10" t="n"/>
      <c r="G427" s="10" t="n"/>
      <c r="H427" s="10" t="n"/>
      <c r="I427" s="10" t="n"/>
      <c r="J427" s="10" t="n"/>
      <c r="K427" s="10" t="n"/>
      <c r="L427" s="11" t="n"/>
      <c r="M427" s="11" t="n"/>
      <c r="N427" s="11" t="n"/>
      <c r="O427" s="11" t="n"/>
      <c r="P427" s="11" t="n"/>
      <c r="Q427" s="11" t="n"/>
      <c r="R427" s="12">
        <f>IF(L427="","",IFERROR(INDEX(DAFTAR_FIXTURE!$B$2:$B$51,MATCH(L427,DAFTAR_FIXTURE!$A$2:$A$51,0)),""))</f>
        <v/>
      </c>
      <c r="S427" s="12">
        <f>IF(AND($D427="",L427=""),"",IF(L427="",IF(AND(T427="",AB427=""),"Belum ditempatkan",""),IF(R427="","CEK ID FIXTURE tidak ada di DAFTAR_FIXTURE",IF(M427="","CEK ZONA NO kosong",IF(ISNA(MATCH(R427&amp;"|"&amp;M427,LAYOUT!$E$2:$E$80,0)),"CEK ZONA NO di luar layout",IF(N427&lt;&gt;INDEX(LAYOUT!$D$2:$D$80,MATCH(R427&amp;"|"&amp;M427,LAYOUT!$E$2:$E$80,0)),"CEK JENIS ZONA",IF($D427="","Zona STOCK",IF($E427="","CEK SKU DESCRIPTION kosong",IF(AND(O427&lt;&gt;"",P427=""),"CEK URUTAN SAMBUNG kosong",IF(AND(O427&lt;&gt;"",LEFT(R427,6)="Endcap"),"CEK Endcap tidak ikut sambung","OK"))))))))))</f>
        <v/>
      </c>
      <c r="T427" s="11" t="n"/>
      <c r="U427" s="11" t="n"/>
      <c r="V427" s="11" t="n"/>
      <c r="W427" s="11" t="n"/>
      <c r="X427" s="11" t="n"/>
      <c r="Y427" s="11" t="n"/>
      <c r="Z427" s="12">
        <f>IF(T427="","",IFERROR(INDEX(DAFTAR_FIXTURE!$B$2:$B$51,MATCH(T427,DAFTAR_FIXTURE!$A$2:$A$51,0)),""))</f>
        <v/>
      </c>
      <c r="AA427" s="12">
        <f>IF(T427="","",IF(Z427="","CEK ID FIXTURE tidak ada di DAFTAR_FIXTURE",IF(U427="","CEK ZONA NO kosong",IF(ISNA(MATCH(Z427&amp;"|"&amp;U427,LAYOUT!$E$2:$E$80,0)),"CEK ZONA NO di luar layout",IF(V427&lt;&gt;INDEX(LAYOUT!$D$2:$D$80,MATCH(Z427&amp;"|"&amp;U427,LAYOUT!$E$2:$E$80,0)),"CEK JENIS ZONA",IF($D427="","Zona STOCK",IF($E427="","CEK SKU DESCRIPTION kosong",IF(AND(W427&lt;&gt;"",X427=""),"CEK URUTAN SAMBUNG kosong",IF(AND(W427&lt;&gt;"",LEFT(Z427,6)="Endcap"),"CEK Endcap tidak ikut sambung","OK")))))))))</f>
        <v/>
      </c>
      <c r="AB427" s="11" t="n"/>
      <c r="AC427" s="11" t="n"/>
      <c r="AD427" s="11" t="n"/>
      <c r="AE427" s="11" t="n"/>
      <c r="AF427" s="11" t="n"/>
      <c r="AG427" s="11" t="n"/>
      <c r="AH427" s="12">
        <f>IF(AB427="","",IFERROR(INDEX(DAFTAR_FIXTURE!$B$2:$B$51,MATCH(AB427,DAFTAR_FIXTURE!$A$2:$A$51,0)),""))</f>
        <v/>
      </c>
      <c r="AI427" s="12">
        <f>IF(AB427="","",IF(AH427="","CEK ID FIXTURE tidak ada di DAFTAR_FIXTURE",IF(AC427="","CEK ZONA NO kosong",IF(ISNA(MATCH(AH427&amp;"|"&amp;AC427,LAYOUT!$E$2:$E$80,0)),"CEK ZONA NO di luar layout",IF(AD427&lt;&gt;INDEX(LAYOUT!$D$2:$D$80,MATCH(AH427&amp;"|"&amp;AC427,LAYOUT!$E$2:$E$80,0)),"CEK JENIS ZONA",IF($D427="","Zona STOCK",IF($E427="","CEK SKU DESCRIPTION kosong",IF(AND(AE427&lt;&gt;"",AF427=""),"CEK URUTAN SAMBUNG kosong",IF(AND(AE427&lt;&gt;"",LEFT(AH427,6)="Endcap"),"CEK Endcap tidak ikut sambung","OK")))))))))</f>
        <v/>
      </c>
    </row>
    <row r="428">
      <c r="A428" s="10" t="n"/>
      <c r="B428" s="10" t="n"/>
      <c r="C428" s="10" t="n"/>
      <c r="D428" s="10" t="n"/>
      <c r="E428" s="10" t="n"/>
      <c r="F428" s="10" t="n"/>
      <c r="G428" s="10" t="n"/>
      <c r="H428" s="10" t="n"/>
      <c r="I428" s="10" t="n"/>
      <c r="J428" s="10" t="n"/>
      <c r="K428" s="10" t="n"/>
      <c r="L428" s="11" t="n"/>
      <c r="M428" s="11" t="n"/>
      <c r="N428" s="11" t="n"/>
      <c r="O428" s="11" t="n"/>
      <c r="P428" s="11" t="n"/>
      <c r="Q428" s="11" t="n"/>
      <c r="R428" s="12">
        <f>IF(L428="","",IFERROR(INDEX(DAFTAR_FIXTURE!$B$2:$B$51,MATCH(L428,DAFTAR_FIXTURE!$A$2:$A$51,0)),""))</f>
        <v/>
      </c>
      <c r="S428" s="12">
        <f>IF(AND($D428="",L428=""),"",IF(L428="",IF(AND(T428="",AB428=""),"Belum ditempatkan",""),IF(R428="","CEK ID FIXTURE tidak ada di DAFTAR_FIXTURE",IF(M428="","CEK ZONA NO kosong",IF(ISNA(MATCH(R428&amp;"|"&amp;M428,LAYOUT!$E$2:$E$80,0)),"CEK ZONA NO di luar layout",IF(N428&lt;&gt;INDEX(LAYOUT!$D$2:$D$80,MATCH(R428&amp;"|"&amp;M428,LAYOUT!$E$2:$E$80,0)),"CEK JENIS ZONA",IF($D428="","Zona STOCK",IF($E428="","CEK SKU DESCRIPTION kosong",IF(AND(O428&lt;&gt;"",P428=""),"CEK URUTAN SAMBUNG kosong",IF(AND(O428&lt;&gt;"",LEFT(R428,6)="Endcap"),"CEK Endcap tidak ikut sambung","OK"))))))))))</f>
        <v/>
      </c>
      <c r="T428" s="11" t="n"/>
      <c r="U428" s="11" t="n"/>
      <c r="V428" s="11" t="n"/>
      <c r="W428" s="11" t="n"/>
      <c r="X428" s="11" t="n"/>
      <c r="Y428" s="11" t="n"/>
      <c r="Z428" s="12">
        <f>IF(T428="","",IFERROR(INDEX(DAFTAR_FIXTURE!$B$2:$B$51,MATCH(T428,DAFTAR_FIXTURE!$A$2:$A$51,0)),""))</f>
        <v/>
      </c>
      <c r="AA428" s="12">
        <f>IF(T428="","",IF(Z428="","CEK ID FIXTURE tidak ada di DAFTAR_FIXTURE",IF(U428="","CEK ZONA NO kosong",IF(ISNA(MATCH(Z428&amp;"|"&amp;U428,LAYOUT!$E$2:$E$80,0)),"CEK ZONA NO di luar layout",IF(V428&lt;&gt;INDEX(LAYOUT!$D$2:$D$80,MATCH(Z428&amp;"|"&amp;U428,LAYOUT!$E$2:$E$80,0)),"CEK JENIS ZONA",IF($D428="","Zona STOCK",IF($E428="","CEK SKU DESCRIPTION kosong",IF(AND(W428&lt;&gt;"",X428=""),"CEK URUTAN SAMBUNG kosong",IF(AND(W428&lt;&gt;"",LEFT(Z428,6)="Endcap"),"CEK Endcap tidak ikut sambung","OK")))))))))</f>
        <v/>
      </c>
      <c r="AB428" s="11" t="n"/>
      <c r="AC428" s="11" t="n"/>
      <c r="AD428" s="11" t="n"/>
      <c r="AE428" s="11" t="n"/>
      <c r="AF428" s="11" t="n"/>
      <c r="AG428" s="11" t="n"/>
      <c r="AH428" s="12">
        <f>IF(AB428="","",IFERROR(INDEX(DAFTAR_FIXTURE!$B$2:$B$51,MATCH(AB428,DAFTAR_FIXTURE!$A$2:$A$51,0)),""))</f>
        <v/>
      </c>
      <c r="AI428" s="12">
        <f>IF(AB428="","",IF(AH428="","CEK ID FIXTURE tidak ada di DAFTAR_FIXTURE",IF(AC428="","CEK ZONA NO kosong",IF(ISNA(MATCH(AH428&amp;"|"&amp;AC428,LAYOUT!$E$2:$E$80,0)),"CEK ZONA NO di luar layout",IF(AD428&lt;&gt;INDEX(LAYOUT!$D$2:$D$80,MATCH(AH428&amp;"|"&amp;AC428,LAYOUT!$E$2:$E$80,0)),"CEK JENIS ZONA",IF($D428="","Zona STOCK",IF($E428="","CEK SKU DESCRIPTION kosong",IF(AND(AE428&lt;&gt;"",AF428=""),"CEK URUTAN SAMBUNG kosong",IF(AND(AE428&lt;&gt;"",LEFT(AH428,6)="Endcap"),"CEK Endcap tidak ikut sambung","OK")))))))))</f>
        <v/>
      </c>
    </row>
    <row r="429">
      <c r="A429" s="10" t="n"/>
      <c r="B429" s="10" t="n"/>
      <c r="C429" s="10" t="n"/>
      <c r="D429" s="10" t="n"/>
      <c r="E429" s="10" t="n"/>
      <c r="F429" s="10" t="n"/>
      <c r="G429" s="10" t="n"/>
      <c r="H429" s="10" t="n"/>
      <c r="I429" s="10" t="n"/>
      <c r="J429" s="10" t="n"/>
      <c r="K429" s="10" t="n"/>
      <c r="L429" s="11" t="n"/>
      <c r="M429" s="11" t="n"/>
      <c r="N429" s="11" t="n"/>
      <c r="O429" s="11" t="n"/>
      <c r="P429" s="11" t="n"/>
      <c r="Q429" s="11" t="n"/>
      <c r="R429" s="12">
        <f>IF(L429="","",IFERROR(INDEX(DAFTAR_FIXTURE!$B$2:$B$51,MATCH(L429,DAFTAR_FIXTURE!$A$2:$A$51,0)),""))</f>
        <v/>
      </c>
      <c r="S429" s="12">
        <f>IF(AND($D429="",L429=""),"",IF(L429="",IF(AND(T429="",AB429=""),"Belum ditempatkan",""),IF(R429="","CEK ID FIXTURE tidak ada di DAFTAR_FIXTURE",IF(M429="","CEK ZONA NO kosong",IF(ISNA(MATCH(R429&amp;"|"&amp;M429,LAYOUT!$E$2:$E$80,0)),"CEK ZONA NO di luar layout",IF(N429&lt;&gt;INDEX(LAYOUT!$D$2:$D$80,MATCH(R429&amp;"|"&amp;M429,LAYOUT!$E$2:$E$80,0)),"CEK JENIS ZONA",IF($D429="","Zona STOCK",IF($E429="","CEK SKU DESCRIPTION kosong",IF(AND(O429&lt;&gt;"",P429=""),"CEK URUTAN SAMBUNG kosong",IF(AND(O429&lt;&gt;"",LEFT(R429,6)="Endcap"),"CEK Endcap tidak ikut sambung","OK"))))))))))</f>
        <v/>
      </c>
      <c r="T429" s="11" t="n"/>
      <c r="U429" s="11" t="n"/>
      <c r="V429" s="11" t="n"/>
      <c r="W429" s="11" t="n"/>
      <c r="X429" s="11" t="n"/>
      <c r="Y429" s="11" t="n"/>
      <c r="Z429" s="12">
        <f>IF(T429="","",IFERROR(INDEX(DAFTAR_FIXTURE!$B$2:$B$51,MATCH(T429,DAFTAR_FIXTURE!$A$2:$A$51,0)),""))</f>
        <v/>
      </c>
      <c r="AA429" s="12">
        <f>IF(T429="","",IF(Z429="","CEK ID FIXTURE tidak ada di DAFTAR_FIXTURE",IF(U429="","CEK ZONA NO kosong",IF(ISNA(MATCH(Z429&amp;"|"&amp;U429,LAYOUT!$E$2:$E$80,0)),"CEK ZONA NO di luar layout",IF(V429&lt;&gt;INDEX(LAYOUT!$D$2:$D$80,MATCH(Z429&amp;"|"&amp;U429,LAYOUT!$E$2:$E$80,0)),"CEK JENIS ZONA",IF($D429="","Zona STOCK",IF($E429="","CEK SKU DESCRIPTION kosong",IF(AND(W429&lt;&gt;"",X429=""),"CEK URUTAN SAMBUNG kosong",IF(AND(W429&lt;&gt;"",LEFT(Z429,6)="Endcap"),"CEK Endcap tidak ikut sambung","OK")))))))))</f>
        <v/>
      </c>
      <c r="AB429" s="11" t="n"/>
      <c r="AC429" s="11" t="n"/>
      <c r="AD429" s="11" t="n"/>
      <c r="AE429" s="11" t="n"/>
      <c r="AF429" s="11" t="n"/>
      <c r="AG429" s="11" t="n"/>
      <c r="AH429" s="12">
        <f>IF(AB429="","",IFERROR(INDEX(DAFTAR_FIXTURE!$B$2:$B$51,MATCH(AB429,DAFTAR_FIXTURE!$A$2:$A$51,0)),""))</f>
        <v/>
      </c>
      <c r="AI429" s="12">
        <f>IF(AB429="","",IF(AH429="","CEK ID FIXTURE tidak ada di DAFTAR_FIXTURE",IF(AC429="","CEK ZONA NO kosong",IF(ISNA(MATCH(AH429&amp;"|"&amp;AC429,LAYOUT!$E$2:$E$80,0)),"CEK ZONA NO di luar layout",IF(AD429&lt;&gt;INDEX(LAYOUT!$D$2:$D$80,MATCH(AH429&amp;"|"&amp;AC429,LAYOUT!$E$2:$E$80,0)),"CEK JENIS ZONA",IF($D429="","Zona STOCK",IF($E429="","CEK SKU DESCRIPTION kosong",IF(AND(AE429&lt;&gt;"",AF429=""),"CEK URUTAN SAMBUNG kosong",IF(AND(AE429&lt;&gt;"",LEFT(AH429,6)="Endcap"),"CEK Endcap tidak ikut sambung","OK")))))))))</f>
        <v/>
      </c>
    </row>
    <row r="430">
      <c r="A430" s="10" t="n"/>
      <c r="B430" s="10" t="n"/>
      <c r="C430" s="10" t="n"/>
      <c r="D430" s="10" t="n"/>
      <c r="E430" s="10" t="n"/>
      <c r="F430" s="10" t="n"/>
      <c r="G430" s="10" t="n"/>
      <c r="H430" s="10" t="n"/>
      <c r="I430" s="10" t="n"/>
      <c r="J430" s="10" t="n"/>
      <c r="K430" s="10" t="n"/>
      <c r="L430" s="11" t="n"/>
      <c r="M430" s="11" t="n"/>
      <c r="N430" s="11" t="n"/>
      <c r="O430" s="11" t="n"/>
      <c r="P430" s="11" t="n"/>
      <c r="Q430" s="11" t="n"/>
      <c r="R430" s="12">
        <f>IF(L430="","",IFERROR(INDEX(DAFTAR_FIXTURE!$B$2:$B$51,MATCH(L430,DAFTAR_FIXTURE!$A$2:$A$51,0)),""))</f>
        <v/>
      </c>
      <c r="S430" s="12">
        <f>IF(AND($D430="",L430=""),"",IF(L430="",IF(AND(T430="",AB430=""),"Belum ditempatkan",""),IF(R430="","CEK ID FIXTURE tidak ada di DAFTAR_FIXTURE",IF(M430="","CEK ZONA NO kosong",IF(ISNA(MATCH(R430&amp;"|"&amp;M430,LAYOUT!$E$2:$E$80,0)),"CEK ZONA NO di luar layout",IF(N430&lt;&gt;INDEX(LAYOUT!$D$2:$D$80,MATCH(R430&amp;"|"&amp;M430,LAYOUT!$E$2:$E$80,0)),"CEK JENIS ZONA",IF($D430="","Zona STOCK",IF($E430="","CEK SKU DESCRIPTION kosong",IF(AND(O430&lt;&gt;"",P430=""),"CEK URUTAN SAMBUNG kosong",IF(AND(O430&lt;&gt;"",LEFT(R430,6)="Endcap"),"CEK Endcap tidak ikut sambung","OK"))))))))))</f>
        <v/>
      </c>
      <c r="T430" s="11" t="n"/>
      <c r="U430" s="11" t="n"/>
      <c r="V430" s="11" t="n"/>
      <c r="W430" s="11" t="n"/>
      <c r="X430" s="11" t="n"/>
      <c r="Y430" s="11" t="n"/>
      <c r="Z430" s="12">
        <f>IF(T430="","",IFERROR(INDEX(DAFTAR_FIXTURE!$B$2:$B$51,MATCH(T430,DAFTAR_FIXTURE!$A$2:$A$51,0)),""))</f>
        <v/>
      </c>
      <c r="AA430" s="12">
        <f>IF(T430="","",IF(Z430="","CEK ID FIXTURE tidak ada di DAFTAR_FIXTURE",IF(U430="","CEK ZONA NO kosong",IF(ISNA(MATCH(Z430&amp;"|"&amp;U430,LAYOUT!$E$2:$E$80,0)),"CEK ZONA NO di luar layout",IF(V430&lt;&gt;INDEX(LAYOUT!$D$2:$D$80,MATCH(Z430&amp;"|"&amp;U430,LAYOUT!$E$2:$E$80,0)),"CEK JENIS ZONA",IF($D430="","Zona STOCK",IF($E430="","CEK SKU DESCRIPTION kosong",IF(AND(W430&lt;&gt;"",X430=""),"CEK URUTAN SAMBUNG kosong",IF(AND(W430&lt;&gt;"",LEFT(Z430,6)="Endcap"),"CEK Endcap tidak ikut sambung","OK")))))))))</f>
        <v/>
      </c>
      <c r="AB430" s="11" t="n"/>
      <c r="AC430" s="11" t="n"/>
      <c r="AD430" s="11" t="n"/>
      <c r="AE430" s="11" t="n"/>
      <c r="AF430" s="11" t="n"/>
      <c r="AG430" s="11" t="n"/>
      <c r="AH430" s="12">
        <f>IF(AB430="","",IFERROR(INDEX(DAFTAR_FIXTURE!$B$2:$B$51,MATCH(AB430,DAFTAR_FIXTURE!$A$2:$A$51,0)),""))</f>
        <v/>
      </c>
      <c r="AI430" s="12">
        <f>IF(AB430="","",IF(AH430="","CEK ID FIXTURE tidak ada di DAFTAR_FIXTURE",IF(AC430="","CEK ZONA NO kosong",IF(ISNA(MATCH(AH430&amp;"|"&amp;AC430,LAYOUT!$E$2:$E$80,0)),"CEK ZONA NO di luar layout",IF(AD430&lt;&gt;INDEX(LAYOUT!$D$2:$D$80,MATCH(AH430&amp;"|"&amp;AC430,LAYOUT!$E$2:$E$80,0)),"CEK JENIS ZONA",IF($D430="","Zona STOCK",IF($E430="","CEK SKU DESCRIPTION kosong",IF(AND(AE430&lt;&gt;"",AF430=""),"CEK URUTAN SAMBUNG kosong",IF(AND(AE430&lt;&gt;"",LEFT(AH430,6)="Endcap"),"CEK Endcap tidak ikut sambung","OK")))))))))</f>
        <v/>
      </c>
    </row>
    <row r="431">
      <c r="A431" s="10" t="n"/>
      <c r="B431" s="10" t="n"/>
      <c r="C431" s="10" t="n"/>
      <c r="D431" s="10" t="n"/>
      <c r="E431" s="10" t="n"/>
      <c r="F431" s="10" t="n"/>
      <c r="G431" s="10" t="n"/>
      <c r="H431" s="10" t="n"/>
      <c r="I431" s="10" t="n"/>
      <c r="J431" s="10" t="n"/>
      <c r="K431" s="10" t="n"/>
      <c r="L431" s="11" t="n"/>
      <c r="M431" s="11" t="n"/>
      <c r="N431" s="11" t="n"/>
      <c r="O431" s="11" t="n"/>
      <c r="P431" s="11" t="n"/>
      <c r="Q431" s="11" t="n"/>
      <c r="R431" s="12">
        <f>IF(L431="","",IFERROR(INDEX(DAFTAR_FIXTURE!$B$2:$B$51,MATCH(L431,DAFTAR_FIXTURE!$A$2:$A$51,0)),""))</f>
        <v/>
      </c>
      <c r="S431" s="12">
        <f>IF(AND($D431="",L431=""),"",IF(L431="",IF(AND(T431="",AB431=""),"Belum ditempatkan",""),IF(R431="","CEK ID FIXTURE tidak ada di DAFTAR_FIXTURE",IF(M431="","CEK ZONA NO kosong",IF(ISNA(MATCH(R431&amp;"|"&amp;M431,LAYOUT!$E$2:$E$80,0)),"CEK ZONA NO di luar layout",IF(N431&lt;&gt;INDEX(LAYOUT!$D$2:$D$80,MATCH(R431&amp;"|"&amp;M431,LAYOUT!$E$2:$E$80,0)),"CEK JENIS ZONA",IF($D431="","Zona STOCK",IF($E431="","CEK SKU DESCRIPTION kosong",IF(AND(O431&lt;&gt;"",P431=""),"CEK URUTAN SAMBUNG kosong",IF(AND(O431&lt;&gt;"",LEFT(R431,6)="Endcap"),"CEK Endcap tidak ikut sambung","OK"))))))))))</f>
        <v/>
      </c>
      <c r="T431" s="11" t="n"/>
      <c r="U431" s="11" t="n"/>
      <c r="V431" s="11" t="n"/>
      <c r="W431" s="11" t="n"/>
      <c r="X431" s="11" t="n"/>
      <c r="Y431" s="11" t="n"/>
      <c r="Z431" s="12">
        <f>IF(T431="","",IFERROR(INDEX(DAFTAR_FIXTURE!$B$2:$B$51,MATCH(T431,DAFTAR_FIXTURE!$A$2:$A$51,0)),""))</f>
        <v/>
      </c>
      <c r="AA431" s="12">
        <f>IF(T431="","",IF(Z431="","CEK ID FIXTURE tidak ada di DAFTAR_FIXTURE",IF(U431="","CEK ZONA NO kosong",IF(ISNA(MATCH(Z431&amp;"|"&amp;U431,LAYOUT!$E$2:$E$80,0)),"CEK ZONA NO di luar layout",IF(V431&lt;&gt;INDEX(LAYOUT!$D$2:$D$80,MATCH(Z431&amp;"|"&amp;U431,LAYOUT!$E$2:$E$80,0)),"CEK JENIS ZONA",IF($D431="","Zona STOCK",IF($E431="","CEK SKU DESCRIPTION kosong",IF(AND(W431&lt;&gt;"",X431=""),"CEK URUTAN SAMBUNG kosong",IF(AND(W431&lt;&gt;"",LEFT(Z431,6)="Endcap"),"CEK Endcap tidak ikut sambung","OK")))))))))</f>
        <v/>
      </c>
      <c r="AB431" s="11" t="n"/>
      <c r="AC431" s="11" t="n"/>
      <c r="AD431" s="11" t="n"/>
      <c r="AE431" s="11" t="n"/>
      <c r="AF431" s="11" t="n"/>
      <c r="AG431" s="11" t="n"/>
      <c r="AH431" s="12">
        <f>IF(AB431="","",IFERROR(INDEX(DAFTAR_FIXTURE!$B$2:$B$51,MATCH(AB431,DAFTAR_FIXTURE!$A$2:$A$51,0)),""))</f>
        <v/>
      </c>
      <c r="AI431" s="12">
        <f>IF(AB431="","",IF(AH431="","CEK ID FIXTURE tidak ada di DAFTAR_FIXTURE",IF(AC431="","CEK ZONA NO kosong",IF(ISNA(MATCH(AH431&amp;"|"&amp;AC431,LAYOUT!$E$2:$E$80,0)),"CEK ZONA NO di luar layout",IF(AD431&lt;&gt;INDEX(LAYOUT!$D$2:$D$80,MATCH(AH431&amp;"|"&amp;AC431,LAYOUT!$E$2:$E$80,0)),"CEK JENIS ZONA",IF($D431="","Zona STOCK",IF($E431="","CEK SKU DESCRIPTION kosong",IF(AND(AE431&lt;&gt;"",AF431=""),"CEK URUTAN SAMBUNG kosong",IF(AND(AE431&lt;&gt;"",LEFT(AH431,6)="Endcap"),"CEK Endcap tidak ikut sambung","OK")))))))))</f>
        <v/>
      </c>
    </row>
    <row r="432">
      <c r="A432" s="10" t="n"/>
      <c r="B432" s="10" t="n"/>
      <c r="C432" s="10" t="n"/>
      <c r="D432" s="10" t="n"/>
      <c r="E432" s="10" t="n"/>
      <c r="F432" s="10" t="n"/>
      <c r="G432" s="10" t="n"/>
      <c r="H432" s="10" t="n"/>
      <c r="I432" s="10" t="n"/>
      <c r="J432" s="10" t="n"/>
      <c r="K432" s="10" t="n"/>
      <c r="L432" s="11" t="n"/>
      <c r="M432" s="11" t="n"/>
      <c r="N432" s="11" t="n"/>
      <c r="O432" s="11" t="n"/>
      <c r="P432" s="11" t="n"/>
      <c r="Q432" s="11" t="n"/>
      <c r="R432" s="12">
        <f>IF(L432="","",IFERROR(INDEX(DAFTAR_FIXTURE!$B$2:$B$51,MATCH(L432,DAFTAR_FIXTURE!$A$2:$A$51,0)),""))</f>
        <v/>
      </c>
      <c r="S432" s="12">
        <f>IF(AND($D432="",L432=""),"",IF(L432="",IF(AND(T432="",AB432=""),"Belum ditempatkan",""),IF(R432="","CEK ID FIXTURE tidak ada di DAFTAR_FIXTURE",IF(M432="","CEK ZONA NO kosong",IF(ISNA(MATCH(R432&amp;"|"&amp;M432,LAYOUT!$E$2:$E$80,0)),"CEK ZONA NO di luar layout",IF(N432&lt;&gt;INDEX(LAYOUT!$D$2:$D$80,MATCH(R432&amp;"|"&amp;M432,LAYOUT!$E$2:$E$80,0)),"CEK JENIS ZONA",IF($D432="","Zona STOCK",IF($E432="","CEK SKU DESCRIPTION kosong",IF(AND(O432&lt;&gt;"",P432=""),"CEK URUTAN SAMBUNG kosong",IF(AND(O432&lt;&gt;"",LEFT(R432,6)="Endcap"),"CEK Endcap tidak ikut sambung","OK"))))))))))</f>
        <v/>
      </c>
      <c r="T432" s="11" t="n"/>
      <c r="U432" s="11" t="n"/>
      <c r="V432" s="11" t="n"/>
      <c r="W432" s="11" t="n"/>
      <c r="X432" s="11" t="n"/>
      <c r="Y432" s="11" t="n"/>
      <c r="Z432" s="12">
        <f>IF(T432="","",IFERROR(INDEX(DAFTAR_FIXTURE!$B$2:$B$51,MATCH(T432,DAFTAR_FIXTURE!$A$2:$A$51,0)),""))</f>
        <v/>
      </c>
      <c r="AA432" s="12">
        <f>IF(T432="","",IF(Z432="","CEK ID FIXTURE tidak ada di DAFTAR_FIXTURE",IF(U432="","CEK ZONA NO kosong",IF(ISNA(MATCH(Z432&amp;"|"&amp;U432,LAYOUT!$E$2:$E$80,0)),"CEK ZONA NO di luar layout",IF(V432&lt;&gt;INDEX(LAYOUT!$D$2:$D$80,MATCH(Z432&amp;"|"&amp;U432,LAYOUT!$E$2:$E$80,0)),"CEK JENIS ZONA",IF($D432="","Zona STOCK",IF($E432="","CEK SKU DESCRIPTION kosong",IF(AND(W432&lt;&gt;"",X432=""),"CEK URUTAN SAMBUNG kosong",IF(AND(W432&lt;&gt;"",LEFT(Z432,6)="Endcap"),"CEK Endcap tidak ikut sambung","OK")))))))))</f>
        <v/>
      </c>
      <c r="AB432" s="11" t="n"/>
      <c r="AC432" s="11" t="n"/>
      <c r="AD432" s="11" t="n"/>
      <c r="AE432" s="11" t="n"/>
      <c r="AF432" s="11" t="n"/>
      <c r="AG432" s="11" t="n"/>
      <c r="AH432" s="12">
        <f>IF(AB432="","",IFERROR(INDEX(DAFTAR_FIXTURE!$B$2:$B$51,MATCH(AB432,DAFTAR_FIXTURE!$A$2:$A$51,0)),""))</f>
        <v/>
      </c>
      <c r="AI432" s="12">
        <f>IF(AB432="","",IF(AH432="","CEK ID FIXTURE tidak ada di DAFTAR_FIXTURE",IF(AC432="","CEK ZONA NO kosong",IF(ISNA(MATCH(AH432&amp;"|"&amp;AC432,LAYOUT!$E$2:$E$80,0)),"CEK ZONA NO di luar layout",IF(AD432&lt;&gt;INDEX(LAYOUT!$D$2:$D$80,MATCH(AH432&amp;"|"&amp;AC432,LAYOUT!$E$2:$E$80,0)),"CEK JENIS ZONA",IF($D432="","Zona STOCK",IF($E432="","CEK SKU DESCRIPTION kosong",IF(AND(AE432&lt;&gt;"",AF432=""),"CEK URUTAN SAMBUNG kosong",IF(AND(AE432&lt;&gt;"",LEFT(AH432,6)="Endcap"),"CEK Endcap tidak ikut sambung","OK")))))))))</f>
        <v/>
      </c>
    </row>
    <row r="433">
      <c r="A433" s="10" t="n"/>
      <c r="B433" s="10" t="n"/>
      <c r="C433" s="10" t="n"/>
      <c r="D433" s="10" t="n"/>
      <c r="E433" s="10" t="n"/>
      <c r="F433" s="10" t="n"/>
      <c r="G433" s="10" t="n"/>
      <c r="H433" s="10" t="n"/>
      <c r="I433" s="10" t="n"/>
      <c r="J433" s="10" t="n"/>
      <c r="K433" s="10" t="n"/>
      <c r="L433" s="11" t="n"/>
      <c r="M433" s="11" t="n"/>
      <c r="N433" s="11" t="n"/>
      <c r="O433" s="11" t="n"/>
      <c r="P433" s="11" t="n"/>
      <c r="Q433" s="11" t="n"/>
      <c r="R433" s="12">
        <f>IF(L433="","",IFERROR(INDEX(DAFTAR_FIXTURE!$B$2:$B$51,MATCH(L433,DAFTAR_FIXTURE!$A$2:$A$51,0)),""))</f>
        <v/>
      </c>
      <c r="S433" s="12">
        <f>IF(AND($D433="",L433=""),"",IF(L433="",IF(AND(T433="",AB433=""),"Belum ditempatkan",""),IF(R433="","CEK ID FIXTURE tidak ada di DAFTAR_FIXTURE",IF(M433="","CEK ZONA NO kosong",IF(ISNA(MATCH(R433&amp;"|"&amp;M433,LAYOUT!$E$2:$E$80,0)),"CEK ZONA NO di luar layout",IF(N433&lt;&gt;INDEX(LAYOUT!$D$2:$D$80,MATCH(R433&amp;"|"&amp;M433,LAYOUT!$E$2:$E$80,0)),"CEK JENIS ZONA",IF($D433="","Zona STOCK",IF($E433="","CEK SKU DESCRIPTION kosong",IF(AND(O433&lt;&gt;"",P433=""),"CEK URUTAN SAMBUNG kosong",IF(AND(O433&lt;&gt;"",LEFT(R433,6)="Endcap"),"CEK Endcap tidak ikut sambung","OK"))))))))))</f>
        <v/>
      </c>
      <c r="T433" s="11" t="n"/>
      <c r="U433" s="11" t="n"/>
      <c r="V433" s="11" t="n"/>
      <c r="W433" s="11" t="n"/>
      <c r="X433" s="11" t="n"/>
      <c r="Y433" s="11" t="n"/>
      <c r="Z433" s="12">
        <f>IF(T433="","",IFERROR(INDEX(DAFTAR_FIXTURE!$B$2:$B$51,MATCH(T433,DAFTAR_FIXTURE!$A$2:$A$51,0)),""))</f>
        <v/>
      </c>
      <c r="AA433" s="12">
        <f>IF(T433="","",IF(Z433="","CEK ID FIXTURE tidak ada di DAFTAR_FIXTURE",IF(U433="","CEK ZONA NO kosong",IF(ISNA(MATCH(Z433&amp;"|"&amp;U433,LAYOUT!$E$2:$E$80,0)),"CEK ZONA NO di luar layout",IF(V433&lt;&gt;INDEX(LAYOUT!$D$2:$D$80,MATCH(Z433&amp;"|"&amp;U433,LAYOUT!$E$2:$E$80,0)),"CEK JENIS ZONA",IF($D433="","Zona STOCK",IF($E433="","CEK SKU DESCRIPTION kosong",IF(AND(W433&lt;&gt;"",X433=""),"CEK URUTAN SAMBUNG kosong",IF(AND(W433&lt;&gt;"",LEFT(Z433,6)="Endcap"),"CEK Endcap tidak ikut sambung","OK")))))))))</f>
        <v/>
      </c>
      <c r="AB433" s="11" t="n"/>
      <c r="AC433" s="11" t="n"/>
      <c r="AD433" s="11" t="n"/>
      <c r="AE433" s="11" t="n"/>
      <c r="AF433" s="11" t="n"/>
      <c r="AG433" s="11" t="n"/>
      <c r="AH433" s="12">
        <f>IF(AB433="","",IFERROR(INDEX(DAFTAR_FIXTURE!$B$2:$B$51,MATCH(AB433,DAFTAR_FIXTURE!$A$2:$A$51,0)),""))</f>
        <v/>
      </c>
      <c r="AI433" s="12">
        <f>IF(AB433="","",IF(AH433="","CEK ID FIXTURE tidak ada di DAFTAR_FIXTURE",IF(AC433="","CEK ZONA NO kosong",IF(ISNA(MATCH(AH433&amp;"|"&amp;AC433,LAYOUT!$E$2:$E$80,0)),"CEK ZONA NO di luar layout",IF(AD433&lt;&gt;INDEX(LAYOUT!$D$2:$D$80,MATCH(AH433&amp;"|"&amp;AC433,LAYOUT!$E$2:$E$80,0)),"CEK JENIS ZONA",IF($D433="","Zona STOCK",IF($E433="","CEK SKU DESCRIPTION kosong",IF(AND(AE433&lt;&gt;"",AF433=""),"CEK URUTAN SAMBUNG kosong",IF(AND(AE433&lt;&gt;"",LEFT(AH433,6)="Endcap"),"CEK Endcap tidak ikut sambung","OK")))))))))</f>
        <v/>
      </c>
    </row>
    <row r="434">
      <c r="A434" s="10" t="n"/>
      <c r="B434" s="10" t="n"/>
      <c r="C434" s="10" t="n"/>
      <c r="D434" s="10" t="n"/>
      <c r="E434" s="10" t="n"/>
      <c r="F434" s="10" t="n"/>
      <c r="G434" s="10" t="n"/>
      <c r="H434" s="10" t="n"/>
      <c r="I434" s="10" t="n"/>
      <c r="J434" s="10" t="n"/>
      <c r="K434" s="10" t="n"/>
      <c r="L434" s="11" t="n"/>
      <c r="M434" s="11" t="n"/>
      <c r="N434" s="11" t="n"/>
      <c r="O434" s="11" t="n"/>
      <c r="P434" s="11" t="n"/>
      <c r="Q434" s="11" t="n"/>
      <c r="R434" s="12">
        <f>IF(L434="","",IFERROR(INDEX(DAFTAR_FIXTURE!$B$2:$B$51,MATCH(L434,DAFTAR_FIXTURE!$A$2:$A$51,0)),""))</f>
        <v/>
      </c>
      <c r="S434" s="12">
        <f>IF(AND($D434="",L434=""),"",IF(L434="",IF(AND(T434="",AB434=""),"Belum ditempatkan",""),IF(R434="","CEK ID FIXTURE tidak ada di DAFTAR_FIXTURE",IF(M434="","CEK ZONA NO kosong",IF(ISNA(MATCH(R434&amp;"|"&amp;M434,LAYOUT!$E$2:$E$80,0)),"CEK ZONA NO di luar layout",IF(N434&lt;&gt;INDEX(LAYOUT!$D$2:$D$80,MATCH(R434&amp;"|"&amp;M434,LAYOUT!$E$2:$E$80,0)),"CEK JENIS ZONA",IF($D434="","Zona STOCK",IF($E434="","CEK SKU DESCRIPTION kosong",IF(AND(O434&lt;&gt;"",P434=""),"CEK URUTAN SAMBUNG kosong",IF(AND(O434&lt;&gt;"",LEFT(R434,6)="Endcap"),"CEK Endcap tidak ikut sambung","OK"))))))))))</f>
        <v/>
      </c>
      <c r="T434" s="11" t="n"/>
      <c r="U434" s="11" t="n"/>
      <c r="V434" s="11" t="n"/>
      <c r="W434" s="11" t="n"/>
      <c r="X434" s="11" t="n"/>
      <c r="Y434" s="11" t="n"/>
      <c r="Z434" s="12">
        <f>IF(T434="","",IFERROR(INDEX(DAFTAR_FIXTURE!$B$2:$B$51,MATCH(T434,DAFTAR_FIXTURE!$A$2:$A$51,0)),""))</f>
        <v/>
      </c>
      <c r="AA434" s="12">
        <f>IF(T434="","",IF(Z434="","CEK ID FIXTURE tidak ada di DAFTAR_FIXTURE",IF(U434="","CEK ZONA NO kosong",IF(ISNA(MATCH(Z434&amp;"|"&amp;U434,LAYOUT!$E$2:$E$80,0)),"CEK ZONA NO di luar layout",IF(V434&lt;&gt;INDEX(LAYOUT!$D$2:$D$80,MATCH(Z434&amp;"|"&amp;U434,LAYOUT!$E$2:$E$80,0)),"CEK JENIS ZONA",IF($D434="","Zona STOCK",IF($E434="","CEK SKU DESCRIPTION kosong",IF(AND(W434&lt;&gt;"",X434=""),"CEK URUTAN SAMBUNG kosong",IF(AND(W434&lt;&gt;"",LEFT(Z434,6)="Endcap"),"CEK Endcap tidak ikut sambung","OK")))))))))</f>
        <v/>
      </c>
      <c r="AB434" s="11" t="n"/>
      <c r="AC434" s="11" t="n"/>
      <c r="AD434" s="11" t="n"/>
      <c r="AE434" s="11" t="n"/>
      <c r="AF434" s="11" t="n"/>
      <c r="AG434" s="11" t="n"/>
      <c r="AH434" s="12">
        <f>IF(AB434="","",IFERROR(INDEX(DAFTAR_FIXTURE!$B$2:$B$51,MATCH(AB434,DAFTAR_FIXTURE!$A$2:$A$51,0)),""))</f>
        <v/>
      </c>
      <c r="AI434" s="12">
        <f>IF(AB434="","",IF(AH434="","CEK ID FIXTURE tidak ada di DAFTAR_FIXTURE",IF(AC434="","CEK ZONA NO kosong",IF(ISNA(MATCH(AH434&amp;"|"&amp;AC434,LAYOUT!$E$2:$E$80,0)),"CEK ZONA NO di luar layout",IF(AD434&lt;&gt;INDEX(LAYOUT!$D$2:$D$80,MATCH(AH434&amp;"|"&amp;AC434,LAYOUT!$E$2:$E$80,0)),"CEK JENIS ZONA",IF($D434="","Zona STOCK",IF($E434="","CEK SKU DESCRIPTION kosong",IF(AND(AE434&lt;&gt;"",AF434=""),"CEK URUTAN SAMBUNG kosong",IF(AND(AE434&lt;&gt;"",LEFT(AH434,6)="Endcap"),"CEK Endcap tidak ikut sambung","OK")))))))))</f>
        <v/>
      </c>
    </row>
    <row r="435">
      <c r="A435" s="10" t="n"/>
      <c r="B435" s="10" t="n"/>
      <c r="C435" s="10" t="n"/>
      <c r="D435" s="10" t="n"/>
      <c r="E435" s="10" t="n"/>
      <c r="F435" s="10" t="n"/>
      <c r="G435" s="10" t="n"/>
      <c r="H435" s="10" t="n"/>
      <c r="I435" s="10" t="n"/>
      <c r="J435" s="10" t="n"/>
      <c r="K435" s="10" t="n"/>
      <c r="L435" s="11" t="n"/>
      <c r="M435" s="11" t="n"/>
      <c r="N435" s="11" t="n"/>
      <c r="O435" s="11" t="n"/>
      <c r="P435" s="11" t="n"/>
      <c r="Q435" s="11" t="n"/>
      <c r="R435" s="12">
        <f>IF(L435="","",IFERROR(INDEX(DAFTAR_FIXTURE!$B$2:$B$51,MATCH(L435,DAFTAR_FIXTURE!$A$2:$A$51,0)),""))</f>
        <v/>
      </c>
      <c r="S435" s="12">
        <f>IF(AND($D435="",L435=""),"",IF(L435="",IF(AND(T435="",AB435=""),"Belum ditempatkan",""),IF(R435="","CEK ID FIXTURE tidak ada di DAFTAR_FIXTURE",IF(M435="","CEK ZONA NO kosong",IF(ISNA(MATCH(R435&amp;"|"&amp;M435,LAYOUT!$E$2:$E$80,0)),"CEK ZONA NO di luar layout",IF(N435&lt;&gt;INDEX(LAYOUT!$D$2:$D$80,MATCH(R435&amp;"|"&amp;M435,LAYOUT!$E$2:$E$80,0)),"CEK JENIS ZONA",IF($D435="","Zona STOCK",IF($E435="","CEK SKU DESCRIPTION kosong",IF(AND(O435&lt;&gt;"",P435=""),"CEK URUTAN SAMBUNG kosong",IF(AND(O435&lt;&gt;"",LEFT(R435,6)="Endcap"),"CEK Endcap tidak ikut sambung","OK"))))))))))</f>
        <v/>
      </c>
      <c r="T435" s="11" t="n"/>
      <c r="U435" s="11" t="n"/>
      <c r="V435" s="11" t="n"/>
      <c r="W435" s="11" t="n"/>
      <c r="X435" s="11" t="n"/>
      <c r="Y435" s="11" t="n"/>
      <c r="Z435" s="12">
        <f>IF(T435="","",IFERROR(INDEX(DAFTAR_FIXTURE!$B$2:$B$51,MATCH(T435,DAFTAR_FIXTURE!$A$2:$A$51,0)),""))</f>
        <v/>
      </c>
      <c r="AA435" s="12">
        <f>IF(T435="","",IF(Z435="","CEK ID FIXTURE tidak ada di DAFTAR_FIXTURE",IF(U435="","CEK ZONA NO kosong",IF(ISNA(MATCH(Z435&amp;"|"&amp;U435,LAYOUT!$E$2:$E$80,0)),"CEK ZONA NO di luar layout",IF(V435&lt;&gt;INDEX(LAYOUT!$D$2:$D$80,MATCH(Z435&amp;"|"&amp;U435,LAYOUT!$E$2:$E$80,0)),"CEK JENIS ZONA",IF($D435="","Zona STOCK",IF($E435="","CEK SKU DESCRIPTION kosong",IF(AND(W435&lt;&gt;"",X435=""),"CEK URUTAN SAMBUNG kosong",IF(AND(W435&lt;&gt;"",LEFT(Z435,6)="Endcap"),"CEK Endcap tidak ikut sambung","OK")))))))))</f>
        <v/>
      </c>
      <c r="AB435" s="11" t="n"/>
      <c r="AC435" s="11" t="n"/>
      <c r="AD435" s="11" t="n"/>
      <c r="AE435" s="11" t="n"/>
      <c r="AF435" s="11" t="n"/>
      <c r="AG435" s="11" t="n"/>
      <c r="AH435" s="12">
        <f>IF(AB435="","",IFERROR(INDEX(DAFTAR_FIXTURE!$B$2:$B$51,MATCH(AB435,DAFTAR_FIXTURE!$A$2:$A$51,0)),""))</f>
        <v/>
      </c>
      <c r="AI435" s="12">
        <f>IF(AB435="","",IF(AH435="","CEK ID FIXTURE tidak ada di DAFTAR_FIXTURE",IF(AC435="","CEK ZONA NO kosong",IF(ISNA(MATCH(AH435&amp;"|"&amp;AC435,LAYOUT!$E$2:$E$80,0)),"CEK ZONA NO di luar layout",IF(AD435&lt;&gt;INDEX(LAYOUT!$D$2:$D$80,MATCH(AH435&amp;"|"&amp;AC435,LAYOUT!$E$2:$E$80,0)),"CEK JENIS ZONA",IF($D435="","Zona STOCK",IF($E435="","CEK SKU DESCRIPTION kosong",IF(AND(AE435&lt;&gt;"",AF435=""),"CEK URUTAN SAMBUNG kosong",IF(AND(AE435&lt;&gt;"",LEFT(AH435,6)="Endcap"),"CEK Endcap tidak ikut sambung","OK")))))))))</f>
        <v/>
      </c>
    </row>
    <row r="436">
      <c r="A436" s="10" t="n"/>
      <c r="B436" s="10" t="n"/>
      <c r="C436" s="10" t="n"/>
      <c r="D436" s="10" t="n"/>
      <c r="E436" s="10" t="n"/>
      <c r="F436" s="10" t="n"/>
      <c r="G436" s="10" t="n"/>
      <c r="H436" s="10" t="n"/>
      <c r="I436" s="10" t="n"/>
      <c r="J436" s="10" t="n"/>
      <c r="K436" s="10" t="n"/>
      <c r="L436" s="11" t="n"/>
      <c r="M436" s="11" t="n"/>
      <c r="N436" s="11" t="n"/>
      <c r="O436" s="11" t="n"/>
      <c r="P436" s="11" t="n"/>
      <c r="Q436" s="11" t="n"/>
      <c r="R436" s="12">
        <f>IF(L436="","",IFERROR(INDEX(DAFTAR_FIXTURE!$B$2:$B$51,MATCH(L436,DAFTAR_FIXTURE!$A$2:$A$51,0)),""))</f>
        <v/>
      </c>
      <c r="S436" s="12">
        <f>IF(AND($D436="",L436=""),"",IF(L436="",IF(AND(T436="",AB436=""),"Belum ditempatkan",""),IF(R436="","CEK ID FIXTURE tidak ada di DAFTAR_FIXTURE",IF(M436="","CEK ZONA NO kosong",IF(ISNA(MATCH(R436&amp;"|"&amp;M436,LAYOUT!$E$2:$E$80,0)),"CEK ZONA NO di luar layout",IF(N436&lt;&gt;INDEX(LAYOUT!$D$2:$D$80,MATCH(R436&amp;"|"&amp;M436,LAYOUT!$E$2:$E$80,0)),"CEK JENIS ZONA",IF($D436="","Zona STOCK",IF($E436="","CEK SKU DESCRIPTION kosong",IF(AND(O436&lt;&gt;"",P436=""),"CEK URUTAN SAMBUNG kosong",IF(AND(O436&lt;&gt;"",LEFT(R436,6)="Endcap"),"CEK Endcap tidak ikut sambung","OK"))))))))))</f>
        <v/>
      </c>
      <c r="T436" s="11" t="n"/>
      <c r="U436" s="11" t="n"/>
      <c r="V436" s="11" t="n"/>
      <c r="W436" s="11" t="n"/>
      <c r="X436" s="11" t="n"/>
      <c r="Y436" s="11" t="n"/>
      <c r="Z436" s="12">
        <f>IF(T436="","",IFERROR(INDEX(DAFTAR_FIXTURE!$B$2:$B$51,MATCH(T436,DAFTAR_FIXTURE!$A$2:$A$51,0)),""))</f>
        <v/>
      </c>
      <c r="AA436" s="12">
        <f>IF(T436="","",IF(Z436="","CEK ID FIXTURE tidak ada di DAFTAR_FIXTURE",IF(U436="","CEK ZONA NO kosong",IF(ISNA(MATCH(Z436&amp;"|"&amp;U436,LAYOUT!$E$2:$E$80,0)),"CEK ZONA NO di luar layout",IF(V436&lt;&gt;INDEX(LAYOUT!$D$2:$D$80,MATCH(Z436&amp;"|"&amp;U436,LAYOUT!$E$2:$E$80,0)),"CEK JENIS ZONA",IF($D436="","Zona STOCK",IF($E436="","CEK SKU DESCRIPTION kosong",IF(AND(W436&lt;&gt;"",X436=""),"CEK URUTAN SAMBUNG kosong",IF(AND(W436&lt;&gt;"",LEFT(Z436,6)="Endcap"),"CEK Endcap tidak ikut sambung","OK")))))))))</f>
        <v/>
      </c>
      <c r="AB436" s="11" t="n"/>
      <c r="AC436" s="11" t="n"/>
      <c r="AD436" s="11" t="n"/>
      <c r="AE436" s="11" t="n"/>
      <c r="AF436" s="11" t="n"/>
      <c r="AG436" s="11" t="n"/>
      <c r="AH436" s="12">
        <f>IF(AB436="","",IFERROR(INDEX(DAFTAR_FIXTURE!$B$2:$B$51,MATCH(AB436,DAFTAR_FIXTURE!$A$2:$A$51,0)),""))</f>
        <v/>
      </c>
      <c r="AI436" s="12">
        <f>IF(AB436="","",IF(AH436="","CEK ID FIXTURE tidak ada di DAFTAR_FIXTURE",IF(AC436="","CEK ZONA NO kosong",IF(ISNA(MATCH(AH436&amp;"|"&amp;AC436,LAYOUT!$E$2:$E$80,0)),"CEK ZONA NO di luar layout",IF(AD436&lt;&gt;INDEX(LAYOUT!$D$2:$D$80,MATCH(AH436&amp;"|"&amp;AC436,LAYOUT!$E$2:$E$80,0)),"CEK JENIS ZONA",IF($D436="","Zona STOCK",IF($E436="","CEK SKU DESCRIPTION kosong",IF(AND(AE436&lt;&gt;"",AF436=""),"CEK URUTAN SAMBUNG kosong",IF(AND(AE436&lt;&gt;"",LEFT(AH436,6)="Endcap"),"CEK Endcap tidak ikut sambung","OK")))))))))</f>
        <v/>
      </c>
    </row>
    <row r="437">
      <c r="A437" s="10" t="n"/>
      <c r="B437" s="10" t="n"/>
      <c r="C437" s="10" t="n"/>
      <c r="D437" s="10" t="n"/>
      <c r="E437" s="10" t="n"/>
      <c r="F437" s="10" t="n"/>
      <c r="G437" s="10" t="n"/>
      <c r="H437" s="10" t="n"/>
      <c r="I437" s="10" t="n"/>
      <c r="J437" s="10" t="n"/>
      <c r="K437" s="10" t="n"/>
      <c r="L437" s="11" t="n"/>
      <c r="M437" s="11" t="n"/>
      <c r="N437" s="11" t="n"/>
      <c r="O437" s="11" t="n"/>
      <c r="P437" s="11" t="n"/>
      <c r="Q437" s="11" t="n"/>
      <c r="R437" s="12">
        <f>IF(L437="","",IFERROR(INDEX(DAFTAR_FIXTURE!$B$2:$B$51,MATCH(L437,DAFTAR_FIXTURE!$A$2:$A$51,0)),""))</f>
        <v/>
      </c>
      <c r="S437" s="12">
        <f>IF(AND($D437="",L437=""),"",IF(L437="",IF(AND(T437="",AB437=""),"Belum ditempatkan",""),IF(R437="","CEK ID FIXTURE tidak ada di DAFTAR_FIXTURE",IF(M437="","CEK ZONA NO kosong",IF(ISNA(MATCH(R437&amp;"|"&amp;M437,LAYOUT!$E$2:$E$80,0)),"CEK ZONA NO di luar layout",IF(N437&lt;&gt;INDEX(LAYOUT!$D$2:$D$80,MATCH(R437&amp;"|"&amp;M437,LAYOUT!$E$2:$E$80,0)),"CEK JENIS ZONA",IF($D437="","Zona STOCK",IF($E437="","CEK SKU DESCRIPTION kosong",IF(AND(O437&lt;&gt;"",P437=""),"CEK URUTAN SAMBUNG kosong",IF(AND(O437&lt;&gt;"",LEFT(R437,6)="Endcap"),"CEK Endcap tidak ikut sambung","OK"))))))))))</f>
        <v/>
      </c>
      <c r="T437" s="11" t="n"/>
      <c r="U437" s="11" t="n"/>
      <c r="V437" s="11" t="n"/>
      <c r="W437" s="11" t="n"/>
      <c r="X437" s="11" t="n"/>
      <c r="Y437" s="11" t="n"/>
      <c r="Z437" s="12">
        <f>IF(T437="","",IFERROR(INDEX(DAFTAR_FIXTURE!$B$2:$B$51,MATCH(T437,DAFTAR_FIXTURE!$A$2:$A$51,0)),""))</f>
        <v/>
      </c>
      <c r="AA437" s="12">
        <f>IF(T437="","",IF(Z437="","CEK ID FIXTURE tidak ada di DAFTAR_FIXTURE",IF(U437="","CEK ZONA NO kosong",IF(ISNA(MATCH(Z437&amp;"|"&amp;U437,LAYOUT!$E$2:$E$80,0)),"CEK ZONA NO di luar layout",IF(V437&lt;&gt;INDEX(LAYOUT!$D$2:$D$80,MATCH(Z437&amp;"|"&amp;U437,LAYOUT!$E$2:$E$80,0)),"CEK JENIS ZONA",IF($D437="","Zona STOCK",IF($E437="","CEK SKU DESCRIPTION kosong",IF(AND(W437&lt;&gt;"",X437=""),"CEK URUTAN SAMBUNG kosong",IF(AND(W437&lt;&gt;"",LEFT(Z437,6)="Endcap"),"CEK Endcap tidak ikut sambung","OK")))))))))</f>
        <v/>
      </c>
      <c r="AB437" s="11" t="n"/>
      <c r="AC437" s="11" t="n"/>
      <c r="AD437" s="11" t="n"/>
      <c r="AE437" s="11" t="n"/>
      <c r="AF437" s="11" t="n"/>
      <c r="AG437" s="11" t="n"/>
      <c r="AH437" s="12">
        <f>IF(AB437="","",IFERROR(INDEX(DAFTAR_FIXTURE!$B$2:$B$51,MATCH(AB437,DAFTAR_FIXTURE!$A$2:$A$51,0)),""))</f>
        <v/>
      </c>
      <c r="AI437" s="12">
        <f>IF(AB437="","",IF(AH437="","CEK ID FIXTURE tidak ada di DAFTAR_FIXTURE",IF(AC437="","CEK ZONA NO kosong",IF(ISNA(MATCH(AH437&amp;"|"&amp;AC437,LAYOUT!$E$2:$E$80,0)),"CEK ZONA NO di luar layout",IF(AD437&lt;&gt;INDEX(LAYOUT!$D$2:$D$80,MATCH(AH437&amp;"|"&amp;AC437,LAYOUT!$E$2:$E$80,0)),"CEK JENIS ZONA",IF($D437="","Zona STOCK",IF($E437="","CEK SKU DESCRIPTION kosong",IF(AND(AE437&lt;&gt;"",AF437=""),"CEK URUTAN SAMBUNG kosong",IF(AND(AE437&lt;&gt;"",LEFT(AH437,6)="Endcap"),"CEK Endcap tidak ikut sambung","OK")))))))))</f>
        <v/>
      </c>
    </row>
    <row r="438">
      <c r="A438" s="10" t="n"/>
      <c r="B438" s="10" t="n"/>
      <c r="C438" s="10" t="n"/>
      <c r="D438" s="10" t="n"/>
      <c r="E438" s="10" t="n"/>
      <c r="F438" s="10" t="n"/>
      <c r="G438" s="10" t="n"/>
      <c r="H438" s="10" t="n"/>
      <c r="I438" s="10" t="n"/>
      <c r="J438" s="10" t="n"/>
      <c r="K438" s="10" t="n"/>
      <c r="L438" s="11" t="n"/>
      <c r="M438" s="11" t="n"/>
      <c r="N438" s="11" t="n"/>
      <c r="O438" s="11" t="n"/>
      <c r="P438" s="11" t="n"/>
      <c r="Q438" s="11" t="n"/>
      <c r="R438" s="12">
        <f>IF(L438="","",IFERROR(INDEX(DAFTAR_FIXTURE!$B$2:$B$51,MATCH(L438,DAFTAR_FIXTURE!$A$2:$A$51,0)),""))</f>
        <v/>
      </c>
      <c r="S438" s="12">
        <f>IF(AND($D438="",L438=""),"",IF(L438="",IF(AND(T438="",AB438=""),"Belum ditempatkan",""),IF(R438="","CEK ID FIXTURE tidak ada di DAFTAR_FIXTURE",IF(M438="","CEK ZONA NO kosong",IF(ISNA(MATCH(R438&amp;"|"&amp;M438,LAYOUT!$E$2:$E$80,0)),"CEK ZONA NO di luar layout",IF(N438&lt;&gt;INDEX(LAYOUT!$D$2:$D$80,MATCH(R438&amp;"|"&amp;M438,LAYOUT!$E$2:$E$80,0)),"CEK JENIS ZONA",IF($D438="","Zona STOCK",IF($E438="","CEK SKU DESCRIPTION kosong",IF(AND(O438&lt;&gt;"",P438=""),"CEK URUTAN SAMBUNG kosong",IF(AND(O438&lt;&gt;"",LEFT(R438,6)="Endcap"),"CEK Endcap tidak ikut sambung","OK"))))))))))</f>
        <v/>
      </c>
      <c r="T438" s="11" t="n"/>
      <c r="U438" s="11" t="n"/>
      <c r="V438" s="11" t="n"/>
      <c r="W438" s="11" t="n"/>
      <c r="X438" s="11" t="n"/>
      <c r="Y438" s="11" t="n"/>
      <c r="Z438" s="12">
        <f>IF(T438="","",IFERROR(INDEX(DAFTAR_FIXTURE!$B$2:$B$51,MATCH(T438,DAFTAR_FIXTURE!$A$2:$A$51,0)),""))</f>
        <v/>
      </c>
      <c r="AA438" s="12">
        <f>IF(T438="","",IF(Z438="","CEK ID FIXTURE tidak ada di DAFTAR_FIXTURE",IF(U438="","CEK ZONA NO kosong",IF(ISNA(MATCH(Z438&amp;"|"&amp;U438,LAYOUT!$E$2:$E$80,0)),"CEK ZONA NO di luar layout",IF(V438&lt;&gt;INDEX(LAYOUT!$D$2:$D$80,MATCH(Z438&amp;"|"&amp;U438,LAYOUT!$E$2:$E$80,0)),"CEK JENIS ZONA",IF($D438="","Zona STOCK",IF($E438="","CEK SKU DESCRIPTION kosong",IF(AND(W438&lt;&gt;"",X438=""),"CEK URUTAN SAMBUNG kosong",IF(AND(W438&lt;&gt;"",LEFT(Z438,6)="Endcap"),"CEK Endcap tidak ikut sambung","OK")))))))))</f>
        <v/>
      </c>
      <c r="AB438" s="11" t="n"/>
      <c r="AC438" s="11" t="n"/>
      <c r="AD438" s="11" t="n"/>
      <c r="AE438" s="11" t="n"/>
      <c r="AF438" s="11" t="n"/>
      <c r="AG438" s="11" t="n"/>
      <c r="AH438" s="12">
        <f>IF(AB438="","",IFERROR(INDEX(DAFTAR_FIXTURE!$B$2:$B$51,MATCH(AB438,DAFTAR_FIXTURE!$A$2:$A$51,0)),""))</f>
        <v/>
      </c>
      <c r="AI438" s="12">
        <f>IF(AB438="","",IF(AH438="","CEK ID FIXTURE tidak ada di DAFTAR_FIXTURE",IF(AC438="","CEK ZONA NO kosong",IF(ISNA(MATCH(AH438&amp;"|"&amp;AC438,LAYOUT!$E$2:$E$80,0)),"CEK ZONA NO di luar layout",IF(AD438&lt;&gt;INDEX(LAYOUT!$D$2:$D$80,MATCH(AH438&amp;"|"&amp;AC438,LAYOUT!$E$2:$E$80,0)),"CEK JENIS ZONA",IF($D438="","Zona STOCK",IF($E438="","CEK SKU DESCRIPTION kosong",IF(AND(AE438&lt;&gt;"",AF438=""),"CEK URUTAN SAMBUNG kosong",IF(AND(AE438&lt;&gt;"",LEFT(AH438,6)="Endcap"),"CEK Endcap tidak ikut sambung","OK")))))))))</f>
        <v/>
      </c>
    </row>
    <row r="439">
      <c r="A439" s="10" t="n"/>
      <c r="B439" s="10" t="n"/>
      <c r="C439" s="10" t="n"/>
      <c r="D439" s="10" t="n"/>
      <c r="E439" s="10" t="n"/>
      <c r="F439" s="10" t="n"/>
      <c r="G439" s="10" t="n"/>
      <c r="H439" s="10" t="n"/>
      <c r="I439" s="10" t="n"/>
      <c r="J439" s="10" t="n"/>
      <c r="K439" s="10" t="n"/>
      <c r="L439" s="11" t="n"/>
      <c r="M439" s="11" t="n"/>
      <c r="N439" s="11" t="n"/>
      <c r="O439" s="11" t="n"/>
      <c r="P439" s="11" t="n"/>
      <c r="Q439" s="11" t="n"/>
      <c r="R439" s="12">
        <f>IF(L439="","",IFERROR(INDEX(DAFTAR_FIXTURE!$B$2:$B$51,MATCH(L439,DAFTAR_FIXTURE!$A$2:$A$51,0)),""))</f>
        <v/>
      </c>
      <c r="S439" s="12">
        <f>IF(AND($D439="",L439=""),"",IF(L439="",IF(AND(T439="",AB439=""),"Belum ditempatkan",""),IF(R439="","CEK ID FIXTURE tidak ada di DAFTAR_FIXTURE",IF(M439="","CEK ZONA NO kosong",IF(ISNA(MATCH(R439&amp;"|"&amp;M439,LAYOUT!$E$2:$E$80,0)),"CEK ZONA NO di luar layout",IF(N439&lt;&gt;INDEX(LAYOUT!$D$2:$D$80,MATCH(R439&amp;"|"&amp;M439,LAYOUT!$E$2:$E$80,0)),"CEK JENIS ZONA",IF($D439="","Zona STOCK",IF($E439="","CEK SKU DESCRIPTION kosong",IF(AND(O439&lt;&gt;"",P439=""),"CEK URUTAN SAMBUNG kosong",IF(AND(O439&lt;&gt;"",LEFT(R439,6)="Endcap"),"CEK Endcap tidak ikut sambung","OK"))))))))))</f>
        <v/>
      </c>
      <c r="T439" s="11" t="n"/>
      <c r="U439" s="11" t="n"/>
      <c r="V439" s="11" t="n"/>
      <c r="W439" s="11" t="n"/>
      <c r="X439" s="11" t="n"/>
      <c r="Y439" s="11" t="n"/>
      <c r="Z439" s="12">
        <f>IF(T439="","",IFERROR(INDEX(DAFTAR_FIXTURE!$B$2:$B$51,MATCH(T439,DAFTAR_FIXTURE!$A$2:$A$51,0)),""))</f>
        <v/>
      </c>
      <c r="AA439" s="12">
        <f>IF(T439="","",IF(Z439="","CEK ID FIXTURE tidak ada di DAFTAR_FIXTURE",IF(U439="","CEK ZONA NO kosong",IF(ISNA(MATCH(Z439&amp;"|"&amp;U439,LAYOUT!$E$2:$E$80,0)),"CEK ZONA NO di luar layout",IF(V439&lt;&gt;INDEX(LAYOUT!$D$2:$D$80,MATCH(Z439&amp;"|"&amp;U439,LAYOUT!$E$2:$E$80,0)),"CEK JENIS ZONA",IF($D439="","Zona STOCK",IF($E439="","CEK SKU DESCRIPTION kosong",IF(AND(W439&lt;&gt;"",X439=""),"CEK URUTAN SAMBUNG kosong",IF(AND(W439&lt;&gt;"",LEFT(Z439,6)="Endcap"),"CEK Endcap tidak ikut sambung","OK")))))))))</f>
        <v/>
      </c>
      <c r="AB439" s="11" t="n"/>
      <c r="AC439" s="11" t="n"/>
      <c r="AD439" s="11" t="n"/>
      <c r="AE439" s="11" t="n"/>
      <c r="AF439" s="11" t="n"/>
      <c r="AG439" s="11" t="n"/>
      <c r="AH439" s="12">
        <f>IF(AB439="","",IFERROR(INDEX(DAFTAR_FIXTURE!$B$2:$B$51,MATCH(AB439,DAFTAR_FIXTURE!$A$2:$A$51,0)),""))</f>
        <v/>
      </c>
      <c r="AI439" s="12">
        <f>IF(AB439="","",IF(AH439="","CEK ID FIXTURE tidak ada di DAFTAR_FIXTURE",IF(AC439="","CEK ZONA NO kosong",IF(ISNA(MATCH(AH439&amp;"|"&amp;AC439,LAYOUT!$E$2:$E$80,0)),"CEK ZONA NO di luar layout",IF(AD439&lt;&gt;INDEX(LAYOUT!$D$2:$D$80,MATCH(AH439&amp;"|"&amp;AC439,LAYOUT!$E$2:$E$80,0)),"CEK JENIS ZONA",IF($D439="","Zona STOCK",IF($E439="","CEK SKU DESCRIPTION kosong",IF(AND(AE439&lt;&gt;"",AF439=""),"CEK URUTAN SAMBUNG kosong",IF(AND(AE439&lt;&gt;"",LEFT(AH439,6)="Endcap"),"CEK Endcap tidak ikut sambung","OK")))))))))</f>
        <v/>
      </c>
    </row>
    <row r="440">
      <c r="A440" s="10" t="n"/>
      <c r="B440" s="10" t="n"/>
      <c r="C440" s="10" t="n"/>
      <c r="D440" s="10" t="n"/>
      <c r="E440" s="10" t="n"/>
      <c r="F440" s="10" t="n"/>
      <c r="G440" s="10" t="n"/>
      <c r="H440" s="10" t="n"/>
      <c r="I440" s="10" t="n"/>
      <c r="J440" s="10" t="n"/>
      <c r="K440" s="10" t="n"/>
      <c r="L440" s="11" t="n"/>
      <c r="M440" s="11" t="n"/>
      <c r="N440" s="11" t="n"/>
      <c r="O440" s="11" t="n"/>
      <c r="P440" s="11" t="n"/>
      <c r="Q440" s="11" t="n"/>
      <c r="R440" s="12">
        <f>IF(L440="","",IFERROR(INDEX(DAFTAR_FIXTURE!$B$2:$B$51,MATCH(L440,DAFTAR_FIXTURE!$A$2:$A$51,0)),""))</f>
        <v/>
      </c>
      <c r="S440" s="12">
        <f>IF(AND($D440="",L440=""),"",IF(L440="",IF(AND(T440="",AB440=""),"Belum ditempatkan",""),IF(R440="","CEK ID FIXTURE tidak ada di DAFTAR_FIXTURE",IF(M440="","CEK ZONA NO kosong",IF(ISNA(MATCH(R440&amp;"|"&amp;M440,LAYOUT!$E$2:$E$80,0)),"CEK ZONA NO di luar layout",IF(N440&lt;&gt;INDEX(LAYOUT!$D$2:$D$80,MATCH(R440&amp;"|"&amp;M440,LAYOUT!$E$2:$E$80,0)),"CEK JENIS ZONA",IF($D440="","Zona STOCK",IF($E440="","CEK SKU DESCRIPTION kosong",IF(AND(O440&lt;&gt;"",P440=""),"CEK URUTAN SAMBUNG kosong",IF(AND(O440&lt;&gt;"",LEFT(R440,6)="Endcap"),"CEK Endcap tidak ikut sambung","OK"))))))))))</f>
        <v/>
      </c>
      <c r="T440" s="11" t="n"/>
      <c r="U440" s="11" t="n"/>
      <c r="V440" s="11" t="n"/>
      <c r="W440" s="11" t="n"/>
      <c r="X440" s="11" t="n"/>
      <c r="Y440" s="11" t="n"/>
      <c r="Z440" s="12">
        <f>IF(T440="","",IFERROR(INDEX(DAFTAR_FIXTURE!$B$2:$B$51,MATCH(T440,DAFTAR_FIXTURE!$A$2:$A$51,0)),""))</f>
        <v/>
      </c>
      <c r="AA440" s="12">
        <f>IF(T440="","",IF(Z440="","CEK ID FIXTURE tidak ada di DAFTAR_FIXTURE",IF(U440="","CEK ZONA NO kosong",IF(ISNA(MATCH(Z440&amp;"|"&amp;U440,LAYOUT!$E$2:$E$80,0)),"CEK ZONA NO di luar layout",IF(V440&lt;&gt;INDEX(LAYOUT!$D$2:$D$80,MATCH(Z440&amp;"|"&amp;U440,LAYOUT!$E$2:$E$80,0)),"CEK JENIS ZONA",IF($D440="","Zona STOCK",IF($E440="","CEK SKU DESCRIPTION kosong",IF(AND(W440&lt;&gt;"",X440=""),"CEK URUTAN SAMBUNG kosong",IF(AND(W440&lt;&gt;"",LEFT(Z440,6)="Endcap"),"CEK Endcap tidak ikut sambung","OK")))))))))</f>
        <v/>
      </c>
      <c r="AB440" s="11" t="n"/>
      <c r="AC440" s="11" t="n"/>
      <c r="AD440" s="11" t="n"/>
      <c r="AE440" s="11" t="n"/>
      <c r="AF440" s="11" t="n"/>
      <c r="AG440" s="11" t="n"/>
      <c r="AH440" s="12">
        <f>IF(AB440="","",IFERROR(INDEX(DAFTAR_FIXTURE!$B$2:$B$51,MATCH(AB440,DAFTAR_FIXTURE!$A$2:$A$51,0)),""))</f>
        <v/>
      </c>
      <c r="AI440" s="12">
        <f>IF(AB440="","",IF(AH440="","CEK ID FIXTURE tidak ada di DAFTAR_FIXTURE",IF(AC440="","CEK ZONA NO kosong",IF(ISNA(MATCH(AH440&amp;"|"&amp;AC440,LAYOUT!$E$2:$E$80,0)),"CEK ZONA NO di luar layout",IF(AD440&lt;&gt;INDEX(LAYOUT!$D$2:$D$80,MATCH(AH440&amp;"|"&amp;AC440,LAYOUT!$E$2:$E$80,0)),"CEK JENIS ZONA",IF($D440="","Zona STOCK",IF($E440="","CEK SKU DESCRIPTION kosong",IF(AND(AE440&lt;&gt;"",AF440=""),"CEK URUTAN SAMBUNG kosong",IF(AND(AE440&lt;&gt;"",LEFT(AH440,6)="Endcap"),"CEK Endcap tidak ikut sambung","OK")))))))))</f>
        <v/>
      </c>
    </row>
    <row r="441">
      <c r="A441" s="10" t="n"/>
      <c r="B441" s="10" t="n"/>
      <c r="C441" s="10" t="n"/>
      <c r="D441" s="10" t="n"/>
      <c r="E441" s="10" t="n"/>
      <c r="F441" s="10" t="n"/>
      <c r="G441" s="10" t="n"/>
      <c r="H441" s="10" t="n"/>
      <c r="I441" s="10" t="n"/>
      <c r="J441" s="10" t="n"/>
      <c r="K441" s="10" t="n"/>
      <c r="L441" s="11" t="n"/>
      <c r="M441" s="11" t="n"/>
      <c r="N441" s="11" t="n"/>
      <c r="O441" s="11" t="n"/>
      <c r="P441" s="11" t="n"/>
      <c r="Q441" s="11" t="n"/>
      <c r="R441" s="12">
        <f>IF(L441="","",IFERROR(INDEX(DAFTAR_FIXTURE!$B$2:$B$51,MATCH(L441,DAFTAR_FIXTURE!$A$2:$A$51,0)),""))</f>
        <v/>
      </c>
      <c r="S441" s="12">
        <f>IF(AND($D441="",L441=""),"",IF(L441="",IF(AND(T441="",AB441=""),"Belum ditempatkan",""),IF(R441="","CEK ID FIXTURE tidak ada di DAFTAR_FIXTURE",IF(M441="","CEK ZONA NO kosong",IF(ISNA(MATCH(R441&amp;"|"&amp;M441,LAYOUT!$E$2:$E$80,0)),"CEK ZONA NO di luar layout",IF(N441&lt;&gt;INDEX(LAYOUT!$D$2:$D$80,MATCH(R441&amp;"|"&amp;M441,LAYOUT!$E$2:$E$80,0)),"CEK JENIS ZONA",IF($D441="","Zona STOCK",IF($E441="","CEK SKU DESCRIPTION kosong",IF(AND(O441&lt;&gt;"",P441=""),"CEK URUTAN SAMBUNG kosong",IF(AND(O441&lt;&gt;"",LEFT(R441,6)="Endcap"),"CEK Endcap tidak ikut sambung","OK"))))))))))</f>
        <v/>
      </c>
      <c r="T441" s="11" t="n"/>
      <c r="U441" s="11" t="n"/>
      <c r="V441" s="11" t="n"/>
      <c r="W441" s="11" t="n"/>
      <c r="X441" s="11" t="n"/>
      <c r="Y441" s="11" t="n"/>
      <c r="Z441" s="12">
        <f>IF(T441="","",IFERROR(INDEX(DAFTAR_FIXTURE!$B$2:$B$51,MATCH(T441,DAFTAR_FIXTURE!$A$2:$A$51,0)),""))</f>
        <v/>
      </c>
      <c r="AA441" s="12">
        <f>IF(T441="","",IF(Z441="","CEK ID FIXTURE tidak ada di DAFTAR_FIXTURE",IF(U441="","CEK ZONA NO kosong",IF(ISNA(MATCH(Z441&amp;"|"&amp;U441,LAYOUT!$E$2:$E$80,0)),"CEK ZONA NO di luar layout",IF(V441&lt;&gt;INDEX(LAYOUT!$D$2:$D$80,MATCH(Z441&amp;"|"&amp;U441,LAYOUT!$E$2:$E$80,0)),"CEK JENIS ZONA",IF($D441="","Zona STOCK",IF($E441="","CEK SKU DESCRIPTION kosong",IF(AND(W441&lt;&gt;"",X441=""),"CEK URUTAN SAMBUNG kosong",IF(AND(W441&lt;&gt;"",LEFT(Z441,6)="Endcap"),"CEK Endcap tidak ikut sambung","OK")))))))))</f>
        <v/>
      </c>
      <c r="AB441" s="11" t="n"/>
      <c r="AC441" s="11" t="n"/>
      <c r="AD441" s="11" t="n"/>
      <c r="AE441" s="11" t="n"/>
      <c r="AF441" s="11" t="n"/>
      <c r="AG441" s="11" t="n"/>
      <c r="AH441" s="12">
        <f>IF(AB441="","",IFERROR(INDEX(DAFTAR_FIXTURE!$B$2:$B$51,MATCH(AB441,DAFTAR_FIXTURE!$A$2:$A$51,0)),""))</f>
        <v/>
      </c>
      <c r="AI441" s="12">
        <f>IF(AB441="","",IF(AH441="","CEK ID FIXTURE tidak ada di DAFTAR_FIXTURE",IF(AC441="","CEK ZONA NO kosong",IF(ISNA(MATCH(AH441&amp;"|"&amp;AC441,LAYOUT!$E$2:$E$80,0)),"CEK ZONA NO di luar layout",IF(AD441&lt;&gt;INDEX(LAYOUT!$D$2:$D$80,MATCH(AH441&amp;"|"&amp;AC441,LAYOUT!$E$2:$E$80,0)),"CEK JENIS ZONA",IF($D441="","Zona STOCK",IF($E441="","CEK SKU DESCRIPTION kosong",IF(AND(AE441&lt;&gt;"",AF441=""),"CEK URUTAN SAMBUNG kosong",IF(AND(AE441&lt;&gt;"",LEFT(AH441,6)="Endcap"),"CEK Endcap tidak ikut sambung","OK")))))))))</f>
        <v/>
      </c>
    </row>
    <row r="442">
      <c r="A442" s="10" t="n"/>
      <c r="B442" s="10" t="n"/>
      <c r="C442" s="10" t="n"/>
      <c r="D442" s="10" t="n"/>
      <c r="E442" s="10" t="n"/>
      <c r="F442" s="10" t="n"/>
      <c r="G442" s="10" t="n"/>
      <c r="H442" s="10" t="n"/>
      <c r="I442" s="10" t="n"/>
      <c r="J442" s="10" t="n"/>
      <c r="K442" s="10" t="n"/>
      <c r="L442" s="11" t="n"/>
      <c r="M442" s="11" t="n"/>
      <c r="N442" s="11" t="n"/>
      <c r="O442" s="11" t="n"/>
      <c r="P442" s="11" t="n"/>
      <c r="Q442" s="11" t="n"/>
      <c r="R442" s="12">
        <f>IF(L442="","",IFERROR(INDEX(DAFTAR_FIXTURE!$B$2:$B$51,MATCH(L442,DAFTAR_FIXTURE!$A$2:$A$51,0)),""))</f>
        <v/>
      </c>
      <c r="S442" s="12">
        <f>IF(AND($D442="",L442=""),"",IF(L442="",IF(AND(T442="",AB442=""),"Belum ditempatkan",""),IF(R442="","CEK ID FIXTURE tidak ada di DAFTAR_FIXTURE",IF(M442="","CEK ZONA NO kosong",IF(ISNA(MATCH(R442&amp;"|"&amp;M442,LAYOUT!$E$2:$E$80,0)),"CEK ZONA NO di luar layout",IF(N442&lt;&gt;INDEX(LAYOUT!$D$2:$D$80,MATCH(R442&amp;"|"&amp;M442,LAYOUT!$E$2:$E$80,0)),"CEK JENIS ZONA",IF($D442="","Zona STOCK",IF($E442="","CEK SKU DESCRIPTION kosong",IF(AND(O442&lt;&gt;"",P442=""),"CEK URUTAN SAMBUNG kosong",IF(AND(O442&lt;&gt;"",LEFT(R442,6)="Endcap"),"CEK Endcap tidak ikut sambung","OK"))))))))))</f>
        <v/>
      </c>
      <c r="T442" s="11" t="n"/>
      <c r="U442" s="11" t="n"/>
      <c r="V442" s="11" t="n"/>
      <c r="W442" s="11" t="n"/>
      <c r="X442" s="11" t="n"/>
      <c r="Y442" s="11" t="n"/>
      <c r="Z442" s="12">
        <f>IF(T442="","",IFERROR(INDEX(DAFTAR_FIXTURE!$B$2:$B$51,MATCH(T442,DAFTAR_FIXTURE!$A$2:$A$51,0)),""))</f>
        <v/>
      </c>
      <c r="AA442" s="12">
        <f>IF(T442="","",IF(Z442="","CEK ID FIXTURE tidak ada di DAFTAR_FIXTURE",IF(U442="","CEK ZONA NO kosong",IF(ISNA(MATCH(Z442&amp;"|"&amp;U442,LAYOUT!$E$2:$E$80,0)),"CEK ZONA NO di luar layout",IF(V442&lt;&gt;INDEX(LAYOUT!$D$2:$D$80,MATCH(Z442&amp;"|"&amp;U442,LAYOUT!$E$2:$E$80,0)),"CEK JENIS ZONA",IF($D442="","Zona STOCK",IF($E442="","CEK SKU DESCRIPTION kosong",IF(AND(W442&lt;&gt;"",X442=""),"CEK URUTAN SAMBUNG kosong",IF(AND(W442&lt;&gt;"",LEFT(Z442,6)="Endcap"),"CEK Endcap tidak ikut sambung","OK")))))))))</f>
        <v/>
      </c>
      <c r="AB442" s="11" t="n"/>
      <c r="AC442" s="11" t="n"/>
      <c r="AD442" s="11" t="n"/>
      <c r="AE442" s="11" t="n"/>
      <c r="AF442" s="11" t="n"/>
      <c r="AG442" s="11" t="n"/>
      <c r="AH442" s="12">
        <f>IF(AB442="","",IFERROR(INDEX(DAFTAR_FIXTURE!$B$2:$B$51,MATCH(AB442,DAFTAR_FIXTURE!$A$2:$A$51,0)),""))</f>
        <v/>
      </c>
      <c r="AI442" s="12">
        <f>IF(AB442="","",IF(AH442="","CEK ID FIXTURE tidak ada di DAFTAR_FIXTURE",IF(AC442="","CEK ZONA NO kosong",IF(ISNA(MATCH(AH442&amp;"|"&amp;AC442,LAYOUT!$E$2:$E$80,0)),"CEK ZONA NO di luar layout",IF(AD442&lt;&gt;INDEX(LAYOUT!$D$2:$D$80,MATCH(AH442&amp;"|"&amp;AC442,LAYOUT!$E$2:$E$80,0)),"CEK JENIS ZONA",IF($D442="","Zona STOCK",IF($E442="","CEK SKU DESCRIPTION kosong",IF(AND(AE442&lt;&gt;"",AF442=""),"CEK URUTAN SAMBUNG kosong",IF(AND(AE442&lt;&gt;"",LEFT(AH442,6)="Endcap"),"CEK Endcap tidak ikut sambung","OK")))))))))</f>
        <v/>
      </c>
    </row>
    <row r="443">
      <c r="A443" s="10" t="n"/>
      <c r="B443" s="10" t="n"/>
      <c r="C443" s="10" t="n"/>
      <c r="D443" s="10" t="n"/>
      <c r="E443" s="10" t="n"/>
      <c r="F443" s="10" t="n"/>
      <c r="G443" s="10" t="n"/>
      <c r="H443" s="10" t="n"/>
      <c r="I443" s="10" t="n"/>
      <c r="J443" s="10" t="n"/>
      <c r="K443" s="10" t="n"/>
      <c r="L443" s="11" t="n"/>
      <c r="M443" s="11" t="n"/>
      <c r="N443" s="11" t="n"/>
      <c r="O443" s="11" t="n"/>
      <c r="P443" s="11" t="n"/>
      <c r="Q443" s="11" t="n"/>
      <c r="R443" s="12">
        <f>IF(L443="","",IFERROR(INDEX(DAFTAR_FIXTURE!$B$2:$B$51,MATCH(L443,DAFTAR_FIXTURE!$A$2:$A$51,0)),""))</f>
        <v/>
      </c>
      <c r="S443" s="12">
        <f>IF(AND($D443="",L443=""),"",IF(L443="",IF(AND(T443="",AB443=""),"Belum ditempatkan",""),IF(R443="","CEK ID FIXTURE tidak ada di DAFTAR_FIXTURE",IF(M443="","CEK ZONA NO kosong",IF(ISNA(MATCH(R443&amp;"|"&amp;M443,LAYOUT!$E$2:$E$80,0)),"CEK ZONA NO di luar layout",IF(N443&lt;&gt;INDEX(LAYOUT!$D$2:$D$80,MATCH(R443&amp;"|"&amp;M443,LAYOUT!$E$2:$E$80,0)),"CEK JENIS ZONA",IF($D443="","Zona STOCK",IF($E443="","CEK SKU DESCRIPTION kosong",IF(AND(O443&lt;&gt;"",P443=""),"CEK URUTAN SAMBUNG kosong",IF(AND(O443&lt;&gt;"",LEFT(R443,6)="Endcap"),"CEK Endcap tidak ikut sambung","OK"))))))))))</f>
        <v/>
      </c>
      <c r="T443" s="11" t="n"/>
      <c r="U443" s="11" t="n"/>
      <c r="V443" s="11" t="n"/>
      <c r="W443" s="11" t="n"/>
      <c r="X443" s="11" t="n"/>
      <c r="Y443" s="11" t="n"/>
      <c r="Z443" s="12">
        <f>IF(T443="","",IFERROR(INDEX(DAFTAR_FIXTURE!$B$2:$B$51,MATCH(T443,DAFTAR_FIXTURE!$A$2:$A$51,0)),""))</f>
        <v/>
      </c>
      <c r="AA443" s="12">
        <f>IF(T443="","",IF(Z443="","CEK ID FIXTURE tidak ada di DAFTAR_FIXTURE",IF(U443="","CEK ZONA NO kosong",IF(ISNA(MATCH(Z443&amp;"|"&amp;U443,LAYOUT!$E$2:$E$80,0)),"CEK ZONA NO di luar layout",IF(V443&lt;&gt;INDEX(LAYOUT!$D$2:$D$80,MATCH(Z443&amp;"|"&amp;U443,LAYOUT!$E$2:$E$80,0)),"CEK JENIS ZONA",IF($D443="","Zona STOCK",IF($E443="","CEK SKU DESCRIPTION kosong",IF(AND(W443&lt;&gt;"",X443=""),"CEK URUTAN SAMBUNG kosong",IF(AND(W443&lt;&gt;"",LEFT(Z443,6)="Endcap"),"CEK Endcap tidak ikut sambung","OK")))))))))</f>
        <v/>
      </c>
      <c r="AB443" s="11" t="n"/>
      <c r="AC443" s="11" t="n"/>
      <c r="AD443" s="11" t="n"/>
      <c r="AE443" s="11" t="n"/>
      <c r="AF443" s="11" t="n"/>
      <c r="AG443" s="11" t="n"/>
      <c r="AH443" s="12">
        <f>IF(AB443="","",IFERROR(INDEX(DAFTAR_FIXTURE!$B$2:$B$51,MATCH(AB443,DAFTAR_FIXTURE!$A$2:$A$51,0)),""))</f>
        <v/>
      </c>
      <c r="AI443" s="12">
        <f>IF(AB443="","",IF(AH443="","CEK ID FIXTURE tidak ada di DAFTAR_FIXTURE",IF(AC443="","CEK ZONA NO kosong",IF(ISNA(MATCH(AH443&amp;"|"&amp;AC443,LAYOUT!$E$2:$E$80,0)),"CEK ZONA NO di luar layout",IF(AD443&lt;&gt;INDEX(LAYOUT!$D$2:$D$80,MATCH(AH443&amp;"|"&amp;AC443,LAYOUT!$E$2:$E$80,0)),"CEK JENIS ZONA",IF($D443="","Zona STOCK",IF($E443="","CEK SKU DESCRIPTION kosong",IF(AND(AE443&lt;&gt;"",AF443=""),"CEK URUTAN SAMBUNG kosong",IF(AND(AE443&lt;&gt;"",LEFT(AH443,6)="Endcap"),"CEK Endcap tidak ikut sambung","OK")))))))))</f>
        <v/>
      </c>
    </row>
    <row r="444">
      <c r="A444" s="10" t="n"/>
      <c r="B444" s="10" t="n"/>
      <c r="C444" s="10" t="n"/>
      <c r="D444" s="10" t="n"/>
      <c r="E444" s="10" t="n"/>
      <c r="F444" s="10" t="n"/>
      <c r="G444" s="10" t="n"/>
      <c r="H444" s="10" t="n"/>
      <c r="I444" s="10" t="n"/>
      <c r="J444" s="10" t="n"/>
      <c r="K444" s="10" t="n"/>
      <c r="L444" s="11" t="n"/>
      <c r="M444" s="11" t="n"/>
      <c r="N444" s="11" t="n"/>
      <c r="O444" s="11" t="n"/>
      <c r="P444" s="11" t="n"/>
      <c r="Q444" s="11" t="n"/>
      <c r="R444" s="12">
        <f>IF(L444="","",IFERROR(INDEX(DAFTAR_FIXTURE!$B$2:$B$51,MATCH(L444,DAFTAR_FIXTURE!$A$2:$A$51,0)),""))</f>
        <v/>
      </c>
      <c r="S444" s="12">
        <f>IF(AND($D444="",L444=""),"",IF(L444="",IF(AND(T444="",AB444=""),"Belum ditempatkan",""),IF(R444="","CEK ID FIXTURE tidak ada di DAFTAR_FIXTURE",IF(M444="","CEK ZONA NO kosong",IF(ISNA(MATCH(R444&amp;"|"&amp;M444,LAYOUT!$E$2:$E$80,0)),"CEK ZONA NO di luar layout",IF(N444&lt;&gt;INDEX(LAYOUT!$D$2:$D$80,MATCH(R444&amp;"|"&amp;M444,LAYOUT!$E$2:$E$80,0)),"CEK JENIS ZONA",IF($D444="","Zona STOCK",IF($E444="","CEK SKU DESCRIPTION kosong",IF(AND(O444&lt;&gt;"",P444=""),"CEK URUTAN SAMBUNG kosong",IF(AND(O444&lt;&gt;"",LEFT(R444,6)="Endcap"),"CEK Endcap tidak ikut sambung","OK"))))))))))</f>
        <v/>
      </c>
      <c r="T444" s="11" t="n"/>
      <c r="U444" s="11" t="n"/>
      <c r="V444" s="11" t="n"/>
      <c r="W444" s="11" t="n"/>
      <c r="X444" s="11" t="n"/>
      <c r="Y444" s="11" t="n"/>
      <c r="Z444" s="12">
        <f>IF(T444="","",IFERROR(INDEX(DAFTAR_FIXTURE!$B$2:$B$51,MATCH(T444,DAFTAR_FIXTURE!$A$2:$A$51,0)),""))</f>
        <v/>
      </c>
      <c r="AA444" s="12">
        <f>IF(T444="","",IF(Z444="","CEK ID FIXTURE tidak ada di DAFTAR_FIXTURE",IF(U444="","CEK ZONA NO kosong",IF(ISNA(MATCH(Z444&amp;"|"&amp;U444,LAYOUT!$E$2:$E$80,0)),"CEK ZONA NO di luar layout",IF(V444&lt;&gt;INDEX(LAYOUT!$D$2:$D$80,MATCH(Z444&amp;"|"&amp;U444,LAYOUT!$E$2:$E$80,0)),"CEK JENIS ZONA",IF($D444="","Zona STOCK",IF($E444="","CEK SKU DESCRIPTION kosong",IF(AND(W444&lt;&gt;"",X444=""),"CEK URUTAN SAMBUNG kosong",IF(AND(W444&lt;&gt;"",LEFT(Z444,6)="Endcap"),"CEK Endcap tidak ikut sambung","OK")))))))))</f>
        <v/>
      </c>
      <c r="AB444" s="11" t="n"/>
      <c r="AC444" s="11" t="n"/>
      <c r="AD444" s="11" t="n"/>
      <c r="AE444" s="11" t="n"/>
      <c r="AF444" s="11" t="n"/>
      <c r="AG444" s="11" t="n"/>
      <c r="AH444" s="12">
        <f>IF(AB444="","",IFERROR(INDEX(DAFTAR_FIXTURE!$B$2:$B$51,MATCH(AB444,DAFTAR_FIXTURE!$A$2:$A$51,0)),""))</f>
        <v/>
      </c>
      <c r="AI444" s="12">
        <f>IF(AB444="","",IF(AH444="","CEK ID FIXTURE tidak ada di DAFTAR_FIXTURE",IF(AC444="","CEK ZONA NO kosong",IF(ISNA(MATCH(AH444&amp;"|"&amp;AC444,LAYOUT!$E$2:$E$80,0)),"CEK ZONA NO di luar layout",IF(AD444&lt;&gt;INDEX(LAYOUT!$D$2:$D$80,MATCH(AH444&amp;"|"&amp;AC444,LAYOUT!$E$2:$E$80,0)),"CEK JENIS ZONA",IF($D444="","Zona STOCK",IF($E444="","CEK SKU DESCRIPTION kosong",IF(AND(AE444&lt;&gt;"",AF444=""),"CEK URUTAN SAMBUNG kosong",IF(AND(AE444&lt;&gt;"",LEFT(AH444,6)="Endcap"),"CEK Endcap tidak ikut sambung","OK")))))))))</f>
        <v/>
      </c>
    </row>
    <row r="445">
      <c r="A445" s="10" t="n"/>
      <c r="B445" s="10" t="n"/>
      <c r="C445" s="10" t="n"/>
      <c r="D445" s="10" t="n"/>
      <c r="E445" s="10" t="n"/>
      <c r="F445" s="10" t="n"/>
      <c r="G445" s="10" t="n"/>
      <c r="H445" s="10" t="n"/>
      <c r="I445" s="10" t="n"/>
      <c r="J445" s="10" t="n"/>
      <c r="K445" s="10" t="n"/>
      <c r="L445" s="11" t="n"/>
      <c r="M445" s="11" t="n"/>
      <c r="N445" s="11" t="n"/>
      <c r="O445" s="11" t="n"/>
      <c r="P445" s="11" t="n"/>
      <c r="Q445" s="11" t="n"/>
      <c r="R445" s="12">
        <f>IF(L445="","",IFERROR(INDEX(DAFTAR_FIXTURE!$B$2:$B$51,MATCH(L445,DAFTAR_FIXTURE!$A$2:$A$51,0)),""))</f>
        <v/>
      </c>
      <c r="S445" s="12">
        <f>IF(AND($D445="",L445=""),"",IF(L445="",IF(AND(T445="",AB445=""),"Belum ditempatkan",""),IF(R445="","CEK ID FIXTURE tidak ada di DAFTAR_FIXTURE",IF(M445="","CEK ZONA NO kosong",IF(ISNA(MATCH(R445&amp;"|"&amp;M445,LAYOUT!$E$2:$E$80,0)),"CEK ZONA NO di luar layout",IF(N445&lt;&gt;INDEX(LAYOUT!$D$2:$D$80,MATCH(R445&amp;"|"&amp;M445,LAYOUT!$E$2:$E$80,0)),"CEK JENIS ZONA",IF($D445="","Zona STOCK",IF($E445="","CEK SKU DESCRIPTION kosong",IF(AND(O445&lt;&gt;"",P445=""),"CEK URUTAN SAMBUNG kosong",IF(AND(O445&lt;&gt;"",LEFT(R445,6)="Endcap"),"CEK Endcap tidak ikut sambung","OK"))))))))))</f>
        <v/>
      </c>
      <c r="T445" s="11" t="n"/>
      <c r="U445" s="11" t="n"/>
      <c r="V445" s="11" t="n"/>
      <c r="W445" s="11" t="n"/>
      <c r="X445" s="11" t="n"/>
      <c r="Y445" s="11" t="n"/>
      <c r="Z445" s="12">
        <f>IF(T445="","",IFERROR(INDEX(DAFTAR_FIXTURE!$B$2:$B$51,MATCH(T445,DAFTAR_FIXTURE!$A$2:$A$51,0)),""))</f>
        <v/>
      </c>
      <c r="AA445" s="12">
        <f>IF(T445="","",IF(Z445="","CEK ID FIXTURE tidak ada di DAFTAR_FIXTURE",IF(U445="","CEK ZONA NO kosong",IF(ISNA(MATCH(Z445&amp;"|"&amp;U445,LAYOUT!$E$2:$E$80,0)),"CEK ZONA NO di luar layout",IF(V445&lt;&gt;INDEX(LAYOUT!$D$2:$D$80,MATCH(Z445&amp;"|"&amp;U445,LAYOUT!$E$2:$E$80,0)),"CEK JENIS ZONA",IF($D445="","Zona STOCK",IF($E445="","CEK SKU DESCRIPTION kosong",IF(AND(W445&lt;&gt;"",X445=""),"CEK URUTAN SAMBUNG kosong",IF(AND(W445&lt;&gt;"",LEFT(Z445,6)="Endcap"),"CEK Endcap tidak ikut sambung","OK")))))))))</f>
        <v/>
      </c>
      <c r="AB445" s="11" t="n"/>
      <c r="AC445" s="11" t="n"/>
      <c r="AD445" s="11" t="n"/>
      <c r="AE445" s="11" t="n"/>
      <c r="AF445" s="11" t="n"/>
      <c r="AG445" s="11" t="n"/>
      <c r="AH445" s="12">
        <f>IF(AB445="","",IFERROR(INDEX(DAFTAR_FIXTURE!$B$2:$B$51,MATCH(AB445,DAFTAR_FIXTURE!$A$2:$A$51,0)),""))</f>
        <v/>
      </c>
      <c r="AI445" s="12">
        <f>IF(AB445="","",IF(AH445="","CEK ID FIXTURE tidak ada di DAFTAR_FIXTURE",IF(AC445="","CEK ZONA NO kosong",IF(ISNA(MATCH(AH445&amp;"|"&amp;AC445,LAYOUT!$E$2:$E$80,0)),"CEK ZONA NO di luar layout",IF(AD445&lt;&gt;INDEX(LAYOUT!$D$2:$D$80,MATCH(AH445&amp;"|"&amp;AC445,LAYOUT!$E$2:$E$80,0)),"CEK JENIS ZONA",IF($D445="","Zona STOCK",IF($E445="","CEK SKU DESCRIPTION kosong",IF(AND(AE445&lt;&gt;"",AF445=""),"CEK URUTAN SAMBUNG kosong",IF(AND(AE445&lt;&gt;"",LEFT(AH445,6)="Endcap"),"CEK Endcap tidak ikut sambung","OK")))))))))</f>
        <v/>
      </c>
    </row>
    <row r="446">
      <c r="A446" s="10" t="n"/>
      <c r="B446" s="10" t="n"/>
      <c r="C446" s="10" t="n"/>
      <c r="D446" s="10" t="n"/>
      <c r="E446" s="10" t="n"/>
      <c r="F446" s="10" t="n"/>
      <c r="G446" s="10" t="n"/>
      <c r="H446" s="10" t="n"/>
      <c r="I446" s="10" t="n"/>
      <c r="J446" s="10" t="n"/>
      <c r="K446" s="10" t="n"/>
      <c r="L446" s="11" t="n"/>
      <c r="M446" s="11" t="n"/>
      <c r="N446" s="11" t="n"/>
      <c r="O446" s="11" t="n"/>
      <c r="P446" s="11" t="n"/>
      <c r="Q446" s="11" t="n"/>
      <c r="R446" s="12">
        <f>IF(L446="","",IFERROR(INDEX(DAFTAR_FIXTURE!$B$2:$B$51,MATCH(L446,DAFTAR_FIXTURE!$A$2:$A$51,0)),""))</f>
        <v/>
      </c>
      <c r="S446" s="12">
        <f>IF(AND($D446="",L446=""),"",IF(L446="",IF(AND(T446="",AB446=""),"Belum ditempatkan",""),IF(R446="","CEK ID FIXTURE tidak ada di DAFTAR_FIXTURE",IF(M446="","CEK ZONA NO kosong",IF(ISNA(MATCH(R446&amp;"|"&amp;M446,LAYOUT!$E$2:$E$80,0)),"CEK ZONA NO di luar layout",IF(N446&lt;&gt;INDEX(LAYOUT!$D$2:$D$80,MATCH(R446&amp;"|"&amp;M446,LAYOUT!$E$2:$E$80,0)),"CEK JENIS ZONA",IF($D446="","Zona STOCK",IF($E446="","CEK SKU DESCRIPTION kosong",IF(AND(O446&lt;&gt;"",P446=""),"CEK URUTAN SAMBUNG kosong",IF(AND(O446&lt;&gt;"",LEFT(R446,6)="Endcap"),"CEK Endcap tidak ikut sambung","OK"))))))))))</f>
        <v/>
      </c>
      <c r="T446" s="11" t="n"/>
      <c r="U446" s="11" t="n"/>
      <c r="V446" s="11" t="n"/>
      <c r="W446" s="11" t="n"/>
      <c r="X446" s="11" t="n"/>
      <c r="Y446" s="11" t="n"/>
      <c r="Z446" s="12">
        <f>IF(T446="","",IFERROR(INDEX(DAFTAR_FIXTURE!$B$2:$B$51,MATCH(T446,DAFTAR_FIXTURE!$A$2:$A$51,0)),""))</f>
        <v/>
      </c>
      <c r="AA446" s="12">
        <f>IF(T446="","",IF(Z446="","CEK ID FIXTURE tidak ada di DAFTAR_FIXTURE",IF(U446="","CEK ZONA NO kosong",IF(ISNA(MATCH(Z446&amp;"|"&amp;U446,LAYOUT!$E$2:$E$80,0)),"CEK ZONA NO di luar layout",IF(V446&lt;&gt;INDEX(LAYOUT!$D$2:$D$80,MATCH(Z446&amp;"|"&amp;U446,LAYOUT!$E$2:$E$80,0)),"CEK JENIS ZONA",IF($D446="","Zona STOCK",IF($E446="","CEK SKU DESCRIPTION kosong",IF(AND(W446&lt;&gt;"",X446=""),"CEK URUTAN SAMBUNG kosong",IF(AND(W446&lt;&gt;"",LEFT(Z446,6)="Endcap"),"CEK Endcap tidak ikut sambung","OK")))))))))</f>
        <v/>
      </c>
      <c r="AB446" s="11" t="n"/>
      <c r="AC446" s="11" t="n"/>
      <c r="AD446" s="11" t="n"/>
      <c r="AE446" s="11" t="n"/>
      <c r="AF446" s="11" t="n"/>
      <c r="AG446" s="11" t="n"/>
      <c r="AH446" s="12">
        <f>IF(AB446="","",IFERROR(INDEX(DAFTAR_FIXTURE!$B$2:$B$51,MATCH(AB446,DAFTAR_FIXTURE!$A$2:$A$51,0)),""))</f>
        <v/>
      </c>
      <c r="AI446" s="12">
        <f>IF(AB446="","",IF(AH446="","CEK ID FIXTURE tidak ada di DAFTAR_FIXTURE",IF(AC446="","CEK ZONA NO kosong",IF(ISNA(MATCH(AH446&amp;"|"&amp;AC446,LAYOUT!$E$2:$E$80,0)),"CEK ZONA NO di luar layout",IF(AD446&lt;&gt;INDEX(LAYOUT!$D$2:$D$80,MATCH(AH446&amp;"|"&amp;AC446,LAYOUT!$E$2:$E$80,0)),"CEK JENIS ZONA",IF($D446="","Zona STOCK",IF($E446="","CEK SKU DESCRIPTION kosong",IF(AND(AE446&lt;&gt;"",AF446=""),"CEK URUTAN SAMBUNG kosong",IF(AND(AE446&lt;&gt;"",LEFT(AH446,6)="Endcap"),"CEK Endcap tidak ikut sambung","OK")))))))))</f>
        <v/>
      </c>
    </row>
    <row r="447">
      <c r="A447" s="10" t="n"/>
      <c r="B447" s="10" t="n"/>
      <c r="C447" s="10" t="n"/>
      <c r="D447" s="10" t="n"/>
      <c r="E447" s="10" t="n"/>
      <c r="F447" s="10" t="n"/>
      <c r="G447" s="10" t="n"/>
      <c r="H447" s="10" t="n"/>
      <c r="I447" s="10" t="n"/>
      <c r="J447" s="10" t="n"/>
      <c r="K447" s="10" t="n"/>
      <c r="L447" s="11" t="n"/>
      <c r="M447" s="11" t="n"/>
      <c r="N447" s="11" t="n"/>
      <c r="O447" s="11" t="n"/>
      <c r="P447" s="11" t="n"/>
      <c r="Q447" s="11" t="n"/>
      <c r="R447" s="12">
        <f>IF(L447="","",IFERROR(INDEX(DAFTAR_FIXTURE!$B$2:$B$51,MATCH(L447,DAFTAR_FIXTURE!$A$2:$A$51,0)),""))</f>
        <v/>
      </c>
      <c r="S447" s="12">
        <f>IF(AND($D447="",L447=""),"",IF(L447="",IF(AND(T447="",AB447=""),"Belum ditempatkan",""),IF(R447="","CEK ID FIXTURE tidak ada di DAFTAR_FIXTURE",IF(M447="","CEK ZONA NO kosong",IF(ISNA(MATCH(R447&amp;"|"&amp;M447,LAYOUT!$E$2:$E$80,0)),"CEK ZONA NO di luar layout",IF(N447&lt;&gt;INDEX(LAYOUT!$D$2:$D$80,MATCH(R447&amp;"|"&amp;M447,LAYOUT!$E$2:$E$80,0)),"CEK JENIS ZONA",IF($D447="","Zona STOCK",IF($E447="","CEK SKU DESCRIPTION kosong",IF(AND(O447&lt;&gt;"",P447=""),"CEK URUTAN SAMBUNG kosong",IF(AND(O447&lt;&gt;"",LEFT(R447,6)="Endcap"),"CEK Endcap tidak ikut sambung","OK"))))))))))</f>
        <v/>
      </c>
      <c r="T447" s="11" t="n"/>
      <c r="U447" s="11" t="n"/>
      <c r="V447" s="11" t="n"/>
      <c r="W447" s="11" t="n"/>
      <c r="X447" s="11" t="n"/>
      <c r="Y447" s="11" t="n"/>
      <c r="Z447" s="12">
        <f>IF(T447="","",IFERROR(INDEX(DAFTAR_FIXTURE!$B$2:$B$51,MATCH(T447,DAFTAR_FIXTURE!$A$2:$A$51,0)),""))</f>
        <v/>
      </c>
      <c r="AA447" s="12">
        <f>IF(T447="","",IF(Z447="","CEK ID FIXTURE tidak ada di DAFTAR_FIXTURE",IF(U447="","CEK ZONA NO kosong",IF(ISNA(MATCH(Z447&amp;"|"&amp;U447,LAYOUT!$E$2:$E$80,0)),"CEK ZONA NO di luar layout",IF(V447&lt;&gt;INDEX(LAYOUT!$D$2:$D$80,MATCH(Z447&amp;"|"&amp;U447,LAYOUT!$E$2:$E$80,0)),"CEK JENIS ZONA",IF($D447="","Zona STOCK",IF($E447="","CEK SKU DESCRIPTION kosong",IF(AND(W447&lt;&gt;"",X447=""),"CEK URUTAN SAMBUNG kosong",IF(AND(W447&lt;&gt;"",LEFT(Z447,6)="Endcap"),"CEK Endcap tidak ikut sambung","OK")))))))))</f>
        <v/>
      </c>
      <c r="AB447" s="11" t="n"/>
      <c r="AC447" s="11" t="n"/>
      <c r="AD447" s="11" t="n"/>
      <c r="AE447" s="11" t="n"/>
      <c r="AF447" s="11" t="n"/>
      <c r="AG447" s="11" t="n"/>
      <c r="AH447" s="12">
        <f>IF(AB447="","",IFERROR(INDEX(DAFTAR_FIXTURE!$B$2:$B$51,MATCH(AB447,DAFTAR_FIXTURE!$A$2:$A$51,0)),""))</f>
        <v/>
      </c>
      <c r="AI447" s="12">
        <f>IF(AB447="","",IF(AH447="","CEK ID FIXTURE tidak ada di DAFTAR_FIXTURE",IF(AC447="","CEK ZONA NO kosong",IF(ISNA(MATCH(AH447&amp;"|"&amp;AC447,LAYOUT!$E$2:$E$80,0)),"CEK ZONA NO di luar layout",IF(AD447&lt;&gt;INDEX(LAYOUT!$D$2:$D$80,MATCH(AH447&amp;"|"&amp;AC447,LAYOUT!$E$2:$E$80,0)),"CEK JENIS ZONA",IF($D447="","Zona STOCK",IF($E447="","CEK SKU DESCRIPTION kosong",IF(AND(AE447&lt;&gt;"",AF447=""),"CEK URUTAN SAMBUNG kosong",IF(AND(AE447&lt;&gt;"",LEFT(AH447,6)="Endcap"),"CEK Endcap tidak ikut sambung","OK")))))))))</f>
        <v/>
      </c>
    </row>
    <row r="448">
      <c r="A448" s="10" t="n"/>
      <c r="B448" s="10" t="n"/>
      <c r="C448" s="10" t="n"/>
      <c r="D448" s="10" t="n"/>
      <c r="E448" s="10" t="n"/>
      <c r="F448" s="10" t="n"/>
      <c r="G448" s="10" t="n"/>
      <c r="H448" s="10" t="n"/>
      <c r="I448" s="10" t="n"/>
      <c r="J448" s="10" t="n"/>
      <c r="K448" s="10" t="n"/>
      <c r="L448" s="11" t="n"/>
      <c r="M448" s="11" t="n"/>
      <c r="N448" s="11" t="n"/>
      <c r="O448" s="11" t="n"/>
      <c r="P448" s="11" t="n"/>
      <c r="Q448" s="11" t="n"/>
      <c r="R448" s="12">
        <f>IF(L448="","",IFERROR(INDEX(DAFTAR_FIXTURE!$B$2:$B$51,MATCH(L448,DAFTAR_FIXTURE!$A$2:$A$51,0)),""))</f>
        <v/>
      </c>
      <c r="S448" s="12">
        <f>IF(AND($D448="",L448=""),"",IF(L448="",IF(AND(T448="",AB448=""),"Belum ditempatkan",""),IF(R448="","CEK ID FIXTURE tidak ada di DAFTAR_FIXTURE",IF(M448="","CEK ZONA NO kosong",IF(ISNA(MATCH(R448&amp;"|"&amp;M448,LAYOUT!$E$2:$E$80,0)),"CEK ZONA NO di luar layout",IF(N448&lt;&gt;INDEX(LAYOUT!$D$2:$D$80,MATCH(R448&amp;"|"&amp;M448,LAYOUT!$E$2:$E$80,0)),"CEK JENIS ZONA",IF($D448="","Zona STOCK",IF($E448="","CEK SKU DESCRIPTION kosong",IF(AND(O448&lt;&gt;"",P448=""),"CEK URUTAN SAMBUNG kosong",IF(AND(O448&lt;&gt;"",LEFT(R448,6)="Endcap"),"CEK Endcap tidak ikut sambung","OK"))))))))))</f>
        <v/>
      </c>
      <c r="T448" s="11" t="n"/>
      <c r="U448" s="11" t="n"/>
      <c r="V448" s="11" t="n"/>
      <c r="W448" s="11" t="n"/>
      <c r="X448" s="11" t="n"/>
      <c r="Y448" s="11" t="n"/>
      <c r="Z448" s="12">
        <f>IF(T448="","",IFERROR(INDEX(DAFTAR_FIXTURE!$B$2:$B$51,MATCH(T448,DAFTAR_FIXTURE!$A$2:$A$51,0)),""))</f>
        <v/>
      </c>
      <c r="AA448" s="12">
        <f>IF(T448="","",IF(Z448="","CEK ID FIXTURE tidak ada di DAFTAR_FIXTURE",IF(U448="","CEK ZONA NO kosong",IF(ISNA(MATCH(Z448&amp;"|"&amp;U448,LAYOUT!$E$2:$E$80,0)),"CEK ZONA NO di luar layout",IF(V448&lt;&gt;INDEX(LAYOUT!$D$2:$D$80,MATCH(Z448&amp;"|"&amp;U448,LAYOUT!$E$2:$E$80,0)),"CEK JENIS ZONA",IF($D448="","Zona STOCK",IF($E448="","CEK SKU DESCRIPTION kosong",IF(AND(W448&lt;&gt;"",X448=""),"CEK URUTAN SAMBUNG kosong",IF(AND(W448&lt;&gt;"",LEFT(Z448,6)="Endcap"),"CEK Endcap tidak ikut sambung","OK")))))))))</f>
        <v/>
      </c>
      <c r="AB448" s="11" t="n"/>
      <c r="AC448" s="11" t="n"/>
      <c r="AD448" s="11" t="n"/>
      <c r="AE448" s="11" t="n"/>
      <c r="AF448" s="11" t="n"/>
      <c r="AG448" s="11" t="n"/>
      <c r="AH448" s="12">
        <f>IF(AB448="","",IFERROR(INDEX(DAFTAR_FIXTURE!$B$2:$B$51,MATCH(AB448,DAFTAR_FIXTURE!$A$2:$A$51,0)),""))</f>
        <v/>
      </c>
      <c r="AI448" s="12">
        <f>IF(AB448="","",IF(AH448="","CEK ID FIXTURE tidak ada di DAFTAR_FIXTURE",IF(AC448="","CEK ZONA NO kosong",IF(ISNA(MATCH(AH448&amp;"|"&amp;AC448,LAYOUT!$E$2:$E$80,0)),"CEK ZONA NO di luar layout",IF(AD448&lt;&gt;INDEX(LAYOUT!$D$2:$D$80,MATCH(AH448&amp;"|"&amp;AC448,LAYOUT!$E$2:$E$80,0)),"CEK JENIS ZONA",IF($D448="","Zona STOCK",IF($E448="","CEK SKU DESCRIPTION kosong",IF(AND(AE448&lt;&gt;"",AF448=""),"CEK URUTAN SAMBUNG kosong",IF(AND(AE448&lt;&gt;"",LEFT(AH448,6)="Endcap"),"CEK Endcap tidak ikut sambung","OK")))))))))</f>
        <v/>
      </c>
    </row>
    <row r="449">
      <c r="A449" s="10" t="n"/>
      <c r="B449" s="10" t="n"/>
      <c r="C449" s="10" t="n"/>
      <c r="D449" s="10" t="n"/>
      <c r="E449" s="10" t="n"/>
      <c r="F449" s="10" t="n"/>
      <c r="G449" s="10" t="n"/>
      <c r="H449" s="10" t="n"/>
      <c r="I449" s="10" t="n"/>
      <c r="J449" s="10" t="n"/>
      <c r="K449" s="10" t="n"/>
      <c r="L449" s="11" t="n"/>
      <c r="M449" s="11" t="n"/>
      <c r="N449" s="11" t="n"/>
      <c r="O449" s="11" t="n"/>
      <c r="P449" s="11" t="n"/>
      <c r="Q449" s="11" t="n"/>
      <c r="R449" s="12">
        <f>IF(L449="","",IFERROR(INDEX(DAFTAR_FIXTURE!$B$2:$B$51,MATCH(L449,DAFTAR_FIXTURE!$A$2:$A$51,0)),""))</f>
        <v/>
      </c>
      <c r="S449" s="12">
        <f>IF(AND($D449="",L449=""),"",IF(L449="",IF(AND(T449="",AB449=""),"Belum ditempatkan",""),IF(R449="","CEK ID FIXTURE tidak ada di DAFTAR_FIXTURE",IF(M449="","CEK ZONA NO kosong",IF(ISNA(MATCH(R449&amp;"|"&amp;M449,LAYOUT!$E$2:$E$80,0)),"CEK ZONA NO di luar layout",IF(N449&lt;&gt;INDEX(LAYOUT!$D$2:$D$80,MATCH(R449&amp;"|"&amp;M449,LAYOUT!$E$2:$E$80,0)),"CEK JENIS ZONA",IF($D449="","Zona STOCK",IF($E449="","CEK SKU DESCRIPTION kosong",IF(AND(O449&lt;&gt;"",P449=""),"CEK URUTAN SAMBUNG kosong",IF(AND(O449&lt;&gt;"",LEFT(R449,6)="Endcap"),"CEK Endcap tidak ikut sambung","OK"))))))))))</f>
        <v/>
      </c>
      <c r="T449" s="11" t="n"/>
      <c r="U449" s="11" t="n"/>
      <c r="V449" s="11" t="n"/>
      <c r="W449" s="11" t="n"/>
      <c r="X449" s="11" t="n"/>
      <c r="Y449" s="11" t="n"/>
      <c r="Z449" s="12">
        <f>IF(T449="","",IFERROR(INDEX(DAFTAR_FIXTURE!$B$2:$B$51,MATCH(T449,DAFTAR_FIXTURE!$A$2:$A$51,0)),""))</f>
        <v/>
      </c>
      <c r="AA449" s="12">
        <f>IF(T449="","",IF(Z449="","CEK ID FIXTURE tidak ada di DAFTAR_FIXTURE",IF(U449="","CEK ZONA NO kosong",IF(ISNA(MATCH(Z449&amp;"|"&amp;U449,LAYOUT!$E$2:$E$80,0)),"CEK ZONA NO di luar layout",IF(V449&lt;&gt;INDEX(LAYOUT!$D$2:$D$80,MATCH(Z449&amp;"|"&amp;U449,LAYOUT!$E$2:$E$80,0)),"CEK JENIS ZONA",IF($D449="","Zona STOCK",IF($E449="","CEK SKU DESCRIPTION kosong",IF(AND(W449&lt;&gt;"",X449=""),"CEK URUTAN SAMBUNG kosong",IF(AND(W449&lt;&gt;"",LEFT(Z449,6)="Endcap"),"CEK Endcap tidak ikut sambung","OK")))))))))</f>
        <v/>
      </c>
      <c r="AB449" s="11" t="n"/>
      <c r="AC449" s="11" t="n"/>
      <c r="AD449" s="11" t="n"/>
      <c r="AE449" s="11" t="n"/>
      <c r="AF449" s="11" t="n"/>
      <c r="AG449" s="11" t="n"/>
      <c r="AH449" s="12">
        <f>IF(AB449="","",IFERROR(INDEX(DAFTAR_FIXTURE!$B$2:$B$51,MATCH(AB449,DAFTAR_FIXTURE!$A$2:$A$51,0)),""))</f>
        <v/>
      </c>
      <c r="AI449" s="12">
        <f>IF(AB449="","",IF(AH449="","CEK ID FIXTURE tidak ada di DAFTAR_FIXTURE",IF(AC449="","CEK ZONA NO kosong",IF(ISNA(MATCH(AH449&amp;"|"&amp;AC449,LAYOUT!$E$2:$E$80,0)),"CEK ZONA NO di luar layout",IF(AD449&lt;&gt;INDEX(LAYOUT!$D$2:$D$80,MATCH(AH449&amp;"|"&amp;AC449,LAYOUT!$E$2:$E$80,0)),"CEK JENIS ZONA",IF($D449="","Zona STOCK",IF($E449="","CEK SKU DESCRIPTION kosong",IF(AND(AE449&lt;&gt;"",AF449=""),"CEK URUTAN SAMBUNG kosong",IF(AND(AE449&lt;&gt;"",LEFT(AH449,6)="Endcap"),"CEK Endcap tidak ikut sambung","OK")))))))))</f>
        <v/>
      </c>
    </row>
    <row r="450">
      <c r="A450" s="10" t="n"/>
      <c r="B450" s="10" t="n"/>
      <c r="C450" s="10" t="n"/>
      <c r="D450" s="10" t="n"/>
      <c r="E450" s="10" t="n"/>
      <c r="F450" s="10" t="n"/>
      <c r="G450" s="10" t="n"/>
      <c r="H450" s="10" t="n"/>
      <c r="I450" s="10" t="n"/>
      <c r="J450" s="10" t="n"/>
      <c r="K450" s="10" t="n"/>
      <c r="L450" s="11" t="n"/>
      <c r="M450" s="11" t="n"/>
      <c r="N450" s="11" t="n"/>
      <c r="O450" s="11" t="n"/>
      <c r="P450" s="11" t="n"/>
      <c r="Q450" s="11" t="n"/>
      <c r="R450" s="12">
        <f>IF(L450="","",IFERROR(INDEX(DAFTAR_FIXTURE!$B$2:$B$51,MATCH(L450,DAFTAR_FIXTURE!$A$2:$A$51,0)),""))</f>
        <v/>
      </c>
      <c r="S450" s="12">
        <f>IF(AND($D450="",L450=""),"",IF(L450="",IF(AND(T450="",AB450=""),"Belum ditempatkan",""),IF(R450="","CEK ID FIXTURE tidak ada di DAFTAR_FIXTURE",IF(M450="","CEK ZONA NO kosong",IF(ISNA(MATCH(R450&amp;"|"&amp;M450,LAYOUT!$E$2:$E$80,0)),"CEK ZONA NO di luar layout",IF(N450&lt;&gt;INDEX(LAYOUT!$D$2:$D$80,MATCH(R450&amp;"|"&amp;M450,LAYOUT!$E$2:$E$80,0)),"CEK JENIS ZONA",IF($D450="","Zona STOCK",IF($E450="","CEK SKU DESCRIPTION kosong",IF(AND(O450&lt;&gt;"",P450=""),"CEK URUTAN SAMBUNG kosong",IF(AND(O450&lt;&gt;"",LEFT(R450,6)="Endcap"),"CEK Endcap tidak ikut sambung","OK"))))))))))</f>
        <v/>
      </c>
      <c r="T450" s="11" t="n"/>
      <c r="U450" s="11" t="n"/>
      <c r="V450" s="11" t="n"/>
      <c r="W450" s="11" t="n"/>
      <c r="X450" s="11" t="n"/>
      <c r="Y450" s="11" t="n"/>
      <c r="Z450" s="12">
        <f>IF(T450="","",IFERROR(INDEX(DAFTAR_FIXTURE!$B$2:$B$51,MATCH(T450,DAFTAR_FIXTURE!$A$2:$A$51,0)),""))</f>
        <v/>
      </c>
      <c r="AA450" s="12">
        <f>IF(T450="","",IF(Z450="","CEK ID FIXTURE tidak ada di DAFTAR_FIXTURE",IF(U450="","CEK ZONA NO kosong",IF(ISNA(MATCH(Z450&amp;"|"&amp;U450,LAYOUT!$E$2:$E$80,0)),"CEK ZONA NO di luar layout",IF(V450&lt;&gt;INDEX(LAYOUT!$D$2:$D$80,MATCH(Z450&amp;"|"&amp;U450,LAYOUT!$E$2:$E$80,0)),"CEK JENIS ZONA",IF($D450="","Zona STOCK",IF($E450="","CEK SKU DESCRIPTION kosong",IF(AND(W450&lt;&gt;"",X450=""),"CEK URUTAN SAMBUNG kosong",IF(AND(W450&lt;&gt;"",LEFT(Z450,6)="Endcap"),"CEK Endcap tidak ikut sambung","OK")))))))))</f>
        <v/>
      </c>
      <c r="AB450" s="11" t="n"/>
      <c r="AC450" s="11" t="n"/>
      <c r="AD450" s="11" t="n"/>
      <c r="AE450" s="11" t="n"/>
      <c r="AF450" s="11" t="n"/>
      <c r="AG450" s="11" t="n"/>
      <c r="AH450" s="12">
        <f>IF(AB450="","",IFERROR(INDEX(DAFTAR_FIXTURE!$B$2:$B$51,MATCH(AB450,DAFTAR_FIXTURE!$A$2:$A$51,0)),""))</f>
        <v/>
      </c>
      <c r="AI450" s="12">
        <f>IF(AB450="","",IF(AH450="","CEK ID FIXTURE tidak ada di DAFTAR_FIXTURE",IF(AC450="","CEK ZONA NO kosong",IF(ISNA(MATCH(AH450&amp;"|"&amp;AC450,LAYOUT!$E$2:$E$80,0)),"CEK ZONA NO di luar layout",IF(AD450&lt;&gt;INDEX(LAYOUT!$D$2:$D$80,MATCH(AH450&amp;"|"&amp;AC450,LAYOUT!$E$2:$E$80,0)),"CEK JENIS ZONA",IF($D450="","Zona STOCK",IF($E450="","CEK SKU DESCRIPTION kosong",IF(AND(AE450&lt;&gt;"",AF450=""),"CEK URUTAN SAMBUNG kosong",IF(AND(AE450&lt;&gt;"",LEFT(AH450,6)="Endcap"),"CEK Endcap tidak ikut sambung","OK")))))))))</f>
        <v/>
      </c>
    </row>
    <row r="451">
      <c r="A451" s="10" t="n"/>
      <c r="B451" s="10" t="n"/>
      <c r="C451" s="10" t="n"/>
      <c r="D451" s="10" t="n"/>
      <c r="E451" s="10" t="n"/>
      <c r="F451" s="10" t="n"/>
      <c r="G451" s="10" t="n"/>
      <c r="H451" s="10" t="n"/>
      <c r="I451" s="10" t="n"/>
      <c r="J451" s="10" t="n"/>
      <c r="K451" s="10" t="n"/>
      <c r="L451" s="11" t="n"/>
      <c r="M451" s="11" t="n"/>
      <c r="N451" s="11" t="n"/>
      <c r="O451" s="11" t="n"/>
      <c r="P451" s="11" t="n"/>
      <c r="Q451" s="11" t="n"/>
      <c r="R451" s="12">
        <f>IF(L451="","",IFERROR(INDEX(DAFTAR_FIXTURE!$B$2:$B$51,MATCH(L451,DAFTAR_FIXTURE!$A$2:$A$51,0)),""))</f>
        <v/>
      </c>
      <c r="S451" s="12">
        <f>IF(AND($D451="",L451=""),"",IF(L451="",IF(AND(T451="",AB451=""),"Belum ditempatkan",""),IF(R451="","CEK ID FIXTURE tidak ada di DAFTAR_FIXTURE",IF(M451="","CEK ZONA NO kosong",IF(ISNA(MATCH(R451&amp;"|"&amp;M451,LAYOUT!$E$2:$E$80,0)),"CEK ZONA NO di luar layout",IF(N451&lt;&gt;INDEX(LAYOUT!$D$2:$D$80,MATCH(R451&amp;"|"&amp;M451,LAYOUT!$E$2:$E$80,0)),"CEK JENIS ZONA",IF($D451="","Zona STOCK",IF($E451="","CEK SKU DESCRIPTION kosong",IF(AND(O451&lt;&gt;"",P451=""),"CEK URUTAN SAMBUNG kosong",IF(AND(O451&lt;&gt;"",LEFT(R451,6)="Endcap"),"CEK Endcap tidak ikut sambung","OK"))))))))))</f>
        <v/>
      </c>
      <c r="T451" s="11" t="n"/>
      <c r="U451" s="11" t="n"/>
      <c r="V451" s="11" t="n"/>
      <c r="W451" s="11" t="n"/>
      <c r="X451" s="11" t="n"/>
      <c r="Y451" s="11" t="n"/>
      <c r="Z451" s="12">
        <f>IF(T451="","",IFERROR(INDEX(DAFTAR_FIXTURE!$B$2:$B$51,MATCH(T451,DAFTAR_FIXTURE!$A$2:$A$51,0)),""))</f>
        <v/>
      </c>
      <c r="AA451" s="12">
        <f>IF(T451="","",IF(Z451="","CEK ID FIXTURE tidak ada di DAFTAR_FIXTURE",IF(U451="","CEK ZONA NO kosong",IF(ISNA(MATCH(Z451&amp;"|"&amp;U451,LAYOUT!$E$2:$E$80,0)),"CEK ZONA NO di luar layout",IF(V451&lt;&gt;INDEX(LAYOUT!$D$2:$D$80,MATCH(Z451&amp;"|"&amp;U451,LAYOUT!$E$2:$E$80,0)),"CEK JENIS ZONA",IF($D451="","Zona STOCK",IF($E451="","CEK SKU DESCRIPTION kosong",IF(AND(W451&lt;&gt;"",X451=""),"CEK URUTAN SAMBUNG kosong",IF(AND(W451&lt;&gt;"",LEFT(Z451,6)="Endcap"),"CEK Endcap tidak ikut sambung","OK")))))))))</f>
        <v/>
      </c>
      <c r="AB451" s="11" t="n"/>
      <c r="AC451" s="11" t="n"/>
      <c r="AD451" s="11" t="n"/>
      <c r="AE451" s="11" t="n"/>
      <c r="AF451" s="11" t="n"/>
      <c r="AG451" s="11" t="n"/>
      <c r="AH451" s="12">
        <f>IF(AB451="","",IFERROR(INDEX(DAFTAR_FIXTURE!$B$2:$B$51,MATCH(AB451,DAFTAR_FIXTURE!$A$2:$A$51,0)),""))</f>
        <v/>
      </c>
      <c r="AI451" s="12">
        <f>IF(AB451="","",IF(AH451="","CEK ID FIXTURE tidak ada di DAFTAR_FIXTURE",IF(AC451="","CEK ZONA NO kosong",IF(ISNA(MATCH(AH451&amp;"|"&amp;AC451,LAYOUT!$E$2:$E$80,0)),"CEK ZONA NO di luar layout",IF(AD451&lt;&gt;INDEX(LAYOUT!$D$2:$D$80,MATCH(AH451&amp;"|"&amp;AC451,LAYOUT!$E$2:$E$80,0)),"CEK JENIS ZONA",IF($D451="","Zona STOCK",IF($E451="","CEK SKU DESCRIPTION kosong",IF(AND(AE451&lt;&gt;"",AF451=""),"CEK URUTAN SAMBUNG kosong",IF(AND(AE451&lt;&gt;"",LEFT(AH451,6)="Endcap"),"CEK Endcap tidak ikut sambung","OK")))))))))</f>
        <v/>
      </c>
    </row>
    <row r="452">
      <c r="A452" s="10" t="n"/>
      <c r="B452" s="10" t="n"/>
      <c r="C452" s="10" t="n"/>
      <c r="D452" s="10" t="n"/>
      <c r="E452" s="10" t="n"/>
      <c r="F452" s="10" t="n"/>
      <c r="G452" s="10" t="n"/>
      <c r="H452" s="10" t="n"/>
      <c r="I452" s="10" t="n"/>
      <c r="J452" s="10" t="n"/>
      <c r="K452" s="10" t="n"/>
      <c r="L452" s="11" t="n"/>
      <c r="M452" s="11" t="n"/>
      <c r="N452" s="11" t="n"/>
      <c r="O452" s="11" t="n"/>
      <c r="P452" s="11" t="n"/>
      <c r="Q452" s="11" t="n"/>
      <c r="R452" s="12">
        <f>IF(L452="","",IFERROR(INDEX(DAFTAR_FIXTURE!$B$2:$B$51,MATCH(L452,DAFTAR_FIXTURE!$A$2:$A$51,0)),""))</f>
        <v/>
      </c>
      <c r="S452" s="12">
        <f>IF(AND($D452="",L452=""),"",IF(L452="",IF(AND(T452="",AB452=""),"Belum ditempatkan",""),IF(R452="","CEK ID FIXTURE tidak ada di DAFTAR_FIXTURE",IF(M452="","CEK ZONA NO kosong",IF(ISNA(MATCH(R452&amp;"|"&amp;M452,LAYOUT!$E$2:$E$80,0)),"CEK ZONA NO di luar layout",IF(N452&lt;&gt;INDEX(LAYOUT!$D$2:$D$80,MATCH(R452&amp;"|"&amp;M452,LAYOUT!$E$2:$E$80,0)),"CEK JENIS ZONA",IF($D452="","Zona STOCK",IF($E452="","CEK SKU DESCRIPTION kosong",IF(AND(O452&lt;&gt;"",P452=""),"CEK URUTAN SAMBUNG kosong",IF(AND(O452&lt;&gt;"",LEFT(R452,6)="Endcap"),"CEK Endcap tidak ikut sambung","OK"))))))))))</f>
        <v/>
      </c>
      <c r="T452" s="11" t="n"/>
      <c r="U452" s="11" t="n"/>
      <c r="V452" s="11" t="n"/>
      <c r="W452" s="11" t="n"/>
      <c r="X452" s="11" t="n"/>
      <c r="Y452" s="11" t="n"/>
      <c r="Z452" s="12">
        <f>IF(T452="","",IFERROR(INDEX(DAFTAR_FIXTURE!$B$2:$B$51,MATCH(T452,DAFTAR_FIXTURE!$A$2:$A$51,0)),""))</f>
        <v/>
      </c>
      <c r="AA452" s="12">
        <f>IF(T452="","",IF(Z452="","CEK ID FIXTURE tidak ada di DAFTAR_FIXTURE",IF(U452="","CEK ZONA NO kosong",IF(ISNA(MATCH(Z452&amp;"|"&amp;U452,LAYOUT!$E$2:$E$80,0)),"CEK ZONA NO di luar layout",IF(V452&lt;&gt;INDEX(LAYOUT!$D$2:$D$80,MATCH(Z452&amp;"|"&amp;U452,LAYOUT!$E$2:$E$80,0)),"CEK JENIS ZONA",IF($D452="","Zona STOCK",IF($E452="","CEK SKU DESCRIPTION kosong",IF(AND(W452&lt;&gt;"",X452=""),"CEK URUTAN SAMBUNG kosong",IF(AND(W452&lt;&gt;"",LEFT(Z452,6)="Endcap"),"CEK Endcap tidak ikut sambung","OK")))))))))</f>
        <v/>
      </c>
      <c r="AB452" s="11" t="n"/>
      <c r="AC452" s="11" t="n"/>
      <c r="AD452" s="11" t="n"/>
      <c r="AE452" s="11" t="n"/>
      <c r="AF452" s="11" t="n"/>
      <c r="AG452" s="11" t="n"/>
      <c r="AH452" s="12">
        <f>IF(AB452="","",IFERROR(INDEX(DAFTAR_FIXTURE!$B$2:$B$51,MATCH(AB452,DAFTAR_FIXTURE!$A$2:$A$51,0)),""))</f>
        <v/>
      </c>
      <c r="AI452" s="12">
        <f>IF(AB452="","",IF(AH452="","CEK ID FIXTURE tidak ada di DAFTAR_FIXTURE",IF(AC452="","CEK ZONA NO kosong",IF(ISNA(MATCH(AH452&amp;"|"&amp;AC452,LAYOUT!$E$2:$E$80,0)),"CEK ZONA NO di luar layout",IF(AD452&lt;&gt;INDEX(LAYOUT!$D$2:$D$80,MATCH(AH452&amp;"|"&amp;AC452,LAYOUT!$E$2:$E$80,0)),"CEK JENIS ZONA",IF($D452="","Zona STOCK",IF($E452="","CEK SKU DESCRIPTION kosong",IF(AND(AE452&lt;&gt;"",AF452=""),"CEK URUTAN SAMBUNG kosong",IF(AND(AE452&lt;&gt;"",LEFT(AH452,6)="Endcap"),"CEK Endcap tidak ikut sambung","OK")))))))))</f>
        <v/>
      </c>
    </row>
    <row r="453">
      <c r="A453" s="10" t="n"/>
      <c r="B453" s="10" t="n"/>
      <c r="C453" s="10" t="n"/>
      <c r="D453" s="10" t="n"/>
      <c r="E453" s="10" t="n"/>
      <c r="F453" s="10" t="n"/>
      <c r="G453" s="10" t="n"/>
      <c r="H453" s="10" t="n"/>
      <c r="I453" s="10" t="n"/>
      <c r="J453" s="10" t="n"/>
      <c r="K453" s="10" t="n"/>
      <c r="L453" s="11" t="n"/>
      <c r="M453" s="11" t="n"/>
      <c r="N453" s="11" t="n"/>
      <c r="O453" s="11" t="n"/>
      <c r="P453" s="11" t="n"/>
      <c r="Q453" s="11" t="n"/>
      <c r="R453" s="12">
        <f>IF(L453="","",IFERROR(INDEX(DAFTAR_FIXTURE!$B$2:$B$51,MATCH(L453,DAFTAR_FIXTURE!$A$2:$A$51,0)),""))</f>
        <v/>
      </c>
      <c r="S453" s="12">
        <f>IF(AND($D453="",L453=""),"",IF(L453="",IF(AND(T453="",AB453=""),"Belum ditempatkan",""),IF(R453="","CEK ID FIXTURE tidak ada di DAFTAR_FIXTURE",IF(M453="","CEK ZONA NO kosong",IF(ISNA(MATCH(R453&amp;"|"&amp;M453,LAYOUT!$E$2:$E$80,0)),"CEK ZONA NO di luar layout",IF(N453&lt;&gt;INDEX(LAYOUT!$D$2:$D$80,MATCH(R453&amp;"|"&amp;M453,LAYOUT!$E$2:$E$80,0)),"CEK JENIS ZONA",IF($D453="","Zona STOCK",IF($E453="","CEK SKU DESCRIPTION kosong",IF(AND(O453&lt;&gt;"",P453=""),"CEK URUTAN SAMBUNG kosong",IF(AND(O453&lt;&gt;"",LEFT(R453,6)="Endcap"),"CEK Endcap tidak ikut sambung","OK"))))))))))</f>
        <v/>
      </c>
      <c r="T453" s="11" t="n"/>
      <c r="U453" s="11" t="n"/>
      <c r="V453" s="11" t="n"/>
      <c r="W453" s="11" t="n"/>
      <c r="X453" s="11" t="n"/>
      <c r="Y453" s="11" t="n"/>
      <c r="Z453" s="12">
        <f>IF(T453="","",IFERROR(INDEX(DAFTAR_FIXTURE!$B$2:$B$51,MATCH(T453,DAFTAR_FIXTURE!$A$2:$A$51,0)),""))</f>
        <v/>
      </c>
      <c r="AA453" s="12">
        <f>IF(T453="","",IF(Z453="","CEK ID FIXTURE tidak ada di DAFTAR_FIXTURE",IF(U453="","CEK ZONA NO kosong",IF(ISNA(MATCH(Z453&amp;"|"&amp;U453,LAYOUT!$E$2:$E$80,0)),"CEK ZONA NO di luar layout",IF(V453&lt;&gt;INDEX(LAYOUT!$D$2:$D$80,MATCH(Z453&amp;"|"&amp;U453,LAYOUT!$E$2:$E$80,0)),"CEK JENIS ZONA",IF($D453="","Zona STOCK",IF($E453="","CEK SKU DESCRIPTION kosong",IF(AND(W453&lt;&gt;"",X453=""),"CEK URUTAN SAMBUNG kosong",IF(AND(W453&lt;&gt;"",LEFT(Z453,6)="Endcap"),"CEK Endcap tidak ikut sambung","OK")))))))))</f>
        <v/>
      </c>
      <c r="AB453" s="11" t="n"/>
      <c r="AC453" s="11" t="n"/>
      <c r="AD453" s="11" t="n"/>
      <c r="AE453" s="11" t="n"/>
      <c r="AF453" s="11" t="n"/>
      <c r="AG453" s="11" t="n"/>
      <c r="AH453" s="12">
        <f>IF(AB453="","",IFERROR(INDEX(DAFTAR_FIXTURE!$B$2:$B$51,MATCH(AB453,DAFTAR_FIXTURE!$A$2:$A$51,0)),""))</f>
        <v/>
      </c>
      <c r="AI453" s="12">
        <f>IF(AB453="","",IF(AH453="","CEK ID FIXTURE tidak ada di DAFTAR_FIXTURE",IF(AC453="","CEK ZONA NO kosong",IF(ISNA(MATCH(AH453&amp;"|"&amp;AC453,LAYOUT!$E$2:$E$80,0)),"CEK ZONA NO di luar layout",IF(AD453&lt;&gt;INDEX(LAYOUT!$D$2:$D$80,MATCH(AH453&amp;"|"&amp;AC453,LAYOUT!$E$2:$E$80,0)),"CEK JENIS ZONA",IF($D453="","Zona STOCK",IF($E453="","CEK SKU DESCRIPTION kosong",IF(AND(AE453&lt;&gt;"",AF453=""),"CEK URUTAN SAMBUNG kosong",IF(AND(AE453&lt;&gt;"",LEFT(AH453,6)="Endcap"),"CEK Endcap tidak ikut sambung","OK")))))))))</f>
        <v/>
      </c>
    </row>
    <row r="454">
      <c r="A454" s="10" t="n"/>
      <c r="B454" s="10" t="n"/>
      <c r="C454" s="10" t="n"/>
      <c r="D454" s="10" t="n"/>
      <c r="E454" s="10" t="n"/>
      <c r="F454" s="10" t="n"/>
      <c r="G454" s="10" t="n"/>
      <c r="H454" s="10" t="n"/>
      <c r="I454" s="10" t="n"/>
      <c r="J454" s="10" t="n"/>
      <c r="K454" s="10" t="n"/>
      <c r="L454" s="11" t="n"/>
      <c r="M454" s="11" t="n"/>
      <c r="N454" s="11" t="n"/>
      <c r="O454" s="11" t="n"/>
      <c r="P454" s="11" t="n"/>
      <c r="Q454" s="11" t="n"/>
      <c r="R454" s="12">
        <f>IF(L454="","",IFERROR(INDEX(DAFTAR_FIXTURE!$B$2:$B$51,MATCH(L454,DAFTAR_FIXTURE!$A$2:$A$51,0)),""))</f>
        <v/>
      </c>
      <c r="S454" s="12">
        <f>IF(AND($D454="",L454=""),"",IF(L454="",IF(AND(T454="",AB454=""),"Belum ditempatkan",""),IF(R454="","CEK ID FIXTURE tidak ada di DAFTAR_FIXTURE",IF(M454="","CEK ZONA NO kosong",IF(ISNA(MATCH(R454&amp;"|"&amp;M454,LAYOUT!$E$2:$E$80,0)),"CEK ZONA NO di luar layout",IF(N454&lt;&gt;INDEX(LAYOUT!$D$2:$D$80,MATCH(R454&amp;"|"&amp;M454,LAYOUT!$E$2:$E$80,0)),"CEK JENIS ZONA",IF($D454="","Zona STOCK",IF($E454="","CEK SKU DESCRIPTION kosong",IF(AND(O454&lt;&gt;"",P454=""),"CEK URUTAN SAMBUNG kosong",IF(AND(O454&lt;&gt;"",LEFT(R454,6)="Endcap"),"CEK Endcap tidak ikut sambung","OK"))))))))))</f>
        <v/>
      </c>
      <c r="T454" s="11" t="n"/>
      <c r="U454" s="11" t="n"/>
      <c r="V454" s="11" t="n"/>
      <c r="W454" s="11" t="n"/>
      <c r="X454" s="11" t="n"/>
      <c r="Y454" s="11" t="n"/>
      <c r="Z454" s="12">
        <f>IF(T454="","",IFERROR(INDEX(DAFTAR_FIXTURE!$B$2:$B$51,MATCH(T454,DAFTAR_FIXTURE!$A$2:$A$51,0)),""))</f>
        <v/>
      </c>
      <c r="AA454" s="12">
        <f>IF(T454="","",IF(Z454="","CEK ID FIXTURE tidak ada di DAFTAR_FIXTURE",IF(U454="","CEK ZONA NO kosong",IF(ISNA(MATCH(Z454&amp;"|"&amp;U454,LAYOUT!$E$2:$E$80,0)),"CEK ZONA NO di luar layout",IF(V454&lt;&gt;INDEX(LAYOUT!$D$2:$D$80,MATCH(Z454&amp;"|"&amp;U454,LAYOUT!$E$2:$E$80,0)),"CEK JENIS ZONA",IF($D454="","Zona STOCK",IF($E454="","CEK SKU DESCRIPTION kosong",IF(AND(W454&lt;&gt;"",X454=""),"CEK URUTAN SAMBUNG kosong",IF(AND(W454&lt;&gt;"",LEFT(Z454,6)="Endcap"),"CEK Endcap tidak ikut sambung","OK")))))))))</f>
        <v/>
      </c>
      <c r="AB454" s="11" t="n"/>
      <c r="AC454" s="11" t="n"/>
      <c r="AD454" s="11" t="n"/>
      <c r="AE454" s="11" t="n"/>
      <c r="AF454" s="11" t="n"/>
      <c r="AG454" s="11" t="n"/>
      <c r="AH454" s="12">
        <f>IF(AB454="","",IFERROR(INDEX(DAFTAR_FIXTURE!$B$2:$B$51,MATCH(AB454,DAFTAR_FIXTURE!$A$2:$A$51,0)),""))</f>
        <v/>
      </c>
      <c r="AI454" s="12">
        <f>IF(AB454="","",IF(AH454="","CEK ID FIXTURE tidak ada di DAFTAR_FIXTURE",IF(AC454="","CEK ZONA NO kosong",IF(ISNA(MATCH(AH454&amp;"|"&amp;AC454,LAYOUT!$E$2:$E$80,0)),"CEK ZONA NO di luar layout",IF(AD454&lt;&gt;INDEX(LAYOUT!$D$2:$D$80,MATCH(AH454&amp;"|"&amp;AC454,LAYOUT!$E$2:$E$80,0)),"CEK JENIS ZONA",IF($D454="","Zona STOCK",IF($E454="","CEK SKU DESCRIPTION kosong",IF(AND(AE454&lt;&gt;"",AF454=""),"CEK URUTAN SAMBUNG kosong",IF(AND(AE454&lt;&gt;"",LEFT(AH454,6)="Endcap"),"CEK Endcap tidak ikut sambung","OK")))))))))</f>
        <v/>
      </c>
    </row>
    <row r="455">
      <c r="A455" s="10" t="n"/>
      <c r="B455" s="10" t="n"/>
      <c r="C455" s="10" t="n"/>
      <c r="D455" s="10" t="n"/>
      <c r="E455" s="10" t="n"/>
      <c r="F455" s="10" t="n"/>
      <c r="G455" s="10" t="n"/>
      <c r="H455" s="10" t="n"/>
      <c r="I455" s="10" t="n"/>
      <c r="J455" s="10" t="n"/>
      <c r="K455" s="10" t="n"/>
      <c r="L455" s="11" t="n"/>
      <c r="M455" s="11" t="n"/>
      <c r="N455" s="11" t="n"/>
      <c r="O455" s="11" t="n"/>
      <c r="P455" s="11" t="n"/>
      <c r="Q455" s="11" t="n"/>
      <c r="R455" s="12">
        <f>IF(L455="","",IFERROR(INDEX(DAFTAR_FIXTURE!$B$2:$B$51,MATCH(L455,DAFTAR_FIXTURE!$A$2:$A$51,0)),""))</f>
        <v/>
      </c>
      <c r="S455" s="12">
        <f>IF(AND($D455="",L455=""),"",IF(L455="",IF(AND(T455="",AB455=""),"Belum ditempatkan",""),IF(R455="","CEK ID FIXTURE tidak ada di DAFTAR_FIXTURE",IF(M455="","CEK ZONA NO kosong",IF(ISNA(MATCH(R455&amp;"|"&amp;M455,LAYOUT!$E$2:$E$80,0)),"CEK ZONA NO di luar layout",IF(N455&lt;&gt;INDEX(LAYOUT!$D$2:$D$80,MATCH(R455&amp;"|"&amp;M455,LAYOUT!$E$2:$E$80,0)),"CEK JENIS ZONA",IF($D455="","Zona STOCK",IF($E455="","CEK SKU DESCRIPTION kosong",IF(AND(O455&lt;&gt;"",P455=""),"CEK URUTAN SAMBUNG kosong",IF(AND(O455&lt;&gt;"",LEFT(R455,6)="Endcap"),"CEK Endcap tidak ikut sambung","OK"))))))))))</f>
        <v/>
      </c>
      <c r="T455" s="11" t="n"/>
      <c r="U455" s="11" t="n"/>
      <c r="V455" s="11" t="n"/>
      <c r="W455" s="11" t="n"/>
      <c r="X455" s="11" t="n"/>
      <c r="Y455" s="11" t="n"/>
      <c r="Z455" s="12">
        <f>IF(T455="","",IFERROR(INDEX(DAFTAR_FIXTURE!$B$2:$B$51,MATCH(T455,DAFTAR_FIXTURE!$A$2:$A$51,0)),""))</f>
        <v/>
      </c>
      <c r="AA455" s="12">
        <f>IF(T455="","",IF(Z455="","CEK ID FIXTURE tidak ada di DAFTAR_FIXTURE",IF(U455="","CEK ZONA NO kosong",IF(ISNA(MATCH(Z455&amp;"|"&amp;U455,LAYOUT!$E$2:$E$80,0)),"CEK ZONA NO di luar layout",IF(V455&lt;&gt;INDEX(LAYOUT!$D$2:$D$80,MATCH(Z455&amp;"|"&amp;U455,LAYOUT!$E$2:$E$80,0)),"CEK JENIS ZONA",IF($D455="","Zona STOCK",IF($E455="","CEK SKU DESCRIPTION kosong",IF(AND(W455&lt;&gt;"",X455=""),"CEK URUTAN SAMBUNG kosong",IF(AND(W455&lt;&gt;"",LEFT(Z455,6)="Endcap"),"CEK Endcap tidak ikut sambung","OK")))))))))</f>
        <v/>
      </c>
      <c r="AB455" s="11" t="n"/>
      <c r="AC455" s="11" t="n"/>
      <c r="AD455" s="11" t="n"/>
      <c r="AE455" s="11" t="n"/>
      <c r="AF455" s="11" t="n"/>
      <c r="AG455" s="11" t="n"/>
      <c r="AH455" s="12">
        <f>IF(AB455="","",IFERROR(INDEX(DAFTAR_FIXTURE!$B$2:$B$51,MATCH(AB455,DAFTAR_FIXTURE!$A$2:$A$51,0)),""))</f>
        <v/>
      </c>
      <c r="AI455" s="12">
        <f>IF(AB455="","",IF(AH455="","CEK ID FIXTURE tidak ada di DAFTAR_FIXTURE",IF(AC455="","CEK ZONA NO kosong",IF(ISNA(MATCH(AH455&amp;"|"&amp;AC455,LAYOUT!$E$2:$E$80,0)),"CEK ZONA NO di luar layout",IF(AD455&lt;&gt;INDEX(LAYOUT!$D$2:$D$80,MATCH(AH455&amp;"|"&amp;AC455,LAYOUT!$E$2:$E$80,0)),"CEK JENIS ZONA",IF($D455="","Zona STOCK",IF($E455="","CEK SKU DESCRIPTION kosong",IF(AND(AE455&lt;&gt;"",AF455=""),"CEK URUTAN SAMBUNG kosong",IF(AND(AE455&lt;&gt;"",LEFT(AH455,6)="Endcap"),"CEK Endcap tidak ikut sambung","OK")))))))))</f>
        <v/>
      </c>
    </row>
    <row r="456">
      <c r="A456" s="10" t="n"/>
      <c r="B456" s="10" t="n"/>
      <c r="C456" s="10" t="n"/>
      <c r="D456" s="10" t="n"/>
      <c r="E456" s="10" t="n"/>
      <c r="F456" s="10" t="n"/>
      <c r="G456" s="10" t="n"/>
      <c r="H456" s="10" t="n"/>
      <c r="I456" s="10" t="n"/>
      <c r="J456" s="10" t="n"/>
      <c r="K456" s="10" t="n"/>
      <c r="L456" s="11" t="n"/>
      <c r="M456" s="11" t="n"/>
      <c r="N456" s="11" t="n"/>
      <c r="O456" s="11" t="n"/>
      <c r="P456" s="11" t="n"/>
      <c r="Q456" s="11" t="n"/>
      <c r="R456" s="12">
        <f>IF(L456="","",IFERROR(INDEX(DAFTAR_FIXTURE!$B$2:$B$51,MATCH(L456,DAFTAR_FIXTURE!$A$2:$A$51,0)),""))</f>
        <v/>
      </c>
      <c r="S456" s="12">
        <f>IF(AND($D456="",L456=""),"",IF(L456="",IF(AND(T456="",AB456=""),"Belum ditempatkan",""),IF(R456="","CEK ID FIXTURE tidak ada di DAFTAR_FIXTURE",IF(M456="","CEK ZONA NO kosong",IF(ISNA(MATCH(R456&amp;"|"&amp;M456,LAYOUT!$E$2:$E$80,0)),"CEK ZONA NO di luar layout",IF(N456&lt;&gt;INDEX(LAYOUT!$D$2:$D$80,MATCH(R456&amp;"|"&amp;M456,LAYOUT!$E$2:$E$80,0)),"CEK JENIS ZONA",IF($D456="","Zona STOCK",IF($E456="","CEK SKU DESCRIPTION kosong",IF(AND(O456&lt;&gt;"",P456=""),"CEK URUTAN SAMBUNG kosong",IF(AND(O456&lt;&gt;"",LEFT(R456,6)="Endcap"),"CEK Endcap tidak ikut sambung","OK"))))))))))</f>
        <v/>
      </c>
      <c r="T456" s="11" t="n"/>
      <c r="U456" s="11" t="n"/>
      <c r="V456" s="11" t="n"/>
      <c r="W456" s="11" t="n"/>
      <c r="X456" s="11" t="n"/>
      <c r="Y456" s="11" t="n"/>
      <c r="Z456" s="12">
        <f>IF(T456="","",IFERROR(INDEX(DAFTAR_FIXTURE!$B$2:$B$51,MATCH(T456,DAFTAR_FIXTURE!$A$2:$A$51,0)),""))</f>
        <v/>
      </c>
      <c r="AA456" s="12">
        <f>IF(T456="","",IF(Z456="","CEK ID FIXTURE tidak ada di DAFTAR_FIXTURE",IF(U456="","CEK ZONA NO kosong",IF(ISNA(MATCH(Z456&amp;"|"&amp;U456,LAYOUT!$E$2:$E$80,0)),"CEK ZONA NO di luar layout",IF(V456&lt;&gt;INDEX(LAYOUT!$D$2:$D$80,MATCH(Z456&amp;"|"&amp;U456,LAYOUT!$E$2:$E$80,0)),"CEK JENIS ZONA",IF($D456="","Zona STOCK",IF($E456="","CEK SKU DESCRIPTION kosong",IF(AND(W456&lt;&gt;"",X456=""),"CEK URUTAN SAMBUNG kosong",IF(AND(W456&lt;&gt;"",LEFT(Z456,6)="Endcap"),"CEK Endcap tidak ikut sambung","OK")))))))))</f>
        <v/>
      </c>
      <c r="AB456" s="11" t="n"/>
      <c r="AC456" s="11" t="n"/>
      <c r="AD456" s="11" t="n"/>
      <c r="AE456" s="11" t="n"/>
      <c r="AF456" s="11" t="n"/>
      <c r="AG456" s="11" t="n"/>
      <c r="AH456" s="12">
        <f>IF(AB456="","",IFERROR(INDEX(DAFTAR_FIXTURE!$B$2:$B$51,MATCH(AB456,DAFTAR_FIXTURE!$A$2:$A$51,0)),""))</f>
        <v/>
      </c>
      <c r="AI456" s="12">
        <f>IF(AB456="","",IF(AH456="","CEK ID FIXTURE tidak ada di DAFTAR_FIXTURE",IF(AC456="","CEK ZONA NO kosong",IF(ISNA(MATCH(AH456&amp;"|"&amp;AC456,LAYOUT!$E$2:$E$80,0)),"CEK ZONA NO di luar layout",IF(AD456&lt;&gt;INDEX(LAYOUT!$D$2:$D$80,MATCH(AH456&amp;"|"&amp;AC456,LAYOUT!$E$2:$E$80,0)),"CEK JENIS ZONA",IF($D456="","Zona STOCK",IF($E456="","CEK SKU DESCRIPTION kosong",IF(AND(AE456&lt;&gt;"",AF456=""),"CEK URUTAN SAMBUNG kosong",IF(AND(AE456&lt;&gt;"",LEFT(AH456,6)="Endcap"),"CEK Endcap tidak ikut sambung","OK")))))))))</f>
        <v/>
      </c>
    </row>
    <row r="457">
      <c r="A457" s="10" t="n"/>
      <c r="B457" s="10" t="n"/>
      <c r="C457" s="10" t="n"/>
      <c r="D457" s="10" t="n"/>
      <c r="E457" s="10" t="n"/>
      <c r="F457" s="10" t="n"/>
      <c r="G457" s="10" t="n"/>
      <c r="H457" s="10" t="n"/>
      <c r="I457" s="10" t="n"/>
      <c r="J457" s="10" t="n"/>
      <c r="K457" s="10" t="n"/>
      <c r="L457" s="11" t="n"/>
      <c r="M457" s="11" t="n"/>
      <c r="N457" s="11" t="n"/>
      <c r="O457" s="11" t="n"/>
      <c r="P457" s="11" t="n"/>
      <c r="Q457" s="11" t="n"/>
      <c r="R457" s="12">
        <f>IF(L457="","",IFERROR(INDEX(DAFTAR_FIXTURE!$B$2:$B$51,MATCH(L457,DAFTAR_FIXTURE!$A$2:$A$51,0)),""))</f>
        <v/>
      </c>
      <c r="S457" s="12">
        <f>IF(AND($D457="",L457=""),"",IF(L457="",IF(AND(T457="",AB457=""),"Belum ditempatkan",""),IF(R457="","CEK ID FIXTURE tidak ada di DAFTAR_FIXTURE",IF(M457="","CEK ZONA NO kosong",IF(ISNA(MATCH(R457&amp;"|"&amp;M457,LAYOUT!$E$2:$E$80,0)),"CEK ZONA NO di luar layout",IF(N457&lt;&gt;INDEX(LAYOUT!$D$2:$D$80,MATCH(R457&amp;"|"&amp;M457,LAYOUT!$E$2:$E$80,0)),"CEK JENIS ZONA",IF($D457="","Zona STOCK",IF($E457="","CEK SKU DESCRIPTION kosong",IF(AND(O457&lt;&gt;"",P457=""),"CEK URUTAN SAMBUNG kosong",IF(AND(O457&lt;&gt;"",LEFT(R457,6)="Endcap"),"CEK Endcap tidak ikut sambung","OK"))))))))))</f>
        <v/>
      </c>
      <c r="T457" s="11" t="n"/>
      <c r="U457" s="11" t="n"/>
      <c r="V457" s="11" t="n"/>
      <c r="W457" s="11" t="n"/>
      <c r="X457" s="11" t="n"/>
      <c r="Y457" s="11" t="n"/>
      <c r="Z457" s="12">
        <f>IF(T457="","",IFERROR(INDEX(DAFTAR_FIXTURE!$B$2:$B$51,MATCH(T457,DAFTAR_FIXTURE!$A$2:$A$51,0)),""))</f>
        <v/>
      </c>
      <c r="AA457" s="12">
        <f>IF(T457="","",IF(Z457="","CEK ID FIXTURE tidak ada di DAFTAR_FIXTURE",IF(U457="","CEK ZONA NO kosong",IF(ISNA(MATCH(Z457&amp;"|"&amp;U457,LAYOUT!$E$2:$E$80,0)),"CEK ZONA NO di luar layout",IF(V457&lt;&gt;INDEX(LAYOUT!$D$2:$D$80,MATCH(Z457&amp;"|"&amp;U457,LAYOUT!$E$2:$E$80,0)),"CEK JENIS ZONA",IF($D457="","Zona STOCK",IF($E457="","CEK SKU DESCRIPTION kosong",IF(AND(W457&lt;&gt;"",X457=""),"CEK URUTAN SAMBUNG kosong",IF(AND(W457&lt;&gt;"",LEFT(Z457,6)="Endcap"),"CEK Endcap tidak ikut sambung","OK")))))))))</f>
        <v/>
      </c>
      <c r="AB457" s="11" t="n"/>
      <c r="AC457" s="11" t="n"/>
      <c r="AD457" s="11" t="n"/>
      <c r="AE457" s="11" t="n"/>
      <c r="AF457" s="11" t="n"/>
      <c r="AG457" s="11" t="n"/>
      <c r="AH457" s="12">
        <f>IF(AB457="","",IFERROR(INDEX(DAFTAR_FIXTURE!$B$2:$B$51,MATCH(AB457,DAFTAR_FIXTURE!$A$2:$A$51,0)),""))</f>
        <v/>
      </c>
      <c r="AI457" s="12">
        <f>IF(AB457="","",IF(AH457="","CEK ID FIXTURE tidak ada di DAFTAR_FIXTURE",IF(AC457="","CEK ZONA NO kosong",IF(ISNA(MATCH(AH457&amp;"|"&amp;AC457,LAYOUT!$E$2:$E$80,0)),"CEK ZONA NO di luar layout",IF(AD457&lt;&gt;INDEX(LAYOUT!$D$2:$D$80,MATCH(AH457&amp;"|"&amp;AC457,LAYOUT!$E$2:$E$80,0)),"CEK JENIS ZONA",IF($D457="","Zona STOCK",IF($E457="","CEK SKU DESCRIPTION kosong",IF(AND(AE457&lt;&gt;"",AF457=""),"CEK URUTAN SAMBUNG kosong",IF(AND(AE457&lt;&gt;"",LEFT(AH457,6)="Endcap"),"CEK Endcap tidak ikut sambung","OK")))))))))</f>
        <v/>
      </c>
    </row>
    <row r="458">
      <c r="A458" s="10" t="n"/>
      <c r="B458" s="10" t="n"/>
      <c r="C458" s="10" t="n"/>
      <c r="D458" s="10" t="n"/>
      <c r="E458" s="10" t="n"/>
      <c r="F458" s="10" t="n"/>
      <c r="G458" s="10" t="n"/>
      <c r="H458" s="10" t="n"/>
      <c r="I458" s="10" t="n"/>
      <c r="J458" s="10" t="n"/>
      <c r="K458" s="10" t="n"/>
      <c r="L458" s="11" t="n"/>
      <c r="M458" s="11" t="n"/>
      <c r="N458" s="11" t="n"/>
      <c r="O458" s="11" t="n"/>
      <c r="P458" s="11" t="n"/>
      <c r="Q458" s="11" t="n"/>
      <c r="R458" s="12">
        <f>IF(L458="","",IFERROR(INDEX(DAFTAR_FIXTURE!$B$2:$B$51,MATCH(L458,DAFTAR_FIXTURE!$A$2:$A$51,0)),""))</f>
        <v/>
      </c>
      <c r="S458" s="12">
        <f>IF(AND($D458="",L458=""),"",IF(L458="",IF(AND(T458="",AB458=""),"Belum ditempatkan",""),IF(R458="","CEK ID FIXTURE tidak ada di DAFTAR_FIXTURE",IF(M458="","CEK ZONA NO kosong",IF(ISNA(MATCH(R458&amp;"|"&amp;M458,LAYOUT!$E$2:$E$80,0)),"CEK ZONA NO di luar layout",IF(N458&lt;&gt;INDEX(LAYOUT!$D$2:$D$80,MATCH(R458&amp;"|"&amp;M458,LAYOUT!$E$2:$E$80,0)),"CEK JENIS ZONA",IF($D458="","Zona STOCK",IF($E458="","CEK SKU DESCRIPTION kosong",IF(AND(O458&lt;&gt;"",P458=""),"CEK URUTAN SAMBUNG kosong",IF(AND(O458&lt;&gt;"",LEFT(R458,6)="Endcap"),"CEK Endcap tidak ikut sambung","OK"))))))))))</f>
        <v/>
      </c>
      <c r="T458" s="11" t="n"/>
      <c r="U458" s="11" t="n"/>
      <c r="V458" s="11" t="n"/>
      <c r="W458" s="11" t="n"/>
      <c r="X458" s="11" t="n"/>
      <c r="Y458" s="11" t="n"/>
      <c r="Z458" s="12">
        <f>IF(T458="","",IFERROR(INDEX(DAFTAR_FIXTURE!$B$2:$B$51,MATCH(T458,DAFTAR_FIXTURE!$A$2:$A$51,0)),""))</f>
        <v/>
      </c>
      <c r="AA458" s="12">
        <f>IF(T458="","",IF(Z458="","CEK ID FIXTURE tidak ada di DAFTAR_FIXTURE",IF(U458="","CEK ZONA NO kosong",IF(ISNA(MATCH(Z458&amp;"|"&amp;U458,LAYOUT!$E$2:$E$80,0)),"CEK ZONA NO di luar layout",IF(V458&lt;&gt;INDEX(LAYOUT!$D$2:$D$80,MATCH(Z458&amp;"|"&amp;U458,LAYOUT!$E$2:$E$80,0)),"CEK JENIS ZONA",IF($D458="","Zona STOCK",IF($E458="","CEK SKU DESCRIPTION kosong",IF(AND(W458&lt;&gt;"",X458=""),"CEK URUTAN SAMBUNG kosong",IF(AND(W458&lt;&gt;"",LEFT(Z458,6)="Endcap"),"CEK Endcap tidak ikut sambung","OK")))))))))</f>
        <v/>
      </c>
      <c r="AB458" s="11" t="n"/>
      <c r="AC458" s="11" t="n"/>
      <c r="AD458" s="11" t="n"/>
      <c r="AE458" s="11" t="n"/>
      <c r="AF458" s="11" t="n"/>
      <c r="AG458" s="11" t="n"/>
      <c r="AH458" s="12">
        <f>IF(AB458="","",IFERROR(INDEX(DAFTAR_FIXTURE!$B$2:$B$51,MATCH(AB458,DAFTAR_FIXTURE!$A$2:$A$51,0)),""))</f>
        <v/>
      </c>
      <c r="AI458" s="12">
        <f>IF(AB458="","",IF(AH458="","CEK ID FIXTURE tidak ada di DAFTAR_FIXTURE",IF(AC458="","CEK ZONA NO kosong",IF(ISNA(MATCH(AH458&amp;"|"&amp;AC458,LAYOUT!$E$2:$E$80,0)),"CEK ZONA NO di luar layout",IF(AD458&lt;&gt;INDEX(LAYOUT!$D$2:$D$80,MATCH(AH458&amp;"|"&amp;AC458,LAYOUT!$E$2:$E$80,0)),"CEK JENIS ZONA",IF($D458="","Zona STOCK",IF($E458="","CEK SKU DESCRIPTION kosong",IF(AND(AE458&lt;&gt;"",AF458=""),"CEK URUTAN SAMBUNG kosong",IF(AND(AE458&lt;&gt;"",LEFT(AH458,6)="Endcap"),"CEK Endcap tidak ikut sambung","OK")))))))))</f>
        <v/>
      </c>
    </row>
    <row r="459">
      <c r="A459" s="10" t="n"/>
      <c r="B459" s="10" t="n"/>
      <c r="C459" s="10" t="n"/>
      <c r="D459" s="10" t="n"/>
      <c r="E459" s="10" t="n"/>
      <c r="F459" s="10" t="n"/>
      <c r="G459" s="10" t="n"/>
      <c r="H459" s="10" t="n"/>
      <c r="I459" s="10" t="n"/>
      <c r="J459" s="10" t="n"/>
      <c r="K459" s="10" t="n"/>
      <c r="L459" s="11" t="n"/>
      <c r="M459" s="11" t="n"/>
      <c r="N459" s="11" t="n"/>
      <c r="O459" s="11" t="n"/>
      <c r="P459" s="11" t="n"/>
      <c r="Q459" s="11" t="n"/>
      <c r="R459" s="12">
        <f>IF(L459="","",IFERROR(INDEX(DAFTAR_FIXTURE!$B$2:$B$51,MATCH(L459,DAFTAR_FIXTURE!$A$2:$A$51,0)),""))</f>
        <v/>
      </c>
      <c r="S459" s="12">
        <f>IF(AND($D459="",L459=""),"",IF(L459="",IF(AND(T459="",AB459=""),"Belum ditempatkan",""),IF(R459="","CEK ID FIXTURE tidak ada di DAFTAR_FIXTURE",IF(M459="","CEK ZONA NO kosong",IF(ISNA(MATCH(R459&amp;"|"&amp;M459,LAYOUT!$E$2:$E$80,0)),"CEK ZONA NO di luar layout",IF(N459&lt;&gt;INDEX(LAYOUT!$D$2:$D$80,MATCH(R459&amp;"|"&amp;M459,LAYOUT!$E$2:$E$80,0)),"CEK JENIS ZONA",IF($D459="","Zona STOCK",IF($E459="","CEK SKU DESCRIPTION kosong",IF(AND(O459&lt;&gt;"",P459=""),"CEK URUTAN SAMBUNG kosong",IF(AND(O459&lt;&gt;"",LEFT(R459,6)="Endcap"),"CEK Endcap tidak ikut sambung","OK"))))))))))</f>
        <v/>
      </c>
      <c r="T459" s="11" t="n"/>
      <c r="U459" s="11" t="n"/>
      <c r="V459" s="11" t="n"/>
      <c r="W459" s="11" t="n"/>
      <c r="X459" s="11" t="n"/>
      <c r="Y459" s="11" t="n"/>
      <c r="Z459" s="12">
        <f>IF(T459="","",IFERROR(INDEX(DAFTAR_FIXTURE!$B$2:$B$51,MATCH(T459,DAFTAR_FIXTURE!$A$2:$A$51,0)),""))</f>
        <v/>
      </c>
      <c r="AA459" s="12">
        <f>IF(T459="","",IF(Z459="","CEK ID FIXTURE tidak ada di DAFTAR_FIXTURE",IF(U459="","CEK ZONA NO kosong",IF(ISNA(MATCH(Z459&amp;"|"&amp;U459,LAYOUT!$E$2:$E$80,0)),"CEK ZONA NO di luar layout",IF(V459&lt;&gt;INDEX(LAYOUT!$D$2:$D$80,MATCH(Z459&amp;"|"&amp;U459,LAYOUT!$E$2:$E$80,0)),"CEK JENIS ZONA",IF($D459="","Zona STOCK",IF($E459="","CEK SKU DESCRIPTION kosong",IF(AND(W459&lt;&gt;"",X459=""),"CEK URUTAN SAMBUNG kosong",IF(AND(W459&lt;&gt;"",LEFT(Z459,6)="Endcap"),"CEK Endcap tidak ikut sambung","OK")))))))))</f>
        <v/>
      </c>
      <c r="AB459" s="11" t="n"/>
      <c r="AC459" s="11" t="n"/>
      <c r="AD459" s="11" t="n"/>
      <c r="AE459" s="11" t="n"/>
      <c r="AF459" s="11" t="n"/>
      <c r="AG459" s="11" t="n"/>
      <c r="AH459" s="12">
        <f>IF(AB459="","",IFERROR(INDEX(DAFTAR_FIXTURE!$B$2:$B$51,MATCH(AB459,DAFTAR_FIXTURE!$A$2:$A$51,0)),""))</f>
        <v/>
      </c>
      <c r="AI459" s="12">
        <f>IF(AB459="","",IF(AH459="","CEK ID FIXTURE tidak ada di DAFTAR_FIXTURE",IF(AC459="","CEK ZONA NO kosong",IF(ISNA(MATCH(AH459&amp;"|"&amp;AC459,LAYOUT!$E$2:$E$80,0)),"CEK ZONA NO di luar layout",IF(AD459&lt;&gt;INDEX(LAYOUT!$D$2:$D$80,MATCH(AH459&amp;"|"&amp;AC459,LAYOUT!$E$2:$E$80,0)),"CEK JENIS ZONA",IF($D459="","Zona STOCK",IF($E459="","CEK SKU DESCRIPTION kosong",IF(AND(AE459&lt;&gt;"",AF459=""),"CEK URUTAN SAMBUNG kosong",IF(AND(AE459&lt;&gt;"",LEFT(AH459,6)="Endcap"),"CEK Endcap tidak ikut sambung","OK")))))))))</f>
        <v/>
      </c>
    </row>
    <row r="460">
      <c r="A460" s="10" t="n"/>
      <c r="B460" s="10" t="n"/>
      <c r="C460" s="10" t="n"/>
      <c r="D460" s="10" t="n"/>
      <c r="E460" s="10" t="n"/>
      <c r="F460" s="10" t="n"/>
      <c r="G460" s="10" t="n"/>
      <c r="H460" s="10" t="n"/>
      <c r="I460" s="10" t="n"/>
      <c r="J460" s="10" t="n"/>
      <c r="K460" s="10" t="n"/>
      <c r="L460" s="11" t="n"/>
      <c r="M460" s="11" t="n"/>
      <c r="N460" s="11" t="n"/>
      <c r="O460" s="11" t="n"/>
      <c r="P460" s="11" t="n"/>
      <c r="Q460" s="11" t="n"/>
      <c r="R460" s="12">
        <f>IF(L460="","",IFERROR(INDEX(DAFTAR_FIXTURE!$B$2:$B$51,MATCH(L460,DAFTAR_FIXTURE!$A$2:$A$51,0)),""))</f>
        <v/>
      </c>
      <c r="S460" s="12">
        <f>IF(AND($D460="",L460=""),"",IF(L460="",IF(AND(T460="",AB460=""),"Belum ditempatkan",""),IF(R460="","CEK ID FIXTURE tidak ada di DAFTAR_FIXTURE",IF(M460="","CEK ZONA NO kosong",IF(ISNA(MATCH(R460&amp;"|"&amp;M460,LAYOUT!$E$2:$E$80,0)),"CEK ZONA NO di luar layout",IF(N460&lt;&gt;INDEX(LAYOUT!$D$2:$D$80,MATCH(R460&amp;"|"&amp;M460,LAYOUT!$E$2:$E$80,0)),"CEK JENIS ZONA",IF($D460="","Zona STOCK",IF($E460="","CEK SKU DESCRIPTION kosong",IF(AND(O460&lt;&gt;"",P460=""),"CEK URUTAN SAMBUNG kosong",IF(AND(O460&lt;&gt;"",LEFT(R460,6)="Endcap"),"CEK Endcap tidak ikut sambung","OK"))))))))))</f>
        <v/>
      </c>
      <c r="T460" s="11" t="n"/>
      <c r="U460" s="11" t="n"/>
      <c r="V460" s="11" t="n"/>
      <c r="W460" s="11" t="n"/>
      <c r="X460" s="11" t="n"/>
      <c r="Y460" s="11" t="n"/>
      <c r="Z460" s="12">
        <f>IF(T460="","",IFERROR(INDEX(DAFTAR_FIXTURE!$B$2:$B$51,MATCH(T460,DAFTAR_FIXTURE!$A$2:$A$51,0)),""))</f>
        <v/>
      </c>
      <c r="AA460" s="12">
        <f>IF(T460="","",IF(Z460="","CEK ID FIXTURE tidak ada di DAFTAR_FIXTURE",IF(U460="","CEK ZONA NO kosong",IF(ISNA(MATCH(Z460&amp;"|"&amp;U460,LAYOUT!$E$2:$E$80,0)),"CEK ZONA NO di luar layout",IF(V460&lt;&gt;INDEX(LAYOUT!$D$2:$D$80,MATCH(Z460&amp;"|"&amp;U460,LAYOUT!$E$2:$E$80,0)),"CEK JENIS ZONA",IF($D460="","Zona STOCK",IF($E460="","CEK SKU DESCRIPTION kosong",IF(AND(W460&lt;&gt;"",X460=""),"CEK URUTAN SAMBUNG kosong",IF(AND(W460&lt;&gt;"",LEFT(Z460,6)="Endcap"),"CEK Endcap tidak ikut sambung","OK")))))))))</f>
        <v/>
      </c>
      <c r="AB460" s="11" t="n"/>
      <c r="AC460" s="11" t="n"/>
      <c r="AD460" s="11" t="n"/>
      <c r="AE460" s="11" t="n"/>
      <c r="AF460" s="11" t="n"/>
      <c r="AG460" s="11" t="n"/>
      <c r="AH460" s="12">
        <f>IF(AB460="","",IFERROR(INDEX(DAFTAR_FIXTURE!$B$2:$B$51,MATCH(AB460,DAFTAR_FIXTURE!$A$2:$A$51,0)),""))</f>
        <v/>
      </c>
      <c r="AI460" s="12">
        <f>IF(AB460="","",IF(AH460="","CEK ID FIXTURE tidak ada di DAFTAR_FIXTURE",IF(AC460="","CEK ZONA NO kosong",IF(ISNA(MATCH(AH460&amp;"|"&amp;AC460,LAYOUT!$E$2:$E$80,0)),"CEK ZONA NO di luar layout",IF(AD460&lt;&gt;INDEX(LAYOUT!$D$2:$D$80,MATCH(AH460&amp;"|"&amp;AC460,LAYOUT!$E$2:$E$80,0)),"CEK JENIS ZONA",IF($D460="","Zona STOCK",IF($E460="","CEK SKU DESCRIPTION kosong",IF(AND(AE460&lt;&gt;"",AF460=""),"CEK URUTAN SAMBUNG kosong",IF(AND(AE460&lt;&gt;"",LEFT(AH460,6)="Endcap"),"CEK Endcap tidak ikut sambung","OK")))))))))</f>
        <v/>
      </c>
    </row>
    <row r="461">
      <c r="A461" s="10" t="n"/>
      <c r="B461" s="10" t="n"/>
      <c r="C461" s="10" t="n"/>
      <c r="D461" s="10" t="n"/>
      <c r="E461" s="10" t="n"/>
      <c r="F461" s="10" t="n"/>
      <c r="G461" s="10" t="n"/>
      <c r="H461" s="10" t="n"/>
      <c r="I461" s="10" t="n"/>
      <c r="J461" s="10" t="n"/>
      <c r="K461" s="10" t="n"/>
      <c r="L461" s="11" t="n"/>
      <c r="M461" s="11" t="n"/>
      <c r="N461" s="11" t="n"/>
      <c r="O461" s="11" t="n"/>
      <c r="P461" s="11" t="n"/>
      <c r="Q461" s="11" t="n"/>
      <c r="R461" s="12">
        <f>IF(L461="","",IFERROR(INDEX(DAFTAR_FIXTURE!$B$2:$B$51,MATCH(L461,DAFTAR_FIXTURE!$A$2:$A$51,0)),""))</f>
        <v/>
      </c>
      <c r="S461" s="12">
        <f>IF(AND($D461="",L461=""),"",IF(L461="",IF(AND(T461="",AB461=""),"Belum ditempatkan",""),IF(R461="","CEK ID FIXTURE tidak ada di DAFTAR_FIXTURE",IF(M461="","CEK ZONA NO kosong",IF(ISNA(MATCH(R461&amp;"|"&amp;M461,LAYOUT!$E$2:$E$80,0)),"CEK ZONA NO di luar layout",IF(N461&lt;&gt;INDEX(LAYOUT!$D$2:$D$80,MATCH(R461&amp;"|"&amp;M461,LAYOUT!$E$2:$E$80,0)),"CEK JENIS ZONA",IF($D461="","Zona STOCK",IF($E461="","CEK SKU DESCRIPTION kosong",IF(AND(O461&lt;&gt;"",P461=""),"CEK URUTAN SAMBUNG kosong",IF(AND(O461&lt;&gt;"",LEFT(R461,6)="Endcap"),"CEK Endcap tidak ikut sambung","OK"))))))))))</f>
        <v/>
      </c>
      <c r="T461" s="11" t="n"/>
      <c r="U461" s="11" t="n"/>
      <c r="V461" s="11" t="n"/>
      <c r="W461" s="11" t="n"/>
      <c r="X461" s="11" t="n"/>
      <c r="Y461" s="11" t="n"/>
      <c r="Z461" s="12">
        <f>IF(T461="","",IFERROR(INDEX(DAFTAR_FIXTURE!$B$2:$B$51,MATCH(T461,DAFTAR_FIXTURE!$A$2:$A$51,0)),""))</f>
        <v/>
      </c>
      <c r="AA461" s="12">
        <f>IF(T461="","",IF(Z461="","CEK ID FIXTURE tidak ada di DAFTAR_FIXTURE",IF(U461="","CEK ZONA NO kosong",IF(ISNA(MATCH(Z461&amp;"|"&amp;U461,LAYOUT!$E$2:$E$80,0)),"CEK ZONA NO di luar layout",IF(V461&lt;&gt;INDEX(LAYOUT!$D$2:$D$80,MATCH(Z461&amp;"|"&amp;U461,LAYOUT!$E$2:$E$80,0)),"CEK JENIS ZONA",IF($D461="","Zona STOCK",IF($E461="","CEK SKU DESCRIPTION kosong",IF(AND(W461&lt;&gt;"",X461=""),"CEK URUTAN SAMBUNG kosong",IF(AND(W461&lt;&gt;"",LEFT(Z461,6)="Endcap"),"CEK Endcap tidak ikut sambung","OK")))))))))</f>
        <v/>
      </c>
      <c r="AB461" s="11" t="n"/>
      <c r="AC461" s="11" t="n"/>
      <c r="AD461" s="11" t="n"/>
      <c r="AE461" s="11" t="n"/>
      <c r="AF461" s="11" t="n"/>
      <c r="AG461" s="11" t="n"/>
      <c r="AH461" s="12">
        <f>IF(AB461="","",IFERROR(INDEX(DAFTAR_FIXTURE!$B$2:$B$51,MATCH(AB461,DAFTAR_FIXTURE!$A$2:$A$51,0)),""))</f>
        <v/>
      </c>
      <c r="AI461" s="12">
        <f>IF(AB461="","",IF(AH461="","CEK ID FIXTURE tidak ada di DAFTAR_FIXTURE",IF(AC461="","CEK ZONA NO kosong",IF(ISNA(MATCH(AH461&amp;"|"&amp;AC461,LAYOUT!$E$2:$E$80,0)),"CEK ZONA NO di luar layout",IF(AD461&lt;&gt;INDEX(LAYOUT!$D$2:$D$80,MATCH(AH461&amp;"|"&amp;AC461,LAYOUT!$E$2:$E$80,0)),"CEK JENIS ZONA",IF($D461="","Zona STOCK",IF($E461="","CEK SKU DESCRIPTION kosong",IF(AND(AE461&lt;&gt;"",AF461=""),"CEK URUTAN SAMBUNG kosong",IF(AND(AE461&lt;&gt;"",LEFT(AH461,6)="Endcap"),"CEK Endcap tidak ikut sambung","OK")))))))))</f>
        <v/>
      </c>
    </row>
    <row r="462">
      <c r="A462" s="10" t="n"/>
      <c r="B462" s="10" t="n"/>
      <c r="C462" s="10" t="n"/>
      <c r="D462" s="10" t="n"/>
      <c r="E462" s="10" t="n"/>
      <c r="F462" s="10" t="n"/>
      <c r="G462" s="10" t="n"/>
      <c r="H462" s="10" t="n"/>
      <c r="I462" s="10" t="n"/>
      <c r="J462" s="10" t="n"/>
      <c r="K462" s="10" t="n"/>
      <c r="L462" s="11" t="n"/>
      <c r="M462" s="11" t="n"/>
      <c r="N462" s="11" t="n"/>
      <c r="O462" s="11" t="n"/>
      <c r="P462" s="11" t="n"/>
      <c r="Q462" s="11" t="n"/>
      <c r="R462" s="12">
        <f>IF(L462="","",IFERROR(INDEX(DAFTAR_FIXTURE!$B$2:$B$51,MATCH(L462,DAFTAR_FIXTURE!$A$2:$A$51,0)),""))</f>
        <v/>
      </c>
      <c r="S462" s="12">
        <f>IF(AND($D462="",L462=""),"",IF(L462="",IF(AND(T462="",AB462=""),"Belum ditempatkan",""),IF(R462="","CEK ID FIXTURE tidak ada di DAFTAR_FIXTURE",IF(M462="","CEK ZONA NO kosong",IF(ISNA(MATCH(R462&amp;"|"&amp;M462,LAYOUT!$E$2:$E$80,0)),"CEK ZONA NO di luar layout",IF(N462&lt;&gt;INDEX(LAYOUT!$D$2:$D$80,MATCH(R462&amp;"|"&amp;M462,LAYOUT!$E$2:$E$80,0)),"CEK JENIS ZONA",IF($D462="","Zona STOCK",IF($E462="","CEK SKU DESCRIPTION kosong",IF(AND(O462&lt;&gt;"",P462=""),"CEK URUTAN SAMBUNG kosong",IF(AND(O462&lt;&gt;"",LEFT(R462,6)="Endcap"),"CEK Endcap tidak ikut sambung","OK"))))))))))</f>
        <v/>
      </c>
      <c r="T462" s="11" t="n"/>
      <c r="U462" s="11" t="n"/>
      <c r="V462" s="11" t="n"/>
      <c r="W462" s="11" t="n"/>
      <c r="X462" s="11" t="n"/>
      <c r="Y462" s="11" t="n"/>
      <c r="Z462" s="12">
        <f>IF(T462="","",IFERROR(INDEX(DAFTAR_FIXTURE!$B$2:$B$51,MATCH(T462,DAFTAR_FIXTURE!$A$2:$A$51,0)),""))</f>
        <v/>
      </c>
      <c r="AA462" s="12">
        <f>IF(T462="","",IF(Z462="","CEK ID FIXTURE tidak ada di DAFTAR_FIXTURE",IF(U462="","CEK ZONA NO kosong",IF(ISNA(MATCH(Z462&amp;"|"&amp;U462,LAYOUT!$E$2:$E$80,0)),"CEK ZONA NO di luar layout",IF(V462&lt;&gt;INDEX(LAYOUT!$D$2:$D$80,MATCH(Z462&amp;"|"&amp;U462,LAYOUT!$E$2:$E$80,0)),"CEK JENIS ZONA",IF($D462="","Zona STOCK",IF($E462="","CEK SKU DESCRIPTION kosong",IF(AND(W462&lt;&gt;"",X462=""),"CEK URUTAN SAMBUNG kosong",IF(AND(W462&lt;&gt;"",LEFT(Z462,6)="Endcap"),"CEK Endcap tidak ikut sambung","OK")))))))))</f>
        <v/>
      </c>
      <c r="AB462" s="11" t="n"/>
      <c r="AC462" s="11" t="n"/>
      <c r="AD462" s="11" t="n"/>
      <c r="AE462" s="11" t="n"/>
      <c r="AF462" s="11" t="n"/>
      <c r="AG462" s="11" t="n"/>
      <c r="AH462" s="12">
        <f>IF(AB462="","",IFERROR(INDEX(DAFTAR_FIXTURE!$B$2:$B$51,MATCH(AB462,DAFTAR_FIXTURE!$A$2:$A$51,0)),""))</f>
        <v/>
      </c>
      <c r="AI462" s="12">
        <f>IF(AB462="","",IF(AH462="","CEK ID FIXTURE tidak ada di DAFTAR_FIXTURE",IF(AC462="","CEK ZONA NO kosong",IF(ISNA(MATCH(AH462&amp;"|"&amp;AC462,LAYOUT!$E$2:$E$80,0)),"CEK ZONA NO di luar layout",IF(AD462&lt;&gt;INDEX(LAYOUT!$D$2:$D$80,MATCH(AH462&amp;"|"&amp;AC462,LAYOUT!$E$2:$E$80,0)),"CEK JENIS ZONA",IF($D462="","Zona STOCK",IF($E462="","CEK SKU DESCRIPTION kosong",IF(AND(AE462&lt;&gt;"",AF462=""),"CEK URUTAN SAMBUNG kosong",IF(AND(AE462&lt;&gt;"",LEFT(AH462,6)="Endcap"),"CEK Endcap tidak ikut sambung","OK")))))))))</f>
        <v/>
      </c>
    </row>
    <row r="463">
      <c r="A463" s="10" t="n"/>
      <c r="B463" s="10" t="n"/>
      <c r="C463" s="10" t="n"/>
      <c r="D463" s="10" t="n"/>
      <c r="E463" s="10" t="n"/>
      <c r="F463" s="10" t="n"/>
      <c r="G463" s="10" t="n"/>
      <c r="H463" s="10" t="n"/>
      <c r="I463" s="10" t="n"/>
      <c r="J463" s="10" t="n"/>
      <c r="K463" s="10" t="n"/>
      <c r="L463" s="11" t="n"/>
      <c r="M463" s="11" t="n"/>
      <c r="N463" s="11" t="n"/>
      <c r="O463" s="11" t="n"/>
      <c r="P463" s="11" t="n"/>
      <c r="Q463" s="11" t="n"/>
      <c r="R463" s="12">
        <f>IF(L463="","",IFERROR(INDEX(DAFTAR_FIXTURE!$B$2:$B$51,MATCH(L463,DAFTAR_FIXTURE!$A$2:$A$51,0)),""))</f>
        <v/>
      </c>
      <c r="S463" s="12">
        <f>IF(AND($D463="",L463=""),"",IF(L463="",IF(AND(T463="",AB463=""),"Belum ditempatkan",""),IF(R463="","CEK ID FIXTURE tidak ada di DAFTAR_FIXTURE",IF(M463="","CEK ZONA NO kosong",IF(ISNA(MATCH(R463&amp;"|"&amp;M463,LAYOUT!$E$2:$E$80,0)),"CEK ZONA NO di luar layout",IF(N463&lt;&gt;INDEX(LAYOUT!$D$2:$D$80,MATCH(R463&amp;"|"&amp;M463,LAYOUT!$E$2:$E$80,0)),"CEK JENIS ZONA",IF($D463="","Zona STOCK",IF($E463="","CEK SKU DESCRIPTION kosong",IF(AND(O463&lt;&gt;"",P463=""),"CEK URUTAN SAMBUNG kosong",IF(AND(O463&lt;&gt;"",LEFT(R463,6)="Endcap"),"CEK Endcap tidak ikut sambung","OK"))))))))))</f>
        <v/>
      </c>
      <c r="T463" s="11" t="n"/>
      <c r="U463" s="11" t="n"/>
      <c r="V463" s="11" t="n"/>
      <c r="W463" s="11" t="n"/>
      <c r="X463" s="11" t="n"/>
      <c r="Y463" s="11" t="n"/>
      <c r="Z463" s="12">
        <f>IF(T463="","",IFERROR(INDEX(DAFTAR_FIXTURE!$B$2:$B$51,MATCH(T463,DAFTAR_FIXTURE!$A$2:$A$51,0)),""))</f>
        <v/>
      </c>
      <c r="AA463" s="12">
        <f>IF(T463="","",IF(Z463="","CEK ID FIXTURE tidak ada di DAFTAR_FIXTURE",IF(U463="","CEK ZONA NO kosong",IF(ISNA(MATCH(Z463&amp;"|"&amp;U463,LAYOUT!$E$2:$E$80,0)),"CEK ZONA NO di luar layout",IF(V463&lt;&gt;INDEX(LAYOUT!$D$2:$D$80,MATCH(Z463&amp;"|"&amp;U463,LAYOUT!$E$2:$E$80,0)),"CEK JENIS ZONA",IF($D463="","Zona STOCK",IF($E463="","CEK SKU DESCRIPTION kosong",IF(AND(W463&lt;&gt;"",X463=""),"CEK URUTAN SAMBUNG kosong",IF(AND(W463&lt;&gt;"",LEFT(Z463,6)="Endcap"),"CEK Endcap tidak ikut sambung","OK")))))))))</f>
        <v/>
      </c>
      <c r="AB463" s="11" t="n"/>
      <c r="AC463" s="11" t="n"/>
      <c r="AD463" s="11" t="n"/>
      <c r="AE463" s="11" t="n"/>
      <c r="AF463" s="11" t="n"/>
      <c r="AG463" s="11" t="n"/>
      <c r="AH463" s="12">
        <f>IF(AB463="","",IFERROR(INDEX(DAFTAR_FIXTURE!$B$2:$B$51,MATCH(AB463,DAFTAR_FIXTURE!$A$2:$A$51,0)),""))</f>
        <v/>
      </c>
      <c r="AI463" s="12">
        <f>IF(AB463="","",IF(AH463="","CEK ID FIXTURE tidak ada di DAFTAR_FIXTURE",IF(AC463="","CEK ZONA NO kosong",IF(ISNA(MATCH(AH463&amp;"|"&amp;AC463,LAYOUT!$E$2:$E$80,0)),"CEK ZONA NO di luar layout",IF(AD463&lt;&gt;INDEX(LAYOUT!$D$2:$D$80,MATCH(AH463&amp;"|"&amp;AC463,LAYOUT!$E$2:$E$80,0)),"CEK JENIS ZONA",IF($D463="","Zona STOCK",IF($E463="","CEK SKU DESCRIPTION kosong",IF(AND(AE463&lt;&gt;"",AF463=""),"CEK URUTAN SAMBUNG kosong",IF(AND(AE463&lt;&gt;"",LEFT(AH463,6)="Endcap"),"CEK Endcap tidak ikut sambung","OK")))))))))</f>
        <v/>
      </c>
    </row>
    <row r="464">
      <c r="A464" s="10" t="n"/>
      <c r="B464" s="10" t="n"/>
      <c r="C464" s="10" t="n"/>
      <c r="D464" s="10" t="n"/>
      <c r="E464" s="10" t="n"/>
      <c r="F464" s="10" t="n"/>
      <c r="G464" s="10" t="n"/>
      <c r="H464" s="10" t="n"/>
      <c r="I464" s="10" t="n"/>
      <c r="J464" s="10" t="n"/>
      <c r="K464" s="10" t="n"/>
      <c r="L464" s="11" t="n"/>
      <c r="M464" s="11" t="n"/>
      <c r="N464" s="11" t="n"/>
      <c r="O464" s="11" t="n"/>
      <c r="P464" s="11" t="n"/>
      <c r="Q464" s="11" t="n"/>
      <c r="R464" s="12">
        <f>IF(L464="","",IFERROR(INDEX(DAFTAR_FIXTURE!$B$2:$B$51,MATCH(L464,DAFTAR_FIXTURE!$A$2:$A$51,0)),""))</f>
        <v/>
      </c>
      <c r="S464" s="12">
        <f>IF(AND($D464="",L464=""),"",IF(L464="",IF(AND(T464="",AB464=""),"Belum ditempatkan",""),IF(R464="","CEK ID FIXTURE tidak ada di DAFTAR_FIXTURE",IF(M464="","CEK ZONA NO kosong",IF(ISNA(MATCH(R464&amp;"|"&amp;M464,LAYOUT!$E$2:$E$80,0)),"CEK ZONA NO di luar layout",IF(N464&lt;&gt;INDEX(LAYOUT!$D$2:$D$80,MATCH(R464&amp;"|"&amp;M464,LAYOUT!$E$2:$E$80,0)),"CEK JENIS ZONA",IF($D464="","Zona STOCK",IF($E464="","CEK SKU DESCRIPTION kosong",IF(AND(O464&lt;&gt;"",P464=""),"CEK URUTAN SAMBUNG kosong",IF(AND(O464&lt;&gt;"",LEFT(R464,6)="Endcap"),"CEK Endcap tidak ikut sambung","OK"))))))))))</f>
        <v/>
      </c>
      <c r="T464" s="11" t="n"/>
      <c r="U464" s="11" t="n"/>
      <c r="V464" s="11" t="n"/>
      <c r="W464" s="11" t="n"/>
      <c r="X464" s="11" t="n"/>
      <c r="Y464" s="11" t="n"/>
      <c r="Z464" s="12">
        <f>IF(T464="","",IFERROR(INDEX(DAFTAR_FIXTURE!$B$2:$B$51,MATCH(T464,DAFTAR_FIXTURE!$A$2:$A$51,0)),""))</f>
        <v/>
      </c>
      <c r="AA464" s="12">
        <f>IF(T464="","",IF(Z464="","CEK ID FIXTURE tidak ada di DAFTAR_FIXTURE",IF(U464="","CEK ZONA NO kosong",IF(ISNA(MATCH(Z464&amp;"|"&amp;U464,LAYOUT!$E$2:$E$80,0)),"CEK ZONA NO di luar layout",IF(V464&lt;&gt;INDEX(LAYOUT!$D$2:$D$80,MATCH(Z464&amp;"|"&amp;U464,LAYOUT!$E$2:$E$80,0)),"CEK JENIS ZONA",IF($D464="","Zona STOCK",IF($E464="","CEK SKU DESCRIPTION kosong",IF(AND(W464&lt;&gt;"",X464=""),"CEK URUTAN SAMBUNG kosong",IF(AND(W464&lt;&gt;"",LEFT(Z464,6)="Endcap"),"CEK Endcap tidak ikut sambung","OK")))))))))</f>
        <v/>
      </c>
      <c r="AB464" s="11" t="n"/>
      <c r="AC464" s="11" t="n"/>
      <c r="AD464" s="11" t="n"/>
      <c r="AE464" s="11" t="n"/>
      <c r="AF464" s="11" t="n"/>
      <c r="AG464" s="11" t="n"/>
      <c r="AH464" s="12">
        <f>IF(AB464="","",IFERROR(INDEX(DAFTAR_FIXTURE!$B$2:$B$51,MATCH(AB464,DAFTAR_FIXTURE!$A$2:$A$51,0)),""))</f>
        <v/>
      </c>
      <c r="AI464" s="12">
        <f>IF(AB464="","",IF(AH464="","CEK ID FIXTURE tidak ada di DAFTAR_FIXTURE",IF(AC464="","CEK ZONA NO kosong",IF(ISNA(MATCH(AH464&amp;"|"&amp;AC464,LAYOUT!$E$2:$E$80,0)),"CEK ZONA NO di luar layout",IF(AD464&lt;&gt;INDEX(LAYOUT!$D$2:$D$80,MATCH(AH464&amp;"|"&amp;AC464,LAYOUT!$E$2:$E$80,0)),"CEK JENIS ZONA",IF($D464="","Zona STOCK",IF($E464="","CEK SKU DESCRIPTION kosong",IF(AND(AE464&lt;&gt;"",AF464=""),"CEK URUTAN SAMBUNG kosong",IF(AND(AE464&lt;&gt;"",LEFT(AH464,6)="Endcap"),"CEK Endcap tidak ikut sambung","OK")))))))))</f>
        <v/>
      </c>
    </row>
    <row r="465">
      <c r="A465" s="10" t="n"/>
      <c r="B465" s="10" t="n"/>
      <c r="C465" s="10" t="n"/>
      <c r="D465" s="10" t="n"/>
      <c r="E465" s="10" t="n"/>
      <c r="F465" s="10" t="n"/>
      <c r="G465" s="10" t="n"/>
      <c r="H465" s="10" t="n"/>
      <c r="I465" s="10" t="n"/>
      <c r="J465" s="10" t="n"/>
      <c r="K465" s="10" t="n"/>
      <c r="L465" s="11" t="n"/>
      <c r="M465" s="11" t="n"/>
      <c r="N465" s="11" t="n"/>
      <c r="O465" s="11" t="n"/>
      <c r="P465" s="11" t="n"/>
      <c r="Q465" s="11" t="n"/>
      <c r="R465" s="12">
        <f>IF(L465="","",IFERROR(INDEX(DAFTAR_FIXTURE!$B$2:$B$51,MATCH(L465,DAFTAR_FIXTURE!$A$2:$A$51,0)),""))</f>
        <v/>
      </c>
      <c r="S465" s="12">
        <f>IF(AND($D465="",L465=""),"",IF(L465="",IF(AND(T465="",AB465=""),"Belum ditempatkan",""),IF(R465="","CEK ID FIXTURE tidak ada di DAFTAR_FIXTURE",IF(M465="","CEK ZONA NO kosong",IF(ISNA(MATCH(R465&amp;"|"&amp;M465,LAYOUT!$E$2:$E$80,0)),"CEK ZONA NO di luar layout",IF(N465&lt;&gt;INDEX(LAYOUT!$D$2:$D$80,MATCH(R465&amp;"|"&amp;M465,LAYOUT!$E$2:$E$80,0)),"CEK JENIS ZONA",IF($D465="","Zona STOCK",IF($E465="","CEK SKU DESCRIPTION kosong",IF(AND(O465&lt;&gt;"",P465=""),"CEK URUTAN SAMBUNG kosong",IF(AND(O465&lt;&gt;"",LEFT(R465,6)="Endcap"),"CEK Endcap tidak ikut sambung","OK"))))))))))</f>
        <v/>
      </c>
      <c r="T465" s="11" t="n"/>
      <c r="U465" s="11" t="n"/>
      <c r="V465" s="11" t="n"/>
      <c r="W465" s="11" t="n"/>
      <c r="X465" s="11" t="n"/>
      <c r="Y465" s="11" t="n"/>
      <c r="Z465" s="12">
        <f>IF(T465="","",IFERROR(INDEX(DAFTAR_FIXTURE!$B$2:$B$51,MATCH(T465,DAFTAR_FIXTURE!$A$2:$A$51,0)),""))</f>
        <v/>
      </c>
      <c r="AA465" s="12">
        <f>IF(T465="","",IF(Z465="","CEK ID FIXTURE tidak ada di DAFTAR_FIXTURE",IF(U465="","CEK ZONA NO kosong",IF(ISNA(MATCH(Z465&amp;"|"&amp;U465,LAYOUT!$E$2:$E$80,0)),"CEK ZONA NO di luar layout",IF(V465&lt;&gt;INDEX(LAYOUT!$D$2:$D$80,MATCH(Z465&amp;"|"&amp;U465,LAYOUT!$E$2:$E$80,0)),"CEK JENIS ZONA",IF($D465="","Zona STOCK",IF($E465="","CEK SKU DESCRIPTION kosong",IF(AND(W465&lt;&gt;"",X465=""),"CEK URUTAN SAMBUNG kosong",IF(AND(W465&lt;&gt;"",LEFT(Z465,6)="Endcap"),"CEK Endcap tidak ikut sambung","OK")))))))))</f>
        <v/>
      </c>
      <c r="AB465" s="11" t="n"/>
      <c r="AC465" s="11" t="n"/>
      <c r="AD465" s="11" t="n"/>
      <c r="AE465" s="11" t="n"/>
      <c r="AF465" s="11" t="n"/>
      <c r="AG465" s="11" t="n"/>
      <c r="AH465" s="12">
        <f>IF(AB465="","",IFERROR(INDEX(DAFTAR_FIXTURE!$B$2:$B$51,MATCH(AB465,DAFTAR_FIXTURE!$A$2:$A$51,0)),""))</f>
        <v/>
      </c>
      <c r="AI465" s="12">
        <f>IF(AB465="","",IF(AH465="","CEK ID FIXTURE tidak ada di DAFTAR_FIXTURE",IF(AC465="","CEK ZONA NO kosong",IF(ISNA(MATCH(AH465&amp;"|"&amp;AC465,LAYOUT!$E$2:$E$80,0)),"CEK ZONA NO di luar layout",IF(AD465&lt;&gt;INDEX(LAYOUT!$D$2:$D$80,MATCH(AH465&amp;"|"&amp;AC465,LAYOUT!$E$2:$E$80,0)),"CEK JENIS ZONA",IF($D465="","Zona STOCK",IF($E465="","CEK SKU DESCRIPTION kosong",IF(AND(AE465&lt;&gt;"",AF465=""),"CEK URUTAN SAMBUNG kosong",IF(AND(AE465&lt;&gt;"",LEFT(AH465,6)="Endcap"),"CEK Endcap tidak ikut sambung","OK")))))))))</f>
        <v/>
      </c>
    </row>
    <row r="466">
      <c r="A466" s="10" t="n"/>
      <c r="B466" s="10" t="n"/>
      <c r="C466" s="10" t="n"/>
      <c r="D466" s="10" t="n"/>
      <c r="E466" s="10" t="n"/>
      <c r="F466" s="10" t="n"/>
      <c r="G466" s="10" t="n"/>
      <c r="H466" s="10" t="n"/>
      <c r="I466" s="10" t="n"/>
      <c r="J466" s="10" t="n"/>
      <c r="K466" s="10" t="n"/>
      <c r="L466" s="11" t="n"/>
      <c r="M466" s="11" t="n"/>
      <c r="N466" s="11" t="n"/>
      <c r="O466" s="11" t="n"/>
      <c r="P466" s="11" t="n"/>
      <c r="Q466" s="11" t="n"/>
      <c r="R466" s="12">
        <f>IF(L466="","",IFERROR(INDEX(DAFTAR_FIXTURE!$B$2:$B$51,MATCH(L466,DAFTAR_FIXTURE!$A$2:$A$51,0)),""))</f>
        <v/>
      </c>
      <c r="S466" s="12">
        <f>IF(AND($D466="",L466=""),"",IF(L466="",IF(AND(T466="",AB466=""),"Belum ditempatkan",""),IF(R466="","CEK ID FIXTURE tidak ada di DAFTAR_FIXTURE",IF(M466="","CEK ZONA NO kosong",IF(ISNA(MATCH(R466&amp;"|"&amp;M466,LAYOUT!$E$2:$E$80,0)),"CEK ZONA NO di luar layout",IF(N466&lt;&gt;INDEX(LAYOUT!$D$2:$D$80,MATCH(R466&amp;"|"&amp;M466,LAYOUT!$E$2:$E$80,0)),"CEK JENIS ZONA",IF($D466="","Zona STOCK",IF($E466="","CEK SKU DESCRIPTION kosong",IF(AND(O466&lt;&gt;"",P466=""),"CEK URUTAN SAMBUNG kosong",IF(AND(O466&lt;&gt;"",LEFT(R466,6)="Endcap"),"CEK Endcap tidak ikut sambung","OK"))))))))))</f>
        <v/>
      </c>
      <c r="T466" s="11" t="n"/>
      <c r="U466" s="11" t="n"/>
      <c r="V466" s="11" t="n"/>
      <c r="W466" s="11" t="n"/>
      <c r="X466" s="11" t="n"/>
      <c r="Y466" s="11" t="n"/>
      <c r="Z466" s="12">
        <f>IF(T466="","",IFERROR(INDEX(DAFTAR_FIXTURE!$B$2:$B$51,MATCH(T466,DAFTAR_FIXTURE!$A$2:$A$51,0)),""))</f>
        <v/>
      </c>
      <c r="AA466" s="12">
        <f>IF(T466="","",IF(Z466="","CEK ID FIXTURE tidak ada di DAFTAR_FIXTURE",IF(U466="","CEK ZONA NO kosong",IF(ISNA(MATCH(Z466&amp;"|"&amp;U466,LAYOUT!$E$2:$E$80,0)),"CEK ZONA NO di luar layout",IF(V466&lt;&gt;INDEX(LAYOUT!$D$2:$D$80,MATCH(Z466&amp;"|"&amp;U466,LAYOUT!$E$2:$E$80,0)),"CEK JENIS ZONA",IF($D466="","Zona STOCK",IF($E466="","CEK SKU DESCRIPTION kosong",IF(AND(W466&lt;&gt;"",X466=""),"CEK URUTAN SAMBUNG kosong",IF(AND(W466&lt;&gt;"",LEFT(Z466,6)="Endcap"),"CEK Endcap tidak ikut sambung","OK")))))))))</f>
        <v/>
      </c>
      <c r="AB466" s="11" t="n"/>
      <c r="AC466" s="11" t="n"/>
      <c r="AD466" s="11" t="n"/>
      <c r="AE466" s="11" t="n"/>
      <c r="AF466" s="11" t="n"/>
      <c r="AG466" s="11" t="n"/>
      <c r="AH466" s="12">
        <f>IF(AB466="","",IFERROR(INDEX(DAFTAR_FIXTURE!$B$2:$B$51,MATCH(AB466,DAFTAR_FIXTURE!$A$2:$A$51,0)),""))</f>
        <v/>
      </c>
      <c r="AI466" s="12">
        <f>IF(AB466="","",IF(AH466="","CEK ID FIXTURE tidak ada di DAFTAR_FIXTURE",IF(AC466="","CEK ZONA NO kosong",IF(ISNA(MATCH(AH466&amp;"|"&amp;AC466,LAYOUT!$E$2:$E$80,0)),"CEK ZONA NO di luar layout",IF(AD466&lt;&gt;INDEX(LAYOUT!$D$2:$D$80,MATCH(AH466&amp;"|"&amp;AC466,LAYOUT!$E$2:$E$80,0)),"CEK JENIS ZONA",IF($D466="","Zona STOCK",IF($E466="","CEK SKU DESCRIPTION kosong",IF(AND(AE466&lt;&gt;"",AF466=""),"CEK URUTAN SAMBUNG kosong",IF(AND(AE466&lt;&gt;"",LEFT(AH466,6)="Endcap"),"CEK Endcap tidak ikut sambung","OK")))))))))</f>
        <v/>
      </c>
    </row>
    <row r="467">
      <c r="A467" s="10" t="n"/>
      <c r="B467" s="10" t="n"/>
      <c r="C467" s="10" t="n"/>
      <c r="D467" s="10" t="n"/>
      <c r="E467" s="10" t="n"/>
      <c r="F467" s="10" t="n"/>
      <c r="G467" s="10" t="n"/>
      <c r="H467" s="10" t="n"/>
      <c r="I467" s="10" t="n"/>
      <c r="J467" s="10" t="n"/>
      <c r="K467" s="10" t="n"/>
      <c r="L467" s="11" t="n"/>
      <c r="M467" s="11" t="n"/>
      <c r="N467" s="11" t="n"/>
      <c r="O467" s="11" t="n"/>
      <c r="P467" s="11" t="n"/>
      <c r="Q467" s="11" t="n"/>
      <c r="R467" s="12">
        <f>IF(L467="","",IFERROR(INDEX(DAFTAR_FIXTURE!$B$2:$B$51,MATCH(L467,DAFTAR_FIXTURE!$A$2:$A$51,0)),""))</f>
        <v/>
      </c>
      <c r="S467" s="12">
        <f>IF(AND($D467="",L467=""),"",IF(L467="",IF(AND(T467="",AB467=""),"Belum ditempatkan",""),IF(R467="","CEK ID FIXTURE tidak ada di DAFTAR_FIXTURE",IF(M467="","CEK ZONA NO kosong",IF(ISNA(MATCH(R467&amp;"|"&amp;M467,LAYOUT!$E$2:$E$80,0)),"CEK ZONA NO di luar layout",IF(N467&lt;&gt;INDEX(LAYOUT!$D$2:$D$80,MATCH(R467&amp;"|"&amp;M467,LAYOUT!$E$2:$E$80,0)),"CEK JENIS ZONA",IF($D467="","Zona STOCK",IF($E467="","CEK SKU DESCRIPTION kosong",IF(AND(O467&lt;&gt;"",P467=""),"CEK URUTAN SAMBUNG kosong",IF(AND(O467&lt;&gt;"",LEFT(R467,6)="Endcap"),"CEK Endcap tidak ikut sambung","OK"))))))))))</f>
        <v/>
      </c>
      <c r="T467" s="11" t="n"/>
      <c r="U467" s="11" t="n"/>
      <c r="V467" s="11" t="n"/>
      <c r="W467" s="11" t="n"/>
      <c r="X467" s="11" t="n"/>
      <c r="Y467" s="11" t="n"/>
      <c r="Z467" s="12">
        <f>IF(T467="","",IFERROR(INDEX(DAFTAR_FIXTURE!$B$2:$B$51,MATCH(T467,DAFTAR_FIXTURE!$A$2:$A$51,0)),""))</f>
        <v/>
      </c>
      <c r="AA467" s="12">
        <f>IF(T467="","",IF(Z467="","CEK ID FIXTURE tidak ada di DAFTAR_FIXTURE",IF(U467="","CEK ZONA NO kosong",IF(ISNA(MATCH(Z467&amp;"|"&amp;U467,LAYOUT!$E$2:$E$80,0)),"CEK ZONA NO di luar layout",IF(V467&lt;&gt;INDEX(LAYOUT!$D$2:$D$80,MATCH(Z467&amp;"|"&amp;U467,LAYOUT!$E$2:$E$80,0)),"CEK JENIS ZONA",IF($D467="","Zona STOCK",IF($E467="","CEK SKU DESCRIPTION kosong",IF(AND(W467&lt;&gt;"",X467=""),"CEK URUTAN SAMBUNG kosong",IF(AND(W467&lt;&gt;"",LEFT(Z467,6)="Endcap"),"CEK Endcap tidak ikut sambung","OK")))))))))</f>
        <v/>
      </c>
      <c r="AB467" s="11" t="n"/>
      <c r="AC467" s="11" t="n"/>
      <c r="AD467" s="11" t="n"/>
      <c r="AE467" s="11" t="n"/>
      <c r="AF467" s="11" t="n"/>
      <c r="AG467" s="11" t="n"/>
      <c r="AH467" s="12">
        <f>IF(AB467="","",IFERROR(INDEX(DAFTAR_FIXTURE!$B$2:$B$51,MATCH(AB467,DAFTAR_FIXTURE!$A$2:$A$51,0)),""))</f>
        <v/>
      </c>
      <c r="AI467" s="12">
        <f>IF(AB467="","",IF(AH467="","CEK ID FIXTURE tidak ada di DAFTAR_FIXTURE",IF(AC467="","CEK ZONA NO kosong",IF(ISNA(MATCH(AH467&amp;"|"&amp;AC467,LAYOUT!$E$2:$E$80,0)),"CEK ZONA NO di luar layout",IF(AD467&lt;&gt;INDEX(LAYOUT!$D$2:$D$80,MATCH(AH467&amp;"|"&amp;AC467,LAYOUT!$E$2:$E$80,0)),"CEK JENIS ZONA",IF($D467="","Zona STOCK",IF($E467="","CEK SKU DESCRIPTION kosong",IF(AND(AE467&lt;&gt;"",AF467=""),"CEK URUTAN SAMBUNG kosong",IF(AND(AE467&lt;&gt;"",LEFT(AH467,6)="Endcap"),"CEK Endcap tidak ikut sambung","OK")))))))))</f>
        <v/>
      </c>
    </row>
    <row r="468">
      <c r="A468" s="10" t="n"/>
      <c r="B468" s="10" t="n"/>
      <c r="C468" s="10" t="n"/>
      <c r="D468" s="10" t="n"/>
      <c r="E468" s="10" t="n"/>
      <c r="F468" s="10" t="n"/>
      <c r="G468" s="10" t="n"/>
      <c r="H468" s="10" t="n"/>
      <c r="I468" s="10" t="n"/>
      <c r="J468" s="10" t="n"/>
      <c r="K468" s="10" t="n"/>
      <c r="L468" s="11" t="n"/>
      <c r="M468" s="11" t="n"/>
      <c r="N468" s="11" t="n"/>
      <c r="O468" s="11" t="n"/>
      <c r="P468" s="11" t="n"/>
      <c r="Q468" s="11" t="n"/>
      <c r="R468" s="12">
        <f>IF(L468="","",IFERROR(INDEX(DAFTAR_FIXTURE!$B$2:$B$51,MATCH(L468,DAFTAR_FIXTURE!$A$2:$A$51,0)),""))</f>
        <v/>
      </c>
      <c r="S468" s="12">
        <f>IF(AND($D468="",L468=""),"",IF(L468="",IF(AND(T468="",AB468=""),"Belum ditempatkan",""),IF(R468="","CEK ID FIXTURE tidak ada di DAFTAR_FIXTURE",IF(M468="","CEK ZONA NO kosong",IF(ISNA(MATCH(R468&amp;"|"&amp;M468,LAYOUT!$E$2:$E$80,0)),"CEK ZONA NO di luar layout",IF(N468&lt;&gt;INDEX(LAYOUT!$D$2:$D$80,MATCH(R468&amp;"|"&amp;M468,LAYOUT!$E$2:$E$80,0)),"CEK JENIS ZONA",IF($D468="","Zona STOCK",IF($E468="","CEK SKU DESCRIPTION kosong",IF(AND(O468&lt;&gt;"",P468=""),"CEK URUTAN SAMBUNG kosong",IF(AND(O468&lt;&gt;"",LEFT(R468,6)="Endcap"),"CEK Endcap tidak ikut sambung","OK"))))))))))</f>
        <v/>
      </c>
      <c r="T468" s="11" t="n"/>
      <c r="U468" s="11" t="n"/>
      <c r="V468" s="11" t="n"/>
      <c r="W468" s="11" t="n"/>
      <c r="X468" s="11" t="n"/>
      <c r="Y468" s="11" t="n"/>
      <c r="Z468" s="12">
        <f>IF(T468="","",IFERROR(INDEX(DAFTAR_FIXTURE!$B$2:$B$51,MATCH(T468,DAFTAR_FIXTURE!$A$2:$A$51,0)),""))</f>
        <v/>
      </c>
      <c r="AA468" s="12">
        <f>IF(T468="","",IF(Z468="","CEK ID FIXTURE tidak ada di DAFTAR_FIXTURE",IF(U468="","CEK ZONA NO kosong",IF(ISNA(MATCH(Z468&amp;"|"&amp;U468,LAYOUT!$E$2:$E$80,0)),"CEK ZONA NO di luar layout",IF(V468&lt;&gt;INDEX(LAYOUT!$D$2:$D$80,MATCH(Z468&amp;"|"&amp;U468,LAYOUT!$E$2:$E$80,0)),"CEK JENIS ZONA",IF($D468="","Zona STOCK",IF($E468="","CEK SKU DESCRIPTION kosong",IF(AND(W468&lt;&gt;"",X468=""),"CEK URUTAN SAMBUNG kosong",IF(AND(W468&lt;&gt;"",LEFT(Z468,6)="Endcap"),"CEK Endcap tidak ikut sambung","OK")))))))))</f>
        <v/>
      </c>
      <c r="AB468" s="11" t="n"/>
      <c r="AC468" s="11" t="n"/>
      <c r="AD468" s="11" t="n"/>
      <c r="AE468" s="11" t="n"/>
      <c r="AF468" s="11" t="n"/>
      <c r="AG468" s="11" t="n"/>
      <c r="AH468" s="12">
        <f>IF(AB468="","",IFERROR(INDEX(DAFTAR_FIXTURE!$B$2:$B$51,MATCH(AB468,DAFTAR_FIXTURE!$A$2:$A$51,0)),""))</f>
        <v/>
      </c>
      <c r="AI468" s="12">
        <f>IF(AB468="","",IF(AH468="","CEK ID FIXTURE tidak ada di DAFTAR_FIXTURE",IF(AC468="","CEK ZONA NO kosong",IF(ISNA(MATCH(AH468&amp;"|"&amp;AC468,LAYOUT!$E$2:$E$80,0)),"CEK ZONA NO di luar layout",IF(AD468&lt;&gt;INDEX(LAYOUT!$D$2:$D$80,MATCH(AH468&amp;"|"&amp;AC468,LAYOUT!$E$2:$E$80,0)),"CEK JENIS ZONA",IF($D468="","Zona STOCK",IF($E468="","CEK SKU DESCRIPTION kosong",IF(AND(AE468&lt;&gt;"",AF468=""),"CEK URUTAN SAMBUNG kosong",IF(AND(AE468&lt;&gt;"",LEFT(AH468,6)="Endcap"),"CEK Endcap tidak ikut sambung","OK")))))))))</f>
        <v/>
      </c>
    </row>
    <row r="469">
      <c r="A469" s="10" t="n"/>
      <c r="B469" s="10" t="n"/>
      <c r="C469" s="10" t="n"/>
      <c r="D469" s="10" t="n"/>
      <c r="E469" s="10" t="n"/>
      <c r="F469" s="10" t="n"/>
      <c r="G469" s="10" t="n"/>
      <c r="H469" s="10" t="n"/>
      <c r="I469" s="10" t="n"/>
      <c r="J469" s="10" t="n"/>
      <c r="K469" s="10" t="n"/>
      <c r="L469" s="11" t="n"/>
      <c r="M469" s="11" t="n"/>
      <c r="N469" s="11" t="n"/>
      <c r="O469" s="11" t="n"/>
      <c r="P469" s="11" t="n"/>
      <c r="Q469" s="11" t="n"/>
      <c r="R469" s="12">
        <f>IF(L469="","",IFERROR(INDEX(DAFTAR_FIXTURE!$B$2:$B$51,MATCH(L469,DAFTAR_FIXTURE!$A$2:$A$51,0)),""))</f>
        <v/>
      </c>
      <c r="S469" s="12">
        <f>IF(AND($D469="",L469=""),"",IF(L469="",IF(AND(T469="",AB469=""),"Belum ditempatkan",""),IF(R469="","CEK ID FIXTURE tidak ada di DAFTAR_FIXTURE",IF(M469="","CEK ZONA NO kosong",IF(ISNA(MATCH(R469&amp;"|"&amp;M469,LAYOUT!$E$2:$E$80,0)),"CEK ZONA NO di luar layout",IF(N469&lt;&gt;INDEX(LAYOUT!$D$2:$D$80,MATCH(R469&amp;"|"&amp;M469,LAYOUT!$E$2:$E$80,0)),"CEK JENIS ZONA",IF($D469="","Zona STOCK",IF($E469="","CEK SKU DESCRIPTION kosong",IF(AND(O469&lt;&gt;"",P469=""),"CEK URUTAN SAMBUNG kosong",IF(AND(O469&lt;&gt;"",LEFT(R469,6)="Endcap"),"CEK Endcap tidak ikut sambung","OK"))))))))))</f>
        <v/>
      </c>
      <c r="T469" s="11" t="n"/>
      <c r="U469" s="11" t="n"/>
      <c r="V469" s="11" t="n"/>
      <c r="W469" s="11" t="n"/>
      <c r="X469" s="11" t="n"/>
      <c r="Y469" s="11" t="n"/>
      <c r="Z469" s="12">
        <f>IF(T469="","",IFERROR(INDEX(DAFTAR_FIXTURE!$B$2:$B$51,MATCH(T469,DAFTAR_FIXTURE!$A$2:$A$51,0)),""))</f>
        <v/>
      </c>
      <c r="AA469" s="12">
        <f>IF(T469="","",IF(Z469="","CEK ID FIXTURE tidak ada di DAFTAR_FIXTURE",IF(U469="","CEK ZONA NO kosong",IF(ISNA(MATCH(Z469&amp;"|"&amp;U469,LAYOUT!$E$2:$E$80,0)),"CEK ZONA NO di luar layout",IF(V469&lt;&gt;INDEX(LAYOUT!$D$2:$D$80,MATCH(Z469&amp;"|"&amp;U469,LAYOUT!$E$2:$E$80,0)),"CEK JENIS ZONA",IF($D469="","Zona STOCK",IF($E469="","CEK SKU DESCRIPTION kosong",IF(AND(W469&lt;&gt;"",X469=""),"CEK URUTAN SAMBUNG kosong",IF(AND(W469&lt;&gt;"",LEFT(Z469,6)="Endcap"),"CEK Endcap tidak ikut sambung","OK")))))))))</f>
        <v/>
      </c>
      <c r="AB469" s="11" t="n"/>
      <c r="AC469" s="11" t="n"/>
      <c r="AD469" s="11" t="n"/>
      <c r="AE469" s="11" t="n"/>
      <c r="AF469" s="11" t="n"/>
      <c r="AG469" s="11" t="n"/>
      <c r="AH469" s="12">
        <f>IF(AB469="","",IFERROR(INDEX(DAFTAR_FIXTURE!$B$2:$B$51,MATCH(AB469,DAFTAR_FIXTURE!$A$2:$A$51,0)),""))</f>
        <v/>
      </c>
      <c r="AI469" s="12">
        <f>IF(AB469="","",IF(AH469="","CEK ID FIXTURE tidak ada di DAFTAR_FIXTURE",IF(AC469="","CEK ZONA NO kosong",IF(ISNA(MATCH(AH469&amp;"|"&amp;AC469,LAYOUT!$E$2:$E$80,0)),"CEK ZONA NO di luar layout",IF(AD469&lt;&gt;INDEX(LAYOUT!$D$2:$D$80,MATCH(AH469&amp;"|"&amp;AC469,LAYOUT!$E$2:$E$80,0)),"CEK JENIS ZONA",IF($D469="","Zona STOCK",IF($E469="","CEK SKU DESCRIPTION kosong",IF(AND(AE469&lt;&gt;"",AF469=""),"CEK URUTAN SAMBUNG kosong",IF(AND(AE469&lt;&gt;"",LEFT(AH469,6)="Endcap"),"CEK Endcap tidak ikut sambung","OK")))))))))</f>
        <v/>
      </c>
    </row>
    <row r="470">
      <c r="A470" s="10" t="n"/>
      <c r="B470" s="10" t="n"/>
      <c r="C470" s="10" t="n"/>
      <c r="D470" s="10" t="n"/>
      <c r="E470" s="10" t="n"/>
      <c r="F470" s="10" t="n"/>
      <c r="G470" s="10" t="n"/>
      <c r="H470" s="10" t="n"/>
      <c r="I470" s="10" t="n"/>
      <c r="J470" s="10" t="n"/>
      <c r="K470" s="10" t="n"/>
      <c r="L470" s="11" t="n"/>
      <c r="M470" s="11" t="n"/>
      <c r="N470" s="11" t="n"/>
      <c r="O470" s="11" t="n"/>
      <c r="P470" s="11" t="n"/>
      <c r="Q470" s="11" t="n"/>
      <c r="R470" s="12">
        <f>IF(L470="","",IFERROR(INDEX(DAFTAR_FIXTURE!$B$2:$B$51,MATCH(L470,DAFTAR_FIXTURE!$A$2:$A$51,0)),""))</f>
        <v/>
      </c>
      <c r="S470" s="12">
        <f>IF(AND($D470="",L470=""),"",IF(L470="",IF(AND(T470="",AB470=""),"Belum ditempatkan",""),IF(R470="","CEK ID FIXTURE tidak ada di DAFTAR_FIXTURE",IF(M470="","CEK ZONA NO kosong",IF(ISNA(MATCH(R470&amp;"|"&amp;M470,LAYOUT!$E$2:$E$80,0)),"CEK ZONA NO di luar layout",IF(N470&lt;&gt;INDEX(LAYOUT!$D$2:$D$80,MATCH(R470&amp;"|"&amp;M470,LAYOUT!$E$2:$E$80,0)),"CEK JENIS ZONA",IF($D470="","Zona STOCK",IF($E470="","CEK SKU DESCRIPTION kosong",IF(AND(O470&lt;&gt;"",P470=""),"CEK URUTAN SAMBUNG kosong",IF(AND(O470&lt;&gt;"",LEFT(R470,6)="Endcap"),"CEK Endcap tidak ikut sambung","OK"))))))))))</f>
        <v/>
      </c>
      <c r="T470" s="11" t="n"/>
      <c r="U470" s="11" t="n"/>
      <c r="V470" s="11" t="n"/>
      <c r="W470" s="11" t="n"/>
      <c r="X470" s="11" t="n"/>
      <c r="Y470" s="11" t="n"/>
      <c r="Z470" s="12">
        <f>IF(T470="","",IFERROR(INDEX(DAFTAR_FIXTURE!$B$2:$B$51,MATCH(T470,DAFTAR_FIXTURE!$A$2:$A$51,0)),""))</f>
        <v/>
      </c>
      <c r="AA470" s="12">
        <f>IF(T470="","",IF(Z470="","CEK ID FIXTURE tidak ada di DAFTAR_FIXTURE",IF(U470="","CEK ZONA NO kosong",IF(ISNA(MATCH(Z470&amp;"|"&amp;U470,LAYOUT!$E$2:$E$80,0)),"CEK ZONA NO di luar layout",IF(V470&lt;&gt;INDEX(LAYOUT!$D$2:$D$80,MATCH(Z470&amp;"|"&amp;U470,LAYOUT!$E$2:$E$80,0)),"CEK JENIS ZONA",IF($D470="","Zona STOCK",IF($E470="","CEK SKU DESCRIPTION kosong",IF(AND(W470&lt;&gt;"",X470=""),"CEK URUTAN SAMBUNG kosong",IF(AND(W470&lt;&gt;"",LEFT(Z470,6)="Endcap"),"CEK Endcap tidak ikut sambung","OK")))))))))</f>
        <v/>
      </c>
      <c r="AB470" s="11" t="n"/>
      <c r="AC470" s="11" t="n"/>
      <c r="AD470" s="11" t="n"/>
      <c r="AE470" s="11" t="n"/>
      <c r="AF470" s="11" t="n"/>
      <c r="AG470" s="11" t="n"/>
      <c r="AH470" s="12">
        <f>IF(AB470="","",IFERROR(INDEX(DAFTAR_FIXTURE!$B$2:$B$51,MATCH(AB470,DAFTAR_FIXTURE!$A$2:$A$51,0)),""))</f>
        <v/>
      </c>
      <c r="AI470" s="12">
        <f>IF(AB470="","",IF(AH470="","CEK ID FIXTURE tidak ada di DAFTAR_FIXTURE",IF(AC470="","CEK ZONA NO kosong",IF(ISNA(MATCH(AH470&amp;"|"&amp;AC470,LAYOUT!$E$2:$E$80,0)),"CEK ZONA NO di luar layout",IF(AD470&lt;&gt;INDEX(LAYOUT!$D$2:$D$80,MATCH(AH470&amp;"|"&amp;AC470,LAYOUT!$E$2:$E$80,0)),"CEK JENIS ZONA",IF($D470="","Zona STOCK",IF($E470="","CEK SKU DESCRIPTION kosong",IF(AND(AE470&lt;&gt;"",AF470=""),"CEK URUTAN SAMBUNG kosong",IF(AND(AE470&lt;&gt;"",LEFT(AH470,6)="Endcap"),"CEK Endcap tidak ikut sambung","OK")))))))))</f>
        <v/>
      </c>
    </row>
    <row r="471">
      <c r="A471" s="10" t="n"/>
      <c r="B471" s="10" t="n"/>
      <c r="C471" s="10" t="n"/>
      <c r="D471" s="10" t="n"/>
      <c r="E471" s="10" t="n"/>
      <c r="F471" s="10" t="n"/>
      <c r="G471" s="10" t="n"/>
      <c r="H471" s="10" t="n"/>
      <c r="I471" s="10" t="n"/>
      <c r="J471" s="10" t="n"/>
      <c r="K471" s="10" t="n"/>
      <c r="L471" s="11" t="n"/>
      <c r="M471" s="11" t="n"/>
      <c r="N471" s="11" t="n"/>
      <c r="O471" s="11" t="n"/>
      <c r="P471" s="11" t="n"/>
      <c r="Q471" s="11" t="n"/>
      <c r="R471" s="12">
        <f>IF(L471="","",IFERROR(INDEX(DAFTAR_FIXTURE!$B$2:$B$51,MATCH(L471,DAFTAR_FIXTURE!$A$2:$A$51,0)),""))</f>
        <v/>
      </c>
      <c r="S471" s="12">
        <f>IF(AND($D471="",L471=""),"",IF(L471="",IF(AND(T471="",AB471=""),"Belum ditempatkan",""),IF(R471="","CEK ID FIXTURE tidak ada di DAFTAR_FIXTURE",IF(M471="","CEK ZONA NO kosong",IF(ISNA(MATCH(R471&amp;"|"&amp;M471,LAYOUT!$E$2:$E$80,0)),"CEK ZONA NO di luar layout",IF(N471&lt;&gt;INDEX(LAYOUT!$D$2:$D$80,MATCH(R471&amp;"|"&amp;M471,LAYOUT!$E$2:$E$80,0)),"CEK JENIS ZONA",IF($D471="","Zona STOCK",IF($E471="","CEK SKU DESCRIPTION kosong",IF(AND(O471&lt;&gt;"",P471=""),"CEK URUTAN SAMBUNG kosong",IF(AND(O471&lt;&gt;"",LEFT(R471,6)="Endcap"),"CEK Endcap tidak ikut sambung","OK"))))))))))</f>
        <v/>
      </c>
      <c r="T471" s="11" t="n"/>
      <c r="U471" s="11" t="n"/>
      <c r="V471" s="11" t="n"/>
      <c r="W471" s="11" t="n"/>
      <c r="X471" s="11" t="n"/>
      <c r="Y471" s="11" t="n"/>
      <c r="Z471" s="12">
        <f>IF(T471="","",IFERROR(INDEX(DAFTAR_FIXTURE!$B$2:$B$51,MATCH(T471,DAFTAR_FIXTURE!$A$2:$A$51,0)),""))</f>
        <v/>
      </c>
      <c r="AA471" s="12">
        <f>IF(T471="","",IF(Z471="","CEK ID FIXTURE tidak ada di DAFTAR_FIXTURE",IF(U471="","CEK ZONA NO kosong",IF(ISNA(MATCH(Z471&amp;"|"&amp;U471,LAYOUT!$E$2:$E$80,0)),"CEK ZONA NO di luar layout",IF(V471&lt;&gt;INDEX(LAYOUT!$D$2:$D$80,MATCH(Z471&amp;"|"&amp;U471,LAYOUT!$E$2:$E$80,0)),"CEK JENIS ZONA",IF($D471="","Zona STOCK",IF($E471="","CEK SKU DESCRIPTION kosong",IF(AND(W471&lt;&gt;"",X471=""),"CEK URUTAN SAMBUNG kosong",IF(AND(W471&lt;&gt;"",LEFT(Z471,6)="Endcap"),"CEK Endcap tidak ikut sambung","OK")))))))))</f>
        <v/>
      </c>
      <c r="AB471" s="11" t="n"/>
      <c r="AC471" s="11" t="n"/>
      <c r="AD471" s="11" t="n"/>
      <c r="AE471" s="11" t="n"/>
      <c r="AF471" s="11" t="n"/>
      <c r="AG471" s="11" t="n"/>
      <c r="AH471" s="12">
        <f>IF(AB471="","",IFERROR(INDEX(DAFTAR_FIXTURE!$B$2:$B$51,MATCH(AB471,DAFTAR_FIXTURE!$A$2:$A$51,0)),""))</f>
        <v/>
      </c>
      <c r="AI471" s="12">
        <f>IF(AB471="","",IF(AH471="","CEK ID FIXTURE tidak ada di DAFTAR_FIXTURE",IF(AC471="","CEK ZONA NO kosong",IF(ISNA(MATCH(AH471&amp;"|"&amp;AC471,LAYOUT!$E$2:$E$80,0)),"CEK ZONA NO di luar layout",IF(AD471&lt;&gt;INDEX(LAYOUT!$D$2:$D$80,MATCH(AH471&amp;"|"&amp;AC471,LAYOUT!$E$2:$E$80,0)),"CEK JENIS ZONA",IF($D471="","Zona STOCK",IF($E471="","CEK SKU DESCRIPTION kosong",IF(AND(AE471&lt;&gt;"",AF471=""),"CEK URUTAN SAMBUNG kosong",IF(AND(AE471&lt;&gt;"",LEFT(AH471,6)="Endcap"),"CEK Endcap tidak ikut sambung","OK")))))))))</f>
        <v/>
      </c>
    </row>
    <row r="472">
      <c r="A472" s="10" t="n"/>
      <c r="B472" s="10" t="n"/>
      <c r="C472" s="10" t="n"/>
      <c r="D472" s="10" t="n"/>
      <c r="E472" s="10" t="n"/>
      <c r="F472" s="10" t="n"/>
      <c r="G472" s="10" t="n"/>
      <c r="H472" s="10" t="n"/>
      <c r="I472" s="10" t="n"/>
      <c r="J472" s="10" t="n"/>
      <c r="K472" s="10" t="n"/>
      <c r="L472" s="11" t="n"/>
      <c r="M472" s="11" t="n"/>
      <c r="N472" s="11" t="n"/>
      <c r="O472" s="11" t="n"/>
      <c r="P472" s="11" t="n"/>
      <c r="Q472" s="11" t="n"/>
      <c r="R472" s="12">
        <f>IF(L472="","",IFERROR(INDEX(DAFTAR_FIXTURE!$B$2:$B$51,MATCH(L472,DAFTAR_FIXTURE!$A$2:$A$51,0)),""))</f>
        <v/>
      </c>
      <c r="S472" s="12">
        <f>IF(AND($D472="",L472=""),"",IF(L472="",IF(AND(T472="",AB472=""),"Belum ditempatkan",""),IF(R472="","CEK ID FIXTURE tidak ada di DAFTAR_FIXTURE",IF(M472="","CEK ZONA NO kosong",IF(ISNA(MATCH(R472&amp;"|"&amp;M472,LAYOUT!$E$2:$E$80,0)),"CEK ZONA NO di luar layout",IF(N472&lt;&gt;INDEX(LAYOUT!$D$2:$D$80,MATCH(R472&amp;"|"&amp;M472,LAYOUT!$E$2:$E$80,0)),"CEK JENIS ZONA",IF($D472="","Zona STOCK",IF($E472="","CEK SKU DESCRIPTION kosong",IF(AND(O472&lt;&gt;"",P472=""),"CEK URUTAN SAMBUNG kosong",IF(AND(O472&lt;&gt;"",LEFT(R472,6)="Endcap"),"CEK Endcap tidak ikut sambung","OK"))))))))))</f>
        <v/>
      </c>
      <c r="T472" s="11" t="n"/>
      <c r="U472" s="11" t="n"/>
      <c r="V472" s="11" t="n"/>
      <c r="W472" s="11" t="n"/>
      <c r="X472" s="11" t="n"/>
      <c r="Y472" s="11" t="n"/>
      <c r="Z472" s="12">
        <f>IF(T472="","",IFERROR(INDEX(DAFTAR_FIXTURE!$B$2:$B$51,MATCH(T472,DAFTAR_FIXTURE!$A$2:$A$51,0)),""))</f>
        <v/>
      </c>
      <c r="AA472" s="12">
        <f>IF(T472="","",IF(Z472="","CEK ID FIXTURE tidak ada di DAFTAR_FIXTURE",IF(U472="","CEK ZONA NO kosong",IF(ISNA(MATCH(Z472&amp;"|"&amp;U472,LAYOUT!$E$2:$E$80,0)),"CEK ZONA NO di luar layout",IF(V472&lt;&gt;INDEX(LAYOUT!$D$2:$D$80,MATCH(Z472&amp;"|"&amp;U472,LAYOUT!$E$2:$E$80,0)),"CEK JENIS ZONA",IF($D472="","Zona STOCK",IF($E472="","CEK SKU DESCRIPTION kosong",IF(AND(W472&lt;&gt;"",X472=""),"CEK URUTAN SAMBUNG kosong",IF(AND(W472&lt;&gt;"",LEFT(Z472,6)="Endcap"),"CEK Endcap tidak ikut sambung","OK")))))))))</f>
        <v/>
      </c>
      <c r="AB472" s="11" t="n"/>
      <c r="AC472" s="11" t="n"/>
      <c r="AD472" s="11" t="n"/>
      <c r="AE472" s="11" t="n"/>
      <c r="AF472" s="11" t="n"/>
      <c r="AG472" s="11" t="n"/>
      <c r="AH472" s="12">
        <f>IF(AB472="","",IFERROR(INDEX(DAFTAR_FIXTURE!$B$2:$B$51,MATCH(AB472,DAFTAR_FIXTURE!$A$2:$A$51,0)),""))</f>
        <v/>
      </c>
      <c r="AI472" s="12">
        <f>IF(AB472="","",IF(AH472="","CEK ID FIXTURE tidak ada di DAFTAR_FIXTURE",IF(AC472="","CEK ZONA NO kosong",IF(ISNA(MATCH(AH472&amp;"|"&amp;AC472,LAYOUT!$E$2:$E$80,0)),"CEK ZONA NO di luar layout",IF(AD472&lt;&gt;INDEX(LAYOUT!$D$2:$D$80,MATCH(AH472&amp;"|"&amp;AC472,LAYOUT!$E$2:$E$80,0)),"CEK JENIS ZONA",IF($D472="","Zona STOCK",IF($E472="","CEK SKU DESCRIPTION kosong",IF(AND(AE472&lt;&gt;"",AF472=""),"CEK URUTAN SAMBUNG kosong",IF(AND(AE472&lt;&gt;"",LEFT(AH472,6)="Endcap"),"CEK Endcap tidak ikut sambung","OK")))))))))</f>
        <v/>
      </c>
    </row>
    <row r="473">
      <c r="A473" s="10" t="n"/>
      <c r="B473" s="10" t="n"/>
      <c r="C473" s="10" t="n"/>
      <c r="D473" s="10" t="n"/>
      <c r="E473" s="10" t="n"/>
      <c r="F473" s="10" t="n"/>
      <c r="G473" s="10" t="n"/>
      <c r="H473" s="10" t="n"/>
      <c r="I473" s="10" t="n"/>
      <c r="J473" s="10" t="n"/>
      <c r="K473" s="10" t="n"/>
      <c r="L473" s="11" t="n"/>
      <c r="M473" s="11" t="n"/>
      <c r="N473" s="11" t="n"/>
      <c r="O473" s="11" t="n"/>
      <c r="P473" s="11" t="n"/>
      <c r="Q473" s="11" t="n"/>
      <c r="R473" s="12">
        <f>IF(L473="","",IFERROR(INDEX(DAFTAR_FIXTURE!$B$2:$B$51,MATCH(L473,DAFTAR_FIXTURE!$A$2:$A$51,0)),""))</f>
        <v/>
      </c>
      <c r="S473" s="12">
        <f>IF(AND($D473="",L473=""),"",IF(L473="",IF(AND(T473="",AB473=""),"Belum ditempatkan",""),IF(R473="","CEK ID FIXTURE tidak ada di DAFTAR_FIXTURE",IF(M473="","CEK ZONA NO kosong",IF(ISNA(MATCH(R473&amp;"|"&amp;M473,LAYOUT!$E$2:$E$80,0)),"CEK ZONA NO di luar layout",IF(N473&lt;&gt;INDEX(LAYOUT!$D$2:$D$80,MATCH(R473&amp;"|"&amp;M473,LAYOUT!$E$2:$E$80,0)),"CEK JENIS ZONA",IF($D473="","Zona STOCK",IF($E473="","CEK SKU DESCRIPTION kosong",IF(AND(O473&lt;&gt;"",P473=""),"CEK URUTAN SAMBUNG kosong",IF(AND(O473&lt;&gt;"",LEFT(R473,6)="Endcap"),"CEK Endcap tidak ikut sambung","OK"))))))))))</f>
        <v/>
      </c>
      <c r="T473" s="11" t="n"/>
      <c r="U473" s="11" t="n"/>
      <c r="V473" s="11" t="n"/>
      <c r="W473" s="11" t="n"/>
      <c r="X473" s="11" t="n"/>
      <c r="Y473" s="11" t="n"/>
      <c r="Z473" s="12">
        <f>IF(T473="","",IFERROR(INDEX(DAFTAR_FIXTURE!$B$2:$B$51,MATCH(T473,DAFTAR_FIXTURE!$A$2:$A$51,0)),""))</f>
        <v/>
      </c>
      <c r="AA473" s="12">
        <f>IF(T473="","",IF(Z473="","CEK ID FIXTURE tidak ada di DAFTAR_FIXTURE",IF(U473="","CEK ZONA NO kosong",IF(ISNA(MATCH(Z473&amp;"|"&amp;U473,LAYOUT!$E$2:$E$80,0)),"CEK ZONA NO di luar layout",IF(V473&lt;&gt;INDEX(LAYOUT!$D$2:$D$80,MATCH(Z473&amp;"|"&amp;U473,LAYOUT!$E$2:$E$80,0)),"CEK JENIS ZONA",IF($D473="","Zona STOCK",IF($E473="","CEK SKU DESCRIPTION kosong",IF(AND(W473&lt;&gt;"",X473=""),"CEK URUTAN SAMBUNG kosong",IF(AND(W473&lt;&gt;"",LEFT(Z473,6)="Endcap"),"CEK Endcap tidak ikut sambung","OK")))))))))</f>
        <v/>
      </c>
      <c r="AB473" s="11" t="n"/>
      <c r="AC473" s="11" t="n"/>
      <c r="AD473" s="11" t="n"/>
      <c r="AE473" s="11" t="n"/>
      <c r="AF473" s="11" t="n"/>
      <c r="AG473" s="11" t="n"/>
      <c r="AH473" s="12">
        <f>IF(AB473="","",IFERROR(INDEX(DAFTAR_FIXTURE!$B$2:$B$51,MATCH(AB473,DAFTAR_FIXTURE!$A$2:$A$51,0)),""))</f>
        <v/>
      </c>
      <c r="AI473" s="12">
        <f>IF(AB473="","",IF(AH473="","CEK ID FIXTURE tidak ada di DAFTAR_FIXTURE",IF(AC473="","CEK ZONA NO kosong",IF(ISNA(MATCH(AH473&amp;"|"&amp;AC473,LAYOUT!$E$2:$E$80,0)),"CEK ZONA NO di luar layout",IF(AD473&lt;&gt;INDEX(LAYOUT!$D$2:$D$80,MATCH(AH473&amp;"|"&amp;AC473,LAYOUT!$E$2:$E$80,0)),"CEK JENIS ZONA",IF($D473="","Zona STOCK",IF($E473="","CEK SKU DESCRIPTION kosong",IF(AND(AE473&lt;&gt;"",AF473=""),"CEK URUTAN SAMBUNG kosong",IF(AND(AE473&lt;&gt;"",LEFT(AH473,6)="Endcap"),"CEK Endcap tidak ikut sambung","OK")))))))))</f>
        <v/>
      </c>
    </row>
    <row r="474">
      <c r="A474" s="10" t="n"/>
      <c r="B474" s="10" t="n"/>
      <c r="C474" s="10" t="n"/>
      <c r="D474" s="10" t="n"/>
      <c r="E474" s="10" t="n"/>
      <c r="F474" s="10" t="n"/>
      <c r="G474" s="10" t="n"/>
      <c r="H474" s="10" t="n"/>
      <c r="I474" s="10" t="n"/>
      <c r="J474" s="10" t="n"/>
      <c r="K474" s="10" t="n"/>
      <c r="L474" s="11" t="n"/>
      <c r="M474" s="11" t="n"/>
      <c r="N474" s="11" t="n"/>
      <c r="O474" s="11" t="n"/>
      <c r="P474" s="11" t="n"/>
      <c r="Q474" s="11" t="n"/>
      <c r="R474" s="12">
        <f>IF(L474="","",IFERROR(INDEX(DAFTAR_FIXTURE!$B$2:$B$51,MATCH(L474,DAFTAR_FIXTURE!$A$2:$A$51,0)),""))</f>
        <v/>
      </c>
      <c r="S474" s="12">
        <f>IF(AND($D474="",L474=""),"",IF(L474="",IF(AND(T474="",AB474=""),"Belum ditempatkan",""),IF(R474="","CEK ID FIXTURE tidak ada di DAFTAR_FIXTURE",IF(M474="","CEK ZONA NO kosong",IF(ISNA(MATCH(R474&amp;"|"&amp;M474,LAYOUT!$E$2:$E$80,0)),"CEK ZONA NO di luar layout",IF(N474&lt;&gt;INDEX(LAYOUT!$D$2:$D$80,MATCH(R474&amp;"|"&amp;M474,LAYOUT!$E$2:$E$80,0)),"CEK JENIS ZONA",IF($D474="","Zona STOCK",IF($E474="","CEK SKU DESCRIPTION kosong",IF(AND(O474&lt;&gt;"",P474=""),"CEK URUTAN SAMBUNG kosong",IF(AND(O474&lt;&gt;"",LEFT(R474,6)="Endcap"),"CEK Endcap tidak ikut sambung","OK"))))))))))</f>
        <v/>
      </c>
      <c r="T474" s="11" t="n"/>
      <c r="U474" s="11" t="n"/>
      <c r="V474" s="11" t="n"/>
      <c r="W474" s="11" t="n"/>
      <c r="X474" s="11" t="n"/>
      <c r="Y474" s="11" t="n"/>
      <c r="Z474" s="12">
        <f>IF(T474="","",IFERROR(INDEX(DAFTAR_FIXTURE!$B$2:$B$51,MATCH(T474,DAFTAR_FIXTURE!$A$2:$A$51,0)),""))</f>
        <v/>
      </c>
      <c r="AA474" s="12">
        <f>IF(T474="","",IF(Z474="","CEK ID FIXTURE tidak ada di DAFTAR_FIXTURE",IF(U474="","CEK ZONA NO kosong",IF(ISNA(MATCH(Z474&amp;"|"&amp;U474,LAYOUT!$E$2:$E$80,0)),"CEK ZONA NO di luar layout",IF(V474&lt;&gt;INDEX(LAYOUT!$D$2:$D$80,MATCH(Z474&amp;"|"&amp;U474,LAYOUT!$E$2:$E$80,0)),"CEK JENIS ZONA",IF($D474="","Zona STOCK",IF($E474="","CEK SKU DESCRIPTION kosong",IF(AND(W474&lt;&gt;"",X474=""),"CEK URUTAN SAMBUNG kosong",IF(AND(W474&lt;&gt;"",LEFT(Z474,6)="Endcap"),"CEK Endcap tidak ikut sambung","OK")))))))))</f>
        <v/>
      </c>
      <c r="AB474" s="11" t="n"/>
      <c r="AC474" s="11" t="n"/>
      <c r="AD474" s="11" t="n"/>
      <c r="AE474" s="11" t="n"/>
      <c r="AF474" s="11" t="n"/>
      <c r="AG474" s="11" t="n"/>
      <c r="AH474" s="12">
        <f>IF(AB474="","",IFERROR(INDEX(DAFTAR_FIXTURE!$B$2:$B$51,MATCH(AB474,DAFTAR_FIXTURE!$A$2:$A$51,0)),""))</f>
        <v/>
      </c>
      <c r="AI474" s="12">
        <f>IF(AB474="","",IF(AH474="","CEK ID FIXTURE tidak ada di DAFTAR_FIXTURE",IF(AC474="","CEK ZONA NO kosong",IF(ISNA(MATCH(AH474&amp;"|"&amp;AC474,LAYOUT!$E$2:$E$80,0)),"CEK ZONA NO di luar layout",IF(AD474&lt;&gt;INDEX(LAYOUT!$D$2:$D$80,MATCH(AH474&amp;"|"&amp;AC474,LAYOUT!$E$2:$E$80,0)),"CEK JENIS ZONA",IF($D474="","Zona STOCK",IF($E474="","CEK SKU DESCRIPTION kosong",IF(AND(AE474&lt;&gt;"",AF474=""),"CEK URUTAN SAMBUNG kosong",IF(AND(AE474&lt;&gt;"",LEFT(AH474,6)="Endcap"),"CEK Endcap tidak ikut sambung","OK")))))))))</f>
        <v/>
      </c>
    </row>
    <row r="475">
      <c r="A475" s="10" t="n"/>
      <c r="B475" s="10" t="n"/>
      <c r="C475" s="10" t="n"/>
      <c r="D475" s="10" t="n"/>
      <c r="E475" s="10" t="n"/>
      <c r="F475" s="10" t="n"/>
      <c r="G475" s="10" t="n"/>
      <c r="H475" s="10" t="n"/>
      <c r="I475" s="10" t="n"/>
      <c r="J475" s="10" t="n"/>
      <c r="K475" s="10" t="n"/>
      <c r="L475" s="11" t="n"/>
      <c r="M475" s="11" t="n"/>
      <c r="N475" s="11" t="n"/>
      <c r="O475" s="11" t="n"/>
      <c r="P475" s="11" t="n"/>
      <c r="Q475" s="11" t="n"/>
      <c r="R475" s="12">
        <f>IF(L475="","",IFERROR(INDEX(DAFTAR_FIXTURE!$B$2:$B$51,MATCH(L475,DAFTAR_FIXTURE!$A$2:$A$51,0)),""))</f>
        <v/>
      </c>
      <c r="S475" s="12">
        <f>IF(AND($D475="",L475=""),"",IF(L475="",IF(AND(T475="",AB475=""),"Belum ditempatkan",""),IF(R475="","CEK ID FIXTURE tidak ada di DAFTAR_FIXTURE",IF(M475="","CEK ZONA NO kosong",IF(ISNA(MATCH(R475&amp;"|"&amp;M475,LAYOUT!$E$2:$E$80,0)),"CEK ZONA NO di luar layout",IF(N475&lt;&gt;INDEX(LAYOUT!$D$2:$D$80,MATCH(R475&amp;"|"&amp;M475,LAYOUT!$E$2:$E$80,0)),"CEK JENIS ZONA",IF($D475="","Zona STOCK",IF($E475="","CEK SKU DESCRIPTION kosong",IF(AND(O475&lt;&gt;"",P475=""),"CEK URUTAN SAMBUNG kosong",IF(AND(O475&lt;&gt;"",LEFT(R475,6)="Endcap"),"CEK Endcap tidak ikut sambung","OK"))))))))))</f>
        <v/>
      </c>
      <c r="T475" s="11" t="n"/>
      <c r="U475" s="11" t="n"/>
      <c r="V475" s="11" t="n"/>
      <c r="W475" s="11" t="n"/>
      <c r="X475" s="11" t="n"/>
      <c r="Y475" s="11" t="n"/>
      <c r="Z475" s="12">
        <f>IF(T475="","",IFERROR(INDEX(DAFTAR_FIXTURE!$B$2:$B$51,MATCH(T475,DAFTAR_FIXTURE!$A$2:$A$51,0)),""))</f>
        <v/>
      </c>
      <c r="AA475" s="12">
        <f>IF(T475="","",IF(Z475="","CEK ID FIXTURE tidak ada di DAFTAR_FIXTURE",IF(U475="","CEK ZONA NO kosong",IF(ISNA(MATCH(Z475&amp;"|"&amp;U475,LAYOUT!$E$2:$E$80,0)),"CEK ZONA NO di luar layout",IF(V475&lt;&gt;INDEX(LAYOUT!$D$2:$D$80,MATCH(Z475&amp;"|"&amp;U475,LAYOUT!$E$2:$E$80,0)),"CEK JENIS ZONA",IF($D475="","Zona STOCK",IF($E475="","CEK SKU DESCRIPTION kosong",IF(AND(W475&lt;&gt;"",X475=""),"CEK URUTAN SAMBUNG kosong",IF(AND(W475&lt;&gt;"",LEFT(Z475,6)="Endcap"),"CEK Endcap tidak ikut sambung","OK")))))))))</f>
        <v/>
      </c>
      <c r="AB475" s="11" t="n"/>
      <c r="AC475" s="11" t="n"/>
      <c r="AD475" s="11" t="n"/>
      <c r="AE475" s="11" t="n"/>
      <c r="AF475" s="11" t="n"/>
      <c r="AG475" s="11" t="n"/>
      <c r="AH475" s="12">
        <f>IF(AB475="","",IFERROR(INDEX(DAFTAR_FIXTURE!$B$2:$B$51,MATCH(AB475,DAFTAR_FIXTURE!$A$2:$A$51,0)),""))</f>
        <v/>
      </c>
      <c r="AI475" s="12">
        <f>IF(AB475="","",IF(AH475="","CEK ID FIXTURE tidak ada di DAFTAR_FIXTURE",IF(AC475="","CEK ZONA NO kosong",IF(ISNA(MATCH(AH475&amp;"|"&amp;AC475,LAYOUT!$E$2:$E$80,0)),"CEK ZONA NO di luar layout",IF(AD475&lt;&gt;INDEX(LAYOUT!$D$2:$D$80,MATCH(AH475&amp;"|"&amp;AC475,LAYOUT!$E$2:$E$80,0)),"CEK JENIS ZONA",IF($D475="","Zona STOCK",IF($E475="","CEK SKU DESCRIPTION kosong",IF(AND(AE475&lt;&gt;"",AF475=""),"CEK URUTAN SAMBUNG kosong",IF(AND(AE475&lt;&gt;"",LEFT(AH475,6)="Endcap"),"CEK Endcap tidak ikut sambung","OK")))))))))</f>
        <v/>
      </c>
    </row>
    <row r="476">
      <c r="A476" s="10" t="n"/>
      <c r="B476" s="10" t="n"/>
      <c r="C476" s="10" t="n"/>
      <c r="D476" s="10" t="n"/>
      <c r="E476" s="10" t="n"/>
      <c r="F476" s="10" t="n"/>
      <c r="G476" s="10" t="n"/>
      <c r="H476" s="10" t="n"/>
      <c r="I476" s="10" t="n"/>
      <c r="J476" s="10" t="n"/>
      <c r="K476" s="10" t="n"/>
      <c r="L476" s="11" t="n"/>
      <c r="M476" s="11" t="n"/>
      <c r="N476" s="11" t="n"/>
      <c r="O476" s="11" t="n"/>
      <c r="P476" s="11" t="n"/>
      <c r="Q476" s="11" t="n"/>
      <c r="R476" s="12">
        <f>IF(L476="","",IFERROR(INDEX(DAFTAR_FIXTURE!$B$2:$B$51,MATCH(L476,DAFTAR_FIXTURE!$A$2:$A$51,0)),""))</f>
        <v/>
      </c>
      <c r="S476" s="12">
        <f>IF(AND($D476="",L476=""),"",IF(L476="",IF(AND(T476="",AB476=""),"Belum ditempatkan",""),IF(R476="","CEK ID FIXTURE tidak ada di DAFTAR_FIXTURE",IF(M476="","CEK ZONA NO kosong",IF(ISNA(MATCH(R476&amp;"|"&amp;M476,LAYOUT!$E$2:$E$80,0)),"CEK ZONA NO di luar layout",IF(N476&lt;&gt;INDEX(LAYOUT!$D$2:$D$80,MATCH(R476&amp;"|"&amp;M476,LAYOUT!$E$2:$E$80,0)),"CEK JENIS ZONA",IF($D476="","Zona STOCK",IF($E476="","CEK SKU DESCRIPTION kosong",IF(AND(O476&lt;&gt;"",P476=""),"CEK URUTAN SAMBUNG kosong",IF(AND(O476&lt;&gt;"",LEFT(R476,6)="Endcap"),"CEK Endcap tidak ikut sambung","OK"))))))))))</f>
        <v/>
      </c>
      <c r="T476" s="11" t="n"/>
      <c r="U476" s="11" t="n"/>
      <c r="V476" s="11" t="n"/>
      <c r="W476" s="11" t="n"/>
      <c r="X476" s="11" t="n"/>
      <c r="Y476" s="11" t="n"/>
      <c r="Z476" s="12">
        <f>IF(T476="","",IFERROR(INDEX(DAFTAR_FIXTURE!$B$2:$B$51,MATCH(T476,DAFTAR_FIXTURE!$A$2:$A$51,0)),""))</f>
        <v/>
      </c>
      <c r="AA476" s="12">
        <f>IF(T476="","",IF(Z476="","CEK ID FIXTURE tidak ada di DAFTAR_FIXTURE",IF(U476="","CEK ZONA NO kosong",IF(ISNA(MATCH(Z476&amp;"|"&amp;U476,LAYOUT!$E$2:$E$80,0)),"CEK ZONA NO di luar layout",IF(V476&lt;&gt;INDEX(LAYOUT!$D$2:$D$80,MATCH(Z476&amp;"|"&amp;U476,LAYOUT!$E$2:$E$80,0)),"CEK JENIS ZONA",IF($D476="","Zona STOCK",IF($E476="","CEK SKU DESCRIPTION kosong",IF(AND(W476&lt;&gt;"",X476=""),"CEK URUTAN SAMBUNG kosong",IF(AND(W476&lt;&gt;"",LEFT(Z476,6)="Endcap"),"CEK Endcap tidak ikut sambung","OK")))))))))</f>
        <v/>
      </c>
      <c r="AB476" s="11" t="n"/>
      <c r="AC476" s="11" t="n"/>
      <c r="AD476" s="11" t="n"/>
      <c r="AE476" s="11" t="n"/>
      <c r="AF476" s="11" t="n"/>
      <c r="AG476" s="11" t="n"/>
      <c r="AH476" s="12">
        <f>IF(AB476="","",IFERROR(INDEX(DAFTAR_FIXTURE!$B$2:$B$51,MATCH(AB476,DAFTAR_FIXTURE!$A$2:$A$51,0)),""))</f>
        <v/>
      </c>
      <c r="AI476" s="12">
        <f>IF(AB476="","",IF(AH476="","CEK ID FIXTURE tidak ada di DAFTAR_FIXTURE",IF(AC476="","CEK ZONA NO kosong",IF(ISNA(MATCH(AH476&amp;"|"&amp;AC476,LAYOUT!$E$2:$E$80,0)),"CEK ZONA NO di luar layout",IF(AD476&lt;&gt;INDEX(LAYOUT!$D$2:$D$80,MATCH(AH476&amp;"|"&amp;AC476,LAYOUT!$E$2:$E$80,0)),"CEK JENIS ZONA",IF($D476="","Zona STOCK",IF($E476="","CEK SKU DESCRIPTION kosong",IF(AND(AE476&lt;&gt;"",AF476=""),"CEK URUTAN SAMBUNG kosong",IF(AND(AE476&lt;&gt;"",LEFT(AH476,6)="Endcap"),"CEK Endcap tidak ikut sambung","OK")))))))))</f>
        <v/>
      </c>
    </row>
    <row r="477">
      <c r="A477" s="10" t="n"/>
      <c r="B477" s="10" t="n"/>
      <c r="C477" s="10" t="n"/>
      <c r="D477" s="10" t="n"/>
      <c r="E477" s="10" t="n"/>
      <c r="F477" s="10" t="n"/>
      <c r="G477" s="10" t="n"/>
      <c r="H477" s="10" t="n"/>
      <c r="I477" s="10" t="n"/>
      <c r="J477" s="10" t="n"/>
      <c r="K477" s="10" t="n"/>
      <c r="L477" s="11" t="n"/>
      <c r="M477" s="11" t="n"/>
      <c r="N477" s="11" t="n"/>
      <c r="O477" s="11" t="n"/>
      <c r="P477" s="11" t="n"/>
      <c r="Q477" s="11" t="n"/>
      <c r="R477" s="12">
        <f>IF(L477="","",IFERROR(INDEX(DAFTAR_FIXTURE!$B$2:$B$51,MATCH(L477,DAFTAR_FIXTURE!$A$2:$A$51,0)),""))</f>
        <v/>
      </c>
      <c r="S477" s="12">
        <f>IF(AND($D477="",L477=""),"",IF(L477="",IF(AND(T477="",AB477=""),"Belum ditempatkan",""),IF(R477="","CEK ID FIXTURE tidak ada di DAFTAR_FIXTURE",IF(M477="","CEK ZONA NO kosong",IF(ISNA(MATCH(R477&amp;"|"&amp;M477,LAYOUT!$E$2:$E$80,0)),"CEK ZONA NO di luar layout",IF(N477&lt;&gt;INDEX(LAYOUT!$D$2:$D$80,MATCH(R477&amp;"|"&amp;M477,LAYOUT!$E$2:$E$80,0)),"CEK JENIS ZONA",IF($D477="","Zona STOCK",IF($E477="","CEK SKU DESCRIPTION kosong",IF(AND(O477&lt;&gt;"",P477=""),"CEK URUTAN SAMBUNG kosong",IF(AND(O477&lt;&gt;"",LEFT(R477,6)="Endcap"),"CEK Endcap tidak ikut sambung","OK"))))))))))</f>
        <v/>
      </c>
      <c r="T477" s="11" t="n"/>
      <c r="U477" s="11" t="n"/>
      <c r="V477" s="11" t="n"/>
      <c r="W477" s="11" t="n"/>
      <c r="X477" s="11" t="n"/>
      <c r="Y477" s="11" t="n"/>
      <c r="Z477" s="12">
        <f>IF(T477="","",IFERROR(INDEX(DAFTAR_FIXTURE!$B$2:$B$51,MATCH(T477,DAFTAR_FIXTURE!$A$2:$A$51,0)),""))</f>
        <v/>
      </c>
      <c r="AA477" s="12">
        <f>IF(T477="","",IF(Z477="","CEK ID FIXTURE tidak ada di DAFTAR_FIXTURE",IF(U477="","CEK ZONA NO kosong",IF(ISNA(MATCH(Z477&amp;"|"&amp;U477,LAYOUT!$E$2:$E$80,0)),"CEK ZONA NO di luar layout",IF(V477&lt;&gt;INDEX(LAYOUT!$D$2:$D$80,MATCH(Z477&amp;"|"&amp;U477,LAYOUT!$E$2:$E$80,0)),"CEK JENIS ZONA",IF($D477="","Zona STOCK",IF($E477="","CEK SKU DESCRIPTION kosong",IF(AND(W477&lt;&gt;"",X477=""),"CEK URUTAN SAMBUNG kosong",IF(AND(W477&lt;&gt;"",LEFT(Z477,6)="Endcap"),"CEK Endcap tidak ikut sambung","OK")))))))))</f>
        <v/>
      </c>
      <c r="AB477" s="11" t="n"/>
      <c r="AC477" s="11" t="n"/>
      <c r="AD477" s="11" t="n"/>
      <c r="AE477" s="11" t="n"/>
      <c r="AF477" s="11" t="n"/>
      <c r="AG477" s="11" t="n"/>
      <c r="AH477" s="12">
        <f>IF(AB477="","",IFERROR(INDEX(DAFTAR_FIXTURE!$B$2:$B$51,MATCH(AB477,DAFTAR_FIXTURE!$A$2:$A$51,0)),""))</f>
        <v/>
      </c>
      <c r="AI477" s="12">
        <f>IF(AB477="","",IF(AH477="","CEK ID FIXTURE tidak ada di DAFTAR_FIXTURE",IF(AC477="","CEK ZONA NO kosong",IF(ISNA(MATCH(AH477&amp;"|"&amp;AC477,LAYOUT!$E$2:$E$80,0)),"CEK ZONA NO di luar layout",IF(AD477&lt;&gt;INDEX(LAYOUT!$D$2:$D$80,MATCH(AH477&amp;"|"&amp;AC477,LAYOUT!$E$2:$E$80,0)),"CEK JENIS ZONA",IF($D477="","Zona STOCK",IF($E477="","CEK SKU DESCRIPTION kosong",IF(AND(AE477&lt;&gt;"",AF477=""),"CEK URUTAN SAMBUNG kosong",IF(AND(AE477&lt;&gt;"",LEFT(AH477,6)="Endcap"),"CEK Endcap tidak ikut sambung","OK")))))))))</f>
        <v/>
      </c>
    </row>
    <row r="478">
      <c r="A478" s="10" t="n"/>
      <c r="B478" s="10" t="n"/>
      <c r="C478" s="10" t="n"/>
      <c r="D478" s="10" t="n"/>
      <c r="E478" s="10" t="n"/>
      <c r="F478" s="10" t="n"/>
      <c r="G478" s="10" t="n"/>
      <c r="H478" s="10" t="n"/>
      <c r="I478" s="10" t="n"/>
      <c r="J478" s="10" t="n"/>
      <c r="K478" s="10" t="n"/>
      <c r="L478" s="11" t="n"/>
      <c r="M478" s="11" t="n"/>
      <c r="N478" s="11" t="n"/>
      <c r="O478" s="11" t="n"/>
      <c r="P478" s="11" t="n"/>
      <c r="Q478" s="11" t="n"/>
      <c r="R478" s="12">
        <f>IF(L478="","",IFERROR(INDEX(DAFTAR_FIXTURE!$B$2:$B$51,MATCH(L478,DAFTAR_FIXTURE!$A$2:$A$51,0)),""))</f>
        <v/>
      </c>
      <c r="S478" s="12">
        <f>IF(AND($D478="",L478=""),"",IF(L478="",IF(AND(T478="",AB478=""),"Belum ditempatkan",""),IF(R478="","CEK ID FIXTURE tidak ada di DAFTAR_FIXTURE",IF(M478="","CEK ZONA NO kosong",IF(ISNA(MATCH(R478&amp;"|"&amp;M478,LAYOUT!$E$2:$E$80,0)),"CEK ZONA NO di luar layout",IF(N478&lt;&gt;INDEX(LAYOUT!$D$2:$D$80,MATCH(R478&amp;"|"&amp;M478,LAYOUT!$E$2:$E$80,0)),"CEK JENIS ZONA",IF($D478="","Zona STOCK",IF($E478="","CEK SKU DESCRIPTION kosong",IF(AND(O478&lt;&gt;"",P478=""),"CEK URUTAN SAMBUNG kosong",IF(AND(O478&lt;&gt;"",LEFT(R478,6)="Endcap"),"CEK Endcap tidak ikut sambung","OK"))))))))))</f>
        <v/>
      </c>
      <c r="T478" s="11" t="n"/>
      <c r="U478" s="11" t="n"/>
      <c r="V478" s="11" t="n"/>
      <c r="W478" s="11" t="n"/>
      <c r="X478" s="11" t="n"/>
      <c r="Y478" s="11" t="n"/>
      <c r="Z478" s="12">
        <f>IF(T478="","",IFERROR(INDEX(DAFTAR_FIXTURE!$B$2:$B$51,MATCH(T478,DAFTAR_FIXTURE!$A$2:$A$51,0)),""))</f>
        <v/>
      </c>
      <c r="AA478" s="12">
        <f>IF(T478="","",IF(Z478="","CEK ID FIXTURE tidak ada di DAFTAR_FIXTURE",IF(U478="","CEK ZONA NO kosong",IF(ISNA(MATCH(Z478&amp;"|"&amp;U478,LAYOUT!$E$2:$E$80,0)),"CEK ZONA NO di luar layout",IF(V478&lt;&gt;INDEX(LAYOUT!$D$2:$D$80,MATCH(Z478&amp;"|"&amp;U478,LAYOUT!$E$2:$E$80,0)),"CEK JENIS ZONA",IF($D478="","Zona STOCK",IF($E478="","CEK SKU DESCRIPTION kosong",IF(AND(W478&lt;&gt;"",X478=""),"CEK URUTAN SAMBUNG kosong",IF(AND(W478&lt;&gt;"",LEFT(Z478,6)="Endcap"),"CEK Endcap tidak ikut sambung","OK")))))))))</f>
        <v/>
      </c>
      <c r="AB478" s="11" t="n"/>
      <c r="AC478" s="11" t="n"/>
      <c r="AD478" s="11" t="n"/>
      <c r="AE478" s="11" t="n"/>
      <c r="AF478" s="11" t="n"/>
      <c r="AG478" s="11" t="n"/>
      <c r="AH478" s="12">
        <f>IF(AB478="","",IFERROR(INDEX(DAFTAR_FIXTURE!$B$2:$B$51,MATCH(AB478,DAFTAR_FIXTURE!$A$2:$A$51,0)),""))</f>
        <v/>
      </c>
      <c r="AI478" s="12">
        <f>IF(AB478="","",IF(AH478="","CEK ID FIXTURE tidak ada di DAFTAR_FIXTURE",IF(AC478="","CEK ZONA NO kosong",IF(ISNA(MATCH(AH478&amp;"|"&amp;AC478,LAYOUT!$E$2:$E$80,0)),"CEK ZONA NO di luar layout",IF(AD478&lt;&gt;INDEX(LAYOUT!$D$2:$D$80,MATCH(AH478&amp;"|"&amp;AC478,LAYOUT!$E$2:$E$80,0)),"CEK JENIS ZONA",IF($D478="","Zona STOCK",IF($E478="","CEK SKU DESCRIPTION kosong",IF(AND(AE478&lt;&gt;"",AF478=""),"CEK URUTAN SAMBUNG kosong",IF(AND(AE478&lt;&gt;"",LEFT(AH478,6)="Endcap"),"CEK Endcap tidak ikut sambung","OK")))))))))</f>
        <v/>
      </c>
    </row>
    <row r="479">
      <c r="A479" s="10" t="n"/>
      <c r="B479" s="10" t="n"/>
      <c r="C479" s="10" t="n"/>
      <c r="D479" s="10" t="n"/>
      <c r="E479" s="10" t="n"/>
      <c r="F479" s="10" t="n"/>
      <c r="G479" s="10" t="n"/>
      <c r="H479" s="10" t="n"/>
      <c r="I479" s="10" t="n"/>
      <c r="J479" s="10" t="n"/>
      <c r="K479" s="10" t="n"/>
      <c r="L479" s="11" t="n"/>
      <c r="M479" s="11" t="n"/>
      <c r="N479" s="11" t="n"/>
      <c r="O479" s="11" t="n"/>
      <c r="P479" s="11" t="n"/>
      <c r="Q479" s="11" t="n"/>
      <c r="R479" s="12">
        <f>IF(L479="","",IFERROR(INDEX(DAFTAR_FIXTURE!$B$2:$B$51,MATCH(L479,DAFTAR_FIXTURE!$A$2:$A$51,0)),""))</f>
        <v/>
      </c>
      <c r="S479" s="12">
        <f>IF(AND($D479="",L479=""),"",IF(L479="",IF(AND(T479="",AB479=""),"Belum ditempatkan",""),IF(R479="","CEK ID FIXTURE tidak ada di DAFTAR_FIXTURE",IF(M479="","CEK ZONA NO kosong",IF(ISNA(MATCH(R479&amp;"|"&amp;M479,LAYOUT!$E$2:$E$80,0)),"CEK ZONA NO di luar layout",IF(N479&lt;&gt;INDEX(LAYOUT!$D$2:$D$80,MATCH(R479&amp;"|"&amp;M479,LAYOUT!$E$2:$E$80,0)),"CEK JENIS ZONA",IF($D479="","Zona STOCK",IF($E479="","CEK SKU DESCRIPTION kosong",IF(AND(O479&lt;&gt;"",P479=""),"CEK URUTAN SAMBUNG kosong",IF(AND(O479&lt;&gt;"",LEFT(R479,6)="Endcap"),"CEK Endcap tidak ikut sambung","OK"))))))))))</f>
        <v/>
      </c>
      <c r="T479" s="11" t="n"/>
      <c r="U479" s="11" t="n"/>
      <c r="V479" s="11" t="n"/>
      <c r="W479" s="11" t="n"/>
      <c r="X479" s="11" t="n"/>
      <c r="Y479" s="11" t="n"/>
      <c r="Z479" s="12">
        <f>IF(T479="","",IFERROR(INDEX(DAFTAR_FIXTURE!$B$2:$B$51,MATCH(T479,DAFTAR_FIXTURE!$A$2:$A$51,0)),""))</f>
        <v/>
      </c>
      <c r="AA479" s="12">
        <f>IF(T479="","",IF(Z479="","CEK ID FIXTURE tidak ada di DAFTAR_FIXTURE",IF(U479="","CEK ZONA NO kosong",IF(ISNA(MATCH(Z479&amp;"|"&amp;U479,LAYOUT!$E$2:$E$80,0)),"CEK ZONA NO di luar layout",IF(V479&lt;&gt;INDEX(LAYOUT!$D$2:$D$80,MATCH(Z479&amp;"|"&amp;U479,LAYOUT!$E$2:$E$80,0)),"CEK JENIS ZONA",IF($D479="","Zona STOCK",IF($E479="","CEK SKU DESCRIPTION kosong",IF(AND(W479&lt;&gt;"",X479=""),"CEK URUTAN SAMBUNG kosong",IF(AND(W479&lt;&gt;"",LEFT(Z479,6)="Endcap"),"CEK Endcap tidak ikut sambung","OK")))))))))</f>
        <v/>
      </c>
      <c r="AB479" s="11" t="n"/>
      <c r="AC479" s="11" t="n"/>
      <c r="AD479" s="11" t="n"/>
      <c r="AE479" s="11" t="n"/>
      <c r="AF479" s="11" t="n"/>
      <c r="AG479" s="11" t="n"/>
      <c r="AH479" s="12">
        <f>IF(AB479="","",IFERROR(INDEX(DAFTAR_FIXTURE!$B$2:$B$51,MATCH(AB479,DAFTAR_FIXTURE!$A$2:$A$51,0)),""))</f>
        <v/>
      </c>
      <c r="AI479" s="12">
        <f>IF(AB479="","",IF(AH479="","CEK ID FIXTURE tidak ada di DAFTAR_FIXTURE",IF(AC479="","CEK ZONA NO kosong",IF(ISNA(MATCH(AH479&amp;"|"&amp;AC479,LAYOUT!$E$2:$E$80,0)),"CEK ZONA NO di luar layout",IF(AD479&lt;&gt;INDEX(LAYOUT!$D$2:$D$80,MATCH(AH479&amp;"|"&amp;AC479,LAYOUT!$E$2:$E$80,0)),"CEK JENIS ZONA",IF($D479="","Zona STOCK",IF($E479="","CEK SKU DESCRIPTION kosong",IF(AND(AE479&lt;&gt;"",AF479=""),"CEK URUTAN SAMBUNG kosong",IF(AND(AE479&lt;&gt;"",LEFT(AH479,6)="Endcap"),"CEK Endcap tidak ikut sambung","OK")))))))))</f>
        <v/>
      </c>
    </row>
    <row r="480">
      <c r="A480" s="10" t="n"/>
      <c r="B480" s="10" t="n"/>
      <c r="C480" s="10" t="n"/>
      <c r="D480" s="10" t="n"/>
      <c r="E480" s="10" t="n"/>
      <c r="F480" s="10" t="n"/>
      <c r="G480" s="10" t="n"/>
      <c r="H480" s="10" t="n"/>
      <c r="I480" s="10" t="n"/>
      <c r="J480" s="10" t="n"/>
      <c r="K480" s="10" t="n"/>
      <c r="L480" s="11" t="n"/>
      <c r="M480" s="11" t="n"/>
      <c r="N480" s="11" t="n"/>
      <c r="O480" s="11" t="n"/>
      <c r="P480" s="11" t="n"/>
      <c r="Q480" s="11" t="n"/>
      <c r="R480" s="12">
        <f>IF(L480="","",IFERROR(INDEX(DAFTAR_FIXTURE!$B$2:$B$51,MATCH(L480,DAFTAR_FIXTURE!$A$2:$A$51,0)),""))</f>
        <v/>
      </c>
      <c r="S480" s="12">
        <f>IF(AND($D480="",L480=""),"",IF(L480="",IF(AND(T480="",AB480=""),"Belum ditempatkan",""),IF(R480="","CEK ID FIXTURE tidak ada di DAFTAR_FIXTURE",IF(M480="","CEK ZONA NO kosong",IF(ISNA(MATCH(R480&amp;"|"&amp;M480,LAYOUT!$E$2:$E$80,0)),"CEK ZONA NO di luar layout",IF(N480&lt;&gt;INDEX(LAYOUT!$D$2:$D$80,MATCH(R480&amp;"|"&amp;M480,LAYOUT!$E$2:$E$80,0)),"CEK JENIS ZONA",IF($D480="","Zona STOCK",IF($E480="","CEK SKU DESCRIPTION kosong",IF(AND(O480&lt;&gt;"",P480=""),"CEK URUTAN SAMBUNG kosong",IF(AND(O480&lt;&gt;"",LEFT(R480,6)="Endcap"),"CEK Endcap tidak ikut sambung","OK"))))))))))</f>
        <v/>
      </c>
      <c r="T480" s="11" t="n"/>
      <c r="U480" s="11" t="n"/>
      <c r="V480" s="11" t="n"/>
      <c r="W480" s="11" t="n"/>
      <c r="X480" s="11" t="n"/>
      <c r="Y480" s="11" t="n"/>
      <c r="Z480" s="12">
        <f>IF(T480="","",IFERROR(INDEX(DAFTAR_FIXTURE!$B$2:$B$51,MATCH(T480,DAFTAR_FIXTURE!$A$2:$A$51,0)),""))</f>
        <v/>
      </c>
      <c r="AA480" s="12">
        <f>IF(T480="","",IF(Z480="","CEK ID FIXTURE tidak ada di DAFTAR_FIXTURE",IF(U480="","CEK ZONA NO kosong",IF(ISNA(MATCH(Z480&amp;"|"&amp;U480,LAYOUT!$E$2:$E$80,0)),"CEK ZONA NO di luar layout",IF(V480&lt;&gt;INDEX(LAYOUT!$D$2:$D$80,MATCH(Z480&amp;"|"&amp;U480,LAYOUT!$E$2:$E$80,0)),"CEK JENIS ZONA",IF($D480="","Zona STOCK",IF($E480="","CEK SKU DESCRIPTION kosong",IF(AND(W480&lt;&gt;"",X480=""),"CEK URUTAN SAMBUNG kosong",IF(AND(W480&lt;&gt;"",LEFT(Z480,6)="Endcap"),"CEK Endcap tidak ikut sambung","OK")))))))))</f>
        <v/>
      </c>
      <c r="AB480" s="11" t="n"/>
      <c r="AC480" s="11" t="n"/>
      <c r="AD480" s="11" t="n"/>
      <c r="AE480" s="11" t="n"/>
      <c r="AF480" s="11" t="n"/>
      <c r="AG480" s="11" t="n"/>
      <c r="AH480" s="12">
        <f>IF(AB480="","",IFERROR(INDEX(DAFTAR_FIXTURE!$B$2:$B$51,MATCH(AB480,DAFTAR_FIXTURE!$A$2:$A$51,0)),""))</f>
        <v/>
      </c>
      <c r="AI480" s="12">
        <f>IF(AB480="","",IF(AH480="","CEK ID FIXTURE tidak ada di DAFTAR_FIXTURE",IF(AC480="","CEK ZONA NO kosong",IF(ISNA(MATCH(AH480&amp;"|"&amp;AC480,LAYOUT!$E$2:$E$80,0)),"CEK ZONA NO di luar layout",IF(AD480&lt;&gt;INDEX(LAYOUT!$D$2:$D$80,MATCH(AH480&amp;"|"&amp;AC480,LAYOUT!$E$2:$E$80,0)),"CEK JENIS ZONA",IF($D480="","Zona STOCK",IF($E480="","CEK SKU DESCRIPTION kosong",IF(AND(AE480&lt;&gt;"",AF480=""),"CEK URUTAN SAMBUNG kosong",IF(AND(AE480&lt;&gt;"",LEFT(AH480,6)="Endcap"),"CEK Endcap tidak ikut sambung","OK")))))))))</f>
        <v/>
      </c>
    </row>
    <row r="481">
      <c r="A481" s="10" t="n"/>
      <c r="B481" s="10" t="n"/>
      <c r="C481" s="10" t="n"/>
      <c r="D481" s="10" t="n"/>
      <c r="E481" s="10" t="n"/>
      <c r="F481" s="10" t="n"/>
      <c r="G481" s="10" t="n"/>
      <c r="H481" s="10" t="n"/>
      <c r="I481" s="10" t="n"/>
      <c r="J481" s="10" t="n"/>
      <c r="K481" s="10" t="n"/>
      <c r="L481" s="11" t="n"/>
      <c r="M481" s="11" t="n"/>
      <c r="N481" s="11" t="n"/>
      <c r="O481" s="11" t="n"/>
      <c r="P481" s="11" t="n"/>
      <c r="Q481" s="11" t="n"/>
      <c r="R481" s="12">
        <f>IF(L481="","",IFERROR(INDEX(DAFTAR_FIXTURE!$B$2:$B$51,MATCH(L481,DAFTAR_FIXTURE!$A$2:$A$51,0)),""))</f>
        <v/>
      </c>
      <c r="S481" s="12">
        <f>IF(AND($D481="",L481=""),"",IF(L481="",IF(AND(T481="",AB481=""),"Belum ditempatkan",""),IF(R481="","CEK ID FIXTURE tidak ada di DAFTAR_FIXTURE",IF(M481="","CEK ZONA NO kosong",IF(ISNA(MATCH(R481&amp;"|"&amp;M481,LAYOUT!$E$2:$E$80,0)),"CEK ZONA NO di luar layout",IF(N481&lt;&gt;INDEX(LAYOUT!$D$2:$D$80,MATCH(R481&amp;"|"&amp;M481,LAYOUT!$E$2:$E$80,0)),"CEK JENIS ZONA",IF($D481="","Zona STOCK",IF($E481="","CEK SKU DESCRIPTION kosong",IF(AND(O481&lt;&gt;"",P481=""),"CEK URUTAN SAMBUNG kosong",IF(AND(O481&lt;&gt;"",LEFT(R481,6)="Endcap"),"CEK Endcap tidak ikut sambung","OK"))))))))))</f>
        <v/>
      </c>
      <c r="T481" s="11" t="n"/>
      <c r="U481" s="11" t="n"/>
      <c r="V481" s="11" t="n"/>
      <c r="W481" s="11" t="n"/>
      <c r="X481" s="11" t="n"/>
      <c r="Y481" s="11" t="n"/>
      <c r="Z481" s="12">
        <f>IF(T481="","",IFERROR(INDEX(DAFTAR_FIXTURE!$B$2:$B$51,MATCH(T481,DAFTAR_FIXTURE!$A$2:$A$51,0)),""))</f>
        <v/>
      </c>
      <c r="AA481" s="12">
        <f>IF(T481="","",IF(Z481="","CEK ID FIXTURE tidak ada di DAFTAR_FIXTURE",IF(U481="","CEK ZONA NO kosong",IF(ISNA(MATCH(Z481&amp;"|"&amp;U481,LAYOUT!$E$2:$E$80,0)),"CEK ZONA NO di luar layout",IF(V481&lt;&gt;INDEX(LAYOUT!$D$2:$D$80,MATCH(Z481&amp;"|"&amp;U481,LAYOUT!$E$2:$E$80,0)),"CEK JENIS ZONA",IF($D481="","Zona STOCK",IF($E481="","CEK SKU DESCRIPTION kosong",IF(AND(W481&lt;&gt;"",X481=""),"CEK URUTAN SAMBUNG kosong",IF(AND(W481&lt;&gt;"",LEFT(Z481,6)="Endcap"),"CEK Endcap tidak ikut sambung","OK")))))))))</f>
        <v/>
      </c>
      <c r="AB481" s="11" t="n"/>
      <c r="AC481" s="11" t="n"/>
      <c r="AD481" s="11" t="n"/>
      <c r="AE481" s="11" t="n"/>
      <c r="AF481" s="11" t="n"/>
      <c r="AG481" s="11" t="n"/>
      <c r="AH481" s="12">
        <f>IF(AB481="","",IFERROR(INDEX(DAFTAR_FIXTURE!$B$2:$B$51,MATCH(AB481,DAFTAR_FIXTURE!$A$2:$A$51,0)),""))</f>
        <v/>
      </c>
      <c r="AI481" s="12">
        <f>IF(AB481="","",IF(AH481="","CEK ID FIXTURE tidak ada di DAFTAR_FIXTURE",IF(AC481="","CEK ZONA NO kosong",IF(ISNA(MATCH(AH481&amp;"|"&amp;AC481,LAYOUT!$E$2:$E$80,0)),"CEK ZONA NO di luar layout",IF(AD481&lt;&gt;INDEX(LAYOUT!$D$2:$D$80,MATCH(AH481&amp;"|"&amp;AC481,LAYOUT!$E$2:$E$80,0)),"CEK JENIS ZONA",IF($D481="","Zona STOCK",IF($E481="","CEK SKU DESCRIPTION kosong",IF(AND(AE481&lt;&gt;"",AF481=""),"CEK URUTAN SAMBUNG kosong",IF(AND(AE481&lt;&gt;"",LEFT(AH481,6)="Endcap"),"CEK Endcap tidak ikut sambung","OK")))))))))</f>
        <v/>
      </c>
    </row>
    <row r="482">
      <c r="A482" s="10" t="n"/>
      <c r="B482" s="10" t="n"/>
      <c r="C482" s="10" t="n"/>
      <c r="D482" s="10" t="n"/>
      <c r="E482" s="10" t="n"/>
      <c r="F482" s="10" t="n"/>
      <c r="G482" s="10" t="n"/>
      <c r="H482" s="10" t="n"/>
      <c r="I482" s="10" t="n"/>
      <c r="J482" s="10" t="n"/>
      <c r="K482" s="10" t="n"/>
      <c r="L482" s="11" t="n"/>
      <c r="M482" s="11" t="n"/>
      <c r="N482" s="11" t="n"/>
      <c r="O482" s="11" t="n"/>
      <c r="P482" s="11" t="n"/>
      <c r="Q482" s="11" t="n"/>
      <c r="R482" s="12">
        <f>IF(L482="","",IFERROR(INDEX(DAFTAR_FIXTURE!$B$2:$B$51,MATCH(L482,DAFTAR_FIXTURE!$A$2:$A$51,0)),""))</f>
        <v/>
      </c>
      <c r="S482" s="12">
        <f>IF(AND($D482="",L482=""),"",IF(L482="",IF(AND(T482="",AB482=""),"Belum ditempatkan",""),IF(R482="","CEK ID FIXTURE tidak ada di DAFTAR_FIXTURE",IF(M482="","CEK ZONA NO kosong",IF(ISNA(MATCH(R482&amp;"|"&amp;M482,LAYOUT!$E$2:$E$80,0)),"CEK ZONA NO di luar layout",IF(N482&lt;&gt;INDEX(LAYOUT!$D$2:$D$80,MATCH(R482&amp;"|"&amp;M482,LAYOUT!$E$2:$E$80,0)),"CEK JENIS ZONA",IF($D482="","Zona STOCK",IF($E482="","CEK SKU DESCRIPTION kosong",IF(AND(O482&lt;&gt;"",P482=""),"CEK URUTAN SAMBUNG kosong",IF(AND(O482&lt;&gt;"",LEFT(R482,6)="Endcap"),"CEK Endcap tidak ikut sambung","OK"))))))))))</f>
        <v/>
      </c>
      <c r="T482" s="11" t="n"/>
      <c r="U482" s="11" t="n"/>
      <c r="V482" s="11" t="n"/>
      <c r="W482" s="11" t="n"/>
      <c r="X482" s="11" t="n"/>
      <c r="Y482" s="11" t="n"/>
      <c r="Z482" s="12">
        <f>IF(T482="","",IFERROR(INDEX(DAFTAR_FIXTURE!$B$2:$B$51,MATCH(T482,DAFTAR_FIXTURE!$A$2:$A$51,0)),""))</f>
        <v/>
      </c>
      <c r="AA482" s="12">
        <f>IF(T482="","",IF(Z482="","CEK ID FIXTURE tidak ada di DAFTAR_FIXTURE",IF(U482="","CEK ZONA NO kosong",IF(ISNA(MATCH(Z482&amp;"|"&amp;U482,LAYOUT!$E$2:$E$80,0)),"CEK ZONA NO di luar layout",IF(V482&lt;&gt;INDEX(LAYOUT!$D$2:$D$80,MATCH(Z482&amp;"|"&amp;U482,LAYOUT!$E$2:$E$80,0)),"CEK JENIS ZONA",IF($D482="","Zona STOCK",IF($E482="","CEK SKU DESCRIPTION kosong",IF(AND(W482&lt;&gt;"",X482=""),"CEK URUTAN SAMBUNG kosong",IF(AND(W482&lt;&gt;"",LEFT(Z482,6)="Endcap"),"CEK Endcap tidak ikut sambung","OK")))))))))</f>
        <v/>
      </c>
      <c r="AB482" s="11" t="n"/>
      <c r="AC482" s="11" t="n"/>
      <c r="AD482" s="11" t="n"/>
      <c r="AE482" s="11" t="n"/>
      <c r="AF482" s="11" t="n"/>
      <c r="AG482" s="11" t="n"/>
      <c r="AH482" s="12">
        <f>IF(AB482="","",IFERROR(INDEX(DAFTAR_FIXTURE!$B$2:$B$51,MATCH(AB482,DAFTAR_FIXTURE!$A$2:$A$51,0)),""))</f>
        <v/>
      </c>
      <c r="AI482" s="12">
        <f>IF(AB482="","",IF(AH482="","CEK ID FIXTURE tidak ada di DAFTAR_FIXTURE",IF(AC482="","CEK ZONA NO kosong",IF(ISNA(MATCH(AH482&amp;"|"&amp;AC482,LAYOUT!$E$2:$E$80,0)),"CEK ZONA NO di luar layout",IF(AD482&lt;&gt;INDEX(LAYOUT!$D$2:$D$80,MATCH(AH482&amp;"|"&amp;AC482,LAYOUT!$E$2:$E$80,0)),"CEK JENIS ZONA",IF($D482="","Zona STOCK",IF($E482="","CEK SKU DESCRIPTION kosong",IF(AND(AE482&lt;&gt;"",AF482=""),"CEK URUTAN SAMBUNG kosong",IF(AND(AE482&lt;&gt;"",LEFT(AH482,6)="Endcap"),"CEK Endcap tidak ikut sambung","OK")))))))))</f>
        <v/>
      </c>
    </row>
    <row r="483">
      <c r="A483" s="10" t="n"/>
      <c r="B483" s="10" t="n"/>
      <c r="C483" s="10" t="n"/>
      <c r="D483" s="10" t="n"/>
      <c r="E483" s="10" t="n"/>
      <c r="F483" s="10" t="n"/>
      <c r="G483" s="10" t="n"/>
      <c r="H483" s="10" t="n"/>
      <c r="I483" s="10" t="n"/>
      <c r="J483" s="10" t="n"/>
      <c r="K483" s="10" t="n"/>
      <c r="L483" s="11" t="n"/>
      <c r="M483" s="11" t="n"/>
      <c r="N483" s="11" t="n"/>
      <c r="O483" s="11" t="n"/>
      <c r="P483" s="11" t="n"/>
      <c r="Q483" s="11" t="n"/>
      <c r="R483" s="12">
        <f>IF(L483="","",IFERROR(INDEX(DAFTAR_FIXTURE!$B$2:$B$51,MATCH(L483,DAFTAR_FIXTURE!$A$2:$A$51,0)),""))</f>
        <v/>
      </c>
      <c r="S483" s="12">
        <f>IF(AND($D483="",L483=""),"",IF(L483="",IF(AND(T483="",AB483=""),"Belum ditempatkan",""),IF(R483="","CEK ID FIXTURE tidak ada di DAFTAR_FIXTURE",IF(M483="","CEK ZONA NO kosong",IF(ISNA(MATCH(R483&amp;"|"&amp;M483,LAYOUT!$E$2:$E$80,0)),"CEK ZONA NO di luar layout",IF(N483&lt;&gt;INDEX(LAYOUT!$D$2:$D$80,MATCH(R483&amp;"|"&amp;M483,LAYOUT!$E$2:$E$80,0)),"CEK JENIS ZONA",IF($D483="","Zona STOCK",IF($E483="","CEK SKU DESCRIPTION kosong",IF(AND(O483&lt;&gt;"",P483=""),"CEK URUTAN SAMBUNG kosong",IF(AND(O483&lt;&gt;"",LEFT(R483,6)="Endcap"),"CEK Endcap tidak ikut sambung","OK"))))))))))</f>
        <v/>
      </c>
      <c r="T483" s="11" t="n"/>
      <c r="U483" s="11" t="n"/>
      <c r="V483" s="11" t="n"/>
      <c r="W483" s="11" t="n"/>
      <c r="X483" s="11" t="n"/>
      <c r="Y483" s="11" t="n"/>
      <c r="Z483" s="12">
        <f>IF(T483="","",IFERROR(INDEX(DAFTAR_FIXTURE!$B$2:$B$51,MATCH(T483,DAFTAR_FIXTURE!$A$2:$A$51,0)),""))</f>
        <v/>
      </c>
      <c r="AA483" s="12">
        <f>IF(T483="","",IF(Z483="","CEK ID FIXTURE tidak ada di DAFTAR_FIXTURE",IF(U483="","CEK ZONA NO kosong",IF(ISNA(MATCH(Z483&amp;"|"&amp;U483,LAYOUT!$E$2:$E$80,0)),"CEK ZONA NO di luar layout",IF(V483&lt;&gt;INDEX(LAYOUT!$D$2:$D$80,MATCH(Z483&amp;"|"&amp;U483,LAYOUT!$E$2:$E$80,0)),"CEK JENIS ZONA",IF($D483="","Zona STOCK",IF($E483="","CEK SKU DESCRIPTION kosong",IF(AND(W483&lt;&gt;"",X483=""),"CEK URUTAN SAMBUNG kosong",IF(AND(W483&lt;&gt;"",LEFT(Z483,6)="Endcap"),"CEK Endcap tidak ikut sambung","OK")))))))))</f>
        <v/>
      </c>
      <c r="AB483" s="11" t="n"/>
      <c r="AC483" s="11" t="n"/>
      <c r="AD483" s="11" t="n"/>
      <c r="AE483" s="11" t="n"/>
      <c r="AF483" s="11" t="n"/>
      <c r="AG483" s="11" t="n"/>
      <c r="AH483" s="12">
        <f>IF(AB483="","",IFERROR(INDEX(DAFTAR_FIXTURE!$B$2:$B$51,MATCH(AB483,DAFTAR_FIXTURE!$A$2:$A$51,0)),""))</f>
        <v/>
      </c>
      <c r="AI483" s="12">
        <f>IF(AB483="","",IF(AH483="","CEK ID FIXTURE tidak ada di DAFTAR_FIXTURE",IF(AC483="","CEK ZONA NO kosong",IF(ISNA(MATCH(AH483&amp;"|"&amp;AC483,LAYOUT!$E$2:$E$80,0)),"CEK ZONA NO di luar layout",IF(AD483&lt;&gt;INDEX(LAYOUT!$D$2:$D$80,MATCH(AH483&amp;"|"&amp;AC483,LAYOUT!$E$2:$E$80,0)),"CEK JENIS ZONA",IF($D483="","Zona STOCK",IF($E483="","CEK SKU DESCRIPTION kosong",IF(AND(AE483&lt;&gt;"",AF483=""),"CEK URUTAN SAMBUNG kosong",IF(AND(AE483&lt;&gt;"",LEFT(AH483,6)="Endcap"),"CEK Endcap tidak ikut sambung","OK")))))))))</f>
        <v/>
      </c>
    </row>
    <row r="484">
      <c r="A484" s="10" t="n"/>
      <c r="B484" s="10" t="n"/>
      <c r="C484" s="10" t="n"/>
      <c r="D484" s="10" t="n"/>
      <c r="E484" s="10" t="n"/>
      <c r="F484" s="10" t="n"/>
      <c r="G484" s="10" t="n"/>
      <c r="H484" s="10" t="n"/>
      <c r="I484" s="10" t="n"/>
      <c r="J484" s="10" t="n"/>
      <c r="K484" s="10" t="n"/>
      <c r="L484" s="11" t="n"/>
      <c r="M484" s="11" t="n"/>
      <c r="N484" s="11" t="n"/>
      <c r="O484" s="11" t="n"/>
      <c r="P484" s="11" t="n"/>
      <c r="Q484" s="11" t="n"/>
      <c r="R484" s="12">
        <f>IF(L484="","",IFERROR(INDEX(DAFTAR_FIXTURE!$B$2:$B$51,MATCH(L484,DAFTAR_FIXTURE!$A$2:$A$51,0)),""))</f>
        <v/>
      </c>
      <c r="S484" s="12">
        <f>IF(AND($D484="",L484=""),"",IF(L484="",IF(AND(T484="",AB484=""),"Belum ditempatkan",""),IF(R484="","CEK ID FIXTURE tidak ada di DAFTAR_FIXTURE",IF(M484="","CEK ZONA NO kosong",IF(ISNA(MATCH(R484&amp;"|"&amp;M484,LAYOUT!$E$2:$E$80,0)),"CEK ZONA NO di luar layout",IF(N484&lt;&gt;INDEX(LAYOUT!$D$2:$D$80,MATCH(R484&amp;"|"&amp;M484,LAYOUT!$E$2:$E$80,0)),"CEK JENIS ZONA",IF($D484="","Zona STOCK",IF($E484="","CEK SKU DESCRIPTION kosong",IF(AND(O484&lt;&gt;"",P484=""),"CEK URUTAN SAMBUNG kosong",IF(AND(O484&lt;&gt;"",LEFT(R484,6)="Endcap"),"CEK Endcap tidak ikut sambung","OK"))))))))))</f>
        <v/>
      </c>
      <c r="T484" s="11" t="n"/>
      <c r="U484" s="11" t="n"/>
      <c r="V484" s="11" t="n"/>
      <c r="W484" s="11" t="n"/>
      <c r="X484" s="11" t="n"/>
      <c r="Y484" s="11" t="n"/>
      <c r="Z484" s="12">
        <f>IF(T484="","",IFERROR(INDEX(DAFTAR_FIXTURE!$B$2:$B$51,MATCH(T484,DAFTAR_FIXTURE!$A$2:$A$51,0)),""))</f>
        <v/>
      </c>
      <c r="AA484" s="12">
        <f>IF(T484="","",IF(Z484="","CEK ID FIXTURE tidak ada di DAFTAR_FIXTURE",IF(U484="","CEK ZONA NO kosong",IF(ISNA(MATCH(Z484&amp;"|"&amp;U484,LAYOUT!$E$2:$E$80,0)),"CEK ZONA NO di luar layout",IF(V484&lt;&gt;INDEX(LAYOUT!$D$2:$D$80,MATCH(Z484&amp;"|"&amp;U484,LAYOUT!$E$2:$E$80,0)),"CEK JENIS ZONA",IF($D484="","Zona STOCK",IF($E484="","CEK SKU DESCRIPTION kosong",IF(AND(W484&lt;&gt;"",X484=""),"CEK URUTAN SAMBUNG kosong",IF(AND(W484&lt;&gt;"",LEFT(Z484,6)="Endcap"),"CEK Endcap tidak ikut sambung","OK")))))))))</f>
        <v/>
      </c>
      <c r="AB484" s="11" t="n"/>
      <c r="AC484" s="11" t="n"/>
      <c r="AD484" s="11" t="n"/>
      <c r="AE484" s="11" t="n"/>
      <c r="AF484" s="11" t="n"/>
      <c r="AG484" s="11" t="n"/>
      <c r="AH484" s="12">
        <f>IF(AB484="","",IFERROR(INDEX(DAFTAR_FIXTURE!$B$2:$B$51,MATCH(AB484,DAFTAR_FIXTURE!$A$2:$A$51,0)),""))</f>
        <v/>
      </c>
      <c r="AI484" s="12">
        <f>IF(AB484="","",IF(AH484="","CEK ID FIXTURE tidak ada di DAFTAR_FIXTURE",IF(AC484="","CEK ZONA NO kosong",IF(ISNA(MATCH(AH484&amp;"|"&amp;AC484,LAYOUT!$E$2:$E$80,0)),"CEK ZONA NO di luar layout",IF(AD484&lt;&gt;INDEX(LAYOUT!$D$2:$D$80,MATCH(AH484&amp;"|"&amp;AC484,LAYOUT!$E$2:$E$80,0)),"CEK JENIS ZONA",IF($D484="","Zona STOCK",IF($E484="","CEK SKU DESCRIPTION kosong",IF(AND(AE484&lt;&gt;"",AF484=""),"CEK URUTAN SAMBUNG kosong",IF(AND(AE484&lt;&gt;"",LEFT(AH484,6)="Endcap"),"CEK Endcap tidak ikut sambung","OK")))))))))</f>
        <v/>
      </c>
    </row>
    <row r="485">
      <c r="A485" s="10" t="n"/>
      <c r="B485" s="10" t="n"/>
      <c r="C485" s="10" t="n"/>
      <c r="D485" s="10" t="n"/>
      <c r="E485" s="10" t="n"/>
      <c r="F485" s="10" t="n"/>
      <c r="G485" s="10" t="n"/>
      <c r="H485" s="10" t="n"/>
      <c r="I485" s="10" t="n"/>
      <c r="J485" s="10" t="n"/>
      <c r="K485" s="10" t="n"/>
      <c r="L485" s="11" t="n"/>
      <c r="M485" s="11" t="n"/>
      <c r="N485" s="11" t="n"/>
      <c r="O485" s="11" t="n"/>
      <c r="P485" s="11" t="n"/>
      <c r="Q485" s="11" t="n"/>
      <c r="R485" s="12">
        <f>IF(L485="","",IFERROR(INDEX(DAFTAR_FIXTURE!$B$2:$B$51,MATCH(L485,DAFTAR_FIXTURE!$A$2:$A$51,0)),""))</f>
        <v/>
      </c>
      <c r="S485" s="12">
        <f>IF(AND($D485="",L485=""),"",IF(L485="",IF(AND(T485="",AB485=""),"Belum ditempatkan",""),IF(R485="","CEK ID FIXTURE tidak ada di DAFTAR_FIXTURE",IF(M485="","CEK ZONA NO kosong",IF(ISNA(MATCH(R485&amp;"|"&amp;M485,LAYOUT!$E$2:$E$80,0)),"CEK ZONA NO di luar layout",IF(N485&lt;&gt;INDEX(LAYOUT!$D$2:$D$80,MATCH(R485&amp;"|"&amp;M485,LAYOUT!$E$2:$E$80,0)),"CEK JENIS ZONA",IF($D485="","Zona STOCK",IF($E485="","CEK SKU DESCRIPTION kosong",IF(AND(O485&lt;&gt;"",P485=""),"CEK URUTAN SAMBUNG kosong",IF(AND(O485&lt;&gt;"",LEFT(R485,6)="Endcap"),"CEK Endcap tidak ikut sambung","OK"))))))))))</f>
        <v/>
      </c>
      <c r="T485" s="11" t="n"/>
      <c r="U485" s="11" t="n"/>
      <c r="V485" s="11" t="n"/>
      <c r="W485" s="11" t="n"/>
      <c r="X485" s="11" t="n"/>
      <c r="Y485" s="11" t="n"/>
      <c r="Z485" s="12">
        <f>IF(T485="","",IFERROR(INDEX(DAFTAR_FIXTURE!$B$2:$B$51,MATCH(T485,DAFTAR_FIXTURE!$A$2:$A$51,0)),""))</f>
        <v/>
      </c>
      <c r="AA485" s="12">
        <f>IF(T485="","",IF(Z485="","CEK ID FIXTURE tidak ada di DAFTAR_FIXTURE",IF(U485="","CEK ZONA NO kosong",IF(ISNA(MATCH(Z485&amp;"|"&amp;U485,LAYOUT!$E$2:$E$80,0)),"CEK ZONA NO di luar layout",IF(V485&lt;&gt;INDEX(LAYOUT!$D$2:$D$80,MATCH(Z485&amp;"|"&amp;U485,LAYOUT!$E$2:$E$80,0)),"CEK JENIS ZONA",IF($D485="","Zona STOCK",IF($E485="","CEK SKU DESCRIPTION kosong",IF(AND(W485&lt;&gt;"",X485=""),"CEK URUTAN SAMBUNG kosong",IF(AND(W485&lt;&gt;"",LEFT(Z485,6)="Endcap"),"CEK Endcap tidak ikut sambung","OK")))))))))</f>
        <v/>
      </c>
      <c r="AB485" s="11" t="n"/>
      <c r="AC485" s="11" t="n"/>
      <c r="AD485" s="11" t="n"/>
      <c r="AE485" s="11" t="n"/>
      <c r="AF485" s="11" t="n"/>
      <c r="AG485" s="11" t="n"/>
      <c r="AH485" s="12">
        <f>IF(AB485="","",IFERROR(INDEX(DAFTAR_FIXTURE!$B$2:$B$51,MATCH(AB485,DAFTAR_FIXTURE!$A$2:$A$51,0)),""))</f>
        <v/>
      </c>
      <c r="AI485" s="12">
        <f>IF(AB485="","",IF(AH485="","CEK ID FIXTURE tidak ada di DAFTAR_FIXTURE",IF(AC485="","CEK ZONA NO kosong",IF(ISNA(MATCH(AH485&amp;"|"&amp;AC485,LAYOUT!$E$2:$E$80,0)),"CEK ZONA NO di luar layout",IF(AD485&lt;&gt;INDEX(LAYOUT!$D$2:$D$80,MATCH(AH485&amp;"|"&amp;AC485,LAYOUT!$E$2:$E$80,0)),"CEK JENIS ZONA",IF($D485="","Zona STOCK",IF($E485="","CEK SKU DESCRIPTION kosong",IF(AND(AE485&lt;&gt;"",AF485=""),"CEK URUTAN SAMBUNG kosong",IF(AND(AE485&lt;&gt;"",LEFT(AH485,6)="Endcap"),"CEK Endcap tidak ikut sambung","OK")))))))))</f>
        <v/>
      </c>
    </row>
    <row r="486">
      <c r="A486" s="10" t="n"/>
      <c r="B486" s="10" t="n"/>
      <c r="C486" s="10" t="n"/>
      <c r="D486" s="10" t="n"/>
      <c r="E486" s="10" t="n"/>
      <c r="F486" s="10" t="n"/>
      <c r="G486" s="10" t="n"/>
      <c r="H486" s="10" t="n"/>
      <c r="I486" s="10" t="n"/>
      <c r="J486" s="10" t="n"/>
      <c r="K486" s="10" t="n"/>
      <c r="L486" s="11" t="n"/>
      <c r="M486" s="11" t="n"/>
      <c r="N486" s="11" t="n"/>
      <c r="O486" s="11" t="n"/>
      <c r="P486" s="11" t="n"/>
      <c r="Q486" s="11" t="n"/>
      <c r="R486" s="12">
        <f>IF(L486="","",IFERROR(INDEX(DAFTAR_FIXTURE!$B$2:$B$51,MATCH(L486,DAFTAR_FIXTURE!$A$2:$A$51,0)),""))</f>
        <v/>
      </c>
      <c r="S486" s="12">
        <f>IF(AND($D486="",L486=""),"",IF(L486="",IF(AND(T486="",AB486=""),"Belum ditempatkan",""),IF(R486="","CEK ID FIXTURE tidak ada di DAFTAR_FIXTURE",IF(M486="","CEK ZONA NO kosong",IF(ISNA(MATCH(R486&amp;"|"&amp;M486,LAYOUT!$E$2:$E$80,0)),"CEK ZONA NO di luar layout",IF(N486&lt;&gt;INDEX(LAYOUT!$D$2:$D$80,MATCH(R486&amp;"|"&amp;M486,LAYOUT!$E$2:$E$80,0)),"CEK JENIS ZONA",IF($D486="","Zona STOCK",IF($E486="","CEK SKU DESCRIPTION kosong",IF(AND(O486&lt;&gt;"",P486=""),"CEK URUTAN SAMBUNG kosong",IF(AND(O486&lt;&gt;"",LEFT(R486,6)="Endcap"),"CEK Endcap tidak ikut sambung","OK"))))))))))</f>
        <v/>
      </c>
      <c r="T486" s="11" t="n"/>
      <c r="U486" s="11" t="n"/>
      <c r="V486" s="11" t="n"/>
      <c r="W486" s="11" t="n"/>
      <c r="X486" s="11" t="n"/>
      <c r="Y486" s="11" t="n"/>
      <c r="Z486" s="12">
        <f>IF(T486="","",IFERROR(INDEX(DAFTAR_FIXTURE!$B$2:$B$51,MATCH(T486,DAFTAR_FIXTURE!$A$2:$A$51,0)),""))</f>
        <v/>
      </c>
      <c r="AA486" s="12">
        <f>IF(T486="","",IF(Z486="","CEK ID FIXTURE tidak ada di DAFTAR_FIXTURE",IF(U486="","CEK ZONA NO kosong",IF(ISNA(MATCH(Z486&amp;"|"&amp;U486,LAYOUT!$E$2:$E$80,0)),"CEK ZONA NO di luar layout",IF(V486&lt;&gt;INDEX(LAYOUT!$D$2:$D$80,MATCH(Z486&amp;"|"&amp;U486,LAYOUT!$E$2:$E$80,0)),"CEK JENIS ZONA",IF($D486="","Zona STOCK",IF($E486="","CEK SKU DESCRIPTION kosong",IF(AND(W486&lt;&gt;"",X486=""),"CEK URUTAN SAMBUNG kosong",IF(AND(W486&lt;&gt;"",LEFT(Z486,6)="Endcap"),"CEK Endcap tidak ikut sambung","OK")))))))))</f>
        <v/>
      </c>
      <c r="AB486" s="11" t="n"/>
      <c r="AC486" s="11" t="n"/>
      <c r="AD486" s="11" t="n"/>
      <c r="AE486" s="11" t="n"/>
      <c r="AF486" s="11" t="n"/>
      <c r="AG486" s="11" t="n"/>
      <c r="AH486" s="12">
        <f>IF(AB486="","",IFERROR(INDEX(DAFTAR_FIXTURE!$B$2:$B$51,MATCH(AB486,DAFTAR_FIXTURE!$A$2:$A$51,0)),""))</f>
        <v/>
      </c>
      <c r="AI486" s="12">
        <f>IF(AB486="","",IF(AH486="","CEK ID FIXTURE tidak ada di DAFTAR_FIXTURE",IF(AC486="","CEK ZONA NO kosong",IF(ISNA(MATCH(AH486&amp;"|"&amp;AC486,LAYOUT!$E$2:$E$80,0)),"CEK ZONA NO di luar layout",IF(AD486&lt;&gt;INDEX(LAYOUT!$D$2:$D$80,MATCH(AH486&amp;"|"&amp;AC486,LAYOUT!$E$2:$E$80,0)),"CEK JENIS ZONA",IF($D486="","Zona STOCK",IF($E486="","CEK SKU DESCRIPTION kosong",IF(AND(AE486&lt;&gt;"",AF486=""),"CEK URUTAN SAMBUNG kosong",IF(AND(AE486&lt;&gt;"",LEFT(AH486,6)="Endcap"),"CEK Endcap tidak ikut sambung","OK")))))))))</f>
        <v/>
      </c>
    </row>
    <row r="487">
      <c r="A487" s="10" t="n"/>
      <c r="B487" s="10" t="n"/>
      <c r="C487" s="10" t="n"/>
      <c r="D487" s="10" t="n"/>
      <c r="E487" s="10" t="n"/>
      <c r="F487" s="10" t="n"/>
      <c r="G487" s="10" t="n"/>
      <c r="H487" s="10" t="n"/>
      <c r="I487" s="10" t="n"/>
      <c r="J487" s="10" t="n"/>
      <c r="K487" s="10" t="n"/>
      <c r="L487" s="11" t="n"/>
      <c r="M487" s="11" t="n"/>
      <c r="N487" s="11" t="n"/>
      <c r="O487" s="11" t="n"/>
      <c r="P487" s="11" t="n"/>
      <c r="Q487" s="11" t="n"/>
      <c r="R487" s="12">
        <f>IF(L487="","",IFERROR(INDEX(DAFTAR_FIXTURE!$B$2:$B$51,MATCH(L487,DAFTAR_FIXTURE!$A$2:$A$51,0)),""))</f>
        <v/>
      </c>
      <c r="S487" s="12">
        <f>IF(AND($D487="",L487=""),"",IF(L487="",IF(AND(T487="",AB487=""),"Belum ditempatkan",""),IF(R487="","CEK ID FIXTURE tidak ada di DAFTAR_FIXTURE",IF(M487="","CEK ZONA NO kosong",IF(ISNA(MATCH(R487&amp;"|"&amp;M487,LAYOUT!$E$2:$E$80,0)),"CEK ZONA NO di luar layout",IF(N487&lt;&gt;INDEX(LAYOUT!$D$2:$D$80,MATCH(R487&amp;"|"&amp;M487,LAYOUT!$E$2:$E$80,0)),"CEK JENIS ZONA",IF($D487="","Zona STOCK",IF($E487="","CEK SKU DESCRIPTION kosong",IF(AND(O487&lt;&gt;"",P487=""),"CEK URUTAN SAMBUNG kosong",IF(AND(O487&lt;&gt;"",LEFT(R487,6)="Endcap"),"CEK Endcap tidak ikut sambung","OK"))))))))))</f>
        <v/>
      </c>
      <c r="T487" s="11" t="n"/>
      <c r="U487" s="11" t="n"/>
      <c r="V487" s="11" t="n"/>
      <c r="W487" s="11" t="n"/>
      <c r="X487" s="11" t="n"/>
      <c r="Y487" s="11" t="n"/>
      <c r="Z487" s="12">
        <f>IF(T487="","",IFERROR(INDEX(DAFTAR_FIXTURE!$B$2:$B$51,MATCH(T487,DAFTAR_FIXTURE!$A$2:$A$51,0)),""))</f>
        <v/>
      </c>
      <c r="AA487" s="12">
        <f>IF(T487="","",IF(Z487="","CEK ID FIXTURE tidak ada di DAFTAR_FIXTURE",IF(U487="","CEK ZONA NO kosong",IF(ISNA(MATCH(Z487&amp;"|"&amp;U487,LAYOUT!$E$2:$E$80,0)),"CEK ZONA NO di luar layout",IF(V487&lt;&gt;INDEX(LAYOUT!$D$2:$D$80,MATCH(Z487&amp;"|"&amp;U487,LAYOUT!$E$2:$E$80,0)),"CEK JENIS ZONA",IF($D487="","Zona STOCK",IF($E487="","CEK SKU DESCRIPTION kosong",IF(AND(W487&lt;&gt;"",X487=""),"CEK URUTAN SAMBUNG kosong",IF(AND(W487&lt;&gt;"",LEFT(Z487,6)="Endcap"),"CEK Endcap tidak ikut sambung","OK")))))))))</f>
        <v/>
      </c>
      <c r="AB487" s="11" t="n"/>
      <c r="AC487" s="11" t="n"/>
      <c r="AD487" s="11" t="n"/>
      <c r="AE487" s="11" t="n"/>
      <c r="AF487" s="11" t="n"/>
      <c r="AG487" s="11" t="n"/>
      <c r="AH487" s="12">
        <f>IF(AB487="","",IFERROR(INDEX(DAFTAR_FIXTURE!$B$2:$B$51,MATCH(AB487,DAFTAR_FIXTURE!$A$2:$A$51,0)),""))</f>
        <v/>
      </c>
      <c r="AI487" s="12">
        <f>IF(AB487="","",IF(AH487="","CEK ID FIXTURE tidak ada di DAFTAR_FIXTURE",IF(AC487="","CEK ZONA NO kosong",IF(ISNA(MATCH(AH487&amp;"|"&amp;AC487,LAYOUT!$E$2:$E$80,0)),"CEK ZONA NO di luar layout",IF(AD487&lt;&gt;INDEX(LAYOUT!$D$2:$D$80,MATCH(AH487&amp;"|"&amp;AC487,LAYOUT!$E$2:$E$80,0)),"CEK JENIS ZONA",IF($D487="","Zona STOCK",IF($E487="","CEK SKU DESCRIPTION kosong",IF(AND(AE487&lt;&gt;"",AF487=""),"CEK URUTAN SAMBUNG kosong",IF(AND(AE487&lt;&gt;"",LEFT(AH487,6)="Endcap"),"CEK Endcap tidak ikut sambung","OK")))))))))</f>
        <v/>
      </c>
    </row>
    <row r="488">
      <c r="A488" s="10" t="n"/>
      <c r="B488" s="10" t="n"/>
      <c r="C488" s="10" t="n"/>
      <c r="D488" s="10" t="n"/>
      <c r="E488" s="10" t="n"/>
      <c r="F488" s="10" t="n"/>
      <c r="G488" s="10" t="n"/>
      <c r="H488" s="10" t="n"/>
      <c r="I488" s="10" t="n"/>
      <c r="J488" s="10" t="n"/>
      <c r="K488" s="10" t="n"/>
      <c r="L488" s="11" t="n"/>
      <c r="M488" s="11" t="n"/>
      <c r="N488" s="11" t="n"/>
      <c r="O488" s="11" t="n"/>
      <c r="P488" s="11" t="n"/>
      <c r="Q488" s="11" t="n"/>
      <c r="R488" s="12">
        <f>IF(L488="","",IFERROR(INDEX(DAFTAR_FIXTURE!$B$2:$B$51,MATCH(L488,DAFTAR_FIXTURE!$A$2:$A$51,0)),""))</f>
        <v/>
      </c>
      <c r="S488" s="12">
        <f>IF(AND($D488="",L488=""),"",IF(L488="",IF(AND(T488="",AB488=""),"Belum ditempatkan",""),IF(R488="","CEK ID FIXTURE tidak ada di DAFTAR_FIXTURE",IF(M488="","CEK ZONA NO kosong",IF(ISNA(MATCH(R488&amp;"|"&amp;M488,LAYOUT!$E$2:$E$80,0)),"CEK ZONA NO di luar layout",IF(N488&lt;&gt;INDEX(LAYOUT!$D$2:$D$80,MATCH(R488&amp;"|"&amp;M488,LAYOUT!$E$2:$E$80,0)),"CEK JENIS ZONA",IF($D488="","Zona STOCK",IF($E488="","CEK SKU DESCRIPTION kosong",IF(AND(O488&lt;&gt;"",P488=""),"CEK URUTAN SAMBUNG kosong",IF(AND(O488&lt;&gt;"",LEFT(R488,6)="Endcap"),"CEK Endcap tidak ikut sambung","OK"))))))))))</f>
        <v/>
      </c>
      <c r="T488" s="11" t="n"/>
      <c r="U488" s="11" t="n"/>
      <c r="V488" s="11" t="n"/>
      <c r="W488" s="11" t="n"/>
      <c r="X488" s="11" t="n"/>
      <c r="Y488" s="11" t="n"/>
      <c r="Z488" s="12">
        <f>IF(T488="","",IFERROR(INDEX(DAFTAR_FIXTURE!$B$2:$B$51,MATCH(T488,DAFTAR_FIXTURE!$A$2:$A$51,0)),""))</f>
        <v/>
      </c>
      <c r="AA488" s="12">
        <f>IF(T488="","",IF(Z488="","CEK ID FIXTURE tidak ada di DAFTAR_FIXTURE",IF(U488="","CEK ZONA NO kosong",IF(ISNA(MATCH(Z488&amp;"|"&amp;U488,LAYOUT!$E$2:$E$80,0)),"CEK ZONA NO di luar layout",IF(V488&lt;&gt;INDEX(LAYOUT!$D$2:$D$80,MATCH(Z488&amp;"|"&amp;U488,LAYOUT!$E$2:$E$80,0)),"CEK JENIS ZONA",IF($D488="","Zona STOCK",IF($E488="","CEK SKU DESCRIPTION kosong",IF(AND(W488&lt;&gt;"",X488=""),"CEK URUTAN SAMBUNG kosong",IF(AND(W488&lt;&gt;"",LEFT(Z488,6)="Endcap"),"CEK Endcap tidak ikut sambung","OK")))))))))</f>
        <v/>
      </c>
      <c r="AB488" s="11" t="n"/>
      <c r="AC488" s="11" t="n"/>
      <c r="AD488" s="11" t="n"/>
      <c r="AE488" s="11" t="n"/>
      <c r="AF488" s="11" t="n"/>
      <c r="AG488" s="11" t="n"/>
      <c r="AH488" s="12">
        <f>IF(AB488="","",IFERROR(INDEX(DAFTAR_FIXTURE!$B$2:$B$51,MATCH(AB488,DAFTAR_FIXTURE!$A$2:$A$51,0)),""))</f>
        <v/>
      </c>
      <c r="AI488" s="12">
        <f>IF(AB488="","",IF(AH488="","CEK ID FIXTURE tidak ada di DAFTAR_FIXTURE",IF(AC488="","CEK ZONA NO kosong",IF(ISNA(MATCH(AH488&amp;"|"&amp;AC488,LAYOUT!$E$2:$E$80,0)),"CEK ZONA NO di luar layout",IF(AD488&lt;&gt;INDEX(LAYOUT!$D$2:$D$80,MATCH(AH488&amp;"|"&amp;AC488,LAYOUT!$E$2:$E$80,0)),"CEK JENIS ZONA",IF($D488="","Zona STOCK",IF($E488="","CEK SKU DESCRIPTION kosong",IF(AND(AE488&lt;&gt;"",AF488=""),"CEK URUTAN SAMBUNG kosong",IF(AND(AE488&lt;&gt;"",LEFT(AH488,6)="Endcap"),"CEK Endcap tidak ikut sambung","OK")))))))))</f>
        <v/>
      </c>
    </row>
    <row r="489">
      <c r="A489" s="10" t="n"/>
      <c r="B489" s="10" t="n"/>
      <c r="C489" s="10" t="n"/>
      <c r="D489" s="10" t="n"/>
      <c r="E489" s="10" t="n"/>
      <c r="F489" s="10" t="n"/>
      <c r="G489" s="10" t="n"/>
      <c r="H489" s="10" t="n"/>
      <c r="I489" s="10" t="n"/>
      <c r="J489" s="10" t="n"/>
      <c r="K489" s="10" t="n"/>
      <c r="L489" s="11" t="n"/>
      <c r="M489" s="11" t="n"/>
      <c r="N489" s="11" t="n"/>
      <c r="O489" s="11" t="n"/>
      <c r="P489" s="11" t="n"/>
      <c r="Q489" s="11" t="n"/>
      <c r="R489" s="12">
        <f>IF(L489="","",IFERROR(INDEX(DAFTAR_FIXTURE!$B$2:$B$51,MATCH(L489,DAFTAR_FIXTURE!$A$2:$A$51,0)),""))</f>
        <v/>
      </c>
      <c r="S489" s="12">
        <f>IF(AND($D489="",L489=""),"",IF(L489="",IF(AND(T489="",AB489=""),"Belum ditempatkan",""),IF(R489="","CEK ID FIXTURE tidak ada di DAFTAR_FIXTURE",IF(M489="","CEK ZONA NO kosong",IF(ISNA(MATCH(R489&amp;"|"&amp;M489,LAYOUT!$E$2:$E$80,0)),"CEK ZONA NO di luar layout",IF(N489&lt;&gt;INDEX(LAYOUT!$D$2:$D$80,MATCH(R489&amp;"|"&amp;M489,LAYOUT!$E$2:$E$80,0)),"CEK JENIS ZONA",IF($D489="","Zona STOCK",IF($E489="","CEK SKU DESCRIPTION kosong",IF(AND(O489&lt;&gt;"",P489=""),"CEK URUTAN SAMBUNG kosong",IF(AND(O489&lt;&gt;"",LEFT(R489,6)="Endcap"),"CEK Endcap tidak ikut sambung","OK"))))))))))</f>
        <v/>
      </c>
      <c r="T489" s="11" t="n"/>
      <c r="U489" s="11" t="n"/>
      <c r="V489" s="11" t="n"/>
      <c r="W489" s="11" t="n"/>
      <c r="X489" s="11" t="n"/>
      <c r="Y489" s="11" t="n"/>
      <c r="Z489" s="12">
        <f>IF(T489="","",IFERROR(INDEX(DAFTAR_FIXTURE!$B$2:$B$51,MATCH(T489,DAFTAR_FIXTURE!$A$2:$A$51,0)),""))</f>
        <v/>
      </c>
      <c r="AA489" s="12">
        <f>IF(T489="","",IF(Z489="","CEK ID FIXTURE tidak ada di DAFTAR_FIXTURE",IF(U489="","CEK ZONA NO kosong",IF(ISNA(MATCH(Z489&amp;"|"&amp;U489,LAYOUT!$E$2:$E$80,0)),"CEK ZONA NO di luar layout",IF(V489&lt;&gt;INDEX(LAYOUT!$D$2:$D$80,MATCH(Z489&amp;"|"&amp;U489,LAYOUT!$E$2:$E$80,0)),"CEK JENIS ZONA",IF($D489="","Zona STOCK",IF($E489="","CEK SKU DESCRIPTION kosong",IF(AND(W489&lt;&gt;"",X489=""),"CEK URUTAN SAMBUNG kosong",IF(AND(W489&lt;&gt;"",LEFT(Z489,6)="Endcap"),"CEK Endcap tidak ikut sambung","OK")))))))))</f>
        <v/>
      </c>
      <c r="AB489" s="11" t="n"/>
      <c r="AC489" s="11" t="n"/>
      <c r="AD489" s="11" t="n"/>
      <c r="AE489" s="11" t="n"/>
      <c r="AF489" s="11" t="n"/>
      <c r="AG489" s="11" t="n"/>
      <c r="AH489" s="12">
        <f>IF(AB489="","",IFERROR(INDEX(DAFTAR_FIXTURE!$B$2:$B$51,MATCH(AB489,DAFTAR_FIXTURE!$A$2:$A$51,0)),""))</f>
        <v/>
      </c>
      <c r="AI489" s="12">
        <f>IF(AB489="","",IF(AH489="","CEK ID FIXTURE tidak ada di DAFTAR_FIXTURE",IF(AC489="","CEK ZONA NO kosong",IF(ISNA(MATCH(AH489&amp;"|"&amp;AC489,LAYOUT!$E$2:$E$80,0)),"CEK ZONA NO di luar layout",IF(AD489&lt;&gt;INDEX(LAYOUT!$D$2:$D$80,MATCH(AH489&amp;"|"&amp;AC489,LAYOUT!$E$2:$E$80,0)),"CEK JENIS ZONA",IF($D489="","Zona STOCK",IF($E489="","CEK SKU DESCRIPTION kosong",IF(AND(AE489&lt;&gt;"",AF489=""),"CEK URUTAN SAMBUNG kosong",IF(AND(AE489&lt;&gt;"",LEFT(AH489,6)="Endcap"),"CEK Endcap tidak ikut sambung","OK")))))))))</f>
        <v/>
      </c>
    </row>
    <row r="490">
      <c r="A490" s="10" t="n"/>
      <c r="B490" s="10" t="n"/>
      <c r="C490" s="10" t="n"/>
      <c r="D490" s="10" t="n"/>
      <c r="E490" s="10" t="n"/>
      <c r="F490" s="10" t="n"/>
      <c r="G490" s="10" t="n"/>
      <c r="H490" s="10" t="n"/>
      <c r="I490" s="10" t="n"/>
      <c r="J490" s="10" t="n"/>
      <c r="K490" s="10" t="n"/>
      <c r="L490" s="11" t="n"/>
      <c r="M490" s="11" t="n"/>
      <c r="N490" s="11" t="n"/>
      <c r="O490" s="11" t="n"/>
      <c r="P490" s="11" t="n"/>
      <c r="Q490" s="11" t="n"/>
      <c r="R490" s="12">
        <f>IF(L490="","",IFERROR(INDEX(DAFTAR_FIXTURE!$B$2:$B$51,MATCH(L490,DAFTAR_FIXTURE!$A$2:$A$51,0)),""))</f>
        <v/>
      </c>
      <c r="S490" s="12">
        <f>IF(AND($D490="",L490=""),"",IF(L490="",IF(AND(T490="",AB490=""),"Belum ditempatkan",""),IF(R490="","CEK ID FIXTURE tidak ada di DAFTAR_FIXTURE",IF(M490="","CEK ZONA NO kosong",IF(ISNA(MATCH(R490&amp;"|"&amp;M490,LAYOUT!$E$2:$E$80,0)),"CEK ZONA NO di luar layout",IF(N490&lt;&gt;INDEX(LAYOUT!$D$2:$D$80,MATCH(R490&amp;"|"&amp;M490,LAYOUT!$E$2:$E$80,0)),"CEK JENIS ZONA",IF($D490="","Zona STOCK",IF($E490="","CEK SKU DESCRIPTION kosong",IF(AND(O490&lt;&gt;"",P490=""),"CEK URUTAN SAMBUNG kosong",IF(AND(O490&lt;&gt;"",LEFT(R490,6)="Endcap"),"CEK Endcap tidak ikut sambung","OK"))))))))))</f>
        <v/>
      </c>
      <c r="T490" s="11" t="n"/>
      <c r="U490" s="11" t="n"/>
      <c r="V490" s="11" t="n"/>
      <c r="W490" s="11" t="n"/>
      <c r="X490" s="11" t="n"/>
      <c r="Y490" s="11" t="n"/>
      <c r="Z490" s="12">
        <f>IF(T490="","",IFERROR(INDEX(DAFTAR_FIXTURE!$B$2:$B$51,MATCH(T490,DAFTAR_FIXTURE!$A$2:$A$51,0)),""))</f>
        <v/>
      </c>
      <c r="AA490" s="12">
        <f>IF(T490="","",IF(Z490="","CEK ID FIXTURE tidak ada di DAFTAR_FIXTURE",IF(U490="","CEK ZONA NO kosong",IF(ISNA(MATCH(Z490&amp;"|"&amp;U490,LAYOUT!$E$2:$E$80,0)),"CEK ZONA NO di luar layout",IF(V490&lt;&gt;INDEX(LAYOUT!$D$2:$D$80,MATCH(Z490&amp;"|"&amp;U490,LAYOUT!$E$2:$E$80,0)),"CEK JENIS ZONA",IF($D490="","Zona STOCK",IF($E490="","CEK SKU DESCRIPTION kosong",IF(AND(W490&lt;&gt;"",X490=""),"CEK URUTAN SAMBUNG kosong",IF(AND(W490&lt;&gt;"",LEFT(Z490,6)="Endcap"),"CEK Endcap tidak ikut sambung","OK")))))))))</f>
        <v/>
      </c>
      <c r="AB490" s="11" t="n"/>
      <c r="AC490" s="11" t="n"/>
      <c r="AD490" s="11" t="n"/>
      <c r="AE490" s="11" t="n"/>
      <c r="AF490" s="11" t="n"/>
      <c r="AG490" s="11" t="n"/>
      <c r="AH490" s="12">
        <f>IF(AB490="","",IFERROR(INDEX(DAFTAR_FIXTURE!$B$2:$B$51,MATCH(AB490,DAFTAR_FIXTURE!$A$2:$A$51,0)),""))</f>
        <v/>
      </c>
      <c r="AI490" s="12">
        <f>IF(AB490="","",IF(AH490="","CEK ID FIXTURE tidak ada di DAFTAR_FIXTURE",IF(AC490="","CEK ZONA NO kosong",IF(ISNA(MATCH(AH490&amp;"|"&amp;AC490,LAYOUT!$E$2:$E$80,0)),"CEK ZONA NO di luar layout",IF(AD490&lt;&gt;INDEX(LAYOUT!$D$2:$D$80,MATCH(AH490&amp;"|"&amp;AC490,LAYOUT!$E$2:$E$80,0)),"CEK JENIS ZONA",IF($D490="","Zona STOCK",IF($E490="","CEK SKU DESCRIPTION kosong",IF(AND(AE490&lt;&gt;"",AF490=""),"CEK URUTAN SAMBUNG kosong",IF(AND(AE490&lt;&gt;"",LEFT(AH490,6)="Endcap"),"CEK Endcap tidak ikut sambung","OK")))))))))</f>
        <v/>
      </c>
    </row>
    <row r="491">
      <c r="A491" s="10" t="n"/>
      <c r="B491" s="10" t="n"/>
      <c r="C491" s="10" t="n"/>
      <c r="D491" s="10" t="n"/>
      <c r="E491" s="10" t="n"/>
      <c r="F491" s="10" t="n"/>
      <c r="G491" s="10" t="n"/>
      <c r="H491" s="10" t="n"/>
      <c r="I491" s="10" t="n"/>
      <c r="J491" s="10" t="n"/>
      <c r="K491" s="10" t="n"/>
      <c r="L491" s="11" t="n"/>
      <c r="M491" s="11" t="n"/>
      <c r="N491" s="11" t="n"/>
      <c r="O491" s="11" t="n"/>
      <c r="P491" s="11" t="n"/>
      <c r="Q491" s="11" t="n"/>
      <c r="R491" s="12">
        <f>IF(L491="","",IFERROR(INDEX(DAFTAR_FIXTURE!$B$2:$B$51,MATCH(L491,DAFTAR_FIXTURE!$A$2:$A$51,0)),""))</f>
        <v/>
      </c>
      <c r="S491" s="12">
        <f>IF(AND($D491="",L491=""),"",IF(L491="",IF(AND(T491="",AB491=""),"Belum ditempatkan",""),IF(R491="","CEK ID FIXTURE tidak ada di DAFTAR_FIXTURE",IF(M491="","CEK ZONA NO kosong",IF(ISNA(MATCH(R491&amp;"|"&amp;M491,LAYOUT!$E$2:$E$80,0)),"CEK ZONA NO di luar layout",IF(N491&lt;&gt;INDEX(LAYOUT!$D$2:$D$80,MATCH(R491&amp;"|"&amp;M491,LAYOUT!$E$2:$E$80,0)),"CEK JENIS ZONA",IF($D491="","Zona STOCK",IF($E491="","CEK SKU DESCRIPTION kosong",IF(AND(O491&lt;&gt;"",P491=""),"CEK URUTAN SAMBUNG kosong",IF(AND(O491&lt;&gt;"",LEFT(R491,6)="Endcap"),"CEK Endcap tidak ikut sambung","OK"))))))))))</f>
        <v/>
      </c>
      <c r="T491" s="11" t="n"/>
      <c r="U491" s="11" t="n"/>
      <c r="V491" s="11" t="n"/>
      <c r="W491" s="11" t="n"/>
      <c r="X491" s="11" t="n"/>
      <c r="Y491" s="11" t="n"/>
      <c r="Z491" s="12">
        <f>IF(T491="","",IFERROR(INDEX(DAFTAR_FIXTURE!$B$2:$B$51,MATCH(T491,DAFTAR_FIXTURE!$A$2:$A$51,0)),""))</f>
        <v/>
      </c>
      <c r="AA491" s="12">
        <f>IF(T491="","",IF(Z491="","CEK ID FIXTURE tidak ada di DAFTAR_FIXTURE",IF(U491="","CEK ZONA NO kosong",IF(ISNA(MATCH(Z491&amp;"|"&amp;U491,LAYOUT!$E$2:$E$80,0)),"CEK ZONA NO di luar layout",IF(V491&lt;&gt;INDEX(LAYOUT!$D$2:$D$80,MATCH(Z491&amp;"|"&amp;U491,LAYOUT!$E$2:$E$80,0)),"CEK JENIS ZONA",IF($D491="","Zona STOCK",IF($E491="","CEK SKU DESCRIPTION kosong",IF(AND(W491&lt;&gt;"",X491=""),"CEK URUTAN SAMBUNG kosong",IF(AND(W491&lt;&gt;"",LEFT(Z491,6)="Endcap"),"CEK Endcap tidak ikut sambung","OK")))))))))</f>
        <v/>
      </c>
      <c r="AB491" s="11" t="n"/>
      <c r="AC491" s="11" t="n"/>
      <c r="AD491" s="11" t="n"/>
      <c r="AE491" s="11" t="n"/>
      <c r="AF491" s="11" t="n"/>
      <c r="AG491" s="11" t="n"/>
      <c r="AH491" s="12">
        <f>IF(AB491="","",IFERROR(INDEX(DAFTAR_FIXTURE!$B$2:$B$51,MATCH(AB491,DAFTAR_FIXTURE!$A$2:$A$51,0)),""))</f>
        <v/>
      </c>
      <c r="AI491" s="12">
        <f>IF(AB491="","",IF(AH491="","CEK ID FIXTURE tidak ada di DAFTAR_FIXTURE",IF(AC491="","CEK ZONA NO kosong",IF(ISNA(MATCH(AH491&amp;"|"&amp;AC491,LAYOUT!$E$2:$E$80,0)),"CEK ZONA NO di luar layout",IF(AD491&lt;&gt;INDEX(LAYOUT!$D$2:$D$80,MATCH(AH491&amp;"|"&amp;AC491,LAYOUT!$E$2:$E$80,0)),"CEK JENIS ZONA",IF($D491="","Zona STOCK",IF($E491="","CEK SKU DESCRIPTION kosong",IF(AND(AE491&lt;&gt;"",AF491=""),"CEK URUTAN SAMBUNG kosong",IF(AND(AE491&lt;&gt;"",LEFT(AH491,6)="Endcap"),"CEK Endcap tidak ikut sambung","OK")))))))))</f>
        <v/>
      </c>
    </row>
    <row r="492">
      <c r="A492" s="10" t="n"/>
      <c r="B492" s="10" t="n"/>
      <c r="C492" s="10" t="n"/>
      <c r="D492" s="10" t="n"/>
      <c r="E492" s="10" t="n"/>
      <c r="F492" s="10" t="n"/>
      <c r="G492" s="10" t="n"/>
      <c r="H492" s="10" t="n"/>
      <c r="I492" s="10" t="n"/>
      <c r="J492" s="10" t="n"/>
      <c r="K492" s="10" t="n"/>
      <c r="L492" s="11" t="n"/>
      <c r="M492" s="11" t="n"/>
      <c r="N492" s="11" t="n"/>
      <c r="O492" s="11" t="n"/>
      <c r="P492" s="11" t="n"/>
      <c r="Q492" s="11" t="n"/>
      <c r="R492" s="12">
        <f>IF(L492="","",IFERROR(INDEX(DAFTAR_FIXTURE!$B$2:$B$51,MATCH(L492,DAFTAR_FIXTURE!$A$2:$A$51,0)),""))</f>
        <v/>
      </c>
      <c r="S492" s="12">
        <f>IF(AND($D492="",L492=""),"",IF(L492="",IF(AND(T492="",AB492=""),"Belum ditempatkan",""),IF(R492="","CEK ID FIXTURE tidak ada di DAFTAR_FIXTURE",IF(M492="","CEK ZONA NO kosong",IF(ISNA(MATCH(R492&amp;"|"&amp;M492,LAYOUT!$E$2:$E$80,0)),"CEK ZONA NO di luar layout",IF(N492&lt;&gt;INDEX(LAYOUT!$D$2:$D$80,MATCH(R492&amp;"|"&amp;M492,LAYOUT!$E$2:$E$80,0)),"CEK JENIS ZONA",IF($D492="","Zona STOCK",IF($E492="","CEK SKU DESCRIPTION kosong",IF(AND(O492&lt;&gt;"",P492=""),"CEK URUTAN SAMBUNG kosong",IF(AND(O492&lt;&gt;"",LEFT(R492,6)="Endcap"),"CEK Endcap tidak ikut sambung","OK"))))))))))</f>
        <v/>
      </c>
      <c r="T492" s="11" t="n"/>
      <c r="U492" s="11" t="n"/>
      <c r="V492" s="11" t="n"/>
      <c r="W492" s="11" t="n"/>
      <c r="X492" s="11" t="n"/>
      <c r="Y492" s="11" t="n"/>
      <c r="Z492" s="12">
        <f>IF(T492="","",IFERROR(INDEX(DAFTAR_FIXTURE!$B$2:$B$51,MATCH(T492,DAFTAR_FIXTURE!$A$2:$A$51,0)),""))</f>
        <v/>
      </c>
      <c r="AA492" s="12">
        <f>IF(T492="","",IF(Z492="","CEK ID FIXTURE tidak ada di DAFTAR_FIXTURE",IF(U492="","CEK ZONA NO kosong",IF(ISNA(MATCH(Z492&amp;"|"&amp;U492,LAYOUT!$E$2:$E$80,0)),"CEK ZONA NO di luar layout",IF(V492&lt;&gt;INDEX(LAYOUT!$D$2:$D$80,MATCH(Z492&amp;"|"&amp;U492,LAYOUT!$E$2:$E$80,0)),"CEK JENIS ZONA",IF($D492="","Zona STOCK",IF($E492="","CEK SKU DESCRIPTION kosong",IF(AND(W492&lt;&gt;"",X492=""),"CEK URUTAN SAMBUNG kosong",IF(AND(W492&lt;&gt;"",LEFT(Z492,6)="Endcap"),"CEK Endcap tidak ikut sambung","OK")))))))))</f>
        <v/>
      </c>
      <c r="AB492" s="11" t="n"/>
      <c r="AC492" s="11" t="n"/>
      <c r="AD492" s="11" t="n"/>
      <c r="AE492" s="11" t="n"/>
      <c r="AF492" s="11" t="n"/>
      <c r="AG492" s="11" t="n"/>
      <c r="AH492" s="12">
        <f>IF(AB492="","",IFERROR(INDEX(DAFTAR_FIXTURE!$B$2:$B$51,MATCH(AB492,DAFTAR_FIXTURE!$A$2:$A$51,0)),""))</f>
        <v/>
      </c>
      <c r="AI492" s="12">
        <f>IF(AB492="","",IF(AH492="","CEK ID FIXTURE tidak ada di DAFTAR_FIXTURE",IF(AC492="","CEK ZONA NO kosong",IF(ISNA(MATCH(AH492&amp;"|"&amp;AC492,LAYOUT!$E$2:$E$80,0)),"CEK ZONA NO di luar layout",IF(AD492&lt;&gt;INDEX(LAYOUT!$D$2:$D$80,MATCH(AH492&amp;"|"&amp;AC492,LAYOUT!$E$2:$E$80,0)),"CEK JENIS ZONA",IF($D492="","Zona STOCK",IF($E492="","CEK SKU DESCRIPTION kosong",IF(AND(AE492&lt;&gt;"",AF492=""),"CEK URUTAN SAMBUNG kosong",IF(AND(AE492&lt;&gt;"",LEFT(AH492,6)="Endcap"),"CEK Endcap tidak ikut sambung","OK")))))))))</f>
        <v/>
      </c>
    </row>
    <row r="493">
      <c r="A493" s="10" t="n"/>
      <c r="B493" s="10" t="n"/>
      <c r="C493" s="10" t="n"/>
      <c r="D493" s="10" t="n"/>
      <c r="E493" s="10" t="n"/>
      <c r="F493" s="10" t="n"/>
      <c r="G493" s="10" t="n"/>
      <c r="H493" s="10" t="n"/>
      <c r="I493" s="10" t="n"/>
      <c r="J493" s="10" t="n"/>
      <c r="K493" s="10" t="n"/>
      <c r="L493" s="11" t="n"/>
      <c r="M493" s="11" t="n"/>
      <c r="N493" s="11" t="n"/>
      <c r="O493" s="11" t="n"/>
      <c r="P493" s="11" t="n"/>
      <c r="Q493" s="11" t="n"/>
      <c r="R493" s="12">
        <f>IF(L493="","",IFERROR(INDEX(DAFTAR_FIXTURE!$B$2:$B$51,MATCH(L493,DAFTAR_FIXTURE!$A$2:$A$51,0)),""))</f>
        <v/>
      </c>
      <c r="S493" s="12">
        <f>IF(AND($D493="",L493=""),"",IF(L493="",IF(AND(T493="",AB493=""),"Belum ditempatkan",""),IF(R493="","CEK ID FIXTURE tidak ada di DAFTAR_FIXTURE",IF(M493="","CEK ZONA NO kosong",IF(ISNA(MATCH(R493&amp;"|"&amp;M493,LAYOUT!$E$2:$E$80,0)),"CEK ZONA NO di luar layout",IF(N493&lt;&gt;INDEX(LAYOUT!$D$2:$D$80,MATCH(R493&amp;"|"&amp;M493,LAYOUT!$E$2:$E$80,0)),"CEK JENIS ZONA",IF($D493="","Zona STOCK",IF($E493="","CEK SKU DESCRIPTION kosong",IF(AND(O493&lt;&gt;"",P493=""),"CEK URUTAN SAMBUNG kosong",IF(AND(O493&lt;&gt;"",LEFT(R493,6)="Endcap"),"CEK Endcap tidak ikut sambung","OK"))))))))))</f>
        <v/>
      </c>
      <c r="T493" s="11" t="n"/>
      <c r="U493" s="11" t="n"/>
      <c r="V493" s="11" t="n"/>
      <c r="W493" s="11" t="n"/>
      <c r="X493" s="11" t="n"/>
      <c r="Y493" s="11" t="n"/>
      <c r="Z493" s="12">
        <f>IF(T493="","",IFERROR(INDEX(DAFTAR_FIXTURE!$B$2:$B$51,MATCH(T493,DAFTAR_FIXTURE!$A$2:$A$51,0)),""))</f>
        <v/>
      </c>
      <c r="AA493" s="12">
        <f>IF(T493="","",IF(Z493="","CEK ID FIXTURE tidak ada di DAFTAR_FIXTURE",IF(U493="","CEK ZONA NO kosong",IF(ISNA(MATCH(Z493&amp;"|"&amp;U493,LAYOUT!$E$2:$E$80,0)),"CEK ZONA NO di luar layout",IF(V493&lt;&gt;INDEX(LAYOUT!$D$2:$D$80,MATCH(Z493&amp;"|"&amp;U493,LAYOUT!$E$2:$E$80,0)),"CEK JENIS ZONA",IF($D493="","Zona STOCK",IF($E493="","CEK SKU DESCRIPTION kosong",IF(AND(W493&lt;&gt;"",X493=""),"CEK URUTAN SAMBUNG kosong",IF(AND(W493&lt;&gt;"",LEFT(Z493,6)="Endcap"),"CEK Endcap tidak ikut sambung","OK")))))))))</f>
        <v/>
      </c>
      <c r="AB493" s="11" t="n"/>
      <c r="AC493" s="11" t="n"/>
      <c r="AD493" s="11" t="n"/>
      <c r="AE493" s="11" t="n"/>
      <c r="AF493" s="11" t="n"/>
      <c r="AG493" s="11" t="n"/>
      <c r="AH493" s="12">
        <f>IF(AB493="","",IFERROR(INDEX(DAFTAR_FIXTURE!$B$2:$B$51,MATCH(AB493,DAFTAR_FIXTURE!$A$2:$A$51,0)),""))</f>
        <v/>
      </c>
      <c r="AI493" s="12">
        <f>IF(AB493="","",IF(AH493="","CEK ID FIXTURE tidak ada di DAFTAR_FIXTURE",IF(AC493="","CEK ZONA NO kosong",IF(ISNA(MATCH(AH493&amp;"|"&amp;AC493,LAYOUT!$E$2:$E$80,0)),"CEK ZONA NO di luar layout",IF(AD493&lt;&gt;INDEX(LAYOUT!$D$2:$D$80,MATCH(AH493&amp;"|"&amp;AC493,LAYOUT!$E$2:$E$80,0)),"CEK JENIS ZONA",IF($D493="","Zona STOCK",IF($E493="","CEK SKU DESCRIPTION kosong",IF(AND(AE493&lt;&gt;"",AF493=""),"CEK URUTAN SAMBUNG kosong",IF(AND(AE493&lt;&gt;"",LEFT(AH493,6)="Endcap"),"CEK Endcap tidak ikut sambung","OK")))))))))</f>
        <v/>
      </c>
    </row>
    <row r="494">
      <c r="A494" s="10" t="n"/>
      <c r="B494" s="10" t="n"/>
      <c r="C494" s="10" t="n"/>
      <c r="D494" s="10" t="n"/>
      <c r="E494" s="10" t="n"/>
      <c r="F494" s="10" t="n"/>
      <c r="G494" s="10" t="n"/>
      <c r="H494" s="10" t="n"/>
      <c r="I494" s="10" t="n"/>
      <c r="J494" s="10" t="n"/>
      <c r="K494" s="10" t="n"/>
      <c r="L494" s="11" t="n"/>
      <c r="M494" s="11" t="n"/>
      <c r="N494" s="11" t="n"/>
      <c r="O494" s="11" t="n"/>
      <c r="P494" s="11" t="n"/>
      <c r="Q494" s="11" t="n"/>
      <c r="R494" s="12">
        <f>IF(L494="","",IFERROR(INDEX(DAFTAR_FIXTURE!$B$2:$B$51,MATCH(L494,DAFTAR_FIXTURE!$A$2:$A$51,0)),""))</f>
        <v/>
      </c>
      <c r="S494" s="12">
        <f>IF(AND($D494="",L494=""),"",IF(L494="",IF(AND(T494="",AB494=""),"Belum ditempatkan",""),IF(R494="","CEK ID FIXTURE tidak ada di DAFTAR_FIXTURE",IF(M494="","CEK ZONA NO kosong",IF(ISNA(MATCH(R494&amp;"|"&amp;M494,LAYOUT!$E$2:$E$80,0)),"CEK ZONA NO di luar layout",IF(N494&lt;&gt;INDEX(LAYOUT!$D$2:$D$80,MATCH(R494&amp;"|"&amp;M494,LAYOUT!$E$2:$E$80,0)),"CEK JENIS ZONA",IF($D494="","Zona STOCK",IF($E494="","CEK SKU DESCRIPTION kosong",IF(AND(O494&lt;&gt;"",P494=""),"CEK URUTAN SAMBUNG kosong",IF(AND(O494&lt;&gt;"",LEFT(R494,6)="Endcap"),"CEK Endcap tidak ikut sambung","OK"))))))))))</f>
        <v/>
      </c>
      <c r="T494" s="11" t="n"/>
      <c r="U494" s="11" t="n"/>
      <c r="V494" s="11" t="n"/>
      <c r="W494" s="11" t="n"/>
      <c r="X494" s="11" t="n"/>
      <c r="Y494" s="11" t="n"/>
      <c r="Z494" s="12">
        <f>IF(T494="","",IFERROR(INDEX(DAFTAR_FIXTURE!$B$2:$B$51,MATCH(T494,DAFTAR_FIXTURE!$A$2:$A$51,0)),""))</f>
        <v/>
      </c>
      <c r="AA494" s="12">
        <f>IF(T494="","",IF(Z494="","CEK ID FIXTURE tidak ada di DAFTAR_FIXTURE",IF(U494="","CEK ZONA NO kosong",IF(ISNA(MATCH(Z494&amp;"|"&amp;U494,LAYOUT!$E$2:$E$80,0)),"CEK ZONA NO di luar layout",IF(V494&lt;&gt;INDEX(LAYOUT!$D$2:$D$80,MATCH(Z494&amp;"|"&amp;U494,LAYOUT!$E$2:$E$80,0)),"CEK JENIS ZONA",IF($D494="","Zona STOCK",IF($E494="","CEK SKU DESCRIPTION kosong",IF(AND(W494&lt;&gt;"",X494=""),"CEK URUTAN SAMBUNG kosong",IF(AND(W494&lt;&gt;"",LEFT(Z494,6)="Endcap"),"CEK Endcap tidak ikut sambung","OK")))))))))</f>
        <v/>
      </c>
      <c r="AB494" s="11" t="n"/>
      <c r="AC494" s="11" t="n"/>
      <c r="AD494" s="11" t="n"/>
      <c r="AE494" s="11" t="n"/>
      <c r="AF494" s="11" t="n"/>
      <c r="AG494" s="11" t="n"/>
      <c r="AH494" s="12">
        <f>IF(AB494="","",IFERROR(INDEX(DAFTAR_FIXTURE!$B$2:$B$51,MATCH(AB494,DAFTAR_FIXTURE!$A$2:$A$51,0)),""))</f>
        <v/>
      </c>
      <c r="AI494" s="12">
        <f>IF(AB494="","",IF(AH494="","CEK ID FIXTURE tidak ada di DAFTAR_FIXTURE",IF(AC494="","CEK ZONA NO kosong",IF(ISNA(MATCH(AH494&amp;"|"&amp;AC494,LAYOUT!$E$2:$E$80,0)),"CEK ZONA NO di luar layout",IF(AD494&lt;&gt;INDEX(LAYOUT!$D$2:$D$80,MATCH(AH494&amp;"|"&amp;AC494,LAYOUT!$E$2:$E$80,0)),"CEK JENIS ZONA",IF($D494="","Zona STOCK",IF($E494="","CEK SKU DESCRIPTION kosong",IF(AND(AE494&lt;&gt;"",AF494=""),"CEK URUTAN SAMBUNG kosong",IF(AND(AE494&lt;&gt;"",LEFT(AH494,6)="Endcap"),"CEK Endcap tidak ikut sambung","OK")))))))))</f>
        <v/>
      </c>
    </row>
    <row r="495">
      <c r="A495" s="10" t="n"/>
      <c r="B495" s="10" t="n"/>
      <c r="C495" s="10" t="n"/>
      <c r="D495" s="10" t="n"/>
      <c r="E495" s="10" t="n"/>
      <c r="F495" s="10" t="n"/>
      <c r="G495" s="10" t="n"/>
      <c r="H495" s="10" t="n"/>
      <c r="I495" s="10" t="n"/>
      <c r="J495" s="10" t="n"/>
      <c r="K495" s="10" t="n"/>
      <c r="L495" s="11" t="n"/>
      <c r="M495" s="11" t="n"/>
      <c r="N495" s="11" t="n"/>
      <c r="O495" s="11" t="n"/>
      <c r="P495" s="11" t="n"/>
      <c r="Q495" s="11" t="n"/>
      <c r="R495" s="12">
        <f>IF(L495="","",IFERROR(INDEX(DAFTAR_FIXTURE!$B$2:$B$51,MATCH(L495,DAFTAR_FIXTURE!$A$2:$A$51,0)),""))</f>
        <v/>
      </c>
      <c r="S495" s="12">
        <f>IF(AND($D495="",L495=""),"",IF(L495="",IF(AND(T495="",AB495=""),"Belum ditempatkan",""),IF(R495="","CEK ID FIXTURE tidak ada di DAFTAR_FIXTURE",IF(M495="","CEK ZONA NO kosong",IF(ISNA(MATCH(R495&amp;"|"&amp;M495,LAYOUT!$E$2:$E$80,0)),"CEK ZONA NO di luar layout",IF(N495&lt;&gt;INDEX(LAYOUT!$D$2:$D$80,MATCH(R495&amp;"|"&amp;M495,LAYOUT!$E$2:$E$80,0)),"CEK JENIS ZONA",IF($D495="","Zona STOCK",IF($E495="","CEK SKU DESCRIPTION kosong",IF(AND(O495&lt;&gt;"",P495=""),"CEK URUTAN SAMBUNG kosong",IF(AND(O495&lt;&gt;"",LEFT(R495,6)="Endcap"),"CEK Endcap tidak ikut sambung","OK"))))))))))</f>
        <v/>
      </c>
      <c r="T495" s="11" t="n"/>
      <c r="U495" s="11" t="n"/>
      <c r="V495" s="11" t="n"/>
      <c r="W495" s="11" t="n"/>
      <c r="X495" s="11" t="n"/>
      <c r="Y495" s="11" t="n"/>
      <c r="Z495" s="12">
        <f>IF(T495="","",IFERROR(INDEX(DAFTAR_FIXTURE!$B$2:$B$51,MATCH(T495,DAFTAR_FIXTURE!$A$2:$A$51,0)),""))</f>
        <v/>
      </c>
      <c r="AA495" s="12">
        <f>IF(T495="","",IF(Z495="","CEK ID FIXTURE tidak ada di DAFTAR_FIXTURE",IF(U495="","CEK ZONA NO kosong",IF(ISNA(MATCH(Z495&amp;"|"&amp;U495,LAYOUT!$E$2:$E$80,0)),"CEK ZONA NO di luar layout",IF(V495&lt;&gt;INDEX(LAYOUT!$D$2:$D$80,MATCH(Z495&amp;"|"&amp;U495,LAYOUT!$E$2:$E$80,0)),"CEK JENIS ZONA",IF($D495="","Zona STOCK",IF($E495="","CEK SKU DESCRIPTION kosong",IF(AND(W495&lt;&gt;"",X495=""),"CEK URUTAN SAMBUNG kosong",IF(AND(W495&lt;&gt;"",LEFT(Z495,6)="Endcap"),"CEK Endcap tidak ikut sambung","OK")))))))))</f>
        <v/>
      </c>
      <c r="AB495" s="11" t="n"/>
      <c r="AC495" s="11" t="n"/>
      <c r="AD495" s="11" t="n"/>
      <c r="AE495" s="11" t="n"/>
      <c r="AF495" s="11" t="n"/>
      <c r="AG495" s="11" t="n"/>
      <c r="AH495" s="12">
        <f>IF(AB495="","",IFERROR(INDEX(DAFTAR_FIXTURE!$B$2:$B$51,MATCH(AB495,DAFTAR_FIXTURE!$A$2:$A$51,0)),""))</f>
        <v/>
      </c>
      <c r="AI495" s="12">
        <f>IF(AB495="","",IF(AH495="","CEK ID FIXTURE tidak ada di DAFTAR_FIXTURE",IF(AC495="","CEK ZONA NO kosong",IF(ISNA(MATCH(AH495&amp;"|"&amp;AC495,LAYOUT!$E$2:$E$80,0)),"CEK ZONA NO di luar layout",IF(AD495&lt;&gt;INDEX(LAYOUT!$D$2:$D$80,MATCH(AH495&amp;"|"&amp;AC495,LAYOUT!$E$2:$E$80,0)),"CEK JENIS ZONA",IF($D495="","Zona STOCK",IF($E495="","CEK SKU DESCRIPTION kosong",IF(AND(AE495&lt;&gt;"",AF495=""),"CEK URUTAN SAMBUNG kosong",IF(AND(AE495&lt;&gt;"",LEFT(AH495,6)="Endcap"),"CEK Endcap tidak ikut sambung","OK")))))))))</f>
        <v/>
      </c>
    </row>
    <row r="496">
      <c r="A496" s="10" t="n"/>
      <c r="B496" s="10" t="n"/>
      <c r="C496" s="10" t="n"/>
      <c r="D496" s="10" t="n"/>
      <c r="E496" s="10" t="n"/>
      <c r="F496" s="10" t="n"/>
      <c r="G496" s="10" t="n"/>
      <c r="H496" s="10" t="n"/>
      <c r="I496" s="10" t="n"/>
      <c r="J496" s="10" t="n"/>
      <c r="K496" s="10" t="n"/>
      <c r="L496" s="11" t="n"/>
      <c r="M496" s="11" t="n"/>
      <c r="N496" s="11" t="n"/>
      <c r="O496" s="11" t="n"/>
      <c r="P496" s="11" t="n"/>
      <c r="Q496" s="11" t="n"/>
      <c r="R496" s="12">
        <f>IF(L496="","",IFERROR(INDEX(DAFTAR_FIXTURE!$B$2:$B$51,MATCH(L496,DAFTAR_FIXTURE!$A$2:$A$51,0)),""))</f>
        <v/>
      </c>
      <c r="S496" s="12">
        <f>IF(AND($D496="",L496=""),"",IF(L496="",IF(AND(T496="",AB496=""),"Belum ditempatkan",""),IF(R496="","CEK ID FIXTURE tidak ada di DAFTAR_FIXTURE",IF(M496="","CEK ZONA NO kosong",IF(ISNA(MATCH(R496&amp;"|"&amp;M496,LAYOUT!$E$2:$E$80,0)),"CEK ZONA NO di luar layout",IF(N496&lt;&gt;INDEX(LAYOUT!$D$2:$D$80,MATCH(R496&amp;"|"&amp;M496,LAYOUT!$E$2:$E$80,0)),"CEK JENIS ZONA",IF($D496="","Zona STOCK",IF($E496="","CEK SKU DESCRIPTION kosong",IF(AND(O496&lt;&gt;"",P496=""),"CEK URUTAN SAMBUNG kosong",IF(AND(O496&lt;&gt;"",LEFT(R496,6)="Endcap"),"CEK Endcap tidak ikut sambung","OK"))))))))))</f>
        <v/>
      </c>
      <c r="T496" s="11" t="n"/>
      <c r="U496" s="11" t="n"/>
      <c r="V496" s="11" t="n"/>
      <c r="W496" s="11" t="n"/>
      <c r="X496" s="11" t="n"/>
      <c r="Y496" s="11" t="n"/>
      <c r="Z496" s="12">
        <f>IF(T496="","",IFERROR(INDEX(DAFTAR_FIXTURE!$B$2:$B$51,MATCH(T496,DAFTAR_FIXTURE!$A$2:$A$51,0)),""))</f>
        <v/>
      </c>
      <c r="AA496" s="12">
        <f>IF(T496="","",IF(Z496="","CEK ID FIXTURE tidak ada di DAFTAR_FIXTURE",IF(U496="","CEK ZONA NO kosong",IF(ISNA(MATCH(Z496&amp;"|"&amp;U496,LAYOUT!$E$2:$E$80,0)),"CEK ZONA NO di luar layout",IF(V496&lt;&gt;INDEX(LAYOUT!$D$2:$D$80,MATCH(Z496&amp;"|"&amp;U496,LAYOUT!$E$2:$E$80,0)),"CEK JENIS ZONA",IF($D496="","Zona STOCK",IF($E496="","CEK SKU DESCRIPTION kosong",IF(AND(W496&lt;&gt;"",X496=""),"CEK URUTAN SAMBUNG kosong",IF(AND(W496&lt;&gt;"",LEFT(Z496,6)="Endcap"),"CEK Endcap tidak ikut sambung","OK")))))))))</f>
        <v/>
      </c>
      <c r="AB496" s="11" t="n"/>
      <c r="AC496" s="11" t="n"/>
      <c r="AD496" s="11" t="n"/>
      <c r="AE496" s="11" t="n"/>
      <c r="AF496" s="11" t="n"/>
      <c r="AG496" s="11" t="n"/>
      <c r="AH496" s="12">
        <f>IF(AB496="","",IFERROR(INDEX(DAFTAR_FIXTURE!$B$2:$B$51,MATCH(AB496,DAFTAR_FIXTURE!$A$2:$A$51,0)),""))</f>
        <v/>
      </c>
      <c r="AI496" s="12">
        <f>IF(AB496="","",IF(AH496="","CEK ID FIXTURE tidak ada di DAFTAR_FIXTURE",IF(AC496="","CEK ZONA NO kosong",IF(ISNA(MATCH(AH496&amp;"|"&amp;AC496,LAYOUT!$E$2:$E$80,0)),"CEK ZONA NO di luar layout",IF(AD496&lt;&gt;INDEX(LAYOUT!$D$2:$D$80,MATCH(AH496&amp;"|"&amp;AC496,LAYOUT!$E$2:$E$80,0)),"CEK JENIS ZONA",IF($D496="","Zona STOCK",IF($E496="","CEK SKU DESCRIPTION kosong",IF(AND(AE496&lt;&gt;"",AF496=""),"CEK URUTAN SAMBUNG kosong",IF(AND(AE496&lt;&gt;"",LEFT(AH496,6)="Endcap"),"CEK Endcap tidak ikut sambung","OK")))))))))</f>
        <v/>
      </c>
    </row>
    <row r="497">
      <c r="A497" s="10" t="n"/>
      <c r="B497" s="10" t="n"/>
      <c r="C497" s="10" t="n"/>
      <c r="D497" s="10" t="n"/>
      <c r="E497" s="10" t="n"/>
      <c r="F497" s="10" t="n"/>
      <c r="G497" s="10" t="n"/>
      <c r="H497" s="10" t="n"/>
      <c r="I497" s="10" t="n"/>
      <c r="J497" s="10" t="n"/>
      <c r="K497" s="10" t="n"/>
      <c r="L497" s="11" t="n"/>
      <c r="M497" s="11" t="n"/>
      <c r="N497" s="11" t="n"/>
      <c r="O497" s="11" t="n"/>
      <c r="P497" s="11" t="n"/>
      <c r="Q497" s="11" t="n"/>
      <c r="R497" s="12">
        <f>IF(L497="","",IFERROR(INDEX(DAFTAR_FIXTURE!$B$2:$B$51,MATCH(L497,DAFTAR_FIXTURE!$A$2:$A$51,0)),""))</f>
        <v/>
      </c>
      <c r="S497" s="12">
        <f>IF(AND($D497="",L497=""),"",IF(L497="",IF(AND(T497="",AB497=""),"Belum ditempatkan",""),IF(R497="","CEK ID FIXTURE tidak ada di DAFTAR_FIXTURE",IF(M497="","CEK ZONA NO kosong",IF(ISNA(MATCH(R497&amp;"|"&amp;M497,LAYOUT!$E$2:$E$80,0)),"CEK ZONA NO di luar layout",IF(N497&lt;&gt;INDEX(LAYOUT!$D$2:$D$80,MATCH(R497&amp;"|"&amp;M497,LAYOUT!$E$2:$E$80,0)),"CEK JENIS ZONA",IF($D497="","Zona STOCK",IF($E497="","CEK SKU DESCRIPTION kosong",IF(AND(O497&lt;&gt;"",P497=""),"CEK URUTAN SAMBUNG kosong",IF(AND(O497&lt;&gt;"",LEFT(R497,6)="Endcap"),"CEK Endcap tidak ikut sambung","OK"))))))))))</f>
        <v/>
      </c>
      <c r="T497" s="11" t="n"/>
      <c r="U497" s="11" t="n"/>
      <c r="V497" s="11" t="n"/>
      <c r="W497" s="11" t="n"/>
      <c r="X497" s="11" t="n"/>
      <c r="Y497" s="11" t="n"/>
      <c r="Z497" s="12">
        <f>IF(T497="","",IFERROR(INDEX(DAFTAR_FIXTURE!$B$2:$B$51,MATCH(T497,DAFTAR_FIXTURE!$A$2:$A$51,0)),""))</f>
        <v/>
      </c>
      <c r="AA497" s="12">
        <f>IF(T497="","",IF(Z497="","CEK ID FIXTURE tidak ada di DAFTAR_FIXTURE",IF(U497="","CEK ZONA NO kosong",IF(ISNA(MATCH(Z497&amp;"|"&amp;U497,LAYOUT!$E$2:$E$80,0)),"CEK ZONA NO di luar layout",IF(V497&lt;&gt;INDEX(LAYOUT!$D$2:$D$80,MATCH(Z497&amp;"|"&amp;U497,LAYOUT!$E$2:$E$80,0)),"CEK JENIS ZONA",IF($D497="","Zona STOCK",IF($E497="","CEK SKU DESCRIPTION kosong",IF(AND(W497&lt;&gt;"",X497=""),"CEK URUTAN SAMBUNG kosong",IF(AND(W497&lt;&gt;"",LEFT(Z497,6)="Endcap"),"CEK Endcap tidak ikut sambung","OK")))))))))</f>
        <v/>
      </c>
      <c r="AB497" s="11" t="n"/>
      <c r="AC497" s="11" t="n"/>
      <c r="AD497" s="11" t="n"/>
      <c r="AE497" s="11" t="n"/>
      <c r="AF497" s="11" t="n"/>
      <c r="AG497" s="11" t="n"/>
      <c r="AH497" s="12">
        <f>IF(AB497="","",IFERROR(INDEX(DAFTAR_FIXTURE!$B$2:$B$51,MATCH(AB497,DAFTAR_FIXTURE!$A$2:$A$51,0)),""))</f>
        <v/>
      </c>
      <c r="AI497" s="12">
        <f>IF(AB497="","",IF(AH497="","CEK ID FIXTURE tidak ada di DAFTAR_FIXTURE",IF(AC497="","CEK ZONA NO kosong",IF(ISNA(MATCH(AH497&amp;"|"&amp;AC497,LAYOUT!$E$2:$E$80,0)),"CEK ZONA NO di luar layout",IF(AD497&lt;&gt;INDEX(LAYOUT!$D$2:$D$80,MATCH(AH497&amp;"|"&amp;AC497,LAYOUT!$E$2:$E$80,0)),"CEK JENIS ZONA",IF($D497="","Zona STOCK",IF($E497="","CEK SKU DESCRIPTION kosong",IF(AND(AE497&lt;&gt;"",AF497=""),"CEK URUTAN SAMBUNG kosong",IF(AND(AE497&lt;&gt;"",LEFT(AH497,6)="Endcap"),"CEK Endcap tidak ikut sambung","OK")))))))))</f>
        <v/>
      </c>
    </row>
    <row r="498">
      <c r="A498" s="10" t="n"/>
      <c r="B498" s="10" t="n"/>
      <c r="C498" s="10" t="n"/>
      <c r="D498" s="10" t="n"/>
      <c r="E498" s="10" t="n"/>
      <c r="F498" s="10" t="n"/>
      <c r="G498" s="10" t="n"/>
      <c r="H498" s="10" t="n"/>
      <c r="I498" s="10" t="n"/>
      <c r="J498" s="10" t="n"/>
      <c r="K498" s="10" t="n"/>
      <c r="L498" s="11" t="n"/>
      <c r="M498" s="11" t="n"/>
      <c r="N498" s="11" t="n"/>
      <c r="O498" s="11" t="n"/>
      <c r="P498" s="11" t="n"/>
      <c r="Q498" s="11" t="n"/>
      <c r="R498" s="12">
        <f>IF(L498="","",IFERROR(INDEX(DAFTAR_FIXTURE!$B$2:$B$51,MATCH(L498,DAFTAR_FIXTURE!$A$2:$A$51,0)),""))</f>
        <v/>
      </c>
      <c r="S498" s="12">
        <f>IF(AND($D498="",L498=""),"",IF(L498="",IF(AND(T498="",AB498=""),"Belum ditempatkan",""),IF(R498="","CEK ID FIXTURE tidak ada di DAFTAR_FIXTURE",IF(M498="","CEK ZONA NO kosong",IF(ISNA(MATCH(R498&amp;"|"&amp;M498,LAYOUT!$E$2:$E$80,0)),"CEK ZONA NO di luar layout",IF(N498&lt;&gt;INDEX(LAYOUT!$D$2:$D$80,MATCH(R498&amp;"|"&amp;M498,LAYOUT!$E$2:$E$80,0)),"CEK JENIS ZONA",IF($D498="","Zona STOCK",IF($E498="","CEK SKU DESCRIPTION kosong",IF(AND(O498&lt;&gt;"",P498=""),"CEK URUTAN SAMBUNG kosong",IF(AND(O498&lt;&gt;"",LEFT(R498,6)="Endcap"),"CEK Endcap tidak ikut sambung","OK"))))))))))</f>
        <v/>
      </c>
      <c r="T498" s="11" t="n"/>
      <c r="U498" s="11" t="n"/>
      <c r="V498" s="11" t="n"/>
      <c r="W498" s="11" t="n"/>
      <c r="X498" s="11" t="n"/>
      <c r="Y498" s="11" t="n"/>
      <c r="Z498" s="12">
        <f>IF(T498="","",IFERROR(INDEX(DAFTAR_FIXTURE!$B$2:$B$51,MATCH(T498,DAFTAR_FIXTURE!$A$2:$A$51,0)),""))</f>
        <v/>
      </c>
      <c r="AA498" s="12">
        <f>IF(T498="","",IF(Z498="","CEK ID FIXTURE tidak ada di DAFTAR_FIXTURE",IF(U498="","CEK ZONA NO kosong",IF(ISNA(MATCH(Z498&amp;"|"&amp;U498,LAYOUT!$E$2:$E$80,0)),"CEK ZONA NO di luar layout",IF(V498&lt;&gt;INDEX(LAYOUT!$D$2:$D$80,MATCH(Z498&amp;"|"&amp;U498,LAYOUT!$E$2:$E$80,0)),"CEK JENIS ZONA",IF($D498="","Zona STOCK",IF($E498="","CEK SKU DESCRIPTION kosong",IF(AND(W498&lt;&gt;"",X498=""),"CEK URUTAN SAMBUNG kosong",IF(AND(W498&lt;&gt;"",LEFT(Z498,6)="Endcap"),"CEK Endcap tidak ikut sambung","OK")))))))))</f>
        <v/>
      </c>
      <c r="AB498" s="11" t="n"/>
      <c r="AC498" s="11" t="n"/>
      <c r="AD498" s="11" t="n"/>
      <c r="AE498" s="11" t="n"/>
      <c r="AF498" s="11" t="n"/>
      <c r="AG498" s="11" t="n"/>
      <c r="AH498" s="12">
        <f>IF(AB498="","",IFERROR(INDEX(DAFTAR_FIXTURE!$B$2:$B$51,MATCH(AB498,DAFTAR_FIXTURE!$A$2:$A$51,0)),""))</f>
        <v/>
      </c>
      <c r="AI498" s="12">
        <f>IF(AB498="","",IF(AH498="","CEK ID FIXTURE tidak ada di DAFTAR_FIXTURE",IF(AC498="","CEK ZONA NO kosong",IF(ISNA(MATCH(AH498&amp;"|"&amp;AC498,LAYOUT!$E$2:$E$80,0)),"CEK ZONA NO di luar layout",IF(AD498&lt;&gt;INDEX(LAYOUT!$D$2:$D$80,MATCH(AH498&amp;"|"&amp;AC498,LAYOUT!$E$2:$E$80,0)),"CEK JENIS ZONA",IF($D498="","Zona STOCK",IF($E498="","CEK SKU DESCRIPTION kosong",IF(AND(AE498&lt;&gt;"",AF498=""),"CEK URUTAN SAMBUNG kosong",IF(AND(AE498&lt;&gt;"",LEFT(AH498,6)="Endcap"),"CEK Endcap tidak ikut sambung","OK")))))))))</f>
        <v/>
      </c>
    </row>
    <row r="499">
      <c r="A499" s="10" t="n"/>
      <c r="B499" s="10" t="n"/>
      <c r="C499" s="10" t="n"/>
      <c r="D499" s="10" t="n"/>
      <c r="E499" s="10" t="n"/>
      <c r="F499" s="10" t="n"/>
      <c r="G499" s="10" t="n"/>
      <c r="H499" s="10" t="n"/>
      <c r="I499" s="10" t="n"/>
      <c r="J499" s="10" t="n"/>
      <c r="K499" s="10" t="n"/>
      <c r="L499" s="11" t="n"/>
      <c r="M499" s="11" t="n"/>
      <c r="N499" s="11" t="n"/>
      <c r="O499" s="11" t="n"/>
      <c r="P499" s="11" t="n"/>
      <c r="Q499" s="11" t="n"/>
      <c r="R499" s="12">
        <f>IF(L499="","",IFERROR(INDEX(DAFTAR_FIXTURE!$B$2:$B$51,MATCH(L499,DAFTAR_FIXTURE!$A$2:$A$51,0)),""))</f>
        <v/>
      </c>
      <c r="S499" s="12">
        <f>IF(AND($D499="",L499=""),"",IF(L499="",IF(AND(T499="",AB499=""),"Belum ditempatkan",""),IF(R499="","CEK ID FIXTURE tidak ada di DAFTAR_FIXTURE",IF(M499="","CEK ZONA NO kosong",IF(ISNA(MATCH(R499&amp;"|"&amp;M499,LAYOUT!$E$2:$E$80,0)),"CEK ZONA NO di luar layout",IF(N499&lt;&gt;INDEX(LAYOUT!$D$2:$D$80,MATCH(R499&amp;"|"&amp;M499,LAYOUT!$E$2:$E$80,0)),"CEK JENIS ZONA",IF($D499="","Zona STOCK",IF($E499="","CEK SKU DESCRIPTION kosong",IF(AND(O499&lt;&gt;"",P499=""),"CEK URUTAN SAMBUNG kosong",IF(AND(O499&lt;&gt;"",LEFT(R499,6)="Endcap"),"CEK Endcap tidak ikut sambung","OK"))))))))))</f>
        <v/>
      </c>
      <c r="T499" s="11" t="n"/>
      <c r="U499" s="11" t="n"/>
      <c r="V499" s="11" t="n"/>
      <c r="W499" s="11" t="n"/>
      <c r="X499" s="11" t="n"/>
      <c r="Y499" s="11" t="n"/>
      <c r="Z499" s="12">
        <f>IF(T499="","",IFERROR(INDEX(DAFTAR_FIXTURE!$B$2:$B$51,MATCH(T499,DAFTAR_FIXTURE!$A$2:$A$51,0)),""))</f>
        <v/>
      </c>
      <c r="AA499" s="12">
        <f>IF(T499="","",IF(Z499="","CEK ID FIXTURE tidak ada di DAFTAR_FIXTURE",IF(U499="","CEK ZONA NO kosong",IF(ISNA(MATCH(Z499&amp;"|"&amp;U499,LAYOUT!$E$2:$E$80,0)),"CEK ZONA NO di luar layout",IF(V499&lt;&gt;INDEX(LAYOUT!$D$2:$D$80,MATCH(Z499&amp;"|"&amp;U499,LAYOUT!$E$2:$E$80,0)),"CEK JENIS ZONA",IF($D499="","Zona STOCK",IF($E499="","CEK SKU DESCRIPTION kosong",IF(AND(W499&lt;&gt;"",X499=""),"CEK URUTAN SAMBUNG kosong",IF(AND(W499&lt;&gt;"",LEFT(Z499,6)="Endcap"),"CEK Endcap tidak ikut sambung","OK")))))))))</f>
        <v/>
      </c>
      <c r="AB499" s="11" t="n"/>
      <c r="AC499" s="11" t="n"/>
      <c r="AD499" s="11" t="n"/>
      <c r="AE499" s="11" t="n"/>
      <c r="AF499" s="11" t="n"/>
      <c r="AG499" s="11" t="n"/>
      <c r="AH499" s="12">
        <f>IF(AB499="","",IFERROR(INDEX(DAFTAR_FIXTURE!$B$2:$B$51,MATCH(AB499,DAFTAR_FIXTURE!$A$2:$A$51,0)),""))</f>
        <v/>
      </c>
      <c r="AI499" s="12">
        <f>IF(AB499="","",IF(AH499="","CEK ID FIXTURE tidak ada di DAFTAR_FIXTURE",IF(AC499="","CEK ZONA NO kosong",IF(ISNA(MATCH(AH499&amp;"|"&amp;AC499,LAYOUT!$E$2:$E$80,0)),"CEK ZONA NO di luar layout",IF(AD499&lt;&gt;INDEX(LAYOUT!$D$2:$D$80,MATCH(AH499&amp;"|"&amp;AC499,LAYOUT!$E$2:$E$80,0)),"CEK JENIS ZONA",IF($D499="","Zona STOCK",IF($E499="","CEK SKU DESCRIPTION kosong",IF(AND(AE499&lt;&gt;"",AF499=""),"CEK URUTAN SAMBUNG kosong",IF(AND(AE499&lt;&gt;"",LEFT(AH499,6)="Endcap"),"CEK Endcap tidak ikut sambung","OK")))))))))</f>
        <v/>
      </c>
    </row>
    <row r="500">
      <c r="A500" s="10" t="n"/>
      <c r="B500" s="10" t="n"/>
      <c r="C500" s="10" t="n"/>
      <c r="D500" s="10" t="n"/>
      <c r="E500" s="10" t="n"/>
      <c r="F500" s="10" t="n"/>
      <c r="G500" s="10" t="n"/>
      <c r="H500" s="10" t="n"/>
      <c r="I500" s="10" t="n"/>
      <c r="J500" s="10" t="n"/>
      <c r="K500" s="10" t="n"/>
      <c r="L500" s="11" t="n"/>
      <c r="M500" s="11" t="n"/>
      <c r="N500" s="11" t="n"/>
      <c r="O500" s="11" t="n"/>
      <c r="P500" s="11" t="n"/>
      <c r="Q500" s="11" t="n"/>
      <c r="R500" s="12">
        <f>IF(L500="","",IFERROR(INDEX(DAFTAR_FIXTURE!$B$2:$B$51,MATCH(L500,DAFTAR_FIXTURE!$A$2:$A$51,0)),""))</f>
        <v/>
      </c>
      <c r="S500" s="12">
        <f>IF(AND($D500="",L500=""),"",IF(L500="",IF(AND(T500="",AB500=""),"Belum ditempatkan",""),IF(R500="","CEK ID FIXTURE tidak ada di DAFTAR_FIXTURE",IF(M500="","CEK ZONA NO kosong",IF(ISNA(MATCH(R500&amp;"|"&amp;M500,LAYOUT!$E$2:$E$80,0)),"CEK ZONA NO di luar layout",IF(N500&lt;&gt;INDEX(LAYOUT!$D$2:$D$80,MATCH(R500&amp;"|"&amp;M500,LAYOUT!$E$2:$E$80,0)),"CEK JENIS ZONA",IF($D500="","Zona STOCK",IF($E500="","CEK SKU DESCRIPTION kosong",IF(AND(O500&lt;&gt;"",P500=""),"CEK URUTAN SAMBUNG kosong",IF(AND(O500&lt;&gt;"",LEFT(R500,6)="Endcap"),"CEK Endcap tidak ikut sambung","OK"))))))))))</f>
        <v/>
      </c>
      <c r="T500" s="11" t="n"/>
      <c r="U500" s="11" t="n"/>
      <c r="V500" s="11" t="n"/>
      <c r="W500" s="11" t="n"/>
      <c r="X500" s="11" t="n"/>
      <c r="Y500" s="11" t="n"/>
      <c r="Z500" s="12">
        <f>IF(T500="","",IFERROR(INDEX(DAFTAR_FIXTURE!$B$2:$B$51,MATCH(T500,DAFTAR_FIXTURE!$A$2:$A$51,0)),""))</f>
        <v/>
      </c>
      <c r="AA500" s="12">
        <f>IF(T500="","",IF(Z500="","CEK ID FIXTURE tidak ada di DAFTAR_FIXTURE",IF(U500="","CEK ZONA NO kosong",IF(ISNA(MATCH(Z500&amp;"|"&amp;U500,LAYOUT!$E$2:$E$80,0)),"CEK ZONA NO di luar layout",IF(V500&lt;&gt;INDEX(LAYOUT!$D$2:$D$80,MATCH(Z500&amp;"|"&amp;U500,LAYOUT!$E$2:$E$80,0)),"CEK JENIS ZONA",IF($D500="","Zona STOCK",IF($E500="","CEK SKU DESCRIPTION kosong",IF(AND(W500&lt;&gt;"",X500=""),"CEK URUTAN SAMBUNG kosong",IF(AND(W500&lt;&gt;"",LEFT(Z500,6)="Endcap"),"CEK Endcap tidak ikut sambung","OK")))))))))</f>
        <v/>
      </c>
      <c r="AB500" s="11" t="n"/>
      <c r="AC500" s="11" t="n"/>
      <c r="AD500" s="11" t="n"/>
      <c r="AE500" s="11" t="n"/>
      <c r="AF500" s="11" t="n"/>
      <c r="AG500" s="11" t="n"/>
      <c r="AH500" s="12">
        <f>IF(AB500="","",IFERROR(INDEX(DAFTAR_FIXTURE!$B$2:$B$51,MATCH(AB500,DAFTAR_FIXTURE!$A$2:$A$51,0)),""))</f>
        <v/>
      </c>
      <c r="AI500" s="12">
        <f>IF(AB500="","",IF(AH500="","CEK ID FIXTURE tidak ada di DAFTAR_FIXTURE",IF(AC500="","CEK ZONA NO kosong",IF(ISNA(MATCH(AH500&amp;"|"&amp;AC500,LAYOUT!$E$2:$E$80,0)),"CEK ZONA NO di luar layout",IF(AD500&lt;&gt;INDEX(LAYOUT!$D$2:$D$80,MATCH(AH500&amp;"|"&amp;AC500,LAYOUT!$E$2:$E$80,0)),"CEK JENIS ZONA",IF($D500="","Zona STOCK",IF($E500="","CEK SKU DESCRIPTION kosong",IF(AND(AE500&lt;&gt;"",AF500=""),"CEK URUTAN SAMBUNG kosong",IF(AND(AE500&lt;&gt;"",LEFT(AH500,6)="Endcap"),"CEK Endcap tidak ikut sambung","OK")))))))))</f>
        <v/>
      </c>
    </row>
  </sheetData>
  <autoFilter ref="A1:Z500"/>
  <conditionalFormatting sqref="S2:S500">
    <cfRule type="expression" priority="1" dxfId="3">
      <formula>LEFT($S2,3)="CEK"</formula>
    </cfRule>
    <cfRule type="expression" priority="2" dxfId="4">
      <formula>$S2="OK"</formula>
    </cfRule>
    <cfRule type="expression" priority="3" dxfId="5">
      <formula>OR($S2="Zona STOCK",$S2="Belum ditempatkan")</formula>
    </cfRule>
  </conditionalFormatting>
  <conditionalFormatting sqref="AA2:AA500">
    <cfRule type="expression" priority="4" dxfId="3">
      <formula>LEFT($AA2,3)="CEK"</formula>
    </cfRule>
    <cfRule type="expression" priority="5" dxfId="4">
      <formula>$AA2="OK"</formula>
    </cfRule>
    <cfRule type="expression" priority="6" dxfId="5">
      <formula>OR($AA2="Zona STOCK",$AA2="Belum ditempatkan")</formula>
    </cfRule>
  </conditionalFormatting>
  <conditionalFormatting sqref="AI2:AI500">
    <cfRule type="expression" priority="7" dxfId="3">
      <formula>LEFT($AI2,3)="CEK"</formula>
    </cfRule>
    <cfRule type="expression" priority="8" dxfId="4">
      <formula>$AI2="OK"</formula>
    </cfRule>
    <cfRule type="expression" priority="9" dxfId="5">
      <formula>OR($AI2="Zona STOCK",$AI2="Belum ditempatkan")</formula>
    </cfRule>
  </conditionalFormatting>
  <dataValidations count="9">
    <dataValidation sqref="L2:L500" showDropDown="0" showInputMessage="0" showErrorMessage="0" allowBlank="1" type="list">
      <formula1>FIXTURE_IDS</formula1>
    </dataValidation>
    <dataValidation sqref="M2:M500 P2:P500 Q2:Q500" showDropDown="0" showInputMessage="0" showErrorMessage="0" allowBlank="1" type="whole" operator="greaterThanOrEqual">
      <formula1>1</formula1>
    </dataValidation>
    <dataValidation sqref="N2:N500" showDropDown="0" showInputMessage="0" showErrorMessage="0" allowBlank="1" type="list">
      <formula1>"Shelving,Gantungan"</formula1>
    </dataValidation>
    <dataValidation sqref="T2:T500" showDropDown="0" showInputMessage="0" showErrorMessage="0" allowBlank="1" type="list">
      <formula1>FIXTURE_IDS</formula1>
    </dataValidation>
    <dataValidation sqref="U2:U500 X2:X500 Y2:Y500" showDropDown="0" showInputMessage="0" showErrorMessage="0" allowBlank="1" type="whole" operator="greaterThanOrEqual">
      <formula1>1</formula1>
    </dataValidation>
    <dataValidation sqref="V2:V500" showDropDown="0" showInputMessage="0" showErrorMessage="0" allowBlank="1" type="list">
      <formula1>"Shelving,Gantungan"</formula1>
    </dataValidation>
    <dataValidation sqref="AB2:AB500" showDropDown="0" showInputMessage="0" showErrorMessage="0" allowBlank="1" type="list">
      <formula1>FIXTURE_IDS</formula1>
    </dataValidation>
    <dataValidation sqref="AC2:AC500 AF2:AF500 AG2:AG500" showDropDown="0" showInputMessage="0" showErrorMessage="0" allowBlank="1" type="whole" operator="greaterThanOrEqual">
      <formula1>1</formula1>
    </dataValidation>
    <dataValidation sqref="AD2:AD500" showDropDown="0" showInputMessage="0" showErrorMessage="0" allowBlank="1" type="list">
      <formula1>"Shelving,Gantungan"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3" customWidth="1" min="3" max="3"/>
    <col width="13" customWidth="1" min="4" max="4"/>
    <col width="16" customWidth="1" min="5" max="5"/>
    <col width="14" customWidth="1" min="6" max="6"/>
    <col width="16" customWidth="1" min="7" max="7"/>
    <col width="18" customWidth="1" min="8" max="8"/>
    <col width="28" customWidth="1" min="9" max="9"/>
    <col width="20" customWidth="1" min="10" max="10"/>
    <col width="26" customWidth="1" min="11" max="11"/>
    <col width="3" customWidth="1" min="12" max="12"/>
    <col width="34" customWidth="1" min="13" max="13"/>
    <col width="10" customWidth="1" min="14" max="14"/>
  </cols>
  <sheetData>
    <row r="1" ht="44" customHeight="1">
      <c r="A1" s="7" t="inlineStr">
        <is>
          <t>SKU *</t>
        </is>
      </c>
      <c r="B1" s="9" t="inlineStr">
        <is>
          <t>SKU DESCRIPTION (otomatis dari DATA)</t>
        </is>
      </c>
      <c r="C1" s="7" t="inlineStr">
        <is>
          <t>LEBAR (cm) *</t>
        </is>
      </c>
      <c r="D1" s="7" t="inlineStr">
        <is>
          <t>TINGGI (cm) *</t>
        </is>
      </c>
      <c r="E1" s="7" t="inlineStr">
        <is>
          <t>KEDALAMAN (cm) *</t>
        </is>
      </c>
      <c r="F1" s="7" t="inlineStr">
        <is>
          <t>FACING (opsional)</t>
        </is>
      </c>
      <c r="G1" s="7" t="inlineStr">
        <is>
          <t>MAKS SUSUN (opsional)</t>
        </is>
      </c>
      <c r="H1" s="7" t="inlineStr">
        <is>
          <t>BOLEH DIPUTAR (opsional)</t>
        </is>
      </c>
      <c r="I1" s="7" t="inlineStr">
        <is>
          <t>CATATAN (opsional)</t>
        </is>
      </c>
      <c r="J1" s="9" t="inlineStr">
        <is>
          <t>ESTIMASI PCS / FACING (otomatis)</t>
        </is>
      </c>
      <c r="K1" s="9" t="inlineStr">
        <is>
          <t>STATUS (otomatis)</t>
        </is>
      </c>
      <c r="M1" s="8" t="inlineStr">
        <is>
          <t>PARAMETER ESTIMASI (boleh diubah)</t>
        </is>
      </c>
      <c r="N1" s="8" t="inlineStr">
        <is>
          <t>nilai</t>
        </is>
      </c>
    </row>
    <row r="2">
      <c r="A2" s="10" t="inlineStr">
        <is>
          <t>10681571</t>
        </is>
      </c>
      <c r="B2" s="12">
        <f>IF(A2="","",IFERROR(INDEX(DATA!$E$2:$E$500,MATCH(A2,DATA!$D$2:$D$500,0)),""))</f>
        <v/>
      </c>
      <c r="C2" s="10" t="n">
        <v>26</v>
      </c>
      <c r="D2" s="10" t="n">
        <v>8</v>
      </c>
      <c r="E2" s="10" t="n">
        <v>26</v>
      </c>
      <c r="F2" s="10" t="n">
        <v>1</v>
      </c>
      <c r="G2" s="10" t="n">
        <v>4</v>
      </c>
      <c r="H2" s="10" t="inlineStr">
        <is>
          <t>Tidak</t>
        </is>
      </c>
      <c r="I2" s="10" t="inlineStr">
        <is>
          <t>contoh baris: hapus lalu isi dimensi SKU Anda</t>
        </is>
      </c>
      <c r="J2" s="12">
        <f>IF(OR(A2="",COUNT(C2:E2)&lt;3),"",IFERROR(MAX(0,FLOOR(($N$2-$N$3)/E2,1))*MAX(1,MIN(IF(G2="",1,G2),FLOOR($N$4/D2,1)))*IF(F2="",1,F2),""))</f>
        <v/>
      </c>
      <c r="K2" s="12">
        <f>IF(A2="","",IF(COUNTIF(DATA!$D$2:$D$500,A2)=0,"CEK SKU tidak ada di DATA",IF(COUNT(C2:E2)&lt;3,"CEK dimensi belum lengkap",IF(OR(C2&lt;=0,D2&lt;=0,E2&lt;=0),"CEK dimensi harus lebih dari 0",IF(COUNTIF($A$2:$A$500,A2)&gt;1,"CEK SKU dobel","OK")))))</f>
        <v/>
      </c>
      <c r="M2" s="12" t="inlineStr">
        <is>
          <t>Kedalaman rak (cm)</t>
        </is>
      </c>
      <c r="N2" s="10" t="n">
        <v>50</v>
      </c>
    </row>
    <row r="3">
      <c r="A3" s="10" t="n"/>
      <c r="B3" s="12">
        <f>IF(A3="","",IFERROR(INDEX(DATA!$E$2:$E$500,MATCH(A3,DATA!$D$2:$D$500,0)),""))</f>
        <v/>
      </c>
      <c r="C3" s="10" t="n"/>
      <c r="D3" s="10" t="n"/>
      <c r="E3" s="10" t="n"/>
      <c r="F3" s="10" t="n"/>
      <c r="G3" s="10" t="n"/>
      <c r="H3" s="10" t="n"/>
      <c r="I3" s="10" t="n"/>
      <c r="J3" s="12">
        <f>IF(OR(A3="",COUNT(C3:E3)&lt;3),"",IFERROR(MAX(0,FLOOR(($N$2-$N$3)/E3,1))*MAX(1,MIN(IF(G3="",1,G3),FLOOR($N$4/D3,1)))*IF(F3="",1,F3),""))</f>
        <v/>
      </c>
      <c r="K3" s="12">
        <f>IF(A3="","",IF(COUNTIF(DATA!$D$2:$D$500,A3)=0,"CEK SKU tidak ada di DATA",IF(COUNT(C3:E3)&lt;3,"CEK dimensi belum lengkap",IF(OR(C3&lt;=0,D3&lt;=0,E3&lt;=0),"CEK dimensi harus lebih dari 0",IF(COUNTIF($A$2:$A$500,A3)&gt;1,"CEK SKU dobel","OK")))))</f>
        <v/>
      </c>
      <c r="M3" s="12" t="inlineStr">
        <is>
          <t>Ruang bebas depan-belakang (cm)</t>
        </is>
      </c>
      <c r="N3" s="10" t="n">
        <v>2</v>
      </c>
    </row>
    <row r="4">
      <c r="A4" s="10" t="n"/>
      <c r="B4" s="12">
        <f>IF(A4="","",IFERROR(INDEX(DATA!$E$2:$E$500,MATCH(A4,DATA!$D$2:$D$500,0)),""))</f>
        <v/>
      </c>
      <c r="C4" s="10" t="n"/>
      <c r="D4" s="10" t="n"/>
      <c r="E4" s="10" t="n"/>
      <c r="F4" s="10" t="n"/>
      <c r="G4" s="10" t="n"/>
      <c r="H4" s="10" t="n"/>
      <c r="I4" s="10" t="n"/>
      <c r="J4" s="12">
        <f>IF(OR(A4="",COUNT(C4:E4)&lt;3),"",IFERROR(MAX(0,FLOOR(($N$2-$N$3)/E4,1))*MAX(1,MIN(IF(G4="",1,G4),FLOOR($N$4/D4,1)))*IF(F4="",1,F4),""))</f>
        <v/>
      </c>
      <c r="K4" s="12">
        <f>IF(A4="","",IF(COUNTIF(DATA!$D$2:$D$500,A4)=0,"CEK SKU tidak ada di DATA",IF(COUNT(C4:E4)&lt;3,"CEK dimensi belum lengkap",IF(OR(C4&lt;=0,D4&lt;=0,E4&lt;=0),"CEK dimensi harus lebih dari 0",IF(COUNTIF($A$2:$A$500,A4)&gt;1,"CEK SKU dobel","OK")))))</f>
        <v/>
      </c>
      <c r="M4" s="12" t="inlineStr">
        <is>
          <t>Tinggi ruang rak (cm)</t>
        </is>
      </c>
      <c r="N4" s="10" t="n">
        <v>35</v>
      </c>
    </row>
    <row r="5">
      <c r="A5" s="10" t="n"/>
      <c r="B5" s="12">
        <f>IF(A5="","",IFERROR(INDEX(DATA!$E$2:$E$500,MATCH(A5,DATA!$D$2:$D$500,0)),""))</f>
        <v/>
      </c>
      <c r="C5" s="10" t="n"/>
      <c r="D5" s="10" t="n"/>
      <c r="E5" s="10" t="n"/>
      <c r="F5" s="10" t="n"/>
      <c r="G5" s="10" t="n"/>
      <c r="H5" s="10" t="n"/>
      <c r="I5" s="10" t="n"/>
      <c r="J5" s="12">
        <f>IF(OR(A5="",COUNT(C5:E5)&lt;3),"",IFERROR(MAX(0,FLOOR(($N$2-$N$3)/E5,1))*MAX(1,MIN(IF(G5="",1,G5),FLOOR($N$4/D5,1)))*IF(F5="",1,F5),""))</f>
        <v/>
      </c>
      <c r="K5" s="12">
        <f>IF(A5="","",IF(COUNTIF(DATA!$D$2:$D$500,A5)=0,"CEK SKU tidak ada di DATA",IF(COUNT(C5:E5)&lt;3,"CEK dimensi belum lengkap",IF(OR(C5&lt;=0,D5&lt;=0,E5&lt;=0),"CEK dimensi harus lebih dari 0",IF(COUNTIF($A$2:$A$500,A5)&gt;1,"CEK SKU dobel","OK")))))</f>
        <v/>
      </c>
      <c r="M5" s="12" t="inlineStr">
        <is>
          <t>Panjang gantungan (cm)</t>
        </is>
      </c>
      <c r="N5" s="10" t="n">
        <v>25</v>
      </c>
    </row>
    <row r="6">
      <c r="A6" s="10" t="n"/>
      <c r="B6" s="12">
        <f>IF(A6="","",IFERROR(INDEX(DATA!$E$2:$E$500,MATCH(A6,DATA!$D$2:$D$500,0)),""))</f>
        <v/>
      </c>
      <c r="C6" s="10" t="n"/>
      <c r="D6" s="10" t="n"/>
      <c r="E6" s="10" t="n"/>
      <c r="F6" s="10" t="n"/>
      <c r="G6" s="10" t="n"/>
      <c r="H6" s="10" t="n"/>
      <c r="I6" s="10" t="n"/>
      <c r="J6" s="12">
        <f>IF(OR(A6="",COUNT(C6:E6)&lt;3),"",IFERROR(MAX(0,FLOOR(($N$2-$N$3)/E6,1))*MAX(1,MIN(IF(G6="",1,G6),FLOOR($N$4/D6,1)))*IF(F6="",1,F6),""))</f>
        <v/>
      </c>
      <c r="K6" s="12">
        <f>IF(A6="","",IF(COUNTIF(DATA!$D$2:$D$500,A6)=0,"CEK SKU tidak ada di DATA",IF(COUNT(C6:E6)&lt;3,"CEK dimensi belum lengkap",IF(OR(C6&lt;=0,D6&lt;=0,E6&lt;=0),"CEK dimensi harus lebih dari 0",IF(COUNTIF($A$2:$A$500,A6)&gt;1,"CEK SKU dobel","OK")))))</f>
        <v/>
      </c>
    </row>
    <row r="7">
      <c r="A7" s="10" t="n"/>
      <c r="B7" s="12">
        <f>IF(A7="","",IFERROR(INDEX(DATA!$E$2:$E$500,MATCH(A7,DATA!$D$2:$D$500,0)),""))</f>
        <v/>
      </c>
      <c r="C7" s="10" t="n"/>
      <c r="D7" s="10" t="n"/>
      <c r="E7" s="10" t="n"/>
      <c r="F7" s="10" t="n"/>
      <c r="G7" s="10" t="n"/>
      <c r="H7" s="10" t="n"/>
      <c r="I7" s="10" t="n"/>
      <c r="J7" s="12">
        <f>IF(OR(A7="",COUNT(C7:E7)&lt;3),"",IFERROR(MAX(0,FLOOR(($N$2-$N$3)/E7,1))*MAX(1,MIN(IF(G7="",1,G7),FLOOR($N$4/D7,1)))*IF(F7="",1,F7),""))</f>
        <v/>
      </c>
      <c r="K7" s="12">
        <f>IF(A7="","",IF(COUNTIF(DATA!$D$2:$D$500,A7)=0,"CEK SKU tidak ada di DATA",IF(COUNT(C7:E7)&lt;3,"CEK dimensi belum lengkap",IF(OR(C7&lt;=0,D7&lt;=0,E7&lt;=0),"CEK dimensi harus lebih dari 0",IF(COUNTIF($A$2:$A$500,A7)&gt;1,"CEK SKU dobel","OK")))))</f>
        <v/>
      </c>
      <c r="M7" s="20" t="inlineStr">
        <is>
          <t>Catatan: kolom ESTIMASI hanya gambaran cepat untuk RAK (kedalaman rak 50 cm); tidak berlaku untuk kemasan gantung. Aplikasi memakai ukuran fixture dan zona yang sebenarnya, dan memakai "Panjang gantungan" untuk zona Gantungan.</t>
        </is>
      </c>
    </row>
    <row r="8">
      <c r="A8" s="10" t="n"/>
      <c r="B8" s="12">
        <f>IF(A8="","",IFERROR(INDEX(DATA!$E$2:$E$500,MATCH(A8,DATA!$D$2:$D$500,0)),""))</f>
        <v/>
      </c>
      <c r="C8" s="10" t="n"/>
      <c r="D8" s="10" t="n"/>
      <c r="E8" s="10" t="n"/>
      <c r="F8" s="10" t="n"/>
      <c r="G8" s="10" t="n"/>
      <c r="H8" s="10" t="n"/>
      <c r="I8" s="10" t="n"/>
      <c r="J8" s="12">
        <f>IF(OR(A8="",COUNT(C8:E8)&lt;3),"",IFERROR(MAX(0,FLOOR(($N$2-$N$3)/E8,1))*MAX(1,MIN(IF(G8="",1,G8),FLOOR($N$4/D8,1)))*IF(F8="",1,F8),""))</f>
        <v/>
      </c>
      <c r="K8" s="12">
        <f>IF(A8="","",IF(COUNTIF(DATA!$D$2:$D$500,A8)=0,"CEK SKU tidak ada di DATA",IF(COUNT(C8:E8)&lt;3,"CEK dimensi belum lengkap",IF(OR(C8&lt;=0,D8&lt;=0,E8&lt;=0),"CEK dimensi harus lebih dari 0",IF(COUNTIF($A$2:$A$500,A8)&gt;1,"CEK SKU dobel","OK")))))</f>
        <v/>
      </c>
    </row>
    <row r="9">
      <c r="A9" s="10" t="n"/>
      <c r="B9" s="12">
        <f>IF(A9="","",IFERROR(INDEX(DATA!$E$2:$E$500,MATCH(A9,DATA!$D$2:$D$500,0)),""))</f>
        <v/>
      </c>
      <c r="C9" s="10" t="n"/>
      <c r="D9" s="10" t="n"/>
      <c r="E9" s="10" t="n"/>
      <c r="F9" s="10" t="n"/>
      <c r="G9" s="10" t="n"/>
      <c r="H9" s="10" t="n"/>
      <c r="I9" s="10" t="n"/>
      <c r="J9" s="12">
        <f>IF(OR(A9="",COUNT(C9:E9)&lt;3),"",IFERROR(MAX(0,FLOOR(($N$2-$N$3)/E9,1))*MAX(1,MIN(IF(G9="",1,G9),FLOOR($N$4/D9,1)))*IF(F9="",1,F9),""))</f>
        <v/>
      </c>
      <c r="K9" s="12">
        <f>IF(A9="","",IF(COUNTIF(DATA!$D$2:$D$500,A9)=0,"CEK SKU tidak ada di DATA",IF(COUNT(C9:E9)&lt;3,"CEK dimensi belum lengkap",IF(OR(C9&lt;=0,D9&lt;=0,E9&lt;=0),"CEK dimensi harus lebih dari 0",IF(COUNTIF($A$2:$A$500,A9)&gt;1,"CEK SKU dobel","OK")))))</f>
        <v/>
      </c>
    </row>
    <row r="10">
      <c r="A10" s="10" t="n"/>
      <c r="B10" s="12">
        <f>IF(A10="","",IFERROR(INDEX(DATA!$E$2:$E$500,MATCH(A10,DATA!$D$2:$D$500,0)),""))</f>
        <v/>
      </c>
      <c r="C10" s="10" t="n"/>
      <c r="D10" s="10" t="n"/>
      <c r="E10" s="10" t="n"/>
      <c r="F10" s="10" t="n"/>
      <c r="G10" s="10" t="n"/>
      <c r="H10" s="10" t="n"/>
      <c r="I10" s="10" t="n"/>
      <c r="J10" s="12">
        <f>IF(OR(A10="",COUNT(C10:E10)&lt;3),"",IFERROR(MAX(0,FLOOR(($N$2-$N$3)/E10,1))*MAX(1,MIN(IF(G10="",1,G10),FLOOR($N$4/D10,1)))*IF(F10="",1,F10),""))</f>
        <v/>
      </c>
      <c r="K10" s="12">
        <f>IF(A10="","",IF(COUNTIF(DATA!$D$2:$D$500,A10)=0,"CEK SKU tidak ada di DATA",IF(COUNT(C10:E10)&lt;3,"CEK dimensi belum lengkap",IF(OR(C10&lt;=0,D10&lt;=0,E10&lt;=0),"CEK dimensi harus lebih dari 0",IF(COUNTIF($A$2:$A$500,A10)&gt;1,"CEK SKU dobel","OK")))))</f>
        <v/>
      </c>
    </row>
    <row r="11">
      <c r="A11" s="10" t="n"/>
      <c r="B11" s="12">
        <f>IF(A11="","",IFERROR(INDEX(DATA!$E$2:$E$500,MATCH(A11,DATA!$D$2:$D$500,0)),""))</f>
        <v/>
      </c>
      <c r="C11" s="10" t="n"/>
      <c r="D11" s="10" t="n"/>
      <c r="E11" s="10" t="n"/>
      <c r="F11" s="10" t="n"/>
      <c r="G11" s="10" t="n"/>
      <c r="H11" s="10" t="n"/>
      <c r="I11" s="10" t="n"/>
      <c r="J11" s="12">
        <f>IF(OR(A11="",COUNT(C11:E11)&lt;3),"",IFERROR(MAX(0,FLOOR(($N$2-$N$3)/E11,1))*MAX(1,MIN(IF(G11="",1,G11),FLOOR($N$4/D11,1)))*IF(F11="",1,F11),""))</f>
        <v/>
      </c>
      <c r="K11" s="12">
        <f>IF(A11="","",IF(COUNTIF(DATA!$D$2:$D$500,A11)=0,"CEK SKU tidak ada di DATA",IF(COUNT(C11:E11)&lt;3,"CEK dimensi belum lengkap",IF(OR(C11&lt;=0,D11&lt;=0,E11&lt;=0),"CEK dimensi harus lebih dari 0",IF(COUNTIF($A$2:$A$500,A11)&gt;1,"CEK SKU dobel","OK")))))</f>
        <v/>
      </c>
    </row>
    <row r="12">
      <c r="A12" s="10" t="n"/>
      <c r="B12" s="12">
        <f>IF(A12="","",IFERROR(INDEX(DATA!$E$2:$E$500,MATCH(A12,DATA!$D$2:$D$500,0)),""))</f>
        <v/>
      </c>
      <c r="C12" s="10" t="n"/>
      <c r="D12" s="10" t="n"/>
      <c r="E12" s="10" t="n"/>
      <c r="F12" s="10" t="n"/>
      <c r="G12" s="10" t="n"/>
      <c r="H12" s="10" t="n"/>
      <c r="I12" s="10" t="n"/>
      <c r="J12" s="12">
        <f>IF(OR(A12="",COUNT(C12:E12)&lt;3),"",IFERROR(MAX(0,FLOOR(($N$2-$N$3)/E12,1))*MAX(1,MIN(IF(G12="",1,G12),FLOOR($N$4/D12,1)))*IF(F12="",1,F12),""))</f>
        <v/>
      </c>
      <c r="K12" s="12">
        <f>IF(A12="","",IF(COUNTIF(DATA!$D$2:$D$500,A12)=0,"CEK SKU tidak ada di DATA",IF(COUNT(C12:E12)&lt;3,"CEK dimensi belum lengkap",IF(OR(C12&lt;=0,D12&lt;=0,E12&lt;=0),"CEK dimensi harus lebih dari 0",IF(COUNTIF($A$2:$A$500,A12)&gt;1,"CEK SKU dobel","OK")))))</f>
        <v/>
      </c>
    </row>
    <row r="13">
      <c r="A13" s="10" t="n"/>
      <c r="B13" s="12">
        <f>IF(A13="","",IFERROR(INDEX(DATA!$E$2:$E$500,MATCH(A13,DATA!$D$2:$D$500,0)),""))</f>
        <v/>
      </c>
      <c r="C13" s="10" t="n"/>
      <c r="D13" s="10" t="n"/>
      <c r="E13" s="10" t="n"/>
      <c r="F13" s="10" t="n"/>
      <c r="G13" s="10" t="n"/>
      <c r="H13" s="10" t="n"/>
      <c r="I13" s="10" t="n"/>
      <c r="J13" s="12">
        <f>IF(OR(A13="",COUNT(C13:E13)&lt;3),"",IFERROR(MAX(0,FLOOR(($N$2-$N$3)/E13,1))*MAX(1,MIN(IF(G13="",1,G13),FLOOR($N$4/D13,1)))*IF(F13="",1,F13),""))</f>
        <v/>
      </c>
      <c r="K13" s="12">
        <f>IF(A13="","",IF(COUNTIF(DATA!$D$2:$D$500,A13)=0,"CEK SKU tidak ada di DATA",IF(COUNT(C13:E13)&lt;3,"CEK dimensi belum lengkap",IF(OR(C13&lt;=0,D13&lt;=0,E13&lt;=0),"CEK dimensi harus lebih dari 0",IF(COUNTIF($A$2:$A$500,A13)&gt;1,"CEK SKU dobel","OK")))))</f>
        <v/>
      </c>
    </row>
    <row r="14">
      <c r="A14" s="10" t="n"/>
      <c r="B14" s="12">
        <f>IF(A14="","",IFERROR(INDEX(DATA!$E$2:$E$500,MATCH(A14,DATA!$D$2:$D$500,0)),""))</f>
        <v/>
      </c>
      <c r="C14" s="10" t="n"/>
      <c r="D14" s="10" t="n"/>
      <c r="E14" s="10" t="n"/>
      <c r="F14" s="10" t="n"/>
      <c r="G14" s="10" t="n"/>
      <c r="H14" s="10" t="n"/>
      <c r="I14" s="10" t="n"/>
      <c r="J14" s="12">
        <f>IF(OR(A14="",COUNT(C14:E14)&lt;3),"",IFERROR(MAX(0,FLOOR(($N$2-$N$3)/E14,1))*MAX(1,MIN(IF(G14="",1,G14),FLOOR($N$4/D14,1)))*IF(F14="",1,F14),""))</f>
        <v/>
      </c>
      <c r="K14" s="12">
        <f>IF(A14="","",IF(COUNTIF(DATA!$D$2:$D$500,A14)=0,"CEK SKU tidak ada di DATA",IF(COUNT(C14:E14)&lt;3,"CEK dimensi belum lengkap",IF(OR(C14&lt;=0,D14&lt;=0,E14&lt;=0),"CEK dimensi harus lebih dari 0",IF(COUNTIF($A$2:$A$500,A14)&gt;1,"CEK SKU dobel","OK")))))</f>
        <v/>
      </c>
    </row>
    <row r="15">
      <c r="A15" s="10" t="n"/>
      <c r="B15" s="12">
        <f>IF(A15="","",IFERROR(INDEX(DATA!$E$2:$E$500,MATCH(A15,DATA!$D$2:$D$500,0)),""))</f>
        <v/>
      </c>
      <c r="C15" s="10" t="n"/>
      <c r="D15" s="10" t="n"/>
      <c r="E15" s="10" t="n"/>
      <c r="F15" s="10" t="n"/>
      <c r="G15" s="10" t="n"/>
      <c r="H15" s="10" t="n"/>
      <c r="I15" s="10" t="n"/>
      <c r="J15" s="12">
        <f>IF(OR(A15="",COUNT(C15:E15)&lt;3),"",IFERROR(MAX(0,FLOOR(($N$2-$N$3)/E15,1))*MAX(1,MIN(IF(G15="",1,G15),FLOOR($N$4/D15,1)))*IF(F15="",1,F15),""))</f>
        <v/>
      </c>
      <c r="K15" s="12">
        <f>IF(A15="","",IF(COUNTIF(DATA!$D$2:$D$500,A15)=0,"CEK SKU tidak ada di DATA",IF(COUNT(C15:E15)&lt;3,"CEK dimensi belum lengkap",IF(OR(C15&lt;=0,D15&lt;=0,E15&lt;=0),"CEK dimensi harus lebih dari 0",IF(COUNTIF($A$2:$A$500,A15)&gt;1,"CEK SKU dobel","OK")))))</f>
        <v/>
      </c>
    </row>
    <row r="16">
      <c r="A16" s="10" t="n"/>
      <c r="B16" s="12">
        <f>IF(A16="","",IFERROR(INDEX(DATA!$E$2:$E$500,MATCH(A16,DATA!$D$2:$D$500,0)),""))</f>
        <v/>
      </c>
      <c r="C16" s="10" t="n"/>
      <c r="D16" s="10" t="n"/>
      <c r="E16" s="10" t="n"/>
      <c r="F16" s="10" t="n"/>
      <c r="G16" s="10" t="n"/>
      <c r="H16" s="10" t="n"/>
      <c r="I16" s="10" t="n"/>
      <c r="J16" s="12">
        <f>IF(OR(A16="",COUNT(C16:E16)&lt;3),"",IFERROR(MAX(0,FLOOR(($N$2-$N$3)/E16,1))*MAX(1,MIN(IF(G16="",1,G16),FLOOR($N$4/D16,1)))*IF(F16="",1,F16),""))</f>
        <v/>
      </c>
      <c r="K16" s="12">
        <f>IF(A16="","",IF(COUNTIF(DATA!$D$2:$D$500,A16)=0,"CEK SKU tidak ada di DATA",IF(COUNT(C16:E16)&lt;3,"CEK dimensi belum lengkap",IF(OR(C16&lt;=0,D16&lt;=0,E16&lt;=0),"CEK dimensi harus lebih dari 0",IF(COUNTIF($A$2:$A$500,A16)&gt;1,"CEK SKU dobel","OK")))))</f>
        <v/>
      </c>
    </row>
    <row r="17">
      <c r="A17" s="10" t="n"/>
      <c r="B17" s="12">
        <f>IF(A17="","",IFERROR(INDEX(DATA!$E$2:$E$500,MATCH(A17,DATA!$D$2:$D$500,0)),""))</f>
        <v/>
      </c>
      <c r="C17" s="10" t="n"/>
      <c r="D17" s="10" t="n"/>
      <c r="E17" s="10" t="n"/>
      <c r="F17" s="10" t="n"/>
      <c r="G17" s="10" t="n"/>
      <c r="H17" s="10" t="n"/>
      <c r="I17" s="10" t="n"/>
      <c r="J17" s="12">
        <f>IF(OR(A17="",COUNT(C17:E17)&lt;3),"",IFERROR(MAX(0,FLOOR(($N$2-$N$3)/E17,1))*MAX(1,MIN(IF(G17="",1,G17),FLOOR($N$4/D17,1)))*IF(F17="",1,F17),""))</f>
        <v/>
      </c>
      <c r="K17" s="12">
        <f>IF(A17="","",IF(COUNTIF(DATA!$D$2:$D$500,A17)=0,"CEK SKU tidak ada di DATA",IF(COUNT(C17:E17)&lt;3,"CEK dimensi belum lengkap",IF(OR(C17&lt;=0,D17&lt;=0,E17&lt;=0),"CEK dimensi harus lebih dari 0",IF(COUNTIF($A$2:$A$500,A17)&gt;1,"CEK SKU dobel","OK")))))</f>
        <v/>
      </c>
    </row>
    <row r="18">
      <c r="A18" s="10" t="n"/>
      <c r="B18" s="12">
        <f>IF(A18="","",IFERROR(INDEX(DATA!$E$2:$E$500,MATCH(A18,DATA!$D$2:$D$500,0)),""))</f>
        <v/>
      </c>
      <c r="C18" s="10" t="n"/>
      <c r="D18" s="10" t="n"/>
      <c r="E18" s="10" t="n"/>
      <c r="F18" s="10" t="n"/>
      <c r="G18" s="10" t="n"/>
      <c r="H18" s="10" t="n"/>
      <c r="I18" s="10" t="n"/>
      <c r="J18" s="12">
        <f>IF(OR(A18="",COUNT(C18:E18)&lt;3),"",IFERROR(MAX(0,FLOOR(($N$2-$N$3)/E18,1))*MAX(1,MIN(IF(G18="",1,G18),FLOOR($N$4/D18,1)))*IF(F18="",1,F18),""))</f>
        <v/>
      </c>
      <c r="K18" s="12">
        <f>IF(A18="","",IF(COUNTIF(DATA!$D$2:$D$500,A18)=0,"CEK SKU tidak ada di DATA",IF(COUNT(C18:E18)&lt;3,"CEK dimensi belum lengkap",IF(OR(C18&lt;=0,D18&lt;=0,E18&lt;=0),"CEK dimensi harus lebih dari 0",IF(COUNTIF($A$2:$A$500,A18)&gt;1,"CEK SKU dobel","OK")))))</f>
        <v/>
      </c>
    </row>
    <row r="19">
      <c r="A19" s="10" t="n"/>
      <c r="B19" s="12">
        <f>IF(A19="","",IFERROR(INDEX(DATA!$E$2:$E$500,MATCH(A19,DATA!$D$2:$D$500,0)),""))</f>
        <v/>
      </c>
      <c r="C19" s="10" t="n"/>
      <c r="D19" s="10" t="n"/>
      <c r="E19" s="10" t="n"/>
      <c r="F19" s="10" t="n"/>
      <c r="G19" s="10" t="n"/>
      <c r="H19" s="10" t="n"/>
      <c r="I19" s="10" t="n"/>
      <c r="J19" s="12">
        <f>IF(OR(A19="",COUNT(C19:E19)&lt;3),"",IFERROR(MAX(0,FLOOR(($N$2-$N$3)/E19,1))*MAX(1,MIN(IF(G19="",1,G19),FLOOR($N$4/D19,1)))*IF(F19="",1,F19),""))</f>
        <v/>
      </c>
      <c r="K19" s="12">
        <f>IF(A19="","",IF(COUNTIF(DATA!$D$2:$D$500,A19)=0,"CEK SKU tidak ada di DATA",IF(COUNT(C19:E19)&lt;3,"CEK dimensi belum lengkap",IF(OR(C19&lt;=0,D19&lt;=0,E19&lt;=0),"CEK dimensi harus lebih dari 0",IF(COUNTIF($A$2:$A$500,A19)&gt;1,"CEK SKU dobel","OK")))))</f>
        <v/>
      </c>
    </row>
    <row r="20">
      <c r="A20" s="10" t="n"/>
      <c r="B20" s="12">
        <f>IF(A20="","",IFERROR(INDEX(DATA!$E$2:$E$500,MATCH(A20,DATA!$D$2:$D$500,0)),""))</f>
        <v/>
      </c>
      <c r="C20" s="10" t="n"/>
      <c r="D20" s="10" t="n"/>
      <c r="E20" s="10" t="n"/>
      <c r="F20" s="10" t="n"/>
      <c r="G20" s="10" t="n"/>
      <c r="H20" s="10" t="n"/>
      <c r="I20" s="10" t="n"/>
      <c r="J20" s="12">
        <f>IF(OR(A20="",COUNT(C20:E20)&lt;3),"",IFERROR(MAX(0,FLOOR(($N$2-$N$3)/E20,1))*MAX(1,MIN(IF(G20="",1,G20),FLOOR($N$4/D20,1)))*IF(F20="",1,F20),""))</f>
        <v/>
      </c>
      <c r="K20" s="12">
        <f>IF(A20="","",IF(COUNTIF(DATA!$D$2:$D$500,A20)=0,"CEK SKU tidak ada di DATA",IF(COUNT(C20:E20)&lt;3,"CEK dimensi belum lengkap",IF(OR(C20&lt;=0,D20&lt;=0,E20&lt;=0),"CEK dimensi harus lebih dari 0",IF(COUNTIF($A$2:$A$500,A20)&gt;1,"CEK SKU dobel","OK")))))</f>
        <v/>
      </c>
    </row>
    <row r="21">
      <c r="A21" s="10" t="n"/>
      <c r="B21" s="12">
        <f>IF(A21="","",IFERROR(INDEX(DATA!$E$2:$E$500,MATCH(A21,DATA!$D$2:$D$500,0)),""))</f>
        <v/>
      </c>
      <c r="C21" s="10" t="n"/>
      <c r="D21" s="10" t="n"/>
      <c r="E21" s="10" t="n"/>
      <c r="F21" s="10" t="n"/>
      <c r="G21" s="10" t="n"/>
      <c r="H21" s="10" t="n"/>
      <c r="I21" s="10" t="n"/>
      <c r="J21" s="12">
        <f>IF(OR(A21="",COUNT(C21:E21)&lt;3),"",IFERROR(MAX(0,FLOOR(($N$2-$N$3)/E21,1))*MAX(1,MIN(IF(G21="",1,G21),FLOOR($N$4/D21,1)))*IF(F21="",1,F21),""))</f>
        <v/>
      </c>
      <c r="K21" s="12">
        <f>IF(A21="","",IF(COUNTIF(DATA!$D$2:$D$500,A21)=0,"CEK SKU tidak ada di DATA",IF(COUNT(C21:E21)&lt;3,"CEK dimensi belum lengkap",IF(OR(C21&lt;=0,D21&lt;=0,E21&lt;=0),"CEK dimensi harus lebih dari 0",IF(COUNTIF($A$2:$A$500,A21)&gt;1,"CEK SKU dobel","OK")))))</f>
        <v/>
      </c>
    </row>
    <row r="22">
      <c r="A22" s="10" t="n"/>
      <c r="B22" s="12">
        <f>IF(A22="","",IFERROR(INDEX(DATA!$E$2:$E$500,MATCH(A22,DATA!$D$2:$D$500,0)),""))</f>
        <v/>
      </c>
      <c r="C22" s="10" t="n"/>
      <c r="D22" s="10" t="n"/>
      <c r="E22" s="10" t="n"/>
      <c r="F22" s="10" t="n"/>
      <c r="G22" s="10" t="n"/>
      <c r="H22" s="10" t="n"/>
      <c r="I22" s="10" t="n"/>
      <c r="J22" s="12">
        <f>IF(OR(A22="",COUNT(C22:E22)&lt;3),"",IFERROR(MAX(0,FLOOR(($N$2-$N$3)/E22,1))*MAX(1,MIN(IF(G22="",1,G22),FLOOR($N$4/D22,1)))*IF(F22="",1,F22),""))</f>
        <v/>
      </c>
      <c r="K22" s="12">
        <f>IF(A22="","",IF(COUNTIF(DATA!$D$2:$D$500,A22)=0,"CEK SKU tidak ada di DATA",IF(COUNT(C22:E22)&lt;3,"CEK dimensi belum lengkap",IF(OR(C22&lt;=0,D22&lt;=0,E22&lt;=0),"CEK dimensi harus lebih dari 0",IF(COUNTIF($A$2:$A$500,A22)&gt;1,"CEK SKU dobel","OK")))))</f>
        <v/>
      </c>
    </row>
    <row r="23">
      <c r="A23" s="10" t="n"/>
      <c r="B23" s="12">
        <f>IF(A23="","",IFERROR(INDEX(DATA!$E$2:$E$500,MATCH(A23,DATA!$D$2:$D$500,0)),""))</f>
        <v/>
      </c>
      <c r="C23" s="10" t="n"/>
      <c r="D23" s="10" t="n"/>
      <c r="E23" s="10" t="n"/>
      <c r="F23" s="10" t="n"/>
      <c r="G23" s="10" t="n"/>
      <c r="H23" s="10" t="n"/>
      <c r="I23" s="10" t="n"/>
      <c r="J23" s="12">
        <f>IF(OR(A23="",COUNT(C23:E23)&lt;3),"",IFERROR(MAX(0,FLOOR(($N$2-$N$3)/E23,1))*MAX(1,MIN(IF(G23="",1,G23),FLOOR($N$4/D23,1)))*IF(F23="",1,F23),""))</f>
        <v/>
      </c>
      <c r="K23" s="12">
        <f>IF(A23="","",IF(COUNTIF(DATA!$D$2:$D$500,A23)=0,"CEK SKU tidak ada di DATA",IF(COUNT(C23:E23)&lt;3,"CEK dimensi belum lengkap",IF(OR(C23&lt;=0,D23&lt;=0,E23&lt;=0),"CEK dimensi harus lebih dari 0",IF(COUNTIF($A$2:$A$500,A23)&gt;1,"CEK SKU dobel","OK")))))</f>
        <v/>
      </c>
    </row>
    <row r="24">
      <c r="A24" s="10" t="n"/>
      <c r="B24" s="12">
        <f>IF(A24="","",IFERROR(INDEX(DATA!$E$2:$E$500,MATCH(A24,DATA!$D$2:$D$500,0)),""))</f>
        <v/>
      </c>
      <c r="C24" s="10" t="n"/>
      <c r="D24" s="10" t="n"/>
      <c r="E24" s="10" t="n"/>
      <c r="F24" s="10" t="n"/>
      <c r="G24" s="10" t="n"/>
      <c r="H24" s="10" t="n"/>
      <c r="I24" s="10" t="n"/>
      <c r="J24" s="12">
        <f>IF(OR(A24="",COUNT(C24:E24)&lt;3),"",IFERROR(MAX(0,FLOOR(($N$2-$N$3)/E24,1))*MAX(1,MIN(IF(G24="",1,G24),FLOOR($N$4/D24,1)))*IF(F24="",1,F24),""))</f>
        <v/>
      </c>
      <c r="K24" s="12">
        <f>IF(A24="","",IF(COUNTIF(DATA!$D$2:$D$500,A24)=0,"CEK SKU tidak ada di DATA",IF(COUNT(C24:E24)&lt;3,"CEK dimensi belum lengkap",IF(OR(C24&lt;=0,D24&lt;=0,E24&lt;=0),"CEK dimensi harus lebih dari 0",IF(COUNTIF($A$2:$A$500,A24)&gt;1,"CEK SKU dobel","OK")))))</f>
        <v/>
      </c>
    </row>
    <row r="25">
      <c r="A25" s="10" t="n"/>
      <c r="B25" s="12">
        <f>IF(A25="","",IFERROR(INDEX(DATA!$E$2:$E$500,MATCH(A25,DATA!$D$2:$D$500,0)),""))</f>
        <v/>
      </c>
      <c r="C25" s="10" t="n"/>
      <c r="D25" s="10" t="n"/>
      <c r="E25" s="10" t="n"/>
      <c r="F25" s="10" t="n"/>
      <c r="G25" s="10" t="n"/>
      <c r="H25" s="10" t="n"/>
      <c r="I25" s="10" t="n"/>
      <c r="J25" s="12">
        <f>IF(OR(A25="",COUNT(C25:E25)&lt;3),"",IFERROR(MAX(0,FLOOR(($N$2-$N$3)/E25,1))*MAX(1,MIN(IF(G25="",1,G25),FLOOR($N$4/D25,1)))*IF(F25="",1,F25),""))</f>
        <v/>
      </c>
      <c r="K25" s="12">
        <f>IF(A25="","",IF(COUNTIF(DATA!$D$2:$D$500,A25)=0,"CEK SKU tidak ada di DATA",IF(COUNT(C25:E25)&lt;3,"CEK dimensi belum lengkap",IF(OR(C25&lt;=0,D25&lt;=0,E25&lt;=0),"CEK dimensi harus lebih dari 0",IF(COUNTIF($A$2:$A$500,A25)&gt;1,"CEK SKU dobel","OK")))))</f>
        <v/>
      </c>
    </row>
    <row r="26">
      <c r="A26" s="10" t="n"/>
      <c r="B26" s="12">
        <f>IF(A26="","",IFERROR(INDEX(DATA!$E$2:$E$500,MATCH(A26,DATA!$D$2:$D$500,0)),""))</f>
        <v/>
      </c>
      <c r="C26" s="10" t="n"/>
      <c r="D26" s="10" t="n"/>
      <c r="E26" s="10" t="n"/>
      <c r="F26" s="10" t="n"/>
      <c r="G26" s="10" t="n"/>
      <c r="H26" s="10" t="n"/>
      <c r="I26" s="10" t="n"/>
      <c r="J26" s="12">
        <f>IF(OR(A26="",COUNT(C26:E26)&lt;3),"",IFERROR(MAX(0,FLOOR(($N$2-$N$3)/E26,1))*MAX(1,MIN(IF(G26="",1,G26),FLOOR($N$4/D26,1)))*IF(F26="",1,F26),""))</f>
        <v/>
      </c>
      <c r="K26" s="12">
        <f>IF(A26="","",IF(COUNTIF(DATA!$D$2:$D$500,A26)=0,"CEK SKU tidak ada di DATA",IF(COUNT(C26:E26)&lt;3,"CEK dimensi belum lengkap",IF(OR(C26&lt;=0,D26&lt;=0,E26&lt;=0),"CEK dimensi harus lebih dari 0",IF(COUNTIF($A$2:$A$500,A26)&gt;1,"CEK SKU dobel","OK")))))</f>
        <v/>
      </c>
    </row>
    <row r="27">
      <c r="A27" s="10" t="n"/>
      <c r="B27" s="12">
        <f>IF(A27="","",IFERROR(INDEX(DATA!$E$2:$E$500,MATCH(A27,DATA!$D$2:$D$500,0)),""))</f>
        <v/>
      </c>
      <c r="C27" s="10" t="n"/>
      <c r="D27" s="10" t="n"/>
      <c r="E27" s="10" t="n"/>
      <c r="F27" s="10" t="n"/>
      <c r="G27" s="10" t="n"/>
      <c r="H27" s="10" t="n"/>
      <c r="I27" s="10" t="n"/>
      <c r="J27" s="12">
        <f>IF(OR(A27="",COUNT(C27:E27)&lt;3),"",IFERROR(MAX(0,FLOOR(($N$2-$N$3)/E27,1))*MAX(1,MIN(IF(G27="",1,G27),FLOOR($N$4/D27,1)))*IF(F27="",1,F27),""))</f>
        <v/>
      </c>
      <c r="K27" s="12">
        <f>IF(A27="","",IF(COUNTIF(DATA!$D$2:$D$500,A27)=0,"CEK SKU tidak ada di DATA",IF(COUNT(C27:E27)&lt;3,"CEK dimensi belum lengkap",IF(OR(C27&lt;=0,D27&lt;=0,E27&lt;=0),"CEK dimensi harus lebih dari 0",IF(COUNTIF($A$2:$A$500,A27)&gt;1,"CEK SKU dobel","OK")))))</f>
        <v/>
      </c>
    </row>
    <row r="28">
      <c r="A28" s="10" t="n"/>
      <c r="B28" s="12">
        <f>IF(A28="","",IFERROR(INDEX(DATA!$E$2:$E$500,MATCH(A28,DATA!$D$2:$D$500,0)),""))</f>
        <v/>
      </c>
      <c r="C28" s="10" t="n"/>
      <c r="D28" s="10" t="n"/>
      <c r="E28" s="10" t="n"/>
      <c r="F28" s="10" t="n"/>
      <c r="G28" s="10" t="n"/>
      <c r="H28" s="10" t="n"/>
      <c r="I28" s="10" t="n"/>
      <c r="J28" s="12">
        <f>IF(OR(A28="",COUNT(C28:E28)&lt;3),"",IFERROR(MAX(0,FLOOR(($N$2-$N$3)/E28,1))*MAX(1,MIN(IF(G28="",1,G28),FLOOR($N$4/D28,1)))*IF(F28="",1,F28),""))</f>
        <v/>
      </c>
      <c r="K28" s="12">
        <f>IF(A28="","",IF(COUNTIF(DATA!$D$2:$D$500,A28)=0,"CEK SKU tidak ada di DATA",IF(COUNT(C28:E28)&lt;3,"CEK dimensi belum lengkap",IF(OR(C28&lt;=0,D28&lt;=0,E28&lt;=0),"CEK dimensi harus lebih dari 0",IF(COUNTIF($A$2:$A$500,A28)&gt;1,"CEK SKU dobel","OK")))))</f>
        <v/>
      </c>
    </row>
    <row r="29">
      <c r="A29" s="10" t="n"/>
      <c r="B29" s="12">
        <f>IF(A29="","",IFERROR(INDEX(DATA!$E$2:$E$500,MATCH(A29,DATA!$D$2:$D$500,0)),""))</f>
        <v/>
      </c>
      <c r="C29" s="10" t="n"/>
      <c r="D29" s="10" t="n"/>
      <c r="E29" s="10" t="n"/>
      <c r="F29" s="10" t="n"/>
      <c r="G29" s="10" t="n"/>
      <c r="H29" s="10" t="n"/>
      <c r="I29" s="10" t="n"/>
      <c r="J29" s="12">
        <f>IF(OR(A29="",COUNT(C29:E29)&lt;3),"",IFERROR(MAX(0,FLOOR(($N$2-$N$3)/E29,1))*MAX(1,MIN(IF(G29="",1,G29),FLOOR($N$4/D29,1)))*IF(F29="",1,F29),""))</f>
        <v/>
      </c>
      <c r="K29" s="12">
        <f>IF(A29="","",IF(COUNTIF(DATA!$D$2:$D$500,A29)=0,"CEK SKU tidak ada di DATA",IF(COUNT(C29:E29)&lt;3,"CEK dimensi belum lengkap",IF(OR(C29&lt;=0,D29&lt;=0,E29&lt;=0),"CEK dimensi harus lebih dari 0",IF(COUNTIF($A$2:$A$500,A29)&gt;1,"CEK SKU dobel","OK")))))</f>
        <v/>
      </c>
    </row>
    <row r="30">
      <c r="A30" s="10" t="n"/>
      <c r="B30" s="12">
        <f>IF(A30="","",IFERROR(INDEX(DATA!$E$2:$E$500,MATCH(A30,DATA!$D$2:$D$500,0)),""))</f>
        <v/>
      </c>
      <c r="C30" s="10" t="n"/>
      <c r="D30" s="10" t="n"/>
      <c r="E30" s="10" t="n"/>
      <c r="F30" s="10" t="n"/>
      <c r="G30" s="10" t="n"/>
      <c r="H30" s="10" t="n"/>
      <c r="I30" s="10" t="n"/>
      <c r="J30" s="12">
        <f>IF(OR(A30="",COUNT(C30:E30)&lt;3),"",IFERROR(MAX(0,FLOOR(($N$2-$N$3)/E30,1))*MAX(1,MIN(IF(G30="",1,G30),FLOOR($N$4/D30,1)))*IF(F30="",1,F30),""))</f>
        <v/>
      </c>
      <c r="K30" s="12">
        <f>IF(A30="","",IF(COUNTIF(DATA!$D$2:$D$500,A30)=0,"CEK SKU tidak ada di DATA",IF(COUNT(C30:E30)&lt;3,"CEK dimensi belum lengkap",IF(OR(C30&lt;=0,D30&lt;=0,E30&lt;=0),"CEK dimensi harus lebih dari 0",IF(COUNTIF($A$2:$A$500,A30)&gt;1,"CEK SKU dobel","OK")))))</f>
        <v/>
      </c>
    </row>
    <row r="31">
      <c r="A31" s="10" t="n"/>
      <c r="B31" s="12">
        <f>IF(A31="","",IFERROR(INDEX(DATA!$E$2:$E$500,MATCH(A31,DATA!$D$2:$D$500,0)),""))</f>
        <v/>
      </c>
      <c r="C31" s="10" t="n"/>
      <c r="D31" s="10" t="n"/>
      <c r="E31" s="10" t="n"/>
      <c r="F31" s="10" t="n"/>
      <c r="G31" s="10" t="n"/>
      <c r="H31" s="10" t="n"/>
      <c r="I31" s="10" t="n"/>
      <c r="J31" s="12">
        <f>IF(OR(A31="",COUNT(C31:E31)&lt;3),"",IFERROR(MAX(0,FLOOR(($N$2-$N$3)/E31,1))*MAX(1,MIN(IF(G31="",1,G31),FLOOR($N$4/D31,1)))*IF(F31="",1,F31),""))</f>
        <v/>
      </c>
      <c r="K31" s="12">
        <f>IF(A31="","",IF(COUNTIF(DATA!$D$2:$D$500,A31)=0,"CEK SKU tidak ada di DATA",IF(COUNT(C31:E31)&lt;3,"CEK dimensi belum lengkap",IF(OR(C31&lt;=0,D31&lt;=0,E31&lt;=0),"CEK dimensi harus lebih dari 0",IF(COUNTIF($A$2:$A$500,A31)&gt;1,"CEK SKU dobel","OK")))))</f>
        <v/>
      </c>
    </row>
    <row r="32">
      <c r="A32" s="10" t="n"/>
      <c r="B32" s="12">
        <f>IF(A32="","",IFERROR(INDEX(DATA!$E$2:$E$500,MATCH(A32,DATA!$D$2:$D$500,0)),""))</f>
        <v/>
      </c>
      <c r="C32" s="10" t="n"/>
      <c r="D32" s="10" t="n"/>
      <c r="E32" s="10" t="n"/>
      <c r="F32" s="10" t="n"/>
      <c r="G32" s="10" t="n"/>
      <c r="H32" s="10" t="n"/>
      <c r="I32" s="10" t="n"/>
      <c r="J32" s="12">
        <f>IF(OR(A32="",COUNT(C32:E32)&lt;3),"",IFERROR(MAX(0,FLOOR(($N$2-$N$3)/E32,1))*MAX(1,MIN(IF(G32="",1,G32),FLOOR($N$4/D32,1)))*IF(F32="",1,F32),""))</f>
        <v/>
      </c>
      <c r="K32" s="12">
        <f>IF(A32="","",IF(COUNTIF(DATA!$D$2:$D$500,A32)=0,"CEK SKU tidak ada di DATA",IF(COUNT(C32:E32)&lt;3,"CEK dimensi belum lengkap",IF(OR(C32&lt;=0,D32&lt;=0,E32&lt;=0),"CEK dimensi harus lebih dari 0",IF(COUNTIF($A$2:$A$500,A32)&gt;1,"CEK SKU dobel","OK")))))</f>
        <v/>
      </c>
    </row>
    <row r="33">
      <c r="A33" s="10" t="n"/>
      <c r="B33" s="12">
        <f>IF(A33="","",IFERROR(INDEX(DATA!$E$2:$E$500,MATCH(A33,DATA!$D$2:$D$500,0)),""))</f>
        <v/>
      </c>
      <c r="C33" s="10" t="n"/>
      <c r="D33" s="10" t="n"/>
      <c r="E33" s="10" t="n"/>
      <c r="F33" s="10" t="n"/>
      <c r="G33" s="10" t="n"/>
      <c r="H33" s="10" t="n"/>
      <c r="I33" s="10" t="n"/>
      <c r="J33" s="12">
        <f>IF(OR(A33="",COUNT(C33:E33)&lt;3),"",IFERROR(MAX(0,FLOOR(($N$2-$N$3)/E33,1))*MAX(1,MIN(IF(G33="",1,G33),FLOOR($N$4/D33,1)))*IF(F33="",1,F33),""))</f>
        <v/>
      </c>
      <c r="K33" s="12">
        <f>IF(A33="","",IF(COUNTIF(DATA!$D$2:$D$500,A33)=0,"CEK SKU tidak ada di DATA",IF(COUNT(C33:E33)&lt;3,"CEK dimensi belum lengkap",IF(OR(C33&lt;=0,D33&lt;=0,E33&lt;=0),"CEK dimensi harus lebih dari 0",IF(COUNTIF($A$2:$A$500,A33)&gt;1,"CEK SKU dobel","OK")))))</f>
        <v/>
      </c>
    </row>
    <row r="34">
      <c r="A34" s="10" t="n"/>
      <c r="B34" s="12">
        <f>IF(A34="","",IFERROR(INDEX(DATA!$E$2:$E$500,MATCH(A34,DATA!$D$2:$D$500,0)),""))</f>
        <v/>
      </c>
      <c r="C34" s="10" t="n"/>
      <c r="D34" s="10" t="n"/>
      <c r="E34" s="10" t="n"/>
      <c r="F34" s="10" t="n"/>
      <c r="G34" s="10" t="n"/>
      <c r="H34" s="10" t="n"/>
      <c r="I34" s="10" t="n"/>
      <c r="J34" s="12">
        <f>IF(OR(A34="",COUNT(C34:E34)&lt;3),"",IFERROR(MAX(0,FLOOR(($N$2-$N$3)/E34,1))*MAX(1,MIN(IF(G34="",1,G34),FLOOR($N$4/D34,1)))*IF(F34="",1,F34),""))</f>
        <v/>
      </c>
      <c r="K34" s="12">
        <f>IF(A34="","",IF(COUNTIF(DATA!$D$2:$D$500,A34)=0,"CEK SKU tidak ada di DATA",IF(COUNT(C34:E34)&lt;3,"CEK dimensi belum lengkap",IF(OR(C34&lt;=0,D34&lt;=0,E34&lt;=0),"CEK dimensi harus lebih dari 0",IF(COUNTIF($A$2:$A$500,A34)&gt;1,"CEK SKU dobel","OK")))))</f>
        <v/>
      </c>
    </row>
    <row r="35">
      <c r="A35" s="10" t="n"/>
      <c r="B35" s="12">
        <f>IF(A35="","",IFERROR(INDEX(DATA!$E$2:$E$500,MATCH(A35,DATA!$D$2:$D$500,0)),""))</f>
        <v/>
      </c>
      <c r="C35" s="10" t="n"/>
      <c r="D35" s="10" t="n"/>
      <c r="E35" s="10" t="n"/>
      <c r="F35" s="10" t="n"/>
      <c r="G35" s="10" t="n"/>
      <c r="H35" s="10" t="n"/>
      <c r="I35" s="10" t="n"/>
      <c r="J35" s="12">
        <f>IF(OR(A35="",COUNT(C35:E35)&lt;3),"",IFERROR(MAX(0,FLOOR(($N$2-$N$3)/E35,1))*MAX(1,MIN(IF(G35="",1,G35),FLOOR($N$4/D35,1)))*IF(F35="",1,F35),""))</f>
        <v/>
      </c>
      <c r="K35" s="12">
        <f>IF(A35="","",IF(COUNTIF(DATA!$D$2:$D$500,A35)=0,"CEK SKU tidak ada di DATA",IF(COUNT(C35:E35)&lt;3,"CEK dimensi belum lengkap",IF(OR(C35&lt;=0,D35&lt;=0,E35&lt;=0),"CEK dimensi harus lebih dari 0",IF(COUNTIF($A$2:$A$500,A35)&gt;1,"CEK SKU dobel","OK")))))</f>
        <v/>
      </c>
    </row>
    <row r="36">
      <c r="A36" s="10" t="n"/>
      <c r="B36" s="12">
        <f>IF(A36="","",IFERROR(INDEX(DATA!$E$2:$E$500,MATCH(A36,DATA!$D$2:$D$500,0)),""))</f>
        <v/>
      </c>
      <c r="C36" s="10" t="n"/>
      <c r="D36" s="10" t="n"/>
      <c r="E36" s="10" t="n"/>
      <c r="F36" s="10" t="n"/>
      <c r="G36" s="10" t="n"/>
      <c r="H36" s="10" t="n"/>
      <c r="I36" s="10" t="n"/>
      <c r="J36" s="12">
        <f>IF(OR(A36="",COUNT(C36:E36)&lt;3),"",IFERROR(MAX(0,FLOOR(($N$2-$N$3)/E36,1))*MAX(1,MIN(IF(G36="",1,G36),FLOOR($N$4/D36,1)))*IF(F36="",1,F36),""))</f>
        <v/>
      </c>
      <c r="K36" s="12">
        <f>IF(A36="","",IF(COUNTIF(DATA!$D$2:$D$500,A36)=0,"CEK SKU tidak ada di DATA",IF(COUNT(C36:E36)&lt;3,"CEK dimensi belum lengkap",IF(OR(C36&lt;=0,D36&lt;=0,E36&lt;=0),"CEK dimensi harus lebih dari 0",IF(COUNTIF($A$2:$A$500,A36)&gt;1,"CEK SKU dobel","OK")))))</f>
        <v/>
      </c>
    </row>
    <row r="37">
      <c r="A37" s="10" t="n"/>
      <c r="B37" s="12">
        <f>IF(A37="","",IFERROR(INDEX(DATA!$E$2:$E$500,MATCH(A37,DATA!$D$2:$D$500,0)),""))</f>
        <v/>
      </c>
      <c r="C37" s="10" t="n"/>
      <c r="D37" s="10" t="n"/>
      <c r="E37" s="10" t="n"/>
      <c r="F37" s="10" t="n"/>
      <c r="G37" s="10" t="n"/>
      <c r="H37" s="10" t="n"/>
      <c r="I37" s="10" t="n"/>
      <c r="J37" s="12">
        <f>IF(OR(A37="",COUNT(C37:E37)&lt;3),"",IFERROR(MAX(0,FLOOR(($N$2-$N$3)/E37,1))*MAX(1,MIN(IF(G37="",1,G37),FLOOR($N$4/D37,1)))*IF(F37="",1,F37),""))</f>
        <v/>
      </c>
      <c r="K37" s="12">
        <f>IF(A37="","",IF(COUNTIF(DATA!$D$2:$D$500,A37)=0,"CEK SKU tidak ada di DATA",IF(COUNT(C37:E37)&lt;3,"CEK dimensi belum lengkap",IF(OR(C37&lt;=0,D37&lt;=0,E37&lt;=0),"CEK dimensi harus lebih dari 0",IF(COUNTIF($A$2:$A$500,A37)&gt;1,"CEK SKU dobel","OK")))))</f>
        <v/>
      </c>
    </row>
    <row r="38">
      <c r="A38" s="10" t="n"/>
      <c r="B38" s="12">
        <f>IF(A38="","",IFERROR(INDEX(DATA!$E$2:$E$500,MATCH(A38,DATA!$D$2:$D$500,0)),""))</f>
        <v/>
      </c>
      <c r="C38" s="10" t="n"/>
      <c r="D38" s="10" t="n"/>
      <c r="E38" s="10" t="n"/>
      <c r="F38" s="10" t="n"/>
      <c r="G38" s="10" t="n"/>
      <c r="H38" s="10" t="n"/>
      <c r="I38" s="10" t="n"/>
      <c r="J38" s="12">
        <f>IF(OR(A38="",COUNT(C38:E38)&lt;3),"",IFERROR(MAX(0,FLOOR(($N$2-$N$3)/E38,1))*MAX(1,MIN(IF(G38="",1,G38),FLOOR($N$4/D38,1)))*IF(F38="",1,F38),""))</f>
        <v/>
      </c>
      <c r="K38" s="12">
        <f>IF(A38="","",IF(COUNTIF(DATA!$D$2:$D$500,A38)=0,"CEK SKU tidak ada di DATA",IF(COUNT(C38:E38)&lt;3,"CEK dimensi belum lengkap",IF(OR(C38&lt;=0,D38&lt;=0,E38&lt;=0),"CEK dimensi harus lebih dari 0",IF(COUNTIF($A$2:$A$500,A38)&gt;1,"CEK SKU dobel","OK")))))</f>
        <v/>
      </c>
    </row>
    <row r="39">
      <c r="A39" s="10" t="n"/>
      <c r="B39" s="12">
        <f>IF(A39="","",IFERROR(INDEX(DATA!$E$2:$E$500,MATCH(A39,DATA!$D$2:$D$500,0)),""))</f>
        <v/>
      </c>
      <c r="C39" s="10" t="n"/>
      <c r="D39" s="10" t="n"/>
      <c r="E39" s="10" t="n"/>
      <c r="F39" s="10" t="n"/>
      <c r="G39" s="10" t="n"/>
      <c r="H39" s="10" t="n"/>
      <c r="I39" s="10" t="n"/>
      <c r="J39" s="12">
        <f>IF(OR(A39="",COUNT(C39:E39)&lt;3),"",IFERROR(MAX(0,FLOOR(($N$2-$N$3)/E39,1))*MAX(1,MIN(IF(G39="",1,G39),FLOOR($N$4/D39,1)))*IF(F39="",1,F39),""))</f>
        <v/>
      </c>
      <c r="K39" s="12">
        <f>IF(A39="","",IF(COUNTIF(DATA!$D$2:$D$500,A39)=0,"CEK SKU tidak ada di DATA",IF(COUNT(C39:E39)&lt;3,"CEK dimensi belum lengkap",IF(OR(C39&lt;=0,D39&lt;=0,E39&lt;=0),"CEK dimensi harus lebih dari 0",IF(COUNTIF($A$2:$A$500,A39)&gt;1,"CEK SKU dobel","OK")))))</f>
        <v/>
      </c>
    </row>
    <row r="40">
      <c r="A40" s="10" t="n"/>
      <c r="B40" s="12">
        <f>IF(A40="","",IFERROR(INDEX(DATA!$E$2:$E$500,MATCH(A40,DATA!$D$2:$D$500,0)),""))</f>
        <v/>
      </c>
      <c r="C40" s="10" t="n"/>
      <c r="D40" s="10" t="n"/>
      <c r="E40" s="10" t="n"/>
      <c r="F40" s="10" t="n"/>
      <c r="G40" s="10" t="n"/>
      <c r="H40" s="10" t="n"/>
      <c r="I40" s="10" t="n"/>
      <c r="J40" s="12">
        <f>IF(OR(A40="",COUNT(C40:E40)&lt;3),"",IFERROR(MAX(0,FLOOR(($N$2-$N$3)/E40,1))*MAX(1,MIN(IF(G40="",1,G40),FLOOR($N$4/D40,1)))*IF(F40="",1,F40),""))</f>
        <v/>
      </c>
      <c r="K40" s="12">
        <f>IF(A40="","",IF(COUNTIF(DATA!$D$2:$D$500,A40)=0,"CEK SKU tidak ada di DATA",IF(COUNT(C40:E40)&lt;3,"CEK dimensi belum lengkap",IF(OR(C40&lt;=0,D40&lt;=0,E40&lt;=0),"CEK dimensi harus lebih dari 0",IF(COUNTIF($A$2:$A$500,A40)&gt;1,"CEK SKU dobel","OK")))))</f>
        <v/>
      </c>
    </row>
    <row r="41">
      <c r="A41" s="10" t="n"/>
      <c r="B41" s="12">
        <f>IF(A41="","",IFERROR(INDEX(DATA!$E$2:$E$500,MATCH(A41,DATA!$D$2:$D$500,0)),""))</f>
        <v/>
      </c>
      <c r="C41" s="10" t="n"/>
      <c r="D41" s="10" t="n"/>
      <c r="E41" s="10" t="n"/>
      <c r="F41" s="10" t="n"/>
      <c r="G41" s="10" t="n"/>
      <c r="H41" s="10" t="n"/>
      <c r="I41" s="10" t="n"/>
      <c r="J41" s="12">
        <f>IF(OR(A41="",COUNT(C41:E41)&lt;3),"",IFERROR(MAX(0,FLOOR(($N$2-$N$3)/E41,1))*MAX(1,MIN(IF(G41="",1,G41),FLOOR($N$4/D41,1)))*IF(F41="",1,F41),""))</f>
        <v/>
      </c>
      <c r="K41" s="12">
        <f>IF(A41="","",IF(COUNTIF(DATA!$D$2:$D$500,A41)=0,"CEK SKU tidak ada di DATA",IF(COUNT(C41:E41)&lt;3,"CEK dimensi belum lengkap",IF(OR(C41&lt;=0,D41&lt;=0,E41&lt;=0),"CEK dimensi harus lebih dari 0",IF(COUNTIF($A$2:$A$500,A41)&gt;1,"CEK SKU dobel","OK")))))</f>
        <v/>
      </c>
    </row>
    <row r="42">
      <c r="A42" s="10" t="n"/>
      <c r="B42" s="12">
        <f>IF(A42="","",IFERROR(INDEX(DATA!$E$2:$E$500,MATCH(A42,DATA!$D$2:$D$500,0)),""))</f>
        <v/>
      </c>
      <c r="C42" s="10" t="n"/>
      <c r="D42" s="10" t="n"/>
      <c r="E42" s="10" t="n"/>
      <c r="F42" s="10" t="n"/>
      <c r="G42" s="10" t="n"/>
      <c r="H42" s="10" t="n"/>
      <c r="I42" s="10" t="n"/>
      <c r="J42" s="12">
        <f>IF(OR(A42="",COUNT(C42:E42)&lt;3),"",IFERROR(MAX(0,FLOOR(($N$2-$N$3)/E42,1))*MAX(1,MIN(IF(G42="",1,G42),FLOOR($N$4/D42,1)))*IF(F42="",1,F42),""))</f>
        <v/>
      </c>
      <c r="K42" s="12">
        <f>IF(A42="","",IF(COUNTIF(DATA!$D$2:$D$500,A42)=0,"CEK SKU tidak ada di DATA",IF(COUNT(C42:E42)&lt;3,"CEK dimensi belum lengkap",IF(OR(C42&lt;=0,D42&lt;=0,E42&lt;=0),"CEK dimensi harus lebih dari 0",IF(COUNTIF($A$2:$A$500,A42)&gt;1,"CEK SKU dobel","OK")))))</f>
        <v/>
      </c>
    </row>
    <row r="43">
      <c r="A43" s="10" t="n"/>
      <c r="B43" s="12">
        <f>IF(A43="","",IFERROR(INDEX(DATA!$E$2:$E$500,MATCH(A43,DATA!$D$2:$D$500,0)),""))</f>
        <v/>
      </c>
      <c r="C43" s="10" t="n"/>
      <c r="D43" s="10" t="n"/>
      <c r="E43" s="10" t="n"/>
      <c r="F43" s="10" t="n"/>
      <c r="G43" s="10" t="n"/>
      <c r="H43" s="10" t="n"/>
      <c r="I43" s="10" t="n"/>
      <c r="J43" s="12">
        <f>IF(OR(A43="",COUNT(C43:E43)&lt;3),"",IFERROR(MAX(0,FLOOR(($N$2-$N$3)/E43,1))*MAX(1,MIN(IF(G43="",1,G43),FLOOR($N$4/D43,1)))*IF(F43="",1,F43),""))</f>
        <v/>
      </c>
      <c r="K43" s="12">
        <f>IF(A43="","",IF(COUNTIF(DATA!$D$2:$D$500,A43)=0,"CEK SKU tidak ada di DATA",IF(COUNT(C43:E43)&lt;3,"CEK dimensi belum lengkap",IF(OR(C43&lt;=0,D43&lt;=0,E43&lt;=0),"CEK dimensi harus lebih dari 0",IF(COUNTIF($A$2:$A$500,A43)&gt;1,"CEK SKU dobel","OK")))))</f>
        <v/>
      </c>
    </row>
    <row r="44">
      <c r="A44" s="10" t="n"/>
      <c r="B44" s="12">
        <f>IF(A44="","",IFERROR(INDEX(DATA!$E$2:$E$500,MATCH(A44,DATA!$D$2:$D$500,0)),""))</f>
        <v/>
      </c>
      <c r="C44" s="10" t="n"/>
      <c r="D44" s="10" t="n"/>
      <c r="E44" s="10" t="n"/>
      <c r="F44" s="10" t="n"/>
      <c r="G44" s="10" t="n"/>
      <c r="H44" s="10" t="n"/>
      <c r="I44" s="10" t="n"/>
      <c r="J44" s="12">
        <f>IF(OR(A44="",COUNT(C44:E44)&lt;3),"",IFERROR(MAX(0,FLOOR(($N$2-$N$3)/E44,1))*MAX(1,MIN(IF(G44="",1,G44),FLOOR($N$4/D44,1)))*IF(F44="",1,F44),""))</f>
        <v/>
      </c>
      <c r="K44" s="12">
        <f>IF(A44="","",IF(COUNTIF(DATA!$D$2:$D$500,A44)=0,"CEK SKU tidak ada di DATA",IF(COUNT(C44:E44)&lt;3,"CEK dimensi belum lengkap",IF(OR(C44&lt;=0,D44&lt;=0,E44&lt;=0),"CEK dimensi harus lebih dari 0",IF(COUNTIF($A$2:$A$500,A44)&gt;1,"CEK SKU dobel","OK")))))</f>
        <v/>
      </c>
    </row>
    <row r="45">
      <c r="A45" s="10" t="n"/>
      <c r="B45" s="12">
        <f>IF(A45="","",IFERROR(INDEX(DATA!$E$2:$E$500,MATCH(A45,DATA!$D$2:$D$500,0)),""))</f>
        <v/>
      </c>
      <c r="C45" s="10" t="n"/>
      <c r="D45" s="10" t="n"/>
      <c r="E45" s="10" t="n"/>
      <c r="F45" s="10" t="n"/>
      <c r="G45" s="10" t="n"/>
      <c r="H45" s="10" t="n"/>
      <c r="I45" s="10" t="n"/>
      <c r="J45" s="12">
        <f>IF(OR(A45="",COUNT(C45:E45)&lt;3),"",IFERROR(MAX(0,FLOOR(($N$2-$N$3)/E45,1))*MAX(1,MIN(IF(G45="",1,G45),FLOOR($N$4/D45,1)))*IF(F45="",1,F45),""))</f>
        <v/>
      </c>
      <c r="K45" s="12">
        <f>IF(A45="","",IF(COUNTIF(DATA!$D$2:$D$500,A45)=0,"CEK SKU tidak ada di DATA",IF(COUNT(C45:E45)&lt;3,"CEK dimensi belum lengkap",IF(OR(C45&lt;=0,D45&lt;=0,E45&lt;=0),"CEK dimensi harus lebih dari 0",IF(COUNTIF($A$2:$A$500,A45)&gt;1,"CEK SKU dobel","OK")))))</f>
        <v/>
      </c>
    </row>
    <row r="46">
      <c r="A46" s="10" t="n"/>
      <c r="B46" s="12">
        <f>IF(A46="","",IFERROR(INDEX(DATA!$E$2:$E$500,MATCH(A46,DATA!$D$2:$D$500,0)),""))</f>
        <v/>
      </c>
      <c r="C46" s="10" t="n"/>
      <c r="D46" s="10" t="n"/>
      <c r="E46" s="10" t="n"/>
      <c r="F46" s="10" t="n"/>
      <c r="G46" s="10" t="n"/>
      <c r="H46" s="10" t="n"/>
      <c r="I46" s="10" t="n"/>
      <c r="J46" s="12">
        <f>IF(OR(A46="",COUNT(C46:E46)&lt;3),"",IFERROR(MAX(0,FLOOR(($N$2-$N$3)/E46,1))*MAX(1,MIN(IF(G46="",1,G46),FLOOR($N$4/D46,1)))*IF(F46="",1,F46),""))</f>
        <v/>
      </c>
      <c r="K46" s="12">
        <f>IF(A46="","",IF(COUNTIF(DATA!$D$2:$D$500,A46)=0,"CEK SKU tidak ada di DATA",IF(COUNT(C46:E46)&lt;3,"CEK dimensi belum lengkap",IF(OR(C46&lt;=0,D46&lt;=0,E46&lt;=0),"CEK dimensi harus lebih dari 0",IF(COUNTIF($A$2:$A$500,A46)&gt;1,"CEK SKU dobel","OK")))))</f>
        <v/>
      </c>
    </row>
    <row r="47">
      <c r="A47" s="10" t="n"/>
      <c r="B47" s="12">
        <f>IF(A47="","",IFERROR(INDEX(DATA!$E$2:$E$500,MATCH(A47,DATA!$D$2:$D$500,0)),""))</f>
        <v/>
      </c>
      <c r="C47" s="10" t="n"/>
      <c r="D47" s="10" t="n"/>
      <c r="E47" s="10" t="n"/>
      <c r="F47" s="10" t="n"/>
      <c r="G47" s="10" t="n"/>
      <c r="H47" s="10" t="n"/>
      <c r="I47" s="10" t="n"/>
      <c r="J47" s="12">
        <f>IF(OR(A47="",COUNT(C47:E47)&lt;3),"",IFERROR(MAX(0,FLOOR(($N$2-$N$3)/E47,1))*MAX(1,MIN(IF(G47="",1,G47),FLOOR($N$4/D47,1)))*IF(F47="",1,F47),""))</f>
        <v/>
      </c>
      <c r="K47" s="12">
        <f>IF(A47="","",IF(COUNTIF(DATA!$D$2:$D$500,A47)=0,"CEK SKU tidak ada di DATA",IF(COUNT(C47:E47)&lt;3,"CEK dimensi belum lengkap",IF(OR(C47&lt;=0,D47&lt;=0,E47&lt;=0),"CEK dimensi harus lebih dari 0",IF(COUNTIF($A$2:$A$500,A47)&gt;1,"CEK SKU dobel","OK")))))</f>
        <v/>
      </c>
    </row>
    <row r="48">
      <c r="A48" s="10" t="n"/>
      <c r="B48" s="12">
        <f>IF(A48="","",IFERROR(INDEX(DATA!$E$2:$E$500,MATCH(A48,DATA!$D$2:$D$500,0)),""))</f>
        <v/>
      </c>
      <c r="C48" s="10" t="n"/>
      <c r="D48" s="10" t="n"/>
      <c r="E48" s="10" t="n"/>
      <c r="F48" s="10" t="n"/>
      <c r="G48" s="10" t="n"/>
      <c r="H48" s="10" t="n"/>
      <c r="I48" s="10" t="n"/>
      <c r="J48" s="12">
        <f>IF(OR(A48="",COUNT(C48:E48)&lt;3),"",IFERROR(MAX(0,FLOOR(($N$2-$N$3)/E48,1))*MAX(1,MIN(IF(G48="",1,G48),FLOOR($N$4/D48,1)))*IF(F48="",1,F48),""))</f>
        <v/>
      </c>
      <c r="K48" s="12">
        <f>IF(A48="","",IF(COUNTIF(DATA!$D$2:$D$500,A48)=0,"CEK SKU tidak ada di DATA",IF(COUNT(C48:E48)&lt;3,"CEK dimensi belum lengkap",IF(OR(C48&lt;=0,D48&lt;=0,E48&lt;=0),"CEK dimensi harus lebih dari 0",IF(COUNTIF($A$2:$A$500,A48)&gt;1,"CEK SKU dobel","OK")))))</f>
        <v/>
      </c>
    </row>
    <row r="49">
      <c r="A49" s="10" t="n"/>
      <c r="B49" s="12">
        <f>IF(A49="","",IFERROR(INDEX(DATA!$E$2:$E$500,MATCH(A49,DATA!$D$2:$D$500,0)),""))</f>
        <v/>
      </c>
      <c r="C49" s="10" t="n"/>
      <c r="D49" s="10" t="n"/>
      <c r="E49" s="10" t="n"/>
      <c r="F49" s="10" t="n"/>
      <c r="G49" s="10" t="n"/>
      <c r="H49" s="10" t="n"/>
      <c r="I49" s="10" t="n"/>
      <c r="J49" s="12">
        <f>IF(OR(A49="",COUNT(C49:E49)&lt;3),"",IFERROR(MAX(0,FLOOR(($N$2-$N$3)/E49,1))*MAX(1,MIN(IF(G49="",1,G49),FLOOR($N$4/D49,1)))*IF(F49="",1,F49),""))</f>
        <v/>
      </c>
      <c r="K49" s="12">
        <f>IF(A49="","",IF(COUNTIF(DATA!$D$2:$D$500,A49)=0,"CEK SKU tidak ada di DATA",IF(COUNT(C49:E49)&lt;3,"CEK dimensi belum lengkap",IF(OR(C49&lt;=0,D49&lt;=0,E49&lt;=0),"CEK dimensi harus lebih dari 0",IF(COUNTIF($A$2:$A$500,A49)&gt;1,"CEK SKU dobel","OK")))))</f>
        <v/>
      </c>
    </row>
    <row r="50">
      <c r="A50" s="10" t="n"/>
      <c r="B50" s="12">
        <f>IF(A50="","",IFERROR(INDEX(DATA!$E$2:$E$500,MATCH(A50,DATA!$D$2:$D$500,0)),""))</f>
        <v/>
      </c>
      <c r="C50" s="10" t="n"/>
      <c r="D50" s="10" t="n"/>
      <c r="E50" s="10" t="n"/>
      <c r="F50" s="10" t="n"/>
      <c r="G50" s="10" t="n"/>
      <c r="H50" s="10" t="n"/>
      <c r="I50" s="10" t="n"/>
      <c r="J50" s="12">
        <f>IF(OR(A50="",COUNT(C50:E50)&lt;3),"",IFERROR(MAX(0,FLOOR(($N$2-$N$3)/E50,1))*MAX(1,MIN(IF(G50="",1,G50),FLOOR($N$4/D50,1)))*IF(F50="",1,F50),""))</f>
        <v/>
      </c>
      <c r="K50" s="12">
        <f>IF(A50="","",IF(COUNTIF(DATA!$D$2:$D$500,A50)=0,"CEK SKU tidak ada di DATA",IF(COUNT(C50:E50)&lt;3,"CEK dimensi belum lengkap",IF(OR(C50&lt;=0,D50&lt;=0,E50&lt;=0),"CEK dimensi harus lebih dari 0",IF(COUNTIF($A$2:$A$500,A50)&gt;1,"CEK SKU dobel","OK")))))</f>
        <v/>
      </c>
    </row>
    <row r="51">
      <c r="A51" s="10" t="n"/>
      <c r="B51" s="12">
        <f>IF(A51="","",IFERROR(INDEX(DATA!$E$2:$E$500,MATCH(A51,DATA!$D$2:$D$500,0)),""))</f>
        <v/>
      </c>
      <c r="C51" s="10" t="n"/>
      <c r="D51" s="10" t="n"/>
      <c r="E51" s="10" t="n"/>
      <c r="F51" s="10" t="n"/>
      <c r="G51" s="10" t="n"/>
      <c r="H51" s="10" t="n"/>
      <c r="I51" s="10" t="n"/>
      <c r="J51" s="12">
        <f>IF(OR(A51="",COUNT(C51:E51)&lt;3),"",IFERROR(MAX(0,FLOOR(($N$2-$N$3)/E51,1))*MAX(1,MIN(IF(G51="",1,G51),FLOOR($N$4/D51,1)))*IF(F51="",1,F51),""))</f>
        <v/>
      </c>
      <c r="K51" s="12">
        <f>IF(A51="","",IF(COUNTIF(DATA!$D$2:$D$500,A51)=0,"CEK SKU tidak ada di DATA",IF(COUNT(C51:E51)&lt;3,"CEK dimensi belum lengkap",IF(OR(C51&lt;=0,D51&lt;=0,E51&lt;=0),"CEK dimensi harus lebih dari 0",IF(COUNTIF($A$2:$A$500,A51)&gt;1,"CEK SKU dobel","OK")))))</f>
        <v/>
      </c>
    </row>
    <row r="52">
      <c r="A52" s="10" t="n"/>
      <c r="B52" s="12">
        <f>IF(A52="","",IFERROR(INDEX(DATA!$E$2:$E$500,MATCH(A52,DATA!$D$2:$D$500,0)),""))</f>
        <v/>
      </c>
      <c r="C52" s="10" t="n"/>
      <c r="D52" s="10" t="n"/>
      <c r="E52" s="10" t="n"/>
      <c r="F52" s="10" t="n"/>
      <c r="G52" s="10" t="n"/>
      <c r="H52" s="10" t="n"/>
      <c r="I52" s="10" t="n"/>
      <c r="J52" s="12">
        <f>IF(OR(A52="",COUNT(C52:E52)&lt;3),"",IFERROR(MAX(0,FLOOR(($N$2-$N$3)/E52,1))*MAX(1,MIN(IF(G52="",1,G52),FLOOR($N$4/D52,1)))*IF(F52="",1,F52),""))</f>
        <v/>
      </c>
      <c r="K52" s="12">
        <f>IF(A52="","",IF(COUNTIF(DATA!$D$2:$D$500,A52)=0,"CEK SKU tidak ada di DATA",IF(COUNT(C52:E52)&lt;3,"CEK dimensi belum lengkap",IF(OR(C52&lt;=0,D52&lt;=0,E52&lt;=0),"CEK dimensi harus lebih dari 0",IF(COUNTIF($A$2:$A$500,A52)&gt;1,"CEK SKU dobel","OK")))))</f>
        <v/>
      </c>
    </row>
    <row r="53">
      <c r="A53" s="10" t="n"/>
      <c r="B53" s="12">
        <f>IF(A53="","",IFERROR(INDEX(DATA!$E$2:$E$500,MATCH(A53,DATA!$D$2:$D$500,0)),""))</f>
        <v/>
      </c>
      <c r="C53" s="10" t="n"/>
      <c r="D53" s="10" t="n"/>
      <c r="E53" s="10" t="n"/>
      <c r="F53" s="10" t="n"/>
      <c r="G53" s="10" t="n"/>
      <c r="H53" s="10" t="n"/>
      <c r="I53" s="10" t="n"/>
      <c r="J53" s="12">
        <f>IF(OR(A53="",COUNT(C53:E53)&lt;3),"",IFERROR(MAX(0,FLOOR(($N$2-$N$3)/E53,1))*MAX(1,MIN(IF(G53="",1,G53),FLOOR($N$4/D53,1)))*IF(F53="",1,F53),""))</f>
        <v/>
      </c>
      <c r="K53" s="12">
        <f>IF(A53="","",IF(COUNTIF(DATA!$D$2:$D$500,A53)=0,"CEK SKU tidak ada di DATA",IF(COUNT(C53:E53)&lt;3,"CEK dimensi belum lengkap",IF(OR(C53&lt;=0,D53&lt;=0,E53&lt;=0),"CEK dimensi harus lebih dari 0",IF(COUNTIF($A$2:$A$500,A53)&gt;1,"CEK SKU dobel","OK")))))</f>
        <v/>
      </c>
    </row>
    <row r="54">
      <c r="A54" s="10" t="n"/>
      <c r="B54" s="12">
        <f>IF(A54="","",IFERROR(INDEX(DATA!$E$2:$E$500,MATCH(A54,DATA!$D$2:$D$500,0)),""))</f>
        <v/>
      </c>
      <c r="C54" s="10" t="n"/>
      <c r="D54" s="10" t="n"/>
      <c r="E54" s="10" t="n"/>
      <c r="F54" s="10" t="n"/>
      <c r="G54" s="10" t="n"/>
      <c r="H54" s="10" t="n"/>
      <c r="I54" s="10" t="n"/>
      <c r="J54" s="12">
        <f>IF(OR(A54="",COUNT(C54:E54)&lt;3),"",IFERROR(MAX(0,FLOOR(($N$2-$N$3)/E54,1))*MAX(1,MIN(IF(G54="",1,G54),FLOOR($N$4/D54,1)))*IF(F54="",1,F54),""))</f>
        <v/>
      </c>
      <c r="K54" s="12">
        <f>IF(A54="","",IF(COUNTIF(DATA!$D$2:$D$500,A54)=0,"CEK SKU tidak ada di DATA",IF(COUNT(C54:E54)&lt;3,"CEK dimensi belum lengkap",IF(OR(C54&lt;=0,D54&lt;=0,E54&lt;=0),"CEK dimensi harus lebih dari 0",IF(COUNTIF($A$2:$A$500,A54)&gt;1,"CEK SKU dobel","OK")))))</f>
        <v/>
      </c>
    </row>
    <row r="55">
      <c r="A55" s="10" t="n"/>
      <c r="B55" s="12">
        <f>IF(A55="","",IFERROR(INDEX(DATA!$E$2:$E$500,MATCH(A55,DATA!$D$2:$D$500,0)),""))</f>
        <v/>
      </c>
      <c r="C55" s="10" t="n"/>
      <c r="D55" s="10" t="n"/>
      <c r="E55" s="10" t="n"/>
      <c r="F55" s="10" t="n"/>
      <c r="G55" s="10" t="n"/>
      <c r="H55" s="10" t="n"/>
      <c r="I55" s="10" t="n"/>
      <c r="J55" s="12">
        <f>IF(OR(A55="",COUNT(C55:E55)&lt;3),"",IFERROR(MAX(0,FLOOR(($N$2-$N$3)/E55,1))*MAX(1,MIN(IF(G55="",1,G55),FLOOR($N$4/D55,1)))*IF(F55="",1,F55),""))</f>
        <v/>
      </c>
      <c r="K55" s="12">
        <f>IF(A55="","",IF(COUNTIF(DATA!$D$2:$D$500,A55)=0,"CEK SKU tidak ada di DATA",IF(COUNT(C55:E55)&lt;3,"CEK dimensi belum lengkap",IF(OR(C55&lt;=0,D55&lt;=0,E55&lt;=0),"CEK dimensi harus lebih dari 0",IF(COUNTIF($A$2:$A$500,A55)&gt;1,"CEK SKU dobel","OK")))))</f>
        <v/>
      </c>
    </row>
    <row r="56">
      <c r="A56" s="10" t="n"/>
      <c r="B56" s="12">
        <f>IF(A56="","",IFERROR(INDEX(DATA!$E$2:$E$500,MATCH(A56,DATA!$D$2:$D$500,0)),""))</f>
        <v/>
      </c>
      <c r="C56" s="10" t="n"/>
      <c r="D56" s="10" t="n"/>
      <c r="E56" s="10" t="n"/>
      <c r="F56" s="10" t="n"/>
      <c r="G56" s="10" t="n"/>
      <c r="H56" s="10" t="n"/>
      <c r="I56" s="10" t="n"/>
      <c r="J56" s="12">
        <f>IF(OR(A56="",COUNT(C56:E56)&lt;3),"",IFERROR(MAX(0,FLOOR(($N$2-$N$3)/E56,1))*MAX(1,MIN(IF(G56="",1,G56),FLOOR($N$4/D56,1)))*IF(F56="",1,F56),""))</f>
        <v/>
      </c>
      <c r="K56" s="12">
        <f>IF(A56="","",IF(COUNTIF(DATA!$D$2:$D$500,A56)=0,"CEK SKU tidak ada di DATA",IF(COUNT(C56:E56)&lt;3,"CEK dimensi belum lengkap",IF(OR(C56&lt;=0,D56&lt;=0,E56&lt;=0),"CEK dimensi harus lebih dari 0",IF(COUNTIF($A$2:$A$500,A56)&gt;1,"CEK SKU dobel","OK")))))</f>
        <v/>
      </c>
    </row>
    <row r="57">
      <c r="A57" s="10" t="n"/>
      <c r="B57" s="12">
        <f>IF(A57="","",IFERROR(INDEX(DATA!$E$2:$E$500,MATCH(A57,DATA!$D$2:$D$500,0)),""))</f>
        <v/>
      </c>
      <c r="C57" s="10" t="n"/>
      <c r="D57" s="10" t="n"/>
      <c r="E57" s="10" t="n"/>
      <c r="F57" s="10" t="n"/>
      <c r="G57" s="10" t="n"/>
      <c r="H57" s="10" t="n"/>
      <c r="I57" s="10" t="n"/>
      <c r="J57" s="12">
        <f>IF(OR(A57="",COUNT(C57:E57)&lt;3),"",IFERROR(MAX(0,FLOOR(($N$2-$N$3)/E57,1))*MAX(1,MIN(IF(G57="",1,G57),FLOOR($N$4/D57,1)))*IF(F57="",1,F57),""))</f>
        <v/>
      </c>
      <c r="K57" s="12">
        <f>IF(A57="","",IF(COUNTIF(DATA!$D$2:$D$500,A57)=0,"CEK SKU tidak ada di DATA",IF(COUNT(C57:E57)&lt;3,"CEK dimensi belum lengkap",IF(OR(C57&lt;=0,D57&lt;=0,E57&lt;=0),"CEK dimensi harus lebih dari 0",IF(COUNTIF($A$2:$A$500,A57)&gt;1,"CEK SKU dobel","OK")))))</f>
        <v/>
      </c>
    </row>
    <row r="58">
      <c r="A58" s="10" t="n"/>
      <c r="B58" s="12">
        <f>IF(A58="","",IFERROR(INDEX(DATA!$E$2:$E$500,MATCH(A58,DATA!$D$2:$D$500,0)),""))</f>
        <v/>
      </c>
      <c r="C58" s="10" t="n"/>
      <c r="D58" s="10" t="n"/>
      <c r="E58" s="10" t="n"/>
      <c r="F58" s="10" t="n"/>
      <c r="G58" s="10" t="n"/>
      <c r="H58" s="10" t="n"/>
      <c r="I58" s="10" t="n"/>
      <c r="J58" s="12">
        <f>IF(OR(A58="",COUNT(C58:E58)&lt;3),"",IFERROR(MAX(0,FLOOR(($N$2-$N$3)/E58,1))*MAX(1,MIN(IF(G58="",1,G58),FLOOR($N$4/D58,1)))*IF(F58="",1,F58),""))</f>
        <v/>
      </c>
      <c r="K58" s="12">
        <f>IF(A58="","",IF(COUNTIF(DATA!$D$2:$D$500,A58)=0,"CEK SKU tidak ada di DATA",IF(COUNT(C58:E58)&lt;3,"CEK dimensi belum lengkap",IF(OR(C58&lt;=0,D58&lt;=0,E58&lt;=0),"CEK dimensi harus lebih dari 0",IF(COUNTIF($A$2:$A$500,A58)&gt;1,"CEK SKU dobel","OK")))))</f>
        <v/>
      </c>
    </row>
    <row r="59">
      <c r="A59" s="10" t="n"/>
      <c r="B59" s="12">
        <f>IF(A59="","",IFERROR(INDEX(DATA!$E$2:$E$500,MATCH(A59,DATA!$D$2:$D$500,0)),""))</f>
        <v/>
      </c>
      <c r="C59" s="10" t="n"/>
      <c r="D59" s="10" t="n"/>
      <c r="E59" s="10" t="n"/>
      <c r="F59" s="10" t="n"/>
      <c r="G59" s="10" t="n"/>
      <c r="H59" s="10" t="n"/>
      <c r="I59" s="10" t="n"/>
      <c r="J59" s="12">
        <f>IF(OR(A59="",COUNT(C59:E59)&lt;3),"",IFERROR(MAX(0,FLOOR(($N$2-$N$3)/E59,1))*MAX(1,MIN(IF(G59="",1,G59),FLOOR($N$4/D59,1)))*IF(F59="",1,F59),""))</f>
        <v/>
      </c>
      <c r="K59" s="12">
        <f>IF(A59="","",IF(COUNTIF(DATA!$D$2:$D$500,A59)=0,"CEK SKU tidak ada di DATA",IF(COUNT(C59:E59)&lt;3,"CEK dimensi belum lengkap",IF(OR(C59&lt;=0,D59&lt;=0,E59&lt;=0),"CEK dimensi harus lebih dari 0",IF(COUNTIF($A$2:$A$500,A59)&gt;1,"CEK SKU dobel","OK")))))</f>
        <v/>
      </c>
    </row>
    <row r="60">
      <c r="A60" s="10" t="n"/>
      <c r="B60" s="12">
        <f>IF(A60="","",IFERROR(INDEX(DATA!$E$2:$E$500,MATCH(A60,DATA!$D$2:$D$500,0)),""))</f>
        <v/>
      </c>
      <c r="C60" s="10" t="n"/>
      <c r="D60" s="10" t="n"/>
      <c r="E60" s="10" t="n"/>
      <c r="F60" s="10" t="n"/>
      <c r="G60" s="10" t="n"/>
      <c r="H60" s="10" t="n"/>
      <c r="I60" s="10" t="n"/>
      <c r="J60" s="12">
        <f>IF(OR(A60="",COUNT(C60:E60)&lt;3),"",IFERROR(MAX(0,FLOOR(($N$2-$N$3)/E60,1))*MAX(1,MIN(IF(G60="",1,G60),FLOOR($N$4/D60,1)))*IF(F60="",1,F60),""))</f>
        <v/>
      </c>
      <c r="K60" s="12">
        <f>IF(A60="","",IF(COUNTIF(DATA!$D$2:$D$500,A60)=0,"CEK SKU tidak ada di DATA",IF(COUNT(C60:E60)&lt;3,"CEK dimensi belum lengkap",IF(OR(C60&lt;=0,D60&lt;=0,E60&lt;=0),"CEK dimensi harus lebih dari 0",IF(COUNTIF($A$2:$A$500,A60)&gt;1,"CEK SKU dobel","OK")))))</f>
        <v/>
      </c>
    </row>
    <row r="61">
      <c r="A61" s="10" t="n"/>
      <c r="B61" s="12">
        <f>IF(A61="","",IFERROR(INDEX(DATA!$E$2:$E$500,MATCH(A61,DATA!$D$2:$D$500,0)),""))</f>
        <v/>
      </c>
      <c r="C61" s="10" t="n"/>
      <c r="D61" s="10" t="n"/>
      <c r="E61" s="10" t="n"/>
      <c r="F61" s="10" t="n"/>
      <c r="G61" s="10" t="n"/>
      <c r="H61" s="10" t="n"/>
      <c r="I61" s="10" t="n"/>
      <c r="J61" s="12">
        <f>IF(OR(A61="",COUNT(C61:E61)&lt;3),"",IFERROR(MAX(0,FLOOR(($N$2-$N$3)/E61,1))*MAX(1,MIN(IF(G61="",1,G61),FLOOR($N$4/D61,1)))*IF(F61="",1,F61),""))</f>
        <v/>
      </c>
      <c r="K61" s="12">
        <f>IF(A61="","",IF(COUNTIF(DATA!$D$2:$D$500,A61)=0,"CEK SKU tidak ada di DATA",IF(COUNT(C61:E61)&lt;3,"CEK dimensi belum lengkap",IF(OR(C61&lt;=0,D61&lt;=0,E61&lt;=0),"CEK dimensi harus lebih dari 0",IF(COUNTIF($A$2:$A$500,A61)&gt;1,"CEK SKU dobel","OK")))))</f>
        <v/>
      </c>
    </row>
    <row r="62">
      <c r="A62" s="10" t="n"/>
      <c r="B62" s="12">
        <f>IF(A62="","",IFERROR(INDEX(DATA!$E$2:$E$500,MATCH(A62,DATA!$D$2:$D$500,0)),""))</f>
        <v/>
      </c>
      <c r="C62" s="10" t="n"/>
      <c r="D62" s="10" t="n"/>
      <c r="E62" s="10" t="n"/>
      <c r="F62" s="10" t="n"/>
      <c r="G62" s="10" t="n"/>
      <c r="H62" s="10" t="n"/>
      <c r="I62" s="10" t="n"/>
      <c r="J62" s="12">
        <f>IF(OR(A62="",COUNT(C62:E62)&lt;3),"",IFERROR(MAX(0,FLOOR(($N$2-$N$3)/E62,1))*MAX(1,MIN(IF(G62="",1,G62),FLOOR($N$4/D62,1)))*IF(F62="",1,F62),""))</f>
        <v/>
      </c>
      <c r="K62" s="12">
        <f>IF(A62="","",IF(COUNTIF(DATA!$D$2:$D$500,A62)=0,"CEK SKU tidak ada di DATA",IF(COUNT(C62:E62)&lt;3,"CEK dimensi belum lengkap",IF(OR(C62&lt;=0,D62&lt;=0,E62&lt;=0),"CEK dimensi harus lebih dari 0",IF(COUNTIF($A$2:$A$500,A62)&gt;1,"CEK SKU dobel","OK")))))</f>
        <v/>
      </c>
    </row>
    <row r="63">
      <c r="A63" s="10" t="n"/>
      <c r="B63" s="12">
        <f>IF(A63="","",IFERROR(INDEX(DATA!$E$2:$E$500,MATCH(A63,DATA!$D$2:$D$500,0)),""))</f>
        <v/>
      </c>
      <c r="C63" s="10" t="n"/>
      <c r="D63" s="10" t="n"/>
      <c r="E63" s="10" t="n"/>
      <c r="F63" s="10" t="n"/>
      <c r="G63" s="10" t="n"/>
      <c r="H63" s="10" t="n"/>
      <c r="I63" s="10" t="n"/>
      <c r="J63" s="12">
        <f>IF(OR(A63="",COUNT(C63:E63)&lt;3),"",IFERROR(MAX(0,FLOOR(($N$2-$N$3)/E63,1))*MAX(1,MIN(IF(G63="",1,G63),FLOOR($N$4/D63,1)))*IF(F63="",1,F63),""))</f>
        <v/>
      </c>
      <c r="K63" s="12">
        <f>IF(A63="","",IF(COUNTIF(DATA!$D$2:$D$500,A63)=0,"CEK SKU tidak ada di DATA",IF(COUNT(C63:E63)&lt;3,"CEK dimensi belum lengkap",IF(OR(C63&lt;=0,D63&lt;=0,E63&lt;=0),"CEK dimensi harus lebih dari 0",IF(COUNTIF($A$2:$A$500,A63)&gt;1,"CEK SKU dobel","OK")))))</f>
        <v/>
      </c>
    </row>
    <row r="64">
      <c r="A64" s="10" t="n"/>
      <c r="B64" s="12">
        <f>IF(A64="","",IFERROR(INDEX(DATA!$E$2:$E$500,MATCH(A64,DATA!$D$2:$D$500,0)),""))</f>
        <v/>
      </c>
      <c r="C64" s="10" t="n"/>
      <c r="D64" s="10" t="n"/>
      <c r="E64" s="10" t="n"/>
      <c r="F64" s="10" t="n"/>
      <c r="G64" s="10" t="n"/>
      <c r="H64" s="10" t="n"/>
      <c r="I64" s="10" t="n"/>
      <c r="J64" s="12">
        <f>IF(OR(A64="",COUNT(C64:E64)&lt;3),"",IFERROR(MAX(0,FLOOR(($N$2-$N$3)/E64,1))*MAX(1,MIN(IF(G64="",1,G64),FLOOR($N$4/D64,1)))*IF(F64="",1,F64),""))</f>
        <v/>
      </c>
      <c r="K64" s="12">
        <f>IF(A64="","",IF(COUNTIF(DATA!$D$2:$D$500,A64)=0,"CEK SKU tidak ada di DATA",IF(COUNT(C64:E64)&lt;3,"CEK dimensi belum lengkap",IF(OR(C64&lt;=0,D64&lt;=0,E64&lt;=0),"CEK dimensi harus lebih dari 0",IF(COUNTIF($A$2:$A$500,A64)&gt;1,"CEK SKU dobel","OK")))))</f>
        <v/>
      </c>
    </row>
    <row r="65">
      <c r="A65" s="10" t="n"/>
      <c r="B65" s="12">
        <f>IF(A65="","",IFERROR(INDEX(DATA!$E$2:$E$500,MATCH(A65,DATA!$D$2:$D$500,0)),""))</f>
        <v/>
      </c>
      <c r="C65" s="10" t="n"/>
      <c r="D65" s="10" t="n"/>
      <c r="E65" s="10" t="n"/>
      <c r="F65" s="10" t="n"/>
      <c r="G65" s="10" t="n"/>
      <c r="H65" s="10" t="n"/>
      <c r="I65" s="10" t="n"/>
      <c r="J65" s="12">
        <f>IF(OR(A65="",COUNT(C65:E65)&lt;3),"",IFERROR(MAX(0,FLOOR(($N$2-$N$3)/E65,1))*MAX(1,MIN(IF(G65="",1,G65),FLOOR($N$4/D65,1)))*IF(F65="",1,F65),""))</f>
        <v/>
      </c>
      <c r="K65" s="12">
        <f>IF(A65="","",IF(COUNTIF(DATA!$D$2:$D$500,A65)=0,"CEK SKU tidak ada di DATA",IF(COUNT(C65:E65)&lt;3,"CEK dimensi belum lengkap",IF(OR(C65&lt;=0,D65&lt;=0,E65&lt;=0),"CEK dimensi harus lebih dari 0",IF(COUNTIF($A$2:$A$500,A65)&gt;1,"CEK SKU dobel","OK")))))</f>
        <v/>
      </c>
    </row>
    <row r="66">
      <c r="A66" s="10" t="n"/>
      <c r="B66" s="12">
        <f>IF(A66="","",IFERROR(INDEX(DATA!$E$2:$E$500,MATCH(A66,DATA!$D$2:$D$500,0)),""))</f>
        <v/>
      </c>
      <c r="C66" s="10" t="n"/>
      <c r="D66" s="10" t="n"/>
      <c r="E66" s="10" t="n"/>
      <c r="F66" s="10" t="n"/>
      <c r="G66" s="10" t="n"/>
      <c r="H66" s="10" t="n"/>
      <c r="I66" s="10" t="n"/>
      <c r="J66" s="12">
        <f>IF(OR(A66="",COUNT(C66:E66)&lt;3),"",IFERROR(MAX(0,FLOOR(($N$2-$N$3)/E66,1))*MAX(1,MIN(IF(G66="",1,G66),FLOOR($N$4/D66,1)))*IF(F66="",1,F66),""))</f>
        <v/>
      </c>
      <c r="K66" s="12">
        <f>IF(A66="","",IF(COUNTIF(DATA!$D$2:$D$500,A66)=0,"CEK SKU tidak ada di DATA",IF(COUNT(C66:E66)&lt;3,"CEK dimensi belum lengkap",IF(OR(C66&lt;=0,D66&lt;=0,E66&lt;=0),"CEK dimensi harus lebih dari 0",IF(COUNTIF($A$2:$A$500,A66)&gt;1,"CEK SKU dobel","OK")))))</f>
        <v/>
      </c>
    </row>
    <row r="67">
      <c r="A67" s="10" t="n"/>
      <c r="B67" s="12">
        <f>IF(A67="","",IFERROR(INDEX(DATA!$E$2:$E$500,MATCH(A67,DATA!$D$2:$D$500,0)),""))</f>
        <v/>
      </c>
      <c r="C67" s="10" t="n"/>
      <c r="D67" s="10" t="n"/>
      <c r="E67" s="10" t="n"/>
      <c r="F67" s="10" t="n"/>
      <c r="G67" s="10" t="n"/>
      <c r="H67" s="10" t="n"/>
      <c r="I67" s="10" t="n"/>
      <c r="J67" s="12">
        <f>IF(OR(A67="",COUNT(C67:E67)&lt;3),"",IFERROR(MAX(0,FLOOR(($N$2-$N$3)/E67,1))*MAX(1,MIN(IF(G67="",1,G67),FLOOR($N$4/D67,1)))*IF(F67="",1,F67),""))</f>
        <v/>
      </c>
      <c r="K67" s="12">
        <f>IF(A67="","",IF(COUNTIF(DATA!$D$2:$D$500,A67)=0,"CEK SKU tidak ada di DATA",IF(COUNT(C67:E67)&lt;3,"CEK dimensi belum lengkap",IF(OR(C67&lt;=0,D67&lt;=0,E67&lt;=0),"CEK dimensi harus lebih dari 0",IF(COUNTIF($A$2:$A$500,A67)&gt;1,"CEK SKU dobel","OK")))))</f>
        <v/>
      </c>
    </row>
    <row r="68">
      <c r="A68" s="10" t="n"/>
      <c r="B68" s="12">
        <f>IF(A68="","",IFERROR(INDEX(DATA!$E$2:$E$500,MATCH(A68,DATA!$D$2:$D$500,0)),""))</f>
        <v/>
      </c>
      <c r="C68" s="10" t="n"/>
      <c r="D68" s="10" t="n"/>
      <c r="E68" s="10" t="n"/>
      <c r="F68" s="10" t="n"/>
      <c r="G68" s="10" t="n"/>
      <c r="H68" s="10" t="n"/>
      <c r="I68" s="10" t="n"/>
      <c r="J68" s="12">
        <f>IF(OR(A68="",COUNT(C68:E68)&lt;3),"",IFERROR(MAX(0,FLOOR(($N$2-$N$3)/E68,1))*MAX(1,MIN(IF(G68="",1,G68),FLOOR($N$4/D68,1)))*IF(F68="",1,F68),""))</f>
        <v/>
      </c>
      <c r="K68" s="12">
        <f>IF(A68="","",IF(COUNTIF(DATA!$D$2:$D$500,A68)=0,"CEK SKU tidak ada di DATA",IF(COUNT(C68:E68)&lt;3,"CEK dimensi belum lengkap",IF(OR(C68&lt;=0,D68&lt;=0,E68&lt;=0),"CEK dimensi harus lebih dari 0",IF(COUNTIF($A$2:$A$500,A68)&gt;1,"CEK SKU dobel","OK")))))</f>
        <v/>
      </c>
    </row>
    <row r="69">
      <c r="A69" s="10" t="n"/>
      <c r="B69" s="12">
        <f>IF(A69="","",IFERROR(INDEX(DATA!$E$2:$E$500,MATCH(A69,DATA!$D$2:$D$500,0)),""))</f>
        <v/>
      </c>
      <c r="C69" s="10" t="n"/>
      <c r="D69" s="10" t="n"/>
      <c r="E69" s="10" t="n"/>
      <c r="F69" s="10" t="n"/>
      <c r="G69" s="10" t="n"/>
      <c r="H69" s="10" t="n"/>
      <c r="I69" s="10" t="n"/>
      <c r="J69" s="12">
        <f>IF(OR(A69="",COUNT(C69:E69)&lt;3),"",IFERROR(MAX(0,FLOOR(($N$2-$N$3)/E69,1))*MAX(1,MIN(IF(G69="",1,G69),FLOOR($N$4/D69,1)))*IF(F69="",1,F69),""))</f>
        <v/>
      </c>
      <c r="K69" s="12">
        <f>IF(A69="","",IF(COUNTIF(DATA!$D$2:$D$500,A69)=0,"CEK SKU tidak ada di DATA",IF(COUNT(C69:E69)&lt;3,"CEK dimensi belum lengkap",IF(OR(C69&lt;=0,D69&lt;=0,E69&lt;=0),"CEK dimensi harus lebih dari 0",IF(COUNTIF($A$2:$A$500,A69)&gt;1,"CEK SKU dobel","OK")))))</f>
        <v/>
      </c>
    </row>
    <row r="70">
      <c r="A70" s="10" t="n"/>
      <c r="B70" s="12">
        <f>IF(A70="","",IFERROR(INDEX(DATA!$E$2:$E$500,MATCH(A70,DATA!$D$2:$D$500,0)),""))</f>
        <v/>
      </c>
      <c r="C70" s="10" t="n"/>
      <c r="D70" s="10" t="n"/>
      <c r="E70" s="10" t="n"/>
      <c r="F70" s="10" t="n"/>
      <c r="G70" s="10" t="n"/>
      <c r="H70" s="10" t="n"/>
      <c r="I70" s="10" t="n"/>
      <c r="J70" s="12">
        <f>IF(OR(A70="",COUNT(C70:E70)&lt;3),"",IFERROR(MAX(0,FLOOR(($N$2-$N$3)/E70,1))*MAX(1,MIN(IF(G70="",1,G70),FLOOR($N$4/D70,1)))*IF(F70="",1,F70),""))</f>
        <v/>
      </c>
      <c r="K70" s="12">
        <f>IF(A70="","",IF(COUNTIF(DATA!$D$2:$D$500,A70)=0,"CEK SKU tidak ada di DATA",IF(COUNT(C70:E70)&lt;3,"CEK dimensi belum lengkap",IF(OR(C70&lt;=0,D70&lt;=0,E70&lt;=0),"CEK dimensi harus lebih dari 0",IF(COUNTIF($A$2:$A$500,A70)&gt;1,"CEK SKU dobel","OK")))))</f>
        <v/>
      </c>
    </row>
    <row r="71">
      <c r="A71" s="10" t="n"/>
      <c r="B71" s="12">
        <f>IF(A71="","",IFERROR(INDEX(DATA!$E$2:$E$500,MATCH(A71,DATA!$D$2:$D$500,0)),""))</f>
        <v/>
      </c>
      <c r="C71" s="10" t="n"/>
      <c r="D71" s="10" t="n"/>
      <c r="E71" s="10" t="n"/>
      <c r="F71" s="10" t="n"/>
      <c r="G71" s="10" t="n"/>
      <c r="H71" s="10" t="n"/>
      <c r="I71" s="10" t="n"/>
      <c r="J71" s="12">
        <f>IF(OR(A71="",COUNT(C71:E71)&lt;3),"",IFERROR(MAX(0,FLOOR(($N$2-$N$3)/E71,1))*MAX(1,MIN(IF(G71="",1,G71),FLOOR($N$4/D71,1)))*IF(F71="",1,F71),""))</f>
        <v/>
      </c>
      <c r="K71" s="12">
        <f>IF(A71="","",IF(COUNTIF(DATA!$D$2:$D$500,A71)=0,"CEK SKU tidak ada di DATA",IF(COUNT(C71:E71)&lt;3,"CEK dimensi belum lengkap",IF(OR(C71&lt;=0,D71&lt;=0,E71&lt;=0),"CEK dimensi harus lebih dari 0",IF(COUNTIF($A$2:$A$500,A71)&gt;1,"CEK SKU dobel","OK")))))</f>
        <v/>
      </c>
    </row>
    <row r="72">
      <c r="A72" s="10" t="n"/>
      <c r="B72" s="12">
        <f>IF(A72="","",IFERROR(INDEX(DATA!$E$2:$E$500,MATCH(A72,DATA!$D$2:$D$500,0)),""))</f>
        <v/>
      </c>
      <c r="C72" s="10" t="n"/>
      <c r="D72" s="10" t="n"/>
      <c r="E72" s="10" t="n"/>
      <c r="F72" s="10" t="n"/>
      <c r="G72" s="10" t="n"/>
      <c r="H72" s="10" t="n"/>
      <c r="I72" s="10" t="n"/>
      <c r="J72" s="12">
        <f>IF(OR(A72="",COUNT(C72:E72)&lt;3),"",IFERROR(MAX(0,FLOOR(($N$2-$N$3)/E72,1))*MAX(1,MIN(IF(G72="",1,G72),FLOOR($N$4/D72,1)))*IF(F72="",1,F72),""))</f>
        <v/>
      </c>
      <c r="K72" s="12">
        <f>IF(A72="","",IF(COUNTIF(DATA!$D$2:$D$500,A72)=0,"CEK SKU tidak ada di DATA",IF(COUNT(C72:E72)&lt;3,"CEK dimensi belum lengkap",IF(OR(C72&lt;=0,D72&lt;=0,E72&lt;=0),"CEK dimensi harus lebih dari 0",IF(COUNTIF($A$2:$A$500,A72)&gt;1,"CEK SKU dobel","OK")))))</f>
        <v/>
      </c>
    </row>
    <row r="73">
      <c r="A73" s="10" t="n"/>
      <c r="B73" s="12">
        <f>IF(A73="","",IFERROR(INDEX(DATA!$E$2:$E$500,MATCH(A73,DATA!$D$2:$D$500,0)),""))</f>
        <v/>
      </c>
      <c r="C73" s="10" t="n"/>
      <c r="D73" s="10" t="n"/>
      <c r="E73" s="10" t="n"/>
      <c r="F73" s="10" t="n"/>
      <c r="G73" s="10" t="n"/>
      <c r="H73" s="10" t="n"/>
      <c r="I73" s="10" t="n"/>
      <c r="J73" s="12">
        <f>IF(OR(A73="",COUNT(C73:E73)&lt;3),"",IFERROR(MAX(0,FLOOR(($N$2-$N$3)/E73,1))*MAX(1,MIN(IF(G73="",1,G73),FLOOR($N$4/D73,1)))*IF(F73="",1,F73),""))</f>
        <v/>
      </c>
      <c r="K73" s="12">
        <f>IF(A73="","",IF(COUNTIF(DATA!$D$2:$D$500,A73)=0,"CEK SKU tidak ada di DATA",IF(COUNT(C73:E73)&lt;3,"CEK dimensi belum lengkap",IF(OR(C73&lt;=0,D73&lt;=0,E73&lt;=0),"CEK dimensi harus lebih dari 0",IF(COUNTIF($A$2:$A$500,A73)&gt;1,"CEK SKU dobel","OK")))))</f>
        <v/>
      </c>
    </row>
    <row r="74">
      <c r="A74" s="10" t="n"/>
      <c r="B74" s="12">
        <f>IF(A74="","",IFERROR(INDEX(DATA!$E$2:$E$500,MATCH(A74,DATA!$D$2:$D$500,0)),""))</f>
        <v/>
      </c>
      <c r="C74" s="10" t="n"/>
      <c r="D74" s="10" t="n"/>
      <c r="E74" s="10" t="n"/>
      <c r="F74" s="10" t="n"/>
      <c r="G74" s="10" t="n"/>
      <c r="H74" s="10" t="n"/>
      <c r="I74" s="10" t="n"/>
      <c r="J74" s="12">
        <f>IF(OR(A74="",COUNT(C74:E74)&lt;3),"",IFERROR(MAX(0,FLOOR(($N$2-$N$3)/E74,1))*MAX(1,MIN(IF(G74="",1,G74),FLOOR($N$4/D74,1)))*IF(F74="",1,F74),""))</f>
        <v/>
      </c>
      <c r="K74" s="12">
        <f>IF(A74="","",IF(COUNTIF(DATA!$D$2:$D$500,A74)=0,"CEK SKU tidak ada di DATA",IF(COUNT(C74:E74)&lt;3,"CEK dimensi belum lengkap",IF(OR(C74&lt;=0,D74&lt;=0,E74&lt;=0),"CEK dimensi harus lebih dari 0",IF(COUNTIF($A$2:$A$500,A74)&gt;1,"CEK SKU dobel","OK")))))</f>
        <v/>
      </c>
    </row>
    <row r="75">
      <c r="A75" s="10" t="n"/>
      <c r="B75" s="12">
        <f>IF(A75="","",IFERROR(INDEX(DATA!$E$2:$E$500,MATCH(A75,DATA!$D$2:$D$500,0)),""))</f>
        <v/>
      </c>
      <c r="C75" s="10" t="n"/>
      <c r="D75" s="10" t="n"/>
      <c r="E75" s="10" t="n"/>
      <c r="F75" s="10" t="n"/>
      <c r="G75" s="10" t="n"/>
      <c r="H75" s="10" t="n"/>
      <c r="I75" s="10" t="n"/>
      <c r="J75" s="12">
        <f>IF(OR(A75="",COUNT(C75:E75)&lt;3),"",IFERROR(MAX(0,FLOOR(($N$2-$N$3)/E75,1))*MAX(1,MIN(IF(G75="",1,G75),FLOOR($N$4/D75,1)))*IF(F75="",1,F75),""))</f>
        <v/>
      </c>
      <c r="K75" s="12">
        <f>IF(A75="","",IF(COUNTIF(DATA!$D$2:$D$500,A75)=0,"CEK SKU tidak ada di DATA",IF(COUNT(C75:E75)&lt;3,"CEK dimensi belum lengkap",IF(OR(C75&lt;=0,D75&lt;=0,E75&lt;=0),"CEK dimensi harus lebih dari 0",IF(COUNTIF($A$2:$A$500,A75)&gt;1,"CEK SKU dobel","OK")))))</f>
        <v/>
      </c>
    </row>
    <row r="76">
      <c r="A76" s="10" t="n"/>
      <c r="B76" s="12">
        <f>IF(A76="","",IFERROR(INDEX(DATA!$E$2:$E$500,MATCH(A76,DATA!$D$2:$D$500,0)),""))</f>
        <v/>
      </c>
      <c r="C76" s="10" t="n"/>
      <c r="D76" s="10" t="n"/>
      <c r="E76" s="10" t="n"/>
      <c r="F76" s="10" t="n"/>
      <c r="G76" s="10" t="n"/>
      <c r="H76" s="10" t="n"/>
      <c r="I76" s="10" t="n"/>
      <c r="J76" s="12">
        <f>IF(OR(A76="",COUNT(C76:E76)&lt;3),"",IFERROR(MAX(0,FLOOR(($N$2-$N$3)/E76,1))*MAX(1,MIN(IF(G76="",1,G76),FLOOR($N$4/D76,1)))*IF(F76="",1,F76),""))</f>
        <v/>
      </c>
      <c r="K76" s="12">
        <f>IF(A76="","",IF(COUNTIF(DATA!$D$2:$D$500,A76)=0,"CEK SKU tidak ada di DATA",IF(COUNT(C76:E76)&lt;3,"CEK dimensi belum lengkap",IF(OR(C76&lt;=0,D76&lt;=0,E76&lt;=0),"CEK dimensi harus lebih dari 0",IF(COUNTIF($A$2:$A$500,A76)&gt;1,"CEK SKU dobel","OK")))))</f>
        <v/>
      </c>
    </row>
    <row r="77">
      <c r="A77" s="10" t="n"/>
      <c r="B77" s="12">
        <f>IF(A77="","",IFERROR(INDEX(DATA!$E$2:$E$500,MATCH(A77,DATA!$D$2:$D$500,0)),""))</f>
        <v/>
      </c>
      <c r="C77" s="10" t="n"/>
      <c r="D77" s="10" t="n"/>
      <c r="E77" s="10" t="n"/>
      <c r="F77" s="10" t="n"/>
      <c r="G77" s="10" t="n"/>
      <c r="H77" s="10" t="n"/>
      <c r="I77" s="10" t="n"/>
      <c r="J77" s="12">
        <f>IF(OR(A77="",COUNT(C77:E77)&lt;3),"",IFERROR(MAX(0,FLOOR(($N$2-$N$3)/E77,1))*MAX(1,MIN(IF(G77="",1,G77),FLOOR($N$4/D77,1)))*IF(F77="",1,F77),""))</f>
        <v/>
      </c>
      <c r="K77" s="12">
        <f>IF(A77="","",IF(COUNTIF(DATA!$D$2:$D$500,A77)=0,"CEK SKU tidak ada di DATA",IF(COUNT(C77:E77)&lt;3,"CEK dimensi belum lengkap",IF(OR(C77&lt;=0,D77&lt;=0,E77&lt;=0),"CEK dimensi harus lebih dari 0",IF(COUNTIF($A$2:$A$500,A77)&gt;1,"CEK SKU dobel","OK")))))</f>
        <v/>
      </c>
    </row>
    <row r="78">
      <c r="A78" s="10" t="n"/>
      <c r="B78" s="12">
        <f>IF(A78="","",IFERROR(INDEX(DATA!$E$2:$E$500,MATCH(A78,DATA!$D$2:$D$500,0)),""))</f>
        <v/>
      </c>
      <c r="C78" s="10" t="n"/>
      <c r="D78" s="10" t="n"/>
      <c r="E78" s="10" t="n"/>
      <c r="F78" s="10" t="n"/>
      <c r="G78" s="10" t="n"/>
      <c r="H78" s="10" t="n"/>
      <c r="I78" s="10" t="n"/>
      <c r="J78" s="12">
        <f>IF(OR(A78="",COUNT(C78:E78)&lt;3),"",IFERROR(MAX(0,FLOOR(($N$2-$N$3)/E78,1))*MAX(1,MIN(IF(G78="",1,G78),FLOOR($N$4/D78,1)))*IF(F78="",1,F78),""))</f>
        <v/>
      </c>
      <c r="K78" s="12">
        <f>IF(A78="","",IF(COUNTIF(DATA!$D$2:$D$500,A78)=0,"CEK SKU tidak ada di DATA",IF(COUNT(C78:E78)&lt;3,"CEK dimensi belum lengkap",IF(OR(C78&lt;=0,D78&lt;=0,E78&lt;=0),"CEK dimensi harus lebih dari 0",IF(COUNTIF($A$2:$A$500,A78)&gt;1,"CEK SKU dobel","OK")))))</f>
        <v/>
      </c>
    </row>
    <row r="79">
      <c r="A79" s="10" t="n"/>
      <c r="B79" s="12">
        <f>IF(A79="","",IFERROR(INDEX(DATA!$E$2:$E$500,MATCH(A79,DATA!$D$2:$D$500,0)),""))</f>
        <v/>
      </c>
      <c r="C79" s="10" t="n"/>
      <c r="D79" s="10" t="n"/>
      <c r="E79" s="10" t="n"/>
      <c r="F79" s="10" t="n"/>
      <c r="G79" s="10" t="n"/>
      <c r="H79" s="10" t="n"/>
      <c r="I79" s="10" t="n"/>
      <c r="J79" s="12">
        <f>IF(OR(A79="",COUNT(C79:E79)&lt;3),"",IFERROR(MAX(0,FLOOR(($N$2-$N$3)/E79,1))*MAX(1,MIN(IF(G79="",1,G79),FLOOR($N$4/D79,1)))*IF(F79="",1,F79),""))</f>
        <v/>
      </c>
      <c r="K79" s="12">
        <f>IF(A79="","",IF(COUNTIF(DATA!$D$2:$D$500,A79)=0,"CEK SKU tidak ada di DATA",IF(COUNT(C79:E79)&lt;3,"CEK dimensi belum lengkap",IF(OR(C79&lt;=0,D79&lt;=0,E79&lt;=0),"CEK dimensi harus lebih dari 0",IF(COUNTIF($A$2:$A$500,A79)&gt;1,"CEK SKU dobel","OK")))))</f>
        <v/>
      </c>
    </row>
    <row r="80">
      <c r="A80" s="10" t="n"/>
      <c r="B80" s="12">
        <f>IF(A80="","",IFERROR(INDEX(DATA!$E$2:$E$500,MATCH(A80,DATA!$D$2:$D$500,0)),""))</f>
        <v/>
      </c>
      <c r="C80" s="10" t="n"/>
      <c r="D80" s="10" t="n"/>
      <c r="E80" s="10" t="n"/>
      <c r="F80" s="10" t="n"/>
      <c r="G80" s="10" t="n"/>
      <c r="H80" s="10" t="n"/>
      <c r="I80" s="10" t="n"/>
      <c r="J80" s="12">
        <f>IF(OR(A80="",COUNT(C80:E80)&lt;3),"",IFERROR(MAX(0,FLOOR(($N$2-$N$3)/E80,1))*MAX(1,MIN(IF(G80="",1,G80),FLOOR($N$4/D80,1)))*IF(F80="",1,F80),""))</f>
        <v/>
      </c>
      <c r="K80" s="12">
        <f>IF(A80="","",IF(COUNTIF(DATA!$D$2:$D$500,A80)=0,"CEK SKU tidak ada di DATA",IF(COUNT(C80:E80)&lt;3,"CEK dimensi belum lengkap",IF(OR(C80&lt;=0,D80&lt;=0,E80&lt;=0),"CEK dimensi harus lebih dari 0",IF(COUNTIF($A$2:$A$500,A80)&gt;1,"CEK SKU dobel","OK")))))</f>
        <v/>
      </c>
    </row>
    <row r="81">
      <c r="A81" s="10" t="n"/>
      <c r="B81" s="12">
        <f>IF(A81="","",IFERROR(INDEX(DATA!$E$2:$E$500,MATCH(A81,DATA!$D$2:$D$500,0)),""))</f>
        <v/>
      </c>
      <c r="C81" s="10" t="n"/>
      <c r="D81" s="10" t="n"/>
      <c r="E81" s="10" t="n"/>
      <c r="F81" s="10" t="n"/>
      <c r="G81" s="10" t="n"/>
      <c r="H81" s="10" t="n"/>
      <c r="I81" s="10" t="n"/>
      <c r="J81" s="12">
        <f>IF(OR(A81="",COUNT(C81:E81)&lt;3),"",IFERROR(MAX(0,FLOOR(($N$2-$N$3)/E81,1))*MAX(1,MIN(IF(G81="",1,G81),FLOOR($N$4/D81,1)))*IF(F81="",1,F81),""))</f>
        <v/>
      </c>
      <c r="K81" s="12">
        <f>IF(A81="","",IF(COUNTIF(DATA!$D$2:$D$500,A81)=0,"CEK SKU tidak ada di DATA",IF(COUNT(C81:E81)&lt;3,"CEK dimensi belum lengkap",IF(OR(C81&lt;=0,D81&lt;=0,E81&lt;=0),"CEK dimensi harus lebih dari 0",IF(COUNTIF($A$2:$A$500,A81)&gt;1,"CEK SKU dobel","OK")))))</f>
        <v/>
      </c>
    </row>
    <row r="82">
      <c r="A82" s="10" t="n"/>
      <c r="B82" s="12">
        <f>IF(A82="","",IFERROR(INDEX(DATA!$E$2:$E$500,MATCH(A82,DATA!$D$2:$D$500,0)),""))</f>
        <v/>
      </c>
      <c r="C82" s="10" t="n"/>
      <c r="D82" s="10" t="n"/>
      <c r="E82" s="10" t="n"/>
      <c r="F82" s="10" t="n"/>
      <c r="G82" s="10" t="n"/>
      <c r="H82" s="10" t="n"/>
      <c r="I82" s="10" t="n"/>
      <c r="J82" s="12">
        <f>IF(OR(A82="",COUNT(C82:E82)&lt;3),"",IFERROR(MAX(0,FLOOR(($N$2-$N$3)/E82,1))*MAX(1,MIN(IF(G82="",1,G82),FLOOR($N$4/D82,1)))*IF(F82="",1,F82),""))</f>
        <v/>
      </c>
      <c r="K82" s="12">
        <f>IF(A82="","",IF(COUNTIF(DATA!$D$2:$D$500,A82)=0,"CEK SKU tidak ada di DATA",IF(COUNT(C82:E82)&lt;3,"CEK dimensi belum lengkap",IF(OR(C82&lt;=0,D82&lt;=0,E82&lt;=0),"CEK dimensi harus lebih dari 0",IF(COUNTIF($A$2:$A$500,A82)&gt;1,"CEK SKU dobel","OK")))))</f>
        <v/>
      </c>
    </row>
    <row r="83">
      <c r="A83" s="10" t="n"/>
      <c r="B83" s="12">
        <f>IF(A83="","",IFERROR(INDEX(DATA!$E$2:$E$500,MATCH(A83,DATA!$D$2:$D$500,0)),""))</f>
        <v/>
      </c>
      <c r="C83" s="10" t="n"/>
      <c r="D83" s="10" t="n"/>
      <c r="E83" s="10" t="n"/>
      <c r="F83" s="10" t="n"/>
      <c r="G83" s="10" t="n"/>
      <c r="H83" s="10" t="n"/>
      <c r="I83" s="10" t="n"/>
      <c r="J83" s="12">
        <f>IF(OR(A83="",COUNT(C83:E83)&lt;3),"",IFERROR(MAX(0,FLOOR(($N$2-$N$3)/E83,1))*MAX(1,MIN(IF(G83="",1,G83),FLOOR($N$4/D83,1)))*IF(F83="",1,F83),""))</f>
        <v/>
      </c>
      <c r="K83" s="12">
        <f>IF(A83="","",IF(COUNTIF(DATA!$D$2:$D$500,A83)=0,"CEK SKU tidak ada di DATA",IF(COUNT(C83:E83)&lt;3,"CEK dimensi belum lengkap",IF(OR(C83&lt;=0,D83&lt;=0,E83&lt;=0),"CEK dimensi harus lebih dari 0",IF(COUNTIF($A$2:$A$500,A83)&gt;1,"CEK SKU dobel","OK")))))</f>
        <v/>
      </c>
    </row>
    <row r="84">
      <c r="A84" s="10" t="n"/>
      <c r="B84" s="12">
        <f>IF(A84="","",IFERROR(INDEX(DATA!$E$2:$E$500,MATCH(A84,DATA!$D$2:$D$500,0)),""))</f>
        <v/>
      </c>
      <c r="C84" s="10" t="n"/>
      <c r="D84" s="10" t="n"/>
      <c r="E84" s="10" t="n"/>
      <c r="F84" s="10" t="n"/>
      <c r="G84" s="10" t="n"/>
      <c r="H84" s="10" t="n"/>
      <c r="I84" s="10" t="n"/>
      <c r="J84" s="12">
        <f>IF(OR(A84="",COUNT(C84:E84)&lt;3),"",IFERROR(MAX(0,FLOOR(($N$2-$N$3)/E84,1))*MAX(1,MIN(IF(G84="",1,G84),FLOOR($N$4/D84,1)))*IF(F84="",1,F84),""))</f>
        <v/>
      </c>
      <c r="K84" s="12">
        <f>IF(A84="","",IF(COUNTIF(DATA!$D$2:$D$500,A84)=0,"CEK SKU tidak ada di DATA",IF(COUNT(C84:E84)&lt;3,"CEK dimensi belum lengkap",IF(OR(C84&lt;=0,D84&lt;=0,E84&lt;=0),"CEK dimensi harus lebih dari 0",IF(COUNTIF($A$2:$A$500,A84)&gt;1,"CEK SKU dobel","OK")))))</f>
        <v/>
      </c>
    </row>
    <row r="85">
      <c r="A85" s="10" t="n"/>
      <c r="B85" s="12">
        <f>IF(A85="","",IFERROR(INDEX(DATA!$E$2:$E$500,MATCH(A85,DATA!$D$2:$D$500,0)),""))</f>
        <v/>
      </c>
      <c r="C85" s="10" t="n"/>
      <c r="D85" s="10" t="n"/>
      <c r="E85" s="10" t="n"/>
      <c r="F85" s="10" t="n"/>
      <c r="G85" s="10" t="n"/>
      <c r="H85" s="10" t="n"/>
      <c r="I85" s="10" t="n"/>
      <c r="J85" s="12">
        <f>IF(OR(A85="",COUNT(C85:E85)&lt;3),"",IFERROR(MAX(0,FLOOR(($N$2-$N$3)/E85,1))*MAX(1,MIN(IF(G85="",1,G85),FLOOR($N$4/D85,1)))*IF(F85="",1,F85),""))</f>
        <v/>
      </c>
      <c r="K85" s="12">
        <f>IF(A85="","",IF(COUNTIF(DATA!$D$2:$D$500,A85)=0,"CEK SKU tidak ada di DATA",IF(COUNT(C85:E85)&lt;3,"CEK dimensi belum lengkap",IF(OR(C85&lt;=0,D85&lt;=0,E85&lt;=0),"CEK dimensi harus lebih dari 0",IF(COUNTIF($A$2:$A$500,A85)&gt;1,"CEK SKU dobel","OK")))))</f>
        <v/>
      </c>
    </row>
    <row r="86">
      <c r="A86" s="10" t="n"/>
      <c r="B86" s="12">
        <f>IF(A86="","",IFERROR(INDEX(DATA!$E$2:$E$500,MATCH(A86,DATA!$D$2:$D$500,0)),""))</f>
        <v/>
      </c>
      <c r="C86" s="10" t="n"/>
      <c r="D86" s="10" t="n"/>
      <c r="E86" s="10" t="n"/>
      <c r="F86" s="10" t="n"/>
      <c r="G86" s="10" t="n"/>
      <c r="H86" s="10" t="n"/>
      <c r="I86" s="10" t="n"/>
      <c r="J86" s="12">
        <f>IF(OR(A86="",COUNT(C86:E86)&lt;3),"",IFERROR(MAX(0,FLOOR(($N$2-$N$3)/E86,1))*MAX(1,MIN(IF(G86="",1,G86),FLOOR($N$4/D86,1)))*IF(F86="",1,F86),""))</f>
        <v/>
      </c>
      <c r="K86" s="12">
        <f>IF(A86="","",IF(COUNTIF(DATA!$D$2:$D$500,A86)=0,"CEK SKU tidak ada di DATA",IF(COUNT(C86:E86)&lt;3,"CEK dimensi belum lengkap",IF(OR(C86&lt;=0,D86&lt;=0,E86&lt;=0),"CEK dimensi harus lebih dari 0",IF(COUNTIF($A$2:$A$500,A86)&gt;1,"CEK SKU dobel","OK")))))</f>
        <v/>
      </c>
    </row>
    <row r="87">
      <c r="A87" s="10" t="n"/>
      <c r="B87" s="12">
        <f>IF(A87="","",IFERROR(INDEX(DATA!$E$2:$E$500,MATCH(A87,DATA!$D$2:$D$500,0)),""))</f>
        <v/>
      </c>
      <c r="C87" s="10" t="n"/>
      <c r="D87" s="10" t="n"/>
      <c r="E87" s="10" t="n"/>
      <c r="F87" s="10" t="n"/>
      <c r="G87" s="10" t="n"/>
      <c r="H87" s="10" t="n"/>
      <c r="I87" s="10" t="n"/>
      <c r="J87" s="12">
        <f>IF(OR(A87="",COUNT(C87:E87)&lt;3),"",IFERROR(MAX(0,FLOOR(($N$2-$N$3)/E87,1))*MAX(1,MIN(IF(G87="",1,G87),FLOOR($N$4/D87,1)))*IF(F87="",1,F87),""))</f>
        <v/>
      </c>
      <c r="K87" s="12">
        <f>IF(A87="","",IF(COUNTIF(DATA!$D$2:$D$500,A87)=0,"CEK SKU tidak ada di DATA",IF(COUNT(C87:E87)&lt;3,"CEK dimensi belum lengkap",IF(OR(C87&lt;=0,D87&lt;=0,E87&lt;=0),"CEK dimensi harus lebih dari 0",IF(COUNTIF($A$2:$A$500,A87)&gt;1,"CEK SKU dobel","OK")))))</f>
        <v/>
      </c>
    </row>
    <row r="88">
      <c r="A88" s="10" t="n"/>
      <c r="B88" s="12">
        <f>IF(A88="","",IFERROR(INDEX(DATA!$E$2:$E$500,MATCH(A88,DATA!$D$2:$D$500,0)),""))</f>
        <v/>
      </c>
      <c r="C88" s="10" t="n"/>
      <c r="D88" s="10" t="n"/>
      <c r="E88" s="10" t="n"/>
      <c r="F88" s="10" t="n"/>
      <c r="G88" s="10" t="n"/>
      <c r="H88" s="10" t="n"/>
      <c r="I88" s="10" t="n"/>
      <c r="J88" s="12">
        <f>IF(OR(A88="",COUNT(C88:E88)&lt;3),"",IFERROR(MAX(0,FLOOR(($N$2-$N$3)/E88,1))*MAX(1,MIN(IF(G88="",1,G88),FLOOR($N$4/D88,1)))*IF(F88="",1,F88),""))</f>
        <v/>
      </c>
      <c r="K88" s="12">
        <f>IF(A88="","",IF(COUNTIF(DATA!$D$2:$D$500,A88)=0,"CEK SKU tidak ada di DATA",IF(COUNT(C88:E88)&lt;3,"CEK dimensi belum lengkap",IF(OR(C88&lt;=0,D88&lt;=0,E88&lt;=0),"CEK dimensi harus lebih dari 0",IF(COUNTIF($A$2:$A$500,A88)&gt;1,"CEK SKU dobel","OK")))))</f>
        <v/>
      </c>
    </row>
    <row r="89">
      <c r="A89" s="10" t="n"/>
      <c r="B89" s="12">
        <f>IF(A89="","",IFERROR(INDEX(DATA!$E$2:$E$500,MATCH(A89,DATA!$D$2:$D$500,0)),""))</f>
        <v/>
      </c>
      <c r="C89" s="10" t="n"/>
      <c r="D89" s="10" t="n"/>
      <c r="E89" s="10" t="n"/>
      <c r="F89" s="10" t="n"/>
      <c r="G89" s="10" t="n"/>
      <c r="H89" s="10" t="n"/>
      <c r="I89" s="10" t="n"/>
      <c r="J89" s="12">
        <f>IF(OR(A89="",COUNT(C89:E89)&lt;3),"",IFERROR(MAX(0,FLOOR(($N$2-$N$3)/E89,1))*MAX(1,MIN(IF(G89="",1,G89),FLOOR($N$4/D89,1)))*IF(F89="",1,F89),""))</f>
        <v/>
      </c>
      <c r="K89" s="12">
        <f>IF(A89="","",IF(COUNTIF(DATA!$D$2:$D$500,A89)=0,"CEK SKU tidak ada di DATA",IF(COUNT(C89:E89)&lt;3,"CEK dimensi belum lengkap",IF(OR(C89&lt;=0,D89&lt;=0,E89&lt;=0),"CEK dimensi harus lebih dari 0",IF(COUNTIF($A$2:$A$500,A89)&gt;1,"CEK SKU dobel","OK")))))</f>
        <v/>
      </c>
    </row>
    <row r="90">
      <c r="A90" s="10" t="n"/>
      <c r="B90" s="12">
        <f>IF(A90="","",IFERROR(INDEX(DATA!$E$2:$E$500,MATCH(A90,DATA!$D$2:$D$500,0)),""))</f>
        <v/>
      </c>
      <c r="C90" s="10" t="n"/>
      <c r="D90" s="10" t="n"/>
      <c r="E90" s="10" t="n"/>
      <c r="F90" s="10" t="n"/>
      <c r="G90" s="10" t="n"/>
      <c r="H90" s="10" t="n"/>
      <c r="I90" s="10" t="n"/>
      <c r="J90" s="12">
        <f>IF(OR(A90="",COUNT(C90:E90)&lt;3),"",IFERROR(MAX(0,FLOOR(($N$2-$N$3)/E90,1))*MAX(1,MIN(IF(G90="",1,G90),FLOOR($N$4/D90,1)))*IF(F90="",1,F90),""))</f>
        <v/>
      </c>
      <c r="K90" s="12">
        <f>IF(A90="","",IF(COUNTIF(DATA!$D$2:$D$500,A90)=0,"CEK SKU tidak ada di DATA",IF(COUNT(C90:E90)&lt;3,"CEK dimensi belum lengkap",IF(OR(C90&lt;=0,D90&lt;=0,E90&lt;=0),"CEK dimensi harus lebih dari 0",IF(COUNTIF($A$2:$A$500,A90)&gt;1,"CEK SKU dobel","OK")))))</f>
        <v/>
      </c>
    </row>
    <row r="91">
      <c r="A91" s="10" t="n"/>
      <c r="B91" s="12">
        <f>IF(A91="","",IFERROR(INDEX(DATA!$E$2:$E$500,MATCH(A91,DATA!$D$2:$D$500,0)),""))</f>
        <v/>
      </c>
      <c r="C91" s="10" t="n"/>
      <c r="D91" s="10" t="n"/>
      <c r="E91" s="10" t="n"/>
      <c r="F91" s="10" t="n"/>
      <c r="G91" s="10" t="n"/>
      <c r="H91" s="10" t="n"/>
      <c r="I91" s="10" t="n"/>
      <c r="J91" s="12">
        <f>IF(OR(A91="",COUNT(C91:E91)&lt;3),"",IFERROR(MAX(0,FLOOR(($N$2-$N$3)/E91,1))*MAX(1,MIN(IF(G91="",1,G91),FLOOR($N$4/D91,1)))*IF(F91="",1,F91),""))</f>
        <v/>
      </c>
      <c r="K91" s="12">
        <f>IF(A91="","",IF(COUNTIF(DATA!$D$2:$D$500,A91)=0,"CEK SKU tidak ada di DATA",IF(COUNT(C91:E91)&lt;3,"CEK dimensi belum lengkap",IF(OR(C91&lt;=0,D91&lt;=0,E91&lt;=0),"CEK dimensi harus lebih dari 0",IF(COUNTIF($A$2:$A$500,A91)&gt;1,"CEK SKU dobel","OK")))))</f>
        <v/>
      </c>
    </row>
    <row r="92">
      <c r="A92" s="10" t="n"/>
      <c r="B92" s="12">
        <f>IF(A92="","",IFERROR(INDEX(DATA!$E$2:$E$500,MATCH(A92,DATA!$D$2:$D$500,0)),""))</f>
        <v/>
      </c>
      <c r="C92" s="10" t="n"/>
      <c r="D92" s="10" t="n"/>
      <c r="E92" s="10" t="n"/>
      <c r="F92" s="10" t="n"/>
      <c r="G92" s="10" t="n"/>
      <c r="H92" s="10" t="n"/>
      <c r="I92" s="10" t="n"/>
      <c r="J92" s="12">
        <f>IF(OR(A92="",COUNT(C92:E92)&lt;3),"",IFERROR(MAX(0,FLOOR(($N$2-$N$3)/E92,1))*MAX(1,MIN(IF(G92="",1,G92),FLOOR($N$4/D92,1)))*IF(F92="",1,F92),""))</f>
        <v/>
      </c>
      <c r="K92" s="12">
        <f>IF(A92="","",IF(COUNTIF(DATA!$D$2:$D$500,A92)=0,"CEK SKU tidak ada di DATA",IF(COUNT(C92:E92)&lt;3,"CEK dimensi belum lengkap",IF(OR(C92&lt;=0,D92&lt;=0,E92&lt;=0),"CEK dimensi harus lebih dari 0",IF(COUNTIF($A$2:$A$500,A92)&gt;1,"CEK SKU dobel","OK")))))</f>
        <v/>
      </c>
    </row>
    <row r="93">
      <c r="A93" s="10" t="n"/>
      <c r="B93" s="12">
        <f>IF(A93="","",IFERROR(INDEX(DATA!$E$2:$E$500,MATCH(A93,DATA!$D$2:$D$500,0)),""))</f>
        <v/>
      </c>
      <c r="C93" s="10" t="n"/>
      <c r="D93" s="10" t="n"/>
      <c r="E93" s="10" t="n"/>
      <c r="F93" s="10" t="n"/>
      <c r="G93" s="10" t="n"/>
      <c r="H93" s="10" t="n"/>
      <c r="I93" s="10" t="n"/>
      <c r="J93" s="12">
        <f>IF(OR(A93="",COUNT(C93:E93)&lt;3),"",IFERROR(MAX(0,FLOOR(($N$2-$N$3)/E93,1))*MAX(1,MIN(IF(G93="",1,G93),FLOOR($N$4/D93,1)))*IF(F93="",1,F93),""))</f>
        <v/>
      </c>
      <c r="K93" s="12">
        <f>IF(A93="","",IF(COUNTIF(DATA!$D$2:$D$500,A93)=0,"CEK SKU tidak ada di DATA",IF(COUNT(C93:E93)&lt;3,"CEK dimensi belum lengkap",IF(OR(C93&lt;=0,D93&lt;=0,E93&lt;=0),"CEK dimensi harus lebih dari 0",IF(COUNTIF($A$2:$A$500,A93)&gt;1,"CEK SKU dobel","OK")))))</f>
        <v/>
      </c>
    </row>
    <row r="94">
      <c r="A94" s="10" t="n"/>
      <c r="B94" s="12">
        <f>IF(A94="","",IFERROR(INDEX(DATA!$E$2:$E$500,MATCH(A94,DATA!$D$2:$D$500,0)),""))</f>
        <v/>
      </c>
      <c r="C94" s="10" t="n"/>
      <c r="D94" s="10" t="n"/>
      <c r="E94" s="10" t="n"/>
      <c r="F94" s="10" t="n"/>
      <c r="G94" s="10" t="n"/>
      <c r="H94" s="10" t="n"/>
      <c r="I94" s="10" t="n"/>
      <c r="J94" s="12">
        <f>IF(OR(A94="",COUNT(C94:E94)&lt;3),"",IFERROR(MAX(0,FLOOR(($N$2-$N$3)/E94,1))*MAX(1,MIN(IF(G94="",1,G94),FLOOR($N$4/D94,1)))*IF(F94="",1,F94),""))</f>
        <v/>
      </c>
      <c r="K94" s="12">
        <f>IF(A94="","",IF(COUNTIF(DATA!$D$2:$D$500,A94)=0,"CEK SKU tidak ada di DATA",IF(COUNT(C94:E94)&lt;3,"CEK dimensi belum lengkap",IF(OR(C94&lt;=0,D94&lt;=0,E94&lt;=0),"CEK dimensi harus lebih dari 0",IF(COUNTIF($A$2:$A$500,A94)&gt;1,"CEK SKU dobel","OK")))))</f>
        <v/>
      </c>
    </row>
    <row r="95">
      <c r="A95" s="10" t="n"/>
      <c r="B95" s="12">
        <f>IF(A95="","",IFERROR(INDEX(DATA!$E$2:$E$500,MATCH(A95,DATA!$D$2:$D$500,0)),""))</f>
        <v/>
      </c>
      <c r="C95" s="10" t="n"/>
      <c r="D95" s="10" t="n"/>
      <c r="E95" s="10" t="n"/>
      <c r="F95" s="10" t="n"/>
      <c r="G95" s="10" t="n"/>
      <c r="H95" s="10" t="n"/>
      <c r="I95" s="10" t="n"/>
      <c r="J95" s="12">
        <f>IF(OR(A95="",COUNT(C95:E95)&lt;3),"",IFERROR(MAX(0,FLOOR(($N$2-$N$3)/E95,1))*MAX(1,MIN(IF(G95="",1,G95),FLOOR($N$4/D95,1)))*IF(F95="",1,F95),""))</f>
        <v/>
      </c>
      <c r="K95" s="12">
        <f>IF(A95="","",IF(COUNTIF(DATA!$D$2:$D$500,A95)=0,"CEK SKU tidak ada di DATA",IF(COUNT(C95:E95)&lt;3,"CEK dimensi belum lengkap",IF(OR(C95&lt;=0,D95&lt;=0,E95&lt;=0),"CEK dimensi harus lebih dari 0",IF(COUNTIF($A$2:$A$500,A95)&gt;1,"CEK SKU dobel","OK")))))</f>
        <v/>
      </c>
    </row>
    <row r="96">
      <c r="A96" s="10" t="n"/>
      <c r="B96" s="12">
        <f>IF(A96="","",IFERROR(INDEX(DATA!$E$2:$E$500,MATCH(A96,DATA!$D$2:$D$500,0)),""))</f>
        <v/>
      </c>
      <c r="C96" s="10" t="n"/>
      <c r="D96" s="10" t="n"/>
      <c r="E96" s="10" t="n"/>
      <c r="F96" s="10" t="n"/>
      <c r="G96" s="10" t="n"/>
      <c r="H96" s="10" t="n"/>
      <c r="I96" s="10" t="n"/>
      <c r="J96" s="12">
        <f>IF(OR(A96="",COUNT(C96:E96)&lt;3),"",IFERROR(MAX(0,FLOOR(($N$2-$N$3)/E96,1))*MAX(1,MIN(IF(G96="",1,G96),FLOOR($N$4/D96,1)))*IF(F96="",1,F96),""))</f>
        <v/>
      </c>
      <c r="K96" s="12">
        <f>IF(A96="","",IF(COUNTIF(DATA!$D$2:$D$500,A96)=0,"CEK SKU tidak ada di DATA",IF(COUNT(C96:E96)&lt;3,"CEK dimensi belum lengkap",IF(OR(C96&lt;=0,D96&lt;=0,E96&lt;=0),"CEK dimensi harus lebih dari 0",IF(COUNTIF($A$2:$A$500,A96)&gt;1,"CEK SKU dobel","OK")))))</f>
        <v/>
      </c>
    </row>
    <row r="97">
      <c r="A97" s="10" t="n"/>
      <c r="B97" s="12">
        <f>IF(A97="","",IFERROR(INDEX(DATA!$E$2:$E$500,MATCH(A97,DATA!$D$2:$D$500,0)),""))</f>
        <v/>
      </c>
      <c r="C97" s="10" t="n"/>
      <c r="D97" s="10" t="n"/>
      <c r="E97" s="10" t="n"/>
      <c r="F97" s="10" t="n"/>
      <c r="G97" s="10" t="n"/>
      <c r="H97" s="10" t="n"/>
      <c r="I97" s="10" t="n"/>
      <c r="J97" s="12">
        <f>IF(OR(A97="",COUNT(C97:E97)&lt;3),"",IFERROR(MAX(0,FLOOR(($N$2-$N$3)/E97,1))*MAX(1,MIN(IF(G97="",1,G97),FLOOR($N$4/D97,1)))*IF(F97="",1,F97),""))</f>
        <v/>
      </c>
      <c r="K97" s="12">
        <f>IF(A97="","",IF(COUNTIF(DATA!$D$2:$D$500,A97)=0,"CEK SKU tidak ada di DATA",IF(COUNT(C97:E97)&lt;3,"CEK dimensi belum lengkap",IF(OR(C97&lt;=0,D97&lt;=0,E97&lt;=0),"CEK dimensi harus lebih dari 0",IF(COUNTIF($A$2:$A$500,A97)&gt;1,"CEK SKU dobel","OK")))))</f>
        <v/>
      </c>
    </row>
    <row r="98">
      <c r="A98" s="10" t="n"/>
      <c r="B98" s="12">
        <f>IF(A98="","",IFERROR(INDEX(DATA!$E$2:$E$500,MATCH(A98,DATA!$D$2:$D$500,0)),""))</f>
        <v/>
      </c>
      <c r="C98" s="10" t="n"/>
      <c r="D98" s="10" t="n"/>
      <c r="E98" s="10" t="n"/>
      <c r="F98" s="10" t="n"/>
      <c r="G98" s="10" t="n"/>
      <c r="H98" s="10" t="n"/>
      <c r="I98" s="10" t="n"/>
      <c r="J98" s="12">
        <f>IF(OR(A98="",COUNT(C98:E98)&lt;3),"",IFERROR(MAX(0,FLOOR(($N$2-$N$3)/E98,1))*MAX(1,MIN(IF(G98="",1,G98),FLOOR($N$4/D98,1)))*IF(F98="",1,F98),""))</f>
        <v/>
      </c>
      <c r="K98" s="12">
        <f>IF(A98="","",IF(COUNTIF(DATA!$D$2:$D$500,A98)=0,"CEK SKU tidak ada di DATA",IF(COUNT(C98:E98)&lt;3,"CEK dimensi belum lengkap",IF(OR(C98&lt;=0,D98&lt;=0,E98&lt;=0),"CEK dimensi harus lebih dari 0",IF(COUNTIF($A$2:$A$500,A98)&gt;1,"CEK SKU dobel","OK")))))</f>
        <v/>
      </c>
    </row>
    <row r="99">
      <c r="A99" s="10" t="n"/>
      <c r="B99" s="12">
        <f>IF(A99="","",IFERROR(INDEX(DATA!$E$2:$E$500,MATCH(A99,DATA!$D$2:$D$500,0)),""))</f>
        <v/>
      </c>
      <c r="C99" s="10" t="n"/>
      <c r="D99" s="10" t="n"/>
      <c r="E99" s="10" t="n"/>
      <c r="F99" s="10" t="n"/>
      <c r="G99" s="10" t="n"/>
      <c r="H99" s="10" t="n"/>
      <c r="I99" s="10" t="n"/>
      <c r="J99" s="12">
        <f>IF(OR(A99="",COUNT(C99:E99)&lt;3),"",IFERROR(MAX(0,FLOOR(($N$2-$N$3)/E99,1))*MAX(1,MIN(IF(G99="",1,G99),FLOOR($N$4/D99,1)))*IF(F99="",1,F99),""))</f>
        <v/>
      </c>
      <c r="K99" s="12">
        <f>IF(A99="","",IF(COUNTIF(DATA!$D$2:$D$500,A99)=0,"CEK SKU tidak ada di DATA",IF(COUNT(C99:E99)&lt;3,"CEK dimensi belum lengkap",IF(OR(C99&lt;=0,D99&lt;=0,E99&lt;=0),"CEK dimensi harus lebih dari 0",IF(COUNTIF($A$2:$A$500,A99)&gt;1,"CEK SKU dobel","OK")))))</f>
        <v/>
      </c>
    </row>
    <row r="100">
      <c r="A100" s="10" t="n"/>
      <c r="B100" s="12">
        <f>IF(A100="","",IFERROR(INDEX(DATA!$E$2:$E$500,MATCH(A100,DATA!$D$2:$D$500,0)),""))</f>
        <v/>
      </c>
      <c r="C100" s="10" t="n"/>
      <c r="D100" s="10" t="n"/>
      <c r="E100" s="10" t="n"/>
      <c r="F100" s="10" t="n"/>
      <c r="G100" s="10" t="n"/>
      <c r="H100" s="10" t="n"/>
      <c r="I100" s="10" t="n"/>
      <c r="J100" s="12">
        <f>IF(OR(A100="",COUNT(C100:E100)&lt;3),"",IFERROR(MAX(0,FLOOR(($N$2-$N$3)/E100,1))*MAX(1,MIN(IF(G100="",1,G100),FLOOR($N$4/D100,1)))*IF(F100="",1,F100),""))</f>
        <v/>
      </c>
      <c r="K100" s="12">
        <f>IF(A100="","",IF(COUNTIF(DATA!$D$2:$D$500,A100)=0,"CEK SKU tidak ada di DATA",IF(COUNT(C100:E100)&lt;3,"CEK dimensi belum lengkap",IF(OR(C100&lt;=0,D100&lt;=0,E100&lt;=0),"CEK dimensi harus lebih dari 0",IF(COUNTIF($A$2:$A$500,A100)&gt;1,"CEK SKU dobel","OK")))))</f>
        <v/>
      </c>
    </row>
    <row r="101">
      <c r="A101" s="10" t="n"/>
      <c r="B101" s="12">
        <f>IF(A101="","",IFERROR(INDEX(DATA!$E$2:$E$500,MATCH(A101,DATA!$D$2:$D$500,0)),""))</f>
        <v/>
      </c>
      <c r="C101" s="10" t="n"/>
      <c r="D101" s="10" t="n"/>
      <c r="E101" s="10" t="n"/>
      <c r="F101" s="10" t="n"/>
      <c r="G101" s="10" t="n"/>
      <c r="H101" s="10" t="n"/>
      <c r="I101" s="10" t="n"/>
      <c r="J101" s="12">
        <f>IF(OR(A101="",COUNT(C101:E101)&lt;3),"",IFERROR(MAX(0,FLOOR(($N$2-$N$3)/E101,1))*MAX(1,MIN(IF(G101="",1,G101),FLOOR($N$4/D101,1)))*IF(F101="",1,F101),""))</f>
        <v/>
      </c>
      <c r="K101" s="12">
        <f>IF(A101="","",IF(COUNTIF(DATA!$D$2:$D$500,A101)=0,"CEK SKU tidak ada di DATA",IF(COUNT(C101:E101)&lt;3,"CEK dimensi belum lengkap",IF(OR(C101&lt;=0,D101&lt;=0,E101&lt;=0),"CEK dimensi harus lebih dari 0",IF(COUNTIF($A$2:$A$500,A101)&gt;1,"CEK SKU dobel","OK")))))</f>
        <v/>
      </c>
    </row>
    <row r="102">
      <c r="A102" s="10" t="n"/>
      <c r="B102" s="12">
        <f>IF(A102="","",IFERROR(INDEX(DATA!$E$2:$E$500,MATCH(A102,DATA!$D$2:$D$500,0)),""))</f>
        <v/>
      </c>
      <c r="C102" s="10" t="n"/>
      <c r="D102" s="10" t="n"/>
      <c r="E102" s="10" t="n"/>
      <c r="F102" s="10" t="n"/>
      <c r="G102" s="10" t="n"/>
      <c r="H102" s="10" t="n"/>
      <c r="I102" s="10" t="n"/>
      <c r="J102" s="12">
        <f>IF(OR(A102="",COUNT(C102:E102)&lt;3),"",IFERROR(MAX(0,FLOOR(($N$2-$N$3)/E102,1))*MAX(1,MIN(IF(G102="",1,G102),FLOOR($N$4/D102,1)))*IF(F102="",1,F102),""))</f>
        <v/>
      </c>
      <c r="K102" s="12">
        <f>IF(A102="","",IF(COUNTIF(DATA!$D$2:$D$500,A102)=0,"CEK SKU tidak ada di DATA",IF(COUNT(C102:E102)&lt;3,"CEK dimensi belum lengkap",IF(OR(C102&lt;=0,D102&lt;=0,E102&lt;=0),"CEK dimensi harus lebih dari 0",IF(COUNTIF($A$2:$A$500,A102)&gt;1,"CEK SKU dobel","OK")))))</f>
        <v/>
      </c>
    </row>
    <row r="103">
      <c r="A103" s="10" t="n"/>
      <c r="B103" s="12">
        <f>IF(A103="","",IFERROR(INDEX(DATA!$E$2:$E$500,MATCH(A103,DATA!$D$2:$D$500,0)),""))</f>
        <v/>
      </c>
      <c r="C103" s="10" t="n"/>
      <c r="D103" s="10" t="n"/>
      <c r="E103" s="10" t="n"/>
      <c r="F103" s="10" t="n"/>
      <c r="G103" s="10" t="n"/>
      <c r="H103" s="10" t="n"/>
      <c r="I103" s="10" t="n"/>
      <c r="J103" s="12">
        <f>IF(OR(A103="",COUNT(C103:E103)&lt;3),"",IFERROR(MAX(0,FLOOR(($N$2-$N$3)/E103,1))*MAX(1,MIN(IF(G103="",1,G103),FLOOR($N$4/D103,1)))*IF(F103="",1,F103),""))</f>
        <v/>
      </c>
      <c r="K103" s="12">
        <f>IF(A103="","",IF(COUNTIF(DATA!$D$2:$D$500,A103)=0,"CEK SKU tidak ada di DATA",IF(COUNT(C103:E103)&lt;3,"CEK dimensi belum lengkap",IF(OR(C103&lt;=0,D103&lt;=0,E103&lt;=0),"CEK dimensi harus lebih dari 0",IF(COUNTIF($A$2:$A$500,A103)&gt;1,"CEK SKU dobel","OK")))))</f>
        <v/>
      </c>
    </row>
    <row r="104">
      <c r="A104" s="10" t="n"/>
      <c r="B104" s="12">
        <f>IF(A104="","",IFERROR(INDEX(DATA!$E$2:$E$500,MATCH(A104,DATA!$D$2:$D$500,0)),""))</f>
        <v/>
      </c>
      <c r="C104" s="10" t="n"/>
      <c r="D104" s="10" t="n"/>
      <c r="E104" s="10" t="n"/>
      <c r="F104" s="10" t="n"/>
      <c r="G104" s="10" t="n"/>
      <c r="H104" s="10" t="n"/>
      <c r="I104" s="10" t="n"/>
      <c r="J104" s="12">
        <f>IF(OR(A104="",COUNT(C104:E104)&lt;3),"",IFERROR(MAX(0,FLOOR(($N$2-$N$3)/E104,1))*MAX(1,MIN(IF(G104="",1,G104),FLOOR($N$4/D104,1)))*IF(F104="",1,F104),""))</f>
        <v/>
      </c>
      <c r="K104" s="12">
        <f>IF(A104="","",IF(COUNTIF(DATA!$D$2:$D$500,A104)=0,"CEK SKU tidak ada di DATA",IF(COUNT(C104:E104)&lt;3,"CEK dimensi belum lengkap",IF(OR(C104&lt;=0,D104&lt;=0,E104&lt;=0),"CEK dimensi harus lebih dari 0",IF(COUNTIF($A$2:$A$500,A104)&gt;1,"CEK SKU dobel","OK")))))</f>
        <v/>
      </c>
    </row>
    <row r="105">
      <c r="A105" s="10" t="n"/>
      <c r="B105" s="12">
        <f>IF(A105="","",IFERROR(INDEX(DATA!$E$2:$E$500,MATCH(A105,DATA!$D$2:$D$500,0)),""))</f>
        <v/>
      </c>
      <c r="C105" s="10" t="n"/>
      <c r="D105" s="10" t="n"/>
      <c r="E105" s="10" t="n"/>
      <c r="F105" s="10" t="n"/>
      <c r="G105" s="10" t="n"/>
      <c r="H105" s="10" t="n"/>
      <c r="I105" s="10" t="n"/>
      <c r="J105" s="12">
        <f>IF(OR(A105="",COUNT(C105:E105)&lt;3),"",IFERROR(MAX(0,FLOOR(($N$2-$N$3)/E105,1))*MAX(1,MIN(IF(G105="",1,G105),FLOOR($N$4/D105,1)))*IF(F105="",1,F105),""))</f>
        <v/>
      </c>
      <c r="K105" s="12">
        <f>IF(A105="","",IF(COUNTIF(DATA!$D$2:$D$500,A105)=0,"CEK SKU tidak ada di DATA",IF(COUNT(C105:E105)&lt;3,"CEK dimensi belum lengkap",IF(OR(C105&lt;=0,D105&lt;=0,E105&lt;=0),"CEK dimensi harus lebih dari 0",IF(COUNTIF($A$2:$A$500,A105)&gt;1,"CEK SKU dobel","OK")))))</f>
        <v/>
      </c>
    </row>
    <row r="106">
      <c r="A106" s="10" t="n"/>
      <c r="B106" s="12">
        <f>IF(A106="","",IFERROR(INDEX(DATA!$E$2:$E$500,MATCH(A106,DATA!$D$2:$D$500,0)),""))</f>
        <v/>
      </c>
      <c r="C106" s="10" t="n"/>
      <c r="D106" s="10" t="n"/>
      <c r="E106" s="10" t="n"/>
      <c r="F106" s="10" t="n"/>
      <c r="G106" s="10" t="n"/>
      <c r="H106" s="10" t="n"/>
      <c r="I106" s="10" t="n"/>
      <c r="J106" s="12">
        <f>IF(OR(A106="",COUNT(C106:E106)&lt;3),"",IFERROR(MAX(0,FLOOR(($N$2-$N$3)/E106,1))*MAX(1,MIN(IF(G106="",1,G106),FLOOR($N$4/D106,1)))*IF(F106="",1,F106),""))</f>
        <v/>
      </c>
      <c r="K106" s="12">
        <f>IF(A106="","",IF(COUNTIF(DATA!$D$2:$D$500,A106)=0,"CEK SKU tidak ada di DATA",IF(COUNT(C106:E106)&lt;3,"CEK dimensi belum lengkap",IF(OR(C106&lt;=0,D106&lt;=0,E106&lt;=0),"CEK dimensi harus lebih dari 0",IF(COUNTIF($A$2:$A$500,A106)&gt;1,"CEK SKU dobel","OK")))))</f>
        <v/>
      </c>
    </row>
    <row r="107">
      <c r="A107" s="10" t="n"/>
      <c r="B107" s="12">
        <f>IF(A107="","",IFERROR(INDEX(DATA!$E$2:$E$500,MATCH(A107,DATA!$D$2:$D$500,0)),""))</f>
        <v/>
      </c>
      <c r="C107" s="10" t="n"/>
      <c r="D107" s="10" t="n"/>
      <c r="E107" s="10" t="n"/>
      <c r="F107" s="10" t="n"/>
      <c r="G107" s="10" t="n"/>
      <c r="H107" s="10" t="n"/>
      <c r="I107" s="10" t="n"/>
      <c r="J107" s="12">
        <f>IF(OR(A107="",COUNT(C107:E107)&lt;3),"",IFERROR(MAX(0,FLOOR(($N$2-$N$3)/E107,1))*MAX(1,MIN(IF(G107="",1,G107),FLOOR($N$4/D107,1)))*IF(F107="",1,F107),""))</f>
        <v/>
      </c>
      <c r="K107" s="12">
        <f>IF(A107="","",IF(COUNTIF(DATA!$D$2:$D$500,A107)=0,"CEK SKU tidak ada di DATA",IF(COUNT(C107:E107)&lt;3,"CEK dimensi belum lengkap",IF(OR(C107&lt;=0,D107&lt;=0,E107&lt;=0),"CEK dimensi harus lebih dari 0",IF(COUNTIF($A$2:$A$500,A107)&gt;1,"CEK SKU dobel","OK")))))</f>
        <v/>
      </c>
    </row>
    <row r="108">
      <c r="A108" s="10" t="n"/>
      <c r="B108" s="12">
        <f>IF(A108="","",IFERROR(INDEX(DATA!$E$2:$E$500,MATCH(A108,DATA!$D$2:$D$500,0)),""))</f>
        <v/>
      </c>
      <c r="C108" s="10" t="n"/>
      <c r="D108" s="10" t="n"/>
      <c r="E108" s="10" t="n"/>
      <c r="F108" s="10" t="n"/>
      <c r="G108" s="10" t="n"/>
      <c r="H108" s="10" t="n"/>
      <c r="I108" s="10" t="n"/>
      <c r="J108" s="12">
        <f>IF(OR(A108="",COUNT(C108:E108)&lt;3),"",IFERROR(MAX(0,FLOOR(($N$2-$N$3)/E108,1))*MAX(1,MIN(IF(G108="",1,G108),FLOOR($N$4/D108,1)))*IF(F108="",1,F108),""))</f>
        <v/>
      </c>
      <c r="K108" s="12">
        <f>IF(A108="","",IF(COUNTIF(DATA!$D$2:$D$500,A108)=0,"CEK SKU tidak ada di DATA",IF(COUNT(C108:E108)&lt;3,"CEK dimensi belum lengkap",IF(OR(C108&lt;=0,D108&lt;=0,E108&lt;=0),"CEK dimensi harus lebih dari 0",IF(COUNTIF($A$2:$A$500,A108)&gt;1,"CEK SKU dobel","OK")))))</f>
        <v/>
      </c>
    </row>
    <row r="109">
      <c r="A109" s="10" t="n"/>
      <c r="B109" s="12">
        <f>IF(A109="","",IFERROR(INDEX(DATA!$E$2:$E$500,MATCH(A109,DATA!$D$2:$D$500,0)),""))</f>
        <v/>
      </c>
      <c r="C109" s="10" t="n"/>
      <c r="D109" s="10" t="n"/>
      <c r="E109" s="10" t="n"/>
      <c r="F109" s="10" t="n"/>
      <c r="G109" s="10" t="n"/>
      <c r="H109" s="10" t="n"/>
      <c r="I109" s="10" t="n"/>
      <c r="J109" s="12">
        <f>IF(OR(A109="",COUNT(C109:E109)&lt;3),"",IFERROR(MAX(0,FLOOR(($N$2-$N$3)/E109,1))*MAX(1,MIN(IF(G109="",1,G109),FLOOR($N$4/D109,1)))*IF(F109="",1,F109),""))</f>
        <v/>
      </c>
      <c r="K109" s="12">
        <f>IF(A109="","",IF(COUNTIF(DATA!$D$2:$D$500,A109)=0,"CEK SKU tidak ada di DATA",IF(COUNT(C109:E109)&lt;3,"CEK dimensi belum lengkap",IF(OR(C109&lt;=0,D109&lt;=0,E109&lt;=0),"CEK dimensi harus lebih dari 0",IF(COUNTIF($A$2:$A$500,A109)&gt;1,"CEK SKU dobel","OK")))))</f>
        <v/>
      </c>
    </row>
    <row r="110">
      <c r="A110" s="10" t="n"/>
      <c r="B110" s="12">
        <f>IF(A110="","",IFERROR(INDEX(DATA!$E$2:$E$500,MATCH(A110,DATA!$D$2:$D$500,0)),""))</f>
        <v/>
      </c>
      <c r="C110" s="10" t="n"/>
      <c r="D110" s="10" t="n"/>
      <c r="E110" s="10" t="n"/>
      <c r="F110" s="10" t="n"/>
      <c r="G110" s="10" t="n"/>
      <c r="H110" s="10" t="n"/>
      <c r="I110" s="10" t="n"/>
      <c r="J110" s="12">
        <f>IF(OR(A110="",COUNT(C110:E110)&lt;3),"",IFERROR(MAX(0,FLOOR(($N$2-$N$3)/E110,1))*MAX(1,MIN(IF(G110="",1,G110),FLOOR($N$4/D110,1)))*IF(F110="",1,F110),""))</f>
        <v/>
      </c>
      <c r="K110" s="12">
        <f>IF(A110="","",IF(COUNTIF(DATA!$D$2:$D$500,A110)=0,"CEK SKU tidak ada di DATA",IF(COUNT(C110:E110)&lt;3,"CEK dimensi belum lengkap",IF(OR(C110&lt;=0,D110&lt;=0,E110&lt;=0),"CEK dimensi harus lebih dari 0",IF(COUNTIF($A$2:$A$500,A110)&gt;1,"CEK SKU dobel","OK")))))</f>
        <v/>
      </c>
    </row>
    <row r="111">
      <c r="A111" s="10" t="n"/>
      <c r="B111" s="12">
        <f>IF(A111="","",IFERROR(INDEX(DATA!$E$2:$E$500,MATCH(A111,DATA!$D$2:$D$500,0)),""))</f>
        <v/>
      </c>
      <c r="C111" s="10" t="n"/>
      <c r="D111" s="10" t="n"/>
      <c r="E111" s="10" t="n"/>
      <c r="F111" s="10" t="n"/>
      <c r="G111" s="10" t="n"/>
      <c r="H111" s="10" t="n"/>
      <c r="I111" s="10" t="n"/>
      <c r="J111" s="12">
        <f>IF(OR(A111="",COUNT(C111:E111)&lt;3),"",IFERROR(MAX(0,FLOOR(($N$2-$N$3)/E111,1))*MAX(1,MIN(IF(G111="",1,G111),FLOOR($N$4/D111,1)))*IF(F111="",1,F111),""))</f>
        <v/>
      </c>
      <c r="K111" s="12">
        <f>IF(A111="","",IF(COUNTIF(DATA!$D$2:$D$500,A111)=0,"CEK SKU tidak ada di DATA",IF(COUNT(C111:E111)&lt;3,"CEK dimensi belum lengkap",IF(OR(C111&lt;=0,D111&lt;=0,E111&lt;=0),"CEK dimensi harus lebih dari 0",IF(COUNTIF($A$2:$A$500,A111)&gt;1,"CEK SKU dobel","OK")))))</f>
        <v/>
      </c>
    </row>
    <row r="112">
      <c r="A112" s="10" t="n"/>
      <c r="B112" s="12">
        <f>IF(A112="","",IFERROR(INDEX(DATA!$E$2:$E$500,MATCH(A112,DATA!$D$2:$D$500,0)),""))</f>
        <v/>
      </c>
      <c r="C112" s="10" t="n"/>
      <c r="D112" s="10" t="n"/>
      <c r="E112" s="10" t="n"/>
      <c r="F112" s="10" t="n"/>
      <c r="G112" s="10" t="n"/>
      <c r="H112" s="10" t="n"/>
      <c r="I112" s="10" t="n"/>
      <c r="J112" s="12">
        <f>IF(OR(A112="",COUNT(C112:E112)&lt;3),"",IFERROR(MAX(0,FLOOR(($N$2-$N$3)/E112,1))*MAX(1,MIN(IF(G112="",1,G112),FLOOR($N$4/D112,1)))*IF(F112="",1,F112),""))</f>
        <v/>
      </c>
      <c r="K112" s="12">
        <f>IF(A112="","",IF(COUNTIF(DATA!$D$2:$D$500,A112)=0,"CEK SKU tidak ada di DATA",IF(COUNT(C112:E112)&lt;3,"CEK dimensi belum lengkap",IF(OR(C112&lt;=0,D112&lt;=0,E112&lt;=0),"CEK dimensi harus lebih dari 0",IF(COUNTIF($A$2:$A$500,A112)&gt;1,"CEK SKU dobel","OK")))))</f>
        <v/>
      </c>
    </row>
    <row r="113">
      <c r="A113" s="10" t="n"/>
      <c r="B113" s="12">
        <f>IF(A113="","",IFERROR(INDEX(DATA!$E$2:$E$500,MATCH(A113,DATA!$D$2:$D$500,0)),""))</f>
        <v/>
      </c>
      <c r="C113" s="10" t="n"/>
      <c r="D113" s="10" t="n"/>
      <c r="E113" s="10" t="n"/>
      <c r="F113" s="10" t="n"/>
      <c r="G113" s="10" t="n"/>
      <c r="H113" s="10" t="n"/>
      <c r="I113" s="10" t="n"/>
      <c r="J113" s="12">
        <f>IF(OR(A113="",COUNT(C113:E113)&lt;3),"",IFERROR(MAX(0,FLOOR(($N$2-$N$3)/E113,1))*MAX(1,MIN(IF(G113="",1,G113),FLOOR($N$4/D113,1)))*IF(F113="",1,F113),""))</f>
        <v/>
      </c>
      <c r="K113" s="12">
        <f>IF(A113="","",IF(COUNTIF(DATA!$D$2:$D$500,A113)=0,"CEK SKU tidak ada di DATA",IF(COUNT(C113:E113)&lt;3,"CEK dimensi belum lengkap",IF(OR(C113&lt;=0,D113&lt;=0,E113&lt;=0),"CEK dimensi harus lebih dari 0",IF(COUNTIF($A$2:$A$500,A113)&gt;1,"CEK SKU dobel","OK")))))</f>
        <v/>
      </c>
    </row>
    <row r="114">
      <c r="A114" s="10" t="n"/>
      <c r="B114" s="12">
        <f>IF(A114="","",IFERROR(INDEX(DATA!$E$2:$E$500,MATCH(A114,DATA!$D$2:$D$500,0)),""))</f>
        <v/>
      </c>
      <c r="C114" s="10" t="n"/>
      <c r="D114" s="10" t="n"/>
      <c r="E114" s="10" t="n"/>
      <c r="F114" s="10" t="n"/>
      <c r="G114" s="10" t="n"/>
      <c r="H114" s="10" t="n"/>
      <c r="I114" s="10" t="n"/>
      <c r="J114" s="12">
        <f>IF(OR(A114="",COUNT(C114:E114)&lt;3),"",IFERROR(MAX(0,FLOOR(($N$2-$N$3)/E114,1))*MAX(1,MIN(IF(G114="",1,G114),FLOOR($N$4/D114,1)))*IF(F114="",1,F114),""))</f>
        <v/>
      </c>
      <c r="K114" s="12">
        <f>IF(A114="","",IF(COUNTIF(DATA!$D$2:$D$500,A114)=0,"CEK SKU tidak ada di DATA",IF(COUNT(C114:E114)&lt;3,"CEK dimensi belum lengkap",IF(OR(C114&lt;=0,D114&lt;=0,E114&lt;=0),"CEK dimensi harus lebih dari 0",IF(COUNTIF($A$2:$A$500,A114)&gt;1,"CEK SKU dobel","OK")))))</f>
        <v/>
      </c>
    </row>
    <row r="115">
      <c r="A115" s="10" t="n"/>
      <c r="B115" s="12">
        <f>IF(A115="","",IFERROR(INDEX(DATA!$E$2:$E$500,MATCH(A115,DATA!$D$2:$D$500,0)),""))</f>
        <v/>
      </c>
      <c r="C115" s="10" t="n"/>
      <c r="D115" s="10" t="n"/>
      <c r="E115" s="10" t="n"/>
      <c r="F115" s="10" t="n"/>
      <c r="G115" s="10" t="n"/>
      <c r="H115" s="10" t="n"/>
      <c r="I115" s="10" t="n"/>
      <c r="J115" s="12">
        <f>IF(OR(A115="",COUNT(C115:E115)&lt;3),"",IFERROR(MAX(0,FLOOR(($N$2-$N$3)/E115,1))*MAX(1,MIN(IF(G115="",1,G115),FLOOR($N$4/D115,1)))*IF(F115="",1,F115),""))</f>
        <v/>
      </c>
      <c r="K115" s="12">
        <f>IF(A115="","",IF(COUNTIF(DATA!$D$2:$D$500,A115)=0,"CEK SKU tidak ada di DATA",IF(COUNT(C115:E115)&lt;3,"CEK dimensi belum lengkap",IF(OR(C115&lt;=0,D115&lt;=0,E115&lt;=0),"CEK dimensi harus lebih dari 0",IF(COUNTIF($A$2:$A$500,A115)&gt;1,"CEK SKU dobel","OK")))))</f>
        <v/>
      </c>
    </row>
    <row r="116">
      <c r="A116" s="10" t="n"/>
      <c r="B116" s="12">
        <f>IF(A116="","",IFERROR(INDEX(DATA!$E$2:$E$500,MATCH(A116,DATA!$D$2:$D$500,0)),""))</f>
        <v/>
      </c>
      <c r="C116" s="10" t="n"/>
      <c r="D116" s="10" t="n"/>
      <c r="E116" s="10" t="n"/>
      <c r="F116" s="10" t="n"/>
      <c r="G116" s="10" t="n"/>
      <c r="H116" s="10" t="n"/>
      <c r="I116" s="10" t="n"/>
      <c r="J116" s="12">
        <f>IF(OR(A116="",COUNT(C116:E116)&lt;3),"",IFERROR(MAX(0,FLOOR(($N$2-$N$3)/E116,1))*MAX(1,MIN(IF(G116="",1,G116),FLOOR($N$4/D116,1)))*IF(F116="",1,F116),""))</f>
        <v/>
      </c>
      <c r="K116" s="12">
        <f>IF(A116="","",IF(COUNTIF(DATA!$D$2:$D$500,A116)=0,"CEK SKU tidak ada di DATA",IF(COUNT(C116:E116)&lt;3,"CEK dimensi belum lengkap",IF(OR(C116&lt;=0,D116&lt;=0,E116&lt;=0),"CEK dimensi harus lebih dari 0",IF(COUNTIF($A$2:$A$500,A116)&gt;1,"CEK SKU dobel","OK")))))</f>
        <v/>
      </c>
    </row>
    <row r="117">
      <c r="A117" s="10" t="n"/>
      <c r="B117" s="12">
        <f>IF(A117="","",IFERROR(INDEX(DATA!$E$2:$E$500,MATCH(A117,DATA!$D$2:$D$500,0)),""))</f>
        <v/>
      </c>
      <c r="C117" s="10" t="n"/>
      <c r="D117" s="10" t="n"/>
      <c r="E117" s="10" t="n"/>
      <c r="F117" s="10" t="n"/>
      <c r="G117" s="10" t="n"/>
      <c r="H117" s="10" t="n"/>
      <c r="I117" s="10" t="n"/>
      <c r="J117" s="12">
        <f>IF(OR(A117="",COUNT(C117:E117)&lt;3),"",IFERROR(MAX(0,FLOOR(($N$2-$N$3)/E117,1))*MAX(1,MIN(IF(G117="",1,G117),FLOOR($N$4/D117,1)))*IF(F117="",1,F117),""))</f>
        <v/>
      </c>
      <c r="K117" s="12">
        <f>IF(A117="","",IF(COUNTIF(DATA!$D$2:$D$500,A117)=0,"CEK SKU tidak ada di DATA",IF(COUNT(C117:E117)&lt;3,"CEK dimensi belum lengkap",IF(OR(C117&lt;=0,D117&lt;=0,E117&lt;=0),"CEK dimensi harus lebih dari 0",IF(COUNTIF($A$2:$A$500,A117)&gt;1,"CEK SKU dobel","OK")))))</f>
        <v/>
      </c>
    </row>
    <row r="118">
      <c r="A118" s="10" t="n"/>
      <c r="B118" s="12">
        <f>IF(A118="","",IFERROR(INDEX(DATA!$E$2:$E$500,MATCH(A118,DATA!$D$2:$D$500,0)),""))</f>
        <v/>
      </c>
      <c r="C118" s="10" t="n"/>
      <c r="D118" s="10" t="n"/>
      <c r="E118" s="10" t="n"/>
      <c r="F118" s="10" t="n"/>
      <c r="G118" s="10" t="n"/>
      <c r="H118" s="10" t="n"/>
      <c r="I118" s="10" t="n"/>
      <c r="J118" s="12">
        <f>IF(OR(A118="",COUNT(C118:E118)&lt;3),"",IFERROR(MAX(0,FLOOR(($N$2-$N$3)/E118,1))*MAX(1,MIN(IF(G118="",1,G118),FLOOR($N$4/D118,1)))*IF(F118="",1,F118),""))</f>
        <v/>
      </c>
      <c r="K118" s="12">
        <f>IF(A118="","",IF(COUNTIF(DATA!$D$2:$D$500,A118)=0,"CEK SKU tidak ada di DATA",IF(COUNT(C118:E118)&lt;3,"CEK dimensi belum lengkap",IF(OR(C118&lt;=0,D118&lt;=0,E118&lt;=0),"CEK dimensi harus lebih dari 0",IF(COUNTIF($A$2:$A$500,A118)&gt;1,"CEK SKU dobel","OK")))))</f>
        <v/>
      </c>
    </row>
    <row r="119">
      <c r="A119" s="10" t="n"/>
      <c r="B119" s="12">
        <f>IF(A119="","",IFERROR(INDEX(DATA!$E$2:$E$500,MATCH(A119,DATA!$D$2:$D$500,0)),""))</f>
        <v/>
      </c>
      <c r="C119" s="10" t="n"/>
      <c r="D119" s="10" t="n"/>
      <c r="E119" s="10" t="n"/>
      <c r="F119" s="10" t="n"/>
      <c r="G119" s="10" t="n"/>
      <c r="H119" s="10" t="n"/>
      <c r="I119" s="10" t="n"/>
      <c r="J119" s="12">
        <f>IF(OR(A119="",COUNT(C119:E119)&lt;3),"",IFERROR(MAX(0,FLOOR(($N$2-$N$3)/E119,1))*MAX(1,MIN(IF(G119="",1,G119),FLOOR($N$4/D119,1)))*IF(F119="",1,F119),""))</f>
        <v/>
      </c>
      <c r="K119" s="12">
        <f>IF(A119="","",IF(COUNTIF(DATA!$D$2:$D$500,A119)=0,"CEK SKU tidak ada di DATA",IF(COUNT(C119:E119)&lt;3,"CEK dimensi belum lengkap",IF(OR(C119&lt;=0,D119&lt;=0,E119&lt;=0),"CEK dimensi harus lebih dari 0",IF(COUNTIF($A$2:$A$500,A119)&gt;1,"CEK SKU dobel","OK")))))</f>
        <v/>
      </c>
    </row>
    <row r="120">
      <c r="A120" s="10" t="n"/>
      <c r="B120" s="12">
        <f>IF(A120="","",IFERROR(INDEX(DATA!$E$2:$E$500,MATCH(A120,DATA!$D$2:$D$500,0)),""))</f>
        <v/>
      </c>
      <c r="C120" s="10" t="n"/>
      <c r="D120" s="10" t="n"/>
      <c r="E120" s="10" t="n"/>
      <c r="F120" s="10" t="n"/>
      <c r="G120" s="10" t="n"/>
      <c r="H120" s="10" t="n"/>
      <c r="I120" s="10" t="n"/>
      <c r="J120" s="12">
        <f>IF(OR(A120="",COUNT(C120:E120)&lt;3),"",IFERROR(MAX(0,FLOOR(($N$2-$N$3)/E120,1))*MAX(1,MIN(IF(G120="",1,G120),FLOOR($N$4/D120,1)))*IF(F120="",1,F120),""))</f>
        <v/>
      </c>
      <c r="K120" s="12">
        <f>IF(A120="","",IF(COUNTIF(DATA!$D$2:$D$500,A120)=0,"CEK SKU tidak ada di DATA",IF(COUNT(C120:E120)&lt;3,"CEK dimensi belum lengkap",IF(OR(C120&lt;=0,D120&lt;=0,E120&lt;=0),"CEK dimensi harus lebih dari 0",IF(COUNTIF($A$2:$A$500,A120)&gt;1,"CEK SKU dobel","OK")))))</f>
        <v/>
      </c>
    </row>
    <row r="121">
      <c r="A121" s="10" t="n"/>
      <c r="B121" s="12">
        <f>IF(A121="","",IFERROR(INDEX(DATA!$E$2:$E$500,MATCH(A121,DATA!$D$2:$D$500,0)),""))</f>
        <v/>
      </c>
      <c r="C121" s="10" t="n"/>
      <c r="D121" s="10" t="n"/>
      <c r="E121" s="10" t="n"/>
      <c r="F121" s="10" t="n"/>
      <c r="G121" s="10" t="n"/>
      <c r="H121" s="10" t="n"/>
      <c r="I121" s="10" t="n"/>
      <c r="J121" s="12">
        <f>IF(OR(A121="",COUNT(C121:E121)&lt;3),"",IFERROR(MAX(0,FLOOR(($N$2-$N$3)/E121,1))*MAX(1,MIN(IF(G121="",1,G121),FLOOR($N$4/D121,1)))*IF(F121="",1,F121),""))</f>
        <v/>
      </c>
      <c r="K121" s="12">
        <f>IF(A121="","",IF(COUNTIF(DATA!$D$2:$D$500,A121)=0,"CEK SKU tidak ada di DATA",IF(COUNT(C121:E121)&lt;3,"CEK dimensi belum lengkap",IF(OR(C121&lt;=0,D121&lt;=0,E121&lt;=0),"CEK dimensi harus lebih dari 0",IF(COUNTIF($A$2:$A$500,A121)&gt;1,"CEK SKU dobel","OK")))))</f>
        <v/>
      </c>
    </row>
    <row r="122">
      <c r="A122" s="10" t="n"/>
      <c r="B122" s="12">
        <f>IF(A122="","",IFERROR(INDEX(DATA!$E$2:$E$500,MATCH(A122,DATA!$D$2:$D$500,0)),""))</f>
        <v/>
      </c>
      <c r="C122" s="10" t="n"/>
      <c r="D122" s="10" t="n"/>
      <c r="E122" s="10" t="n"/>
      <c r="F122" s="10" t="n"/>
      <c r="G122" s="10" t="n"/>
      <c r="H122" s="10" t="n"/>
      <c r="I122" s="10" t="n"/>
      <c r="J122" s="12">
        <f>IF(OR(A122="",COUNT(C122:E122)&lt;3),"",IFERROR(MAX(0,FLOOR(($N$2-$N$3)/E122,1))*MAX(1,MIN(IF(G122="",1,G122),FLOOR($N$4/D122,1)))*IF(F122="",1,F122),""))</f>
        <v/>
      </c>
      <c r="K122" s="12">
        <f>IF(A122="","",IF(COUNTIF(DATA!$D$2:$D$500,A122)=0,"CEK SKU tidak ada di DATA",IF(COUNT(C122:E122)&lt;3,"CEK dimensi belum lengkap",IF(OR(C122&lt;=0,D122&lt;=0,E122&lt;=0),"CEK dimensi harus lebih dari 0",IF(COUNTIF($A$2:$A$500,A122)&gt;1,"CEK SKU dobel","OK")))))</f>
        <v/>
      </c>
    </row>
    <row r="123">
      <c r="A123" s="10" t="n"/>
      <c r="B123" s="12">
        <f>IF(A123="","",IFERROR(INDEX(DATA!$E$2:$E$500,MATCH(A123,DATA!$D$2:$D$500,0)),""))</f>
        <v/>
      </c>
      <c r="C123" s="10" t="n"/>
      <c r="D123" s="10" t="n"/>
      <c r="E123" s="10" t="n"/>
      <c r="F123" s="10" t="n"/>
      <c r="G123" s="10" t="n"/>
      <c r="H123" s="10" t="n"/>
      <c r="I123" s="10" t="n"/>
      <c r="J123" s="12">
        <f>IF(OR(A123="",COUNT(C123:E123)&lt;3),"",IFERROR(MAX(0,FLOOR(($N$2-$N$3)/E123,1))*MAX(1,MIN(IF(G123="",1,G123),FLOOR($N$4/D123,1)))*IF(F123="",1,F123),""))</f>
        <v/>
      </c>
      <c r="K123" s="12">
        <f>IF(A123="","",IF(COUNTIF(DATA!$D$2:$D$500,A123)=0,"CEK SKU tidak ada di DATA",IF(COUNT(C123:E123)&lt;3,"CEK dimensi belum lengkap",IF(OR(C123&lt;=0,D123&lt;=0,E123&lt;=0),"CEK dimensi harus lebih dari 0",IF(COUNTIF($A$2:$A$500,A123)&gt;1,"CEK SKU dobel","OK")))))</f>
        <v/>
      </c>
    </row>
    <row r="124">
      <c r="A124" s="10" t="n"/>
      <c r="B124" s="12">
        <f>IF(A124="","",IFERROR(INDEX(DATA!$E$2:$E$500,MATCH(A124,DATA!$D$2:$D$500,0)),""))</f>
        <v/>
      </c>
      <c r="C124" s="10" t="n"/>
      <c r="D124" s="10" t="n"/>
      <c r="E124" s="10" t="n"/>
      <c r="F124" s="10" t="n"/>
      <c r="G124" s="10" t="n"/>
      <c r="H124" s="10" t="n"/>
      <c r="I124" s="10" t="n"/>
      <c r="J124" s="12">
        <f>IF(OR(A124="",COUNT(C124:E124)&lt;3),"",IFERROR(MAX(0,FLOOR(($N$2-$N$3)/E124,1))*MAX(1,MIN(IF(G124="",1,G124),FLOOR($N$4/D124,1)))*IF(F124="",1,F124),""))</f>
        <v/>
      </c>
      <c r="K124" s="12">
        <f>IF(A124="","",IF(COUNTIF(DATA!$D$2:$D$500,A124)=0,"CEK SKU tidak ada di DATA",IF(COUNT(C124:E124)&lt;3,"CEK dimensi belum lengkap",IF(OR(C124&lt;=0,D124&lt;=0,E124&lt;=0),"CEK dimensi harus lebih dari 0",IF(COUNTIF($A$2:$A$500,A124)&gt;1,"CEK SKU dobel","OK")))))</f>
        <v/>
      </c>
    </row>
    <row r="125">
      <c r="A125" s="10" t="n"/>
      <c r="B125" s="12">
        <f>IF(A125="","",IFERROR(INDEX(DATA!$E$2:$E$500,MATCH(A125,DATA!$D$2:$D$500,0)),""))</f>
        <v/>
      </c>
      <c r="C125" s="10" t="n"/>
      <c r="D125" s="10" t="n"/>
      <c r="E125" s="10" t="n"/>
      <c r="F125" s="10" t="n"/>
      <c r="G125" s="10" t="n"/>
      <c r="H125" s="10" t="n"/>
      <c r="I125" s="10" t="n"/>
      <c r="J125" s="12">
        <f>IF(OR(A125="",COUNT(C125:E125)&lt;3),"",IFERROR(MAX(0,FLOOR(($N$2-$N$3)/E125,1))*MAX(1,MIN(IF(G125="",1,G125),FLOOR($N$4/D125,1)))*IF(F125="",1,F125),""))</f>
        <v/>
      </c>
      <c r="K125" s="12">
        <f>IF(A125="","",IF(COUNTIF(DATA!$D$2:$D$500,A125)=0,"CEK SKU tidak ada di DATA",IF(COUNT(C125:E125)&lt;3,"CEK dimensi belum lengkap",IF(OR(C125&lt;=0,D125&lt;=0,E125&lt;=0),"CEK dimensi harus lebih dari 0",IF(COUNTIF($A$2:$A$500,A125)&gt;1,"CEK SKU dobel","OK")))))</f>
        <v/>
      </c>
    </row>
    <row r="126">
      <c r="A126" s="10" t="n"/>
      <c r="B126" s="12">
        <f>IF(A126="","",IFERROR(INDEX(DATA!$E$2:$E$500,MATCH(A126,DATA!$D$2:$D$500,0)),""))</f>
        <v/>
      </c>
      <c r="C126" s="10" t="n"/>
      <c r="D126" s="10" t="n"/>
      <c r="E126" s="10" t="n"/>
      <c r="F126" s="10" t="n"/>
      <c r="G126" s="10" t="n"/>
      <c r="H126" s="10" t="n"/>
      <c r="I126" s="10" t="n"/>
      <c r="J126" s="12">
        <f>IF(OR(A126="",COUNT(C126:E126)&lt;3),"",IFERROR(MAX(0,FLOOR(($N$2-$N$3)/E126,1))*MAX(1,MIN(IF(G126="",1,G126),FLOOR($N$4/D126,1)))*IF(F126="",1,F126),""))</f>
        <v/>
      </c>
      <c r="K126" s="12">
        <f>IF(A126="","",IF(COUNTIF(DATA!$D$2:$D$500,A126)=0,"CEK SKU tidak ada di DATA",IF(COUNT(C126:E126)&lt;3,"CEK dimensi belum lengkap",IF(OR(C126&lt;=0,D126&lt;=0,E126&lt;=0),"CEK dimensi harus lebih dari 0",IF(COUNTIF($A$2:$A$500,A126)&gt;1,"CEK SKU dobel","OK")))))</f>
        <v/>
      </c>
    </row>
    <row r="127">
      <c r="A127" s="10" t="n"/>
      <c r="B127" s="12">
        <f>IF(A127="","",IFERROR(INDEX(DATA!$E$2:$E$500,MATCH(A127,DATA!$D$2:$D$500,0)),""))</f>
        <v/>
      </c>
      <c r="C127" s="10" t="n"/>
      <c r="D127" s="10" t="n"/>
      <c r="E127" s="10" t="n"/>
      <c r="F127" s="10" t="n"/>
      <c r="G127" s="10" t="n"/>
      <c r="H127" s="10" t="n"/>
      <c r="I127" s="10" t="n"/>
      <c r="J127" s="12">
        <f>IF(OR(A127="",COUNT(C127:E127)&lt;3),"",IFERROR(MAX(0,FLOOR(($N$2-$N$3)/E127,1))*MAX(1,MIN(IF(G127="",1,G127),FLOOR($N$4/D127,1)))*IF(F127="",1,F127),""))</f>
        <v/>
      </c>
      <c r="K127" s="12">
        <f>IF(A127="","",IF(COUNTIF(DATA!$D$2:$D$500,A127)=0,"CEK SKU tidak ada di DATA",IF(COUNT(C127:E127)&lt;3,"CEK dimensi belum lengkap",IF(OR(C127&lt;=0,D127&lt;=0,E127&lt;=0),"CEK dimensi harus lebih dari 0",IF(COUNTIF($A$2:$A$500,A127)&gt;1,"CEK SKU dobel","OK")))))</f>
        <v/>
      </c>
    </row>
    <row r="128">
      <c r="A128" s="10" t="n"/>
      <c r="B128" s="12">
        <f>IF(A128="","",IFERROR(INDEX(DATA!$E$2:$E$500,MATCH(A128,DATA!$D$2:$D$500,0)),""))</f>
        <v/>
      </c>
      <c r="C128" s="10" t="n"/>
      <c r="D128" s="10" t="n"/>
      <c r="E128" s="10" t="n"/>
      <c r="F128" s="10" t="n"/>
      <c r="G128" s="10" t="n"/>
      <c r="H128" s="10" t="n"/>
      <c r="I128" s="10" t="n"/>
      <c r="J128" s="12">
        <f>IF(OR(A128="",COUNT(C128:E128)&lt;3),"",IFERROR(MAX(0,FLOOR(($N$2-$N$3)/E128,1))*MAX(1,MIN(IF(G128="",1,G128),FLOOR($N$4/D128,1)))*IF(F128="",1,F128),""))</f>
        <v/>
      </c>
      <c r="K128" s="12">
        <f>IF(A128="","",IF(COUNTIF(DATA!$D$2:$D$500,A128)=0,"CEK SKU tidak ada di DATA",IF(COUNT(C128:E128)&lt;3,"CEK dimensi belum lengkap",IF(OR(C128&lt;=0,D128&lt;=0,E128&lt;=0),"CEK dimensi harus lebih dari 0",IF(COUNTIF($A$2:$A$500,A128)&gt;1,"CEK SKU dobel","OK")))))</f>
        <v/>
      </c>
    </row>
    <row r="129">
      <c r="A129" s="10" t="n"/>
      <c r="B129" s="12">
        <f>IF(A129="","",IFERROR(INDEX(DATA!$E$2:$E$500,MATCH(A129,DATA!$D$2:$D$500,0)),""))</f>
        <v/>
      </c>
      <c r="C129" s="10" t="n"/>
      <c r="D129" s="10" t="n"/>
      <c r="E129" s="10" t="n"/>
      <c r="F129" s="10" t="n"/>
      <c r="G129" s="10" t="n"/>
      <c r="H129" s="10" t="n"/>
      <c r="I129" s="10" t="n"/>
      <c r="J129" s="12">
        <f>IF(OR(A129="",COUNT(C129:E129)&lt;3),"",IFERROR(MAX(0,FLOOR(($N$2-$N$3)/E129,1))*MAX(1,MIN(IF(G129="",1,G129),FLOOR($N$4/D129,1)))*IF(F129="",1,F129),""))</f>
        <v/>
      </c>
      <c r="K129" s="12">
        <f>IF(A129="","",IF(COUNTIF(DATA!$D$2:$D$500,A129)=0,"CEK SKU tidak ada di DATA",IF(COUNT(C129:E129)&lt;3,"CEK dimensi belum lengkap",IF(OR(C129&lt;=0,D129&lt;=0,E129&lt;=0),"CEK dimensi harus lebih dari 0",IF(COUNTIF($A$2:$A$500,A129)&gt;1,"CEK SKU dobel","OK")))))</f>
        <v/>
      </c>
    </row>
    <row r="130">
      <c r="A130" s="10" t="n"/>
      <c r="B130" s="12">
        <f>IF(A130="","",IFERROR(INDEX(DATA!$E$2:$E$500,MATCH(A130,DATA!$D$2:$D$500,0)),""))</f>
        <v/>
      </c>
      <c r="C130" s="10" t="n"/>
      <c r="D130" s="10" t="n"/>
      <c r="E130" s="10" t="n"/>
      <c r="F130" s="10" t="n"/>
      <c r="G130" s="10" t="n"/>
      <c r="H130" s="10" t="n"/>
      <c r="I130" s="10" t="n"/>
      <c r="J130" s="12">
        <f>IF(OR(A130="",COUNT(C130:E130)&lt;3),"",IFERROR(MAX(0,FLOOR(($N$2-$N$3)/E130,1))*MAX(1,MIN(IF(G130="",1,G130),FLOOR($N$4/D130,1)))*IF(F130="",1,F130),""))</f>
        <v/>
      </c>
      <c r="K130" s="12">
        <f>IF(A130="","",IF(COUNTIF(DATA!$D$2:$D$500,A130)=0,"CEK SKU tidak ada di DATA",IF(COUNT(C130:E130)&lt;3,"CEK dimensi belum lengkap",IF(OR(C130&lt;=0,D130&lt;=0,E130&lt;=0),"CEK dimensi harus lebih dari 0",IF(COUNTIF($A$2:$A$500,A130)&gt;1,"CEK SKU dobel","OK")))))</f>
        <v/>
      </c>
    </row>
    <row r="131">
      <c r="A131" s="10" t="n"/>
      <c r="B131" s="12">
        <f>IF(A131="","",IFERROR(INDEX(DATA!$E$2:$E$500,MATCH(A131,DATA!$D$2:$D$500,0)),""))</f>
        <v/>
      </c>
      <c r="C131" s="10" t="n"/>
      <c r="D131" s="10" t="n"/>
      <c r="E131" s="10" t="n"/>
      <c r="F131" s="10" t="n"/>
      <c r="G131" s="10" t="n"/>
      <c r="H131" s="10" t="n"/>
      <c r="I131" s="10" t="n"/>
      <c r="J131" s="12">
        <f>IF(OR(A131="",COUNT(C131:E131)&lt;3),"",IFERROR(MAX(0,FLOOR(($N$2-$N$3)/E131,1))*MAX(1,MIN(IF(G131="",1,G131),FLOOR($N$4/D131,1)))*IF(F131="",1,F131),""))</f>
        <v/>
      </c>
      <c r="K131" s="12">
        <f>IF(A131="","",IF(COUNTIF(DATA!$D$2:$D$500,A131)=0,"CEK SKU tidak ada di DATA",IF(COUNT(C131:E131)&lt;3,"CEK dimensi belum lengkap",IF(OR(C131&lt;=0,D131&lt;=0,E131&lt;=0),"CEK dimensi harus lebih dari 0",IF(COUNTIF($A$2:$A$500,A131)&gt;1,"CEK SKU dobel","OK")))))</f>
        <v/>
      </c>
    </row>
    <row r="132">
      <c r="A132" s="10" t="n"/>
      <c r="B132" s="12">
        <f>IF(A132="","",IFERROR(INDEX(DATA!$E$2:$E$500,MATCH(A132,DATA!$D$2:$D$500,0)),""))</f>
        <v/>
      </c>
      <c r="C132" s="10" t="n"/>
      <c r="D132" s="10" t="n"/>
      <c r="E132" s="10" t="n"/>
      <c r="F132" s="10" t="n"/>
      <c r="G132" s="10" t="n"/>
      <c r="H132" s="10" t="n"/>
      <c r="I132" s="10" t="n"/>
      <c r="J132" s="12">
        <f>IF(OR(A132="",COUNT(C132:E132)&lt;3),"",IFERROR(MAX(0,FLOOR(($N$2-$N$3)/E132,1))*MAX(1,MIN(IF(G132="",1,G132),FLOOR($N$4/D132,1)))*IF(F132="",1,F132),""))</f>
        <v/>
      </c>
      <c r="K132" s="12">
        <f>IF(A132="","",IF(COUNTIF(DATA!$D$2:$D$500,A132)=0,"CEK SKU tidak ada di DATA",IF(COUNT(C132:E132)&lt;3,"CEK dimensi belum lengkap",IF(OR(C132&lt;=0,D132&lt;=0,E132&lt;=0),"CEK dimensi harus lebih dari 0",IF(COUNTIF($A$2:$A$500,A132)&gt;1,"CEK SKU dobel","OK")))))</f>
        <v/>
      </c>
    </row>
    <row r="133">
      <c r="A133" s="10" t="n"/>
      <c r="B133" s="12">
        <f>IF(A133="","",IFERROR(INDEX(DATA!$E$2:$E$500,MATCH(A133,DATA!$D$2:$D$500,0)),""))</f>
        <v/>
      </c>
      <c r="C133" s="10" t="n"/>
      <c r="D133" s="10" t="n"/>
      <c r="E133" s="10" t="n"/>
      <c r="F133" s="10" t="n"/>
      <c r="G133" s="10" t="n"/>
      <c r="H133" s="10" t="n"/>
      <c r="I133" s="10" t="n"/>
      <c r="J133" s="12">
        <f>IF(OR(A133="",COUNT(C133:E133)&lt;3),"",IFERROR(MAX(0,FLOOR(($N$2-$N$3)/E133,1))*MAX(1,MIN(IF(G133="",1,G133),FLOOR($N$4/D133,1)))*IF(F133="",1,F133),""))</f>
        <v/>
      </c>
      <c r="K133" s="12">
        <f>IF(A133="","",IF(COUNTIF(DATA!$D$2:$D$500,A133)=0,"CEK SKU tidak ada di DATA",IF(COUNT(C133:E133)&lt;3,"CEK dimensi belum lengkap",IF(OR(C133&lt;=0,D133&lt;=0,E133&lt;=0),"CEK dimensi harus lebih dari 0",IF(COUNTIF($A$2:$A$500,A133)&gt;1,"CEK SKU dobel","OK")))))</f>
        <v/>
      </c>
    </row>
    <row r="134">
      <c r="A134" s="10" t="n"/>
      <c r="B134" s="12">
        <f>IF(A134="","",IFERROR(INDEX(DATA!$E$2:$E$500,MATCH(A134,DATA!$D$2:$D$500,0)),""))</f>
        <v/>
      </c>
      <c r="C134" s="10" t="n"/>
      <c r="D134" s="10" t="n"/>
      <c r="E134" s="10" t="n"/>
      <c r="F134" s="10" t="n"/>
      <c r="G134" s="10" t="n"/>
      <c r="H134" s="10" t="n"/>
      <c r="I134" s="10" t="n"/>
      <c r="J134" s="12">
        <f>IF(OR(A134="",COUNT(C134:E134)&lt;3),"",IFERROR(MAX(0,FLOOR(($N$2-$N$3)/E134,1))*MAX(1,MIN(IF(G134="",1,G134),FLOOR($N$4/D134,1)))*IF(F134="",1,F134),""))</f>
        <v/>
      </c>
      <c r="K134" s="12">
        <f>IF(A134="","",IF(COUNTIF(DATA!$D$2:$D$500,A134)=0,"CEK SKU tidak ada di DATA",IF(COUNT(C134:E134)&lt;3,"CEK dimensi belum lengkap",IF(OR(C134&lt;=0,D134&lt;=0,E134&lt;=0),"CEK dimensi harus lebih dari 0",IF(COUNTIF($A$2:$A$500,A134)&gt;1,"CEK SKU dobel","OK")))))</f>
        <v/>
      </c>
    </row>
    <row r="135">
      <c r="A135" s="10" t="n"/>
      <c r="B135" s="12">
        <f>IF(A135="","",IFERROR(INDEX(DATA!$E$2:$E$500,MATCH(A135,DATA!$D$2:$D$500,0)),""))</f>
        <v/>
      </c>
      <c r="C135" s="10" t="n"/>
      <c r="D135" s="10" t="n"/>
      <c r="E135" s="10" t="n"/>
      <c r="F135" s="10" t="n"/>
      <c r="G135" s="10" t="n"/>
      <c r="H135" s="10" t="n"/>
      <c r="I135" s="10" t="n"/>
      <c r="J135" s="12">
        <f>IF(OR(A135="",COUNT(C135:E135)&lt;3),"",IFERROR(MAX(0,FLOOR(($N$2-$N$3)/E135,1))*MAX(1,MIN(IF(G135="",1,G135),FLOOR($N$4/D135,1)))*IF(F135="",1,F135),""))</f>
        <v/>
      </c>
      <c r="K135" s="12">
        <f>IF(A135="","",IF(COUNTIF(DATA!$D$2:$D$500,A135)=0,"CEK SKU tidak ada di DATA",IF(COUNT(C135:E135)&lt;3,"CEK dimensi belum lengkap",IF(OR(C135&lt;=0,D135&lt;=0,E135&lt;=0),"CEK dimensi harus lebih dari 0",IF(COUNTIF($A$2:$A$500,A135)&gt;1,"CEK SKU dobel","OK")))))</f>
        <v/>
      </c>
    </row>
    <row r="136">
      <c r="A136" s="10" t="n"/>
      <c r="B136" s="12">
        <f>IF(A136="","",IFERROR(INDEX(DATA!$E$2:$E$500,MATCH(A136,DATA!$D$2:$D$500,0)),""))</f>
        <v/>
      </c>
      <c r="C136" s="10" t="n"/>
      <c r="D136" s="10" t="n"/>
      <c r="E136" s="10" t="n"/>
      <c r="F136" s="10" t="n"/>
      <c r="G136" s="10" t="n"/>
      <c r="H136" s="10" t="n"/>
      <c r="I136" s="10" t="n"/>
      <c r="J136" s="12">
        <f>IF(OR(A136="",COUNT(C136:E136)&lt;3),"",IFERROR(MAX(0,FLOOR(($N$2-$N$3)/E136,1))*MAX(1,MIN(IF(G136="",1,G136),FLOOR($N$4/D136,1)))*IF(F136="",1,F136),""))</f>
        <v/>
      </c>
      <c r="K136" s="12">
        <f>IF(A136="","",IF(COUNTIF(DATA!$D$2:$D$500,A136)=0,"CEK SKU tidak ada di DATA",IF(COUNT(C136:E136)&lt;3,"CEK dimensi belum lengkap",IF(OR(C136&lt;=0,D136&lt;=0,E136&lt;=0),"CEK dimensi harus lebih dari 0",IF(COUNTIF($A$2:$A$500,A136)&gt;1,"CEK SKU dobel","OK")))))</f>
        <v/>
      </c>
    </row>
    <row r="137">
      <c r="A137" s="10" t="n"/>
      <c r="B137" s="12">
        <f>IF(A137="","",IFERROR(INDEX(DATA!$E$2:$E$500,MATCH(A137,DATA!$D$2:$D$500,0)),""))</f>
        <v/>
      </c>
      <c r="C137" s="10" t="n"/>
      <c r="D137" s="10" t="n"/>
      <c r="E137" s="10" t="n"/>
      <c r="F137" s="10" t="n"/>
      <c r="G137" s="10" t="n"/>
      <c r="H137" s="10" t="n"/>
      <c r="I137" s="10" t="n"/>
      <c r="J137" s="12">
        <f>IF(OR(A137="",COUNT(C137:E137)&lt;3),"",IFERROR(MAX(0,FLOOR(($N$2-$N$3)/E137,1))*MAX(1,MIN(IF(G137="",1,G137),FLOOR($N$4/D137,1)))*IF(F137="",1,F137),""))</f>
        <v/>
      </c>
      <c r="K137" s="12">
        <f>IF(A137="","",IF(COUNTIF(DATA!$D$2:$D$500,A137)=0,"CEK SKU tidak ada di DATA",IF(COUNT(C137:E137)&lt;3,"CEK dimensi belum lengkap",IF(OR(C137&lt;=0,D137&lt;=0,E137&lt;=0),"CEK dimensi harus lebih dari 0",IF(COUNTIF($A$2:$A$500,A137)&gt;1,"CEK SKU dobel","OK")))))</f>
        <v/>
      </c>
    </row>
    <row r="138">
      <c r="A138" s="10" t="n"/>
      <c r="B138" s="12">
        <f>IF(A138="","",IFERROR(INDEX(DATA!$E$2:$E$500,MATCH(A138,DATA!$D$2:$D$500,0)),""))</f>
        <v/>
      </c>
      <c r="C138" s="10" t="n"/>
      <c r="D138" s="10" t="n"/>
      <c r="E138" s="10" t="n"/>
      <c r="F138" s="10" t="n"/>
      <c r="G138" s="10" t="n"/>
      <c r="H138" s="10" t="n"/>
      <c r="I138" s="10" t="n"/>
      <c r="J138" s="12">
        <f>IF(OR(A138="",COUNT(C138:E138)&lt;3),"",IFERROR(MAX(0,FLOOR(($N$2-$N$3)/E138,1))*MAX(1,MIN(IF(G138="",1,G138),FLOOR($N$4/D138,1)))*IF(F138="",1,F138),""))</f>
        <v/>
      </c>
      <c r="K138" s="12">
        <f>IF(A138="","",IF(COUNTIF(DATA!$D$2:$D$500,A138)=0,"CEK SKU tidak ada di DATA",IF(COUNT(C138:E138)&lt;3,"CEK dimensi belum lengkap",IF(OR(C138&lt;=0,D138&lt;=0,E138&lt;=0),"CEK dimensi harus lebih dari 0",IF(COUNTIF($A$2:$A$500,A138)&gt;1,"CEK SKU dobel","OK")))))</f>
        <v/>
      </c>
    </row>
    <row r="139">
      <c r="A139" s="10" t="n"/>
      <c r="B139" s="12">
        <f>IF(A139="","",IFERROR(INDEX(DATA!$E$2:$E$500,MATCH(A139,DATA!$D$2:$D$500,0)),""))</f>
        <v/>
      </c>
      <c r="C139" s="10" t="n"/>
      <c r="D139" s="10" t="n"/>
      <c r="E139" s="10" t="n"/>
      <c r="F139" s="10" t="n"/>
      <c r="G139" s="10" t="n"/>
      <c r="H139" s="10" t="n"/>
      <c r="I139" s="10" t="n"/>
      <c r="J139" s="12">
        <f>IF(OR(A139="",COUNT(C139:E139)&lt;3),"",IFERROR(MAX(0,FLOOR(($N$2-$N$3)/E139,1))*MAX(1,MIN(IF(G139="",1,G139),FLOOR($N$4/D139,1)))*IF(F139="",1,F139),""))</f>
        <v/>
      </c>
      <c r="K139" s="12">
        <f>IF(A139="","",IF(COUNTIF(DATA!$D$2:$D$500,A139)=0,"CEK SKU tidak ada di DATA",IF(COUNT(C139:E139)&lt;3,"CEK dimensi belum lengkap",IF(OR(C139&lt;=0,D139&lt;=0,E139&lt;=0),"CEK dimensi harus lebih dari 0",IF(COUNTIF($A$2:$A$500,A139)&gt;1,"CEK SKU dobel","OK")))))</f>
        <v/>
      </c>
    </row>
    <row r="140">
      <c r="A140" s="10" t="n"/>
      <c r="B140" s="12">
        <f>IF(A140="","",IFERROR(INDEX(DATA!$E$2:$E$500,MATCH(A140,DATA!$D$2:$D$500,0)),""))</f>
        <v/>
      </c>
      <c r="C140" s="10" t="n"/>
      <c r="D140" s="10" t="n"/>
      <c r="E140" s="10" t="n"/>
      <c r="F140" s="10" t="n"/>
      <c r="G140" s="10" t="n"/>
      <c r="H140" s="10" t="n"/>
      <c r="I140" s="10" t="n"/>
      <c r="J140" s="12">
        <f>IF(OR(A140="",COUNT(C140:E140)&lt;3),"",IFERROR(MAX(0,FLOOR(($N$2-$N$3)/E140,1))*MAX(1,MIN(IF(G140="",1,G140),FLOOR($N$4/D140,1)))*IF(F140="",1,F140),""))</f>
        <v/>
      </c>
      <c r="K140" s="12">
        <f>IF(A140="","",IF(COUNTIF(DATA!$D$2:$D$500,A140)=0,"CEK SKU tidak ada di DATA",IF(COUNT(C140:E140)&lt;3,"CEK dimensi belum lengkap",IF(OR(C140&lt;=0,D140&lt;=0,E140&lt;=0),"CEK dimensi harus lebih dari 0",IF(COUNTIF($A$2:$A$500,A140)&gt;1,"CEK SKU dobel","OK")))))</f>
        <v/>
      </c>
    </row>
    <row r="141">
      <c r="A141" s="10" t="n"/>
      <c r="B141" s="12">
        <f>IF(A141="","",IFERROR(INDEX(DATA!$E$2:$E$500,MATCH(A141,DATA!$D$2:$D$500,0)),""))</f>
        <v/>
      </c>
      <c r="C141" s="10" t="n"/>
      <c r="D141" s="10" t="n"/>
      <c r="E141" s="10" t="n"/>
      <c r="F141" s="10" t="n"/>
      <c r="G141" s="10" t="n"/>
      <c r="H141" s="10" t="n"/>
      <c r="I141" s="10" t="n"/>
      <c r="J141" s="12">
        <f>IF(OR(A141="",COUNT(C141:E141)&lt;3),"",IFERROR(MAX(0,FLOOR(($N$2-$N$3)/E141,1))*MAX(1,MIN(IF(G141="",1,G141),FLOOR($N$4/D141,1)))*IF(F141="",1,F141),""))</f>
        <v/>
      </c>
      <c r="K141" s="12">
        <f>IF(A141="","",IF(COUNTIF(DATA!$D$2:$D$500,A141)=0,"CEK SKU tidak ada di DATA",IF(COUNT(C141:E141)&lt;3,"CEK dimensi belum lengkap",IF(OR(C141&lt;=0,D141&lt;=0,E141&lt;=0),"CEK dimensi harus lebih dari 0",IF(COUNTIF($A$2:$A$500,A141)&gt;1,"CEK SKU dobel","OK")))))</f>
        <v/>
      </c>
    </row>
    <row r="142">
      <c r="A142" s="10" t="n"/>
      <c r="B142" s="12">
        <f>IF(A142="","",IFERROR(INDEX(DATA!$E$2:$E$500,MATCH(A142,DATA!$D$2:$D$500,0)),""))</f>
        <v/>
      </c>
      <c r="C142" s="10" t="n"/>
      <c r="D142" s="10" t="n"/>
      <c r="E142" s="10" t="n"/>
      <c r="F142" s="10" t="n"/>
      <c r="G142" s="10" t="n"/>
      <c r="H142" s="10" t="n"/>
      <c r="I142" s="10" t="n"/>
      <c r="J142" s="12">
        <f>IF(OR(A142="",COUNT(C142:E142)&lt;3),"",IFERROR(MAX(0,FLOOR(($N$2-$N$3)/E142,1))*MAX(1,MIN(IF(G142="",1,G142),FLOOR($N$4/D142,1)))*IF(F142="",1,F142),""))</f>
        <v/>
      </c>
      <c r="K142" s="12">
        <f>IF(A142="","",IF(COUNTIF(DATA!$D$2:$D$500,A142)=0,"CEK SKU tidak ada di DATA",IF(COUNT(C142:E142)&lt;3,"CEK dimensi belum lengkap",IF(OR(C142&lt;=0,D142&lt;=0,E142&lt;=0),"CEK dimensi harus lebih dari 0",IF(COUNTIF($A$2:$A$500,A142)&gt;1,"CEK SKU dobel","OK")))))</f>
        <v/>
      </c>
    </row>
    <row r="143">
      <c r="A143" s="10" t="n"/>
      <c r="B143" s="12">
        <f>IF(A143="","",IFERROR(INDEX(DATA!$E$2:$E$500,MATCH(A143,DATA!$D$2:$D$500,0)),""))</f>
        <v/>
      </c>
      <c r="C143" s="10" t="n"/>
      <c r="D143" s="10" t="n"/>
      <c r="E143" s="10" t="n"/>
      <c r="F143" s="10" t="n"/>
      <c r="G143" s="10" t="n"/>
      <c r="H143" s="10" t="n"/>
      <c r="I143" s="10" t="n"/>
      <c r="J143" s="12">
        <f>IF(OR(A143="",COUNT(C143:E143)&lt;3),"",IFERROR(MAX(0,FLOOR(($N$2-$N$3)/E143,1))*MAX(1,MIN(IF(G143="",1,G143),FLOOR($N$4/D143,1)))*IF(F143="",1,F143),""))</f>
        <v/>
      </c>
      <c r="K143" s="12">
        <f>IF(A143="","",IF(COUNTIF(DATA!$D$2:$D$500,A143)=0,"CEK SKU tidak ada di DATA",IF(COUNT(C143:E143)&lt;3,"CEK dimensi belum lengkap",IF(OR(C143&lt;=0,D143&lt;=0,E143&lt;=0),"CEK dimensi harus lebih dari 0",IF(COUNTIF($A$2:$A$500,A143)&gt;1,"CEK SKU dobel","OK")))))</f>
        <v/>
      </c>
    </row>
    <row r="144">
      <c r="A144" s="10" t="n"/>
      <c r="B144" s="12">
        <f>IF(A144="","",IFERROR(INDEX(DATA!$E$2:$E$500,MATCH(A144,DATA!$D$2:$D$500,0)),""))</f>
        <v/>
      </c>
      <c r="C144" s="10" t="n"/>
      <c r="D144" s="10" t="n"/>
      <c r="E144" s="10" t="n"/>
      <c r="F144" s="10" t="n"/>
      <c r="G144" s="10" t="n"/>
      <c r="H144" s="10" t="n"/>
      <c r="I144" s="10" t="n"/>
      <c r="J144" s="12">
        <f>IF(OR(A144="",COUNT(C144:E144)&lt;3),"",IFERROR(MAX(0,FLOOR(($N$2-$N$3)/E144,1))*MAX(1,MIN(IF(G144="",1,G144),FLOOR($N$4/D144,1)))*IF(F144="",1,F144),""))</f>
        <v/>
      </c>
      <c r="K144" s="12">
        <f>IF(A144="","",IF(COUNTIF(DATA!$D$2:$D$500,A144)=0,"CEK SKU tidak ada di DATA",IF(COUNT(C144:E144)&lt;3,"CEK dimensi belum lengkap",IF(OR(C144&lt;=0,D144&lt;=0,E144&lt;=0),"CEK dimensi harus lebih dari 0",IF(COUNTIF($A$2:$A$500,A144)&gt;1,"CEK SKU dobel","OK")))))</f>
        <v/>
      </c>
    </row>
    <row r="145">
      <c r="A145" s="10" t="n"/>
      <c r="B145" s="12">
        <f>IF(A145="","",IFERROR(INDEX(DATA!$E$2:$E$500,MATCH(A145,DATA!$D$2:$D$500,0)),""))</f>
        <v/>
      </c>
      <c r="C145" s="10" t="n"/>
      <c r="D145" s="10" t="n"/>
      <c r="E145" s="10" t="n"/>
      <c r="F145" s="10" t="n"/>
      <c r="G145" s="10" t="n"/>
      <c r="H145" s="10" t="n"/>
      <c r="I145" s="10" t="n"/>
      <c r="J145" s="12">
        <f>IF(OR(A145="",COUNT(C145:E145)&lt;3),"",IFERROR(MAX(0,FLOOR(($N$2-$N$3)/E145,1))*MAX(1,MIN(IF(G145="",1,G145),FLOOR($N$4/D145,1)))*IF(F145="",1,F145),""))</f>
        <v/>
      </c>
      <c r="K145" s="12">
        <f>IF(A145="","",IF(COUNTIF(DATA!$D$2:$D$500,A145)=0,"CEK SKU tidak ada di DATA",IF(COUNT(C145:E145)&lt;3,"CEK dimensi belum lengkap",IF(OR(C145&lt;=0,D145&lt;=0,E145&lt;=0),"CEK dimensi harus lebih dari 0",IF(COUNTIF($A$2:$A$500,A145)&gt;1,"CEK SKU dobel","OK")))))</f>
        <v/>
      </c>
    </row>
    <row r="146">
      <c r="A146" s="10" t="n"/>
      <c r="B146" s="12">
        <f>IF(A146="","",IFERROR(INDEX(DATA!$E$2:$E$500,MATCH(A146,DATA!$D$2:$D$500,0)),""))</f>
        <v/>
      </c>
      <c r="C146" s="10" t="n"/>
      <c r="D146" s="10" t="n"/>
      <c r="E146" s="10" t="n"/>
      <c r="F146" s="10" t="n"/>
      <c r="G146" s="10" t="n"/>
      <c r="H146" s="10" t="n"/>
      <c r="I146" s="10" t="n"/>
      <c r="J146" s="12">
        <f>IF(OR(A146="",COUNT(C146:E146)&lt;3),"",IFERROR(MAX(0,FLOOR(($N$2-$N$3)/E146,1))*MAX(1,MIN(IF(G146="",1,G146),FLOOR($N$4/D146,1)))*IF(F146="",1,F146),""))</f>
        <v/>
      </c>
      <c r="K146" s="12">
        <f>IF(A146="","",IF(COUNTIF(DATA!$D$2:$D$500,A146)=0,"CEK SKU tidak ada di DATA",IF(COUNT(C146:E146)&lt;3,"CEK dimensi belum lengkap",IF(OR(C146&lt;=0,D146&lt;=0,E146&lt;=0),"CEK dimensi harus lebih dari 0",IF(COUNTIF($A$2:$A$500,A146)&gt;1,"CEK SKU dobel","OK")))))</f>
        <v/>
      </c>
    </row>
    <row r="147">
      <c r="A147" s="10" t="n"/>
      <c r="B147" s="12">
        <f>IF(A147="","",IFERROR(INDEX(DATA!$E$2:$E$500,MATCH(A147,DATA!$D$2:$D$500,0)),""))</f>
        <v/>
      </c>
      <c r="C147" s="10" t="n"/>
      <c r="D147" s="10" t="n"/>
      <c r="E147" s="10" t="n"/>
      <c r="F147" s="10" t="n"/>
      <c r="G147" s="10" t="n"/>
      <c r="H147" s="10" t="n"/>
      <c r="I147" s="10" t="n"/>
      <c r="J147" s="12">
        <f>IF(OR(A147="",COUNT(C147:E147)&lt;3),"",IFERROR(MAX(0,FLOOR(($N$2-$N$3)/E147,1))*MAX(1,MIN(IF(G147="",1,G147),FLOOR($N$4/D147,1)))*IF(F147="",1,F147),""))</f>
        <v/>
      </c>
      <c r="K147" s="12">
        <f>IF(A147="","",IF(COUNTIF(DATA!$D$2:$D$500,A147)=0,"CEK SKU tidak ada di DATA",IF(COUNT(C147:E147)&lt;3,"CEK dimensi belum lengkap",IF(OR(C147&lt;=0,D147&lt;=0,E147&lt;=0),"CEK dimensi harus lebih dari 0",IF(COUNTIF($A$2:$A$500,A147)&gt;1,"CEK SKU dobel","OK")))))</f>
        <v/>
      </c>
    </row>
    <row r="148">
      <c r="A148" s="10" t="n"/>
      <c r="B148" s="12">
        <f>IF(A148="","",IFERROR(INDEX(DATA!$E$2:$E$500,MATCH(A148,DATA!$D$2:$D$500,0)),""))</f>
        <v/>
      </c>
      <c r="C148" s="10" t="n"/>
      <c r="D148" s="10" t="n"/>
      <c r="E148" s="10" t="n"/>
      <c r="F148" s="10" t="n"/>
      <c r="G148" s="10" t="n"/>
      <c r="H148" s="10" t="n"/>
      <c r="I148" s="10" t="n"/>
      <c r="J148" s="12">
        <f>IF(OR(A148="",COUNT(C148:E148)&lt;3),"",IFERROR(MAX(0,FLOOR(($N$2-$N$3)/E148,1))*MAX(1,MIN(IF(G148="",1,G148),FLOOR($N$4/D148,1)))*IF(F148="",1,F148),""))</f>
        <v/>
      </c>
      <c r="K148" s="12">
        <f>IF(A148="","",IF(COUNTIF(DATA!$D$2:$D$500,A148)=0,"CEK SKU tidak ada di DATA",IF(COUNT(C148:E148)&lt;3,"CEK dimensi belum lengkap",IF(OR(C148&lt;=0,D148&lt;=0,E148&lt;=0),"CEK dimensi harus lebih dari 0",IF(COUNTIF($A$2:$A$500,A148)&gt;1,"CEK SKU dobel","OK")))))</f>
        <v/>
      </c>
    </row>
    <row r="149">
      <c r="A149" s="10" t="n"/>
      <c r="B149" s="12">
        <f>IF(A149="","",IFERROR(INDEX(DATA!$E$2:$E$500,MATCH(A149,DATA!$D$2:$D$500,0)),""))</f>
        <v/>
      </c>
      <c r="C149" s="10" t="n"/>
      <c r="D149" s="10" t="n"/>
      <c r="E149" s="10" t="n"/>
      <c r="F149" s="10" t="n"/>
      <c r="G149" s="10" t="n"/>
      <c r="H149" s="10" t="n"/>
      <c r="I149" s="10" t="n"/>
      <c r="J149" s="12">
        <f>IF(OR(A149="",COUNT(C149:E149)&lt;3),"",IFERROR(MAX(0,FLOOR(($N$2-$N$3)/E149,1))*MAX(1,MIN(IF(G149="",1,G149),FLOOR($N$4/D149,1)))*IF(F149="",1,F149),""))</f>
        <v/>
      </c>
      <c r="K149" s="12">
        <f>IF(A149="","",IF(COUNTIF(DATA!$D$2:$D$500,A149)=0,"CEK SKU tidak ada di DATA",IF(COUNT(C149:E149)&lt;3,"CEK dimensi belum lengkap",IF(OR(C149&lt;=0,D149&lt;=0,E149&lt;=0),"CEK dimensi harus lebih dari 0",IF(COUNTIF($A$2:$A$500,A149)&gt;1,"CEK SKU dobel","OK")))))</f>
        <v/>
      </c>
    </row>
    <row r="150">
      <c r="A150" s="10" t="n"/>
      <c r="B150" s="12">
        <f>IF(A150="","",IFERROR(INDEX(DATA!$E$2:$E$500,MATCH(A150,DATA!$D$2:$D$500,0)),""))</f>
        <v/>
      </c>
      <c r="C150" s="10" t="n"/>
      <c r="D150" s="10" t="n"/>
      <c r="E150" s="10" t="n"/>
      <c r="F150" s="10" t="n"/>
      <c r="G150" s="10" t="n"/>
      <c r="H150" s="10" t="n"/>
      <c r="I150" s="10" t="n"/>
      <c r="J150" s="12">
        <f>IF(OR(A150="",COUNT(C150:E150)&lt;3),"",IFERROR(MAX(0,FLOOR(($N$2-$N$3)/E150,1))*MAX(1,MIN(IF(G150="",1,G150),FLOOR($N$4/D150,1)))*IF(F150="",1,F150),""))</f>
        <v/>
      </c>
      <c r="K150" s="12">
        <f>IF(A150="","",IF(COUNTIF(DATA!$D$2:$D$500,A150)=0,"CEK SKU tidak ada di DATA",IF(COUNT(C150:E150)&lt;3,"CEK dimensi belum lengkap",IF(OR(C150&lt;=0,D150&lt;=0,E150&lt;=0),"CEK dimensi harus lebih dari 0",IF(COUNTIF($A$2:$A$500,A150)&gt;1,"CEK SKU dobel","OK")))))</f>
        <v/>
      </c>
    </row>
    <row r="151">
      <c r="A151" s="10" t="n"/>
      <c r="B151" s="12">
        <f>IF(A151="","",IFERROR(INDEX(DATA!$E$2:$E$500,MATCH(A151,DATA!$D$2:$D$500,0)),""))</f>
        <v/>
      </c>
      <c r="C151" s="10" t="n"/>
      <c r="D151" s="10" t="n"/>
      <c r="E151" s="10" t="n"/>
      <c r="F151" s="10" t="n"/>
      <c r="G151" s="10" t="n"/>
      <c r="H151" s="10" t="n"/>
      <c r="I151" s="10" t="n"/>
      <c r="J151" s="12">
        <f>IF(OR(A151="",COUNT(C151:E151)&lt;3),"",IFERROR(MAX(0,FLOOR(($N$2-$N$3)/E151,1))*MAX(1,MIN(IF(G151="",1,G151),FLOOR($N$4/D151,1)))*IF(F151="",1,F151),""))</f>
        <v/>
      </c>
      <c r="K151" s="12">
        <f>IF(A151="","",IF(COUNTIF(DATA!$D$2:$D$500,A151)=0,"CEK SKU tidak ada di DATA",IF(COUNT(C151:E151)&lt;3,"CEK dimensi belum lengkap",IF(OR(C151&lt;=0,D151&lt;=0,E151&lt;=0),"CEK dimensi harus lebih dari 0",IF(COUNTIF($A$2:$A$500,A151)&gt;1,"CEK SKU dobel","OK")))))</f>
        <v/>
      </c>
    </row>
    <row r="152">
      <c r="A152" s="10" t="n"/>
      <c r="B152" s="12">
        <f>IF(A152="","",IFERROR(INDEX(DATA!$E$2:$E$500,MATCH(A152,DATA!$D$2:$D$500,0)),""))</f>
        <v/>
      </c>
      <c r="C152" s="10" t="n"/>
      <c r="D152" s="10" t="n"/>
      <c r="E152" s="10" t="n"/>
      <c r="F152" s="10" t="n"/>
      <c r="G152" s="10" t="n"/>
      <c r="H152" s="10" t="n"/>
      <c r="I152" s="10" t="n"/>
      <c r="J152" s="12">
        <f>IF(OR(A152="",COUNT(C152:E152)&lt;3),"",IFERROR(MAX(0,FLOOR(($N$2-$N$3)/E152,1))*MAX(1,MIN(IF(G152="",1,G152),FLOOR($N$4/D152,1)))*IF(F152="",1,F152),""))</f>
        <v/>
      </c>
      <c r="K152" s="12">
        <f>IF(A152="","",IF(COUNTIF(DATA!$D$2:$D$500,A152)=0,"CEK SKU tidak ada di DATA",IF(COUNT(C152:E152)&lt;3,"CEK dimensi belum lengkap",IF(OR(C152&lt;=0,D152&lt;=0,E152&lt;=0),"CEK dimensi harus lebih dari 0",IF(COUNTIF($A$2:$A$500,A152)&gt;1,"CEK SKU dobel","OK")))))</f>
        <v/>
      </c>
    </row>
    <row r="153">
      <c r="A153" s="10" t="n"/>
      <c r="B153" s="12">
        <f>IF(A153="","",IFERROR(INDEX(DATA!$E$2:$E$500,MATCH(A153,DATA!$D$2:$D$500,0)),""))</f>
        <v/>
      </c>
      <c r="C153" s="10" t="n"/>
      <c r="D153" s="10" t="n"/>
      <c r="E153" s="10" t="n"/>
      <c r="F153" s="10" t="n"/>
      <c r="G153" s="10" t="n"/>
      <c r="H153" s="10" t="n"/>
      <c r="I153" s="10" t="n"/>
      <c r="J153" s="12">
        <f>IF(OR(A153="",COUNT(C153:E153)&lt;3),"",IFERROR(MAX(0,FLOOR(($N$2-$N$3)/E153,1))*MAX(1,MIN(IF(G153="",1,G153),FLOOR($N$4/D153,1)))*IF(F153="",1,F153),""))</f>
        <v/>
      </c>
      <c r="K153" s="12">
        <f>IF(A153="","",IF(COUNTIF(DATA!$D$2:$D$500,A153)=0,"CEK SKU tidak ada di DATA",IF(COUNT(C153:E153)&lt;3,"CEK dimensi belum lengkap",IF(OR(C153&lt;=0,D153&lt;=0,E153&lt;=0),"CEK dimensi harus lebih dari 0",IF(COUNTIF($A$2:$A$500,A153)&gt;1,"CEK SKU dobel","OK")))))</f>
        <v/>
      </c>
    </row>
    <row r="154">
      <c r="A154" s="10" t="n"/>
      <c r="B154" s="12">
        <f>IF(A154="","",IFERROR(INDEX(DATA!$E$2:$E$500,MATCH(A154,DATA!$D$2:$D$500,0)),""))</f>
        <v/>
      </c>
      <c r="C154" s="10" t="n"/>
      <c r="D154" s="10" t="n"/>
      <c r="E154" s="10" t="n"/>
      <c r="F154" s="10" t="n"/>
      <c r="G154" s="10" t="n"/>
      <c r="H154" s="10" t="n"/>
      <c r="I154" s="10" t="n"/>
      <c r="J154" s="12">
        <f>IF(OR(A154="",COUNT(C154:E154)&lt;3),"",IFERROR(MAX(0,FLOOR(($N$2-$N$3)/E154,1))*MAX(1,MIN(IF(G154="",1,G154),FLOOR($N$4/D154,1)))*IF(F154="",1,F154),""))</f>
        <v/>
      </c>
      <c r="K154" s="12">
        <f>IF(A154="","",IF(COUNTIF(DATA!$D$2:$D$500,A154)=0,"CEK SKU tidak ada di DATA",IF(COUNT(C154:E154)&lt;3,"CEK dimensi belum lengkap",IF(OR(C154&lt;=0,D154&lt;=0,E154&lt;=0),"CEK dimensi harus lebih dari 0",IF(COUNTIF($A$2:$A$500,A154)&gt;1,"CEK SKU dobel","OK")))))</f>
        <v/>
      </c>
    </row>
    <row r="155">
      <c r="A155" s="10" t="n"/>
      <c r="B155" s="12">
        <f>IF(A155="","",IFERROR(INDEX(DATA!$E$2:$E$500,MATCH(A155,DATA!$D$2:$D$500,0)),""))</f>
        <v/>
      </c>
      <c r="C155" s="10" t="n"/>
      <c r="D155" s="10" t="n"/>
      <c r="E155" s="10" t="n"/>
      <c r="F155" s="10" t="n"/>
      <c r="G155" s="10" t="n"/>
      <c r="H155" s="10" t="n"/>
      <c r="I155" s="10" t="n"/>
      <c r="J155" s="12">
        <f>IF(OR(A155="",COUNT(C155:E155)&lt;3),"",IFERROR(MAX(0,FLOOR(($N$2-$N$3)/E155,1))*MAX(1,MIN(IF(G155="",1,G155),FLOOR($N$4/D155,1)))*IF(F155="",1,F155),""))</f>
        <v/>
      </c>
      <c r="K155" s="12">
        <f>IF(A155="","",IF(COUNTIF(DATA!$D$2:$D$500,A155)=0,"CEK SKU tidak ada di DATA",IF(COUNT(C155:E155)&lt;3,"CEK dimensi belum lengkap",IF(OR(C155&lt;=0,D155&lt;=0,E155&lt;=0),"CEK dimensi harus lebih dari 0",IF(COUNTIF($A$2:$A$500,A155)&gt;1,"CEK SKU dobel","OK")))))</f>
        <v/>
      </c>
    </row>
    <row r="156">
      <c r="A156" s="10" t="n"/>
      <c r="B156" s="12">
        <f>IF(A156="","",IFERROR(INDEX(DATA!$E$2:$E$500,MATCH(A156,DATA!$D$2:$D$500,0)),""))</f>
        <v/>
      </c>
      <c r="C156" s="10" t="n"/>
      <c r="D156" s="10" t="n"/>
      <c r="E156" s="10" t="n"/>
      <c r="F156" s="10" t="n"/>
      <c r="G156" s="10" t="n"/>
      <c r="H156" s="10" t="n"/>
      <c r="I156" s="10" t="n"/>
      <c r="J156" s="12">
        <f>IF(OR(A156="",COUNT(C156:E156)&lt;3),"",IFERROR(MAX(0,FLOOR(($N$2-$N$3)/E156,1))*MAX(1,MIN(IF(G156="",1,G156),FLOOR($N$4/D156,1)))*IF(F156="",1,F156),""))</f>
        <v/>
      </c>
      <c r="K156" s="12">
        <f>IF(A156="","",IF(COUNTIF(DATA!$D$2:$D$500,A156)=0,"CEK SKU tidak ada di DATA",IF(COUNT(C156:E156)&lt;3,"CEK dimensi belum lengkap",IF(OR(C156&lt;=0,D156&lt;=0,E156&lt;=0),"CEK dimensi harus lebih dari 0",IF(COUNTIF($A$2:$A$500,A156)&gt;1,"CEK SKU dobel","OK")))))</f>
        <v/>
      </c>
    </row>
    <row r="157">
      <c r="A157" s="10" t="n"/>
      <c r="B157" s="12">
        <f>IF(A157="","",IFERROR(INDEX(DATA!$E$2:$E$500,MATCH(A157,DATA!$D$2:$D$500,0)),""))</f>
        <v/>
      </c>
      <c r="C157" s="10" t="n"/>
      <c r="D157" s="10" t="n"/>
      <c r="E157" s="10" t="n"/>
      <c r="F157" s="10" t="n"/>
      <c r="G157" s="10" t="n"/>
      <c r="H157" s="10" t="n"/>
      <c r="I157" s="10" t="n"/>
      <c r="J157" s="12">
        <f>IF(OR(A157="",COUNT(C157:E157)&lt;3),"",IFERROR(MAX(0,FLOOR(($N$2-$N$3)/E157,1))*MAX(1,MIN(IF(G157="",1,G157),FLOOR($N$4/D157,1)))*IF(F157="",1,F157),""))</f>
        <v/>
      </c>
      <c r="K157" s="12">
        <f>IF(A157="","",IF(COUNTIF(DATA!$D$2:$D$500,A157)=0,"CEK SKU tidak ada di DATA",IF(COUNT(C157:E157)&lt;3,"CEK dimensi belum lengkap",IF(OR(C157&lt;=0,D157&lt;=0,E157&lt;=0),"CEK dimensi harus lebih dari 0",IF(COUNTIF($A$2:$A$500,A157)&gt;1,"CEK SKU dobel","OK")))))</f>
        <v/>
      </c>
    </row>
    <row r="158">
      <c r="A158" s="10" t="n"/>
      <c r="B158" s="12">
        <f>IF(A158="","",IFERROR(INDEX(DATA!$E$2:$E$500,MATCH(A158,DATA!$D$2:$D$500,0)),""))</f>
        <v/>
      </c>
      <c r="C158" s="10" t="n"/>
      <c r="D158" s="10" t="n"/>
      <c r="E158" s="10" t="n"/>
      <c r="F158" s="10" t="n"/>
      <c r="G158" s="10" t="n"/>
      <c r="H158" s="10" t="n"/>
      <c r="I158" s="10" t="n"/>
      <c r="J158" s="12">
        <f>IF(OR(A158="",COUNT(C158:E158)&lt;3),"",IFERROR(MAX(0,FLOOR(($N$2-$N$3)/E158,1))*MAX(1,MIN(IF(G158="",1,G158),FLOOR($N$4/D158,1)))*IF(F158="",1,F158),""))</f>
        <v/>
      </c>
      <c r="K158" s="12">
        <f>IF(A158="","",IF(COUNTIF(DATA!$D$2:$D$500,A158)=0,"CEK SKU tidak ada di DATA",IF(COUNT(C158:E158)&lt;3,"CEK dimensi belum lengkap",IF(OR(C158&lt;=0,D158&lt;=0,E158&lt;=0),"CEK dimensi harus lebih dari 0",IF(COUNTIF($A$2:$A$500,A158)&gt;1,"CEK SKU dobel","OK")))))</f>
        <v/>
      </c>
    </row>
    <row r="159">
      <c r="A159" s="10" t="n"/>
      <c r="B159" s="12">
        <f>IF(A159="","",IFERROR(INDEX(DATA!$E$2:$E$500,MATCH(A159,DATA!$D$2:$D$500,0)),""))</f>
        <v/>
      </c>
      <c r="C159" s="10" t="n"/>
      <c r="D159" s="10" t="n"/>
      <c r="E159" s="10" t="n"/>
      <c r="F159" s="10" t="n"/>
      <c r="G159" s="10" t="n"/>
      <c r="H159" s="10" t="n"/>
      <c r="I159" s="10" t="n"/>
      <c r="J159" s="12">
        <f>IF(OR(A159="",COUNT(C159:E159)&lt;3),"",IFERROR(MAX(0,FLOOR(($N$2-$N$3)/E159,1))*MAX(1,MIN(IF(G159="",1,G159),FLOOR($N$4/D159,1)))*IF(F159="",1,F159),""))</f>
        <v/>
      </c>
      <c r="K159" s="12">
        <f>IF(A159="","",IF(COUNTIF(DATA!$D$2:$D$500,A159)=0,"CEK SKU tidak ada di DATA",IF(COUNT(C159:E159)&lt;3,"CEK dimensi belum lengkap",IF(OR(C159&lt;=0,D159&lt;=0,E159&lt;=0),"CEK dimensi harus lebih dari 0",IF(COUNTIF($A$2:$A$500,A159)&gt;1,"CEK SKU dobel","OK")))))</f>
        <v/>
      </c>
    </row>
    <row r="160">
      <c r="A160" s="10" t="n"/>
      <c r="B160" s="12">
        <f>IF(A160="","",IFERROR(INDEX(DATA!$E$2:$E$500,MATCH(A160,DATA!$D$2:$D$500,0)),""))</f>
        <v/>
      </c>
      <c r="C160" s="10" t="n"/>
      <c r="D160" s="10" t="n"/>
      <c r="E160" s="10" t="n"/>
      <c r="F160" s="10" t="n"/>
      <c r="G160" s="10" t="n"/>
      <c r="H160" s="10" t="n"/>
      <c r="I160" s="10" t="n"/>
      <c r="J160" s="12">
        <f>IF(OR(A160="",COUNT(C160:E160)&lt;3),"",IFERROR(MAX(0,FLOOR(($N$2-$N$3)/E160,1))*MAX(1,MIN(IF(G160="",1,G160),FLOOR($N$4/D160,1)))*IF(F160="",1,F160),""))</f>
        <v/>
      </c>
      <c r="K160" s="12">
        <f>IF(A160="","",IF(COUNTIF(DATA!$D$2:$D$500,A160)=0,"CEK SKU tidak ada di DATA",IF(COUNT(C160:E160)&lt;3,"CEK dimensi belum lengkap",IF(OR(C160&lt;=0,D160&lt;=0,E160&lt;=0),"CEK dimensi harus lebih dari 0",IF(COUNTIF($A$2:$A$500,A160)&gt;1,"CEK SKU dobel","OK")))))</f>
        <v/>
      </c>
    </row>
    <row r="161">
      <c r="A161" s="10" t="n"/>
      <c r="B161" s="12">
        <f>IF(A161="","",IFERROR(INDEX(DATA!$E$2:$E$500,MATCH(A161,DATA!$D$2:$D$500,0)),""))</f>
        <v/>
      </c>
      <c r="C161" s="10" t="n"/>
      <c r="D161" s="10" t="n"/>
      <c r="E161" s="10" t="n"/>
      <c r="F161" s="10" t="n"/>
      <c r="G161" s="10" t="n"/>
      <c r="H161" s="10" t="n"/>
      <c r="I161" s="10" t="n"/>
      <c r="J161" s="12">
        <f>IF(OR(A161="",COUNT(C161:E161)&lt;3),"",IFERROR(MAX(0,FLOOR(($N$2-$N$3)/E161,1))*MAX(1,MIN(IF(G161="",1,G161),FLOOR($N$4/D161,1)))*IF(F161="",1,F161),""))</f>
        <v/>
      </c>
      <c r="K161" s="12">
        <f>IF(A161="","",IF(COUNTIF(DATA!$D$2:$D$500,A161)=0,"CEK SKU tidak ada di DATA",IF(COUNT(C161:E161)&lt;3,"CEK dimensi belum lengkap",IF(OR(C161&lt;=0,D161&lt;=0,E161&lt;=0),"CEK dimensi harus lebih dari 0",IF(COUNTIF($A$2:$A$500,A161)&gt;1,"CEK SKU dobel","OK")))))</f>
        <v/>
      </c>
    </row>
    <row r="162">
      <c r="A162" s="10" t="n"/>
      <c r="B162" s="12">
        <f>IF(A162="","",IFERROR(INDEX(DATA!$E$2:$E$500,MATCH(A162,DATA!$D$2:$D$500,0)),""))</f>
        <v/>
      </c>
      <c r="C162" s="10" t="n"/>
      <c r="D162" s="10" t="n"/>
      <c r="E162" s="10" t="n"/>
      <c r="F162" s="10" t="n"/>
      <c r="G162" s="10" t="n"/>
      <c r="H162" s="10" t="n"/>
      <c r="I162" s="10" t="n"/>
      <c r="J162" s="12">
        <f>IF(OR(A162="",COUNT(C162:E162)&lt;3),"",IFERROR(MAX(0,FLOOR(($N$2-$N$3)/E162,1))*MAX(1,MIN(IF(G162="",1,G162),FLOOR($N$4/D162,1)))*IF(F162="",1,F162),""))</f>
        <v/>
      </c>
      <c r="K162" s="12">
        <f>IF(A162="","",IF(COUNTIF(DATA!$D$2:$D$500,A162)=0,"CEK SKU tidak ada di DATA",IF(COUNT(C162:E162)&lt;3,"CEK dimensi belum lengkap",IF(OR(C162&lt;=0,D162&lt;=0,E162&lt;=0),"CEK dimensi harus lebih dari 0",IF(COUNTIF($A$2:$A$500,A162)&gt;1,"CEK SKU dobel","OK")))))</f>
        <v/>
      </c>
    </row>
    <row r="163">
      <c r="A163" s="10" t="n"/>
      <c r="B163" s="12">
        <f>IF(A163="","",IFERROR(INDEX(DATA!$E$2:$E$500,MATCH(A163,DATA!$D$2:$D$500,0)),""))</f>
        <v/>
      </c>
      <c r="C163" s="10" t="n"/>
      <c r="D163" s="10" t="n"/>
      <c r="E163" s="10" t="n"/>
      <c r="F163" s="10" t="n"/>
      <c r="G163" s="10" t="n"/>
      <c r="H163" s="10" t="n"/>
      <c r="I163" s="10" t="n"/>
      <c r="J163" s="12">
        <f>IF(OR(A163="",COUNT(C163:E163)&lt;3),"",IFERROR(MAX(0,FLOOR(($N$2-$N$3)/E163,1))*MAX(1,MIN(IF(G163="",1,G163),FLOOR($N$4/D163,1)))*IF(F163="",1,F163),""))</f>
        <v/>
      </c>
      <c r="K163" s="12">
        <f>IF(A163="","",IF(COUNTIF(DATA!$D$2:$D$500,A163)=0,"CEK SKU tidak ada di DATA",IF(COUNT(C163:E163)&lt;3,"CEK dimensi belum lengkap",IF(OR(C163&lt;=0,D163&lt;=0,E163&lt;=0),"CEK dimensi harus lebih dari 0",IF(COUNTIF($A$2:$A$500,A163)&gt;1,"CEK SKU dobel","OK")))))</f>
        <v/>
      </c>
    </row>
    <row r="164">
      <c r="A164" s="10" t="n"/>
      <c r="B164" s="12">
        <f>IF(A164="","",IFERROR(INDEX(DATA!$E$2:$E$500,MATCH(A164,DATA!$D$2:$D$500,0)),""))</f>
        <v/>
      </c>
      <c r="C164" s="10" t="n"/>
      <c r="D164" s="10" t="n"/>
      <c r="E164" s="10" t="n"/>
      <c r="F164" s="10" t="n"/>
      <c r="G164" s="10" t="n"/>
      <c r="H164" s="10" t="n"/>
      <c r="I164" s="10" t="n"/>
      <c r="J164" s="12">
        <f>IF(OR(A164="",COUNT(C164:E164)&lt;3),"",IFERROR(MAX(0,FLOOR(($N$2-$N$3)/E164,1))*MAX(1,MIN(IF(G164="",1,G164),FLOOR($N$4/D164,1)))*IF(F164="",1,F164),""))</f>
        <v/>
      </c>
      <c r="K164" s="12">
        <f>IF(A164="","",IF(COUNTIF(DATA!$D$2:$D$500,A164)=0,"CEK SKU tidak ada di DATA",IF(COUNT(C164:E164)&lt;3,"CEK dimensi belum lengkap",IF(OR(C164&lt;=0,D164&lt;=0,E164&lt;=0),"CEK dimensi harus lebih dari 0",IF(COUNTIF($A$2:$A$500,A164)&gt;1,"CEK SKU dobel","OK")))))</f>
        <v/>
      </c>
    </row>
    <row r="165">
      <c r="A165" s="10" t="n"/>
      <c r="B165" s="12">
        <f>IF(A165="","",IFERROR(INDEX(DATA!$E$2:$E$500,MATCH(A165,DATA!$D$2:$D$500,0)),""))</f>
        <v/>
      </c>
      <c r="C165" s="10" t="n"/>
      <c r="D165" s="10" t="n"/>
      <c r="E165" s="10" t="n"/>
      <c r="F165" s="10" t="n"/>
      <c r="G165" s="10" t="n"/>
      <c r="H165" s="10" t="n"/>
      <c r="I165" s="10" t="n"/>
      <c r="J165" s="12">
        <f>IF(OR(A165="",COUNT(C165:E165)&lt;3),"",IFERROR(MAX(0,FLOOR(($N$2-$N$3)/E165,1))*MAX(1,MIN(IF(G165="",1,G165),FLOOR($N$4/D165,1)))*IF(F165="",1,F165),""))</f>
        <v/>
      </c>
      <c r="K165" s="12">
        <f>IF(A165="","",IF(COUNTIF(DATA!$D$2:$D$500,A165)=0,"CEK SKU tidak ada di DATA",IF(COUNT(C165:E165)&lt;3,"CEK dimensi belum lengkap",IF(OR(C165&lt;=0,D165&lt;=0,E165&lt;=0),"CEK dimensi harus lebih dari 0",IF(COUNTIF($A$2:$A$500,A165)&gt;1,"CEK SKU dobel","OK")))))</f>
        <v/>
      </c>
    </row>
    <row r="166">
      <c r="A166" s="10" t="n"/>
      <c r="B166" s="12">
        <f>IF(A166="","",IFERROR(INDEX(DATA!$E$2:$E$500,MATCH(A166,DATA!$D$2:$D$500,0)),""))</f>
        <v/>
      </c>
      <c r="C166" s="10" t="n"/>
      <c r="D166" s="10" t="n"/>
      <c r="E166" s="10" t="n"/>
      <c r="F166" s="10" t="n"/>
      <c r="G166" s="10" t="n"/>
      <c r="H166" s="10" t="n"/>
      <c r="I166" s="10" t="n"/>
      <c r="J166" s="12">
        <f>IF(OR(A166="",COUNT(C166:E166)&lt;3),"",IFERROR(MAX(0,FLOOR(($N$2-$N$3)/E166,1))*MAX(1,MIN(IF(G166="",1,G166),FLOOR($N$4/D166,1)))*IF(F166="",1,F166),""))</f>
        <v/>
      </c>
      <c r="K166" s="12">
        <f>IF(A166="","",IF(COUNTIF(DATA!$D$2:$D$500,A166)=0,"CEK SKU tidak ada di DATA",IF(COUNT(C166:E166)&lt;3,"CEK dimensi belum lengkap",IF(OR(C166&lt;=0,D166&lt;=0,E166&lt;=0),"CEK dimensi harus lebih dari 0",IF(COUNTIF($A$2:$A$500,A166)&gt;1,"CEK SKU dobel","OK")))))</f>
        <v/>
      </c>
    </row>
    <row r="167">
      <c r="A167" s="10" t="n"/>
      <c r="B167" s="12">
        <f>IF(A167="","",IFERROR(INDEX(DATA!$E$2:$E$500,MATCH(A167,DATA!$D$2:$D$500,0)),""))</f>
        <v/>
      </c>
      <c r="C167" s="10" t="n"/>
      <c r="D167" s="10" t="n"/>
      <c r="E167" s="10" t="n"/>
      <c r="F167" s="10" t="n"/>
      <c r="G167" s="10" t="n"/>
      <c r="H167" s="10" t="n"/>
      <c r="I167" s="10" t="n"/>
      <c r="J167" s="12">
        <f>IF(OR(A167="",COUNT(C167:E167)&lt;3),"",IFERROR(MAX(0,FLOOR(($N$2-$N$3)/E167,1))*MAX(1,MIN(IF(G167="",1,G167),FLOOR($N$4/D167,1)))*IF(F167="",1,F167),""))</f>
        <v/>
      </c>
      <c r="K167" s="12">
        <f>IF(A167="","",IF(COUNTIF(DATA!$D$2:$D$500,A167)=0,"CEK SKU tidak ada di DATA",IF(COUNT(C167:E167)&lt;3,"CEK dimensi belum lengkap",IF(OR(C167&lt;=0,D167&lt;=0,E167&lt;=0),"CEK dimensi harus lebih dari 0",IF(COUNTIF($A$2:$A$500,A167)&gt;1,"CEK SKU dobel","OK")))))</f>
        <v/>
      </c>
    </row>
    <row r="168">
      <c r="A168" s="10" t="n"/>
      <c r="B168" s="12">
        <f>IF(A168="","",IFERROR(INDEX(DATA!$E$2:$E$500,MATCH(A168,DATA!$D$2:$D$500,0)),""))</f>
        <v/>
      </c>
      <c r="C168" s="10" t="n"/>
      <c r="D168" s="10" t="n"/>
      <c r="E168" s="10" t="n"/>
      <c r="F168" s="10" t="n"/>
      <c r="G168" s="10" t="n"/>
      <c r="H168" s="10" t="n"/>
      <c r="I168" s="10" t="n"/>
      <c r="J168" s="12">
        <f>IF(OR(A168="",COUNT(C168:E168)&lt;3),"",IFERROR(MAX(0,FLOOR(($N$2-$N$3)/E168,1))*MAX(1,MIN(IF(G168="",1,G168),FLOOR($N$4/D168,1)))*IF(F168="",1,F168),""))</f>
        <v/>
      </c>
      <c r="K168" s="12">
        <f>IF(A168="","",IF(COUNTIF(DATA!$D$2:$D$500,A168)=0,"CEK SKU tidak ada di DATA",IF(COUNT(C168:E168)&lt;3,"CEK dimensi belum lengkap",IF(OR(C168&lt;=0,D168&lt;=0,E168&lt;=0),"CEK dimensi harus lebih dari 0",IF(COUNTIF($A$2:$A$500,A168)&gt;1,"CEK SKU dobel","OK")))))</f>
        <v/>
      </c>
    </row>
    <row r="169">
      <c r="A169" s="10" t="n"/>
      <c r="B169" s="12">
        <f>IF(A169="","",IFERROR(INDEX(DATA!$E$2:$E$500,MATCH(A169,DATA!$D$2:$D$500,0)),""))</f>
        <v/>
      </c>
      <c r="C169" s="10" t="n"/>
      <c r="D169" s="10" t="n"/>
      <c r="E169" s="10" t="n"/>
      <c r="F169" s="10" t="n"/>
      <c r="G169" s="10" t="n"/>
      <c r="H169" s="10" t="n"/>
      <c r="I169" s="10" t="n"/>
      <c r="J169" s="12">
        <f>IF(OR(A169="",COUNT(C169:E169)&lt;3),"",IFERROR(MAX(0,FLOOR(($N$2-$N$3)/E169,1))*MAX(1,MIN(IF(G169="",1,G169),FLOOR($N$4/D169,1)))*IF(F169="",1,F169),""))</f>
        <v/>
      </c>
      <c r="K169" s="12">
        <f>IF(A169="","",IF(COUNTIF(DATA!$D$2:$D$500,A169)=0,"CEK SKU tidak ada di DATA",IF(COUNT(C169:E169)&lt;3,"CEK dimensi belum lengkap",IF(OR(C169&lt;=0,D169&lt;=0,E169&lt;=0),"CEK dimensi harus lebih dari 0",IF(COUNTIF($A$2:$A$500,A169)&gt;1,"CEK SKU dobel","OK")))))</f>
        <v/>
      </c>
    </row>
    <row r="170">
      <c r="A170" s="10" t="n"/>
      <c r="B170" s="12">
        <f>IF(A170="","",IFERROR(INDEX(DATA!$E$2:$E$500,MATCH(A170,DATA!$D$2:$D$500,0)),""))</f>
        <v/>
      </c>
      <c r="C170" s="10" t="n"/>
      <c r="D170" s="10" t="n"/>
      <c r="E170" s="10" t="n"/>
      <c r="F170" s="10" t="n"/>
      <c r="G170" s="10" t="n"/>
      <c r="H170" s="10" t="n"/>
      <c r="I170" s="10" t="n"/>
      <c r="J170" s="12">
        <f>IF(OR(A170="",COUNT(C170:E170)&lt;3),"",IFERROR(MAX(0,FLOOR(($N$2-$N$3)/E170,1))*MAX(1,MIN(IF(G170="",1,G170),FLOOR($N$4/D170,1)))*IF(F170="",1,F170),""))</f>
        <v/>
      </c>
      <c r="K170" s="12">
        <f>IF(A170="","",IF(COUNTIF(DATA!$D$2:$D$500,A170)=0,"CEK SKU tidak ada di DATA",IF(COUNT(C170:E170)&lt;3,"CEK dimensi belum lengkap",IF(OR(C170&lt;=0,D170&lt;=0,E170&lt;=0),"CEK dimensi harus lebih dari 0",IF(COUNTIF($A$2:$A$500,A170)&gt;1,"CEK SKU dobel","OK")))))</f>
        <v/>
      </c>
    </row>
    <row r="171">
      <c r="A171" s="10" t="n"/>
      <c r="B171" s="12">
        <f>IF(A171="","",IFERROR(INDEX(DATA!$E$2:$E$500,MATCH(A171,DATA!$D$2:$D$500,0)),""))</f>
        <v/>
      </c>
      <c r="C171" s="10" t="n"/>
      <c r="D171" s="10" t="n"/>
      <c r="E171" s="10" t="n"/>
      <c r="F171" s="10" t="n"/>
      <c r="G171" s="10" t="n"/>
      <c r="H171" s="10" t="n"/>
      <c r="I171" s="10" t="n"/>
      <c r="J171" s="12">
        <f>IF(OR(A171="",COUNT(C171:E171)&lt;3),"",IFERROR(MAX(0,FLOOR(($N$2-$N$3)/E171,1))*MAX(1,MIN(IF(G171="",1,G171),FLOOR($N$4/D171,1)))*IF(F171="",1,F171),""))</f>
        <v/>
      </c>
      <c r="K171" s="12">
        <f>IF(A171="","",IF(COUNTIF(DATA!$D$2:$D$500,A171)=0,"CEK SKU tidak ada di DATA",IF(COUNT(C171:E171)&lt;3,"CEK dimensi belum lengkap",IF(OR(C171&lt;=0,D171&lt;=0,E171&lt;=0),"CEK dimensi harus lebih dari 0",IF(COUNTIF($A$2:$A$500,A171)&gt;1,"CEK SKU dobel","OK")))))</f>
        <v/>
      </c>
    </row>
    <row r="172">
      <c r="A172" s="10" t="n"/>
      <c r="B172" s="12">
        <f>IF(A172="","",IFERROR(INDEX(DATA!$E$2:$E$500,MATCH(A172,DATA!$D$2:$D$500,0)),""))</f>
        <v/>
      </c>
      <c r="C172" s="10" t="n"/>
      <c r="D172" s="10" t="n"/>
      <c r="E172" s="10" t="n"/>
      <c r="F172" s="10" t="n"/>
      <c r="G172" s="10" t="n"/>
      <c r="H172" s="10" t="n"/>
      <c r="I172" s="10" t="n"/>
      <c r="J172" s="12">
        <f>IF(OR(A172="",COUNT(C172:E172)&lt;3),"",IFERROR(MAX(0,FLOOR(($N$2-$N$3)/E172,1))*MAX(1,MIN(IF(G172="",1,G172),FLOOR($N$4/D172,1)))*IF(F172="",1,F172),""))</f>
        <v/>
      </c>
      <c r="K172" s="12">
        <f>IF(A172="","",IF(COUNTIF(DATA!$D$2:$D$500,A172)=0,"CEK SKU tidak ada di DATA",IF(COUNT(C172:E172)&lt;3,"CEK dimensi belum lengkap",IF(OR(C172&lt;=0,D172&lt;=0,E172&lt;=0),"CEK dimensi harus lebih dari 0",IF(COUNTIF($A$2:$A$500,A172)&gt;1,"CEK SKU dobel","OK")))))</f>
        <v/>
      </c>
    </row>
    <row r="173">
      <c r="A173" s="10" t="n"/>
      <c r="B173" s="12">
        <f>IF(A173="","",IFERROR(INDEX(DATA!$E$2:$E$500,MATCH(A173,DATA!$D$2:$D$500,0)),""))</f>
        <v/>
      </c>
      <c r="C173" s="10" t="n"/>
      <c r="D173" s="10" t="n"/>
      <c r="E173" s="10" t="n"/>
      <c r="F173" s="10" t="n"/>
      <c r="G173" s="10" t="n"/>
      <c r="H173" s="10" t="n"/>
      <c r="I173" s="10" t="n"/>
      <c r="J173" s="12">
        <f>IF(OR(A173="",COUNT(C173:E173)&lt;3),"",IFERROR(MAX(0,FLOOR(($N$2-$N$3)/E173,1))*MAX(1,MIN(IF(G173="",1,G173),FLOOR($N$4/D173,1)))*IF(F173="",1,F173),""))</f>
        <v/>
      </c>
      <c r="K173" s="12">
        <f>IF(A173="","",IF(COUNTIF(DATA!$D$2:$D$500,A173)=0,"CEK SKU tidak ada di DATA",IF(COUNT(C173:E173)&lt;3,"CEK dimensi belum lengkap",IF(OR(C173&lt;=0,D173&lt;=0,E173&lt;=0),"CEK dimensi harus lebih dari 0",IF(COUNTIF($A$2:$A$500,A173)&gt;1,"CEK SKU dobel","OK")))))</f>
        <v/>
      </c>
    </row>
    <row r="174">
      <c r="A174" s="10" t="n"/>
      <c r="B174" s="12">
        <f>IF(A174="","",IFERROR(INDEX(DATA!$E$2:$E$500,MATCH(A174,DATA!$D$2:$D$500,0)),""))</f>
        <v/>
      </c>
      <c r="C174" s="10" t="n"/>
      <c r="D174" s="10" t="n"/>
      <c r="E174" s="10" t="n"/>
      <c r="F174" s="10" t="n"/>
      <c r="G174" s="10" t="n"/>
      <c r="H174" s="10" t="n"/>
      <c r="I174" s="10" t="n"/>
      <c r="J174" s="12">
        <f>IF(OR(A174="",COUNT(C174:E174)&lt;3),"",IFERROR(MAX(0,FLOOR(($N$2-$N$3)/E174,1))*MAX(1,MIN(IF(G174="",1,G174),FLOOR($N$4/D174,1)))*IF(F174="",1,F174),""))</f>
        <v/>
      </c>
      <c r="K174" s="12">
        <f>IF(A174="","",IF(COUNTIF(DATA!$D$2:$D$500,A174)=0,"CEK SKU tidak ada di DATA",IF(COUNT(C174:E174)&lt;3,"CEK dimensi belum lengkap",IF(OR(C174&lt;=0,D174&lt;=0,E174&lt;=0),"CEK dimensi harus lebih dari 0",IF(COUNTIF($A$2:$A$500,A174)&gt;1,"CEK SKU dobel","OK")))))</f>
        <v/>
      </c>
    </row>
    <row r="175">
      <c r="A175" s="10" t="n"/>
      <c r="B175" s="12">
        <f>IF(A175="","",IFERROR(INDEX(DATA!$E$2:$E$500,MATCH(A175,DATA!$D$2:$D$500,0)),""))</f>
        <v/>
      </c>
      <c r="C175" s="10" t="n"/>
      <c r="D175" s="10" t="n"/>
      <c r="E175" s="10" t="n"/>
      <c r="F175" s="10" t="n"/>
      <c r="G175" s="10" t="n"/>
      <c r="H175" s="10" t="n"/>
      <c r="I175" s="10" t="n"/>
      <c r="J175" s="12">
        <f>IF(OR(A175="",COUNT(C175:E175)&lt;3),"",IFERROR(MAX(0,FLOOR(($N$2-$N$3)/E175,1))*MAX(1,MIN(IF(G175="",1,G175),FLOOR($N$4/D175,1)))*IF(F175="",1,F175),""))</f>
        <v/>
      </c>
      <c r="K175" s="12">
        <f>IF(A175="","",IF(COUNTIF(DATA!$D$2:$D$500,A175)=0,"CEK SKU tidak ada di DATA",IF(COUNT(C175:E175)&lt;3,"CEK dimensi belum lengkap",IF(OR(C175&lt;=0,D175&lt;=0,E175&lt;=0),"CEK dimensi harus lebih dari 0",IF(COUNTIF($A$2:$A$500,A175)&gt;1,"CEK SKU dobel","OK")))))</f>
        <v/>
      </c>
    </row>
    <row r="176">
      <c r="A176" s="10" t="n"/>
      <c r="B176" s="12">
        <f>IF(A176="","",IFERROR(INDEX(DATA!$E$2:$E$500,MATCH(A176,DATA!$D$2:$D$500,0)),""))</f>
        <v/>
      </c>
      <c r="C176" s="10" t="n"/>
      <c r="D176" s="10" t="n"/>
      <c r="E176" s="10" t="n"/>
      <c r="F176" s="10" t="n"/>
      <c r="G176" s="10" t="n"/>
      <c r="H176" s="10" t="n"/>
      <c r="I176" s="10" t="n"/>
      <c r="J176" s="12">
        <f>IF(OR(A176="",COUNT(C176:E176)&lt;3),"",IFERROR(MAX(0,FLOOR(($N$2-$N$3)/E176,1))*MAX(1,MIN(IF(G176="",1,G176),FLOOR($N$4/D176,1)))*IF(F176="",1,F176),""))</f>
        <v/>
      </c>
      <c r="K176" s="12">
        <f>IF(A176="","",IF(COUNTIF(DATA!$D$2:$D$500,A176)=0,"CEK SKU tidak ada di DATA",IF(COUNT(C176:E176)&lt;3,"CEK dimensi belum lengkap",IF(OR(C176&lt;=0,D176&lt;=0,E176&lt;=0),"CEK dimensi harus lebih dari 0",IF(COUNTIF($A$2:$A$500,A176)&gt;1,"CEK SKU dobel","OK")))))</f>
        <v/>
      </c>
    </row>
    <row r="177">
      <c r="A177" s="10" t="n"/>
      <c r="B177" s="12">
        <f>IF(A177="","",IFERROR(INDEX(DATA!$E$2:$E$500,MATCH(A177,DATA!$D$2:$D$500,0)),""))</f>
        <v/>
      </c>
      <c r="C177" s="10" t="n"/>
      <c r="D177" s="10" t="n"/>
      <c r="E177" s="10" t="n"/>
      <c r="F177" s="10" t="n"/>
      <c r="G177" s="10" t="n"/>
      <c r="H177" s="10" t="n"/>
      <c r="I177" s="10" t="n"/>
      <c r="J177" s="12">
        <f>IF(OR(A177="",COUNT(C177:E177)&lt;3),"",IFERROR(MAX(0,FLOOR(($N$2-$N$3)/E177,1))*MAX(1,MIN(IF(G177="",1,G177),FLOOR($N$4/D177,1)))*IF(F177="",1,F177),""))</f>
        <v/>
      </c>
      <c r="K177" s="12">
        <f>IF(A177="","",IF(COUNTIF(DATA!$D$2:$D$500,A177)=0,"CEK SKU tidak ada di DATA",IF(COUNT(C177:E177)&lt;3,"CEK dimensi belum lengkap",IF(OR(C177&lt;=0,D177&lt;=0,E177&lt;=0),"CEK dimensi harus lebih dari 0",IF(COUNTIF($A$2:$A$500,A177)&gt;1,"CEK SKU dobel","OK")))))</f>
        <v/>
      </c>
    </row>
    <row r="178">
      <c r="A178" s="10" t="n"/>
      <c r="B178" s="12">
        <f>IF(A178="","",IFERROR(INDEX(DATA!$E$2:$E$500,MATCH(A178,DATA!$D$2:$D$500,0)),""))</f>
        <v/>
      </c>
      <c r="C178" s="10" t="n"/>
      <c r="D178" s="10" t="n"/>
      <c r="E178" s="10" t="n"/>
      <c r="F178" s="10" t="n"/>
      <c r="G178" s="10" t="n"/>
      <c r="H178" s="10" t="n"/>
      <c r="I178" s="10" t="n"/>
      <c r="J178" s="12">
        <f>IF(OR(A178="",COUNT(C178:E178)&lt;3),"",IFERROR(MAX(0,FLOOR(($N$2-$N$3)/E178,1))*MAX(1,MIN(IF(G178="",1,G178),FLOOR($N$4/D178,1)))*IF(F178="",1,F178),""))</f>
        <v/>
      </c>
      <c r="K178" s="12">
        <f>IF(A178="","",IF(COUNTIF(DATA!$D$2:$D$500,A178)=0,"CEK SKU tidak ada di DATA",IF(COUNT(C178:E178)&lt;3,"CEK dimensi belum lengkap",IF(OR(C178&lt;=0,D178&lt;=0,E178&lt;=0),"CEK dimensi harus lebih dari 0",IF(COUNTIF($A$2:$A$500,A178)&gt;1,"CEK SKU dobel","OK")))))</f>
        <v/>
      </c>
    </row>
    <row r="179">
      <c r="A179" s="10" t="n"/>
      <c r="B179" s="12">
        <f>IF(A179="","",IFERROR(INDEX(DATA!$E$2:$E$500,MATCH(A179,DATA!$D$2:$D$500,0)),""))</f>
        <v/>
      </c>
      <c r="C179" s="10" t="n"/>
      <c r="D179" s="10" t="n"/>
      <c r="E179" s="10" t="n"/>
      <c r="F179" s="10" t="n"/>
      <c r="G179" s="10" t="n"/>
      <c r="H179" s="10" t="n"/>
      <c r="I179" s="10" t="n"/>
      <c r="J179" s="12">
        <f>IF(OR(A179="",COUNT(C179:E179)&lt;3),"",IFERROR(MAX(0,FLOOR(($N$2-$N$3)/E179,1))*MAX(1,MIN(IF(G179="",1,G179),FLOOR($N$4/D179,1)))*IF(F179="",1,F179),""))</f>
        <v/>
      </c>
      <c r="K179" s="12">
        <f>IF(A179="","",IF(COUNTIF(DATA!$D$2:$D$500,A179)=0,"CEK SKU tidak ada di DATA",IF(COUNT(C179:E179)&lt;3,"CEK dimensi belum lengkap",IF(OR(C179&lt;=0,D179&lt;=0,E179&lt;=0),"CEK dimensi harus lebih dari 0",IF(COUNTIF($A$2:$A$500,A179)&gt;1,"CEK SKU dobel","OK")))))</f>
        <v/>
      </c>
    </row>
    <row r="180">
      <c r="A180" s="10" t="n"/>
      <c r="B180" s="12">
        <f>IF(A180="","",IFERROR(INDEX(DATA!$E$2:$E$500,MATCH(A180,DATA!$D$2:$D$500,0)),""))</f>
        <v/>
      </c>
      <c r="C180" s="10" t="n"/>
      <c r="D180" s="10" t="n"/>
      <c r="E180" s="10" t="n"/>
      <c r="F180" s="10" t="n"/>
      <c r="G180" s="10" t="n"/>
      <c r="H180" s="10" t="n"/>
      <c r="I180" s="10" t="n"/>
      <c r="J180" s="12">
        <f>IF(OR(A180="",COUNT(C180:E180)&lt;3),"",IFERROR(MAX(0,FLOOR(($N$2-$N$3)/E180,1))*MAX(1,MIN(IF(G180="",1,G180),FLOOR($N$4/D180,1)))*IF(F180="",1,F180),""))</f>
        <v/>
      </c>
      <c r="K180" s="12">
        <f>IF(A180="","",IF(COUNTIF(DATA!$D$2:$D$500,A180)=0,"CEK SKU tidak ada di DATA",IF(COUNT(C180:E180)&lt;3,"CEK dimensi belum lengkap",IF(OR(C180&lt;=0,D180&lt;=0,E180&lt;=0),"CEK dimensi harus lebih dari 0",IF(COUNTIF($A$2:$A$500,A180)&gt;1,"CEK SKU dobel","OK")))))</f>
        <v/>
      </c>
    </row>
    <row r="181">
      <c r="A181" s="10" t="n"/>
      <c r="B181" s="12">
        <f>IF(A181="","",IFERROR(INDEX(DATA!$E$2:$E$500,MATCH(A181,DATA!$D$2:$D$500,0)),""))</f>
        <v/>
      </c>
      <c r="C181" s="10" t="n"/>
      <c r="D181" s="10" t="n"/>
      <c r="E181" s="10" t="n"/>
      <c r="F181" s="10" t="n"/>
      <c r="G181" s="10" t="n"/>
      <c r="H181" s="10" t="n"/>
      <c r="I181" s="10" t="n"/>
      <c r="J181" s="12">
        <f>IF(OR(A181="",COUNT(C181:E181)&lt;3),"",IFERROR(MAX(0,FLOOR(($N$2-$N$3)/E181,1))*MAX(1,MIN(IF(G181="",1,G181),FLOOR($N$4/D181,1)))*IF(F181="",1,F181),""))</f>
        <v/>
      </c>
      <c r="K181" s="12">
        <f>IF(A181="","",IF(COUNTIF(DATA!$D$2:$D$500,A181)=0,"CEK SKU tidak ada di DATA",IF(COUNT(C181:E181)&lt;3,"CEK dimensi belum lengkap",IF(OR(C181&lt;=0,D181&lt;=0,E181&lt;=0),"CEK dimensi harus lebih dari 0",IF(COUNTIF($A$2:$A$500,A181)&gt;1,"CEK SKU dobel","OK")))))</f>
        <v/>
      </c>
    </row>
    <row r="182">
      <c r="A182" s="10" t="n"/>
      <c r="B182" s="12">
        <f>IF(A182="","",IFERROR(INDEX(DATA!$E$2:$E$500,MATCH(A182,DATA!$D$2:$D$500,0)),""))</f>
        <v/>
      </c>
      <c r="C182" s="10" t="n"/>
      <c r="D182" s="10" t="n"/>
      <c r="E182" s="10" t="n"/>
      <c r="F182" s="10" t="n"/>
      <c r="G182" s="10" t="n"/>
      <c r="H182" s="10" t="n"/>
      <c r="I182" s="10" t="n"/>
      <c r="J182" s="12">
        <f>IF(OR(A182="",COUNT(C182:E182)&lt;3),"",IFERROR(MAX(0,FLOOR(($N$2-$N$3)/E182,1))*MAX(1,MIN(IF(G182="",1,G182),FLOOR($N$4/D182,1)))*IF(F182="",1,F182),""))</f>
        <v/>
      </c>
      <c r="K182" s="12">
        <f>IF(A182="","",IF(COUNTIF(DATA!$D$2:$D$500,A182)=0,"CEK SKU tidak ada di DATA",IF(COUNT(C182:E182)&lt;3,"CEK dimensi belum lengkap",IF(OR(C182&lt;=0,D182&lt;=0,E182&lt;=0),"CEK dimensi harus lebih dari 0",IF(COUNTIF($A$2:$A$500,A182)&gt;1,"CEK SKU dobel","OK")))))</f>
        <v/>
      </c>
    </row>
    <row r="183">
      <c r="A183" s="10" t="n"/>
      <c r="B183" s="12">
        <f>IF(A183="","",IFERROR(INDEX(DATA!$E$2:$E$500,MATCH(A183,DATA!$D$2:$D$500,0)),""))</f>
        <v/>
      </c>
      <c r="C183" s="10" t="n"/>
      <c r="D183" s="10" t="n"/>
      <c r="E183" s="10" t="n"/>
      <c r="F183" s="10" t="n"/>
      <c r="G183" s="10" t="n"/>
      <c r="H183" s="10" t="n"/>
      <c r="I183" s="10" t="n"/>
      <c r="J183" s="12">
        <f>IF(OR(A183="",COUNT(C183:E183)&lt;3),"",IFERROR(MAX(0,FLOOR(($N$2-$N$3)/E183,1))*MAX(1,MIN(IF(G183="",1,G183),FLOOR($N$4/D183,1)))*IF(F183="",1,F183),""))</f>
        <v/>
      </c>
      <c r="K183" s="12">
        <f>IF(A183="","",IF(COUNTIF(DATA!$D$2:$D$500,A183)=0,"CEK SKU tidak ada di DATA",IF(COUNT(C183:E183)&lt;3,"CEK dimensi belum lengkap",IF(OR(C183&lt;=0,D183&lt;=0,E183&lt;=0),"CEK dimensi harus lebih dari 0",IF(COUNTIF($A$2:$A$500,A183)&gt;1,"CEK SKU dobel","OK")))))</f>
        <v/>
      </c>
    </row>
    <row r="184">
      <c r="A184" s="10" t="n"/>
      <c r="B184" s="12">
        <f>IF(A184="","",IFERROR(INDEX(DATA!$E$2:$E$500,MATCH(A184,DATA!$D$2:$D$500,0)),""))</f>
        <v/>
      </c>
      <c r="C184" s="10" t="n"/>
      <c r="D184" s="10" t="n"/>
      <c r="E184" s="10" t="n"/>
      <c r="F184" s="10" t="n"/>
      <c r="G184" s="10" t="n"/>
      <c r="H184" s="10" t="n"/>
      <c r="I184" s="10" t="n"/>
      <c r="J184" s="12">
        <f>IF(OR(A184="",COUNT(C184:E184)&lt;3),"",IFERROR(MAX(0,FLOOR(($N$2-$N$3)/E184,1))*MAX(1,MIN(IF(G184="",1,G184),FLOOR($N$4/D184,1)))*IF(F184="",1,F184),""))</f>
        <v/>
      </c>
      <c r="K184" s="12">
        <f>IF(A184="","",IF(COUNTIF(DATA!$D$2:$D$500,A184)=0,"CEK SKU tidak ada di DATA",IF(COUNT(C184:E184)&lt;3,"CEK dimensi belum lengkap",IF(OR(C184&lt;=0,D184&lt;=0,E184&lt;=0),"CEK dimensi harus lebih dari 0",IF(COUNTIF($A$2:$A$500,A184)&gt;1,"CEK SKU dobel","OK")))))</f>
        <v/>
      </c>
    </row>
    <row r="185">
      <c r="A185" s="10" t="n"/>
      <c r="B185" s="12">
        <f>IF(A185="","",IFERROR(INDEX(DATA!$E$2:$E$500,MATCH(A185,DATA!$D$2:$D$500,0)),""))</f>
        <v/>
      </c>
      <c r="C185" s="10" t="n"/>
      <c r="D185" s="10" t="n"/>
      <c r="E185" s="10" t="n"/>
      <c r="F185" s="10" t="n"/>
      <c r="G185" s="10" t="n"/>
      <c r="H185" s="10" t="n"/>
      <c r="I185" s="10" t="n"/>
      <c r="J185" s="12">
        <f>IF(OR(A185="",COUNT(C185:E185)&lt;3),"",IFERROR(MAX(0,FLOOR(($N$2-$N$3)/E185,1))*MAX(1,MIN(IF(G185="",1,G185),FLOOR($N$4/D185,1)))*IF(F185="",1,F185),""))</f>
        <v/>
      </c>
      <c r="K185" s="12">
        <f>IF(A185="","",IF(COUNTIF(DATA!$D$2:$D$500,A185)=0,"CEK SKU tidak ada di DATA",IF(COUNT(C185:E185)&lt;3,"CEK dimensi belum lengkap",IF(OR(C185&lt;=0,D185&lt;=0,E185&lt;=0),"CEK dimensi harus lebih dari 0",IF(COUNTIF($A$2:$A$500,A185)&gt;1,"CEK SKU dobel","OK")))))</f>
        <v/>
      </c>
    </row>
    <row r="186">
      <c r="A186" s="10" t="n"/>
      <c r="B186" s="12">
        <f>IF(A186="","",IFERROR(INDEX(DATA!$E$2:$E$500,MATCH(A186,DATA!$D$2:$D$500,0)),""))</f>
        <v/>
      </c>
      <c r="C186" s="10" t="n"/>
      <c r="D186" s="10" t="n"/>
      <c r="E186" s="10" t="n"/>
      <c r="F186" s="10" t="n"/>
      <c r="G186" s="10" t="n"/>
      <c r="H186" s="10" t="n"/>
      <c r="I186" s="10" t="n"/>
      <c r="J186" s="12">
        <f>IF(OR(A186="",COUNT(C186:E186)&lt;3),"",IFERROR(MAX(0,FLOOR(($N$2-$N$3)/E186,1))*MAX(1,MIN(IF(G186="",1,G186),FLOOR($N$4/D186,1)))*IF(F186="",1,F186),""))</f>
        <v/>
      </c>
      <c r="K186" s="12">
        <f>IF(A186="","",IF(COUNTIF(DATA!$D$2:$D$500,A186)=0,"CEK SKU tidak ada di DATA",IF(COUNT(C186:E186)&lt;3,"CEK dimensi belum lengkap",IF(OR(C186&lt;=0,D186&lt;=0,E186&lt;=0),"CEK dimensi harus lebih dari 0",IF(COUNTIF($A$2:$A$500,A186)&gt;1,"CEK SKU dobel","OK")))))</f>
        <v/>
      </c>
    </row>
    <row r="187">
      <c r="A187" s="10" t="n"/>
      <c r="B187" s="12">
        <f>IF(A187="","",IFERROR(INDEX(DATA!$E$2:$E$500,MATCH(A187,DATA!$D$2:$D$500,0)),""))</f>
        <v/>
      </c>
      <c r="C187" s="10" t="n"/>
      <c r="D187" s="10" t="n"/>
      <c r="E187" s="10" t="n"/>
      <c r="F187" s="10" t="n"/>
      <c r="G187" s="10" t="n"/>
      <c r="H187" s="10" t="n"/>
      <c r="I187" s="10" t="n"/>
      <c r="J187" s="12">
        <f>IF(OR(A187="",COUNT(C187:E187)&lt;3),"",IFERROR(MAX(0,FLOOR(($N$2-$N$3)/E187,1))*MAX(1,MIN(IF(G187="",1,G187),FLOOR($N$4/D187,1)))*IF(F187="",1,F187),""))</f>
        <v/>
      </c>
      <c r="K187" s="12">
        <f>IF(A187="","",IF(COUNTIF(DATA!$D$2:$D$500,A187)=0,"CEK SKU tidak ada di DATA",IF(COUNT(C187:E187)&lt;3,"CEK dimensi belum lengkap",IF(OR(C187&lt;=0,D187&lt;=0,E187&lt;=0),"CEK dimensi harus lebih dari 0",IF(COUNTIF($A$2:$A$500,A187)&gt;1,"CEK SKU dobel","OK")))))</f>
        <v/>
      </c>
    </row>
    <row r="188">
      <c r="A188" s="10" t="n"/>
      <c r="B188" s="12">
        <f>IF(A188="","",IFERROR(INDEX(DATA!$E$2:$E$500,MATCH(A188,DATA!$D$2:$D$500,0)),""))</f>
        <v/>
      </c>
      <c r="C188" s="10" t="n"/>
      <c r="D188" s="10" t="n"/>
      <c r="E188" s="10" t="n"/>
      <c r="F188" s="10" t="n"/>
      <c r="G188" s="10" t="n"/>
      <c r="H188" s="10" t="n"/>
      <c r="I188" s="10" t="n"/>
      <c r="J188" s="12">
        <f>IF(OR(A188="",COUNT(C188:E188)&lt;3),"",IFERROR(MAX(0,FLOOR(($N$2-$N$3)/E188,1))*MAX(1,MIN(IF(G188="",1,G188),FLOOR($N$4/D188,1)))*IF(F188="",1,F188),""))</f>
        <v/>
      </c>
      <c r="K188" s="12">
        <f>IF(A188="","",IF(COUNTIF(DATA!$D$2:$D$500,A188)=0,"CEK SKU tidak ada di DATA",IF(COUNT(C188:E188)&lt;3,"CEK dimensi belum lengkap",IF(OR(C188&lt;=0,D188&lt;=0,E188&lt;=0),"CEK dimensi harus lebih dari 0",IF(COUNTIF($A$2:$A$500,A188)&gt;1,"CEK SKU dobel","OK")))))</f>
        <v/>
      </c>
    </row>
    <row r="189">
      <c r="A189" s="10" t="n"/>
      <c r="B189" s="12">
        <f>IF(A189="","",IFERROR(INDEX(DATA!$E$2:$E$500,MATCH(A189,DATA!$D$2:$D$500,0)),""))</f>
        <v/>
      </c>
      <c r="C189" s="10" t="n"/>
      <c r="D189" s="10" t="n"/>
      <c r="E189" s="10" t="n"/>
      <c r="F189" s="10" t="n"/>
      <c r="G189" s="10" t="n"/>
      <c r="H189" s="10" t="n"/>
      <c r="I189" s="10" t="n"/>
      <c r="J189" s="12">
        <f>IF(OR(A189="",COUNT(C189:E189)&lt;3),"",IFERROR(MAX(0,FLOOR(($N$2-$N$3)/E189,1))*MAX(1,MIN(IF(G189="",1,G189),FLOOR($N$4/D189,1)))*IF(F189="",1,F189),""))</f>
        <v/>
      </c>
      <c r="K189" s="12">
        <f>IF(A189="","",IF(COUNTIF(DATA!$D$2:$D$500,A189)=0,"CEK SKU tidak ada di DATA",IF(COUNT(C189:E189)&lt;3,"CEK dimensi belum lengkap",IF(OR(C189&lt;=0,D189&lt;=0,E189&lt;=0),"CEK dimensi harus lebih dari 0",IF(COUNTIF($A$2:$A$500,A189)&gt;1,"CEK SKU dobel","OK")))))</f>
        <v/>
      </c>
    </row>
    <row r="190">
      <c r="A190" s="10" t="n"/>
      <c r="B190" s="12">
        <f>IF(A190="","",IFERROR(INDEX(DATA!$E$2:$E$500,MATCH(A190,DATA!$D$2:$D$500,0)),""))</f>
        <v/>
      </c>
      <c r="C190" s="10" t="n"/>
      <c r="D190" s="10" t="n"/>
      <c r="E190" s="10" t="n"/>
      <c r="F190" s="10" t="n"/>
      <c r="G190" s="10" t="n"/>
      <c r="H190" s="10" t="n"/>
      <c r="I190" s="10" t="n"/>
      <c r="J190" s="12">
        <f>IF(OR(A190="",COUNT(C190:E190)&lt;3),"",IFERROR(MAX(0,FLOOR(($N$2-$N$3)/E190,1))*MAX(1,MIN(IF(G190="",1,G190),FLOOR($N$4/D190,1)))*IF(F190="",1,F190),""))</f>
        <v/>
      </c>
      <c r="K190" s="12">
        <f>IF(A190="","",IF(COUNTIF(DATA!$D$2:$D$500,A190)=0,"CEK SKU tidak ada di DATA",IF(COUNT(C190:E190)&lt;3,"CEK dimensi belum lengkap",IF(OR(C190&lt;=0,D190&lt;=0,E190&lt;=0),"CEK dimensi harus lebih dari 0",IF(COUNTIF($A$2:$A$500,A190)&gt;1,"CEK SKU dobel","OK")))))</f>
        <v/>
      </c>
    </row>
    <row r="191">
      <c r="A191" s="10" t="n"/>
      <c r="B191" s="12">
        <f>IF(A191="","",IFERROR(INDEX(DATA!$E$2:$E$500,MATCH(A191,DATA!$D$2:$D$500,0)),""))</f>
        <v/>
      </c>
      <c r="C191" s="10" t="n"/>
      <c r="D191" s="10" t="n"/>
      <c r="E191" s="10" t="n"/>
      <c r="F191" s="10" t="n"/>
      <c r="G191" s="10" t="n"/>
      <c r="H191" s="10" t="n"/>
      <c r="I191" s="10" t="n"/>
      <c r="J191" s="12">
        <f>IF(OR(A191="",COUNT(C191:E191)&lt;3),"",IFERROR(MAX(0,FLOOR(($N$2-$N$3)/E191,1))*MAX(1,MIN(IF(G191="",1,G191),FLOOR($N$4/D191,1)))*IF(F191="",1,F191),""))</f>
        <v/>
      </c>
      <c r="K191" s="12">
        <f>IF(A191="","",IF(COUNTIF(DATA!$D$2:$D$500,A191)=0,"CEK SKU tidak ada di DATA",IF(COUNT(C191:E191)&lt;3,"CEK dimensi belum lengkap",IF(OR(C191&lt;=0,D191&lt;=0,E191&lt;=0),"CEK dimensi harus lebih dari 0",IF(COUNTIF($A$2:$A$500,A191)&gt;1,"CEK SKU dobel","OK")))))</f>
        <v/>
      </c>
    </row>
    <row r="192">
      <c r="A192" s="10" t="n"/>
      <c r="B192" s="12">
        <f>IF(A192="","",IFERROR(INDEX(DATA!$E$2:$E$500,MATCH(A192,DATA!$D$2:$D$500,0)),""))</f>
        <v/>
      </c>
      <c r="C192" s="10" t="n"/>
      <c r="D192" s="10" t="n"/>
      <c r="E192" s="10" t="n"/>
      <c r="F192" s="10" t="n"/>
      <c r="G192" s="10" t="n"/>
      <c r="H192" s="10" t="n"/>
      <c r="I192" s="10" t="n"/>
      <c r="J192" s="12">
        <f>IF(OR(A192="",COUNT(C192:E192)&lt;3),"",IFERROR(MAX(0,FLOOR(($N$2-$N$3)/E192,1))*MAX(1,MIN(IF(G192="",1,G192),FLOOR($N$4/D192,1)))*IF(F192="",1,F192),""))</f>
        <v/>
      </c>
      <c r="K192" s="12">
        <f>IF(A192="","",IF(COUNTIF(DATA!$D$2:$D$500,A192)=0,"CEK SKU tidak ada di DATA",IF(COUNT(C192:E192)&lt;3,"CEK dimensi belum lengkap",IF(OR(C192&lt;=0,D192&lt;=0,E192&lt;=0),"CEK dimensi harus lebih dari 0",IF(COUNTIF($A$2:$A$500,A192)&gt;1,"CEK SKU dobel","OK")))))</f>
        <v/>
      </c>
    </row>
    <row r="193">
      <c r="A193" s="10" t="n"/>
      <c r="B193" s="12">
        <f>IF(A193="","",IFERROR(INDEX(DATA!$E$2:$E$500,MATCH(A193,DATA!$D$2:$D$500,0)),""))</f>
        <v/>
      </c>
      <c r="C193" s="10" t="n"/>
      <c r="D193" s="10" t="n"/>
      <c r="E193" s="10" t="n"/>
      <c r="F193" s="10" t="n"/>
      <c r="G193" s="10" t="n"/>
      <c r="H193" s="10" t="n"/>
      <c r="I193" s="10" t="n"/>
      <c r="J193" s="12">
        <f>IF(OR(A193="",COUNT(C193:E193)&lt;3),"",IFERROR(MAX(0,FLOOR(($N$2-$N$3)/E193,1))*MAX(1,MIN(IF(G193="",1,G193),FLOOR($N$4/D193,1)))*IF(F193="",1,F193),""))</f>
        <v/>
      </c>
      <c r="K193" s="12">
        <f>IF(A193="","",IF(COUNTIF(DATA!$D$2:$D$500,A193)=0,"CEK SKU tidak ada di DATA",IF(COUNT(C193:E193)&lt;3,"CEK dimensi belum lengkap",IF(OR(C193&lt;=0,D193&lt;=0,E193&lt;=0),"CEK dimensi harus lebih dari 0",IF(COUNTIF($A$2:$A$500,A193)&gt;1,"CEK SKU dobel","OK")))))</f>
        <v/>
      </c>
    </row>
    <row r="194">
      <c r="A194" s="10" t="n"/>
      <c r="B194" s="12">
        <f>IF(A194="","",IFERROR(INDEX(DATA!$E$2:$E$500,MATCH(A194,DATA!$D$2:$D$500,0)),""))</f>
        <v/>
      </c>
      <c r="C194" s="10" t="n"/>
      <c r="D194" s="10" t="n"/>
      <c r="E194" s="10" t="n"/>
      <c r="F194" s="10" t="n"/>
      <c r="G194" s="10" t="n"/>
      <c r="H194" s="10" t="n"/>
      <c r="I194" s="10" t="n"/>
      <c r="J194" s="12">
        <f>IF(OR(A194="",COUNT(C194:E194)&lt;3),"",IFERROR(MAX(0,FLOOR(($N$2-$N$3)/E194,1))*MAX(1,MIN(IF(G194="",1,G194),FLOOR($N$4/D194,1)))*IF(F194="",1,F194),""))</f>
        <v/>
      </c>
      <c r="K194" s="12">
        <f>IF(A194="","",IF(COUNTIF(DATA!$D$2:$D$500,A194)=0,"CEK SKU tidak ada di DATA",IF(COUNT(C194:E194)&lt;3,"CEK dimensi belum lengkap",IF(OR(C194&lt;=0,D194&lt;=0,E194&lt;=0),"CEK dimensi harus lebih dari 0",IF(COUNTIF($A$2:$A$500,A194)&gt;1,"CEK SKU dobel","OK")))))</f>
        <v/>
      </c>
    </row>
    <row r="195">
      <c r="A195" s="10" t="n"/>
      <c r="B195" s="12">
        <f>IF(A195="","",IFERROR(INDEX(DATA!$E$2:$E$500,MATCH(A195,DATA!$D$2:$D$500,0)),""))</f>
        <v/>
      </c>
      <c r="C195" s="10" t="n"/>
      <c r="D195" s="10" t="n"/>
      <c r="E195" s="10" t="n"/>
      <c r="F195" s="10" t="n"/>
      <c r="G195" s="10" t="n"/>
      <c r="H195" s="10" t="n"/>
      <c r="I195" s="10" t="n"/>
      <c r="J195" s="12">
        <f>IF(OR(A195="",COUNT(C195:E195)&lt;3),"",IFERROR(MAX(0,FLOOR(($N$2-$N$3)/E195,1))*MAX(1,MIN(IF(G195="",1,G195),FLOOR($N$4/D195,1)))*IF(F195="",1,F195),""))</f>
        <v/>
      </c>
      <c r="K195" s="12">
        <f>IF(A195="","",IF(COUNTIF(DATA!$D$2:$D$500,A195)=0,"CEK SKU tidak ada di DATA",IF(COUNT(C195:E195)&lt;3,"CEK dimensi belum lengkap",IF(OR(C195&lt;=0,D195&lt;=0,E195&lt;=0),"CEK dimensi harus lebih dari 0",IF(COUNTIF($A$2:$A$500,A195)&gt;1,"CEK SKU dobel","OK")))))</f>
        <v/>
      </c>
    </row>
    <row r="196">
      <c r="A196" s="10" t="n"/>
      <c r="B196" s="12">
        <f>IF(A196="","",IFERROR(INDEX(DATA!$E$2:$E$500,MATCH(A196,DATA!$D$2:$D$500,0)),""))</f>
        <v/>
      </c>
      <c r="C196" s="10" t="n"/>
      <c r="D196" s="10" t="n"/>
      <c r="E196" s="10" t="n"/>
      <c r="F196" s="10" t="n"/>
      <c r="G196" s="10" t="n"/>
      <c r="H196" s="10" t="n"/>
      <c r="I196" s="10" t="n"/>
      <c r="J196" s="12">
        <f>IF(OR(A196="",COUNT(C196:E196)&lt;3),"",IFERROR(MAX(0,FLOOR(($N$2-$N$3)/E196,1))*MAX(1,MIN(IF(G196="",1,G196),FLOOR($N$4/D196,1)))*IF(F196="",1,F196),""))</f>
        <v/>
      </c>
      <c r="K196" s="12">
        <f>IF(A196="","",IF(COUNTIF(DATA!$D$2:$D$500,A196)=0,"CEK SKU tidak ada di DATA",IF(COUNT(C196:E196)&lt;3,"CEK dimensi belum lengkap",IF(OR(C196&lt;=0,D196&lt;=0,E196&lt;=0),"CEK dimensi harus lebih dari 0",IF(COUNTIF($A$2:$A$500,A196)&gt;1,"CEK SKU dobel","OK")))))</f>
        <v/>
      </c>
    </row>
    <row r="197">
      <c r="A197" s="10" t="n"/>
      <c r="B197" s="12">
        <f>IF(A197="","",IFERROR(INDEX(DATA!$E$2:$E$500,MATCH(A197,DATA!$D$2:$D$500,0)),""))</f>
        <v/>
      </c>
      <c r="C197" s="10" t="n"/>
      <c r="D197" s="10" t="n"/>
      <c r="E197" s="10" t="n"/>
      <c r="F197" s="10" t="n"/>
      <c r="G197" s="10" t="n"/>
      <c r="H197" s="10" t="n"/>
      <c r="I197" s="10" t="n"/>
      <c r="J197" s="12">
        <f>IF(OR(A197="",COUNT(C197:E197)&lt;3),"",IFERROR(MAX(0,FLOOR(($N$2-$N$3)/E197,1))*MAX(1,MIN(IF(G197="",1,G197),FLOOR($N$4/D197,1)))*IF(F197="",1,F197),""))</f>
        <v/>
      </c>
      <c r="K197" s="12">
        <f>IF(A197="","",IF(COUNTIF(DATA!$D$2:$D$500,A197)=0,"CEK SKU tidak ada di DATA",IF(COUNT(C197:E197)&lt;3,"CEK dimensi belum lengkap",IF(OR(C197&lt;=0,D197&lt;=0,E197&lt;=0),"CEK dimensi harus lebih dari 0",IF(COUNTIF($A$2:$A$500,A197)&gt;1,"CEK SKU dobel","OK")))))</f>
        <v/>
      </c>
    </row>
    <row r="198">
      <c r="A198" s="10" t="n"/>
      <c r="B198" s="12">
        <f>IF(A198="","",IFERROR(INDEX(DATA!$E$2:$E$500,MATCH(A198,DATA!$D$2:$D$500,0)),""))</f>
        <v/>
      </c>
      <c r="C198" s="10" t="n"/>
      <c r="D198" s="10" t="n"/>
      <c r="E198" s="10" t="n"/>
      <c r="F198" s="10" t="n"/>
      <c r="G198" s="10" t="n"/>
      <c r="H198" s="10" t="n"/>
      <c r="I198" s="10" t="n"/>
      <c r="J198" s="12">
        <f>IF(OR(A198="",COUNT(C198:E198)&lt;3),"",IFERROR(MAX(0,FLOOR(($N$2-$N$3)/E198,1))*MAX(1,MIN(IF(G198="",1,G198),FLOOR($N$4/D198,1)))*IF(F198="",1,F198),""))</f>
        <v/>
      </c>
      <c r="K198" s="12">
        <f>IF(A198="","",IF(COUNTIF(DATA!$D$2:$D$500,A198)=0,"CEK SKU tidak ada di DATA",IF(COUNT(C198:E198)&lt;3,"CEK dimensi belum lengkap",IF(OR(C198&lt;=0,D198&lt;=0,E198&lt;=0),"CEK dimensi harus lebih dari 0",IF(COUNTIF($A$2:$A$500,A198)&gt;1,"CEK SKU dobel","OK")))))</f>
        <v/>
      </c>
    </row>
    <row r="199">
      <c r="A199" s="10" t="n"/>
      <c r="B199" s="12">
        <f>IF(A199="","",IFERROR(INDEX(DATA!$E$2:$E$500,MATCH(A199,DATA!$D$2:$D$500,0)),""))</f>
        <v/>
      </c>
      <c r="C199" s="10" t="n"/>
      <c r="D199" s="10" t="n"/>
      <c r="E199" s="10" t="n"/>
      <c r="F199" s="10" t="n"/>
      <c r="G199" s="10" t="n"/>
      <c r="H199" s="10" t="n"/>
      <c r="I199" s="10" t="n"/>
      <c r="J199" s="12">
        <f>IF(OR(A199="",COUNT(C199:E199)&lt;3),"",IFERROR(MAX(0,FLOOR(($N$2-$N$3)/E199,1))*MAX(1,MIN(IF(G199="",1,G199),FLOOR($N$4/D199,1)))*IF(F199="",1,F199),""))</f>
        <v/>
      </c>
      <c r="K199" s="12">
        <f>IF(A199="","",IF(COUNTIF(DATA!$D$2:$D$500,A199)=0,"CEK SKU tidak ada di DATA",IF(COUNT(C199:E199)&lt;3,"CEK dimensi belum lengkap",IF(OR(C199&lt;=0,D199&lt;=0,E199&lt;=0),"CEK dimensi harus lebih dari 0",IF(COUNTIF($A$2:$A$500,A199)&gt;1,"CEK SKU dobel","OK")))))</f>
        <v/>
      </c>
    </row>
    <row r="200">
      <c r="A200" s="10" t="n"/>
      <c r="B200" s="12">
        <f>IF(A200="","",IFERROR(INDEX(DATA!$E$2:$E$500,MATCH(A200,DATA!$D$2:$D$500,0)),""))</f>
        <v/>
      </c>
      <c r="C200" s="10" t="n"/>
      <c r="D200" s="10" t="n"/>
      <c r="E200" s="10" t="n"/>
      <c r="F200" s="10" t="n"/>
      <c r="G200" s="10" t="n"/>
      <c r="H200" s="10" t="n"/>
      <c r="I200" s="10" t="n"/>
      <c r="J200" s="12">
        <f>IF(OR(A200="",COUNT(C200:E200)&lt;3),"",IFERROR(MAX(0,FLOOR(($N$2-$N$3)/E200,1))*MAX(1,MIN(IF(G200="",1,G200),FLOOR($N$4/D200,1)))*IF(F200="",1,F200),""))</f>
        <v/>
      </c>
      <c r="K200" s="12">
        <f>IF(A200="","",IF(COUNTIF(DATA!$D$2:$D$500,A200)=0,"CEK SKU tidak ada di DATA",IF(COUNT(C200:E200)&lt;3,"CEK dimensi belum lengkap",IF(OR(C200&lt;=0,D200&lt;=0,E200&lt;=0),"CEK dimensi harus lebih dari 0",IF(COUNTIF($A$2:$A$500,A200)&gt;1,"CEK SKU dobel","OK")))))</f>
        <v/>
      </c>
    </row>
    <row r="201">
      <c r="A201" s="10" t="n"/>
      <c r="B201" s="12">
        <f>IF(A201="","",IFERROR(INDEX(DATA!$E$2:$E$500,MATCH(A201,DATA!$D$2:$D$500,0)),""))</f>
        <v/>
      </c>
      <c r="C201" s="10" t="n"/>
      <c r="D201" s="10" t="n"/>
      <c r="E201" s="10" t="n"/>
      <c r="F201" s="10" t="n"/>
      <c r="G201" s="10" t="n"/>
      <c r="H201" s="10" t="n"/>
      <c r="I201" s="10" t="n"/>
      <c r="J201" s="12">
        <f>IF(OR(A201="",COUNT(C201:E201)&lt;3),"",IFERROR(MAX(0,FLOOR(($N$2-$N$3)/E201,1))*MAX(1,MIN(IF(G201="",1,G201),FLOOR($N$4/D201,1)))*IF(F201="",1,F201),""))</f>
        <v/>
      </c>
      <c r="K201" s="12">
        <f>IF(A201="","",IF(COUNTIF(DATA!$D$2:$D$500,A201)=0,"CEK SKU tidak ada di DATA",IF(COUNT(C201:E201)&lt;3,"CEK dimensi belum lengkap",IF(OR(C201&lt;=0,D201&lt;=0,E201&lt;=0),"CEK dimensi harus lebih dari 0",IF(COUNTIF($A$2:$A$500,A201)&gt;1,"CEK SKU dobel","OK")))))</f>
        <v/>
      </c>
    </row>
    <row r="202">
      <c r="A202" s="10" t="n"/>
      <c r="B202" s="12">
        <f>IF(A202="","",IFERROR(INDEX(DATA!$E$2:$E$500,MATCH(A202,DATA!$D$2:$D$500,0)),""))</f>
        <v/>
      </c>
      <c r="C202" s="10" t="n"/>
      <c r="D202" s="10" t="n"/>
      <c r="E202" s="10" t="n"/>
      <c r="F202" s="10" t="n"/>
      <c r="G202" s="10" t="n"/>
      <c r="H202" s="10" t="n"/>
      <c r="I202" s="10" t="n"/>
      <c r="J202" s="12">
        <f>IF(OR(A202="",COUNT(C202:E202)&lt;3),"",IFERROR(MAX(0,FLOOR(($N$2-$N$3)/E202,1))*MAX(1,MIN(IF(G202="",1,G202),FLOOR($N$4/D202,1)))*IF(F202="",1,F202),""))</f>
        <v/>
      </c>
      <c r="K202" s="12">
        <f>IF(A202="","",IF(COUNTIF(DATA!$D$2:$D$500,A202)=0,"CEK SKU tidak ada di DATA",IF(COUNT(C202:E202)&lt;3,"CEK dimensi belum lengkap",IF(OR(C202&lt;=0,D202&lt;=0,E202&lt;=0),"CEK dimensi harus lebih dari 0",IF(COUNTIF($A$2:$A$500,A202)&gt;1,"CEK SKU dobel","OK")))))</f>
        <v/>
      </c>
    </row>
    <row r="203">
      <c r="A203" s="10" t="n"/>
      <c r="B203" s="12">
        <f>IF(A203="","",IFERROR(INDEX(DATA!$E$2:$E$500,MATCH(A203,DATA!$D$2:$D$500,0)),""))</f>
        <v/>
      </c>
      <c r="C203" s="10" t="n"/>
      <c r="D203" s="10" t="n"/>
      <c r="E203" s="10" t="n"/>
      <c r="F203" s="10" t="n"/>
      <c r="G203" s="10" t="n"/>
      <c r="H203" s="10" t="n"/>
      <c r="I203" s="10" t="n"/>
      <c r="J203" s="12">
        <f>IF(OR(A203="",COUNT(C203:E203)&lt;3),"",IFERROR(MAX(0,FLOOR(($N$2-$N$3)/E203,1))*MAX(1,MIN(IF(G203="",1,G203),FLOOR($N$4/D203,1)))*IF(F203="",1,F203),""))</f>
        <v/>
      </c>
      <c r="K203" s="12">
        <f>IF(A203="","",IF(COUNTIF(DATA!$D$2:$D$500,A203)=0,"CEK SKU tidak ada di DATA",IF(COUNT(C203:E203)&lt;3,"CEK dimensi belum lengkap",IF(OR(C203&lt;=0,D203&lt;=0,E203&lt;=0),"CEK dimensi harus lebih dari 0",IF(COUNTIF($A$2:$A$500,A203)&gt;1,"CEK SKU dobel","OK")))))</f>
        <v/>
      </c>
    </row>
    <row r="204">
      <c r="A204" s="10" t="n"/>
      <c r="B204" s="12">
        <f>IF(A204="","",IFERROR(INDEX(DATA!$E$2:$E$500,MATCH(A204,DATA!$D$2:$D$500,0)),""))</f>
        <v/>
      </c>
      <c r="C204" s="10" t="n"/>
      <c r="D204" s="10" t="n"/>
      <c r="E204" s="10" t="n"/>
      <c r="F204" s="10" t="n"/>
      <c r="G204" s="10" t="n"/>
      <c r="H204" s="10" t="n"/>
      <c r="I204" s="10" t="n"/>
      <c r="J204" s="12">
        <f>IF(OR(A204="",COUNT(C204:E204)&lt;3),"",IFERROR(MAX(0,FLOOR(($N$2-$N$3)/E204,1))*MAX(1,MIN(IF(G204="",1,G204),FLOOR($N$4/D204,1)))*IF(F204="",1,F204),""))</f>
        <v/>
      </c>
      <c r="K204" s="12">
        <f>IF(A204="","",IF(COUNTIF(DATA!$D$2:$D$500,A204)=0,"CEK SKU tidak ada di DATA",IF(COUNT(C204:E204)&lt;3,"CEK dimensi belum lengkap",IF(OR(C204&lt;=0,D204&lt;=0,E204&lt;=0),"CEK dimensi harus lebih dari 0",IF(COUNTIF($A$2:$A$500,A204)&gt;1,"CEK SKU dobel","OK")))))</f>
        <v/>
      </c>
    </row>
    <row r="205">
      <c r="A205" s="10" t="n"/>
      <c r="B205" s="12">
        <f>IF(A205="","",IFERROR(INDEX(DATA!$E$2:$E$500,MATCH(A205,DATA!$D$2:$D$500,0)),""))</f>
        <v/>
      </c>
      <c r="C205" s="10" t="n"/>
      <c r="D205" s="10" t="n"/>
      <c r="E205" s="10" t="n"/>
      <c r="F205" s="10" t="n"/>
      <c r="G205" s="10" t="n"/>
      <c r="H205" s="10" t="n"/>
      <c r="I205" s="10" t="n"/>
      <c r="J205" s="12">
        <f>IF(OR(A205="",COUNT(C205:E205)&lt;3),"",IFERROR(MAX(0,FLOOR(($N$2-$N$3)/E205,1))*MAX(1,MIN(IF(G205="",1,G205),FLOOR($N$4/D205,1)))*IF(F205="",1,F205),""))</f>
        <v/>
      </c>
      <c r="K205" s="12">
        <f>IF(A205="","",IF(COUNTIF(DATA!$D$2:$D$500,A205)=0,"CEK SKU tidak ada di DATA",IF(COUNT(C205:E205)&lt;3,"CEK dimensi belum lengkap",IF(OR(C205&lt;=0,D205&lt;=0,E205&lt;=0),"CEK dimensi harus lebih dari 0",IF(COUNTIF($A$2:$A$500,A205)&gt;1,"CEK SKU dobel","OK")))))</f>
        <v/>
      </c>
    </row>
    <row r="206">
      <c r="A206" s="10" t="n"/>
      <c r="B206" s="12">
        <f>IF(A206="","",IFERROR(INDEX(DATA!$E$2:$E$500,MATCH(A206,DATA!$D$2:$D$500,0)),""))</f>
        <v/>
      </c>
      <c r="C206" s="10" t="n"/>
      <c r="D206" s="10" t="n"/>
      <c r="E206" s="10" t="n"/>
      <c r="F206" s="10" t="n"/>
      <c r="G206" s="10" t="n"/>
      <c r="H206" s="10" t="n"/>
      <c r="I206" s="10" t="n"/>
      <c r="J206" s="12">
        <f>IF(OR(A206="",COUNT(C206:E206)&lt;3),"",IFERROR(MAX(0,FLOOR(($N$2-$N$3)/E206,1))*MAX(1,MIN(IF(G206="",1,G206),FLOOR($N$4/D206,1)))*IF(F206="",1,F206),""))</f>
        <v/>
      </c>
      <c r="K206" s="12">
        <f>IF(A206="","",IF(COUNTIF(DATA!$D$2:$D$500,A206)=0,"CEK SKU tidak ada di DATA",IF(COUNT(C206:E206)&lt;3,"CEK dimensi belum lengkap",IF(OR(C206&lt;=0,D206&lt;=0,E206&lt;=0),"CEK dimensi harus lebih dari 0",IF(COUNTIF($A$2:$A$500,A206)&gt;1,"CEK SKU dobel","OK")))))</f>
        <v/>
      </c>
    </row>
    <row r="207">
      <c r="A207" s="10" t="n"/>
      <c r="B207" s="12">
        <f>IF(A207="","",IFERROR(INDEX(DATA!$E$2:$E$500,MATCH(A207,DATA!$D$2:$D$500,0)),""))</f>
        <v/>
      </c>
      <c r="C207" s="10" t="n"/>
      <c r="D207" s="10" t="n"/>
      <c r="E207" s="10" t="n"/>
      <c r="F207" s="10" t="n"/>
      <c r="G207" s="10" t="n"/>
      <c r="H207" s="10" t="n"/>
      <c r="I207" s="10" t="n"/>
      <c r="J207" s="12">
        <f>IF(OR(A207="",COUNT(C207:E207)&lt;3),"",IFERROR(MAX(0,FLOOR(($N$2-$N$3)/E207,1))*MAX(1,MIN(IF(G207="",1,G207),FLOOR($N$4/D207,1)))*IF(F207="",1,F207),""))</f>
        <v/>
      </c>
      <c r="K207" s="12">
        <f>IF(A207="","",IF(COUNTIF(DATA!$D$2:$D$500,A207)=0,"CEK SKU tidak ada di DATA",IF(COUNT(C207:E207)&lt;3,"CEK dimensi belum lengkap",IF(OR(C207&lt;=0,D207&lt;=0,E207&lt;=0),"CEK dimensi harus lebih dari 0",IF(COUNTIF($A$2:$A$500,A207)&gt;1,"CEK SKU dobel","OK")))))</f>
        <v/>
      </c>
    </row>
    <row r="208">
      <c r="A208" s="10" t="n"/>
      <c r="B208" s="12">
        <f>IF(A208="","",IFERROR(INDEX(DATA!$E$2:$E$500,MATCH(A208,DATA!$D$2:$D$500,0)),""))</f>
        <v/>
      </c>
      <c r="C208" s="10" t="n"/>
      <c r="D208" s="10" t="n"/>
      <c r="E208" s="10" t="n"/>
      <c r="F208" s="10" t="n"/>
      <c r="G208" s="10" t="n"/>
      <c r="H208" s="10" t="n"/>
      <c r="I208" s="10" t="n"/>
      <c r="J208" s="12">
        <f>IF(OR(A208="",COUNT(C208:E208)&lt;3),"",IFERROR(MAX(0,FLOOR(($N$2-$N$3)/E208,1))*MAX(1,MIN(IF(G208="",1,G208),FLOOR($N$4/D208,1)))*IF(F208="",1,F208),""))</f>
        <v/>
      </c>
      <c r="K208" s="12">
        <f>IF(A208="","",IF(COUNTIF(DATA!$D$2:$D$500,A208)=0,"CEK SKU tidak ada di DATA",IF(COUNT(C208:E208)&lt;3,"CEK dimensi belum lengkap",IF(OR(C208&lt;=0,D208&lt;=0,E208&lt;=0),"CEK dimensi harus lebih dari 0",IF(COUNTIF($A$2:$A$500,A208)&gt;1,"CEK SKU dobel","OK")))))</f>
        <v/>
      </c>
    </row>
    <row r="209">
      <c r="A209" s="10" t="n"/>
      <c r="B209" s="12">
        <f>IF(A209="","",IFERROR(INDEX(DATA!$E$2:$E$500,MATCH(A209,DATA!$D$2:$D$500,0)),""))</f>
        <v/>
      </c>
      <c r="C209" s="10" t="n"/>
      <c r="D209" s="10" t="n"/>
      <c r="E209" s="10" t="n"/>
      <c r="F209" s="10" t="n"/>
      <c r="G209" s="10" t="n"/>
      <c r="H209" s="10" t="n"/>
      <c r="I209" s="10" t="n"/>
      <c r="J209" s="12">
        <f>IF(OR(A209="",COUNT(C209:E209)&lt;3),"",IFERROR(MAX(0,FLOOR(($N$2-$N$3)/E209,1))*MAX(1,MIN(IF(G209="",1,G209),FLOOR($N$4/D209,1)))*IF(F209="",1,F209),""))</f>
        <v/>
      </c>
      <c r="K209" s="12">
        <f>IF(A209="","",IF(COUNTIF(DATA!$D$2:$D$500,A209)=0,"CEK SKU tidak ada di DATA",IF(COUNT(C209:E209)&lt;3,"CEK dimensi belum lengkap",IF(OR(C209&lt;=0,D209&lt;=0,E209&lt;=0),"CEK dimensi harus lebih dari 0",IF(COUNTIF($A$2:$A$500,A209)&gt;1,"CEK SKU dobel","OK")))))</f>
        <v/>
      </c>
    </row>
    <row r="210">
      <c r="A210" s="10" t="n"/>
      <c r="B210" s="12">
        <f>IF(A210="","",IFERROR(INDEX(DATA!$E$2:$E$500,MATCH(A210,DATA!$D$2:$D$500,0)),""))</f>
        <v/>
      </c>
      <c r="C210" s="10" t="n"/>
      <c r="D210" s="10" t="n"/>
      <c r="E210" s="10" t="n"/>
      <c r="F210" s="10" t="n"/>
      <c r="G210" s="10" t="n"/>
      <c r="H210" s="10" t="n"/>
      <c r="I210" s="10" t="n"/>
      <c r="J210" s="12">
        <f>IF(OR(A210="",COUNT(C210:E210)&lt;3),"",IFERROR(MAX(0,FLOOR(($N$2-$N$3)/E210,1))*MAX(1,MIN(IF(G210="",1,G210),FLOOR($N$4/D210,1)))*IF(F210="",1,F210),""))</f>
        <v/>
      </c>
      <c r="K210" s="12">
        <f>IF(A210="","",IF(COUNTIF(DATA!$D$2:$D$500,A210)=0,"CEK SKU tidak ada di DATA",IF(COUNT(C210:E210)&lt;3,"CEK dimensi belum lengkap",IF(OR(C210&lt;=0,D210&lt;=0,E210&lt;=0),"CEK dimensi harus lebih dari 0",IF(COUNTIF($A$2:$A$500,A210)&gt;1,"CEK SKU dobel","OK")))))</f>
        <v/>
      </c>
    </row>
    <row r="211">
      <c r="A211" s="10" t="n"/>
      <c r="B211" s="12">
        <f>IF(A211="","",IFERROR(INDEX(DATA!$E$2:$E$500,MATCH(A211,DATA!$D$2:$D$500,0)),""))</f>
        <v/>
      </c>
      <c r="C211" s="10" t="n"/>
      <c r="D211" s="10" t="n"/>
      <c r="E211" s="10" t="n"/>
      <c r="F211" s="10" t="n"/>
      <c r="G211" s="10" t="n"/>
      <c r="H211" s="10" t="n"/>
      <c r="I211" s="10" t="n"/>
      <c r="J211" s="12">
        <f>IF(OR(A211="",COUNT(C211:E211)&lt;3),"",IFERROR(MAX(0,FLOOR(($N$2-$N$3)/E211,1))*MAX(1,MIN(IF(G211="",1,G211),FLOOR($N$4/D211,1)))*IF(F211="",1,F211),""))</f>
        <v/>
      </c>
      <c r="K211" s="12">
        <f>IF(A211="","",IF(COUNTIF(DATA!$D$2:$D$500,A211)=0,"CEK SKU tidak ada di DATA",IF(COUNT(C211:E211)&lt;3,"CEK dimensi belum lengkap",IF(OR(C211&lt;=0,D211&lt;=0,E211&lt;=0),"CEK dimensi harus lebih dari 0",IF(COUNTIF($A$2:$A$500,A211)&gt;1,"CEK SKU dobel","OK")))))</f>
        <v/>
      </c>
    </row>
    <row r="212">
      <c r="A212" s="10" t="n"/>
      <c r="B212" s="12">
        <f>IF(A212="","",IFERROR(INDEX(DATA!$E$2:$E$500,MATCH(A212,DATA!$D$2:$D$500,0)),""))</f>
        <v/>
      </c>
      <c r="C212" s="10" t="n"/>
      <c r="D212" s="10" t="n"/>
      <c r="E212" s="10" t="n"/>
      <c r="F212" s="10" t="n"/>
      <c r="G212" s="10" t="n"/>
      <c r="H212" s="10" t="n"/>
      <c r="I212" s="10" t="n"/>
      <c r="J212" s="12">
        <f>IF(OR(A212="",COUNT(C212:E212)&lt;3),"",IFERROR(MAX(0,FLOOR(($N$2-$N$3)/E212,1))*MAX(1,MIN(IF(G212="",1,G212),FLOOR($N$4/D212,1)))*IF(F212="",1,F212),""))</f>
        <v/>
      </c>
      <c r="K212" s="12">
        <f>IF(A212="","",IF(COUNTIF(DATA!$D$2:$D$500,A212)=0,"CEK SKU tidak ada di DATA",IF(COUNT(C212:E212)&lt;3,"CEK dimensi belum lengkap",IF(OR(C212&lt;=0,D212&lt;=0,E212&lt;=0),"CEK dimensi harus lebih dari 0",IF(COUNTIF($A$2:$A$500,A212)&gt;1,"CEK SKU dobel","OK")))))</f>
        <v/>
      </c>
    </row>
    <row r="213">
      <c r="A213" s="10" t="n"/>
      <c r="B213" s="12">
        <f>IF(A213="","",IFERROR(INDEX(DATA!$E$2:$E$500,MATCH(A213,DATA!$D$2:$D$500,0)),""))</f>
        <v/>
      </c>
      <c r="C213" s="10" t="n"/>
      <c r="D213" s="10" t="n"/>
      <c r="E213" s="10" t="n"/>
      <c r="F213" s="10" t="n"/>
      <c r="G213" s="10" t="n"/>
      <c r="H213" s="10" t="n"/>
      <c r="I213" s="10" t="n"/>
      <c r="J213" s="12">
        <f>IF(OR(A213="",COUNT(C213:E213)&lt;3),"",IFERROR(MAX(0,FLOOR(($N$2-$N$3)/E213,1))*MAX(1,MIN(IF(G213="",1,G213),FLOOR($N$4/D213,1)))*IF(F213="",1,F213),""))</f>
        <v/>
      </c>
      <c r="K213" s="12">
        <f>IF(A213="","",IF(COUNTIF(DATA!$D$2:$D$500,A213)=0,"CEK SKU tidak ada di DATA",IF(COUNT(C213:E213)&lt;3,"CEK dimensi belum lengkap",IF(OR(C213&lt;=0,D213&lt;=0,E213&lt;=0),"CEK dimensi harus lebih dari 0",IF(COUNTIF($A$2:$A$500,A213)&gt;1,"CEK SKU dobel","OK")))))</f>
        <v/>
      </c>
    </row>
    <row r="214">
      <c r="A214" s="10" t="n"/>
      <c r="B214" s="12">
        <f>IF(A214="","",IFERROR(INDEX(DATA!$E$2:$E$500,MATCH(A214,DATA!$D$2:$D$500,0)),""))</f>
        <v/>
      </c>
      <c r="C214" s="10" t="n"/>
      <c r="D214" s="10" t="n"/>
      <c r="E214" s="10" t="n"/>
      <c r="F214" s="10" t="n"/>
      <c r="G214" s="10" t="n"/>
      <c r="H214" s="10" t="n"/>
      <c r="I214" s="10" t="n"/>
      <c r="J214" s="12">
        <f>IF(OR(A214="",COUNT(C214:E214)&lt;3),"",IFERROR(MAX(0,FLOOR(($N$2-$N$3)/E214,1))*MAX(1,MIN(IF(G214="",1,G214),FLOOR($N$4/D214,1)))*IF(F214="",1,F214),""))</f>
        <v/>
      </c>
      <c r="K214" s="12">
        <f>IF(A214="","",IF(COUNTIF(DATA!$D$2:$D$500,A214)=0,"CEK SKU tidak ada di DATA",IF(COUNT(C214:E214)&lt;3,"CEK dimensi belum lengkap",IF(OR(C214&lt;=0,D214&lt;=0,E214&lt;=0),"CEK dimensi harus lebih dari 0",IF(COUNTIF($A$2:$A$500,A214)&gt;1,"CEK SKU dobel","OK")))))</f>
        <v/>
      </c>
    </row>
    <row r="215">
      <c r="A215" s="10" t="n"/>
      <c r="B215" s="12">
        <f>IF(A215="","",IFERROR(INDEX(DATA!$E$2:$E$500,MATCH(A215,DATA!$D$2:$D$500,0)),""))</f>
        <v/>
      </c>
      <c r="C215" s="10" t="n"/>
      <c r="D215" s="10" t="n"/>
      <c r="E215" s="10" t="n"/>
      <c r="F215" s="10" t="n"/>
      <c r="G215" s="10" t="n"/>
      <c r="H215" s="10" t="n"/>
      <c r="I215" s="10" t="n"/>
      <c r="J215" s="12">
        <f>IF(OR(A215="",COUNT(C215:E215)&lt;3),"",IFERROR(MAX(0,FLOOR(($N$2-$N$3)/E215,1))*MAX(1,MIN(IF(G215="",1,G215),FLOOR($N$4/D215,1)))*IF(F215="",1,F215),""))</f>
        <v/>
      </c>
      <c r="K215" s="12">
        <f>IF(A215="","",IF(COUNTIF(DATA!$D$2:$D$500,A215)=0,"CEK SKU tidak ada di DATA",IF(COUNT(C215:E215)&lt;3,"CEK dimensi belum lengkap",IF(OR(C215&lt;=0,D215&lt;=0,E215&lt;=0),"CEK dimensi harus lebih dari 0",IF(COUNTIF($A$2:$A$500,A215)&gt;1,"CEK SKU dobel","OK")))))</f>
        <v/>
      </c>
    </row>
    <row r="216">
      <c r="A216" s="10" t="n"/>
      <c r="B216" s="12">
        <f>IF(A216="","",IFERROR(INDEX(DATA!$E$2:$E$500,MATCH(A216,DATA!$D$2:$D$500,0)),""))</f>
        <v/>
      </c>
      <c r="C216" s="10" t="n"/>
      <c r="D216" s="10" t="n"/>
      <c r="E216" s="10" t="n"/>
      <c r="F216" s="10" t="n"/>
      <c r="G216" s="10" t="n"/>
      <c r="H216" s="10" t="n"/>
      <c r="I216" s="10" t="n"/>
      <c r="J216" s="12">
        <f>IF(OR(A216="",COUNT(C216:E216)&lt;3),"",IFERROR(MAX(0,FLOOR(($N$2-$N$3)/E216,1))*MAX(1,MIN(IF(G216="",1,G216),FLOOR($N$4/D216,1)))*IF(F216="",1,F216),""))</f>
        <v/>
      </c>
      <c r="K216" s="12">
        <f>IF(A216="","",IF(COUNTIF(DATA!$D$2:$D$500,A216)=0,"CEK SKU tidak ada di DATA",IF(COUNT(C216:E216)&lt;3,"CEK dimensi belum lengkap",IF(OR(C216&lt;=0,D216&lt;=0,E216&lt;=0),"CEK dimensi harus lebih dari 0",IF(COUNTIF($A$2:$A$500,A216)&gt;1,"CEK SKU dobel","OK")))))</f>
        <v/>
      </c>
    </row>
    <row r="217">
      <c r="A217" s="10" t="n"/>
      <c r="B217" s="12">
        <f>IF(A217="","",IFERROR(INDEX(DATA!$E$2:$E$500,MATCH(A217,DATA!$D$2:$D$500,0)),""))</f>
        <v/>
      </c>
      <c r="C217" s="10" t="n"/>
      <c r="D217" s="10" t="n"/>
      <c r="E217" s="10" t="n"/>
      <c r="F217" s="10" t="n"/>
      <c r="G217" s="10" t="n"/>
      <c r="H217" s="10" t="n"/>
      <c r="I217" s="10" t="n"/>
      <c r="J217" s="12">
        <f>IF(OR(A217="",COUNT(C217:E217)&lt;3),"",IFERROR(MAX(0,FLOOR(($N$2-$N$3)/E217,1))*MAX(1,MIN(IF(G217="",1,G217),FLOOR($N$4/D217,1)))*IF(F217="",1,F217),""))</f>
        <v/>
      </c>
      <c r="K217" s="12">
        <f>IF(A217="","",IF(COUNTIF(DATA!$D$2:$D$500,A217)=0,"CEK SKU tidak ada di DATA",IF(COUNT(C217:E217)&lt;3,"CEK dimensi belum lengkap",IF(OR(C217&lt;=0,D217&lt;=0,E217&lt;=0),"CEK dimensi harus lebih dari 0",IF(COUNTIF($A$2:$A$500,A217)&gt;1,"CEK SKU dobel","OK")))))</f>
        <v/>
      </c>
    </row>
    <row r="218">
      <c r="A218" s="10" t="n"/>
      <c r="B218" s="12">
        <f>IF(A218="","",IFERROR(INDEX(DATA!$E$2:$E$500,MATCH(A218,DATA!$D$2:$D$500,0)),""))</f>
        <v/>
      </c>
      <c r="C218" s="10" t="n"/>
      <c r="D218" s="10" t="n"/>
      <c r="E218" s="10" t="n"/>
      <c r="F218" s="10" t="n"/>
      <c r="G218" s="10" t="n"/>
      <c r="H218" s="10" t="n"/>
      <c r="I218" s="10" t="n"/>
      <c r="J218" s="12">
        <f>IF(OR(A218="",COUNT(C218:E218)&lt;3),"",IFERROR(MAX(0,FLOOR(($N$2-$N$3)/E218,1))*MAX(1,MIN(IF(G218="",1,G218),FLOOR($N$4/D218,1)))*IF(F218="",1,F218),""))</f>
        <v/>
      </c>
      <c r="K218" s="12">
        <f>IF(A218="","",IF(COUNTIF(DATA!$D$2:$D$500,A218)=0,"CEK SKU tidak ada di DATA",IF(COUNT(C218:E218)&lt;3,"CEK dimensi belum lengkap",IF(OR(C218&lt;=0,D218&lt;=0,E218&lt;=0),"CEK dimensi harus lebih dari 0",IF(COUNTIF($A$2:$A$500,A218)&gt;1,"CEK SKU dobel","OK")))))</f>
        <v/>
      </c>
    </row>
    <row r="219">
      <c r="A219" s="10" t="n"/>
      <c r="B219" s="12">
        <f>IF(A219="","",IFERROR(INDEX(DATA!$E$2:$E$500,MATCH(A219,DATA!$D$2:$D$500,0)),""))</f>
        <v/>
      </c>
      <c r="C219" s="10" t="n"/>
      <c r="D219" s="10" t="n"/>
      <c r="E219" s="10" t="n"/>
      <c r="F219" s="10" t="n"/>
      <c r="G219" s="10" t="n"/>
      <c r="H219" s="10" t="n"/>
      <c r="I219" s="10" t="n"/>
      <c r="J219" s="12">
        <f>IF(OR(A219="",COUNT(C219:E219)&lt;3),"",IFERROR(MAX(0,FLOOR(($N$2-$N$3)/E219,1))*MAX(1,MIN(IF(G219="",1,G219),FLOOR($N$4/D219,1)))*IF(F219="",1,F219),""))</f>
        <v/>
      </c>
      <c r="K219" s="12">
        <f>IF(A219="","",IF(COUNTIF(DATA!$D$2:$D$500,A219)=0,"CEK SKU tidak ada di DATA",IF(COUNT(C219:E219)&lt;3,"CEK dimensi belum lengkap",IF(OR(C219&lt;=0,D219&lt;=0,E219&lt;=0),"CEK dimensi harus lebih dari 0",IF(COUNTIF($A$2:$A$500,A219)&gt;1,"CEK SKU dobel","OK")))))</f>
        <v/>
      </c>
    </row>
    <row r="220">
      <c r="A220" s="10" t="n"/>
      <c r="B220" s="12">
        <f>IF(A220="","",IFERROR(INDEX(DATA!$E$2:$E$500,MATCH(A220,DATA!$D$2:$D$500,0)),""))</f>
        <v/>
      </c>
      <c r="C220" s="10" t="n"/>
      <c r="D220" s="10" t="n"/>
      <c r="E220" s="10" t="n"/>
      <c r="F220" s="10" t="n"/>
      <c r="G220" s="10" t="n"/>
      <c r="H220" s="10" t="n"/>
      <c r="I220" s="10" t="n"/>
      <c r="J220" s="12">
        <f>IF(OR(A220="",COUNT(C220:E220)&lt;3),"",IFERROR(MAX(0,FLOOR(($N$2-$N$3)/E220,1))*MAX(1,MIN(IF(G220="",1,G220),FLOOR($N$4/D220,1)))*IF(F220="",1,F220),""))</f>
        <v/>
      </c>
      <c r="K220" s="12">
        <f>IF(A220="","",IF(COUNTIF(DATA!$D$2:$D$500,A220)=0,"CEK SKU tidak ada di DATA",IF(COUNT(C220:E220)&lt;3,"CEK dimensi belum lengkap",IF(OR(C220&lt;=0,D220&lt;=0,E220&lt;=0),"CEK dimensi harus lebih dari 0",IF(COUNTIF($A$2:$A$500,A220)&gt;1,"CEK SKU dobel","OK")))))</f>
        <v/>
      </c>
    </row>
    <row r="221">
      <c r="A221" s="10" t="n"/>
      <c r="B221" s="12">
        <f>IF(A221="","",IFERROR(INDEX(DATA!$E$2:$E$500,MATCH(A221,DATA!$D$2:$D$500,0)),""))</f>
        <v/>
      </c>
      <c r="C221" s="10" t="n"/>
      <c r="D221" s="10" t="n"/>
      <c r="E221" s="10" t="n"/>
      <c r="F221" s="10" t="n"/>
      <c r="G221" s="10" t="n"/>
      <c r="H221" s="10" t="n"/>
      <c r="I221" s="10" t="n"/>
      <c r="J221" s="12">
        <f>IF(OR(A221="",COUNT(C221:E221)&lt;3),"",IFERROR(MAX(0,FLOOR(($N$2-$N$3)/E221,1))*MAX(1,MIN(IF(G221="",1,G221),FLOOR($N$4/D221,1)))*IF(F221="",1,F221),""))</f>
        <v/>
      </c>
      <c r="K221" s="12">
        <f>IF(A221="","",IF(COUNTIF(DATA!$D$2:$D$500,A221)=0,"CEK SKU tidak ada di DATA",IF(COUNT(C221:E221)&lt;3,"CEK dimensi belum lengkap",IF(OR(C221&lt;=0,D221&lt;=0,E221&lt;=0),"CEK dimensi harus lebih dari 0",IF(COUNTIF($A$2:$A$500,A221)&gt;1,"CEK SKU dobel","OK")))))</f>
        <v/>
      </c>
    </row>
    <row r="222">
      <c r="A222" s="10" t="n"/>
      <c r="B222" s="12">
        <f>IF(A222="","",IFERROR(INDEX(DATA!$E$2:$E$500,MATCH(A222,DATA!$D$2:$D$500,0)),""))</f>
        <v/>
      </c>
      <c r="C222" s="10" t="n"/>
      <c r="D222" s="10" t="n"/>
      <c r="E222" s="10" t="n"/>
      <c r="F222" s="10" t="n"/>
      <c r="G222" s="10" t="n"/>
      <c r="H222" s="10" t="n"/>
      <c r="I222" s="10" t="n"/>
      <c r="J222" s="12">
        <f>IF(OR(A222="",COUNT(C222:E222)&lt;3),"",IFERROR(MAX(0,FLOOR(($N$2-$N$3)/E222,1))*MAX(1,MIN(IF(G222="",1,G222),FLOOR($N$4/D222,1)))*IF(F222="",1,F222),""))</f>
        <v/>
      </c>
      <c r="K222" s="12">
        <f>IF(A222="","",IF(COUNTIF(DATA!$D$2:$D$500,A222)=0,"CEK SKU tidak ada di DATA",IF(COUNT(C222:E222)&lt;3,"CEK dimensi belum lengkap",IF(OR(C222&lt;=0,D222&lt;=0,E222&lt;=0),"CEK dimensi harus lebih dari 0",IF(COUNTIF($A$2:$A$500,A222)&gt;1,"CEK SKU dobel","OK")))))</f>
        <v/>
      </c>
    </row>
    <row r="223">
      <c r="A223" s="10" t="n"/>
      <c r="B223" s="12">
        <f>IF(A223="","",IFERROR(INDEX(DATA!$E$2:$E$500,MATCH(A223,DATA!$D$2:$D$500,0)),""))</f>
        <v/>
      </c>
      <c r="C223" s="10" t="n"/>
      <c r="D223" s="10" t="n"/>
      <c r="E223" s="10" t="n"/>
      <c r="F223" s="10" t="n"/>
      <c r="G223" s="10" t="n"/>
      <c r="H223" s="10" t="n"/>
      <c r="I223" s="10" t="n"/>
      <c r="J223" s="12">
        <f>IF(OR(A223="",COUNT(C223:E223)&lt;3),"",IFERROR(MAX(0,FLOOR(($N$2-$N$3)/E223,1))*MAX(1,MIN(IF(G223="",1,G223),FLOOR($N$4/D223,1)))*IF(F223="",1,F223),""))</f>
        <v/>
      </c>
      <c r="K223" s="12">
        <f>IF(A223="","",IF(COUNTIF(DATA!$D$2:$D$500,A223)=0,"CEK SKU tidak ada di DATA",IF(COUNT(C223:E223)&lt;3,"CEK dimensi belum lengkap",IF(OR(C223&lt;=0,D223&lt;=0,E223&lt;=0),"CEK dimensi harus lebih dari 0",IF(COUNTIF($A$2:$A$500,A223)&gt;1,"CEK SKU dobel","OK")))))</f>
        <v/>
      </c>
    </row>
    <row r="224">
      <c r="A224" s="10" t="n"/>
      <c r="B224" s="12">
        <f>IF(A224="","",IFERROR(INDEX(DATA!$E$2:$E$500,MATCH(A224,DATA!$D$2:$D$500,0)),""))</f>
        <v/>
      </c>
      <c r="C224" s="10" t="n"/>
      <c r="D224" s="10" t="n"/>
      <c r="E224" s="10" t="n"/>
      <c r="F224" s="10" t="n"/>
      <c r="G224" s="10" t="n"/>
      <c r="H224" s="10" t="n"/>
      <c r="I224" s="10" t="n"/>
      <c r="J224" s="12">
        <f>IF(OR(A224="",COUNT(C224:E224)&lt;3),"",IFERROR(MAX(0,FLOOR(($N$2-$N$3)/E224,1))*MAX(1,MIN(IF(G224="",1,G224),FLOOR($N$4/D224,1)))*IF(F224="",1,F224),""))</f>
        <v/>
      </c>
      <c r="K224" s="12">
        <f>IF(A224="","",IF(COUNTIF(DATA!$D$2:$D$500,A224)=0,"CEK SKU tidak ada di DATA",IF(COUNT(C224:E224)&lt;3,"CEK dimensi belum lengkap",IF(OR(C224&lt;=0,D224&lt;=0,E224&lt;=0),"CEK dimensi harus lebih dari 0",IF(COUNTIF($A$2:$A$500,A224)&gt;1,"CEK SKU dobel","OK")))))</f>
        <v/>
      </c>
    </row>
    <row r="225">
      <c r="A225" s="10" t="n"/>
      <c r="B225" s="12">
        <f>IF(A225="","",IFERROR(INDEX(DATA!$E$2:$E$500,MATCH(A225,DATA!$D$2:$D$500,0)),""))</f>
        <v/>
      </c>
      <c r="C225" s="10" t="n"/>
      <c r="D225" s="10" t="n"/>
      <c r="E225" s="10" t="n"/>
      <c r="F225" s="10" t="n"/>
      <c r="G225" s="10" t="n"/>
      <c r="H225" s="10" t="n"/>
      <c r="I225" s="10" t="n"/>
      <c r="J225" s="12">
        <f>IF(OR(A225="",COUNT(C225:E225)&lt;3),"",IFERROR(MAX(0,FLOOR(($N$2-$N$3)/E225,1))*MAX(1,MIN(IF(G225="",1,G225),FLOOR($N$4/D225,1)))*IF(F225="",1,F225),""))</f>
        <v/>
      </c>
      <c r="K225" s="12">
        <f>IF(A225="","",IF(COUNTIF(DATA!$D$2:$D$500,A225)=0,"CEK SKU tidak ada di DATA",IF(COUNT(C225:E225)&lt;3,"CEK dimensi belum lengkap",IF(OR(C225&lt;=0,D225&lt;=0,E225&lt;=0),"CEK dimensi harus lebih dari 0",IF(COUNTIF($A$2:$A$500,A225)&gt;1,"CEK SKU dobel","OK")))))</f>
        <v/>
      </c>
    </row>
    <row r="226">
      <c r="A226" s="10" t="n"/>
      <c r="B226" s="12">
        <f>IF(A226="","",IFERROR(INDEX(DATA!$E$2:$E$500,MATCH(A226,DATA!$D$2:$D$500,0)),""))</f>
        <v/>
      </c>
      <c r="C226" s="10" t="n"/>
      <c r="D226" s="10" t="n"/>
      <c r="E226" s="10" t="n"/>
      <c r="F226" s="10" t="n"/>
      <c r="G226" s="10" t="n"/>
      <c r="H226" s="10" t="n"/>
      <c r="I226" s="10" t="n"/>
      <c r="J226" s="12">
        <f>IF(OR(A226="",COUNT(C226:E226)&lt;3),"",IFERROR(MAX(0,FLOOR(($N$2-$N$3)/E226,1))*MAX(1,MIN(IF(G226="",1,G226),FLOOR($N$4/D226,1)))*IF(F226="",1,F226),""))</f>
        <v/>
      </c>
      <c r="K226" s="12">
        <f>IF(A226="","",IF(COUNTIF(DATA!$D$2:$D$500,A226)=0,"CEK SKU tidak ada di DATA",IF(COUNT(C226:E226)&lt;3,"CEK dimensi belum lengkap",IF(OR(C226&lt;=0,D226&lt;=0,E226&lt;=0),"CEK dimensi harus lebih dari 0",IF(COUNTIF($A$2:$A$500,A226)&gt;1,"CEK SKU dobel","OK")))))</f>
        <v/>
      </c>
    </row>
    <row r="227">
      <c r="A227" s="10" t="n"/>
      <c r="B227" s="12">
        <f>IF(A227="","",IFERROR(INDEX(DATA!$E$2:$E$500,MATCH(A227,DATA!$D$2:$D$500,0)),""))</f>
        <v/>
      </c>
      <c r="C227" s="10" t="n"/>
      <c r="D227" s="10" t="n"/>
      <c r="E227" s="10" t="n"/>
      <c r="F227" s="10" t="n"/>
      <c r="G227" s="10" t="n"/>
      <c r="H227" s="10" t="n"/>
      <c r="I227" s="10" t="n"/>
      <c r="J227" s="12">
        <f>IF(OR(A227="",COUNT(C227:E227)&lt;3),"",IFERROR(MAX(0,FLOOR(($N$2-$N$3)/E227,1))*MAX(1,MIN(IF(G227="",1,G227),FLOOR($N$4/D227,1)))*IF(F227="",1,F227),""))</f>
        <v/>
      </c>
      <c r="K227" s="12">
        <f>IF(A227="","",IF(COUNTIF(DATA!$D$2:$D$500,A227)=0,"CEK SKU tidak ada di DATA",IF(COUNT(C227:E227)&lt;3,"CEK dimensi belum lengkap",IF(OR(C227&lt;=0,D227&lt;=0,E227&lt;=0),"CEK dimensi harus lebih dari 0",IF(COUNTIF($A$2:$A$500,A227)&gt;1,"CEK SKU dobel","OK")))))</f>
        <v/>
      </c>
    </row>
    <row r="228">
      <c r="A228" s="10" t="n"/>
      <c r="B228" s="12">
        <f>IF(A228="","",IFERROR(INDEX(DATA!$E$2:$E$500,MATCH(A228,DATA!$D$2:$D$500,0)),""))</f>
        <v/>
      </c>
      <c r="C228" s="10" t="n"/>
      <c r="D228" s="10" t="n"/>
      <c r="E228" s="10" t="n"/>
      <c r="F228" s="10" t="n"/>
      <c r="G228" s="10" t="n"/>
      <c r="H228" s="10" t="n"/>
      <c r="I228" s="10" t="n"/>
      <c r="J228" s="12">
        <f>IF(OR(A228="",COUNT(C228:E228)&lt;3),"",IFERROR(MAX(0,FLOOR(($N$2-$N$3)/E228,1))*MAX(1,MIN(IF(G228="",1,G228),FLOOR($N$4/D228,1)))*IF(F228="",1,F228),""))</f>
        <v/>
      </c>
      <c r="K228" s="12">
        <f>IF(A228="","",IF(COUNTIF(DATA!$D$2:$D$500,A228)=0,"CEK SKU tidak ada di DATA",IF(COUNT(C228:E228)&lt;3,"CEK dimensi belum lengkap",IF(OR(C228&lt;=0,D228&lt;=0,E228&lt;=0),"CEK dimensi harus lebih dari 0",IF(COUNTIF($A$2:$A$500,A228)&gt;1,"CEK SKU dobel","OK")))))</f>
        <v/>
      </c>
    </row>
    <row r="229">
      <c r="A229" s="10" t="n"/>
      <c r="B229" s="12">
        <f>IF(A229="","",IFERROR(INDEX(DATA!$E$2:$E$500,MATCH(A229,DATA!$D$2:$D$500,0)),""))</f>
        <v/>
      </c>
      <c r="C229" s="10" t="n"/>
      <c r="D229" s="10" t="n"/>
      <c r="E229" s="10" t="n"/>
      <c r="F229" s="10" t="n"/>
      <c r="G229" s="10" t="n"/>
      <c r="H229" s="10" t="n"/>
      <c r="I229" s="10" t="n"/>
      <c r="J229" s="12">
        <f>IF(OR(A229="",COUNT(C229:E229)&lt;3),"",IFERROR(MAX(0,FLOOR(($N$2-$N$3)/E229,1))*MAX(1,MIN(IF(G229="",1,G229),FLOOR($N$4/D229,1)))*IF(F229="",1,F229),""))</f>
        <v/>
      </c>
      <c r="K229" s="12">
        <f>IF(A229="","",IF(COUNTIF(DATA!$D$2:$D$500,A229)=0,"CEK SKU tidak ada di DATA",IF(COUNT(C229:E229)&lt;3,"CEK dimensi belum lengkap",IF(OR(C229&lt;=0,D229&lt;=0,E229&lt;=0),"CEK dimensi harus lebih dari 0",IF(COUNTIF($A$2:$A$500,A229)&gt;1,"CEK SKU dobel","OK")))))</f>
        <v/>
      </c>
    </row>
    <row r="230">
      <c r="A230" s="10" t="n"/>
      <c r="B230" s="12">
        <f>IF(A230="","",IFERROR(INDEX(DATA!$E$2:$E$500,MATCH(A230,DATA!$D$2:$D$500,0)),""))</f>
        <v/>
      </c>
      <c r="C230" s="10" t="n"/>
      <c r="D230" s="10" t="n"/>
      <c r="E230" s="10" t="n"/>
      <c r="F230" s="10" t="n"/>
      <c r="G230" s="10" t="n"/>
      <c r="H230" s="10" t="n"/>
      <c r="I230" s="10" t="n"/>
      <c r="J230" s="12">
        <f>IF(OR(A230="",COUNT(C230:E230)&lt;3),"",IFERROR(MAX(0,FLOOR(($N$2-$N$3)/E230,1))*MAX(1,MIN(IF(G230="",1,G230),FLOOR($N$4/D230,1)))*IF(F230="",1,F230),""))</f>
        <v/>
      </c>
      <c r="K230" s="12">
        <f>IF(A230="","",IF(COUNTIF(DATA!$D$2:$D$500,A230)=0,"CEK SKU tidak ada di DATA",IF(COUNT(C230:E230)&lt;3,"CEK dimensi belum lengkap",IF(OR(C230&lt;=0,D230&lt;=0,E230&lt;=0),"CEK dimensi harus lebih dari 0",IF(COUNTIF($A$2:$A$500,A230)&gt;1,"CEK SKU dobel","OK")))))</f>
        <v/>
      </c>
    </row>
    <row r="231">
      <c r="A231" s="10" t="n"/>
      <c r="B231" s="12">
        <f>IF(A231="","",IFERROR(INDEX(DATA!$E$2:$E$500,MATCH(A231,DATA!$D$2:$D$500,0)),""))</f>
        <v/>
      </c>
      <c r="C231" s="10" t="n"/>
      <c r="D231" s="10" t="n"/>
      <c r="E231" s="10" t="n"/>
      <c r="F231" s="10" t="n"/>
      <c r="G231" s="10" t="n"/>
      <c r="H231" s="10" t="n"/>
      <c r="I231" s="10" t="n"/>
      <c r="J231" s="12">
        <f>IF(OR(A231="",COUNT(C231:E231)&lt;3),"",IFERROR(MAX(0,FLOOR(($N$2-$N$3)/E231,1))*MAX(1,MIN(IF(G231="",1,G231),FLOOR($N$4/D231,1)))*IF(F231="",1,F231),""))</f>
        <v/>
      </c>
      <c r="K231" s="12">
        <f>IF(A231="","",IF(COUNTIF(DATA!$D$2:$D$500,A231)=0,"CEK SKU tidak ada di DATA",IF(COUNT(C231:E231)&lt;3,"CEK dimensi belum lengkap",IF(OR(C231&lt;=0,D231&lt;=0,E231&lt;=0),"CEK dimensi harus lebih dari 0",IF(COUNTIF($A$2:$A$500,A231)&gt;1,"CEK SKU dobel","OK")))))</f>
        <v/>
      </c>
    </row>
    <row r="232">
      <c r="A232" s="10" t="n"/>
      <c r="B232" s="12">
        <f>IF(A232="","",IFERROR(INDEX(DATA!$E$2:$E$500,MATCH(A232,DATA!$D$2:$D$500,0)),""))</f>
        <v/>
      </c>
      <c r="C232" s="10" t="n"/>
      <c r="D232" s="10" t="n"/>
      <c r="E232" s="10" t="n"/>
      <c r="F232" s="10" t="n"/>
      <c r="G232" s="10" t="n"/>
      <c r="H232" s="10" t="n"/>
      <c r="I232" s="10" t="n"/>
      <c r="J232" s="12">
        <f>IF(OR(A232="",COUNT(C232:E232)&lt;3),"",IFERROR(MAX(0,FLOOR(($N$2-$N$3)/E232,1))*MAX(1,MIN(IF(G232="",1,G232),FLOOR($N$4/D232,1)))*IF(F232="",1,F232),""))</f>
        <v/>
      </c>
      <c r="K232" s="12">
        <f>IF(A232="","",IF(COUNTIF(DATA!$D$2:$D$500,A232)=0,"CEK SKU tidak ada di DATA",IF(COUNT(C232:E232)&lt;3,"CEK dimensi belum lengkap",IF(OR(C232&lt;=0,D232&lt;=0,E232&lt;=0),"CEK dimensi harus lebih dari 0",IF(COUNTIF($A$2:$A$500,A232)&gt;1,"CEK SKU dobel","OK")))))</f>
        <v/>
      </c>
    </row>
    <row r="233">
      <c r="A233" s="10" t="n"/>
      <c r="B233" s="12">
        <f>IF(A233="","",IFERROR(INDEX(DATA!$E$2:$E$500,MATCH(A233,DATA!$D$2:$D$500,0)),""))</f>
        <v/>
      </c>
      <c r="C233" s="10" t="n"/>
      <c r="D233" s="10" t="n"/>
      <c r="E233" s="10" t="n"/>
      <c r="F233" s="10" t="n"/>
      <c r="G233" s="10" t="n"/>
      <c r="H233" s="10" t="n"/>
      <c r="I233" s="10" t="n"/>
      <c r="J233" s="12">
        <f>IF(OR(A233="",COUNT(C233:E233)&lt;3),"",IFERROR(MAX(0,FLOOR(($N$2-$N$3)/E233,1))*MAX(1,MIN(IF(G233="",1,G233),FLOOR($N$4/D233,1)))*IF(F233="",1,F233),""))</f>
        <v/>
      </c>
      <c r="K233" s="12">
        <f>IF(A233="","",IF(COUNTIF(DATA!$D$2:$D$500,A233)=0,"CEK SKU tidak ada di DATA",IF(COUNT(C233:E233)&lt;3,"CEK dimensi belum lengkap",IF(OR(C233&lt;=0,D233&lt;=0,E233&lt;=0),"CEK dimensi harus lebih dari 0",IF(COUNTIF($A$2:$A$500,A233)&gt;1,"CEK SKU dobel","OK")))))</f>
        <v/>
      </c>
    </row>
    <row r="234">
      <c r="A234" s="10" t="n"/>
      <c r="B234" s="12">
        <f>IF(A234="","",IFERROR(INDEX(DATA!$E$2:$E$500,MATCH(A234,DATA!$D$2:$D$500,0)),""))</f>
        <v/>
      </c>
      <c r="C234" s="10" t="n"/>
      <c r="D234" s="10" t="n"/>
      <c r="E234" s="10" t="n"/>
      <c r="F234" s="10" t="n"/>
      <c r="G234" s="10" t="n"/>
      <c r="H234" s="10" t="n"/>
      <c r="I234" s="10" t="n"/>
      <c r="J234" s="12">
        <f>IF(OR(A234="",COUNT(C234:E234)&lt;3),"",IFERROR(MAX(0,FLOOR(($N$2-$N$3)/E234,1))*MAX(1,MIN(IF(G234="",1,G234),FLOOR($N$4/D234,1)))*IF(F234="",1,F234),""))</f>
        <v/>
      </c>
      <c r="K234" s="12">
        <f>IF(A234="","",IF(COUNTIF(DATA!$D$2:$D$500,A234)=0,"CEK SKU tidak ada di DATA",IF(COUNT(C234:E234)&lt;3,"CEK dimensi belum lengkap",IF(OR(C234&lt;=0,D234&lt;=0,E234&lt;=0),"CEK dimensi harus lebih dari 0",IF(COUNTIF($A$2:$A$500,A234)&gt;1,"CEK SKU dobel","OK")))))</f>
        <v/>
      </c>
    </row>
    <row r="235">
      <c r="A235" s="10" t="n"/>
      <c r="B235" s="12">
        <f>IF(A235="","",IFERROR(INDEX(DATA!$E$2:$E$500,MATCH(A235,DATA!$D$2:$D$500,0)),""))</f>
        <v/>
      </c>
      <c r="C235" s="10" t="n"/>
      <c r="D235" s="10" t="n"/>
      <c r="E235" s="10" t="n"/>
      <c r="F235" s="10" t="n"/>
      <c r="G235" s="10" t="n"/>
      <c r="H235" s="10" t="n"/>
      <c r="I235" s="10" t="n"/>
      <c r="J235" s="12">
        <f>IF(OR(A235="",COUNT(C235:E235)&lt;3),"",IFERROR(MAX(0,FLOOR(($N$2-$N$3)/E235,1))*MAX(1,MIN(IF(G235="",1,G235),FLOOR($N$4/D235,1)))*IF(F235="",1,F235),""))</f>
        <v/>
      </c>
      <c r="K235" s="12">
        <f>IF(A235="","",IF(COUNTIF(DATA!$D$2:$D$500,A235)=0,"CEK SKU tidak ada di DATA",IF(COUNT(C235:E235)&lt;3,"CEK dimensi belum lengkap",IF(OR(C235&lt;=0,D235&lt;=0,E235&lt;=0),"CEK dimensi harus lebih dari 0",IF(COUNTIF($A$2:$A$500,A235)&gt;1,"CEK SKU dobel","OK")))))</f>
        <v/>
      </c>
    </row>
    <row r="236">
      <c r="A236" s="10" t="n"/>
      <c r="B236" s="12">
        <f>IF(A236="","",IFERROR(INDEX(DATA!$E$2:$E$500,MATCH(A236,DATA!$D$2:$D$500,0)),""))</f>
        <v/>
      </c>
      <c r="C236" s="10" t="n"/>
      <c r="D236" s="10" t="n"/>
      <c r="E236" s="10" t="n"/>
      <c r="F236" s="10" t="n"/>
      <c r="G236" s="10" t="n"/>
      <c r="H236" s="10" t="n"/>
      <c r="I236" s="10" t="n"/>
      <c r="J236" s="12">
        <f>IF(OR(A236="",COUNT(C236:E236)&lt;3),"",IFERROR(MAX(0,FLOOR(($N$2-$N$3)/E236,1))*MAX(1,MIN(IF(G236="",1,G236),FLOOR($N$4/D236,1)))*IF(F236="",1,F236),""))</f>
        <v/>
      </c>
      <c r="K236" s="12">
        <f>IF(A236="","",IF(COUNTIF(DATA!$D$2:$D$500,A236)=0,"CEK SKU tidak ada di DATA",IF(COUNT(C236:E236)&lt;3,"CEK dimensi belum lengkap",IF(OR(C236&lt;=0,D236&lt;=0,E236&lt;=0),"CEK dimensi harus lebih dari 0",IF(COUNTIF($A$2:$A$500,A236)&gt;1,"CEK SKU dobel","OK")))))</f>
        <v/>
      </c>
    </row>
    <row r="237">
      <c r="A237" s="10" t="n"/>
      <c r="B237" s="12">
        <f>IF(A237="","",IFERROR(INDEX(DATA!$E$2:$E$500,MATCH(A237,DATA!$D$2:$D$500,0)),""))</f>
        <v/>
      </c>
      <c r="C237" s="10" t="n"/>
      <c r="D237" s="10" t="n"/>
      <c r="E237" s="10" t="n"/>
      <c r="F237" s="10" t="n"/>
      <c r="G237" s="10" t="n"/>
      <c r="H237" s="10" t="n"/>
      <c r="I237" s="10" t="n"/>
      <c r="J237" s="12">
        <f>IF(OR(A237="",COUNT(C237:E237)&lt;3),"",IFERROR(MAX(0,FLOOR(($N$2-$N$3)/E237,1))*MAX(1,MIN(IF(G237="",1,G237),FLOOR($N$4/D237,1)))*IF(F237="",1,F237),""))</f>
        <v/>
      </c>
      <c r="K237" s="12">
        <f>IF(A237="","",IF(COUNTIF(DATA!$D$2:$D$500,A237)=0,"CEK SKU tidak ada di DATA",IF(COUNT(C237:E237)&lt;3,"CEK dimensi belum lengkap",IF(OR(C237&lt;=0,D237&lt;=0,E237&lt;=0),"CEK dimensi harus lebih dari 0",IF(COUNTIF($A$2:$A$500,A237)&gt;1,"CEK SKU dobel","OK")))))</f>
        <v/>
      </c>
    </row>
    <row r="238">
      <c r="A238" s="10" t="n"/>
      <c r="B238" s="12">
        <f>IF(A238="","",IFERROR(INDEX(DATA!$E$2:$E$500,MATCH(A238,DATA!$D$2:$D$500,0)),""))</f>
        <v/>
      </c>
      <c r="C238" s="10" t="n"/>
      <c r="D238" s="10" t="n"/>
      <c r="E238" s="10" t="n"/>
      <c r="F238" s="10" t="n"/>
      <c r="G238" s="10" t="n"/>
      <c r="H238" s="10" t="n"/>
      <c r="I238" s="10" t="n"/>
      <c r="J238" s="12">
        <f>IF(OR(A238="",COUNT(C238:E238)&lt;3),"",IFERROR(MAX(0,FLOOR(($N$2-$N$3)/E238,1))*MAX(1,MIN(IF(G238="",1,G238),FLOOR($N$4/D238,1)))*IF(F238="",1,F238),""))</f>
        <v/>
      </c>
      <c r="K238" s="12">
        <f>IF(A238="","",IF(COUNTIF(DATA!$D$2:$D$500,A238)=0,"CEK SKU tidak ada di DATA",IF(COUNT(C238:E238)&lt;3,"CEK dimensi belum lengkap",IF(OR(C238&lt;=0,D238&lt;=0,E238&lt;=0),"CEK dimensi harus lebih dari 0",IF(COUNTIF($A$2:$A$500,A238)&gt;1,"CEK SKU dobel","OK")))))</f>
        <v/>
      </c>
    </row>
    <row r="239">
      <c r="A239" s="10" t="n"/>
      <c r="B239" s="12">
        <f>IF(A239="","",IFERROR(INDEX(DATA!$E$2:$E$500,MATCH(A239,DATA!$D$2:$D$500,0)),""))</f>
        <v/>
      </c>
      <c r="C239" s="10" t="n"/>
      <c r="D239" s="10" t="n"/>
      <c r="E239" s="10" t="n"/>
      <c r="F239" s="10" t="n"/>
      <c r="G239" s="10" t="n"/>
      <c r="H239" s="10" t="n"/>
      <c r="I239" s="10" t="n"/>
      <c r="J239" s="12">
        <f>IF(OR(A239="",COUNT(C239:E239)&lt;3),"",IFERROR(MAX(0,FLOOR(($N$2-$N$3)/E239,1))*MAX(1,MIN(IF(G239="",1,G239),FLOOR($N$4/D239,1)))*IF(F239="",1,F239),""))</f>
        <v/>
      </c>
      <c r="K239" s="12">
        <f>IF(A239="","",IF(COUNTIF(DATA!$D$2:$D$500,A239)=0,"CEK SKU tidak ada di DATA",IF(COUNT(C239:E239)&lt;3,"CEK dimensi belum lengkap",IF(OR(C239&lt;=0,D239&lt;=0,E239&lt;=0),"CEK dimensi harus lebih dari 0",IF(COUNTIF($A$2:$A$500,A239)&gt;1,"CEK SKU dobel","OK")))))</f>
        <v/>
      </c>
    </row>
    <row r="240">
      <c r="A240" s="10" t="n"/>
      <c r="B240" s="12">
        <f>IF(A240="","",IFERROR(INDEX(DATA!$E$2:$E$500,MATCH(A240,DATA!$D$2:$D$500,0)),""))</f>
        <v/>
      </c>
      <c r="C240" s="10" t="n"/>
      <c r="D240" s="10" t="n"/>
      <c r="E240" s="10" t="n"/>
      <c r="F240" s="10" t="n"/>
      <c r="G240" s="10" t="n"/>
      <c r="H240" s="10" t="n"/>
      <c r="I240" s="10" t="n"/>
      <c r="J240" s="12">
        <f>IF(OR(A240="",COUNT(C240:E240)&lt;3),"",IFERROR(MAX(0,FLOOR(($N$2-$N$3)/E240,1))*MAX(1,MIN(IF(G240="",1,G240),FLOOR($N$4/D240,1)))*IF(F240="",1,F240),""))</f>
        <v/>
      </c>
      <c r="K240" s="12">
        <f>IF(A240="","",IF(COUNTIF(DATA!$D$2:$D$500,A240)=0,"CEK SKU tidak ada di DATA",IF(COUNT(C240:E240)&lt;3,"CEK dimensi belum lengkap",IF(OR(C240&lt;=0,D240&lt;=0,E240&lt;=0),"CEK dimensi harus lebih dari 0",IF(COUNTIF($A$2:$A$500,A240)&gt;1,"CEK SKU dobel","OK")))))</f>
        <v/>
      </c>
    </row>
    <row r="241">
      <c r="A241" s="10" t="n"/>
      <c r="B241" s="12">
        <f>IF(A241="","",IFERROR(INDEX(DATA!$E$2:$E$500,MATCH(A241,DATA!$D$2:$D$500,0)),""))</f>
        <v/>
      </c>
      <c r="C241" s="10" t="n"/>
      <c r="D241" s="10" t="n"/>
      <c r="E241" s="10" t="n"/>
      <c r="F241" s="10" t="n"/>
      <c r="G241" s="10" t="n"/>
      <c r="H241" s="10" t="n"/>
      <c r="I241" s="10" t="n"/>
      <c r="J241" s="12">
        <f>IF(OR(A241="",COUNT(C241:E241)&lt;3),"",IFERROR(MAX(0,FLOOR(($N$2-$N$3)/E241,1))*MAX(1,MIN(IF(G241="",1,G241),FLOOR($N$4/D241,1)))*IF(F241="",1,F241),""))</f>
        <v/>
      </c>
      <c r="K241" s="12">
        <f>IF(A241="","",IF(COUNTIF(DATA!$D$2:$D$500,A241)=0,"CEK SKU tidak ada di DATA",IF(COUNT(C241:E241)&lt;3,"CEK dimensi belum lengkap",IF(OR(C241&lt;=0,D241&lt;=0,E241&lt;=0),"CEK dimensi harus lebih dari 0",IF(COUNTIF($A$2:$A$500,A241)&gt;1,"CEK SKU dobel","OK")))))</f>
        <v/>
      </c>
    </row>
    <row r="242">
      <c r="A242" s="10" t="n"/>
      <c r="B242" s="12">
        <f>IF(A242="","",IFERROR(INDEX(DATA!$E$2:$E$500,MATCH(A242,DATA!$D$2:$D$500,0)),""))</f>
        <v/>
      </c>
      <c r="C242" s="10" t="n"/>
      <c r="D242" s="10" t="n"/>
      <c r="E242" s="10" t="n"/>
      <c r="F242" s="10" t="n"/>
      <c r="G242" s="10" t="n"/>
      <c r="H242" s="10" t="n"/>
      <c r="I242" s="10" t="n"/>
      <c r="J242" s="12">
        <f>IF(OR(A242="",COUNT(C242:E242)&lt;3),"",IFERROR(MAX(0,FLOOR(($N$2-$N$3)/E242,1))*MAX(1,MIN(IF(G242="",1,G242),FLOOR($N$4/D242,1)))*IF(F242="",1,F242),""))</f>
        <v/>
      </c>
      <c r="K242" s="12">
        <f>IF(A242="","",IF(COUNTIF(DATA!$D$2:$D$500,A242)=0,"CEK SKU tidak ada di DATA",IF(COUNT(C242:E242)&lt;3,"CEK dimensi belum lengkap",IF(OR(C242&lt;=0,D242&lt;=0,E242&lt;=0),"CEK dimensi harus lebih dari 0",IF(COUNTIF($A$2:$A$500,A242)&gt;1,"CEK SKU dobel","OK")))))</f>
        <v/>
      </c>
    </row>
    <row r="243">
      <c r="A243" s="10" t="n"/>
      <c r="B243" s="12">
        <f>IF(A243="","",IFERROR(INDEX(DATA!$E$2:$E$500,MATCH(A243,DATA!$D$2:$D$500,0)),""))</f>
        <v/>
      </c>
      <c r="C243" s="10" t="n"/>
      <c r="D243" s="10" t="n"/>
      <c r="E243" s="10" t="n"/>
      <c r="F243" s="10" t="n"/>
      <c r="G243" s="10" t="n"/>
      <c r="H243" s="10" t="n"/>
      <c r="I243" s="10" t="n"/>
      <c r="J243" s="12">
        <f>IF(OR(A243="",COUNT(C243:E243)&lt;3),"",IFERROR(MAX(0,FLOOR(($N$2-$N$3)/E243,1))*MAX(1,MIN(IF(G243="",1,G243),FLOOR($N$4/D243,1)))*IF(F243="",1,F243),""))</f>
        <v/>
      </c>
      <c r="K243" s="12">
        <f>IF(A243="","",IF(COUNTIF(DATA!$D$2:$D$500,A243)=0,"CEK SKU tidak ada di DATA",IF(COUNT(C243:E243)&lt;3,"CEK dimensi belum lengkap",IF(OR(C243&lt;=0,D243&lt;=0,E243&lt;=0),"CEK dimensi harus lebih dari 0",IF(COUNTIF($A$2:$A$500,A243)&gt;1,"CEK SKU dobel","OK")))))</f>
        <v/>
      </c>
    </row>
    <row r="244">
      <c r="A244" s="10" t="n"/>
      <c r="B244" s="12">
        <f>IF(A244="","",IFERROR(INDEX(DATA!$E$2:$E$500,MATCH(A244,DATA!$D$2:$D$500,0)),""))</f>
        <v/>
      </c>
      <c r="C244" s="10" t="n"/>
      <c r="D244" s="10" t="n"/>
      <c r="E244" s="10" t="n"/>
      <c r="F244" s="10" t="n"/>
      <c r="G244" s="10" t="n"/>
      <c r="H244" s="10" t="n"/>
      <c r="I244" s="10" t="n"/>
      <c r="J244" s="12">
        <f>IF(OR(A244="",COUNT(C244:E244)&lt;3),"",IFERROR(MAX(0,FLOOR(($N$2-$N$3)/E244,1))*MAX(1,MIN(IF(G244="",1,G244),FLOOR($N$4/D244,1)))*IF(F244="",1,F244),""))</f>
        <v/>
      </c>
      <c r="K244" s="12">
        <f>IF(A244="","",IF(COUNTIF(DATA!$D$2:$D$500,A244)=0,"CEK SKU tidak ada di DATA",IF(COUNT(C244:E244)&lt;3,"CEK dimensi belum lengkap",IF(OR(C244&lt;=0,D244&lt;=0,E244&lt;=0),"CEK dimensi harus lebih dari 0",IF(COUNTIF($A$2:$A$500,A244)&gt;1,"CEK SKU dobel","OK")))))</f>
        <v/>
      </c>
    </row>
    <row r="245">
      <c r="A245" s="10" t="n"/>
      <c r="B245" s="12">
        <f>IF(A245="","",IFERROR(INDEX(DATA!$E$2:$E$500,MATCH(A245,DATA!$D$2:$D$500,0)),""))</f>
        <v/>
      </c>
      <c r="C245" s="10" t="n"/>
      <c r="D245" s="10" t="n"/>
      <c r="E245" s="10" t="n"/>
      <c r="F245" s="10" t="n"/>
      <c r="G245" s="10" t="n"/>
      <c r="H245" s="10" t="n"/>
      <c r="I245" s="10" t="n"/>
      <c r="J245" s="12">
        <f>IF(OR(A245="",COUNT(C245:E245)&lt;3),"",IFERROR(MAX(0,FLOOR(($N$2-$N$3)/E245,1))*MAX(1,MIN(IF(G245="",1,G245),FLOOR($N$4/D245,1)))*IF(F245="",1,F245),""))</f>
        <v/>
      </c>
      <c r="K245" s="12">
        <f>IF(A245="","",IF(COUNTIF(DATA!$D$2:$D$500,A245)=0,"CEK SKU tidak ada di DATA",IF(COUNT(C245:E245)&lt;3,"CEK dimensi belum lengkap",IF(OR(C245&lt;=0,D245&lt;=0,E245&lt;=0),"CEK dimensi harus lebih dari 0",IF(COUNTIF($A$2:$A$500,A245)&gt;1,"CEK SKU dobel","OK")))))</f>
        <v/>
      </c>
    </row>
    <row r="246">
      <c r="A246" s="10" t="n"/>
      <c r="B246" s="12">
        <f>IF(A246="","",IFERROR(INDEX(DATA!$E$2:$E$500,MATCH(A246,DATA!$D$2:$D$500,0)),""))</f>
        <v/>
      </c>
      <c r="C246" s="10" t="n"/>
      <c r="D246" s="10" t="n"/>
      <c r="E246" s="10" t="n"/>
      <c r="F246" s="10" t="n"/>
      <c r="G246" s="10" t="n"/>
      <c r="H246" s="10" t="n"/>
      <c r="I246" s="10" t="n"/>
      <c r="J246" s="12">
        <f>IF(OR(A246="",COUNT(C246:E246)&lt;3),"",IFERROR(MAX(0,FLOOR(($N$2-$N$3)/E246,1))*MAX(1,MIN(IF(G246="",1,G246),FLOOR($N$4/D246,1)))*IF(F246="",1,F246),""))</f>
        <v/>
      </c>
      <c r="K246" s="12">
        <f>IF(A246="","",IF(COUNTIF(DATA!$D$2:$D$500,A246)=0,"CEK SKU tidak ada di DATA",IF(COUNT(C246:E246)&lt;3,"CEK dimensi belum lengkap",IF(OR(C246&lt;=0,D246&lt;=0,E246&lt;=0),"CEK dimensi harus lebih dari 0",IF(COUNTIF($A$2:$A$500,A246)&gt;1,"CEK SKU dobel","OK")))))</f>
        <v/>
      </c>
    </row>
    <row r="247">
      <c r="A247" s="10" t="n"/>
      <c r="B247" s="12">
        <f>IF(A247="","",IFERROR(INDEX(DATA!$E$2:$E$500,MATCH(A247,DATA!$D$2:$D$500,0)),""))</f>
        <v/>
      </c>
      <c r="C247" s="10" t="n"/>
      <c r="D247" s="10" t="n"/>
      <c r="E247" s="10" t="n"/>
      <c r="F247" s="10" t="n"/>
      <c r="G247" s="10" t="n"/>
      <c r="H247" s="10" t="n"/>
      <c r="I247" s="10" t="n"/>
      <c r="J247" s="12">
        <f>IF(OR(A247="",COUNT(C247:E247)&lt;3),"",IFERROR(MAX(0,FLOOR(($N$2-$N$3)/E247,1))*MAX(1,MIN(IF(G247="",1,G247),FLOOR($N$4/D247,1)))*IF(F247="",1,F247),""))</f>
        <v/>
      </c>
      <c r="K247" s="12">
        <f>IF(A247="","",IF(COUNTIF(DATA!$D$2:$D$500,A247)=0,"CEK SKU tidak ada di DATA",IF(COUNT(C247:E247)&lt;3,"CEK dimensi belum lengkap",IF(OR(C247&lt;=0,D247&lt;=0,E247&lt;=0),"CEK dimensi harus lebih dari 0",IF(COUNTIF($A$2:$A$500,A247)&gt;1,"CEK SKU dobel","OK")))))</f>
        <v/>
      </c>
    </row>
    <row r="248">
      <c r="A248" s="10" t="n"/>
      <c r="B248" s="12">
        <f>IF(A248="","",IFERROR(INDEX(DATA!$E$2:$E$500,MATCH(A248,DATA!$D$2:$D$500,0)),""))</f>
        <v/>
      </c>
      <c r="C248" s="10" t="n"/>
      <c r="D248" s="10" t="n"/>
      <c r="E248" s="10" t="n"/>
      <c r="F248" s="10" t="n"/>
      <c r="G248" s="10" t="n"/>
      <c r="H248" s="10" t="n"/>
      <c r="I248" s="10" t="n"/>
      <c r="J248" s="12">
        <f>IF(OR(A248="",COUNT(C248:E248)&lt;3),"",IFERROR(MAX(0,FLOOR(($N$2-$N$3)/E248,1))*MAX(1,MIN(IF(G248="",1,G248),FLOOR($N$4/D248,1)))*IF(F248="",1,F248),""))</f>
        <v/>
      </c>
      <c r="K248" s="12">
        <f>IF(A248="","",IF(COUNTIF(DATA!$D$2:$D$500,A248)=0,"CEK SKU tidak ada di DATA",IF(COUNT(C248:E248)&lt;3,"CEK dimensi belum lengkap",IF(OR(C248&lt;=0,D248&lt;=0,E248&lt;=0),"CEK dimensi harus lebih dari 0",IF(COUNTIF($A$2:$A$500,A248)&gt;1,"CEK SKU dobel","OK")))))</f>
        <v/>
      </c>
    </row>
    <row r="249">
      <c r="A249" s="10" t="n"/>
      <c r="B249" s="12">
        <f>IF(A249="","",IFERROR(INDEX(DATA!$E$2:$E$500,MATCH(A249,DATA!$D$2:$D$500,0)),""))</f>
        <v/>
      </c>
      <c r="C249" s="10" t="n"/>
      <c r="D249" s="10" t="n"/>
      <c r="E249" s="10" t="n"/>
      <c r="F249" s="10" t="n"/>
      <c r="G249" s="10" t="n"/>
      <c r="H249" s="10" t="n"/>
      <c r="I249" s="10" t="n"/>
      <c r="J249" s="12">
        <f>IF(OR(A249="",COUNT(C249:E249)&lt;3),"",IFERROR(MAX(0,FLOOR(($N$2-$N$3)/E249,1))*MAX(1,MIN(IF(G249="",1,G249),FLOOR($N$4/D249,1)))*IF(F249="",1,F249),""))</f>
        <v/>
      </c>
      <c r="K249" s="12">
        <f>IF(A249="","",IF(COUNTIF(DATA!$D$2:$D$500,A249)=0,"CEK SKU tidak ada di DATA",IF(COUNT(C249:E249)&lt;3,"CEK dimensi belum lengkap",IF(OR(C249&lt;=0,D249&lt;=0,E249&lt;=0),"CEK dimensi harus lebih dari 0",IF(COUNTIF($A$2:$A$500,A249)&gt;1,"CEK SKU dobel","OK")))))</f>
        <v/>
      </c>
    </row>
    <row r="250">
      <c r="A250" s="10" t="n"/>
      <c r="B250" s="12">
        <f>IF(A250="","",IFERROR(INDEX(DATA!$E$2:$E$500,MATCH(A250,DATA!$D$2:$D$500,0)),""))</f>
        <v/>
      </c>
      <c r="C250" s="10" t="n"/>
      <c r="D250" s="10" t="n"/>
      <c r="E250" s="10" t="n"/>
      <c r="F250" s="10" t="n"/>
      <c r="G250" s="10" t="n"/>
      <c r="H250" s="10" t="n"/>
      <c r="I250" s="10" t="n"/>
      <c r="J250" s="12">
        <f>IF(OR(A250="",COUNT(C250:E250)&lt;3),"",IFERROR(MAX(0,FLOOR(($N$2-$N$3)/E250,1))*MAX(1,MIN(IF(G250="",1,G250),FLOOR($N$4/D250,1)))*IF(F250="",1,F250),""))</f>
        <v/>
      </c>
      <c r="K250" s="12">
        <f>IF(A250="","",IF(COUNTIF(DATA!$D$2:$D$500,A250)=0,"CEK SKU tidak ada di DATA",IF(COUNT(C250:E250)&lt;3,"CEK dimensi belum lengkap",IF(OR(C250&lt;=0,D250&lt;=0,E250&lt;=0),"CEK dimensi harus lebih dari 0",IF(COUNTIF($A$2:$A$500,A250)&gt;1,"CEK SKU dobel","OK")))))</f>
        <v/>
      </c>
    </row>
    <row r="251">
      <c r="A251" s="10" t="n"/>
      <c r="B251" s="12">
        <f>IF(A251="","",IFERROR(INDEX(DATA!$E$2:$E$500,MATCH(A251,DATA!$D$2:$D$500,0)),""))</f>
        <v/>
      </c>
      <c r="C251" s="10" t="n"/>
      <c r="D251" s="10" t="n"/>
      <c r="E251" s="10" t="n"/>
      <c r="F251" s="10" t="n"/>
      <c r="G251" s="10" t="n"/>
      <c r="H251" s="10" t="n"/>
      <c r="I251" s="10" t="n"/>
      <c r="J251" s="12">
        <f>IF(OR(A251="",COUNT(C251:E251)&lt;3),"",IFERROR(MAX(0,FLOOR(($N$2-$N$3)/E251,1))*MAX(1,MIN(IF(G251="",1,G251),FLOOR($N$4/D251,1)))*IF(F251="",1,F251),""))</f>
        <v/>
      </c>
      <c r="K251" s="12">
        <f>IF(A251="","",IF(COUNTIF(DATA!$D$2:$D$500,A251)=0,"CEK SKU tidak ada di DATA",IF(COUNT(C251:E251)&lt;3,"CEK dimensi belum lengkap",IF(OR(C251&lt;=0,D251&lt;=0,E251&lt;=0),"CEK dimensi harus lebih dari 0",IF(COUNTIF($A$2:$A$500,A251)&gt;1,"CEK SKU dobel","OK")))))</f>
        <v/>
      </c>
    </row>
    <row r="252">
      <c r="A252" s="10" t="n"/>
      <c r="B252" s="12">
        <f>IF(A252="","",IFERROR(INDEX(DATA!$E$2:$E$500,MATCH(A252,DATA!$D$2:$D$500,0)),""))</f>
        <v/>
      </c>
      <c r="C252" s="10" t="n"/>
      <c r="D252" s="10" t="n"/>
      <c r="E252" s="10" t="n"/>
      <c r="F252" s="10" t="n"/>
      <c r="G252" s="10" t="n"/>
      <c r="H252" s="10" t="n"/>
      <c r="I252" s="10" t="n"/>
      <c r="J252" s="12">
        <f>IF(OR(A252="",COUNT(C252:E252)&lt;3),"",IFERROR(MAX(0,FLOOR(($N$2-$N$3)/E252,1))*MAX(1,MIN(IF(G252="",1,G252),FLOOR($N$4/D252,1)))*IF(F252="",1,F252),""))</f>
        <v/>
      </c>
      <c r="K252" s="12">
        <f>IF(A252="","",IF(COUNTIF(DATA!$D$2:$D$500,A252)=0,"CEK SKU tidak ada di DATA",IF(COUNT(C252:E252)&lt;3,"CEK dimensi belum lengkap",IF(OR(C252&lt;=0,D252&lt;=0,E252&lt;=0),"CEK dimensi harus lebih dari 0",IF(COUNTIF($A$2:$A$500,A252)&gt;1,"CEK SKU dobel","OK")))))</f>
        <v/>
      </c>
    </row>
    <row r="253">
      <c r="A253" s="10" t="n"/>
      <c r="B253" s="12">
        <f>IF(A253="","",IFERROR(INDEX(DATA!$E$2:$E$500,MATCH(A253,DATA!$D$2:$D$500,0)),""))</f>
        <v/>
      </c>
      <c r="C253" s="10" t="n"/>
      <c r="D253" s="10" t="n"/>
      <c r="E253" s="10" t="n"/>
      <c r="F253" s="10" t="n"/>
      <c r="G253" s="10" t="n"/>
      <c r="H253" s="10" t="n"/>
      <c r="I253" s="10" t="n"/>
      <c r="J253" s="12">
        <f>IF(OR(A253="",COUNT(C253:E253)&lt;3),"",IFERROR(MAX(0,FLOOR(($N$2-$N$3)/E253,1))*MAX(1,MIN(IF(G253="",1,G253),FLOOR($N$4/D253,1)))*IF(F253="",1,F253),""))</f>
        <v/>
      </c>
      <c r="K253" s="12">
        <f>IF(A253="","",IF(COUNTIF(DATA!$D$2:$D$500,A253)=0,"CEK SKU tidak ada di DATA",IF(COUNT(C253:E253)&lt;3,"CEK dimensi belum lengkap",IF(OR(C253&lt;=0,D253&lt;=0,E253&lt;=0),"CEK dimensi harus lebih dari 0",IF(COUNTIF($A$2:$A$500,A253)&gt;1,"CEK SKU dobel","OK")))))</f>
        <v/>
      </c>
    </row>
    <row r="254">
      <c r="A254" s="10" t="n"/>
      <c r="B254" s="12">
        <f>IF(A254="","",IFERROR(INDEX(DATA!$E$2:$E$500,MATCH(A254,DATA!$D$2:$D$500,0)),""))</f>
        <v/>
      </c>
      <c r="C254" s="10" t="n"/>
      <c r="D254" s="10" t="n"/>
      <c r="E254" s="10" t="n"/>
      <c r="F254" s="10" t="n"/>
      <c r="G254" s="10" t="n"/>
      <c r="H254" s="10" t="n"/>
      <c r="I254" s="10" t="n"/>
      <c r="J254" s="12">
        <f>IF(OR(A254="",COUNT(C254:E254)&lt;3),"",IFERROR(MAX(0,FLOOR(($N$2-$N$3)/E254,1))*MAX(1,MIN(IF(G254="",1,G254),FLOOR($N$4/D254,1)))*IF(F254="",1,F254),""))</f>
        <v/>
      </c>
      <c r="K254" s="12">
        <f>IF(A254="","",IF(COUNTIF(DATA!$D$2:$D$500,A254)=0,"CEK SKU tidak ada di DATA",IF(COUNT(C254:E254)&lt;3,"CEK dimensi belum lengkap",IF(OR(C254&lt;=0,D254&lt;=0,E254&lt;=0),"CEK dimensi harus lebih dari 0",IF(COUNTIF($A$2:$A$500,A254)&gt;1,"CEK SKU dobel","OK")))))</f>
        <v/>
      </c>
    </row>
    <row r="255">
      <c r="A255" s="10" t="n"/>
      <c r="B255" s="12">
        <f>IF(A255="","",IFERROR(INDEX(DATA!$E$2:$E$500,MATCH(A255,DATA!$D$2:$D$500,0)),""))</f>
        <v/>
      </c>
      <c r="C255" s="10" t="n"/>
      <c r="D255" s="10" t="n"/>
      <c r="E255" s="10" t="n"/>
      <c r="F255" s="10" t="n"/>
      <c r="G255" s="10" t="n"/>
      <c r="H255" s="10" t="n"/>
      <c r="I255" s="10" t="n"/>
      <c r="J255" s="12">
        <f>IF(OR(A255="",COUNT(C255:E255)&lt;3),"",IFERROR(MAX(0,FLOOR(($N$2-$N$3)/E255,1))*MAX(1,MIN(IF(G255="",1,G255),FLOOR($N$4/D255,1)))*IF(F255="",1,F255),""))</f>
        <v/>
      </c>
      <c r="K255" s="12">
        <f>IF(A255="","",IF(COUNTIF(DATA!$D$2:$D$500,A255)=0,"CEK SKU tidak ada di DATA",IF(COUNT(C255:E255)&lt;3,"CEK dimensi belum lengkap",IF(OR(C255&lt;=0,D255&lt;=0,E255&lt;=0),"CEK dimensi harus lebih dari 0",IF(COUNTIF($A$2:$A$500,A255)&gt;1,"CEK SKU dobel","OK")))))</f>
        <v/>
      </c>
    </row>
    <row r="256">
      <c r="A256" s="10" t="n"/>
      <c r="B256" s="12">
        <f>IF(A256="","",IFERROR(INDEX(DATA!$E$2:$E$500,MATCH(A256,DATA!$D$2:$D$500,0)),""))</f>
        <v/>
      </c>
      <c r="C256" s="10" t="n"/>
      <c r="D256" s="10" t="n"/>
      <c r="E256" s="10" t="n"/>
      <c r="F256" s="10" t="n"/>
      <c r="G256" s="10" t="n"/>
      <c r="H256" s="10" t="n"/>
      <c r="I256" s="10" t="n"/>
      <c r="J256" s="12">
        <f>IF(OR(A256="",COUNT(C256:E256)&lt;3),"",IFERROR(MAX(0,FLOOR(($N$2-$N$3)/E256,1))*MAX(1,MIN(IF(G256="",1,G256),FLOOR($N$4/D256,1)))*IF(F256="",1,F256),""))</f>
        <v/>
      </c>
      <c r="K256" s="12">
        <f>IF(A256="","",IF(COUNTIF(DATA!$D$2:$D$500,A256)=0,"CEK SKU tidak ada di DATA",IF(COUNT(C256:E256)&lt;3,"CEK dimensi belum lengkap",IF(OR(C256&lt;=0,D256&lt;=0,E256&lt;=0),"CEK dimensi harus lebih dari 0",IF(COUNTIF($A$2:$A$500,A256)&gt;1,"CEK SKU dobel","OK")))))</f>
        <v/>
      </c>
    </row>
    <row r="257">
      <c r="A257" s="10" t="n"/>
      <c r="B257" s="12">
        <f>IF(A257="","",IFERROR(INDEX(DATA!$E$2:$E$500,MATCH(A257,DATA!$D$2:$D$500,0)),""))</f>
        <v/>
      </c>
      <c r="C257" s="10" t="n"/>
      <c r="D257" s="10" t="n"/>
      <c r="E257" s="10" t="n"/>
      <c r="F257" s="10" t="n"/>
      <c r="G257" s="10" t="n"/>
      <c r="H257" s="10" t="n"/>
      <c r="I257" s="10" t="n"/>
      <c r="J257" s="12">
        <f>IF(OR(A257="",COUNT(C257:E257)&lt;3),"",IFERROR(MAX(0,FLOOR(($N$2-$N$3)/E257,1))*MAX(1,MIN(IF(G257="",1,G257),FLOOR($N$4/D257,1)))*IF(F257="",1,F257),""))</f>
        <v/>
      </c>
      <c r="K257" s="12">
        <f>IF(A257="","",IF(COUNTIF(DATA!$D$2:$D$500,A257)=0,"CEK SKU tidak ada di DATA",IF(COUNT(C257:E257)&lt;3,"CEK dimensi belum lengkap",IF(OR(C257&lt;=0,D257&lt;=0,E257&lt;=0),"CEK dimensi harus lebih dari 0",IF(COUNTIF($A$2:$A$500,A257)&gt;1,"CEK SKU dobel","OK")))))</f>
        <v/>
      </c>
    </row>
    <row r="258">
      <c r="A258" s="10" t="n"/>
      <c r="B258" s="12">
        <f>IF(A258="","",IFERROR(INDEX(DATA!$E$2:$E$500,MATCH(A258,DATA!$D$2:$D$500,0)),""))</f>
        <v/>
      </c>
      <c r="C258" s="10" t="n"/>
      <c r="D258" s="10" t="n"/>
      <c r="E258" s="10" t="n"/>
      <c r="F258" s="10" t="n"/>
      <c r="G258" s="10" t="n"/>
      <c r="H258" s="10" t="n"/>
      <c r="I258" s="10" t="n"/>
      <c r="J258" s="12">
        <f>IF(OR(A258="",COUNT(C258:E258)&lt;3),"",IFERROR(MAX(0,FLOOR(($N$2-$N$3)/E258,1))*MAX(1,MIN(IF(G258="",1,G258),FLOOR($N$4/D258,1)))*IF(F258="",1,F258),""))</f>
        <v/>
      </c>
      <c r="K258" s="12">
        <f>IF(A258="","",IF(COUNTIF(DATA!$D$2:$D$500,A258)=0,"CEK SKU tidak ada di DATA",IF(COUNT(C258:E258)&lt;3,"CEK dimensi belum lengkap",IF(OR(C258&lt;=0,D258&lt;=0,E258&lt;=0),"CEK dimensi harus lebih dari 0",IF(COUNTIF($A$2:$A$500,A258)&gt;1,"CEK SKU dobel","OK")))))</f>
        <v/>
      </c>
    </row>
    <row r="259">
      <c r="A259" s="10" t="n"/>
      <c r="B259" s="12">
        <f>IF(A259="","",IFERROR(INDEX(DATA!$E$2:$E$500,MATCH(A259,DATA!$D$2:$D$500,0)),""))</f>
        <v/>
      </c>
      <c r="C259" s="10" t="n"/>
      <c r="D259" s="10" t="n"/>
      <c r="E259" s="10" t="n"/>
      <c r="F259" s="10" t="n"/>
      <c r="G259" s="10" t="n"/>
      <c r="H259" s="10" t="n"/>
      <c r="I259" s="10" t="n"/>
      <c r="J259" s="12">
        <f>IF(OR(A259="",COUNT(C259:E259)&lt;3),"",IFERROR(MAX(0,FLOOR(($N$2-$N$3)/E259,1))*MAX(1,MIN(IF(G259="",1,G259),FLOOR($N$4/D259,1)))*IF(F259="",1,F259),""))</f>
        <v/>
      </c>
      <c r="K259" s="12">
        <f>IF(A259="","",IF(COUNTIF(DATA!$D$2:$D$500,A259)=0,"CEK SKU tidak ada di DATA",IF(COUNT(C259:E259)&lt;3,"CEK dimensi belum lengkap",IF(OR(C259&lt;=0,D259&lt;=0,E259&lt;=0),"CEK dimensi harus lebih dari 0",IF(COUNTIF($A$2:$A$500,A259)&gt;1,"CEK SKU dobel","OK")))))</f>
        <v/>
      </c>
    </row>
    <row r="260">
      <c r="A260" s="10" t="n"/>
      <c r="B260" s="12">
        <f>IF(A260="","",IFERROR(INDEX(DATA!$E$2:$E$500,MATCH(A260,DATA!$D$2:$D$500,0)),""))</f>
        <v/>
      </c>
      <c r="C260" s="10" t="n"/>
      <c r="D260" s="10" t="n"/>
      <c r="E260" s="10" t="n"/>
      <c r="F260" s="10" t="n"/>
      <c r="G260" s="10" t="n"/>
      <c r="H260" s="10" t="n"/>
      <c r="I260" s="10" t="n"/>
      <c r="J260" s="12">
        <f>IF(OR(A260="",COUNT(C260:E260)&lt;3),"",IFERROR(MAX(0,FLOOR(($N$2-$N$3)/E260,1))*MAX(1,MIN(IF(G260="",1,G260),FLOOR($N$4/D260,1)))*IF(F260="",1,F260),""))</f>
        <v/>
      </c>
      <c r="K260" s="12">
        <f>IF(A260="","",IF(COUNTIF(DATA!$D$2:$D$500,A260)=0,"CEK SKU tidak ada di DATA",IF(COUNT(C260:E260)&lt;3,"CEK dimensi belum lengkap",IF(OR(C260&lt;=0,D260&lt;=0,E260&lt;=0),"CEK dimensi harus lebih dari 0",IF(COUNTIF($A$2:$A$500,A260)&gt;1,"CEK SKU dobel","OK")))))</f>
        <v/>
      </c>
    </row>
    <row r="261">
      <c r="A261" s="10" t="n"/>
      <c r="B261" s="12">
        <f>IF(A261="","",IFERROR(INDEX(DATA!$E$2:$E$500,MATCH(A261,DATA!$D$2:$D$500,0)),""))</f>
        <v/>
      </c>
      <c r="C261" s="10" t="n"/>
      <c r="D261" s="10" t="n"/>
      <c r="E261" s="10" t="n"/>
      <c r="F261" s="10" t="n"/>
      <c r="G261" s="10" t="n"/>
      <c r="H261" s="10" t="n"/>
      <c r="I261" s="10" t="n"/>
      <c r="J261" s="12">
        <f>IF(OR(A261="",COUNT(C261:E261)&lt;3),"",IFERROR(MAX(0,FLOOR(($N$2-$N$3)/E261,1))*MAX(1,MIN(IF(G261="",1,G261),FLOOR($N$4/D261,1)))*IF(F261="",1,F261),""))</f>
        <v/>
      </c>
      <c r="K261" s="12">
        <f>IF(A261="","",IF(COUNTIF(DATA!$D$2:$D$500,A261)=0,"CEK SKU tidak ada di DATA",IF(COUNT(C261:E261)&lt;3,"CEK dimensi belum lengkap",IF(OR(C261&lt;=0,D261&lt;=0,E261&lt;=0),"CEK dimensi harus lebih dari 0",IF(COUNTIF($A$2:$A$500,A261)&gt;1,"CEK SKU dobel","OK")))))</f>
        <v/>
      </c>
    </row>
    <row r="262">
      <c r="A262" s="10" t="n"/>
      <c r="B262" s="12">
        <f>IF(A262="","",IFERROR(INDEX(DATA!$E$2:$E$500,MATCH(A262,DATA!$D$2:$D$500,0)),""))</f>
        <v/>
      </c>
      <c r="C262" s="10" t="n"/>
      <c r="D262" s="10" t="n"/>
      <c r="E262" s="10" t="n"/>
      <c r="F262" s="10" t="n"/>
      <c r="G262" s="10" t="n"/>
      <c r="H262" s="10" t="n"/>
      <c r="I262" s="10" t="n"/>
      <c r="J262" s="12">
        <f>IF(OR(A262="",COUNT(C262:E262)&lt;3),"",IFERROR(MAX(0,FLOOR(($N$2-$N$3)/E262,1))*MAX(1,MIN(IF(G262="",1,G262),FLOOR($N$4/D262,1)))*IF(F262="",1,F262),""))</f>
        <v/>
      </c>
      <c r="K262" s="12">
        <f>IF(A262="","",IF(COUNTIF(DATA!$D$2:$D$500,A262)=0,"CEK SKU tidak ada di DATA",IF(COUNT(C262:E262)&lt;3,"CEK dimensi belum lengkap",IF(OR(C262&lt;=0,D262&lt;=0,E262&lt;=0),"CEK dimensi harus lebih dari 0",IF(COUNTIF($A$2:$A$500,A262)&gt;1,"CEK SKU dobel","OK")))))</f>
        <v/>
      </c>
    </row>
    <row r="263">
      <c r="A263" s="10" t="n"/>
      <c r="B263" s="12">
        <f>IF(A263="","",IFERROR(INDEX(DATA!$E$2:$E$500,MATCH(A263,DATA!$D$2:$D$500,0)),""))</f>
        <v/>
      </c>
      <c r="C263" s="10" t="n"/>
      <c r="D263" s="10" t="n"/>
      <c r="E263" s="10" t="n"/>
      <c r="F263" s="10" t="n"/>
      <c r="G263" s="10" t="n"/>
      <c r="H263" s="10" t="n"/>
      <c r="I263" s="10" t="n"/>
      <c r="J263" s="12">
        <f>IF(OR(A263="",COUNT(C263:E263)&lt;3),"",IFERROR(MAX(0,FLOOR(($N$2-$N$3)/E263,1))*MAX(1,MIN(IF(G263="",1,G263),FLOOR($N$4/D263,1)))*IF(F263="",1,F263),""))</f>
        <v/>
      </c>
      <c r="K263" s="12">
        <f>IF(A263="","",IF(COUNTIF(DATA!$D$2:$D$500,A263)=0,"CEK SKU tidak ada di DATA",IF(COUNT(C263:E263)&lt;3,"CEK dimensi belum lengkap",IF(OR(C263&lt;=0,D263&lt;=0,E263&lt;=0),"CEK dimensi harus lebih dari 0",IF(COUNTIF($A$2:$A$500,A263)&gt;1,"CEK SKU dobel","OK")))))</f>
        <v/>
      </c>
    </row>
    <row r="264">
      <c r="A264" s="10" t="n"/>
      <c r="B264" s="12">
        <f>IF(A264="","",IFERROR(INDEX(DATA!$E$2:$E$500,MATCH(A264,DATA!$D$2:$D$500,0)),""))</f>
        <v/>
      </c>
      <c r="C264" s="10" t="n"/>
      <c r="D264" s="10" t="n"/>
      <c r="E264" s="10" t="n"/>
      <c r="F264" s="10" t="n"/>
      <c r="G264" s="10" t="n"/>
      <c r="H264" s="10" t="n"/>
      <c r="I264" s="10" t="n"/>
      <c r="J264" s="12">
        <f>IF(OR(A264="",COUNT(C264:E264)&lt;3),"",IFERROR(MAX(0,FLOOR(($N$2-$N$3)/E264,1))*MAX(1,MIN(IF(G264="",1,G264),FLOOR($N$4/D264,1)))*IF(F264="",1,F264),""))</f>
        <v/>
      </c>
      <c r="K264" s="12">
        <f>IF(A264="","",IF(COUNTIF(DATA!$D$2:$D$500,A264)=0,"CEK SKU tidak ada di DATA",IF(COUNT(C264:E264)&lt;3,"CEK dimensi belum lengkap",IF(OR(C264&lt;=0,D264&lt;=0,E264&lt;=0),"CEK dimensi harus lebih dari 0",IF(COUNTIF($A$2:$A$500,A264)&gt;1,"CEK SKU dobel","OK")))))</f>
        <v/>
      </c>
    </row>
    <row r="265">
      <c r="A265" s="10" t="n"/>
      <c r="B265" s="12">
        <f>IF(A265="","",IFERROR(INDEX(DATA!$E$2:$E$500,MATCH(A265,DATA!$D$2:$D$500,0)),""))</f>
        <v/>
      </c>
      <c r="C265" s="10" t="n"/>
      <c r="D265" s="10" t="n"/>
      <c r="E265" s="10" t="n"/>
      <c r="F265" s="10" t="n"/>
      <c r="G265" s="10" t="n"/>
      <c r="H265" s="10" t="n"/>
      <c r="I265" s="10" t="n"/>
      <c r="J265" s="12">
        <f>IF(OR(A265="",COUNT(C265:E265)&lt;3),"",IFERROR(MAX(0,FLOOR(($N$2-$N$3)/E265,1))*MAX(1,MIN(IF(G265="",1,G265),FLOOR($N$4/D265,1)))*IF(F265="",1,F265),""))</f>
        <v/>
      </c>
      <c r="K265" s="12">
        <f>IF(A265="","",IF(COUNTIF(DATA!$D$2:$D$500,A265)=0,"CEK SKU tidak ada di DATA",IF(COUNT(C265:E265)&lt;3,"CEK dimensi belum lengkap",IF(OR(C265&lt;=0,D265&lt;=0,E265&lt;=0),"CEK dimensi harus lebih dari 0",IF(COUNTIF($A$2:$A$500,A265)&gt;1,"CEK SKU dobel","OK")))))</f>
        <v/>
      </c>
    </row>
    <row r="266">
      <c r="A266" s="10" t="n"/>
      <c r="B266" s="12">
        <f>IF(A266="","",IFERROR(INDEX(DATA!$E$2:$E$500,MATCH(A266,DATA!$D$2:$D$500,0)),""))</f>
        <v/>
      </c>
      <c r="C266" s="10" t="n"/>
      <c r="D266" s="10" t="n"/>
      <c r="E266" s="10" t="n"/>
      <c r="F266" s="10" t="n"/>
      <c r="G266" s="10" t="n"/>
      <c r="H266" s="10" t="n"/>
      <c r="I266" s="10" t="n"/>
      <c r="J266" s="12">
        <f>IF(OR(A266="",COUNT(C266:E266)&lt;3),"",IFERROR(MAX(0,FLOOR(($N$2-$N$3)/E266,1))*MAX(1,MIN(IF(G266="",1,G266),FLOOR($N$4/D266,1)))*IF(F266="",1,F266),""))</f>
        <v/>
      </c>
      <c r="K266" s="12">
        <f>IF(A266="","",IF(COUNTIF(DATA!$D$2:$D$500,A266)=0,"CEK SKU tidak ada di DATA",IF(COUNT(C266:E266)&lt;3,"CEK dimensi belum lengkap",IF(OR(C266&lt;=0,D266&lt;=0,E266&lt;=0),"CEK dimensi harus lebih dari 0",IF(COUNTIF($A$2:$A$500,A266)&gt;1,"CEK SKU dobel","OK")))))</f>
        <v/>
      </c>
    </row>
    <row r="267">
      <c r="A267" s="10" t="n"/>
      <c r="B267" s="12">
        <f>IF(A267="","",IFERROR(INDEX(DATA!$E$2:$E$500,MATCH(A267,DATA!$D$2:$D$500,0)),""))</f>
        <v/>
      </c>
      <c r="C267" s="10" t="n"/>
      <c r="D267" s="10" t="n"/>
      <c r="E267" s="10" t="n"/>
      <c r="F267" s="10" t="n"/>
      <c r="G267" s="10" t="n"/>
      <c r="H267" s="10" t="n"/>
      <c r="I267" s="10" t="n"/>
      <c r="J267" s="12">
        <f>IF(OR(A267="",COUNT(C267:E267)&lt;3),"",IFERROR(MAX(0,FLOOR(($N$2-$N$3)/E267,1))*MAX(1,MIN(IF(G267="",1,G267),FLOOR($N$4/D267,1)))*IF(F267="",1,F267),""))</f>
        <v/>
      </c>
      <c r="K267" s="12">
        <f>IF(A267="","",IF(COUNTIF(DATA!$D$2:$D$500,A267)=0,"CEK SKU tidak ada di DATA",IF(COUNT(C267:E267)&lt;3,"CEK dimensi belum lengkap",IF(OR(C267&lt;=0,D267&lt;=0,E267&lt;=0),"CEK dimensi harus lebih dari 0",IF(COUNTIF($A$2:$A$500,A267)&gt;1,"CEK SKU dobel","OK")))))</f>
        <v/>
      </c>
    </row>
    <row r="268">
      <c r="A268" s="10" t="n"/>
      <c r="B268" s="12">
        <f>IF(A268="","",IFERROR(INDEX(DATA!$E$2:$E$500,MATCH(A268,DATA!$D$2:$D$500,0)),""))</f>
        <v/>
      </c>
      <c r="C268" s="10" t="n"/>
      <c r="D268" s="10" t="n"/>
      <c r="E268" s="10" t="n"/>
      <c r="F268" s="10" t="n"/>
      <c r="G268" s="10" t="n"/>
      <c r="H268" s="10" t="n"/>
      <c r="I268" s="10" t="n"/>
      <c r="J268" s="12">
        <f>IF(OR(A268="",COUNT(C268:E268)&lt;3),"",IFERROR(MAX(0,FLOOR(($N$2-$N$3)/E268,1))*MAX(1,MIN(IF(G268="",1,G268),FLOOR($N$4/D268,1)))*IF(F268="",1,F268),""))</f>
        <v/>
      </c>
      <c r="K268" s="12">
        <f>IF(A268="","",IF(COUNTIF(DATA!$D$2:$D$500,A268)=0,"CEK SKU tidak ada di DATA",IF(COUNT(C268:E268)&lt;3,"CEK dimensi belum lengkap",IF(OR(C268&lt;=0,D268&lt;=0,E268&lt;=0),"CEK dimensi harus lebih dari 0",IF(COUNTIF($A$2:$A$500,A268)&gt;1,"CEK SKU dobel","OK")))))</f>
        <v/>
      </c>
    </row>
    <row r="269">
      <c r="A269" s="10" t="n"/>
      <c r="B269" s="12">
        <f>IF(A269="","",IFERROR(INDEX(DATA!$E$2:$E$500,MATCH(A269,DATA!$D$2:$D$500,0)),""))</f>
        <v/>
      </c>
      <c r="C269" s="10" t="n"/>
      <c r="D269" s="10" t="n"/>
      <c r="E269" s="10" t="n"/>
      <c r="F269" s="10" t="n"/>
      <c r="G269" s="10" t="n"/>
      <c r="H269" s="10" t="n"/>
      <c r="I269" s="10" t="n"/>
      <c r="J269" s="12">
        <f>IF(OR(A269="",COUNT(C269:E269)&lt;3),"",IFERROR(MAX(0,FLOOR(($N$2-$N$3)/E269,1))*MAX(1,MIN(IF(G269="",1,G269),FLOOR($N$4/D269,1)))*IF(F269="",1,F269),""))</f>
        <v/>
      </c>
      <c r="K269" s="12">
        <f>IF(A269="","",IF(COUNTIF(DATA!$D$2:$D$500,A269)=0,"CEK SKU tidak ada di DATA",IF(COUNT(C269:E269)&lt;3,"CEK dimensi belum lengkap",IF(OR(C269&lt;=0,D269&lt;=0,E269&lt;=0),"CEK dimensi harus lebih dari 0",IF(COUNTIF($A$2:$A$500,A269)&gt;1,"CEK SKU dobel","OK")))))</f>
        <v/>
      </c>
    </row>
    <row r="270">
      <c r="A270" s="10" t="n"/>
      <c r="B270" s="12">
        <f>IF(A270="","",IFERROR(INDEX(DATA!$E$2:$E$500,MATCH(A270,DATA!$D$2:$D$500,0)),""))</f>
        <v/>
      </c>
      <c r="C270" s="10" t="n"/>
      <c r="D270" s="10" t="n"/>
      <c r="E270" s="10" t="n"/>
      <c r="F270" s="10" t="n"/>
      <c r="G270" s="10" t="n"/>
      <c r="H270" s="10" t="n"/>
      <c r="I270" s="10" t="n"/>
      <c r="J270" s="12">
        <f>IF(OR(A270="",COUNT(C270:E270)&lt;3),"",IFERROR(MAX(0,FLOOR(($N$2-$N$3)/E270,1))*MAX(1,MIN(IF(G270="",1,G270),FLOOR($N$4/D270,1)))*IF(F270="",1,F270),""))</f>
        <v/>
      </c>
      <c r="K270" s="12">
        <f>IF(A270="","",IF(COUNTIF(DATA!$D$2:$D$500,A270)=0,"CEK SKU tidak ada di DATA",IF(COUNT(C270:E270)&lt;3,"CEK dimensi belum lengkap",IF(OR(C270&lt;=0,D270&lt;=0,E270&lt;=0),"CEK dimensi harus lebih dari 0",IF(COUNTIF($A$2:$A$500,A270)&gt;1,"CEK SKU dobel","OK")))))</f>
        <v/>
      </c>
    </row>
    <row r="271">
      <c r="A271" s="10" t="n"/>
      <c r="B271" s="12">
        <f>IF(A271="","",IFERROR(INDEX(DATA!$E$2:$E$500,MATCH(A271,DATA!$D$2:$D$500,0)),""))</f>
        <v/>
      </c>
      <c r="C271" s="10" t="n"/>
      <c r="D271" s="10" t="n"/>
      <c r="E271" s="10" t="n"/>
      <c r="F271" s="10" t="n"/>
      <c r="G271" s="10" t="n"/>
      <c r="H271" s="10" t="n"/>
      <c r="I271" s="10" t="n"/>
      <c r="J271" s="12">
        <f>IF(OR(A271="",COUNT(C271:E271)&lt;3),"",IFERROR(MAX(0,FLOOR(($N$2-$N$3)/E271,1))*MAX(1,MIN(IF(G271="",1,G271),FLOOR($N$4/D271,1)))*IF(F271="",1,F271),""))</f>
        <v/>
      </c>
      <c r="K271" s="12">
        <f>IF(A271="","",IF(COUNTIF(DATA!$D$2:$D$500,A271)=0,"CEK SKU tidak ada di DATA",IF(COUNT(C271:E271)&lt;3,"CEK dimensi belum lengkap",IF(OR(C271&lt;=0,D271&lt;=0,E271&lt;=0),"CEK dimensi harus lebih dari 0",IF(COUNTIF($A$2:$A$500,A271)&gt;1,"CEK SKU dobel","OK")))))</f>
        <v/>
      </c>
    </row>
    <row r="272">
      <c r="A272" s="10" t="n"/>
      <c r="B272" s="12">
        <f>IF(A272="","",IFERROR(INDEX(DATA!$E$2:$E$500,MATCH(A272,DATA!$D$2:$D$500,0)),""))</f>
        <v/>
      </c>
      <c r="C272" s="10" t="n"/>
      <c r="D272" s="10" t="n"/>
      <c r="E272" s="10" t="n"/>
      <c r="F272" s="10" t="n"/>
      <c r="G272" s="10" t="n"/>
      <c r="H272" s="10" t="n"/>
      <c r="I272" s="10" t="n"/>
      <c r="J272" s="12">
        <f>IF(OR(A272="",COUNT(C272:E272)&lt;3),"",IFERROR(MAX(0,FLOOR(($N$2-$N$3)/E272,1))*MAX(1,MIN(IF(G272="",1,G272),FLOOR($N$4/D272,1)))*IF(F272="",1,F272),""))</f>
        <v/>
      </c>
      <c r="K272" s="12">
        <f>IF(A272="","",IF(COUNTIF(DATA!$D$2:$D$500,A272)=0,"CEK SKU tidak ada di DATA",IF(COUNT(C272:E272)&lt;3,"CEK dimensi belum lengkap",IF(OR(C272&lt;=0,D272&lt;=0,E272&lt;=0),"CEK dimensi harus lebih dari 0",IF(COUNTIF($A$2:$A$500,A272)&gt;1,"CEK SKU dobel","OK")))))</f>
        <v/>
      </c>
    </row>
    <row r="273">
      <c r="A273" s="10" t="n"/>
      <c r="B273" s="12">
        <f>IF(A273="","",IFERROR(INDEX(DATA!$E$2:$E$500,MATCH(A273,DATA!$D$2:$D$500,0)),""))</f>
        <v/>
      </c>
      <c r="C273" s="10" t="n"/>
      <c r="D273" s="10" t="n"/>
      <c r="E273" s="10" t="n"/>
      <c r="F273" s="10" t="n"/>
      <c r="G273" s="10" t="n"/>
      <c r="H273" s="10" t="n"/>
      <c r="I273" s="10" t="n"/>
      <c r="J273" s="12">
        <f>IF(OR(A273="",COUNT(C273:E273)&lt;3),"",IFERROR(MAX(0,FLOOR(($N$2-$N$3)/E273,1))*MAX(1,MIN(IF(G273="",1,G273),FLOOR($N$4/D273,1)))*IF(F273="",1,F273),""))</f>
        <v/>
      </c>
      <c r="K273" s="12">
        <f>IF(A273="","",IF(COUNTIF(DATA!$D$2:$D$500,A273)=0,"CEK SKU tidak ada di DATA",IF(COUNT(C273:E273)&lt;3,"CEK dimensi belum lengkap",IF(OR(C273&lt;=0,D273&lt;=0,E273&lt;=0),"CEK dimensi harus lebih dari 0",IF(COUNTIF($A$2:$A$500,A273)&gt;1,"CEK SKU dobel","OK")))))</f>
        <v/>
      </c>
    </row>
    <row r="274">
      <c r="A274" s="10" t="n"/>
      <c r="B274" s="12">
        <f>IF(A274="","",IFERROR(INDEX(DATA!$E$2:$E$500,MATCH(A274,DATA!$D$2:$D$500,0)),""))</f>
        <v/>
      </c>
      <c r="C274" s="10" t="n"/>
      <c r="D274" s="10" t="n"/>
      <c r="E274" s="10" t="n"/>
      <c r="F274" s="10" t="n"/>
      <c r="G274" s="10" t="n"/>
      <c r="H274" s="10" t="n"/>
      <c r="I274" s="10" t="n"/>
      <c r="J274" s="12">
        <f>IF(OR(A274="",COUNT(C274:E274)&lt;3),"",IFERROR(MAX(0,FLOOR(($N$2-$N$3)/E274,1))*MAX(1,MIN(IF(G274="",1,G274),FLOOR($N$4/D274,1)))*IF(F274="",1,F274),""))</f>
        <v/>
      </c>
      <c r="K274" s="12">
        <f>IF(A274="","",IF(COUNTIF(DATA!$D$2:$D$500,A274)=0,"CEK SKU tidak ada di DATA",IF(COUNT(C274:E274)&lt;3,"CEK dimensi belum lengkap",IF(OR(C274&lt;=0,D274&lt;=0,E274&lt;=0),"CEK dimensi harus lebih dari 0",IF(COUNTIF($A$2:$A$500,A274)&gt;1,"CEK SKU dobel","OK")))))</f>
        <v/>
      </c>
    </row>
    <row r="275">
      <c r="A275" s="10" t="n"/>
      <c r="B275" s="12">
        <f>IF(A275="","",IFERROR(INDEX(DATA!$E$2:$E$500,MATCH(A275,DATA!$D$2:$D$500,0)),""))</f>
        <v/>
      </c>
      <c r="C275" s="10" t="n"/>
      <c r="D275" s="10" t="n"/>
      <c r="E275" s="10" t="n"/>
      <c r="F275" s="10" t="n"/>
      <c r="G275" s="10" t="n"/>
      <c r="H275" s="10" t="n"/>
      <c r="I275" s="10" t="n"/>
      <c r="J275" s="12">
        <f>IF(OR(A275="",COUNT(C275:E275)&lt;3),"",IFERROR(MAX(0,FLOOR(($N$2-$N$3)/E275,1))*MAX(1,MIN(IF(G275="",1,G275),FLOOR($N$4/D275,1)))*IF(F275="",1,F275),""))</f>
        <v/>
      </c>
      <c r="K275" s="12">
        <f>IF(A275="","",IF(COUNTIF(DATA!$D$2:$D$500,A275)=0,"CEK SKU tidak ada di DATA",IF(COUNT(C275:E275)&lt;3,"CEK dimensi belum lengkap",IF(OR(C275&lt;=0,D275&lt;=0,E275&lt;=0),"CEK dimensi harus lebih dari 0",IF(COUNTIF($A$2:$A$500,A275)&gt;1,"CEK SKU dobel","OK")))))</f>
        <v/>
      </c>
    </row>
    <row r="276">
      <c r="A276" s="10" t="n"/>
      <c r="B276" s="12">
        <f>IF(A276="","",IFERROR(INDEX(DATA!$E$2:$E$500,MATCH(A276,DATA!$D$2:$D$500,0)),""))</f>
        <v/>
      </c>
      <c r="C276" s="10" t="n"/>
      <c r="D276" s="10" t="n"/>
      <c r="E276" s="10" t="n"/>
      <c r="F276" s="10" t="n"/>
      <c r="G276" s="10" t="n"/>
      <c r="H276" s="10" t="n"/>
      <c r="I276" s="10" t="n"/>
      <c r="J276" s="12">
        <f>IF(OR(A276="",COUNT(C276:E276)&lt;3),"",IFERROR(MAX(0,FLOOR(($N$2-$N$3)/E276,1))*MAX(1,MIN(IF(G276="",1,G276),FLOOR($N$4/D276,1)))*IF(F276="",1,F276),""))</f>
        <v/>
      </c>
      <c r="K276" s="12">
        <f>IF(A276="","",IF(COUNTIF(DATA!$D$2:$D$500,A276)=0,"CEK SKU tidak ada di DATA",IF(COUNT(C276:E276)&lt;3,"CEK dimensi belum lengkap",IF(OR(C276&lt;=0,D276&lt;=0,E276&lt;=0),"CEK dimensi harus lebih dari 0",IF(COUNTIF($A$2:$A$500,A276)&gt;1,"CEK SKU dobel","OK")))))</f>
        <v/>
      </c>
    </row>
    <row r="277">
      <c r="A277" s="10" t="n"/>
      <c r="B277" s="12">
        <f>IF(A277="","",IFERROR(INDEX(DATA!$E$2:$E$500,MATCH(A277,DATA!$D$2:$D$500,0)),""))</f>
        <v/>
      </c>
      <c r="C277" s="10" t="n"/>
      <c r="D277" s="10" t="n"/>
      <c r="E277" s="10" t="n"/>
      <c r="F277" s="10" t="n"/>
      <c r="G277" s="10" t="n"/>
      <c r="H277" s="10" t="n"/>
      <c r="I277" s="10" t="n"/>
      <c r="J277" s="12">
        <f>IF(OR(A277="",COUNT(C277:E277)&lt;3),"",IFERROR(MAX(0,FLOOR(($N$2-$N$3)/E277,1))*MAX(1,MIN(IF(G277="",1,G277),FLOOR($N$4/D277,1)))*IF(F277="",1,F277),""))</f>
        <v/>
      </c>
      <c r="K277" s="12">
        <f>IF(A277="","",IF(COUNTIF(DATA!$D$2:$D$500,A277)=0,"CEK SKU tidak ada di DATA",IF(COUNT(C277:E277)&lt;3,"CEK dimensi belum lengkap",IF(OR(C277&lt;=0,D277&lt;=0,E277&lt;=0),"CEK dimensi harus lebih dari 0",IF(COUNTIF($A$2:$A$500,A277)&gt;1,"CEK SKU dobel","OK")))))</f>
        <v/>
      </c>
    </row>
    <row r="278">
      <c r="A278" s="10" t="n"/>
      <c r="B278" s="12">
        <f>IF(A278="","",IFERROR(INDEX(DATA!$E$2:$E$500,MATCH(A278,DATA!$D$2:$D$500,0)),""))</f>
        <v/>
      </c>
      <c r="C278" s="10" t="n"/>
      <c r="D278" s="10" t="n"/>
      <c r="E278" s="10" t="n"/>
      <c r="F278" s="10" t="n"/>
      <c r="G278" s="10" t="n"/>
      <c r="H278" s="10" t="n"/>
      <c r="I278" s="10" t="n"/>
      <c r="J278" s="12">
        <f>IF(OR(A278="",COUNT(C278:E278)&lt;3),"",IFERROR(MAX(0,FLOOR(($N$2-$N$3)/E278,1))*MAX(1,MIN(IF(G278="",1,G278),FLOOR($N$4/D278,1)))*IF(F278="",1,F278),""))</f>
        <v/>
      </c>
      <c r="K278" s="12">
        <f>IF(A278="","",IF(COUNTIF(DATA!$D$2:$D$500,A278)=0,"CEK SKU tidak ada di DATA",IF(COUNT(C278:E278)&lt;3,"CEK dimensi belum lengkap",IF(OR(C278&lt;=0,D278&lt;=0,E278&lt;=0),"CEK dimensi harus lebih dari 0",IF(COUNTIF($A$2:$A$500,A278)&gt;1,"CEK SKU dobel","OK")))))</f>
        <v/>
      </c>
    </row>
    <row r="279">
      <c r="A279" s="10" t="n"/>
      <c r="B279" s="12">
        <f>IF(A279="","",IFERROR(INDEX(DATA!$E$2:$E$500,MATCH(A279,DATA!$D$2:$D$500,0)),""))</f>
        <v/>
      </c>
      <c r="C279" s="10" t="n"/>
      <c r="D279" s="10" t="n"/>
      <c r="E279" s="10" t="n"/>
      <c r="F279" s="10" t="n"/>
      <c r="G279" s="10" t="n"/>
      <c r="H279" s="10" t="n"/>
      <c r="I279" s="10" t="n"/>
      <c r="J279" s="12">
        <f>IF(OR(A279="",COUNT(C279:E279)&lt;3),"",IFERROR(MAX(0,FLOOR(($N$2-$N$3)/E279,1))*MAX(1,MIN(IF(G279="",1,G279),FLOOR($N$4/D279,1)))*IF(F279="",1,F279),""))</f>
        <v/>
      </c>
      <c r="K279" s="12">
        <f>IF(A279="","",IF(COUNTIF(DATA!$D$2:$D$500,A279)=0,"CEK SKU tidak ada di DATA",IF(COUNT(C279:E279)&lt;3,"CEK dimensi belum lengkap",IF(OR(C279&lt;=0,D279&lt;=0,E279&lt;=0),"CEK dimensi harus lebih dari 0",IF(COUNTIF($A$2:$A$500,A279)&gt;1,"CEK SKU dobel","OK")))))</f>
        <v/>
      </c>
    </row>
    <row r="280">
      <c r="A280" s="10" t="n"/>
      <c r="B280" s="12">
        <f>IF(A280="","",IFERROR(INDEX(DATA!$E$2:$E$500,MATCH(A280,DATA!$D$2:$D$500,0)),""))</f>
        <v/>
      </c>
      <c r="C280" s="10" t="n"/>
      <c r="D280" s="10" t="n"/>
      <c r="E280" s="10" t="n"/>
      <c r="F280" s="10" t="n"/>
      <c r="G280" s="10" t="n"/>
      <c r="H280" s="10" t="n"/>
      <c r="I280" s="10" t="n"/>
      <c r="J280" s="12">
        <f>IF(OR(A280="",COUNT(C280:E280)&lt;3),"",IFERROR(MAX(0,FLOOR(($N$2-$N$3)/E280,1))*MAX(1,MIN(IF(G280="",1,G280),FLOOR($N$4/D280,1)))*IF(F280="",1,F280),""))</f>
        <v/>
      </c>
      <c r="K280" s="12">
        <f>IF(A280="","",IF(COUNTIF(DATA!$D$2:$D$500,A280)=0,"CEK SKU tidak ada di DATA",IF(COUNT(C280:E280)&lt;3,"CEK dimensi belum lengkap",IF(OR(C280&lt;=0,D280&lt;=0,E280&lt;=0),"CEK dimensi harus lebih dari 0",IF(COUNTIF($A$2:$A$500,A280)&gt;1,"CEK SKU dobel","OK")))))</f>
        <v/>
      </c>
    </row>
    <row r="281">
      <c r="A281" s="10" t="n"/>
      <c r="B281" s="12">
        <f>IF(A281="","",IFERROR(INDEX(DATA!$E$2:$E$500,MATCH(A281,DATA!$D$2:$D$500,0)),""))</f>
        <v/>
      </c>
      <c r="C281" s="10" t="n"/>
      <c r="D281" s="10" t="n"/>
      <c r="E281" s="10" t="n"/>
      <c r="F281" s="10" t="n"/>
      <c r="G281" s="10" t="n"/>
      <c r="H281" s="10" t="n"/>
      <c r="I281" s="10" t="n"/>
      <c r="J281" s="12">
        <f>IF(OR(A281="",COUNT(C281:E281)&lt;3),"",IFERROR(MAX(0,FLOOR(($N$2-$N$3)/E281,1))*MAX(1,MIN(IF(G281="",1,G281),FLOOR($N$4/D281,1)))*IF(F281="",1,F281),""))</f>
        <v/>
      </c>
      <c r="K281" s="12">
        <f>IF(A281="","",IF(COUNTIF(DATA!$D$2:$D$500,A281)=0,"CEK SKU tidak ada di DATA",IF(COUNT(C281:E281)&lt;3,"CEK dimensi belum lengkap",IF(OR(C281&lt;=0,D281&lt;=0,E281&lt;=0),"CEK dimensi harus lebih dari 0",IF(COUNTIF($A$2:$A$500,A281)&gt;1,"CEK SKU dobel","OK")))))</f>
        <v/>
      </c>
    </row>
    <row r="282">
      <c r="A282" s="10" t="n"/>
      <c r="B282" s="12">
        <f>IF(A282="","",IFERROR(INDEX(DATA!$E$2:$E$500,MATCH(A282,DATA!$D$2:$D$500,0)),""))</f>
        <v/>
      </c>
      <c r="C282" s="10" t="n"/>
      <c r="D282" s="10" t="n"/>
      <c r="E282" s="10" t="n"/>
      <c r="F282" s="10" t="n"/>
      <c r="G282" s="10" t="n"/>
      <c r="H282" s="10" t="n"/>
      <c r="I282" s="10" t="n"/>
      <c r="J282" s="12">
        <f>IF(OR(A282="",COUNT(C282:E282)&lt;3),"",IFERROR(MAX(0,FLOOR(($N$2-$N$3)/E282,1))*MAX(1,MIN(IF(G282="",1,G282),FLOOR($N$4/D282,1)))*IF(F282="",1,F282),""))</f>
        <v/>
      </c>
      <c r="K282" s="12">
        <f>IF(A282="","",IF(COUNTIF(DATA!$D$2:$D$500,A282)=0,"CEK SKU tidak ada di DATA",IF(COUNT(C282:E282)&lt;3,"CEK dimensi belum lengkap",IF(OR(C282&lt;=0,D282&lt;=0,E282&lt;=0),"CEK dimensi harus lebih dari 0",IF(COUNTIF($A$2:$A$500,A282)&gt;1,"CEK SKU dobel","OK")))))</f>
        <v/>
      </c>
    </row>
    <row r="283">
      <c r="A283" s="10" t="n"/>
      <c r="B283" s="12">
        <f>IF(A283="","",IFERROR(INDEX(DATA!$E$2:$E$500,MATCH(A283,DATA!$D$2:$D$500,0)),""))</f>
        <v/>
      </c>
      <c r="C283" s="10" t="n"/>
      <c r="D283" s="10" t="n"/>
      <c r="E283" s="10" t="n"/>
      <c r="F283" s="10" t="n"/>
      <c r="G283" s="10" t="n"/>
      <c r="H283" s="10" t="n"/>
      <c r="I283" s="10" t="n"/>
      <c r="J283" s="12">
        <f>IF(OR(A283="",COUNT(C283:E283)&lt;3),"",IFERROR(MAX(0,FLOOR(($N$2-$N$3)/E283,1))*MAX(1,MIN(IF(G283="",1,G283),FLOOR($N$4/D283,1)))*IF(F283="",1,F283),""))</f>
        <v/>
      </c>
      <c r="K283" s="12">
        <f>IF(A283="","",IF(COUNTIF(DATA!$D$2:$D$500,A283)=0,"CEK SKU tidak ada di DATA",IF(COUNT(C283:E283)&lt;3,"CEK dimensi belum lengkap",IF(OR(C283&lt;=0,D283&lt;=0,E283&lt;=0),"CEK dimensi harus lebih dari 0",IF(COUNTIF($A$2:$A$500,A283)&gt;1,"CEK SKU dobel","OK")))))</f>
        <v/>
      </c>
    </row>
    <row r="284">
      <c r="A284" s="10" t="n"/>
      <c r="B284" s="12">
        <f>IF(A284="","",IFERROR(INDEX(DATA!$E$2:$E$500,MATCH(A284,DATA!$D$2:$D$500,0)),""))</f>
        <v/>
      </c>
      <c r="C284" s="10" t="n"/>
      <c r="D284" s="10" t="n"/>
      <c r="E284" s="10" t="n"/>
      <c r="F284" s="10" t="n"/>
      <c r="G284" s="10" t="n"/>
      <c r="H284" s="10" t="n"/>
      <c r="I284" s="10" t="n"/>
      <c r="J284" s="12">
        <f>IF(OR(A284="",COUNT(C284:E284)&lt;3),"",IFERROR(MAX(0,FLOOR(($N$2-$N$3)/E284,1))*MAX(1,MIN(IF(G284="",1,G284),FLOOR($N$4/D284,1)))*IF(F284="",1,F284),""))</f>
        <v/>
      </c>
      <c r="K284" s="12">
        <f>IF(A284="","",IF(COUNTIF(DATA!$D$2:$D$500,A284)=0,"CEK SKU tidak ada di DATA",IF(COUNT(C284:E284)&lt;3,"CEK dimensi belum lengkap",IF(OR(C284&lt;=0,D284&lt;=0,E284&lt;=0),"CEK dimensi harus lebih dari 0",IF(COUNTIF($A$2:$A$500,A284)&gt;1,"CEK SKU dobel","OK")))))</f>
        <v/>
      </c>
    </row>
    <row r="285">
      <c r="A285" s="10" t="n"/>
      <c r="B285" s="12">
        <f>IF(A285="","",IFERROR(INDEX(DATA!$E$2:$E$500,MATCH(A285,DATA!$D$2:$D$500,0)),""))</f>
        <v/>
      </c>
      <c r="C285" s="10" t="n"/>
      <c r="D285" s="10" t="n"/>
      <c r="E285" s="10" t="n"/>
      <c r="F285" s="10" t="n"/>
      <c r="G285" s="10" t="n"/>
      <c r="H285" s="10" t="n"/>
      <c r="I285" s="10" t="n"/>
      <c r="J285" s="12">
        <f>IF(OR(A285="",COUNT(C285:E285)&lt;3),"",IFERROR(MAX(0,FLOOR(($N$2-$N$3)/E285,1))*MAX(1,MIN(IF(G285="",1,G285),FLOOR($N$4/D285,1)))*IF(F285="",1,F285),""))</f>
        <v/>
      </c>
      <c r="K285" s="12">
        <f>IF(A285="","",IF(COUNTIF(DATA!$D$2:$D$500,A285)=0,"CEK SKU tidak ada di DATA",IF(COUNT(C285:E285)&lt;3,"CEK dimensi belum lengkap",IF(OR(C285&lt;=0,D285&lt;=0,E285&lt;=0),"CEK dimensi harus lebih dari 0",IF(COUNTIF($A$2:$A$500,A285)&gt;1,"CEK SKU dobel","OK")))))</f>
        <v/>
      </c>
    </row>
    <row r="286">
      <c r="A286" s="10" t="n"/>
      <c r="B286" s="12">
        <f>IF(A286="","",IFERROR(INDEX(DATA!$E$2:$E$500,MATCH(A286,DATA!$D$2:$D$500,0)),""))</f>
        <v/>
      </c>
      <c r="C286" s="10" t="n"/>
      <c r="D286" s="10" t="n"/>
      <c r="E286" s="10" t="n"/>
      <c r="F286" s="10" t="n"/>
      <c r="G286" s="10" t="n"/>
      <c r="H286" s="10" t="n"/>
      <c r="I286" s="10" t="n"/>
      <c r="J286" s="12">
        <f>IF(OR(A286="",COUNT(C286:E286)&lt;3),"",IFERROR(MAX(0,FLOOR(($N$2-$N$3)/E286,1))*MAX(1,MIN(IF(G286="",1,G286),FLOOR($N$4/D286,1)))*IF(F286="",1,F286),""))</f>
        <v/>
      </c>
      <c r="K286" s="12">
        <f>IF(A286="","",IF(COUNTIF(DATA!$D$2:$D$500,A286)=0,"CEK SKU tidak ada di DATA",IF(COUNT(C286:E286)&lt;3,"CEK dimensi belum lengkap",IF(OR(C286&lt;=0,D286&lt;=0,E286&lt;=0),"CEK dimensi harus lebih dari 0",IF(COUNTIF($A$2:$A$500,A286)&gt;1,"CEK SKU dobel","OK")))))</f>
        <v/>
      </c>
    </row>
    <row r="287">
      <c r="A287" s="10" t="n"/>
      <c r="B287" s="12">
        <f>IF(A287="","",IFERROR(INDEX(DATA!$E$2:$E$500,MATCH(A287,DATA!$D$2:$D$500,0)),""))</f>
        <v/>
      </c>
      <c r="C287" s="10" t="n"/>
      <c r="D287" s="10" t="n"/>
      <c r="E287" s="10" t="n"/>
      <c r="F287" s="10" t="n"/>
      <c r="G287" s="10" t="n"/>
      <c r="H287" s="10" t="n"/>
      <c r="I287" s="10" t="n"/>
      <c r="J287" s="12">
        <f>IF(OR(A287="",COUNT(C287:E287)&lt;3),"",IFERROR(MAX(0,FLOOR(($N$2-$N$3)/E287,1))*MAX(1,MIN(IF(G287="",1,G287),FLOOR($N$4/D287,1)))*IF(F287="",1,F287),""))</f>
        <v/>
      </c>
      <c r="K287" s="12">
        <f>IF(A287="","",IF(COUNTIF(DATA!$D$2:$D$500,A287)=0,"CEK SKU tidak ada di DATA",IF(COUNT(C287:E287)&lt;3,"CEK dimensi belum lengkap",IF(OR(C287&lt;=0,D287&lt;=0,E287&lt;=0),"CEK dimensi harus lebih dari 0",IF(COUNTIF($A$2:$A$500,A287)&gt;1,"CEK SKU dobel","OK")))))</f>
        <v/>
      </c>
    </row>
    <row r="288">
      <c r="A288" s="10" t="n"/>
      <c r="B288" s="12">
        <f>IF(A288="","",IFERROR(INDEX(DATA!$E$2:$E$500,MATCH(A288,DATA!$D$2:$D$500,0)),""))</f>
        <v/>
      </c>
      <c r="C288" s="10" t="n"/>
      <c r="D288" s="10" t="n"/>
      <c r="E288" s="10" t="n"/>
      <c r="F288" s="10" t="n"/>
      <c r="G288" s="10" t="n"/>
      <c r="H288" s="10" t="n"/>
      <c r="I288" s="10" t="n"/>
      <c r="J288" s="12">
        <f>IF(OR(A288="",COUNT(C288:E288)&lt;3),"",IFERROR(MAX(0,FLOOR(($N$2-$N$3)/E288,1))*MAX(1,MIN(IF(G288="",1,G288),FLOOR($N$4/D288,1)))*IF(F288="",1,F288),""))</f>
        <v/>
      </c>
      <c r="K288" s="12">
        <f>IF(A288="","",IF(COUNTIF(DATA!$D$2:$D$500,A288)=0,"CEK SKU tidak ada di DATA",IF(COUNT(C288:E288)&lt;3,"CEK dimensi belum lengkap",IF(OR(C288&lt;=0,D288&lt;=0,E288&lt;=0),"CEK dimensi harus lebih dari 0",IF(COUNTIF($A$2:$A$500,A288)&gt;1,"CEK SKU dobel","OK")))))</f>
        <v/>
      </c>
    </row>
    <row r="289">
      <c r="A289" s="10" t="n"/>
      <c r="B289" s="12">
        <f>IF(A289="","",IFERROR(INDEX(DATA!$E$2:$E$500,MATCH(A289,DATA!$D$2:$D$500,0)),""))</f>
        <v/>
      </c>
      <c r="C289" s="10" t="n"/>
      <c r="D289" s="10" t="n"/>
      <c r="E289" s="10" t="n"/>
      <c r="F289" s="10" t="n"/>
      <c r="G289" s="10" t="n"/>
      <c r="H289" s="10" t="n"/>
      <c r="I289" s="10" t="n"/>
      <c r="J289" s="12">
        <f>IF(OR(A289="",COUNT(C289:E289)&lt;3),"",IFERROR(MAX(0,FLOOR(($N$2-$N$3)/E289,1))*MAX(1,MIN(IF(G289="",1,G289),FLOOR($N$4/D289,1)))*IF(F289="",1,F289),""))</f>
        <v/>
      </c>
      <c r="K289" s="12">
        <f>IF(A289="","",IF(COUNTIF(DATA!$D$2:$D$500,A289)=0,"CEK SKU tidak ada di DATA",IF(COUNT(C289:E289)&lt;3,"CEK dimensi belum lengkap",IF(OR(C289&lt;=0,D289&lt;=0,E289&lt;=0),"CEK dimensi harus lebih dari 0",IF(COUNTIF($A$2:$A$500,A289)&gt;1,"CEK SKU dobel","OK")))))</f>
        <v/>
      </c>
    </row>
    <row r="290">
      <c r="A290" s="10" t="n"/>
      <c r="B290" s="12">
        <f>IF(A290="","",IFERROR(INDEX(DATA!$E$2:$E$500,MATCH(A290,DATA!$D$2:$D$500,0)),""))</f>
        <v/>
      </c>
      <c r="C290" s="10" t="n"/>
      <c r="D290" s="10" t="n"/>
      <c r="E290" s="10" t="n"/>
      <c r="F290" s="10" t="n"/>
      <c r="G290" s="10" t="n"/>
      <c r="H290" s="10" t="n"/>
      <c r="I290" s="10" t="n"/>
      <c r="J290" s="12">
        <f>IF(OR(A290="",COUNT(C290:E290)&lt;3),"",IFERROR(MAX(0,FLOOR(($N$2-$N$3)/E290,1))*MAX(1,MIN(IF(G290="",1,G290),FLOOR($N$4/D290,1)))*IF(F290="",1,F290),""))</f>
        <v/>
      </c>
      <c r="K290" s="12">
        <f>IF(A290="","",IF(COUNTIF(DATA!$D$2:$D$500,A290)=0,"CEK SKU tidak ada di DATA",IF(COUNT(C290:E290)&lt;3,"CEK dimensi belum lengkap",IF(OR(C290&lt;=0,D290&lt;=0,E290&lt;=0),"CEK dimensi harus lebih dari 0",IF(COUNTIF($A$2:$A$500,A290)&gt;1,"CEK SKU dobel","OK")))))</f>
        <v/>
      </c>
    </row>
    <row r="291">
      <c r="A291" s="10" t="n"/>
      <c r="B291" s="12">
        <f>IF(A291="","",IFERROR(INDEX(DATA!$E$2:$E$500,MATCH(A291,DATA!$D$2:$D$500,0)),""))</f>
        <v/>
      </c>
      <c r="C291" s="10" t="n"/>
      <c r="D291" s="10" t="n"/>
      <c r="E291" s="10" t="n"/>
      <c r="F291" s="10" t="n"/>
      <c r="G291" s="10" t="n"/>
      <c r="H291" s="10" t="n"/>
      <c r="I291" s="10" t="n"/>
      <c r="J291" s="12">
        <f>IF(OR(A291="",COUNT(C291:E291)&lt;3),"",IFERROR(MAX(0,FLOOR(($N$2-$N$3)/E291,1))*MAX(1,MIN(IF(G291="",1,G291),FLOOR($N$4/D291,1)))*IF(F291="",1,F291),""))</f>
        <v/>
      </c>
      <c r="K291" s="12">
        <f>IF(A291="","",IF(COUNTIF(DATA!$D$2:$D$500,A291)=0,"CEK SKU tidak ada di DATA",IF(COUNT(C291:E291)&lt;3,"CEK dimensi belum lengkap",IF(OR(C291&lt;=0,D291&lt;=0,E291&lt;=0),"CEK dimensi harus lebih dari 0",IF(COUNTIF($A$2:$A$500,A291)&gt;1,"CEK SKU dobel","OK")))))</f>
        <v/>
      </c>
    </row>
    <row r="292">
      <c r="A292" s="10" t="n"/>
      <c r="B292" s="12">
        <f>IF(A292="","",IFERROR(INDEX(DATA!$E$2:$E$500,MATCH(A292,DATA!$D$2:$D$500,0)),""))</f>
        <v/>
      </c>
      <c r="C292" s="10" t="n"/>
      <c r="D292" s="10" t="n"/>
      <c r="E292" s="10" t="n"/>
      <c r="F292" s="10" t="n"/>
      <c r="G292" s="10" t="n"/>
      <c r="H292" s="10" t="n"/>
      <c r="I292" s="10" t="n"/>
      <c r="J292" s="12">
        <f>IF(OR(A292="",COUNT(C292:E292)&lt;3),"",IFERROR(MAX(0,FLOOR(($N$2-$N$3)/E292,1))*MAX(1,MIN(IF(G292="",1,G292),FLOOR($N$4/D292,1)))*IF(F292="",1,F292),""))</f>
        <v/>
      </c>
      <c r="K292" s="12">
        <f>IF(A292="","",IF(COUNTIF(DATA!$D$2:$D$500,A292)=0,"CEK SKU tidak ada di DATA",IF(COUNT(C292:E292)&lt;3,"CEK dimensi belum lengkap",IF(OR(C292&lt;=0,D292&lt;=0,E292&lt;=0),"CEK dimensi harus lebih dari 0",IF(COUNTIF($A$2:$A$500,A292)&gt;1,"CEK SKU dobel","OK")))))</f>
        <v/>
      </c>
    </row>
    <row r="293">
      <c r="A293" s="10" t="n"/>
      <c r="B293" s="12">
        <f>IF(A293="","",IFERROR(INDEX(DATA!$E$2:$E$500,MATCH(A293,DATA!$D$2:$D$500,0)),""))</f>
        <v/>
      </c>
      <c r="C293" s="10" t="n"/>
      <c r="D293" s="10" t="n"/>
      <c r="E293" s="10" t="n"/>
      <c r="F293" s="10" t="n"/>
      <c r="G293" s="10" t="n"/>
      <c r="H293" s="10" t="n"/>
      <c r="I293" s="10" t="n"/>
      <c r="J293" s="12">
        <f>IF(OR(A293="",COUNT(C293:E293)&lt;3),"",IFERROR(MAX(0,FLOOR(($N$2-$N$3)/E293,1))*MAX(1,MIN(IF(G293="",1,G293),FLOOR($N$4/D293,1)))*IF(F293="",1,F293),""))</f>
        <v/>
      </c>
      <c r="K293" s="12">
        <f>IF(A293="","",IF(COUNTIF(DATA!$D$2:$D$500,A293)=0,"CEK SKU tidak ada di DATA",IF(COUNT(C293:E293)&lt;3,"CEK dimensi belum lengkap",IF(OR(C293&lt;=0,D293&lt;=0,E293&lt;=0),"CEK dimensi harus lebih dari 0",IF(COUNTIF($A$2:$A$500,A293)&gt;1,"CEK SKU dobel","OK")))))</f>
        <v/>
      </c>
    </row>
    <row r="294">
      <c r="A294" s="10" t="n"/>
      <c r="B294" s="12">
        <f>IF(A294="","",IFERROR(INDEX(DATA!$E$2:$E$500,MATCH(A294,DATA!$D$2:$D$500,0)),""))</f>
        <v/>
      </c>
      <c r="C294" s="10" t="n"/>
      <c r="D294" s="10" t="n"/>
      <c r="E294" s="10" t="n"/>
      <c r="F294" s="10" t="n"/>
      <c r="G294" s="10" t="n"/>
      <c r="H294" s="10" t="n"/>
      <c r="I294" s="10" t="n"/>
      <c r="J294" s="12">
        <f>IF(OR(A294="",COUNT(C294:E294)&lt;3),"",IFERROR(MAX(0,FLOOR(($N$2-$N$3)/E294,1))*MAX(1,MIN(IF(G294="",1,G294),FLOOR($N$4/D294,1)))*IF(F294="",1,F294),""))</f>
        <v/>
      </c>
      <c r="K294" s="12">
        <f>IF(A294="","",IF(COUNTIF(DATA!$D$2:$D$500,A294)=0,"CEK SKU tidak ada di DATA",IF(COUNT(C294:E294)&lt;3,"CEK dimensi belum lengkap",IF(OR(C294&lt;=0,D294&lt;=0,E294&lt;=0),"CEK dimensi harus lebih dari 0",IF(COUNTIF($A$2:$A$500,A294)&gt;1,"CEK SKU dobel","OK")))))</f>
        <v/>
      </c>
    </row>
    <row r="295">
      <c r="A295" s="10" t="n"/>
      <c r="B295" s="12">
        <f>IF(A295="","",IFERROR(INDEX(DATA!$E$2:$E$500,MATCH(A295,DATA!$D$2:$D$500,0)),""))</f>
        <v/>
      </c>
      <c r="C295" s="10" t="n"/>
      <c r="D295" s="10" t="n"/>
      <c r="E295" s="10" t="n"/>
      <c r="F295" s="10" t="n"/>
      <c r="G295" s="10" t="n"/>
      <c r="H295" s="10" t="n"/>
      <c r="I295" s="10" t="n"/>
      <c r="J295" s="12">
        <f>IF(OR(A295="",COUNT(C295:E295)&lt;3),"",IFERROR(MAX(0,FLOOR(($N$2-$N$3)/E295,1))*MAX(1,MIN(IF(G295="",1,G295),FLOOR($N$4/D295,1)))*IF(F295="",1,F295),""))</f>
        <v/>
      </c>
      <c r="K295" s="12">
        <f>IF(A295="","",IF(COUNTIF(DATA!$D$2:$D$500,A295)=0,"CEK SKU tidak ada di DATA",IF(COUNT(C295:E295)&lt;3,"CEK dimensi belum lengkap",IF(OR(C295&lt;=0,D295&lt;=0,E295&lt;=0),"CEK dimensi harus lebih dari 0",IF(COUNTIF($A$2:$A$500,A295)&gt;1,"CEK SKU dobel","OK")))))</f>
        <v/>
      </c>
    </row>
    <row r="296">
      <c r="A296" s="10" t="n"/>
      <c r="B296" s="12">
        <f>IF(A296="","",IFERROR(INDEX(DATA!$E$2:$E$500,MATCH(A296,DATA!$D$2:$D$500,0)),""))</f>
        <v/>
      </c>
      <c r="C296" s="10" t="n"/>
      <c r="D296" s="10" t="n"/>
      <c r="E296" s="10" t="n"/>
      <c r="F296" s="10" t="n"/>
      <c r="G296" s="10" t="n"/>
      <c r="H296" s="10" t="n"/>
      <c r="I296" s="10" t="n"/>
      <c r="J296" s="12">
        <f>IF(OR(A296="",COUNT(C296:E296)&lt;3),"",IFERROR(MAX(0,FLOOR(($N$2-$N$3)/E296,1))*MAX(1,MIN(IF(G296="",1,G296),FLOOR($N$4/D296,1)))*IF(F296="",1,F296),""))</f>
        <v/>
      </c>
      <c r="K296" s="12">
        <f>IF(A296="","",IF(COUNTIF(DATA!$D$2:$D$500,A296)=0,"CEK SKU tidak ada di DATA",IF(COUNT(C296:E296)&lt;3,"CEK dimensi belum lengkap",IF(OR(C296&lt;=0,D296&lt;=0,E296&lt;=0),"CEK dimensi harus lebih dari 0",IF(COUNTIF($A$2:$A$500,A296)&gt;1,"CEK SKU dobel","OK")))))</f>
        <v/>
      </c>
    </row>
    <row r="297">
      <c r="A297" s="10" t="n"/>
      <c r="B297" s="12">
        <f>IF(A297="","",IFERROR(INDEX(DATA!$E$2:$E$500,MATCH(A297,DATA!$D$2:$D$500,0)),""))</f>
        <v/>
      </c>
      <c r="C297" s="10" t="n"/>
      <c r="D297" s="10" t="n"/>
      <c r="E297" s="10" t="n"/>
      <c r="F297" s="10" t="n"/>
      <c r="G297" s="10" t="n"/>
      <c r="H297" s="10" t="n"/>
      <c r="I297" s="10" t="n"/>
      <c r="J297" s="12">
        <f>IF(OR(A297="",COUNT(C297:E297)&lt;3),"",IFERROR(MAX(0,FLOOR(($N$2-$N$3)/E297,1))*MAX(1,MIN(IF(G297="",1,G297),FLOOR($N$4/D297,1)))*IF(F297="",1,F297),""))</f>
        <v/>
      </c>
      <c r="K297" s="12">
        <f>IF(A297="","",IF(COUNTIF(DATA!$D$2:$D$500,A297)=0,"CEK SKU tidak ada di DATA",IF(COUNT(C297:E297)&lt;3,"CEK dimensi belum lengkap",IF(OR(C297&lt;=0,D297&lt;=0,E297&lt;=0),"CEK dimensi harus lebih dari 0",IF(COUNTIF($A$2:$A$500,A297)&gt;1,"CEK SKU dobel","OK")))))</f>
        <v/>
      </c>
    </row>
    <row r="298">
      <c r="A298" s="10" t="n"/>
      <c r="B298" s="12">
        <f>IF(A298="","",IFERROR(INDEX(DATA!$E$2:$E$500,MATCH(A298,DATA!$D$2:$D$500,0)),""))</f>
        <v/>
      </c>
      <c r="C298" s="10" t="n"/>
      <c r="D298" s="10" t="n"/>
      <c r="E298" s="10" t="n"/>
      <c r="F298" s="10" t="n"/>
      <c r="G298" s="10" t="n"/>
      <c r="H298" s="10" t="n"/>
      <c r="I298" s="10" t="n"/>
      <c r="J298" s="12">
        <f>IF(OR(A298="",COUNT(C298:E298)&lt;3),"",IFERROR(MAX(0,FLOOR(($N$2-$N$3)/E298,1))*MAX(1,MIN(IF(G298="",1,G298),FLOOR($N$4/D298,1)))*IF(F298="",1,F298),""))</f>
        <v/>
      </c>
      <c r="K298" s="12">
        <f>IF(A298="","",IF(COUNTIF(DATA!$D$2:$D$500,A298)=0,"CEK SKU tidak ada di DATA",IF(COUNT(C298:E298)&lt;3,"CEK dimensi belum lengkap",IF(OR(C298&lt;=0,D298&lt;=0,E298&lt;=0),"CEK dimensi harus lebih dari 0",IF(COUNTIF($A$2:$A$500,A298)&gt;1,"CEK SKU dobel","OK")))))</f>
        <v/>
      </c>
    </row>
    <row r="299">
      <c r="A299" s="10" t="n"/>
      <c r="B299" s="12">
        <f>IF(A299="","",IFERROR(INDEX(DATA!$E$2:$E$500,MATCH(A299,DATA!$D$2:$D$500,0)),""))</f>
        <v/>
      </c>
      <c r="C299" s="10" t="n"/>
      <c r="D299" s="10" t="n"/>
      <c r="E299" s="10" t="n"/>
      <c r="F299" s="10" t="n"/>
      <c r="G299" s="10" t="n"/>
      <c r="H299" s="10" t="n"/>
      <c r="I299" s="10" t="n"/>
      <c r="J299" s="12">
        <f>IF(OR(A299="",COUNT(C299:E299)&lt;3),"",IFERROR(MAX(0,FLOOR(($N$2-$N$3)/E299,1))*MAX(1,MIN(IF(G299="",1,G299),FLOOR($N$4/D299,1)))*IF(F299="",1,F299),""))</f>
        <v/>
      </c>
      <c r="K299" s="12">
        <f>IF(A299="","",IF(COUNTIF(DATA!$D$2:$D$500,A299)=0,"CEK SKU tidak ada di DATA",IF(COUNT(C299:E299)&lt;3,"CEK dimensi belum lengkap",IF(OR(C299&lt;=0,D299&lt;=0,E299&lt;=0),"CEK dimensi harus lebih dari 0",IF(COUNTIF($A$2:$A$500,A299)&gt;1,"CEK SKU dobel","OK")))))</f>
        <v/>
      </c>
    </row>
    <row r="300">
      <c r="A300" s="10" t="n"/>
      <c r="B300" s="12">
        <f>IF(A300="","",IFERROR(INDEX(DATA!$E$2:$E$500,MATCH(A300,DATA!$D$2:$D$500,0)),""))</f>
        <v/>
      </c>
      <c r="C300" s="10" t="n"/>
      <c r="D300" s="10" t="n"/>
      <c r="E300" s="10" t="n"/>
      <c r="F300" s="10" t="n"/>
      <c r="G300" s="10" t="n"/>
      <c r="H300" s="10" t="n"/>
      <c r="I300" s="10" t="n"/>
      <c r="J300" s="12">
        <f>IF(OR(A300="",COUNT(C300:E300)&lt;3),"",IFERROR(MAX(0,FLOOR(($N$2-$N$3)/E300,1))*MAX(1,MIN(IF(G300="",1,G300),FLOOR($N$4/D300,1)))*IF(F300="",1,F300),""))</f>
        <v/>
      </c>
      <c r="K300" s="12">
        <f>IF(A300="","",IF(COUNTIF(DATA!$D$2:$D$500,A300)=0,"CEK SKU tidak ada di DATA",IF(COUNT(C300:E300)&lt;3,"CEK dimensi belum lengkap",IF(OR(C300&lt;=0,D300&lt;=0,E300&lt;=0),"CEK dimensi harus lebih dari 0",IF(COUNTIF($A$2:$A$500,A300)&gt;1,"CEK SKU dobel","OK")))))</f>
        <v/>
      </c>
    </row>
    <row r="301">
      <c r="A301" s="10" t="n"/>
      <c r="B301" s="12">
        <f>IF(A301="","",IFERROR(INDEX(DATA!$E$2:$E$500,MATCH(A301,DATA!$D$2:$D$500,0)),""))</f>
        <v/>
      </c>
      <c r="C301" s="10" t="n"/>
      <c r="D301" s="10" t="n"/>
      <c r="E301" s="10" t="n"/>
      <c r="F301" s="10" t="n"/>
      <c r="G301" s="10" t="n"/>
      <c r="H301" s="10" t="n"/>
      <c r="I301" s="10" t="n"/>
      <c r="J301" s="12">
        <f>IF(OR(A301="",COUNT(C301:E301)&lt;3),"",IFERROR(MAX(0,FLOOR(($N$2-$N$3)/E301,1))*MAX(1,MIN(IF(G301="",1,G301),FLOOR($N$4/D301,1)))*IF(F301="",1,F301),""))</f>
        <v/>
      </c>
      <c r="K301" s="12">
        <f>IF(A301="","",IF(COUNTIF(DATA!$D$2:$D$500,A301)=0,"CEK SKU tidak ada di DATA",IF(COUNT(C301:E301)&lt;3,"CEK dimensi belum lengkap",IF(OR(C301&lt;=0,D301&lt;=0,E301&lt;=0),"CEK dimensi harus lebih dari 0",IF(COUNTIF($A$2:$A$500,A301)&gt;1,"CEK SKU dobel","OK")))))</f>
        <v/>
      </c>
    </row>
    <row r="302">
      <c r="A302" s="10" t="n"/>
      <c r="B302" s="12">
        <f>IF(A302="","",IFERROR(INDEX(DATA!$E$2:$E$500,MATCH(A302,DATA!$D$2:$D$500,0)),""))</f>
        <v/>
      </c>
      <c r="C302" s="10" t="n"/>
      <c r="D302" s="10" t="n"/>
      <c r="E302" s="10" t="n"/>
      <c r="F302" s="10" t="n"/>
      <c r="G302" s="10" t="n"/>
      <c r="H302" s="10" t="n"/>
      <c r="I302" s="10" t="n"/>
      <c r="J302" s="12">
        <f>IF(OR(A302="",COUNT(C302:E302)&lt;3),"",IFERROR(MAX(0,FLOOR(($N$2-$N$3)/E302,1))*MAX(1,MIN(IF(G302="",1,G302),FLOOR($N$4/D302,1)))*IF(F302="",1,F302),""))</f>
        <v/>
      </c>
      <c r="K302" s="12">
        <f>IF(A302="","",IF(COUNTIF(DATA!$D$2:$D$500,A302)=0,"CEK SKU tidak ada di DATA",IF(COUNT(C302:E302)&lt;3,"CEK dimensi belum lengkap",IF(OR(C302&lt;=0,D302&lt;=0,E302&lt;=0),"CEK dimensi harus lebih dari 0",IF(COUNTIF($A$2:$A$500,A302)&gt;1,"CEK SKU dobel","OK")))))</f>
        <v/>
      </c>
    </row>
    <row r="303">
      <c r="A303" s="10" t="n"/>
      <c r="B303" s="12">
        <f>IF(A303="","",IFERROR(INDEX(DATA!$E$2:$E$500,MATCH(A303,DATA!$D$2:$D$500,0)),""))</f>
        <v/>
      </c>
      <c r="C303" s="10" t="n"/>
      <c r="D303" s="10" t="n"/>
      <c r="E303" s="10" t="n"/>
      <c r="F303" s="10" t="n"/>
      <c r="G303" s="10" t="n"/>
      <c r="H303" s="10" t="n"/>
      <c r="I303" s="10" t="n"/>
      <c r="J303" s="12">
        <f>IF(OR(A303="",COUNT(C303:E303)&lt;3),"",IFERROR(MAX(0,FLOOR(($N$2-$N$3)/E303,1))*MAX(1,MIN(IF(G303="",1,G303),FLOOR($N$4/D303,1)))*IF(F303="",1,F303),""))</f>
        <v/>
      </c>
      <c r="K303" s="12">
        <f>IF(A303="","",IF(COUNTIF(DATA!$D$2:$D$500,A303)=0,"CEK SKU tidak ada di DATA",IF(COUNT(C303:E303)&lt;3,"CEK dimensi belum lengkap",IF(OR(C303&lt;=0,D303&lt;=0,E303&lt;=0),"CEK dimensi harus lebih dari 0",IF(COUNTIF($A$2:$A$500,A303)&gt;1,"CEK SKU dobel","OK")))))</f>
        <v/>
      </c>
    </row>
    <row r="304">
      <c r="A304" s="10" t="n"/>
      <c r="B304" s="12">
        <f>IF(A304="","",IFERROR(INDEX(DATA!$E$2:$E$500,MATCH(A304,DATA!$D$2:$D$500,0)),""))</f>
        <v/>
      </c>
      <c r="C304" s="10" t="n"/>
      <c r="D304" s="10" t="n"/>
      <c r="E304" s="10" t="n"/>
      <c r="F304" s="10" t="n"/>
      <c r="G304" s="10" t="n"/>
      <c r="H304" s="10" t="n"/>
      <c r="I304" s="10" t="n"/>
      <c r="J304" s="12">
        <f>IF(OR(A304="",COUNT(C304:E304)&lt;3),"",IFERROR(MAX(0,FLOOR(($N$2-$N$3)/E304,1))*MAX(1,MIN(IF(G304="",1,G304),FLOOR($N$4/D304,1)))*IF(F304="",1,F304),""))</f>
        <v/>
      </c>
      <c r="K304" s="12">
        <f>IF(A304="","",IF(COUNTIF(DATA!$D$2:$D$500,A304)=0,"CEK SKU tidak ada di DATA",IF(COUNT(C304:E304)&lt;3,"CEK dimensi belum lengkap",IF(OR(C304&lt;=0,D304&lt;=0,E304&lt;=0),"CEK dimensi harus lebih dari 0",IF(COUNTIF($A$2:$A$500,A304)&gt;1,"CEK SKU dobel","OK")))))</f>
        <v/>
      </c>
    </row>
    <row r="305">
      <c r="A305" s="10" t="n"/>
      <c r="B305" s="12">
        <f>IF(A305="","",IFERROR(INDEX(DATA!$E$2:$E$500,MATCH(A305,DATA!$D$2:$D$500,0)),""))</f>
        <v/>
      </c>
      <c r="C305" s="10" t="n"/>
      <c r="D305" s="10" t="n"/>
      <c r="E305" s="10" t="n"/>
      <c r="F305" s="10" t="n"/>
      <c r="G305" s="10" t="n"/>
      <c r="H305" s="10" t="n"/>
      <c r="I305" s="10" t="n"/>
      <c r="J305" s="12">
        <f>IF(OR(A305="",COUNT(C305:E305)&lt;3),"",IFERROR(MAX(0,FLOOR(($N$2-$N$3)/E305,1))*MAX(1,MIN(IF(G305="",1,G305),FLOOR($N$4/D305,1)))*IF(F305="",1,F305),""))</f>
        <v/>
      </c>
      <c r="K305" s="12">
        <f>IF(A305="","",IF(COUNTIF(DATA!$D$2:$D$500,A305)=0,"CEK SKU tidak ada di DATA",IF(COUNT(C305:E305)&lt;3,"CEK dimensi belum lengkap",IF(OR(C305&lt;=0,D305&lt;=0,E305&lt;=0),"CEK dimensi harus lebih dari 0",IF(COUNTIF($A$2:$A$500,A305)&gt;1,"CEK SKU dobel","OK")))))</f>
        <v/>
      </c>
    </row>
    <row r="306">
      <c r="A306" s="10" t="n"/>
      <c r="B306" s="12">
        <f>IF(A306="","",IFERROR(INDEX(DATA!$E$2:$E$500,MATCH(A306,DATA!$D$2:$D$500,0)),""))</f>
        <v/>
      </c>
      <c r="C306" s="10" t="n"/>
      <c r="D306" s="10" t="n"/>
      <c r="E306" s="10" t="n"/>
      <c r="F306" s="10" t="n"/>
      <c r="G306" s="10" t="n"/>
      <c r="H306" s="10" t="n"/>
      <c r="I306" s="10" t="n"/>
      <c r="J306" s="12">
        <f>IF(OR(A306="",COUNT(C306:E306)&lt;3),"",IFERROR(MAX(0,FLOOR(($N$2-$N$3)/E306,1))*MAX(1,MIN(IF(G306="",1,G306),FLOOR($N$4/D306,1)))*IF(F306="",1,F306),""))</f>
        <v/>
      </c>
      <c r="K306" s="12">
        <f>IF(A306="","",IF(COUNTIF(DATA!$D$2:$D$500,A306)=0,"CEK SKU tidak ada di DATA",IF(COUNT(C306:E306)&lt;3,"CEK dimensi belum lengkap",IF(OR(C306&lt;=0,D306&lt;=0,E306&lt;=0),"CEK dimensi harus lebih dari 0",IF(COUNTIF($A$2:$A$500,A306)&gt;1,"CEK SKU dobel","OK")))))</f>
        <v/>
      </c>
    </row>
    <row r="307">
      <c r="A307" s="10" t="n"/>
      <c r="B307" s="12">
        <f>IF(A307="","",IFERROR(INDEX(DATA!$E$2:$E$500,MATCH(A307,DATA!$D$2:$D$500,0)),""))</f>
        <v/>
      </c>
      <c r="C307" s="10" t="n"/>
      <c r="D307" s="10" t="n"/>
      <c r="E307" s="10" t="n"/>
      <c r="F307" s="10" t="n"/>
      <c r="G307" s="10" t="n"/>
      <c r="H307" s="10" t="n"/>
      <c r="I307" s="10" t="n"/>
      <c r="J307" s="12">
        <f>IF(OR(A307="",COUNT(C307:E307)&lt;3),"",IFERROR(MAX(0,FLOOR(($N$2-$N$3)/E307,1))*MAX(1,MIN(IF(G307="",1,G307),FLOOR($N$4/D307,1)))*IF(F307="",1,F307),""))</f>
        <v/>
      </c>
      <c r="K307" s="12">
        <f>IF(A307="","",IF(COUNTIF(DATA!$D$2:$D$500,A307)=0,"CEK SKU tidak ada di DATA",IF(COUNT(C307:E307)&lt;3,"CEK dimensi belum lengkap",IF(OR(C307&lt;=0,D307&lt;=0,E307&lt;=0),"CEK dimensi harus lebih dari 0",IF(COUNTIF($A$2:$A$500,A307)&gt;1,"CEK SKU dobel","OK")))))</f>
        <v/>
      </c>
    </row>
    <row r="308">
      <c r="A308" s="10" t="n"/>
      <c r="B308" s="12">
        <f>IF(A308="","",IFERROR(INDEX(DATA!$E$2:$E$500,MATCH(A308,DATA!$D$2:$D$500,0)),""))</f>
        <v/>
      </c>
      <c r="C308" s="10" t="n"/>
      <c r="D308" s="10" t="n"/>
      <c r="E308" s="10" t="n"/>
      <c r="F308" s="10" t="n"/>
      <c r="G308" s="10" t="n"/>
      <c r="H308" s="10" t="n"/>
      <c r="I308" s="10" t="n"/>
      <c r="J308" s="12">
        <f>IF(OR(A308="",COUNT(C308:E308)&lt;3),"",IFERROR(MAX(0,FLOOR(($N$2-$N$3)/E308,1))*MAX(1,MIN(IF(G308="",1,G308),FLOOR($N$4/D308,1)))*IF(F308="",1,F308),""))</f>
        <v/>
      </c>
      <c r="K308" s="12">
        <f>IF(A308="","",IF(COUNTIF(DATA!$D$2:$D$500,A308)=0,"CEK SKU tidak ada di DATA",IF(COUNT(C308:E308)&lt;3,"CEK dimensi belum lengkap",IF(OR(C308&lt;=0,D308&lt;=0,E308&lt;=0),"CEK dimensi harus lebih dari 0",IF(COUNTIF($A$2:$A$500,A308)&gt;1,"CEK SKU dobel","OK")))))</f>
        <v/>
      </c>
    </row>
    <row r="309">
      <c r="A309" s="10" t="n"/>
      <c r="B309" s="12">
        <f>IF(A309="","",IFERROR(INDEX(DATA!$E$2:$E$500,MATCH(A309,DATA!$D$2:$D$500,0)),""))</f>
        <v/>
      </c>
      <c r="C309" s="10" t="n"/>
      <c r="D309" s="10" t="n"/>
      <c r="E309" s="10" t="n"/>
      <c r="F309" s="10" t="n"/>
      <c r="G309" s="10" t="n"/>
      <c r="H309" s="10" t="n"/>
      <c r="I309" s="10" t="n"/>
      <c r="J309" s="12">
        <f>IF(OR(A309="",COUNT(C309:E309)&lt;3),"",IFERROR(MAX(0,FLOOR(($N$2-$N$3)/E309,1))*MAX(1,MIN(IF(G309="",1,G309),FLOOR($N$4/D309,1)))*IF(F309="",1,F309),""))</f>
        <v/>
      </c>
      <c r="K309" s="12">
        <f>IF(A309="","",IF(COUNTIF(DATA!$D$2:$D$500,A309)=0,"CEK SKU tidak ada di DATA",IF(COUNT(C309:E309)&lt;3,"CEK dimensi belum lengkap",IF(OR(C309&lt;=0,D309&lt;=0,E309&lt;=0),"CEK dimensi harus lebih dari 0",IF(COUNTIF($A$2:$A$500,A309)&gt;1,"CEK SKU dobel","OK")))))</f>
        <v/>
      </c>
    </row>
    <row r="310">
      <c r="A310" s="10" t="n"/>
      <c r="B310" s="12">
        <f>IF(A310="","",IFERROR(INDEX(DATA!$E$2:$E$500,MATCH(A310,DATA!$D$2:$D$500,0)),""))</f>
        <v/>
      </c>
      <c r="C310" s="10" t="n"/>
      <c r="D310" s="10" t="n"/>
      <c r="E310" s="10" t="n"/>
      <c r="F310" s="10" t="n"/>
      <c r="G310" s="10" t="n"/>
      <c r="H310" s="10" t="n"/>
      <c r="I310" s="10" t="n"/>
      <c r="J310" s="12">
        <f>IF(OR(A310="",COUNT(C310:E310)&lt;3),"",IFERROR(MAX(0,FLOOR(($N$2-$N$3)/E310,1))*MAX(1,MIN(IF(G310="",1,G310),FLOOR($N$4/D310,1)))*IF(F310="",1,F310),""))</f>
        <v/>
      </c>
      <c r="K310" s="12">
        <f>IF(A310="","",IF(COUNTIF(DATA!$D$2:$D$500,A310)=0,"CEK SKU tidak ada di DATA",IF(COUNT(C310:E310)&lt;3,"CEK dimensi belum lengkap",IF(OR(C310&lt;=0,D310&lt;=0,E310&lt;=0),"CEK dimensi harus lebih dari 0",IF(COUNTIF($A$2:$A$500,A310)&gt;1,"CEK SKU dobel","OK")))))</f>
        <v/>
      </c>
    </row>
    <row r="311">
      <c r="A311" s="10" t="n"/>
      <c r="B311" s="12">
        <f>IF(A311="","",IFERROR(INDEX(DATA!$E$2:$E$500,MATCH(A311,DATA!$D$2:$D$500,0)),""))</f>
        <v/>
      </c>
      <c r="C311" s="10" t="n"/>
      <c r="D311" s="10" t="n"/>
      <c r="E311" s="10" t="n"/>
      <c r="F311" s="10" t="n"/>
      <c r="G311" s="10" t="n"/>
      <c r="H311" s="10" t="n"/>
      <c r="I311" s="10" t="n"/>
      <c r="J311" s="12">
        <f>IF(OR(A311="",COUNT(C311:E311)&lt;3),"",IFERROR(MAX(0,FLOOR(($N$2-$N$3)/E311,1))*MAX(1,MIN(IF(G311="",1,G311),FLOOR($N$4/D311,1)))*IF(F311="",1,F311),""))</f>
        <v/>
      </c>
      <c r="K311" s="12">
        <f>IF(A311="","",IF(COUNTIF(DATA!$D$2:$D$500,A311)=0,"CEK SKU tidak ada di DATA",IF(COUNT(C311:E311)&lt;3,"CEK dimensi belum lengkap",IF(OR(C311&lt;=0,D311&lt;=0,E311&lt;=0),"CEK dimensi harus lebih dari 0",IF(COUNTIF($A$2:$A$500,A311)&gt;1,"CEK SKU dobel","OK")))))</f>
        <v/>
      </c>
    </row>
    <row r="312">
      <c r="A312" s="10" t="n"/>
      <c r="B312" s="12">
        <f>IF(A312="","",IFERROR(INDEX(DATA!$E$2:$E$500,MATCH(A312,DATA!$D$2:$D$500,0)),""))</f>
        <v/>
      </c>
      <c r="C312" s="10" t="n"/>
      <c r="D312" s="10" t="n"/>
      <c r="E312" s="10" t="n"/>
      <c r="F312" s="10" t="n"/>
      <c r="G312" s="10" t="n"/>
      <c r="H312" s="10" t="n"/>
      <c r="I312" s="10" t="n"/>
      <c r="J312" s="12">
        <f>IF(OR(A312="",COUNT(C312:E312)&lt;3),"",IFERROR(MAX(0,FLOOR(($N$2-$N$3)/E312,1))*MAX(1,MIN(IF(G312="",1,G312),FLOOR($N$4/D312,1)))*IF(F312="",1,F312),""))</f>
        <v/>
      </c>
      <c r="K312" s="12">
        <f>IF(A312="","",IF(COUNTIF(DATA!$D$2:$D$500,A312)=0,"CEK SKU tidak ada di DATA",IF(COUNT(C312:E312)&lt;3,"CEK dimensi belum lengkap",IF(OR(C312&lt;=0,D312&lt;=0,E312&lt;=0),"CEK dimensi harus lebih dari 0",IF(COUNTIF($A$2:$A$500,A312)&gt;1,"CEK SKU dobel","OK")))))</f>
        <v/>
      </c>
    </row>
    <row r="313">
      <c r="A313" s="10" t="n"/>
      <c r="B313" s="12">
        <f>IF(A313="","",IFERROR(INDEX(DATA!$E$2:$E$500,MATCH(A313,DATA!$D$2:$D$500,0)),""))</f>
        <v/>
      </c>
      <c r="C313" s="10" t="n"/>
      <c r="D313" s="10" t="n"/>
      <c r="E313" s="10" t="n"/>
      <c r="F313" s="10" t="n"/>
      <c r="G313" s="10" t="n"/>
      <c r="H313" s="10" t="n"/>
      <c r="I313" s="10" t="n"/>
      <c r="J313" s="12">
        <f>IF(OR(A313="",COUNT(C313:E313)&lt;3),"",IFERROR(MAX(0,FLOOR(($N$2-$N$3)/E313,1))*MAX(1,MIN(IF(G313="",1,G313),FLOOR($N$4/D313,1)))*IF(F313="",1,F313),""))</f>
        <v/>
      </c>
      <c r="K313" s="12">
        <f>IF(A313="","",IF(COUNTIF(DATA!$D$2:$D$500,A313)=0,"CEK SKU tidak ada di DATA",IF(COUNT(C313:E313)&lt;3,"CEK dimensi belum lengkap",IF(OR(C313&lt;=0,D313&lt;=0,E313&lt;=0),"CEK dimensi harus lebih dari 0",IF(COUNTIF($A$2:$A$500,A313)&gt;1,"CEK SKU dobel","OK")))))</f>
        <v/>
      </c>
    </row>
    <row r="314">
      <c r="A314" s="10" t="n"/>
      <c r="B314" s="12">
        <f>IF(A314="","",IFERROR(INDEX(DATA!$E$2:$E$500,MATCH(A314,DATA!$D$2:$D$500,0)),""))</f>
        <v/>
      </c>
      <c r="C314" s="10" t="n"/>
      <c r="D314" s="10" t="n"/>
      <c r="E314" s="10" t="n"/>
      <c r="F314" s="10" t="n"/>
      <c r="G314" s="10" t="n"/>
      <c r="H314" s="10" t="n"/>
      <c r="I314" s="10" t="n"/>
      <c r="J314" s="12">
        <f>IF(OR(A314="",COUNT(C314:E314)&lt;3),"",IFERROR(MAX(0,FLOOR(($N$2-$N$3)/E314,1))*MAX(1,MIN(IF(G314="",1,G314),FLOOR($N$4/D314,1)))*IF(F314="",1,F314),""))</f>
        <v/>
      </c>
      <c r="K314" s="12">
        <f>IF(A314="","",IF(COUNTIF(DATA!$D$2:$D$500,A314)=0,"CEK SKU tidak ada di DATA",IF(COUNT(C314:E314)&lt;3,"CEK dimensi belum lengkap",IF(OR(C314&lt;=0,D314&lt;=0,E314&lt;=0),"CEK dimensi harus lebih dari 0",IF(COUNTIF($A$2:$A$500,A314)&gt;1,"CEK SKU dobel","OK")))))</f>
        <v/>
      </c>
    </row>
    <row r="315">
      <c r="A315" s="10" t="n"/>
      <c r="B315" s="12">
        <f>IF(A315="","",IFERROR(INDEX(DATA!$E$2:$E$500,MATCH(A315,DATA!$D$2:$D$500,0)),""))</f>
        <v/>
      </c>
      <c r="C315" s="10" t="n"/>
      <c r="D315" s="10" t="n"/>
      <c r="E315" s="10" t="n"/>
      <c r="F315" s="10" t="n"/>
      <c r="G315" s="10" t="n"/>
      <c r="H315" s="10" t="n"/>
      <c r="I315" s="10" t="n"/>
      <c r="J315" s="12">
        <f>IF(OR(A315="",COUNT(C315:E315)&lt;3),"",IFERROR(MAX(0,FLOOR(($N$2-$N$3)/E315,1))*MAX(1,MIN(IF(G315="",1,G315),FLOOR($N$4/D315,1)))*IF(F315="",1,F315),""))</f>
        <v/>
      </c>
      <c r="K315" s="12">
        <f>IF(A315="","",IF(COUNTIF(DATA!$D$2:$D$500,A315)=0,"CEK SKU tidak ada di DATA",IF(COUNT(C315:E315)&lt;3,"CEK dimensi belum lengkap",IF(OR(C315&lt;=0,D315&lt;=0,E315&lt;=0),"CEK dimensi harus lebih dari 0",IF(COUNTIF($A$2:$A$500,A315)&gt;1,"CEK SKU dobel","OK")))))</f>
        <v/>
      </c>
    </row>
    <row r="316">
      <c r="A316" s="10" t="n"/>
      <c r="B316" s="12">
        <f>IF(A316="","",IFERROR(INDEX(DATA!$E$2:$E$500,MATCH(A316,DATA!$D$2:$D$500,0)),""))</f>
        <v/>
      </c>
      <c r="C316" s="10" t="n"/>
      <c r="D316" s="10" t="n"/>
      <c r="E316" s="10" t="n"/>
      <c r="F316" s="10" t="n"/>
      <c r="G316" s="10" t="n"/>
      <c r="H316" s="10" t="n"/>
      <c r="I316" s="10" t="n"/>
      <c r="J316" s="12">
        <f>IF(OR(A316="",COUNT(C316:E316)&lt;3),"",IFERROR(MAX(0,FLOOR(($N$2-$N$3)/E316,1))*MAX(1,MIN(IF(G316="",1,G316),FLOOR($N$4/D316,1)))*IF(F316="",1,F316),""))</f>
        <v/>
      </c>
      <c r="K316" s="12">
        <f>IF(A316="","",IF(COUNTIF(DATA!$D$2:$D$500,A316)=0,"CEK SKU tidak ada di DATA",IF(COUNT(C316:E316)&lt;3,"CEK dimensi belum lengkap",IF(OR(C316&lt;=0,D316&lt;=0,E316&lt;=0),"CEK dimensi harus lebih dari 0",IF(COUNTIF($A$2:$A$500,A316)&gt;1,"CEK SKU dobel","OK")))))</f>
        <v/>
      </c>
    </row>
    <row r="317">
      <c r="A317" s="10" t="n"/>
      <c r="B317" s="12">
        <f>IF(A317="","",IFERROR(INDEX(DATA!$E$2:$E$500,MATCH(A317,DATA!$D$2:$D$500,0)),""))</f>
        <v/>
      </c>
      <c r="C317" s="10" t="n"/>
      <c r="D317" s="10" t="n"/>
      <c r="E317" s="10" t="n"/>
      <c r="F317" s="10" t="n"/>
      <c r="G317" s="10" t="n"/>
      <c r="H317" s="10" t="n"/>
      <c r="I317" s="10" t="n"/>
      <c r="J317" s="12">
        <f>IF(OR(A317="",COUNT(C317:E317)&lt;3),"",IFERROR(MAX(0,FLOOR(($N$2-$N$3)/E317,1))*MAX(1,MIN(IF(G317="",1,G317),FLOOR($N$4/D317,1)))*IF(F317="",1,F317),""))</f>
        <v/>
      </c>
      <c r="K317" s="12">
        <f>IF(A317="","",IF(COUNTIF(DATA!$D$2:$D$500,A317)=0,"CEK SKU tidak ada di DATA",IF(COUNT(C317:E317)&lt;3,"CEK dimensi belum lengkap",IF(OR(C317&lt;=0,D317&lt;=0,E317&lt;=0),"CEK dimensi harus lebih dari 0",IF(COUNTIF($A$2:$A$500,A317)&gt;1,"CEK SKU dobel","OK")))))</f>
        <v/>
      </c>
    </row>
    <row r="318">
      <c r="A318" s="10" t="n"/>
      <c r="B318" s="12">
        <f>IF(A318="","",IFERROR(INDEX(DATA!$E$2:$E$500,MATCH(A318,DATA!$D$2:$D$500,0)),""))</f>
        <v/>
      </c>
      <c r="C318" s="10" t="n"/>
      <c r="D318" s="10" t="n"/>
      <c r="E318" s="10" t="n"/>
      <c r="F318" s="10" t="n"/>
      <c r="G318" s="10" t="n"/>
      <c r="H318" s="10" t="n"/>
      <c r="I318" s="10" t="n"/>
      <c r="J318" s="12">
        <f>IF(OR(A318="",COUNT(C318:E318)&lt;3),"",IFERROR(MAX(0,FLOOR(($N$2-$N$3)/E318,1))*MAX(1,MIN(IF(G318="",1,G318),FLOOR($N$4/D318,1)))*IF(F318="",1,F318),""))</f>
        <v/>
      </c>
      <c r="K318" s="12">
        <f>IF(A318="","",IF(COUNTIF(DATA!$D$2:$D$500,A318)=0,"CEK SKU tidak ada di DATA",IF(COUNT(C318:E318)&lt;3,"CEK dimensi belum lengkap",IF(OR(C318&lt;=0,D318&lt;=0,E318&lt;=0),"CEK dimensi harus lebih dari 0",IF(COUNTIF($A$2:$A$500,A318)&gt;1,"CEK SKU dobel","OK")))))</f>
        <v/>
      </c>
    </row>
    <row r="319">
      <c r="A319" s="10" t="n"/>
      <c r="B319" s="12">
        <f>IF(A319="","",IFERROR(INDEX(DATA!$E$2:$E$500,MATCH(A319,DATA!$D$2:$D$500,0)),""))</f>
        <v/>
      </c>
      <c r="C319" s="10" t="n"/>
      <c r="D319" s="10" t="n"/>
      <c r="E319" s="10" t="n"/>
      <c r="F319" s="10" t="n"/>
      <c r="G319" s="10" t="n"/>
      <c r="H319" s="10" t="n"/>
      <c r="I319" s="10" t="n"/>
      <c r="J319" s="12">
        <f>IF(OR(A319="",COUNT(C319:E319)&lt;3),"",IFERROR(MAX(0,FLOOR(($N$2-$N$3)/E319,1))*MAX(1,MIN(IF(G319="",1,G319),FLOOR($N$4/D319,1)))*IF(F319="",1,F319),""))</f>
        <v/>
      </c>
      <c r="K319" s="12">
        <f>IF(A319="","",IF(COUNTIF(DATA!$D$2:$D$500,A319)=0,"CEK SKU tidak ada di DATA",IF(COUNT(C319:E319)&lt;3,"CEK dimensi belum lengkap",IF(OR(C319&lt;=0,D319&lt;=0,E319&lt;=0),"CEK dimensi harus lebih dari 0",IF(COUNTIF($A$2:$A$500,A319)&gt;1,"CEK SKU dobel","OK")))))</f>
        <v/>
      </c>
    </row>
    <row r="320">
      <c r="A320" s="10" t="n"/>
      <c r="B320" s="12">
        <f>IF(A320="","",IFERROR(INDEX(DATA!$E$2:$E$500,MATCH(A320,DATA!$D$2:$D$500,0)),""))</f>
        <v/>
      </c>
      <c r="C320" s="10" t="n"/>
      <c r="D320" s="10" t="n"/>
      <c r="E320" s="10" t="n"/>
      <c r="F320" s="10" t="n"/>
      <c r="G320" s="10" t="n"/>
      <c r="H320" s="10" t="n"/>
      <c r="I320" s="10" t="n"/>
      <c r="J320" s="12">
        <f>IF(OR(A320="",COUNT(C320:E320)&lt;3),"",IFERROR(MAX(0,FLOOR(($N$2-$N$3)/E320,1))*MAX(1,MIN(IF(G320="",1,G320),FLOOR($N$4/D320,1)))*IF(F320="",1,F320),""))</f>
        <v/>
      </c>
      <c r="K320" s="12">
        <f>IF(A320="","",IF(COUNTIF(DATA!$D$2:$D$500,A320)=0,"CEK SKU tidak ada di DATA",IF(COUNT(C320:E320)&lt;3,"CEK dimensi belum lengkap",IF(OR(C320&lt;=0,D320&lt;=0,E320&lt;=0),"CEK dimensi harus lebih dari 0",IF(COUNTIF($A$2:$A$500,A320)&gt;1,"CEK SKU dobel","OK")))))</f>
        <v/>
      </c>
    </row>
    <row r="321">
      <c r="A321" s="10" t="n"/>
      <c r="B321" s="12">
        <f>IF(A321="","",IFERROR(INDEX(DATA!$E$2:$E$500,MATCH(A321,DATA!$D$2:$D$500,0)),""))</f>
        <v/>
      </c>
      <c r="C321" s="10" t="n"/>
      <c r="D321" s="10" t="n"/>
      <c r="E321" s="10" t="n"/>
      <c r="F321" s="10" t="n"/>
      <c r="G321" s="10" t="n"/>
      <c r="H321" s="10" t="n"/>
      <c r="I321" s="10" t="n"/>
      <c r="J321" s="12">
        <f>IF(OR(A321="",COUNT(C321:E321)&lt;3),"",IFERROR(MAX(0,FLOOR(($N$2-$N$3)/E321,1))*MAX(1,MIN(IF(G321="",1,G321),FLOOR($N$4/D321,1)))*IF(F321="",1,F321),""))</f>
        <v/>
      </c>
      <c r="K321" s="12">
        <f>IF(A321="","",IF(COUNTIF(DATA!$D$2:$D$500,A321)=0,"CEK SKU tidak ada di DATA",IF(COUNT(C321:E321)&lt;3,"CEK dimensi belum lengkap",IF(OR(C321&lt;=0,D321&lt;=0,E321&lt;=0),"CEK dimensi harus lebih dari 0",IF(COUNTIF($A$2:$A$500,A321)&gt;1,"CEK SKU dobel","OK")))))</f>
        <v/>
      </c>
    </row>
    <row r="322">
      <c r="A322" s="10" t="n"/>
      <c r="B322" s="12">
        <f>IF(A322="","",IFERROR(INDEX(DATA!$E$2:$E$500,MATCH(A322,DATA!$D$2:$D$500,0)),""))</f>
        <v/>
      </c>
      <c r="C322" s="10" t="n"/>
      <c r="D322" s="10" t="n"/>
      <c r="E322" s="10" t="n"/>
      <c r="F322" s="10" t="n"/>
      <c r="G322" s="10" t="n"/>
      <c r="H322" s="10" t="n"/>
      <c r="I322" s="10" t="n"/>
      <c r="J322" s="12">
        <f>IF(OR(A322="",COUNT(C322:E322)&lt;3),"",IFERROR(MAX(0,FLOOR(($N$2-$N$3)/E322,1))*MAX(1,MIN(IF(G322="",1,G322),FLOOR($N$4/D322,1)))*IF(F322="",1,F322),""))</f>
        <v/>
      </c>
      <c r="K322" s="12">
        <f>IF(A322="","",IF(COUNTIF(DATA!$D$2:$D$500,A322)=0,"CEK SKU tidak ada di DATA",IF(COUNT(C322:E322)&lt;3,"CEK dimensi belum lengkap",IF(OR(C322&lt;=0,D322&lt;=0,E322&lt;=0),"CEK dimensi harus lebih dari 0",IF(COUNTIF($A$2:$A$500,A322)&gt;1,"CEK SKU dobel","OK")))))</f>
        <v/>
      </c>
    </row>
    <row r="323">
      <c r="A323" s="10" t="n"/>
      <c r="B323" s="12">
        <f>IF(A323="","",IFERROR(INDEX(DATA!$E$2:$E$500,MATCH(A323,DATA!$D$2:$D$500,0)),""))</f>
        <v/>
      </c>
      <c r="C323" s="10" t="n"/>
      <c r="D323" s="10" t="n"/>
      <c r="E323" s="10" t="n"/>
      <c r="F323" s="10" t="n"/>
      <c r="G323" s="10" t="n"/>
      <c r="H323" s="10" t="n"/>
      <c r="I323" s="10" t="n"/>
      <c r="J323" s="12">
        <f>IF(OR(A323="",COUNT(C323:E323)&lt;3),"",IFERROR(MAX(0,FLOOR(($N$2-$N$3)/E323,1))*MAX(1,MIN(IF(G323="",1,G323),FLOOR($N$4/D323,1)))*IF(F323="",1,F323),""))</f>
        <v/>
      </c>
      <c r="K323" s="12">
        <f>IF(A323="","",IF(COUNTIF(DATA!$D$2:$D$500,A323)=0,"CEK SKU tidak ada di DATA",IF(COUNT(C323:E323)&lt;3,"CEK dimensi belum lengkap",IF(OR(C323&lt;=0,D323&lt;=0,E323&lt;=0),"CEK dimensi harus lebih dari 0",IF(COUNTIF($A$2:$A$500,A323)&gt;1,"CEK SKU dobel","OK")))))</f>
        <v/>
      </c>
    </row>
    <row r="324">
      <c r="A324" s="10" t="n"/>
      <c r="B324" s="12">
        <f>IF(A324="","",IFERROR(INDEX(DATA!$E$2:$E$500,MATCH(A324,DATA!$D$2:$D$500,0)),""))</f>
        <v/>
      </c>
      <c r="C324" s="10" t="n"/>
      <c r="D324" s="10" t="n"/>
      <c r="E324" s="10" t="n"/>
      <c r="F324" s="10" t="n"/>
      <c r="G324" s="10" t="n"/>
      <c r="H324" s="10" t="n"/>
      <c r="I324" s="10" t="n"/>
      <c r="J324" s="12">
        <f>IF(OR(A324="",COUNT(C324:E324)&lt;3),"",IFERROR(MAX(0,FLOOR(($N$2-$N$3)/E324,1))*MAX(1,MIN(IF(G324="",1,G324),FLOOR($N$4/D324,1)))*IF(F324="",1,F324),""))</f>
        <v/>
      </c>
      <c r="K324" s="12">
        <f>IF(A324="","",IF(COUNTIF(DATA!$D$2:$D$500,A324)=0,"CEK SKU tidak ada di DATA",IF(COUNT(C324:E324)&lt;3,"CEK dimensi belum lengkap",IF(OR(C324&lt;=0,D324&lt;=0,E324&lt;=0),"CEK dimensi harus lebih dari 0",IF(COUNTIF($A$2:$A$500,A324)&gt;1,"CEK SKU dobel","OK")))))</f>
        <v/>
      </c>
    </row>
    <row r="325">
      <c r="A325" s="10" t="n"/>
      <c r="B325" s="12">
        <f>IF(A325="","",IFERROR(INDEX(DATA!$E$2:$E$500,MATCH(A325,DATA!$D$2:$D$500,0)),""))</f>
        <v/>
      </c>
      <c r="C325" s="10" t="n"/>
      <c r="D325" s="10" t="n"/>
      <c r="E325" s="10" t="n"/>
      <c r="F325" s="10" t="n"/>
      <c r="G325" s="10" t="n"/>
      <c r="H325" s="10" t="n"/>
      <c r="I325" s="10" t="n"/>
      <c r="J325" s="12">
        <f>IF(OR(A325="",COUNT(C325:E325)&lt;3),"",IFERROR(MAX(0,FLOOR(($N$2-$N$3)/E325,1))*MAX(1,MIN(IF(G325="",1,G325),FLOOR($N$4/D325,1)))*IF(F325="",1,F325),""))</f>
        <v/>
      </c>
      <c r="K325" s="12">
        <f>IF(A325="","",IF(COUNTIF(DATA!$D$2:$D$500,A325)=0,"CEK SKU tidak ada di DATA",IF(COUNT(C325:E325)&lt;3,"CEK dimensi belum lengkap",IF(OR(C325&lt;=0,D325&lt;=0,E325&lt;=0),"CEK dimensi harus lebih dari 0",IF(COUNTIF($A$2:$A$500,A325)&gt;1,"CEK SKU dobel","OK")))))</f>
        <v/>
      </c>
    </row>
    <row r="326">
      <c r="A326" s="10" t="n"/>
      <c r="B326" s="12">
        <f>IF(A326="","",IFERROR(INDEX(DATA!$E$2:$E$500,MATCH(A326,DATA!$D$2:$D$500,0)),""))</f>
        <v/>
      </c>
      <c r="C326" s="10" t="n"/>
      <c r="D326" s="10" t="n"/>
      <c r="E326" s="10" t="n"/>
      <c r="F326" s="10" t="n"/>
      <c r="G326" s="10" t="n"/>
      <c r="H326" s="10" t="n"/>
      <c r="I326" s="10" t="n"/>
      <c r="J326" s="12">
        <f>IF(OR(A326="",COUNT(C326:E326)&lt;3),"",IFERROR(MAX(0,FLOOR(($N$2-$N$3)/E326,1))*MAX(1,MIN(IF(G326="",1,G326),FLOOR($N$4/D326,1)))*IF(F326="",1,F326),""))</f>
        <v/>
      </c>
      <c r="K326" s="12">
        <f>IF(A326="","",IF(COUNTIF(DATA!$D$2:$D$500,A326)=0,"CEK SKU tidak ada di DATA",IF(COUNT(C326:E326)&lt;3,"CEK dimensi belum lengkap",IF(OR(C326&lt;=0,D326&lt;=0,E326&lt;=0),"CEK dimensi harus lebih dari 0",IF(COUNTIF($A$2:$A$500,A326)&gt;1,"CEK SKU dobel","OK")))))</f>
        <v/>
      </c>
    </row>
    <row r="327">
      <c r="A327" s="10" t="n"/>
      <c r="B327" s="12">
        <f>IF(A327="","",IFERROR(INDEX(DATA!$E$2:$E$500,MATCH(A327,DATA!$D$2:$D$500,0)),""))</f>
        <v/>
      </c>
      <c r="C327" s="10" t="n"/>
      <c r="D327" s="10" t="n"/>
      <c r="E327" s="10" t="n"/>
      <c r="F327" s="10" t="n"/>
      <c r="G327" s="10" t="n"/>
      <c r="H327" s="10" t="n"/>
      <c r="I327" s="10" t="n"/>
      <c r="J327" s="12">
        <f>IF(OR(A327="",COUNT(C327:E327)&lt;3),"",IFERROR(MAX(0,FLOOR(($N$2-$N$3)/E327,1))*MAX(1,MIN(IF(G327="",1,G327),FLOOR($N$4/D327,1)))*IF(F327="",1,F327),""))</f>
        <v/>
      </c>
      <c r="K327" s="12">
        <f>IF(A327="","",IF(COUNTIF(DATA!$D$2:$D$500,A327)=0,"CEK SKU tidak ada di DATA",IF(COUNT(C327:E327)&lt;3,"CEK dimensi belum lengkap",IF(OR(C327&lt;=0,D327&lt;=0,E327&lt;=0),"CEK dimensi harus lebih dari 0",IF(COUNTIF($A$2:$A$500,A327)&gt;1,"CEK SKU dobel","OK")))))</f>
        <v/>
      </c>
    </row>
    <row r="328">
      <c r="A328" s="10" t="n"/>
      <c r="B328" s="12">
        <f>IF(A328="","",IFERROR(INDEX(DATA!$E$2:$E$500,MATCH(A328,DATA!$D$2:$D$500,0)),""))</f>
        <v/>
      </c>
      <c r="C328" s="10" t="n"/>
      <c r="D328" s="10" t="n"/>
      <c r="E328" s="10" t="n"/>
      <c r="F328" s="10" t="n"/>
      <c r="G328" s="10" t="n"/>
      <c r="H328" s="10" t="n"/>
      <c r="I328" s="10" t="n"/>
      <c r="J328" s="12">
        <f>IF(OR(A328="",COUNT(C328:E328)&lt;3),"",IFERROR(MAX(0,FLOOR(($N$2-$N$3)/E328,1))*MAX(1,MIN(IF(G328="",1,G328),FLOOR($N$4/D328,1)))*IF(F328="",1,F328),""))</f>
        <v/>
      </c>
      <c r="K328" s="12">
        <f>IF(A328="","",IF(COUNTIF(DATA!$D$2:$D$500,A328)=0,"CEK SKU tidak ada di DATA",IF(COUNT(C328:E328)&lt;3,"CEK dimensi belum lengkap",IF(OR(C328&lt;=0,D328&lt;=0,E328&lt;=0),"CEK dimensi harus lebih dari 0",IF(COUNTIF($A$2:$A$500,A328)&gt;1,"CEK SKU dobel","OK")))))</f>
        <v/>
      </c>
    </row>
    <row r="329">
      <c r="A329" s="10" t="n"/>
      <c r="B329" s="12">
        <f>IF(A329="","",IFERROR(INDEX(DATA!$E$2:$E$500,MATCH(A329,DATA!$D$2:$D$500,0)),""))</f>
        <v/>
      </c>
      <c r="C329" s="10" t="n"/>
      <c r="D329" s="10" t="n"/>
      <c r="E329" s="10" t="n"/>
      <c r="F329" s="10" t="n"/>
      <c r="G329" s="10" t="n"/>
      <c r="H329" s="10" t="n"/>
      <c r="I329" s="10" t="n"/>
      <c r="J329" s="12">
        <f>IF(OR(A329="",COUNT(C329:E329)&lt;3),"",IFERROR(MAX(0,FLOOR(($N$2-$N$3)/E329,1))*MAX(1,MIN(IF(G329="",1,G329),FLOOR($N$4/D329,1)))*IF(F329="",1,F329),""))</f>
        <v/>
      </c>
      <c r="K329" s="12">
        <f>IF(A329="","",IF(COUNTIF(DATA!$D$2:$D$500,A329)=0,"CEK SKU tidak ada di DATA",IF(COUNT(C329:E329)&lt;3,"CEK dimensi belum lengkap",IF(OR(C329&lt;=0,D329&lt;=0,E329&lt;=0),"CEK dimensi harus lebih dari 0",IF(COUNTIF($A$2:$A$500,A329)&gt;1,"CEK SKU dobel","OK")))))</f>
        <v/>
      </c>
    </row>
    <row r="330">
      <c r="A330" s="10" t="n"/>
      <c r="B330" s="12">
        <f>IF(A330="","",IFERROR(INDEX(DATA!$E$2:$E$500,MATCH(A330,DATA!$D$2:$D$500,0)),""))</f>
        <v/>
      </c>
      <c r="C330" s="10" t="n"/>
      <c r="D330" s="10" t="n"/>
      <c r="E330" s="10" t="n"/>
      <c r="F330" s="10" t="n"/>
      <c r="G330" s="10" t="n"/>
      <c r="H330" s="10" t="n"/>
      <c r="I330" s="10" t="n"/>
      <c r="J330" s="12">
        <f>IF(OR(A330="",COUNT(C330:E330)&lt;3),"",IFERROR(MAX(0,FLOOR(($N$2-$N$3)/E330,1))*MAX(1,MIN(IF(G330="",1,G330),FLOOR($N$4/D330,1)))*IF(F330="",1,F330),""))</f>
        <v/>
      </c>
      <c r="K330" s="12">
        <f>IF(A330="","",IF(COUNTIF(DATA!$D$2:$D$500,A330)=0,"CEK SKU tidak ada di DATA",IF(COUNT(C330:E330)&lt;3,"CEK dimensi belum lengkap",IF(OR(C330&lt;=0,D330&lt;=0,E330&lt;=0),"CEK dimensi harus lebih dari 0",IF(COUNTIF($A$2:$A$500,A330)&gt;1,"CEK SKU dobel","OK")))))</f>
        <v/>
      </c>
    </row>
    <row r="331">
      <c r="A331" s="10" t="n"/>
      <c r="B331" s="12">
        <f>IF(A331="","",IFERROR(INDEX(DATA!$E$2:$E$500,MATCH(A331,DATA!$D$2:$D$500,0)),""))</f>
        <v/>
      </c>
      <c r="C331" s="10" t="n"/>
      <c r="D331" s="10" t="n"/>
      <c r="E331" s="10" t="n"/>
      <c r="F331" s="10" t="n"/>
      <c r="G331" s="10" t="n"/>
      <c r="H331" s="10" t="n"/>
      <c r="I331" s="10" t="n"/>
      <c r="J331" s="12">
        <f>IF(OR(A331="",COUNT(C331:E331)&lt;3),"",IFERROR(MAX(0,FLOOR(($N$2-$N$3)/E331,1))*MAX(1,MIN(IF(G331="",1,G331),FLOOR($N$4/D331,1)))*IF(F331="",1,F331),""))</f>
        <v/>
      </c>
      <c r="K331" s="12">
        <f>IF(A331="","",IF(COUNTIF(DATA!$D$2:$D$500,A331)=0,"CEK SKU tidak ada di DATA",IF(COUNT(C331:E331)&lt;3,"CEK dimensi belum lengkap",IF(OR(C331&lt;=0,D331&lt;=0,E331&lt;=0),"CEK dimensi harus lebih dari 0",IF(COUNTIF($A$2:$A$500,A331)&gt;1,"CEK SKU dobel","OK")))))</f>
        <v/>
      </c>
    </row>
    <row r="332">
      <c r="A332" s="10" t="n"/>
      <c r="B332" s="12">
        <f>IF(A332="","",IFERROR(INDEX(DATA!$E$2:$E$500,MATCH(A332,DATA!$D$2:$D$500,0)),""))</f>
        <v/>
      </c>
      <c r="C332" s="10" t="n"/>
      <c r="D332" s="10" t="n"/>
      <c r="E332" s="10" t="n"/>
      <c r="F332" s="10" t="n"/>
      <c r="G332" s="10" t="n"/>
      <c r="H332" s="10" t="n"/>
      <c r="I332" s="10" t="n"/>
      <c r="J332" s="12">
        <f>IF(OR(A332="",COUNT(C332:E332)&lt;3),"",IFERROR(MAX(0,FLOOR(($N$2-$N$3)/E332,1))*MAX(1,MIN(IF(G332="",1,G332),FLOOR($N$4/D332,1)))*IF(F332="",1,F332),""))</f>
        <v/>
      </c>
      <c r="K332" s="12">
        <f>IF(A332="","",IF(COUNTIF(DATA!$D$2:$D$500,A332)=0,"CEK SKU tidak ada di DATA",IF(COUNT(C332:E332)&lt;3,"CEK dimensi belum lengkap",IF(OR(C332&lt;=0,D332&lt;=0,E332&lt;=0),"CEK dimensi harus lebih dari 0",IF(COUNTIF($A$2:$A$500,A332)&gt;1,"CEK SKU dobel","OK")))))</f>
        <v/>
      </c>
    </row>
    <row r="333">
      <c r="A333" s="10" t="n"/>
      <c r="B333" s="12">
        <f>IF(A333="","",IFERROR(INDEX(DATA!$E$2:$E$500,MATCH(A333,DATA!$D$2:$D$500,0)),""))</f>
        <v/>
      </c>
      <c r="C333" s="10" t="n"/>
      <c r="D333" s="10" t="n"/>
      <c r="E333" s="10" t="n"/>
      <c r="F333" s="10" t="n"/>
      <c r="G333" s="10" t="n"/>
      <c r="H333" s="10" t="n"/>
      <c r="I333" s="10" t="n"/>
      <c r="J333" s="12">
        <f>IF(OR(A333="",COUNT(C333:E333)&lt;3),"",IFERROR(MAX(0,FLOOR(($N$2-$N$3)/E333,1))*MAX(1,MIN(IF(G333="",1,G333),FLOOR($N$4/D333,1)))*IF(F333="",1,F333),""))</f>
        <v/>
      </c>
      <c r="K333" s="12">
        <f>IF(A333="","",IF(COUNTIF(DATA!$D$2:$D$500,A333)=0,"CEK SKU tidak ada di DATA",IF(COUNT(C333:E333)&lt;3,"CEK dimensi belum lengkap",IF(OR(C333&lt;=0,D333&lt;=0,E333&lt;=0),"CEK dimensi harus lebih dari 0",IF(COUNTIF($A$2:$A$500,A333)&gt;1,"CEK SKU dobel","OK")))))</f>
        <v/>
      </c>
    </row>
    <row r="334">
      <c r="A334" s="10" t="n"/>
      <c r="B334" s="12">
        <f>IF(A334="","",IFERROR(INDEX(DATA!$E$2:$E$500,MATCH(A334,DATA!$D$2:$D$500,0)),""))</f>
        <v/>
      </c>
      <c r="C334" s="10" t="n"/>
      <c r="D334" s="10" t="n"/>
      <c r="E334" s="10" t="n"/>
      <c r="F334" s="10" t="n"/>
      <c r="G334" s="10" t="n"/>
      <c r="H334" s="10" t="n"/>
      <c r="I334" s="10" t="n"/>
      <c r="J334" s="12">
        <f>IF(OR(A334="",COUNT(C334:E334)&lt;3),"",IFERROR(MAX(0,FLOOR(($N$2-$N$3)/E334,1))*MAX(1,MIN(IF(G334="",1,G334),FLOOR($N$4/D334,1)))*IF(F334="",1,F334),""))</f>
        <v/>
      </c>
      <c r="K334" s="12">
        <f>IF(A334="","",IF(COUNTIF(DATA!$D$2:$D$500,A334)=0,"CEK SKU tidak ada di DATA",IF(COUNT(C334:E334)&lt;3,"CEK dimensi belum lengkap",IF(OR(C334&lt;=0,D334&lt;=0,E334&lt;=0),"CEK dimensi harus lebih dari 0",IF(COUNTIF($A$2:$A$500,A334)&gt;1,"CEK SKU dobel","OK")))))</f>
        <v/>
      </c>
    </row>
    <row r="335">
      <c r="A335" s="10" t="n"/>
      <c r="B335" s="12">
        <f>IF(A335="","",IFERROR(INDEX(DATA!$E$2:$E$500,MATCH(A335,DATA!$D$2:$D$500,0)),""))</f>
        <v/>
      </c>
      <c r="C335" s="10" t="n"/>
      <c r="D335" s="10" t="n"/>
      <c r="E335" s="10" t="n"/>
      <c r="F335" s="10" t="n"/>
      <c r="G335" s="10" t="n"/>
      <c r="H335" s="10" t="n"/>
      <c r="I335" s="10" t="n"/>
      <c r="J335" s="12">
        <f>IF(OR(A335="",COUNT(C335:E335)&lt;3),"",IFERROR(MAX(0,FLOOR(($N$2-$N$3)/E335,1))*MAX(1,MIN(IF(G335="",1,G335),FLOOR($N$4/D335,1)))*IF(F335="",1,F335),""))</f>
        <v/>
      </c>
      <c r="K335" s="12">
        <f>IF(A335="","",IF(COUNTIF(DATA!$D$2:$D$500,A335)=0,"CEK SKU tidak ada di DATA",IF(COUNT(C335:E335)&lt;3,"CEK dimensi belum lengkap",IF(OR(C335&lt;=0,D335&lt;=0,E335&lt;=0),"CEK dimensi harus lebih dari 0",IF(COUNTIF($A$2:$A$500,A335)&gt;1,"CEK SKU dobel","OK")))))</f>
        <v/>
      </c>
    </row>
    <row r="336">
      <c r="A336" s="10" t="n"/>
      <c r="B336" s="12">
        <f>IF(A336="","",IFERROR(INDEX(DATA!$E$2:$E$500,MATCH(A336,DATA!$D$2:$D$500,0)),""))</f>
        <v/>
      </c>
      <c r="C336" s="10" t="n"/>
      <c r="D336" s="10" t="n"/>
      <c r="E336" s="10" t="n"/>
      <c r="F336" s="10" t="n"/>
      <c r="G336" s="10" t="n"/>
      <c r="H336" s="10" t="n"/>
      <c r="I336" s="10" t="n"/>
      <c r="J336" s="12">
        <f>IF(OR(A336="",COUNT(C336:E336)&lt;3),"",IFERROR(MAX(0,FLOOR(($N$2-$N$3)/E336,1))*MAX(1,MIN(IF(G336="",1,G336),FLOOR($N$4/D336,1)))*IF(F336="",1,F336),""))</f>
        <v/>
      </c>
      <c r="K336" s="12">
        <f>IF(A336="","",IF(COUNTIF(DATA!$D$2:$D$500,A336)=0,"CEK SKU tidak ada di DATA",IF(COUNT(C336:E336)&lt;3,"CEK dimensi belum lengkap",IF(OR(C336&lt;=0,D336&lt;=0,E336&lt;=0),"CEK dimensi harus lebih dari 0",IF(COUNTIF($A$2:$A$500,A336)&gt;1,"CEK SKU dobel","OK")))))</f>
        <v/>
      </c>
    </row>
    <row r="337">
      <c r="A337" s="10" t="n"/>
      <c r="B337" s="12">
        <f>IF(A337="","",IFERROR(INDEX(DATA!$E$2:$E$500,MATCH(A337,DATA!$D$2:$D$500,0)),""))</f>
        <v/>
      </c>
      <c r="C337" s="10" t="n"/>
      <c r="D337" s="10" t="n"/>
      <c r="E337" s="10" t="n"/>
      <c r="F337" s="10" t="n"/>
      <c r="G337" s="10" t="n"/>
      <c r="H337" s="10" t="n"/>
      <c r="I337" s="10" t="n"/>
      <c r="J337" s="12">
        <f>IF(OR(A337="",COUNT(C337:E337)&lt;3),"",IFERROR(MAX(0,FLOOR(($N$2-$N$3)/E337,1))*MAX(1,MIN(IF(G337="",1,G337),FLOOR($N$4/D337,1)))*IF(F337="",1,F337),""))</f>
        <v/>
      </c>
      <c r="K337" s="12">
        <f>IF(A337="","",IF(COUNTIF(DATA!$D$2:$D$500,A337)=0,"CEK SKU tidak ada di DATA",IF(COUNT(C337:E337)&lt;3,"CEK dimensi belum lengkap",IF(OR(C337&lt;=0,D337&lt;=0,E337&lt;=0),"CEK dimensi harus lebih dari 0",IF(COUNTIF($A$2:$A$500,A337)&gt;1,"CEK SKU dobel","OK")))))</f>
        <v/>
      </c>
    </row>
    <row r="338">
      <c r="A338" s="10" t="n"/>
      <c r="B338" s="12">
        <f>IF(A338="","",IFERROR(INDEX(DATA!$E$2:$E$500,MATCH(A338,DATA!$D$2:$D$500,0)),""))</f>
        <v/>
      </c>
      <c r="C338" s="10" t="n"/>
      <c r="D338" s="10" t="n"/>
      <c r="E338" s="10" t="n"/>
      <c r="F338" s="10" t="n"/>
      <c r="G338" s="10" t="n"/>
      <c r="H338" s="10" t="n"/>
      <c r="I338" s="10" t="n"/>
      <c r="J338" s="12">
        <f>IF(OR(A338="",COUNT(C338:E338)&lt;3),"",IFERROR(MAX(0,FLOOR(($N$2-$N$3)/E338,1))*MAX(1,MIN(IF(G338="",1,G338),FLOOR($N$4/D338,1)))*IF(F338="",1,F338),""))</f>
        <v/>
      </c>
      <c r="K338" s="12">
        <f>IF(A338="","",IF(COUNTIF(DATA!$D$2:$D$500,A338)=0,"CEK SKU tidak ada di DATA",IF(COUNT(C338:E338)&lt;3,"CEK dimensi belum lengkap",IF(OR(C338&lt;=0,D338&lt;=0,E338&lt;=0),"CEK dimensi harus lebih dari 0",IF(COUNTIF($A$2:$A$500,A338)&gt;1,"CEK SKU dobel","OK")))))</f>
        <v/>
      </c>
    </row>
    <row r="339">
      <c r="A339" s="10" t="n"/>
      <c r="B339" s="12">
        <f>IF(A339="","",IFERROR(INDEX(DATA!$E$2:$E$500,MATCH(A339,DATA!$D$2:$D$500,0)),""))</f>
        <v/>
      </c>
      <c r="C339" s="10" t="n"/>
      <c r="D339" s="10" t="n"/>
      <c r="E339" s="10" t="n"/>
      <c r="F339" s="10" t="n"/>
      <c r="G339" s="10" t="n"/>
      <c r="H339" s="10" t="n"/>
      <c r="I339" s="10" t="n"/>
      <c r="J339" s="12">
        <f>IF(OR(A339="",COUNT(C339:E339)&lt;3),"",IFERROR(MAX(0,FLOOR(($N$2-$N$3)/E339,1))*MAX(1,MIN(IF(G339="",1,G339),FLOOR($N$4/D339,1)))*IF(F339="",1,F339),""))</f>
        <v/>
      </c>
      <c r="K339" s="12">
        <f>IF(A339="","",IF(COUNTIF(DATA!$D$2:$D$500,A339)=0,"CEK SKU tidak ada di DATA",IF(COUNT(C339:E339)&lt;3,"CEK dimensi belum lengkap",IF(OR(C339&lt;=0,D339&lt;=0,E339&lt;=0),"CEK dimensi harus lebih dari 0",IF(COUNTIF($A$2:$A$500,A339)&gt;1,"CEK SKU dobel","OK")))))</f>
        <v/>
      </c>
    </row>
    <row r="340">
      <c r="A340" s="10" t="n"/>
      <c r="B340" s="12">
        <f>IF(A340="","",IFERROR(INDEX(DATA!$E$2:$E$500,MATCH(A340,DATA!$D$2:$D$500,0)),""))</f>
        <v/>
      </c>
      <c r="C340" s="10" t="n"/>
      <c r="D340" s="10" t="n"/>
      <c r="E340" s="10" t="n"/>
      <c r="F340" s="10" t="n"/>
      <c r="G340" s="10" t="n"/>
      <c r="H340" s="10" t="n"/>
      <c r="I340" s="10" t="n"/>
      <c r="J340" s="12">
        <f>IF(OR(A340="",COUNT(C340:E340)&lt;3),"",IFERROR(MAX(0,FLOOR(($N$2-$N$3)/E340,1))*MAX(1,MIN(IF(G340="",1,G340),FLOOR($N$4/D340,1)))*IF(F340="",1,F340),""))</f>
        <v/>
      </c>
      <c r="K340" s="12">
        <f>IF(A340="","",IF(COUNTIF(DATA!$D$2:$D$500,A340)=0,"CEK SKU tidak ada di DATA",IF(COUNT(C340:E340)&lt;3,"CEK dimensi belum lengkap",IF(OR(C340&lt;=0,D340&lt;=0,E340&lt;=0),"CEK dimensi harus lebih dari 0",IF(COUNTIF($A$2:$A$500,A340)&gt;1,"CEK SKU dobel","OK")))))</f>
        <v/>
      </c>
    </row>
    <row r="341">
      <c r="A341" s="10" t="n"/>
      <c r="B341" s="12">
        <f>IF(A341="","",IFERROR(INDEX(DATA!$E$2:$E$500,MATCH(A341,DATA!$D$2:$D$500,0)),""))</f>
        <v/>
      </c>
      <c r="C341" s="10" t="n"/>
      <c r="D341" s="10" t="n"/>
      <c r="E341" s="10" t="n"/>
      <c r="F341" s="10" t="n"/>
      <c r="G341" s="10" t="n"/>
      <c r="H341" s="10" t="n"/>
      <c r="I341" s="10" t="n"/>
      <c r="J341" s="12">
        <f>IF(OR(A341="",COUNT(C341:E341)&lt;3),"",IFERROR(MAX(0,FLOOR(($N$2-$N$3)/E341,1))*MAX(1,MIN(IF(G341="",1,G341),FLOOR($N$4/D341,1)))*IF(F341="",1,F341),""))</f>
        <v/>
      </c>
      <c r="K341" s="12">
        <f>IF(A341="","",IF(COUNTIF(DATA!$D$2:$D$500,A341)=0,"CEK SKU tidak ada di DATA",IF(COUNT(C341:E341)&lt;3,"CEK dimensi belum lengkap",IF(OR(C341&lt;=0,D341&lt;=0,E341&lt;=0),"CEK dimensi harus lebih dari 0",IF(COUNTIF($A$2:$A$500,A341)&gt;1,"CEK SKU dobel","OK")))))</f>
        <v/>
      </c>
    </row>
    <row r="342">
      <c r="A342" s="10" t="n"/>
      <c r="B342" s="12">
        <f>IF(A342="","",IFERROR(INDEX(DATA!$E$2:$E$500,MATCH(A342,DATA!$D$2:$D$500,0)),""))</f>
        <v/>
      </c>
      <c r="C342" s="10" t="n"/>
      <c r="D342" s="10" t="n"/>
      <c r="E342" s="10" t="n"/>
      <c r="F342" s="10" t="n"/>
      <c r="G342" s="10" t="n"/>
      <c r="H342" s="10" t="n"/>
      <c r="I342" s="10" t="n"/>
      <c r="J342" s="12">
        <f>IF(OR(A342="",COUNT(C342:E342)&lt;3),"",IFERROR(MAX(0,FLOOR(($N$2-$N$3)/E342,1))*MAX(1,MIN(IF(G342="",1,G342),FLOOR($N$4/D342,1)))*IF(F342="",1,F342),""))</f>
        <v/>
      </c>
      <c r="K342" s="12">
        <f>IF(A342="","",IF(COUNTIF(DATA!$D$2:$D$500,A342)=0,"CEK SKU tidak ada di DATA",IF(COUNT(C342:E342)&lt;3,"CEK dimensi belum lengkap",IF(OR(C342&lt;=0,D342&lt;=0,E342&lt;=0),"CEK dimensi harus lebih dari 0",IF(COUNTIF($A$2:$A$500,A342)&gt;1,"CEK SKU dobel","OK")))))</f>
        <v/>
      </c>
    </row>
    <row r="343">
      <c r="A343" s="10" t="n"/>
      <c r="B343" s="12">
        <f>IF(A343="","",IFERROR(INDEX(DATA!$E$2:$E$500,MATCH(A343,DATA!$D$2:$D$500,0)),""))</f>
        <v/>
      </c>
      <c r="C343" s="10" t="n"/>
      <c r="D343" s="10" t="n"/>
      <c r="E343" s="10" t="n"/>
      <c r="F343" s="10" t="n"/>
      <c r="G343" s="10" t="n"/>
      <c r="H343" s="10" t="n"/>
      <c r="I343" s="10" t="n"/>
      <c r="J343" s="12">
        <f>IF(OR(A343="",COUNT(C343:E343)&lt;3),"",IFERROR(MAX(0,FLOOR(($N$2-$N$3)/E343,1))*MAX(1,MIN(IF(G343="",1,G343),FLOOR($N$4/D343,1)))*IF(F343="",1,F343),""))</f>
        <v/>
      </c>
      <c r="K343" s="12">
        <f>IF(A343="","",IF(COUNTIF(DATA!$D$2:$D$500,A343)=0,"CEK SKU tidak ada di DATA",IF(COUNT(C343:E343)&lt;3,"CEK dimensi belum lengkap",IF(OR(C343&lt;=0,D343&lt;=0,E343&lt;=0),"CEK dimensi harus lebih dari 0",IF(COUNTIF($A$2:$A$500,A343)&gt;1,"CEK SKU dobel","OK")))))</f>
        <v/>
      </c>
    </row>
    <row r="344">
      <c r="A344" s="10" t="n"/>
      <c r="B344" s="12">
        <f>IF(A344="","",IFERROR(INDEX(DATA!$E$2:$E$500,MATCH(A344,DATA!$D$2:$D$500,0)),""))</f>
        <v/>
      </c>
      <c r="C344" s="10" t="n"/>
      <c r="D344" s="10" t="n"/>
      <c r="E344" s="10" t="n"/>
      <c r="F344" s="10" t="n"/>
      <c r="G344" s="10" t="n"/>
      <c r="H344" s="10" t="n"/>
      <c r="I344" s="10" t="n"/>
      <c r="J344" s="12">
        <f>IF(OR(A344="",COUNT(C344:E344)&lt;3),"",IFERROR(MAX(0,FLOOR(($N$2-$N$3)/E344,1))*MAX(1,MIN(IF(G344="",1,G344),FLOOR($N$4/D344,1)))*IF(F344="",1,F344),""))</f>
        <v/>
      </c>
      <c r="K344" s="12">
        <f>IF(A344="","",IF(COUNTIF(DATA!$D$2:$D$500,A344)=0,"CEK SKU tidak ada di DATA",IF(COUNT(C344:E344)&lt;3,"CEK dimensi belum lengkap",IF(OR(C344&lt;=0,D344&lt;=0,E344&lt;=0),"CEK dimensi harus lebih dari 0",IF(COUNTIF($A$2:$A$500,A344)&gt;1,"CEK SKU dobel","OK")))))</f>
        <v/>
      </c>
    </row>
    <row r="345">
      <c r="A345" s="10" t="n"/>
      <c r="B345" s="12">
        <f>IF(A345="","",IFERROR(INDEX(DATA!$E$2:$E$500,MATCH(A345,DATA!$D$2:$D$500,0)),""))</f>
        <v/>
      </c>
      <c r="C345" s="10" t="n"/>
      <c r="D345" s="10" t="n"/>
      <c r="E345" s="10" t="n"/>
      <c r="F345" s="10" t="n"/>
      <c r="G345" s="10" t="n"/>
      <c r="H345" s="10" t="n"/>
      <c r="I345" s="10" t="n"/>
      <c r="J345" s="12">
        <f>IF(OR(A345="",COUNT(C345:E345)&lt;3),"",IFERROR(MAX(0,FLOOR(($N$2-$N$3)/E345,1))*MAX(1,MIN(IF(G345="",1,G345),FLOOR($N$4/D345,1)))*IF(F345="",1,F345),""))</f>
        <v/>
      </c>
      <c r="K345" s="12">
        <f>IF(A345="","",IF(COUNTIF(DATA!$D$2:$D$500,A345)=0,"CEK SKU tidak ada di DATA",IF(COUNT(C345:E345)&lt;3,"CEK dimensi belum lengkap",IF(OR(C345&lt;=0,D345&lt;=0,E345&lt;=0),"CEK dimensi harus lebih dari 0",IF(COUNTIF($A$2:$A$500,A345)&gt;1,"CEK SKU dobel","OK")))))</f>
        <v/>
      </c>
    </row>
    <row r="346">
      <c r="A346" s="10" t="n"/>
      <c r="B346" s="12">
        <f>IF(A346="","",IFERROR(INDEX(DATA!$E$2:$E$500,MATCH(A346,DATA!$D$2:$D$500,0)),""))</f>
        <v/>
      </c>
      <c r="C346" s="10" t="n"/>
      <c r="D346" s="10" t="n"/>
      <c r="E346" s="10" t="n"/>
      <c r="F346" s="10" t="n"/>
      <c r="G346" s="10" t="n"/>
      <c r="H346" s="10" t="n"/>
      <c r="I346" s="10" t="n"/>
      <c r="J346" s="12">
        <f>IF(OR(A346="",COUNT(C346:E346)&lt;3),"",IFERROR(MAX(0,FLOOR(($N$2-$N$3)/E346,1))*MAX(1,MIN(IF(G346="",1,G346),FLOOR($N$4/D346,1)))*IF(F346="",1,F346),""))</f>
        <v/>
      </c>
      <c r="K346" s="12">
        <f>IF(A346="","",IF(COUNTIF(DATA!$D$2:$D$500,A346)=0,"CEK SKU tidak ada di DATA",IF(COUNT(C346:E346)&lt;3,"CEK dimensi belum lengkap",IF(OR(C346&lt;=0,D346&lt;=0,E346&lt;=0),"CEK dimensi harus lebih dari 0",IF(COUNTIF($A$2:$A$500,A346)&gt;1,"CEK SKU dobel","OK")))))</f>
        <v/>
      </c>
    </row>
    <row r="347">
      <c r="A347" s="10" t="n"/>
      <c r="B347" s="12">
        <f>IF(A347="","",IFERROR(INDEX(DATA!$E$2:$E$500,MATCH(A347,DATA!$D$2:$D$500,0)),""))</f>
        <v/>
      </c>
      <c r="C347" s="10" t="n"/>
      <c r="D347" s="10" t="n"/>
      <c r="E347" s="10" t="n"/>
      <c r="F347" s="10" t="n"/>
      <c r="G347" s="10" t="n"/>
      <c r="H347" s="10" t="n"/>
      <c r="I347" s="10" t="n"/>
      <c r="J347" s="12">
        <f>IF(OR(A347="",COUNT(C347:E347)&lt;3),"",IFERROR(MAX(0,FLOOR(($N$2-$N$3)/E347,1))*MAX(1,MIN(IF(G347="",1,G347),FLOOR($N$4/D347,1)))*IF(F347="",1,F347),""))</f>
        <v/>
      </c>
      <c r="K347" s="12">
        <f>IF(A347="","",IF(COUNTIF(DATA!$D$2:$D$500,A347)=0,"CEK SKU tidak ada di DATA",IF(COUNT(C347:E347)&lt;3,"CEK dimensi belum lengkap",IF(OR(C347&lt;=0,D347&lt;=0,E347&lt;=0),"CEK dimensi harus lebih dari 0",IF(COUNTIF($A$2:$A$500,A347)&gt;1,"CEK SKU dobel","OK")))))</f>
        <v/>
      </c>
    </row>
    <row r="348">
      <c r="A348" s="10" t="n"/>
      <c r="B348" s="12">
        <f>IF(A348="","",IFERROR(INDEX(DATA!$E$2:$E$500,MATCH(A348,DATA!$D$2:$D$500,0)),""))</f>
        <v/>
      </c>
      <c r="C348" s="10" t="n"/>
      <c r="D348" s="10" t="n"/>
      <c r="E348" s="10" t="n"/>
      <c r="F348" s="10" t="n"/>
      <c r="G348" s="10" t="n"/>
      <c r="H348" s="10" t="n"/>
      <c r="I348" s="10" t="n"/>
      <c r="J348" s="12">
        <f>IF(OR(A348="",COUNT(C348:E348)&lt;3),"",IFERROR(MAX(0,FLOOR(($N$2-$N$3)/E348,1))*MAX(1,MIN(IF(G348="",1,G348),FLOOR($N$4/D348,1)))*IF(F348="",1,F348),""))</f>
        <v/>
      </c>
      <c r="K348" s="12">
        <f>IF(A348="","",IF(COUNTIF(DATA!$D$2:$D$500,A348)=0,"CEK SKU tidak ada di DATA",IF(COUNT(C348:E348)&lt;3,"CEK dimensi belum lengkap",IF(OR(C348&lt;=0,D348&lt;=0,E348&lt;=0),"CEK dimensi harus lebih dari 0",IF(COUNTIF($A$2:$A$500,A348)&gt;1,"CEK SKU dobel","OK")))))</f>
        <v/>
      </c>
    </row>
    <row r="349">
      <c r="A349" s="10" t="n"/>
      <c r="B349" s="12">
        <f>IF(A349="","",IFERROR(INDEX(DATA!$E$2:$E$500,MATCH(A349,DATA!$D$2:$D$500,0)),""))</f>
        <v/>
      </c>
      <c r="C349" s="10" t="n"/>
      <c r="D349" s="10" t="n"/>
      <c r="E349" s="10" t="n"/>
      <c r="F349" s="10" t="n"/>
      <c r="G349" s="10" t="n"/>
      <c r="H349" s="10" t="n"/>
      <c r="I349" s="10" t="n"/>
      <c r="J349" s="12">
        <f>IF(OR(A349="",COUNT(C349:E349)&lt;3),"",IFERROR(MAX(0,FLOOR(($N$2-$N$3)/E349,1))*MAX(1,MIN(IF(G349="",1,G349),FLOOR($N$4/D349,1)))*IF(F349="",1,F349),""))</f>
        <v/>
      </c>
      <c r="K349" s="12">
        <f>IF(A349="","",IF(COUNTIF(DATA!$D$2:$D$500,A349)=0,"CEK SKU tidak ada di DATA",IF(COUNT(C349:E349)&lt;3,"CEK dimensi belum lengkap",IF(OR(C349&lt;=0,D349&lt;=0,E349&lt;=0),"CEK dimensi harus lebih dari 0",IF(COUNTIF($A$2:$A$500,A349)&gt;1,"CEK SKU dobel","OK")))))</f>
        <v/>
      </c>
    </row>
    <row r="350">
      <c r="A350" s="10" t="n"/>
      <c r="B350" s="12">
        <f>IF(A350="","",IFERROR(INDEX(DATA!$E$2:$E$500,MATCH(A350,DATA!$D$2:$D$500,0)),""))</f>
        <v/>
      </c>
      <c r="C350" s="10" t="n"/>
      <c r="D350" s="10" t="n"/>
      <c r="E350" s="10" t="n"/>
      <c r="F350" s="10" t="n"/>
      <c r="G350" s="10" t="n"/>
      <c r="H350" s="10" t="n"/>
      <c r="I350" s="10" t="n"/>
      <c r="J350" s="12">
        <f>IF(OR(A350="",COUNT(C350:E350)&lt;3),"",IFERROR(MAX(0,FLOOR(($N$2-$N$3)/E350,1))*MAX(1,MIN(IF(G350="",1,G350),FLOOR($N$4/D350,1)))*IF(F350="",1,F350),""))</f>
        <v/>
      </c>
      <c r="K350" s="12">
        <f>IF(A350="","",IF(COUNTIF(DATA!$D$2:$D$500,A350)=0,"CEK SKU tidak ada di DATA",IF(COUNT(C350:E350)&lt;3,"CEK dimensi belum lengkap",IF(OR(C350&lt;=0,D350&lt;=0,E350&lt;=0),"CEK dimensi harus lebih dari 0",IF(COUNTIF($A$2:$A$500,A350)&gt;1,"CEK SKU dobel","OK")))))</f>
        <v/>
      </c>
    </row>
    <row r="351">
      <c r="A351" s="10" t="n"/>
      <c r="B351" s="12">
        <f>IF(A351="","",IFERROR(INDEX(DATA!$E$2:$E$500,MATCH(A351,DATA!$D$2:$D$500,0)),""))</f>
        <v/>
      </c>
      <c r="C351" s="10" t="n"/>
      <c r="D351" s="10" t="n"/>
      <c r="E351" s="10" t="n"/>
      <c r="F351" s="10" t="n"/>
      <c r="G351" s="10" t="n"/>
      <c r="H351" s="10" t="n"/>
      <c r="I351" s="10" t="n"/>
      <c r="J351" s="12">
        <f>IF(OR(A351="",COUNT(C351:E351)&lt;3),"",IFERROR(MAX(0,FLOOR(($N$2-$N$3)/E351,1))*MAX(1,MIN(IF(G351="",1,G351),FLOOR($N$4/D351,1)))*IF(F351="",1,F351),""))</f>
        <v/>
      </c>
      <c r="K351" s="12">
        <f>IF(A351="","",IF(COUNTIF(DATA!$D$2:$D$500,A351)=0,"CEK SKU tidak ada di DATA",IF(COUNT(C351:E351)&lt;3,"CEK dimensi belum lengkap",IF(OR(C351&lt;=0,D351&lt;=0,E351&lt;=0),"CEK dimensi harus lebih dari 0",IF(COUNTIF($A$2:$A$500,A351)&gt;1,"CEK SKU dobel","OK")))))</f>
        <v/>
      </c>
    </row>
    <row r="352">
      <c r="A352" s="10" t="n"/>
      <c r="B352" s="12">
        <f>IF(A352="","",IFERROR(INDEX(DATA!$E$2:$E$500,MATCH(A352,DATA!$D$2:$D$500,0)),""))</f>
        <v/>
      </c>
      <c r="C352" s="10" t="n"/>
      <c r="D352" s="10" t="n"/>
      <c r="E352" s="10" t="n"/>
      <c r="F352" s="10" t="n"/>
      <c r="G352" s="10" t="n"/>
      <c r="H352" s="10" t="n"/>
      <c r="I352" s="10" t="n"/>
      <c r="J352" s="12">
        <f>IF(OR(A352="",COUNT(C352:E352)&lt;3),"",IFERROR(MAX(0,FLOOR(($N$2-$N$3)/E352,1))*MAX(1,MIN(IF(G352="",1,G352),FLOOR($N$4/D352,1)))*IF(F352="",1,F352),""))</f>
        <v/>
      </c>
      <c r="K352" s="12">
        <f>IF(A352="","",IF(COUNTIF(DATA!$D$2:$D$500,A352)=0,"CEK SKU tidak ada di DATA",IF(COUNT(C352:E352)&lt;3,"CEK dimensi belum lengkap",IF(OR(C352&lt;=0,D352&lt;=0,E352&lt;=0),"CEK dimensi harus lebih dari 0",IF(COUNTIF($A$2:$A$500,A352)&gt;1,"CEK SKU dobel","OK")))))</f>
        <v/>
      </c>
    </row>
    <row r="353">
      <c r="A353" s="10" t="n"/>
      <c r="B353" s="12">
        <f>IF(A353="","",IFERROR(INDEX(DATA!$E$2:$E$500,MATCH(A353,DATA!$D$2:$D$500,0)),""))</f>
        <v/>
      </c>
      <c r="C353" s="10" t="n"/>
      <c r="D353" s="10" t="n"/>
      <c r="E353" s="10" t="n"/>
      <c r="F353" s="10" t="n"/>
      <c r="G353" s="10" t="n"/>
      <c r="H353" s="10" t="n"/>
      <c r="I353" s="10" t="n"/>
      <c r="J353" s="12">
        <f>IF(OR(A353="",COUNT(C353:E353)&lt;3),"",IFERROR(MAX(0,FLOOR(($N$2-$N$3)/E353,1))*MAX(1,MIN(IF(G353="",1,G353),FLOOR($N$4/D353,1)))*IF(F353="",1,F353),""))</f>
        <v/>
      </c>
      <c r="K353" s="12">
        <f>IF(A353="","",IF(COUNTIF(DATA!$D$2:$D$500,A353)=0,"CEK SKU tidak ada di DATA",IF(COUNT(C353:E353)&lt;3,"CEK dimensi belum lengkap",IF(OR(C353&lt;=0,D353&lt;=0,E353&lt;=0),"CEK dimensi harus lebih dari 0",IF(COUNTIF($A$2:$A$500,A353)&gt;1,"CEK SKU dobel","OK")))))</f>
        <v/>
      </c>
    </row>
    <row r="354">
      <c r="A354" s="10" t="n"/>
      <c r="B354" s="12">
        <f>IF(A354="","",IFERROR(INDEX(DATA!$E$2:$E$500,MATCH(A354,DATA!$D$2:$D$500,0)),""))</f>
        <v/>
      </c>
      <c r="C354" s="10" t="n"/>
      <c r="D354" s="10" t="n"/>
      <c r="E354" s="10" t="n"/>
      <c r="F354" s="10" t="n"/>
      <c r="G354" s="10" t="n"/>
      <c r="H354" s="10" t="n"/>
      <c r="I354" s="10" t="n"/>
      <c r="J354" s="12">
        <f>IF(OR(A354="",COUNT(C354:E354)&lt;3),"",IFERROR(MAX(0,FLOOR(($N$2-$N$3)/E354,1))*MAX(1,MIN(IF(G354="",1,G354),FLOOR($N$4/D354,1)))*IF(F354="",1,F354),""))</f>
        <v/>
      </c>
      <c r="K354" s="12">
        <f>IF(A354="","",IF(COUNTIF(DATA!$D$2:$D$500,A354)=0,"CEK SKU tidak ada di DATA",IF(COUNT(C354:E354)&lt;3,"CEK dimensi belum lengkap",IF(OR(C354&lt;=0,D354&lt;=0,E354&lt;=0),"CEK dimensi harus lebih dari 0",IF(COUNTIF($A$2:$A$500,A354)&gt;1,"CEK SKU dobel","OK")))))</f>
        <v/>
      </c>
    </row>
    <row r="355">
      <c r="A355" s="10" t="n"/>
      <c r="B355" s="12">
        <f>IF(A355="","",IFERROR(INDEX(DATA!$E$2:$E$500,MATCH(A355,DATA!$D$2:$D$500,0)),""))</f>
        <v/>
      </c>
      <c r="C355" s="10" t="n"/>
      <c r="D355" s="10" t="n"/>
      <c r="E355" s="10" t="n"/>
      <c r="F355" s="10" t="n"/>
      <c r="G355" s="10" t="n"/>
      <c r="H355" s="10" t="n"/>
      <c r="I355" s="10" t="n"/>
      <c r="J355" s="12">
        <f>IF(OR(A355="",COUNT(C355:E355)&lt;3),"",IFERROR(MAX(0,FLOOR(($N$2-$N$3)/E355,1))*MAX(1,MIN(IF(G355="",1,G355),FLOOR($N$4/D355,1)))*IF(F355="",1,F355),""))</f>
        <v/>
      </c>
      <c r="K355" s="12">
        <f>IF(A355="","",IF(COUNTIF(DATA!$D$2:$D$500,A355)=0,"CEK SKU tidak ada di DATA",IF(COUNT(C355:E355)&lt;3,"CEK dimensi belum lengkap",IF(OR(C355&lt;=0,D355&lt;=0,E355&lt;=0),"CEK dimensi harus lebih dari 0",IF(COUNTIF($A$2:$A$500,A355)&gt;1,"CEK SKU dobel","OK")))))</f>
        <v/>
      </c>
    </row>
    <row r="356">
      <c r="A356" s="10" t="n"/>
      <c r="B356" s="12">
        <f>IF(A356="","",IFERROR(INDEX(DATA!$E$2:$E$500,MATCH(A356,DATA!$D$2:$D$500,0)),""))</f>
        <v/>
      </c>
      <c r="C356" s="10" t="n"/>
      <c r="D356" s="10" t="n"/>
      <c r="E356" s="10" t="n"/>
      <c r="F356" s="10" t="n"/>
      <c r="G356" s="10" t="n"/>
      <c r="H356" s="10" t="n"/>
      <c r="I356" s="10" t="n"/>
      <c r="J356" s="12">
        <f>IF(OR(A356="",COUNT(C356:E356)&lt;3),"",IFERROR(MAX(0,FLOOR(($N$2-$N$3)/E356,1))*MAX(1,MIN(IF(G356="",1,G356),FLOOR($N$4/D356,1)))*IF(F356="",1,F356),""))</f>
        <v/>
      </c>
      <c r="K356" s="12">
        <f>IF(A356="","",IF(COUNTIF(DATA!$D$2:$D$500,A356)=0,"CEK SKU tidak ada di DATA",IF(COUNT(C356:E356)&lt;3,"CEK dimensi belum lengkap",IF(OR(C356&lt;=0,D356&lt;=0,E356&lt;=0),"CEK dimensi harus lebih dari 0",IF(COUNTIF($A$2:$A$500,A356)&gt;1,"CEK SKU dobel","OK")))))</f>
        <v/>
      </c>
    </row>
    <row r="357">
      <c r="A357" s="10" t="n"/>
      <c r="B357" s="12">
        <f>IF(A357="","",IFERROR(INDEX(DATA!$E$2:$E$500,MATCH(A357,DATA!$D$2:$D$500,0)),""))</f>
        <v/>
      </c>
      <c r="C357" s="10" t="n"/>
      <c r="D357" s="10" t="n"/>
      <c r="E357" s="10" t="n"/>
      <c r="F357" s="10" t="n"/>
      <c r="G357" s="10" t="n"/>
      <c r="H357" s="10" t="n"/>
      <c r="I357" s="10" t="n"/>
      <c r="J357" s="12">
        <f>IF(OR(A357="",COUNT(C357:E357)&lt;3),"",IFERROR(MAX(0,FLOOR(($N$2-$N$3)/E357,1))*MAX(1,MIN(IF(G357="",1,G357),FLOOR($N$4/D357,1)))*IF(F357="",1,F357),""))</f>
        <v/>
      </c>
      <c r="K357" s="12">
        <f>IF(A357="","",IF(COUNTIF(DATA!$D$2:$D$500,A357)=0,"CEK SKU tidak ada di DATA",IF(COUNT(C357:E357)&lt;3,"CEK dimensi belum lengkap",IF(OR(C357&lt;=0,D357&lt;=0,E357&lt;=0),"CEK dimensi harus lebih dari 0",IF(COUNTIF($A$2:$A$500,A357)&gt;1,"CEK SKU dobel","OK")))))</f>
        <v/>
      </c>
    </row>
    <row r="358">
      <c r="A358" s="10" t="n"/>
      <c r="B358" s="12">
        <f>IF(A358="","",IFERROR(INDEX(DATA!$E$2:$E$500,MATCH(A358,DATA!$D$2:$D$500,0)),""))</f>
        <v/>
      </c>
      <c r="C358" s="10" t="n"/>
      <c r="D358" s="10" t="n"/>
      <c r="E358" s="10" t="n"/>
      <c r="F358" s="10" t="n"/>
      <c r="G358" s="10" t="n"/>
      <c r="H358" s="10" t="n"/>
      <c r="I358" s="10" t="n"/>
      <c r="J358" s="12">
        <f>IF(OR(A358="",COUNT(C358:E358)&lt;3),"",IFERROR(MAX(0,FLOOR(($N$2-$N$3)/E358,1))*MAX(1,MIN(IF(G358="",1,G358),FLOOR($N$4/D358,1)))*IF(F358="",1,F358),""))</f>
        <v/>
      </c>
      <c r="K358" s="12">
        <f>IF(A358="","",IF(COUNTIF(DATA!$D$2:$D$500,A358)=0,"CEK SKU tidak ada di DATA",IF(COUNT(C358:E358)&lt;3,"CEK dimensi belum lengkap",IF(OR(C358&lt;=0,D358&lt;=0,E358&lt;=0),"CEK dimensi harus lebih dari 0",IF(COUNTIF($A$2:$A$500,A358)&gt;1,"CEK SKU dobel","OK")))))</f>
        <v/>
      </c>
    </row>
    <row r="359">
      <c r="A359" s="10" t="n"/>
      <c r="B359" s="12">
        <f>IF(A359="","",IFERROR(INDEX(DATA!$E$2:$E$500,MATCH(A359,DATA!$D$2:$D$500,0)),""))</f>
        <v/>
      </c>
      <c r="C359" s="10" t="n"/>
      <c r="D359" s="10" t="n"/>
      <c r="E359" s="10" t="n"/>
      <c r="F359" s="10" t="n"/>
      <c r="G359" s="10" t="n"/>
      <c r="H359" s="10" t="n"/>
      <c r="I359" s="10" t="n"/>
      <c r="J359" s="12">
        <f>IF(OR(A359="",COUNT(C359:E359)&lt;3),"",IFERROR(MAX(0,FLOOR(($N$2-$N$3)/E359,1))*MAX(1,MIN(IF(G359="",1,G359),FLOOR($N$4/D359,1)))*IF(F359="",1,F359),""))</f>
        <v/>
      </c>
      <c r="K359" s="12">
        <f>IF(A359="","",IF(COUNTIF(DATA!$D$2:$D$500,A359)=0,"CEK SKU tidak ada di DATA",IF(COUNT(C359:E359)&lt;3,"CEK dimensi belum lengkap",IF(OR(C359&lt;=0,D359&lt;=0,E359&lt;=0),"CEK dimensi harus lebih dari 0",IF(COUNTIF($A$2:$A$500,A359)&gt;1,"CEK SKU dobel","OK")))))</f>
        <v/>
      </c>
    </row>
    <row r="360">
      <c r="A360" s="10" t="n"/>
      <c r="B360" s="12">
        <f>IF(A360="","",IFERROR(INDEX(DATA!$E$2:$E$500,MATCH(A360,DATA!$D$2:$D$500,0)),""))</f>
        <v/>
      </c>
      <c r="C360" s="10" t="n"/>
      <c r="D360" s="10" t="n"/>
      <c r="E360" s="10" t="n"/>
      <c r="F360" s="10" t="n"/>
      <c r="G360" s="10" t="n"/>
      <c r="H360" s="10" t="n"/>
      <c r="I360" s="10" t="n"/>
      <c r="J360" s="12">
        <f>IF(OR(A360="",COUNT(C360:E360)&lt;3),"",IFERROR(MAX(0,FLOOR(($N$2-$N$3)/E360,1))*MAX(1,MIN(IF(G360="",1,G360),FLOOR($N$4/D360,1)))*IF(F360="",1,F360),""))</f>
        <v/>
      </c>
      <c r="K360" s="12">
        <f>IF(A360="","",IF(COUNTIF(DATA!$D$2:$D$500,A360)=0,"CEK SKU tidak ada di DATA",IF(COUNT(C360:E360)&lt;3,"CEK dimensi belum lengkap",IF(OR(C360&lt;=0,D360&lt;=0,E360&lt;=0),"CEK dimensi harus lebih dari 0",IF(COUNTIF($A$2:$A$500,A360)&gt;1,"CEK SKU dobel","OK")))))</f>
        <v/>
      </c>
    </row>
    <row r="361">
      <c r="A361" s="10" t="n"/>
      <c r="B361" s="12">
        <f>IF(A361="","",IFERROR(INDEX(DATA!$E$2:$E$500,MATCH(A361,DATA!$D$2:$D$500,0)),""))</f>
        <v/>
      </c>
      <c r="C361" s="10" t="n"/>
      <c r="D361" s="10" t="n"/>
      <c r="E361" s="10" t="n"/>
      <c r="F361" s="10" t="n"/>
      <c r="G361" s="10" t="n"/>
      <c r="H361" s="10" t="n"/>
      <c r="I361" s="10" t="n"/>
      <c r="J361" s="12">
        <f>IF(OR(A361="",COUNT(C361:E361)&lt;3),"",IFERROR(MAX(0,FLOOR(($N$2-$N$3)/E361,1))*MAX(1,MIN(IF(G361="",1,G361),FLOOR($N$4/D361,1)))*IF(F361="",1,F361),""))</f>
        <v/>
      </c>
      <c r="K361" s="12">
        <f>IF(A361="","",IF(COUNTIF(DATA!$D$2:$D$500,A361)=0,"CEK SKU tidak ada di DATA",IF(COUNT(C361:E361)&lt;3,"CEK dimensi belum lengkap",IF(OR(C361&lt;=0,D361&lt;=0,E361&lt;=0),"CEK dimensi harus lebih dari 0",IF(COUNTIF($A$2:$A$500,A361)&gt;1,"CEK SKU dobel","OK")))))</f>
        <v/>
      </c>
    </row>
    <row r="362">
      <c r="A362" s="10" t="n"/>
      <c r="B362" s="12">
        <f>IF(A362="","",IFERROR(INDEX(DATA!$E$2:$E$500,MATCH(A362,DATA!$D$2:$D$500,0)),""))</f>
        <v/>
      </c>
      <c r="C362" s="10" t="n"/>
      <c r="D362" s="10" t="n"/>
      <c r="E362" s="10" t="n"/>
      <c r="F362" s="10" t="n"/>
      <c r="G362" s="10" t="n"/>
      <c r="H362" s="10" t="n"/>
      <c r="I362" s="10" t="n"/>
      <c r="J362" s="12">
        <f>IF(OR(A362="",COUNT(C362:E362)&lt;3),"",IFERROR(MAX(0,FLOOR(($N$2-$N$3)/E362,1))*MAX(1,MIN(IF(G362="",1,G362),FLOOR($N$4/D362,1)))*IF(F362="",1,F362),""))</f>
        <v/>
      </c>
      <c r="K362" s="12">
        <f>IF(A362="","",IF(COUNTIF(DATA!$D$2:$D$500,A362)=0,"CEK SKU tidak ada di DATA",IF(COUNT(C362:E362)&lt;3,"CEK dimensi belum lengkap",IF(OR(C362&lt;=0,D362&lt;=0,E362&lt;=0),"CEK dimensi harus lebih dari 0",IF(COUNTIF($A$2:$A$500,A362)&gt;1,"CEK SKU dobel","OK")))))</f>
        <v/>
      </c>
    </row>
    <row r="363">
      <c r="A363" s="10" t="n"/>
      <c r="B363" s="12">
        <f>IF(A363="","",IFERROR(INDEX(DATA!$E$2:$E$500,MATCH(A363,DATA!$D$2:$D$500,0)),""))</f>
        <v/>
      </c>
      <c r="C363" s="10" t="n"/>
      <c r="D363" s="10" t="n"/>
      <c r="E363" s="10" t="n"/>
      <c r="F363" s="10" t="n"/>
      <c r="G363" s="10" t="n"/>
      <c r="H363" s="10" t="n"/>
      <c r="I363" s="10" t="n"/>
      <c r="J363" s="12">
        <f>IF(OR(A363="",COUNT(C363:E363)&lt;3),"",IFERROR(MAX(0,FLOOR(($N$2-$N$3)/E363,1))*MAX(1,MIN(IF(G363="",1,G363),FLOOR($N$4/D363,1)))*IF(F363="",1,F363),""))</f>
        <v/>
      </c>
      <c r="K363" s="12">
        <f>IF(A363="","",IF(COUNTIF(DATA!$D$2:$D$500,A363)=0,"CEK SKU tidak ada di DATA",IF(COUNT(C363:E363)&lt;3,"CEK dimensi belum lengkap",IF(OR(C363&lt;=0,D363&lt;=0,E363&lt;=0),"CEK dimensi harus lebih dari 0",IF(COUNTIF($A$2:$A$500,A363)&gt;1,"CEK SKU dobel","OK")))))</f>
        <v/>
      </c>
    </row>
    <row r="364">
      <c r="A364" s="10" t="n"/>
      <c r="B364" s="12">
        <f>IF(A364="","",IFERROR(INDEX(DATA!$E$2:$E$500,MATCH(A364,DATA!$D$2:$D$500,0)),""))</f>
        <v/>
      </c>
      <c r="C364" s="10" t="n"/>
      <c r="D364" s="10" t="n"/>
      <c r="E364" s="10" t="n"/>
      <c r="F364" s="10" t="n"/>
      <c r="G364" s="10" t="n"/>
      <c r="H364" s="10" t="n"/>
      <c r="I364" s="10" t="n"/>
      <c r="J364" s="12">
        <f>IF(OR(A364="",COUNT(C364:E364)&lt;3),"",IFERROR(MAX(0,FLOOR(($N$2-$N$3)/E364,1))*MAX(1,MIN(IF(G364="",1,G364),FLOOR($N$4/D364,1)))*IF(F364="",1,F364),""))</f>
        <v/>
      </c>
      <c r="K364" s="12">
        <f>IF(A364="","",IF(COUNTIF(DATA!$D$2:$D$500,A364)=0,"CEK SKU tidak ada di DATA",IF(COUNT(C364:E364)&lt;3,"CEK dimensi belum lengkap",IF(OR(C364&lt;=0,D364&lt;=0,E364&lt;=0),"CEK dimensi harus lebih dari 0",IF(COUNTIF($A$2:$A$500,A364)&gt;1,"CEK SKU dobel","OK")))))</f>
        <v/>
      </c>
    </row>
    <row r="365">
      <c r="A365" s="10" t="n"/>
      <c r="B365" s="12">
        <f>IF(A365="","",IFERROR(INDEX(DATA!$E$2:$E$500,MATCH(A365,DATA!$D$2:$D$500,0)),""))</f>
        <v/>
      </c>
      <c r="C365" s="10" t="n"/>
      <c r="D365" s="10" t="n"/>
      <c r="E365" s="10" t="n"/>
      <c r="F365" s="10" t="n"/>
      <c r="G365" s="10" t="n"/>
      <c r="H365" s="10" t="n"/>
      <c r="I365" s="10" t="n"/>
      <c r="J365" s="12">
        <f>IF(OR(A365="",COUNT(C365:E365)&lt;3),"",IFERROR(MAX(0,FLOOR(($N$2-$N$3)/E365,1))*MAX(1,MIN(IF(G365="",1,G365),FLOOR($N$4/D365,1)))*IF(F365="",1,F365),""))</f>
        <v/>
      </c>
      <c r="K365" s="12">
        <f>IF(A365="","",IF(COUNTIF(DATA!$D$2:$D$500,A365)=0,"CEK SKU tidak ada di DATA",IF(COUNT(C365:E365)&lt;3,"CEK dimensi belum lengkap",IF(OR(C365&lt;=0,D365&lt;=0,E365&lt;=0),"CEK dimensi harus lebih dari 0",IF(COUNTIF($A$2:$A$500,A365)&gt;1,"CEK SKU dobel","OK")))))</f>
        <v/>
      </c>
    </row>
    <row r="366">
      <c r="A366" s="10" t="n"/>
      <c r="B366" s="12">
        <f>IF(A366="","",IFERROR(INDEX(DATA!$E$2:$E$500,MATCH(A366,DATA!$D$2:$D$500,0)),""))</f>
        <v/>
      </c>
      <c r="C366" s="10" t="n"/>
      <c r="D366" s="10" t="n"/>
      <c r="E366" s="10" t="n"/>
      <c r="F366" s="10" t="n"/>
      <c r="G366" s="10" t="n"/>
      <c r="H366" s="10" t="n"/>
      <c r="I366" s="10" t="n"/>
      <c r="J366" s="12">
        <f>IF(OR(A366="",COUNT(C366:E366)&lt;3),"",IFERROR(MAX(0,FLOOR(($N$2-$N$3)/E366,1))*MAX(1,MIN(IF(G366="",1,G366),FLOOR($N$4/D366,1)))*IF(F366="",1,F366),""))</f>
        <v/>
      </c>
      <c r="K366" s="12">
        <f>IF(A366="","",IF(COUNTIF(DATA!$D$2:$D$500,A366)=0,"CEK SKU tidak ada di DATA",IF(COUNT(C366:E366)&lt;3,"CEK dimensi belum lengkap",IF(OR(C366&lt;=0,D366&lt;=0,E366&lt;=0),"CEK dimensi harus lebih dari 0",IF(COUNTIF($A$2:$A$500,A366)&gt;1,"CEK SKU dobel","OK")))))</f>
        <v/>
      </c>
    </row>
    <row r="367">
      <c r="A367" s="10" t="n"/>
      <c r="B367" s="12">
        <f>IF(A367="","",IFERROR(INDEX(DATA!$E$2:$E$500,MATCH(A367,DATA!$D$2:$D$500,0)),""))</f>
        <v/>
      </c>
      <c r="C367" s="10" t="n"/>
      <c r="D367" s="10" t="n"/>
      <c r="E367" s="10" t="n"/>
      <c r="F367" s="10" t="n"/>
      <c r="G367" s="10" t="n"/>
      <c r="H367" s="10" t="n"/>
      <c r="I367" s="10" t="n"/>
      <c r="J367" s="12">
        <f>IF(OR(A367="",COUNT(C367:E367)&lt;3),"",IFERROR(MAX(0,FLOOR(($N$2-$N$3)/E367,1))*MAX(1,MIN(IF(G367="",1,G367),FLOOR($N$4/D367,1)))*IF(F367="",1,F367),""))</f>
        <v/>
      </c>
      <c r="K367" s="12">
        <f>IF(A367="","",IF(COUNTIF(DATA!$D$2:$D$500,A367)=0,"CEK SKU tidak ada di DATA",IF(COUNT(C367:E367)&lt;3,"CEK dimensi belum lengkap",IF(OR(C367&lt;=0,D367&lt;=0,E367&lt;=0),"CEK dimensi harus lebih dari 0",IF(COUNTIF($A$2:$A$500,A367)&gt;1,"CEK SKU dobel","OK")))))</f>
        <v/>
      </c>
    </row>
    <row r="368">
      <c r="A368" s="10" t="n"/>
      <c r="B368" s="12">
        <f>IF(A368="","",IFERROR(INDEX(DATA!$E$2:$E$500,MATCH(A368,DATA!$D$2:$D$500,0)),""))</f>
        <v/>
      </c>
      <c r="C368" s="10" t="n"/>
      <c r="D368" s="10" t="n"/>
      <c r="E368" s="10" t="n"/>
      <c r="F368" s="10" t="n"/>
      <c r="G368" s="10" t="n"/>
      <c r="H368" s="10" t="n"/>
      <c r="I368" s="10" t="n"/>
      <c r="J368" s="12">
        <f>IF(OR(A368="",COUNT(C368:E368)&lt;3),"",IFERROR(MAX(0,FLOOR(($N$2-$N$3)/E368,1))*MAX(1,MIN(IF(G368="",1,G368),FLOOR($N$4/D368,1)))*IF(F368="",1,F368),""))</f>
        <v/>
      </c>
      <c r="K368" s="12">
        <f>IF(A368="","",IF(COUNTIF(DATA!$D$2:$D$500,A368)=0,"CEK SKU tidak ada di DATA",IF(COUNT(C368:E368)&lt;3,"CEK dimensi belum lengkap",IF(OR(C368&lt;=0,D368&lt;=0,E368&lt;=0),"CEK dimensi harus lebih dari 0",IF(COUNTIF($A$2:$A$500,A368)&gt;1,"CEK SKU dobel","OK")))))</f>
        <v/>
      </c>
    </row>
    <row r="369">
      <c r="A369" s="10" t="n"/>
      <c r="B369" s="12">
        <f>IF(A369="","",IFERROR(INDEX(DATA!$E$2:$E$500,MATCH(A369,DATA!$D$2:$D$500,0)),""))</f>
        <v/>
      </c>
      <c r="C369" s="10" t="n"/>
      <c r="D369" s="10" t="n"/>
      <c r="E369" s="10" t="n"/>
      <c r="F369" s="10" t="n"/>
      <c r="G369" s="10" t="n"/>
      <c r="H369" s="10" t="n"/>
      <c r="I369" s="10" t="n"/>
      <c r="J369" s="12">
        <f>IF(OR(A369="",COUNT(C369:E369)&lt;3),"",IFERROR(MAX(0,FLOOR(($N$2-$N$3)/E369,1))*MAX(1,MIN(IF(G369="",1,G369),FLOOR($N$4/D369,1)))*IF(F369="",1,F369),""))</f>
        <v/>
      </c>
      <c r="K369" s="12">
        <f>IF(A369="","",IF(COUNTIF(DATA!$D$2:$D$500,A369)=0,"CEK SKU tidak ada di DATA",IF(COUNT(C369:E369)&lt;3,"CEK dimensi belum lengkap",IF(OR(C369&lt;=0,D369&lt;=0,E369&lt;=0),"CEK dimensi harus lebih dari 0",IF(COUNTIF($A$2:$A$500,A369)&gt;1,"CEK SKU dobel","OK")))))</f>
        <v/>
      </c>
    </row>
    <row r="370">
      <c r="A370" s="10" t="n"/>
      <c r="B370" s="12">
        <f>IF(A370="","",IFERROR(INDEX(DATA!$E$2:$E$500,MATCH(A370,DATA!$D$2:$D$500,0)),""))</f>
        <v/>
      </c>
      <c r="C370" s="10" t="n"/>
      <c r="D370" s="10" t="n"/>
      <c r="E370" s="10" t="n"/>
      <c r="F370" s="10" t="n"/>
      <c r="G370" s="10" t="n"/>
      <c r="H370" s="10" t="n"/>
      <c r="I370" s="10" t="n"/>
      <c r="J370" s="12">
        <f>IF(OR(A370="",COUNT(C370:E370)&lt;3),"",IFERROR(MAX(0,FLOOR(($N$2-$N$3)/E370,1))*MAX(1,MIN(IF(G370="",1,G370),FLOOR($N$4/D370,1)))*IF(F370="",1,F370),""))</f>
        <v/>
      </c>
      <c r="K370" s="12">
        <f>IF(A370="","",IF(COUNTIF(DATA!$D$2:$D$500,A370)=0,"CEK SKU tidak ada di DATA",IF(COUNT(C370:E370)&lt;3,"CEK dimensi belum lengkap",IF(OR(C370&lt;=0,D370&lt;=0,E370&lt;=0),"CEK dimensi harus lebih dari 0",IF(COUNTIF($A$2:$A$500,A370)&gt;1,"CEK SKU dobel","OK")))))</f>
        <v/>
      </c>
    </row>
    <row r="371">
      <c r="A371" s="10" t="n"/>
      <c r="B371" s="12">
        <f>IF(A371="","",IFERROR(INDEX(DATA!$E$2:$E$500,MATCH(A371,DATA!$D$2:$D$500,0)),""))</f>
        <v/>
      </c>
      <c r="C371" s="10" t="n"/>
      <c r="D371" s="10" t="n"/>
      <c r="E371" s="10" t="n"/>
      <c r="F371" s="10" t="n"/>
      <c r="G371" s="10" t="n"/>
      <c r="H371" s="10" t="n"/>
      <c r="I371" s="10" t="n"/>
      <c r="J371" s="12">
        <f>IF(OR(A371="",COUNT(C371:E371)&lt;3),"",IFERROR(MAX(0,FLOOR(($N$2-$N$3)/E371,1))*MAX(1,MIN(IF(G371="",1,G371),FLOOR($N$4/D371,1)))*IF(F371="",1,F371),""))</f>
        <v/>
      </c>
      <c r="K371" s="12">
        <f>IF(A371="","",IF(COUNTIF(DATA!$D$2:$D$500,A371)=0,"CEK SKU tidak ada di DATA",IF(COUNT(C371:E371)&lt;3,"CEK dimensi belum lengkap",IF(OR(C371&lt;=0,D371&lt;=0,E371&lt;=0),"CEK dimensi harus lebih dari 0",IF(COUNTIF($A$2:$A$500,A371)&gt;1,"CEK SKU dobel","OK")))))</f>
        <v/>
      </c>
    </row>
    <row r="372">
      <c r="A372" s="10" t="n"/>
      <c r="B372" s="12">
        <f>IF(A372="","",IFERROR(INDEX(DATA!$E$2:$E$500,MATCH(A372,DATA!$D$2:$D$500,0)),""))</f>
        <v/>
      </c>
      <c r="C372" s="10" t="n"/>
      <c r="D372" s="10" t="n"/>
      <c r="E372" s="10" t="n"/>
      <c r="F372" s="10" t="n"/>
      <c r="G372" s="10" t="n"/>
      <c r="H372" s="10" t="n"/>
      <c r="I372" s="10" t="n"/>
      <c r="J372" s="12">
        <f>IF(OR(A372="",COUNT(C372:E372)&lt;3),"",IFERROR(MAX(0,FLOOR(($N$2-$N$3)/E372,1))*MAX(1,MIN(IF(G372="",1,G372),FLOOR($N$4/D372,1)))*IF(F372="",1,F372),""))</f>
        <v/>
      </c>
      <c r="K372" s="12">
        <f>IF(A372="","",IF(COUNTIF(DATA!$D$2:$D$500,A372)=0,"CEK SKU tidak ada di DATA",IF(COUNT(C372:E372)&lt;3,"CEK dimensi belum lengkap",IF(OR(C372&lt;=0,D372&lt;=0,E372&lt;=0),"CEK dimensi harus lebih dari 0",IF(COUNTIF($A$2:$A$500,A372)&gt;1,"CEK SKU dobel","OK")))))</f>
        <v/>
      </c>
    </row>
    <row r="373">
      <c r="A373" s="10" t="n"/>
      <c r="B373" s="12">
        <f>IF(A373="","",IFERROR(INDEX(DATA!$E$2:$E$500,MATCH(A373,DATA!$D$2:$D$500,0)),""))</f>
        <v/>
      </c>
      <c r="C373" s="10" t="n"/>
      <c r="D373" s="10" t="n"/>
      <c r="E373" s="10" t="n"/>
      <c r="F373" s="10" t="n"/>
      <c r="G373" s="10" t="n"/>
      <c r="H373" s="10" t="n"/>
      <c r="I373" s="10" t="n"/>
      <c r="J373" s="12">
        <f>IF(OR(A373="",COUNT(C373:E373)&lt;3),"",IFERROR(MAX(0,FLOOR(($N$2-$N$3)/E373,1))*MAX(1,MIN(IF(G373="",1,G373),FLOOR($N$4/D373,1)))*IF(F373="",1,F373),""))</f>
        <v/>
      </c>
      <c r="K373" s="12">
        <f>IF(A373="","",IF(COUNTIF(DATA!$D$2:$D$500,A373)=0,"CEK SKU tidak ada di DATA",IF(COUNT(C373:E373)&lt;3,"CEK dimensi belum lengkap",IF(OR(C373&lt;=0,D373&lt;=0,E373&lt;=0),"CEK dimensi harus lebih dari 0",IF(COUNTIF($A$2:$A$500,A373)&gt;1,"CEK SKU dobel","OK")))))</f>
        <v/>
      </c>
    </row>
    <row r="374">
      <c r="A374" s="10" t="n"/>
      <c r="B374" s="12">
        <f>IF(A374="","",IFERROR(INDEX(DATA!$E$2:$E$500,MATCH(A374,DATA!$D$2:$D$500,0)),""))</f>
        <v/>
      </c>
      <c r="C374" s="10" t="n"/>
      <c r="D374" s="10" t="n"/>
      <c r="E374" s="10" t="n"/>
      <c r="F374" s="10" t="n"/>
      <c r="G374" s="10" t="n"/>
      <c r="H374" s="10" t="n"/>
      <c r="I374" s="10" t="n"/>
      <c r="J374" s="12">
        <f>IF(OR(A374="",COUNT(C374:E374)&lt;3),"",IFERROR(MAX(0,FLOOR(($N$2-$N$3)/E374,1))*MAX(1,MIN(IF(G374="",1,G374),FLOOR($N$4/D374,1)))*IF(F374="",1,F374),""))</f>
        <v/>
      </c>
      <c r="K374" s="12">
        <f>IF(A374="","",IF(COUNTIF(DATA!$D$2:$D$500,A374)=0,"CEK SKU tidak ada di DATA",IF(COUNT(C374:E374)&lt;3,"CEK dimensi belum lengkap",IF(OR(C374&lt;=0,D374&lt;=0,E374&lt;=0),"CEK dimensi harus lebih dari 0",IF(COUNTIF($A$2:$A$500,A374)&gt;1,"CEK SKU dobel","OK")))))</f>
        <v/>
      </c>
    </row>
    <row r="375">
      <c r="A375" s="10" t="n"/>
      <c r="B375" s="12">
        <f>IF(A375="","",IFERROR(INDEX(DATA!$E$2:$E$500,MATCH(A375,DATA!$D$2:$D$500,0)),""))</f>
        <v/>
      </c>
      <c r="C375" s="10" t="n"/>
      <c r="D375" s="10" t="n"/>
      <c r="E375" s="10" t="n"/>
      <c r="F375" s="10" t="n"/>
      <c r="G375" s="10" t="n"/>
      <c r="H375" s="10" t="n"/>
      <c r="I375" s="10" t="n"/>
      <c r="J375" s="12">
        <f>IF(OR(A375="",COUNT(C375:E375)&lt;3),"",IFERROR(MAX(0,FLOOR(($N$2-$N$3)/E375,1))*MAX(1,MIN(IF(G375="",1,G375),FLOOR($N$4/D375,1)))*IF(F375="",1,F375),""))</f>
        <v/>
      </c>
      <c r="K375" s="12">
        <f>IF(A375="","",IF(COUNTIF(DATA!$D$2:$D$500,A375)=0,"CEK SKU tidak ada di DATA",IF(COUNT(C375:E375)&lt;3,"CEK dimensi belum lengkap",IF(OR(C375&lt;=0,D375&lt;=0,E375&lt;=0),"CEK dimensi harus lebih dari 0",IF(COUNTIF($A$2:$A$500,A375)&gt;1,"CEK SKU dobel","OK")))))</f>
        <v/>
      </c>
    </row>
    <row r="376">
      <c r="A376" s="10" t="n"/>
      <c r="B376" s="12">
        <f>IF(A376="","",IFERROR(INDEX(DATA!$E$2:$E$500,MATCH(A376,DATA!$D$2:$D$500,0)),""))</f>
        <v/>
      </c>
      <c r="C376" s="10" t="n"/>
      <c r="D376" s="10" t="n"/>
      <c r="E376" s="10" t="n"/>
      <c r="F376" s="10" t="n"/>
      <c r="G376" s="10" t="n"/>
      <c r="H376" s="10" t="n"/>
      <c r="I376" s="10" t="n"/>
      <c r="J376" s="12">
        <f>IF(OR(A376="",COUNT(C376:E376)&lt;3),"",IFERROR(MAX(0,FLOOR(($N$2-$N$3)/E376,1))*MAX(1,MIN(IF(G376="",1,G376),FLOOR($N$4/D376,1)))*IF(F376="",1,F376),""))</f>
        <v/>
      </c>
      <c r="K376" s="12">
        <f>IF(A376="","",IF(COUNTIF(DATA!$D$2:$D$500,A376)=0,"CEK SKU tidak ada di DATA",IF(COUNT(C376:E376)&lt;3,"CEK dimensi belum lengkap",IF(OR(C376&lt;=0,D376&lt;=0,E376&lt;=0),"CEK dimensi harus lebih dari 0",IF(COUNTIF($A$2:$A$500,A376)&gt;1,"CEK SKU dobel","OK")))))</f>
        <v/>
      </c>
    </row>
    <row r="377">
      <c r="A377" s="10" t="n"/>
      <c r="B377" s="12">
        <f>IF(A377="","",IFERROR(INDEX(DATA!$E$2:$E$500,MATCH(A377,DATA!$D$2:$D$500,0)),""))</f>
        <v/>
      </c>
      <c r="C377" s="10" t="n"/>
      <c r="D377" s="10" t="n"/>
      <c r="E377" s="10" t="n"/>
      <c r="F377" s="10" t="n"/>
      <c r="G377" s="10" t="n"/>
      <c r="H377" s="10" t="n"/>
      <c r="I377" s="10" t="n"/>
      <c r="J377" s="12">
        <f>IF(OR(A377="",COUNT(C377:E377)&lt;3),"",IFERROR(MAX(0,FLOOR(($N$2-$N$3)/E377,1))*MAX(1,MIN(IF(G377="",1,G377),FLOOR($N$4/D377,1)))*IF(F377="",1,F377),""))</f>
        <v/>
      </c>
      <c r="K377" s="12">
        <f>IF(A377="","",IF(COUNTIF(DATA!$D$2:$D$500,A377)=0,"CEK SKU tidak ada di DATA",IF(COUNT(C377:E377)&lt;3,"CEK dimensi belum lengkap",IF(OR(C377&lt;=0,D377&lt;=0,E377&lt;=0),"CEK dimensi harus lebih dari 0",IF(COUNTIF($A$2:$A$500,A377)&gt;1,"CEK SKU dobel","OK")))))</f>
        <v/>
      </c>
    </row>
    <row r="378">
      <c r="A378" s="10" t="n"/>
      <c r="B378" s="12">
        <f>IF(A378="","",IFERROR(INDEX(DATA!$E$2:$E$500,MATCH(A378,DATA!$D$2:$D$500,0)),""))</f>
        <v/>
      </c>
      <c r="C378" s="10" t="n"/>
      <c r="D378" s="10" t="n"/>
      <c r="E378" s="10" t="n"/>
      <c r="F378" s="10" t="n"/>
      <c r="G378" s="10" t="n"/>
      <c r="H378" s="10" t="n"/>
      <c r="I378" s="10" t="n"/>
      <c r="J378" s="12">
        <f>IF(OR(A378="",COUNT(C378:E378)&lt;3),"",IFERROR(MAX(0,FLOOR(($N$2-$N$3)/E378,1))*MAX(1,MIN(IF(G378="",1,G378),FLOOR($N$4/D378,1)))*IF(F378="",1,F378),""))</f>
        <v/>
      </c>
      <c r="K378" s="12">
        <f>IF(A378="","",IF(COUNTIF(DATA!$D$2:$D$500,A378)=0,"CEK SKU tidak ada di DATA",IF(COUNT(C378:E378)&lt;3,"CEK dimensi belum lengkap",IF(OR(C378&lt;=0,D378&lt;=0,E378&lt;=0),"CEK dimensi harus lebih dari 0",IF(COUNTIF($A$2:$A$500,A378)&gt;1,"CEK SKU dobel","OK")))))</f>
        <v/>
      </c>
    </row>
    <row r="379">
      <c r="A379" s="10" t="n"/>
      <c r="B379" s="12">
        <f>IF(A379="","",IFERROR(INDEX(DATA!$E$2:$E$500,MATCH(A379,DATA!$D$2:$D$500,0)),""))</f>
        <v/>
      </c>
      <c r="C379" s="10" t="n"/>
      <c r="D379" s="10" t="n"/>
      <c r="E379" s="10" t="n"/>
      <c r="F379" s="10" t="n"/>
      <c r="G379" s="10" t="n"/>
      <c r="H379" s="10" t="n"/>
      <c r="I379" s="10" t="n"/>
      <c r="J379" s="12">
        <f>IF(OR(A379="",COUNT(C379:E379)&lt;3),"",IFERROR(MAX(0,FLOOR(($N$2-$N$3)/E379,1))*MAX(1,MIN(IF(G379="",1,G379),FLOOR($N$4/D379,1)))*IF(F379="",1,F379),""))</f>
        <v/>
      </c>
      <c r="K379" s="12">
        <f>IF(A379="","",IF(COUNTIF(DATA!$D$2:$D$500,A379)=0,"CEK SKU tidak ada di DATA",IF(COUNT(C379:E379)&lt;3,"CEK dimensi belum lengkap",IF(OR(C379&lt;=0,D379&lt;=0,E379&lt;=0),"CEK dimensi harus lebih dari 0",IF(COUNTIF($A$2:$A$500,A379)&gt;1,"CEK SKU dobel","OK")))))</f>
        <v/>
      </c>
    </row>
    <row r="380">
      <c r="A380" s="10" t="n"/>
      <c r="B380" s="12">
        <f>IF(A380="","",IFERROR(INDEX(DATA!$E$2:$E$500,MATCH(A380,DATA!$D$2:$D$500,0)),""))</f>
        <v/>
      </c>
      <c r="C380" s="10" t="n"/>
      <c r="D380" s="10" t="n"/>
      <c r="E380" s="10" t="n"/>
      <c r="F380" s="10" t="n"/>
      <c r="G380" s="10" t="n"/>
      <c r="H380" s="10" t="n"/>
      <c r="I380" s="10" t="n"/>
      <c r="J380" s="12">
        <f>IF(OR(A380="",COUNT(C380:E380)&lt;3),"",IFERROR(MAX(0,FLOOR(($N$2-$N$3)/E380,1))*MAX(1,MIN(IF(G380="",1,G380),FLOOR($N$4/D380,1)))*IF(F380="",1,F380),""))</f>
        <v/>
      </c>
      <c r="K380" s="12">
        <f>IF(A380="","",IF(COUNTIF(DATA!$D$2:$D$500,A380)=0,"CEK SKU tidak ada di DATA",IF(COUNT(C380:E380)&lt;3,"CEK dimensi belum lengkap",IF(OR(C380&lt;=0,D380&lt;=0,E380&lt;=0),"CEK dimensi harus lebih dari 0",IF(COUNTIF($A$2:$A$500,A380)&gt;1,"CEK SKU dobel","OK")))))</f>
        <v/>
      </c>
    </row>
    <row r="381">
      <c r="A381" s="10" t="n"/>
      <c r="B381" s="12">
        <f>IF(A381="","",IFERROR(INDEX(DATA!$E$2:$E$500,MATCH(A381,DATA!$D$2:$D$500,0)),""))</f>
        <v/>
      </c>
      <c r="C381" s="10" t="n"/>
      <c r="D381" s="10" t="n"/>
      <c r="E381" s="10" t="n"/>
      <c r="F381" s="10" t="n"/>
      <c r="G381" s="10" t="n"/>
      <c r="H381" s="10" t="n"/>
      <c r="I381" s="10" t="n"/>
      <c r="J381" s="12">
        <f>IF(OR(A381="",COUNT(C381:E381)&lt;3),"",IFERROR(MAX(0,FLOOR(($N$2-$N$3)/E381,1))*MAX(1,MIN(IF(G381="",1,G381),FLOOR($N$4/D381,1)))*IF(F381="",1,F381),""))</f>
        <v/>
      </c>
      <c r="K381" s="12">
        <f>IF(A381="","",IF(COUNTIF(DATA!$D$2:$D$500,A381)=0,"CEK SKU tidak ada di DATA",IF(COUNT(C381:E381)&lt;3,"CEK dimensi belum lengkap",IF(OR(C381&lt;=0,D381&lt;=0,E381&lt;=0),"CEK dimensi harus lebih dari 0",IF(COUNTIF($A$2:$A$500,A381)&gt;1,"CEK SKU dobel","OK")))))</f>
        <v/>
      </c>
    </row>
    <row r="382">
      <c r="A382" s="10" t="n"/>
      <c r="B382" s="12">
        <f>IF(A382="","",IFERROR(INDEX(DATA!$E$2:$E$500,MATCH(A382,DATA!$D$2:$D$500,0)),""))</f>
        <v/>
      </c>
      <c r="C382" s="10" t="n"/>
      <c r="D382" s="10" t="n"/>
      <c r="E382" s="10" t="n"/>
      <c r="F382" s="10" t="n"/>
      <c r="G382" s="10" t="n"/>
      <c r="H382" s="10" t="n"/>
      <c r="I382" s="10" t="n"/>
      <c r="J382" s="12">
        <f>IF(OR(A382="",COUNT(C382:E382)&lt;3),"",IFERROR(MAX(0,FLOOR(($N$2-$N$3)/E382,1))*MAX(1,MIN(IF(G382="",1,G382),FLOOR($N$4/D382,1)))*IF(F382="",1,F382),""))</f>
        <v/>
      </c>
      <c r="K382" s="12">
        <f>IF(A382="","",IF(COUNTIF(DATA!$D$2:$D$500,A382)=0,"CEK SKU tidak ada di DATA",IF(COUNT(C382:E382)&lt;3,"CEK dimensi belum lengkap",IF(OR(C382&lt;=0,D382&lt;=0,E382&lt;=0),"CEK dimensi harus lebih dari 0",IF(COUNTIF($A$2:$A$500,A382)&gt;1,"CEK SKU dobel","OK")))))</f>
        <v/>
      </c>
    </row>
    <row r="383">
      <c r="A383" s="10" t="n"/>
      <c r="B383" s="12">
        <f>IF(A383="","",IFERROR(INDEX(DATA!$E$2:$E$500,MATCH(A383,DATA!$D$2:$D$500,0)),""))</f>
        <v/>
      </c>
      <c r="C383" s="10" t="n"/>
      <c r="D383" s="10" t="n"/>
      <c r="E383" s="10" t="n"/>
      <c r="F383" s="10" t="n"/>
      <c r="G383" s="10" t="n"/>
      <c r="H383" s="10" t="n"/>
      <c r="I383" s="10" t="n"/>
      <c r="J383" s="12">
        <f>IF(OR(A383="",COUNT(C383:E383)&lt;3),"",IFERROR(MAX(0,FLOOR(($N$2-$N$3)/E383,1))*MAX(1,MIN(IF(G383="",1,G383),FLOOR($N$4/D383,1)))*IF(F383="",1,F383),""))</f>
        <v/>
      </c>
      <c r="K383" s="12">
        <f>IF(A383="","",IF(COUNTIF(DATA!$D$2:$D$500,A383)=0,"CEK SKU tidak ada di DATA",IF(COUNT(C383:E383)&lt;3,"CEK dimensi belum lengkap",IF(OR(C383&lt;=0,D383&lt;=0,E383&lt;=0),"CEK dimensi harus lebih dari 0",IF(COUNTIF($A$2:$A$500,A383)&gt;1,"CEK SKU dobel","OK")))))</f>
        <v/>
      </c>
    </row>
    <row r="384">
      <c r="A384" s="10" t="n"/>
      <c r="B384" s="12">
        <f>IF(A384="","",IFERROR(INDEX(DATA!$E$2:$E$500,MATCH(A384,DATA!$D$2:$D$500,0)),""))</f>
        <v/>
      </c>
      <c r="C384" s="10" t="n"/>
      <c r="D384" s="10" t="n"/>
      <c r="E384" s="10" t="n"/>
      <c r="F384" s="10" t="n"/>
      <c r="G384" s="10" t="n"/>
      <c r="H384" s="10" t="n"/>
      <c r="I384" s="10" t="n"/>
      <c r="J384" s="12">
        <f>IF(OR(A384="",COUNT(C384:E384)&lt;3),"",IFERROR(MAX(0,FLOOR(($N$2-$N$3)/E384,1))*MAX(1,MIN(IF(G384="",1,G384),FLOOR($N$4/D384,1)))*IF(F384="",1,F384),""))</f>
        <v/>
      </c>
      <c r="K384" s="12">
        <f>IF(A384="","",IF(COUNTIF(DATA!$D$2:$D$500,A384)=0,"CEK SKU tidak ada di DATA",IF(COUNT(C384:E384)&lt;3,"CEK dimensi belum lengkap",IF(OR(C384&lt;=0,D384&lt;=0,E384&lt;=0),"CEK dimensi harus lebih dari 0",IF(COUNTIF($A$2:$A$500,A384)&gt;1,"CEK SKU dobel","OK")))))</f>
        <v/>
      </c>
    </row>
    <row r="385">
      <c r="A385" s="10" t="n"/>
      <c r="B385" s="12">
        <f>IF(A385="","",IFERROR(INDEX(DATA!$E$2:$E$500,MATCH(A385,DATA!$D$2:$D$500,0)),""))</f>
        <v/>
      </c>
      <c r="C385" s="10" t="n"/>
      <c r="D385" s="10" t="n"/>
      <c r="E385" s="10" t="n"/>
      <c r="F385" s="10" t="n"/>
      <c r="G385" s="10" t="n"/>
      <c r="H385" s="10" t="n"/>
      <c r="I385" s="10" t="n"/>
      <c r="J385" s="12">
        <f>IF(OR(A385="",COUNT(C385:E385)&lt;3),"",IFERROR(MAX(0,FLOOR(($N$2-$N$3)/E385,1))*MAX(1,MIN(IF(G385="",1,G385),FLOOR($N$4/D385,1)))*IF(F385="",1,F385),""))</f>
        <v/>
      </c>
      <c r="K385" s="12">
        <f>IF(A385="","",IF(COUNTIF(DATA!$D$2:$D$500,A385)=0,"CEK SKU tidak ada di DATA",IF(COUNT(C385:E385)&lt;3,"CEK dimensi belum lengkap",IF(OR(C385&lt;=0,D385&lt;=0,E385&lt;=0),"CEK dimensi harus lebih dari 0",IF(COUNTIF($A$2:$A$500,A385)&gt;1,"CEK SKU dobel","OK")))))</f>
        <v/>
      </c>
    </row>
    <row r="386">
      <c r="A386" s="10" t="n"/>
      <c r="B386" s="12">
        <f>IF(A386="","",IFERROR(INDEX(DATA!$E$2:$E$500,MATCH(A386,DATA!$D$2:$D$500,0)),""))</f>
        <v/>
      </c>
      <c r="C386" s="10" t="n"/>
      <c r="D386" s="10" t="n"/>
      <c r="E386" s="10" t="n"/>
      <c r="F386" s="10" t="n"/>
      <c r="G386" s="10" t="n"/>
      <c r="H386" s="10" t="n"/>
      <c r="I386" s="10" t="n"/>
      <c r="J386" s="12">
        <f>IF(OR(A386="",COUNT(C386:E386)&lt;3),"",IFERROR(MAX(0,FLOOR(($N$2-$N$3)/E386,1))*MAX(1,MIN(IF(G386="",1,G386),FLOOR($N$4/D386,1)))*IF(F386="",1,F386),""))</f>
        <v/>
      </c>
      <c r="K386" s="12">
        <f>IF(A386="","",IF(COUNTIF(DATA!$D$2:$D$500,A386)=0,"CEK SKU tidak ada di DATA",IF(COUNT(C386:E386)&lt;3,"CEK dimensi belum lengkap",IF(OR(C386&lt;=0,D386&lt;=0,E386&lt;=0),"CEK dimensi harus lebih dari 0",IF(COUNTIF($A$2:$A$500,A386)&gt;1,"CEK SKU dobel","OK")))))</f>
        <v/>
      </c>
    </row>
    <row r="387">
      <c r="A387" s="10" t="n"/>
      <c r="B387" s="12">
        <f>IF(A387="","",IFERROR(INDEX(DATA!$E$2:$E$500,MATCH(A387,DATA!$D$2:$D$500,0)),""))</f>
        <v/>
      </c>
      <c r="C387" s="10" t="n"/>
      <c r="D387" s="10" t="n"/>
      <c r="E387" s="10" t="n"/>
      <c r="F387" s="10" t="n"/>
      <c r="G387" s="10" t="n"/>
      <c r="H387" s="10" t="n"/>
      <c r="I387" s="10" t="n"/>
      <c r="J387" s="12">
        <f>IF(OR(A387="",COUNT(C387:E387)&lt;3),"",IFERROR(MAX(0,FLOOR(($N$2-$N$3)/E387,1))*MAX(1,MIN(IF(G387="",1,G387),FLOOR($N$4/D387,1)))*IF(F387="",1,F387),""))</f>
        <v/>
      </c>
      <c r="K387" s="12">
        <f>IF(A387="","",IF(COUNTIF(DATA!$D$2:$D$500,A387)=0,"CEK SKU tidak ada di DATA",IF(COUNT(C387:E387)&lt;3,"CEK dimensi belum lengkap",IF(OR(C387&lt;=0,D387&lt;=0,E387&lt;=0),"CEK dimensi harus lebih dari 0",IF(COUNTIF($A$2:$A$500,A387)&gt;1,"CEK SKU dobel","OK")))))</f>
        <v/>
      </c>
    </row>
    <row r="388">
      <c r="A388" s="10" t="n"/>
      <c r="B388" s="12">
        <f>IF(A388="","",IFERROR(INDEX(DATA!$E$2:$E$500,MATCH(A388,DATA!$D$2:$D$500,0)),""))</f>
        <v/>
      </c>
      <c r="C388" s="10" t="n"/>
      <c r="D388" s="10" t="n"/>
      <c r="E388" s="10" t="n"/>
      <c r="F388" s="10" t="n"/>
      <c r="G388" s="10" t="n"/>
      <c r="H388" s="10" t="n"/>
      <c r="I388" s="10" t="n"/>
      <c r="J388" s="12">
        <f>IF(OR(A388="",COUNT(C388:E388)&lt;3),"",IFERROR(MAX(0,FLOOR(($N$2-$N$3)/E388,1))*MAX(1,MIN(IF(G388="",1,G388),FLOOR($N$4/D388,1)))*IF(F388="",1,F388),""))</f>
        <v/>
      </c>
      <c r="K388" s="12">
        <f>IF(A388="","",IF(COUNTIF(DATA!$D$2:$D$500,A388)=0,"CEK SKU tidak ada di DATA",IF(COUNT(C388:E388)&lt;3,"CEK dimensi belum lengkap",IF(OR(C388&lt;=0,D388&lt;=0,E388&lt;=0),"CEK dimensi harus lebih dari 0",IF(COUNTIF($A$2:$A$500,A388)&gt;1,"CEK SKU dobel","OK")))))</f>
        <v/>
      </c>
    </row>
    <row r="389">
      <c r="A389" s="10" t="n"/>
      <c r="B389" s="12">
        <f>IF(A389="","",IFERROR(INDEX(DATA!$E$2:$E$500,MATCH(A389,DATA!$D$2:$D$500,0)),""))</f>
        <v/>
      </c>
      <c r="C389" s="10" t="n"/>
      <c r="D389" s="10" t="n"/>
      <c r="E389" s="10" t="n"/>
      <c r="F389" s="10" t="n"/>
      <c r="G389" s="10" t="n"/>
      <c r="H389" s="10" t="n"/>
      <c r="I389" s="10" t="n"/>
      <c r="J389" s="12">
        <f>IF(OR(A389="",COUNT(C389:E389)&lt;3),"",IFERROR(MAX(0,FLOOR(($N$2-$N$3)/E389,1))*MAX(1,MIN(IF(G389="",1,G389),FLOOR($N$4/D389,1)))*IF(F389="",1,F389),""))</f>
        <v/>
      </c>
      <c r="K389" s="12">
        <f>IF(A389="","",IF(COUNTIF(DATA!$D$2:$D$500,A389)=0,"CEK SKU tidak ada di DATA",IF(COUNT(C389:E389)&lt;3,"CEK dimensi belum lengkap",IF(OR(C389&lt;=0,D389&lt;=0,E389&lt;=0),"CEK dimensi harus lebih dari 0",IF(COUNTIF($A$2:$A$500,A389)&gt;1,"CEK SKU dobel","OK")))))</f>
        <v/>
      </c>
    </row>
    <row r="390">
      <c r="A390" s="10" t="n"/>
      <c r="B390" s="12">
        <f>IF(A390="","",IFERROR(INDEX(DATA!$E$2:$E$500,MATCH(A390,DATA!$D$2:$D$500,0)),""))</f>
        <v/>
      </c>
      <c r="C390" s="10" t="n"/>
      <c r="D390" s="10" t="n"/>
      <c r="E390" s="10" t="n"/>
      <c r="F390" s="10" t="n"/>
      <c r="G390" s="10" t="n"/>
      <c r="H390" s="10" t="n"/>
      <c r="I390" s="10" t="n"/>
      <c r="J390" s="12">
        <f>IF(OR(A390="",COUNT(C390:E390)&lt;3),"",IFERROR(MAX(0,FLOOR(($N$2-$N$3)/E390,1))*MAX(1,MIN(IF(G390="",1,G390),FLOOR($N$4/D390,1)))*IF(F390="",1,F390),""))</f>
        <v/>
      </c>
      <c r="K390" s="12">
        <f>IF(A390="","",IF(COUNTIF(DATA!$D$2:$D$500,A390)=0,"CEK SKU tidak ada di DATA",IF(COUNT(C390:E390)&lt;3,"CEK dimensi belum lengkap",IF(OR(C390&lt;=0,D390&lt;=0,E390&lt;=0),"CEK dimensi harus lebih dari 0",IF(COUNTIF($A$2:$A$500,A390)&gt;1,"CEK SKU dobel","OK")))))</f>
        <v/>
      </c>
    </row>
    <row r="391">
      <c r="A391" s="10" t="n"/>
      <c r="B391" s="12">
        <f>IF(A391="","",IFERROR(INDEX(DATA!$E$2:$E$500,MATCH(A391,DATA!$D$2:$D$500,0)),""))</f>
        <v/>
      </c>
      <c r="C391" s="10" t="n"/>
      <c r="D391" s="10" t="n"/>
      <c r="E391" s="10" t="n"/>
      <c r="F391" s="10" t="n"/>
      <c r="G391" s="10" t="n"/>
      <c r="H391" s="10" t="n"/>
      <c r="I391" s="10" t="n"/>
      <c r="J391" s="12">
        <f>IF(OR(A391="",COUNT(C391:E391)&lt;3),"",IFERROR(MAX(0,FLOOR(($N$2-$N$3)/E391,1))*MAX(1,MIN(IF(G391="",1,G391),FLOOR($N$4/D391,1)))*IF(F391="",1,F391),""))</f>
        <v/>
      </c>
      <c r="K391" s="12">
        <f>IF(A391="","",IF(COUNTIF(DATA!$D$2:$D$500,A391)=0,"CEK SKU tidak ada di DATA",IF(COUNT(C391:E391)&lt;3,"CEK dimensi belum lengkap",IF(OR(C391&lt;=0,D391&lt;=0,E391&lt;=0),"CEK dimensi harus lebih dari 0",IF(COUNTIF($A$2:$A$500,A391)&gt;1,"CEK SKU dobel","OK")))))</f>
        <v/>
      </c>
    </row>
    <row r="392">
      <c r="A392" s="10" t="n"/>
      <c r="B392" s="12">
        <f>IF(A392="","",IFERROR(INDEX(DATA!$E$2:$E$500,MATCH(A392,DATA!$D$2:$D$500,0)),""))</f>
        <v/>
      </c>
      <c r="C392" s="10" t="n"/>
      <c r="D392" s="10" t="n"/>
      <c r="E392" s="10" t="n"/>
      <c r="F392" s="10" t="n"/>
      <c r="G392" s="10" t="n"/>
      <c r="H392" s="10" t="n"/>
      <c r="I392" s="10" t="n"/>
      <c r="J392" s="12">
        <f>IF(OR(A392="",COUNT(C392:E392)&lt;3),"",IFERROR(MAX(0,FLOOR(($N$2-$N$3)/E392,1))*MAX(1,MIN(IF(G392="",1,G392),FLOOR($N$4/D392,1)))*IF(F392="",1,F392),""))</f>
        <v/>
      </c>
      <c r="K392" s="12">
        <f>IF(A392="","",IF(COUNTIF(DATA!$D$2:$D$500,A392)=0,"CEK SKU tidak ada di DATA",IF(COUNT(C392:E392)&lt;3,"CEK dimensi belum lengkap",IF(OR(C392&lt;=0,D392&lt;=0,E392&lt;=0),"CEK dimensi harus lebih dari 0",IF(COUNTIF($A$2:$A$500,A392)&gt;1,"CEK SKU dobel","OK")))))</f>
        <v/>
      </c>
    </row>
    <row r="393">
      <c r="A393" s="10" t="n"/>
      <c r="B393" s="12">
        <f>IF(A393="","",IFERROR(INDEX(DATA!$E$2:$E$500,MATCH(A393,DATA!$D$2:$D$500,0)),""))</f>
        <v/>
      </c>
      <c r="C393" s="10" t="n"/>
      <c r="D393" s="10" t="n"/>
      <c r="E393" s="10" t="n"/>
      <c r="F393" s="10" t="n"/>
      <c r="G393" s="10" t="n"/>
      <c r="H393" s="10" t="n"/>
      <c r="I393" s="10" t="n"/>
      <c r="J393" s="12">
        <f>IF(OR(A393="",COUNT(C393:E393)&lt;3),"",IFERROR(MAX(0,FLOOR(($N$2-$N$3)/E393,1))*MAX(1,MIN(IF(G393="",1,G393),FLOOR($N$4/D393,1)))*IF(F393="",1,F393),""))</f>
        <v/>
      </c>
      <c r="K393" s="12">
        <f>IF(A393="","",IF(COUNTIF(DATA!$D$2:$D$500,A393)=0,"CEK SKU tidak ada di DATA",IF(COUNT(C393:E393)&lt;3,"CEK dimensi belum lengkap",IF(OR(C393&lt;=0,D393&lt;=0,E393&lt;=0),"CEK dimensi harus lebih dari 0",IF(COUNTIF($A$2:$A$500,A393)&gt;1,"CEK SKU dobel","OK")))))</f>
        <v/>
      </c>
    </row>
    <row r="394">
      <c r="A394" s="10" t="n"/>
      <c r="B394" s="12">
        <f>IF(A394="","",IFERROR(INDEX(DATA!$E$2:$E$500,MATCH(A394,DATA!$D$2:$D$500,0)),""))</f>
        <v/>
      </c>
      <c r="C394" s="10" t="n"/>
      <c r="D394" s="10" t="n"/>
      <c r="E394" s="10" t="n"/>
      <c r="F394" s="10" t="n"/>
      <c r="G394" s="10" t="n"/>
      <c r="H394" s="10" t="n"/>
      <c r="I394" s="10" t="n"/>
      <c r="J394" s="12">
        <f>IF(OR(A394="",COUNT(C394:E394)&lt;3),"",IFERROR(MAX(0,FLOOR(($N$2-$N$3)/E394,1))*MAX(1,MIN(IF(G394="",1,G394),FLOOR($N$4/D394,1)))*IF(F394="",1,F394),""))</f>
        <v/>
      </c>
      <c r="K394" s="12">
        <f>IF(A394="","",IF(COUNTIF(DATA!$D$2:$D$500,A394)=0,"CEK SKU tidak ada di DATA",IF(COUNT(C394:E394)&lt;3,"CEK dimensi belum lengkap",IF(OR(C394&lt;=0,D394&lt;=0,E394&lt;=0),"CEK dimensi harus lebih dari 0",IF(COUNTIF($A$2:$A$500,A394)&gt;1,"CEK SKU dobel","OK")))))</f>
        <v/>
      </c>
    </row>
    <row r="395">
      <c r="A395" s="10" t="n"/>
      <c r="B395" s="12">
        <f>IF(A395="","",IFERROR(INDEX(DATA!$E$2:$E$500,MATCH(A395,DATA!$D$2:$D$500,0)),""))</f>
        <v/>
      </c>
      <c r="C395" s="10" t="n"/>
      <c r="D395" s="10" t="n"/>
      <c r="E395" s="10" t="n"/>
      <c r="F395" s="10" t="n"/>
      <c r="G395" s="10" t="n"/>
      <c r="H395" s="10" t="n"/>
      <c r="I395" s="10" t="n"/>
      <c r="J395" s="12">
        <f>IF(OR(A395="",COUNT(C395:E395)&lt;3),"",IFERROR(MAX(0,FLOOR(($N$2-$N$3)/E395,1))*MAX(1,MIN(IF(G395="",1,G395),FLOOR($N$4/D395,1)))*IF(F395="",1,F395),""))</f>
        <v/>
      </c>
      <c r="K395" s="12">
        <f>IF(A395="","",IF(COUNTIF(DATA!$D$2:$D$500,A395)=0,"CEK SKU tidak ada di DATA",IF(COUNT(C395:E395)&lt;3,"CEK dimensi belum lengkap",IF(OR(C395&lt;=0,D395&lt;=0,E395&lt;=0),"CEK dimensi harus lebih dari 0",IF(COUNTIF($A$2:$A$500,A395)&gt;1,"CEK SKU dobel","OK")))))</f>
        <v/>
      </c>
    </row>
    <row r="396">
      <c r="A396" s="10" t="n"/>
      <c r="B396" s="12">
        <f>IF(A396="","",IFERROR(INDEX(DATA!$E$2:$E$500,MATCH(A396,DATA!$D$2:$D$500,0)),""))</f>
        <v/>
      </c>
      <c r="C396" s="10" t="n"/>
      <c r="D396" s="10" t="n"/>
      <c r="E396" s="10" t="n"/>
      <c r="F396" s="10" t="n"/>
      <c r="G396" s="10" t="n"/>
      <c r="H396" s="10" t="n"/>
      <c r="I396" s="10" t="n"/>
      <c r="J396" s="12">
        <f>IF(OR(A396="",COUNT(C396:E396)&lt;3),"",IFERROR(MAX(0,FLOOR(($N$2-$N$3)/E396,1))*MAX(1,MIN(IF(G396="",1,G396),FLOOR($N$4/D396,1)))*IF(F396="",1,F396),""))</f>
        <v/>
      </c>
      <c r="K396" s="12">
        <f>IF(A396="","",IF(COUNTIF(DATA!$D$2:$D$500,A396)=0,"CEK SKU tidak ada di DATA",IF(COUNT(C396:E396)&lt;3,"CEK dimensi belum lengkap",IF(OR(C396&lt;=0,D396&lt;=0,E396&lt;=0),"CEK dimensi harus lebih dari 0",IF(COUNTIF($A$2:$A$500,A396)&gt;1,"CEK SKU dobel","OK")))))</f>
        <v/>
      </c>
    </row>
    <row r="397">
      <c r="A397" s="10" t="n"/>
      <c r="B397" s="12">
        <f>IF(A397="","",IFERROR(INDEX(DATA!$E$2:$E$500,MATCH(A397,DATA!$D$2:$D$500,0)),""))</f>
        <v/>
      </c>
      <c r="C397" s="10" t="n"/>
      <c r="D397" s="10" t="n"/>
      <c r="E397" s="10" t="n"/>
      <c r="F397" s="10" t="n"/>
      <c r="G397" s="10" t="n"/>
      <c r="H397" s="10" t="n"/>
      <c r="I397" s="10" t="n"/>
      <c r="J397" s="12">
        <f>IF(OR(A397="",COUNT(C397:E397)&lt;3),"",IFERROR(MAX(0,FLOOR(($N$2-$N$3)/E397,1))*MAX(1,MIN(IF(G397="",1,G397),FLOOR($N$4/D397,1)))*IF(F397="",1,F397),""))</f>
        <v/>
      </c>
      <c r="K397" s="12">
        <f>IF(A397="","",IF(COUNTIF(DATA!$D$2:$D$500,A397)=0,"CEK SKU tidak ada di DATA",IF(COUNT(C397:E397)&lt;3,"CEK dimensi belum lengkap",IF(OR(C397&lt;=0,D397&lt;=0,E397&lt;=0),"CEK dimensi harus lebih dari 0",IF(COUNTIF($A$2:$A$500,A397)&gt;1,"CEK SKU dobel","OK")))))</f>
        <v/>
      </c>
    </row>
    <row r="398">
      <c r="A398" s="10" t="n"/>
      <c r="B398" s="12">
        <f>IF(A398="","",IFERROR(INDEX(DATA!$E$2:$E$500,MATCH(A398,DATA!$D$2:$D$500,0)),""))</f>
        <v/>
      </c>
      <c r="C398" s="10" t="n"/>
      <c r="D398" s="10" t="n"/>
      <c r="E398" s="10" t="n"/>
      <c r="F398" s="10" t="n"/>
      <c r="G398" s="10" t="n"/>
      <c r="H398" s="10" t="n"/>
      <c r="I398" s="10" t="n"/>
      <c r="J398" s="12">
        <f>IF(OR(A398="",COUNT(C398:E398)&lt;3),"",IFERROR(MAX(0,FLOOR(($N$2-$N$3)/E398,1))*MAX(1,MIN(IF(G398="",1,G398),FLOOR($N$4/D398,1)))*IF(F398="",1,F398),""))</f>
        <v/>
      </c>
      <c r="K398" s="12">
        <f>IF(A398="","",IF(COUNTIF(DATA!$D$2:$D$500,A398)=0,"CEK SKU tidak ada di DATA",IF(COUNT(C398:E398)&lt;3,"CEK dimensi belum lengkap",IF(OR(C398&lt;=0,D398&lt;=0,E398&lt;=0),"CEK dimensi harus lebih dari 0",IF(COUNTIF($A$2:$A$500,A398)&gt;1,"CEK SKU dobel","OK")))))</f>
        <v/>
      </c>
    </row>
    <row r="399">
      <c r="A399" s="10" t="n"/>
      <c r="B399" s="12">
        <f>IF(A399="","",IFERROR(INDEX(DATA!$E$2:$E$500,MATCH(A399,DATA!$D$2:$D$500,0)),""))</f>
        <v/>
      </c>
      <c r="C399" s="10" t="n"/>
      <c r="D399" s="10" t="n"/>
      <c r="E399" s="10" t="n"/>
      <c r="F399" s="10" t="n"/>
      <c r="G399" s="10" t="n"/>
      <c r="H399" s="10" t="n"/>
      <c r="I399" s="10" t="n"/>
      <c r="J399" s="12">
        <f>IF(OR(A399="",COUNT(C399:E399)&lt;3),"",IFERROR(MAX(0,FLOOR(($N$2-$N$3)/E399,1))*MAX(1,MIN(IF(G399="",1,G399),FLOOR($N$4/D399,1)))*IF(F399="",1,F399),""))</f>
        <v/>
      </c>
      <c r="K399" s="12">
        <f>IF(A399="","",IF(COUNTIF(DATA!$D$2:$D$500,A399)=0,"CEK SKU tidak ada di DATA",IF(COUNT(C399:E399)&lt;3,"CEK dimensi belum lengkap",IF(OR(C399&lt;=0,D399&lt;=0,E399&lt;=0),"CEK dimensi harus lebih dari 0",IF(COUNTIF($A$2:$A$500,A399)&gt;1,"CEK SKU dobel","OK")))))</f>
        <v/>
      </c>
    </row>
    <row r="400">
      <c r="A400" s="10" t="n"/>
      <c r="B400" s="12">
        <f>IF(A400="","",IFERROR(INDEX(DATA!$E$2:$E$500,MATCH(A400,DATA!$D$2:$D$500,0)),""))</f>
        <v/>
      </c>
      <c r="C400" s="10" t="n"/>
      <c r="D400" s="10" t="n"/>
      <c r="E400" s="10" t="n"/>
      <c r="F400" s="10" t="n"/>
      <c r="G400" s="10" t="n"/>
      <c r="H400" s="10" t="n"/>
      <c r="I400" s="10" t="n"/>
      <c r="J400" s="12">
        <f>IF(OR(A400="",COUNT(C400:E400)&lt;3),"",IFERROR(MAX(0,FLOOR(($N$2-$N$3)/E400,1))*MAX(1,MIN(IF(G400="",1,G400),FLOOR($N$4/D400,1)))*IF(F400="",1,F400),""))</f>
        <v/>
      </c>
      <c r="K400" s="12">
        <f>IF(A400="","",IF(COUNTIF(DATA!$D$2:$D$500,A400)=0,"CEK SKU tidak ada di DATA",IF(COUNT(C400:E400)&lt;3,"CEK dimensi belum lengkap",IF(OR(C400&lt;=0,D400&lt;=0,E400&lt;=0),"CEK dimensi harus lebih dari 0",IF(COUNTIF($A$2:$A$500,A400)&gt;1,"CEK SKU dobel","OK")))))</f>
        <v/>
      </c>
    </row>
    <row r="401">
      <c r="A401" s="10" t="n"/>
      <c r="B401" s="12">
        <f>IF(A401="","",IFERROR(INDEX(DATA!$E$2:$E$500,MATCH(A401,DATA!$D$2:$D$500,0)),""))</f>
        <v/>
      </c>
      <c r="C401" s="10" t="n"/>
      <c r="D401" s="10" t="n"/>
      <c r="E401" s="10" t="n"/>
      <c r="F401" s="10" t="n"/>
      <c r="G401" s="10" t="n"/>
      <c r="H401" s="10" t="n"/>
      <c r="I401" s="10" t="n"/>
      <c r="J401" s="12">
        <f>IF(OR(A401="",COUNT(C401:E401)&lt;3),"",IFERROR(MAX(0,FLOOR(($N$2-$N$3)/E401,1))*MAX(1,MIN(IF(G401="",1,G401),FLOOR($N$4/D401,1)))*IF(F401="",1,F401),""))</f>
        <v/>
      </c>
      <c r="K401" s="12">
        <f>IF(A401="","",IF(COUNTIF(DATA!$D$2:$D$500,A401)=0,"CEK SKU tidak ada di DATA",IF(COUNT(C401:E401)&lt;3,"CEK dimensi belum lengkap",IF(OR(C401&lt;=0,D401&lt;=0,E401&lt;=0),"CEK dimensi harus lebih dari 0",IF(COUNTIF($A$2:$A$500,A401)&gt;1,"CEK SKU dobel","OK")))))</f>
        <v/>
      </c>
    </row>
    <row r="402">
      <c r="A402" s="10" t="n"/>
      <c r="B402" s="12">
        <f>IF(A402="","",IFERROR(INDEX(DATA!$E$2:$E$500,MATCH(A402,DATA!$D$2:$D$500,0)),""))</f>
        <v/>
      </c>
      <c r="C402" s="10" t="n"/>
      <c r="D402" s="10" t="n"/>
      <c r="E402" s="10" t="n"/>
      <c r="F402" s="10" t="n"/>
      <c r="G402" s="10" t="n"/>
      <c r="H402" s="10" t="n"/>
      <c r="I402" s="10" t="n"/>
      <c r="J402" s="12">
        <f>IF(OR(A402="",COUNT(C402:E402)&lt;3),"",IFERROR(MAX(0,FLOOR(($N$2-$N$3)/E402,1))*MAX(1,MIN(IF(G402="",1,G402),FLOOR($N$4/D402,1)))*IF(F402="",1,F402),""))</f>
        <v/>
      </c>
      <c r="K402" s="12">
        <f>IF(A402="","",IF(COUNTIF(DATA!$D$2:$D$500,A402)=0,"CEK SKU tidak ada di DATA",IF(COUNT(C402:E402)&lt;3,"CEK dimensi belum lengkap",IF(OR(C402&lt;=0,D402&lt;=0,E402&lt;=0),"CEK dimensi harus lebih dari 0",IF(COUNTIF($A$2:$A$500,A402)&gt;1,"CEK SKU dobel","OK")))))</f>
        <v/>
      </c>
    </row>
    <row r="403">
      <c r="A403" s="10" t="n"/>
      <c r="B403" s="12">
        <f>IF(A403="","",IFERROR(INDEX(DATA!$E$2:$E$500,MATCH(A403,DATA!$D$2:$D$500,0)),""))</f>
        <v/>
      </c>
      <c r="C403" s="10" t="n"/>
      <c r="D403" s="10" t="n"/>
      <c r="E403" s="10" t="n"/>
      <c r="F403" s="10" t="n"/>
      <c r="G403" s="10" t="n"/>
      <c r="H403" s="10" t="n"/>
      <c r="I403" s="10" t="n"/>
      <c r="J403" s="12">
        <f>IF(OR(A403="",COUNT(C403:E403)&lt;3),"",IFERROR(MAX(0,FLOOR(($N$2-$N$3)/E403,1))*MAX(1,MIN(IF(G403="",1,G403),FLOOR($N$4/D403,1)))*IF(F403="",1,F403),""))</f>
        <v/>
      </c>
      <c r="K403" s="12">
        <f>IF(A403="","",IF(COUNTIF(DATA!$D$2:$D$500,A403)=0,"CEK SKU tidak ada di DATA",IF(COUNT(C403:E403)&lt;3,"CEK dimensi belum lengkap",IF(OR(C403&lt;=0,D403&lt;=0,E403&lt;=0),"CEK dimensi harus lebih dari 0",IF(COUNTIF($A$2:$A$500,A403)&gt;1,"CEK SKU dobel","OK")))))</f>
        <v/>
      </c>
    </row>
    <row r="404">
      <c r="A404" s="10" t="n"/>
      <c r="B404" s="12">
        <f>IF(A404="","",IFERROR(INDEX(DATA!$E$2:$E$500,MATCH(A404,DATA!$D$2:$D$500,0)),""))</f>
        <v/>
      </c>
      <c r="C404" s="10" t="n"/>
      <c r="D404" s="10" t="n"/>
      <c r="E404" s="10" t="n"/>
      <c r="F404" s="10" t="n"/>
      <c r="G404" s="10" t="n"/>
      <c r="H404" s="10" t="n"/>
      <c r="I404" s="10" t="n"/>
      <c r="J404" s="12">
        <f>IF(OR(A404="",COUNT(C404:E404)&lt;3),"",IFERROR(MAX(0,FLOOR(($N$2-$N$3)/E404,1))*MAX(1,MIN(IF(G404="",1,G404),FLOOR($N$4/D404,1)))*IF(F404="",1,F404),""))</f>
        <v/>
      </c>
      <c r="K404" s="12">
        <f>IF(A404="","",IF(COUNTIF(DATA!$D$2:$D$500,A404)=0,"CEK SKU tidak ada di DATA",IF(COUNT(C404:E404)&lt;3,"CEK dimensi belum lengkap",IF(OR(C404&lt;=0,D404&lt;=0,E404&lt;=0),"CEK dimensi harus lebih dari 0",IF(COUNTIF($A$2:$A$500,A404)&gt;1,"CEK SKU dobel","OK")))))</f>
        <v/>
      </c>
    </row>
    <row r="405">
      <c r="A405" s="10" t="n"/>
      <c r="B405" s="12">
        <f>IF(A405="","",IFERROR(INDEX(DATA!$E$2:$E$500,MATCH(A405,DATA!$D$2:$D$500,0)),""))</f>
        <v/>
      </c>
      <c r="C405" s="10" t="n"/>
      <c r="D405" s="10" t="n"/>
      <c r="E405" s="10" t="n"/>
      <c r="F405" s="10" t="n"/>
      <c r="G405" s="10" t="n"/>
      <c r="H405" s="10" t="n"/>
      <c r="I405" s="10" t="n"/>
      <c r="J405" s="12">
        <f>IF(OR(A405="",COUNT(C405:E405)&lt;3),"",IFERROR(MAX(0,FLOOR(($N$2-$N$3)/E405,1))*MAX(1,MIN(IF(G405="",1,G405),FLOOR($N$4/D405,1)))*IF(F405="",1,F405),""))</f>
        <v/>
      </c>
      <c r="K405" s="12">
        <f>IF(A405="","",IF(COUNTIF(DATA!$D$2:$D$500,A405)=0,"CEK SKU tidak ada di DATA",IF(COUNT(C405:E405)&lt;3,"CEK dimensi belum lengkap",IF(OR(C405&lt;=0,D405&lt;=0,E405&lt;=0),"CEK dimensi harus lebih dari 0",IF(COUNTIF($A$2:$A$500,A405)&gt;1,"CEK SKU dobel","OK")))))</f>
        <v/>
      </c>
    </row>
    <row r="406">
      <c r="A406" s="10" t="n"/>
      <c r="B406" s="12">
        <f>IF(A406="","",IFERROR(INDEX(DATA!$E$2:$E$500,MATCH(A406,DATA!$D$2:$D$500,0)),""))</f>
        <v/>
      </c>
      <c r="C406" s="10" t="n"/>
      <c r="D406" s="10" t="n"/>
      <c r="E406" s="10" t="n"/>
      <c r="F406" s="10" t="n"/>
      <c r="G406" s="10" t="n"/>
      <c r="H406" s="10" t="n"/>
      <c r="I406" s="10" t="n"/>
      <c r="J406" s="12">
        <f>IF(OR(A406="",COUNT(C406:E406)&lt;3),"",IFERROR(MAX(0,FLOOR(($N$2-$N$3)/E406,1))*MAX(1,MIN(IF(G406="",1,G406),FLOOR($N$4/D406,1)))*IF(F406="",1,F406),""))</f>
        <v/>
      </c>
      <c r="K406" s="12">
        <f>IF(A406="","",IF(COUNTIF(DATA!$D$2:$D$500,A406)=0,"CEK SKU tidak ada di DATA",IF(COUNT(C406:E406)&lt;3,"CEK dimensi belum lengkap",IF(OR(C406&lt;=0,D406&lt;=0,E406&lt;=0),"CEK dimensi harus lebih dari 0",IF(COUNTIF($A$2:$A$500,A406)&gt;1,"CEK SKU dobel","OK")))))</f>
        <v/>
      </c>
    </row>
    <row r="407">
      <c r="A407" s="10" t="n"/>
      <c r="B407" s="12">
        <f>IF(A407="","",IFERROR(INDEX(DATA!$E$2:$E$500,MATCH(A407,DATA!$D$2:$D$500,0)),""))</f>
        <v/>
      </c>
      <c r="C407" s="10" t="n"/>
      <c r="D407" s="10" t="n"/>
      <c r="E407" s="10" t="n"/>
      <c r="F407" s="10" t="n"/>
      <c r="G407" s="10" t="n"/>
      <c r="H407" s="10" t="n"/>
      <c r="I407" s="10" t="n"/>
      <c r="J407" s="12">
        <f>IF(OR(A407="",COUNT(C407:E407)&lt;3),"",IFERROR(MAX(0,FLOOR(($N$2-$N$3)/E407,1))*MAX(1,MIN(IF(G407="",1,G407),FLOOR($N$4/D407,1)))*IF(F407="",1,F407),""))</f>
        <v/>
      </c>
      <c r="K407" s="12">
        <f>IF(A407="","",IF(COUNTIF(DATA!$D$2:$D$500,A407)=0,"CEK SKU tidak ada di DATA",IF(COUNT(C407:E407)&lt;3,"CEK dimensi belum lengkap",IF(OR(C407&lt;=0,D407&lt;=0,E407&lt;=0),"CEK dimensi harus lebih dari 0",IF(COUNTIF($A$2:$A$500,A407)&gt;1,"CEK SKU dobel","OK")))))</f>
        <v/>
      </c>
    </row>
    <row r="408">
      <c r="A408" s="10" t="n"/>
      <c r="B408" s="12">
        <f>IF(A408="","",IFERROR(INDEX(DATA!$E$2:$E$500,MATCH(A408,DATA!$D$2:$D$500,0)),""))</f>
        <v/>
      </c>
      <c r="C408" s="10" t="n"/>
      <c r="D408" s="10" t="n"/>
      <c r="E408" s="10" t="n"/>
      <c r="F408" s="10" t="n"/>
      <c r="G408" s="10" t="n"/>
      <c r="H408" s="10" t="n"/>
      <c r="I408" s="10" t="n"/>
      <c r="J408" s="12">
        <f>IF(OR(A408="",COUNT(C408:E408)&lt;3),"",IFERROR(MAX(0,FLOOR(($N$2-$N$3)/E408,1))*MAX(1,MIN(IF(G408="",1,G408),FLOOR($N$4/D408,1)))*IF(F408="",1,F408),""))</f>
        <v/>
      </c>
      <c r="K408" s="12">
        <f>IF(A408="","",IF(COUNTIF(DATA!$D$2:$D$500,A408)=0,"CEK SKU tidak ada di DATA",IF(COUNT(C408:E408)&lt;3,"CEK dimensi belum lengkap",IF(OR(C408&lt;=0,D408&lt;=0,E408&lt;=0),"CEK dimensi harus lebih dari 0",IF(COUNTIF($A$2:$A$500,A408)&gt;1,"CEK SKU dobel","OK")))))</f>
        <v/>
      </c>
    </row>
    <row r="409">
      <c r="A409" s="10" t="n"/>
      <c r="B409" s="12">
        <f>IF(A409="","",IFERROR(INDEX(DATA!$E$2:$E$500,MATCH(A409,DATA!$D$2:$D$500,0)),""))</f>
        <v/>
      </c>
      <c r="C409" s="10" t="n"/>
      <c r="D409" s="10" t="n"/>
      <c r="E409" s="10" t="n"/>
      <c r="F409" s="10" t="n"/>
      <c r="G409" s="10" t="n"/>
      <c r="H409" s="10" t="n"/>
      <c r="I409" s="10" t="n"/>
      <c r="J409" s="12">
        <f>IF(OR(A409="",COUNT(C409:E409)&lt;3),"",IFERROR(MAX(0,FLOOR(($N$2-$N$3)/E409,1))*MAX(1,MIN(IF(G409="",1,G409),FLOOR($N$4/D409,1)))*IF(F409="",1,F409),""))</f>
        <v/>
      </c>
      <c r="K409" s="12">
        <f>IF(A409="","",IF(COUNTIF(DATA!$D$2:$D$500,A409)=0,"CEK SKU tidak ada di DATA",IF(COUNT(C409:E409)&lt;3,"CEK dimensi belum lengkap",IF(OR(C409&lt;=0,D409&lt;=0,E409&lt;=0),"CEK dimensi harus lebih dari 0",IF(COUNTIF($A$2:$A$500,A409)&gt;1,"CEK SKU dobel","OK")))))</f>
        <v/>
      </c>
    </row>
    <row r="410">
      <c r="A410" s="10" t="n"/>
      <c r="B410" s="12">
        <f>IF(A410="","",IFERROR(INDEX(DATA!$E$2:$E$500,MATCH(A410,DATA!$D$2:$D$500,0)),""))</f>
        <v/>
      </c>
      <c r="C410" s="10" t="n"/>
      <c r="D410" s="10" t="n"/>
      <c r="E410" s="10" t="n"/>
      <c r="F410" s="10" t="n"/>
      <c r="G410" s="10" t="n"/>
      <c r="H410" s="10" t="n"/>
      <c r="I410" s="10" t="n"/>
      <c r="J410" s="12">
        <f>IF(OR(A410="",COUNT(C410:E410)&lt;3),"",IFERROR(MAX(0,FLOOR(($N$2-$N$3)/E410,1))*MAX(1,MIN(IF(G410="",1,G410),FLOOR($N$4/D410,1)))*IF(F410="",1,F410),""))</f>
        <v/>
      </c>
      <c r="K410" s="12">
        <f>IF(A410="","",IF(COUNTIF(DATA!$D$2:$D$500,A410)=0,"CEK SKU tidak ada di DATA",IF(COUNT(C410:E410)&lt;3,"CEK dimensi belum lengkap",IF(OR(C410&lt;=0,D410&lt;=0,E410&lt;=0),"CEK dimensi harus lebih dari 0",IF(COUNTIF($A$2:$A$500,A410)&gt;1,"CEK SKU dobel","OK")))))</f>
        <v/>
      </c>
    </row>
    <row r="411">
      <c r="A411" s="10" t="n"/>
      <c r="B411" s="12">
        <f>IF(A411="","",IFERROR(INDEX(DATA!$E$2:$E$500,MATCH(A411,DATA!$D$2:$D$500,0)),""))</f>
        <v/>
      </c>
      <c r="C411" s="10" t="n"/>
      <c r="D411" s="10" t="n"/>
      <c r="E411" s="10" t="n"/>
      <c r="F411" s="10" t="n"/>
      <c r="G411" s="10" t="n"/>
      <c r="H411" s="10" t="n"/>
      <c r="I411" s="10" t="n"/>
      <c r="J411" s="12">
        <f>IF(OR(A411="",COUNT(C411:E411)&lt;3),"",IFERROR(MAX(0,FLOOR(($N$2-$N$3)/E411,1))*MAX(1,MIN(IF(G411="",1,G411),FLOOR($N$4/D411,1)))*IF(F411="",1,F411),""))</f>
        <v/>
      </c>
      <c r="K411" s="12">
        <f>IF(A411="","",IF(COUNTIF(DATA!$D$2:$D$500,A411)=0,"CEK SKU tidak ada di DATA",IF(COUNT(C411:E411)&lt;3,"CEK dimensi belum lengkap",IF(OR(C411&lt;=0,D411&lt;=0,E411&lt;=0),"CEK dimensi harus lebih dari 0",IF(COUNTIF($A$2:$A$500,A411)&gt;1,"CEK SKU dobel","OK")))))</f>
        <v/>
      </c>
    </row>
    <row r="412">
      <c r="A412" s="10" t="n"/>
      <c r="B412" s="12">
        <f>IF(A412="","",IFERROR(INDEX(DATA!$E$2:$E$500,MATCH(A412,DATA!$D$2:$D$500,0)),""))</f>
        <v/>
      </c>
      <c r="C412" s="10" t="n"/>
      <c r="D412" s="10" t="n"/>
      <c r="E412" s="10" t="n"/>
      <c r="F412" s="10" t="n"/>
      <c r="G412" s="10" t="n"/>
      <c r="H412" s="10" t="n"/>
      <c r="I412" s="10" t="n"/>
      <c r="J412" s="12">
        <f>IF(OR(A412="",COUNT(C412:E412)&lt;3),"",IFERROR(MAX(0,FLOOR(($N$2-$N$3)/E412,1))*MAX(1,MIN(IF(G412="",1,G412),FLOOR($N$4/D412,1)))*IF(F412="",1,F412),""))</f>
        <v/>
      </c>
      <c r="K412" s="12">
        <f>IF(A412="","",IF(COUNTIF(DATA!$D$2:$D$500,A412)=0,"CEK SKU tidak ada di DATA",IF(COUNT(C412:E412)&lt;3,"CEK dimensi belum lengkap",IF(OR(C412&lt;=0,D412&lt;=0,E412&lt;=0),"CEK dimensi harus lebih dari 0",IF(COUNTIF($A$2:$A$500,A412)&gt;1,"CEK SKU dobel","OK")))))</f>
        <v/>
      </c>
    </row>
    <row r="413">
      <c r="A413" s="10" t="n"/>
      <c r="B413" s="12">
        <f>IF(A413="","",IFERROR(INDEX(DATA!$E$2:$E$500,MATCH(A413,DATA!$D$2:$D$500,0)),""))</f>
        <v/>
      </c>
      <c r="C413" s="10" t="n"/>
      <c r="D413" s="10" t="n"/>
      <c r="E413" s="10" t="n"/>
      <c r="F413" s="10" t="n"/>
      <c r="G413" s="10" t="n"/>
      <c r="H413" s="10" t="n"/>
      <c r="I413" s="10" t="n"/>
      <c r="J413" s="12">
        <f>IF(OR(A413="",COUNT(C413:E413)&lt;3),"",IFERROR(MAX(0,FLOOR(($N$2-$N$3)/E413,1))*MAX(1,MIN(IF(G413="",1,G413),FLOOR($N$4/D413,1)))*IF(F413="",1,F413),""))</f>
        <v/>
      </c>
      <c r="K413" s="12">
        <f>IF(A413="","",IF(COUNTIF(DATA!$D$2:$D$500,A413)=0,"CEK SKU tidak ada di DATA",IF(COUNT(C413:E413)&lt;3,"CEK dimensi belum lengkap",IF(OR(C413&lt;=0,D413&lt;=0,E413&lt;=0),"CEK dimensi harus lebih dari 0",IF(COUNTIF($A$2:$A$500,A413)&gt;1,"CEK SKU dobel","OK")))))</f>
        <v/>
      </c>
    </row>
    <row r="414">
      <c r="A414" s="10" t="n"/>
      <c r="B414" s="12">
        <f>IF(A414="","",IFERROR(INDEX(DATA!$E$2:$E$500,MATCH(A414,DATA!$D$2:$D$500,0)),""))</f>
        <v/>
      </c>
      <c r="C414" s="10" t="n"/>
      <c r="D414" s="10" t="n"/>
      <c r="E414" s="10" t="n"/>
      <c r="F414" s="10" t="n"/>
      <c r="G414" s="10" t="n"/>
      <c r="H414" s="10" t="n"/>
      <c r="I414" s="10" t="n"/>
      <c r="J414" s="12">
        <f>IF(OR(A414="",COUNT(C414:E414)&lt;3),"",IFERROR(MAX(0,FLOOR(($N$2-$N$3)/E414,1))*MAX(1,MIN(IF(G414="",1,G414),FLOOR($N$4/D414,1)))*IF(F414="",1,F414),""))</f>
        <v/>
      </c>
      <c r="K414" s="12">
        <f>IF(A414="","",IF(COUNTIF(DATA!$D$2:$D$500,A414)=0,"CEK SKU tidak ada di DATA",IF(COUNT(C414:E414)&lt;3,"CEK dimensi belum lengkap",IF(OR(C414&lt;=0,D414&lt;=0,E414&lt;=0),"CEK dimensi harus lebih dari 0",IF(COUNTIF($A$2:$A$500,A414)&gt;1,"CEK SKU dobel","OK")))))</f>
        <v/>
      </c>
    </row>
    <row r="415">
      <c r="A415" s="10" t="n"/>
      <c r="B415" s="12">
        <f>IF(A415="","",IFERROR(INDEX(DATA!$E$2:$E$500,MATCH(A415,DATA!$D$2:$D$500,0)),""))</f>
        <v/>
      </c>
      <c r="C415" s="10" t="n"/>
      <c r="D415" s="10" t="n"/>
      <c r="E415" s="10" t="n"/>
      <c r="F415" s="10" t="n"/>
      <c r="G415" s="10" t="n"/>
      <c r="H415" s="10" t="n"/>
      <c r="I415" s="10" t="n"/>
      <c r="J415" s="12">
        <f>IF(OR(A415="",COUNT(C415:E415)&lt;3),"",IFERROR(MAX(0,FLOOR(($N$2-$N$3)/E415,1))*MAX(1,MIN(IF(G415="",1,G415),FLOOR($N$4/D415,1)))*IF(F415="",1,F415),""))</f>
        <v/>
      </c>
      <c r="K415" s="12">
        <f>IF(A415="","",IF(COUNTIF(DATA!$D$2:$D$500,A415)=0,"CEK SKU tidak ada di DATA",IF(COUNT(C415:E415)&lt;3,"CEK dimensi belum lengkap",IF(OR(C415&lt;=0,D415&lt;=0,E415&lt;=0),"CEK dimensi harus lebih dari 0",IF(COUNTIF($A$2:$A$500,A415)&gt;1,"CEK SKU dobel","OK")))))</f>
        <v/>
      </c>
    </row>
    <row r="416">
      <c r="A416" s="10" t="n"/>
      <c r="B416" s="12">
        <f>IF(A416="","",IFERROR(INDEX(DATA!$E$2:$E$500,MATCH(A416,DATA!$D$2:$D$500,0)),""))</f>
        <v/>
      </c>
      <c r="C416" s="10" t="n"/>
      <c r="D416" s="10" t="n"/>
      <c r="E416" s="10" t="n"/>
      <c r="F416" s="10" t="n"/>
      <c r="G416" s="10" t="n"/>
      <c r="H416" s="10" t="n"/>
      <c r="I416" s="10" t="n"/>
      <c r="J416" s="12">
        <f>IF(OR(A416="",COUNT(C416:E416)&lt;3),"",IFERROR(MAX(0,FLOOR(($N$2-$N$3)/E416,1))*MAX(1,MIN(IF(G416="",1,G416),FLOOR($N$4/D416,1)))*IF(F416="",1,F416),""))</f>
        <v/>
      </c>
      <c r="K416" s="12">
        <f>IF(A416="","",IF(COUNTIF(DATA!$D$2:$D$500,A416)=0,"CEK SKU tidak ada di DATA",IF(COUNT(C416:E416)&lt;3,"CEK dimensi belum lengkap",IF(OR(C416&lt;=0,D416&lt;=0,E416&lt;=0),"CEK dimensi harus lebih dari 0",IF(COUNTIF($A$2:$A$500,A416)&gt;1,"CEK SKU dobel","OK")))))</f>
        <v/>
      </c>
    </row>
    <row r="417">
      <c r="A417" s="10" t="n"/>
      <c r="B417" s="12">
        <f>IF(A417="","",IFERROR(INDEX(DATA!$E$2:$E$500,MATCH(A417,DATA!$D$2:$D$500,0)),""))</f>
        <v/>
      </c>
      <c r="C417" s="10" t="n"/>
      <c r="D417" s="10" t="n"/>
      <c r="E417" s="10" t="n"/>
      <c r="F417" s="10" t="n"/>
      <c r="G417" s="10" t="n"/>
      <c r="H417" s="10" t="n"/>
      <c r="I417" s="10" t="n"/>
      <c r="J417" s="12">
        <f>IF(OR(A417="",COUNT(C417:E417)&lt;3),"",IFERROR(MAX(0,FLOOR(($N$2-$N$3)/E417,1))*MAX(1,MIN(IF(G417="",1,G417),FLOOR($N$4/D417,1)))*IF(F417="",1,F417),""))</f>
        <v/>
      </c>
      <c r="K417" s="12">
        <f>IF(A417="","",IF(COUNTIF(DATA!$D$2:$D$500,A417)=0,"CEK SKU tidak ada di DATA",IF(COUNT(C417:E417)&lt;3,"CEK dimensi belum lengkap",IF(OR(C417&lt;=0,D417&lt;=0,E417&lt;=0),"CEK dimensi harus lebih dari 0",IF(COUNTIF($A$2:$A$500,A417)&gt;1,"CEK SKU dobel","OK")))))</f>
        <v/>
      </c>
    </row>
    <row r="418">
      <c r="A418" s="10" t="n"/>
      <c r="B418" s="12">
        <f>IF(A418="","",IFERROR(INDEX(DATA!$E$2:$E$500,MATCH(A418,DATA!$D$2:$D$500,0)),""))</f>
        <v/>
      </c>
      <c r="C418" s="10" t="n"/>
      <c r="D418" s="10" t="n"/>
      <c r="E418" s="10" t="n"/>
      <c r="F418" s="10" t="n"/>
      <c r="G418" s="10" t="n"/>
      <c r="H418" s="10" t="n"/>
      <c r="I418" s="10" t="n"/>
      <c r="J418" s="12">
        <f>IF(OR(A418="",COUNT(C418:E418)&lt;3),"",IFERROR(MAX(0,FLOOR(($N$2-$N$3)/E418,1))*MAX(1,MIN(IF(G418="",1,G418),FLOOR($N$4/D418,1)))*IF(F418="",1,F418),""))</f>
        <v/>
      </c>
      <c r="K418" s="12">
        <f>IF(A418="","",IF(COUNTIF(DATA!$D$2:$D$500,A418)=0,"CEK SKU tidak ada di DATA",IF(COUNT(C418:E418)&lt;3,"CEK dimensi belum lengkap",IF(OR(C418&lt;=0,D418&lt;=0,E418&lt;=0),"CEK dimensi harus lebih dari 0",IF(COUNTIF($A$2:$A$500,A418)&gt;1,"CEK SKU dobel","OK")))))</f>
        <v/>
      </c>
    </row>
    <row r="419">
      <c r="A419" s="10" t="n"/>
      <c r="B419" s="12">
        <f>IF(A419="","",IFERROR(INDEX(DATA!$E$2:$E$500,MATCH(A419,DATA!$D$2:$D$500,0)),""))</f>
        <v/>
      </c>
      <c r="C419" s="10" t="n"/>
      <c r="D419" s="10" t="n"/>
      <c r="E419" s="10" t="n"/>
      <c r="F419" s="10" t="n"/>
      <c r="G419" s="10" t="n"/>
      <c r="H419" s="10" t="n"/>
      <c r="I419" s="10" t="n"/>
      <c r="J419" s="12">
        <f>IF(OR(A419="",COUNT(C419:E419)&lt;3),"",IFERROR(MAX(0,FLOOR(($N$2-$N$3)/E419,1))*MAX(1,MIN(IF(G419="",1,G419),FLOOR($N$4/D419,1)))*IF(F419="",1,F419),""))</f>
        <v/>
      </c>
      <c r="K419" s="12">
        <f>IF(A419="","",IF(COUNTIF(DATA!$D$2:$D$500,A419)=0,"CEK SKU tidak ada di DATA",IF(COUNT(C419:E419)&lt;3,"CEK dimensi belum lengkap",IF(OR(C419&lt;=0,D419&lt;=0,E419&lt;=0),"CEK dimensi harus lebih dari 0",IF(COUNTIF($A$2:$A$500,A419)&gt;1,"CEK SKU dobel","OK")))))</f>
        <v/>
      </c>
    </row>
    <row r="420">
      <c r="A420" s="10" t="n"/>
      <c r="B420" s="12">
        <f>IF(A420="","",IFERROR(INDEX(DATA!$E$2:$E$500,MATCH(A420,DATA!$D$2:$D$500,0)),""))</f>
        <v/>
      </c>
      <c r="C420" s="10" t="n"/>
      <c r="D420" s="10" t="n"/>
      <c r="E420" s="10" t="n"/>
      <c r="F420" s="10" t="n"/>
      <c r="G420" s="10" t="n"/>
      <c r="H420" s="10" t="n"/>
      <c r="I420" s="10" t="n"/>
      <c r="J420" s="12">
        <f>IF(OR(A420="",COUNT(C420:E420)&lt;3),"",IFERROR(MAX(0,FLOOR(($N$2-$N$3)/E420,1))*MAX(1,MIN(IF(G420="",1,G420),FLOOR($N$4/D420,1)))*IF(F420="",1,F420),""))</f>
        <v/>
      </c>
      <c r="K420" s="12">
        <f>IF(A420="","",IF(COUNTIF(DATA!$D$2:$D$500,A420)=0,"CEK SKU tidak ada di DATA",IF(COUNT(C420:E420)&lt;3,"CEK dimensi belum lengkap",IF(OR(C420&lt;=0,D420&lt;=0,E420&lt;=0),"CEK dimensi harus lebih dari 0",IF(COUNTIF($A$2:$A$500,A420)&gt;1,"CEK SKU dobel","OK")))))</f>
        <v/>
      </c>
    </row>
    <row r="421">
      <c r="A421" s="10" t="n"/>
      <c r="B421" s="12">
        <f>IF(A421="","",IFERROR(INDEX(DATA!$E$2:$E$500,MATCH(A421,DATA!$D$2:$D$500,0)),""))</f>
        <v/>
      </c>
      <c r="C421" s="10" t="n"/>
      <c r="D421" s="10" t="n"/>
      <c r="E421" s="10" t="n"/>
      <c r="F421" s="10" t="n"/>
      <c r="G421" s="10" t="n"/>
      <c r="H421" s="10" t="n"/>
      <c r="I421" s="10" t="n"/>
      <c r="J421" s="12">
        <f>IF(OR(A421="",COUNT(C421:E421)&lt;3),"",IFERROR(MAX(0,FLOOR(($N$2-$N$3)/E421,1))*MAX(1,MIN(IF(G421="",1,G421),FLOOR($N$4/D421,1)))*IF(F421="",1,F421),""))</f>
        <v/>
      </c>
      <c r="K421" s="12">
        <f>IF(A421="","",IF(COUNTIF(DATA!$D$2:$D$500,A421)=0,"CEK SKU tidak ada di DATA",IF(COUNT(C421:E421)&lt;3,"CEK dimensi belum lengkap",IF(OR(C421&lt;=0,D421&lt;=0,E421&lt;=0),"CEK dimensi harus lebih dari 0",IF(COUNTIF($A$2:$A$500,A421)&gt;1,"CEK SKU dobel","OK")))))</f>
        <v/>
      </c>
    </row>
    <row r="422">
      <c r="A422" s="10" t="n"/>
      <c r="B422" s="12">
        <f>IF(A422="","",IFERROR(INDEX(DATA!$E$2:$E$500,MATCH(A422,DATA!$D$2:$D$500,0)),""))</f>
        <v/>
      </c>
      <c r="C422" s="10" t="n"/>
      <c r="D422" s="10" t="n"/>
      <c r="E422" s="10" t="n"/>
      <c r="F422" s="10" t="n"/>
      <c r="G422" s="10" t="n"/>
      <c r="H422" s="10" t="n"/>
      <c r="I422" s="10" t="n"/>
      <c r="J422" s="12">
        <f>IF(OR(A422="",COUNT(C422:E422)&lt;3),"",IFERROR(MAX(0,FLOOR(($N$2-$N$3)/E422,1))*MAX(1,MIN(IF(G422="",1,G422),FLOOR($N$4/D422,1)))*IF(F422="",1,F422),""))</f>
        <v/>
      </c>
      <c r="K422" s="12">
        <f>IF(A422="","",IF(COUNTIF(DATA!$D$2:$D$500,A422)=0,"CEK SKU tidak ada di DATA",IF(COUNT(C422:E422)&lt;3,"CEK dimensi belum lengkap",IF(OR(C422&lt;=0,D422&lt;=0,E422&lt;=0),"CEK dimensi harus lebih dari 0",IF(COUNTIF($A$2:$A$500,A422)&gt;1,"CEK SKU dobel","OK")))))</f>
        <v/>
      </c>
    </row>
    <row r="423">
      <c r="A423" s="10" t="n"/>
      <c r="B423" s="12">
        <f>IF(A423="","",IFERROR(INDEX(DATA!$E$2:$E$500,MATCH(A423,DATA!$D$2:$D$500,0)),""))</f>
        <v/>
      </c>
      <c r="C423" s="10" t="n"/>
      <c r="D423" s="10" t="n"/>
      <c r="E423" s="10" t="n"/>
      <c r="F423" s="10" t="n"/>
      <c r="G423" s="10" t="n"/>
      <c r="H423" s="10" t="n"/>
      <c r="I423" s="10" t="n"/>
      <c r="J423" s="12">
        <f>IF(OR(A423="",COUNT(C423:E423)&lt;3),"",IFERROR(MAX(0,FLOOR(($N$2-$N$3)/E423,1))*MAX(1,MIN(IF(G423="",1,G423),FLOOR($N$4/D423,1)))*IF(F423="",1,F423),""))</f>
        <v/>
      </c>
      <c r="K423" s="12">
        <f>IF(A423="","",IF(COUNTIF(DATA!$D$2:$D$500,A423)=0,"CEK SKU tidak ada di DATA",IF(COUNT(C423:E423)&lt;3,"CEK dimensi belum lengkap",IF(OR(C423&lt;=0,D423&lt;=0,E423&lt;=0),"CEK dimensi harus lebih dari 0",IF(COUNTIF($A$2:$A$500,A423)&gt;1,"CEK SKU dobel","OK")))))</f>
        <v/>
      </c>
    </row>
    <row r="424">
      <c r="A424" s="10" t="n"/>
      <c r="B424" s="12">
        <f>IF(A424="","",IFERROR(INDEX(DATA!$E$2:$E$500,MATCH(A424,DATA!$D$2:$D$500,0)),""))</f>
        <v/>
      </c>
      <c r="C424" s="10" t="n"/>
      <c r="D424" s="10" t="n"/>
      <c r="E424" s="10" t="n"/>
      <c r="F424" s="10" t="n"/>
      <c r="G424" s="10" t="n"/>
      <c r="H424" s="10" t="n"/>
      <c r="I424" s="10" t="n"/>
      <c r="J424" s="12">
        <f>IF(OR(A424="",COUNT(C424:E424)&lt;3),"",IFERROR(MAX(0,FLOOR(($N$2-$N$3)/E424,1))*MAX(1,MIN(IF(G424="",1,G424),FLOOR($N$4/D424,1)))*IF(F424="",1,F424),""))</f>
        <v/>
      </c>
      <c r="K424" s="12">
        <f>IF(A424="","",IF(COUNTIF(DATA!$D$2:$D$500,A424)=0,"CEK SKU tidak ada di DATA",IF(COUNT(C424:E424)&lt;3,"CEK dimensi belum lengkap",IF(OR(C424&lt;=0,D424&lt;=0,E424&lt;=0),"CEK dimensi harus lebih dari 0",IF(COUNTIF($A$2:$A$500,A424)&gt;1,"CEK SKU dobel","OK")))))</f>
        <v/>
      </c>
    </row>
    <row r="425">
      <c r="A425" s="10" t="n"/>
      <c r="B425" s="12">
        <f>IF(A425="","",IFERROR(INDEX(DATA!$E$2:$E$500,MATCH(A425,DATA!$D$2:$D$500,0)),""))</f>
        <v/>
      </c>
      <c r="C425" s="10" t="n"/>
      <c r="D425" s="10" t="n"/>
      <c r="E425" s="10" t="n"/>
      <c r="F425" s="10" t="n"/>
      <c r="G425" s="10" t="n"/>
      <c r="H425" s="10" t="n"/>
      <c r="I425" s="10" t="n"/>
      <c r="J425" s="12">
        <f>IF(OR(A425="",COUNT(C425:E425)&lt;3),"",IFERROR(MAX(0,FLOOR(($N$2-$N$3)/E425,1))*MAX(1,MIN(IF(G425="",1,G425),FLOOR($N$4/D425,1)))*IF(F425="",1,F425),""))</f>
        <v/>
      </c>
      <c r="K425" s="12">
        <f>IF(A425="","",IF(COUNTIF(DATA!$D$2:$D$500,A425)=0,"CEK SKU tidak ada di DATA",IF(COUNT(C425:E425)&lt;3,"CEK dimensi belum lengkap",IF(OR(C425&lt;=0,D425&lt;=0,E425&lt;=0),"CEK dimensi harus lebih dari 0",IF(COUNTIF($A$2:$A$500,A425)&gt;1,"CEK SKU dobel","OK")))))</f>
        <v/>
      </c>
    </row>
    <row r="426">
      <c r="A426" s="10" t="n"/>
      <c r="B426" s="12">
        <f>IF(A426="","",IFERROR(INDEX(DATA!$E$2:$E$500,MATCH(A426,DATA!$D$2:$D$500,0)),""))</f>
        <v/>
      </c>
      <c r="C426" s="10" t="n"/>
      <c r="D426" s="10" t="n"/>
      <c r="E426" s="10" t="n"/>
      <c r="F426" s="10" t="n"/>
      <c r="G426" s="10" t="n"/>
      <c r="H426" s="10" t="n"/>
      <c r="I426" s="10" t="n"/>
      <c r="J426" s="12">
        <f>IF(OR(A426="",COUNT(C426:E426)&lt;3),"",IFERROR(MAX(0,FLOOR(($N$2-$N$3)/E426,1))*MAX(1,MIN(IF(G426="",1,G426),FLOOR($N$4/D426,1)))*IF(F426="",1,F426),""))</f>
        <v/>
      </c>
      <c r="K426" s="12">
        <f>IF(A426="","",IF(COUNTIF(DATA!$D$2:$D$500,A426)=0,"CEK SKU tidak ada di DATA",IF(COUNT(C426:E426)&lt;3,"CEK dimensi belum lengkap",IF(OR(C426&lt;=0,D426&lt;=0,E426&lt;=0),"CEK dimensi harus lebih dari 0",IF(COUNTIF($A$2:$A$500,A426)&gt;1,"CEK SKU dobel","OK")))))</f>
        <v/>
      </c>
    </row>
    <row r="427">
      <c r="A427" s="10" t="n"/>
      <c r="B427" s="12">
        <f>IF(A427="","",IFERROR(INDEX(DATA!$E$2:$E$500,MATCH(A427,DATA!$D$2:$D$500,0)),""))</f>
        <v/>
      </c>
      <c r="C427" s="10" t="n"/>
      <c r="D427" s="10" t="n"/>
      <c r="E427" s="10" t="n"/>
      <c r="F427" s="10" t="n"/>
      <c r="G427" s="10" t="n"/>
      <c r="H427" s="10" t="n"/>
      <c r="I427" s="10" t="n"/>
      <c r="J427" s="12">
        <f>IF(OR(A427="",COUNT(C427:E427)&lt;3),"",IFERROR(MAX(0,FLOOR(($N$2-$N$3)/E427,1))*MAX(1,MIN(IF(G427="",1,G427),FLOOR($N$4/D427,1)))*IF(F427="",1,F427),""))</f>
        <v/>
      </c>
      <c r="K427" s="12">
        <f>IF(A427="","",IF(COUNTIF(DATA!$D$2:$D$500,A427)=0,"CEK SKU tidak ada di DATA",IF(COUNT(C427:E427)&lt;3,"CEK dimensi belum lengkap",IF(OR(C427&lt;=0,D427&lt;=0,E427&lt;=0),"CEK dimensi harus lebih dari 0",IF(COUNTIF($A$2:$A$500,A427)&gt;1,"CEK SKU dobel","OK")))))</f>
        <v/>
      </c>
    </row>
    <row r="428">
      <c r="A428" s="10" t="n"/>
      <c r="B428" s="12">
        <f>IF(A428="","",IFERROR(INDEX(DATA!$E$2:$E$500,MATCH(A428,DATA!$D$2:$D$500,0)),""))</f>
        <v/>
      </c>
      <c r="C428" s="10" t="n"/>
      <c r="D428" s="10" t="n"/>
      <c r="E428" s="10" t="n"/>
      <c r="F428" s="10" t="n"/>
      <c r="G428" s="10" t="n"/>
      <c r="H428" s="10" t="n"/>
      <c r="I428" s="10" t="n"/>
      <c r="J428" s="12">
        <f>IF(OR(A428="",COUNT(C428:E428)&lt;3),"",IFERROR(MAX(0,FLOOR(($N$2-$N$3)/E428,1))*MAX(1,MIN(IF(G428="",1,G428),FLOOR($N$4/D428,1)))*IF(F428="",1,F428),""))</f>
        <v/>
      </c>
      <c r="K428" s="12">
        <f>IF(A428="","",IF(COUNTIF(DATA!$D$2:$D$500,A428)=0,"CEK SKU tidak ada di DATA",IF(COUNT(C428:E428)&lt;3,"CEK dimensi belum lengkap",IF(OR(C428&lt;=0,D428&lt;=0,E428&lt;=0),"CEK dimensi harus lebih dari 0",IF(COUNTIF($A$2:$A$500,A428)&gt;1,"CEK SKU dobel","OK")))))</f>
        <v/>
      </c>
    </row>
    <row r="429">
      <c r="A429" s="10" t="n"/>
      <c r="B429" s="12">
        <f>IF(A429="","",IFERROR(INDEX(DATA!$E$2:$E$500,MATCH(A429,DATA!$D$2:$D$500,0)),""))</f>
        <v/>
      </c>
      <c r="C429" s="10" t="n"/>
      <c r="D429" s="10" t="n"/>
      <c r="E429" s="10" t="n"/>
      <c r="F429" s="10" t="n"/>
      <c r="G429" s="10" t="n"/>
      <c r="H429" s="10" t="n"/>
      <c r="I429" s="10" t="n"/>
      <c r="J429" s="12">
        <f>IF(OR(A429="",COUNT(C429:E429)&lt;3),"",IFERROR(MAX(0,FLOOR(($N$2-$N$3)/E429,1))*MAX(1,MIN(IF(G429="",1,G429),FLOOR($N$4/D429,1)))*IF(F429="",1,F429),""))</f>
        <v/>
      </c>
      <c r="K429" s="12">
        <f>IF(A429="","",IF(COUNTIF(DATA!$D$2:$D$500,A429)=0,"CEK SKU tidak ada di DATA",IF(COUNT(C429:E429)&lt;3,"CEK dimensi belum lengkap",IF(OR(C429&lt;=0,D429&lt;=0,E429&lt;=0),"CEK dimensi harus lebih dari 0",IF(COUNTIF($A$2:$A$500,A429)&gt;1,"CEK SKU dobel","OK")))))</f>
        <v/>
      </c>
    </row>
    <row r="430">
      <c r="A430" s="10" t="n"/>
      <c r="B430" s="12">
        <f>IF(A430="","",IFERROR(INDEX(DATA!$E$2:$E$500,MATCH(A430,DATA!$D$2:$D$500,0)),""))</f>
        <v/>
      </c>
      <c r="C430" s="10" t="n"/>
      <c r="D430" s="10" t="n"/>
      <c r="E430" s="10" t="n"/>
      <c r="F430" s="10" t="n"/>
      <c r="G430" s="10" t="n"/>
      <c r="H430" s="10" t="n"/>
      <c r="I430" s="10" t="n"/>
      <c r="J430" s="12">
        <f>IF(OR(A430="",COUNT(C430:E430)&lt;3),"",IFERROR(MAX(0,FLOOR(($N$2-$N$3)/E430,1))*MAX(1,MIN(IF(G430="",1,G430),FLOOR($N$4/D430,1)))*IF(F430="",1,F430),""))</f>
        <v/>
      </c>
      <c r="K430" s="12">
        <f>IF(A430="","",IF(COUNTIF(DATA!$D$2:$D$500,A430)=0,"CEK SKU tidak ada di DATA",IF(COUNT(C430:E430)&lt;3,"CEK dimensi belum lengkap",IF(OR(C430&lt;=0,D430&lt;=0,E430&lt;=0),"CEK dimensi harus lebih dari 0",IF(COUNTIF($A$2:$A$500,A430)&gt;1,"CEK SKU dobel","OK")))))</f>
        <v/>
      </c>
    </row>
    <row r="431">
      <c r="A431" s="10" t="n"/>
      <c r="B431" s="12">
        <f>IF(A431="","",IFERROR(INDEX(DATA!$E$2:$E$500,MATCH(A431,DATA!$D$2:$D$500,0)),""))</f>
        <v/>
      </c>
      <c r="C431" s="10" t="n"/>
      <c r="D431" s="10" t="n"/>
      <c r="E431" s="10" t="n"/>
      <c r="F431" s="10" t="n"/>
      <c r="G431" s="10" t="n"/>
      <c r="H431" s="10" t="n"/>
      <c r="I431" s="10" t="n"/>
      <c r="J431" s="12">
        <f>IF(OR(A431="",COUNT(C431:E431)&lt;3),"",IFERROR(MAX(0,FLOOR(($N$2-$N$3)/E431,1))*MAX(1,MIN(IF(G431="",1,G431),FLOOR($N$4/D431,1)))*IF(F431="",1,F431),""))</f>
        <v/>
      </c>
      <c r="K431" s="12">
        <f>IF(A431="","",IF(COUNTIF(DATA!$D$2:$D$500,A431)=0,"CEK SKU tidak ada di DATA",IF(COUNT(C431:E431)&lt;3,"CEK dimensi belum lengkap",IF(OR(C431&lt;=0,D431&lt;=0,E431&lt;=0),"CEK dimensi harus lebih dari 0",IF(COUNTIF($A$2:$A$500,A431)&gt;1,"CEK SKU dobel","OK")))))</f>
        <v/>
      </c>
    </row>
    <row r="432">
      <c r="A432" s="10" t="n"/>
      <c r="B432" s="12">
        <f>IF(A432="","",IFERROR(INDEX(DATA!$E$2:$E$500,MATCH(A432,DATA!$D$2:$D$500,0)),""))</f>
        <v/>
      </c>
      <c r="C432" s="10" t="n"/>
      <c r="D432" s="10" t="n"/>
      <c r="E432" s="10" t="n"/>
      <c r="F432" s="10" t="n"/>
      <c r="G432" s="10" t="n"/>
      <c r="H432" s="10" t="n"/>
      <c r="I432" s="10" t="n"/>
      <c r="J432" s="12">
        <f>IF(OR(A432="",COUNT(C432:E432)&lt;3),"",IFERROR(MAX(0,FLOOR(($N$2-$N$3)/E432,1))*MAX(1,MIN(IF(G432="",1,G432),FLOOR($N$4/D432,1)))*IF(F432="",1,F432),""))</f>
        <v/>
      </c>
      <c r="K432" s="12">
        <f>IF(A432="","",IF(COUNTIF(DATA!$D$2:$D$500,A432)=0,"CEK SKU tidak ada di DATA",IF(COUNT(C432:E432)&lt;3,"CEK dimensi belum lengkap",IF(OR(C432&lt;=0,D432&lt;=0,E432&lt;=0),"CEK dimensi harus lebih dari 0",IF(COUNTIF($A$2:$A$500,A432)&gt;1,"CEK SKU dobel","OK")))))</f>
        <v/>
      </c>
    </row>
    <row r="433">
      <c r="A433" s="10" t="n"/>
      <c r="B433" s="12">
        <f>IF(A433="","",IFERROR(INDEX(DATA!$E$2:$E$500,MATCH(A433,DATA!$D$2:$D$500,0)),""))</f>
        <v/>
      </c>
      <c r="C433" s="10" t="n"/>
      <c r="D433" s="10" t="n"/>
      <c r="E433" s="10" t="n"/>
      <c r="F433" s="10" t="n"/>
      <c r="G433" s="10" t="n"/>
      <c r="H433" s="10" t="n"/>
      <c r="I433" s="10" t="n"/>
      <c r="J433" s="12">
        <f>IF(OR(A433="",COUNT(C433:E433)&lt;3),"",IFERROR(MAX(0,FLOOR(($N$2-$N$3)/E433,1))*MAX(1,MIN(IF(G433="",1,G433),FLOOR($N$4/D433,1)))*IF(F433="",1,F433),""))</f>
        <v/>
      </c>
      <c r="K433" s="12">
        <f>IF(A433="","",IF(COUNTIF(DATA!$D$2:$D$500,A433)=0,"CEK SKU tidak ada di DATA",IF(COUNT(C433:E433)&lt;3,"CEK dimensi belum lengkap",IF(OR(C433&lt;=0,D433&lt;=0,E433&lt;=0),"CEK dimensi harus lebih dari 0",IF(COUNTIF($A$2:$A$500,A433)&gt;1,"CEK SKU dobel","OK")))))</f>
        <v/>
      </c>
    </row>
    <row r="434">
      <c r="A434" s="10" t="n"/>
      <c r="B434" s="12">
        <f>IF(A434="","",IFERROR(INDEX(DATA!$E$2:$E$500,MATCH(A434,DATA!$D$2:$D$500,0)),""))</f>
        <v/>
      </c>
      <c r="C434" s="10" t="n"/>
      <c r="D434" s="10" t="n"/>
      <c r="E434" s="10" t="n"/>
      <c r="F434" s="10" t="n"/>
      <c r="G434" s="10" t="n"/>
      <c r="H434" s="10" t="n"/>
      <c r="I434" s="10" t="n"/>
      <c r="J434" s="12">
        <f>IF(OR(A434="",COUNT(C434:E434)&lt;3),"",IFERROR(MAX(0,FLOOR(($N$2-$N$3)/E434,1))*MAX(1,MIN(IF(G434="",1,G434),FLOOR($N$4/D434,1)))*IF(F434="",1,F434),""))</f>
        <v/>
      </c>
      <c r="K434" s="12">
        <f>IF(A434="","",IF(COUNTIF(DATA!$D$2:$D$500,A434)=0,"CEK SKU tidak ada di DATA",IF(COUNT(C434:E434)&lt;3,"CEK dimensi belum lengkap",IF(OR(C434&lt;=0,D434&lt;=0,E434&lt;=0),"CEK dimensi harus lebih dari 0",IF(COUNTIF($A$2:$A$500,A434)&gt;1,"CEK SKU dobel","OK")))))</f>
        <v/>
      </c>
    </row>
    <row r="435">
      <c r="A435" s="10" t="n"/>
      <c r="B435" s="12">
        <f>IF(A435="","",IFERROR(INDEX(DATA!$E$2:$E$500,MATCH(A435,DATA!$D$2:$D$500,0)),""))</f>
        <v/>
      </c>
      <c r="C435" s="10" t="n"/>
      <c r="D435" s="10" t="n"/>
      <c r="E435" s="10" t="n"/>
      <c r="F435" s="10" t="n"/>
      <c r="G435" s="10" t="n"/>
      <c r="H435" s="10" t="n"/>
      <c r="I435" s="10" t="n"/>
      <c r="J435" s="12">
        <f>IF(OR(A435="",COUNT(C435:E435)&lt;3),"",IFERROR(MAX(0,FLOOR(($N$2-$N$3)/E435,1))*MAX(1,MIN(IF(G435="",1,G435),FLOOR($N$4/D435,1)))*IF(F435="",1,F435),""))</f>
        <v/>
      </c>
      <c r="K435" s="12">
        <f>IF(A435="","",IF(COUNTIF(DATA!$D$2:$D$500,A435)=0,"CEK SKU tidak ada di DATA",IF(COUNT(C435:E435)&lt;3,"CEK dimensi belum lengkap",IF(OR(C435&lt;=0,D435&lt;=0,E435&lt;=0),"CEK dimensi harus lebih dari 0",IF(COUNTIF($A$2:$A$500,A435)&gt;1,"CEK SKU dobel","OK")))))</f>
        <v/>
      </c>
    </row>
    <row r="436">
      <c r="A436" s="10" t="n"/>
      <c r="B436" s="12">
        <f>IF(A436="","",IFERROR(INDEX(DATA!$E$2:$E$500,MATCH(A436,DATA!$D$2:$D$500,0)),""))</f>
        <v/>
      </c>
      <c r="C436" s="10" t="n"/>
      <c r="D436" s="10" t="n"/>
      <c r="E436" s="10" t="n"/>
      <c r="F436" s="10" t="n"/>
      <c r="G436" s="10" t="n"/>
      <c r="H436" s="10" t="n"/>
      <c r="I436" s="10" t="n"/>
      <c r="J436" s="12">
        <f>IF(OR(A436="",COUNT(C436:E436)&lt;3),"",IFERROR(MAX(0,FLOOR(($N$2-$N$3)/E436,1))*MAX(1,MIN(IF(G436="",1,G436),FLOOR($N$4/D436,1)))*IF(F436="",1,F436),""))</f>
        <v/>
      </c>
      <c r="K436" s="12">
        <f>IF(A436="","",IF(COUNTIF(DATA!$D$2:$D$500,A436)=0,"CEK SKU tidak ada di DATA",IF(COUNT(C436:E436)&lt;3,"CEK dimensi belum lengkap",IF(OR(C436&lt;=0,D436&lt;=0,E436&lt;=0),"CEK dimensi harus lebih dari 0",IF(COUNTIF($A$2:$A$500,A436)&gt;1,"CEK SKU dobel","OK")))))</f>
        <v/>
      </c>
    </row>
    <row r="437">
      <c r="A437" s="10" t="n"/>
      <c r="B437" s="12">
        <f>IF(A437="","",IFERROR(INDEX(DATA!$E$2:$E$500,MATCH(A437,DATA!$D$2:$D$500,0)),""))</f>
        <v/>
      </c>
      <c r="C437" s="10" t="n"/>
      <c r="D437" s="10" t="n"/>
      <c r="E437" s="10" t="n"/>
      <c r="F437" s="10" t="n"/>
      <c r="G437" s="10" t="n"/>
      <c r="H437" s="10" t="n"/>
      <c r="I437" s="10" t="n"/>
      <c r="J437" s="12">
        <f>IF(OR(A437="",COUNT(C437:E437)&lt;3),"",IFERROR(MAX(0,FLOOR(($N$2-$N$3)/E437,1))*MAX(1,MIN(IF(G437="",1,G437),FLOOR($N$4/D437,1)))*IF(F437="",1,F437),""))</f>
        <v/>
      </c>
      <c r="K437" s="12">
        <f>IF(A437="","",IF(COUNTIF(DATA!$D$2:$D$500,A437)=0,"CEK SKU tidak ada di DATA",IF(COUNT(C437:E437)&lt;3,"CEK dimensi belum lengkap",IF(OR(C437&lt;=0,D437&lt;=0,E437&lt;=0),"CEK dimensi harus lebih dari 0",IF(COUNTIF($A$2:$A$500,A437)&gt;1,"CEK SKU dobel","OK")))))</f>
        <v/>
      </c>
    </row>
    <row r="438">
      <c r="A438" s="10" t="n"/>
      <c r="B438" s="12">
        <f>IF(A438="","",IFERROR(INDEX(DATA!$E$2:$E$500,MATCH(A438,DATA!$D$2:$D$500,0)),""))</f>
        <v/>
      </c>
      <c r="C438" s="10" t="n"/>
      <c r="D438" s="10" t="n"/>
      <c r="E438" s="10" t="n"/>
      <c r="F438" s="10" t="n"/>
      <c r="G438" s="10" t="n"/>
      <c r="H438" s="10" t="n"/>
      <c r="I438" s="10" t="n"/>
      <c r="J438" s="12">
        <f>IF(OR(A438="",COUNT(C438:E438)&lt;3),"",IFERROR(MAX(0,FLOOR(($N$2-$N$3)/E438,1))*MAX(1,MIN(IF(G438="",1,G438),FLOOR($N$4/D438,1)))*IF(F438="",1,F438),""))</f>
        <v/>
      </c>
      <c r="K438" s="12">
        <f>IF(A438="","",IF(COUNTIF(DATA!$D$2:$D$500,A438)=0,"CEK SKU tidak ada di DATA",IF(COUNT(C438:E438)&lt;3,"CEK dimensi belum lengkap",IF(OR(C438&lt;=0,D438&lt;=0,E438&lt;=0),"CEK dimensi harus lebih dari 0",IF(COUNTIF($A$2:$A$500,A438)&gt;1,"CEK SKU dobel","OK")))))</f>
        <v/>
      </c>
    </row>
    <row r="439">
      <c r="A439" s="10" t="n"/>
      <c r="B439" s="12">
        <f>IF(A439="","",IFERROR(INDEX(DATA!$E$2:$E$500,MATCH(A439,DATA!$D$2:$D$500,0)),""))</f>
        <v/>
      </c>
      <c r="C439" s="10" t="n"/>
      <c r="D439" s="10" t="n"/>
      <c r="E439" s="10" t="n"/>
      <c r="F439" s="10" t="n"/>
      <c r="G439" s="10" t="n"/>
      <c r="H439" s="10" t="n"/>
      <c r="I439" s="10" t="n"/>
      <c r="J439" s="12">
        <f>IF(OR(A439="",COUNT(C439:E439)&lt;3),"",IFERROR(MAX(0,FLOOR(($N$2-$N$3)/E439,1))*MAX(1,MIN(IF(G439="",1,G439),FLOOR($N$4/D439,1)))*IF(F439="",1,F439),""))</f>
        <v/>
      </c>
      <c r="K439" s="12">
        <f>IF(A439="","",IF(COUNTIF(DATA!$D$2:$D$500,A439)=0,"CEK SKU tidak ada di DATA",IF(COUNT(C439:E439)&lt;3,"CEK dimensi belum lengkap",IF(OR(C439&lt;=0,D439&lt;=0,E439&lt;=0),"CEK dimensi harus lebih dari 0",IF(COUNTIF($A$2:$A$500,A439)&gt;1,"CEK SKU dobel","OK")))))</f>
        <v/>
      </c>
    </row>
    <row r="440">
      <c r="A440" s="10" t="n"/>
      <c r="B440" s="12">
        <f>IF(A440="","",IFERROR(INDEX(DATA!$E$2:$E$500,MATCH(A440,DATA!$D$2:$D$500,0)),""))</f>
        <v/>
      </c>
      <c r="C440" s="10" t="n"/>
      <c r="D440" s="10" t="n"/>
      <c r="E440" s="10" t="n"/>
      <c r="F440" s="10" t="n"/>
      <c r="G440" s="10" t="n"/>
      <c r="H440" s="10" t="n"/>
      <c r="I440" s="10" t="n"/>
      <c r="J440" s="12">
        <f>IF(OR(A440="",COUNT(C440:E440)&lt;3),"",IFERROR(MAX(0,FLOOR(($N$2-$N$3)/E440,1))*MAX(1,MIN(IF(G440="",1,G440),FLOOR($N$4/D440,1)))*IF(F440="",1,F440),""))</f>
        <v/>
      </c>
      <c r="K440" s="12">
        <f>IF(A440="","",IF(COUNTIF(DATA!$D$2:$D$500,A440)=0,"CEK SKU tidak ada di DATA",IF(COUNT(C440:E440)&lt;3,"CEK dimensi belum lengkap",IF(OR(C440&lt;=0,D440&lt;=0,E440&lt;=0),"CEK dimensi harus lebih dari 0",IF(COUNTIF($A$2:$A$500,A440)&gt;1,"CEK SKU dobel","OK")))))</f>
        <v/>
      </c>
    </row>
    <row r="441">
      <c r="A441" s="10" t="n"/>
      <c r="B441" s="12">
        <f>IF(A441="","",IFERROR(INDEX(DATA!$E$2:$E$500,MATCH(A441,DATA!$D$2:$D$500,0)),""))</f>
        <v/>
      </c>
      <c r="C441" s="10" t="n"/>
      <c r="D441" s="10" t="n"/>
      <c r="E441" s="10" t="n"/>
      <c r="F441" s="10" t="n"/>
      <c r="G441" s="10" t="n"/>
      <c r="H441" s="10" t="n"/>
      <c r="I441" s="10" t="n"/>
      <c r="J441" s="12">
        <f>IF(OR(A441="",COUNT(C441:E441)&lt;3),"",IFERROR(MAX(0,FLOOR(($N$2-$N$3)/E441,1))*MAX(1,MIN(IF(G441="",1,G441),FLOOR($N$4/D441,1)))*IF(F441="",1,F441),""))</f>
        <v/>
      </c>
      <c r="K441" s="12">
        <f>IF(A441="","",IF(COUNTIF(DATA!$D$2:$D$500,A441)=0,"CEK SKU tidak ada di DATA",IF(COUNT(C441:E441)&lt;3,"CEK dimensi belum lengkap",IF(OR(C441&lt;=0,D441&lt;=0,E441&lt;=0),"CEK dimensi harus lebih dari 0",IF(COUNTIF($A$2:$A$500,A441)&gt;1,"CEK SKU dobel","OK")))))</f>
        <v/>
      </c>
    </row>
    <row r="442">
      <c r="A442" s="10" t="n"/>
      <c r="B442" s="12">
        <f>IF(A442="","",IFERROR(INDEX(DATA!$E$2:$E$500,MATCH(A442,DATA!$D$2:$D$500,0)),""))</f>
        <v/>
      </c>
      <c r="C442" s="10" t="n"/>
      <c r="D442" s="10" t="n"/>
      <c r="E442" s="10" t="n"/>
      <c r="F442" s="10" t="n"/>
      <c r="G442" s="10" t="n"/>
      <c r="H442" s="10" t="n"/>
      <c r="I442" s="10" t="n"/>
      <c r="J442" s="12">
        <f>IF(OR(A442="",COUNT(C442:E442)&lt;3),"",IFERROR(MAX(0,FLOOR(($N$2-$N$3)/E442,1))*MAX(1,MIN(IF(G442="",1,G442),FLOOR($N$4/D442,1)))*IF(F442="",1,F442),""))</f>
        <v/>
      </c>
      <c r="K442" s="12">
        <f>IF(A442="","",IF(COUNTIF(DATA!$D$2:$D$500,A442)=0,"CEK SKU tidak ada di DATA",IF(COUNT(C442:E442)&lt;3,"CEK dimensi belum lengkap",IF(OR(C442&lt;=0,D442&lt;=0,E442&lt;=0),"CEK dimensi harus lebih dari 0",IF(COUNTIF($A$2:$A$500,A442)&gt;1,"CEK SKU dobel","OK")))))</f>
        <v/>
      </c>
    </row>
    <row r="443">
      <c r="A443" s="10" t="n"/>
      <c r="B443" s="12">
        <f>IF(A443="","",IFERROR(INDEX(DATA!$E$2:$E$500,MATCH(A443,DATA!$D$2:$D$500,0)),""))</f>
        <v/>
      </c>
      <c r="C443" s="10" t="n"/>
      <c r="D443" s="10" t="n"/>
      <c r="E443" s="10" t="n"/>
      <c r="F443" s="10" t="n"/>
      <c r="G443" s="10" t="n"/>
      <c r="H443" s="10" t="n"/>
      <c r="I443" s="10" t="n"/>
      <c r="J443" s="12">
        <f>IF(OR(A443="",COUNT(C443:E443)&lt;3),"",IFERROR(MAX(0,FLOOR(($N$2-$N$3)/E443,1))*MAX(1,MIN(IF(G443="",1,G443),FLOOR($N$4/D443,1)))*IF(F443="",1,F443),""))</f>
        <v/>
      </c>
      <c r="K443" s="12">
        <f>IF(A443="","",IF(COUNTIF(DATA!$D$2:$D$500,A443)=0,"CEK SKU tidak ada di DATA",IF(COUNT(C443:E443)&lt;3,"CEK dimensi belum lengkap",IF(OR(C443&lt;=0,D443&lt;=0,E443&lt;=0),"CEK dimensi harus lebih dari 0",IF(COUNTIF($A$2:$A$500,A443)&gt;1,"CEK SKU dobel","OK")))))</f>
        <v/>
      </c>
    </row>
    <row r="444">
      <c r="A444" s="10" t="n"/>
      <c r="B444" s="12">
        <f>IF(A444="","",IFERROR(INDEX(DATA!$E$2:$E$500,MATCH(A444,DATA!$D$2:$D$500,0)),""))</f>
        <v/>
      </c>
      <c r="C444" s="10" t="n"/>
      <c r="D444" s="10" t="n"/>
      <c r="E444" s="10" t="n"/>
      <c r="F444" s="10" t="n"/>
      <c r="G444" s="10" t="n"/>
      <c r="H444" s="10" t="n"/>
      <c r="I444" s="10" t="n"/>
      <c r="J444" s="12">
        <f>IF(OR(A444="",COUNT(C444:E444)&lt;3),"",IFERROR(MAX(0,FLOOR(($N$2-$N$3)/E444,1))*MAX(1,MIN(IF(G444="",1,G444),FLOOR($N$4/D444,1)))*IF(F444="",1,F444),""))</f>
        <v/>
      </c>
      <c r="K444" s="12">
        <f>IF(A444="","",IF(COUNTIF(DATA!$D$2:$D$500,A444)=0,"CEK SKU tidak ada di DATA",IF(COUNT(C444:E444)&lt;3,"CEK dimensi belum lengkap",IF(OR(C444&lt;=0,D444&lt;=0,E444&lt;=0),"CEK dimensi harus lebih dari 0",IF(COUNTIF($A$2:$A$500,A444)&gt;1,"CEK SKU dobel","OK")))))</f>
        <v/>
      </c>
    </row>
    <row r="445">
      <c r="A445" s="10" t="n"/>
      <c r="B445" s="12">
        <f>IF(A445="","",IFERROR(INDEX(DATA!$E$2:$E$500,MATCH(A445,DATA!$D$2:$D$500,0)),""))</f>
        <v/>
      </c>
      <c r="C445" s="10" t="n"/>
      <c r="D445" s="10" t="n"/>
      <c r="E445" s="10" t="n"/>
      <c r="F445" s="10" t="n"/>
      <c r="G445" s="10" t="n"/>
      <c r="H445" s="10" t="n"/>
      <c r="I445" s="10" t="n"/>
      <c r="J445" s="12">
        <f>IF(OR(A445="",COUNT(C445:E445)&lt;3),"",IFERROR(MAX(0,FLOOR(($N$2-$N$3)/E445,1))*MAX(1,MIN(IF(G445="",1,G445),FLOOR($N$4/D445,1)))*IF(F445="",1,F445),""))</f>
        <v/>
      </c>
      <c r="K445" s="12">
        <f>IF(A445="","",IF(COUNTIF(DATA!$D$2:$D$500,A445)=0,"CEK SKU tidak ada di DATA",IF(COUNT(C445:E445)&lt;3,"CEK dimensi belum lengkap",IF(OR(C445&lt;=0,D445&lt;=0,E445&lt;=0),"CEK dimensi harus lebih dari 0",IF(COUNTIF($A$2:$A$500,A445)&gt;1,"CEK SKU dobel","OK")))))</f>
        <v/>
      </c>
    </row>
    <row r="446">
      <c r="A446" s="10" t="n"/>
      <c r="B446" s="12">
        <f>IF(A446="","",IFERROR(INDEX(DATA!$E$2:$E$500,MATCH(A446,DATA!$D$2:$D$500,0)),""))</f>
        <v/>
      </c>
      <c r="C446" s="10" t="n"/>
      <c r="D446" s="10" t="n"/>
      <c r="E446" s="10" t="n"/>
      <c r="F446" s="10" t="n"/>
      <c r="G446" s="10" t="n"/>
      <c r="H446" s="10" t="n"/>
      <c r="I446" s="10" t="n"/>
      <c r="J446" s="12">
        <f>IF(OR(A446="",COUNT(C446:E446)&lt;3),"",IFERROR(MAX(0,FLOOR(($N$2-$N$3)/E446,1))*MAX(1,MIN(IF(G446="",1,G446),FLOOR($N$4/D446,1)))*IF(F446="",1,F446),""))</f>
        <v/>
      </c>
      <c r="K446" s="12">
        <f>IF(A446="","",IF(COUNTIF(DATA!$D$2:$D$500,A446)=0,"CEK SKU tidak ada di DATA",IF(COUNT(C446:E446)&lt;3,"CEK dimensi belum lengkap",IF(OR(C446&lt;=0,D446&lt;=0,E446&lt;=0),"CEK dimensi harus lebih dari 0",IF(COUNTIF($A$2:$A$500,A446)&gt;1,"CEK SKU dobel","OK")))))</f>
        <v/>
      </c>
    </row>
    <row r="447">
      <c r="A447" s="10" t="n"/>
      <c r="B447" s="12">
        <f>IF(A447="","",IFERROR(INDEX(DATA!$E$2:$E$500,MATCH(A447,DATA!$D$2:$D$500,0)),""))</f>
        <v/>
      </c>
      <c r="C447" s="10" t="n"/>
      <c r="D447" s="10" t="n"/>
      <c r="E447" s="10" t="n"/>
      <c r="F447" s="10" t="n"/>
      <c r="G447" s="10" t="n"/>
      <c r="H447" s="10" t="n"/>
      <c r="I447" s="10" t="n"/>
      <c r="J447" s="12">
        <f>IF(OR(A447="",COUNT(C447:E447)&lt;3),"",IFERROR(MAX(0,FLOOR(($N$2-$N$3)/E447,1))*MAX(1,MIN(IF(G447="",1,G447),FLOOR($N$4/D447,1)))*IF(F447="",1,F447),""))</f>
        <v/>
      </c>
      <c r="K447" s="12">
        <f>IF(A447="","",IF(COUNTIF(DATA!$D$2:$D$500,A447)=0,"CEK SKU tidak ada di DATA",IF(COUNT(C447:E447)&lt;3,"CEK dimensi belum lengkap",IF(OR(C447&lt;=0,D447&lt;=0,E447&lt;=0),"CEK dimensi harus lebih dari 0",IF(COUNTIF($A$2:$A$500,A447)&gt;1,"CEK SKU dobel","OK")))))</f>
        <v/>
      </c>
    </row>
    <row r="448">
      <c r="A448" s="10" t="n"/>
      <c r="B448" s="12">
        <f>IF(A448="","",IFERROR(INDEX(DATA!$E$2:$E$500,MATCH(A448,DATA!$D$2:$D$500,0)),""))</f>
        <v/>
      </c>
      <c r="C448" s="10" t="n"/>
      <c r="D448" s="10" t="n"/>
      <c r="E448" s="10" t="n"/>
      <c r="F448" s="10" t="n"/>
      <c r="G448" s="10" t="n"/>
      <c r="H448" s="10" t="n"/>
      <c r="I448" s="10" t="n"/>
      <c r="J448" s="12">
        <f>IF(OR(A448="",COUNT(C448:E448)&lt;3),"",IFERROR(MAX(0,FLOOR(($N$2-$N$3)/E448,1))*MAX(1,MIN(IF(G448="",1,G448),FLOOR($N$4/D448,1)))*IF(F448="",1,F448),""))</f>
        <v/>
      </c>
      <c r="K448" s="12">
        <f>IF(A448="","",IF(COUNTIF(DATA!$D$2:$D$500,A448)=0,"CEK SKU tidak ada di DATA",IF(COUNT(C448:E448)&lt;3,"CEK dimensi belum lengkap",IF(OR(C448&lt;=0,D448&lt;=0,E448&lt;=0),"CEK dimensi harus lebih dari 0",IF(COUNTIF($A$2:$A$500,A448)&gt;1,"CEK SKU dobel","OK")))))</f>
        <v/>
      </c>
    </row>
    <row r="449">
      <c r="A449" s="10" t="n"/>
      <c r="B449" s="12">
        <f>IF(A449="","",IFERROR(INDEX(DATA!$E$2:$E$500,MATCH(A449,DATA!$D$2:$D$500,0)),""))</f>
        <v/>
      </c>
      <c r="C449" s="10" t="n"/>
      <c r="D449" s="10" t="n"/>
      <c r="E449" s="10" t="n"/>
      <c r="F449" s="10" t="n"/>
      <c r="G449" s="10" t="n"/>
      <c r="H449" s="10" t="n"/>
      <c r="I449" s="10" t="n"/>
      <c r="J449" s="12">
        <f>IF(OR(A449="",COUNT(C449:E449)&lt;3),"",IFERROR(MAX(0,FLOOR(($N$2-$N$3)/E449,1))*MAX(1,MIN(IF(G449="",1,G449),FLOOR($N$4/D449,1)))*IF(F449="",1,F449),""))</f>
        <v/>
      </c>
      <c r="K449" s="12">
        <f>IF(A449="","",IF(COUNTIF(DATA!$D$2:$D$500,A449)=0,"CEK SKU tidak ada di DATA",IF(COUNT(C449:E449)&lt;3,"CEK dimensi belum lengkap",IF(OR(C449&lt;=0,D449&lt;=0,E449&lt;=0),"CEK dimensi harus lebih dari 0",IF(COUNTIF($A$2:$A$500,A449)&gt;1,"CEK SKU dobel","OK")))))</f>
        <v/>
      </c>
    </row>
    <row r="450">
      <c r="A450" s="10" t="n"/>
      <c r="B450" s="12">
        <f>IF(A450="","",IFERROR(INDEX(DATA!$E$2:$E$500,MATCH(A450,DATA!$D$2:$D$500,0)),""))</f>
        <v/>
      </c>
      <c r="C450" s="10" t="n"/>
      <c r="D450" s="10" t="n"/>
      <c r="E450" s="10" t="n"/>
      <c r="F450" s="10" t="n"/>
      <c r="G450" s="10" t="n"/>
      <c r="H450" s="10" t="n"/>
      <c r="I450" s="10" t="n"/>
      <c r="J450" s="12">
        <f>IF(OR(A450="",COUNT(C450:E450)&lt;3),"",IFERROR(MAX(0,FLOOR(($N$2-$N$3)/E450,1))*MAX(1,MIN(IF(G450="",1,G450),FLOOR($N$4/D450,1)))*IF(F450="",1,F450),""))</f>
        <v/>
      </c>
      <c r="K450" s="12">
        <f>IF(A450="","",IF(COUNTIF(DATA!$D$2:$D$500,A450)=0,"CEK SKU tidak ada di DATA",IF(COUNT(C450:E450)&lt;3,"CEK dimensi belum lengkap",IF(OR(C450&lt;=0,D450&lt;=0,E450&lt;=0),"CEK dimensi harus lebih dari 0",IF(COUNTIF($A$2:$A$500,A450)&gt;1,"CEK SKU dobel","OK")))))</f>
        <v/>
      </c>
    </row>
    <row r="451">
      <c r="A451" s="10" t="n"/>
      <c r="B451" s="12">
        <f>IF(A451="","",IFERROR(INDEX(DATA!$E$2:$E$500,MATCH(A451,DATA!$D$2:$D$500,0)),""))</f>
        <v/>
      </c>
      <c r="C451" s="10" t="n"/>
      <c r="D451" s="10" t="n"/>
      <c r="E451" s="10" t="n"/>
      <c r="F451" s="10" t="n"/>
      <c r="G451" s="10" t="n"/>
      <c r="H451" s="10" t="n"/>
      <c r="I451" s="10" t="n"/>
      <c r="J451" s="12">
        <f>IF(OR(A451="",COUNT(C451:E451)&lt;3),"",IFERROR(MAX(0,FLOOR(($N$2-$N$3)/E451,1))*MAX(1,MIN(IF(G451="",1,G451),FLOOR($N$4/D451,1)))*IF(F451="",1,F451),""))</f>
        <v/>
      </c>
      <c r="K451" s="12">
        <f>IF(A451="","",IF(COUNTIF(DATA!$D$2:$D$500,A451)=0,"CEK SKU tidak ada di DATA",IF(COUNT(C451:E451)&lt;3,"CEK dimensi belum lengkap",IF(OR(C451&lt;=0,D451&lt;=0,E451&lt;=0),"CEK dimensi harus lebih dari 0",IF(COUNTIF($A$2:$A$500,A451)&gt;1,"CEK SKU dobel","OK")))))</f>
        <v/>
      </c>
    </row>
    <row r="452">
      <c r="A452" s="10" t="n"/>
      <c r="B452" s="12">
        <f>IF(A452="","",IFERROR(INDEX(DATA!$E$2:$E$500,MATCH(A452,DATA!$D$2:$D$500,0)),""))</f>
        <v/>
      </c>
      <c r="C452" s="10" t="n"/>
      <c r="D452" s="10" t="n"/>
      <c r="E452" s="10" t="n"/>
      <c r="F452" s="10" t="n"/>
      <c r="G452" s="10" t="n"/>
      <c r="H452" s="10" t="n"/>
      <c r="I452" s="10" t="n"/>
      <c r="J452" s="12">
        <f>IF(OR(A452="",COUNT(C452:E452)&lt;3),"",IFERROR(MAX(0,FLOOR(($N$2-$N$3)/E452,1))*MAX(1,MIN(IF(G452="",1,G452),FLOOR($N$4/D452,1)))*IF(F452="",1,F452),""))</f>
        <v/>
      </c>
      <c r="K452" s="12">
        <f>IF(A452="","",IF(COUNTIF(DATA!$D$2:$D$500,A452)=0,"CEK SKU tidak ada di DATA",IF(COUNT(C452:E452)&lt;3,"CEK dimensi belum lengkap",IF(OR(C452&lt;=0,D452&lt;=0,E452&lt;=0),"CEK dimensi harus lebih dari 0",IF(COUNTIF($A$2:$A$500,A452)&gt;1,"CEK SKU dobel","OK")))))</f>
        <v/>
      </c>
    </row>
    <row r="453">
      <c r="A453" s="10" t="n"/>
      <c r="B453" s="12">
        <f>IF(A453="","",IFERROR(INDEX(DATA!$E$2:$E$500,MATCH(A453,DATA!$D$2:$D$500,0)),""))</f>
        <v/>
      </c>
      <c r="C453" s="10" t="n"/>
      <c r="D453" s="10" t="n"/>
      <c r="E453" s="10" t="n"/>
      <c r="F453" s="10" t="n"/>
      <c r="G453" s="10" t="n"/>
      <c r="H453" s="10" t="n"/>
      <c r="I453" s="10" t="n"/>
      <c r="J453" s="12">
        <f>IF(OR(A453="",COUNT(C453:E453)&lt;3),"",IFERROR(MAX(0,FLOOR(($N$2-$N$3)/E453,1))*MAX(1,MIN(IF(G453="",1,G453),FLOOR($N$4/D453,1)))*IF(F453="",1,F453),""))</f>
        <v/>
      </c>
      <c r="K453" s="12">
        <f>IF(A453="","",IF(COUNTIF(DATA!$D$2:$D$500,A453)=0,"CEK SKU tidak ada di DATA",IF(COUNT(C453:E453)&lt;3,"CEK dimensi belum lengkap",IF(OR(C453&lt;=0,D453&lt;=0,E453&lt;=0),"CEK dimensi harus lebih dari 0",IF(COUNTIF($A$2:$A$500,A453)&gt;1,"CEK SKU dobel","OK")))))</f>
        <v/>
      </c>
    </row>
    <row r="454">
      <c r="A454" s="10" t="n"/>
      <c r="B454" s="12">
        <f>IF(A454="","",IFERROR(INDEX(DATA!$E$2:$E$500,MATCH(A454,DATA!$D$2:$D$500,0)),""))</f>
        <v/>
      </c>
      <c r="C454" s="10" t="n"/>
      <c r="D454" s="10" t="n"/>
      <c r="E454" s="10" t="n"/>
      <c r="F454" s="10" t="n"/>
      <c r="G454" s="10" t="n"/>
      <c r="H454" s="10" t="n"/>
      <c r="I454" s="10" t="n"/>
      <c r="J454" s="12">
        <f>IF(OR(A454="",COUNT(C454:E454)&lt;3),"",IFERROR(MAX(0,FLOOR(($N$2-$N$3)/E454,1))*MAX(1,MIN(IF(G454="",1,G454),FLOOR($N$4/D454,1)))*IF(F454="",1,F454),""))</f>
        <v/>
      </c>
      <c r="K454" s="12">
        <f>IF(A454="","",IF(COUNTIF(DATA!$D$2:$D$500,A454)=0,"CEK SKU tidak ada di DATA",IF(COUNT(C454:E454)&lt;3,"CEK dimensi belum lengkap",IF(OR(C454&lt;=0,D454&lt;=0,E454&lt;=0),"CEK dimensi harus lebih dari 0",IF(COUNTIF($A$2:$A$500,A454)&gt;1,"CEK SKU dobel","OK")))))</f>
        <v/>
      </c>
    </row>
    <row r="455">
      <c r="A455" s="10" t="n"/>
      <c r="B455" s="12">
        <f>IF(A455="","",IFERROR(INDEX(DATA!$E$2:$E$500,MATCH(A455,DATA!$D$2:$D$500,0)),""))</f>
        <v/>
      </c>
      <c r="C455" s="10" t="n"/>
      <c r="D455" s="10" t="n"/>
      <c r="E455" s="10" t="n"/>
      <c r="F455" s="10" t="n"/>
      <c r="G455" s="10" t="n"/>
      <c r="H455" s="10" t="n"/>
      <c r="I455" s="10" t="n"/>
      <c r="J455" s="12">
        <f>IF(OR(A455="",COUNT(C455:E455)&lt;3),"",IFERROR(MAX(0,FLOOR(($N$2-$N$3)/E455,1))*MAX(1,MIN(IF(G455="",1,G455),FLOOR($N$4/D455,1)))*IF(F455="",1,F455),""))</f>
        <v/>
      </c>
      <c r="K455" s="12">
        <f>IF(A455="","",IF(COUNTIF(DATA!$D$2:$D$500,A455)=0,"CEK SKU tidak ada di DATA",IF(COUNT(C455:E455)&lt;3,"CEK dimensi belum lengkap",IF(OR(C455&lt;=0,D455&lt;=0,E455&lt;=0),"CEK dimensi harus lebih dari 0",IF(COUNTIF($A$2:$A$500,A455)&gt;1,"CEK SKU dobel","OK")))))</f>
        <v/>
      </c>
    </row>
    <row r="456">
      <c r="A456" s="10" t="n"/>
      <c r="B456" s="12">
        <f>IF(A456="","",IFERROR(INDEX(DATA!$E$2:$E$500,MATCH(A456,DATA!$D$2:$D$500,0)),""))</f>
        <v/>
      </c>
      <c r="C456" s="10" t="n"/>
      <c r="D456" s="10" t="n"/>
      <c r="E456" s="10" t="n"/>
      <c r="F456" s="10" t="n"/>
      <c r="G456" s="10" t="n"/>
      <c r="H456" s="10" t="n"/>
      <c r="I456" s="10" t="n"/>
      <c r="J456" s="12">
        <f>IF(OR(A456="",COUNT(C456:E456)&lt;3),"",IFERROR(MAX(0,FLOOR(($N$2-$N$3)/E456,1))*MAX(1,MIN(IF(G456="",1,G456),FLOOR($N$4/D456,1)))*IF(F456="",1,F456),""))</f>
        <v/>
      </c>
      <c r="K456" s="12">
        <f>IF(A456="","",IF(COUNTIF(DATA!$D$2:$D$500,A456)=0,"CEK SKU tidak ada di DATA",IF(COUNT(C456:E456)&lt;3,"CEK dimensi belum lengkap",IF(OR(C456&lt;=0,D456&lt;=0,E456&lt;=0),"CEK dimensi harus lebih dari 0",IF(COUNTIF($A$2:$A$500,A456)&gt;1,"CEK SKU dobel","OK")))))</f>
        <v/>
      </c>
    </row>
    <row r="457">
      <c r="A457" s="10" t="n"/>
      <c r="B457" s="12">
        <f>IF(A457="","",IFERROR(INDEX(DATA!$E$2:$E$500,MATCH(A457,DATA!$D$2:$D$500,0)),""))</f>
        <v/>
      </c>
      <c r="C457" s="10" t="n"/>
      <c r="D457" s="10" t="n"/>
      <c r="E457" s="10" t="n"/>
      <c r="F457" s="10" t="n"/>
      <c r="G457" s="10" t="n"/>
      <c r="H457" s="10" t="n"/>
      <c r="I457" s="10" t="n"/>
      <c r="J457" s="12">
        <f>IF(OR(A457="",COUNT(C457:E457)&lt;3),"",IFERROR(MAX(0,FLOOR(($N$2-$N$3)/E457,1))*MAX(1,MIN(IF(G457="",1,G457),FLOOR($N$4/D457,1)))*IF(F457="",1,F457),""))</f>
        <v/>
      </c>
      <c r="K457" s="12">
        <f>IF(A457="","",IF(COUNTIF(DATA!$D$2:$D$500,A457)=0,"CEK SKU tidak ada di DATA",IF(COUNT(C457:E457)&lt;3,"CEK dimensi belum lengkap",IF(OR(C457&lt;=0,D457&lt;=0,E457&lt;=0),"CEK dimensi harus lebih dari 0",IF(COUNTIF($A$2:$A$500,A457)&gt;1,"CEK SKU dobel","OK")))))</f>
        <v/>
      </c>
    </row>
    <row r="458">
      <c r="A458" s="10" t="n"/>
      <c r="B458" s="12">
        <f>IF(A458="","",IFERROR(INDEX(DATA!$E$2:$E$500,MATCH(A458,DATA!$D$2:$D$500,0)),""))</f>
        <v/>
      </c>
      <c r="C458" s="10" t="n"/>
      <c r="D458" s="10" t="n"/>
      <c r="E458" s="10" t="n"/>
      <c r="F458" s="10" t="n"/>
      <c r="G458" s="10" t="n"/>
      <c r="H458" s="10" t="n"/>
      <c r="I458" s="10" t="n"/>
      <c r="J458" s="12">
        <f>IF(OR(A458="",COUNT(C458:E458)&lt;3),"",IFERROR(MAX(0,FLOOR(($N$2-$N$3)/E458,1))*MAX(1,MIN(IF(G458="",1,G458),FLOOR($N$4/D458,1)))*IF(F458="",1,F458),""))</f>
        <v/>
      </c>
      <c r="K458" s="12">
        <f>IF(A458="","",IF(COUNTIF(DATA!$D$2:$D$500,A458)=0,"CEK SKU tidak ada di DATA",IF(COUNT(C458:E458)&lt;3,"CEK dimensi belum lengkap",IF(OR(C458&lt;=0,D458&lt;=0,E458&lt;=0),"CEK dimensi harus lebih dari 0",IF(COUNTIF($A$2:$A$500,A458)&gt;1,"CEK SKU dobel","OK")))))</f>
        <v/>
      </c>
    </row>
    <row r="459">
      <c r="A459" s="10" t="n"/>
      <c r="B459" s="12">
        <f>IF(A459="","",IFERROR(INDEX(DATA!$E$2:$E$500,MATCH(A459,DATA!$D$2:$D$500,0)),""))</f>
        <v/>
      </c>
      <c r="C459" s="10" t="n"/>
      <c r="D459" s="10" t="n"/>
      <c r="E459" s="10" t="n"/>
      <c r="F459" s="10" t="n"/>
      <c r="G459" s="10" t="n"/>
      <c r="H459" s="10" t="n"/>
      <c r="I459" s="10" t="n"/>
      <c r="J459" s="12">
        <f>IF(OR(A459="",COUNT(C459:E459)&lt;3),"",IFERROR(MAX(0,FLOOR(($N$2-$N$3)/E459,1))*MAX(1,MIN(IF(G459="",1,G459),FLOOR($N$4/D459,1)))*IF(F459="",1,F459),""))</f>
        <v/>
      </c>
      <c r="K459" s="12">
        <f>IF(A459="","",IF(COUNTIF(DATA!$D$2:$D$500,A459)=0,"CEK SKU tidak ada di DATA",IF(COUNT(C459:E459)&lt;3,"CEK dimensi belum lengkap",IF(OR(C459&lt;=0,D459&lt;=0,E459&lt;=0),"CEK dimensi harus lebih dari 0",IF(COUNTIF($A$2:$A$500,A459)&gt;1,"CEK SKU dobel","OK")))))</f>
        <v/>
      </c>
    </row>
    <row r="460">
      <c r="A460" s="10" t="n"/>
      <c r="B460" s="12">
        <f>IF(A460="","",IFERROR(INDEX(DATA!$E$2:$E$500,MATCH(A460,DATA!$D$2:$D$500,0)),""))</f>
        <v/>
      </c>
      <c r="C460" s="10" t="n"/>
      <c r="D460" s="10" t="n"/>
      <c r="E460" s="10" t="n"/>
      <c r="F460" s="10" t="n"/>
      <c r="G460" s="10" t="n"/>
      <c r="H460" s="10" t="n"/>
      <c r="I460" s="10" t="n"/>
      <c r="J460" s="12">
        <f>IF(OR(A460="",COUNT(C460:E460)&lt;3),"",IFERROR(MAX(0,FLOOR(($N$2-$N$3)/E460,1))*MAX(1,MIN(IF(G460="",1,G460),FLOOR($N$4/D460,1)))*IF(F460="",1,F460),""))</f>
        <v/>
      </c>
      <c r="K460" s="12">
        <f>IF(A460="","",IF(COUNTIF(DATA!$D$2:$D$500,A460)=0,"CEK SKU tidak ada di DATA",IF(COUNT(C460:E460)&lt;3,"CEK dimensi belum lengkap",IF(OR(C460&lt;=0,D460&lt;=0,E460&lt;=0),"CEK dimensi harus lebih dari 0",IF(COUNTIF($A$2:$A$500,A460)&gt;1,"CEK SKU dobel","OK")))))</f>
        <v/>
      </c>
    </row>
    <row r="461">
      <c r="A461" s="10" t="n"/>
      <c r="B461" s="12">
        <f>IF(A461="","",IFERROR(INDEX(DATA!$E$2:$E$500,MATCH(A461,DATA!$D$2:$D$500,0)),""))</f>
        <v/>
      </c>
      <c r="C461" s="10" t="n"/>
      <c r="D461" s="10" t="n"/>
      <c r="E461" s="10" t="n"/>
      <c r="F461" s="10" t="n"/>
      <c r="G461" s="10" t="n"/>
      <c r="H461" s="10" t="n"/>
      <c r="I461" s="10" t="n"/>
      <c r="J461" s="12">
        <f>IF(OR(A461="",COUNT(C461:E461)&lt;3),"",IFERROR(MAX(0,FLOOR(($N$2-$N$3)/E461,1))*MAX(1,MIN(IF(G461="",1,G461),FLOOR($N$4/D461,1)))*IF(F461="",1,F461),""))</f>
        <v/>
      </c>
      <c r="K461" s="12">
        <f>IF(A461="","",IF(COUNTIF(DATA!$D$2:$D$500,A461)=0,"CEK SKU tidak ada di DATA",IF(COUNT(C461:E461)&lt;3,"CEK dimensi belum lengkap",IF(OR(C461&lt;=0,D461&lt;=0,E461&lt;=0),"CEK dimensi harus lebih dari 0",IF(COUNTIF($A$2:$A$500,A461)&gt;1,"CEK SKU dobel","OK")))))</f>
        <v/>
      </c>
    </row>
    <row r="462">
      <c r="A462" s="10" t="n"/>
      <c r="B462" s="12">
        <f>IF(A462="","",IFERROR(INDEX(DATA!$E$2:$E$500,MATCH(A462,DATA!$D$2:$D$500,0)),""))</f>
        <v/>
      </c>
      <c r="C462" s="10" t="n"/>
      <c r="D462" s="10" t="n"/>
      <c r="E462" s="10" t="n"/>
      <c r="F462" s="10" t="n"/>
      <c r="G462" s="10" t="n"/>
      <c r="H462" s="10" t="n"/>
      <c r="I462" s="10" t="n"/>
      <c r="J462" s="12">
        <f>IF(OR(A462="",COUNT(C462:E462)&lt;3),"",IFERROR(MAX(0,FLOOR(($N$2-$N$3)/E462,1))*MAX(1,MIN(IF(G462="",1,G462),FLOOR($N$4/D462,1)))*IF(F462="",1,F462),""))</f>
        <v/>
      </c>
      <c r="K462" s="12">
        <f>IF(A462="","",IF(COUNTIF(DATA!$D$2:$D$500,A462)=0,"CEK SKU tidak ada di DATA",IF(COUNT(C462:E462)&lt;3,"CEK dimensi belum lengkap",IF(OR(C462&lt;=0,D462&lt;=0,E462&lt;=0),"CEK dimensi harus lebih dari 0",IF(COUNTIF($A$2:$A$500,A462)&gt;1,"CEK SKU dobel","OK")))))</f>
        <v/>
      </c>
    </row>
    <row r="463">
      <c r="A463" s="10" t="n"/>
      <c r="B463" s="12">
        <f>IF(A463="","",IFERROR(INDEX(DATA!$E$2:$E$500,MATCH(A463,DATA!$D$2:$D$500,0)),""))</f>
        <v/>
      </c>
      <c r="C463" s="10" t="n"/>
      <c r="D463" s="10" t="n"/>
      <c r="E463" s="10" t="n"/>
      <c r="F463" s="10" t="n"/>
      <c r="G463" s="10" t="n"/>
      <c r="H463" s="10" t="n"/>
      <c r="I463" s="10" t="n"/>
      <c r="J463" s="12">
        <f>IF(OR(A463="",COUNT(C463:E463)&lt;3),"",IFERROR(MAX(0,FLOOR(($N$2-$N$3)/E463,1))*MAX(1,MIN(IF(G463="",1,G463),FLOOR($N$4/D463,1)))*IF(F463="",1,F463),""))</f>
        <v/>
      </c>
      <c r="K463" s="12">
        <f>IF(A463="","",IF(COUNTIF(DATA!$D$2:$D$500,A463)=0,"CEK SKU tidak ada di DATA",IF(COUNT(C463:E463)&lt;3,"CEK dimensi belum lengkap",IF(OR(C463&lt;=0,D463&lt;=0,E463&lt;=0),"CEK dimensi harus lebih dari 0",IF(COUNTIF($A$2:$A$500,A463)&gt;1,"CEK SKU dobel","OK")))))</f>
        <v/>
      </c>
    </row>
    <row r="464">
      <c r="A464" s="10" t="n"/>
      <c r="B464" s="12">
        <f>IF(A464="","",IFERROR(INDEX(DATA!$E$2:$E$500,MATCH(A464,DATA!$D$2:$D$500,0)),""))</f>
        <v/>
      </c>
      <c r="C464" s="10" t="n"/>
      <c r="D464" s="10" t="n"/>
      <c r="E464" s="10" t="n"/>
      <c r="F464" s="10" t="n"/>
      <c r="G464" s="10" t="n"/>
      <c r="H464" s="10" t="n"/>
      <c r="I464" s="10" t="n"/>
      <c r="J464" s="12">
        <f>IF(OR(A464="",COUNT(C464:E464)&lt;3),"",IFERROR(MAX(0,FLOOR(($N$2-$N$3)/E464,1))*MAX(1,MIN(IF(G464="",1,G464),FLOOR($N$4/D464,1)))*IF(F464="",1,F464),""))</f>
        <v/>
      </c>
      <c r="K464" s="12">
        <f>IF(A464="","",IF(COUNTIF(DATA!$D$2:$D$500,A464)=0,"CEK SKU tidak ada di DATA",IF(COUNT(C464:E464)&lt;3,"CEK dimensi belum lengkap",IF(OR(C464&lt;=0,D464&lt;=0,E464&lt;=0),"CEK dimensi harus lebih dari 0",IF(COUNTIF($A$2:$A$500,A464)&gt;1,"CEK SKU dobel","OK")))))</f>
        <v/>
      </c>
    </row>
    <row r="465">
      <c r="A465" s="10" t="n"/>
      <c r="B465" s="12">
        <f>IF(A465="","",IFERROR(INDEX(DATA!$E$2:$E$500,MATCH(A465,DATA!$D$2:$D$500,0)),""))</f>
        <v/>
      </c>
      <c r="C465" s="10" t="n"/>
      <c r="D465" s="10" t="n"/>
      <c r="E465" s="10" t="n"/>
      <c r="F465" s="10" t="n"/>
      <c r="G465" s="10" t="n"/>
      <c r="H465" s="10" t="n"/>
      <c r="I465" s="10" t="n"/>
      <c r="J465" s="12">
        <f>IF(OR(A465="",COUNT(C465:E465)&lt;3),"",IFERROR(MAX(0,FLOOR(($N$2-$N$3)/E465,1))*MAX(1,MIN(IF(G465="",1,G465),FLOOR($N$4/D465,1)))*IF(F465="",1,F465),""))</f>
        <v/>
      </c>
      <c r="K465" s="12">
        <f>IF(A465="","",IF(COUNTIF(DATA!$D$2:$D$500,A465)=0,"CEK SKU tidak ada di DATA",IF(COUNT(C465:E465)&lt;3,"CEK dimensi belum lengkap",IF(OR(C465&lt;=0,D465&lt;=0,E465&lt;=0),"CEK dimensi harus lebih dari 0",IF(COUNTIF($A$2:$A$500,A465)&gt;1,"CEK SKU dobel","OK")))))</f>
        <v/>
      </c>
    </row>
    <row r="466">
      <c r="A466" s="10" t="n"/>
      <c r="B466" s="12">
        <f>IF(A466="","",IFERROR(INDEX(DATA!$E$2:$E$500,MATCH(A466,DATA!$D$2:$D$500,0)),""))</f>
        <v/>
      </c>
      <c r="C466" s="10" t="n"/>
      <c r="D466" s="10" t="n"/>
      <c r="E466" s="10" t="n"/>
      <c r="F466" s="10" t="n"/>
      <c r="G466" s="10" t="n"/>
      <c r="H466" s="10" t="n"/>
      <c r="I466" s="10" t="n"/>
      <c r="J466" s="12">
        <f>IF(OR(A466="",COUNT(C466:E466)&lt;3),"",IFERROR(MAX(0,FLOOR(($N$2-$N$3)/E466,1))*MAX(1,MIN(IF(G466="",1,G466),FLOOR($N$4/D466,1)))*IF(F466="",1,F466),""))</f>
        <v/>
      </c>
      <c r="K466" s="12">
        <f>IF(A466="","",IF(COUNTIF(DATA!$D$2:$D$500,A466)=0,"CEK SKU tidak ada di DATA",IF(COUNT(C466:E466)&lt;3,"CEK dimensi belum lengkap",IF(OR(C466&lt;=0,D466&lt;=0,E466&lt;=0),"CEK dimensi harus lebih dari 0",IF(COUNTIF($A$2:$A$500,A466)&gt;1,"CEK SKU dobel","OK")))))</f>
        <v/>
      </c>
    </row>
    <row r="467">
      <c r="A467" s="10" t="n"/>
      <c r="B467" s="12">
        <f>IF(A467="","",IFERROR(INDEX(DATA!$E$2:$E$500,MATCH(A467,DATA!$D$2:$D$500,0)),""))</f>
        <v/>
      </c>
      <c r="C467" s="10" t="n"/>
      <c r="D467" s="10" t="n"/>
      <c r="E467" s="10" t="n"/>
      <c r="F467" s="10" t="n"/>
      <c r="G467" s="10" t="n"/>
      <c r="H467" s="10" t="n"/>
      <c r="I467" s="10" t="n"/>
      <c r="J467" s="12">
        <f>IF(OR(A467="",COUNT(C467:E467)&lt;3),"",IFERROR(MAX(0,FLOOR(($N$2-$N$3)/E467,1))*MAX(1,MIN(IF(G467="",1,G467),FLOOR($N$4/D467,1)))*IF(F467="",1,F467),""))</f>
        <v/>
      </c>
      <c r="K467" s="12">
        <f>IF(A467="","",IF(COUNTIF(DATA!$D$2:$D$500,A467)=0,"CEK SKU tidak ada di DATA",IF(COUNT(C467:E467)&lt;3,"CEK dimensi belum lengkap",IF(OR(C467&lt;=0,D467&lt;=0,E467&lt;=0),"CEK dimensi harus lebih dari 0",IF(COUNTIF($A$2:$A$500,A467)&gt;1,"CEK SKU dobel","OK")))))</f>
        <v/>
      </c>
    </row>
    <row r="468">
      <c r="A468" s="10" t="n"/>
      <c r="B468" s="12">
        <f>IF(A468="","",IFERROR(INDEX(DATA!$E$2:$E$500,MATCH(A468,DATA!$D$2:$D$500,0)),""))</f>
        <v/>
      </c>
      <c r="C468" s="10" t="n"/>
      <c r="D468" s="10" t="n"/>
      <c r="E468" s="10" t="n"/>
      <c r="F468" s="10" t="n"/>
      <c r="G468" s="10" t="n"/>
      <c r="H468" s="10" t="n"/>
      <c r="I468" s="10" t="n"/>
      <c r="J468" s="12">
        <f>IF(OR(A468="",COUNT(C468:E468)&lt;3),"",IFERROR(MAX(0,FLOOR(($N$2-$N$3)/E468,1))*MAX(1,MIN(IF(G468="",1,G468),FLOOR($N$4/D468,1)))*IF(F468="",1,F468),""))</f>
        <v/>
      </c>
      <c r="K468" s="12">
        <f>IF(A468="","",IF(COUNTIF(DATA!$D$2:$D$500,A468)=0,"CEK SKU tidak ada di DATA",IF(COUNT(C468:E468)&lt;3,"CEK dimensi belum lengkap",IF(OR(C468&lt;=0,D468&lt;=0,E468&lt;=0),"CEK dimensi harus lebih dari 0",IF(COUNTIF($A$2:$A$500,A468)&gt;1,"CEK SKU dobel","OK")))))</f>
        <v/>
      </c>
    </row>
    <row r="469">
      <c r="A469" s="10" t="n"/>
      <c r="B469" s="12">
        <f>IF(A469="","",IFERROR(INDEX(DATA!$E$2:$E$500,MATCH(A469,DATA!$D$2:$D$500,0)),""))</f>
        <v/>
      </c>
      <c r="C469" s="10" t="n"/>
      <c r="D469" s="10" t="n"/>
      <c r="E469" s="10" t="n"/>
      <c r="F469" s="10" t="n"/>
      <c r="G469" s="10" t="n"/>
      <c r="H469" s="10" t="n"/>
      <c r="I469" s="10" t="n"/>
      <c r="J469" s="12">
        <f>IF(OR(A469="",COUNT(C469:E469)&lt;3),"",IFERROR(MAX(0,FLOOR(($N$2-$N$3)/E469,1))*MAX(1,MIN(IF(G469="",1,G469),FLOOR($N$4/D469,1)))*IF(F469="",1,F469),""))</f>
        <v/>
      </c>
      <c r="K469" s="12">
        <f>IF(A469="","",IF(COUNTIF(DATA!$D$2:$D$500,A469)=0,"CEK SKU tidak ada di DATA",IF(COUNT(C469:E469)&lt;3,"CEK dimensi belum lengkap",IF(OR(C469&lt;=0,D469&lt;=0,E469&lt;=0),"CEK dimensi harus lebih dari 0",IF(COUNTIF($A$2:$A$500,A469)&gt;1,"CEK SKU dobel","OK")))))</f>
        <v/>
      </c>
    </row>
    <row r="470">
      <c r="A470" s="10" t="n"/>
      <c r="B470" s="12">
        <f>IF(A470="","",IFERROR(INDEX(DATA!$E$2:$E$500,MATCH(A470,DATA!$D$2:$D$500,0)),""))</f>
        <v/>
      </c>
      <c r="C470" s="10" t="n"/>
      <c r="D470" s="10" t="n"/>
      <c r="E470" s="10" t="n"/>
      <c r="F470" s="10" t="n"/>
      <c r="G470" s="10" t="n"/>
      <c r="H470" s="10" t="n"/>
      <c r="I470" s="10" t="n"/>
      <c r="J470" s="12">
        <f>IF(OR(A470="",COUNT(C470:E470)&lt;3),"",IFERROR(MAX(0,FLOOR(($N$2-$N$3)/E470,1))*MAX(1,MIN(IF(G470="",1,G470),FLOOR($N$4/D470,1)))*IF(F470="",1,F470),""))</f>
        <v/>
      </c>
      <c r="K470" s="12">
        <f>IF(A470="","",IF(COUNTIF(DATA!$D$2:$D$500,A470)=0,"CEK SKU tidak ada di DATA",IF(COUNT(C470:E470)&lt;3,"CEK dimensi belum lengkap",IF(OR(C470&lt;=0,D470&lt;=0,E470&lt;=0),"CEK dimensi harus lebih dari 0",IF(COUNTIF($A$2:$A$500,A470)&gt;1,"CEK SKU dobel","OK")))))</f>
        <v/>
      </c>
    </row>
    <row r="471">
      <c r="A471" s="10" t="n"/>
      <c r="B471" s="12">
        <f>IF(A471="","",IFERROR(INDEX(DATA!$E$2:$E$500,MATCH(A471,DATA!$D$2:$D$500,0)),""))</f>
        <v/>
      </c>
      <c r="C471" s="10" t="n"/>
      <c r="D471" s="10" t="n"/>
      <c r="E471" s="10" t="n"/>
      <c r="F471" s="10" t="n"/>
      <c r="G471" s="10" t="n"/>
      <c r="H471" s="10" t="n"/>
      <c r="I471" s="10" t="n"/>
      <c r="J471" s="12">
        <f>IF(OR(A471="",COUNT(C471:E471)&lt;3),"",IFERROR(MAX(0,FLOOR(($N$2-$N$3)/E471,1))*MAX(1,MIN(IF(G471="",1,G471),FLOOR($N$4/D471,1)))*IF(F471="",1,F471),""))</f>
        <v/>
      </c>
      <c r="K471" s="12">
        <f>IF(A471="","",IF(COUNTIF(DATA!$D$2:$D$500,A471)=0,"CEK SKU tidak ada di DATA",IF(COUNT(C471:E471)&lt;3,"CEK dimensi belum lengkap",IF(OR(C471&lt;=0,D471&lt;=0,E471&lt;=0),"CEK dimensi harus lebih dari 0",IF(COUNTIF($A$2:$A$500,A471)&gt;1,"CEK SKU dobel","OK")))))</f>
        <v/>
      </c>
    </row>
    <row r="472">
      <c r="A472" s="10" t="n"/>
      <c r="B472" s="12">
        <f>IF(A472="","",IFERROR(INDEX(DATA!$E$2:$E$500,MATCH(A472,DATA!$D$2:$D$500,0)),""))</f>
        <v/>
      </c>
      <c r="C472" s="10" t="n"/>
      <c r="D472" s="10" t="n"/>
      <c r="E472" s="10" t="n"/>
      <c r="F472" s="10" t="n"/>
      <c r="G472" s="10" t="n"/>
      <c r="H472" s="10" t="n"/>
      <c r="I472" s="10" t="n"/>
      <c r="J472" s="12">
        <f>IF(OR(A472="",COUNT(C472:E472)&lt;3),"",IFERROR(MAX(0,FLOOR(($N$2-$N$3)/E472,1))*MAX(1,MIN(IF(G472="",1,G472),FLOOR($N$4/D472,1)))*IF(F472="",1,F472),""))</f>
        <v/>
      </c>
      <c r="K472" s="12">
        <f>IF(A472="","",IF(COUNTIF(DATA!$D$2:$D$500,A472)=0,"CEK SKU tidak ada di DATA",IF(COUNT(C472:E472)&lt;3,"CEK dimensi belum lengkap",IF(OR(C472&lt;=0,D472&lt;=0,E472&lt;=0),"CEK dimensi harus lebih dari 0",IF(COUNTIF($A$2:$A$500,A472)&gt;1,"CEK SKU dobel","OK")))))</f>
        <v/>
      </c>
    </row>
    <row r="473">
      <c r="A473" s="10" t="n"/>
      <c r="B473" s="12">
        <f>IF(A473="","",IFERROR(INDEX(DATA!$E$2:$E$500,MATCH(A473,DATA!$D$2:$D$500,0)),""))</f>
        <v/>
      </c>
      <c r="C473" s="10" t="n"/>
      <c r="D473" s="10" t="n"/>
      <c r="E473" s="10" t="n"/>
      <c r="F473" s="10" t="n"/>
      <c r="G473" s="10" t="n"/>
      <c r="H473" s="10" t="n"/>
      <c r="I473" s="10" t="n"/>
      <c r="J473" s="12">
        <f>IF(OR(A473="",COUNT(C473:E473)&lt;3),"",IFERROR(MAX(0,FLOOR(($N$2-$N$3)/E473,1))*MAX(1,MIN(IF(G473="",1,G473),FLOOR($N$4/D473,1)))*IF(F473="",1,F473),""))</f>
        <v/>
      </c>
      <c r="K473" s="12">
        <f>IF(A473="","",IF(COUNTIF(DATA!$D$2:$D$500,A473)=0,"CEK SKU tidak ada di DATA",IF(COUNT(C473:E473)&lt;3,"CEK dimensi belum lengkap",IF(OR(C473&lt;=0,D473&lt;=0,E473&lt;=0),"CEK dimensi harus lebih dari 0",IF(COUNTIF($A$2:$A$500,A473)&gt;1,"CEK SKU dobel","OK")))))</f>
        <v/>
      </c>
    </row>
    <row r="474">
      <c r="A474" s="10" t="n"/>
      <c r="B474" s="12">
        <f>IF(A474="","",IFERROR(INDEX(DATA!$E$2:$E$500,MATCH(A474,DATA!$D$2:$D$500,0)),""))</f>
        <v/>
      </c>
      <c r="C474" s="10" t="n"/>
      <c r="D474" s="10" t="n"/>
      <c r="E474" s="10" t="n"/>
      <c r="F474" s="10" t="n"/>
      <c r="G474" s="10" t="n"/>
      <c r="H474" s="10" t="n"/>
      <c r="I474" s="10" t="n"/>
      <c r="J474" s="12">
        <f>IF(OR(A474="",COUNT(C474:E474)&lt;3),"",IFERROR(MAX(0,FLOOR(($N$2-$N$3)/E474,1))*MAX(1,MIN(IF(G474="",1,G474),FLOOR($N$4/D474,1)))*IF(F474="",1,F474),""))</f>
        <v/>
      </c>
      <c r="K474" s="12">
        <f>IF(A474="","",IF(COUNTIF(DATA!$D$2:$D$500,A474)=0,"CEK SKU tidak ada di DATA",IF(COUNT(C474:E474)&lt;3,"CEK dimensi belum lengkap",IF(OR(C474&lt;=0,D474&lt;=0,E474&lt;=0),"CEK dimensi harus lebih dari 0",IF(COUNTIF($A$2:$A$500,A474)&gt;1,"CEK SKU dobel","OK")))))</f>
        <v/>
      </c>
    </row>
    <row r="475">
      <c r="A475" s="10" t="n"/>
      <c r="B475" s="12">
        <f>IF(A475="","",IFERROR(INDEX(DATA!$E$2:$E$500,MATCH(A475,DATA!$D$2:$D$500,0)),""))</f>
        <v/>
      </c>
      <c r="C475" s="10" t="n"/>
      <c r="D475" s="10" t="n"/>
      <c r="E475" s="10" t="n"/>
      <c r="F475" s="10" t="n"/>
      <c r="G475" s="10" t="n"/>
      <c r="H475" s="10" t="n"/>
      <c r="I475" s="10" t="n"/>
      <c r="J475" s="12">
        <f>IF(OR(A475="",COUNT(C475:E475)&lt;3),"",IFERROR(MAX(0,FLOOR(($N$2-$N$3)/E475,1))*MAX(1,MIN(IF(G475="",1,G475),FLOOR($N$4/D475,1)))*IF(F475="",1,F475),""))</f>
        <v/>
      </c>
      <c r="K475" s="12">
        <f>IF(A475="","",IF(COUNTIF(DATA!$D$2:$D$500,A475)=0,"CEK SKU tidak ada di DATA",IF(COUNT(C475:E475)&lt;3,"CEK dimensi belum lengkap",IF(OR(C475&lt;=0,D475&lt;=0,E475&lt;=0),"CEK dimensi harus lebih dari 0",IF(COUNTIF($A$2:$A$500,A475)&gt;1,"CEK SKU dobel","OK")))))</f>
        <v/>
      </c>
    </row>
    <row r="476">
      <c r="A476" s="10" t="n"/>
      <c r="B476" s="12">
        <f>IF(A476="","",IFERROR(INDEX(DATA!$E$2:$E$500,MATCH(A476,DATA!$D$2:$D$500,0)),""))</f>
        <v/>
      </c>
      <c r="C476" s="10" t="n"/>
      <c r="D476" s="10" t="n"/>
      <c r="E476" s="10" t="n"/>
      <c r="F476" s="10" t="n"/>
      <c r="G476" s="10" t="n"/>
      <c r="H476" s="10" t="n"/>
      <c r="I476" s="10" t="n"/>
      <c r="J476" s="12">
        <f>IF(OR(A476="",COUNT(C476:E476)&lt;3),"",IFERROR(MAX(0,FLOOR(($N$2-$N$3)/E476,1))*MAX(1,MIN(IF(G476="",1,G476),FLOOR($N$4/D476,1)))*IF(F476="",1,F476),""))</f>
        <v/>
      </c>
      <c r="K476" s="12">
        <f>IF(A476="","",IF(COUNTIF(DATA!$D$2:$D$500,A476)=0,"CEK SKU tidak ada di DATA",IF(COUNT(C476:E476)&lt;3,"CEK dimensi belum lengkap",IF(OR(C476&lt;=0,D476&lt;=0,E476&lt;=0),"CEK dimensi harus lebih dari 0",IF(COUNTIF($A$2:$A$500,A476)&gt;1,"CEK SKU dobel","OK")))))</f>
        <v/>
      </c>
    </row>
    <row r="477">
      <c r="A477" s="10" t="n"/>
      <c r="B477" s="12">
        <f>IF(A477="","",IFERROR(INDEX(DATA!$E$2:$E$500,MATCH(A477,DATA!$D$2:$D$500,0)),""))</f>
        <v/>
      </c>
      <c r="C477" s="10" t="n"/>
      <c r="D477" s="10" t="n"/>
      <c r="E477" s="10" t="n"/>
      <c r="F477" s="10" t="n"/>
      <c r="G477" s="10" t="n"/>
      <c r="H477" s="10" t="n"/>
      <c r="I477" s="10" t="n"/>
      <c r="J477" s="12">
        <f>IF(OR(A477="",COUNT(C477:E477)&lt;3),"",IFERROR(MAX(0,FLOOR(($N$2-$N$3)/E477,1))*MAX(1,MIN(IF(G477="",1,G477),FLOOR($N$4/D477,1)))*IF(F477="",1,F477),""))</f>
        <v/>
      </c>
      <c r="K477" s="12">
        <f>IF(A477="","",IF(COUNTIF(DATA!$D$2:$D$500,A477)=0,"CEK SKU tidak ada di DATA",IF(COUNT(C477:E477)&lt;3,"CEK dimensi belum lengkap",IF(OR(C477&lt;=0,D477&lt;=0,E477&lt;=0),"CEK dimensi harus lebih dari 0",IF(COUNTIF($A$2:$A$500,A477)&gt;1,"CEK SKU dobel","OK")))))</f>
        <v/>
      </c>
    </row>
    <row r="478">
      <c r="A478" s="10" t="n"/>
      <c r="B478" s="12">
        <f>IF(A478="","",IFERROR(INDEX(DATA!$E$2:$E$500,MATCH(A478,DATA!$D$2:$D$500,0)),""))</f>
        <v/>
      </c>
      <c r="C478" s="10" t="n"/>
      <c r="D478" s="10" t="n"/>
      <c r="E478" s="10" t="n"/>
      <c r="F478" s="10" t="n"/>
      <c r="G478" s="10" t="n"/>
      <c r="H478" s="10" t="n"/>
      <c r="I478" s="10" t="n"/>
      <c r="J478" s="12">
        <f>IF(OR(A478="",COUNT(C478:E478)&lt;3),"",IFERROR(MAX(0,FLOOR(($N$2-$N$3)/E478,1))*MAX(1,MIN(IF(G478="",1,G478),FLOOR($N$4/D478,1)))*IF(F478="",1,F478),""))</f>
        <v/>
      </c>
      <c r="K478" s="12">
        <f>IF(A478="","",IF(COUNTIF(DATA!$D$2:$D$500,A478)=0,"CEK SKU tidak ada di DATA",IF(COUNT(C478:E478)&lt;3,"CEK dimensi belum lengkap",IF(OR(C478&lt;=0,D478&lt;=0,E478&lt;=0),"CEK dimensi harus lebih dari 0",IF(COUNTIF($A$2:$A$500,A478)&gt;1,"CEK SKU dobel","OK")))))</f>
        <v/>
      </c>
    </row>
    <row r="479">
      <c r="A479" s="10" t="n"/>
      <c r="B479" s="12">
        <f>IF(A479="","",IFERROR(INDEX(DATA!$E$2:$E$500,MATCH(A479,DATA!$D$2:$D$500,0)),""))</f>
        <v/>
      </c>
      <c r="C479" s="10" t="n"/>
      <c r="D479" s="10" t="n"/>
      <c r="E479" s="10" t="n"/>
      <c r="F479" s="10" t="n"/>
      <c r="G479" s="10" t="n"/>
      <c r="H479" s="10" t="n"/>
      <c r="I479" s="10" t="n"/>
      <c r="J479" s="12">
        <f>IF(OR(A479="",COUNT(C479:E479)&lt;3),"",IFERROR(MAX(0,FLOOR(($N$2-$N$3)/E479,1))*MAX(1,MIN(IF(G479="",1,G479),FLOOR($N$4/D479,1)))*IF(F479="",1,F479),""))</f>
        <v/>
      </c>
      <c r="K479" s="12">
        <f>IF(A479="","",IF(COUNTIF(DATA!$D$2:$D$500,A479)=0,"CEK SKU tidak ada di DATA",IF(COUNT(C479:E479)&lt;3,"CEK dimensi belum lengkap",IF(OR(C479&lt;=0,D479&lt;=0,E479&lt;=0),"CEK dimensi harus lebih dari 0",IF(COUNTIF($A$2:$A$500,A479)&gt;1,"CEK SKU dobel","OK")))))</f>
        <v/>
      </c>
    </row>
    <row r="480">
      <c r="A480" s="10" t="n"/>
      <c r="B480" s="12">
        <f>IF(A480="","",IFERROR(INDEX(DATA!$E$2:$E$500,MATCH(A480,DATA!$D$2:$D$500,0)),""))</f>
        <v/>
      </c>
      <c r="C480" s="10" t="n"/>
      <c r="D480" s="10" t="n"/>
      <c r="E480" s="10" t="n"/>
      <c r="F480" s="10" t="n"/>
      <c r="G480" s="10" t="n"/>
      <c r="H480" s="10" t="n"/>
      <c r="I480" s="10" t="n"/>
      <c r="J480" s="12">
        <f>IF(OR(A480="",COUNT(C480:E480)&lt;3),"",IFERROR(MAX(0,FLOOR(($N$2-$N$3)/E480,1))*MAX(1,MIN(IF(G480="",1,G480),FLOOR($N$4/D480,1)))*IF(F480="",1,F480),""))</f>
        <v/>
      </c>
      <c r="K480" s="12">
        <f>IF(A480="","",IF(COUNTIF(DATA!$D$2:$D$500,A480)=0,"CEK SKU tidak ada di DATA",IF(COUNT(C480:E480)&lt;3,"CEK dimensi belum lengkap",IF(OR(C480&lt;=0,D480&lt;=0,E480&lt;=0),"CEK dimensi harus lebih dari 0",IF(COUNTIF($A$2:$A$500,A480)&gt;1,"CEK SKU dobel","OK")))))</f>
        <v/>
      </c>
    </row>
    <row r="481">
      <c r="A481" s="10" t="n"/>
      <c r="B481" s="12">
        <f>IF(A481="","",IFERROR(INDEX(DATA!$E$2:$E$500,MATCH(A481,DATA!$D$2:$D$500,0)),""))</f>
        <v/>
      </c>
      <c r="C481" s="10" t="n"/>
      <c r="D481" s="10" t="n"/>
      <c r="E481" s="10" t="n"/>
      <c r="F481" s="10" t="n"/>
      <c r="G481" s="10" t="n"/>
      <c r="H481" s="10" t="n"/>
      <c r="I481" s="10" t="n"/>
      <c r="J481" s="12">
        <f>IF(OR(A481="",COUNT(C481:E481)&lt;3),"",IFERROR(MAX(0,FLOOR(($N$2-$N$3)/E481,1))*MAX(1,MIN(IF(G481="",1,G481),FLOOR($N$4/D481,1)))*IF(F481="",1,F481),""))</f>
        <v/>
      </c>
      <c r="K481" s="12">
        <f>IF(A481="","",IF(COUNTIF(DATA!$D$2:$D$500,A481)=0,"CEK SKU tidak ada di DATA",IF(COUNT(C481:E481)&lt;3,"CEK dimensi belum lengkap",IF(OR(C481&lt;=0,D481&lt;=0,E481&lt;=0),"CEK dimensi harus lebih dari 0",IF(COUNTIF($A$2:$A$500,A481)&gt;1,"CEK SKU dobel","OK")))))</f>
        <v/>
      </c>
    </row>
    <row r="482">
      <c r="A482" s="10" t="n"/>
      <c r="B482" s="12">
        <f>IF(A482="","",IFERROR(INDEX(DATA!$E$2:$E$500,MATCH(A482,DATA!$D$2:$D$500,0)),""))</f>
        <v/>
      </c>
      <c r="C482" s="10" t="n"/>
      <c r="D482" s="10" t="n"/>
      <c r="E482" s="10" t="n"/>
      <c r="F482" s="10" t="n"/>
      <c r="G482" s="10" t="n"/>
      <c r="H482" s="10" t="n"/>
      <c r="I482" s="10" t="n"/>
      <c r="J482" s="12">
        <f>IF(OR(A482="",COUNT(C482:E482)&lt;3),"",IFERROR(MAX(0,FLOOR(($N$2-$N$3)/E482,1))*MAX(1,MIN(IF(G482="",1,G482),FLOOR($N$4/D482,1)))*IF(F482="",1,F482),""))</f>
        <v/>
      </c>
      <c r="K482" s="12">
        <f>IF(A482="","",IF(COUNTIF(DATA!$D$2:$D$500,A482)=0,"CEK SKU tidak ada di DATA",IF(COUNT(C482:E482)&lt;3,"CEK dimensi belum lengkap",IF(OR(C482&lt;=0,D482&lt;=0,E482&lt;=0),"CEK dimensi harus lebih dari 0",IF(COUNTIF($A$2:$A$500,A482)&gt;1,"CEK SKU dobel","OK")))))</f>
        <v/>
      </c>
    </row>
    <row r="483">
      <c r="A483" s="10" t="n"/>
      <c r="B483" s="12">
        <f>IF(A483="","",IFERROR(INDEX(DATA!$E$2:$E$500,MATCH(A483,DATA!$D$2:$D$500,0)),""))</f>
        <v/>
      </c>
      <c r="C483" s="10" t="n"/>
      <c r="D483" s="10" t="n"/>
      <c r="E483" s="10" t="n"/>
      <c r="F483" s="10" t="n"/>
      <c r="G483" s="10" t="n"/>
      <c r="H483" s="10" t="n"/>
      <c r="I483" s="10" t="n"/>
      <c r="J483" s="12">
        <f>IF(OR(A483="",COUNT(C483:E483)&lt;3),"",IFERROR(MAX(0,FLOOR(($N$2-$N$3)/E483,1))*MAX(1,MIN(IF(G483="",1,G483),FLOOR($N$4/D483,1)))*IF(F483="",1,F483),""))</f>
        <v/>
      </c>
      <c r="K483" s="12">
        <f>IF(A483="","",IF(COUNTIF(DATA!$D$2:$D$500,A483)=0,"CEK SKU tidak ada di DATA",IF(COUNT(C483:E483)&lt;3,"CEK dimensi belum lengkap",IF(OR(C483&lt;=0,D483&lt;=0,E483&lt;=0),"CEK dimensi harus lebih dari 0",IF(COUNTIF($A$2:$A$500,A483)&gt;1,"CEK SKU dobel","OK")))))</f>
        <v/>
      </c>
    </row>
    <row r="484">
      <c r="A484" s="10" t="n"/>
      <c r="B484" s="12">
        <f>IF(A484="","",IFERROR(INDEX(DATA!$E$2:$E$500,MATCH(A484,DATA!$D$2:$D$500,0)),""))</f>
        <v/>
      </c>
      <c r="C484" s="10" t="n"/>
      <c r="D484" s="10" t="n"/>
      <c r="E484" s="10" t="n"/>
      <c r="F484" s="10" t="n"/>
      <c r="G484" s="10" t="n"/>
      <c r="H484" s="10" t="n"/>
      <c r="I484" s="10" t="n"/>
      <c r="J484" s="12">
        <f>IF(OR(A484="",COUNT(C484:E484)&lt;3),"",IFERROR(MAX(0,FLOOR(($N$2-$N$3)/E484,1))*MAX(1,MIN(IF(G484="",1,G484),FLOOR($N$4/D484,1)))*IF(F484="",1,F484),""))</f>
        <v/>
      </c>
      <c r="K484" s="12">
        <f>IF(A484="","",IF(COUNTIF(DATA!$D$2:$D$500,A484)=0,"CEK SKU tidak ada di DATA",IF(COUNT(C484:E484)&lt;3,"CEK dimensi belum lengkap",IF(OR(C484&lt;=0,D484&lt;=0,E484&lt;=0),"CEK dimensi harus lebih dari 0",IF(COUNTIF($A$2:$A$500,A484)&gt;1,"CEK SKU dobel","OK")))))</f>
        <v/>
      </c>
    </row>
    <row r="485">
      <c r="A485" s="10" t="n"/>
      <c r="B485" s="12">
        <f>IF(A485="","",IFERROR(INDEX(DATA!$E$2:$E$500,MATCH(A485,DATA!$D$2:$D$500,0)),""))</f>
        <v/>
      </c>
      <c r="C485" s="10" t="n"/>
      <c r="D485" s="10" t="n"/>
      <c r="E485" s="10" t="n"/>
      <c r="F485" s="10" t="n"/>
      <c r="G485" s="10" t="n"/>
      <c r="H485" s="10" t="n"/>
      <c r="I485" s="10" t="n"/>
      <c r="J485" s="12">
        <f>IF(OR(A485="",COUNT(C485:E485)&lt;3),"",IFERROR(MAX(0,FLOOR(($N$2-$N$3)/E485,1))*MAX(1,MIN(IF(G485="",1,G485),FLOOR($N$4/D485,1)))*IF(F485="",1,F485),""))</f>
        <v/>
      </c>
      <c r="K485" s="12">
        <f>IF(A485="","",IF(COUNTIF(DATA!$D$2:$D$500,A485)=0,"CEK SKU tidak ada di DATA",IF(COUNT(C485:E485)&lt;3,"CEK dimensi belum lengkap",IF(OR(C485&lt;=0,D485&lt;=0,E485&lt;=0),"CEK dimensi harus lebih dari 0",IF(COUNTIF($A$2:$A$500,A485)&gt;1,"CEK SKU dobel","OK")))))</f>
        <v/>
      </c>
    </row>
    <row r="486">
      <c r="A486" s="10" t="n"/>
      <c r="B486" s="12">
        <f>IF(A486="","",IFERROR(INDEX(DATA!$E$2:$E$500,MATCH(A486,DATA!$D$2:$D$500,0)),""))</f>
        <v/>
      </c>
      <c r="C486" s="10" t="n"/>
      <c r="D486" s="10" t="n"/>
      <c r="E486" s="10" t="n"/>
      <c r="F486" s="10" t="n"/>
      <c r="G486" s="10" t="n"/>
      <c r="H486" s="10" t="n"/>
      <c r="I486" s="10" t="n"/>
      <c r="J486" s="12">
        <f>IF(OR(A486="",COUNT(C486:E486)&lt;3),"",IFERROR(MAX(0,FLOOR(($N$2-$N$3)/E486,1))*MAX(1,MIN(IF(G486="",1,G486),FLOOR($N$4/D486,1)))*IF(F486="",1,F486),""))</f>
        <v/>
      </c>
      <c r="K486" s="12">
        <f>IF(A486="","",IF(COUNTIF(DATA!$D$2:$D$500,A486)=0,"CEK SKU tidak ada di DATA",IF(COUNT(C486:E486)&lt;3,"CEK dimensi belum lengkap",IF(OR(C486&lt;=0,D486&lt;=0,E486&lt;=0),"CEK dimensi harus lebih dari 0",IF(COUNTIF($A$2:$A$500,A486)&gt;1,"CEK SKU dobel","OK")))))</f>
        <v/>
      </c>
    </row>
    <row r="487">
      <c r="A487" s="10" t="n"/>
      <c r="B487" s="12">
        <f>IF(A487="","",IFERROR(INDEX(DATA!$E$2:$E$500,MATCH(A487,DATA!$D$2:$D$500,0)),""))</f>
        <v/>
      </c>
      <c r="C487" s="10" t="n"/>
      <c r="D487" s="10" t="n"/>
      <c r="E487" s="10" t="n"/>
      <c r="F487" s="10" t="n"/>
      <c r="G487" s="10" t="n"/>
      <c r="H487" s="10" t="n"/>
      <c r="I487" s="10" t="n"/>
      <c r="J487" s="12">
        <f>IF(OR(A487="",COUNT(C487:E487)&lt;3),"",IFERROR(MAX(0,FLOOR(($N$2-$N$3)/E487,1))*MAX(1,MIN(IF(G487="",1,G487),FLOOR($N$4/D487,1)))*IF(F487="",1,F487),""))</f>
        <v/>
      </c>
      <c r="K487" s="12">
        <f>IF(A487="","",IF(COUNTIF(DATA!$D$2:$D$500,A487)=0,"CEK SKU tidak ada di DATA",IF(COUNT(C487:E487)&lt;3,"CEK dimensi belum lengkap",IF(OR(C487&lt;=0,D487&lt;=0,E487&lt;=0),"CEK dimensi harus lebih dari 0",IF(COUNTIF($A$2:$A$500,A487)&gt;1,"CEK SKU dobel","OK")))))</f>
        <v/>
      </c>
    </row>
    <row r="488">
      <c r="A488" s="10" t="n"/>
      <c r="B488" s="12">
        <f>IF(A488="","",IFERROR(INDEX(DATA!$E$2:$E$500,MATCH(A488,DATA!$D$2:$D$500,0)),""))</f>
        <v/>
      </c>
      <c r="C488" s="10" t="n"/>
      <c r="D488" s="10" t="n"/>
      <c r="E488" s="10" t="n"/>
      <c r="F488" s="10" t="n"/>
      <c r="G488" s="10" t="n"/>
      <c r="H488" s="10" t="n"/>
      <c r="I488" s="10" t="n"/>
      <c r="J488" s="12">
        <f>IF(OR(A488="",COUNT(C488:E488)&lt;3),"",IFERROR(MAX(0,FLOOR(($N$2-$N$3)/E488,1))*MAX(1,MIN(IF(G488="",1,G488),FLOOR($N$4/D488,1)))*IF(F488="",1,F488),""))</f>
        <v/>
      </c>
      <c r="K488" s="12">
        <f>IF(A488="","",IF(COUNTIF(DATA!$D$2:$D$500,A488)=0,"CEK SKU tidak ada di DATA",IF(COUNT(C488:E488)&lt;3,"CEK dimensi belum lengkap",IF(OR(C488&lt;=0,D488&lt;=0,E488&lt;=0),"CEK dimensi harus lebih dari 0",IF(COUNTIF($A$2:$A$500,A488)&gt;1,"CEK SKU dobel","OK")))))</f>
        <v/>
      </c>
    </row>
    <row r="489">
      <c r="A489" s="10" t="n"/>
      <c r="B489" s="12">
        <f>IF(A489="","",IFERROR(INDEX(DATA!$E$2:$E$500,MATCH(A489,DATA!$D$2:$D$500,0)),""))</f>
        <v/>
      </c>
      <c r="C489" s="10" t="n"/>
      <c r="D489" s="10" t="n"/>
      <c r="E489" s="10" t="n"/>
      <c r="F489" s="10" t="n"/>
      <c r="G489" s="10" t="n"/>
      <c r="H489" s="10" t="n"/>
      <c r="I489" s="10" t="n"/>
      <c r="J489" s="12">
        <f>IF(OR(A489="",COUNT(C489:E489)&lt;3),"",IFERROR(MAX(0,FLOOR(($N$2-$N$3)/E489,1))*MAX(1,MIN(IF(G489="",1,G489),FLOOR($N$4/D489,1)))*IF(F489="",1,F489),""))</f>
        <v/>
      </c>
      <c r="K489" s="12">
        <f>IF(A489="","",IF(COUNTIF(DATA!$D$2:$D$500,A489)=0,"CEK SKU tidak ada di DATA",IF(COUNT(C489:E489)&lt;3,"CEK dimensi belum lengkap",IF(OR(C489&lt;=0,D489&lt;=0,E489&lt;=0),"CEK dimensi harus lebih dari 0",IF(COUNTIF($A$2:$A$500,A489)&gt;1,"CEK SKU dobel","OK")))))</f>
        <v/>
      </c>
    </row>
    <row r="490">
      <c r="A490" s="10" t="n"/>
      <c r="B490" s="12">
        <f>IF(A490="","",IFERROR(INDEX(DATA!$E$2:$E$500,MATCH(A490,DATA!$D$2:$D$500,0)),""))</f>
        <v/>
      </c>
      <c r="C490" s="10" t="n"/>
      <c r="D490" s="10" t="n"/>
      <c r="E490" s="10" t="n"/>
      <c r="F490" s="10" t="n"/>
      <c r="G490" s="10" t="n"/>
      <c r="H490" s="10" t="n"/>
      <c r="I490" s="10" t="n"/>
      <c r="J490" s="12">
        <f>IF(OR(A490="",COUNT(C490:E490)&lt;3),"",IFERROR(MAX(0,FLOOR(($N$2-$N$3)/E490,1))*MAX(1,MIN(IF(G490="",1,G490),FLOOR($N$4/D490,1)))*IF(F490="",1,F490),""))</f>
        <v/>
      </c>
      <c r="K490" s="12">
        <f>IF(A490="","",IF(COUNTIF(DATA!$D$2:$D$500,A490)=0,"CEK SKU tidak ada di DATA",IF(COUNT(C490:E490)&lt;3,"CEK dimensi belum lengkap",IF(OR(C490&lt;=0,D490&lt;=0,E490&lt;=0),"CEK dimensi harus lebih dari 0",IF(COUNTIF($A$2:$A$500,A490)&gt;1,"CEK SKU dobel","OK")))))</f>
        <v/>
      </c>
    </row>
    <row r="491">
      <c r="A491" s="10" t="n"/>
      <c r="B491" s="12">
        <f>IF(A491="","",IFERROR(INDEX(DATA!$E$2:$E$500,MATCH(A491,DATA!$D$2:$D$500,0)),""))</f>
        <v/>
      </c>
      <c r="C491" s="10" t="n"/>
      <c r="D491" s="10" t="n"/>
      <c r="E491" s="10" t="n"/>
      <c r="F491" s="10" t="n"/>
      <c r="G491" s="10" t="n"/>
      <c r="H491" s="10" t="n"/>
      <c r="I491" s="10" t="n"/>
      <c r="J491" s="12">
        <f>IF(OR(A491="",COUNT(C491:E491)&lt;3),"",IFERROR(MAX(0,FLOOR(($N$2-$N$3)/E491,1))*MAX(1,MIN(IF(G491="",1,G491),FLOOR($N$4/D491,1)))*IF(F491="",1,F491),""))</f>
        <v/>
      </c>
      <c r="K491" s="12">
        <f>IF(A491="","",IF(COUNTIF(DATA!$D$2:$D$500,A491)=0,"CEK SKU tidak ada di DATA",IF(COUNT(C491:E491)&lt;3,"CEK dimensi belum lengkap",IF(OR(C491&lt;=0,D491&lt;=0,E491&lt;=0),"CEK dimensi harus lebih dari 0",IF(COUNTIF($A$2:$A$500,A491)&gt;1,"CEK SKU dobel","OK")))))</f>
        <v/>
      </c>
    </row>
    <row r="492">
      <c r="A492" s="10" t="n"/>
      <c r="B492" s="12">
        <f>IF(A492="","",IFERROR(INDEX(DATA!$E$2:$E$500,MATCH(A492,DATA!$D$2:$D$500,0)),""))</f>
        <v/>
      </c>
      <c r="C492" s="10" t="n"/>
      <c r="D492" s="10" t="n"/>
      <c r="E492" s="10" t="n"/>
      <c r="F492" s="10" t="n"/>
      <c r="G492" s="10" t="n"/>
      <c r="H492" s="10" t="n"/>
      <c r="I492" s="10" t="n"/>
      <c r="J492" s="12">
        <f>IF(OR(A492="",COUNT(C492:E492)&lt;3),"",IFERROR(MAX(0,FLOOR(($N$2-$N$3)/E492,1))*MAX(1,MIN(IF(G492="",1,G492),FLOOR($N$4/D492,1)))*IF(F492="",1,F492),""))</f>
        <v/>
      </c>
      <c r="K492" s="12">
        <f>IF(A492="","",IF(COUNTIF(DATA!$D$2:$D$500,A492)=0,"CEK SKU tidak ada di DATA",IF(COUNT(C492:E492)&lt;3,"CEK dimensi belum lengkap",IF(OR(C492&lt;=0,D492&lt;=0,E492&lt;=0),"CEK dimensi harus lebih dari 0",IF(COUNTIF($A$2:$A$500,A492)&gt;1,"CEK SKU dobel","OK")))))</f>
        <v/>
      </c>
    </row>
    <row r="493">
      <c r="A493" s="10" t="n"/>
      <c r="B493" s="12">
        <f>IF(A493="","",IFERROR(INDEX(DATA!$E$2:$E$500,MATCH(A493,DATA!$D$2:$D$500,0)),""))</f>
        <v/>
      </c>
      <c r="C493" s="10" t="n"/>
      <c r="D493" s="10" t="n"/>
      <c r="E493" s="10" t="n"/>
      <c r="F493" s="10" t="n"/>
      <c r="G493" s="10" t="n"/>
      <c r="H493" s="10" t="n"/>
      <c r="I493" s="10" t="n"/>
      <c r="J493" s="12">
        <f>IF(OR(A493="",COUNT(C493:E493)&lt;3),"",IFERROR(MAX(0,FLOOR(($N$2-$N$3)/E493,1))*MAX(1,MIN(IF(G493="",1,G493),FLOOR($N$4/D493,1)))*IF(F493="",1,F493),""))</f>
        <v/>
      </c>
      <c r="K493" s="12">
        <f>IF(A493="","",IF(COUNTIF(DATA!$D$2:$D$500,A493)=0,"CEK SKU tidak ada di DATA",IF(COUNT(C493:E493)&lt;3,"CEK dimensi belum lengkap",IF(OR(C493&lt;=0,D493&lt;=0,E493&lt;=0),"CEK dimensi harus lebih dari 0",IF(COUNTIF($A$2:$A$500,A493)&gt;1,"CEK SKU dobel","OK")))))</f>
        <v/>
      </c>
    </row>
    <row r="494">
      <c r="A494" s="10" t="n"/>
      <c r="B494" s="12">
        <f>IF(A494="","",IFERROR(INDEX(DATA!$E$2:$E$500,MATCH(A494,DATA!$D$2:$D$500,0)),""))</f>
        <v/>
      </c>
      <c r="C494" s="10" t="n"/>
      <c r="D494" s="10" t="n"/>
      <c r="E494" s="10" t="n"/>
      <c r="F494" s="10" t="n"/>
      <c r="G494" s="10" t="n"/>
      <c r="H494" s="10" t="n"/>
      <c r="I494" s="10" t="n"/>
      <c r="J494" s="12">
        <f>IF(OR(A494="",COUNT(C494:E494)&lt;3),"",IFERROR(MAX(0,FLOOR(($N$2-$N$3)/E494,1))*MAX(1,MIN(IF(G494="",1,G494),FLOOR($N$4/D494,1)))*IF(F494="",1,F494),""))</f>
        <v/>
      </c>
      <c r="K494" s="12">
        <f>IF(A494="","",IF(COUNTIF(DATA!$D$2:$D$500,A494)=0,"CEK SKU tidak ada di DATA",IF(COUNT(C494:E494)&lt;3,"CEK dimensi belum lengkap",IF(OR(C494&lt;=0,D494&lt;=0,E494&lt;=0),"CEK dimensi harus lebih dari 0",IF(COUNTIF($A$2:$A$500,A494)&gt;1,"CEK SKU dobel","OK")))))</f>
        <v/>
      </c>
    </row>
    <row r="495">
      <c r="A495" s="10" t="n"/>
      <c r="B495" s="12">
        <f>IF(A495="","",IFERROR(INDEX(DATA!$E$2:$E$500,MATCH(A495,DATA!$D$2:$D$500,0)),""))</f>
        <v/>
      </c>
      <c r="C495" s="10" t="n"/>
      <c r="D495" s="10" t="n"/>
      <c r="E495" s="10" t="n"/>
      <c r="F495" s="10" t="n"/>
      <c r="G495" s="10" t="n"/>
      <c r="H495" s="10" t="n"/>
      <c r="I495" s="10" t="n"/>
      <c r="J495" s="12">
        <f>IF(OR(A495="",COUNT(C495:E495)&lt;3),"",IFERROR(MAX(0,FLOOR(($N$2-$N$3)/E495,1))*MAX(1,MIN(IF(G495="",1,G495),FLOOR($N$4/D495,1)))*IF(F495="",1,F495),""))</f>
        <v/>
      </c>
      <c r="K495" s="12">
        <f>IF(A495="","",IF(COUNTIF(DATA!$D$2:$D$500,A495)=0,"CEK SKU tidak ada di DATA",IF(COUNT(C495:E495)&lt;3,"CEK dimensi belum lengkap",IF(OR(C495&lt;=0,D495&lt;=0,E495&lt;=0),"CEK dimensi harus lebih dari 0",IF(COUNTIF($A$2:$A$500,A495)&gt;1,"CEK SKU dobel","OK")))))</f>
        <v/>
      </c>
    </row>
    <row r="496">
      <c r="A496" s="10" t="n"/>
      <c r="B496" s="12">
        <f>IF(A496="","",IFERROR(INDEX(DATA!$E$2:$E$500,MATCH(A496,DATA!$D$2:$D$500,0)),""))</f>
        <v/>
      </c>
      <c r="C496" s="10" t="n"/>
      <c r="D496" s="10" t="n"/>
      <c r="E496" s="10" t="n"/>
      <c r="F496" s="10" t="n"/>
      <c r="G496" s="10" t="n"/>
      <c r="H496" s="10" t="n"/>
      <c r="I496" s="10" t="n"/>
      <c r="J496" s="12">
        <f>IF(OR(A496="",COUNT(C496:E496)&lt;3),"",IFERROR(MAX(0,FLOOR(($N$2-$N$3)/E496,1))*MAX(1,MIN(IF(G496="",1,G496),FLOOR($N$4/D496,1)))*IF(F496="",1,F496),""))</f>
        <v/>
      </c>
      <c r="K496" s="12">
        <f>IF(A496="","",IF(COUNTIF(DATA!$D$2:$D$500,A496)=0,"CEK SKU tidak ada di DATA",IF(COUNT(C496:E496)&lt;3,"CEK dimensi belum lengkap",IF(OR(C496&lt;=0,D496&lt;=0,E496&lt;=0),"CEK dimensi harus lebih dari 0",IF(COUNTIF($A$2:$A$500,A496)&gt;1,"CEK SKU dobel","OK")))))</f>
        <v/>
      </c>
    </row>
    <row r="497">
      <c r="A497" s="10" t="n"/>
      <c r="B497" s="12">
        <f>IF(A497="","",IFERROR(INDEX(DATA!$E$2:$E$500,MATCH(A497,DATA!$D$2:$D$500,0)),""))</f>
        <v/>
      </c>
      <c r="C497" s="10" t="n"/>
      <c r="D497" s="10" t="n"/>
      <c r="E497" s="10" t="n"/>
      <c r="F497" s="10" t="n"/>
      <c r="G497" s="10" t="n"/>
      <c r="H497" s="10" t="n"/>
      <c r="I497" s="10" t="n"/>
      <c r="J497" s="12">
        <f>IF(OR(A497="",COUNT(C497:E497)&lt;3),"",IFERROR(MAX(0,FLOOR(($N$2-$N$3)/E497,1))*MAX(1,MIN(IF(G497="",1,G497),FLOOR($N$4/D497,1)))*IF(F497="",1,F497),""))</f>
        <v/>
      </c>
      <c r="K497" s="12">
        <f>IF(A497="","",IF(COUNTIF(DATA!$D$2:$D$500,A497)=0,"CEK SKU tidak ada di DATA",IF(COUNT(C497:E497)&lt;3,"CEK dimensi belum lengkap",IF(OR(C497&lt;=0,D497&lt;=0,E497&lt;=0),"CEK dimensi harus lebih dari 0",IF(COUNTIF($A$2:$A$500,A497)&gt;1,"CEK SKU dobel","OK")))))</f>
        <v/>
      </c>
    </row>
    <row r="498">
      <c r="A498" s="10" t="n"/>
      <c r="B498" s="12">
        <f>IF(A498="","",IFERROR(INDEX(DATA!$E$2:$E$500,MATCH(A498,DATA!$D$2:$D$500,0)),""))</f>
        <v/>
      </c>
      <c r="C498" s="10" t="n"/>
      <c r="D498" s="10" t="n"/>
      <c r="E498" s="10" t="n"/>
      <c r="F498" s="10" t="n"/>
      <c r="G498" s="10" t="n"/>
      <c r="H498" s="10" t="n"/>
      <c r="I498" s="10" t="n"/>
      <c r="J498" s="12">
        <f>IF(OR(A498="",COUNT(C498:E498)&lt;3),"",IFERROR(MAX(0,FLOOR(($N$2-$N$3)/E498,1))*MAX(1,MIN(IF(G498="",1,G498),FLOOR($N$4/D498,1)))*IF(F498="",1,F498),""))</f>
        <v/>
      </c>
      <c r="K498" s="12">
        <f>IF(A498="","",IF(COUNTIF(DATA!$D$2:$D$500,A498)=0,"CEK SKU tidak ada di DATA",IF(COUNT(C498:E498)&lt;3,"CEK dimensi belum lengkap",IF(OR(C498&lt;=0,D498&lt;=0,E498&lt;=0),"CEK dimensi harus lebih dari 0",IF(COUNTIF($A$2:$A$500,A498)&gt;1,"CEK SKU dobel","OK")))))</f>
        <v/>
      </c>
    </row>
    <row r="499">
      <c r="A499" s="10" t="n"/>
      <c r="B499" s="12">
        <f>IF(A499="","",IFERROR(INDEX(DATA!$E$2:$E$500,MATCH(A499,DATA!$D$2:$D$500,0)),""))</f>
        <v/>
      </c>
      <c r="C499" s="10" t="n"/>
      <c r="D499" s="10" t="n"/>
      <c r="E499" s="10" t="n"/>
      <c r="F499" s="10" t="n"/>
      <c r="G499" s="10" t="n"/>
      <c r="H499" s="10" t="n"/>
      <c r="I499" s="10" t="n"/>
      <c r="J499" s="12">
        <f>IF(OR(A499="",COUNT(C499:E499)&lt;3),"",IFERROR(MAX(0,FLOOR(($N$2-$N$3)/E499,1))*MAX(1,MIN(IF(G499="",1,G499),FLOOR($N$4/D499,1)))*IF(F499="",1,F499),""))</f>
        <v/>
      </c>
      <c r="K499" s="12">
        <f>IF(A499="","",IF(COUNTIF(DATA!$D$2:$D$500,A499)=0,"CEK SKU tidak ada di DATA",IF(COUNT(C499:E499)&lt;3,"CEK dimensi belum lengkap",IF(OR(C499&lt;=0,D499&lt;=0,E499&lt;=0),"CEK dimensi harus lebih dari 0",IF(COUNTIF($A$2:$A$500,A499)&gt;1,"CEK SKU dobel","OK")))))</f>
        <v/>
      </c>
    </row>
    <row r="500">
      <c r="A500" s="10" t="n"/>
      <c r="B500" s="12">
        <f>IF(A500="","",IFERROR(INDEX(DATA!$E$2:$E$500,MATCH(A500,DATA!$D$2:$D$500,0)),""))</f>
        <v/>
      </c>
      <c r="C500" s="10" t="n"/>
      <c r="D500" s="10" t="n"/>
      <c r="E500" s="10" t="n"/>
      <c r="F500" s="10" t="n"/>
      <c r="G500" s="10" t="n"/>
      <c r="H500" s="10" t="n"/>
      <c r="I500" s="10" t="n"/>
      <c r="J500" s="12">
        <f>IF(OR(A500="",COUNT(C500:E500)&lt;3),"",IFERROR(MAX(0,FLOOR(($N$2-$N$3)/E500,1))*MAX(1,MIN(IF(G500="",1,G500),FLOOR($N$4/D500,1)))*IF(F500="",1,F500),""))</f>
        <v/>
      </c>
      <c r="K500" s="12">
        <f>IF(A500="","",IF(COUNTIF(DATA!$D$2:$D$500,A500)=0,"CEK SKU tidak ada di DATA",IF(COUNT(C500:E500)&lt;3,"CEK dimensi belum lengkap",IF(OR(C500&lt;=0,D500&lt;=0,E500&lt;=0),"CEK dimensi harus lebih dari 0",IF(COUNTIF($A$2:$A$500,A500)&gt;1,"CEK SKU dobel","OK")))))</f>
        <v/>
      </c>
    </row>
  </sheetData>
  <autoFilter ref="A1:K500"/>
  <mergeCells count="1">
    <mergeCell ref="M7:N10"/>
  </mergeCells>
  <conditionalFormatting sqref="K2:K500">
    <cfRule type="expression" priority="1" dxfId="3">
      <formula>LEFT($K2,3)="CEK"</formula>
    </cfRule>
    <cfRule type="expression" priority="2" dxfId="4">
      <formula>$K2="OK"</formula>
    </cfRule>
  </conditionalFormatting>
  <dataValidations count="3">
    <dataValidation sqref="C2:E500" showDropDown="0" showInputMessage="0" showErrorMessage="1" allowBlank="1" errorTitle="Dimensi" error="Isi angka lebih dari 0 (cm)." type="decimal" operator="greaterThan">
      <formula1>0</formula1>
    </dataValidation>
    <dataValidation sqref="F2:G500" showDropDown="0" showInputMessage="0" showErrorMessage="1" allowBlank="1" errorTitle="Angka bulat" error="Isi angka bulat mulai 1." type="whole" operator="greaterThanOrEqual">
      <formula1>1</formula1>
    </dataValidation>
    <dataValidation sqref="H2:H500" showDropDown="0" showInputMessage="0" showErrorMessage="0" allowBlank="1" type="list">
      <formula1>"Ya,Tidak"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38" customWidth="1" min="3" max="3"/>
    <col width="3" customWidth="1" min="4" max="4"/>
    <col width="34" customWidth="1" min="5" max="5"/>
    <col width="24" customWidth="1" min="6" max="6"/>
    <col width="13" customWidth="1" min="7" max="7"/>
    <col width="44" customWidth="1" min="8" max="8"/>
    <col width="16" customWidth="1" min="9" max="9"/>
  </cols>
  <sheetData>
    <row r="1" ht="32" customHeight="1">
      <c r="A1" s="21" t="inlineStr">
        <is>
          <t>id_fixture</t>
        </is>
      </c>
      <c r="B1" s="21" t="inlineStr">
        <is>
          <t>jenis_fixture</t>
        </is>
      </c>
      <c r="C1" s="21" t="inlineStr">
        <is>
          <t>keterangan (opsional: toko / lokasi)</t>
        </is>
      </c>
      <c r="E1" s="21" t="inlineStr">
        <is>
          <t>JENIS FIXTURE (referensi)</t>
        </is>
      </c>
      <c r="F1" s="21" t="inlineStr">
        <is>
          <t>UKURAN P×L×T (cm)</t>
        </is>
      </c>
      <c r="G1" s="21" t="inlineStr">
        <is>
          <t>JUMLAH ZONA</t>
        </is>
      </c>
      <c r="H1" s="21" t="inlineStr">
        <is>
          <t>SUSUNAN ZONA (atas → bawah)</t>
        </is>
      </c>
      <c r="I1" s="21" t="inlineStr">
        <is>
          <t>BISA DISAMBUNG</t>
        </is>
      </c>
    </row>
    <row r="2">
      <c r="A2" s="17" t="inlineStr">
        <is>
          <t>WLL 3S + 2G</t>
        </is>
      </c>
      <c r="B2" s="17" t="inlineStr">
        <is>
          <t>Wall 3 Shelving + 2 Gantungan</t>
        </is>
      </c>
      <c r="C2" s="17" t="n"/>
      <c r="E2" s="17" t="inlineStr">
        <is>
          <t>Wall 6 Shelving</t>
        </is>
      </c>
      <c r="F2" s="17" t="inlineStr">
        <is>
          <t>120x50x270 / 120x50x240</t>
        </is>
      </c>
      <c r="G2" s="17" t="n">
        <v>6</v>
      </c>
      <c r="H2" s="17" t="inlineStr">
        <is>
          <t>1 Shelving · 2 Shelving · 3 Shelving · 4 Shelving · 5 Shelving · 6 Shelving</t>
        </is>
      </c>
      <c r="I2" s="17" t="inlineStr">
        <is>
          <t>Ya</t>
        </is>
      </c>
    </row>
    <row r="3">
      <c r="A3" s="17" t="inlineStr">
        <is>
          <t>WLL 5S</t>
        </is>
      </c>
      <c r="B3" s="17" t="inlineStr">
        <is>
          <t>Wall 5 Shelving</t>
        </is>
      </c>
      <c r="C3" s="17" t="n"/>
      <c r="E3" s="17" t="inlineStr">
        <is>
          <t>Wall 5 Shelving</t>
        </is>
      </c>
      <c r="F3" s="17" t="inlineStr">
        <is>
          <t>120x50x270 / 120x50x240</t>
        </is>
      </c>
      <c r="G3" s="17" t="n">
        <v>5</v>
      </c>
      <c r="H3" s="17" t="inlineStr">
        <is>
          <t>1 Shelving · 2 Shelving · 3 Shelving · 4 Shelving · 5 Shelving</t>
        </is>
      </c>
      <c r="I3" s="17" t="inlineStr">
        <is>
          <t>Ya</t>
        </is>
      </c>
    </row>
    <row r="4">
      <c r="A4" s="17" t="inlineStr">
        <is>
          <t>WLL 6S</t>
        </is>
      </c>
      <c r="B4" s="17" t="inlineStr">
        <is>
          <t>Wall 6 Shelving</t>
        </is>
      </c>
      <c r="C4" s="17" t="n"/>
      <c r="E4" s="17" t="inlineStr">
        <is>
          <t>Wall 3 Shelving + 2 Gantungan</t>
        </is>
      </c>
      <c r="F4" s="17" t="inlineStr">
        <is>
          <t>120x50x270 / 120x50x240</t>
        </is>
      </c>
      <c r="G4" s="17" t="n">
        <v>5</v>
      </c>
      <c r="H4" s="17" t="inlineStr">
        <is>
          <t>1 Gantungan · 2 Gantungan · 3 Shelving · 4 Shelving · 5 Shelving</t>
        </is>
      </c>
      <c r="I4" s="17" t="inlineStr">
        <is>
          <t>Ya</t>
        </is>
      </c>
    </row>
    <row r="5">
      <c r="A5" s="17" t="inlineStr">
        <is>
          <t>GDN 2G + 2S</t>
        </is>
      </c>
      <c r="B5" s="17" t="inlineStr">
        <is>
          <t>Gondola 2 Gantungan + 2 Shelving</t>
        </is>
      </c>
      <c r="C5" s="17" t="n"/>
      <c r="E5" s="17" t="inlineStr">
        <is>
          <t>Gondola 4 Shelving</t>
        </is>
      </c>
      <c r="F5" s="17" t="inlineStr">
        <is>
          <t>120x50x150</t>
        </is>
      </c>
      <c r="G5" s="17" t="n">
        <v>4</v>
      </c>
      <c r="H5" s="17" t="inlineStr">
        <is>
          <t>1 Shelving · 2 Shelving · 3 Shelving · 4 Shelving</t>
        </is>
      </c>
      <c r="I5" s="17" t="inlineStr">
        <is>
          <t>Ya</t>
        </is>
      </c>
    </row>
    <row r="6">
      <c r="A6" s="17" t="inlineStr">
        <is>
          <t>GDN 2S + 2G</t>
        </is>
      </c>
      <c r="B6" s="17" t="inlineStr">
        <is>
          <t>Gondola 2 Shelving + 2 Gantungan</t>
        </is>
      </c>
      <c r="C6" s="17" t="n"/>
      <c r="E6" s="17" t="inlineStr">
        <is>
          <t>Gondola 3 Shelving</t>
        </is>
      </c>
      <c r="F6" s="17" t="inlineStr">
        <is>
          <t>120x50x150</t>
        </is>
      </c>
      <c r="G6" s="17" t="n">
        <v>3</v>
      </c>
      <c r="H6" s="17" t="inlineStr">
        <is>
          <t>1 Shelving · 2 Shelving · 3 Shelving</t>
        </is>
      </c>
      <c r="I6" s="17" t="inlineStr">
        <is>
          <t>Ya</t>
        </is>
      </c>
    </row>
    <row r="7">
      <c r="A7" s="17" t="inlineStr">
        <is>
          <t>GDN 3S</t>
        </is>
      </c>
      <c r="B7" s="17" t="inlineStr">
        <is>
          <t>Gondola 3 Shelving</t>
        </is>
      </c>
      <c r="C7" s="17" t="n"/>
      <c r="E7" s="17" t="inlineStr">
        <is>
          <t>Gondola 2 Gantungan + 2 Shelving</t>
        </is>
      </c>
      <c r="F7" s="17" t="inlineStr">
        <is>
          <t>120x50x150</t>
        </is>
      </c>
      <c r="G7" s="17" t="n">
        <v>4</v>
      </c>
      <c r="H7" s="17" t="inlineStr">
        <is>
          <t>1 Gantungan · 2 Gantungan · 3 Shelving · 4 Shelving</t>
        </is>
      </c>
      <c r="I7" s="17" t="inlineStr">
        <is>
          <t>Ya</t>
        </is>
      </c>
    </row>
    <row r="8">
      <c r="A8" s="17" t="inlineStr">
        <is>
          <t>GDN 3S + 1G</t>
        </is>
      </c>
      <c r="B8" s="17" t="inlineStr">
        <is>
          <t>Gondola 3 Shelving + 1 Gantungan</t>
        </is>
      </c>
      <c r="C8" s="17" t="n"/>
      <c r="E8" s="17" t="inlineStr">
        <is>
          <t>Gondola 3 Shelving + 1 Gantungan</t>
        </is>
      </c>
      <c r="F8" s="17" t="inlineStr">
        <is>
          <t>120x50x150</t>
        </is>
      </c>
      <c r="G8" s="17" t="n">
        <v>4</v>
      </c>
      <c r="H8" s="17" t="inlineStr">
        <is>
          <t>1 Shelving · 2 Gantungan · 3 Shelving · 4 Shelving</t>
        </is>
      </c>
      <c r="I8" s="17" t="inlineStr">
        <is>
          <t>Ya</t>
        </is>
      </c>
    </row>
    <row r="9">
      <c r="A9" s="17" t="inlineStr">
        <is>
          <t>GDN 4S</t>
        </is>
      </c>
      <c r="B9" s="17" t="inlineStr">
        <is>
          <t>Gondola 4 Shelving</t>
        </is>
      </c>
      <c r="C9" s="17" t="n"/>
      <c r="E9" s="17" t="inlineStr">
        <is>
          <t>Gondola 2 Shelving + 2 Gantungan</t>
        </is>
      </c>
      <c r="F9" s="17" t="inlineStr">
        <is>
          <t>120x50x150</t>
        </is>
      </c>
      <c r="G9" s="17" t="n">
        <v>4</v>
      </c>
      <c r="H9" s="17" t="inlineStr">
        <is>
          <t>1 Shelving · 2 Gantungan · 3 Gantungan · 4 Shelving</t>
        </is>
      </c>
      <c r="I9" s="17" t="inlineStr">
        <is>
          <t>Ya</t>
        </is>
      </c>
    </row>
    <row r="10">
      <c r="A10" s="17" t="inlineStr">
        <is>
          <t>END 3S</t>
        </is>
      </c>
      <c r="B10" s="17" t="inlineStr">
        <is>
          <t>Endcap 3 Shelving</t>
        </is>
      </c>
      <c r="C10" s="17" t="n"/>
      <c r="E10" s="17" t="inlineStr">
        <is>
          <t>Endcap 4 Shelving</t>
        </is>
      </c>
      <c r="F10" s="17" t="inlineStr">
        <is>
          <t>100x50x150</t>
        </is>
      </c>
      <c r="G10" s="17" t="n">
        <v>4</v>
      </c>
      <c r="H10" s="17" t="inlineStr">
        <is>
          <t>1 Shelving · 2 Shelving · 3 Shelving · 4 Shelving</t>
        </is>
      </c>
      <c r="I10" s="17" t="inlineStr">
        <is>
          <t>Tidak</t>
        </is>
      </c>
    </row>
    <row r="11">
      <c r="A11" s="17" t="inlineStr">
        <is>
          <t>END 4S</t>
        </is>
      </c>
      <c r="B11" s="17" t="inlineStr">
        <is>
          <t>Endcap 4 Shelving</t>
        </is>
      </c>
      <c r="C11" s="17" t="n"/>
      <c r="E11" s="17" t="inlineStr">
        <is>
          <t>Endcap 3 Shelving</t>
        </is>
      </c>
      <c r="F11" s="17" t="inlineStr">
        <is>
          <t>100x50x150</t>
        </is>
      </c>
      <c r="G11" s="17" t="n">
        <v>3</v>
      </c>
      <c r="H11" s="17" t="inlineStr">
        <is>
          <t>1 Shelving · 2 Shelving · 3 Shelving</t>
        </is>
      </c>
      <c r="I11" s="17" t="inlineStr">
        <is>
          <t>Tidak</t>
        </is>
      </c>
    </row>
    <row r="12">
      <c r="A12" s="17" t="inlineStr">
        <is>
          <t>PLT 90</t>
        </is>
      </c>
      <c r="B12" s="17" t="inlineStr">
        <is>
          <t>Pallet 90x90</t>
        </is>
      </c>
      <c r="C12" s="17" t="n"/>
      <c r="E12" s="17" t="inlineStr">
        <is>
          <t>Pallet 90x90</t>
        </is>
      </c>
      <c r="F12" s="17" t="inlineStr">
        <is>
          <t>90x90x100</t>
        </is>
      </c>
      <c r="G12" s="17" t="n">
        <v>1</v>
      </c>
      <c r="H12" s="17" t="inlineStr">
        <is>
          <t>1 Shelving</t>
        </is>
      </c>
      <c r="I12" s="17" t="inlineStr">
        <is>
          <t>Ya</t>
        </is>
      </c>
    </row>
    <row r="13">
      <c r="A13" s="17" t="n"/>
      <c r="B13" s="17" t="n"/>
      <c r="C13" s="17" t="n"/>
    </row>
    <row r="14">
      <c r="A14" s="17" t="n"/>
      <c r="B14" s="17" t="n"/>
      <c r="C14" s="17" t="n"/>
      <c r="E14" s="22" t="inlineStr">
        <is>
          <t>Cara pakai:</t>
        </is>
      </c>
    </row>
    <row r="15">
      <c r="A15" s="17" t="n"/>
      <c r="B15" s="17" t="n"/>
      <c r="C15" s="17" t="n"/>
      <c r="E15" s="23" t="inlineStr">
        <is>
          <t>• Kolom A–C = daftar fixture di toko Anda. Satu ID satu fixture, harus unik (maks. baris 51).</t>
        </is>
      </c>
    </row>
    <row r="16">
      <c r="A16" s="17" t="n"/>
      <c r="B16" s="17" t="n"/>
      <c r="C16" s="17" t="n"/>
      <c r="E16" s="23" t="inlineStr">
        <is>
          <t>• Kolom B dipilih dari dropdown. Nama persis sama dengan kolom E.</t>
        </is>
      </c>
    </row>
    <row r="17">
      <c r="A17" s="17" t="n"/>
      <c r="B17" s="17" t="n"/>
      <c r="C17" s="17" t="n"/>
      <c r="E17" s="23" t="inlineStr">
        <is>
          <t>• ID kolom A muncul sebagai dropdown di sheet DATA (ID FIXTURE 1, 2, 3). Pakai kode modul: GDN 3S = Gondola 3 Shelving, 2G = 2 Gantungan. Fixture ke-2 jenis sama: tambah " #2".</t>
        </is>
      </c>
    </row>
    <row r="18">
      <c r="A18" s="17" t="n"/>
      <c r="B18" s="17" t="n"/>
      <c r="C18" s="17" t="n"/>
      <c r="E18" s="23" t="inlineStr">
        <is>
          <t>• Kolom E–I hanya referensi (jangan diubah). Zona dihitung dari atas ke bawah.</t>
        </is>
      </c>
    </row>
    <row r="19">
      <c r="A19" s="17" t="n"/>
      <c r="B19" s="17" t="n"/>
      <c r="C19" s="17" t="n"/>
    </row>
    <row r="20">
      <c r="A20" s="17" t="n"/>
      <c r="B20" s="17" t="n"/>
      <c r="C20" s="17" t="n"/>
    </row>
    <row r="21">
      <c r="A21" s="17" t="n"/>
      <c r="B21" s="17" t="n"/>
      <c r="C21" s="17" t="n"/>
    </row>
    <row r="22">
      <c r="A22" s="17" t="n"/>
      <c r="B22" s="17" t="n"/>
      <c r="C22" s="17" t="n"/>
    </row>
    <row r="23">
      <c r="A23" s="17" t="n"/>
      <c r="B23" s="17" t="n"/>
      <c r="C23" s="17" t="n"/>
    </row>
    <row r="24">
      <c r="A24" s="17" t="n"/>
      <c r="B24" s="17" t="n"/>
      <c r="C24" s="17" t="n"/>
    </row>
    <row r="25">
      <c r="A25" s="17" t="n"/>
      <c r="B25" s="17" t="n"/>
      <c r="C25" s="17" t="n"/>
    </row>
    <row r="26">
      <c r="A26" s="17" t="n"/>
      <c r="B26" s="17" t="n"/>
      <c r="C26" s="17" t="n"/>
    </row>
    <row r="27">
      <c r="A27" s="17" t="n"/>
      <c r="B27" s="17" t="n"/>
      <c r="C27" s="17" t="n"/>
    </row>
    <row r="28">
      <c r="A28" s="17" t="n"/>
      <c r="B28" s="17" t="n"/>
      <c r="C28" s="17" t="n"/>
    </row>
    <row r="29">
      <c r="A29" s="17" t="n"/>
      <c r="B29" s="17" t="n"/>
      <c r="C29" s="17" t="n"/>
    </row>
    <row r="30">
      <c r="A30" s="17" t="n"/>
      <c r="B30" s="17" t="n"/>
      <c r="C30" s="17" t="n"/>
    </row>
    <row r="31">
      <c r="A31" s="17" t="n"/>
      <c r="B31" s="17" t="n"/>
      <c r="C31" s="17" t="n"/>
    </row>
    <row r="32">
      <c r="A32" s="17" t="n"/>
      <c r="B32" s="17" t="n"/>
      <c r="C32" s="17" t="n"/>
    </row>
    <row r="33">
      <c r="A33" s="17" t="n"/>
      <c r="B33" s="17" t="n"/>
      <c r="C33" s="17" t="n"/>
    </row>
    <row r="34">
      <c r="A34" s="17" t="n"/>
      <c r="B34" s="17" t="n"/>
      <c r="C34" s="17" t="n"/>
    </row>
    <row r="35">
      <c r="A35" s="17" t="n"/>
      <c r="B35" s="17" t="n"/>
      <c r="C35" s="17" t="n"/>
    </row>
    <row r="36">
      <c r="A36" s="17" t="n"/>
      <c r="B36" s="17" t="n"/>
      <c r="C36" s="17" t="n"/>
    </row>
    <row r="37">
      <c r="A37" s="17" t="n"/>
      <c r="B37" s="17" t="n"/>
      <c r="C37" s="17" t="n"/>
    </row>
    <row r="38">
      <c r="A38" s="17" t="n"/>
      <c r="B38" s="17" t="n"/>
      <c r="C38" s="17" t="n"/>
    </row>
    <row r="39">
      <c r="A39" s="17" t="n"/>
      <c r="B39" s="17" t="n"/>
      <c r="C39" s="17" t="n"/>
    </row>
    <row r="40">
      <c r="A40" s="17" t="n"/>
      <c r="B40" s="17" t="n"/>
      <c r="C40" s="17" t="n"/>
    </row>
    <row r="41">
      <c r="A41" s="17" t="n"/>
      <c r="B41" s="17" t="n"/>
      <c r="C41" s="17" t="n"/>
    </row>
    <row r="42">
      <c r="A42" s="17" t="n"/>
      <c r="B42" s="17" t="n"/>
      <c r="C42" s="17" t="n"/>
    </row>
    <row r="43">
      <c r="A43" s="17" t="n"/>
      <c r="B43" s="17" t="n"/>
      <c r="C43" s="17" t="n"/>
    </row>
    <row r="44">
      <c r="A44" s="17" t="n"/>
      <c r="B44" s="17" t="n"/>
      <c r="C44" s="17" t="n"/>
    </row>
    <row r="45">
      <c r="A45" s="17" t="n"/>
      <c r="B45" s="17" t="n"/>
      <c r="C45" s="17" t="n"/>
    </row>
    <row r="46">
      <c r="A46" s="17" t="n"/>
      <c r="B46" s="17" t="n"/>
      <c r="C46" s="17" t="n"/>
    </row>
    <row r="47">
      <c r="A47" s="17" t="n"/>
      <c r="B47" s="17" t="n"/>
      <c r="C47" s="17" t="n"/>
    </row>
    <row r="48">
      <c r="A48" s="17" t="n"/>
      <c r="B48" s="17" t="n"/>
      <c r="C48" s="17" t="n"/>
    </row>
    <row r="49">
      <c r="A49" s="17" t="n"/>
      <c r="B49" s="17" t="n"/>
      <c r="C49" s="17" t="n"/>
    </row>
    <row r="50">
      <c r="A50" s="17" t="n"/>
      <c r="B50" s="17" t="n"/>
      <c r="C50" s="17" t="n"/>
    </row>
    <row r="51">
      <c r="A51" s="17" t="n"/>
      <c r="B51" s="17" t="n"/>
      <c r="C51" s="17" t="n"/>
    </row>
  </sheetData>
  <conditionalFormatting sqref="A2:A51">
    <cfRule type="expression" priority="1" dxfId="3">
      <formula>AND($A2&lt;&gt;"",COUNTIF($A$2:$A$51,$A2)&gt;1)</formula>
    </cfRule>
  </conditionalFormatting>
  <dataValidations count="1">
    <dataValidation sqref="B2:B51" showDropDown="0" showInputMessage="0" showErrorMessage="1" allowBlank="1" errorTitle="Jenis fixture" error="Pilih jenis fixture dari daftar." type="list">
      <formula1>"Wall 6 Shelving,Wall 5 Shelving,Wall 3 Shelving + 2 Gantungan,Gondola 4 Shelving,Gondola 3 Shelving,Gondola 2 Gantungan + 2 Shelving,Gondola 3 Shelving + 1 Gantungan,Gondola 2 Shelving + 2 Gantungan,Endcap 4 Shelving,Endcap 3 Shelving,Pallet 90x90"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10" customWidth="1" min="3" max="3"/>
    <col width="24" customWidth="1" min="4" max="4"/>
    <col width="40" customWidth="1" min="5" max="5"/>
  </cols>
  <sheetData>
    <row r="1">
      <c r="A1" s="16" t="inlineStr">
        <is>
          <t>jenis_fixture</t>
        </is>
      </c>
      <c r="B1" s="16" t="inlineStr">
        <is>
          <t>ukuran_LxDxT_cm</t>
        </is>
      </c>
      <c r="C1" s="16" t="inlineStr">
        <is>
          <t>zona_no</t>
        </is>
      </c>
      <c r="D1" s="16" t="inlineStr">
        <is>
          <t>jenis_zona_seharusnya</t>
        </is>
      </c>
      <c r="E1" s="16" t="inlineStr">
        <is>
          <t>kunci</t>
        </is>
      </c>
    </row>
    <row r="2">
      <c r="A2" s="15" t="inlineStr">
        <is>
          <t>Wall 6 Shelving</t>
        </is>
      </c>
      <c r="B2" s="15" t="inlineStr">
        <is>
          <t>120x50x270 / 120x50x240</t>
        </is>
      </c>
      <c r="C2" s="17" t="n">
        <v>1</v>
      </c>
      <c r="D2" s="15" t="inlineStr">
        <is>
          <t>Shelving</t>
        </is>
      </c>
      <c r="E2" s="18">
        <f>A2&amp;"|"&amp;C2</f>
        <v/>
      </c>
    </row>
    <row r="3">
      <c r="A3" s="15" t="inlineStr">
        <is>
          <t>Wall 6 Shelving</t>
        </is>
      </c>
      <c r="B3" s="15" t="inlineStr">
        <is>
          <t>120x50x270 / 120x50x240</t>
        </is>
      </c>
      <c r="C3" s="17" t="n">
        <v>2</v>
      </c>
      <c r="D3" s="15" t="inlineStr">
        <is>
          <t>Shelving</t>
        </is>
      </c>
      <c r="E3" s="18">
        <f>A3&amp;"|"&amp;C3</f>
        <v/>
      </c>
    </row>
    <row r="4">
      <c r="A4" s="15" t="inlineStr">
        <is>
          <t>Wall 6 Shelving</t>
        </is>
      </c>
      <c r="B4" s="15" t="inlineStr">
        <is>
          <t>120x50x270 / 120x50x240</t>
        </is>
      </c>
      <c r="C4" s="17" t="n">
        <v>3</v>
      </c>
      <c r="D4" s="15" t="inlineStr">
        <is>
          <t>Shelving</t>
        </is>
      </c>
      <c r="E4" s="18">
        <f>A4&amp;"|"&amp;C4</f>
        <v/>
      </c>
    </row>
    <row r="5">
      <c r="A5" s="15" t="inlineStr">
        <is>
          <t>Wall 6 Shelving</t>
        </is>
      </c>
      <c r="B5" s="15" t="inlineStr">
        <is>
          <t>120x50x270 / 120x50x240</t>
        </is>
      </c>
      <c r="C5" s="17" t="n">
        <v>4</v>
      </c>
      <c r="D5" s="15" t="inlineStr">
        <is>
          <t>Shelving</t>
        </is>
      </c>
      <c r="E5" s="18">
        <f>A5&amp;"|"&amp;C5</f>
        <v/>
      </c>
    </row>
    <row r="6">
      <c r="A6" s="15" t="inlineStr">
        <is>
          <t>Wall 6 Shelving</t>
        </is>
      </c>
      <c r="B6" s="15" t="inlineStr">
        <is>
          <t>120x50x270 / 120x50x240</t>
        </is>
      </c>
      <c r="C6" s="17" t="n">
        <v>5</v>
      </c>
      <c r="D6" s="15" t="inlineStr">
        <is>
          <t>Shelving</t>
        </is>
      </c>
      <c r="E6" s="18">
        <f>A6&amp;"|"&amp;C6</f>
        <v/>
      </c>
    </row>
    <row r="7">
      <c r="A7" s="15" t="inlineStr">
        <is>
          <t>Wall 6 Shelving</t>
        </is>
      </c>
      <c r="B7" s="15" t="inlineStr">
        <is>
          <t>120x50x270 / 120x50x240</t>
        </is>
      </c>
      <c r="C7" s="17" t="n">
        <v>6</v>
      </c>
      <c r="D7" s="15" t="inlineStr">
        <is>
          <t>Shelving</t>
        </is>
      </c>
      <c r="E7" s="18">
        <f>A7&amp;"|"&amp;C7</f>
        <v/>
      </c>
    </row>
    <row r="8">
      <c r="A8" s="15" t="inlineStr">
        <is>
          <t>Wall 5 Shelving</t>
        </is>
      </c>
      <c r="B8" s="15" t="inlineStr">
        <is>
          <t>120x50x270 / 120x50x240</t>
        </is>
      </c>
      <c r="C8" s="17" t="n">
        <v>1</v>
      </c>
      <c r="D8" s="15" t="inlineStr">
        <is>
          <t>Shelving</t>
        </is>
      </c>
      <c r="E8" s="18">
        <f>A8&amp;"|"&amp;C8</f>
        <v/>
      </c>
    </row>
    <row r="9">
      <c r="A9" s="15" t="inlineStr">
        <is>
          <t>Wall 5 Shelving</t>
        </is>
      </c>
      <c r="B9" s="15" t="inlineStr">
        <is>
          <t>120x50x270 / 120x50x240</t>
        </is>
      </c>
      <c r="C9" s="17" t="n">
        <v>2</v>
      </c>
      <c r="D9" s="15" t="inlineStr">
        <is>
          <t>Shelving</t>
        </is>
      </c>
      <c r="E9" s="18">
        <f>A9&amp;"|"&amp;C9</f>
        <v/>
      </c>
    </row>
    <row r="10">
      <c r="A10" s="15" t="inlineStr">
        <is>
          <t>Wall 5 Shelving</t>
        </is>
      </c>
      <c r="B10" s="15" t="inlineStr">
        <is>
          <t>120x50x270 / 120x50x240</t>
        </is>
      </c>
      <c r="C10" s="17" t="n">
        <v>3</v>
      </c>
      <c r="D10" s="15" t="inlineStr">
        <is>
          <t>Shelving</t>
        </is>
      </c>
      <c r="E10" s="18">
        <f>A10&amp;"|"&amp;C10</f>
        <v/>
      </c>
    </row>
    <row r="11">
      <c r="A11" s="15" t="inlineStr">
        <is>
          <t>Wall 5 Shelving</t>
        </is>
      </c>
      <c r="B11" s="15" t="inlineStr">
        <is>
          <t>120x50x270 / 120x50x240</t>
        </is>
      </c>
      <c r="C11" s="17" t="n">
        <v>4</v>
      </c>
      <c r="D11" s="15" t="inlineStr">
        <is>
          <t>Shelving</t>
        </is>
      </c>
      <c r="E11" s="18">
        <f>A11&amp;"|"&amp;C11</f>
        <v/>
      </c>
    </row>
    <row r="12">
      <c r="A12" s="15" t="inlineStr">
        <is>
          <t>Wall 5 Shelving</t>
        </is>
      </c>
      <c r="B12" s="15" t="inlineStr">
        <is>
          <t>120x50x270 / 120x50x240</t>
        </is>
      </c>
      <c r="C12" s="17" t="n">
        <v>5</v>
      </c>
      <c r="D12" s="15" t="inlineStr">
        <is>
          <t>Shelving</t>
        </is>
      </c>
      <c r="E12" s="18">
        <f>A12&amp;"|"&amp;C12</f>
        <v/>
      </c>
    </row>
    <row r="13">
      <c r="A13" s="15" t="inlineStr">
        <is>
          <t>Wall 3 Shelving + 2 Gantungan</t>
        </is>
      </c>
      <c r="B13" s="15" t="inlineStr">
        <is>
          <t>120x50x270 / 120x50x240</t>
        </is>
      </c>
      <c r="C13" s="17" t="n">
        <v>1</v>
      </c>
      <c r="D13" s="15" t="inlineStr">
        <is>
          <t>Gantungan</t>
        </is>
      </c>
      <c r="E13" s="18">
        <f>A13&amp;"|"&amp;C13</f>
        <v/>
      </c>
    </row>
    <row r="14">
      <c r="A14" s="15" t="inlineStr">
        <is>
          <t>Wall 3 Shelving + 2 Gantungan</t>
        </is>
      </c>
      <c r="B14" s="15" t="inlineStr">
        <is>
          <t>120x50x270 / 120x50x240</t>
        </is>
      </c>
      <c r="C14" s="17" t="n">
        <v>2</v>
      </c>
      <c r="D14" s="15" t="inlineStr">
        <is>
          <t>Gantungan</t>
        </is>
      </c>
      <c r="E14" s="18">
        <f>A14&amp;"|"&amp;C14</f>
        <v/>
      </c>
    </row>
    <row r="15">
      <c r="A15" s="15" t="inlineStr">
        <is>
          <t>Wall 3 Shelving + 2 Gantungan</t>
        </is>
      </c>
      <c r="B15" s="15" t="inlineStr">
        <is>
          <t>120x50x270 / 120x50x240</t>
        </is>
      </c>
      <c r="C15" s="17" t="n">
        <v>3</v>
      </c>
      <c r="D15" s="15" t="inlineStr">
        <is>
          <t>Shelving</t>
        </is>
      </c>
      <c r="E15" s="18">
        <f>A15&amp;"|"&amp;C15</f>
        <v/>
      </c>
    </row>
    <row r="16">
      <c r="A16" s="15" t="inlineStr">
        <is>
          <t>Wall 3 Shelving + 2 Gantungan</t>
        </is>
      </c>
      <c r="B16" s="15" t="inlineStr">
        <is>
          <t>120x50x270 / 120x50x240</t>
        </is>
      </c>
      <c r="C16" s="17" t="n">
        <v>4</v>
      </c>
      <c r="D16" s="15" t="inlineStr">
        <is>
          <t>Shelving</t>
        </is>
      </c>
      <c r="E16" s="18">
        <f>A16&amp;"|"&amp;C16</f>
        <v/>
      </c>
    </row>
    <row r="17">
      <c r="A17" s="15" t="inlineStr">
        <is>
          <t>Wall 3 Shelving + 2 Gantungan</t>
        </is>
      </c>
      <c r="B17" s="15" t="inlineStr">
        <is>
          <t>120x50x270 / 120x50x240</t>
        </is>
      </c>
      <c r="C17" s="17" t="n">
        <v>5</v>
      </c>
      <c r="D17" s="15" t="inlineStr">
        <is>
          <t>Shelving</t>
        </is>
      </c>
      <c r="E17" s="18">
        <f>A17&amp;"|"&amp;C17</f>
        <v/>
      </c>
    </row>
    <row r="18">
      <c r="A18" s="15" t="inlineStr">
        <is>
          <t>Gondola 4 Shelving</t>
        </is>
      </c>
      <c r="B18" s="15" t="inlineStr">
        <is>
          <t>120x50x150</t>
        </is>
      </c>
      <c r="C18" s="17" t="n">
        <v>1</v>
      </c>
      <c r="D18" s="15" t="inlineStr">
        <is>
          <t>Shelving</t>
        </is>
      </c>
      <c r="E18" s="18">
        <f>A18&amp;"|"&amp;C18</f>
        <v/>
      </c>
    </row>
    <row r="19">
      <c r="A19" s="15" t="inlineStr">
        <is>
          <t>Gondola 4 Shelving</t>
        </is>
      </c>
      <c r="B19" s="15" t="inlineStr">
        <is>
          <t>120x50x150</t>
        </is>
      </c>
      <c r="C19" s="17" t="n">
        <v>2</v>
      </c>
      <c r="D19" s="15" t="inlineStr">
        <is>
          <t>Shelving</t>
        </is>
      </c>
      <c r="E19" s="18">
        <f>A19&amp;"|"&amp;C19</f>
        <v/>
      </c>
    </row>
    <row r="20">
      <c r="A20" s="15" t="inlineStr">
        <is>
          <t>Gondola 4 Shelving</t>
        </is>
      </c>
      <c r="B20" s="15" t="inlineStr">
        <is>
          <t>120x50x150</t>
        </is>
      </c>
      <c r="C20" s="17" t="n">
        <v>3</v>
      </c>
      <c r="D20" s="15" t="inlineStr">
        <is>
          <t>Shelving</t>
        </is>
      </c>
      <c r="E20" s="18">
        <f>A20&amp;"|"&amp;C20</f>
        <v/>
      </c>
    </row>
    <row r="21">
      <c r="A21" s="15" t="inlineStr">
        <is>
          <t>Gondola 4 Shelving</t>
        </is>
      </c>
      <c r="B21" s="15" t="inlineStr">
        <is>
          <t>120x50x150</t>
        </is>
      </c>
      <c r="C21" s="17" t="n">
        <v>4</v>
      </c>
      <c r="D21" s="15" t="inlineStr">
        <is>
          <t>Shelving</t>
        </is>
      </c>
      <c r="E21" s="18">
        <f>A21&amp;"|"&amp;C21</f>
        <v/>
      </c>
    </row>
    <row r="22">
      <c r="A22" s="15" t="inlineStr">
        <is>
          <t>Gondola 3 Shelving</t>
        </is>
      </c>
      <c r="B22" s="15" t="inlineStr">
        <is>
          <t>120x50x150</t>
        </is>
      </c>
      <c r="C22" s="17" t="n">
        <v>1</v>
      </c>
      <c r="D22" s="15" t="inlineStr">
        <is>
          <t>Shelving</t>
        </is>
      </c>
      <c r="E22" s="18">
        <f>A22&amp;"|"&amp;C22</f>
        <v/>
      </c>
    </row>
    <row r="23">
      <c r="A23" s="15" t="inlineStr">
        <is>
          <t>Gondola 3 Shelving</t>
        </is>
      </c>
      <c r="B23" s="15" t="inlineStr">
        <is>
          <t>120x50x150</t>
        </is>
      </c>
      <c r="C23" s="17" t="n">
        <v>2</v>
      </c>
      <c r="D23" s="15" t="inlineStr">
        <is>
          <t>Shelving</t>
        </is>
      </c>
      <c r="E23" s="18">
        <f>A23&amp;"|"&amp;C23</f>
        <v/>
      </c>
    </row>
    <row r="24">
      <c r="A24" s="15" t="inlineStr">
        <is>
          <t>Gondola 3 Shelving</t>
        </is>
      </c>
      <c r="B24" s="15" t="inlineStr">
        <is>
          <t>120x50x150</t>
        </is>
      </c>
      <c r="C24" s="17" t="n">
        <v>3</v>
      </c>
      <c r="D24" s="15" t="inlineStr">
        <is>
          <t>Shelving</t>
        </is>
      </c>
      <c r="E24" s="18">
        <f>A24&amp;"|"&amp;C24</f>
        <v/>
      </c>
    </row>
    <row r="25">
      <c r="A25" s="15" t="inlineStr">
        <is>
          <t>Gondola 2 Gantungan + 2 Shelving</t>
        </is>
      </c>
      <c r="B25" s="15" t="inlineStr">
        <is>
          <t>120x50x150</t>
        </is>
      </c>
      <c r="C25" s="17" t="n">
        <v>1</v>
      </c>
      <c r="D25" s="15" t="inlineStr">
        <is>
          <t>Gantungan</t>
        </is>
      </c>
      <c r="E25" s="18">
        <f>A25&amp;"|"&amp;C25</f>
        <v/>
      </c>
    </row>
    <row r="26">
      <c r="A26" s="15" t="inlineStr">
        <is>
          <t>Gondola 2 Gantungan + 2 Shelving</t>
        </is>
      </c>
      <c r="B26" s="15" t="inlineStr">
        <is>
          <t>120x50x150</t>
        </is>
      </c>
      <c r="C26" s="17" t="n">
        <v>2</v>
      </c>
      <c r="D26" s="15" t="inlineStr">
        <is>
          <t>Gantungan</t>
        </is>
      </c>
      <c r="E26" s="18">
        <f>A26&amp;"|"&amp;C26</f>
        <v/>
      </c>
    </row>
    <row r="27">
      <c r="A27" s="15" t="inlineStr">
        <is>
          <t>Gondola 2 Gantungan + 2 Shelving</t>
        </is>
      </c>
      <c r="B27" s="15" t="inlineStr">
        <is>
          <t>120x50x150</t>
        </is>
      </c>
      <c r="C27" s="17" t="n">
        <v>3</v>
      </c>
      <c r="D27" s="15" t="inlineStr">
        <is>
          <t>Shelving</t>
        </is>
      </c>
      <c r="E27" s="18">
        <f>A27&amp;"|"&amp;C27</f>
        <v/>
      </c>
    </row>
    <row r="28">
      <c r="A28" s="15" t="inlineStr">
        <is>
          <t>Gondola 2 Gantungan + 2 Shelving</t>
        </is>
      </c>
      <c r="B28" s="15" t="inlineStr">
        <is>
          <t>120x50x150</t>
        </is>
      </c>
      <c r="C28" s="17" t="n">
        <v>4</v>
      </c>
      <c r="D28" s="15" t="inlineStr">
        <is>
          <t>Shelving</t>
        </is>
      </c>
      <c r="E28" s="18">
        <f>A28&amp;"|"&amp;C28</f>
        <v/>
      </c>
    </row>
    <row r="29">
      <c r="A29" s="15" t="inlineStr">
        <is>
          <t>Gondola 3 Shelving + 1 Gantungan</t>
        </is>
      </c>
      <c r="B29" s="15" t="inlineStr">
        <is>
          <t>120x50x150</t>
        </is>
      </c>
      <c r="C29" s="17" t="n">
        <v>1</v>
      </c>
      <c r="D29" s="15" t="inlineStr">
        <is>
          <t>Shelving</t>
        </is>
      </c>
      <c r="E29" s="18">
        <f>A29&amp;"|"&amp;C29</f>
        <v/>
      </c>
    </row>
    <row r="30">
      <c r="A30" s="15" t="inlineStr">
        <is>
          <t>Gondola 3 Shelving + 1 Gantungan</t>
        </is>
      </c>
      <c r="B30" s="15" t="inlineStr">
        <is>
          <t>120x50x150</t>
        </is>
      </c>
      <c r="C30" s="17" t="n">
        <v>2</v>
      </c>
      <c r="D30" s="15" t="inlineStr">
        <is>
          <t>Gantungan</t>
        </is>
      </c>
      <c r="E30" s="18">
        <f>A30&amp;"|"&amp;C30</f>
        <v/>
      </c>
    </row>
    <row r="31">
      <c r="A31" s="15" t="inlineStr">
        <is>
          <t>Gondola 3 Shelving + 1 Gantungan</t>
        </is>
      </c>
      <c r="B31" s="15" t="inlineStr">
        <is>
          <t>120x50x150</t>
        </is>
      </c>
      <c r="C31" s="17" t="n">
        <v>3</v>
      </c>
      <c r="D31" s="15" t="inlineStr">
        <is>
          <t>Shelving</t>
        </is>
      </c>
      <c r="E31" s="18">
        <f>A31&amp;"|"&amp;C31</f>
        <v/>
      </c>
    </row>
    <row r="32">
      <c r="A32" s="15" t="inlineStr">
        <is>
          <t>Gondola 3 Shelving + 1 Gantungan</t>
        </is>
      </c>
      <c r="B32" s="15" t="inlineStr">
        <is>
          <t>120x50x150</t>
        </is>
      </c>
      <c r="C32" s="17" t="n">
        <v>4</v>
      </c>
      <c r="D32" s="15" t="inlineStr">
        <is>
          <t>Shelving</t>
        </is>
      </c>
      <c r="E32" s="18">
        <f>A32&amp;"|"&amp;C32</f>
        <v/>
      </c>
    </row>
    <row r="33">
      <c r="A33" s="15" t="inlineStr">
        <is>
          <t>Gondola 2 Shelving + 2 Gantungan</t>
        </is>
      </c>
      <c r="B33" s="15" t="inlineStr">
        <is>
          <t>120x50x150</t>
        </is>
      </c>
      <c r="C33" s="17" t="n">
        <v>1</v>
      </c>
      <c r="D33" s="15" t="inlineStr">
        <is>
          <t>Shelving</t>
        </is>
      </c>
      <c r="E33" s="18">
        <f>A33&amp;"|"&amp;C33</f>
        <v/>
      </c>
    </row>
    <row r="34">
      <c r="A34" s="15" t="inlineStr">
        <is>
          <t>Gondola 2 Shelving + 2 Gantungan</t>
        </is>
      </c>
      <c r="B34" s="15" t="inlineStr">
        <is>
          <t>120x50x150</t>
        </is>
      </c>
      <c r="C34" s="17" t="n">
        <v>2</v>
      </c>
      <c r="D34" s="15" t="inlineStr">
        <is>
          <t>Gantungan</t>
        </is>
      </c>
      <c r="E34" s="18">
        <f>A34&amp;"|"&amp;C34</f>
        <v/>
      </c>
    </row>
    <row r="35">
      <c r="A35" s="15" t="inlineStr">
        <is>
          <t>Gondola 2 Shelving + 2 Gantungan</t>
        </is>
      </c>
      <c r="B35" s="15" t="inlineStr">
        <is>
          <t>120x50x150</t>
        </is>
      </c>
      <c r="C35" s="17" t="n">
        <v>3</v>
      </c>
      <c r="D35" s="15" t="inlineStr">
        <is>
          <t>Gantungan</t>
        </is>
      </c>
      <c r="E35" s="18">
        <f>A35&amp;"|"&amp;C35</f>
        <v/>
      </c>
    </row>
    <row r="36">
      <c r="A36" s="15" t="inlineStr">
        <is>
          <t>Gondola 2 Shelving + 2 Gantungan</t>
        </is>
      </c>
      <c r="B36" s="15" t="inlineStr">
        <is>
          <t>120x50x150</t>
        </is>
      </c>
      <c r="C36" s="17" t="n">
        <v>4</v>
      </c>
      <c r="D36" s="15" t="inlineStr">
        <is>
          <t>Shelving</t>
        </is>
      </c>
      <c r="E36" s="18">
        <f>A36&amp;"|"&amp;C36</f>
        <v/>
      </c>
    </row>
    <row r="37">
      <c r="A37" s="15" t="inlineStr">
        <is>
          <t>Endcap 4 Shelving</t>
        </is>
      </c>
      <c r="B37" s="15" t="inlineStr">
        <is>
          <t>100x50x150</t>
        </is>
      </c>
      <c r="C37" s="17" t="n">
        <v>1</v>
      </c>
      <c r="D37" s="15" t="inlineStr">
        <is>
          <t>Shelving</t>
        </is>
      </c>
      <c r="E37" s="18">
        <f>A37&amp;"|"&amp;C37</f>
        <v/>
      </c>
    </row>
    <row r="38">
      <c r="A38" s="15" t="inlineStr">
        <is>
          <t>Endcap 4 Shelving</t>
        </is>
      </c>
      <c r="B38" s="15" t="inlineStr">
        <is>
          <t>100x50x150</t>
        </is>
      </c>
      <c r="C38" s="17" t="n">
        <v>2</v>
      </c>
      <c r="D38" s="15" t="inlineStr">
        <is>
          <t>Shelving</t>
        </is>
      </c>
      <c r="E38" s="18">
        <f>A38&amp;"|"&amp;C38</f>
        <v/>
      </c>
    </row>
    <row r="39">
      <c r="A39" s="15" t="inlineStr">
        <is>
          <t>Endcap 4 Shelving</t>
        </is>
      </c>
      <c r="B39" s="15" t="inlineStr">
        <is>
          <t>100x50x150</t>
        </is>
      </c>
      <c r="C39" s="17" t="n">
        <v>3</v>
      </c>
      <c r="D39" s="15" t="inlineStr">
        <is>
          <t>Shelving</t>
        </is>
      </c>
      <c r="E39" s="18">
        <f>A39&amp;"|"&amp;C39</f>
        <v/>
      </c>
    </row>
    <row r="40">
      <c r="A40" s="15" t="inlineStr">
        <is>
          <t>Endcap 4 Shelving</t>
        </is>
      </c>
      <c r="B40" s="15" t="inlineStr">
        <is>
          <t>100x50x150</t>
        </is>
      </c>
      <c r="C40" s="17" t="n">
        <v>4</v>
      </c>
      <c r="D40" s="15" t="inlineStr">
        <is>
          <t>Shelving</t>
        </is>
      </c>
      <c r="E40" s="18">
        <f>A40&amp;"|"&amp;C40</f>
        <v/>
      </c>
    </row>
    <row r="41">
      <c r="A41" s="15" t="inlineStr">
        <is>
          <t>Endcap 3 Shelving</t>
        </is>
      </c>
      <c r="B41" s="15" t="inlineStr">
        <is>
          <t>100x50x150</t>
        </is>
      </c>
      <c r="C41" s="17" t="n">
        <v>1</v>
      </c>
      <c r="D41" s="15" t="inlineStr">
        <is>
          <t>Shelving</t>
        </is>
      </c>
      <c r="E41" s="18">
        <f>A41&amp;"|"&amp;C41</f>
        <v/>
      </c>
    </row>
    <row r="42">
      <c r="A42" s="15" t="inlineStr">
        <is>
          <t>Endcap 3 Shelving</t>
        </is>
      </c>
      <c r="B42" s="15" t="inlineStr">
        <is>
          <t>100x50x150</t>
        </is>
      </c>
      <c r="C42" s="17" t="n">
        <v>2</v>
      </c>
      <c r="D42" s="15" t="inlineStr">
        <is>
          <t>Shelving</t>
        </is>
      </c>
      <c r="E42" s="18">
        <f>A42&amp;"|"&amp;C42</f>
        <v/>
      </c>
    </row>
    <row r="43">
      <c r="A43" s="15" t="inlineStr">
        <is>
          <t>Endcap 3 Shelving</t>
        </is>
      </c>
      <c r="B43" s="15" t="inlineStr">
        <is>
          <t>100x50x150</t>
        </is>
      </c>
      <c r="C43" s="17" t="n">
        <v>3</v>
      </c>
      <c r="D43" s="15" t="inlineStr">
        <is>
          <t>Shelving</t>
        </is>
      </c>
      <c r="E43" s="18">
        <f>A43&amp;"|"&amp;C43</f>
        <v/>
      </c>
    </row>
    <row r="44">
      <c r="A44" s="15" t="inlineStr">
        <is>
          <t>Pallet 90x90</t>
        </is>
      </c>
      <c r="B44" s="15" t="inlineStr">
        <is>
          <t>90x90x100</t>
        </is>
      </c>
      <c r="C44" s="17" t="n">
        <v>1</v>
      </c>
      <c r="D44" s="15" t="inlineStr">
        <is>
          <t>Shelving</t>
        </is>
      </c>
      <c r="E44" s="18">
        <f>A44&amp;"|"&amp;C44</f>
        <v/>
      </c>
    </row>
    <row r="45">
      <c r="A45" s="15" t="n"/>
      <c r="B45" s="15" t="n"/>
      <c r="C45" s="17" t="n"/>
      <c r="D45" s="15" t="n"/>
      <c r="E45" s="18" t="n"/>
    </row>
    <row r="46">
      <c r="A46" s="15" t="inlineStr">
        <is>
          <t>Sheet ini referensi (jangan diubah). Zona dihitung dari atas ke bawah.</t>
        </is>
      </c>
      <c r="B46" s="15" t="n"/>
      <c r="C46" s="17" t="n"/>
      <c r="D46" s="15" t="n"/>
      <c r="E46" s="18" t="n"/>
    </row>
    <row r="47">
      <c r="A47" s="15" t="n"/>
      <c r="B47" s="15" t="n"/>
      <c r="C47" s="17" t="n"/>
      <c r="D47" s="15" t="n"/>
      <c r="E47" s="18" t="n"/>
    </row>
    <row r="48">
      <c r="A48" s="15" t="n"/>
      <c r="B48" s="15" t="n"/>
      <c r="C48" s="17" t="n"/>
      <c r="D48" s="15" t="n"/>
      <c r="E48" s="18" t="n"/>
    </row>
    <row r="50">
      <c r="A50"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2026-10-02T06:54:33Z</dcterms:created>
  <dcterms:modified xmlns:dcterms="http://purl.org/dc/terms/" xmlns:xsi="http://www.w3.org/2001/XMLSchema-instance" xsi:type="dcterms:W3CDTF">2026-10-06T02:28:40Z</dcterms:modified>
</cp:coreProperties>
</file>