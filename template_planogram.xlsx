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6B7380"/>
      </patternFill>
    </fill>
    <fill>
      <patternFill patternType="solid">
        <fgColor rgb="00E7EAF0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8" fillId="4" borderId="1" pivotButton="0" quotePrefix="0" xfId="0"/>
    <xf numFmtId="0" fontId="2" fillId="0" borderId="1" applyAlignment="1" pivotButton="0" quotePrefix="0" xfId="0">
      <alignment horizontal="center"/>
    </xf>
    <xf numFmtId="49" fontId="2" fillId="0" borderId="1" pivotButton="0" quotePrefix="0" xfId="0"/>
    <xf numFmtId="0" fontId="8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Semua data diisi di sheet DATA. Modul Planogram Generator membaca sheet ini langsung (Impor Excel / CSV).</t>
        </is>
      </c>
    </row>
    <row r="3">
      <c r="A3" s="2" t="inlineStr"/>
    </row>
    <row r="4">
      <c r="A4" s="3" t="inlineStr">
        <is>
          <t>ATURAN</t>
        </is>
      </c>
      <c r="B4" s="4" t="n"/>
    </row>
    <row r="5">
      <c r="A5" s="2" t="inlineStr">
        <is>
          <t>1. Satu baris = satu item di satu zona. Item yang sama di dua zona = dua baris.</t>
        </is>
      </c>
    </row>
    <row r="6">
      <c r="A6" s="2" t="inlineStr">
        <is>
          <t>2. Urutan item dari kiri ke kanan mengikuti urutan baris di Excel (baris atas lebih dulu). Tidak ada kolom urutan.</t>
        </is>
      </c>
    </row>
    <row r="7">
      <c r="A7" s="2" t="inlineStr">
        <is>
          <t>3. Tidak ada facing / susun: jumlah item yang tampil = jumlah baris yang berisi kode_sku.</t>
        </is>
      </c>
    </row>
    <row r="8">
      <c r="A8" s="2" t="inlineStr">
        <is>
          <t>4. Ukuran, brand, dan prioritas diabaikan. Lebar kartu produk dibagi otomatis menurut jumlah item di zona.</t>
        </is>
      </c>
    </row>
    <row r="9">
      <c r="A9" s="2" t="inlineStr">
        <is>
          <t>5. Baris yang hanya berisi id_fixture + zona_no (tanpa kode_sku) = zona dibiarkan kosong.</t>
        </is>
      </c>
    </row>
    <row r="10">
      <c r="A10" s="2" t="inlineStr">
        <is>
          <t>6. Kolom status harus OK (atau "Zona kosong") sebelum diimpor.</t>
        </is>
      </c>
    </row>
    <row r="11">
      <c r="A11" s="2" t="inlineStr"/>
    </row>
    <row r="12">
      <c r="A12" s="3" t="inlineStr">
        <is>
          <t>KOLOM (diisi manual)</t>
        </is>
      </c>
      <c r="B12" s="4" t="n"/>
    </row>
    <row r="13">
      <c r="A13" s="5" t="inlineStr">
        <is>
          <t>id_fixture</t>
        </is>
      </c>
      <c r="B13" s="6" t="inlineStr">
        <is>
          <t>Pilih dari dropdown. Daftar ID dikelola di sheet DAFTAR_FIXTURE (tambah / ubah di sana).</t>
        </is>
      </c>
    </row>
    <row r="14">
      <c r="A14" s="5" t="inlineStr">
        <is>
          <t>zona_no</t>
        </is>
      </c>
      <c r="B14" s="6" t="inlineStr">
        <is>
          <t>Nomor zona dari atas ke bawah, mulai 1.</t>
        </is>
      </c>
    </row>
    <row r="15">
      <c r="A15" s="5" t="inlineStr">
        <is>
          <t>jenis_zona</t>
        </is>
      </c>
      <c r="B15" s="6" t="inlineStr">
        <is>
          <t>Rak atau Gantungan (dropdown). Harus sama dengan layout; lihat kolom jenis_zona_seharusnya.</t>
        </is>
      </c>
    </row>
    <row r="16">
      <c r="A16" s="5" t="inlineStr">
        <is>
          <t>kode_sku</t>
        </is>
      </c>
      <c r="B16" s="6" t="inlineStr">
        <is>
          <t>Kode artikel item. Dipakai juga untuk membentuk link gambar.</t>
        </is>
      </c>
    </row>
    <row r="17">
      <c r="A17" s="5" t="inlineStr">
        <is>
          <t>nama</t>
        </is>
      </c>
      <c r="B17" s="6" t="inlineStr">
        <is>
          <t>Nama item (tampil di kartu produk).</t>
        </is>
      </c>
    </row>
    <row r="18">
      <c r="A18" s="5" t="inlineStr">
        <is>
          <t>tampil</t>
        </is>
      </c>
      <c r="B18" s="6" t="inlineStr">
        <is>
          <t>rak / gantung. Hanya catatan, tidak dipakai modul.</t>
        </is>
      </c>
    </row>
    <row r="19">
      <c r="A19" s="2" t="inlineStr"/>
    </row>
    <row r="20">
      <c r="A20" s="3" t="inlineStr">
        <is>
          <t>KOLOM OTOMATIS (abu-abu, jangan diisi / dihapus)</t>
        </is>
      </c>
      <c r="B20" s="4" t="n"/>
    </row>
    <row r="21">
      <c r="A21" s="5" t="inlineStr">
        <is>
          <t>jenis_fixture</t>
        </is>
      </c>
      <c r="B21" s="6" t="inlineStr">
        <is>
          <t>Dibaca dari id_fixture lewat sheet DAFTAR_FIXTURE.</t>
        </is>
      </c>
    </row>
    <row r="22">
      <c r="A22" s="5" t="inlineStr">
        <is>
          <t>link_image</t>
        </is>
      </c>
      <c r="B22" s="6" t="inlineStr">
        <is>
          <t>Dibentuk otomatis dari kode_sku: https://cdn.ruparupa.io/fit-in/850x850/ruparupa-com/image/upload/Products/[kode_sku]_1.jpg. Boleh ditimpa manual jika ada link lain.</t>
        </is>
      </c>
    </row>
    <row r="23">
      <c r="A23" s="5" t="inlineStr">
        <is>
          <t>jenis_zona_seharusnya</t>
        </is>
      </c>
      <c r="B23" s="6" t="inlineStr">
        <is>
          <t>Jenis zona menurut layout (sheet LAYOUT).</t>
        </is>
      </c>
    </row>
    <row r="24">
      <c r="A24" s="5" t="inlineStr">
        <is>
          <t>jumlah_item_zona</t>
        </is>
      </c>
      <c r="B24" s="6" t="inlineStr">
        <is>
          <t>Jumlah item dalam zona yang sama.</t>
        </is>
      </c>
    </row>
    <row r="25">
      <c r="A25" s="5" t="inlineStr">
        <is>
          <t>status</t>
        </is>
      </c>
      <c r="B25" s="6" t="inlineStr">
        <is>
          <t>OK / Zona kosong / CEK + penyebab (id tidak ada di daftar, zona_no di luar layout, jenis_zona beda, nama kosong).</t>
        </is>
      </c>
    </row>
    <row r="26">
      <c r="A26" s="2" t="inlineStr"/>
    </row>
    <row r="27">
      <c r="A27" s="3" t="inlineStr">
        <is>
          <t>CATATAN</t>
        </is>
      </c>
      <c r="B27" s="4" t="n"/>
    </row>
    <row r="28">
      <c r="A28" s="2" t="inlineStr">
        <is>
          <t>Jika membuka file ini untuk pertama kali, buka dulu di Excel lalu simpan agar kolom otomatis terhitung sebelum diimpor.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9" customWidth="1" min="3" max="3"/>
    <col width="13" customWidth="1" min="4" max="4"/>
    <col width="12" customWidth="1" min="5" max="5"/>
    <col width="46" customWidth="1" min="6" max="6"/>
    <col width="10" customWidth="1" min="7" max="7"/>
    <col width="62" customWidth="1" min="8" max="8"/>
    <col width="22" customWidth="1" min="9" max="9"/>
    <col width="18" customWidth="1" min="10" max="10"/>
    <col width="34" customWidth="1" min="11" max="11"/>
  </cols>
  <sheetData>
    <row r="1" ht="34" customHeight="1">
      <c r="A1" s="7" t="inlineStr">
        <is>
          <t>id_fixture</t>
        </is>
      </c>
      <c r="B1" s="8" t="inlineStr">
        <is>
          <t>jenis_fixture (otomatis)</t>
        </is>
      </c>
      <c r="C1" s="7" t="inlineStr">
        <is>
          <t>zona_no</t>
        </is>
      </c>
      <c r="D1" s="7" t="inlineStr">
        <is>
          <t>jenis_zona</t>
        </is>
      </c>
      <c r="E1" s="7" t="inlineStr">
        <is>
          <t>kode_sku</t>
        </is>
      </c>
      <c r="F1" s="7" t="inlineStr">
        <is>
          <t>nama</t>
        </is>
      </c>
      <c r="G1" s="7" t="inlineStr">
        <is>
          <t>tampil</t>
        </is>
      </c>
      <c r="H1" s="8" t="inlineStr">
        <is>
          <t>link_image (otomatis)</t>
        </is>
      </c>
      <c r="I1" s="8" t="inlineStr">
        <is>
          <t>jenis_zona_seharusnya (otomatis)</t>
        </is>
      </c>
      <c r="J1" s="8" t="inlineStr">
        <is>
          <t>jumlah_item_zona (otomatis)</t>
        </is>
      </c>
      <c r="K1" s="8" t="inlineStr">
        <is>
          <t>status (otomatis)</t>
        </is>
      </c>
    </row>
    <row r="2">
      <c r="A2" s="9" t="inlineStr">
        <is>
          <t>WLL-01</t>
        </is>
      </c>
      <c r="B2" s="10">
        <f>IF(A2="","",IFERROR(INDEX(DAFTAR_FIXTURE!$B$2:$B$51,MATCH(A2,DAFTAR_FIXTURE!$A$2:$A$51,0)),""))</f>
        <v/>
      </c>
      <c r="C2" s="11" t="n">
        <v>1</v>
      </c>
      <c r="D2" s="11" t="inlineStr">
        <is>
          <t>Rak</t>
        </is>
      </c>
      <c r="E2" s="12" t="n"/>
      <c r="F2" s="9" t="n"/>
      <c r="G2" s="11" t="n"/>
      <c r="H2" s="10">
        <f>IF(E2="","","https://cdn.ruparupa.io/fit-in/850x850/ruparupa-com/image/upload/Products/"&amp;E2&amp;"_1.jpg")</f>
        <v/>
      </c>
      <c r="I2" s="10">
        <f>IF(OR(B2="",C2=""),"",IFERROR(INDEX(LAYOUT!$D$2:$D$34,MATCH(B2&amp;"|"&amp;C2,LAYOUT!$E$2:$E$34,0)),"zona tidak ada di layout"))</f>
        <v/>
      </c>
      <c r="J2" s="13">
        <f>IF(OR(A2="",E2=""),"",COUNTIFS($A$2:$A$500,A2,$C$2:$C$500,C2,$E$2:$E$500,"&lt;&gt;"))</f>
        <v/>
      </c>
      <c r="K2" s="13">
        <f>IF(A2="","",IF(B2="","CEK id_fixture tidak ada di DAFTAR_FIXTURE",IF(I2="zona tidak ada di layout","CEK zona_no / jenis_fixture",IF(D2&lt;&gt;I2,"CEK jenis_zona",IF(E2="","Zona kosong",IF(F2="","CEK nama kosong","OK"))))))</f>
        <v/>
      </c>
    </row>
    <row r="3">
      <c r="A3" s="9" t="inlineStr">
        <is>
          <t>WLL-01</t>
        </is>
      </c>
      <c r="B3" s="10">
        <f>IF(A3="","",IFERROR(INDEX(DAFTAR_FIXTURE!$B$2:$B$51,MATCH(A3,DAFTAR_FIXTURE!$A$2:$A$51,0)),""))</f>
        <v/>
      </c>
      <c r="C3" s="11" t="n">
        <v>2</v>
      </c>
      <c r="D3" s="11" t="inlineStr">
        <is>
          <t>Rak</t>
        </is>
      </c>
      <c r="E3" s="12" t="inlineStr">
        <is>
          <t>10445959</t>
        </is>
      </c>
      <c r="F3" s="9" t="inlineStr">
        <is>
          <t>CASSEROLE RECT GOLD MARBLE W/LID 33CM</t>
        </is>
      </c>
      <c r="G3" s="11" t="inlineStr">
        <is>
          <t>rak</t>
        </is>
      </c>
      <c r="H3" s="10">
        <f>IF(E3="","","https://cdn.ruparupa.io/fit-in/850x850/ruparupa-com/image/upload/Products/"&amp;E3&amp;"_1.jpg")</f>
        <v/>
      </c>
      <c r="I3" s="10">
        <f>IF(OR(B3="",C3=""),"",IFERROR(INDEX(LAYOUT!$D$2:$D$34,MATCH(B3&amp;"|"&amp;C3,LAYOUT!$E$2:$E$34,0)),"zona tidak ada di layout"))</f>
        <v/>
      </c>
      <c r="J3" s="13">
        <f>IF(OR(A3="",E3=""),"",COUNTIFS($A$2:$A$500,A3,$C$2:$C$500,C3,$E$2:$E$500,"&lt;&gt;"))</f>
        <v/>
      </c>
      <c r="K3" s="13">
        <f>IF(A3="","",IF(B3="","CEK id_fixture tidak ada di DAFTAR_FIXTURE",IF(I3="zona tidak ada di layout","CEK zona_no / jenis_fixture",IF(D3&lt;&gt;I3,"CEK jenis_zona",IF(E3="","Zona kosong",IF(F3="","CEK nama kosong","OK"))))))</f>
        <v/>
      </c>
    </row>
    <row r="4">
      <c r="A4" s="9" t="inlineStr">
        <is>
          <t>WLL-01</t>
        </is>
      </c>
      <c r="B4" s="10">
        <f>IF(A4="","",IFERROR(INDEX(DAFTAR_FIXTURE!$B$2:$B$51,MATCH(A4,DAFTAR_FIXTURE!$A$2:$A$51,0)),""))</f>
        <v/>
      </c>
      <c r="C4" s="11" t="n">
        <v>2</v>
      </c>
      <c r="D4" s="11" t="inlineStr">
        <is>
          <t>Rak</t>
        </is>
      </c>
      <c r="E4" s="12" t="inlineStr">
        <is>
          <t>10445960</t>
        </is>
      </c>
      <c r="F4" s="9" t="inlineStr">
        <is>
          <t>CASSEROLE OVAL GOLD MARBLE W/LID 33CM</t>
        </is>
      </c>
      <c r="G4" s="11" t="inlineStr">
        <is>
          <t>rak</t>
        </is>
      </c>
      <c r="H4" s="10">
        <f>IF(E4="","","https://cdn.ruparupa.io/fit-in/850x850/ruparupa-com/image/upload/Products/"&amp;E4&amp;"_1.jpg")</f>
        <v/>
      </c>
      <c r="I4" s="10">
        <f>IF(OR(B4="",C4=""),"",IFERROR(INDEX(LAYOUT!$D$2:$D$34,MATCH(B4&amp;"|"&amp;C4,LAYOUT!$E$2:$E$34,0)),"zona tidak ada di layout"))</f>
        <v/>
      </c>
      <c r="J4" s="13">
        <f>IF(OR(A4="",E4=""),"",COUNTIFS($A$2:$A$500,A4,$C$2:$C$500,C4,$E$2:$E$500,"&lt;&gt;"))</f>
        <v/>
      </c>
      <c r="K4" s="13">
        <f>IF(A4="","",IF(B4="","CEK id_fixture tidak ada di DAFTAR_FIXTURE",IF(I4="zona tidak ada di layout","CEK zona_no / jenis_fixture",IF(D4&lt;&gt;I4,"CEK jenis_zona",IF(E4="","Zona kosong",IF(F4="","CEK nama kosong","OK"))))))</f>
        <v/>
      </c>
    </row>
    <row r="5">
      <c r="A5" s="9" t="inlineStr">
        <is>
          <t>WLL-01</t>
        </is>
      </c>
      <c r="B5" s="10">
        <f>IF(A5="","",IFERROR(INDEX(DAFTAR_FIXTURE!$B$2:$B$51,MATCH(A5,DAFTAR_FIXTURE!$A$2:$A$51,0)),""))</f>
        <v/>
      </c>
      <c r="C5" s="11" t="n">
        <v>2</v>
      </c>
      <c r="D5" s="11" t="inlineStr">
        <is>
          <t>Rak</t>
        </is>
      </c>
      <c r="E5" s="12" t="inlineStr">
        <is>
          <t>10445961</t>
        </is>
      </c>
      <c r="F5" s="9" t="inlineStr">
        <is>
          <t>CASSEROLE ROUND GOLD MARBLE W/LID 33CM</t>
        </is>
      </c>
      <c r="G5" s="11" t="inlineStr">
        <is>
          <t>rak</t>
        </is>
      </c>
      <c r="H5" s="10">
        <f>IF(E5="","","https://cdn.ruparupa.io/fit-in/850x850/ruparupa-com/image/upload/Products/"&amp;E5&amp;"_1.jpg")</f>
        <v/>
      </c>
      <c r="I5" s="10">
        <f>IF(OR(B5="",C5=""),"",IFERROR(INDEX(LAYOUT!$D$2:$D$34,MATCH(B5&amp;"|"&amp;C5,LAYOUT!$E$2:$E$34,0)),"zona tidak ada di layout"))</f>
        <v/>
      </c>
      <c r="J5" s="13">
        <f>IF(OR(A5="",E5=""),"",COUNTIFS($A$2:$A$500,A5,$C$2:$C$500,C5,$E$2:$E$500,"&lt;&gt;"))</f>
        <v/>
      </c>
      <c r="K5" s="13">
        <f>IF(A5="","",IF(B5="","CEK id_fixture tidak ada di DAFTAR_FIXTURE",IF(I5="zona tidak ada di layout","CEK zona_no / jenis_fixture",IF(D5&lt;&gt;I5,"CEK jenis_zona",IF(E5="","Zona kosong",IF(F5="","CEK nama kosong","OK"))))))</f>
        <v/>
      </c>
    </row>
    <row r="6">
      <c r="A6" s="9" t="inlineStr">
        <is>
          <t>WLL-01</t>
        </is>
      </c>
      <c r="B6" s="10">
        <f>IF(A6="","",IFERROR(INDEX(DAFTAR_FIXTURE!$B$2:$B$51,MATCH(A6,DAFTAR_FIXTURE!$A$2:$A$51,0)),""))</f>
        <v/>
      </c>
      <c r="C6" s="11" t="n">
        <v>3</v>
      </c>
      <c r="D6" s="11" t="inlineStr">
        <is>
          <t>Rak</t>
        </is>
      </c>
      <c r="E6" s="12" t="inlineStr">
        <is>
          <t>10445962</t>
        </is>
      </c>
      <c r="F6" s="9" t="inlineStr">
        <is>
          <t>CASSEROLE SQUARE GOLD MARBLE W/LID 33CM</t>
        </is>
      </c>
      <c r="G6" s="11" t="inlineStr">
        <is>
          <t>rak</t>
        </is>
      </c>
      <c r="H6" s="10">
        <f>IF(E6="","","https://cdn.ruparupa.io/fit-in/850x850/ruparupa-com/image/upload/Products/"&amp;E6&amp;"_1.jpg")</f>
        <v/>
      </c>
      <c r="I6" s="10">
        <f>IF(OR(B6="",C6=""),"",IFERROR(INDEX(LAYOUT!$D$2:$D$34,MATCH(B6&amp;"|"&amp;C6,LAYOUT!$E$2:$E$34,0)),"zona tidak ada di layout"))</f>
        <v/>
      </c>
      <c r="J6" s="13">
        <f>IF(OR(A6="",E6=""),"",COUNTIFS($A$2:$A$500,A6,$C$2:$C$500,C6,$E$2:$E$500,"&lt;&gt;"))</f>
        <v/>
      </c>
      <c r="K6" s="13">
        <f>IF(A6="","",IF(B6="","CEK id_fixture tidak ada di DAFTAR_FIXTURE",IF(I6="zona tidak ada di layout","CEK zona_no / jenis_fixture",IF(D6&lt;&gt;I6,"CEK jenis_zona",IF(E6="","Zona kosong",IF(F6="","CEK nama kosong","OK"))))))</f>
        <v/>
      </c>
    </row>
    <row r="7">
      <c r="A7" s="9" t="inlineStr">
        <is>
          <t>WLL-01</t>
        </is>
      </c>
      <c r="B7" s="10">
        <f>IF(A7="","",IFERROR(INDEX(DAFTAR_FIXTURE!$B$2:$B$51,MATCH(A7,DAFTAR_FIXTURE!$A$2:$A$51,0)),""))</f>
        <v/>
      </c>
      <c r="C7" s="11" t="n">
        <v>3</v>
      </c>
      <c r="D7" s="11" t="inlineStr">
        <is>
          <t>Rak</t>
        </is>
      </c>
      <c r="E7" s="12" t="inlineStr">
        <is>
          <t>10470029</t>
        </is>
      </c>
      <c r="F7" s="9" t="inlineStr">
        <is>
          <t>SERVING SET W/RACK OCTAGON MARBLE (4)</t>
        </is>
      </c>
      <c r="G7" s="11" t="inlineStr">
        <is>
          <t>rak</t>
        </is>
      </c>
      <c r="H7" s="10">
        <f>IF(E7="","","https://cdn.ruparupa.io/fit-in/850x850/ruparupa-com/image/upload/Products/"&amp;E7&amp;"_1.jpg")</f>
        <v/>
      </c>
      <c r="I7" s="10">
        <f>IF(OR(B7="",C7=""),"",IFERROR(INDEX(LAYOUT!$D$2:$D$34,MATCH(B7&amp;"|"&amp;C7,LAYOUT!$E$2:$E$34,0)),"zona tidak ada di layout"))</f>
        <v/>
      </c>
      <c r="J7" s="13">
        <f>IF(OR(A7="",E7=""),"",COUNTIFS($A$2:$A$500,A7,$C$2:$C$500,C7,$E$2:$E$500,"&lt;&gt;"))</f>
        <v/>
      </c>
      <c r="K7" s="13">
        <f>IF(A7="","",IF(B7="","CEK id_fixture tidak ada di DAFTAR_FIXTURE",IF(I7="zona tidak ada di layout","CEK zona_no / jenis_fixture",IF(D7&lt;&gt;I7,"CEK jenis_zona",IF(E7="","Zona kosong",IF(F7="","CEK nama kosong","OK"))))))</f>
        <v/>
      </c>
    </row>
    <row r="8">
      <c r="A8" s="9" t="inlineStr">
        <is>
          <t>WLL-01</t>
        </is>
      </c>
      <c r="B8" s="10">
        <f>IF(A8="","",IFERROR(INDEX(DAFTAR_FIXTURE!$B$2:$B$51,MATCH(A8,DAFTAR_FIXTURE!$A$2:$A$51,0)),""))</f>
        <v/>
      </c>
      <c r="C8" s="11" t="n">
        <v>3</v>
      </c>
      <c r="D8" s="11" t="inlineStr">
        <is>
          <t>Rak</t>
        </is>
      </c>
      <c r="E8" s="12" t="inlineStr">
        <is>
          <t>10470030</t>
        </is>
      </c>
      <c r="F8" s="9" t="inlineStr">
        <is>
          <t>SERVING SET RND DETACHABLE MARBLE (2)</t>
        </is>
      </c>
      <c r="G8" s="11" t="inlineStr">
        <is>
          <t>rak</t>
        </is>
      </c>
      <c r="H8" s="10">
        <f>IF(E8="","","https://cdn.ruparupa.io/fit-in/850x850/ruparupa-com/image/upload/Products/"&amp;E8&amp;"_1.jpg")</f>
        <v/>
      </c>
      <c r="I8" s="10">
        <f>IF(OR(B8="",C8=""),"",IFERROR(INDEX(LAYOUT!$D$2:$D$34,MATCH(B8&amp;"|"&amp;C8,LAYOUT!$E$2:$E$34,0)),"zona tidak ada di layout"))</f>
        <v/>
      </c>
      <c r="J8" s="13">
        <f>IF(OR(A8="",E8=""),"",COUNTIFS($A$2:$A$500,A8,$C$2:$C$500,C8,$E$2:$E$500,"&lt;&gt;"))</f>
        <v/>
      </c>
      <c r="K8" s="13">
        <f>IF(A8="","",IF(B8="","CEK id_fixture tidak ada di DAFTAR_FIXTURE",IF(I8="zona tidak ada di layout","CEK zona_no / jenis_fixture",IF(D8&lt;&gt;I8,"CEK jenis_zona",IF(E8="","Zona kosong",IF(F8="","CEK nama kosong","OK"))))))</f>
        <v/>
      </c>
    </row>
    <row r="9">
      <c r="A9" s="9" t="inlineStr">
        <is>
          <t>WLL-01</t>
        </is>
      </c>
      <c r="B9" s="10">
        <f>IF(A9="","",IFERROR(INDEX(DAFTAR_FIXTURE!$B$2:$B$51,MATCH(A9,DAFTAR_FIXTURE!$A$2:$A$51,0)),""))</f>
        <v/>
      </c>
      <c r="C9" s="11" t="n">
        <v>4</v>
      </c>
      <c r="D9" s="11" t="inlineStr">
        <is>
          <t>Rak</t>
        </is>
      </c>
      <c r="E9" s="12" t="inlineStr">
        <is>
          <t>10470031</t>
        </is>
      </c>
      <c r="F9" s="9" t="inlineStr">
        <is>
          <t>SERVING SET W/RACK SQR MARBLE BLACK (3)</t>
        </is>
      </c>
      <c r="G9" s="11" t="inlineStr">
        <is>
          <t>rak</t>
        </is>
      </c>
      <c r="H9" s="10">
        <f>IF(E9="","","https://cdn.ruparupa.io/fit-in/850x850/ruparupa-com/image/upload/Products/"&amp;E9&amp;"_1.jpg")</f>
        <v/>
      </c>
      <c r="I9" s="10">
        <f>IF(OR(B9="",C9=""),"",IFERROR(INDEX(LAYOUT!$D$2:$D$34,MATCH(B9&amp;"|"&amp;C9,LAYOUT!$E$2:$E$34,0)),"zona tidak ada di layout"))</f>
        <v/>
      </c>
      <c r="J9" s="13">
        <f>IF(OR(A9="",E9=""),"",COUNTIFS($A$2:$A$500,A9,$C$2:$C$500,C9,$E$2:$E$500,"&lt;&gt;"))</f>
        <v/>
      </c>
      <c r="K9" s="13">
        <f>IF(A9="","",IF(B9="","CEK id_fixture tidak ada di DAFTAR_FIXTURE",IF(I9="zona tidak ada di layout","CEK zona_no / jenis_fixture",IF(D9&lt;&gt;I9,"CEK jenis_zona",IF(E9="","Zona kosong",IF(F9="","CEK nama kosong","OK"))))))</f>
        <v/>
      </c>
    </row>
    <row r="10">
      <c r="A10" s="9" t="inlineStr">
        <is>
          <t>WLL-01</t>
        </is>
      </c>
      <c r="B10" s="10">
        <f>IF(A10="","",IFERROR(INDEX(DAFTAR_FIXTURE!$B$2:$B$51,MATCH(A10,DAFTAR_FIXTURE!$A$2:$A$51,0)),""))</f>
        <v/>
      </c>
      <c r="C10" s="11" t="n">
        <v>4</v>
      </c>
      <c r="D10" s="11" t="inlineStr">
        <is>
          <t>Rak</t>
        </is>
      </c>
      <c r="E10" s="12" t="inlineStr">
        <is>
          <t>10470032</t>
        </is>
      </c>
      <c r="F10" s="9" t="inlineStr">
        <is>
          <t>SERVING SET W/RACK STACK WHITE (3)</t>
        </is>
      </c>
      <c r="G10" s="11" t="inlineStr">
        <is>
          <t>rak</t>
        </is>
      </c>
      <c r="H10" s="10">
        <f>IF(E10="","","https://cdn.ruparupa.io/fit-in/850x850/ruparupa-com/image/upload/Products/"&amp;E10&amp;"_1.jpg")</f>
        <v/>
      </c>
      <c r="I10" s="10">
        <f>IF(OR(B10="",C10=""),"",IFERROR(INDEX(LAYOUT!$D$2:$D$34,MATCH(B10&amp;"|"&amp;C10,LAYOUT!$E$2:$E$34,0)),"zona tidak ada di layout"))</f>
        <v/>
      </c>
      <c r="J10" s="13">
        <f>IF(OR(A10="",E10=""),"",COUNTIFS($A$2:$A$500,A10,$C$2:$C$500,C10,$E$2:$E$500,"&lt;&gt;"))</f>
        <v/>
      </c>
      <c r="K10" s="13">
        <f>IF(A10="","",IF(B10="","CEK id_fixture tidak ada di DAFTAR_FIXTURE",IF(I10="zona tidak ada di layout","CEK zona_no / jenis_fixture",IF(D10&lt;&gt;I10,"CEK jenis_zona",IF(E10="","Zona kosong",IF(F10="","CEK nama kosong","OK"))))))</f>
        <v/>
      </c>
    </row>
    <row r="11">
      <c r="A11" s="9" t="inlineStr">
        <is>
          <t>WLL-01</t>
        </is>
      </c>
      <c r="B11" s="10">
        <f>IF(A11="","",IFERROR(INDEX(DAFTAR_FIXTURE!$B$2:$B$51,MATCH(A11,DAFTAR_FIXTURE!$A$2:$A$51,0)),""))</f>
        <v/>
      </c>
      <c r="C11" s="11" t="n">
        <v>4</v>
      </c>
      <c r="D11" s="11" t="inlineStr">
        <is>
          <t>Rak</t>
        </is>
      </c>
      <c r="E11" s="12" t="inlineStr">
        <is>
          <t>10470033</t>
        </is>
      </c>
      <c r="F11" s="9" t="inlineStr">
        <is>
          <t>SERVING SET W/RACK CIRCLE BLACK (3)</t>
        </is>
      </c>
      <c r="G11" s="11" t="inlineStr">
        <is>
          <t>rak</t>
        </is>
      </c>
      <c r="H11" s="10">
        <f>IF(E11="","","https://cdn.ruparupa.io/fit-in/850x850/ruparupa-com/image/upload/Products/"&amp;E11&amp;"_1.jpg")</f>
        <v/>
      </c>
      <c r="I11" s="10">
        <f>IF(OR(B11="",C11=""),"",IFERROR(INDEX(LAYOUT!$D$2:$D$34,MATCH(B11&amp;"|"&amp;C11,LAYOUT!$E$2:$E$34,0)),"zona tidak ada di layout"))</f>
        <v/>
      </c>
      <c r="J11" s="13">
        <f>IF(OR(A11="",E11=""),"",COUNTIFS($A$2:$A$500,A11,$C$2:$C$500,C11,$E$2:$E$500,"&lt;&gt;"))</f>
        <v/>
      </c>
      <c r="K11" s="13">
        <f>IF(A11="","",IF(B11="","CEK id_fixture tidak ada di DAFTAR_FIXTURE",IF(I11="zona tidak ada di layout","CEK zona_no / jenis_fixture",IF(D11&lt;&gt;I11,"CEK jenis_zona",IF(E11="","Zona kosong",IF(F11="","CEK nama kosong","OK"))))))</f>
        <v/>
      </c>
    </row>
    <row r="12">
      <c r="A12" s="9" t="inlineStr">
        <is>
          <t>WLL-01</t>
        </is>
      </c>
      <c r="B12" s="10">
        <f>IF(A12="","",IFERROR(INDEX(DAFTAR_FIXTURE!$B$2:$B$51,MATCH(A12,DAFTAR_FIXTURE!$A$2:$A$51,0)),""))</f>
        <v/>
      </c>
      <c r="C12" s="11" t="n">
        <v>5</v>
      </c>
      <c r="D12" s="11" t="inlineStr">
        <is>
          <t>Rak</t>
        </is>
      </c>
      <c r="E12" s="12" t="n"/>
      <c r="F12" s="9" t="n"/>
      <c r="G12" s="11" t="n"/>
      <c r="H12" s="10">
        <f>IF(E12="","","https://cdn.ruparupa.io/fit-in/850x850/ruparupa-com/image/upload/Products/"&amp;E12&amp;"_1.jpg")</f>
        <v/>
      </c>
      <c r="I12" s="10">
        <f>IF(OR(B12="",C12=""),"",IFERROR(INDEX(LAYOUT!$D$2:$D$34,MATCH(B12&amp;"|"&amp;C12,LAYOUT!$E$2:$E$34,0)),"zona tidak ada di layout"))</f>
        <v/>
      </c>
      <c r="J12" s="13">
        <f>IF(OR(A12="",E12=""),"",COUNTIFS($A$2:$A$500,A12,$C$2:$C$500,C12,$E$2:$E$500,"&lt;&gt;"))</f>
        <v/>
      </c>
      <c r="K12" s="13">
        <f>IF(A12="","",IF(B12="","CEK id_fixture tidak ada di DAFTAR_FIXTURE",IF(I12="zona tidak ada di layout","CEK zona_no / jenis_fixture",IF(D12&lt;&gt;I12,"CEK jenis_zona",IF(E12="","Zona kosong",IF(F12="","CEK nama kosong","OK"))))))</f>
        <v/>
      </c>
    </row>
    <row r="13">
      <c r="A13" s="9" t="inlineStr">
        <is>
          <t>WLL-01</t>
        </is>
      </c>
      <c r="B13" s="10">
        <f>IF(A13="","",IFERROR(INDEX(DAFTAR_FIXTURE!$B$2:$B$51,MATCH(A13,DAFTAR_FIXTURE!$A$2:$A$51,0)),""))</f>
        <v/>
      </c>
      <c r="C13" s="11" t="n">
        <v>6</v>
      </c>
      <c r="D13" s="11" t="inlineStr">
        <is>
          <t>Rak</t>
        </is>
      </c>
      <c r="E13" s="12" t="n"/>
      <c r="F13" s="9" t="n"/>
      <c r="G13" s="11" t="n"/>
      <c r="H13" s="10">
        <f>IF(E13="","","https://cdn.ruparupa.io/fit-in/850x850/ruparupa-com/image/upload/Products/"&amp;E13&amp;"_1.jpg")</f>
        <v/>
      </c>
      <c r="I13" s="10">
        <f>IF(OR(B13="",C13=""),"",IFERROR(INDEX(LAYOUT!$D$2:$D$34,MATCH(B13&amp;"|"&amp;C13,LAYOUT!$E$2:$E$34,0)),"zona tidak ada di layout"))</f>
        <v/>
      </c>
      <c r="J13" s="13">
        <f>IF(OR(A13="",E13=""),"",COUNTIFS($A$2:$A$500,A13,$C$2:$C$500,C13,$E$2:$E$500,"&lt;&gt;"))</f>
        <v/>
      </c>
      <c r="K13" s="13">
        <f>IF(A13="","",IF(B13="","CEK id_fixture tidak ada di DAFTAR_FIXTURE",IF(I13="zona tidak ada di layout","CEK zona_no / jenis_fixture",IF(D13&lt;&gt;I13,"CEK jenis_zona",IF(E13="","Zona kosong",IF(F13="","CEK nama kosong","OK"))))))</f>
        <v/>
      </c>
    </row>
    <row r="14">
      <c r="A14" s="9" t="inlineStr">
        <is>
          <t>WLL-02</t>
        </is>
      </c>
      <c r="B14" s="10">
        <f>IF(A14="","",IFERROR(INDEX(DAFTAR_FIXTURE!$B$2:$B$51,MATCH(A14,DAFTAR_FIXTURE!$A$2:$A$51,0)),""))</f>
        <v/>
      </c>
      <c r="C14" s="11" t="n">
        <v>1</v>
      </c>
      <c r="D14" s="11" t="inlineStr">
        <is>
          <t>Rak</t>
        </is>
      </c>
      <c r="E14" s="12" t="n"/>
      <c r="F14" s="9" t="n"/>
      <c r="G14" s="11" t="n"/>
      <c r="H14" s="10">
        <f>IF(E14="","","https://cdn.ruparupa.io/fit-in/850x850/ruparupa-com/image/upload/Products/"&amp;E14&amp;"_1.jpg")</f>
        <v/>
      </c>
      <c r="I14" s="10">
        <f>IF(OR(B14="",C14=""),"",IFERROR(INDEX(LAYOUT!$D$2:$D$34,MATCH(B14&amp;"|"&amp;C14,LAYOUT!$E$2:$E$34,0)),"zona tidak ada di layout"))</f>
        <v/>
      </c>
      <c r="J14" s="13">
        <f>IF(OR(A14="",E14=""),"",COUNTIFS($A$2:$A$500,A14,$C$2:$C$500,C14,$E$2:$E$500,"&lt;&gt;"))</f>
        <v/>
      </c>
      <c r="K14" s="13">
        <f>IF(A14="","",IF(B14="","CEK id_fixture tidak ada di DAFTAR_FIXTURE",IF(I14="zona tidak ada di layout","CEK zona_no / jenis_fixture",IF(D14&lt;&gt;I14,"CEK jenis_zona",IF(E14="","Zona kosong",IF(F14="","CEK nama kosong","OK"))))))</f>
        <v/>
      </c>
    </row>
    <row r="15">
      <c r="A15" s="9" t="inlineStr">
        <is>
          <t>WLL-02</t>
        </is>
      </c>
      <c r="B15" s="10">
        <f>IF(A15="","",IFERROR(INDEX(DAFTAR_FIXTURE!$B$2:$B$51,MATCH(A15,DAFTAR_FIXTURE!$A$2:$A$51,0)),""))</f>
        <v/>
      </c>
      <c r="C15" s="11" t="n">
        <v>2</v>
      </c>
      <c r="D15" s="11" t="inlineStr">
        <is>
          <t>Rak</t>
        </is>
      </c>
      <c r="E15" s="12" t="inlineStr">
        <is>
          <t>10445959</t>
        </is>
      </c>
      <c r="F15" s="9" t="inlineStr">
        <is>
          <t>CASSEROLE RECT GOLD MARBLE W/LID 33CM</t>
        </is>
      </c>
      <c r="G15" s="11" t="inlineStr">
        <is>
          <t>rak</t>
        </is>
      </c>
      <c r="H15" s="10">
        <f>IF(E15="","","https://cdn.ruparupa.io/fit-in/850x850/ruparupa-com/image/upload/Products/"&amp;E15&amp;"_1.jpg")</f>
        <v/>
      </c>
      <c r="I15" s="10">
        <f>IF(OR(B15="",C15=""),"",IFERROR(INDEX(LAYOUT!$D$2:$D$34,MATCH(B15&amp;"|"&amp;C15,LAYOUT!$E$2:$E$34,0)),"zona tidak ada di layout"))</f>
        <v/>
      </c>
      <c r="J15" s="13">
        <f>IF(OR(A15="",E15=""),"",COUNTIFS($A$2:$A$500,A15,$C$2:$C$500,C15,$E$2:$E$500,"&lt;&gt;"))</f>
        <v/>
      </c>
      <c r="K15" s="13">
        <f>IF(A15="","",IF(B15="","CEK id_fixture tidak ada di DAFTAR_FIXTURE",IF(I15="zona tidak ada di layout","CEK zona_no / jenis_fixture",IF(D15&lt;&gt;I15,"CEK jenis_zona",IF(E15="","Zona kosong",IF(F15="","CEK nama kosong","OK"))))))</f>
        <v/>
      </c>
    </row>
    <row r="16">
      <c r="A16" s="9" t="inlineStr">
        <is>
          <t>WLL-02</t>
        </is>
      </c>
      <c r="B16" s="10">
        <f>IF(A16="","",IFERROR(INDEX(DAFTAR_FIXTURE!$B$2:$B$51,MATCH(A16,DAFTAR_FIXTURE!$A$2:$A$51,0)),""))</f>
        <v/>
      </c>
      <c r="C16" s="11" t="n">
        <v>2</v>
      </c>
      <c r="D16" s="11" t="inlineStr">
        <is>
          <t>Rak</t>
        </is>
      </c>
      <c r="E16" s="12" t="inlineStr">
        <is>
          <t>10445960</t>
        </is>
      </c>
      <c r="F16" s="9" t="inlineStr">
        <is>
          <t>CASSEROLE OVAL GOLD MARBLE W/LID 33CM</t>
        </is>
      </c>
      <c r="G16" s="11" t="inlineStr">
        <is>
          <t>rak</t>
        </is>
      </c>
      <c r="H16" s="10">
        <f>IF(E16="","","https://cdn.ruparupa.io/fit-in/850x850/ruparupa-com/image/upload/Products/"&amp;E16&amp;"_1.jpg")</f>
        <v/>
      </c>
      <c r="I16" s="10">
        <f>IF(OR(B16="",C16=""),"",IFERROR(INDEX(LAYOUT!$D$2:$D$34,MATCH(B16&amp;"|"&amp;C16,LAYOUT!$E$2:$E$34,0)),"zona tidak ada di layout"))</f>
        <v/>
      </c>
      <c r="J16" s="13">
        <f>IF(OR(A16="",E16=""),"",COUNTIFS($A$2:$A$500,A16,$C$2:$C$500,C16,$E$2:$E$500,"&lt;&gt;"))</f>
        <v/>
      </c>
      <c r="K16" s="13">
        <f>IF(A16="","",IF(B16="","CEK id_fixture tidak ada di DAFTAR_FIXTURE",IF(I16="zona tidak ada di layout","CEK zona_no / jenis_fixture",IF(D16&lt;&gt;I16,"CEK jenis_zona",IF(E16="","Zona kosong",IF(F16="","CEK nama kosong","OK"))))))</f>
        <v/>
      </c>
    </row>
    <row r="17">
      <c r="A17" s="9" t="inlineStr">
        <is>
          <t>WLL-02</t>
        </is>
      </c>
      <c r="B17" s="10">
        <f>IF(A17="","",IFERROR(INDEX(DAFTAR_FIXTURE!$B$2:$B$51,MATCH(A17,DAFTAR_FIXTURE!$A$2:$A$51,0)),""))</f>
        <v/>
      </c>
      <c r="C17" s="11" t="n">
        <v>2</v>
      </c>
      <c r="D17" s="11" t="inlineStr">
        <is>
          <t>Rak</t>
        </is>
      </c>
      <c r="E17" s="12" t="inlineStr">
        <is>
          <t>10445961</t>
        </is>
      </c>
      <c r="F17" s="9" t="inlineStr">
        <is>
          <t>CASSEROLE ROUND GOLD MARBLE W/LID 33CM</t>
        </is>
      </c>
      <c r="G17" s="11" t="inlineStr">
        <is>
          <t>rak</t>
        </is>
      </c>
      <c r="H17" s="10">
        <f>IF(E17="","","https://cdn.ruparupa.io/fit-in/850x850/ruparupa-com/image/upload/Products/"&amp;E17&amp;"_1.jpg")</f>
        <v/>
      </c>
      <c r="I17" s="10">
        <f>IF(OR(B17="",C17=""),"",IFERROR(INDEX(LAYOUT!$D$2:$D$34,MATCH(B17&amp;"|"&amp;C17,LAYOUT!$E$2:$E$34,0)),"zona tidak ada di layout"))</f>
        <v/>
      </c>
      <c r="J17" s="13">
        <f>IF(OR(A17="",E17=""),"",COUNTIFS($A$2:$A$500,A17,$C$2:$C$500,C17,$E$2:$E$500,"&lt;&gt;"))</f>
        <v/>
      </c>
      <c r="K17" s="13">
        <f>IF(A17="","",IF(B17="","CEK id_fixture tidak ada di DAFTAR_FIXTURE",IF(I17="zona tidak ada di layout","CEK zona_no / jenis_fixture",IF(D17&lt;&gt;I17,"CEK jenis_zona",IF(E17="","Zona kosong",IF(F17="","CEK nama kosong","OK"))))))</f>
        <v/>
      </c>
    </row>
    <row r="18">
      <c r="A18" s="9" t="inlineStr">
        <is>
          <t>WLL-02</t>
        </is>
      </c>
      <c r="B18" s="10">
        <f>IF(A18="","",IFERROR(INDEX(DAFTAR_FIXTURE!$B$2:$B$51,MATCH(A18,DAFTAR_FIXTURE!$A$2:$A$51,0)),""))</f>
        <v/>
      </c>
      <c r="C18" s="11" t="n">
        <v>2</v>
      </c>
      <c r="D18" s="11" t="inlineStr">
        <is>
          <t>Rak</t>
        </is>
      </c>
      <c r="E18" s="12" t="inlineStr">
        <is>
          <t>10445962</t>
        </is>
      </c>
      <c r="F18" s="9" t="inlineStr">
        <is>
          <t>CASSEROLE SQUARE GOLD MARBLE W/LID 33CM</t>
        </is>
      </c>
      <c r="G18" s="11" t="inlineStr">
        <is>
          <t>rak</t>
        </is>
      </c>
      <c r="H18" s="10">
        <f>IF(E18="","","https://cdn.ruparupa.io/fit-in/850x850/ruparupa-com/image/upload/Products/"&amp;E18&amp;"_1.jpg")</f>
        <v/>
      </c>
      <c r="I18" s="10">
        <f>IF(OR(B18="",C18=""),"",IFERROR(INDEX(LAYOUT!$D$2:$D$34,MATCH(B18&amp;"|"&amp;C18,LAYOUT!$E$2:$E$34,0)),"zona tidak ada di layout"))</f>
        <v/>
      </c>
      <c r="J18" s="13">
        <f>IF(OR(A18="",E18=""),"",COUNTIFS($A$2:$A$500,A18,$C$2:$C$500,C18,$E$2:$E$500,"&lt;&gt;"))</f>
        <v/>
      </c>
      <c r="K18" s="13">
        <f>IF(A18="","",IF(B18="","CEK id_fixture tidak ada di DAFTAR_FIXTURE",IF(I18="zona tidak ada di layout","CEK zona_no / jenis_fixture",IF(D18&lt;&gt;I18,"CEK jenis_zona",IF(E18="","Zona kosong",IF(F18="","CEK nama kosong","OK"))))))</f>
        <v/>
      </c>
    </row>
    <row r="19">
      <c r="A19" s="9" t="inlineStr">
        <is>
          <t>WLL-02</t>
        </is>
      </c>
      <c r="B19" s="10">
        <f>IF(A19="","",IFERROR(INDEX(DAFTAR_FIXTURE!$B$2:$B$51,MATCH(A19,DAFTAR_FIXTURE!$A$2:$A$51,0)),""))</f>
        <v/>
      </c>
      <c r="C19" s="11" t="n">
        <v>2</v>
      </c>
      <c r="D19" s="11" t="inlineStr">
        <is>
          <t>Rak</t>
        </is>
      </c>
      <c r="E19" s="12" t="inlineStr">
        <is>
          <t>10470029</t>
        </is>
      </c>
      <c r="F19" s="9" t="inlineStr">
        <is>
          <t>SERVING SET W/RACK OCTAGON MARBLE (4)</t>
        </is>
      </c>
      <c r="G19" s="11" t="inlineStr">
        <is>
          <t>rak</t>
        </is>
      </c>
      <c r="H19" s="10">
        <f>IF(E19="","","https://cdn.ruparupa.io/fit-in/850x850/ruparupa-com/image/upload/Products/"&amp;E19&amp;"_1.jpg")</f>
        <v/>
      </c>
      <c r="I19" s="10">
        <f>IF(OR(B19="",C19=""),"",IFERROR(INDEX(LAYOUT!$D$2:$D$34,MATCH(B19&amp;"|"&amp;C19,LAYOUT!$E$2:$E$34,0)),"zona tidak ada di layout"))</f>
        <v/>
      </c>
      <c r="J19" s="13">
        <f>IF(OR(A19="",E19=""),"",COUNTIFS($A$2:$A$500,A19,$C$2:$C$500,C19,$E$2:$E$500,"&lt;&gt;"))</f>
        <v/>
      </c>
      <c r="K19" s="13">
        <f>IF(A19="","",IF(B19="","CEK id_fixture tidak ada di DAFTAR_FIXTURE",IF(I19="zona tidak ada di layout","CEK zona_no / jenis_fixture",IF(D19&lt;&gt;I19,"CEK jenis_zona",IF(E19="","Zona kosong",IF(F19="","CEK nama kosong","OK"))))))</f>
        <v/>
      </c>
    </row>
    <row r="20">
      <c r="A20" s="9" t="inlineStr">
        <is>
          <t>WLL-02</t>
        </is>
      </c>
      <c r="B20" s="10">
        <f>IF(A20="","",IFERROR(INDEX(DAFTAR_FIXTURE!$B$2:$B$51,MATCH(A20,DAFTAR_FIXTURE!$A$2:$A$51,0)),""))</f>
        <v/>
      </c>
      <c r="C20" s="11" t="n">
        <v>3</v>
      </c>
      <c r="D20" s="11" t="inlineStr">
        <is>
          <t>Rak</t>
        </is>
      </c>
      <c r="E20" s="12" t="inlineStr">
        <is>
          <t>10470030</t>
        </is>
      </c>
      <c r="F20" s="9" t="inlineStr">
        <is>
          <t>SERVING SET RND DETACHABLE MARBLE (2)</t>
        </is>
      </c>
      <c r="G20" s="11" t="inlineStr">
        <is>
          <t>rak</t>
        </is>
      </c>
      <c r="H20" s="10">
        <f>IF(E20="","","https://cdn.ruparupa.io/fit-in/850x850/ruparupa-com/image/upload/Products/"&amp;E20&amp;"_1.jpg")</f>
        <v/>
      </c>
      <c r="I20" s="10">
        <f>IF(OR(B20="",C20=""),"",IFERROR(INDEX(LAYOUT!$D$2:$D$34,MATCH(B20&amp;"|"&amp;C20,LAYOUT!$E$2:$E$34,0)),"zona tidak ada di layout"))</f>
        <v/>
      </c>
      <c r="J20" s="13">
        <f>IF(OR(A20="",E20=""),"",COUNTIFS($A$2:$A$500,A20,$C$2:$C$500,C20,$E$2:$E$500,"&lt;&gt;"))</f>
        <v/>
      </c>
      <c r="K20" s="13">
        <f>IF(A20="","",IF(B20="","CEK id_fixture tidak ada di DAFTAR_FIXTURE",IF(I20="zona tidak ada di layout","CEK zona_no / jenis_fixture",IF(D20&lt;&gt;I20,"CEK jenis_zona",IF(E20="","Zona kosong",IF(F20="","CEK nama kosong","OK"))))))</f>
        <v/>
      </c>
    </row>
    <row r="21">
      <c r="A21" s="9" t="inlineStr">
        <is>
          <t>WLL-02</t>
        </is>
      </c>
      <c r="B21" s="10">
        <f>IF(A21="","",IFERROR(INDEX(DAFTAR_FIXTURE!$B$2:$B$51,MATCH(A21,DAFTAR_FIXTURE!$A$2:$A$51,0)),""))</f>
        <v/>
      </c>
      <c r="C21" s="11" t="n">
        <v>3</v>
      </c>
      <c r="D21" s="11" t="inlineStr">
        <is>
          <t>Rak</t>
        </is>
      </c>
      <c r="E21" s="12" t="inlineStr">
        <is>
          <t>10470031</t>
        </is>
      </c>
      <c r="F21" s="9" t="inlineStr">
        <is>
          <t>SERVING SET W/RACK SQR MARBLE BLACK (3)</t>
        </is>
      </c>
      <c r="G21" s="11" t="inlineStr">
        <is>
          <t>rak</t>
        </is>
      </c>
      <c r="H21" s="10">
        <f>IF(E21="","","https://cdn.ruparupa.io/fit-in/850x850/ruparupa-com/image/upload/Products/"&amp;E21&amp;"_1.jpg")</f>
        <v/>
      </c>
      <c r="I21" s="10">
        <f>IF(OR(B21="",C21=""),"",IFERROR(INDEX(LAYOUT!$D$2:$D$34,MATCH(B21&amp;"|"&amp;C21,LAYOUT!$E$2:$E$34,0)),"zona tidak ada di layout"))</f>
        <v/>
      </c>
      <c r="J21" s="13">
        <f>IF(OR(A21="",E21=""),"",COUNTIFS($A$2:$A$500,A21,$C$2:$C$500,C21,$E$2:$E$500,"&lt;&gt;"))</f>
        <v/>
      </c>
      <c r="K21" s="13">
        <f>IF(A21="","",IF(B21="","CEK id_fixture tidak ada di DAFTAR_FIXTURE",IF(I21="zona tidak ada di layout","CEK zona_no / jenis_fixture",IF(D21&lt;&gt;I21,"CEK jenis_zona",IF(E21="","Zona kosong",IF(F21="","CEK nama kosong","OK"))))))</f>
        <v/>
      </c>
    </row>
    <row r="22">
      <c r="A22" s="9" t="inlineStr">
        <is>
          <t>WLL-02</t>
        </is>
      </c>
      <c r="B22" s="10">
        <f>IF(A22="","",IFERROR(INDEX(DAFTAR_FIXTURE!$B$2:$B$51,MATCH(A22,DAFTAR_FIXTURE!$A$2:$A$51,0)),""))</f>
        <v/>
      </c>
      <c r="C22" s="11" t="n">
        <v>3</v>
      </c>
      <c r="D22" s="11" t="inlineStr">
        <is>
          <t>Rak</t>
        </is>
      </c>
      <c r="E22" s="12" t="inlineStr">
        <is>
          <t>10470032</t>
        </is>
      </c>
      <c r="F22" s="9" t="inlineStr">
        <is>
          <t>SERVING SET W/RACK STACK WHITE (3)</t>
        </is>
      </c>
      <c r="G22" s="11" t="inlineStr">
        <is>
          <t>rak</t>
        </is>
      </c>
      <c r="H22" s="10">
        <f>IF(E22="","","https://cdn.ruparupa.io/fit-in/850x850/ruparupa-com/image/upload/Products/"&amp;E22&amp;"_1.jpg")</f>
        <v/>
      </c>
      <c r="I22" s="10">
        <f>IF(OR(B22="",C22=""),"",IFERROR(INDEX(LAYOUT!$D$2:$D$34,MATCH(B22&amp;"|"&amp;C22,LAYOUT!$E$2:$E$34,0)),"zona tidak ada di layout"))</f>
        <v/>
      </c>
      <c r="J22" s="13">
        <f>IF(OR(A22="",E22=""),"",COUNTIFS($A$2:$A$500,A22,$C$2:$C$500,C22,$E$2:$E$500,"&lt;&gt;"))</f>
        <v/>
      </c>
      <c r="K22" s="13">
        <f>IF(A22="","",IF(B22="","CEK id_fixture tidak ada di DAFTAR_FIXTURE",IF(I22="zona tidak ada di layout","CEK zona_no / jenis_fixture",IF(D22&lt;&gt;I22,"CEK jenis_zona",IF(E22="","Zona kosong",IF(F22="","CEK nama kosong","OK"))))))</f>
        <v/>
      </c>
    </row>
    <row r="23">
      <c r="A23" s="9" t="inlineStr">
        <is>
          <t>WLL-02</t>
        </is>
      </c>
      <c r="B23" s="10">
        <f>IF(A23="","",IFERROR(INDEX(DAFTAR_FIXTURE!$B$2:$B$51,MATCH(A23,DAFTAR_FIXTURE!$A$2:$A$51,0)),""))</f>
        <v/>
      </c>
      <c r="C23" s="11" t="n">
        <v>3</v>
      </c>
      <c r="D23" s="11" t="inlineStr">
        <is>
          <t>Rak</t>
        </is>
      </c>
      <c r="E23" s="12" t="inlineStr">
        <is>
          <t>10470033</t>
        </is>
      </c>
      <c r="F23" s="9" t="inlineStr">
        <is>
          <t>SERVING SET W/RACK CIRCLE BLACK (3)</t>
        </is>
      </c>
      <c r="G23" s="11" t="inlineStr">
        <is>
          <t>rak</t>
        </is>
      </c>
      <c r="H23" s="10">
        <f>IF(E23="","","https://cdn.ruparupa.io/fit-in/850x850/ruparupa-com/image/upload/Products/"&amp;E23&amp;"_1.jpg")</f>
        <v/>
      </c>
      <c r="I23" s="10">
        <f>IF(OR(B23="",C23=""),"",IFERROR(INDEX(LAYOUT!$D$2:$D$34,MATCH(B23&amp;"|"&amp;C23,LAYOUT!$E$2:$E$34,0)),"zona tidak ada di layout"))</f>
        <v/>
      </c>
      <c r="J23" s="13">
        <f>IF(OR(A23="",E23=""),"",COUNTIFS($A$2:$A$500,A23,$C$2:$C$500,C23,$E$2:$E$500,"&lt;&gt;"))</f>
        <v/>
      </c>
      <c r="K23" s="13">
        <f>IF(A23="","",IF(B23="","CEK id_fixture tidak ada di DAFTAR_FIXTURE",IF(I23="zona tidak ada di layout","CEK zona_no / jenis_fixture",IF(D23&lt;&gt;I23,"CEK jenis_zona",IF(E23="","Zona kosong",IF(F23="","CEK nama kosong","OK"))))))</f>
        <v/>
      </c>
    </row>
    <row r="24">
      <c r="A24" s="9" t="inlineStr">
        <is>
          <t>WLL-02</t>
        </is>
      </c>
      <c r="B24" s="10">
        <f>IF(A24="","",IFERROR(INDEX(DAFTAR_FIXTURE!$B$2:$B$51,MATCH(A24,DAFTAR_FIXTURE!$A$2:$A$51,0)),""))</f>
        <v/>
      </c>
      <c r="C24" s="11" t="n">
        <v>3</v>
      </c>
      <c r="D24" s="11" t="inlineStr">
        <is>
          <t>Rak</t>
        </is>
      </c>
      <c r="E24" s="12" t="inlineStr">
        <is>
          <t>10606307</t>
        </is>
      </c>
      <c r="F24" s="9" t="inlineStr">
        <is>
          <t>CASSEROLE RECT MARBLE W/RACK WHT 38CM</t>
        </is>
      </c>
      <c r="G24" s="11" t="inlineStr">
        <is>
          <t>rak</t>
        </is>
      </c>
      <c r="H24" s="10">
        <f>IF(E24="","","https://cdn.ruparupa.io/fit-in/850x850/ruparupa-com/image/upload/Products/"&amp;E24&amp;"_1.jpg")</f>
        <v/>
      </c>
      <c r="I24" s="10">
        <f>IF(OR(B24="",C24=""),"",IFERROR(INDEX(LAYOUT!$D$2:$D$34,MATCH(B24&amp;"|"&amp;C24,LAYOUT!$E$2:$E$34,0)),"zona tidak ada di layout"))</f>
        <v/>
      </c>
      <c r="J24" s="13">
        <f>IF(OR(A24="",E24=""),"",COUNTIFS($A$2:$A$500,A24,$C$2:$C$500,C24,$E$2:$E$500,"&lt;&gt;"))</f>
        <v/>
      </c>
      <c r="K24" s="13">
        <f>IF(A24="","",IF(B24="","CEK id_fixture tidak ada di DAFTAR_FIXTURE",IF(I24="zona tidak ada di layout","CEK zona_no / jenis_fixture",IF(D24&lt;&gt;I24,"CEK jenis_zona",IF(E24="","Zona kosong",IF(F24="","CEK nama kosong","OK"))))))</f>
        <v/>
      </c>
    </row>
    <row r="25">
      <c r="A25" s="9" t="inlineStr">
        <is>
          <t>WLL-02</t>
        </is>
      </c>
      <c r="B25" s="10">
        <f>IF(A25="","",IFERROR(INDEX(DAFTAR_FIXTURE!$B$2:$B$51,MATCH(A25,DAFTAR_FIXTURE!$A$2:$A$51,0)),""))</f>
        <v/>
      </c>
      <c r="C25" s="11" t="n">
        <v>4</v>
      </c>
      <c r="D25" s="11" t="inlineStr">
        <is>
          <t>Rak</t>
        </is>
      </c>
      <c r="E25" s="12" t="n"/>
      <c r="F25" s="9" t="n"/>
      <c r="G25" s="11" t="n"/>
      <c r="H25" s="10">
        <f>IF(E25="","","https://cdn.ruparupa.io/fit-in/850x850/ruparupa-com/image/upload/Products/"&amp;E25&amp;"_1.jpg")</f>
        <v/>
      </c>
      <c r="I25" s="10">
        <f>IF(OR(B25="",C25=""),"",IFERROR(INDEX(LAYOUT!$D$2:$D$34,MATCH(B25&amp;"|"&amp;C25,LAYOUT!$E$2:$E$34,0)),"zona tidak ada di layout"))</f>
        <v/>
      </c>
      <c r="J25" s="13">
        <f>IF(OR(A25="",E25=""),"",COUNTIFS($A$2:$A$500,A25,$C$2:$C$500,C25,$E$2:$E$500,"&lt;&gt;"))</f>
        <v/>
      </c>
      <c r="K25" s="13">
        <f>IF(A25="","",IF(B25="","CEK id_fixture tidak ada di DAFTAR_FIXTURE",IF(I25="zona tidak ada di layout","CEK zona_no / jenis_fixture",IF(D25&lt;&gt;I25,"CEK jenis_zona",IF(E25="","Zona kosong",IF(F25="","CEK nama kosong","OK"))))))</f>
        <v/>
      </c>
    </row>
    <row r="26">
      <c r="A26" s="9" t="inlineStr">
        <is>
          <t>WLL-03</t>
        </is>
      </c>
      <c r="B26" s="10">
        <f>IF(A26="","",IFERROR(INDEX(DAFTAR_FIXTURE!$B$2:$B$51,MATCH(A26,DAFTAR_FIXTURE!$A$2:$A$51,0)),""))</f>
        <v/>
      </c>
      <c r="C26" s="11" t="n">
        <v>1</v>
      </c>
      <c r="D26" s="11" t="inlineStr">
        <is>
          <t>Gantungan</t>
        </is>
      </c>
      <c r="E26" s="12" t="inlineStr">
        <is>
          <t>10421603</t>
        </is>
      </c>
      <c r="F26" s="9" t="inlineStr">
        <is>
          <t>KINGSTON SAUCEPAN WITH LID 16CM GREEN</t>
        </is>
      </c>
      <c r="G26" s="11" t="inlineStr">
        <is>
          <t>gantung</t>
        </is>
      </c>
      <c r="H26" s="10">
        <f>IF(E26="","","https://cdn.ruparupa.io/fit-in/850x850/ruparupa-com/image/upload/Products/"&amp;E26&amp;"_1.jpg")</f>
        <v/>
      </c>
      <c r="I26" s="10">
        <f>IF(OR(B26="",C26=""),"",IFERROR(INDEX(LAYOUT!$D$2:$D$34,MATCH(B26&amp;"|"&amp;C26,LAYOUT!$E$2:$E$34,0)),"zona tidak ada di layout"))</f>
        <v/>
      </c>
      <c r="J26" s="13">
        <f>IF(OR(A26="",E26=""),"",COUNTIFS($A$2:$A$500,A26,$C$2:$C$500,C26,$E$2:$E$500,"&lt;&gt;"))</f>
        <v/>
      </c>
      <c r="K26" s="13">
        <f>IF(A26="","",IF(B26="","CEK id_fixture tidak ada di DAFTAR_FIXTURE",IF(I26="zona tidak ada di layout","CEK zona_no / jenis_fixture",IF(D26&lt;&gt;I26,"CEK jenis_zona",IF(E26="","Zona kosong",IF(F26="","CEK nama kosong","OK"))))))</f>
        <v/>
      </c>
    </row>
    <row r="27">
      <c r="A27" s="9" t="inlineStr">
        <is>
          <t>WLL-03</t>
        </is>
      </c>
      <c r="B27" s="10">
        <f>IF(A27="","",IFERROR(INDEX(DAFTAR_FIXTURE!$B$2:$B$51,MATCH(A27,DAFTAR_FIXTURE!$A$2:$A$51,0)),""))</f>
        <v/>
      </c>
      <c r="C27" s="11" t="n">
        <v>1</v>
      </c>
      <c r="D27" s="11" t="inlineStr">
        <is>
          <t>Gantungan</t>
        </is>
      </c>
      <c r="E27" s="12" t="inlineStr">
        <is>
          <t>10421608</t>
        </is>
      </c>
      <c r="F27" s="9" t="inlineStr">
        <is>
          <t>KINGSTON CASSEROLE WITH LID 20 CM GREEN</t>
        </is>
      </c>
      <c r="G27" s="11" t="inlineStr">
        <is>
          <t>gantung</t>
        </is>
      </c>
      <c r="H27" s="10">
        <f>IF(E27="","","https://cdn.ruparupa.io/fit-in/850x850/ruparupa-com/image/upload/Products/"&amp;E27&amp;"_1.jpg")</f>
        <v/>
      </c>
      <c r="I27" s="10">
        <f>IF(OR(B27="",C27=""),"",IFERROR(INDEX(LAYOUT!$D$2:$D$34,MATCH(B27&amp;"|"&amp;C27,LAYOUT!$E$2:$E$34,0)),"zona tidak ada di layout"))</f>
        <v/>
      </c>
      <c r="J27" s="13">
        <f>IF(OR(A27="",E27=""),"",COUNTIFS($A$2:$A$500,A27,$C$2:$C$500,C27,$E$2:$E$500,"&lt;&gt;"))</f>
        <v/>
      </c>
      <c r="K27" s="13">
        <f>IF(A27="","",IF(B27="","CEK id_fixture tidak ada di DAFTAR_FIXTURE",IF(I27="zona tidak ada di layout","CEK zona_no / jenis_fixture",IF(D27&lt;&gt;I27,"CEK jenis_zona",IF(E27="","Zona kosong",IF(F27="","CEK nama kosong","OK"))))))</f>
        <v/>
      </c>
    </row>
    <row r="28">
      <c r="A28" s="9" t="inlineStr">
        <is>
          <t>WLL-03</t>
        </is>
      </c>
      <c r="B28" s="10">
        <f>IF(A28="","",IFERROR(INDEX(DAFTAR_FIXTURE!$B$2:$B$51,MATCH(A28,DAFTAR_FIXTURE!$A$2:$A$51,0)),""))</f>
        <v/>
      </c>
      <c r="C28" s="11" t="n">
        <v>1</v>
      </c>
      <c r="D28" s="11" t="inlineStr">
        <is>
          <t>Gantungan</t>
        </is>
      </c>
      <c r="E28" s="12" t="inlineStr">
        <is>
          <t>10421610</t>
        </is>
      </c>
      <c r="F28" s="9" t="inlineStr">
        <is>
          <t>KINGSTON GRILL PAN 24CM GREEN</t>
        </is>
      </c>
      <c r="G28" s="11" t="inlineStr">
        <is>
          <t>gantung</t>
        </is>
      </c>
      <c r="H28" s="10">
        <f>IF(E28="","","https://cdn.ruparupa.io/fit-in/850x850/ruparupa-com/image/upload/Products/"&amp;E28&amp;"_1.jpg")</f>
        <v/>
      </c>
      <c r="I28" s="10">
        <f>IF(OR(B28="",C28=""),"",IFERROR(INDEX(LAYOUT!$D$2:$D$34,MATCH(B28&amp;"|"&amp;C28,LAYOUT!$E$2:$E$34,0)),"zona tidak ada di layout"))</f>
        <v/>
      </c>
      <c r="J28" s="13">
        <f>IF(OR(A28="",E28=""),"",COUNTIFS($A$2:$A$500,A28,$C$2:$C$500,C28,$E$2:$E$500,"&lt;&gt;"))</f>
        <v/>
      </c>
      <c r="K28" s="13">
        <f>IF(A28="","",IF(B28="","CEK id_fixture tidak ada di DAFTAR_FIXTURE",IF(I28="zona tidak ada di layout","CEK zona_no / jenis_fixture",IF(D28&lt;&gt;I28,"CEK jenis_zona",IF(E28="","Zona kosong",IF(F28="","CEK nama kosong","OK"))))))</f>
        <v/>
      </c>
    </row>
    <row r="29">
      <c r="A29" s="9" t="inlineStr">
        <is>
          <t>WLL-03</t>
        </is>
      </c>
      <c r="B29" s="10">
        <f>IF(A29="","",IFERROR(INDEX(DAFTAR_FIXTURE!$B$2:$B$51,MATCH(A29,DAFTAR_FIXTURE!$A$2:$A$51,0)),""))</f>
        <v/>
      </c>
      <c r="C29" s="11" t="n">
        <v>1</v>
      </c>
      <c r="D29" s="11" t="inlineStr">
        <is>
          <t>Gantungan</t>
        </is>
      </c>
      <c r="E29" s="12" t="inlineStr">
        <is>
          <t>10421614</t>
        </is>
      </c>
      <c r="F29" s="9" t="inlineStr">
        <is>
          <t>KIRA WOK 2 HANDLE W LID AND UTENSIL BRN</t>
        </is>
      </c>
      <c r="G29" s="11" t="inlineStr">
        <is>
          <t>gantung</t>
        </is>
      </c>
      <c r="H29" s="10">
        <f>IF(E29="","","https://cdn.ruparupa.io/fit-in/850x850/ruparupa-com/image/upload/Products/"&amp;E29&amp;"_1.jpg")</f>
        <v/>
      </c>
      <c r="I29" s="10">
        <f>IF(OR(B29="",C29=""),"",IFERROR(INDEX(LAYOUT!$D$2:$D$34,MATCH(B29&amp;"|"&amp;C29,LAYOUT!$E$2:$E$34,0)),"zona tidak ada di layout"))</f>
        <v/>
      </c>
      <c r="J29" s="13">
        <f>IF(OR(A29="",E29=""),"",COUNTIFS($A$2:$A$500,A29,$C$2:$C$500,C29,$E$2:$E$500,"&lt;&gt;"))</f>
        <v/>
      </c>
      <c r="K29" s="13">
        <f>IF(A29="","",IF(B29="","CEK id_fixture tidak ada di DAFTAR_FIXTURE",IF(I29="zona tidak ada di layout","CEK zona_no / jenis_fixture",IF(D29&lt;&gt;I29,"CEK jenis_zona",IF(E29="","Zona kosong",IF(F29="","CEK nama kosong","OK"))))))</f>
        <v/>
      </c>
    </row>
    <row r="30">
      <c r="A30" s="9" t="inlineStr">
        <is>
          <t>WLL-03</t>
        </is>
      </c>
      <c r="B30" s="10">
        <f>IF(A30="","",IFERROR(INDEX(DAFTAR_FIXTURE!$B$2:$B$51,MATCH(A30,DAFTAR_FIXTURE!$A$2:$A$51,0)),""))</f>
        <v/>
      </c>
      <c r="C30" s="11" t="n">
        <v>2</v>
      </c>
      <c r="D30" s="11" t="inlineStr">
        <is>
          <t>Gantungan</t>
        </is>
      </c>
      <c r="E30" s="12" t="inlineStr">
        <is>
          <t>10421603</t>
        </is>
      </c>
      <c r="F30" s="9" t="inlineStr">
        <is>
          <t>KINGSTON SAUCEPAN WITH LID 16CM GREEN</t>
        </is>
      </c>
      <c r="G30" s="11" t="inlineStr">
        <is>
          <t>gantung</t>
        </is>
      </c>
      <c r="H30" s="10">
        <f>IF(E30="","","https://cdn.ruparupa.io/fit-in/850x850/ruparupa-com/image/upload/Products/"&amp;E30&amp;"_1.jpg")</f>
        <v/>
      </c>
      <c r="I30" s="10">
        <f>IF(OR(B30="",C30=""),"",IFERROR(INDEX(LAYOUT!$D$2:$D$34,MATCH(B30&amp;"|"&amp;C30,LAYOUT!$E$2:$E$34,0)),"zona tidak ada di layout"))</f>
        <v/>
      </c>
      <c r="J30" s="13">
        <f>IF(OR(A30="",E30=""),"",COUNTIFS($A$2:$A$500,A30,$C$2:$C$500,C30,$E$2:$E$500,"&lt;&gt;"))</f>
        <v/>
      </c>
      <c r="K30" s="13">
        <f>IF(A30="","",IF(B30="","CEK id_fixture tidak ada di DAFTAR_FIXTURE",IF(I30="zona tidak ada di layout","CEK zona_no / jenis_fixture",IF(D30&lt;&gt;I30,"CEK jenis_zona",IF(E30="","Zona kosong",IF(F30="","CEK nama kosong","OK"))))))</f>
        <v/>
      </c>
    </row>
    <row r="31">
      <c r="A31" s="9" t="inlineStr">
        <is>
          <t>WLL-03</t>
        </is>
      </c>
      <c r="B31" s="10">
        <f>IF(A31="","",IFERROR(INDEX(DAFTAR_FIXTURE!$B$2:$B$51,MATCH(A31,DAFTAR_FIXTURE!$A$2:$A$51,0)),""))</f>
        <v/>
      </c>
      <c r="C31" s="11" t="n">
        <v>2</v>
      </c>
      <c r="D31" s="11" t="inlineStr">
        <is>
          <t>Gantungan</t>
        </is>
      </c>
      <c r="E31" s="12" t="inlineStr">
        <is>
          <t>10421608</t>
        </is>
      </c>
      <c r="F31" s="9" t="inlineStr">
        <is>
          <t>KINGSTON CASSEROLE WITH LID 20 CM GREEN</t>
        </is>
      </c>
      <c r="G31" s="11" t="inlineStr">
        <is>
          <t>gantung</t>
        </is>
      </c>
      <c r="H31" s="10">
        <f>IF(E31="","","https://cdn.ruparupa.io/fit-in/850x850/ruparupa-com/image/upload/Products/"&amp;E31&amp;"_1.jpg")</f>
        <v/>
      </c>
      <c r="I31" s="10">
        <f>IF(OR(B31="",C31=""),"",IFERROR(INDEX(LAYOUT!$D$2:$D$34,MATCH(B31&amp;"|"&amp;C31,LAYOUT!$E$2:$E$34,0)),"zona tidak ada di layout"))</f>
        <v/>
      </c>
      <c r="J31" s="13">
        <f>IF(OR(A31="",E31=""),"",COUNTIFS($A$2:$A$500,A31,$C$2:$C$500,C31,$E$2:$E$500,"&lt;&gt;"))</f>
        <v/>
      </c>
      <c r="K31" s="13">
        <f>IF(A31="","",IF(B31="","CEK id_fixture tidak ada di DAFTAR_FIXTURE",IF(I31="zona tidak ada di layout","CEK zona_no / jenis_fixture",IF(D31&lt;&gt;I31,"CEK jenis_zona",IF(E31="","Zona kosong",IF(F31="","CEK nama kosong","OK"))))))</f>
        <v/>
      </c>
    </row>
    <row r="32">
      <c r="A32" s="9" t="inlineStr">
        <is>
          <t>WLL-03</t>
        </is>
      </c>
      <c r="B32" s="10">
        <f>IF(A32="","",IFERROR(INDEX(DAFTAR_FIXTURE!$B$2:$B$51,MATCH(A32,DAFTAR_FIXTURE!$A$2:$A$51,0)),""))</f>
        <v/>
      </c>
      <c r="C32" s="11" t="n">
        <v>2</v>
      </c>
      <c r="D32" s="11" t="inlineStr">
        <is>
          <t>Gantungan</t>
        </is>
      </c>
      <c r="E32" s="12" t="inlineStr">
        <is>
          <t>10421610</t>
        </is>
      </c>
      <c r="F32" s="9" t="inlineStr">
        <is>
          <t>KINGSTON GRILL PAN 24CM GREEN</t>
        </is>
      </c>
      <c r="G32" s="11" t="inlineStr">
        <is>
          <t>gantung</t>
        </is>
      </c>
      <c r="H32" s="10">
        <f>IF(E32="","","https://cdn.ruparupa.io/fit-in/850x850/ruparupa-com/image/upload/Products/"&amp;E32&amp;"_1.jpg")</f>
        <v/>
      </c>
      <c r="I32" s="10">
        <f>IF(OR(B32="",C32=""),"",IFERROR(INDEX(LAYOUT!$D$2:$D$34,MATCH(B32&amp;"|"&amp;C32,LAYOUT!$E$2:$E$34,0)),"zona tidak ada di layout"))</f>
        <v/>
      </c>
      <c r="J32" s="13">
        <f>IF(OR(A32="",E32=""),"",COUNTIFS($A$2:$A$500,A32,$C$2:$C$500,C32,$E$2:$E$500,"&lt;&gt;"))</f>
        <v/>
      </c>
      <c r="K32" s="13">
        <f>IF(A32="","",IF(B32="","CEK id_fixture tidak ada di DAFTAR_FIXTURE",IF(I32="zona tidak ada di layout","CEK zona_no / jenis_fixture",IF(D32&lt;&gt;I32,"CEK jenis_zona",IF(E32="","Zona kosong",IF(F32="","CEK nama kosong","OK"))))))</f>
        <v/>
      </c>
    </row>
    <row r="33">
      <c r="A33" s="9" t="inlineStr">
        <is>
          <t>WLL-03</t>
        </is>
      </c>
      <c r="B33" s="10">
        <f>IF(A33="","",IFERROR(INDEX(DAFTAR_FIXTURE!$B$2:$B$51,MATCH(A33,DAFTAR_FIXTURE!$A$2:$A$51,0)),""))</f>
        <v/>
      </c>
      <c r="C33" s="11" t="n">
        <v>2</v>
      </c>
      <c r="D33" s="11" t="inlineStr">
        <is>
          <t>Gantungan</t>
        </is>
      </c>
      <c r="E33" s="12" t="inlineStr">
        <is>
          <t>10421614</t>
        </is>
      </c>
      <c r="F33" s="9" t="inlineStr">
        <is>
          <t>KIRA WOK 2 HANDLE W LID AND UTENSIL BRN</t>
        </is>
      </c>
      <c r="G33" s="11" t="inlineStr">
        <is>
          <t>gantung</t>
        </is>
      </c>
      <c r="H33" s="10">
        <f>IF(E33="","","https://cdn.ruparupa.io/fit-in/850x850/ruparupa-com/image/upload/Products/"&amp;E33&amp;"_1.jpg")</f>
        <v/>
      </c>
      <c r="I33" s="10">
        <f>IF(OR(B33="",C33=""),"",IFERROR(INDEX(LAYOUT!$D$2:$D$34,MATCH(B33&amp;"|"&amp;C33,LAYOUT!$E$2:$E$34,0)),"zona tidak ada di layout"))</f>
        <v/>
      </c>
      <c r="J33" s="13">
        <f>IF(OR(A33="",E33=""),"",COUNTIFS($A$2:$A$500,A33,$C$2:$C$500,C33,$E$2:$E$500,"&lt;&gt;"))</f>
        <v/>
      </c>
      <c r="K33" s="13">
        <f>IF(A33="","",IF(B33="","CEK id_fixture tidak ada di DAFTAR_FIXTURE",IF(I33="zona tidak ada di layout","CEK zona_no / jenis_fixture",IF(D33&lt;&gt;I33,"CEK jenis_zona",IF(E33="","Zona kosong",IF(F33="","CEK nama kosong","OK"))))))</f>
        <v/>
      </c>
    </row>
    <row r="34">
      <c r="A34" s="9" t="inlineStr">
        <is>
          <t>WLL-03</t>
        </is>
      </c>
      <c r="B34" s="10">
        <f>IF(A34="","",IFERROR(INDEX(DAFTAR_FIXTURE!$B$2:$B$51,MATCH(A34,DAFTAR_FIXTURE!$A$2:$A$51,0)),""))</f>
        <v/>
      </c>
      <c r="C34" s="11" t="n">
        <v>3</v>
      </c>
      <c r="D34" s="11" t="inlineStr">
        <is>
          <t>Rak</t>
        </is>
      </c>
      <c r="E34" s="12" t="n"/>
      <c r="F34" s="9" t="n"/>
      <c r="G34" s="11" t="n"/>
      <c r="H34" s="10">
        <f>IF(E34="","","https://cdn.ruparupa.io/fit-in/850x850/ruparupa-com/image/upload/Products/"&amp;E34&amp;"_1.jpg")</f>
        <v/>
      </c>
      <c r="I34" s="10">
        <f>IF(OR(B34="",C34=""),"",IFERROR(INDEX(LAYOUT!$D$2:$D$34,MATCH(B34&amp;"|"&amp;C34,LAYOUT!$E$2:$E$34,0)),"zona tidak ada di layout"))</f>
        <v/>
      </c>
      <c r="J34" s="13">
        <f>IF(OR(A34="",E34=""),"",COUNTIFS($A$2:$A$500,A34,$C$2:$C$500,C34,$E$2:$E$500,"&lt;&gt;"))</f>
        <v/>
      </c>
      <c r="K34" s="13">
        <f>IF(A34="","",IF(B34="","CEK id_fixture tidak ada di DAFTAR_FIXTURE",IF(I34="zona tidak ada di layout","CEK zona_no / jenis_fixture",IF(D34&lt;&gt;I34,"CEK jenis_zona",IF(E34="","Zona kosong",IF(F34="","CEK nama kosong","OK"))))))</f>
        <v/>
      </c>
    </row>
    <row r="35">
      <c r="A35" s="9" t="inlineStr">
        <is>
          <t>WLL-03</t>
        </is>
      </c>
      <c r="B35" s="10">
        <f>IF(A35="","",IFERROR(INDEX(DAFTAR_FIXTURE!$B$2:$B$51,MATCH(A35,DAFTAR_FIXTURE!$A$2:$A$51,0)),""))</f>
        <v/>
      </c>
      <c r="C35" s="11" t="n">
        <v>4</v>
      </c>
      <c r="D35" s="11" t="inlineStr">
        <is>
          <t>Rak</t>
        </is>
      </c>
      <c r="E35" s="12" t="n"/>
      <c r="F35" s="9" t="n"/>
      <c r="G35" s="11" t="n"/>
      <c r="H35" s="10">
        <f>IF(E35="","","https://cdn.ruparupa.io/fit-in/850x850/ruparupa-com/image/upload/Products/"&amp;E35&amp;"_1.jpg")</f>
        <v/>
      </c>
      <c r="I35" s="10">
        <f>IF(OR(B35="",C35=""),"",IFERROR(INDEX(LAYOUT!$D$2:$D$34,MATCH(B35&amp;"|"&amp;C35,LAYOUT!$E$2:$E$34,0)),"zona tidak ada di layout"))</f>
        <v/>
      </c>
      <c r="J35" s="13">
        <f>IF(OR(A35="",E35=""),"",COUNTIFS($A$2:$A$500,A35,$C$2:$C$500,C35,$E$2:$E$500,"&lt;&gt;"))</f>
        <v/>
      </c>
      <c r="K35" s="13">
        <f>IF(A35="","",IF(B35="","CEK id_fixture tidak ada di DAFTAR_FIXTURE",IF(I35="zona tidak ada di layout","CEK zona_no / jenis_fixture",IF(D35&lt;&gt;I35,"CEK jenis_zona",IF(E35="","Zona kosong",IF(F35="","CEK nama kosong","OK"))))))</f>
        <v/>
      </c>
    </row>
    <row r="36">
      <c r="A36" s="9" t="inlineStr">
        <is>
          <t>WLL-03</t>
        </is>
      </c>
      <c r="B36" s="10">
        <f>IF(A36="","",IFERROR(INDEX(DAFTAR_FIXTURE!$B$2:$B$51,MATCH(A36,DAFTAR_FIXTURE!$A$2:$A$51,0)),""))</f>
        <v/>
      </c>
      <c r="C36" s="11" t="n">
        <v>5</v>
      </c>
      <c r="D36" s="11" t="inlineStr">
        <is>
          <t>Rak</t>
        </is>
      </c>
      <c r="E36" s="12" t="n"/>
      <c r="F36" s="9" t="n"/>
      <c r="G36" s="11" t="n"/>
      <c r="H36" s="10">
        <f>IF(E36="","","https://cdn.ruparupa.io/fit-in/850x850/ruparupa-com/image/upload/Products/"&amp;E36&amp;"_1.jpg")</f>
        <v/>
      </c>
      <c r="I36" s="10">
        <f>IF(OR(B36="",C36=""),"",IFERROR(INDEX(LAYOUT!$D$2:$D$34,MATCH(B36&amp;"|"&amp;C36,LAYOUT!$E$2:$E$34,0)),"zona tidak ada di layout"))</f>
        <v/>
      </c>
      <c r="J36" s="13">
        <f>IF(OR(A36="",E36=""),"",COUNTIFS($A$2:$A$500,A36,$C$2:$C$500,C36,$E$2:$E$500,"&lt;&gt;"))</f>
        <v/>
      </c>
      <c r="K36" s="13">
        <f>IF(A36="","",IF(B36="","CEK id_fixture tidak ada di DAFTAR_FIXTURE",IF(I36="zona tidak ada di layout","CEK zona_no / jenis_fixture",IF(D36&lt;&gt;I36,"CEK jenis_zona",IF(E36="","Zona kosong",IF(F36="","CEK nama kosong","OK"))))))</f>
        <v/>
      </c>
    </row>
    <row r="37">
      <c r="A37" s="9" t="inlineStr">
        <is>
          <t>GND-01</t>
        </is>
      </c>
      <c r="B37" s="10">
        <f>IF(A37="","",IFERROR(INDEX(DAFTAR_FIXTURE!$B$2:$B$51,MATCH(A37,DAFTAR_FIXTURE!$A$2:$A$51,0)),""))</f>
        <v/>
      </c>
      <c r="C37" s="11" t="n">
        <v>1</v>
      </c>
      <c r="D37" s="11" t="inlineStr">
        <is>
          <t>Rak</t>
        </is>
      </c>
      <c r="E37" s="12" t="inlineStr">
        <is>
          <t>10445959</t>
        </is>
      </c>
      <c r="F37" s="9" t="inlineStr">
        <is>
          <t>CASSEROLE RECT GOLD MARBLE W/LID 33CM</t>
        </is>
      </c>
      <c r="G37" s="11" t="inlineStr">
        <is>
          <t>rak</t>
        </is>
      </c>
      <c r="H37" s="10">
        <f>IF(E37="","","https://cdn.ruparupa.io/fit-in/850x850/ruparupa-com/image/upload/Products/"&amp;E37&amp;"_1.jpg")</f>
        <v/>
      </c>
      <c r="I37" s="10">
        <f>IF(OR(B37="",C37=""),"",IFERROR(INDEX(LAYOUT!$D$2:$D$34,MATCH(B37&amp;"|"&amp;C37,LAYOUT!$E$2:$E$34,0)),"zona tidak ada di layout"))</f>
        <v/>
      </c>
      <c r="J37" s="13">
        <f>IF(OR(A37="",E37=""),"",COUNTIFS($A$2:$A$500,A37,$C$2:$C$500,C37,$E$2:$E$500,"&lt;&gt;"))</f>
        <v/>
      </c>
      <c r="K37" s="13">
        <f>IF(A37="","",IF(B37="","CEK id_fixture tidak ada di DAFTAR_FIXTURE",IF(I37="zona tidak ada di layout","CEK zona_no / jenis_fixture",IF(D37&lt;&gt;I37,"CEK jenis_zona",IF(E37="","Zona kosong",IF(F37="","CEK nama kosong","OK"))))))</f>
        <v/>
      </c>
    </row>
    <row r="38">
      <c r="A38" s="9" t="inlineStr">
        <is>
          <t>GND-01</t>
        </is>
      </c>
      <c r="B38" s="10">
        <f>IF(A38="","",IFERROR(INDEX(DAFTAR_FIXTURE!$B$2:$B$51,MATCH(A38,DAFTAR_FIXTURE!$A$2:$A$51,0)),""))</f>
        <v/>
      </c>
      <c r="C38" s="11" t="n">
        <v>1</v>
      </c>
      <c r="D38" s="11" t="inlineStr">
        <is>
          <t>Rak</t>
        </is>
      </c>
      <c r="E38" s="12" t="inlineStr">
        <is>
          <t>10445960</t>
        </is>
      </c>
      <c r="F38" s="9" t="inlineStr">
        <is>
          <t>CASSEROLE OVAL GOLD MARBLE W/LID 33CM</t>
        </is>
      </c>
      <c r="G38" s="11" t="inlineStr">
        <is>
          <t>rak</t>
        </is>
      </c>
      <c r="H38" s="10">
        <f>IF(E38="","","https://cdn.ruparupa.io/fit-in/850x850/ruparupa-com/image/upload/Products/"&amp;E38&amp;"_1.jpg")</f>
        <v/>
      </c>
      <c r="I38" s="10">
        <f>IF(OR(B38="",C38=""),"",IFERROR(INDEX(LAYOUT!$D$2:$D$34,MATCH(B38&amp;"|"&amp;C38,LAYOUT!$E$2:$E$34,0)),"zona tidak ada di layout"))</f>
        <v/>
      </c>
      <c r="J38" s="13">
        <f>IF(OR(A38="",E38=""),"",COUNTIFS($A$2:$A$500,A38,$C$2:$C$500,C38,$E$2:$E$500,"&lt;&gt;"))</f>
        <v/>
      </c>
      <c r="K38" s="13">
        <f>IF(A38="","",IF(B38="","CEK id_fixture tidak ada di DAFTAR_FIXTURE",IF(I38="zona tidak ada di layout","CEK zona_no / jenis_fixture",IF(D38&lt;&gt;I38,"CEK jenis_zona",IF(E38="","Zona kosong",IF(F38="","CEK nama kosong","OK"))))))</f>
        <v/>
      </c>
    </row>
    <row r="39">
      <c r="A39" s="9" t="inlineStr">
        <is>
          <t>GND-01</t>
        </is>
      </c>
      <c r="B39" s="10">
        <f>IF(A39="","",IFERROR(INDEX(DAFTAR_FIXTURE!$B$2:$B$51,MATCH(A39,DAFTAR_FIXTURE!$A$2:$A$51,0)),""))</f>
        <v/>
      </c>
      <c r="C39" s="11" t="n">
        <v>1</v>
      </c>
      <c r="D39" s="11" t="inlineStr">
        <is>
          <t>Rak</t>
        </is>
      </c>
      <c r="E39" s="12" t="inlineStr">
        <is>
          <t>10445961</t>
        </is>
      </c>
      <c r="F39" s="9" t="inlineStr">
        <is>
          <t>CASSEROLE ROUND GOLD MARBLE W/LID 33CM</t>
        </is>
      </c>
      <c r="G39" s="11" t="inlineStr">
        <is>
          <t>rak</t>
        </is>
      </c>
      <c r="H39" s="10">
        <f>IF(E39="","","https://cdn.ruparupa.io/fit-in/850x850/ruparupa-com/image/upload/Products/"&amp;E39&amp;"_1.jpg")</f>
        <v/>
      </c>
      <c r="I39" s="10">
        <f>IF(OR(B39="",C39=""),"",IFERROR(INDEX(LAYOUT!$D$2:$D$34,MATCH(B39&amp;"|"&amp;C39,LAYOUT!$E$2:$E$34,0)),"zona tidak ada di layout"))</f>
        <v/>
      </c>
      <c r="J39" s="13">
        <f>IF(OR(A39="",E39=""),"",COUNTIFS($A$2:$A$500,A39,$C$2:$C$500,C39,$E$2:$E$500,"&lt;&gt;"))</f>
        <v/>
      </c>
      <c r="K39" s="13">
        <f>IF(A39="","",IF(B39="","CEK id_fixture tidak ada di DAFTAR_FIXTURE",IF(I39="zona tidak ada di layout","CEK zona_no / jenis_fixture",IF(D39&lt;&gt;I39,"CEK jenis_zona",IF(E39="","Zona kosong",IF(F39="","CEK nama kosong","OK"))))))</f>
        <v/>
      </c>
    </row>
    <row r="40">
      <c r="A40" s="9" t="inlineStr">
        <is>
          <t>GND-01</t>
        </is>
      </c>
      <c r="B40" s="10">
        <f>IF(A40="","",IFERROR(INDEX(DAFTAR_FIXTURE!$B$2:$B$51,MATCH(A40,DAFTAR_FIXTURE!$A$2:$A$51,0)),""))</f>
        <v/>
      </c>
      <c r="C40" s="11" t="n">
        <v>2</v>
      </c>
      <c r="D40" s="11" t="inlineStr">
        <is>
          <t>Rak</t>
        </is>
      </c>
      <c r="E40" s="12" t="inlineStr">
        <is>
          <t>10445962</t>
        </is>
      </c>
      <c r="F40" s="9" t="inlineStr">
        <is>
          <t>CASSEROLE SQUARE GOLD MARBLE W/LID 33CM</t>
        </is>
      </c>
      <c r="G40" s="11" t="inlineStr">
        <is>
          <t>rak</t>
        </is>
      </c>
      <c r="H40" s="10">
        <f>IF(E40="","","https://cdn.ruparupa.io/fit-in/850x850/ruparupa-com/image/upload/Products/"&amp;E40&amp;"_1.jpg")</f>
        <v/>
      </c>
      <c r="I40" s="10">
        <f>IF(OR(B40="",C40=""),"",IFERROR(INDEX(LAYOUT!$D$2:$D$34,MATCH(B40&amp;"|"&amp;C40,LAYOUT!$E$2:$E$34,0)),"zona tidak ada di layout"))</f>
        <v/>
      </c>
      <c r="J40" s="13">
        <f>IF(OR(A40="",E40=""),"",COUNTIFS($A$2:$A$500,A40,$C$2:$C$500,C40,$E$2:$E$500,"&lt;&gt;"))</f>
        <v/>
      </c>
      <c r="K40" s="13">
        <f>IF(A40="","",IF(B40="","CEK id_fixture tidak ada di DAFTAR_FIXTURE",IF(I40="zona tidak ada di layout","CEK zona_no / jenis_fixture",IF(D40&lt;&gt;I40,"CEK jenis_zona",IF(E40="","Zona kosong",IF(F40="","CEK nama kosong","OK"))))))</f>
        <v/>
      </c>
    </row>
    <row r="41">
      <c r="A41" s="9" t="inlineStr">
        <is>
          <t>GND-01</t>
        </is>
      </c>
      <c r="B41" s="10">
        <f>IF(A41="","",IFERROR(INDEX(DAFTAR_FIXTURE!$B$2:$B$51,MATCH(A41,DAFTAR_FIXTURE!$A$2:$A$51,0)),""))</f>
        <v/>
      </c>
      <c r="C41" s="11" t="n">
        <v>2</v>
      </c>
      <c r="D41" s="11" t="inlineStr">
        <is>
          <t>Rak</t>
        </is>
      </c>
      <c r="E41" s="12" t="inlineStr">
        <is>
          <t>10470029</t>
        </is>
      </c>
      <c r="F41" s="9" t="inlineStr">
        <is>
          <t>SERVING SET W/RACK OCTAGON MARBLE (4)</t>
        </is>
      </c>
      <c r="G41" s="11" t="inlineStr">
        <is>
          <t>rak</t>
        </is>
      </c>
      <c r="H41" s="10">
        <f>IF(E41="","","https://cdn.ruparupa.io/fit-in/850x850/ruparupa-com/image/upload/Products/"&amp;E41&amp;"_1.jpg")</f>
        <v/>
      </c>
      <c r="I41" s="10">
        <f>IF(OR(B41="",C41=""),"",IFERROR(INDEX(LAYOUT!$D$2:$D$34,MATCH(B41&amp;"|"&amp;C41,LAYOUT!$E$2:$E$34,0)),"zona tidak ada di layout"))</f>
        <v/>
      </c>
      <c r="J41" s="13">
        <f>IF(OR(A41="",E41=""),"",COUNTIFS($A$2:$A$500,A41,$C$2:$C$500,C41,$E$2:$E$500,"&lt;&gt;"))</f>
        <v/>
      </c>
      <c r="K41" s="13">
        <f>IF(A41="","",IF(B41="","CEK id_fixture tidak ada di DAFTAR_FIXTURE",IF(I41="zona tidak ada di layout","CEK zona_no / jenis_fixture",IF(D41&lt;&gt;I41,"CEK jenis_zona",IF(E41="","Zona kosong",IF(F41="","CEK nama kosong","OK"))))))</f>
        <v/>
      </c>
    </row>
    <row r="42">
      <c r="A42" s="9" t="inlineStr">
        <is>
          <t>GND-01</t>
        </is>
      </c>
      <c r="B42" s="10">
        <f>IF(A42="","",IFERROR(INDEX(DAFTAR_FIXTURE!$B$2:$B$51,MATCH(A42,DAFTAR_FIXTURE!$A$2:$A$51,0)),""))</f>
        <v/>
      </c>
      <c r="C42" s="11" t="n">
        <v>2</v>
      </c>
      <c r="D42" s="11" t="inlineStr">
        <is>
          <t>Rak</t>
        </is>
      </c>
      <c r="E42" s="12" t="inlineStr">
        <is>
          <t>10470030</t>
        </is>
      </c>
      <c r="F42" s="9" t="inlineStr">
        <is>
          <t>SERVING SET RND DETACHABLE MARBLE (2)</t>
        </is>
      </c>
      <c r="G42" s="11" t="inlineStr">
        <is>
          <t>rak</t>
        </is>
      </c>
      <c r="H42" s="10">
        <f>IF(E42="","","https://cdn.ruparupa.io/fit-in/850x850/ruparupa-com/image/upload/Products/"&amp;E42&amp;"_1.jpg")</f>
        <v/>
      </c>
      <c r="I42" s="10">
        <f>IF(OR(B42="",C42=""),"",IFERROR(INDEX(LAYOUT!$D$2:$D$34,MATCH(B42&amp;"|"&amp;C42,LAYOUT!$E$2:$E$34,0)),"zona tidak ada di layout"))</f>
        <v/>
      </c>
      <c r="J42" s="13">
        <f>IF(OR(A42="",E42=""),"",COUNTIFS($A$2:$A$500,A42,$C$2:$C$500,C42,$E$2:$E$500,"&lt;&gt;"))</f>
        <v/>
      </c>
      <c r="K42" s="13">
        <f>IF(A42="","",IF(B42="","CEK id_fixture tidak ada di DAFTAR_FIXTURE",IF(I42="zona tidak ada di layout","CEK zona_no / jenis_fixture",IF(D42&lt;&gt;I42,"CEK jenis_zona",IF(E42="","Zona kosong",IF(F42="","CEK nama kosong","OK"))))))</f>
        <v/>
      </c>
    </row>
    <row r="43">
      <c r="A43" s="9" t="inlineStr">
        <is>
          <t>GND-01</t>
        </is>
      </c>
      <c r="B43" s="10">
        <f>IF(A43="","",IFERROR(INDEX(DAFTAR_FIXTURE!$B$2:$B$51,MATCH(A43,DAFTAR_FIXTURE!$A$2:$A$51,0)),""))</f>
        <v/>
      </c>
      <c r="C43" s="11" t="n">
        <v>3</v>
      </c>
      <c r="D43" s="11" t="inlineStr">
        <is>
          <t>Rak</t>
        </is>
      </c>
      <c r="E43" s="12" t="n"/>
      <c r="F43" s="9" t="n"/>
      <c r="G43" s="11" t="n"/>
      <c r="H43" s="10">
        <f>IF(E43="","","https://cdn.ruparupa.io/fit-in/850x850/ruparupa-com/image/upload/Products/"&amp;E43&amp;"_1.jpg")</f>
        <v/>
      </c>
      <c r="I43" s="10">
        <f>IF(OR(B43="",C43=""),"",IFERROR(INDEX(LAYOUT!$D$2:$D$34,MATCH(B43&amp;"|"&amp;C43,LAYOUT!$E$2:$E$34,0)),"zona tidak ada di layout"))</f>
        <v/>
      </c>
      <c r="J43" s="13">
        <f>IF(OR(A43="",E43=""),"",COUNTIFS($A$2:$A$500,A43,$C$2:$C$500,C43,$E$2:$E$500,"&lt;&gt;"))</f>
        <v/>
      </c>
      <c r="K43" s="13">
        <f>IF(A43="","",IF(B43="","CEK id_fixture tidak ada di DAFTAR_FIXTURE",IF(I43="zona tidak ada di layout","CEK zona_no / jenis_fixture",IF(D43&lt;&gt;I43,"CEK jenis_zona",IF(E43="","Zona kosong",IF(F43="","CEK nama kosong","OK"))))))</f>
        <v/>
      </c>
    </row>
    <row r="44">
      <c r="A44" s="9" t="inlineStr">
        <is>
          <t>GND-01</t>
        </is>
      </c>
      <c r="B44" s="10">
        <f>IF(A44="","",IFERROR(INDEX(DAFTAR_FIXTURE!$B$2:$B$51,MATCH(A44,DAFTAR_FIXTURE!$A$2:$A$51,0)),""))</f>
        <v/>
      </c>
      <c r="C44" s="11" t="n">
        <v>4</v>
      </c>
      <c r="D44" s="11" t="inlineStr">
        <is>
          <t>Rak</t>
        </is>
      </c>
      <c r="E44" s="12" t="n"/>
      <c r="F44" s="9" t="n"/>
      <c r="G44" s="11" t="n"/>
      <c r="H44" s="10">
        <f>IF(E44="","","https://cdn.ruparupa.io/fit-in/850x850/ruparupa-com/image/upload/Products/"&amp;E44&amp;"_1.jpg")</f>
        <v/>
      </c>
      <c r="I44" s="10">
        <f>IF(OR(B44="",C44=""),"",IFERROR(INDEX(LAYOUT!$D$2:$D$34,MATCH(B44&amp;"|"&amp;C44,LAYOUT!$E$2:$E$34,0)),"zona tidak ada di layout"))</f>
        <v/>
      </c>
      <c r="J44" s="13">
        <f>IF(OR(A44="",E44=""),"",COUNTIFS($A$2:$A$500,A44,$C$2:$C$500,C44,$E$2:$E$500,"&lt;&gt;"))</f>
        <v/>
      </c>
      <c r="K44" s="13">
        <f>IF(A44="","",IF(B44="","CEK id_fixture tidak ada di DAFTAR_FIXTURE",IF(I44="zona tidak ada di layout","CEK zona_no / jenis_fixture",IF(D44&lt;&gt;I44,"CEK jenis_zona",IF(E44="","Zona kosong",IF(F44="","CEK nama kosong","OK"))))))</f>
        <v/>
      </c>
    </row>
    <row r="45">
      <c r="A45" s="9" t="inlineStr">
        <is>
          <t>GND-02</t>
        </is>
      </c>
      <c r="B45" s="10">
        <f>IF(A45="","",IFERROR(INDEX(DAFTAR_FIXTURE!$B$2:$B$51,MATCH(A45,DAFTAR_FIXTURE!$A$2:$A$51,0)),""))</f>
        <v/>
      </c>
      <c r="C45" s="11" t="n">
        <v>1</v>
      </c>
      <c r="D45" s="11" t="inlineStr">
        <is>
          <t>Gantungan</t>
        </is>
      </c>
      <c r="E45" s="12" t="inlineStr">
        <is>
          <t>10198149</t>
        </is>
      </c>
      <c r="F45" s="9" t="inlineStr">
        <is>
          <t>TANTA STRAINER DIA 10CM</t>
        </is>
      </c>
      <c r="G45" s="11" t="inlineStr">
        <is>
          <t>gantung</t>
        </is>
      </c>
      <c r="H45" s="10">
        <f>IF(E45="","","https://cdn.ruparupa.io/fit-in/850x850/ruparupa-com/image/upload/Products/"&amp;E45&amp;"_1.jpg")</f>
        <v/>
      </c>
      <c r="I45" s="10">
        <f>IF(OR(B45="",C45=""),"",IFERROR(INDEX(LAYOUT!$D$2:$D$34,MATCH(B45&amp;"|"&amp;C45,LAYOUT!$E$2:$E$34,0)),"zona tidak ada di layout"))</f>
        <v/>
      </c>
      <c r="J45" s="13">
        <f>IF(OR(A45="",E45=""),"",COUNTIFS($A$2:$A$500,A45,$C$2:$C$500,C45,$E$2:$E$500,"&lt;&gt;"))</f>
        <v/>
      </c>
      <c r="K45" s="13">
        <f>IF(A45="","",IF(B45="","CEK id_fixture tidak ada di DAFTAR_FIXTURE",IF(I45="zona tidak ada di layout","CEK zona_no / jenis_fixture",IF(D45&lt;&gt;I45,"CEK jenis_zona",IF(E45="","Zona kosong",IF(F45="","CEK nama kosong","OK"))))))</f>
        <v/>
      </c>
    </row>
    <row r="46">
      <c r="A46" s="9" t="inlineStr">
        <is>
          <t>GND-02</t>
        </is>
      </c>
      <c r="B46" s="10">
        <f>IF(A46="","",IFERROR(INDEX(DAFTAR_FIXTURE!$B$2:$B$51,MATCH(A46,DAFTAR_FIXTURE!$A$2:$A$51,0)),""))</f>
        <v/>
      </c>
      <c r="C46" s="11" t="n">
        <v>1</v>
      </c>
      <c r="D46" s="11" t="inlineStr">
        <is>
          <t>Gantungan</t>
        </is>
      </c>
      <c r="E46" s="12" t="inlineStr">
        <is>
          <t>10198150</t>
        </is>
      </c>
      <c r="F46" s="9" t="inlineStr">
        <is>
          <t>TANTA NYLON TONGS 9 INCH</t>
        </is>
      </c>
      <c r="G46" s="11" t="inlineStr">
        <is>
          <t>gantung</t>
        </is>
      </c>
      <c r="H46" s="10">
        <f>IF(E46="","","https://cdn.ruparupa.io/fit-in/850x850/ruparupa-com/image/upload/Products/"&amp;E46&amp;"_1.jpg")</f>
        <v/>
      </c>
      <c r="I46" s="10">
        <f>IF(OR(B46="",C46=""),"",IFERROR(INDEX(LAYOUT!$D$2:$D$34,MATCH(B46&amp;"|"&amp;C46,LAYOUT!$E$2:$E$34,0)),"zona tidak ada di layout"))</f>
        <v/>
      </c>
      <c r="J46" s="13">
        <f>IF(OR(A46="",E46=""),"",COUNTIFS($A$2:$A$500,A46,$C$2:$C$500,C46,$E$2:$E$500,"&lt;&gt;"))</f>
        <v/>
      </c>
      <c r="K46" s="13">
        <f>IF(A46="","",IF(B46="","CEK id_fixture tidak ada di DAFTAR_FIXTURE",IF(I46="zona tidak ada di layout","CEK zona_no / jenis_fixture",IF(D46&lt;&gt;I46,"CEK jenis_zona",IF(E46="","Zona kosong",IF(F46="","CEK nama kosong","OK"))))))</f>
        <v/>
      </c>
    </row>
    <row r="47">
      <c r="A47" s="9" t="inlineStr">
        <is>
          <t>GND-02</t>
        </is>
      </c>
      <c r="B47" s="10">
        <f>IF(A47="","",IFERROR(INDEX(DAFTAR_FIXTURE!$B$2:$B$51,MATCH(A47,DAFTAR_FIXTURE!$A$2:$A$51,0)),""))</f>
        <v/>
      </c>
      <c r="C47" s="11" t="n">
        <v>1</v>
      </c>
      <c r="D47" s="11" t="inlineStr">
        <is>
          <t>Gantungan</t>
        </is>
      </c>
      <c r="E47" s="12" t="inlineStr">
        <is>
          <t>10198151</t>
        </is>
      </c>
      <c r="F47" s="9" t="inlineStr">
        <is>
          <t>TANTA NYLON TONGS 12 INCH</t>
        </is>
      </c>
      <c r="G47" s="11" t="inlineStr">
        <is>
          <t>gantung</t>
        </is>
      </c>
      <c r="H47" s="10">
        <f>IF(E47="","","https://cdn.ruparupa.io/fit-in/850x850/ruparupa-com/image/upload/Products/"&amp;E47&amp;"_1.jpg")</f>
        <v/>
      </c>
      <c r="I47" s="10">
        <f>IF(OR(B47="",C47=""),"",IFERROR(INDEX(LAYOUT!$D$2:$D$34,MATCH(B47&amp;"|"&amp;C47,LAYOUT!$E$2:$E$34,0)),"zona tidak ada di layout"))</f>
        <v/>
      </c>
      <c r="J47" s="13">
        <f>IF(OR(A47="",E47=""),"",COUNTIFS($A$2:$A$500,A47,$C$2:$C$500,C47,$E$2:$E$500,"&lt;&gt;"))</f>
        <v/>
      </c>
      <c r="K47" s="13">
        <f>IF(A47="","",IF(B47="","CEK id_fixture tidak ada di DAFTAR_FIXTURE",IF(I47="zona tidak ada di layout","CEK zona_no / jenis_fixture",IF(D47&lt;&gt;I47,"CEK jenis_zona",IF(E47="","Zona kosong",IF(F47="","CEK nama kosong","OK"))))))</f>
        <v/>
      </c>
    </row>
    <row r="48">
      <c r="A48" s="9" t="inlineStr">
        <is>
          <t>GND-02</t>
        </is>
      </c>
      <c r="B48" s="10">
        <f>IF(A48="","",IFERROR(INDEX(DAFTAR_FIXTURE!$B$2:$B$51,MATCH(A48,DAFTAR_FIXTURE!$A$2:$A$51,0)),""))</f>
        <v/>
      </c>
      <c r="C48" s="11" t="n">
        <v>1</v>
      </c>
      <c r="D48" s="11" t="inlineStr">
        <is>
          <t>Gantungan</t>
        </is>
      </c>
      <c r="E48" s="12" t="inlineStr">
        <is>
          <t>10198152</t>
        </is>
      </c>
      <c r="F48" s="9" t="inlineStr">
        <is>
          <t>TANTA S/S SOLID TURNER M</t>
        </is>
      </c>
      <c r="G48" s="11" t="inlineStr">
        <is>
          <t>gantung</t>
        </is>
      </c>
      <c r="H48" s="10">
        <f>IF(E48="","","https://cdn.ruparupa.io/fit-in/850x850/ruparupa-com/image/upload/Products/"&amp;E48&amp;"_1.jpg")</f>
        <v/>
      </c>
      <c r="I48" s="10">
        <f>IF(OR(B48="",C48=""),"",IFERROR(INDEX(LAYOUT!$D$2:$D$34,MATCH(B48&amp;"|"&amp;C48,LAYOUT!$E$2:$E$34,0)),"zona tidak ada di layout"))</f>
        <v/>
      </c>
      <c r="J48" s="13">
        <f>IF(OR(A48="",E48=""),"",COUNTIFS($A$2:$A$500,A48,$C$2:$C$500,C48,$E$2:$E$500,"&lt;&gt;"))</f>
        <v/>
      </c>
      <c r="K48" s="13">
        <f>IF(A48="","",IF(B48="","CEK id_fixture tidak ada di DAFTAR_FIXTURE",IF(I48="zona tidak ada di layout","CEK zona_no / jenis_fixture",IF(D48&lt;&gt;I48,"CEK jenis_zona",IF(E48="","Zona kosong",IF(F48="","CEK nama kosong","OK"))))))</f>
        <v/>
      </c>
    </row>
    <row r="49">
      <c r="A49" s="9" t="inlineStr">
        <is>
          <t>GND-02</t>
        </is>
      </c>
      <c r="B49" s="10">
        <f>IF(A49="","",IFERROR(INDEX(DAFTAR_FIXTURE!$B$2:$B$51,MATCH(A49,DAFTAR_FIXTURE!$A$2:$A$51,0)),""))</f>
        <v/>
      </c>
      <c r="C49" s="11" t="n">
        <v>1</v>
      </c>
      <c r="D49" s="11" t="inlineStr">
        <is>
          <t>Gantungan</t>
        </is>
      </c>
      <c r="E49" s="12" t="inlineStr">
        <is>
          <t>10198154</t>
        </is>
      </c>
      <c r="F49" s="9" t="inlineStr">
        <is>
          <t>TANTA S/S LADLE</t>
        </is>
      </c>
      <c r="G49" s="11" t="inlineStr">
        <is>
          <t>gantung</t>
        </is>
      </c>
      <c r="H49" s="10">
        <f>IF(E49="","","https://cdn.ruparupa.io/fit-in/850x850/ruparupa-com/image/upload/Products/"&amp;E49&amp;"_1.jpg")</f>
        <v/>
      </c>
      <c r="I49" s="10">
        <f>IF(OR(B49="",C49=""),"",IFERROR(INDEX(LAYOUT!$D$2:$D$34,MATCH(B49&amp;"|"&amp;C49,LAYOUT!$E$2:$E$34,0)),"zona tidak ada di layout"))</f>
        <v/>
      </c>
      <c r="J49" s="13">
        <f>IF(OR(A49="",E49=""),"",COUNTIFS($A$2:$A$500,A49,$C$2:$C$500,C49,$E$2:$E$500,"&lt;&gt;"))</f>
        <v/>
      </c>
      <c r="K49" s="13">
        <f>IF(A49="","",IF(B49="","CEK id_fixture tidak ada di DAFTAR_FIXTURE",IF(I49="zona tidak ada di layout","CEK zona_no / jenis_fixture",IF(D49&lt;&gt;I49,"CEK jenis_zona",IF(E49="","Zona kosong",IF(F49="","CEK nama kosong","OK"))))))</f>
        <v/>
      </c>
    </row>
    <row r="50">
      <c r="A50" s="9" t="inlineStr">
        <is>
          <t>GND-02</t>
        </is>
      </c>
      <c r="B50" s="10">
        <f>IF(A50="","",IFERROR(INDEX(DAFTAR_FIXTURE!$B$2:$B$51,MATCH(A50,DAFTAR_FIXTURE!$A$2:$A$51,0)),""))</f>
        <v/>
      </c>
      <c r="C50" s="11" t="n">
        <v>1</v>
      </c>
      <c r="D50" s="11" t="inlineStr">
        <is>
          <t>Gantungan</t>
        </is>
      </c>
      <c r="E50" s="12" t="inlineStr">
        <is>
          <t>10198156</t>
        </is>
      </c>
      <c r="F50" s="9" t="inlineStr">
        <is>
          <t>TANTA NYLON SLOTTED TURNER M</t>
        </is>
      </c>
      <c r="G50" s="11" t="inlineStr">
        <is>
          <t>gantung</t>
        </is>
      </c>
      <c r="H50" s="10">
        <f>IF(E50="","","https://cdn.ruparupa.io/fit-in/850x850/ruparupa-com/image/upload/Products/"&amp;E50&amp;"_1.jpg")</f>
        <v/>
      </c>
      <c r="I50" s="10">
        <f>IF(OR(B50="",C50=""),"",IFERROR(INDEX(LAYOUT!$D$2:$D$34,MATCH(B50&amp;"|"&amp;C50,LAYOUT!$E$2:$E$34,0)),"zona tidak ada di layout"))</f>
        <v/>
      </c>
      <c r="J50" s="13">
        <f>IF(OR(A50="",E50=""),"",COUNTIFS($A$2:$A$500,A50,$C$2:$C$500,C50,$E$2:$E$500,"&lt;&gt;"))</f>
        <v/>
      </c>
      <c r="K50" s="13">
        <f>IF(A50="","",IF(B50="","CEK id_fixture tidak ada di DAFTAR_FIXTURE",IF(I50="zona tidak ada di layout","CEK zona_no / jenis_fixture",IF(D50&lt;&gt;I50,"CEK jenis_zona",IF(E50="","Zona kosong",IF(F50="","CEK nama kosong","OK"))))))</f>
        <v/>
      </c>
    </row>
    <row r="51">
      <c r="A51" s="9" t="inlineStr">
        <is>
          <t>GND-02</t>
        </is>
      </c>
      <c r="B51" s="10">
        <f>IF(A51="","",IFERROR(INDEX(DAFTAR_FIXTURE!$B$2:$B$51,MATCH(A51,DAFTAR_FIXTURE!$A$2:$A$51,0)),""))</f>
        <v/>
      </c>
      <c r="C51" s="11" t="n">
        <v>1</v>
      </c>
      <c r="D51" s="11" t="inlineStr">
        <is>
          <t>Gantungan</t>
        </is>
      </c>
      <c r="E51" s="12" t="inlineStr">
        <is>
          <t>10198157</t>
        </is>
      </c>
      <c r="F51" s="9" t="inlineStr">
        <is>
          <t>TANTA NYLON SOLID TURNER L</t>
        </is>
      </c>
      <c r="G51" s="11" t="inlineStr">
        <is>
          <t>gantung</t>
        </is>
      </c>
      <c r="H51" s="10">
        <f>IF(E51="","","https://cdn.ruparupa.io/fit-in/850x850/ruparupa-com/image/upload/Products/"&amp;E51&amp;"_1.jpg")</f>
        <v/>
      </c>
      <c r="I51" s="10">
        <f>IF(OR(B51="",C51=""),"",IFERROR(INDEX(LAYOUT!$D$2:$D$34,MATCH(B51&amp;"|"&amp;C51,LAYOUT!$E$2:$E$34,0)),"zona tidak ada di layout"))</f>
        <v/>
      </c>
      <c r="J51" s="13">
        <f>IF(OR(A51="",E51=""),"",COUNTIFS($A$2:$A$500,A51,$C$2:$C$500,C51,$E$2:$E$500,"&lt;&gt;"))</f>
        <v/>
      </c>
      <c r="K51" s="13">
        <f>IF(A51="","",IF(B51="","CEK id_fixture tidak ada di DAFTAR_FIXTURE",IF(I51="zona tidak ada di layout","CEK zona_no / jenis_fixture",IF(D51&lt;&gt;I51,"CEK jenis_zona",IF(E51="","Zona kosong",IF(F51="","CEK nama kosong","OK"))))))</f>
        <v/>
      </c>
    </row>
    <row r="52">
      <c r="A52" s="9" t="inlineStr">
        <is>
          <t>GND-02</t>
        </is>
      </c>
      <c r="B52" s="10">
        <f>IF(A52="","",IFERROR(INDEX(DAFTAR_FIXTURE!$B$2:$B$51,MATCH(A52,DAFTAR_FIXTURE!$A$2:$A$51,0)),""))</f>
        <v/>
      </c>
      <c r="C52" s="11" t="n">
        <v>1</v>
      </c>
      <c r="D52" s="11" t="inlineStr">
        <is>
          <t>Gantungan</t>
        </is>
      </c>
      <c r="E52" s="12" t="inlineStr">
        <is>
          <t>10198159</t>
        </is>
      </c>
      <c r="F52" s="9" t="inlineStr">
        <is>
          <t>TANTA NYLON LADLE</t>
        </is>
      </c>
      <c r="G52" s="11" t="inlineStr">
        <is>
          <t>gantung</t>
        </is>
      </c>
      <c r="H52" s="10">
        <f>IF(E52="","","https://cdn.ruparupa.io/fit-in/850x850/ruparupa-com/image/upload/Products/"&amp;E52&amp;"_1.jpg")</f>
        <v/>
      </c>
      <c r="I52" s="10">
        <f>IF(OR(B52="",C52=""),"",IFERROR(INDEX(LAYOUT!$D$2:$D$34,MATCH(B52&amp;"|"&amp;C52,LAYOUT!$E$2:$E$34,0)),"zona tidak ada di layout"))</f>
        <v/>
      </c>
      <c r="J52" s="13">
        <f>IF(OR(A52="",E52=""),"",COUNTIFS($A$2:$A$500,A52,$C$2:$C$500,C52,$E$2:$E$500,"&lt;&gt;"))</f>
        <v/>
      </c>
      <c r="K52" s="13">
        <f>IF(A52="","",IF(B52="","CEK id_fixture tidak ada di DAFTAR_FIXTURE",IF(I52="zona tidak ada di layout","CEK zona_no / jenis_fixture",IF(D52&lt;&gt;I52,"CEK jenis_zona",IF(E52="","Zona kosong",IF(F52="","CEK nama kosong","OK"))))))</f>
        <v/>
      </c>
    </row>
    <row r="53">
      <c r="A53" s="9" t="inlineStr">
        <is>
          <t>GND-02</t>
        </is>
      </c>
      <c r="B53" s="10">
        <f>IF(A53="","",IFERROR(INDEX(DAFTAR_FIXTURE!$B$2:$B$51,MATCH(A53,DAFTAR_FIXTURE!$A$2:$A$51,0)),""))</f>
        <v/>
      </c>
      <c r="C53" s="11" t="n">
        <v>1</v>
      </c>
      <c r="D53" s="11" t="inlineStr">
        <is>
          <t>Gantungan</t>
        </is>
      </c>
      <c r="E53" s="12" t="inlineStr">
        <is>
          <t>10198160</t>
        </is>
      </c>
      <c r="F53" s="9" t="inlineStr">
        <is>
          <t>TANTA NYLON WHISK</t>
        </is>
      </c>
      <c r="G53" s="11" t="inlineStr">
        <is>
          <t>gantung</t>
        </is>
      </c>
      <c r="H53" s="10">
        <f>IF(E53="","","https://cdn.ruparupa.io/fit-in/850x850/ruparupa-com/image/upload/Products/"&amp;E53&amp;"_1.jpg")</f>
        <v/>
      </c>
      <c r="I53" s="10">
        <f>IF(OR(B53="",C53=""),"",IFERROR(INDEX(LAYOUT!$D$2:$D$34,MATCH(B53&amp;"|"&amp;C53,LAYOUT!$E$2:$E$34,0)),"zona tidak ada di layout"))</f>
        <v/>
      </c>
      <c r="J53" s="13">
        <f>IF(OR(A53="",E53=""),"",COUNTIFS($A$2:$A$500,A53,$C$2:$C$500,C53,$E$2:$E$500,"&lt;&gt;"))</f>
        <v/>
      </c>
      <c r="K53" s="13">
        <f>IF(A53="","",IF(B53="","CEK id_fixture tidak ada di DAFTAR_FIXTURE",IF(I53="zona tidak ada di layout","CEK zona_no / jenis_fixture",IF(D53&lt;&gt;I53,"CEK jenis_zona",IF(E53="","Zona kosong",IF(F53="","CEK nama kosong","OK"))))))</f>
        <v/>
      </c>
    </row>
    <row r="54">
      <c r="A54" s="9" t="inlineStr">
        <is>
          <t>GND-02</t>
        </is>
      </c>
      <c r="B54" s="10">
        <f>IF(A54="","",IFERROR(INDEX(DAFTAR_FIXTURE!$B$2:$B$51,MATCH(A54,DAFTAR_FIXTURE!$A$2:$A$51,0)),""))</f>
        <v/>
      </c>
      <c r="C54" s="11" t="n">
        <v>2</v>
      </c>
      <c r="D54" s="11" t="inlineStr">
        <is>
          <t>Gantungan</t>
        </is>
      </c>
      <c r="E54" s="12" t="inlineStr">
        <is>
          <t>10198149</t>
        </is>
      </c>
      <c r="F54" s="9" t="inlineStr">
        <is>
          <t>TANTA STRAINER DIA 10CM</t>
        </is>
      </c>
      <c r="G54" s="11" t="inlineStr">
        <is>
          <t>gantung</t>
        </is>
      </c>
      <c r="H54" s="10">
        <f>IF(E54="","","https://cdn.ruparupa.io/fit-in/850x850/ruparupa-com/image/upload/Products/"&amp;E54&amp;"_1.jpg")</f>
        <v/>
      </c>
      <c r="I54" s="10">
        <f>IF(OR(B54="",C54=""),"",IFERROR(INDEX(LAYOUT!$D$2:$D$34,MATCH(B54&amp;"|"&amp;C54,LAYOUT!$E$2:$E$34,0)),"zona tidak ada di layout"))</f>
        <v/>
      </c>
      <c r="J54" s="13">
        <f>IF(OR(A54="",E54=""),"",COUNTIFS($A$2:$A$500,A54,$C$2:$C$500,C54,$E$2:$E$500,"&lt;&gt;"))</f>
        <v/>
      </c>
      <c r="K54" s="13">
        <f>IF(A54="","",IF(B54="","CEK id_fixture tidak ada di DAFTAR_FIXTURE",IF(I54="zona tidak ada di layout","CEK zona_no / jenis_fixture",IF(D54&lt;&gt;I54,"CEK jenis_zona",IF(E54="","Zona kosong",IF(F54="","CEK nama kosong","OK"))))))</f>
        <v/>
      </c>
    </row>
    <row r="55">
      <c r="A55" s="9" t="inlineStr">
        <is>
          <t>GND-02</t>
        </is>
      </c>
      <c r="B55" s="10">
        <f>IF(A55="","",IFERROR(INDEX(DAFTAR_FIXTURE!$B$2:$B$51,MATCH(A55,DAFTAR_FIXTURE!$A$2:$A$51,0)),""))</f>
        <v/>
      </c>
      <c r="C55" s="11" t="n">
        <v>2</v>
      </c>
      <c r="D55" s="11" t="inlineStr">
        <is>
          <t>Gantungan</t>
        </is>
      </c>
      <c r="E55" s="12" t="inlineStr">
        <is>
          <t>10198150</t>
        </is>
      </c>
      <c r="F55" s="9" t="inlineStr">
        <is>
          <t>TANTA NYLON TONGS 9 INCH</t>
        </is>
      </c>
      <c r="G55" s="11" t="inlineStr">
        <is>
          <t>gantung</t>
        </is>
      </c>
      <c r="H55" s="10">
        <f>IF(E55="","","https://cdn.ruparupa.io/fit-in/850x850/ruparupa-com/image/upload/Products/"&amp;E55&amp;"_1.jpg")</f>
        <v/>
      </c>
      <c r="I55" s="10">
        <f>IF(OR(B55="",C55=""),"",IFERROR(INDEX(LAYOUT!$D$2:$D$34,MATCH(B55&amp;"|"&amp;C55,LAYOUT!$E$2:$E$34,0)),"zona tidak ada di layout"))</f>
        <v/>
      </c>
      <c r="J55" s="13">
        <f>IF(OR(A55="",E55=""),"",COUNTIFS($A$2:$A$500,A55,$C$2:$C$500,C55,$E$2:$E$500,"&lt;&gt;"))</f>
        <v/>
      </c>
      <c r="K55" s="13">
        <f>IF(A55="","",IF(B55="","CEK id_fixture tidak ada di DAFTAR_FIXTURE",IF(I55="zona tidak ada di layout","CEK zona_no / jenis_fixture",IF(D55&lt;&gt;I55,"CEK jenis_zona",IF(E55="","Zona kosong",IF(F55="","CEK nama kosong","OK"))))))</f>
        <v/>
      </c>
    </row>
    <row r="56">
      <c r="A56" s="9" t="inlineStr">
        <is>
          <t>GND-02</t>
        </is>
      </c>
      <c r="B56" s="10">
        <f>IF(A56="","",IFERROR(INDEX(DAFTAR_FIXTURE!$B$2:$B$51,MATCH(A56,DAFTAR_FIXTURE!$A$2:$A$51,0)),""))</f>
        <v/>
      </c>
      <c r="C56" s="11" t="n">
        <v>2</v>
      </c>
      <c r="D56" s="11" t="inlineStr">
        <is>
          <t>Gantungan</t>
        </is>
      </c>
      <c r="E56" s="12" t="inlineStr">
        <is>
          <t>10198151</t>
        </is>
      </c>
      <c r="F56" s="9" t="inlineStr">
        <is>
          <t>TANTA NYLON TONGS 12 INCH</t>
        </is>
      </c>
      <c r="G56" s="11" t="inlineStr">
        <is>
          <t>gantung</t>
        </is>
      </c>
      <c r="H56" s="10">
        <f>IF(E56="","","https://cdn.ruparupa.io/fit-in/850x850/ruparupa-com/image/upload/Products/"&amp;E56&amp;"_1.jpg")</f>
        <v/>
      </c>
      <c r="I56" s="10">
        <f>IF(OR(B56="",C56=""),"",IFERROR(INDEX(LAYOUT!$D$2:$D$34,MATCH(B56&amp;"|"&amp;C56,LAYOUT!$E$2:$E$34,0)),"zona tidak ada di layout"))</f>
        <v/>
      </c>
      <c r="J56" s="13">
        <f>IF(OR(A56="",E56=""),"",COUNTIFS($A$2:$A$500,A56,$C$2:$C$500,C56,$E$2:$E$500,"&lt;&gt;"))</f>
        <v/>
      </c>
      <c r="K56" s="13">
        <f>IF(A56="","",IF(B56="","CEK id_fixture tidak ada di DAFTAR_FIXTURE",IF(I56="zona tidak ada di layout","CEK zona_no / jenis_fixture",IF(D56&lt;&gt;I56,"CEK jenis_zona",IF(E56="","Zona kosong",IF(F56="","CEK nama kosong","OK"))))))</f>
        <v/>
      </c>
    </row>
    <row r="57">
      <c r="A57" s="9" t="inlineStr">
        <is>
          <t>GND-02</t>
        </is>
      </c>
      <c r="B57" s="10">
        <f>IF(A57="","",IFERROR(INDEX(DAFTAR_FIXTURE!$B$2:$B$51,MATCH(A57,DAFTAR_FIXTURE!$A$2:$A$51,0)),""))</f>
        <v/>
      </c>
      <c r="C57" s="11" t="n">
        <v>2</v>
      </c>
      <c r="D57" s="11" t="inlineStr">
        <is>
          <t>Gantungan</t>
        </is>
      </c>
      <c r="E57" s="12" t="inlineStr">
        <is>
          <t>10198152</t>
        </is>
      </c>
      <c r="F57" s="9" t="inlineStr">
        <is>
          <t>TANTA S/S SOLID TURNER M</t>
        </is>
      </c>
      <c r="G57" s="11" t="inlineStr">
        <is>
          <t>gantung</t>
        </is>
      </c>
      <c r="H57" s="10">
        <f>IF(E57="","","https://cdn.ruparupa.io/fit-in/850x850/ruparupa-com/image/upload/Products/"&amp;E57&amp;"_1.jpg")</f>
        <v/>
      </c>
      <c r="I57" s="10">
        <f>IF(OR(B57="",C57=""),"",IFERROR(INDEX(LAYOUT!$D$2:$D$34,MATCH(B57&amp;"|"&amp;C57,LAYOUT!$E$2:$E$34,0)),"zona tidak ada di layout"))</f>
        <v/>
      </c>
      <c r="J57" s="13">
        <f>IF(OR(A57="",E57=""),"",COUNTIFS($A$2:$A$500,A57,$C$2:$C$500,C57,$E$2:$E$500,"&lt;&gt;"))</f>
        <v/>
      </c>
      <c r="K57" s="13">
        <f>IF(A57="","",IF(B57="","CEK id_fixture tidak ada di DAFTAR_FIXTURE",IF(I57="zona tidak ada di layout","CEK zona_no / jenis_fixture",IF(D57&lt;&gt;I57,"CEK jenis_zona",IF(E57="","Zona kosong",IF(F57="","CEK nama kosong","OK"))))))</f>
        <v/>
      </c>
    </row>
    <row r="58">
      <c r="A58" s="9" t="inlineStr">
        <is>
          <t>GND-02</t>
        </is>
      </c>
      <c r="B58" s="10">
        <f>IF(A58="","",IFERROR(INDEX(DAFTAR_FIXTURE!$B$2:$B$51,MATCH(A58,DAFTAR_FIXTURE!$A$2:$A$51,0)),""))</f>
        <v/>
      </c>
      <c r="C58" s="11" t="n">
        <v>2</v>
      </c>
      <c r="D58" s="11" t="inlineStr">
        <is>
          <t>Gantungan</t>
        </is>
      </c>
      <c r="E58" s="12" t="inlineStr">
        <is>
          <t>10198154</t>
        </is>
      </c>
      <c r="F58" s="9" t="inlineStr">
        <is>
          <t>TANTA S/S LADLE</t>
        </is>
      </c>
      <c r="G58" s="11" t="inlineStr">
        <is>
          <t>gantung</t>
        </is>
      </c>
      <c r="H58" s="10">
        <f>IF(E58="","","https://cdn.ruparupa.io/fit-in/850x850/ruparupa-com/image/upload/Products/"&amp;E58&amp;"_1.jpg")</f>
        <v/>
      </c>
      <c r="I58" s="10">
        <f>IF(OR(B58="",C58=""),"",IFERROR(INDEX(LAYOUT!$D$2:$D$34,MATCH(B58&amp;"|"&amp;C58,LAYOUT!$E$2:$E$34,0)),"zona tidak ada di layout"))</f>
        <v/>
      </c>
      <c r="J58" s="13">
        <f>IF(OR(A58="",E58=""),"",COUNTIFS($A$2:$A$500,A58,$C$2:$C$500,C58,$E$2:$E$500,"&lt;&gt;"))</f>
        <v/>
      </c>
      <c r="K58" s="13">
        <f>IF(A58="","",IF(B58="","CEK id_fixture tidak ada di DAFTAR_FIXTURE",IF(I58="zona tidak ada di layout","CEK zona_no / jenis_fixture",IF(D58&lt;&gt;I58,"CEK jenis_zona",IF(E58="","Zona kosong",IF(F58="","CEK nama kosong","OK"))))))</f>
        <v/>
      </c>
    </row>
    <row r="59">
      <c r="A59" s="9" t="inlineStr">
        <is>
          <t>GND-02</t>
        </is>
      </c>
      <c r="B59" s="10">
        <f>IF(A59="","",IFERROR(INDEX(DAFTAR_FIXTURE!$B$2:$B$51,MATCH(A59,DAFTAR_FIXTURE!$A$2:$A$51,0)),""))</f>
        <v/>
      </c>
      <c r="C59" s="11" t="n">
        <v>2</v>
      </c>
      <c r="D59" s="11" t="inlineStr">
        <is>
          <t>Gantungan</t>
        </is>
      </c>
      <c r="E59" s="12" t="inlineStr">
        <is>
          <t>10198156</t>
        </is>
      </c>
      <c r="F59" s="9" t="inlineStr">
        <is>
          <t>TANTA NYLON SLOTTED TURNER M</t>
        </is>
      </c>
      <c r="G59" s="11" t="inlineStr">
        <is>
          <t>gantung</t>
        </is>
      </c>
      <c r="H59" s="10">
        <f>IF(E59="","","https://cdn.ruparupa.io/fit-in/850x850/ruparupa-com/image/upload/Products/"&amp;E59&amp;"_1.jpg")</f>
        <v/>
      </c>
      <c r="I59" s="10">
        <f>IF(OR(B59="",C59=""),"",IFERROR(INDEX(LAYOUT!$D$2:$D$34,MATCH(B59&amp;"|"&amp;C59,LAYOUT!$E$2:$E$34,0)),"zona tidak ada di layout"))</f>
        <v/>
      </c>
      <c r="J59" s="13">
        <f>IF(OR(A59="",E59=""),"",COUNTIFS($A$2:$A$500,A59,$C$2:$C$500,C59,$E$2:$E$500,"&lt;&gt;"))</f>
        <v/>
      </c>
      <c r="K59" s="13">
        <f>IF(A59="","",IF(B59="","CEK id_fixture tidak ada di DAFTAR_FIXTURE",IF(I59="zona tidak ada di layout","CEK zona_no / jenis_fixture",IF(D59&lt;&gt;I59,"CEK jenis_zona",IF(E59="","Zona kosong",IF(F59="","CEK nama kosong","OK"))))))</f>
        <v/>
      </c>
    </row>
    <row r="60">
      <c r="A60" s="9" t="inlineStr">
        <is>
          <t>GND-02</t>
        </is>
      </c>
      <c r="B60" s="10">
        <f>IF(A60="","",IFERROR(INDEX(DAFTAR_FIXTURE!$B$2:$B$51,MATCH(A60,DAFTAR_FIXTURE!$A$2:$A$51,0)),""))</f>
        <v/>
      </c>
      <c r="C60" s="11" t="n">
        <v>2</v>
      </c>
      <c r="D60" s="11" t="inlineStr">
        <is>
          <t>Gantungan</t>
        </is>
      </c>
      <c r="E60" s="12" t="inlineStr">
        <is>
          <t>10198157</t>
        </is>
      </c>
      <c r="F60" s="9" t="inlineStr">
        <is>
          <t>TANTA NYLON SOLID TURNER L</t>
        </is>
      </c>
      <c r="G60" s="11" t="inlineStr">
        <is>
          <t>gantung</t>
        </is>
      </c>
      <c r="H60" s="10">
        <f>IF(E60="","","https://cdn.ruparupa.io/fit-in/850x850/ruparupa-com/image/upload/Products/"&amp;E60&amp;"_1.jpg")</f>
        <v/>
      </c>
      <c r="I60" s="10">
        <f>IF(OR(B60="",C60=""),"",IFERROR(INDEX(LAYOUT!$D$2:$D$34,MATCH(B60&amp;"|"&amp;C60,LAYOUT!$E$2:$E$34,0)),"zona tidak ada di layout"))</f>
        <v/>
      </c>
      <c r="J60" s="13">
        <f>IF(OR(A60="",E60=""),"",COUNTIFS($A$2:$A$500,A60,$C$2:$C$500,C60,$E$2:$E$500,"&lt;&gt;"))</f>
        <v/>
      </c>
      <c r="K60" s="13">
        <f>IF(A60="","",IF(B60="","CEK id_fixture tidak ada di DAFTAR_FIXTURE",IF(I60="zona tidak ada di layout","CEK zona_no / jenis_fixture",IF(D60&lt;&gt;I60,"CEK jenis_zona",IF(E60="","Zona kosong",IF(F60="","CEK nama kosong","OK"))))))</f>
        <v/>
      </c>
    </row>
    <row r="61">
      <c r="A61" s="9" t="inlineStr">
        <is>
          <t>GND-02</t>
        </is>
      </c>
      <c r="B61" s="10">
        <f>IF(A61="","",IFERROR(INDEX(DAFTAR_FIXTURE!$B$2:$B$51,MATCH(A61,DAFTAR_FIXTURE!$A$2:$A$51,0)),""))</f>
        <v/>
      </c>
      <c r="C61" s="11" t="n">
        <v>2</v>
      </c>
      <c r="D61" s="11" t="inlineStr">
        <is>
          <t>Gantungan</t>
        </is>
      </c>
      <c r="E61" s="12" t="inlineStr">
        <is>
          <t>10198159</t>
        </is>
      </c>
      <c r="F61" s="9" t="inlineStr">
        <is>
          <t>TANTA NYLON LADLE</t>
        </is>
      </c>
      <c r="G61" s="11" t="inlineStr">
        <is>
          <t>gantung</t>
        </is>
      </c>
      <c r="H61" s="10">
        <f>IF(E61="","","https://cdn.ruparupa.io/fit-in/850x850/ruparupa-com/image/upload/Products/"&amp;E61&amp;"_1.jpg")</f>
        <v/>
      </c>
      <c r="I61" s="10">
        <f>IF(OR(B61="",C61=""),"",IFERROR(INDEX(LAYOUT!$D$2:$D$34,MATCH(B61&amp;"|"&amp;C61,LAYOUT!$E$2:$E$34,0)),"zona tidak ada di layout"))</f>
        <v/>
      </c>
      <c r="J61" s="13">
        <f>IF(OR(A61="",E61=""),"",COUNTIFS($A$2:$A$500,A61,$C$2:$C$500,C61,$E$2:$E$500,"&lt;&gt;"))</f>
        <v/>
      </c>
      <c r="K61" s="13">
        <f>IF(A61="","",IF(B61="","CEK id_fixture tidak ada di DAFTAR_FIXTURE",IF(I61="zona tidak ada di layout","CEK zona_no / jenis_fixture",IF(D61&lt;&gt;I61,"CEK jenis_zona",IF(E61="","Zona kosong",IF(F61="","CEK nama kosong","OK"))))))</f>
        <v/>
      </c>
    </row>
    <row r="62">
      <c r="A62" s="9" t="inlineStr">
        <is>
          <t>GND-02</t>
        </is>
      </c>
      <c r="B62" s="10">
        <f>IF(A62="","",IFERROR(INDEX(DAFTAR_FIXTURE!$B$2:$B$51,MATCH(A62,DAFTAR_FIXTURE!$A$2:$A$51,0)),""))</f>
        <v/>
      </c>
      <c r="C62" s="11" t="n">
        <v>2</v>
      </c>
      <c r="D62" s="11" t="inlineStr">
        <is>
          <t>Gantungan</t>
        </is>
      </c>
      <c r="E62" s="12" t="inlineStr">
        <is>
          <t>10198160</t>
        </is>
      </c>
      <c r="F62" s="9" t="inlineStr">
        <is>
          <t>TANTA NYLON WHISK</t>
        </is>
      </c>
      <c r="G62" s="11" t="inlineStr">
        <is>
          <t>gantung</t>
        </is>
      </c>
      <c r="H62" s="10">
        <f>IF(E62="","","https://cdn.ruparupa.io/fit-in/850x850/ruparupa-com/image/upload/Products/"&amp;E62&amp;"_1.jpg")</f>
        <v/>
      </c>
      <c r="I62" s="10">
        <f>IF(OR(B62="",C62=""),"",IFERROR(INDEX(LAYOUT!$D$2:$D$34,MATCH(B62&amp;"|"&amp;C62,LAYOUT!$E$2:$E$34,0)),"zona tidak ada di layout"))</f>
        <v/>
      </c>
      <c r="J62" s="13">
        <f>IF(OR(A62="",E62=""),"",COUNTIFS($A$2:$A$500,A62,$C$2:$C$500,C62,$E$2:$E$500,"&lt;&gt;"))</f>
        <v/>
      </c>
      <c r="K62" s="13">
        <f>IF(A62="","",IF(B62="","CEK id_fixture tidak ada di DAFTAR_FIXTURE",IF(I62="zona tidak ada di layout","CEK zona_no / jenis_fixture",IF(D62&lt;&gt;I62,"CEK jenis_zona",IF(E62="","Zona kosong",IF(F62="","CEK nama kosong","OK"))))))</f>
        <v/>
      </c>
    </row>
    <row r="63">
      <c r="A63" s="9" t="inlineStr">
        <is>
          <t>GND-02</t>
        </is>
      </c>
      <c r="B63" s="10">
        <f>IF(A63="","",IFERROR(INDEX(DAFTAR_FIXTURE!$B$2:$B$51,MATCH(A63,DAFTAR_FIXTURE!$A$2:$A$51,0)),""))</f>
        <v/>
      </c>
      <c r="C63" s="11" t="n">
        <v>3</v>
      </c>
      <c r="D63" s="11" t="inlineStr">
        <is>
          <t>Gantungan</t>
        </is>
      </c>
      <c r="E63" s="12" t="inlineStr">
        <is>
          <t>10198149</t>
        </is>
      </c>
      <c r="F63" s="9" t="inlineStr">
        <is>
          <t>TANTA STRAINER DIA 10CM</t>
        </is>
      </c>
      <c r="G63" s="11" t="inlineStr">
        <is>
          <t>gantung</t>
        </is>
      </c>
      <c r="H63" s="10">
        <f>IF(E63="","","https://cdn.ruparupa.io/fit-in/850x850/ruparupa-com/image/upload/Products/"&amp;E63&amp;"_1.jpg")</f>
        <v/>
      </c>
      <c r="I63" s="10">
        <f>IF(OR(B63="",C63=""),"",IFERROR(INDEX(LAYOUT!$D$2:$D$34,MATCH(B63&amp;"|"&amp;C63,LAYOUT!$E$2:$E$34,0)),"zona tidak ada di layout"))</f>
        <v/>
      </c>
      <c r="J63" s="13">
        <f>IF(OR(A63="",E63=""),"",COUNTIFS($A$2:$A$500,A63,$C$2:$C$500,C63,$E$2:$E$500,"&lt;&gt;"))</f>
        <v/>
      </c>
      <c r="K63" s="13">
        <f>IF(A63="","",IF(B63="","CEK id_fixture tidak ada di DAFTAR_FIXTURE",IF(I63="zona tidak ada di layout","CEK zona_no / jenis_fixture",IF(D63&lt;&gt;I63,"CEK jenis_zona",IF(E63="","Zona kosong",IF(F63="","CEK nama kosong","OK"))))))</f>
        <v/>
      </c>
    </row>
    <row r="64">
      <c r="A64" s="9" t="inlineStr">
        <is>
          <t>GND-02</t>
        </is>
      </c>
      <c r="B64" s="10">
        <f>IF(A64="","",IFERROR(INDEX(DAFTAR_FIXTURE!$B$2:$B$51,MATCH(A64,DAFTAR_FIXTURE!$A$2:$A$51,0)),""))</f>
        <v/>
      </c>
      <c r="C64" s="11" t="n">
        <v>3</v>
      </c>
      <c r="D64" s="11" t="inlineStr">
        <is>
          <t>Gantungan</t>
        </is>
      </c>
      <c r="E64" s="12" t="inlineStr">
        <is>
          <t>10198150</t>
        </is>
      </c>
      <c r="F64" s="9" t="inlineStr">
        <is>
          <t>TANTA NYLON TONGS 9 INCH</t>
        </is>
      </c>
      <c r="G64" s="11" t="inlineStr">
        <is>
          <t>gantung</t>
        </is>
      </c>
      <c r="H64" s="10">
        <f>IF(E64="","","https://cdn.ruparupa.io/fit-in/850x850/ruparupa-com/image/upload/Products/"&amp;E64&amp;"_1.jpg")</f>
        <v/>
      </c>
      <c r="I64" s="10">
        <f>IF(OR(B64="",C64=""),"",IFERROR(INDEX(LAYOUT!$D$2:$D$34,MATCH(B64&amp;"|"&amp;C64,LAYOUT!$E$2:$E$34,0)),"zona tidak ada di layout"))</f>
        <v/>
      </c>
      <c r="J64" s="13">
        <f>IF(OR(A64="",E64=""),"",COUNTIFS($A$2:$A$500,A64,$C$2:$C$500,C64,$E$2:$E$500,"&lt;&gt;"))</f>
        <v/>
      </c>
      <c r="K64" s="13">
        <f>IF(A64="","",IF(B64="","CEK id_fixture tidak ada di DAFTAR_FIXTURE",IF(I64="zona tidak ada di layout","CEK zona_no / jenis_fixture",IF(D64&lt;&gt;I64,"CEK jenis_zona",IF(E64="","Zona kosong",IF(F64="","CEK nama kosong","OK"))))))</f>
        <v/>
      </c>
    </row>
    <row r="65">
      <c r="A65" s="9" t="inlineStr">
        <is>
          <t>GND-02</t>
        </is>
      </c>
      <c r="B65" s="10">
        <f>IF(A65="","",IFERROR(INDEX(DAFTAR_FIXTURE!$B$2:$B$51,MATCH(A65,DAFTAR_FIXTURE!$A$2:$A$51,0)),""))</f>
        <v/>
      </c>
      <c r="C65" s="11" t="n">
        <v>3</v>
      </c>
      <c r="D65" s="11" t="inlineStr">
        <is>
          <t>Gantungan</t>
        </is>
      </c>
      <c r="E65" s="12" t="inlineStr">
        <is>
          <t>10198151</t>
        </is>
      </c>
      <c r="F65" s="9" t="inlineStr">
        <is>
          <t>TANTA NYLON TONGS 12 INCH</t>
        </is>
      </c>
      <c r="G65" s="11" t="inlineStr">
        <is>
          <t>gantung</t>
        </is>
      </c>
      <c r="H65" s="10">
        <f>IF(E65="","","https://cdn.ruparupa.io/fit-in/850x850/ruparupa-com/image/upload/Products/"&amp;E65&amp;"_1.jpg")</f>
        <v/>
      </c>
      <c r="I65" s="10">
        <f>IF(OR(B65="",C65=""),"",IFERROR(INDEX(LAYOUT!$D$2:$D$34,MATCH(B65&amp;"|"&amp;C65,LAYOUT!$E$2:$E$34,0)),"zona tidak ada di layout"))</f>
        <v/>
      </c>
      <c r="J65" s="13">
        <f>IF(OR(A65="",E65=""),"",COUNTIFS($A$2:$A$500,A65,$C$2:$C$500,C65,$E$2:$E$500,"&lt;&gt;"))</f>
        <v/>
      </c>
      <c r="K65" s="13">
        <f>IF(A65="","",IF(B65="","CEK id_fixture tidak ada di DAFTAR_FIXTURE",IF(I65="zona tidak ada di layout","CEK zona_no / jenis_fixture",IF(D65&lt;&gt;I65,"CEK jenis_zona",IF(E65="","Zona kosong",IF(F65="","CEK nama kosong","OK"))))))</f>
        <v/>
      </c>
    </row>
    <row r="66">
      <c r="A66" s="9" t="inlineStr">
        <is>
          <t>GND-02</t>
        </is>
      </c>
      <c r="B66" s="10">
        <f>IF(A66="","",IFERROR(INDEX(DAFTAR_FIXTURE!$B$2:$B$51,MATCH(A66,DAFTAR_FIXTURE!$A$2:$A$51,0)),""))</f>
        <v/>
      </c>
      <c r="C66" s="11" t="n">
        <v>3</v>
      </c>
      <c r="D66" s="11" t="inlineStr">
        <is>
          <t>Gantungan</t>
        </is>
      </c>
      <c r="E66" s="12" t="inlineStr">
        <is>
          <t>10198152</t>
        </is>
      </c>
      <c r="F66" s="9" t="inlineStr">
        <is>
          <t>TANTA S/S SOLID TURNER M</t>
        </is>
      </c>
      <c r="G66" s="11" t="inlineStr">
        <is>
          <t>gantung</t>
        </is>
      </c>
      <c r="H66" s="10">
        <f>IF(E66="","","https://cdn.ruparupa.io/fit-in/850x850/ruparupa-com/image/upload/Products/"&amp;E66&amp;"_1.jpg")</f>
        <v/>
      </c>
      <c r="I66" s="10">
        <f>IF(OR(B66="",C66=""),"",IFERROR(INDEX(LAYOUT!$D$2:$D$34,MATCH(B66&amp;"|"&amp;C66,LAYOUT!$E$2:$E$34,0)),"zona tidak ada di layout"))</f>
        <v/>
      </c>
      <c r="J66" s="13">
        <f>IF(OR(A66="",E66=""),"",COUNTIFS($A$2:$A$500,A66,$C$2:$C$500,C66,$E$2:$E$500,"&lt;&gt;"))</f>
        <v/>
      </c>
      <c r="K66" s="13">
        <f>IF(A66="","",IF(B66="","CEK id_fixture tidak ada di DAFTAR_FIXTURE",IF(I66="zona tidak ada di layout","CEK zona_no / jenis_fixture",IF(D66&lt;&gt;I66,"CEK jenis_zona",IF(E66="","Zona kosong",IF(F66="","CEK nama kosong","OK"))))))</f>
        <v/>
      </c>
    </row>
    <row r="67">
      <c r="A67" s="9" t="inlineStr">
        <is>
          <t>GND-02</t>
        </is>
      </c>
      <c r="B67" s="10">
        <f>IF(A67="","",IFERROR(INDEX(DAFTAR_FIXTURE!$B$2:$B$51,MATCH(A67,DAFTAR_FIXTURE!$A$2:$A$51,0)),""))</f>
        <v/>
      </c>
      <c r="C67" s="11" t="n">
        <v>3</v>
      </c>
      <c r="D67" s="11" t="inlineStr">
        <is>
          <t>Gantungan</t>
        </is>
      </c>
      <c r="E67" s="12" t="inlineStr">
        <is>
          <t>10198154</t>
        </is>
      </c>
      <c r="F67" s="9" t="inlineStr">
        <is>
          <t>TANTA S/S LADLE</t>
        </is>
      </c>
      <c r="G67" s="11" t="inlineStr">
        <is>
          <t>gantung</t>
        </is>
      </c>
      <c r="H67" s="10">
        <f>IF(E67="","","https://cdn.ruparupa.io/fit-in/850x850/ruparupa-com/image/upload/Products/"&amp;E67&amp;"_1.jpg")</f>
        <v/>
      </c>
      <c r="I67" s="10">
        <f>IF(OR(B67="",C67=""),"",IFERROR(INDEX(LAYOUT!$D$2:$D$34,MATCH(B67&amp;"|"&amp;C67,LAYOUT!$E$2:$E$34,0)),"zona tidak ada di layout"))</f>
        <v/>
      </c>
      <c r="J67" s="13">
        <f>IF(OR(A67="",E67=""),"",COUNTIFS($A$2:$A$500,A67,$C$2:$C$500,C67,$E$2:$E$500,"&lt;&gt;"))</f>
        <v/>
      </c>
      <c r="K67" s="13">
        <f>IF(A67="","",IF(B67="","CEK id_fixture tidak ada di DAFTAR_FIXTURE",IF(I67="zona tidak ada di layout","CEK zona_no / jenis_fixture",IF(D67&lt;&gt;I67,"CEK jenis_zona",IF(E67="","Zona kosong",IF(F67="","CEK nama kosong","OK"))))))</f>
        <v/>
      </c>
    </row>
    <row r="68">
      <c r="A68" s="9" t="inlineStr">
        <is>
          <t>GND-02</t>
        </is>
      </c>
      <c r="B68" s="10">
        <f>IF(A68="","",IFERROR(INDEX(DAFTAR_FIXTURE!$B$2:$B$51,MATCH(A68,DAFTAR_FIXTURE!$A$2:$A$51,0)),""))</f>
        <v/>
      </c>
      <c r="C68" s="11" t="n">
        <v>3</v>
      </c>
      <c r="D68" s="11" t="inlineStr">
        <is>
          <t>Gantungan</t>
        </is>
      </c>
      <c r="E68" s="12" t="inlineStr">
        <is>
          <t>10198156</t>
        </is>
      </c>
      <c r="F68" s="9" t="inlineStr">
        <is>
          <t>TANTA NYLON SLOTTED TURNER M</t>
        </is>
      </c>
      <c r="G68" s="11" t="inlineStr">
        <is>
          <t>gantung</t>
        </is>
      </c>
      <c r="H68" s="10">
        <f>IF(E68="","","https://cdn.ruparupa.io/fit-in/850x850/ruparupa-com/image/upload/Products/"&amp;E68&amp;"_1.jpg")</f>
        <v/>
      </c>
      <c r="I68" s="10">
        <f>IF(OR(B68="",C68=""),"",IFERROR(INDEX(LAYOUT!$D$2:$D$34,MATCH(B68&amp;"|"&amp;C68,LAYOUT!$E$2:$E$34,0)),"zona tidak ada di layout"))</f>
        <v/>
      </c>
      <c r="J68" s="13">
        <f>IF(OR(A68="",E68=""),"",COUNTIFS($A$2:$A$500,A68,$C$2:$C$500,C68,$E$2:$E$500,"&lt;&gt;"))</f>
        <v/>
      </c>
      <c r="K68" s="13">
        <f>IF(A68="","",IF(B68="","CEK id_fixture tidak ada di DAFTAR_FIXTURE",IF(I68="zona tidak ada di layout","CEK zona_no / jenis_fixture",IF(D68&lt;&gt;I68,"CEK jenis_zona",IF(E68="","Zona kosong",IF(F68="","CEK nama kosong","OK"))))))</f>
        <v/>
      </c>
    </row>
    <row r="69">
      <c r="A69" s="9" t="inlineStr">
        <is>
          <t>GND-02</t>
        </is>
      </c>
      <c r="B69" s="10">
        <f>IF(A69="","",IFERROR(INDEX(DAFTAR_FIXTURE!$B$2:$B$51,MATCH(A69,DAFTAR_FIXTURE!$A$2:$A$51,0)),""))</f>
        <v/>
      </c>
      <c r="C69" s="11" t="n">
        <v>3</v>
      </c>
      <c r="D69" s="11" t="inlineStr">
        <is>
          <t>Gantungan</t>
        </is>
      </c>
      <c r="E69" s="12" t="inlineStr">
        <is>
          <t>10198157</t>
        </is>
      </c>
      <c r="F69" s="9" t="inlineStr">
        <is>
          <t>TANTA NYLON SOLID TURNER L</t>
        </is>
      </c>
      <c r="G69" s="11" t="inlineStr">
        <is>
          <t>gantung</t>
        </is>
      </c>
      <c r="H69" s="10">
        <f>IF(E69="","","https://cdn.ruparupa.io/fit-in/850x850/ruparupa-com/image/upload/Products/"&amp;E69&amp;"_1.jpg")</f>
        <v/>
      </c>
      <c r="I69" s="10">
        <f>IF(OR(B69="",C69=""),"",IFERROR(INDEX(LAYOUT!$D$2:$D$34,MATCH(B69&amp;"|"&amp;C69,LAYOUT!$E$2:$E$34,0)),"zona tidak ada di layout"))</f>
        <v/>
      </c>
      <c r="J69" s="13">
        <f>IF(OR(A69="",E69=""),"",COUNTIFS($A$2:$A$500,A69,$C$2:$C$500,C69,$E$2:$E$500,"&lt;&gt;"))</f>
        <v/>
      </c>
      <c r="K69" s="13">
        <f>IF(A69="","",IF(B69="","CEK id_fixture tidak ada di DAFTAR_FIXTURE",IF(I69="zona tidak ada di layout","CEK zona_no / jenis_fixture",IF(D69&lt;&gt;I69,"CEK jenis_zona",IF(E69="","Zona kosong",IF(F69="","CEK nama kosong","OK"))))))</f>
        <v/>
      </c>
    </row>
    <row r="70">
      <c r="A70" s="9" t="inlineStr">
        <is>
          <t>GND-02</t>
        </is>
      </c>
      <c r="B70" s="10">
        <f>IF(A70="","",IFERROR(INDEX(DAFTAR_FIXTURE!$B$2:$B$51,MATCH(A70,DAFTAR_FIXTURE!$A$2:$A$51,0)),""))</f>
        <v/>
      </c>
      <c r="C70" s="11" t="n">
        <v>3</v>
      </c>
      <c r="D70" s="11" t="inlineStr">
        <is>
          <t>Gantungan</t>
        </is>
      </c>
      <c r="E70" s="12" t="inlineStr">
        <is>
          <t>10198159</t>
        </is>
      </c>
      <c r="F70" s="9" t="inlineStr">
        <is>
          <t>TANTA NYLON LADLE</t>
        </is>
      </c>
      <c r="G70" s="11" t="inlineStr">
        <is>
          <t>gantung</t>
        </is>
      </c>
      <c r="H70" s="10">
        <f>IF(E70="","","https://cdn.ruparupa.io/fit-in/850x850/ruparupa-com/image/upload/Products/"&amp;E70&amp;"_1.jpg")</f>
        <v/>
      </c>
      <c r="I70" s="10">
        <f>IF(OR(B70="",C70=""),"",IFERROR(INDEX(LAYOUT!$D$2:$D$34,MATCH(B70&amp;"|"&amp;C70,LAYOUT!$E$2:$E$34,0)),"zona tidak ada di layout"))</f>
        <v/>
      </c>
      <c r="J70" s="13">
        <f>IF(OR(A70="",E70=""),"",COUNTIFS($A$2:$A$500,A70,$C$2:$C$500,C70,$E$2:$E$500,"&lt;&gt;"))</f>
        <v/>
      </c>
      <c r="K70" s="13">
        <f>IF(A70="","",IF(B70="","CEK id_fixture tidak ada di DAFTAR_FIXTURE",IF(I70="zona tidak ada di layout","CEK zona_no / jenis_fixture",IF(D70&lt;&gt;I70,"CEK jenis_zona",IF(E70="","Zona kosong",IF(F70="","CEK nama kosong","OK"))))))</f>
        <v/>
      </c>
    </row>
    <row r="71">
      <c r="A71" s="9" t="inlineStr">
        <is>
          <t>GND-02</t>
        </is>
      </c>
      <c r="B71" s="10">
        <f>IF(A71="","",IFERROR(INDEX(DAFTAR_FIXTURE!$B$2:$B$51,MATCH(A71,DAFTAR_FIXTURE!$A$2:$A$51,0)),""))</f>
        <v/>
      </c>
      <c r="C71" s="11" t="n">
        <v>3</v>
      </c>
      <c r="D71" s="11" t="inlineStr">
        <is>
          <t>Gantungan</t>
        </is>
      </c>
      <c r="E71" s="12" t="inlineStr">
        <is>
          <t>10198160</t>
        </is>
      </c>
      <c r="F71" s="9" t="inlineStr">
        <is>
          <t>TANTA NYLON WHISK</t>
        </is>
      </c>
      <c r="G71" s="11" t="inlineStr">
        <is>
          <t>gantung</t>
        </is>
      </c>
      <c r="H71" s="10">
        <f>IF(E71="","","https://cdn.ruparupa.io/fit-in/850x850/ruparupa-com/image/upload/Products/"&amp;E71&amp;"_1.jpg")</f>
        <v/>
      </c>
      <c r="I71" s="10">
        <f>IF(OR(B71="",C71=""),"",IFERROR(INDEX(LAYOUT!$D$2:$D$34,MATCH(B71&amp;"|"&amp;C71,LAYOUT!$E$2:$E$34,0)),"zona tidak ada di layout"))</f>
        <v/>
      </c>
      <c r="J71" s="13">
        <f>IF(OR(A71="",E71=""),"",COUNTIFS($A$2:$A$500,A71,$C$2:$C$500,C71,$E$2:$E$500,"&lt;&gt;"))</f>
        <v/>
      </c>
      <c r="K71" s="13">
        <f>IF(A71="","",IF(B71="","CEK id_fixture tidak ada di DAFTAR_FIXTURE",IF(I71="zona tidak ada di layout","CEK zona_no / jenis_fixture",IF(D71&lt;&gt;I71,"CEK jenis_zona",IF(E71="","Zona kosong",IF(F71="","CEK nama kosong","OK"))))))</f>
        <v/>
      </c>
    </row>
    <row r="72">
      <c r="A72" s="9" t="inlineStr">
        <is>
          <t>GND-02</t>
        </is>
      </c>
      <c r="B72" s="10">
        <f>IF(A72="","",IFERROR(INDEX(DAFTAR_FIXTURE!$B$2:$B$51,MATCH(A72,DAFTAR_FIXTURE!$A$2:$A$51,0)),""))</f>
        <v/>
      </c>
      <c r="C72" s="11" t="n">
        <v>4</v>
      </c>
      <c r="D72" s="11" t="inlineStr">
        <is>
          <t>Gantungan</t>
        </is>
      </c>
      <c r="E72" s="12" t="inlineStr">
        <is>
          <t>10198149</t>
        </is>
      </c>
      <c r="F72" s="9" t="inlineStr">
        <is>
          <t>TANTA STRAINER DIA 10CM</t>
        </is>
      </c>
      <c r="G72" s="11" t="inlineStr">
        <is>
          <t>gantung</t>
        </is>
      </c>
      <c r="H72" s="10">
        <f>IF(E72="","","https://cdn.ruparupa.io/fit-in/850x850/ruparupa-com/image/upload/Products/"&amp;E72&amp;"_1.jpg")</f>
        <v/>
      </c>
      <c r="I72" s="10">
        <f>IF(OR(B72="",C72=""),"",IFERROR(INDEX(LAYOUT!$D$2:$D$34,MATCH(B72&amp;"|"&amp;C72,LAYOUT!$E$2:$E$34,0)),"zona tidak ada di layout"))</f>
        <v/>
      </c>
      <c r="J72" s="13">
        <f>IF(OR(A72="",E72=""),"",COUNTIFS($A$2:$A$500,A72,$C$2:$C$500,C72,$E$2:$E$500,"&lt;&gt;"))</f>
        <v/>
      </c>
      <c r="K72" s="13">
        <f>IF(A72="","",IF(B72="","CEK id_fixture tidak ada di DAFTAR_FIXTURE",IF(I72="zona tidak ada di layout","CEK zona_no / jenis_fixture",IF(D72&lt;&gt;I72,"CEK jenis_zona",IF(E72="","Zona kosong",IF(F72="","CEK nama kosong","OK"))))))</f>
        <v/>
      </c>
    </row>
    <row r="73">
      <c r="A73" s="9" t="inlineStr">
        <is>
          <t>GND-02</t>
        </is>
      </c>
      <c r="B73" s="10">
        <f>IF(A73="","",IFERROR(INDEX(DAFTAR_FIXTURE!$B$2:$B$51,MATCH(A73,DAFTAR_FIXTURE!$A$2:$A$51,0)),""))</f>
        <v/>
      </c>
      <c r="C73" s="11" t="n">
        <v>4</v>
      </c>
      <c r="D73" s="11" t="inlineStr">
        <is>
          <t>Gantungan</t>
        </is>
      </c>
      <c r="E73" s="12" t="inlineStr">
        <is>
          <t>10198150</t>
        </is>
      </c>
      <c r="F73" s="9" t="inlineStr">
        <is>
          <t>TANTA NYLON TONGS 9 INCH</t>
        </is>
      </c>
      <c r="G73" s="11" t="inlineStr">
        <is>
          <t>gantung</t>
        </is>
      </c>
      <c r="H73" s="10">
        <f>IF(E73="","","https://cdn.ruparupa.io/fit-in/850x850/ruparupa-com/image/upload/Products/"&amp;E73&amp;"_1.jpg")</f>
        <v/>
      </c>
      <c r="I73" s="10">
        <f>IF(OR(B73="",C73=""),"",IFERROR(INDEX(LAYOUT!$D$2:$D$34,MATCH(B73&amp;"|"&amp;C73,LAYOUT!$E$2:$E$34,0)),"zona tidak ada di layout"))</f>
        <v/>
      </c>
      <c r="J73" s="13">
        <f>IF(OR(A73="",E73=""),"",COUNTIFS($A$2:$A$500,A73,$C$2:$C$500,C73,$E$2:$E$500,"&lt;&gt;"))</f>
        <v/>
      </c>
      <c r="K73" s="13">
        <f>IF(A73="","",IF(B73="","CEK id_fixture tidak ada di DAFTAR_FIXTURE",IF(I73="zona tidak ada di layout","CEK zona_no / jenis_fixture",IF(D73&lt;&gt;I73,"CEK jenis_zona",IF(E73="","Zona kosong",IF(F73="","CEK nama kosong","OK"))))))</f>
        <v/>
      </c>
    </row>
    <row r="74">
      <c r="A74" s="9" t="inlineStr">
        <is>
          <t>GND-02</t>
        </is>
      </c>
      <c r="B74" s="10">
        <f>IF(A74="","",IFERROR(INDEX(DAFTAR_FIXTURE!$B$2:$B$51,MATCH(A74,DAFTAR_FIXTURE!$A$2:$A$51,0)),""))</f>
        <v/>
      </c>
      <c r="C74" s="11" t="n">
        <v>4</v>
      </c>
      <c r="D74" s="11" t="inlineStr">
        <is>
          <t>Gantungan</t>
        </is>
      </c>
      <c r="E74" s="12" t="inlineStr">
        <is>
          <t>10198151</t>
        </is>
      </c>
      <c r="F74" s="9" t="inlineStr">
        <is>
          <t>TANTA NYLON TONGS 12 INCH</t>
        </is>
      </c>
      <c r="G74" s="11" t="inlineStr">
        <is>
          <t>gantung</t>
        </is>
      </c>
      <c r="H74" s="10">
        <f>IF(E74="","","https://cdn.ruparupa.io/fit-in/850x850/ruparupa-com/image/upload/Products/"&amp;E74&amp;"_1.jpg")</f>
        <v/>
      </c>
      <c r="I74" s="10">
        <f>IF(OR(B74="",C74=""),"",IFERROR(INDEX(LAYOUT!$D$2:$D$34,MATCH(B74&amp;"|"&amp;C74,LAYOUT!$E$2:$E$34,0)),"zona tidak ada di layout"))</f>
        <v/>
      </c>
      <c r="J74" s="13">
        <f>IF(OR(A74="",E74=""),"",COUNTIFS($A$2:$A$500,A74,$C$2:$C$500,C74,$E$2:$E$500,"&lt;&gt;"))</f>
        <v/>
      </c>
      <c r="K74" s="13">
        <f>IF(A74="","",IF(B74="","CEK id_fixture tidak ada di DAFTAR_FIXTURE",IF(I74="zona tidak ada di layout","CEK zona_no / jenis_fixture",IF(D74&lt;&gt;I74,"CEK jenis_zona",IF(E74="","Zona kosong",IF(F74="","CEK nama kosong","OK"))))))</f>
        <v/>
      </c>
    </row>
    <row r="75">
      <c r="A75" s="9" t="inlineStr">
        <is>
          <t>GND-02</t>
        </is>
      </c>
      <c r="B75" s="10">
        <f>IF(A75="","",IFERROR(INDEX(DAFTAR_FIXTURE!$B$2:$B$51,MATCH(A75,DAFTAR_FIXTURE!$A$2:$A$51,0)),""))</f>
        <v/>
      </c>
      <c r="C75" s="11" t="n">
        <v>4</v>
      </c>
      <c r="D75" s="11" t="inlineStr">
        <is>
          <t>Gantungan</t>
        </is>
      </c>
      <c r="E75" s="12" t="inlineStr">
        <is>
          <t>10198152</t>
        </is>
      </c>
      <c r="F75" s="9" t="inlineStr">
        <is>
          <t>TANTA S/S SOLID TURNER M</t>
        </is>
      </c>
      <c r="G75" s="11" t="inlineStr">
        <is>
          <t>gantung</t>
        </is>
      </c>
      <c r="H75" s="10">
        <f>IF(E75="","","https://cdn.ruparupa.io/fit-in/850x850/ruparupa-com/image/upload/Products/"&amp;E75&amp;"_1.jpg")</f>
        <v/>
      </c>
      <c r="I75" s="10">
        <f>IF(OR(B75="",C75=""),"",IFERROR(INDEX(LAYOUT!$D$2:$D$34,MATCH(B75&amp;"|"&amp;C75,LAYOUT!$E$2:$E$34,0)),"zona tidak ada di layout"))</f>
        <v/>
      </c>
      <c r="J75" s="13">
        <f>IF(OR(A75="",E75=""),"",COUNTIFS($A$2:$A$500,A75,$C$2:$C$500,C75,$E$2:$E$500,"&lt;&gt;"))</f>
        <v/>
      </c>
      <c r="K75" s="13">
        <f>IF(A75="","",IF(B75="","CEK id_fixture tidak ada di DAFTAR_FIXTURE",IF(I75="zona tidak ada di layout","CEK zona_no / jenis_fixture",IF(D75&lt;&gt;I75,"CEK jenis_zona",IF(E75="","Zona kosong",IF(F75="","CEK nama kosong","OK"))))))</f>
        <v/>
      </c>
    </row>
    <row r="76">
      <c r="A76" s="9" t="inlineStr">
        <is>
          <t>GND-02</t>
        </is>
      </c>
      <c r="B76" s="10">
        <f>IF(A76="","",IFERROR(INDEX(DAFTAR_FIXTURE!$B$2:$B$51,MATCH(A76,DAFTAR_FIXTURE!$A$2:$A$51,0)),""))</f>
        <v/>
      </c>
      <c r="C76" s="11" t="n">
        <v>4</v>
      </c>
      <c r="D76" s="11" t="inlineStr">
        <is>
          <t>Gantungan</t>
        </is>
      </c>
      <c r="E76" s="12" t="inlineStr">
        <is>
          <t>10198154</t>
        </is>
      </c>
      <c r="F76" s="9" t="inlineStr">
        <is>
          <t>TANTA S/S LADLE</t>
        </is>
      </c>
      <c r="G76" s="11" t="inlineStr">
        <is>
          <t>gantung</t>
        </is>
      </c>
      <c r="H76" s="10">
        <f>IF(E76="","","https://cdn.ruparupa.io/fit-in/850x850/ruparupa-com/image/upload/Products/"&amp;E76&amp;"_1.jpg")</f>
        <v/>
      </c>
      <c r="I76" s="10">
        <f>IF(OR(B76="",C76=""),"",IFERROR(INDEX(LAYOUT!$D$2:$D$34,MATCH(B76&amp;"|"&amp;C76,LAYOUT!$E$2:$E$34,0)),"zona tidak ada di layout"))</f>
        <v/>
      </c>
      <c r="J76" s="13">
        <f>IF(OR(A76="",E76=""),"",COUNTIFS($A$2:$A$500,A76,$C$2:$C$500,C76,$E$2:$E$500,"&lt;&gt;"))</f>
        <v/>
      </c>
      <c r="K76" s="13">
        <f>IF(A76="","",IF(B76="","CEK id_fixture tidak ada di DAFTAR_FIXTURE",IF(I76="zona tidak ada di layout","CEK zona_no / jenis_fixture",IF(D76&lt;&gt;I76,"CEK jenis_zona",IF(E76="","Zona kosong",IF(F76="","CEK nama kosong","OK"))))))</f>
        <v/>
      </c>
    </row>
    <row r="77">
      <c r="A77" s="9" t="inlineStr">
        <is>
          <t>GND-02</t>
        </is>
      </c>
      <c r="B77" s="10">
        <f>IF(A77="","",IFERROR(INDEX(DAFTAR_FIXTURE!$B$2:$B$51,MATCH(A77,DAFTAR_FIXTURE!$A$2:$A$51,0)),""))</f>
        <v/>
      </c>
      <c r="C77" s="11" t="n">
        <v>4</v>
      </c>
      <c r="D77" s="11" t="inlineStr">
        <is>
          <t>Gantungan</t>
        </is>
      </c>
      <c r="E77" s="12" t="inlineStr">
        <is>
          <t>10198156</t>
        </is>
      </c>
      <c r="F77" s="9" t="inlineStr">
        <is>
          <t>TANTA NYLON SLOTTED TURNER M</t>
        </is>
      </c>
      <c r="G77" s="11" t="inlineStr">
        <is>
          <t>gantung</t>
        </is>
      </c>
      <c r="H77" s="10">
        <f>IF(E77="","","https://cdn.ruparupa.io/fit-in/850x850/ruparupa-com/image/upload/Products/"&amp;E77&amp;"_1.jpg")</f>
        <v/>
      </c>
      <c r="I77" s="10">
        <f>IF(OR(B77="",C77=""),"",IFERROR(INDEX(LAYOUT!$D$2:$D$34,MATCH(B77&amp;"|"&amp;C77,LAYOUT!$E$2:$E$34,0)),"zona tidak ada di layout"))</f>
        <v/>
      </c>
      <c r="J77" s="13">
        <f>IF(OR(A77="",E77=""),"",COUNTIFS($A$2:$A$500,A77,$C$2:$C$500,C77,$E$2:$E$500,"&lt;&gt;"))</f>
        <v/>
      </c>
      <c r="K77" s="13">
        <f>IF(A77="","",IF(B77="","CEK id_fixture tidak ada di DAFTAR_FIXTURE",IF(I77="zona tidak ada di layout","CEK zona_no / jenis_fixture",IF(D77&lt;&gt;I77,"CEK jenis_zona",IF(E77="","Zona kosong",IF(F77="","CEK nama kosong","OK"))))))</f>
        <v/>
      </c>
    </row>
    <row r="78">
      <c r="A78" s="9" t="inlineStr">
        <is>
          <t>GND-02</t>
        </is>
      </c>
      <c r="B78" s="10">
        <f>IF(A78="","",IFERROR(INDEX(DAFTAR_FIXTURE!$B$2:$B$51,MATCH(A78,DAFTAR_FIXTURE!$A$2:$A$51,0)),""))</f>
        <v/>
      </c>
      <c r="C78" s="11" t="n">
        <v>4</v>
      </c>
      <c r="D78" s="11" t="inlineStr">
        <is>
          <t>Gantungan</t>
        </is>
      </c>
      <c r="E78" s="12" t="inlineStr">
        <is>
          <t>10198157</t>
        </is>
      </c>
      <c r="F78" s="9" t="inlineStr">
        <is>
          <t>TANTA NYLON SOLID TURNER L</t>
        </is>
      </c>
      <c r="G78" s="11" t="inlineStr">
        <is>
          <t>gantung</t>
        </is>
      </c>
      <c r="H78" s="10">
        <f>IF(E78="","","https://cdn.ruparupa.io/fit-in/850x850/ruparupa-com/image/upload/Products/"&amp;E78&amp;"_1.jpg")</f>
        <v/>
      </c>
      <c r="I78" s="10">
        <f>IF(OR(B78="",C78=""),"",IFERROR(INDEX(LAYOUT!$D$2:$D$34,MATCH(B78&amp;"|"&amp;C78,LAYOUT!$E$2:$E$34,0)),"zona tidak ada di layout"))</f>
        <v/>
      </c>
      <c r="J78" s="13">
        <f>IF(OR(A78="",E78=""),"",COUNTIFS($A$2:$A$500,A78,$C$2:$C$500,C78,$E$2:$E$500,"&lt;&gt;"))</f>
        <v/>
      </c>
      <c r="K78" s="13">
        <f>IF(A78="","",IF(B78="","CEK id_fixture tidak ada di DAFTAR_FIXTURE",IF(I78="zona tidak ada di layout","CEK zona_no / jenis_fixture",IF(D78&lt;&gt;I78,"CEK jenis_zona",IF(E78="","Zona kosong",IF(F78="","CEK nama kosong","OK"))))))</f>
        <v/>
      </c>
    </row>
    <row r="79">
      <c r="A79" s="9" t="inlineStr">
        <is>
          <t>GND-02</t>
        </is>
      </c>
      <c r="B79" s="10">
        <f>IF(A79="","",IFERROR(INDEX(DAFTAR_FIXTURE!$B$2:$B$51,MATCH(A79,DAFTAR_FIXTURE!$A$2:$A$51,0)),""))</f>
        <v/>
      </c>
      <c r="C79" s="11" t="n">
        <v>4</v>
      </c>
      <c r="D79" s="11" t="inlineStr">
        <is>
          <t>Gantungan</t>
        </is>
      </c>
      <c r="E79" s="12" t="inlineStr">
        <is>
          <t>10198159</t>
        </is>
      </c>
      <c r="F79" s="9" t="inlineStr">
        <is>
          <t>TANTA NYLON LADLE</t>
        </is>
      </c>
      <c r="G79" s="11" t="inlineStr">
        <is>
          <t>gantung</t>
        </is>
      </c>
      <c r="H79" s="10">
        <f>IF(E79="","","https://cdn.ruparupa.io/fit-in/850x850/ruparupa-com/image/upload/Products/"&amp;E79&amp;"_1.jpg")</f>
        <v/>
      </c>
      <c r="I79" s="10">
        <f>IF(OR(B79="",C79=""),"",IFERROR(INDEX(LAYOUT!$D$2:$D$34,MATCH(B79&amp;"|"&amp;C79,LAYOUT!$E$2:$E$34,0)),"zona tidak ada di layout"))</f>
        <v/>
      </c>
      <c r="J79" s="13">
        <f>IF(OR(A79="",E79=""),"",COUNTIFS($A$2:$A$500,A79,$C$2:$C$500,C79,$E$2:$E$500,"&lt;&gt;"))</f>
        <v/>
      </c>
      <c r="K79" s="13">
        <f>IF(A79="","",IF(B79="","CEK id_fixture tidak ada di DAFTAR_FIXTURE",IF(I79="zona tidak ada di layout","CEK zona_no / jenis_fixture",IF(D79&lt;&gt;I79,"CEK jenis_zona",IF(E79="","Zona kosong",IF(F79="","CEK nama kosong","OK"))))))</f>
        <v/>
      </c>
    </row>
    <row r="80">
      <c r="A80" s="9" t="inlineStr">
        <is>
          <t>GND-02</t>
        </is>
      </c>
      <c r="B80" s="10">
        <f>IF(A80="","",IFERROR(INDEX(DAFTAR_FIXTURE!$B$2:$B$51,MATCH(A80,DAFTAR_FIXTURE!$A$2:$A$51,0)),""))</f>
        <v/>
      </c>
      <c r="C80" s="11" t="n">
        <v>4</v>
      </c>
      <c r="D80" s="11" t="inlineStr">
        <is>
          <t>Gantungan</t>
        </is>
      </c>
      <c r="E80" s="12" t="inlineStr">
        <is>
          <t>10198160</t>
        </is>
      </c>
      <c r="F80" s="9" t="inlineStr">
        <is>
          <t>TANTA NYLON WHISK</t>
        </is>
      </c>
      <c r="G80" s="11" t="inlineStr">
        <is>
          <t>gantung</t>
        </is>
      </c>
      <c r="H80" s="10">
        <f>IF(E80="","","https://cdn.ruparupa.io/fit-in/850x850/ruparupa-com/image/upload/Products/"&amp;E80&amp;"_1.jpg")</f>
        <v/>
      </c>
      <c r="I80" s="10">
        <f>IF(OR(B80="",C80=""),"",IFERROR(INDEX(LAYOUT!$D$2:$D$34,MATCH(B80&amp;"|"&amp;C80,LAYOUT!$E$2:$E$34,0)),"zona tidak ada di layout"))</f>
        <v/>
      </c>
      <c r="J80" s="13">
        <f>IF(OR(A80="",E80=""),"",COUNTIFS($A$2:$A$500,A80,$C$2:$C$500,C80,$E$2:$E$500,"&lt;&gt;"))</f>
        <v/>
      </c>
      <c r="K80" s="13">
        <f>IF(A80="","",IF(B80="","CEK id_fixture tidak ada di DAFTAR_FIXTURE",IF(I80="zona tidak ada di layout","CEK zona_no / jenis_fixture",IF(D80&lt;&gt;I80,"CEK jenis_zona",IF(E80="","Zona kosong",IF(F80="","CEK nama kosong","OK"))))))</f>
        <v/>
      </c>
    </row>
    <row r="81">
      <c r="A81" s="9" t="inlineStr">
        <is>
          <t>GND-03</t>
        </is>
      </c>
      <c r="B81" s="10">
        <f>IF(A81="","",IFERROR(INDEX(DAFTAR_FIXTURE!$B$2:$B$51,MATCH(A81,DAFTAR_FIXTURE!$A$2:$A$51,0)),""))</f>
        <v/>
      </c>
      <c r="C81" s="11" t="n">
        <v>1</v>
      </c>
      <c r="D81" s="11" t="inlineStr">
        <is>
          <t>Gantungan</t>
        </is>
      </c>
      <c r="E81" s="12" t="inlineStr">
        <is>
          <t>10421603</t>
        </is>
      </c>
      <c r="F81" s="9" t="inlineStr">
        <is>
          <t>KINGSTON SAUCEPAN WITH LID 16CM GREEN</t>
        </is>
      </c>
      <c r="G81" s="11" t="inlineStr">
        <is>
          <t>gantung</t>
        </is>
      </c>
      <c r="H81" s="10">
        <f>IF(E81="","","https://cdn.ruparupa.io/fit-in/850x850/ruparupa-com/image/upload/Products/"&amp;E81&amp;"_1.jpg")</f>
        <v/>
      </c>
      <c r="I81" s="10">
        <f>IF(OR(B81="",C81=""),"",IFERROR(INDEX(LAYOUT!$D$2:$D$34,MATCH(B81&amp;"|"&amp;C81,LAYOUT!$E$2:$E$34,0)),"zona tidak ada di layout"))</f>
        <v/>
      </c>
      <c r="J81" s="13">
        <f>IF(OR(A81="",E81=""),"",COUNTIFS($A$2:$A$500,A81,$C$2:$C$500,C81,$E$2:$E$500,"&lt;&gt;"))</f>
        <v/>
      </c>
      <c r="K81" s="13">
        <f>IF(A81="","",IF(B81="","CEK id_fixture tidak ada di DAFTAR_FIXTURE",IF(I81="zona tidak ada di layout","CEK zona_no / jenis_fixture",IF(D81&lt;&gt;I81,"CEK jenis_zona",IF(E81="","Zona kosong",IF(F81="","CEK nama kosong","OK"))))))</f>
        <v/>
      </c>
    </row>
    <row r="82">
      <c r="A82" s="9" t="inlineStr">
        <is>
          <t>GND-03</t>
        </is>
      </c>
      <c r="B82" s="10">
        <f>IF(A82="","",IFERROR(INDEX(DAFTAR_FIXTURE!$B$2:$B$51,MATCH(A82,DAFTAR_FIXTURE!$A$2:$A$51,0)),""))</f>
        <v/>
      </c>
      <c r="C82" s="11" t="n">
        <v>1</v>
      </c>
      <c r="D82" s="11" t="inlineStr">
        <is>
          <t>Gantungan</t>
        </is>
      </c>
      <c r="E82" s="12" t="inlineStr">
        <is>
          <t>10421608</t>
        </is>
      </c>
      <c r="F82" s="9" t="inlineStr">
        <is>
          <t>KINGSTON CASSEROLE WITH LID 20 CM GREEN</t>
        </is>
      </c>
      <c r="G82" s="11" t="inlineStr">
        <is>
          <t>gantung</t>
        </is>
      </c>
      <c r="H82" s="10">
        <f>IF(E82="","","https://cdn.ruparupa.io/fit-in/850x850/ruparupa-com/image/upload/Products/"&amp;E82&amp;"_1.jpg")</f>
        <v/>
      </c>
      <c r="I82" s="10">
        <f>IF(OR(B82="",C82=""),"",IFERROR(INDEX(LAYOUT!$D$2:$D$34,MATCH(B82&amp;"|"&amp;C82,LAYOUT!$E$2:$E$34,0)),"zona tidak ada di layout"))</f>
        <v/>
      </c>
      <c r="J82" s="13">
        <f>IF(OR(A82="",E82=""),"",COUNTIFS($A$2:$A$500,A82,$C$2:$C$500,C82,$E$2:$E$500,"&lt;&gt;"))</f>
        <v/>
      </c>
      <c r="K82" s="13">
        <f>IF(A82="","",IF(B82="","CEK id_fixture tidak ada di DAFTAR_FIXTURE",IF(I82="zona tidak ada di layout","CEK zona_no / jenis_fixture",IF(D82&lt;&gt;I82,"CEK jenis_zona",IF(E82="","Zona kosong",IF(F82="","CEK nama kosong","OK"))))))</f>
        <v/>
      </c>
    </row>
    <row r="83">
      <c r="A83" s="9" t="inlineStr">
        <is>
          <t>GND-03</t>
        </is>
      </c>
      <c r="B83" s="10">
        <f>IF(A83="","",IFERROR(INDEX(DAFTAR_FIXTURE!$B$2:$B$51,MATCH(A83,DAFTAR_FIXTURE!$A$2:$A$51,0)),""))</f>
        <v/>
      </c>
      <c r="C83" s="11" t="n">
        <v>1</v>
      </c>
      <c r="D83" s="11" t="inlineStr">
        <is>
          <t>Gantungan</t>
        </is>
      </c>
      <c r="E83" s="12" t="inlineStr">
        <is>
          <t>10421610</t>
        </is>
      </c>
      <c r="F83" s="9" t="inlineStr">
        <is>
          <t>KINGSTON GRILL PAN 24CM GREEN</t>
        </is>
      </c>
      <c r="G83" s="11" t="inlineStr">
        <is>
          <t>gantung</t>
        </is>
      </c>
      <c r="H83" s="10">
        <f>IF(E83="","","https://cdn.ruparupa.io/fit-in/850x850/ruparupa-com/image/upload/Products/"&amp;E83&amp;"_1.jpg")</f>
        <v/>
      </c>
      <c r="I83" s="10">
        <f>IF(OR(B83="",C83=""),"",IFERROR(INDEX(LAYOUT!$D$2:$D$34,MATCH(B83&amp;"|"&amp;C83,LAYOUT!$E$2:$E$34,0)),"zona tidak ada di layout"))</f>
        <v/>
      </c>
      <c r="J83" s="13">
        <f>IF(OR(A83="",E83=""),"",COUNTIFS($A$2:$A$500,A83,$C$2:$C$500,C83,$E$2:$E$500,"&lt;&gt;"))</f>
        <v/>
      </c>
      <c r="K83" s="13">
        <f>IF(A83="","",IF(B83="","CEK id_fixture tidak ada di DAFTAR_FIXTURE",IF(I83="zona tidak ada di layout","CEK zona_no / jenis_fixture",IF(D83&lt;&gt;I83,"CEK jenis_zona",IF(E83="","Zona kosong",IF(F83="","CEK nama kosong","OK"))))))</f>
        <v/>
      </c>
    </row>
    <row r="84">
      <c r="A84" s="9" t="inlineStr">
        <is>
          <t>GND-03</t>
        </is>
      </c>
      <c r="B84" s="10">
        <f>IF(A84="","",IFERROR(INDEX(DAFTAR_FIXTURE!$B$2:$B$51,MATCH(A84,DAFTAR_FIXTURE!$A$2:$A$51,0)),""))</f>
        <v/>
      </c>
      <c r="C84" s="11" t="n">
        <v>1</v>
      </c>
      <c r="D84" s="11" t="inlineStr">
        <is>
          <t>Gantungan</t>
        </is>
      </c>
      <c r="E84" s="12" t="inlineStr">
        <is>
          <t>10421614</t>
        </is>
      </c>
      <c r="F84" s="9" t="inlineStr">
        <is>
          <t>KIRA WOK 2 HANDLE W LID AND UTENSIL BRN</t>
        </is>
      </c>
      <c r="G84" s="11" t="inlineStr">
        <is>
          <t>gantung</t>
        </is>
      </c>
      <c r="H84" s="10">
        <f>IF(E84="","","https://cdn.ruparupa.io/fit-in/850x850/ruparupa-com/image/upload/Products/"&amp;E84&amp;"_1.jpg")</f>
        <v/>
      </c>
      <c r="I84" s="10">
        <f>IF(OR(B84="",C84=""),"",IFERROR(INDEX(LAYOUT!$D$2:$D$34,MATCH(B84&amp;"|"&amp;C84,LAYOUT!$E$2:$E$34,0)),"zona tidak ada di layout"))</f>
        <v/>
      </c>
      <c r="J84" s="13">
        <f>IF(OR(A84="",E84=""),"",COUNTIFS($A$2:$A$500,A84,$C$2:$C$500,C84,$E$2:$E$500,"&lt;&gt;"))</f>
        <v/>
      </c>
      <c r="K84" s="13">
        <f>IF(A84="","",IF(B84="","CEK id_fixture tidak ada di DAFTAR_FIXTURE",IF(I84="zona tidak ada di layout","CEK zona_no / jenis_fixture",IF(D84&lt;&gt;I84,"CEK jenis_zona",IF(E84="","Zona kosong",IF(F84="","CEK nama kosong","OK"))))))</f>
        <v/>
      </c>
    </row>
    <row r="85">
      <c r="A85" s="9" t="inlineStr">
        <is>
          <t>GND-02</t>
        </is>
      </c>
      <c r="B85" s="10">
        <f>IF(A85="","",IFERROR(INDEX(DAFTAR_FIXTURE!$B$2:$B$51,MATCH(A85,DAFTAR_FIXTURE!$A$2:$A$51,0)),""))</f>
        <v/>
      </c>
      <c r="C85" s="11" t="n">
        <v>2</v>
      </c>
      <c r="D85" s="11" t="inlineStr">
        <is>
          <t>Gantungan</t>
        </is>
      </c>
      <c r="E85" s="12" t="inlineStr">
        <is>
          <t>10198149</t>
        </is>
      </c>
      <c r="F85" s="9" t="inlineStr">
        <is>
          <t>TANTA STRAINER DIA 10CM</t>
        </is>
      </c>
      <c r="G85" s="11" t="inlineStr">
        <is>
          <t>gantung</t>
        </is>
      </c>
      <c r="H85" s="10">
        <f>IF(E85="","","https://cdn.ruparupa.io/fit-in/850x850/ruparupa-com/image/upload/Products/"&amp;E85&amp;"_1.jpg")</f>
        <v/>
      </c>
      <c r="I85" s="10">
        <f>IF(OR(B85="",C85=""),"",IFERROR(INDEX(LAYOUT!$D$2:$D$34,MATCH(B85&amp;"|"&amp;C85,LAYOUT!$E$2:$E$34,0)),"zona tidak ada di layout"))</f>
        <v/>
      </c>
      <c r="J85" s="13">
        <f>IF(OR(A85="",E85=""),"",COUNTIFS($A$2:$A$500,A85,$C$2:$C$500,C85,$E$2:$E$500,"&lt;&gt;"))</f>
        <v/>
      </c>
      <c r="K85" s="13">
        <f>IF(A85="","",IF(B85="","CEK id_fixture tidak ada di DAFTAR_FIXTURE",IF(I85="zona tidak ada di layout","CEK zona_no / jenis_fixture",IF(D85&lt;&gt;I85,"CEK jenis_zona",IF(E85="","Zona kosong",IF(F85="","CEK nama kosong","OK"))))))</f>
        <v/>
      </c>
    </row>
    <row r="86">
      <c r="A86" s="9" t="inlineStr">
        <is>
          <t>GND-02</t>
        </is>
      </c>
      <c r="B86" s="10">
        <f>IF(A86="","",IFERROR(INDEX(DAFTAR_FIXTURE!$B$2:$B$51,MATCH(A86,DAFTAR_FIXTURE!$A$2:$A$51,0)),""))</f>
        <v/>
      </c>
      <c r="C86" s="11" t="n">
        <v>2</v>
      </c>
      <c r="D86" s="11" t="inlineStr">
        <is>
          <t>Gantungan</t>
        </is>
      </c>
      <c r="E86" s="12" t="inlineStr">
        <is>
          <t>10198150</t>
        </is>
      </c>
      <c r="F86" s="9" t="inlineStr">
        <is>
          <t>TANTA NYLON TONGS 9 INCH</t>
        </is>
      </c>
      <c r="G86" s="11" t="inlineStr">
        <is>
          <t>gantung</t>
        </is>
      </c>
      <c r="H86" s="10">
        <f>IF(E86="","","https://cdn.ruparupa.io/fit-in/850x850/ruparupa-com/image/upload/Products/"&amp;E86&amp;"_1.jpg")</f>
        <v/>
      </c>
      <c r="I86" s="10">
        <f>IF(OR(B86="",C86=""),"",IFERROR(INDEX(LAYOUT!$D$2:$D$34,MATCH(B86&amp;"|"&amp;C86,LAYOUT!$E$2:$E$34,0)),"zona tidak ada di layout"))</f>
        <v/>
      </c>
      <c r="J86" s="13">
        <f>IF(OR(A86="",E86=""),"",COUNTIFS($A$2:$A$500,A86,$C$2:$C$500,C86,$E$2:$E$500,"&lt;&gt;"))</f>
        <v/>
      </c>
      <c r="K86" s="13">
        <f>IF(A86="","",IF(B86="","CEK id_fixture tidak ada di DAFTAR_FIXTURE",IF(I86="zona tidak ada di layout","CEK zona_no / jenis_fixture",IF(D86&lt;&gt;I86,"CEK jenis_zona",IF(E86="","Zona kosong",IF(F86="","CEK nama kosong","OK"))))))</f>
        <v/>
      </c>
    </row>
    <row r="87">
      <c r="A87" s="9" t="inlineStr">
        <is>
          <t>GND-02</t>
        </is>
      </c>
      <c r="B87" s="10">
        <f>IF(A87="","",IFERROR(INDEX(DAFTAR_FIXTURE!$B$2:$B$51,MATCH(A87,DAFTAR_FIXTURE!$A$2:$A$51,0)),""))</f>
        <v/>
      </c>
      <c r="C87" s="11" t="n">
        <v>2</v>
      </c>
      <c r="D87" s="11" t="inlineStr">
        <is>
          <t>Gantungan</t>
        </is>
      </c>
      <c r="E87" s="12" t="inlineStr">
        <is>
          <t>10198151</t>
        </is>
      </c>
      <c r="F87" s="9" t="inlineStr">
        <is>
          <t>TANTA NYLON TONGS 12 INCH</t>
        </is>
      </c>
      <c r="G87" s="11" t="inlineStr">
        <is>
          <t>gantung</t>
        </is>
      </c>
      <c r="H87" s="10">
        <f>IF(E87="","","https://cdn.ruparupa.io/fit-in/850x850/ruparupa-com/image/upload/Products/"&amp;E87&amp;"_1.jpg")</f>
        <v/>
      </c>
      <c r="I87" s="10">
        <f>IF(OR(B87="",C87=""),"",IFERROR(INDEX(LAYOUT!$D$2:$D$34,MATCH(B87&amp;"|"&amp;C87,LAYOUT!$E$2:$E$34,0)),"zona tidak ada di layout"))</f>
        <v/>
      </c>
      <c r="J87" s="13">
        <f>IF(OR(A87="",E87=""),"",COUNTIFS($A$2:$A$500,A87,$C$2:$C$500,C87,$E$2:$E$500,"&lt;&gt;"))</f>
        <v/>
      </c>
      <c r="K87" s="13">
        <f>IF(A87="","",IF(B87="","CEK id_fixture tidak ada di DAFTAR_FIXTURE",IF(I87="zona tidak ada di layout","CEK zona_no / jenis_fixture",IF(D87&lt;&gt;I87,"CEK jenis_zona",IF(E87="","Zona kosong",IF(F87="","CEK nama kosong","OK"))))))</f>
        <v/>
      </c>
    </row>
    <row r="88">
      <c r="A88" s="9" t="inlineStr">
        <is>
          <t>GND-02</t>
        </is>
      </c>
      <c r="B88" s="10">
        <f>IF(A88="","",IFERROR(INDEX(DAFTAR_FIXTURE!$B$2:$B$51,MATCH(A88,DAFTAR_FIXTURE!$A$2:$A$51,0)),""))</f>
        <v/>
      </c>
      <c r="C88" s="11" t="n">
        <v>2</v>
      </c>
      <c r="D88" s="11" t="inlineStr">
        <is>
          <t>Gantungan</t>
        </is>
      </c>
      <c r="E88" s="12" t="inlineStr">
        <is>
          <t>10198152</t>
        </is>
      </c>
      <c r="F88" s="9" t="inlineStr">
        <is>
          <t>TANTA S/S SOLID TURNER M</t>
        </is>
      </c>
      <c r="G88" s="11" t="inlineStr">
        <is>
          <t>gantung</t>
        </is>
      </c>
      <c r="H88" s="10">
        <f>IF(E88="","","https://cdn.ruparupa.io/fit-in/850x850/ruparupa-com/image/upload/Products/"&amp;E88&amp;"_1.jpg")</f>
        <v/>
      </c>
      <c r="I88" s="10">
        <f>IF(OR(B88="",C88=""),"",IFERROR(INDEX(LAYOUT!$D$2:$D$34,MATCH(B88&amp;"|"&amp;C88,LAYOUT!$E$2:$E$34,0)),"zona tidak ada di layout"))</f>
        <v/>
      </c>
      <c r="J88" s="13">
        <f>IF(OR(A88="",E88=""),"",COUNTIFS($A$2:$A$500,A88,$C$2:$C$500,C88,$E$2:$E$500,"&lt;&gt;"))</f>
        <v/>
      </c>
      <c r="K88" s="13">
        <f>IF(A88="","",IF(B88="","CEK id_fixture tidak ada di DAFTAR_FIXTURE",IF(I88="zona tidak ada di layout","CEK zona_no / jenis_fixture",IF(D88&lt;&gt;I88,"CEK jenis_zona",IF(E88="","Zona kosong",IF(F88="","CEK nama kosong","OK"))))))</f>
        <v/>
      </c>
    </row>
    <row r="89">
      <c r="A89" s="9" t="inlineStr">
        <is>
          <t>GND-02</t>
        </is>
      </c>
      <c r="B89" s="10">
        <f>IF(A89="","",IFERROR(INDEX(DAFTAR_FIXTURE!$B$2:$B$51,MATCH(A89,DAFTAR_FIXTURE!$A$2:$A$51,0)),""))</f>
        <v/>
      </c>
      <c r="C89" s="11" t="n">
        <v>2</v>
      </c>
      <c r="D89" s="11" t="inlineStr">
        <is>
          <t>Gantungan</t>
        </is>
      </c>
      <c r="E89" s="12" t="inlineStr">
        <is>
          <t>10198154</t>
        </is>
      </c>
      <c r="F89" s="9" t="inlineStr">
        <is>
          <t>TANTA S/S LADLE</t>
        </is>
      </c>
      <c r="G89" s="11" t="inlineStr">
        <is>
          <t>gantung</t>
        </is>
      </c>
      <c r="H89" s="10">
        <f>IF(E89="","","https://cdn.ruparupa.io/fit-in/850x850/ruparupa-com/image/upload/Products/"&amp;E89&amp;"_1.jpg")</f>
        <v/>
      </c>
      <c r="I89" s="10">
        <f>IF(OR(B89="",C89=""),"",IFERROR(INDEX(LAYOUT!$D$2:$D$34,MATCH(B89&amp;"|"&amp;C89,LAYOUT!$E$2:$E$34,0)),"zona tidak ada di layout"))</f>
        <v/>
      </c>
      <c r="J89" s="13">
        <f>IF(OR(A89="",E89=""),"",COUNTIFS($A$2:$A$500,A89,$C$2:$C$500,C89,$E$2:$E$500,"&lt;&gt;"))</f>
        <v/>
      </c>
      <c r="K89" s="13">
        <f>IF(A89="","",IF(B89="","CEK id_fixture tidak ada di DAFTAR_FIXTURE",IF(I89="zona tidak ada di layout","CEK zona_no / jenis_fixture",IF(D89&lt;&gt;I89,"CEK jenis_zona",IF(E89="","Zona kosong",IF(F89="","CEK nama kosong","OK"))))))</f>
        <v/>
      </c>
    </row>
    <row r="90">
      <c r="A90" s="9" t="inlineStr">
        <is>
          <t>GND-02</t>
        </is>
      </c>
      <c r="B90" s="10">
        <f>IF(A90="","",IFERROR(INDEX(DAFTAR_FIXTURE!$B$2:$B$51,MATCH(A90,DAFTAR_FIXTURE!$A$2:$A$51,0)),""))</f>
        <v/>
      </c>
      <c r="C90" s="11" t="n">
        <v>2</v>
      </c>
      <c r="D90" s="11" t="inlineStr">
        <is>
          <t>Gantungan</t>
        </is>
      </c>
      <c r="E90" s="12" t="inlineStr">
        <is>
          <t>10198156</t>
        </is>
      </c>
      <c r="F90" s="9" t="inlineStr">
        <is>
          <t>TANTA NYLON SLOTTED TURNER M</t>
        </is>
      </c>
      <c r="G90" s="11" t="inlineStr">
        <is>
          <t>gantung</t>
        </is>
      </c>
      <c r="H90" s="10">
        <f>IF(E90="","","https://cdn.ruparupa.io/fit-in/850x850/ruparupa-com/image/upload/Products/"&amp;E90&amp;"_1.jpg")</f>
        <v/>
      </c>
      <c r="I90" s="10">
        <f>IF(OR(B90="",C90=""),"",IFERROR(INDEX(LAYOUT!$D$2:$D$34,MATCH(B90&amp;"|"&amp;C90,LAYOUT!$E$2:$E$34,0)),"zona tidak ada di layout"))</f>
        <v/>
      </c>
      <c r="J90" s="13">
        <f>IF(OR(A90="",E90=""),"",COUNTIFS($A$2:$A$500,A90,$C$2:$C$500,C90,$E$2:$E$500,"&lt;&gt;"))</f>
        <v/>
      </c>
      <c r="K90" s="13">
        <f>IF(A90="","",IF(B90="","CEK id_fixture tidak ada di DAFTAR_FIXTURE",IF(I90="zona tidak ada di layout","CEK zona_no / jenis_fixture",IF(D90&lt;&gt;I90,"CEK jenis_zona",IF(E90="","Zona kosong",IF(F90="","CEK nama kosong","OK"))))))</f>
        <v/>
      </c>
    </row>
    <row r="91">
      <c r="A91" s="9" t="inlineStr">
        <is>
          <t>GND-02</t>
        </is>
      </c>
      <c r="B91" s="10">
        <f>IF(A91="","",IFERROR(INDEX(DAFTAR_FIXTURE!$B$2:$B$51,MATCH(A91,DAFTAR_FIXTURE!$A$2:$A$51,0)),""))</f>
        <v/>
      </c>
      <c r="C91" s="11" t="n">
        <v>2</v>
      </c>
      <c r="D91" s="11" t="inlineStr">
        <is>
          <t>Gantungan</t>
        </is>
      </c>
      <c r="E91" s="12" t="inlineStr">
        <is>
          <t>10198157</t>
        </is>
      </c>
      <c r="F91" s="9" t="inlineStr">
        <is>
          <t>TANTA NYLON SOLID TURNER L</t>
        </is>
      </c>
      <c r="G91" s="11" t="inlineStr">
        <is>
          <t>gantung</t>
        </is>
      </c>
      <c r="H91" s="10">
        <f>IF(E91="","","https://cdn.ruparupa.io/fit-in/850x850/ruparupa-com/image/upload/Products/"&amp;E91&amp;"_1.jpg")</f>
        <v/>
      </c>
      <c r="I91" s="10">
        <f>IF(OR(B91="",C91=""),"",IFERROR(INDEX(LAYOUT!$D$2:$D$34,MATCH(B91&amp;"|"&amp;C91,LAYOUT!$E$2:$E$34,0)),"zona tidak ada di layout"))</f>
        <v/>
      </c>
      <c r="J91" s="13">
        <f>IF(OR(A91="",E91=""),"",COUNTIFS($A$2:$A$500,A91,$C$2:$C$500,C91,$E$2:$E$500,"&lt;&gt;"))</f>
        <v/>
      </c>
      <c r="K91" s="13">
        <f>IF(A91="","",IF(B91="","CEK id_fixture tidak ada di DAFTAR_FIXTURE",IF(I91="zona tidak ada di layout","CEK zona_no / jenis_fixture",IF(D91&lt;&gt;I91,"CEK jenis_zona",IF(E91="","Zona kosong",IF(F91="","CEK nama kosong","OK"))))))</f>
        <v/>
      </c>
    </row>
    <row r="92">
      <c r="A92" s="9" t="inlineStr">
        <is>
          <t>GND-02</t>
        </is>
      </c>
      <c r="B92" s="10">
        <f>IF(A92="","",IFERROR(INDEX(DAFTAR_FIXTURE!$B$2:$B$51,MATCH(A92,DAFTAR_FIXTURE!$A$2:$A$51,0)),""))</f>
        <v/>
      </c>
      <c r="C92" s="11" t="n">
        <v>2</v>
      </c>
      <c r="D92" s="11" t="inlineStr">
        <is>
          <t>Gantungan</t>
        </is>
      </c>
      <c r="E92" s="12" t="inlineStr">
        <is>
          <t>10198159</t>
        </is>
      </c>
      <c r="F92" s="9" t="inlineStr">
        <is>
          <t>TANTA NYLON LADLE</t>
        </is>
      </c>
      <c r="G92" s="11" t="inlineStr">
        <is>
          <t>gantung</t>
        </is>
      </c>
      <c r="H92" s="10">
        <f>IF(E92="","","https://cdn.ruparupa.io/fit-in/850x850/ruparupa-com/image/upload/Products/"&amp;E92&amp;"_1.jpg")</f>
        <v/>
      </c>
      <c r="I92" s="10">
        <f>IF(OR(B92="",C92=""),"",IFERROR(INDEX(LAYOUT!$D$2:$D$34,MATCH(B92&amp;"|"&amp;C92,LAYOUT!$E$2:$E$34,0)),"zona tidak ada di layout"))</f>
        <v/>
      </c>
      <c r="J92" s="13">
        <f>IF(OR(A92="",E92=""),"",COUNTIFS($A$2:$A$500,A92,$C$2:$C$500,C92,$E$2:$E$500,"&lt;&gt;"))</f>
        <v/>
      </c>
      <c r="K92" s="13">
        <f>IF(A92="","",IF(B92="","CEK id_fixture tidak ada di DAFTAR_FIXTURE",IF(I92="zona tidak ada di layout","CEK zona_no / jenis_fixture",IF(D92&lt;&gt;I92,"CEK jenis_zona",IF(E92="","Zona kosong",IF(F92="","CEK nama kosong","OK"))))))</f>
        <v/>
      </c>
    </row>
    <row r="93">
      <c r="A93" s="9" t="inlineStr">
        <is>
          <t>GND-02</t>
        </is>
      </c>
      <c r="B93" s="10">
        <f>IF(A93="","",IFERROR(INDEX(DAFTAR_FIXTURE!$B$2:$B$51,MATCH(A93,DAFTAR_FIXTURE!$A$2:$A$51,0)),""))</f>
        <v/>
      </c>
      <c r="C93" s="11" t="n">
        <v>2</v>
      </c>
      <c r="D93" s="11" t="inlineStr">
        <is>
          <t>Gantungan</t>
        </is>
      </c>
      <c r="E93" s="12" t="inlineStr">
        <is>
          <t>10198160</t>
        </is>
      </c>
      <c r="F93" s="9" t="inlineStr">
        <is>
          <t>TANTA NYLON WHISK</t>
        </is>
      </c>
      <c r="G93" s="11" t="inlineStr">
        <is>
          <t>gantung</t>
        </is>
      </c>
      <c r="H93" s="10">
        <f>IF(E93="","","https://cdn.ruparupa.io/fit-in/850x850/ruparupa-com/image/upload/Products/"&amp;E93&amp;"_1.jpg")</f>
        <v/>
      </c>
      <c r="I93" s="10">
        <f>IF(OR(B93="",C93=""),"",IFERROR(INDEX(LAYOUT!$D$2:$D$34,MATCH(B93&amp;"|"&amp;C93,LAYOUT!$E$2:$E$34,0)),"zona tidak ada di layout"))</f>
        <v/>
      </c>
      <c r="J93" s="13">
        <f>IF(OR(A93="",E93=""),"",COUNTIFS($A$2:$A$500,A93,$C$2:$C$500,C93,$E$2:$E$500,"&lt;&gt;"))</f>
        <v/>
      </c>
      <c r="K93" s="13">
        <f>IF(A93="","",IF(B93="","CEK id_fixture tidak ada di DAFTAR_FIXTURE",IF(I93="zona tidak ada di layout","CEK zona_no / jenis_fixture",IF(D93&lt;&gt;I93,"CEK jenis_zona",IF(E93="","Zona kosong",IF(F93="","CEK nama kosong","OK"))))))</f>
        <v/>
      </c>
    </row>
    <row r="94">
      <c r="A94" s="9" t="inlineStr">
        <is>
          <t>GND-02</t>
        </is>
      </c>
      <c r="B94" s="10">
        <f>IF(A94="","",IFERROR(INDEX(DAFTAR_FIXTURE!$B$2:$B$51,MATCH(A94,DAFTAR_FIXTURE!$A$2:$A$51,0)),""))</f>
        <v/>
      </c>
      <c r="C94" s="11" t="n">
        <v>3</v>
      </c>
      <c r="D94" s="11" t="inlineStr">
        <is>
          <t>Gantungan</t>
        </is>
      </c>
      <c r="E94" s="12" t="inlineStr">
        <is>
          <t>10198149</t>
        </is>
      </c>
      <c r="F94" s="9" t="inlineStr">
        <is>
          <t>TANTA STRAINER DIA 10CM</t>
        </is>
      </c>
      <c r="G94" s="11" t="inlineStr">
        <is>
          <t>gantung</t>
        </is>
      </c>
      <c r="H94" s="10">
        <f>IF(E94="","","https://cdn.ruparupa.io/fit-in/850x850/ruparupa-com/image/upload/Products/"&amp;E94&amp;"_1.jpg")</f>
        <v/>
      </c>
      <c r="I94" s="10">
        <f>IF(OR(B94="",C94=""),"",IFERROR(INDEX(LAYOUT!$D$2:$D$34,MATCH(B94&amp;"|"&amp;C94,LAYOUT!$E$2:$E$34,0)),"zona tidak ada di layout"))</f>
        <v/>
      </c>
      <c r="J94" s="13">
        <f>IF(OR(A94="",E94=""),"",COUNTIFS($A$2:$A$500,A94,$C$2:$C$500,C94,$E$2:$E$500,"&lt;&gt;"))</f>
        <v/>
      </c>
      <c r="K94" s="13">
        <f>IF(A94="","",IF(B94="","CEK id_fixture tidak ada di DAFTAR_FIXTURE",IF(I94="zona tidak ada di layout","CEK zona_no / jenis_fixture",IF(D94&lt;&gt;I94,"CEK jenis_zona",IF(E94="","Zona kosong",IF(F94="","CEK nama kosong","OK"))))))</f>
        <v/>
      </c>
    </row>
    <row r="95">
      <c r="A95" s="9" t="inlineStr">
        <is>
          <t>GND-02</t>
        </is>
      </c>
      <c r="B95" s="10">
        <f>IF(A95="","",IFERROR(INDEX(DAFTAR_FIXTURE!$B$2:$B$51,MATCH(A95,DAFTAR_FIXTURE!$A$2:$A$51,0)),""))</f>
        <v/>
      </c>
      <c r="C95" s="11" t="n">
        <v>3</v>
      </c>
      <c r="D95" s="11" t="inlineStr">
        <is>
          <t>Gantungan</t>
        </is>
      </c>
      <c r="E95" s="12" t="inlineStr">
        <is>
          <t>10198150</t>
        </is>
      </c>
      <c r="F95" s="9" t="inlineStr">
        <is>
          <t>TANTA NYLON TONGS 9 INCH</t>
        </is>
      </c>
      <c r="G95" s="11" t="inlineStr">
        <is>
          <t>gantung</t>
        </is>
      </c>
      <c r="H95" s="10">
        <f>IF(E95="","","https://cdn.ruparupa.io/fit-in/850x850/ruparupa-com/image/upload/Products/"&amp;E95&amp;"_1.jpg")</f>
        <v/>
      </c>
      <c r="I95" s="10">
        <f>IF(OR(B95="",C95=""),"",IFERROR(INDEX(LAYOUT!$D$2:$D$34,MATCH(B95&amp;"|"&amp;C95,LAYOUT!$E$2:$E$34,0)),"zona tidak ada di layout"))</f>
        <v/>
      </c>
      <c r="J95" s="13">
        <f>IF(OR(A95="",E95=""),"",COUNTIFS($A$2:$A$500,A95,$C$2:$C$500,C95,$E$2:$E$500,"&lt;&gt;"))</f>
        <v/>
      </c>
      <c r="K95" s="13">
        <f>IF(A95="","",IF(B95="","CEK id_fixture tidak ada di DAFTAR_FIXTURE",IF(I95="zona tidak ada di layout","CEK zona_no / jenis_fixture",IF(D95&lt;&gt;I95,"CEK jenis_zona",IF(E95="","Zona kosong",IF(F95="","CEK nama kosong","OK"))))))</f>
        <v/>
      </c>
    </row>
    <row r="96">
      <c r="A96" s="9" t="inlineStr">
        <is>
          <t>GND-02</t>
        </is>
      </c>
      <c r="B96" s="10">
        <f>IF(A96="","",IFERROR(INDEX(DAFTAR_FIXTURE!$B$2:$B$51,MATCH(A96,DAFTAR_FIXTURE!$A$2:$A$51,0)),""))</f>
        <v/>
      </c>
      <c r="C96" s="11" t="n">
        <v>3</v>
      </c>
      <c r="D96" s="11" t="inlineStr">
        <is>
          <t>Gantungan</t>
        </is>
      </c>
      <c r="E96" s="12" t="inlineStr">
        <is>
          <t>10198151</t>
        </is>
      </c>
      <c r="F96" s="9" t="inlineStr">
        <is>
          <t>TANTA NYLON TONGS 12 INCH</t>
        </is>
      </c>
      <c r="G96" s="11" t="inlineStr">
        <is>
          <t>gantung</t>
        </is>
      </c>
      <c r="H96" s="10">
        <f>IF(E96="","","https://cdn.ruparupa.io/fit-in/850x850/ruparupa-com/image/upload/Products/"&amp;E96&amp;"_1.jpg")</f>
        <v/>
      </c>
      <c r="I96" s="10">
        <f>IF(OR(B96="",C96=""),"",IFERROR(INDEX(LAYOUT!$D$2:$D$34,MATCH(B96&amp;"|"&amp;C96,LAYOUT!$E$2:$E$34,0)),"zona tidak ada di layout"))</f>
        <v/>
      </c>
      <c r="J96" s="13">
        <f>IF(OR(A96="",E96=""),"",COUNTIFS($A$2:$A$500,A96,$C$2:$C$500,C96,$E$2:$E$500,"&lt;&gt;"))</f>
        <v/>
      </c>
      <c r="K96" s="13">
        <f>IF(A96="","",IF(B96="","CEK id_fixture tidak ada di DAFTAR_FIXTURE",IF(I96="zona tidak ada di layout","CEK zona_no / jenis_fixture",IF(D96&lt;&gt;I96,"CEK jenis_zona",IF(E96="","Zona kosong",IF(F96="","CEK nama kosong","OK"))))))</f>
        <v/>
      </c>
    </row>
    <row r="97">
      <c r="A97" s="9" t="inlineStr">
        <is>
          <t>GND-02</t>
        </is>
      </c>
      <c r="B97" s="10">
        <f>IF(A97="","",IFERROR(INDEX(DAFTAR_FIXTURE!$B$2:$B$51,MATCH(A97,DAFTAR_FIXTURE!$A$2:$A$51,0)),""))</f>
        <v/>
      </c>
      <c r="C97" s="11" t="n">
        <v>3</v>
      </c>
      <c r="D97" s="11" t="inlineStr">
        <is>
          <t>Gantungan</t>
        </is>
      </c>
      <c r="E97" s="12" t="inlineStr">
        <is>
          <t>10198152</t>
        </is>
      </c>
      <c r="F97" s="9" t="inlineStr">
        <is>
          <t>TANTA S/S SOLID TURNER M</t>
        </is>
      </c>
      <c r="G97" s="11" t="inlineStr">
        <is>
          <t>gantung</t>
        </is>
      </c>
      <c r="H97" s="10">
        <f>IF(E97="","","https://cdn.ruparupa.io/fit-in/850x850/ruparupa-com/image/upload/Products/"&amp;E97&amp;"_1.jpg")</f>
        <v/>
      </c>
      <c r="I97" s="10">
        <f>IF(OR(B97="",C97=""),"",IFERROR(INDEX(LAYOUT!$D$2:$D$34,MATCH(B97&amp;"|"&amp;C97,LAYOUT!$E$2:$E$34,0)),"zona tidak ada di layout"))</f>
        <v/>
      </c>
      <c r="J97" s="13">
        <f>IF(OR(A97="",E97=""),"",COUNTIFS($A$2:$A$500,A97,$C$2:$C$500,C97,$E$2:$E$500,"&lt;&gt;"))</f>
        <v/>
      </c>
      <c r="K97" s="13">
        <f>IF(A97="","",IF(B97="","CEK id_fixture tidak ada di DAFTAR_FIXTURE",IF(I97="zona tidak ada di layout","CEK zona_no / jenis_fixture",IF(D97&lt;&gt;I97,"CEK jenis_zona",IF(E97="","Zona kosong",IF(F97="","CEK nama kosong","OK"))))))</f>
        <v/>
      </c>
    </row>
    <row r="98">
      <c r="A98" s="9" t="inlineStr">
        <is>
          <t>GND-02</t>
        </is>
      </c>
      <c r="B98" s="10">
        <f>IF(A98="","",IFERROR(INDEX(DAFTAR_FIXTURE!$B$2:$B$51,MATCH(A98,DAFTAR_FIXTURE!$A$2:$A$51,0)),""))</f>
        <v/>
      </c>
      <c r="C98" s="11" t="n">
        <v>3</v>
      </c>
      <c r="D98" s="11" t="inlineStr">
        <is>
          <t>Gantungan</t>
        </is>
      </c>
      <c r="E98" s="12" t="inlineStr">
        <is>
          <t>10198154</t>
        </is>
      </c>
      <c r="F98" s="9" t="inlineStr">
        <is>
          <t>TANTA S/S LADLE</t>
        </is>
      </c>
      <c r="G98" s="11" t="inlineStr">
        <is>
          <t>gantung</t>
        </is>
      </c>
      <c r="H98" s="10">
        <f>IF(E98="","","https://cdn.ruparupa.io/fit-in/850x850/ruparupa-com/image/upload/Products/"&amp;E98&amp;"_1.jpg")</f>
        <v/>
      </c>
      <c r="I98" s="10">
        <f>IF(OR(B98="",C98=""),"",IFERROR(INDEX(LAYOUT!$D$2:$D$34,MATCH(B98&amp;"|"&amp;C98,LAYOUT!$E$2:$E$34,0)),"zona tidak ada di layout"))</f>
        <v/>
      </c>
      <c r="J98" s="13">
        <f>IF(OR(A98="",E98=""),"",COUNTIFS($A$2:$A$500,A98,$C$2:$C$500,C98,$E$2:$E$500,"&lt;&gt;"))</f>
        <v/>
      </c>
      <c r="K98" s="13">
        <f>IF(A98="","",IF(B98="","CEK id_fixture tidak ada di DAFTAR_FIXTURE",IF(I98="zona tidak ada di layout","CEK zona_no / jenis_fixture",IF(D98&lt;&gt;I98,"CEK jenis_zona",IF(E98="","Zona kosong",IF(F98="","CEK nama kosong","OK"))))))</f>
        <v/>
      </c>
    </row>
    <row r="99">
      <c r="A99" s="9" t="inlineStr">
        <is>
          <t>GND-02</t>
        </is>
      </c>
      <c r="B99" s="10">
        <f>IF(A99="","",IFERROR(INDEX(DAFTAR_FIXTURE!$B$2:$B$51,MATCH(A99,DAFTAR_FIXTURE!$A$2:$A$51,0)),""))</f>
        <v/>
      </c>
      <c r="C99" s="11" t="n">
        <v>3</v>
      </c>
      <c r="D99" s="11" t="inlineStr">
        <is>
          <t>Gantungan</t>
        </is>
      </c>
      <c r="E99" s="12" t="inlineStr">
        <is>
          <t>10198156</t>
        </is>
      </c>
      <c r="F99" s="9" t="inlineStr">
        <is>
          <t>TANTA NYLON SLOTTED TURNER M</t>
        </is>
      </c>
      <c r="G99" s="11" t="inlineStr">
        <is>
          <t>gantung</t>
        </is>
      </c>
      <c r="H99" s="10">
        <f>IF(E99="","","https://cdn.ruparupa.io/fit-in/850x850/ruparupa-com/image/upload/Products/"&amp;E99&amp;"_1.jpg")</f>
        <v/>
      </c>
      <c r="I99" s="10">
        <f>IF(OR(B99="",C99=""),"",IFERROR(INDEX(LAYOUT!$D$2:$D$34,MATCH(B99&amp;"|"&amp;C99,LAYOUT!$E$2:$E$34,0)),"zona tidak ada di layout"))</f>
        <v/>
      </c>
      <c r="J99" s="13">
        <f>IF(OR(A99="",E99=""),"",COUNTIFS($A$2:$A$500,A99,$C$2:$C$500,C99,$E$2:$E$500,"&lt;&gt;"))</f>
        <v/>
      </c>
      <c r="K99" s="13">
        <f>IF(A99="","",IF(B99="","CEK id_fixture tidak ada di DAFTAR_FIXTURE",IF(I99="zona tidak ada di layout","CEK zona_no / jenis_fixture",IF(D99&lt;&gt;I99,"CEK jenis_zona",IF(E99="","Zona kosong",IF(F99="","CEK nama kosong","OK"))))))</f>
        <v/>
      </c>
    </row>
    <row r="100">
      <c r="A100" s="9" t="inlineStr">
        <is>
          <t>GND-02</t>
        </is>
      </c>
      <c r="B100" s="10">
        <f>IF(A100="","",IFERROR(INDEX(DAFTAR_FIXTURE!$B$2:$B$51,MATCH(A100,DAFTAR_FIXTURE!$A$2:$A$51,0)),""))</f>
        <v/>
      </c>
      <c r="C100" s="11" t="n">
        <v>3</v>
      </c>
      <c r="D100" s="11" t="inlineStr">
        <is>
          <t>Gantungan</t>
        </is>
      </c>
      <c r="E100" s="12" t="inlineStr">
        <is>
          <t>10198157</t>
        </is>
      </c>
      <c r="F100" s="9" t="inlineStr">
        <is>
          <t>TANTA NYLON SOLID TURNER L</t>
        </is>
      </c>
      <c r="G100" s="11" t="inlineStr">
        <is>
          <t>gantung</t>
        </is>
      </c>
      <c r="H100" s="10">
        <f>IF(E100="","","https://cdn.ruparupa.io/fit-in/850x850/ruparupa-com/image/upload/Products/"&amp;E100&amp;"_1.jpg")</f>
        <v/>
      </c>
      <c r="I100" s="10">
        <f>IF(OR(B100="",C100=""),"",IFERROR(INDEX(LAYOUT!$D$2:$D$34,MATCH(B100&amp;"|"&amp;C100,LAYOUT!$E$2:$E$34,0)),"zona tidak ada di layout"))</f>
        <v/>
      </c>
      <c r="J100" s="13">
        <f>IF(OR(A100="",E100=""),"",COUNTIFS($A$2:$A$500,A100,$C$2:$C$500,C100,$E$2:$E$500,"&lt;&gt;"))</f>
        <v/>
      </c>
      <c r="K100" s="13">
        <f>IF(A100="","",IF(B100="","CEK id_fixture tidak ada di DAFTAR_FIXTURE",IF(I100="zona tidak ada di layout","CEK zona_no / jenis_fixture",IF(D100&lt;&gt;I100,"CEK jenis_zona",IF(E100="","Zona kosong",IF(F100="","CEK nama kosong","OK"))))))</f>
        <v/>
      </c>
    </row>
    <row r="101">
      <c r="A101" s="9" t="inlineStr">
        <is>
          <t>GND-02</t>
        </is>
      </c>
      <c r="B101" s="10">
        <f>IF(A101="","",IFERROR(INDEX(DAFTAR_FIXTURE!$B$2:$B$51,MATCH(A101,DAFTAR_FIXTURE!$A$2:$A$51,0)),""))</f>
        <v/>
      </c>
      <c r="C101" s="11" t="n">
        <v>3</v>
      </c>
      <c r="D101" s="11" t="inlineStr">
        <is>
          <t>Gantungan</t>
        </is>
      </c>
      <c r="E101" s="12" t="inlineStr">
        <is>
          <t>10198159</t>
        </is>
      </c>
      <c r="F101" s="9" t="inlineStr">
        <is>
          <t>TANTA NYLON LADLE</t>
        </is>
      </c>
      <c r="G101" s="11" t="inlineStr">
        <is>
          <t>gantung</t>
        </is>
      </c>
      <c r="H101" s="10">
        <f>IF(E101="","","https://cdn.ruparupa.io/fit-in/850x850/ruparupa-com/image/upload/Products/"&amp;E101&amp;"_1.jpg")</f>
        <v/>
      </c>
      <c r="I101" s="10">
        <f>IF(OR(B101="",C101=""),"",IFERROR(INDEX(LAYOUT!$D$2:$D$34,MATCH(B101&amp;"|"&amp;C101,LAYOUT!$E$2:$E$34,0)),"zona tidak ada di layout"))</f>
        <v/>
      </c>
      <c r="J101" s="13">
        <f>IF(OR(A101="",E101=""),"",COUNTIFS($A$2:$A$500,A101,$C$2:$C$500,C101,$E$2:$E$500,"&lt;&gt;"))</f>
        <v/>
      </c>
      <c r="K101" s="13">
        <f>IF(A101="","",IF(B101="","CEK id_fixture tidak ada di DAFTAR_FIXTURE",IF(I101="zona tidak ada di layout","CEK zona_no / jenis_fixture",IF(D101&lt;&gt;I101,"CEK jenis_zona",IF(E101="","Zona kosong",IF(F101="","CEK nama kosong","OK"))))))</f>
        <v/>
      </c>
    </row>
    <row r="102">
      <c r="A102" s="9" t="inlineStr">
        <is>
          <t>GND-02</t>
        </is>
      </c>
      <c r="B102" s="10">
        <f>IF(A102="","",IFERROR(INDEX(DAFTAR_FIXTURE!$B$2:$B$51,MATCH(A102,DAFTAR_FIXTURE!$A$2:$A$51,0)),""))</f>
        <v/>
      </c>
      <c r="C102" s="11" t="n">
        <v>3</v>
      </c>
      <c r="D102" s="11" t="inlineStr">
        <is>
          <t>Gantungan</t>
        </is>
      </c>
      <c r="E102" s="12" t="inlineStr">
        <is>
          <t>10198160</t>
        </is>
      </c>
      <c r="F102" s="9" t="inlineStr">
        <is>
          <t>TANTA NYLON WHISK</t>
        </is>
      </c>
      <c r="G102" s="11" t="inlineStr">
        <is>
          <t>gantung</t>
        </is>
      </c>
      <c r="H102" s="10">
        <f>IF(E102="","","https://cdn.ruparupa.io/fit-in/850x850/ruparupa-com/image/upload/Products/"&amp;E102&amp;"_1.jpg")</f>
        <v/>
      </c>
      <c r="I102" s="10">
        <f>IF(OR(B102="",C102=""),"",IFERROR(INDEX(LAYOUT!$D$2:$D$34,MATCH(B102&amp;"|"&amp;C102,LAYOUT!$E$2:$E$34,0)),"zona tidak ada di layout"))</f>
        <v/>
      </c>
      <c r="J102" s="13">
        <f>IF(OR(A102="",E102=""),"",COUNTIFS($A$2:$A$500,A102,$C$2:$C$500,C102,$E$2:$E$500,"&lt;&gt;"))</f>
        <v/>
      </c>
      <c r="K102" s="13">
        <f>IF(A102="","",IF(B102="","CEK id_fixture tidak ada di DAFTAR_FIXTURE",IF(I102="zona tidak ada di layout","CEK zona_no / jenis_fixture",IF(D102&lt;&gt;I102,"CEK jenis_zona",IF(E102="","Zona kosong",IF(F102="","CEK nama kosong","OK"))))))</f>
        <v/>
      </c>
    </row>
    <row r="103">
      <c r="A103" s="9" t="inlineStr">
        <is>
          <t>GND-02</t>
        </is>
      </c>
      <c r="B103" s="10">
        <f>IF(A103="","",IFERROR(INDEX(DAFTAR_FIXTURE!$B$2:$B$51,MATCH(A103,DAFTAR_FIXTURE!$A$2:$A$51,0)),""))</f>
        <v/>
      </c>
      <c r="C103" s="11" t="n">
        <v>4</v>
      </c>
      <c r="D103" s="11" t="inlineStr">
        <is>
          <t>Gantungan</t>
        </is>
      </c>
      <c r="E103" s="12" t="inlineStr">
        <is>
          <t>10198149</t>
        </is>
      </c>
      <c r="F103" s="9" t="inlineStr">
        <is>
          <t>TANTA STRAINER DIA 10CM</t>
        </is>
      </c>
      <c r="G103" s="11" t="inlineStr">
        <is>
          <t>gantung</t>
        </is>
      </c>
      <c r="H103" s="10">
        <f>IF(E103="","","https://cdn.ruparupa.io/fit-in/850x850/ruparupa-com/image/upload/Products/"&amp;E103&amp;"_1.jpg")</f>
        <v/>
      </c>
      <c r="I103" s="10">
        <f>IF(OR(B103="",C103=""),"",IFERROR(INDEX(LAYOUT!$D$2:$D$34,MATCH(B103&amp;"|"&amp;C103,LAYOUT!$E$2:$E$34,0)),"zona tidak ada di layout"))</f>
        <v/>
      </c>
      <c r="J103" s="13">
        <f>IF(OR(A103="",E103=""),"",COUNTIFS($A$2:$A$500,A103,$C$2:$C$500,C103,$E$2:$E$500,"&lt;&gt;"))</f>
        <v/>
      </c>
      <c r="K103" s="13">
        <f>IF(A103="","",IF(B103="","CEK id_fixture tidak ada di DAFTAR_FIXTURE",IF(I103="zona tidak ada di layout","CEK zona_no / jenis_fixture",IF(D103&lt;&gt;I103,"CEK jenis_zona",IF(E103="","Zona kosong",IF(F103="","CEK nama kosong","OK"))))))</f>
        <v/>
      </c>
    </row>
    <row r="104">
      <c r="A104" s="9" t="inlineStr">
        <is>
          <t>GND-02</t>
        </is>
      </c>
      <c r="B104" s="10">
        <f>IF(A104="","",IFERROR(INDEX(DAFTAR_FIXTURE!$B$2:$B$51,MATCH(A104,DAFTAR_FIXTURE!$A$2:$A$51,0)),""))</f>
        <v/>
      </c>
      <c r="C104" s="11" t="n">
        <v>4</v>
      </c>
      <c r="D104" s="11" t="inlineStr">
        <is>
          <t>Gantungan</t>
        </is>
      </c>
      <c r="E104" s="12" t="inlineStr">
        <is>
          <t>10198150</t>
        </is>
      </c>
      <c r="F104" s="9" t="inlineStr">
        <is>
          <t>TANTA NYLON TONGS 9 INCH</t>
        </is>
      </c>
      <c r="G104" s="11" t="inlineStr">
        <is>
          <t>gantung</t>
        </is>
      </c>
      <c r="H104" s="10">
        <f>IF(E104="","","https://cdn.ruparupa.io/fit-in/850x850/ruparupa-com/image/upload/Products/"&amp;E104&amp;"_1.jpg")</f>
        <v/>
      </c>
      <c r="I104" s="10">
        <f>IF(OR(B104="",C104=""),"",IFERROR(INDEX(LAYOUT!$D$2:$D$34,MATCH(B104&amp;"|"&amp;C104,LAYOUT!$E$2:$E$34,0)),"zona tidak ada di layout"))</f>
        <v/>
      </c>
      <c r="J104" s="13">
        <f>IF(OR(A104="",E104=""),"",COUNTIFS($A$2:$A$500,A104,$C$2:$C$500,C104,$E$2:$E$500,"&lt;&gt;"))</f>
        <v/>
      </c>
      <c r="K104" s="13">
        <f>IF(A104="","",IF(B104="","CEK id_fixture tidak ada di DAFTAR_FIXTURE",IF(I104="zona tidak ada di layout","CEK zona_no / jenis_fixture",IF(D104&lt;&gt;I104,"CEK jenis_zona",IF(E104="","Zona kosong",IF(F104="","CEK nama kosong","OK"))))))</f>
        <v/>
      </c>
    </row>
    <row r="105">
      <c r="A105" s="9" t="inlineStr">
        <is>
          <t>GND-02</t>
        </is>
      </c>
      <c r="B105" s="10">
        <f>IF(A105="","",IFERROR(INDEX(DAFTAR_FIXTURE!$B$2:$B$51,MATCH(A105,DAFTAR_FIXTURE!$A$2:$A$51,0)),""))</f>
        <v/>
      </c>
      <c r="C105" s="11" t="n">
        <v>4</v>
      </c>
      <c r="D105" s="11" t="inlineStr">
        <is>
          <t>Gantungan</t>
        </is>
      </c>
      <c r="E105" s="12" t="inlineStr">
        <is>
          <t>10198151</t>
        </is>
      </c>
      <c r="F105" s="9" t="inlineStr">
        <is>
          <t>TANTA NYLON TONGS 12 INCH</t>
        </is>
      </c>
      <c r="G105" s="11" t="inlineStr">
        <is>
          <t>gantung</t>
        </is>
      </c>
      <c r="H105" s="10">
        <f>IF(E105="","","https://cdn.ruparupa.io/fit-in/850x850/ruparupa-com/image/upload/Products/"&amp;E105&amp;"_1.jpg")</f>
        <v/>
      </c>
      <c r="I105" s="10">
        <f>IF(OR(B105="",C105=""),"",IFERROR(INDEX(LAYOUT!$D$2:$D$34,MATCH(B105&amp;"|"&amp;C105,LAYOUT!$E$2:$E$34,0)),"zona tidak ada di layout"))</f>
        <v/>
      </c>
      <c r="J105" s="13">
        <f>IF(OR(A105="",E105=""),"",COUNTIFS($A$2:$A$500,A105,$C$2:$C$500,C105,$E$2:$E$500,"&lt;&gt;"))</f>
        <v/>
      </c>
      <c r="K105" s="13">
        <f>IF(A105="","",IF(B105="","CEK id_fixture tidak ada di DAFTAR_FIXTURE",IF(I105="zona tidak ada di layout","CEK zona_no / jenis_fixture",IF(D105&lt;&gt;I105,"CEK jenis_zona",IF(E105="","Zona kosong",IF(F105="","CEK nama kosong","OK"))))))</f>
        <v/>
      </c>
    </row>
    <row r="106">
      <c r="A106" s="9" t="inlineStr">
        <is>
          <t>GND-02</t>
        </is>
      </c>
      <c r="B106" s="10">
        <f>IF(A106="","",IFERROR(INDEX(DAFTAR_FIXTURE!$B$2:$B$51,MATCH(A106,DAFTAR_FIXTURE!$A$2:$A$51,0)),""))</f>
        <v/>
      </c>
      <c r="C106" s="11" t="n">
        <v>4</v>
      </c>
      <c r="D106" s="11" t="inlineStr">
        <is>
          <t>Gantungan</t>
        </is>
      </c>
      <c r="E106" s="12" t="inlineStr">
        <is>
          <t>10198152</t>
        </is>
      </c>
      <c r="F106" s="9" t="inlineStr">
        <is>
          <t>TANTA S/S SOLID TURNER M</t>
        </is>
      </c>
      <c r="G106" s="11" t="inlineStr">
        <is>
          <t>gantung</t>
        </is>
      </c>
      <c r="H106" s="10">
        <f>IF(E106="","","https://cdn.ruparupa.io/fit-in/850x850/ruparupa-com/image/upload/Products/"&amp;E106&amp;"_1.jpg")</f>
        <v/>
      </c>
      <c r="I106" s="10">
        <f>IF(OR(B106="",C106=""),"",IFERROR(INDEX(LAYOUT!$D$2:$D$34,MATCH(B106&amp;"|"&amp;C106,LAYOUT!$E$2:$E$34,0)),"zona tidak ada di layout"))</f>
        <v/>
      </c>
      <c r="J106" s="13">
        <f>IF(OR(A106="",E106=""),"",COUNTIFS($A$2:$A$500,A106,$C$2:$C$500,C106,$E$2:$E$500,"&lt;&gt;"))</f>
        <v/>
      </c>
      <c r="K106" s="13">
        <f>IF(A106="","",IF(B106="","CEK id_fixture tidak ada di DAFTAR_FIXTURE",IF(I106="zona tidak ada di layout","CEK zona_no / jenis_fixture",IF(D106&lt;&gt;I106,"CEK jenis_zona",IF(E106="","Zona kosong",IF(F106="","CEK nama kosong","OK"))))))</f>
        <v/>
      </c>
    </row>
    <row r="107">
      <c r="A107" s="9" t="inlineStr">
        <is>
          <t>GND-02</t>
        </is>
      </c>
      <c r="B107" s="10">
        <f>IF(A107="","",IFERROR(INDEX(DAFTAR_FIXTURE!$B$2:$B$51,MATCH(A107,DAFTAR_FIXTURE!$A$2:$A$51,0)),""))</f>
        <v/>
      </c>
      <c r="C107" s="11" t="n">
        <v>4</v>
      </c>
      <c r="D107" s="11" t="inlineStr">
        <is>
          <t>Gantungan</t>
        </is>
      </c>
      <c r="E107" s="12" t="inlineStr">
        <is>
          <t>10198154</t>
        </is>
      </c>
      <c r="F107" s="9" t="inlineStr">
        <is>
          <t>TANTA S/S LADLE</t>
        </is>
      </c>
      <c r="G107" s="11" t="inlineStr">
        <is>
          <t>gantung</t>
        </is>
      </c>
      <c r="H107" s="10">
        <f>IF(E107="","","https://cdn.ruparupa.io/fit-in/850x850/ruparupa-com/image/upload/Products/"&amp;E107&amp;"_1.jpg")</f>
        <v/>
      </c>
      <c r="I107" s="10">
        <f>IF(OR(B107="",C107=""),"",IFERROR(INDEX(LAYOUT!$D$2:$D$34,MATCH(B107&amp;"|"&amp;C107,LAYOUT!$E$2:$E$34,0)),"zona tidak ada di layout"))</f>
        <v/>
      </c>
      <c r="J107" s="13">
        <f>IF(OR(A107="",E107=""),"",COUNTIFS($A$2:$A$500,A107,$C$2:$C$500,C107,$E$2:$E$500,"&lt;&gt;"))</f>
        <v/>
      </c>
      <c r="K107" s="13">
        <f>IF(A107="","",IF(B107="","CEK id_fixture tidak ada di DAFTAR_FIXTURE",IF(I107="zona tidak ada di layout","CEK zona_no / jenis_fixture",IF(D107&lt;&gt;I107,"CEK jenis_zona",IF(E107="","Zona kosong",IF(F107="","CEK nama kosong","OK"))))))</f>
        <v/>
      </c>
    </row>
    <row r="108">
      <c r="A108" s="9" t="inlineStr">
        <is>
          <t>GND-02</t>
        </is>
      </c>
      <c r="B108" s="10">
        <f>IF(A108="","",IFERROR(INDEX(DAFTAR_FIXTURE!$B$2:$B$51,MATCH(A108,DAFTAR_FIXTURE!$A$2:$A$51,0)),""))</f>
        <v/>
      </c>
      <c r="C108" s="11" t="n">
        <v>4</v>
      </c>
      <c r="D108" s="11" t="inlineStr">
        <is>
          <t>Gantungan</t>
        </is>
      </c>
      <c r="E108" s="12" t="inlineStr">
        <is>
          <t>10198156</t>
        </is>
      </c>
      <c r="F108" s="9" t="inlineStr">
        <is>
          <t>TANTA NYLON SLOTTED TURNER M</t>
        </is>
      </c>
      <c r="G108" s="11" t="inlineStr">
        <is>
          <t>gantung</t>
        </is>
      </c>
      <c r="H108" s="10">
        <f>IF(E108="","","https://cdn.ruparupa.io/fit-in/850x850/ruparupa-com/image/upload/Products/"&amp;E108&amp;"_1.jpg")</f>
        <v/>
      </c>
      <c r="I108" s="10">
        <f>IF(OR(B108="",C108=""),"",IFERROR(INDEX(LAYOUT!$D$2:$D$34,MATCH(B108&amp;"|"&amp;C108,LAYOUT!$E$2:$E$34,0)),"zona tidak ada di layout"))</f>
        <v/>
      </c>
      <c r="J108" s="13">
        <f>IF(OR(A108="",E108=""),"",COUNTIFS($A$2:$A$500,A108,$C$2:$C$500,C108,$E$2:$E$500,"&lt;&gt;"))</f>
        <v/>
      </c>
      <c r="K108" s="13">
        <f>IF(A108="","",IF(B108="","CEK id_fixture tidak ada di DAFTAR_FIXTURE",IF(I108="zona tidak ada di layout","CEK zona_no / jenis_fixture",IF(D108&lt;&gt;I108,"CEK jenis_zona",IF(E108="","Zona kosong",IF(F108="","CEK nama kosong","OK"))))))</f>
        <v/>
      </c>
    </row>
    <row r="109">
      <c r="A109" s="9" t="inlineStr">
        <is>
          <t>GND-02</t>
        </is>
      </c>
      <c r="B109" s="10">
        <f>IF(A109="","",IFERROR(INDEX(DAFTAR_FIXTURE!$B$2:$B$51,MATCH(A109,DAFTAR_FIXTURE!$A$2:$A$51,0)),""))</f>
        <v/>
      </c>
      <c r="C109" s="11" t="n">
        <v>4</v>
      </c>
      <c r="D109" s="11" t="inlineStr">
        <is>
          <t>Gantungan</t>
        </is>
      </c>
      <c r="E109" s="12" t="inlineStr">
        <is>
          <t>10198157</t>
        </is>
      </c>
      <c r="F109" s="9" t="inlineStr">
        <is>
          <t>TANTA NYLON SOLID TURNER L</t>
        </is>
      </c>
      <c r="G109" s="11" t="inlineStr">
        <is>
          <t>gantung</t>
        </is>
      </c>
      <c r="H109" s="10">
        <f>IF(E109="","","https://cdn.ruparupa.io/fit-in/850x850/ruparupa-com/image/upload/Products/"&amp;E109&amp;"_1.jpg")</f>
        <v/>
      </c>
      <c r="I109" s="10">
        <f>IF(OR(B109="",C109=""),"",IFERROR(INDEX(LAYOUT!$D$2:$D$34,MATCH(B109&amp;"|"&amp;C109,LAYOUT!$E$2:$E$34,0)),"zona tidak ada di layout"))</f>
        <v/>
      </c>
      <c r="J109" s="13">
        <f>IF(OR(A109="",E109=""),"",COUNTIFS($A$2:$A$500,A109,$C$2:$C$500,C109,$E$2:$E$500,"&lt;&gt;"))</f>
        <v/>
      </c>
      <c r="K109" s="13">
        <f>IF(A109="","",IF(B109="","CEK id_fixture tidak ada di DAFTAR_FIXTURE",IF(I109="zona tidak ada di layout","CEK zona_no / jenis_fixture",IF(D109&lt;&gt;I109,"CEK jenis_zona",IF(E109="","Zona kosong",IF(F109="","CEK nama kosong","OK"))))))</f>
        <v/>
      </c>
    </row>
    <row r="110">
      <c r="A110" s="9" t="inlineStr">
        <is>
          <t>GND-02</t>
        </is>
      </c>
      <c r="B110" s="10">
        <f>IF(A110="","",IFERROR(INDEX(DAFTAR_FIXTURE!$B$2:$B$51,MATCH(A110,DAFTAR_FIXTURE!$A$2:$A$51,0)),""))</f>
        <v/>
      </c>
      <c r="C110" s="11" t="n">
        <v>4</v>
      </c>
      <c r="D110" s="11" t="inlineStr">
        <is>
          <t>Gantungan</t>
        </is>
      </c>
      <c r="E110" s="12" t="inlineStr">
        <is>
          <t>10198159</t>
        </is>
      </c>
      <c r="F110" s="9" t="inlineStr">
        <is>
          <t>TANTA NYLON LADLE</t>
        </is>
      </c>
      <c r="G110" s="11" t="inlineStr">
        <is>
          <t>gantung</t>
        </is>
      </c>
      <c r="H110" s="10">
        <f>IF(E110="","","https://cdn.ruparupa.io/fit-in/850x850/ruparupa-com/image/upload/Products/"&amp;E110&amp;"_1.jpg")</f>
        <v/>
      </c>
      <c r="I110" s="10">
        <f>IF(OR(B110="",C110=""),"",IFERROR(INDEX(LAYOUT!$D$2:$D$34,MATCH(B110&amp;"|"&amp;C110,LAYOUT!$E$2:$E$34,0)),"zona tidak ada di layout"))</f>
        <v/>
      </c>
      <c r="J110" s="13">
        <f>IF(OR(A110="",E110=""),"",COUNTIFS($A$2:$A$500,A110,$C$2:$C$500,C110,$E$2:$E$500,"&lt;&gt;"))</f>
        <v/>
      </c>
      <c r="K110" s="13">
        <f>IF(A110="","",IF(B110="","CEK id_fixture tidak ada di DAFTAR_FIXTURE",IF(I110="zona tidak ada di layout","CEK zona_no / jenis_fixture",IF(D110&lt;&gt;I110,"CEK jenis_zona",IF(E110="","Zona kosong",IF(F110="","CEK nama kosong","OK"))))))</f>
        <v/>
      </c>
    </row>
    <row r="111">
      <c r="A111" s="9" t="inlineStr">
        <is>
          <t>GND-02</t>
        </is>
      </c>
      <c r="B111" s="10">
        <f>IF(A111="","",IFERROR(INDEX(DAFTAR_FIXTURE!$B$2:$B$51,MATCH(A111,DAFTAR_FIXTURE!$A$2:$A$51,0)),""))</f>
        <v/>
      </c>
      <c r="C111" s="11" t="n">
        <v>4</v>
      </c>
      <c r="D111" s="11" t="inlineStr">
        <is>
          <t>Gantungan</t>
        </is>
      </c>
      <c r="E111" s="12" t="inlineStr">
        <is>
          <t>10198160</t>
        </is>
      </c>
      <c r="F111" s="9" t="inlineStr">
        <is>
          <t>TANTA NYLON WHISK</t>
        </is>
      </c>
      <c r="G111" s="11" t="inlineStr">
        <is>
          <t>gantung</t>
        </is>
      </c>
      <c r="H111" s="10">
        <f>IF(E111="","","https://cdn.ruparupa.io/fit-in/850x850/ruparupa-com/image/upload/Products/"&amp;E111&amp;"_1.jpg")</f>
        <v/>
      </c>
      <c r="I111" s="10">
        <f>IF(OR(B111="",C111=""),"",IFERROR(INDEX(LAYOUT!$D$2:$D$34,MATCH(B111&amp;"|"&amp;C111,LAYOUT!$E$2:$E$34,0)),"zona tidak ada di layout"))</f>
        <v/>
      </c>
      <c r="J111" s="13">
        <f>IF(OR(A111="",E111=""),"",COUNTIFS($A$2:$A$500,A111,$C$2:$C$500,C111,$E$2:$E$500,"&lt;&gt;"))</f>
        <v/>
      </c>
      <c r="K111" s="13">
        <f>IF(A111="","",IF(B111="","CEK id_fixture tidak ada di DAFTAR_FIXTURE",IF(I111="zona tidak ada di layout","CEK zona_no / jenis_fixture",IF(D111&lt;&gt;I111,"CEK jenis_zona",IF(E111="","Zona kosong",IF(F111="","CEK nama kosong","OK"))))))</f>
        <v/>
      </c>
    </row>
    <row r="112">
      <c r="A112" s="9" t="inlineStr">
        <is>
          <t>END-01</t>
        </is>
      </c>
      <c r="B112" s="10">
        <f>IF(A112="","",IFERROR(INDEX(DAFTAR_FIXTURE!$B$2:$B$51,MATCH(A112,DAFTAR_FIXTURE!$A$2:$A$51,0)),""))</f>
        <v/>
      </c>
      <c r="C112" s="11" t="n">
        <v>1</v>
      </c>
      <c r="D112" s="11" t="inlineStr">
        <is>
          <t>Rak</t>
        </is>
      </c>
      <c r="E112" s="12" t="inlineStr">
        <is>
          <t>10421603</t>
        </is>
      </c>
      <c r="F112" s="9" t="inlineStr">
        <is>
          <t>KINGSTON SAUCEPAN WITH LID 16CM GREEN</t>
        </is>
      </c>
      <c r="G112" s="11" t="inlineStr">
        <is>
          <t>rak</t>
        </is>
      </c>
      <c r="H112" s="10">
        <f>IF(E112="","","https://cdn.ruparupa.io/fit-in/850x850/ruparupa-com/image/upload/Products/"&amp;E112&amp;"_1.jpg")</f>
        <v/>
      </c>
      <c r="I112" s="10">
        <f>IF(OR(B112="",C112=""),"",IFERROR(INDEX(LAYOUT!$D$2:$D$34,MATCH(B112&amp;"|"&amp;C112,LAYOUT!$E$2:$E$34,0)),"zona tidak ada di layout"))</f>
        <v/>
      </c>
      <c r="J112" s="13">
        <f>IF(OR(A112="",E112=""),"",COUNTIFS($A$2:$A$500,A112,$C$2:$C$500,C112,$E$2:$E$500,"&lt;&gt;"))</f>
        <v/>
      </c>
      <c r="K112" s="13">
        <f>IF(A112="","",IF(B112="","CEK id_fixture tidak ada di DAFTAR_FIXTURE",IF(I112="zona tidak ada di layout","CEK zona_no / jenis_fixture",IF(D112&lt;&gt;I112,"CEK jenis_zona",IF(E112="","Zona kosong",IF(F112="","CEK nama kosong","OK"))))))</f>
        <v/>
      </c>
    </row>
    <row r="113">
      <c r="A113" s="9" t="inlineStr">
        <is>
          <t>END-01</t>
        </is>
      </c>
      <c r="B113" s="10">
        <f>IF(A113="","",IFERROR(INDEX(DAFTAR_FIXTURE!$B$2:$B$51,MATCH(A113,DAFTAR_FIXTURE!$A$2:$A$51,0)),""))</f>
        <v/>
      </c>
      <c r="C113" s="11" t="n">
        <v>2</v>
      </c>
      <c r="D113" s="11" t="inlineStr">
        <is>
          <t>Rak</t>
        </is>
      </c>
      <c r="E113" s="12" t="inlineStr">
        <is>
          <t>10421608</t>
        </is>
      </c>
      <c r="F113" s="9" t="inlineStr">
        <is>
          <t>KINGSTON CASSEROLE WITH LID 20 CM GREEN</t>
        </is>
      </c>
      <c r="G113" s="11" t="inlineStr">
        <is>
          <t>rak</t>
        </is>
      </c>
      <c r="H113" s="10">
        <f>IF(E113="","","https://cdn.ruparupa.io/fit-in/850x850/ruparupa-com/image/upload/Products/"&amp;E113&amp;"_1.jpg")</f>
        <v/>
      </c>
      <c r="I113" s="10">
        <f>IF(OR(B113="",C113=""),"",IFERROR(INDEX(LAYOUT!$D$2:$D$34,MATCH(B113&amp;"|"&amp;C113,LAYOUT!$E$2:$E$34,0)),"zona tidak ada di layout"))</f>
        <v/>
      </c>
      <c r="J113" s="13">
        <f>IF(OR(A113="",E113=""),"",COUNTIFS($A$2:$A$500,A113,$C$2:$C$500,C113,$E$2:$E$500,"&lt;&gt;"))</f>
        <v/>
      </c>
      <c r="K113" s="13">
        <f>IF(A113="","",IF(B113="","CEK id_fixture tidak ada di DAFTAR_FIXTURE",IF(I113="zona tidak ada di layout","CEK zona_no / jenis_fixture",IF(D113&lt;&gt;I113,"CEK jenis_zona",IF(E113="","Zona kosong",IF(F113="","CEK nama kosong","OK"))))))</f>
        <v/>
      </c>
    </row>
    <row r="114">
      <c r="A114" s="9" t="inlineStr">
        <is>
          <t>END-01</t>
        </is>
      </c>
      <c r="B114" s="10">
        <f>IF(A114="","",IFERROR(INDEX(DAFTAR_FIXTURE!$B$2:$B$51,MATCH(A114,DAFTAR_FIXTURE!$A$2:$A$51,0)),""))</f>
        <v/>
      </c>
      <c r="C114" s="11" t="n">
        <v>3</v>
      </c>
      <c r="D114" s="11" t="inlineStr">
        <is>
          <t>Rak</t>
        </is>
      </c>
      <c r="E114" s="12" t="inlineStr">
        <is>
          <t>10421610</t>
        </is>
      </c>
      <c r="F114" s="9" t="inlineStr">
        <is>
          <t>KINGSTON GRILL PAN 24CM GREEN</t>
        </is>
      </c>
      <c r="G114" s="11" t="inlineStr">
        <is>
          <t>rak</t>
        </is>
      </c>
      <c r="H114" s="10">
        <f>IF(E114="","","https://cdn.ruparupa.io/fit-in/850x850/ruparupa-com/image/upload/Products/"&amp;E114&amp;"_1.jpg")</f>
        <v/>
      </c>
      <c r="I114" s="10">
        <f>IF(OR(B114="",C114=""),"",IFERROR(INDEX(LAYOUT!$D$2:$D$34,MATCH(B114&amp;"|"&amp;C114,LAYOUT!$E$2:$E$34,0)),"zona tidak ada di layout"))</f>
        <v/>
      </c>
      <c r="J114" s="13">
        <f>IF(OR(A114="",E114=""),"",COUNTIFS($A$2:$A$500,A114,$C$2:$C$500,C114,$E$2:$E$500,"&lt;&gt;"))</f>
        <v/>
      </c>
      <c r="K114" s="13">
        <f>IF(A114="","",IF(B114="","CEK id_fixture tidak ada di DAFTAR_FIXTURE",IF(I114="zona tidak ada di layout","CEK zona_no / jenis_fixture",IF(D114&lt;&gt;I114,"CEK jenis_zona",IF(E114="","Zona kosong",IF(F114="","CEK nama kosong","OK"))))))</f>
        <v/>
      </c>
    </row>
    <row r="115">
      <c r="A115" s="9" t="inlineStr">
        <is>
          <t>END-01</t>
        </is>
      </c>
      <c r="B115" s="10">
        <f>IF(A115="","",IFERROR(INDEX(DAFTAR_FIXTURE!$B$2:$B$51,MATCH(A115,DAFTAR_FIXTURE!$A$2:$A$51,0)),""))</f>
        <v/>
      </c>
      <c r="C115" s="11" t="n">
        <v>4</v>
      </c>
      <c r="D115" s="11" t="inlineStr">
        <is>
          <t>Rak</t>
        </is>
      </c>
      <c r="E115" s="12" t="inlineStr">
        <is>
          <t>10421614</t>
        </is>
      </c>
      <c r="F115" s="9" t="inlineStr">
        <is>
          <t>KIRA WOK 2 HANDLE W LID AND UTENSIL BRN</t>
        </is>
      </c>
      <c r="G115" s="11" t="inlineStr">
        <is>
          <t>rak</t>
        </is>
      </c>
      <c r="H115" s="10">
        <f>IF(E115="","","https://cdn.ruparupa.io/fit-in/850x850/ruparupa-com/image/upload/Products/"&amp;E115&amp;"_1.jpg")</f>
        <v/>
      </c>
      <c r="I115" s="10">
        <f>IF(OR(B115="",C115=""),"",IFERROR(INDEX(LAYOUT!$D$2:$D$34,MATCH(B115&amp;"|"&amp;C115,LAYOUT!$E$2:$E$34,0)),"zona tidak ada di layout"))</f>
        <v/>
      </c>
      <c r="J115" s="13">
        <f>IF(OR(A115="",E115=""),"",COUNTIFS($A$2:$A$500,A115,$C$2:$C$500,C115,$E$2:$E$500,"&lt;&gt;"))</f>
        <v/>
      </c>
      <c r="K115" s="13">
        <f>IF(A115="","",IF(B115="","CEK id_fixture tidak ada di DAFTAR_FIXTURE",IF(I115="zona tidak ada di layout","CEK zona_no / jenis_fixture",IF(D115&lt;&gt;I115,"CEK jenis_zona",IF(E115="","Zona kosong",IF(F115="","CEK nama kosong","OK"))))))</f>
        <v/>
      </c>
    </row>
    <row r="116">
      <c r="A116" s="9" t="inlineStr">
        <is>
          <t>PLT-01</t>
        </is>
      </c>
      <c r="B116" s="10">
        <f>IF(A116="","",IFERROR(INDEX(DAFTAR_FIXTURE!$B$2:$B$51,MATCH(A116,DAFTAR_FIXTURE!$A$2:$A$51,0)),""))</f>
        <v/>
      </c>
      <c r="C116" s="11" t="n">
        <v>1</v>
      </c>
      <c r="D116" s="11" t="inlineStr">
        <is>
          <t>Rak</t>
        </is>
      </c>
      <c r="E116" s="12" t="inlineStr">
        <is>
          <t>10099887</t>
        </is>
      </c>
      <c r="F116" s="9" t="inlineStr">
        <is>
          <t>ELAN WATER GLASS SET 414ML (6)</t>
        </is>
      </c>
      <c r="G116" s="11" t="inlineStr">
        <is>
          <t>rak</t>
        </is>
      </c>
      <c r="H116" s="10">
        <f>IF(E116="","","https://cdn.ruparupa.io/fit-in/850x850/ruparupa-com/image/upload/Products/"&amp;E116&amp;"_1.jpg")</f>
        <v/>
      </c>
      <c r="I116" s="10">
        <f>IF(OR(B116="",C116=""),"",IFERROR(INDEX(LAYOUT!$D$2:$D$34,MATCH(B116&amp;"|"&amp;C116,LAYOUT!$E$2:$E$34,0)),"zona tidak ada di layout"))</f>
        <v/>
      </c>
      <c r="J116" s="13">
        <f>IF(OR(A116="",E116=""),"",COUNTIFS($A$2:$A$500,A116,$C$2:$C$500,C116,$E$2:$E$500,"&lt;&gt;"))</f>
        <v/>
      </c>
      <c r="K116" s="13">
        <f>IF(A116="","",IF(B116="","CEK id_fixture tidak ada di DAFTAR_FIXTURE",IF(I116="zona tidak ada di layout","CEK zona_no / jenis_fixture",IF(D116&lt;&gt;I116,"CEK jenis_zona",IF(E116="","Zona kosong",IF(F116="","CEK nama kosong","OK"))))))</f>
        <v/>
      </c>
    </row>
    <row r="117">
      <c r="A117" s="9" t="inlineStr">
        <is>
          <t>PLT-01</t>
        </is>
      </c>
      <c r="B117" s="10">
        <f>IF(A117="","",IFERROR(INDEX(DAFTAR_FIXTURE!$B$2:$B$51,MATCH(A117,DAFTAR_FIXTURE!$A$2:$A$51,0)),""))</f>
        <v/>
      </c>
      <c r="C117" s="11" t="n">
        <v>1</v>
      </c>
      <c r="D117" s="11" t="inlineStr">
        <is>
          <t>Rak</t>
        </is>
      </c>
      <c r="E117" s="12" t="inlineStr">
        <is>
          <t>10099940</t>
        </is>
      </c>
      <c r="F117" s="9" t="inlineStr">
        <is>
          <t>INVERNESS WATER GLASS SET 355ML (6)</t>
        </is>
      </c>
      <c r="G117" s="11" t="inlineStr">
        <is>
          <t>rak</t>
        </is>
      </c>
      <c r="H117" s="10">
        <f>IF(E117="","","https://cdn.ruparupa.io/fit-in/850x850/ruparupa-com/image/upload/Products/"&amp;E117&amp;"_1.jpg")</f>
        <v/>
      </c>
      <c r="I117" s="10">
        <f>IF(OR(B117="",C117=""),"",IFERROR(INDEX(LAYOUT!$D$2:$D$34,MATCH(B117&amp;"|"&amp;C117,LAYOUT!$E$2:$E$34,0)),"zona tidak ada di layout"))</f>
        <v/>
      </c>
      <c r="J117" s="13">
        <f>IF(OR(A117="",E117=""),"",COUNTIFS($A$2:$A$500,A117,$C$2:$C$500,C117,$E$2:$E$500,"&lt;&gt;"))</f>
        <v/>
      </c>
      <c r="K117" s="13">
        <f>IF(A117="","",IF(B117="","CEK id_fixture tidak ada di DAFTAR_FIXTURE",IF(I117="zona tidak ada di layout","CEK zona_no / jenis_fixture",IF(D117&lt;&gt;I117,"CEK jenis_zona",IF(E117="","Zona kosong",IF(F117="","CEK nama kosong","OK"))))))</f>
        <v/>
      </c>
    </row>
    <row r="118">
      <c r="A118" s="9" t="n"/>
      <c r="B118" s="10">
        <f>IF(A118="","",IFERROR(INDEX(DAFTAR_FIXTURE!$B$2:$B$51,MATCH(A118,DAFTAR_FIXTURE!$A$2:$A$51,0)),""))</f>
        <v/>
      </c>
      <c r="C118" s="11" t="n"/>
      <c r="D118" s="11" t="n"/>
      <c r="E118" s="12" t="n"/>
      <c r="F118" s="9" t="n"/>
      <c r="G118" s="11" t="n"/>
      <c r="H118" s="10">
        <f>IF(E118="","","https://cdn.ruparupa.io/fit-in/850x850/ruparupa-com/image/upload/Products/"&amp;E118&amp;"_1.jpg")</f>
        <v/>
      </c>
      <c r="I118" s="10">
        <f>IF(OR(B118="",C118=""),"",IFERROR(INDEX(LAYOUT!$D$2:$D$34,MATCH(B118&amp;"|"&amp;C118,LAYOUT!$E$2:$E$34,0)),"zona tidak ada di layout"))</f>
        <v/>
      </c>
      <c r="J118" s="13">
        <f>IF(OR(A118="",E118=""),"",COUNTIFS($A$2:$A$500,A118,$C$2:$C$500,C118,$E$2:$E$500,"&lt;&gt;"))</f>
        <v/>
      </c>
      <c r="K118" s="13">
        <f>IF(A118="","",IF(B118="","CEK id_fixture tidak ada di DAFTAR_FIXTURE",IF(I118="zona tidak ada di layout","CEK zona_no / jenis_fixture",IF(D118&lt;&gt;I118,"CEK jenis_zona",IF(E118="","Zona kosong",IF(F118="","CEK nama kosong","OK"))))))</f>
        <v/>
      </c>
    </row>
    <row r="119">
      <c r="A119" s="9" t="n"/>
      <c r="B119" s="10">
        <f>IF(A119="","",IFERROR(INDEX(DAFTAR_FIXTURE!$B$2:$B$51,MATCH(A119,DAFTAR_FIXTURE!$A$2:$A$51,0)),""))</f>
        <v/>
      </c>
      <c r="C119" s="11" t="n"/>
      <c r="D119" s="11" t="n"/>
      <c r="E119" s="12" t="n"/>
      <c r="F119" s="9" t="n"/>
      <c r="G119" s="11" t="n"/>
      <c r="H119" s="10">
        <f>IF(E119="","","https://cdn.ruparupa.io/fit-in/850x850/ruparupa-com/image/upload/Products/"&amp;E119&amp;"_1.jpg")</f>
        <v/>
      </c>
      <c r="I119" s="10">
        <f>IF(OR(B119="",C119=""),"",IFERROR(INDEX(LAYOUT!$D$2:$D$34,MATCH(B119&amp;"|"&amp;C119,LAYOUT!$E$2:$E$34,0)),"zona tidak ada di layout"))</f>
        <v/>
      </c>
      <c r="J119" s="13">
        <f>IF(OR(A119="",E119=""),"",COUNTIFS($A$2:$A$500,A119,$C$2:$C$500,C119,$E$2:$E$500,"&lt;&gt;"))</f>
        <v/>
      </c>
      <c r="K119" s="13">
        <f>IF(A119="","",IF(B119="","CEK id_fixture tidak ada di DAFTAR_FIXTURE",IF(I119="zona tidak ada di layout","CEK zona_no / jenis_fixture",IF(D119&lt;&gt;I119,"CEK jenis_zona",IF(E119="","Zona kosong",IF(F119="","CEK nama kosong","OK"))))))</f>
        <v/>
      </c>
    </row>
    <row r="120">
      <c r="A120" s="9" t="n"/>
      <c r="B120" s="10">
        <f>IF(A120="","",IFERROR(INDEX(DAFTAR_FIXTURE!$B$2:$B$51,MATCH(A120,DAFTAR_FIXTURE!$A$2:$A$51,0)),""))</f>
        <v/>
      </c>
      <c r="C120" s="11" t="n"/>
      <c r="D120" s="11" t="n"/>
      <c r="E120" s="12" t="n"/>
      <c r="F120" s="9" t="n"/>
      <c r="G120" s="11" t="n"/>
      <c r="H120" s="10">
        <f>IF(E120="","","https://cdn.ruparupa.io/fit-in/850x850/ruparupa-com/image/upload/Products/"&amp;E120&amp;"_1.jpg")</f>
        <v/>
      </c>
      <c r="I120" s="10">
        <f>IF(OR(B120="",C120=""),"",IFERROR(INDEX(LAYOUT!$D$2:$D$34,MATCH(B120&amp;"|"&amp;C120,LAYOUT!$E$2:$E$34,0)),"zona tidak ada di layout"))</f>
        <v/>
      </c>
      <c r="J120" s="13">
        <f>IF(OR(A120="",E120=""),"",COUNTIFS($A$2:$A$500,A120,$C$2:$C$500,C120,$E$2:$E$500,"&lt;&gt;"))</f>
        <v/>
      </c>
      <c r="K120" s="13">
        <f>IF(A120="","",IF(B120="","CEK id_fixture tidak ada di DAFTAR_FIXTURE",IF(I120="zona tidak ada di layout","CEK zona_no / jenis_fixture",IF(D120&lt;&gt;I120,"CEK jenis_zona",IF(E120="","Zona kosong",IF(F120="","CEK nama kosong","OK"))))))</f>
        <v/>
      </c>
    </row>
    <row r="121">
      <c r="A121" s="9" t="n"/>
      <c r="B121" s="10">
        <f>IF(A121="","",IFERROR(INDEX(DAFTAR_FIXTURE!$B$2:$B$51,MATCH(A121,DAFTAR_FIXTURE!$A$2:$A$51,0)),""))</f>
        <v/>
      </c>
      <c r="C121" s="11" t="n"/>
      <c r="D121" s="11" t="n"/>
      <c r="E121" s="12" t="n"/>
      <c r="F121" s="9" t="n"/>
      <c r="G121" s="11" t="n"/>
      <c r="H121" s="10">
        <f>IF(E121="","","https://cdn.ruparupa.io/fit-in/850x850/ruparupa-com/image/upload/Products/"&amp;E121&amp;"_1.jpg")</f>
        <v/>
      </c>
      <c r="I121" s="10">
        <f>IF(OR(B121="",C121=""),"",IFERROR(INDEX(LAYOUT!$D$2:$D$34,MATCH(B121&amp;"|"&amp;C121,LAYOUT!$E$2:$E$34,0)),"zona tidak ada di layout"))</f>
        <v/>
      </c>
      <c r="J121" s="13">
        <f>IF(OR(A121="",E121=""),"",COUNTIFS($A$2:$A$500,A121,$C$2:$C$500,C121,$E$2:$E$500,"&lt;&gt;"))</f>
        <v/>
      </c>
      <c r="K121" s="13">
        <f>IF(A121="","",IF(B121="","CEK id_fixture tidak ada di DAFTAR_FIXTURE",IF(I121="zona tidak ada di layout","CEK zona_no / jenis_fixture",IF(D121&lt;&gt;I121,"CEK jenis_zona",IF(E121="","Zona kosong",IF(F121="","CEK nama kosong","OK"))))))</f>
        <v/>
      </c>
    </row>
    <row r="122">
      <c r="A122" s="9" t="n"/>
      <c r="B122" s="10">
        <f>IF(A122="","",IFERROR(INDEX(DAFTAR_FIXTURE!$B$2:$B$51,MATCH(A122,DAFTAR_FIXTURE!$A$2:$A$51,0)),""))</f>
        <v/>
      </c>
      <c r="C122" s="11" t="n"/>
      <c r="D122" s="11" t="n"/>
      <c r="E122" s="12" t="n"/>
      <c r="F122" s="9" t="n"/>
      <c r="G122" s="11" t="n"/>
      <c r="H122" s="10">
        <f>IF(E122="","","https://cdn.ruparupa.io/fit-in/850x850/ruparupa-com/image/upload/Products/"&amp;E122&amp;"_1.jpg")</f>
        <v/>
      </c>
      <c r="I122" s="10">
        <f>IF(OR(B122="",C122=""),"",IFERROR(INDEX(LAYOUT!$D$2:$D$34,MATCH(B122&amp;"|"&amp;C122,LAYOUT!$E$2:$E$34,0)),"zona tidak ada di layout"))</f>
        <v/>
      </c>
      <c r="J122" s="13">
        <f>IF(OR(A122="",E122=""),"",COUNTIFS($A$2:$A$500,A122,$C$2:$C$500,C122,$E$2:$E$500,"&lt;&gt;"))</f>
        <v/>
      </c>
      <c r="K122" s="13">
        <f>IF(A122="","",IF(B122="","CEK id_fixture tidak ada di DAFTAR_FIXTURE",IF(I122="zona tidak ada di layout","CEK zona_no / jenis_fixture",IF(D122&lt;&gt;I122,"CEK jenis_zona",IF(E122="","Zona kosong",IF(F122="","CEK nama kosong","OK"))))))</f>
        <v/>
      </c>
    </row>
    <row r="123">
      <c r="A123" s="9" t="n"/>
      <c r="B123" s="10">
        <f>IF(A123="","",IFERROR(INDEX(DAFTAR_FIXTURE!$B$2:$B$51,MATCH(A123,DAFTAR_FIXTURE!$A$2:$A$51,0)),""))</f>
        <v/>
      </c>
      <c r="C123" s="11" t="n"/>
      <c r="D123" s="11" t="n"/>
      <c r="E123" s="12" t="n"/>
      <c r="F123" s="9" t="n"/>
      <c r="G123" s="11" t="n"/>
      <c r="H123" s="10">
        <f>IF(E123="","","https://cdn.ruparupa.io/fit-in/850x850/ruparupa-com/image/upload/Products/"&amp;E123&amp;"_1.jpg")</f>
        <v/>
      </c>
      <c r="I123" s="10">
        <f>IF(OR(B123="",C123=""),"",IFERROR(INDEX(LAYOUT!$D$2:$D$34,MATCH(B123&amp;"|"&amp;C123,LAYOUT!$E$2:$E$34,0)),"zona tidak ada di layout"))</f>
        <v/>
      </c>
      <c r="J123" s="13">
        <f>IF(OR(A123="",E123=""),"",COUNTIFS($A$2:$A$500,A123,$C$2:$C$500,C123,$E$2:$E$500,"&lt;&gt;"))</f>
        <v/>
      </c>
      <c r="K123" s="13">
        <f>IF(A123="","",IF(B123="","CEK id_fixture tidak ada di DAFTAR_FIXTURE",IF(I123="zona tidak ada di layout","CEK zona_no / jenis_fixture",IF(D123&lt;&gt;I123,"CEK jenis_zona",IF(E123="","Zona kosong",IF(F123="","CEK nama kosong","OK"))))))</f>
        <v/>
      </c>
    </row>
    <row r="124">
      <c r="A124" s="9" t="n"/>
      <c r="B124" s="10">
        <f>IF(A124="","",IFERROR(INDEX(DAFTAR_FIXTURE!$B$2:$B$51,MATCH(A124,DAFTAR_FIXTURE!$A$2:$A$51,0)),""))</f>
        <v/>
      </c>
      <c r="C124" s="11" t="n"/>
      <c r="D124" s="11" t="n"/>
      <c r="E124" s="12" t="n"/>
      <c r="F124" s="9" t="n"/>
      <c r="G124" s="11" t="n"/>
      <c r="H124" s="10">
        <f>IF(E124="","","https://cdn.ruparupa.io/fit-in/850x850/ruparupa-com/image/upload/Products/"&amp;E124&amp;"_1.jpg")</f>
        <v/>
      </c>
      <c r="I124" s="10">
        <f>IF(OR(B124="",C124=""),"",IFERROR(INDEX(LAYOUT!$D$2:$D$34,MATCH(B124&amp;"|"&amp;C124,LAYOUT!$E$2:$E$34,0)),"zona tidak ada di layout"))</f>
        <v/>
      </c>
      <c r="J124" s="13">
        <f>IF(OR(A124="",E124=""),"",COUNTIFS($A$2:$A$500,A124,$C$2:$C$500,C124,$E$2:$E$500,"&lt;&gt;"))</f>
        <v/>
      </c>
      <c r="K124" s="13">
        <f>IF(A124="","",IF(B124="","CEK id_fixture tidak ada di DAFTAR_FIXTURE",IF(I124="zona tidak ada di layout","CEK zona_no / jenis_fixture",IF(D124&lt;&gt;I124,"CEK jenis_zona",IF(E124="","Zona kosong",IF(F124="","CEK nama kosong","OK"))))))</f>
        <v/>
      </c>
    </row>
    <row r="125">
      <c r="A125" s="9" t="n"/>
      <c r="B125" s="10">
        <f>IF(A125="","",IFERROR(INDEX(DAFTAR_FIXTURE!$B$2:$B$51,MATCH(A125,DAFTAR_FIXTURE!$A$2:$A$51,0)),""))</f>
        <v/>
      </c>
      <c r="C125" s="11" t="n"/>
      <c r="D125" s="11" t="n"/>
      <c r="E125" s="12" t="n"/>
      <c r="F125" s="9" t="n"/>
      <c r="G125" s="11" t="n"/>
      <c r="H125" s="10">
        <f>IF(E125="","","https://cdn.ruparupa.io/fit-in/850x850/ruparupa-com/image/upload/Products/"&amp;E125&amp;"_1.jpg")</f>
        <v/>
      </c>
      <c r="I125" s="10">
        <f>IF(OR(B125="",C125=""),"",IFERROR(INDEX(LAYOUT!$D$2:$D$34,MATCH(B125&amp;"|"&amp;C125,LAYOUT!$E$2:$E$34,0)),"zona tidak ada di layout"))</f>
        <v/>
      </c>
      <c r="J125" s="13">
        <f>IF(OR(A125="",E125=""),"",COUNTIFS($A$2:$A$500,A125,$C$2:$C$500,C125,$E$2:$E$500,"&lt;&gt;"))</f>
        <v/>
      </c>
      <c r="K125" s="13">
        <f>IF(A125="","",IF(B125="","CEK id_fixture tidak ada di DAFTAR_FIXTURE",IF(I125="zona tidak ada di layout","CEK zona_no / jenis_fixture",IF(D125&lt;&gt;I125,"CEK jenis_zona",IF(E125="","Zona kosong",IF(F125="","CEK nama kosong","OK"))))))</f>
        <v/>
      </c>
    </row>
    <row r="126">
      <c r="A126" s="9" t="n"/>
      <c r="B126" s="10">
        <f>IF(A126="","",IFERROR(INDEX(DAFTAR_FIXTURE!$B$2:$B$51,MATCH(A126,DAFTAR_FIXTURE!$A$2:$A$51,0)),""))</f>
        <v/>
      </c>
      <c r="C126" s="11" t="n"/>
      <c r="D126" s="11" t="n"/>
      <c r="E126" s="12" t="n"/>
      <c r="F126" s="9" t="n"/>
      <c r="G126" s="11" t="n"/>
      <c r="H126" s="10">
        <f>IF(E126="","","https://cdn.ruparupa.io/fit-in/850x850/ruparupa-com/image/upload/Products/"&amp;E126&amp;"_1.jpg")</f>
        <v/>
      </c>
      <c r="I126" s="10">
        <f>IF(OR(B126="",C126=""),"",IFERROR(INDEX(LAYOUT!$D$2:$D$34,MATCH(B126&amp;"|"&amp;C126,LAYOUT!$E$2:$E$34,0)),"zona tidak ada di layout"))</f>
        <v/>
      </c>
      <c r="J126" s="13">
        <f>IF(OR(A126="",E126=""),"",COUNTIFS($A$2:$A$500,A126,$C$2:$C$500,C126,$E$2:$E$500,"&lt;&gt;"))</f>
        <v/>
      </c>
      <c r="K126" s="13">
        <f>IF(A126="","",IF(B126="","CEK id_fixture tidak ada di DAFTAR_FIXTURE",IF(I126="zona tidak ada di layout","CEK zona_no / jenis_fixture",IF(D126&lt;&gt;I126,"CEK jenis_zona",IF(E126="","Zona kosong",IF(F126="","CEK nama kosong","OK"))))))</f>
        <v/>
      </c>
    </row>
    <row r="127">
      <c r="A127" s="9" t="n"/>
      <c r="B127" s="10">
        <f>IF(A127="","",IFERROR(INDEX(DAFTAR_FIXTURE!$B$2:$B$51,MATCH(A127,DAFTAR_FIXTURE!$A$2:$A$51,0)),""))</f>
        <v/>
      </c>
      <c r="C127" s="11" t="n"/>
      <c r="D127" s="11" t="n"/>
      <c r="E127" s="12" t="n"/>
      <c r="F127" s="9" t="n"/>
      <c r="G127" s="11" t="n"/>
      <c r="H127" s="10">
        <f>IF(E127="","","https://cdn.ruparupa.io/fit-in/850x850/ruparupa-com/image/upload/Products/"&amp;E127&amp;"_1.jpg")</f>
        <v/>
      </c>
      <c r="I127" s="10">
        <f>IF(OR(B127="",C127=""),"",IFERROR(INDEX(LAYOUT!$D$2:$D$34,MATCH(B127&amp;"|"&amp;C127,LAYOUT!$E$2:$E$34,0)),"zona tidak ada di layout"))</f>
        <v/>
      </c>
      <c r="J127" s="13">
        <f>IF(OR(A127="",E127=""),"",COUNTIFS($A$2:$A$500,A127,$C$2:$C$500,C127,$E$2:$E$500,"&lt;&gt;"))</f>
        <v/>
      </c>
      <c r="K127" s="13">
        <f>IF(A127="","",IF(B127="","CEK id_fixture tidak ada di DAFTAR_FIXTURE",IF(I127="zona tidak ada di layout","CEK zona_no / jenis_fixture",IF(D127&lt;&gt;I127,"CEK jenis_zona",IF(E127="","Zona kosong",IF(F127="","CEK nama kosong","OK"))))))</f>
        <v/>
      </c>
    </row>
    <row r="128">
      <c r="A128" s="9" t="n"/>
      <c r="B128" s="10">
        <f>IF(A128="","",IFERROR(INDEX(DAFTAR_FIXTURE!$B$2:$B$51,MATCH(A128,DAFTAR_FIXTURE!$A$2:$A$51,0)),""))</f>
        <v/>
      </c>
      <c r="C128" s="11" t="n"/>
      <c r="D128" s="11" t="n"/>
      <c r="E128" s="12" t="n"/>
      <c r="F128" s="9" t="n"/>
      <c r="G128" s="11" t="n"/>
      <c r="H128" s="10">
        <f>IF(E128="","","https://cdn.ruparupa.io/fit-in/850x850/ruparupa-com/image/upload/Products/"&amp;E128&amp;"_1.jpg")</f>
        <v/>
      </c>
      <c r="I128" s="10">
        <f>IF(OR(B128="",C128=""),"",IFERROR(INDEX(LAYOUT!$D$2:$D$34,MATCH(B128&amp;"|"&amp;C128,LAYOUT!$E$2:$E$34,0)),"zona tidak ada di layout"))</f>
        <v/>
      </c>
      <c r="J128" s="13">
        <f>IF(OR(A128="",E128=""),"",COUNTIFS($A$2:$A$500,A128,$C$2:$C$500,C128,$E$2:$E$500,"&lt;&gt;"))</f>
        <v/>
      </c>
      <c r="K128" s="13">
        <f>IF(A128="","",IF(B128="","CEK id_fixture tidak ada di DAFTAR_FIXTURE",IF(I128="zona tidak ada di layout","CEK zona_no / jenis_fixture",IF(D128&lt;&gt;I128,"CEK jenis_zona",IF(E128="","Zona kosong",IF(F128="","CEK nama kosong","OK"))))))</f>
        <v/>
      </c>
    </row>
    <row r="129">
      <c r="A129" s="9" t="n"/>
      <c r="B129" s="10">
        <f>IF(A129="","",IFERROR(INDEX(DAFTAR_FIXTURE!$B$2:$B$51,MATCH(A129,DAFTAR_FIXTURE!$A$2:$A$51,0)),""))</f>
        <v/>
      </c>
      <c r="C129" s="11" t="n"/>
      <c r="D129" s="11" t="n"/>
      <c r="E129" s="12" t="n"/>
      <c r="F129" s="9" t="n"/>
      <c r="G129" s="11" t="n"/>
      <c r="H129" s="10">
        <f>IF(E129="","","https://cdn.ruparupa.io/fit-in/850x850/ruparupa-com/image/upload/Products/"&amp;E129&amp;"_1.jpg")</f>
        <v/>
      </c>
      <c r="I129" s="10">
        <f>IF(OR(B129="",C129=""),"",IFERROR(INDEX(LAYOUT!$D$2:$D$34,MATCH(B129&amp;"|"&amp;C129,LAYOUT!$E$2:$E$34,0)),"zona tidak ada di layout"))</f>
        <v/>
      </c>
      <c r="J129" s="13">
        <f>IF(OR(A129="",E129=""),"",COUNTIFS($A$2:$A$500,A129,$C$2:$C$500,C129,$E$2:$E$500,"&lt;&gt;"))</f>
        <v/>
      </c>
      <c r="K129" s="13">
        <f>IF(A129="","",IF(B129="","CEK id_fixture tidak ada di DAFTAR_FIXTURE",IF(I129="zona tidak ada di layout","CEK zona_no / jenis_fixture",IF(D129&lt;&gt;I129,"CEK jenis_zona",IF(E129="","Zona kosong",IF(F129="","CEK nama kosong","OK"))))))</f>
        <v/>
      </c>
    </row>
    <row r="130">
      <c r="A130" s="9" t="n"/>
      <c r="B130" s="10">
        <f>IF(A130="","",IFERROR(INDEX(DAFTAR_FIXTURE!$B$2:$B$51,MATCH(A130,DAFTAR_FIXTURE!$A$2:$A$51,0)),""))</f>
        <v/>
      </c>
      <c r="C130" s="11" t="n"/>
      <c r="D130" s="11" t="n"/>
      <c r="E130" s="12" t="n"/>
      <c r="F130" s="9" t="n"/>
      <c r="G130" s="11" t="n"/>
      <c r="H130" s="10">
        <f>IF(E130="","","https://cdn.ruparupa.io/fit-in/850x850/ruparupa-com/image/upload/Products/"&amp;E130&amp;"_1.jpg")</f>
        <v/>
      </c>
      <c r="I130" s="10">
        <f>IF(OR(B130="",C130=""),"",IFERROR(INDEX(LAYOUT!$D$2:$D$34,MATCH(B130&amp;"|"&amp;C130,LAYOUT!$E$2:$E$34,0)),"zona tidak ada di layout"))</f>
        <v/>
      </c>
      <c r="J130" s="13">
        <f>IF(OR(A130="",E130=""),"",COUNTIFS($A$2:$A$500,A130,$C$2:$C$500,C130,$E$2:$E$500,"&lt;&gt;"))</f>
        <v/>
      </c>
      <c r="K130" s="13">
        <f>IF(A130="","",IF(B130="","CEK id_fixture tidak ada di DAFTAR_FIXTURE",IF(I130="zona tidak ada di layout","CEK zona_no / jenis_fixture",IF(D130&lt;&gt;I130,"CEK jenis_zona",IF(E130="","Zona kosong",IF(F130="","CEK nama kosong","OK"))))))</f>
        <v/>
      </c>
    </row>
    <row r="131">
      <c r="A131" s="9" t="n"/>
      <c r="B131" s="10">
        <f>IF(A131="","",IFERROR(INDEX(DAFTAR_FIXTURE!$B$2:$B$51,MATCH(A131,DAFTAR_FIXTURE!$A$2:$A$51,0)),""))</f>
        <v/>
      </c>
      <c r="C131" s="11" t="n"/>
      <c r="D131" s="11" t="n"/>
      <c r="E131" s="12" t="n"/>
      <c r="F131" s="9" t="n"/>
      <c r="G131" s="11" t="n"/>
      <c r="H131" s="10">
        <f>IF(E131="","","https://cdn.ruparupa.io/fit-in/850x850/ruparupa-com/image/upload/Products/"&amp;E131&amp;"_1.jpg")</f>
        <v/>
      </c>
      <c r="I131" s="10">
        <f>IF(OR(B131="",C131=""),"",IFERROR(INDEX(LAYOUT!$D$2:$D$34,MATCH(B131&amp;"|"&amp;C131,LAYOUT!$E$2:$E$34,0)),"zona tidak ada di layout"))</f>
        <v/>
      </c>
      <c r="J131" s="13">
        <f>IF(OR(A131="",E131=""),"",COUNTIFS($A$2:$A$500,A131,$C$2:$C$500,C131,$E$2:$E$500,"&lt;&gt;"))</f>
        <v/>
      </c>
      <c r="K131" s="13">
        <f>IF(A131="","",IF(B131="","CEK id_fixture tidak ada di DAFTAR_FIXTURE",IF(I131="zona tidak ada di layout","CEK zona_no / jenis_fixture",IF(D131&lt;&gt;I131,"CEK jenis_zona",IF(E131="","Zona kosong",IF(F131="","CEK nama kosong","OK"))))))</f>
        <v/>
      </c>
    </row>
    <row r="132">
      <c r="A132" s="9" t="n"/>
      <c r="B132" s="10">
        <f>IF(A132="","",IFERROR(INDEX(DAFTAR_FIXTURE!$B$2:$B$51,MATCH(A132,DAFTAR_FIXTURE!$A$2:$A$51,0)),""))</f>
        <v/>
      </c>
      <c r="C132" s="11" t="n"/>
      <c r="D132" s="11" t="n"/>
      <c r="E132" s="12" t="n"/>
      <c r="F132" s="9" t="n"/>
      <c r="G132" s="11" t="n"/>
      <c r="H132" s="10">
        <f>IF(E132="","","https://cdn.ruparupa.io/fit-in/850x850/ruparupa-com/image/upload/Products/"&amp;E132&amp;"_1.jpg")</f>
        <v/>
      </c>
      <c r="I132" s="10">
        <f>IF(OR(B132="",C132=""),"",IFERROR(INDEX(LAYOUT!$D$2:$D$34,MATCH(B132&amp;"|"&amp;C132,LAYOUT!$E$2:$E$34,0)),"zona tidak ada di layout"))</f>
        <v/>
      </c>
      <c r="J132" s="13">
        <f>IF(OR(A132="",E132=""),"",COUNTIFS($A$2:$A$500,A132,$C$2:$C$500,C132,$E$2:$E$500,"&lt;&gt;"))</f>
        <v/>
      </c>
      <c r="K132" s="13">
        <f>IF(A132="","",IF(B132="","CEK id_fixture tidak ada di DAFTAR_FIXTURE",IF(I132="zona tidak ada di layout","CEK zona_no / jenis_fixture",IF(D132&lt;&gt;I132,"CEK jenis_zona",IF(E132="","Zona kosong",IF(F132="","CEK nama kosong","OK"))))))</f>
        <v/>
      </c>
    </row>
    <row r="133">
      <c r="A133" s="9" t="n"/>
      <c r="B133" s="10">
        <f>IF(A133="","",IFERROR(INDEX(DAFTAR_FIXTURE!$B$2:$B$51,MATCH(A133,DAFTAR_FIXTURE!$A$2:$A$51,0)),""))</f>
        <v/>
      </c>
      <c r="C133" s="11" t="n"/>
      <c r="D133" s="11" t="n"/>
      <c r="E133" s="12" t="n"/>
      <c r="F133" s="9" t="n"/>
      <c r="G133" s="11" t="n"/>
      <c r="H133" s="10">
        <f>IF(E133="","","https://cdn.ruparupa.io/fit-in/850x850/ruparupa-com/image/upload/Products/"&amp;E133&amp;"_1.jpg")</f>
        <v/>
      </c>
      <c r="I133" s="10">
        <f>IF(OR(B133="",C133=""),"",IFERROR(INDEX(LAYOUT!$D$2:$D$34,MATCH(B133&amp;"|"&amp;C133,LAYOUT!$E$2:$E$34,0)),"zona tidak ada di layout"))</f>
        <v/>
      </c>
      <c r="J133" s="13">
        <f>IF(OR(A133="",E133=""),"",COUNTIFS($A$2:$A$500,A133,$C$2:$C$500,C133,$E$2:$E$500,"&lt;&gt;"))</f>
        <v/>
      </c>
      <c r="K133" s="13">
        <f>IF(A133="","",IF(B133="","CEK id_fixture tidak ada di DAFTAR_FIXTURE",IF(I133="zona tidak ada di layout","CEK zona_no / jenis_fixture",IF(D133&lt;&gt;I133,"CEK jenis_zona",IF(E133="","Zona kosong",IF(F133="","CEK nama kosong","OK"))))))</f>
        <v/>
      </c>
    </row>
    <row r="134">
      <c r="A134" s="9" t="n"/>
      <c r="B134" s="10">
        <f>IF(A134="","",IFERROR(INDEX(DAFTAR_FIXTURE!$B$2:$B$51,MATCH(A134,DAFTAR_FIXTURE!$A$2:$A$51,0)),""))</f>
        <v/>
      </c>
      <c r="C134" s="11" t="n"/>
      <c r="D134" s="11" t="n"/>
      <c r="E134" s="12" t="n"/>
      <c r="F134" s="9" t="n"/>
      <c r="G134" s="11" t="n"/>
      <c r="H134" s="10">
        <f>IF(E134="","","https://cdn.ruparupa.io/fit-in/850x850/ruparupa-com/image/upload/Products/"&amp;E134&amp;"_1.jpg")</f>
        <v/>
      </c>
      <c r="I134" s="10">
        <f>IF(OR(B134="",C134=""),"",IFERROR(INDEX(LAYOUT!$D$2:$D$34,MATCH(B134&amp;"|"&amp;C134,LAYOUT!$E$2:$E$34,0)),"zona tidak ada di layout"))</f>
        <v/>
      </c>
      <c r="J134" s="13">
        <f>IF(OR(A134="",E134=""),"",COUNTIFS($A$2:$A$500,A134,$C$2:$C$500,C134,$E$2:$E$500,"&lt;&gt;"))</f>
        <v/>
      </c>
      <c r="K134" s="13">
        <f>IF(A134="","",IF(B134="","CEK id_fixture tidak ada di DAFTAR_FIXTURE",IF(I134="zona tidak ada di layout","CEK zona_no / jenis_fixture",IF(D134&lt;&gt;I134,"CEK jenis_zona",IF(E134="","Zona kosong",IF(F134="","CEK nama kosong","OK"))))))</f>
        <v/>
      </c>
    </row>
    <row r="135">
      <c r="A135" s="9" t="n"/>
      <c r="B135" s="10">
        <f>IF(A135="","",IFERROR(INDEX(DAFTAR_FIXTURE!$B$2:$B$51,MATCH(A135,DAFTAR_FIXTURE!$A$2:$A$51,0)),""))</f>
        <v/>
      </c>
      <c r="C135" s="11" t="n"/>
      <c r="D135" s="11" t="n"/>
      <c r="E135" s="12" t="n"/>
      <c r="F135" s="9" t="n"/>
      <c r="G135" s="11" t="n"/>
      <c r="H135" s="10">
        <f>IF(E135="","","https://cdn.ruparupa.io/fit-in/850x850/ruparupa-com/image/upload/Products/"&amp;E135&amp;"_1.jpg")</f>
        <v/>
      </c>
      <c r="I135" s="10">
        <f>IF(OR(B135="",C135=""),"",IFERROR(INDEX(LAYOUT!$D$2:$D$34,MATCH(B135&amp;"|"&amp;C135,LAYOUT!$E$2:$E$34,0)),"zona tidak ada di layout"))</f>
        <v/>
      </c>
      <c r="J135" s="13">
        <f>IF(OR(A135="",E135=""),"",COUNTIFS($A$2:$A$500,A135,$C$2:$C$500,C135,$E$2:$E$500,"&lt;&gt;"))</f>
        <v/>
      </c>
      <c r="K135" s="13">
        <f>IF(A135="","",IF(B135="","CEK id_fixture tidak ada di DAFTAR_FIXTURE",IF(I135="zona tidak ada di layout","CEK zona_no / jenis_fixture",IF(D135&lt;&gt;I135,"CEK jenis_zona",IF(E135="","Zona kosong",IF(F135="","CEK nama kosong","OK"))))))</f>
        <v/>
      </c>
    </row>
    <row r="136">
      <c r="A136" s="9" t="n"/>
      <c r="B136" s="10">
        <f>IF(A136="","",IFERROR(INDEX(DAFTAR_FIXTURE!$B$2:$B$51,MATCH(A136,DAFTAR_FIXTURE!$A$2:$A$51,0)),""))</f>
        <v/>
      </c>
      <c r="C136" s="11" t="n"/>
      <c r="D136" s="11" t="n"/>
      <c r="E136" s="12" t="n"/>
      <c r="F136" s="9" t="n"/>
      <c r="G136" s="11" t="n"/>
      <c r="H136" s="10">
        <f>IF(E136="","","https://cdn.ruparupa.io/fit-in/850x850/ruparupa-com/image/upload/Products/"&amp;E136&amp;"_1.jpg")</f>
        <v/>
      </c>
      <c r="I136" s="10">
        <f>IF(OR(B136="",C136=""),"",IFERROR(INDEX(LAYOUT!$D$2:$D$34,MATCH(B136&amp;"|"&amp;C136,LAYOUT!$E$2:$E$34,0)),"zona tidak ada di layout"))</f>
        <v/>
      </c>
      <c r="J136" s="13">
        <f>IF(OR(A136="",E136=""),"",COUNTIFS($A$2:$A$500,A136,$C$2:$C$500,C136,$E$2:$E$500,"&lt;&gt;"))</f>
        <v/>
      </c>
      <c r="K136" s="13">
        <f>IF(A136="","",IF(B136="","CEK id_fixture tidak ada di DAFTAR_FIXTURE",IF(I136="zona tidak ada di layout","CEK zona_no / jenis_fixture",IF(D136&lt;&gt;I136,"CEK jenis_zona",IF(E136="","Zona kosong",IF(F136="","CEK nama kosong","OK"))))))</f>
        <v/>
      </c>
    </row>
    <row r="137">
      <c r="A137" s="9" t="n"/>
      <c r="B137" s="10">
        <f>IF(A137="","",IFERROR(INDEX(DAFTAR_FIXTURE!$B$2:$B$51,MATCH(A137,DAFTAR_FIXTURE!$A$2:$A$51,0)),""))</f>
        <v/>
      </c>
      <c r="C137" s="11" t="n"/>
      <c r="D137" s="11" t="n"/>
      <c r="E137" s="12" t="n"/>
      <c r="F137" s="9" t="n"/>
      <c r="G137" s="11" t="n"/>
      <c r="H137" s="10">
        <f>IF(E137="","","https://cdn.ruparupa.io/fit-in/850x850/ruparupa-com/image/upload/Products/"&amp;E137&amp;"_1.jpg")</f>
        <v/>
      </c>
      <c r="I137" s="10">
        <f>IF(OR(B137="",C137=""),"",IFERROR(INDEX(LAYOUT!$D$2:$D$34,MATCH(B137&amp;"|"&amp;C137,LAYOUT!$E$2:$E$34,0)),"zona tidak ada di layout"))</f>
        <v/>
      </c>
      <c r="J137" s="13">
        <f>IF(OR(A137="",E137=""),"",COUNTIFS($A$2:$A$500,A137,$C$2:$C$500,C137,$E$2:$E$500,"&lt;&gt;"))</f>
        <v/>
      </c>
      <c r="K137" s="13">
        <f>IF(A137="","",IF(B137="","CEK id_fixture tidak ada di DAFTAR_FIXTURE",IF(I137="zona tidak ada di layout","CEK zona_no / jenis_fixture",IF(D137&lt;&gt;I137,"CEK jenis_zona",IF(E137="","Zona kosong",IF(F137="","CEK nama kosong","OK"))))))</f>
        <v/>
      </c>
    </row>
    <row r="138">
      <c r="A138" s="9" t="n"/>
      <c r="B138" s="10">
        <f>IF(A138="","",IFERROR(INDEX(DAFTAR_FIXTURE!$B$2:$B$51,MATCH(A138,DAFTAR_FIXTURE!$A$2:$A$51,0)),""))</f>
        <v/>
      </c>
      <c r="C138" s="11" t="n"/>
      <c r="D138" s="11" t="n"/>
      <c r="E138" s="12" t="n"/>
      <c r="F138" s="9" t="n"/>
      <c r="G138" s="11" t="n"/>
      <c r="H138" s="10">
        <f>IF(E138="","","https://cdn.ruparupa.io/fit-in/850x850/ruparupa-com/image/upload/Products/"&amp;E138&amp;"_1.jpg")</f>
        <v/>
      </c>
      <c r="I138" s="10">
        <f>IF(OR(B138="",C138=""),"",IFERROR(INDEX(LAYOUT!$D$2:$D$34,MATCH(B138&amp;"|"&amp;C138,LAYOUT!$E$2:$E$34,0)),"zona tidak ada di layout"))</f>
        <v/>
      </c>
      <c r="J138" s="13">
        <f>IF(OR(A138="",E138=""),"",COUNTIFS($A$2:$A$500,A138,$C$2:$C$500,C138,$E$2:$E$500,"&lt;&gt;"))</f>
        <v/>
      </c>
      <c r="K138" s="13">
        <f>IF(A138="","",IF(B138="","CEK id_fixture tidak ada di DAFTAR_FIXTURE",IF(I138="zona tidak ada di layout","CEK zona_no / jenis_fixture",IF(D138&lt;&gt;I138,"CEK jenis_zona",IF(E138="","Zona kosong",IF(F138="","CEK nama kosong","OK"))))))</f>
        <v/>
      </c>
    </row>
    <row r="139">
      <c r="A139" s="9" t="n"/>
      <c r="B139" s="10">
        <f>IF(A139="","",IFERROR(INDEX(DAFTAR_FIXTURE!$B$2:$B$51,MATCH(A139,DAFTAR_FIXTURE!$A$2:$A$51,0)),""))</f>
        <v/>
      </c>
      <c r="C139" s="11" t="n"/>
      <c r="D139" s="11" t="n"/>
      <c r="E139" s="12" t="n"/>
      <c r="F139" s="9" t="n"/>
      <c r="G139" s="11" t="n"/>
      <c r="H139" s="10">
        <f>IF(E139="","","https://cdn.ruparupa.io/fit-in/850x850/ruparupa-com/image/upload/Products/"&amp;E139&amp;"_1.jpg")</f>
        <v/>
      </c>
      <c r="I139" s="10">
        <f>IF(OR(B139="",C139=""),"",IFERROR(INDEX(LAYOUT!$D$2:$D$34,MATCH(B139&amp;"|"&amp;C139,LAYOUT!$E$2:$E$34,0)),"zona tidak ada di layout"))</f>
        <v/>
      </c>
      <c r="J139" s="13">
        <f>IF(OR(A139="",E139=""),"",COUNTIFS($A$2:$A$500,A139,$C$2:$C$500,C139,$E$2:$E$500,"&lt;&gt;"))</f>
        <v/>
      </c>
      <c r="K139" s="13">
        <f>IF(A139="","",IF(B139="","CEK id_fixture tidak ada di DAFTAR_FIXTURE",IF(I139="zona tidak ada di layout","CEK zona_no / jenis_fixture",IF(D139&lt;&gt;I139,"CEK jenis_zona",IF(E139="","Zona kosong",IF(F139="","CEK nama kosong","OK"))))))</f>
        <v/>
      </c>
    </row>
    <row r="140">
      <c r="A140" s="9" t="n"/>
      <c r="B140" s="10">
        <f>IF(A140="","",IFERROR(INDEX(DAFTAR_FIXTURE!$B$2:$B$51,MATCH(A140,DAFTAR_FIXTURE!$A$2:$A$51,0)),""))</f>
        <v/>
      </c>
      <c r="C140" s="11" t="n"/>
      <c r="D140" s="11" t="n"/>
      <c r="E140" s="12" t="n"/>
      <c r="F140" s="9" t="n"/>
      <c r="G140" s="11" t="n"/>
      <c r="H140" s="10">
        <f>IF(E140="","","https://cdn.ruparupa.io/fit-in/850x850/ruparupa-com/image/upload/Products/"&amp;E140&amp;"_1.jpg")</f>
        <v/>
      </c>
      <c r="I140" s="10">
        <f>IF(OR(B140="",C140=""),"",IFERROR(INDEX(LAYOUT!$D$2:$D$34,MATCH(B140&amp;"|"&amp;C140,LAYOUT!$E$2:$E$34,0)),"zona tidak ada di layout"))</f>
        <v/>
      </c>
      <c r="J140" s="13">
        <f>IF(OR(A140="",E140=""),"",COUNTIFS($A$2:$A$500,A140,$C$2:$C$500,C140,$E$2:$E$500,"&lt;&gt;"))</f>
        <v/>
      </c>
      <c r="K140" s="13">
        <f>IF(A140="","",IF(B140="","CEK id_fixture tidak ada di DAFTAR_FIXTURE",IF(I140="zona tidak ada di layout","CEK zona_no / jenis_fixture",IF(D140&lt;&gt;I140,"CEK jenis_zona",IF(E140="","Zona kosong",IF(F140="","CEK nama kosong","OK"))))))</f>
        <v/>
      </c>
    </row>
    <row r="141">
      <c r="A141" s="9" t="n"/>
      <c r="B141" s="10">
        <f>IF(A141="","",IFERROR(INDEX(DAFTAR_FIXTURE!$B$2:$B$51,MATCH(A141,DAFTAR_FIXTURE!$A$2:$A$51,0)),""))</f>
        <v/>
      </c>
      <c r="C141" s="11" t="n"/>
      <c r="D141" s="11" t="n"/>
      <c r="E141" s="12" t="n"/>
      <c r="F141" s="9" t="n"/>
      <c r="G141" s="11" t="n"/>
      <c r="H141" s="10">
        <f>IF(E141="","","https://cdn.ruparupa.io/fit-in/850x850/ruparupa-com/image/upload/Products/"&amp;E141&amp;"_1.jpg")</f>
        <v/>
      </c>
      <c r="I141" s="10">
        <f>IF(OR(B141="",C141=""),"",IFERROR(INDEX(LAYOUT!$D$2:$D$34,MATCH(B141&amp;"|"&amp;C141,LAYOUT!$E$2:$E$34,0)),"zona tidak ada di layout"))</f>
        <v/>
      </c>
      <c r="J141" s="13">
        <f>IF(OR(A141="",E141=""),"",COUNTIFS($A$2:$A$500,A141,$C$2:$C$500,C141,$E$2:$E$500,"&lt;&gt;"))</f>
        <v/>
      </c>
      <c r="K141" s="13">
        <f>IF(A141="","",IF(B141="","CEK id_fixture tidak ada di DAFTAR_FIXTURE",IF(I141="zona tidak ada di layout","CEK zona_no / jenis_fixture",IF(D141&lt;&gt;I141,"CEK jenis_zona",IF(E141="","Zona kosong",IF(F141="","CEK nama kosong","OK"))))))</f>
        <v/>
      </c>
    </row>
    <row r="142">
      <c r="A142" s="9" t="n"/>
      <c r="B142" s="10">
        <f>IF(A142="","",IFERROR(INDEX(DAFTAR_FIXTURE!$B$2:$B$51,MATCH(A142,DAFTAR_FIXTURE!$A$2:$A$51,0)),""))</f>
        <v/>
      </c>
      <c r="C142" s="11" t="n"/>
      <c r="D142" s="11" t="n"/>
      <c r="E142" s="12" t="n"/>
      <c r="F142" s="9" t="n"/>
      <c r="G142" s="11" t="n"/>
      <c r="H142" s="10">
        <f>IF(E142="","","https://cdn.ruparupa.io/fit-in/850x850/ruparupa-com/image/upload/Products/"&amp;E142&amp;"_1.jpg")</f>
        <v/>
      </c>
      <c r="I142" s="10">
        <f>IF(OR(B142="",C142=""),"",IFERROR(INDEX(LAYOUT!$D$2:$D$34,MATCH(B142&amp;"|"&amp;C142,LAYOUT!$E$2:$E$34,0)),"zona tidak ada di layout"))</f>
        <v/>
      </c>
      <c r="J142" s="13">
        <f>IF(OR(A142="",E142=""),"",COUNTIFS($A$2:$A$500,A142,$C$2:$C$500,C142,$E$2:$E$500,"&lt;&gt;"))</f>
        <v/>
      </c>
      <c r="K142" s="13">
        <f>IF(A142="","",IF(B142="","CEK id_fixture tidak ada di DAFTAR_FIXTURE",IF(I142="zona tidak ada di layout","CEK zona_no / jenis_fixture",IF(D142&lt;&gt;I142,"CEK jenis_zona",IF(E142="","Zona kosong",IF(F142="","CEK nama kosong","OK"))))))</f>
        <v/>
      </c>
    </row>
    <row r="143">
      <c r="A143" s="9" t="n"/>
      <c r="B143" s="10">
        <f>IF(A143="","",IFERROR(INDEX(DAFTAR_FIXTURE!$B$2:$B$51,MATCH(A143,DAFTAR_FIXTURE!$A$2:$A$51,0)),""))</f>
        <v/>
      </c>
      <c r="C143" s="11" t="n"/>
      <c r="D143" s="11" t="n"/>
      <c r="E143" s="12" t="n"/>
      <c r="F143" s="9" t="n"/>
      <c r="G143" s="11" t="n"/>
      <c r="H143" s="10">
        <f>IF(E143="","","https://cdn.ruparupa.io/fit-in/850x850/ruparupa-com/image/upload/Products/"&amp;E143&amp;"_1.jpg")</f>
        <v/>
      </c>
      <c r="I143" s="10">
        <f>IF(OR(B143="",C143=""),"",IFERROR(INDEX(LAYOUT!$D$2:$D$34,MATCH(B143&amp;"|"&amp;C143,LAYOUT!$E$2:$E$34,0)),"zona tidak ada di layout"))</f>
        <v/>
      </c>
      <c r="J143" s="13">
        <f>IF(OR(A143="",E143=""),"",COUNTIFS($A$2:$A$500,A143,$C$2:$C$500,C143,$E$2:$E$500,"&lt;&gt;"))</f>
        <v/>
      </c>
      <c r="K143" s="13">
        <f>IF(A143="","",IF(B143="","CEK id_fixture tidak ada di DAFTAR_FIXTURE",IF(I143="zona tidak ada di layout","CEK zona_no / jenis_fixture",IF(D143&lt;&gt;I143,"CEK jenis_zona",IF(E143="","Zona kosong",IF(F143="","CEK nama kosong","OK"))))))</f>
        <v/>
      </c>
    </row>
    <row r="144">
      <c r="A144" s="9" t="n"/>
      <c r="B144" s="10">
        <f>IF(A144="","",IFERROR(INDEX(DAFTAR_FIXTURE!$B$2:$B$51,MATCH(A144,DAFTAR_FIXTURE!$A$2:$A$51,0)),""))</f>
        <v/>
      </c>
      <c r="C144" s="11" t="n"/>
      <c r="D144" s="11" t="n"/>
      <c r="E144" s="12" t="n"/>
      <c r="F144" s="9" t="n"/>
      <c r="G144" s="11" t="n"/>
      <c r="H144" s="10">
        <f>IF(E144="","","https://cdn.ruparupa.io/fit-in/850x850/ruparupa-com/image/upload/Products/"&amp;E144&amp;"_1.jpg")</f>
        <v/>
      </c>
      <c r="I144" s="10">
        <f>IF(OR(B144="",C144=""),"",IFERROR(INDEX(LAYOUT!$D$2:$D$34,MATCH(B144&amp;"|"&amp;C144,LAYOUT!$E$2:$E$34,0)),"zona tidak ada di layout"))</f>
        <v/>
      </c>
      <c r="J144" s="13">
        <f>IF(OR(A144="",E144=""),"",COUNTIFS($A$2:$A$500,A144,$C$2:$C$500,C144,$E$2:$E$500,"&lt;&gt;"))</f>
        <v/>
      </c>
      <c r="K144" s="13">
        <f>IF(A144="","",IF(B144="","CEK id_fixture tidak ada di DAFTAR_FIXTURE",IF(I144="zona tidak ada di layout","CEK zona_no / jenis_fixture",IF(D144&lt;&gt;I144,"CEK jenis_zona",IF(E144="","Zona kosong",IF(F144="","CEK nama kosong","OK"))))))</f>
        <v/>
      </c>
    </row>
    <row r="145">
      <c r="A145" s="9" t="n"/>
      <c r="B145" s="10">
        <f>IF(A145="","",IFERROR(INDEX(DAFTAR_FIXTURE!$B$2:$B$51,MATCH(A145,DAFTAR_FIXTURE!$A$2:$A$51,0)),""))</f>
        <v/>
      </c>
      <c r="C145" s="11" t="n"/>
      <c r="D145" s="11" t="n"/>
      <c r="E145" s="12" t="n"/>
      <c r="F145" s="9" t="n"/>
      <c r="G145" s="11" t="n"/>
      <c r="H145" s="10">
        <f>IF(E145="","","https://cdn.ruparupa.io/fit-in/850x850/ruparupa-com/image/upload/Products/"&amp;E145&amp;"_1.jpg")</f>
        <v/>
      </c>
      <c r="I145" s="10">
        <f>IF(OR(B145="",C145=""),"",IFERROR(INDEX(LAYOUT!$D$2:$D$34,MATCH(B145&amp;"|"&amp;C145,LAYOUT!$E$2:$E$34,0)),"zona tidak ada di layout"))</f>
        <v/>
      </c>
      <c r="J145" s="13">
        <f>IF(OR(A145="",E145=""),"",COUNTIFS($A$2:$A$500,A145,$C$2:$C$500,C145,$E$2:$E$500,"&lt;&gt;"))</f>
        <v/>
      </c>
      <c r="K145" s="13">
        <f>IF(A145="","",IF(B145="","CEK id_fixture tidak ada di DAFTAR_FIXTURE",IF(I145="zona tidak ada di layout","CEK zona_no / jenis_fixture",IF(D145&lt;&gt;I145,"CEK jenis_zona",IF(E145="","Zona kosong",IF(F145="","CEK nama kosong","OK"))))))</f>
        <v/>
      </c>
    </row>
    <row r="146">
      <c r="A146" s="9" t="n"/>
      <c r="B146" s="10">
        <f>IF(A146="","",IFERROR(INDEX(DAFTAR_FIXTURE!$B$2:$B$51,MATCH(A146,DAFTAR_FIXTURE!$A$2:$A$51,0)),""))</f>
        <v/>
      </c>
      <c r="C146" s="11" t="n"/>
      <c r="D146" s="11" t="n"/>
      <c r="E146" s="12" t="n"/>
      <c r="F146" s="9" t="n"/>
      <c r="G146" s="11" t="n"/>
      <c r="H146" s="10">
        <f>IF(E146="","","https://cdn.ruparupa.io/fit-in/850x850/ruparupa-com/image/upload/Products/"&amp;E146&amp;"_1.jpg")</f>
        <v/>
      </c>
      <c r="I146" s="10">
        <f>IF(OR(B146="",C146=""),"",IFERROR(INDEX(LAYOUT!$D$2:$D$34,MATCH(B146&amp;"|"&amp;C146,LAYOUT!$E$2:$E$34,0)),"zona tidak ada di layout"))</f>
        <v/>
      </c>
      <c r="J146" s="13">
        <f>IF(OR(A146="",E146=""),"",COUNTIFS($A$2:$A$500,A146,$C$2:$C$500,C146,$E$2:$E$500,"&lt;&gt;"))</f>
        <v/>
      </c>
      <c r="K146" s="13">
        <f>IF(A146="","",IF(B146="","CEK id_fixture tidak ada di DAFTAR_FIXTURE",IF(I146="zona tidak ada di layout","CEK zona_no / jenis_fixture",IF(D146&lt;&gt;I146,"CEK jenis_zona",IF(E146="","Zona kosong",IF(F146="","CEK nama kosong","OK"))))))</f>
        <v/>
      </c>
    </row>
    <row r="147">
      <c r="A147" s="9" t="n"/>
      <c r="B147" s="10">
        <f>IF(A147="","",IFERROR(INDEX(DAFTAR_FIXTURE!$B$2:$B$51,MATCH(A147,DAFTAR_FIXTURE!$A$2:$A$51,0)),""))</f>
        <v/>
      </c>
      <c r="C147" s="11" t="n"/>
      <c r="D147" s="11" t="n"/>
      <c r="E147" s="12" t="n"/>
      <c r="F147" s="9" t="n"/>
      <c r="G147" s="11" t="n"/>
      <c r="H147" s="10">
        <f>IF(E147="","","https://cdn.ruparupa.io/fit-in/850x850/ruparupa-com/image/upload/Products/"&amp;E147&amp;"_1.jpg")</f>
        <v/>
      </c>
      <c r="I147" s="10">
        <f>IF(OR(B147="",C147=""),"",IFERROR(INDEX(LAYOUT!$D$2:$D$34,MATCH(B147&amp;"|"&amp;C147,LAYOUT!$E$2:$E$34,0)),"zona tidak ada di layout"))</f>
        <v/>
      </c>
      <c r="J147" s="13">
        <f>IF(OR(A147="",E147=""),"",COUNTIFS($A$2:$A$500,A147,$C$2:$C$500,C147,$E$2:$E$500,"&lt;&gt;"))</f>
        <v/>
      </c>
      <c r="K147" s="13">
        <f>IF(A147="","",IF(B147="","CEK id_fixture tidak ada di DAFTAR_FIXTURE",IF(I147="zona tidak ada di layout","CEK zona_no / jenis_fixture",IF(D147&lt;&gt;I147,"CEK jenis_zona",IF(E147="","Zona kosong",IF(F147="","CEK nama kosong","OK"))))))</f>
        <v/>
      </c>
    </row>
    <row r="148">
      <c r="A148" s="9" t="n"/>
      <c r="B148" s="10">
        <f>IF(A148="","",IFERROR(INDEX(DAFTAR_FIXTURE!$B$2:$B$51,MATCH(A148,DAFTAR_FIXTURE!$A$2:$A$51,0)),""))</f>
        <v/>
      </c>
      <c r="C148" s="11" t="n"/>
      <c r="D148" s="11" t="n"/>
      <c r="E148" s="12" t="n"/>
      <c r="F148" s="9" t="n"/>
      <c r="G148" s="11" t="n"/>
      <c r="H148" s="10">
        <f>IF(E148="","","https://cdn.ruparupa.io/fit-in/850x850/ruparupa-com/image/upload/Products/"&amp;E148&amp;"_1.jpg")</f>
        <v/>
      </c>
      <c r="I148" s="10">
        <f>IF(OR(B148="",C148=""),"",IFERROR(INDEX(LAYOUT!$D$2:$D$34,MATCH(B148&amp;"|"&amp;C148,LAYOUT!$E$2:$E$34,0)),"zona tidak ada di layout"))</f>
        <v/>
      </c>
      <c r="J148" s="13">
        <f>IF(OR(A148="",E148=""),"",COUNTIFS($A$2:$A$500,A148,$C$2:$C$500,C148,$E$2:$E$500,"&lt;&gt;"))</f>
        <v/>
      </c>
      <c r="K148" s="13">
        <f>IF(A148="","",IF(B148="","CEK id_fixture tidak ada di DAFTAR_FIXTURE",IF(I148="zona tidak ada di layout","CEK zona_no / jenis_fixture",IF(D148&lt;&gt;I148,"CEK jenis_zona",IF(E148="","Zona kosong",IF(F148="","CEK nama kosong","OK"))))))</f>
        <v/>
      </c>
    </row>
    <row r="149">
      <c r="A149" s="9" t="n"/>
      <c r="B149" s="10">
        <f>IF(A149="","",IFERROR(INDEX(DAFTAR_FIXTURE!$B$2:$B$51,MATCH(A149,DAFTAR_FIXTURE!$A$2:$A$51,0)),""))</f>
        <v/>
      </c>
      <c r="C149" s="11" t="n"/>
      <c r="D149" s="11" t="n"/>
      <c r="E149" s="12" t="n"/>
      <c r="F149" s="9" t="n"/>
      <c r="G149" s="11" t="n"/>
      <c r="H149" s="10">
        <f>IF(E149="","","https://cdn.ruparupa.io/fit-in/850x850/ruparupa-com/image/upload/Products/"&amp;E149&amp;"_1.jpg")</f>
        <v/>
      </c>
      <c r="I149" s="10">
        <f>IF(OR(B149="",C149=""),"",IFERROR(INDEX(LAYOUT!$D$2:$D$34,MATCH(B149&amp;"|"&amp;C149,LAYOUT!$E$2:$E$34,0)),"zona tidak ada di layout"))</f>
        <v/>
      </c>
      <c r="J149" s="13">
        <f>IF(OR(A149="",E149=""),"",COUNTIFS($A$2:$A$500,A149,$C$2:$C$500,C149,$E$2:$E$500,"&lt;&gt;"))</f>
        <v/>
      </c>
      <c r="K149" s="13">
        <f>IF(A149="","",IF(B149="","CEK id_fixture tidak ada di DAFTAR_FIXTURE",IF(I149="zona tidak ada di layout","CEK zona_no / jenis_fixture",IF(D149&lt;&gt;I149,"CEK jenis_zona",IF(E149="","Zona kosong",IF(F149="","CEK nama kosong","OK"))))))</f>
        <v/>
      </c>
    </row>
    <row r="150">
      <c r="A150" s="9" t="n"/>
      <c r="B150" s="10">
        <f>IF(A150="","",IFERROR(INDEX(DAFTAR_FIXTURE!$B$2:$B$51,MATCH(A150,DAFTAR_FIXTURE!$A$2:$A$51,0)),""))</f>
        <v/>
      </c>
      <c r="C150" s="11" t="n"/>
      <c r="D150" s="11" t="n"/>
      <c r="E150" s="12" t="n"/>
      <c r="F150" s="9" t="n"/>
      <c r="G150" s="11" t="n"/>
      <c r="H150" s="10">
        <f>IF(E150="","","https://cdn.ruparupa.io/fit-in/850x850/ruparupa-com/image/upload/Products/"&amp;E150&amp;"_1.jpg")</f>
        <v/>
      </c>
      <c r="I150" s="10">
        <f>IF(OR(B150="",C150=""),"",IFERROR(INDEX(LAYOUT!$D$2:$D$34,MATCH(B150&amp;"|"&amp;C150,LAYOUT!$E$2:$E$34,0)),"zona tidak ada di layout"))</f>
        <v/>
      </c>
      <c r="J150" s="13">
        <f>IF(OR(A150="",E150=""),"",COUNTIFS($A$2:$A$500,A150,$C$2:$C$500,C150,$E$2:$E$500,"&lt;&gt;"))</f>
        <v/>
      </c>
      <c r="K150" s="13">
        <f>IF(A150="","",IF(B150="","CEK id_fixture tidak ada di DAFTAR_FIXTURE",IF(I150="zona tidak ada di layout","CEK zona_no / jenis_fixture",IF(D150&lt;&gt;I150,"CEK jenis_zona",IF(E150="","Zona kosong",IF(F150="","CEK nama kosong","OK"))))))</f>
        <v/>
      </c>
    </row>
    <row r="151">
      <c r="A151" s="9" t="n"/>
      <c r="B151" s="10">
        <f>IF(A151="","",IFERROR(INDEX(DAFTAR_FIXTURE!$B$2:$B$51,MATCH(A151,DAFTAR_FIXTURE!$A$2:$A$51,0)),""))</f>
        <v/>
      </c>
      <c r="C151" s="11" t="n"/>
      <c r="D151" s="11" t="n"/>
      <c r="E151" s="12" t="n"/>
      <c r="F151" s="9" t="n"/>
      <c r="G151" s="11" t="n"/>
      <c r="H151" s="10">
        <f>IF(E151="","","https://cdn.ruparupa.io/fit-in/850x850/ruparupa-com/image/upload/Products/"&amp;E151&amp;"_1.jpg")</f>
        <v/>
      </c>
      <c r="I151" s="10">
        <f>IF(OR(B151="",C151=""),"",IFERROR(INDEX(LAYOUT!$D$2:$D$34,MATCH(B151&amp;"|"&amp;C151,LAYOUT!$E$2:$E$34,0)),"zona tidak ada di layout"))</f>
        <v/>
      </c>
      <c r="J151" s="13">
        <f>IF(OR(A151="",E151=""),"",COUNTIFS($A$2:$A$500,A151,$C$2:$C$500,C151,$E$2:$E$500,"&lt;&gt;"))</f>
        <v/>
      </c>
      <c r="K151" s="13">
        <f>IF(A151="","",IF(B151="","CEK id_fixture tidak ada di DAFTAR_FIXTURE",IF(I151="zona tidak ada di layout","CEK zona_no / jenis_fixture",IF(D151&lt;&gt;I151,"CEK jenis_zona",IF(E151="","Zona kosong",IF(F151="","CEK nama kosong","OK"))))))</f>
        <v/>
      </c>
    </row>
    <row r="152">
      <c r="A152" s="9" t="n"/>
      <c r="B152" s="10">
        <f>IF(A152="","",IFERROR(INDEX(DAFTAR_FIXTURE!$B$2:$B$51,MATCH(A152,DAFTAR_FIXTURE!$A$2:$A$51,0)),""))</f>
        <v/>
      </c>
      <c r="C152" s="11" t="n"/>
      <c r="D152" s="11" t="n"/>
      <c r="E152" s="12" t="n"/>
      <c r="F152" s="9" t="n"/>
      <c r="G152" s="11" t="n"/>
      <c r="H152" s="10">
        <f>IF(E152="","","https://cdn.ruparupa.io/fit-in/850x850/ruparupa-com/image/upload/Products/"&amp;E152&amp;"_1.jpg")</f>
        <v/>
      </c>
      <c r="I152" s="10">
        <f>IF(OR(B152="",C152=""),"",IFERROR(INDEX(LAYOUT!$D$2:$D$34,MATCH(B152&amp;"|"&amp;C152,LAYOUT!$E$2:$E$34,0)),"zona tidak ada di layout"))</f>
        <v/>
      </c>
      <c r="J152" s="13">
        <f>IF(OR(A152="",E152=""),"",COUNTIFS($A$2:$A$500,A152,$C$2:$C$500,C152,$E$2:$E$500,"&lt;&gt;"))</f>
        <v/>
      </c>
      <c r="K152" s="13">
        <f>IF(A152="","",IF(B152="","CEK id_fixture tidak ada di DAFTAR_FIXTURE",IF(I152="zona tidak ada di layout","CEK zona_no / jenis_fixture",IF(D152&lt;&gt;I152,"CEK jenis_zona",IF(E152="","Zona kosong",IF(F152="","CEK nama kosong","OK"))))))</f>
        <v/>
      </c>
    </row>
    <row r="153">
      <c r="A153" s="9" t="n"/>
      <c r="B153" s="10">
        <f>IF(A153="","",IFERROR(INDEX(DAFTAR_FIXTURE!$B$2:$B$51,MATCH(A153,DAFTAR_FIXTURE!$A$2:$A$51,0)),""))</f>
        <v/>
      </c>
      <c r="C153" s="11" t="n"/>
      <c r="D153" s="11" t="n"/>
      <c r="E153" s="12" t="n"/>
      <c r="F153" s="9" t="n"/>
      <c r="G153" s="11" t="n"/>
      <c r="H153" s="10">
        <f>IF(E153="","","https://cdn.ruparupa.io/fit-in/850x850/ruparupa-com/image/upload/Products/"&amp;E153&amp;"_1.jpg")</f>
        <v/>
      </c>
      <c r="I153" s="10">
        <f>IF(OR(B153="",C153=""),"",IFERROR(INDEX(LAYOUT!$D$2:$D$34,MATCH(B153&amp;"|"&amp;C153,LAYOUT!$E$2:$E$34,0)),"zona tidak ada di layout"))</f>
        <v/>
      </c>
      <c r="J153" s="13">
        <f>IF(OR(A153="",E153=""),"",COUNTIFS($A$2:$A$500,A153,$C$2:$C$500,C153,$E$2:$E$500,"&lt;&gt;"))</f>
        <v/>
      </c>
      <c r="K153" s="13">
        <f>IF(A153="","",IF(B153="","CEK id_fixture tidak ada di DAFTAR_FIXTURE",IF(I153="zona tidak ada di layout","CEK zona_no / jenis_fixture",IF(D153&lt;&gt;I153,"CEK jenis_zona",IF(E153="","Zona kosong",IF(F153="","CEK nama kosong","OK"))))))</f>
        <v/>
      </c>
    </row>
    <row r="154">
      <c r="A154" s="9" t="n"/>
      <c r="B154" s="10">
        <f>IF(A154="","",IFERROR(INDEX(DAFTAR_FIXTURE!$B$2:$B$51,MATCH(A154,DAFTAR_FIXTURE!$A$2:$A$51,0)),""))</f>
        <v/>
      </c>
      <c r="C154" s="11" t="n"/>
      <c r="D154" s="11" t="n"/>
      <c r="E154" s="12" t="n"/>
      <c r="F154" s="9" t="n"/>
      <c r="G154" s="11" t="n"/>
      <c r="H154" s="10">
        <f>IF(E154="","","https://cdn.ruparupa.io/fit-in/850x850/ruparupa-com/image/upload/Products/"&amp;E154&amp;"_1.jpg")</f>
        <v/>
      </c>
      <c r="I154" s="10">
        <f>IF(OR(B154="",C154=""),"",IFERROR(INDEX(LAYOUT!$D$2:$D$34,MATCH(B154&amp;"|"&amp;C154,LAYOUT!$E$2:$E$34,0)),"zona tidak ada di layout"))</f>
        <v/>
      </c>
      <c r="J154" s="13">
        <f>IF(OR(A154="",E154=""),"",COUNTIFS($A$2:$A$500,A154,$C$2:$C$500,C154,$E$2:$E$500,"&lt;&gt;"))</f>
        <v/>
      </c>
      <c r="K154" s="13">
        <f>IF(A154="","",IF(B154="","CEK id_fixture tidak ada di DAFTAR_FIXTURE",IF(I154="zona tidak ada di layout","CEK zona_no / jenis_fixture",IF(D154&lt;&gt;I154,"CEK jenis_zona",IF(E154="","Zona kosong",IF(F154="","CEK nama kosong","OK"))))))</f>
        <v/>
      </c>
    </row>
    <row r="155">
      <c r="A155" s="9" t="n"/>
      <c r="B155" s="10">
        <f>IF(A155="","",IFERROR(INDEX(DAFTAR_FIXTURE!$B$2:$B$51,MATCH(A155,DAFTAR_FIXTURE!$A$2:$A$51,0)),""))</f>
        <v/>
      </c>
      <c r="C155" s="11" t="n"/>
      <c r="D155" s="11" t="n"/>
      <c r="E155" s="12" t="n"/>
      <c r="F155" s="9" t="n"/>
      <c r="G155" s="11" t="n"/>
      <c r="H155" s="10">
        <f>IF(E155="","","https://cdn.ruparupa.io/fit-in/850x850/ruparupa-com/image/upload/Products/"&amp;E155&amp;"_1.jpg")</f>
        <v/>
      </c>
      <c r="I155" s="10">
        <f>IF(OR(B155="",C155=""),"",IFERROR(INDEX(LAYOUT!$D$2:$D$34,MATCH(B155&amp;"|"&amp;C155,LAYOUT!$E$2:$E$34,0)),"zona tidak ada di layout"))</f>
        <v/>
      </c>
      <c r="J155" s="13">
        <f>IF(OR(A155="",E155=""),"",COUNTIFS($A$2:$A$500,A155,$C$2:$C$500,C155,$E$2:$E$500,"&lt;&gt;"))</f>
        <v/>
      </c>
      <c r="K155" s="13">
        <f>IF(A155="","",IF(B155="","CEK id_fixture tidak ada di DAFTAR_FIXTURE",IF(I155="zona tidak ada di layout","CEK zona_no / jenis_fixture",IF(D155&lt;&gt;I155,"CEK jenis_zona",IF(E155="","Zona kosong",IF(F155="","CEK nama kosong","OK"))))))</f>
        <v/>
      </c>
    </row>
    <row r="156">
      <c r="A156" s="9" t="n"/>
      <c r="B156" s="10">
        <f>IF(A156="","",IFERROR(INDEX(DAFTAR_FIXTURE!$B$2:$B$51,MATCH(A156,DAFTAR_FIXTURE!$A$2:$A$51,0)),""))</f>
        <v/>
      </c>
      <c r="C156" s="11" t="n"/>
      <c r="D156" s="11" t="n"/>
      <c r="E156" s="12" t="n"/>
      <c r="F156" s="9" t="n"/>
      <c r="G156" s="11" t="n"/>
      <c r="H156" s="10">
        <f>IF(E156="","","https://cdn.ruparupa.io/fit-in/850x850/ruparupa-com/image/upload/Products/"&amp;E156&amp;"_1.jpg")</f>
        <v/>
      </c>
      <c r="I156" s="10">
        <f>IF(OR(B156="",C156=""),"",IFERROR(INDEX(LAYOUT!$D$2:$D$34,MATCH(B156&amp;"|"&amp;C156,LAYOUT!$E$2:$E$34,0)),"zona tidak ada di layout"))</f>
        <v/>
      </c>
      <c r="J156" s="13">
        <f>IF(OR(A156="",E156=""),"",COUNTIFS($A$2:$A$500,A156,$C$2:$C$500,C156,$E$2:$E$500,"&lt;&gt;"))</f>
        <v/>
      </c>
      <c r="K156" s="13">
        <f>IF(A156="","",IF(B156="","CEK id_fixture tidak ada di DAFTAR_FIXTURE",IF(I156="zona tidak ada di layout","CEK zona_no / jenis_fixture",IF(D156&lt;&gt;I156,"CEK jenis_zona",IF(E156="","Zona kosong",IF(F156="","CEK nama kosong","OK"))))))</f>
        <v/>
      </c>
    </row>
    <row r="157">
      <c r="A157" s="9" t="n"/>
      <c r="B157" s="10">
        <f>IF(A157="","",IFERROR(INDEX(DAFTAR_FIXTURE!$B$2:$B$51,MATCH(A157,DAFTAR_FIXTURE!$A$2:$A$51,0)),""))</f>
        <v/>
      </c>
      <c r="C157" s="11" t="n"/>
      <c r="D157" s="11" t="n"/>
      <c r="E157" s="12" t="n"/>
      <c r="F157" s="9" t="n"/>
      <c r="G157" s="11" t="n"/>
      <c r="H157" s="10">
        <f>IF(E157="","","https://cdn.ruparupa.io/fit-in/850x850/ruparupa-com/image/upload/Products/"&amp;E157&amp;"_1.jpg")</f>
        <v/>
      </c>
      <c r="I157" s="10">
        <f>IF(OR(B157="",C157=""),"",IFERROR(INDEX(LAYOUT!$D$2:$D$34,MATCH(B157&amp;"|"&amp;C157,LAYOUT!$E$2:$E$34,0)),"zona tidak ada di layout"))</f>
        <v/>
      </c>
      <c r="J157" s="13">
        <f>IF(OR(A157="",E157=""),"",COUNTIFS($A$2:$A$500,A157,$C$2:$C$500,C157,$E$2:$E$500,"&lt;&gt;"))</f>
        <v/>
      </c>
      <c r="K157" s="13">
        <f>IF(A157="","",IF(B157="","CEK id_fixture tidak ada di DAFTAR_FIXTURE",IF(I157="zona tidak ada di layout","CEK zona_no / jenis_fixture",IF(D157&lt;&gt;I157,"CEK jenis_zona",IF(E157="","Zona kosong",IF(F157="","CEK nama kosong","OK"))))))</f>
        <v/>
      </c>
    </row>
    <row r="158">
      <c r="A158" s="9" t="n"/>
      <c r="B158" s="10">
        <f>IF(A158="","",IFERROR(INDEX(DAFTAR_FIXTURE!$B$2:$B$51,MATCH(A158,DAFTAR_FIXTURE!$A$2:$A$51,0)),""))</f>
        <v/>
      </c>
      <c r="C158" s="11" t="n"/>
      <c r="D158" s="11" t="n"/>
      <c r="E158" s="12" t="n"/>
      <c r="F158" s="9" t="n"/>
      <c r="G158" s="11" t="n"/>
      <c r="H158" s="10">
        <f>IF(E158="","","https://cdn.ruparupa.io/fit-in/850x850/ruparupa-com/image/upload/Products/"&amp;E158&amp;"_1.jpg")</f>
        <v/>
      </c>
      <c r="I158" s="10">
        <f>IF(OR(B158="",C158=""),"",IFERROR(INDEX(LAYOUT!$D$2:$D$34,MATCH(B158&amp;"|"&amp;C158,LAYOUT!$E$2:$E$34,0)),"zona tidak ada di layout"))</f>
        <v/>
      </c>
      <c r="J158" s="13">
        <f>IF(OR(A158="",E158=""),"",COUNTIFS($A$2:$A$500,A158,$C$2:$C$500,C158,$E$2:$E$500,"&lt;&gt;"))</f>
        <v/>
      </c>
      <c r="K158" s="13">
        <f>IF(A158="","",IF(B158="","CEK id_fixture tidak ada di DAFTAR_FIXTURE",IF(I158="zona tidak ada di layout","CEK zona_no / jenis_fixture",IF(D158&lt;&gt;I158,"CEK jenis_zona",IF(E158="","Zona kosong",IF(F158="","CEK nama kosong","OK"))))))</f>
        <v/>
      </c>
    </row>
    <row r="159">
      <c r="A159" s="9" t="n"/>
      <c r="B159" s="10">
        <f>IF(A159="","",IFERROR(INDEX(DAFTAR_FIXTURE!$B$2:$B$51,MATCH(A159,DAFTAR_FIXTURE!$A$2:$A$51,0)),""))</f>
        <v/>
      </c>
      <c r="C159" s="11" t="n"/>
      <c r="D159" s="11" t="n"/>
      <c r="E159" s="12" t="n"/>
      <c r="F159" s="9" t="n"/>
      <c r="G159" s="11" t="n"/>
      <c r="H159" s="10">
        <f>IF(E159="","","https://cdn.ruparupa.io/fit-in/850x850/ruparupa-com/image/upload/Products/"&amp;E159&amp;"_1.jpg")</f>
        <v/>
      </c>
      <c r="I159" s="10">
        <f>IF(OR(B159="",C159=""),"",IFERROR(INDEX(LAYOUT!$D$2:$D$34,MATCH(B159&amp;"|"&amp;C159,LAYOUT!$E$2:$E$34,0)),"zona tidak ada di layout"))</f>
        <v/>
      </c>
      <c r="J159" s="13">
        <f>IF(OR(A159="",E159=""),"",COUNTIFS($A$2:$A$500,A159,$C$2:$C$500,C159,$E$2:$E$500,"&lt;&gt;"))</f>
        <v/>
      </c>
      <c r="K159" s="13">
        <f>IF(A159="","",IF(B159="","CEK id_fixture tidak ada di DAFTAR_FIXTURE",IF(I159="zona tidak ada di layout","CEK zona_no / jenis_fixture",IF(D159&lt;&gt;I159,"CEK jenis_zona",IF(E159="","Zona kosong",IF(F159="","CEK nama kosong","OK"))))))</f>
        <v/>
      </c>
    </row>
    <row r="160">
      <c r="A160" s="9" t="n"/>
      <c r="B160" s="10">
        <f>IF(A160="","",IFERROR(INDEX(DAFTAR_FIXTURE!$B$2:$B$51,MATCH(A160,DAFTAR_FIXTURE!$A$2:$A$51,0)),""))</f>
        <v/>
      </c>
      <c r="C160" s="11" t="n"/>
      <c r="D160" s="11" t="n"/>
      <c r="E160" s="12" t="n"/>
      <c r="F160" s="9" t="n"/>
      <c r="G160" s="11" t="n"/>
      <c r="H160" s="10">
        <f>IF(E160="","","https://cdn.ruparupa.io/fit-in/850x850/ruparupa-com/image/upload/Products/"&amp;E160&amp;"_1.jpg")</f>
        <v/>
      </c>
      <c r="I160" s="10">
        <f>IF(OR(B160="",C160=""),"",IFERROR(INDEX(LAYOUT!$D$2:$D$34,MATCH(B160&amp;"|"&amp;C160,LAYOUT!$E$2:$E$34,0)),"zona tidak ada di layout"))</f>
        <v/>
      </c>
      <c r="J160" s="13">
        <f>IF(OR(A160="",E160=""),"",COUNTIFS($A$2:$A$500,A160,$C$2:$C$500,C160,$E$2:$E$500,"&lt;&gt;"))</f>
        <v/>
      </c>
      <c r="K160" s="13">
        <f>IF(A160="","",IF(B160="","CEK id_fixture tidak ada di DAFTAR_FIXTURE",IF(I160="zona tidak ada di layout","CEK zona_no / jenis_fixture",IF(D160&lt;&gt;I160,"CEK jenis_zona",IF(E160="","Zona kosong",IF(F160="","CEK nama kosong","OK"))))))</f>
        <v/>
      </c>
    </row>
    <row r="161">
      <c r="A161" s="9" t="n"/>
      <c r="B161" s="10">
        <f>IF(A161="","",IFERROR(INDEX(DAFTAR_FIXTURE!$B$2:$B$51,MATCH(A161,DAFTAR_FIXTURE!$A$2:$A$51,0)),""))</f>
        <v/>
      </c>
      <c r="C161" s="11" t="n"/>
      <c r="D161" s="11" t="n"/>
      <c r="E161" s="12" t="n"/>
      <c r="F161" s="9" t="n"/>
      <c r="G161" s="11" t="n"/>
      <c r="H161" s="10">
        <f>IF(E161="","","https://cdn.ruparupa.io/fit-in/850x850/ruparupa-com/image/upload/Products/"&amp;E161&amp;"_1.jpg")</f>
        <v/>
      </c>
      <c r="I161" s="10">
        <f>IF(OR(B161="",C161=""),"",IFERROR(INDEX(LAYOUT!$D$2:$D$34,MATCH(B161&amp;"|"&amp;C161,LAYOUT!$E$2:$E$34,0)),"zona tidak ada di layout"))</f>
        <v/>
      </c>
      <c r="J161" s="13">
        <f>IF(OR(A161="",E161=""),"",COUNTIFS($A$2:$A$500,A161,$C$2:$C$500,C161,$E$2:$E$500,"&lt;&gt;"))</f>
        <v/>
      </c>
      <c r="K161" s="13">
        <f>IF(A161="","",IF(B161="","CEK id_fixture tidak ada di DAFTAR_FIXTURE",IF(I161="zona tidak ada di layout","CEK zona_no / jenis_fixture",IF(D161&lt;&gt;I161,"CEK jenis_zona",IF(E161="","Zona kosong",IF(F161="","CEK nama kosong","OK"))))))</f>
        <v/>
      </c>
    </row>
    <row r="162">
      <c r="A162" s="9" t="n"/>
      <c r="B162" s="10">
        <f>IF(A162="","",IFERROR(INDEX(DAFTAR_FIXTURE!$B$2:$B$51,MATCH(A162,DAFTAR_FIXTURE!$A$2:$A$51,0)),""))</f>
        <v/>
      </c>
      <c r="C162" s="11" t="n"/>
      <c r="D162" s="11" t="n"/>
      <c r="E162" s="12" t="n"/>
      <c r="F162" s="9" t="n"/>
      <c r="G162" s="11" t="n"/>
      <c r="H162" s="10">
        <f>IF(E162="","","https://cdn.ruparupa.io/fit-in/850x850/ruparupa-com/image/upload/Products/"&amp;E162&amp;"_1.jpg")</f>
        <v/>
      </c>
      <c r="I162" s="10">
        <f>IF(OR(B162="",C162=""),"",IFERROR(INDEX(LAYOUT!$D$2:$D$34,MATCH(B162&amp;"|"&amp;C162,LAYOUT!$E$2:$E$34,0)),"zona tidak ada di layout"))</f>
        <v/>
      </c>
      <c r="J162" s="13">
        <f>IF(OR(A162="",E162=""),"",COUNTIFS($A$2:$A$500,A162,$C$2:$C$500,C162,$E$2:$E$500,"&lt;&gt;"))</f>
        <v/>
      </c>
      <c r="K162" s="13">
        <f>IF(A162="","",IF(B162="","CEK id_fixture tidak ada di DAFTAR_FIXTURE",IF(I162="zona tidak ada di layout","CEK zona_no / jenis_fixture",IF(D162&lt;&gt;I162,"CEK jenis_zona",IF(E162="","Zona kosong",IF(F162="","CEK nama kosong","OK"))))))</f>
        <v/>
      </c>
    </row>
    <row r="163">
      <c r="A163" s="9" t="n"/>
      <c r="B163" s="10">
        <f>IF(A163="","",IFERROR(INDEX(DAFTAR_FIXTURE!$B$2:$B$51,MATCH(A163,DAFTAR_FIXTURE!$A$2:$A$51,0)),""))</f>
        <v/>
      </c>
      <c r="C163" s="11" t="n"/>
      <c r="D163" s="11" t="n"/>
      <c r="E163" s="12" t="n"/>
      <c r="F163" s="9" t="n"/>
      <c r="G163" s="11" t="n"/>
      <c r="H163" s="10">
        <f>IF(E163="","","https://cdn.ruparupa.io/fit-in/850x850/ruparupa-com/image/upload/Products/"&amp;E163&amp;"_1.jpg")</f>
        <v/>
      </c>
      <c r="I163" s="10">
        <f>IF(OR(B163="",C163=""),"",IFERROR(INDEX(LAYOUT!$D$2:$D$34,MATCH(B163&amp;"|"&amp;C163,LAYOUT!$E$2:$E$34,0)),"zona tidak ada di layout"))</f>
        <v/>
      </c>
      <c r="J163" s="13">
        <f>IF(OR(A163="",E163=""),"",COUNTIFS($A$2:$A$500,A163,$C$2:$C$500,C163,$E$2:$E$500,"&lt;&gt;"))</f>
        <v/>
      </c>
      <c r="K163" s="13">
        <f>IF(A163="","",IF(B163="","CEK id_fixture tidak ada di DAFTAR_FIXTURE",IF(I163="zona tidak ada di layout","CEK zona_no / jenis_fixture",IF(D163&lt;&gt;I163,"CEK jenis_zona",IF(E163="","Zona kosong",IF(F163="","CEK nama kosong","OK"))))))</f>
        <v/>
      </c>
    </row>
    <row r="164">
      <c r="A164" s="9" t="n"/>
      <c r="B164" s="10">
        <f>IF(A164="","",IFERROR(INDEX(DAFTAR_FIXTURE!$B$2:$B$51,MATCH(A164,DAFTAR_FIXTURE!$A$2:$A$51,0)),""))</f>
        <v/>
      </c>
      <c r="C164" s="11" t="n"/>
      <c r="D164" s="11" t="n"/>
      <c r="E164" s="12" t="n"/>
      <c r="F164" s="9" t="n"/>
      <c r="G164" s="11" t="n"/>
      <c r="H164" s="10">
        <f>IF(E164="","","https://cdn.ruparupa.io/fit-in/850x850/ruparupa-com/image/upload/Products/"&amp;E164&amp;"_1.jpg")</f>
        <v/>
      </c>
      <c r="I164" s="10">
        <f>IF(OR(B164="",C164=""),"",IFERROR(INDEX(LAYOUT!$D$2:$D$34,MATCH(B164&amp;"|"&amp;C164,LAYOUT!$E$2:$E$34,0)),"zona tidak ada di layout"))</f>
        <v/>
      </c>
      <c r="J164" s="13">
        <f>IF(OR(A164="",E164=""),"",COUNTIFS($A$2:$A$500,A164,$C$2:$C$500,C164,$E$2:$E$500,"&lt;&gt;"))</f>
        <v/>
      </c>
      <c r="K164" s="13">
        <f>IF(A164="","",IF(B164="","CEK id_fixture tidak ada di DAFTAR_FIXTURE",IF(I164="zona tidak ada di layout","CEK zona_no / jenis_fixture",IF(D164&lt;&gt;I164,"CEK jenis_zona",IF(E164="","Zona kosong",IF(F164="","CEK nama kosong","OK"))))))</f>
        <v/>
      </c>
    </row>
    <row r="165">
      <c r="A165" s="9" t="n"/>
      <c r="B165" s="10">
        <f>IF(A165="","",IFERROR(INDEX(DAFTAR_FIXTURE!$B$2:$B$51,MATCH(A165,DAFTAR_FIXTURE!$A$2:$A$51,0)),""))</f>
        <v/>
      </c>
      <c r="C165" s="11" t="n"/>
      <c r="D165" s="11" t="n"/>
      <c r="E165" s="12" t="n"/>
      <c r="F165" s="9" t="n"/>
      <c r="G165" s="11" t="n"/>
      <c r="H165" s="10">
        <f>IF(E165="","","https://cdn.ruparupa.io/fit-in/850x850/ruparupa-com/image/upload/Products/"&amp;E165&amp;"_1.jpg")</f>
        <v/>
      </c>
      <c r="I165" s="10">
        <f>IF(OR(B165="",C165=""),"",IFERROR(INDEX(LAYOUT!$D$2:$D$34,MATCH(B165&amp;"|"&amp;C165,LAYOUT!$E$2:$E$34,0)),"zona tidak ada di layout"))</f>
        <v/>
      </c>
      <c r="J165" s="13">
        <f>IF(OR(A165="",E165=""),"",COUNTIFS($A$2:$A$500,A165,$C$2:$C$500,C165,$E$2:$E$500,"&lt;&gt;"))</f>
        <v/>
      </c>
      <c r="K165" s="13">
        <f>IF(A165="","",IF(B165="","CEK id_fixture tidak ada di DAFTAR_FIXTURE",IF(I165="zona tidak ada di layout","CEK zona_no / jenis_fixture",IF(D165&lt;&gt;I165,"CEK jenis_zona",IF(E165="","Zona kosong",IF(F165="","CEK nama kosong","OK"))))))</f>
        <v/>
      </c>
    </row>
    <row r="166">
      <c r="A166" s="9" t="n"/>
      <c r="B166" s="10">
        <f>IF(A166="","",IFERROR(INDEX(DAFTAR_FIXTURE!$B$2:$B$51,MATCH(A166,DAFTAR_FIXTURE!$A$2:$A$51,0)),""))</f>
        <v/>
      </c>
      <c r="C166" s="11" t="n"/>
      <c r="D166" s="11" t="n"/>
      <c r="E166" s="12" t="n"/>
      <c r="F166" s="9" t="n"/>
      <c r="G166" s="11" t="n"/>
      <c r="H166" s="10">
        <f>IF(E166="","","https://cdn.ruparupa.io/fit-in/850x850/ruparupa-com/image/upload/Products/"&amp;E166&amp;"_1.jpg")</f>
        <v/>
      </c>
      <c r="I166" s="10">
        <f>IF(OR(B166="",C166=""),"",IFERROR(INDEX(LAYOUT!$D$2:$D$34,MATCH(B166&amp;"|"&amp;C166,LAYOUT!$E$2:$E$34,0)),"zona tidak ada di layout"))</f>
        <v/>
      </c>
      <c r="J166" s="13">
        <f>IF(OR(A166="",E166=""),"",COUNTIFS($A$2:$A$500,A166,$C$2:$C$500,C166,$E$2:$E$500,"&lt;&gt;"))</f>
        <v/>
      </c>
      <c r="K166" s="13">
        <f>IF(A166="","",IF(B166="","CEK id_fixture tidak ada di DAFTAR_FIXTURE",IF(I166="zona tidak ada di layout","CEK zona_no / jenis_fixture",IF(D166&lt;&gt;I166,"CEK jenis_zona",IF(E166="","Zona kosong",IF(F166="","CEK nama kosong","OK"))))))</f>
        <v/>
      </c>
    </row>
    <row r="167">
      <c r="A167" s="9" t="n"/>
      <c r="B167" s="10">
        <f>IF(A167="","",IFERROR(INDEX(DAFTAR_FIXTURE!$B$2:$B$51,MATCH(A167,DAFTAR_FIXTURE!$A$2:$A$51,0)),""))</f>
        <v/>
      </c>
      <c r="C167" s="11" t="n"/>
      <c r="D167" s="11" t="n"/>
      <c r="E167" s="12" t="n"/>
      <c r="F167" s="9" t="n"/>
      <c r="G167" s="11" t="n"/>
      <c r="H167" s="10">
        <f>IF(E167="","","https://cdn.ruparupa.io/fit-in/850x850/ruparupa-com/image/upload/Products/"&amp;E167&amp;"_1.jpg")</f>
        <v/>
      </c>
      <c r="I167" s="10">
        <f>IF(OR(B167="",C167=""),"",IFERROR(INDEX(LAYOUT!$D$2:$D$34,MATCH(B167&amp;"|"&amp;C167,LAYOUT!$E$2:$E$34,0)),"zona tidak ada di layout"))</f>
        <v/>
      </c>
      <c r="J167" s="13">
        <f>IF(OR(A167="",E167=""),"",COUNTIFS($A$2:$A$500,A167,$C$2:$C$500,C167,$E$2:$E$500,"&lt;&gt;"))</f>
        <v/>
      </c>
      <c r="K167" s="13">
        <f>IF(A167="","",IF(B167="","CEK id_fixture tidak ada di DAFTAR_FIXTURE",IF(I167="zona tidak ada di layout","CEK zona_no / jenis_fixture",IF(D167&lt;&gt;I167,"CEK jenis_zona",IF(E167="","Zona kosong",IF(F167="","CEK nama kosong","OK"))))))</f>
        <v/>
      </c>
    </row>
    <row r="168">
      <c r="A168" s="9" t="n"/>
      <c r="B168" s="10">
        <f>IF(A168="","",IFERROR(INDEX(DAFTAR_FIXTURE!$B$2:$B$51,MATCH(A168,DAFTAR_FIXTURE!$A$2:$A$51,0)),""))</f>
        <v/>
      </c>
      <c r="C168" s="11" t="n"/>
      <c r="D168" s="11" t="n"/>
      <c r="E168" s="12" t="n"/>
      <c r="F168" s="9" t="n"/>
      <c r="G168" s="11" t="n"/>
      <c r="H168" s="10">
        <f>IF(E168="","","https://cdn.ruparupa.io/fit-in/850x850/ruparupa-com/image/upload/Products/"&amp;E168&amp;"_1.jpg")</f>
        <v/>
      </c>
      <c r="I168" s="10">
        <f>IF(OR(B168="",C168=""),"",IFERROR(INDEX(LAYOUT!$D$2:$D$34,MATCH(B168&amp;"|"&amp;C168,LAYOUT!$E$2:$E$34,0)),"zona tidak ada di layout"))</f>
        <v/>
      </c>
      <c r="J168" s="13">
        <f>IF(OR(A168="",E168=""),"",COUNTIFS($A$2:$A$500,A168,$C$2:$C$500,C168,$E$2:$E$500,"&lt;&gt;"))</f>
        <v/>
      </c>
      <c r="K168" s="13">
        <f>IF(A168="","",IF(B168="","CEK id_fixture tidak ada di DAFTAR_FIXTURE",IF(I168="zona tidak ada di layout","CEK zona_no / jenis_fixture",IF(D168&lt;&gt;I168,"CEK jenis_zona",IF(E168="","Zona kosong",IF(F168="","CEK nama kosong","OK"))))))</f>
        <v/>
      </c>
    </row>
    <row r="169">
      <c r="A169" s="9" t="n"/>
      <c r="B169" s="10">
        <f>IF(A169="","",IFERROR(INDEX(DAFTAR_FIXTURE!$B$2:$B$51,MATCH(A169,DAFTAR_FIXTURE!$A$2:$A$51,0)),""))</f>
        <v/>
      </c>
      <c r="C169" s="11" t="n"/>
      <c r="D169" s="11" t="n"/>
      <c r="E169" s="12" t="n"/>
      <c r="F169" s="9" t="n"/>
      <c r="G169" s="11" t="n"/>
      <c r="H169" s="10">
        <f>IF(E169="","","https://cdn.ruparupa.io/fit-in/850x850/ruparupa-com/image/upload/Products/"&amp;E169&amp;"_1.jpg")</f>
        <v/>
      </c>
      <c r="I169" s="10">
        <f>IF(OR(B169="",C169=""),"",IFERROR(INDEX(LAYOUT!$D$2:$D$34,MATCH(B169&amp;"|"&amp;C169,LAYOUT!$E$2:$E$34,0)),"zona tidak ada di layout"))</f>
        <v/>
      </c>
      <c r="J169" s="13">
        <f>IF(OR(A169="",E169=""),"",COUNTIFS($A$2:$A$500,A169,$C$2:$C$500,C169,$E$2:$E$500,"&lt;&gt;"))</f>
        <v/>
      </c>
      <c r="K169" s="13">
        <f>IF(A169="","",IF(B169="","CEK id_fixture tidak ada di DAFTAR_FIXTURE",IF(I169="zona tidak ada di layout","CEK zona_no / jenis_fixture",IF(D169&lt;&gt;I169,"CEK jenis_zona",IF(E169="","Zona kosong",IF(F169="","CEK nama kosong","OK"))))))</f>
        <v/>
      </c>
    </row>
    <row r="170">
      <c r="A170" s="9" t="n"/>
      <c r="B170" s="10">
        <f>IF(A170="","",IFERROR(INDEX(DAFTAR_FIXTURE!$B$2:$B$51,MATCH(A170,DAFTAR_FIXTURE!$A$2:$A$51,0)),""))</f>
        <v/>
      </c>
      <c r="C170" s="11" t="n"/>
      <c r="D170" s="11" t="n"/>
      <c r="E170" s="12" t="n"/>
      <c r="F170" s="9" t="n"/>
      <c r="G170" s="11" t="n"/>
      <c r="H170" s="10">
        <f>IF(E170="","","https://cdn.ruparupa.io/fit-in/850x850/ruparupa-com/image/upload/Products/"&amp;E170&amp;"_1.jpg")</f>
        <v/>
      </c>
      <c r="I170" s="10">
        <f>IF(OR(B170="",C170=""),"",IFERROR(INDEX(LAYOUT!$D$2:$D$34,MATCH(B170&amp;"|"&amp;C170,LAYOUT!$E$2:$E$34,0)),"zona tidak ada di layout"))</f>
        <v/>
      </c>
      <c r="J170" s="13">
        <f>IF(OR(A170="",E170=""),"",COUNTIFS($A$2:$A$500,A170,$C$2:$C$500,C170,$E$2:$E$500,"&lt;&gt;"))</f>
        <v/>
      </c>
      <c r="K170" s="13">
        <f>IF(A170="","",IF(B170="","CEK id_fixture tidak ada di DAFTAR_FIXTURE",IF(I170="zona tidak ada di layout","CEK zona_no / jenis_fixture",IF(D170&lt;&gt;I170,"CEK jenis_zona",IF(E170="","Zona kosong",IF(F170="","CEK nama kosong","OK"))))))</f>
        <v/>
      </c>
    </row>
    <row r="171">
      <c r="A171" s="9" t="n"/>
      <c r="B171" s="10">
        <f>IF(A171="","",IFERROR(INDEX(DAFTAR_FIXTURE!$B$2:$B$51,MATCH(A171,DAFTAR_FIXTURE!$A$2:$A$51,0)),""))</f>
        <v/>
      </c>
      <c r="C171" s="11" t="n"/>
      <c r="D171" s="11" t="n"/>
      <c r="E171" s="12" t="n"/>
      <c r="F171" s="9" t="n"/>
      <c r="G171" s="11" t="n"/>
      <c r="H171" s="10">
        <f>IF(E171="","","https://cdn.ruparupa.io/fit-in/850x850/ruparupa-com/image/upload/Products/"&amp;E171&amp;"_1.jpg")</f>
        <v/>
      </c>
      <c r="I171" s="10">
        <f>IF(OR(B171="",C171=""),"",IFERROR(INDEX(LAYOUT!$D$2:$D$34,MATCH(B171&amp;"|"&amp;C171,LAYOUT!$E$2:$E$34,0)),"zona tidak ada di layout"))</f>
        <v/>
      </c>
      <c r="J171" s="13">
        <f>IF(OR(A171="",E171=""),"",COUNTIFS($A$2:$A$500,A171,$C$2:$C$500,C171,$E$2:$E$500,"&lt;&gt;"))</f>
        <v/>
      </c>
      <c r="K171" s="13">
        <f>IF(A171="","",IF(B171="","CEK id_fixture tidak ada di DAFTAR_FIXTURE",IF(I171="zona tidak ada di layout","CEK zona_no / jenis_fixture",IF(D171&lt;&gt;I171,"CEK jenis_zona",IF(E171="","Zona kosong",IF(F171="","CEK nama kosong","OK"))))))</f>
        <v/>
      </c>
    </row>
    <row r="172">
      <c r="A172" s="9" t="n"/>
      <c r="B172" s="10">
        <f>IF(A172="","",IFERROR(INDEX(DAFTAR_FIXTURE!$B$2:$B$51,MATCH(A172,DAFTAR_FIXTURE!$A$2:$A$51,0)),""))</f>
        <v/>
      </c>
      <c r="C172" s="11" t="n"/>
      <c r="D172" s="11" t="n"/>
      <c r="E172" s="12" t="n"/>
      <c r="F172" s="9" t="n"/>
      <c r="G172" s="11" t="n"/>
      <c r="H172" s="10">
        <f>IF(E172="","","https://cdn.ruparupa.io/fit-in/850x850/ruparupa-com/image/upload/Products/"&amp;E172&amp;"_1.jpg")</f>
        <v/>
      </c>
      <c r="I172" s="10">
        <f>IF(OR(B172="",C172=""),"",IFERROR(INDEX(LAYOUT!$D$2:$D$34,MATCH(B172&amp;"|"&amp;C172,LAYOUT!$E$2:$E$34,0)),"zona tidak ada di layout"))</f>
        <v/>
      </c>
      <c r="J172" s="13">
        <f>IF(OR(A172="",E172=""),"",COUNTIFS($A$2:$A$500,A172,$C$2:$C$500,C172,$E$2:$E$500,"&lt;&gt;"))</f>
        <v/>
      </c>
      <c r="K172" s="13">
        <f>IF(A172="","",IF(B172="","CEK id_fixture tidak ada di DAFTAR_FIXTURE",IF(I172="zona tidak ada di layout","CEK zona_no / jenis_fixture",IF(D172&lt;&gt;I172,"CEK jenis_zona",IF(E172="","Zona kosong",IF(F172="","CEK nama kosong","OK"))))))</f>
        <v/>
      </c>
    </row>
    <row r="173">
      <c r="A173" s="9" t="n"/>
      <c r="B173" s="10">
        <f>IF(A173="","",IFERROR(INDEX(DAFTAR_FIXTURE!$B$2:$B$51,MATCH(A173,DAFTAR_FIXTURE!$A$2:$A$51,0)),""))</f>
        <v/>
      </c>
      <c r="C173" s="11" t="n"/>
      <c r="D173" s="11" t="n"/>
      <c r="E173" s="12" t="n"/>
      <c r="F173" s="9" t="n"/>
      <c r="G173" s="11" t="n"/>
      <c r="H173" s="10">
        <f>IF(E173="","","https://cdn.ruparupa.io/fit-in/850x850/ruparupa-com/image/upload/Products/"&amp;E173&amp;"_1.jpg")</f>
        <v/>
      </c>
      <c r="I173" s="10">
        <f>IF(OR(B173="",C173=""),"",IFERROR(INDEX(LAYOUT!$D$2:$D$34,MATCH(B173&amp;"|"&amp;C173,LAYOUT!$E$2:$E$34,0)),"zona tidak ada di layout"))</f>
        <v/>
      </c>
      <c r="J173" s="13">
        <f>IF(OR(A173="",E173=""),"",COUNTIFS($A$2:$A$500,A173,$C$2:$C$500,C173,$E$2:$E$500,"&lt;&gt;"))</f>
        <v/>
      </c>
      <c r="K173" s="13">
        <f>IF(A173="","",IF(B173="","CEK id_fixture tidak ada di DAFTAR_FIXTURE",IF(I173="zona tidak ada di layout","CEK zona_no / jenis_fixture",IF(D173&lt;&gt;I173,"CEK jenis_zona",IF(E173="","Zona kosong",IF(F173="","CEK nama kosong","OK"))))))</f>
        <v/>
      </c>
    </row>
    <row r="174">
      <c r="A174" s="9" t="n"/>
      <c r="B174" s="10">
        <f>IF(A174="","",IFERROR(INDEX(DAFTAR_FIXTURE!$B$2:$B$51,MATCH(A174,DAFTAR_FIXTURE!$A$2:$A$51,0)),""))</f>
        <v/>
      </c>
      <c r="C174" s="11" t="n"/>
      <c r="D174" s="11" t="n"/>
      <c r="E174" s="12" t="n"/>
      <c r="F174" s="9" t="n"/>
      <c r="G174" s="11" t="n"/>
      <c r="H174" s="10">
        <f>IF(E174="","","https://cdn.ruparupa.io/fit-in/850x850/ruparupa-com/image/upload/Products/"&amp;E174&amp;"_1.jpg")</f>
        <v/>
      </c>
      <c r="I174" s="10">
        <f>IF(OR(B174="",C174=""),"",IFERROR(INDEX(LAYOUT!$D$2:$D$34,MATCH(B174&amp;"|"&amp;C174,LAYOUT!$E$2:$E$34,0)),"zona tidak ada di layout"))</f>
        <v/>
      </c>
      <c r="J174" s="13">
        <f>IF(OR(A174="",E174=""),"",COUNTIFS($A$2:$A$500,A174,$C$2:$C$500,C174,$E$2:$E$500,"&lt;&gt;"))</f>
        <v/>
      </c>
      <c r="K174" s="13">
        <f>IF(A174="","",IF(B174="","CEK id_fixture tidak ada di DAFTAR_FIXTURE",IF(I174="zona tidak ada di layout","CEK zona_no / jenis_fixture",IF(D174&lt;&gt;I174,"CEK jenis_zona",IF(E174="","Zona kosong",IF(F174="","CEK nama kosong","OK"))))))</f>
        <v/>
      </c>
    </row>
    <row r="175">
      <c r="A175" s="9" t="n"/>
      <c r="B175" s="10">
        <f>IF(A175="","",IFERROR(INDEX(DAFTAR_FIXTURE!$B$2:$B$51,MATCH(A175,DAFTAR_FIXTURE!$A$2:$A$51,0)),""))</f>
        <v/>
      </c>
      <c r="C175" s="11" t="n"/>
      <c r="D175" s="11" t="n"/>
      <c r="E175" s="12" t="n"/>
      <c r="F175" s="9" t="n"/>
      <c r="G175" s="11" t="n"/>
      <c r="H175" s="10">
        <f>IF(E175="","","https://cdn.ruparupa.io/fit-in/850x850/ruparupa-com/image/upload/Products/"&amp;E175&amp;"_1.jpg")</f>
        <v/>
      </c>
      <c r="I175" s="10">
        <f>IF(OR(B175="",C175=""),"",IFERROR(INDEX(LAYOUT!$D$2:$D$34,MATCH(B175&amp;"|"&amp;C175,LAYOUT!$E$2:$E$34,0)),"zona tidak ada di layout"))</f>
        <v/>
      </c>
      <c r="J175" s="13">
        <f>IF(OR(A175="",E175=""),"",COUNTIFS($A$2:$A$500,A175,$C$2:$C$500,C175,$E$2:$E$500,"&lt;&gt;"))</f>
        <v/>
      </c>
      <c r="K175" s="13">
        <f>IF(A175="","",IF(B175="","CEK id_fixture tidak ada di DAFTAR_FIXTURE",IF(I175="zona tidak ada di layout","CEK zona_no / jenis_fixture",IF(D175&lt;&gt;I175,"CEK jenis_zona",IF(E175="","Zona kosong",IF(F175="","CEK nama kosong","OK"))))))</f>
        <v/>
      </c>
    </row>
    <row r="176">
      <c r="A176" s="9" t="n"/>
      <c r="B176" s="10">
        <f>IF(A176="","",IFERROR(INDEX(DAFTAR_FIXTURE!$B$2:$B$51,MATCH(A176,DAFTAR_FIXTURE!$A$2:$A$51,0)),""))</f>
        <v/>
      </c>
      <c r="C176" s="11" t="n"/>
      <c r="D176" s="11" t="n"/>
      <c r="E176" s="12" t="n"/>
      <c r="F176" s="9" t="n"/>
      <c r="G176" s="11" t="n"/>
      <c r="H176" s="10">
        <f>IF(E176="","","https://cdn.ruparupa.io/fit-in/850x850/ruparupa-com/image/upload/Products/"&amp;E176&amp;"_1.jpg")</f>
        <v/>
      </c>
      <c r="I176" s="10">
        <f>IF(OR(B176="",C176=""),"",IFERROR(INDEX(LAYOUT!$D$2:$D$34,MATCH(B176&amp;"|"&amp;C176,LAYOUT!$E$2:$E$34,0)),"zona tidak ada di layout"))</f>
        <v/>
      </c>
      <c r="J176" s="13">
        <f>IF(OR(A176="",E176=""),"",COUNTIFS($A$2:$A$500,A176,$C$2:$C$500,C176,$E$2:$E$500,"&lt;&gt;"))</f>
        <v/>
      </c>
      <c r="K176" s="13">
        <f>IF(A176="","",IF(B176="","CEK id_fixture tidak ada di DAFTAR_FIXTURE",IF(I176="zona tidak ada di layout","CEK zona_no / jenis_fixture",IF(D176&lt;&gt;I176,"CEK jenis_zona",IF(E176="","Zona kosong",IF(F176="","CEK nama kosong","OK"))))))</f>
        <v/>
      </c>
    </row>
    <row r="177">
      <c r="A177" s="9" t="n"/>
      <c r="B177" s="10">
        <f>IF(A177="","",IFERROR(INDEX(DAFTAR_FIXTURE!$B$2:$B$51,MATCH(A177,DAFTAR_FIXTURE!$A$2:$A$51,0)),""))</f>
        <v/>
      </c>
      <c r="C177" s="11" t="n"/>
      <c r="D177" s="11" t="n"/>
      <c r="E177" s="12" t="n"/>
      <c r="F177" s="9" t="n"/>
      <c r="G177" s="11" t="n"/>
      <c r="H177" s="10">
        <f>IF(E177="","","https://cdn.ruparupa.io/fit-in/850x850/ruparupa-com/image/upload/Products/"&amp;E177&amp;"_1.jpg")</f>
        <v/>
      </c>
      <c r="I177" s="10">
        <f>IF(OR(B177="",C177=""),"",IFERROR(INDEX(LAYOUT!$D$2:$D$34,MATCH(B177&amp;"|"&amp;C177,LAYOUT!$E$2:$E$34,0)),"zona tidak ada di layout"))</f>
        <v/>
      </c>
      <c r="J177" s="13">
        <f>IF(OR(A177="",E177=""),"",COUNTIFS($A$2:$A$500,A177,$C$2:$C$500,C177,$E$2:$E$500,"&lt;&gt;"))</f>
        <v/>
      </c>
      <c r="K177" s="13">
        <f>IF(A177="","",IF(B177="","CEK id_fixture tidak ada di DAFTAR_FIXTURE",IF(I177="zona tidak ada di layout","CEK zona_no / jenis_fixture",IF(D177&lt;&gt;I177,"CEK jenis_zona",IF(E177="","Zona kosong",IF(F177="","CEK nama kosong","OK"))))))</f>
        <v/>
      </c>
    </row>
    <row r="178">
      <c r="A178" s="9" t="n"/>
      <c r="B178" s="10">
        <f>IF(A178="","",IFERROR(INDEX(DAFTAR_FIXTURE!$B$2:$B$51,MATCH(A178,DAFTAR_FIXTURE!$A$2:$A$51,0)),""))</f>
        <v/>
      </c>
      <c r="C178" s="11" t="n"/>
      <c r="D178" s="11" t="n"/>
      <c r="E178" s="12" t="n"/>
      <c r="F178" s="9" t="n"/>
      <c r="G178" s="11" t="n"/>
      <c r="H178" s="10">
        <f>IF(E178="","","https://cdn.ruparupa.io/fit-in/850x850/ruparupa-com/image/upload/Products/"&amp;E178&amp;"_1.jpg")</f>
        <v/>
      </c>
      <c r="I178" s="10">
        <f>IF(OR(B178="",C178=""),"",IFERROR(INDEX(LAYOUT!$D$2:$D$34,MATCH(B178&amp;"|"&amp;C178,LAYOUT!$E$2:$E$34,0)),"zona tidak ada di layout"))</f>
        <v/>
      </c>
      <c r="J178" s="13">
        <f>IF(OR(A178="",E178=""),"",COUNTIFS($A$2:$A$500,A178,$C$2:$C$500,C178,$E$2:$E$500,"&lt;&gt;"))</f>
        <v/>
      </c>
      <c r="K178" s="13">
        <f>IF(A178="","",IF(B178="","CEK id_fixture tidak ada di DAFTAR_FIXTURE",IF(I178="zona tidak ada di layout","CEK zona_no / jenis_fixture",IF(D178&lt;&gt;I178,"CEK jenis_zona",IF(E178="","Zona kosong",IF(F178="","CEK nama kosong","OK"))))))</f>
        <v/>
      </c>
    </row>
    <row r="179">
      <c r="A179" s="9" t="n"/>
      <c r="B179" s="10">
        <f>IF(A179="","",IFERROR(INDEX(DAFTAR_FIXTURE!$B$2:$B$51,MATCH(A179,DAFTAR_FIXTURE!$A$2:$A$51,0)),""))</f>
        <v/>
      </c>
      <c r="C179" s="11" t="n"/>
      <c r="D179" s="11" t="n"/>
      <c r="E179" s="12" t="n"/>
      <c r="F179" s="9" t="n"/>
      <c r="G179" s="11" t="n"/>
      <c r="H179" s="10">
        <f>IF(E179="","","https://cdn.ruparupa.io/fit-in/850x850/ruparupa-com/image/upload/Products/"&amp;E179&amp;"_1.jpg")</f>
        <v/>
      </c>
      <c r="I179" s="10">
        <f>IF(OR(B179="",C179=""),"",IFERROR(INDEX(LAYOUT!$D$2:$D$34,MATCH(B179&amp;"|"&amp;C179,LAYOUT!$E$2:$E$34,0)),"zona tidak ada di layout"))</f>
        <v/>
      </c>
      <c r="J179" s="13">
        <f>IF(OR(A179="",E179=""),"",COUNTIFS($A$2:$A$500,A179,$C$2:$C$500,C179,$E$2:$E$500,"&lt;&gt;"))</f>
        <v/>
      </c>
      <c r="K179" s="13">
        <f>IF(A179="","",IF(B179="","CEK id_fixture tidak ada di DAFTAR_FIXTURE",IF(I179="zona tidak ada di layout","CEK zona_no / jenis_fixture",IF(D179&lt;&gt;I179,"CEK jenis_zona",IF(E179="","Zona kosong",IF(F179="","CEK nama kosong","OK"))))))</f>
        <v/>
      </c>
    </row>
    <row r="180">
      <c r="A180" s="9" t="n"/>
      <c r="B180" s="10">
        <f>IF(A180="","",IFERROR(INDEX(DAFTAR_FIXTURE!$B$2:$B$51,MATCH(A180,DAFTAR_FIXTURE!$A$2:$A$51,0)),""))</f>
        <v/>
      </c>
      <c r="C180" s="11" t="n"/>
      <c r="D180" s="11" t="n"/>
      <c r="E180" s="12" t="n"/>
      <c r="F180" s="9" t="n"/>
      <c r="G180" s="11" t="n"/>
      <c r="H180" s="10">
        <f>IF(E180="","","https://cdn.ruparupa.io/fit-in/850x850/ruparupa-com/image/upload/Products/"&amp;E180&amp;"_1.jpg")</f>
        <v/>
      </c>
      <c r="I180" s="10">
        <f>IF(OR(B180="",C180=""),"",IFERROR(INDEX(LAYOUT!$D$2:$D$34,MATCH(B180&amp;"|"&amp;C180,LAYOUT!$E$2:$E$34,0)),"zona tidak ada di layout"))</f>
        <v/>
      </c>
      <c r="J180" s="13">
        <f>IF(OR(A180="",E180=""),"",COUNTIFS($A$2:$A$500,A180,$C$2:$C$500,C180,$E$2:$E$500,"&lt;&gt;"))</f>
        <v/>
      </c>
      <c r="K180" s="13">
        <f>IF(A180="","",IF(B180="","CEK id_fixture tidak ada di DAFTAR_FIXTURE",IF(I180="zona tidak ada di layout","CEK zona_no / jenis_fixture",IF(D180&lt;&gt;I180,"CEK jenis_zona",IF(E180="","Zona kosong",IF(F180="","CEK nama kosong","OK"))))))</f>
        <v/>
      </c>
    </row>
    <row r="181">
      <c r="A181" s="9" t="n"/>
      <c r="B181" s="10">
        <f>IF(A181="","",IFERROR(INDEX(DAFTAR_FIXTURE!$B$2:$B$51,MATCH(A181,DAFTAR_FIXTURE!$A$2:$A$51,0)),""))</f>
        <v/>
      </c>
      <c r="C181" s="11" t="n"/>
      <c r="D181" s="11" t="n"/>
      <c r="E181" s="12" t="n"/>
      <c r="F181" s="9" t="n"/>
      <c r="G181" s="11" t="n"/>
      <c r="H181" s="10">
        <f>IF(E181="","","https://cdn.ruparupa.io/fit-in/850x850/ruparupa-com/image/upload/Products/"&amp;E181&amp;"_1.jpg")</f>
        <v/>
      </c>
      <c r="I181" s="10">
        <f>IF(OR(B181="",C181=""),"",IFERROR(INDEX(LAYOUT!$D$2:$D$34,MATCH(B181&amp;"|"&amp;C181,LAYOUT!$E$2:$E$34,0)),"zona tidak ada di layout"))</f>
        <v/>
      </c>
      <c r="J181" s="13">
        <f>IF(OR(A181="",E181=""),"",COUNTIFS($A$2:$A$500,A181,$C$2:$C$500,C181,$E$2:$E$500,"&lt;&gt;"))</f>
        <v/>
      </c>
      <c r="K181" s="13">
        <f>IF(A181="","",IF(B181="","CEK id_fixture tidak ada di DAFTAR_FIXTURE",IF(I181="zona tidak ada di layout","CEK zona_no / jenis_fixture",IF(D181&lt;&gt;I181,"CEK jenis_zona",IF(E181="","Zona kosong",IF(F181="","CEK nama kosong","OK"))))))</f>
        <v/>
      </c>
    </row>
    <row r="182">
      <c r="A182" s="9" t="n"/>
      <c r="B182" s="10">
        <f>IF(A182="","",IFERROR(INDEX(DAFTAR_FIXTURE!$B$2:$B$51,MATCH(A182,DAFTAR_FIXTURE!$A$2:$A$51,0)),""))</f>
        <v/>
      </c>
      <c r="C182" s="11" t="n"/>
      <c r="D182" s="11" t="n"/>
      <c r="E182" s="12" t="n"/>
      <c r="F182" s="9" t="n"/>
      <c r="G182" s="11" t="n"/>
      <c r="H182" s="10">
        <f>IF(E182="","","https://cdn.ruparupa.io/fit-in/850x850/ruparupa-com/image/upload/Products/"&amp;E182&amp;"_1.jpg")</f>
        <v/>
      </c>
      <c r="I182" s="10">
        <f>IF(OR(B182="",C182=""),"",IFERROR(INDEX(LAYOUT!$D$2:$D$34,MATCH(B182&amp;"|"&amp;C182,LAYOUT!$E$2:$E$34,0)),"zona tidak ada di layout"))</f>
        <v/>
      </c>
      <c r="J182" s="13">
        <f>IF(OR(A182="",E182=""),"",COUNTIFS($A$2:$A$500,A182,$C$2:$C$500,C182,$E$2:$E$500,"&lt;&gt;"))</f>
        <v/>
      </c>
      <c r="K182" s="13">
        <f>IF(A182="","",IF(B182="","CEK id_fixture tidak ada di DAFTAR_FIXTURE",IF(I182="zona tidak ada di layout","CEK zona_no / jenis_fixture",IF(D182&lt;&gt;I182,"CEK jenis_zona",IF(E182="","Zona kosong",IF(F182="","CEK nama kosong","OK"))))))</f>
        <v/>
      </c>
    </row>
    <row r="183">
      <c r="A183" s="9" t="n"/>
      <c r="B183" s="10">
        <f>IF(A183="","",IFERROR(INDEX(DAFTAR_FIXTURE!$B$2:$B$51,MATCH(A183,DAFTAR_FIXTURE!$A$2:$A$51,0)),""))</f>
        <v/>
      </c>
      <c r="C183" s="11" t="n"/>
      <c r="D183" s="11" t="n"/>
      <c r="E183" s="12" t="n"/>
      <c r="F183" s="9" t="n"/>
      <c r="G183" s="11" t="n"/>
      <c r="H183" s="10">
        <f>IF(E183="","","https://cdn.ruparupa.io/fit-in/850x850/ruparupa-com/image/upload/Products/"&amp;E183&amp;"_1.jpg")</f>
        <v/>
      </c>
      <c r="I183" s="10">
        <f>IF(OR(B183="",C183=""),"",IFERROR(INDEX(LAYOUT!$D$2:$D$34,MATCH(B183&amp;"|"&amp;C183,LAYOUT!$E$2:$E$34,0)),"zona tidak ada di layout"))</f>
        <v/>
      </c>
      <c r="J183" s="13">
        <f>IF(OR(A183="",E183=""),"",COUNTIFS($A$2:$A$500,A183,$C$2:$C$500,C183,$E$2:$E$500,"&lt;&gt;"))</f>
        <v/>
      </c>
      <c r="K183" s="13">
        <f>IF(A183="","",IF(B183="","CEK id_fixture tidak ada di DAFTAR_FIXTURE",IF(I183="zona tidak ada di layout","CEK zona_no / jenis_fixture",IF(D183&lt;&gt;I183,"CEK jenis_zona",IF(E183="","Zona kosong",IF(F183="","CEK nama kosong","OK"))))))</f>
        <v/>
      </c>
    </row>
    <row r="184">
      <c r="A184" s="9" t="n"/>
      <c r="B184" s="10">
        <f>IF(A184="","",IFERROR(INDEX(DAFTAR_FIXTURE!$B$2:$B$51,MATCH(A184,DAFTAR_FIXTURE!$A$2:$A$51,0)),""))</f>
        <v/>
      </c>
      <c r="C184" s="11" t="n"/>
      <c r="D184" s="11" t="n"/>
      <c r="E184" s="12" t="n"/>
      <c r="F184" s="9" t="n"/>
      <c r="G184" s="11" t="n"/>
      <c r="H184" s="10">
        <f>IF(E184="","","https://cdn.ruparupa.io/fit-in/850x850/ruparupa-com/image/upload/Products/"&amp;E184&amp;"_1.jpg")</f>
        <v/>
      </c>
      <c r="I184" s="10">
        <f>IF(OR(B184="",C184=""),"",IFERROR(INDEX(LAYOUT!$D$2:$D$34,MATCH(B184&amp;"|"&amp;C184,LAYOUT!$E$2:$E$34,0)),"zona tidak ada di layout"))</f>
        <v/>
      </c>
      <c r="J184" s="13">
        <f>IF(OR(A184="",E184=""),"",COUNTIFS($A$2:$A$500,A184,$C$2:$C$500,C184,$E$2:$E$500,"&lt;&gt;"))</f>
        <v/>
      </c>
      <c r="K184" s="13">
        <f>IF(A184="","",IF(B184="","CEK id_fixture tidak ada di DAFTAR_FIXTURE",IF(I184="zona tidak ada di layout","CEK zona_no / jenis_fixture",IF(D184&lt;&gt;I184,"CEK jenis_zona",IF(E184="","Zona kosong",IF(F184="","CEK nama kosong","OK"))))))</f>
        <v/>
      </c>
    </row>
    <row r="185">
      <c r="A185" s="9" t="n"/>
      <c r="B185" s="10">
        <f>IF(A185="","",IFERROR(INDEX(DAFTAR_FIXTURE!$B$2:$B$51,MATCH(A185,DAFTAR_FIXTURE!$A$2:$A$51,0)),""))</f>
        <v/>
      </c>
      <c r="C185" s="11" t="n"/>
      <c r="D185" s="11" t="n"/>
      <c r="E185" s="12" t="n"/>
      <c r="F185" s="9" t="n"/>
      <c r="G185" s="11" t="n"/>
      <c r="H185" s="10">
        <f>IF(E185="","","https://cdn.ruparupa.io/fit-in/850x850/ruparupa-com/image/upload/Products/"&amp;E185&amp;"_1.jpg")</f>
        <v/>
      </c>
      <c r="I185" s="10">
        <f>IF(OR(B185="",C185=""),"",IFERROR(INDEX(LAYOUT!$D$2:$D$34,MATCH(B185&amp;"|"&amp;C185,LAYOUT!$E$2:$E$34,0)),"zona tidak ada di layout"))</f>
        <v/>
      </c>
      <c r="J185" s="13">
        <f>IF(OR(A185="",E185=""),"",COUNTIFS($A$2:$A$500,A185,$C$2:$C$500,C185,$E$2:$E$500,"&lt;&gt;"))</f>
        <v/>
      </c>
      <c r="K185" s="13">
        <f>IF(A185="","",IF(B185="","CEK id_fixture tidak ada di DAFTAR_FIXTURE",IF(I185="zona tidak ada di layout","CEK zona_no / jenis_fixture",IF(D185&lt;&gt;I185,"CEK jenis_zona",IF(E185="","Zona kosong",IF(F185="","CEK nama kosong","OK"))))))</f>
        <v/>
      </c>
    </row>
    <row r="186">
      <c r="A186" s="9" t="n"/>
      <c r="B186" s="10">
        <f>IF(A186="","",IFERROR(INDEX(DAFTAR_FIXTURE!$B$2:$B$51,MATCH(A186,DAFTAR_FIXTURE!$A$2:$A$51,0)),""))</f>
        <v/>
      </c>
      <c r="C186" s="11" t="n"/>
      <c r="D186" s="11" t="n"/>
      <c r="E186" s="12" t="n"/>
      <c r="F186" s="9" t="n"/>
      <c r="G186" s="11" t="n"/>
      <c r="H186" s="10">
        <f>IF(E186="","","https://cdn.ruparupa.io/fit-in/850x850/ruparupa-com/image/upload/Products/"&amp;E186&amp;"_1.jpg")</f>
        <v/>
      </c>
      <c r="I186" s="10">
        <f>IF(OR(B186="",C186=""),"",IFERROR(INDEX(LAYOUT!$D$2:$D$34,MATCH(B186&amp;"|"&amp;C186,LAYOUT!$E$2:$E$34,0)),"zona tidak ada di layout"))</f>
        <v/>
      </c>
      <c r="J186" s="13">
        <f>IF(OR(A186="",E186=""),"",COUNTIFS($A$2:$A$500,A186,$C$2:$C$500,C186,$E$2:$E$500,"&lt;&gt;"))</f>
        <v/>
      </c>
      <c r="K186" s="13">
        <f>IF(A186="","",IF(B186="","CEK id_fixture tidak ada di DAFTAR_FIXTURE",IF(I186="zona tidak ada di layout","CEK zona_no / jenis_fixture",IF(D186&lt;&gt;I186,"CEK jenis_zona",IF(E186="","Zona kosong",IF(F186="","CEK nama kosong","OK"))))))</f>
        <v/>
      </c>
    </row>
    <row r="187">
      <c r="A187" s="9" t="n"/>
      <c r="B187" s="10">
        <f>IF(A187="","",IFERROR(INDEX(DAFTAR_FIXTURE!$B$2:$B$51,MATCH(A187,DAFTAR_FIXTURE!$A$2:$A$51,0)),""))</f>
        <v/>
      </c>
      <c r="C187" s="11" t="n"/>
      <c r="D187" s="11" t="n"/>
      <c r="E187" s="12" t="n"/>
      <c r="F187" s="9" t="n"/>
      <c r="G187" s="11" t="n"/>
      <c r="H187" s="10">
        <f>IF(E187="","","https://cdn.ruparupa.io/fit-in/850x850/ruparupa-com/image/upload/Products/"&amp;E187&amp;"_1.jpg")</f>
        <v/>
      </c>
      <c r="I187" s="10">
        <f>IF(OR(B187="",C187=""),"",IFERROR(INDEX(LAYOUT!$D$2:$D$34,MATCH(B187&amp;"|"&amp;C187,LAYOUT!$E$2:$E$34,0)),"zona tidak ada di layout"))</f>
        <v/>
      </c>
      <c r="J187" s="13">
        <f>IF(OR(A187="",E187=""),"",COUNTIFS($A$2:$A$500,A187,$C$2:$C$500,C187,$E$2:$E$500,"&lt;&gt;"))</f>
        <v/>
      </c>
      <c r="K187" s="13">
        <f>IF(A187="","",IF(B187="","CEK id_fixture tidak ada di DAFTAR_FIXTURE",IF(I187="zona tidak ada di layout","CEK zona_no / jenis_fixture",IF(D187&lt;&gt;I187,"CEK jenis_zona",IF(E187="","Zona kosong",IF(F187="","CEK nama kosong","OK"))))))</f>
        <v/>
      </c>
    </row>
    <row r="188">
      <c r="A188" s="9" t="n"/>
      <c r="B188" s="10">
        <f>IF(A188="","",IFERROR(INDEX(DAFTAR_FIXTURE!$B$2:$B$51,MATCH(A188,DAFTAR_FIXTURE!$A$2:$A$51,0)),""))</f>
        <v/>
      </c>
      <c r="C188" s="11" t="n"/>
      <c r="D188" s="11" t="n"/>
      <c r="E188" s="12" t="n"/>
      <c r="F188" s="9" t="n"/>
      <c r="G188" s="11" t="n"/>
      <c r="H188" s="10">
        <f>IF(E188="","","https://cdn.ruparupa.io/fit-in/850x850/ruparupa-com/image/upload/Products/"&amp;E188&amp;"_1.jpg")</f>
        <v/>
      </c>
      <c r="I188" s="10">
        <f>IF(OR(B188="",C188=""),"",IFERROR(INDEX(LAYOUT!$D$2:$D$34,MATCH(B188&amp;"|"&amp;C188,LAYOUT!$E$2:$E$34,0)),"zona tidak ada di layout"))</f>
        <v/>
      </c>
      <c r="J188" s="13">
        <f>IF(OR(A188="",E188=""),"",COUNTIFS($A$2:$A$500,A188,$C$2:$C$500,C188,$E$2:$E$500,"&lt;&gt;"))</f>
        <v/>
      </c>
      <c r="K188" s="13">
        <f>IF(A188="","",IF(B188="","CEK id_fixture tidak ada di DAFTAR_FIXTURE",IF(I188="zona tidak ada di layout","CEK zona_no / jenis_fixture",IF(D188&lt;&gt;I188,"CEK jenis_zona",IF(E188="","Zona kosong",IF(F188="","CEK nama kosong","OK"))))))</f>
        <v/>
      </c>
    </row>
    <row r="189">
      <c r="A189" s="9" t="n"/>
      <c r="B189" s="10">
        <f>IF(A189="","",IFERROR(INDEX(DAFTAR_FIXTURE!$B$2:$B$51,MATCH(A189,DAFTAR_FIXTURE!$A$2:$A$51,0)),""))</f>
        <v/>
      </c>
      <c r="C189" s="11" t="n"/>
      <c r="D189" s="11" t="n"/>
      <c r="E189" s="12" t="n"/>
      <c r="F189" s="9" t="n"/>
      <c r="G189" s="11" t="n"/>
      <c r="H189" s="10">
        <f>IF(E189="","","https://cdn.ruparupa.io/fit-in/850x850/ruparupa-com/image/upload/Products/"&amp;E189&amp;"_1.jpg")</f>
        <v/>
      </c>
      <c r="I189" s="10">
        <f>IF(OR(B189="",C189=""),"",IFERROR(INDEX(LAYOUT!$D$2:$D$34,MATCH(B189&amp;"|"&amp;C189,LAYOUT!$E$2:$E$34,0)),"zona tidak ada di layout"))</f>
        <v/>
      </c>
      <c r="J189" s="13">
        <f>IF(OR(A189="",E189=""),"",COUNTIFS($A$2:$A$500,A189,$C$2:$C$500,C189,$E$2:$E$500,"&lt;&gt;"))</f>
        <v/>
      </c>
      <c r="K189" s="13">
        <f>IF(A189="","",IF(B189="","CEK id_fixture tidak ada di DAFTAR_FIXTURE",IF(I189="zona tidak ada di layout","CEK zona_no / jenis_fixture",IF(D189&lt;&gt;I189,"CEK jenis_zona",IF(E189="","Zona kosong",IF(F189="","CEK nama kosong","OK"))))))</f>
        <v/>
      </c>
    </row>
    <row r="190">
      <c r="A190" s="9" t="n"/>
      <c r="B190" s="10">
        <f>IF(A190="","",IFERROR(INDEX(DAFTAR_FIXTURE!$B$2:$B$51,MATCH(A190,DAFTAR_FIXTURE!$A$2:$A$51,0)),""))</f>
        <v/>
      </c>
      <c r="C190" s="11" t="n"/>
      <c r="D190" s="11" t="n"/>
      <c r="E190" s="12" t="n"/>
      <c r="F190" s="9" t="n"/>
      <c r="G190" s="11" t="n"/>
      <c r="H190" s="10">
        <f>IF(E190="","","https://cdn.ruparupa.io/fit-in/850x850/ruparupa-com/image/upload/Products/"&amp;E190&amp;"_1.jpg")</f>
        <v/>
      </c>
      <c r="I190" s="10">
        <f>IF(OR(B190="",C190=""),"",IFERROR(INDEX(LAYOUT!$D$2:$D$34,MATCH(B190&amp;"|"&amp;C190,LAYOUT!$E$2:$E$34,0)),"zona tidak ada di layout"))</f>
        <v/>
      </c>
      <c r="J190" s="13">
        <f>IF(OR(A190="",E190=""),"",COUNTIFS($A$2:$A$500,A190,$C$2:$C$500,C190,$E$2:$E$500,"&lt;&gt;"))</f>
        <v/>
      </c>
      <c r="K190" s="13">
        <f>IF(A190="","",IF(B190="","CEK id_fixture tidak ada di DAFTAR_FIXTURE",IF(I190="zona tidak ada di layout","CEK zona_no / jenis_fixture",IF(D190&lt;&gt;I190,"CEK jenis_zona",IF(E190="","Zona kosong",IF(F190="","CEK nama kosong","OK"))))))</f>
        <v/>
      </c>
    </row>
    <row r="191">
      <c r="A191" s="9" t="n"/>
      <c r="B191" s="10">
        <f>IF(A191="","",IFERROR(INDEX(DAFTAR_FIXTURE!$B$2:$B$51,MATCH(A191,DAFTAR_FIXTURE!$A$2:$A$51,0)),""))</f>
        <v/>
      </c>
      <c r="C191" s="11" t="n"/>
      <c r="D191" s="11" t="n"/>
      <c r="E191" s="12" t="n"/>
      <c r="F191" s="9" t="n"/>
      <c r="G191" s="11" t="n"/>
      <c r="H191" s="10">
        <f>IF(E191="","","https://cdn.ruparupa.io/fit-in/850x850/ruparupa-com/image/upload/Products/"&amp;E191&amp;"_1.jpg")</f>
        <v/>
      </c>
      <c r="I191" s="10">
        <f>IF(OR(B191="",C191=""),"",IFERROR(INDEX(LAYOUT!$D$2:$D$34,MATCH(B191&amp;"|"&amp;C191,LAYOUT!$E$2:$E$34,0)),"zona tidak ada di layout"))</f>
        <v/>
      </c>
      <c r="J191" s="13">
        <f>IF(OR(A191="",E191=""),"",COUNTIFS($A$2:$A$500,A191,$C$2:$C$500,C191,$E$2:$E$500,"&lt;&gt;"))</f>
        <v/>
      </c>
      <c r="K191" s="13">
        <f>IF(A191="","",IF(B191="","CEK id_fixture tidak ada di DAFTAR_FIXTURE",IF(I191="zona tidak ada di layout","CEK zona_no / jenis_fixture",IF(D191&lt;&gt;I191,"CEK jenis_zona",IF(E191="","Zona kosong",IF(F191="","CEK nama kosong","OK"))))))</f>
        <v/>
      </c>
    </row>
    <row r="192">
      <c r="A192" s="9" t="n"/>
      <c r="B192" s="10">
        <f>IF(A192="","",IFERROR(INDEX(DAFTAR_FIXTURE!$B$2:$B$51,MATCH(A192,DAFTAR_FIXTURE!$A$2:$A$51,0)),""))</f>
        <v/>
      </c>
      <c r="C192" s="11" t="n"/>
      <c r="D192" s="11" t="n"/>
      <c r="E192" s="12" t="n"/>
      <c r="F192" s="9" t="n"/>
      <c r="G192" s="11" t="n"/>
      <c r="H192" s="10">
        <f>IF(E192="","","https://cdn.ruparupa.io/fit-in/850x850/ruparupa-com/image/upload/Products/"&amp;E192&amp;"_1.jpg")</f>
        <v/>
      </c>
      <c r="I192" s="10">
        <f>IF(OR(B192="",C192=""),"",IFERROR(INDEX(LAYOUT!$D$2:$D$34,MATCH(B192&amp;"|"&amp;C192,LAYOUT!$E$2:$E$34,0)),"zona tidak ada di layout"))</f>
        <v/>
      </c>
      <c r="J192" s="13">
        <f>IF(OR(A192="",E192=""),"",COUNTIFS($A$2:$A$500,A192,$C$2:$C$500,C192,$E$2:$E$500,"&lt;&gt;"))</f>
        <v/>
      </c>
      <c r="K192" s="13">
        <f>IF(A192="","",IF(B192="","CEK id_fixture tidak ada di DAFTAR_FIXTURE",IF(I192="zona tidak ada di layout","CEK zona_no / jenis_fixture",IF(D192&lt;&gt;I192,"CEK jenis_zona",IF(E192="","Zona kosong",IF(F192="","CEK nama kosong","OK"))))))</f>
        <v/>
      </c>
    </row>
    <row r="193">
      <c r="A193" s="9" t="n"/>
      <c r="B193" s="10">
        <f>IF(A193="","",IFERROR(INDEX(DAFTAR_FIXTURE!$B$2:$B$51,MATCH(A193,DAFTAR_FIXTURE!$A$2:$A$51,0)),""))</f>
        <v/>
      </c>
      <c r="C193" s="11" t="n"/>
      <c r="D193" s="11" t="n"/>
      <c r="E193" s="12" t="n"/>
      <c r="F193" s="9" t="n"/>
      <c r="G193" s="11" t="n"/>
      <c r="H193" s="10">
        <f>IF(E193="","","https://cdn.ruparupa.io/fit-in/850x850/ruparupa-com/image/upload/Products/"&amp;E193&amp;"_1.jpg")</f>
        <v/>
      </c>
      <c r="I193" s="10">
        <f>IF(OR(B193="",C193=""),"",IFERROR(INDEX(LAYOUT!$D$2:$D$34,MATCH(B193&amp;"|"&amp;C193,LAYOUT!$E$2:$E$34,0)),"zona tidak ada di layout"))</f>
        <v/>
      </c>
      <c r="J193" s="13">
        <f>IF(OR(A193="",E193=""),"",COUNTIFS($A$2:$A$500,A193,$C$2:$C$500,C193,$E$2:$E$500,"&lt;&gt;"))</f>
        <v/>
      </c>
      <c r="K193" s="13">
        <f>IF(A193="","",IF(B193="","CEK id_fixture tidak ada di DAFTAR_FIXTURE",IF(I193="zona tidak ada di layout","CEK zona_no / jenis_fixture",IF(D193&lt;&gt;I193,"CEK jenis_zona",IF(E193="","Zona kosong",IF(F193="","CEK nama kosong","OK"))))))</f>
        <v/>
      </c>
    </row>
    <row r="194">
      <c r="A194" s="9" t="n"/>
      <c r="B194" s="10">
        <f>IF(A194="","",IFERROR(INDEX(DAFTAR_FIXTURE!$B$2:$B$51,MATCH(A194,DAFTAR_FIXTURE!$A$2:$A$51,0)),""))</f>
        <v/>
      </c>
      <c r="C194" s="11" t="n"/>
      <c r="D194" s="11" t="n"/>
      <c r="E194" s="12" t="n"/>
      <c r="F194" s="9" t="n"/>
      <c r="G194" s="11" t="n"/>
      <c r="H194" s="10">
        <f>IF(E194="","","https://cdn.ruparupa.io/fit-in/850x850/ruparupa-com/image/upload/Products/"&amp;E194&amp;"_1.jpg")</f>
        <v/>
      </c>
      <c r="I194" s="10">
        <f>IF(OR(B194="",C194=""),"",IFERROR(INDEX(LAYOUT!$D$2:$D$34,MATCH(B194&amp;"|"&amp;C194,LAYOUT!$E$2:$E$34,0)),"zona tidak ada di layout"))</f>
        <v/>
      </c>
      <c r="J194" s="13">
        <f>IF(OR(A194="",E194=""),"",COUNTIFS($A$2:$A$500,A194,$C$2:$C$500,C194,$E$2:$E$500,"&lt;&gt;"))</f>
        <v/>
      </c>
      <c r="K194" s="13">
        <f>IF(A194="","",IF(B194="","CEK id_fixture tidak ada di DAFTAR_FIXTURE",IF(I194="zona tidak ada di layout","CEK zona_no / jenis_fixture",IF(D194&lt;&gt;I194,"CEK jenis_zona",IF(E194="","Zona kosong",IF(F194="","CEK nama kosong","OK"))))))</f>
        <v/>
      </c>
    </row>
    <row r="195">
      <c r="A195" s="9" t="n"/>
      <c r="B195" s="10">
        <f>IF(A195="","",IFERROR(INDEX(DAFTAR_FIXTURE!$B$2:$B$51,MATCH(A195,DAFTAR_FIXTURE!$A$2:$A$51,0)),""))</f>
        <v/>
      </c>
      <c r="C195" s="11" t="n"/>
      <c r="D195" s="11" t="n"/>
      <c r="E195" s="12" t="n"/>
      <c r="F195" s="9" t="n"/>
      <c r="G195" s="11" t="n"/>
      <c r="H195" s="10">
        <f>IF(E195="","","https://cdn.ruparupa.io/fit-in/850x850/ruparupa-com/image/upload/Products/"&amp;E195&amp;"_1.jpg")</f>
        <v/>
      </c>
      <c r="I195" s="10">
        <f>IF(OR(B195="",C195=""),"",IFERROR(INDEX(LAYOUT!$D$2:$D$34,MATCH(B195&amp;"|"&amp;C195,LAYOUT!$E$2:$E$34,0)),"zona tidak ada di layout"))</f>
        <v/>
      </c>
      <c r="J195" s="13">
        <f>IF(OR(A195="",E195=""),"",COUNTIFS($A$2:$A$500,A195,$C$2:$C$500,C195,$E$2:$E$500,"&lt;&gt;"))</f>
        <v/>
      </c>
      <c r="K195" s="13">
        <f>IF(A195="","",IF(B195="","CEK id_fixture tidak ada di DAFTAR_FIXTURE",IF(I195="zona tidak ada di layout","CEK zona_no / jenis_fixture",IF(D195&lt;&gt;I195,"CEK jenis_zona",IF(E195="","Zona kosong",IF(F195="","CEK nama kosong","OK"))))))</f>
        <v/>
      </c>
    </row>
    <row r="196">
      <c r="A196" s="9" t="n"/>
      <c r="B196" s="10">
        <f>IF(A196="","",IFERROR(INDEX(DAFTAR_FIXTURE!$B$2:$B$51,MATCH(A196,DAFTAR_FIXTURE!$A$2:$A$51,0)),""))</f>
        <v/>
      </c>
      <c r="C196" s="11" t="n"/>
      <c r="D196" s="11" t="n"/>
      <c r="E196" s="12" t="n"/>
      <c r="F196" s="9" t="n"/>
      <c r="G196" s="11" t="n"/>
      <c r="H196" s="10">
        <f>IF(E196="","","https://cdn.ruparupa.io/fit-in/850x850/ruparupa-com/image/upload/Products/"&amp;E196&amp;"_1.jpg")</f>
        <v/>
      </c>
      <c r="I196" s="10">
        <f>IF(OR(B196="",C196=""),"",IFERROR(INDEX(LAYOUT!$D$2:$D$34,MATCH(B196&amp;"|"&amp;C196,LAYOUT!$E$2:$E$34,0)),"zona tidak ada di layout"))</f>
        <v/>
      </c>
      <c r="J196" s="13">
        <f>IF(OR(A196="",E196=""),"",COUNTIFS($A$2:$A$500,A196,$C$2:$C$500,C196,$E$2:$E$500,"&lt;&gt;"))</f>
        <v/>
      </c>
      <c r="K196" s="13">
        <f>IF(A196="","",IF(B196="","CEK id_fixture tidak ada di DAFTAR_FIXTURE",IF(I196="zona tidak ada di layout","CEK zona_no / jenis_fixture",IF(D196&lt;&gt;I196,"CEK jenis_zona",IF(E196="","Zona kosong",IF(F196="","CEK nama kosong","OK"))))))</f>
        <v/>
      </c>
    </row>
    <row r="197">
      <c r="A197" s="9" t="n"/>
      <c r="B197" s="10">
        <f>IF(A197="","",IFERROR(INDEX(DAFTAR_FIXTURE!$B$2:$B$51,MATCH(A197,DAFTAR_FIXTURE!$A$2:$A$51,0)),""))</f>
        <v/>
      </c>
      <c r="C197" s="11" t="n"/>
      <c r="D197" s="11" t="n"/>
      <c r="E197" s="12" t="n"/>
      <c r="F197" s="9" t="n"/>
      <c r="G197" s="11" t="n"/>
      <c r="H197" s="10">
        <f>IF(E197="","","https://cdn.ruparupa.io/fit-in/850x850/ruparupa-com/image/upload/Products/"&amp;E197&amp;"_1.jpg")</f>
        <v/>
      </c>
      <c r="I197" s="10">
        <f>IF(OR(B197="",C197=""),"",IFERROR(INDEX(LAYOUT!$D$2:$D$34,MATCH(B197&amp;"|"&amp;C197,LAYOUT!$E$2:$E$34,0)),"zona tidak ada di layout"))</f>
        <v/>
      </c>
      <c r="J197" s="13">
        <f>IF(OR(A197="",E197=""),"",COUNTIFS($A$2:$A$500,A197,$C$2:$C$500,C197,$E$2:$E$500,"&lt;&gt;"))</f>
        <v/>
      </c>
      <c r="K197" s="13">
        <f>IF(A197="","",IF(B197="","CEK id_fixture tidak ada di DAFTAR_FIXTURE",IF(I197="zona tidak ada di layout","CEK zona_no / jenis_fixture",IF(D197&lt;&gt;I197,"CEK jenis_zona",IF(E197="","Zona kosong",IF(F197="","CEK nama kosong","OK"))))))</f>
        <v/>
      </c>
    </row>
    <row r="198">
      <c r="A198" s="9" t="n"/>
      <c r="B198" s="10">
        <f>IF(A198="","",IFERROR(INDEX(DAFTAR_FIXTURE!$B$2:$B$51,MATCH(A198,DAFTAR_FIXTURE!$A$2:$A$51,0)),""))</f>
        <v/>
      </c>
      <c r="C198" s="11" t="n"/>
      <c r="D198" s="11" t="n"/>
      <c r="E198" s="12" t="n"/>
      <c r="F198" s="9" t="n"/>
      <c r="G198" s="11" t="n"/>
      <c r="H198" s="10">
        <f>IF(E198="","","https://cdn.ruparupa.io/fit-in/850x850/ruparupa-com/image/upload/Products/"&amp;E198&amp;"_1.jpg")</f>
        <v/>
      </c>
      <c r="I198" s="10">
        <f>IF(OR(B198="",C198=""),"",IFERROR(INDEX(LAYOUT!$D$2:$D$34,MATCH(B198&amp;"|"&amp;C198,LAYOUT!$E$2:$E$34,0)),"zona tidak ada di layout"))</f>
        <v/>
      </c>
      <c r="J198" s="13">
        <f>IF(OR(A198="",E198=""),"",COUNTIFS($A$2:$A$500,A198,$C$2:$C$500,C198,$E$2:$E$500,"&lt;&gt;"))</f>
        <v/>
      </c>
      <c r="K198" s="13">
        <f>IF(A198="","",IF(B198="","CEK id_fixture tidak ada di DAFTAR_FIXTURE",IF(I198="zona tidak ada di layout","CEK zona_no / jenis_fixture",IF(D198&lt;&gt;I198,"CEK jenis_zona",IF(E198="","Zona kosong",IF(F198="","CEK nama kosong","OK"))))))</f>
        <v/>
      </c>
    </row>
    <row r="199">
      <c r="A199" s="9" t="n"/>
      <c r="B199" s="10">
        <f>IF(A199="","",IFERROR(INDEX(DAFTAR_FIXTURE!$B$2:$B$51,MATCH(A199,DAFTAR_FIXTURE!$A$2:$A$51,0)),""))</f>
        <v/>
      </c>
      <c r="C199" s="11" t="n"/>
      <c r="D199" s="11" t="n"/>
      <c r="E199" s="12" t="n"/>
      <c r="F199" s="9" t="n"/>
      <c r="G199" s="11" t="n"/>
      <c r="H199" s="10">
        <f>IF(E199="","","https://cdn.ruparupa.io/fit-in/850x850/ruparupa-com/image/upload/Products/"&amp;E199&amp;"_1.jpg")</f>
        <v/>
      </c>
      <c r="I199" s="10">
        <f>IF(OR(B199="",C199=""),"",IFERROR(INDEX(LAYOUT!$D$2:$D$34,MATCH(B199&amp;"|"&amp;C199,LAYOUT!$E$2:$E$34,0)),"zona tidak ada di layout"))</f>
        <v/>
      </c>
      <c r="J199" s="13">
        <f>IF(OR(A199="",E199=""),"",COUNTIFS($A$2:$A$500,A199,$C$2:$C$500,C199,$E$2:$E$500,"&lt;&gt;"))</f>
        <v/>
      </c>
      <c r="K199" s="13">
        <f>IF(A199="","",IF(B199="","CEK id_fixture tidak ada di DAFTAR_FIXTURE",IF(I199="zona tidak ada di layout","CEK zona_no / jenis_fixture",IF(D199&lt;&gt;I199,"CEK jenis_zona",IF(E199="","Zona kosong",IF(F199="","CEK nama kosong","OK"))))))</f>
        <v/>
      </c>
    </row>
    <row r="200">
      <c r="A200" s="9" t="n"/>
      <c r="B200" s="10">
        <f>IF(A200="","",IFERROR(INDEX(DAFTAR_FIXTURE!$B$2:$B$51,MATCH(A200,DAFTAR_FIXTURE!$A$2:$A$51,0)),""))</f>
        <v/>
      </c>
      <c r="C200" s="11" t="n"/>
      <c r="D200" s="11" t="n"/>
      <c r="E200" s="12" t="n"/>
      <c r="F200" s="9" t="n"/>
      <c r="G200" s="11" t="n"/>
      <c r="H200" s="10">
        <f>IF(E200="","","https://cdn.ruparupa.io/fit-in/850x850/ruparupa-com/image/upload/Products/"&amp;E200&amp;"_1.jpg")</f>
        <v/>
      </c>
      <c r="I200" s="10">
        <f>IF(OR(B200="",C200=""),"",IFERROR(INDEX(LAYOUT!$D$2:$D$34,MATCH(B200&amp;"|"&amp;C200,LAYOUT!$E$2:$E$34,0)),"zona tidak ada di layout"))</f>
        <v/>
      </c>
      <c r="J200" s="13">
        <f>IF(OR(A200="",E200=""),"",COUNTIFS($A$2:$A$500,A200,$C$2:$C$500,C200,$E$2:$E$500,"&lt;&gt;"))</f>
        <v/>
      </c>
      <c r="K200" s="13">
        <f>IF(A200="","",IF(B200="","CEK id_fixture tidak ada di DAFTAR_FIXTURE",IF(I200="zona tidak ada di layout","CEK zona_no / jenis_fixture",IF(D200&lt;&gt;I200,"CEK jenis_zona",IF(E200="","Zona kosong",IF(F200="","CEK nama kosong","OK"))))))</f>
        <v/>
      </c>
    </row>
    <row r="201">
      <c r="A201" s="9" t="n"/>
      <c r="B201" s="10">
        <f>IF(A201="","",IFERROR(INDEX(DAFTAR_FIXTURE!$B$2:$B$51,MATCH(A201,DAFTAR_FIXTURE!$A$2:$A$51,0)),""))</f>
        <v/>
      </c>
      <c r="C201" s="11" t="n"/>
      <c r="D201" s="11" t="n"/>
      <c r="E201" s="12" t="n"/>
      <c r="F201" s="9" t="n"/>
      <c r="G201" s="11" t="n"/>
      <c r="H201" s="10">
        <f>IF(E201="","","https://cdn.ruparupa.io/fit-in/850x850/ruparupa-com/image/upload/Products/"&amp;E201&amp;"_1.jpg")</f>
        <v/>
      </c>
      <c r="I201" s="10">
        <f>IF(OR(B201="",C201=""),"",IFERROR(INDEX(LAYOUT!$D$2:$D$34,MATCH(B201&amp;"|"&amp;C201,LAYOUT!$E$2:$E$34,0)),"zona tidak ada di layout"))</f>
        <v/>
      </c>
      <c r="J201" s="13">
        <f>IF(OR(A201="",E201=""),"",COUNTIFS($A$2:$A$500,A201,$C$2:$C$500,C201,$E$2:$E$500,"&lt;&gt;"))</f>
        <v/>
      </c>
      <c r="K201" s="13">
        <f>IF(A201="","",IF(B201="","CEK id_fixture tidak ada di DAFTAR_FIXTURE",IF(I201="zona tidak ada di layout","CEK zona_no / jenis_fixture",IF(D201&lt;&gt;I201,"CEK jenis_zona",IF(E201="","Zona kosong",IF(F201="","CEK nama kosong","OK"))))))</f>
        <v/>
      </c>
    </row>
    <row r="202">
      <c r="A202" s="9" t="n"/>
      <c r="B202" s="10">
        <f>IF(A202="","",IFERROR(INDEX(DAFTAR_FIXTURE!$B$2:$B$51,MATCH(A202,DAFTAR_FIXTURE!$A$2:$A$51,0)),""))</f>
        <v/>
      </c>
      <c r="C202" s="11" t="n"/>
      <c r="D202" s="11" t="n"/>
      <c r="E202" s="12" t="n"/>
      <c r="F202" s="9" t="n"/>
      <c r="G202" s="11" t="n"/>
      <c r="H202" s="10">
        <f>IF(E202="","","https://cdn.ruparupa.io/fit-in/850x850/ruparupa-com/image/upload/Products/"&amp;E202&amp;"_1.jpg")</f>
        <v/>
      </c>
      <c r="I202" s="10">
        <f>IF(OR(B202="",C202=""),"",IFERROR(INDEX(LAYOUT!$D$2:$D$34,MATCH(B202&amp;"|"&amp;C202,LAYOUT!$E$2:$E$34,0)),"zona tidak ada di layout"))</f>
        <v/>
      </c>
      <c r="J202" s="13">
        <f>IF(OR(A202="",E202=""),"",COUNTIFS($A$2:$A$500,A202,$C$2:$C$500,C202,$E$2:$E$500,"&lt;&gt;"))</f>
        <v/>
      </c>
      <c r="K202" s="13">
        <f>IF(A202="","",IF(B202="","CEK id_fixture tidak ada di DAFTAR_FIXTURE",IF(I202="zona tidak ada di layout","CEK zona_no / jenis_fixture",IF(D202&lt;&gt;I202,"CEK jenis_zona",IF(E202="","Zona kosong",IF(F202="","CEK nama kosong","OK"))))))</f>
        <v/>
      </c>
    </row>
    <row r="203">
      <c r="A203" s="9" t="n"/>
      <c r="B203" s="10">
        <f>IF(A203="","",IFERROR(INDEX(DAFTAR_FIXTURE!$B$2:$B$51,MATCH(A203,DAFTAR_FIXTURE!$A$2:$A$51,0)),""))</f>
        <v/>
      </c>
      <c r="C203" s="11" t="n"/>
      <c r="D203" s="11" t="n"/>
      <c r="E203" s="12" t="n"/>
      <c r="F203" s="9" t="n"/>
      <c r="G203" s="11" t="n"/>
      <c r="H203" s="10">
        <f>IF(E203="","","https://cdn.ruparupa.io/fit-in/850x850/ruparupa-com/image/upload/Products/"&amp;E203&amp;"_1.jpg")</f>
        <v/>
      </c>
      <c r="I203" s="10">
        <f>IF(OR(B203="",C203=""),"",IFERROR(INDEX(LAYOUT!$D$2:$D$34,MATCH(B203&amp;"|"&amp;C203,LAYOUT!$E$2:$E$34,0)),"zona tidak ada di layout"))</f>
        <v/>
      </c>
      <c r="J203" s="13">
        <f>IF(OR(A203="",E203=""),"",COUNTIFS($A$2:$A$500,A203,$C$2:$C$500,C203,$E$2:$E$500,"&lt;&gt;"))</f>
        <v/>
      </c>
      <c r="K203" s="13">
        <f>IF(A203="","",IF(B203="","CEK id_fixture tidak ada di DAFTAR_FIXTURE",IF(I203="zona tidak ada di layout","CEK zona_no / jenis_fixture",IF(D203&lt;&gt;I203,"CEK jenis_zona",IF(E203="","Zona kosong",IF(F203="","CEK nama kosong","OK"))))))</f>
        <v/>
      </c>
    </row>
    <row r="204">
      <c r="A204" s="9" t="n"/>
      <c r="B204" s="10">
        <f>IF(A204="","",IFERROR(INDEX(DAFTAR_FIXTURE!$B$2:$B$51,MATCH(A204,DAFTAR_FIXTURE!$A$2:$A$51,0)),""))</f>
        <v/>
      </c>
      <c r="C204" s="11" t="n"/>
      <c r="D204" s="11" t="n"/>
      <c r="E204" s="12" t="n"/>
      <c r="F204" s="9" t="n"/>
      <c r="G204" s="11" t="n"/>
      <c r="H204" s="10">
        <f>IF(E204="","","https://cdn.ruparupa.io/fit-in/850x850/ruparupa-com/image/upload/Products/"&amp;E204&amp;"_1.jpg")</f>
        <v/>
      </c>
      <c r="I204" s="10">
        <f>IF(OR(B204="",C204=""),"",IFERROR(INDEX(LAYOUT!$D$2:$D$34,MATCH(B204&amp;"|"&amp;C204,LAYOUT!$E$2:$E$34,0)),"zona tidak ada di layout"))</f>
        <v/>
      </c>
      <c r="J204" s="13">
        <f>IF(OR(A204="",E204=""),"",COUNTIFS($A$2:$A$500,A204,$C$2:$C$500,C204,$E$2:$E$500,"&lt;&gt;"))</f>
        <v/>
      </c>
      <c r="K204" s="13">
        <f>IF(A204="","",IF(B204="","CEK id_fixture tidak ada di DAFTAR_FIXTURE",IF(I204="zona tidak ada di layout","CEK zona_no / jenis_fixture",IF(D204&lt;&gt;I204,"CEK jenis_zona",IF(E204="","Zona kosong",IF(F204="","CEK nama kosong","OK"))))))</f>
        <v/>
      </c>
    </row>
    <row r="205">
      <c r="A205" s="9" t="n"/>
      <c r="B205" s="10">
        <f>IF(A205="","",IFERROR(INDEX(DAFTAR_FIXTURE!$B$2:$B$51,MATCH(A205,DAFTAR_FIXTURE!$A$2:$A$51,0)),""))</f>
        <v/>
      </c>
      <c r="C205" s="11" t="n"/>
      <c r="D205" s="11" t="n"/>
      <c r="E205" s="12" t="n"/>
      <c r="F205" s="9" t="n"/>
      <c r="G205" s="11" t="n"/>
      <c r="H205" s="10">
        <f>IF(E205="","","https://cdn.ruparupa.io/fit-in/850x850/ruparupa-com/image/upload/Products/"&amp;E205&amp;"_1.jpg")</f>
        <v/>
      </c>
      <c r="I205" s="10">
        <f>IF(OR(B205="",C205=""),"",IFERROR(INDEX(LAYOUT!$D$2:$D$34,MATCH(B205&amp;"|"&amp;C205,LAYOUT!$E$2:$E$34,0)),"zona tidak ada di layout"))</f>
        <v/>
      </c>
      <c r="J205" s="13">
        <f>IF(OR(A205="",E205=""),"",COUNTIFS($A$2:$A$500,A205,$C$2:$C$500,C205,$E$2:$E$500,"&lt;&gt;"))</f>
        <v/>
      </c>
      <c r="K205" s="13">
        <f>IF(A205="","",IF(B205="","CEK id_fixture tidak ada di DAFTAR_FIXTURE",IF(I205="zona tidak ada di layout","CEK zona_no / jenis_fixture",IF(D205&lt;&gt;I205,"CEK jenis_zona",IF(E205="","Zona kosong",IF(F205="","CEK nama kosong","OK"))))))</f>
        <v/>
      </c>
    </row>
    <row r="206">
      <c r="A206" s="9" t="n"/>
      <c r="B206" s="10">
        <f>IF(A206="","",IFERROR(INDEX(DAFTAR_FIXTURE!$B$2:$B$51,MATCH(A206,DAFTAR_FIXTURE!$A$2:$A$51,0)),""))</f>
        <v/>
      </c>
      <c r="C206" s="11" t="n"/>
      <c r="D206" s="11" t="n"/>
      <c r="E206" s="12" t="n"/>
      <c r="F206" s="9" t="n"/>
      <c r="G206" s="11" t="n"/>
      <c r="H206" s="10">
        <f>IF(E206="","","https://cdn.ruparupa.io/fit-in/850x850/ruparupa-com/image/upload/Products/"&amp;E206&amp;"_1.jpg")</f>
        <v/>
      </c>
      <c r="I206" s="10">
        <f>IF(OR(B206="",C206=""),"",IFERROR(INDEX(LAYOUT!$D$2:$D$34,MATCH(B206&amp;"|"&amp;C206,LAYOUT!$E$2:$E$34,0)),"zona tidak ada di layout"))</f>
        <v/>
      </c>
      <c r="J206" s="13">
        <f>IF(OR(A206="",E206=""),"",COUNTIFS($A$2:$A$500,A206,$C$2:$C$500,C206,$E$2:$E$500,"&lt;&gt;"))</f>
        <v/>
      </c>
      <c r="K206" s="13">
        <f>IF(A206="","",IF(B206="","CEK id_fixture tidak ada di DAFTAR_FIXTURE",IF(I206="zona tidak ada di layout","CEK zona_no / jenis_fixture",IF(D206&lt;&gt;I206,"CEK jenis_zona",IF(E206="","Zona kosong",IF(F206="","CEK nama kosong","OK"))))))</f>
        <v/>
      </c>
    </row>
    <row r="207">
      <c r="A207" s="9" t="n"/>
      <c r="B207" s="10">
        <f>IF(A207="","",IFERROR(INDEX(DAFTAR_FIXTURE!$B$2:$B$51,MATCH(A207,DAFTAR_FIXTURE!$A$2:$A$51,0)),""))</f>
        <v/>
      </c>
      <c r="C207" s="11" t="n"/>
      <c r="D207" s="11" t="n"/>
      <c r="E207" s="12" t="n"/>
      <c r="F207" s="9" t="n"/>
      <c r="G207" s="11" t="n"/>
      <c r="H207" s="10">
        <f>IF(E207="","","https://cdn.ruparupa.io/fit-in/850x850/ruparupa-com/image/upload/Products/"&amp;E207&amp;"_1.jpg")</f>
        <v/>
      </c>
      <c r="I207" s="10">
        <f>IF(OR(B207="",C207=""),"",IFERROR(INDEX(LAYOUT!$D$2:$D$34,MATCH(B207&amp;"|"&amp;C207,LAYOUT!$E$2:$E$34,0)),"zona tidak ada di layout"))</f>
        <v/>
      </c>
      <c r="J207" s="13">
        <f>IF(OR(A207="",E207=""),"",COUNTIFS($A$2:$A$500,A207,$C$2:$C$500,C207,$E$2:$E$500,"&lt;&gt;"))</f>
        <v/>
      </c>
      <c r="K207" s="13">
        <f>IF(A207="","",IF(B207="","CEK id_fixture tidak ada di DAFTAR_FIXTURE",IF(I207="zona tidak ada di layout","CEK zona_no / jenis_fixture",IF(D207&lt;&gt;I207,"CEK jenis_zona",IF(E207="","Zona kosong",IF(F207="","CEK nama kosong","OK"))))))</f>
        <v/>
      </c>
    </row>
    <row r="208">
      <c r="A208" s="9" t="n"/>
      <c r="B208" s="10">
        <f>IF(A208="","",IFERROR(INDEX(DAFTAR_FIXTURE!$B$2:$B$51,MATCH(A208,DAFTAR_FIXTURE!$A$2:$A$51,0)),""))</f>
        <v/>
      </c>
      <c r="C208" s="11" t="n"/>
      <c r="D208" s="11" t="n"/>
      <c r="E208" s="12" t="n"/>
      <c r="F208" s="9" t="n"/>
      <c r="G208" s="11" t="n"/>
      <c r="H208" s="10">
        <f>IF(E208="","","https://cdn.ruparupa.io/fit-in/850x850/ruparupa-com/image/upload/Products/"&amp;E208&amp;"_1.jpg")</f>
        <v/>
      </c>
      <c r="I208" s="10">
        <f>IF(OR(B208="",C208=""),"",IFERROR(INDEX(LAYOUT!$D$2:$D$34,MATCH(B208&amp;"|"&amp;C208,LAYOUT!$E$2:$E$34,0)),"zona tidak ada di layout"))</f>
        <v/>
      </c>
      <c r="J208" s="13">
        <f>IF(OR(A208="",E208=""),"",COUNTIFS($A$2:$A$500,A208,$C$2:$C$500,C208,$E$2:$E$500,"&lt;&gt;"))</f>
        <v/>
      </c>
      <c r="K208" s="13">
        <f>IF(A208="","",IF(B208="","CEK id_fixture tidak ada di DAFTAR_FIXTURE",IF(I208="zona tidak ada di layout","CEK zona_no / jenis_fixture",IF(D208&lt;&gt;I208,"CEK jenis_zona",IF(E208="","Zona kosong",IF(F208="","CEK nama kosong","OK"))))))</f>
        <v/>
      </c>
    </row>
    <row r="209">
      <c r="A209" s="9" t="n"/>
      <c r="B209" s="10">
        <f>IF(A209="","",IFERROR(INDEX(DAFTAR_FIXTURE!$B$2:$B$51,MATCH(A209,DAFTAR_FIXTURE!$A$2:$A$51,0)),""))</f>
        <v/>
      </c>
      <c r="C209" s="11" t="n"/>
      <c r="D209" s="11" t="n"/>
      <c r="E209" s="12" t="n"/>
      <c r="F209" s="9" t="n"/>
      <c r="G209" s="11" t="n"/>
      <c r="H209" s="10">
        <f>IF(E209="","","https://cdn.ruparupa.io/fit-in/850x850/ruparupa-com/image/upload/Products/"&amp;E209&amp;"_1.jpg")</f>
        <v/>
      </c>
      <c r="I209" s="10">
        <f>IF(OR(B209="",C209=""),"",IFERROR(INDEX(LAYOUT!$D$2:$D$34,MATCH(B209&amp;"|"&amp;C209,LAYOUT!$E$2:$E$34,0)),"zona tidak ada di layout"))</f>
        <v/>
      </c>
      <c r="J209" s="13">
        <f>IF(OR(A209="",E209=""),"",COUNTIFS($A$2:$A$500,A209,$C$2:$C$500,C209,$E$2:$E$500,"&lt;&gt;"))</f>
        <v/>
      </c>
      <c r="K209" s="13">
        <f>IF(A209="","",IF(B209="","CEK id_fixture tidak ada di DAFTAR_FIXTURE",IF(I209="zona tidak ada di layout","CEK zona_no / jenis_fixture",IF(D209&lt;&gt;I209,"CEK jenis_zona",IF(E209="","Zona kosong",IF(F209="","CEK nama kosong","OK"))))))</f>
        <v/>
      </c>
    </row>
    <row r="210">
      <c r="A210" s="9" t="n"/>
      <c r="B210" s="10">
        <f>IF(A210="","",IFERROR(INDEX(DAFTAR_FIXTURE!$B$2:$B$51,MATCH(A210,DAFTAR_FIXTURE!$A$2:$A$51,0)),""))</f>
        <v/>
      </c>
      <c r="C210" s="11" t="n"/>
      <c r="D210" s="11" t="n"/>
      <c r="E210" s="12" t="n"/>
      <c r="F210" s="9" t="n"/>
      <c r="G210" s="11" t="n"/>
      <c r="H210" s="10">
        <f>IF(E210="","","https://cdn.ruparupa.io/fit-in/850x850/ruparupa-com/image/upload/Products/"&amp;E210&amp;"_1.jpg")</f>
        <v/>
      </c>
      <c r="I210" s="10">
        <f>IF(OR(B210="",C210=""),"",IFERROR(INDEX(LAYOUT!$D$2:$D$34,MATCH(B210&amp;"|"&amp;C210,LAYOUT!$E$2:$E$34,0)),"zona tidak ada di layout"))</f>
        <v/>
      </c>
      <c r="J210" s="13">
        <f>IF(OR(A210="",E210=""),"",COUNTIFS($A$2:$A$500,A210,$C$2:$C$500,C210,$E$2:$E$500,"&lt;&gt;"))</f>
        <v/>
      </c>
      <c r="K210" s="13">
        <f>IF(A210="","",IF(B210="","CEK id_fixture tidak ada di DAFTAR_FIXTURE",IF(I210="zona tidak ada di layout","CEK zona_no / jenis_fixture",IF(D210&lt;&gt;I210,"CEK jenis_zona",IF(E210="","Zona kosong",IF(F210="","CEK nama kosong","OK"))))))</f>
        <v/>
      </c>
    </row>
    <row r="211">
      <c r="A211" s="9" t="n"/>
      <c r="B211" s="10">
        <f>IF(A211="","",IFERROR(INDEX(DAFTAR_FIXTURE!$B$2:$B$51,MATCH(A211,DAFTAR_FIXTURE!$A$2:$A$51,0)),""))</f>
        <v/>
      </c>
      <c r="C211" s="11" t="n"/>
      <c r="D211" s="11" t="n"/>
      <c r="E211" s="12" t="n"/>
      <c r="F211" s="9" t="n"/>
      <c r="G211" s="11" t="n"/>
      <c r="H211" s="10">
        <f>IF(E211="","","https://cdn.ruparupa.io/fit-in/850x850/ruparupa-com/image/upload/Products/"&amp;E211&amp;"_1.jpg")</f>
        <v/>
      </c>
      <c r="I211" s="10">
        <f>IF(OR(B211="",C211=""),"",IFERROR(INDEX(LAYOUT!$D$2:$D$34,MATCH(B211&amp;"|"&amp;C211,LAYOUT!$E$2:$E$34,0)),"zona tidak ada di layout"))</f>
        <v/>
      </c>
      <c r="J211" s="13">
        <f>IF(OR(A211="",E211=""),"",COUNTIFS($A$2:$A$500,A211,$C$2:$C$500,C211,$E$2:$E$500,"&lt;&gt;"))</f>
        <v/>
      </c>
      <c r="K211" s="13">
        <f>IF(A211="","",IF(B211="","CEK id_fixture tidak ada di DAFTAR_FIXTURE",IF(I211="zona tidak ada di layout","CEK zona_no / jenis_fixture",IF(D211&lt;&gt;I211,"CEK jenis_zona",IF(E211="","Zona kosong",IF(F211="","CEK nama kosong","OK"))))))</f>
        <v/>
      </c>
    </row>
    <row r="212">
      <c r="A212" s="9" t="n"/>
      <c r="B212" s="10">
        <f>IF(A212="","",IFERROR(INDEX(DAFTAR_FIXTURE!$B$2:$B$51,MATCH(A212,DAFTAR_FIXTURE!$A$2:$A$51,0)),""))</f>
        <v/>
      </c>
      <c r="C212" s="11" t="n"/>
      <c r="D212" s="11" t="n"/>
      <c r="E212" s="12" t="n"/>
      <c r="F212" s="9" t="n"/>
      <c r="G212" s="11" t="n"/>
      <c r="H212" s="10">
        <f>IF(E212="","","https://cdn.ruparupa.io/fit-in/850x850/ruparupa-com/image/upload/Products/"&amp;E212&amp;"_1.jpg")</f>
        <v/>
      </c>
      <c r="I212" s="10">
        <f>IF(OR(B212="",C212=""),"",IFERROR(INDEX(LAYOUT!$D$2:$D$34,MATCH(B212&amp;"|"&amp;C212,LAYOUT!$E$2:$E$34,0)),"zona tidak ada di layout"))</f>
        <v/>
      </c>
      <c r="J212" s="13">
        <f>IF(OR(A212="",E212=""),"",COUNTIFS($A$2:$A$500,A212,$C$2:$C$500,C212,$E$2:$E$500,"&lt;&gt;"))</f>
        <v/>
      </c>
      <c r="K212" s="13">
        <f>IF(A212="","",IF(B212="","CEK id_fixture tidak ada di DAFTAR_FIXTURE",IF(I212="zona tidak ada di layout","CEK zona_no / jenis_fixture",IF(D212&lt;&gt;I212,"CEK jenis_zona",IF(E212="","Zona kosong",IF(F212="","CEK nama kosong","OK"))))))</f>
        <v/>
      </c>
    </row>
    <row r="213">
      <c r="A213" s="9" t="n"/>
      <c r="B213" s="10">
        <f>IF(A213="","",IFERROR(INDEX(DAFTAR_FIXTURE!$B$2:$B$51,MATCH(A213,DAFTAR_FIXTURE!$A$2:$A$51,0)),""))</f>
        <v/>
      </c>
      <c r="C213" s="11" t="n"/>
      <c r="D213" s="11" t="n"/>
      <c r="E213" s="12" t="n"/>
      <c r="F213" s="9" t="n"/>
      <c r="G213" s="11" t="n"/>
      <c r="H213" s="10">
        <f>IF(E213="","","https://cdn.ruparupa.io/fit-in/850x850/ruparupa-com/image/upload/Products/"&amp;E213&amp;"_1.jpg")</f>
        <v/>
      </c>
      <c r="I213" s="10">
        <f>IF(OR(B213="",C213=""),"",IFERROR(INDEX(LAYOUT!$D$2:$D$34,MATCH(B213&amp;"|"&amp;C213,LAYOUT!$E$2:$E$34,0)),"zona tidak ada di layout"))</f>
        <v/>
      </c>
      <c r="J213" s="13">
        <f>IF(OR(A213="",E213=""),"",COUNTIFS($A$2:$A$500,A213,$C$2:$C$500,C213,$E$2:$E$500,"&lt;&gt;"))</f>
        <v/>
      </c>
      <c r="K213" s="13">
        <f>IF(A213="","",IF(B213="","CEK id_fixture tidak ada di DAFTAR_FIXTURE",IF(I213="zona tidak ada di layout","CEK zona_no / jenis_fixture",IF(D213&lt;&gt;I213,"CEK jenis_zona",IF(E213="","Zona kosong",IF(F213="","CEK nama kosong","OK"))))))</f>
        <v/>
      </c>
    </row>
    <row r="214">
      <c r="A214" s="9" t="n"/>
      <c r="B214" s="10">
        <f>IF(A214="","",IFERROR(INDEX(DAFTAR_FIXTURE!$B$2:$B$51,MATCH(A214,DAFTAR_FIXTURE!$A$2:$A$51,0)),""))</f>
        <v/>
      </c>
      <c r="C214" s="11" t="n"/>
      <c r="D214" s="11" t="n"/>
      <c r="E214" s="12" t="n"/>
      <c r="F214" s="9" t="n"/>
      <c r="G214" s="11" t="n"/>
      <c r="H214" s="10">
        <f>IF(E214="","","https://cdn.ruparupa.io/fit-in/850x850/ruparupa-com/image/upload/Products/"&amp;E214&amp;"_1.jpg")</f>
        <v/>
      </c>
      <c r="I214" s="10">
        <f>IF(OR(B214="",C214=""),"",IFERROR(INDEX(LAYOUT!$D$2:$D$34,MATCH(B214&amp;"|"&amp;C214,LAYOUT!$E$2:$E$34,0)),"zona tidak ada di layout"))</f>
        <v/>
      </c>
      <c r="J214" s="13">
        <f>IF(OR(A214="",E214=""),"",COUNTIFS($A$2:$A$500,A214,$C$2:$C$500,C214,$E$2:$E$500,"&lt;&gt;"))</f>
        <v/>
      </c>
      <c r="K214" s="13">
        <f>IF(A214="","",IF(B214="","CEK id_fixture tidak ada di DAFTAR_FIXTURE",IF(I214="zona tidak ada di layout","CEK zona_no / jenis_fixture",IF(D214&lt;&gt;I214,"CEK jenis_zona",IF(E214="","Zona kosong",IF(F214="","CEK nama kosong","OK"))))))</f>
        <v/>
      </c>
    </row>
    <row r="215">
      <c r="A215" s="9" t="n"/>
      <c r="B215" s="10">
        <f>IF(A215="","",IFERROR(INDEX(DAFTAR_FIXTURE!$B$2:$B$51,MATCH(A215,DAFTAR_FIXTURE!$A$2:$A$51,0)),""))</f>
        <v/>
      </c>
      <c r="C215" s="11" t="n"/>
      <c r="D215" s="11" t="n"/>
      <c r="E215" s="12" t="n"/>
      <c r="F215" s="9" t="n"/>
      <c r="G215" s="11" t="n"/>
      <c r="H215" s="10">
        <f>IF(E215="","","https://cdn.ruparupa.io/fit-in/850x850/ruparupa-com/image/upload/Products/"&amp;E215&amp;"_1.jpg")</f>
        <v/>
      </c>
      <c r="I215" s="10">
        <f>IF(OR(B215="",C215=""),"",IFERROR(INDEX(LAYOUT!$D$2:$D$34,MATCH(B215&amp;"|"&amp;C215,LAYOUT!$E$2:$E$34,0)),"zona tidak ada di layout"))</f>
        <v/>
      </c>
      <c r="J215" s="13">
        <f>IF(OR(A215="",E215=""),"",COUNTIFS($A$2:$A$500,A215,$C$2:$C$500,C215,$E$2:$E$500,"&lt;&gt;"))</f>
        <v/>
      </c>
      <c r="K215" s="13">
        <f>IF(A215="","",IF(B215="","CEK id_fixture tidak ada di DAFTAR_FIXTURE",IF(I215="zona tidak ada di layout","CEK zona_no / jenis_fixture",IF(D215&lt;&gt;I215,"CEK jenis_zona",IF(E215="","Zona kosong",IF(F215="","CEK nama kosong","OK"))))))</f>
        <v/>
      </c>
    </row>
    <row r="216">
      <c r="A216" s="9" t="n"/>
      <c r="B216" s="10">
        <f>IF(A216="","",IFERROR(INDEX(DAFTAR_FIXTURE!$B$2:$B$51,MATCH(A216,DAFTAR_FIXTURE!$A$2:$A$51,0)),""))</f>
        <v/>
      </c>
      <c r="C216" s="11" t="n"/>
      <c r="D216" s="11" t="n"/>
      <c r="E216" s="12" t="n"/>
      <c r="F216" s="9" t="n"/>
      <c r="G216" s="11" t="n"/>
      <c r="H216" s="10">
        <f>IF(E216="","","https://cdn.ruparupa.io/fit-in/850x850/ruparupa-com/image/upload/Products/"&amp;E216&amp;"_1.jpg")</f>
        <v/>
      </c>
      <c r="I216" s="10">
        <f>IF(OR(B216="",C216=""),"",IFERROR(INDEX(LAYOUT!$D$2:$D$34,MATCH(B216&amp;"|"&amp;C216,LAYOUT!$E$2:$E$34,0)),"zona tidak ada di layout"))</f>
        <v/>
      </c>
      <c r="J216" s="13">
        <f>IF(OR(A216="",E216=""),"",COUNTIFS($A$2:$A$500,A216,$C$2:$C$500,C216,$E$2:$E$500,"&lt;&gt;"))</f>
        <v/>
      </c>
      <c r="K216" s="13">
        <f>IF(A216="","",IF(B216="","CEK id_fixture tidak ada di DAFTAR_FIXTURE",IF(I216="zona tidak ada di layout","CEK zona_no / jenis_fixture",IF(D216&lt;&gt;I216,"CEK jenis_zona",IF(E216="","Zona kosong",IF(F216="","CEK nama kosong","OK"))))))</f>
        <v/>
      </c>
    </row>
    <row r="217">
      <c r="A217" s="9" t="n"/>
      <c r="B217" s="10">
        <f>IF(A217="","",IFERROR(INDEX(DAFTAR_FIXTURE!$B$2:$B$51,MATCH(A217,DAFTAR_FIXTURE!$A$2:$A$51,0)),""))</f>
        <v/>
      </c>
      <c r="C217" s="11" t="n"/>
      <c r="D217" s="11" t="n"/>
      <c r="E217" s="12" t="n"/>
      <c r="F217" s="9" t="n"/>
      <c r="G217" s="11" t="n"/>
      <c r="H217" s="10">
        <f>IF(E217="","","https://cdn.ruparupa.io/fit-in/850x850/ruparupa-com/image/upload/Products/"&amp;E217&amp;"_1.jpg")</f>
        <v/>
      </c>
      <c r="I217" s="10">
        <f>IF(OR(B217="",C217=""),"",IFERROR(INDEX(LAYOUT!$D$2:$D$34,MATCH(B217&amp;"|"&amp;C217,LAYOUT!$E$2:$E$34,0)),"zona tidak ada di layout"))</f>
        <v/>
      </c>
      <c r="J217" s="13">
        <f>IF(OR(A217="",E217=""),"",COUNTIFS($A$2:$A$500,A217,$C$2:$C$500,C217,$E$2:$E$500,"&lt;&gt;"))</f>
        <v/>
      </c>
      <c r="K217" s="13">
        <f>IF(A217="","",IF(B217="","CEK id_fixture tidak ada di DAFTAR_FIXTURE",IF(I217="zona tidak ada di layout","CEK zona_no / jenis_fixture",IF(D217&lt;&gt;I217,"CEK jenis_zona",IF(E217="","Zona kosong",IF(F217="","CEK nama kosong","OK"))))))</f>
        <v/>
      </c>
    </row>
    <row r="218">
      <c r="A218" s="9" t="n"/>
      <c r="B218" s="10">
        <f>IF(A218="","",IFERROR(INDEX(DAFTAR_FIXTURE!$B$2:$B$51,MATCH(A218,DAFTAR_FIXTURE!$A$2:$A$51,0)),""))</f>
        <v/>
      </c>
      <c r="C218" s="11" t="n"/>
      <c r="D218" s="11" t="n"/>
      <c r="E218" s="12" t="n"/>
      <c r="F218" s="9" t="n"/>
      <c r="G218" s="11" t="n"/>
      <c r="H218" s="10">
        <f>IF(E218="","","https://cdn.ruparupa.io/fit-in/850x850/ruparupa-com/image/upload/Products/"&amp;E218&amp;"_1.jpg")</f>
        <v/>
      </c>
      <c r="I218" s="10">
        <f>IF(OR(B218="",C218=""),"",IFERROR(INDEX(LAYOUT!$D$2:$D$34,MATCH(B218&amp;"|"&amp;C218,LAYOUT!$E$2:$E$34,0)),"zona tidak ada di layout"))</f>
        <v/>
      </c>
      <c r="J218" s="13">
        <f>IF(OR(A218="",E218=""),"",COUNTIFS($A$2:$A$500,A218,$C$2:$C$500,C218,$E$2:$E$500,"&lt;&gt;"))</f>
        <v/>
      </c>
      <c r="K218" s="13">
        <f>IF(A218="","",IF(B218="","CEK id_fixture tidak ada di DAFTAR_FIXTURE",IF(I218="zona tidak ada di layout","CEK zona_no / jenis_fixture",IF(D218&lt;&gt;I218,"CEK jenis_zona",IF(E218="","Zona kosong",IF(F218="","CEK nama kosong","OK"))))))</f>
        <v/>
      </c>
    </row>
    <row r="219">
      <c r="A219" s="9" t="n"/>
      <c r="B219" s="10">
        <f>IF(A219="","",IFERROR(INDEX(DAFTAR_FIXTURE!$B$2:$B$51,MATCH(A219,DAFTAR_FIXTURE!$A$2:$A$51,0)),""))</f>
        <v/>
      </c>
      <c r="C219" s="11" t="n"/>
      <c r="D219" s="11" t="n"/>
      <c r="E219" s="12" t="n"/>
      <c r="F219" s="9" t="n"/>
      <c r="G219" s="11" t="n"/>
      <c r="H219" s="10">
        <f>IF(E219="","","https://cdn.ruparupa.io/fit-in/850x850/ruparupa-com/image/upload/Products/"&amp;E219&amp;"_1.jpg")</f>
        <v/>
      </c>
      <c r="I219" s="10">
        <f>IF(OR(B219="",C219=""),"",IFERROR(INDEX(LAYOUT!$D$2:$D$34,MATCH(B219&amp;"|"&amp;C219,LAYOUT!$E$2:$E$34,0)),"zona tidak ada di layout"))</f>
        <v/>
      </c>
      <c r="J219" s="13">
        <f>IF(OR(A219="",E219=""),"",COUNTIFS($A$2:$A$500,A219,$C$2:$C$500,C219,$E$2:$E$500,"&lt;&gt;"))</f>
        <v/>
      </c>
      <c r="K219" s="13">
        <f>IF(A219="","",IF(B219="","CEK id_fixture tidak ada di DAFTAR_FIXTURE",IF(I219="zona tidak ada di layout","CEK zona_no / jenis_fixture",IF(D219&lt;&gt;I219,"CEK jenis_zona",IF(E219="","Zona kosong",IF(F219="","CEK nama kosong","OK"))))))</f>
        <v/>
      </c>
    </row>
    <row r="220">
      <c r="A220" s="9" t="n"/>
      <c r="B220" s="10">
        <f>IF(A220="","",IFERROR(INDEX(DAFTAR_FIXTURE!$B$2:$B$51,MATCH(A220,DAFTAR_FIXTURE!$A$2:$A$51,0)),""))</f>
        <v/>
      </c>
      <c r="C220" s="11" t="n"/>
      <c r="D220" s="11" t="n"/>
      <c r="E220" s="12" t="n"/>
      <c r="F220" s="9" t="n"/>
      <c r="G220" s="11" t="n"/>
      <c r="H220" s="10">
        <f>IF(E220="","","https://cdn.ruparupa.io/fit-in/850x850/ruparupa-com/image/upload/Products/"&amp;E220&amp;"_1.jpg")</f>
        <v/>
      </c>
      <c r="I220" s="10">
        <f>IF(OR(B220="",C220=""),"",IFERROR(INDEX(LAYOUT!$D$2:$D$34,MATCH(B220&amp;"|"&amp;C220,LAYOUT!$E$2:$E$34,0)),"zona tidak ada di layout"))</f>
        <v/>
      </c>
      <c r="J220" s="13">
        <f>IF(OR(A220="",E220=""),"",COUNTIFS($A$2:$A$500,A220,$C$2:$C$500,C220,$E$2:$E$500,"&lt;&gt;"))</f>
        <v/>
      </c>
      <c r="K220" s="13">
        <f>IF(A220="","",IF(B220="","CEK id_fixture tidak ada di DAFTAR_FIXTURE",IF(I220="zona tidak ada di layout","CEK zona_no / jenis_fixture",IF(D220&lt;&gt;I220,"CEK jenis_zona",IF(E220="","Zona kosong",IF(F220="","CEK nama kosong","OK"))))))</f>
        <v/>
      </c>
    </row>
    <row r="221">
      <c r="A221" s="9" t="n"/>
      <c r="B221" s="10">
        <f>IF(A221="","",IFERROR(INDEX(DAFTAR_FIXTURE!$B$2:$B$51,MATCH(A221,DAFTAR_FIXTURE!$A$2:$A$51,0)),""))</f>
        <v/>
      </c>
      <c r="C221" s="11" t="n"/>
      <c r="D221" s="11" t="n"/>
      <c r="E221" s="12" t="n"/>
      <c r="F221" s="9" t="n"/>
      <c r="G221" s="11" t="n"/>
      <c r="H221" s="10">
        <f>IF(E221="","","https://cdn.ruparupa.io/fit-in/850x850/ruparupa-com/image/upload/Products/"&amp;E221&amp;"_1.jpg")</f>
        <v/>
      </c>
      <c r="I221" s="10">
        <f>IF(OR(B221="",C221=""),"",IFERROR(INDEX(LAYOUT!$D$2:$D$34,MATCH(B221&amp;"|"&amp;C221,LAYOUT!$E$2:$E$34,0)),"zona tidak ada di layout"))</f>
        <v/>
      </c>
      <c r="J221" s="13">
        <f>IF(OR(A221="",E221=""),"",COUNTIFS($A$2:$A$500,A221,$C$2:$C$500,C221,$E$2:$E$500,"&lt;&gt;"))</f>
        <v/>
      </c>
      <c r="K221" s="13">
        <f>IF(A221="","",IF(B221="","CEK id_fixture tidak ada di DAFTAR_FIXTURE",IF(I221="zona tidak ada di layout","CEK zona_no / jenis_fixture",IF(D221&lt;&gt;I221,"CEK jenis_zona",IF(E221="","Zona kosong",IF(F221="","CEK nama kosong","OK"))))))</f>
        <v/>
      </c>
    </row>
    <row r="222">
      <c r="A222" s="9" t="n"/>
      <c r="B222" s="10">
        <f>IF(A222="","",IFERROR(INDEX(DAFTAR_FIXTURE!$B$2:$B$51,MATCH(A222,DAFTAR_FIXTURE!$A$2:$A$51,0)),""))</f>
        <v/>
      </c>
      <c r="C222" s="11" t="n"/>
      <c r="D222" s="11" t="n"/>
      <c r="E222" s="12" t="n"/>
      <c r="F222" s="9" t="n"/>
      <c r="G222" s="11" t="n"/>
      <c r="H222" s="10">
        <f>IF(E222="","","https://cdn.ruparupa.io/fit-in/850x850/ruparupa-com/image/upload/Products/"&amp;E222&amp;"_1.jpg")</f>
        <v/>
      </c>
      <c r="I222" s="10">
        <f>IF(OR(B222="",C222=""),"",IFERROR(INDEX(LAYOUT!$D$2:$D$34,MATCH(B222&amp;"|"&amp;C222,LAYOUT!$E$2:$E$34,0)),"zona tidak ada di layout"))</f>
        <v/>
      </c>
      <c r="J222" s="13">
        <f>IF(OR(A222="",E222=""),"",COUNTIFS($A$2:$A$500,A222,$C$2:$C$500,C222,$E$2:$E$500,"&lt;&gt;"))</f>
        <v/>
      </c>
      <c r="K222" s="13">
        <f>IF(A222="","",IF(B222="","CEK id_fixture tidak ada di DAFTAR_FIXTURE",IF(I222="zona tidak ada di layout","CEK zona_no / jenis_fixture",IF(D222&lt;&gt;I222,"CEK jenis_zona",IF(E222="","Zona kosong",IF(F222="","CEK nama kosong","OK"))))))</f>
        <v/>
      </c>
    </row>
    <row r="223">
      <c r="A223" s="9" t="n"/>
      <c r="B223" s="10">
        <f>IF(A223="","",IFERROR(INDEX(DAFTAR_FIXTURE!$B$2:$B$51,MATCH(A223,DAFTAR_FIXTURE!$A$2:$A$51,0)),""))</f>
        <v/>
      </c>
      <c r="C223" s="11" t="n"/>
      <c r="D223" s="11" t="n"/>
      <c r="E223" s="12" t="n"/>
      <c r="F223" s="9" t="n"/>
      <c r="G223" s="11" t="n"/>
      <c r="H223" s="10">
        <f>IF(E223="","","https://cdn.ruparupa.io/fit-in/850x850/ruparupa-com/image/upload/Products/"&amp;E223&amp;"_1.jpg")</f>
        <v/>
      </c>
      <c r="I223" s="10">
        <f>IF(OR(B223="",C223=""),"",IFERROR(INDEX(LAYOUT!$D$2:$D$34,MATCH(B223&amp;"|"&amp;C223,LAYOUT!$E$2:$E$34,0)),"zona tidak ada di layout"))</f>
        <v/>
      </c>
      <c r="J223" s="13">
        <f>IF(OR(A223="",E223=""),"",COUNTIFS($A$2:$A$500,A223,$C$2:$C$500,C223,$E$2:$E$500,"&lt;&gt;"))</f>
        <v/>
      </c>
      <c r="K223" s="13">
        <f>IF(A223="","",IF(B223="","CEK id_fixture tidak ada di DAFTAR_FIXTURE",IF(I223="zona tidak ada di layout","CEK zona_no / jenis_fixture",IF(D223&lt;&gt;I223,"CEK jenis_zona",IF(E223="","Zona kosong",IF(F223="","CEK nama kosong","OK"))))))</f>
        <v/>
      </c>
    </row>
    <row r="224">
      <c r="A224" s="9" t="n"/>
      <c r="B224" s="10">
        <f>IF(A224="","",IFERROR(INDEX(DAFTAR_FIXTURE!$B$2:$B$51,MATCH(A224,DAFTAR_FIXTURE!$A$2:$A$51,0)),""))</f>
        <v/>
      </c>
      <c r="C224" s="11" t="n"/>
      <c r="D224" s="11" t="n"/>
      <c r="E224" s="12" t="n"/>
      <c r="F224" s="9" t="n"/>
      <c r="G224" s="11" t="n"/>
      <c r="H224" s="10">
        <f>IF(E224="","","https://cdn.ruparupa.io/fit-in/850x850/ruparupa-com/image/upload/Products/"&amp;E224&amp;"_1.jpg")</f>
        <v/>
      </c>
      <c r="I224" s="10">
        <f>IF(OR(B224="",C224=""),"",IFERROR(INDEX(LAYOUT!$D$2:$D$34,MATCH(B224&amp;"|"&amp;C224,LAYOUT!$E$2:$E$34,0)),"zona tidak ada di layout"))</f>
        <v/>
      </c>
      <c r="J224" s="13">
        <f>IF(OR(A224="",E224=""),"",COUNTIFS($A$2:$A$500,A224,$C$2:$C$500,C224,$E$2:$E$500,"&lt;&gt;"))</f>
        <v/>
      </c>
      <c r="K224" s="13">
        <f>IF(A224="","",IF(B224="","CEK id_fixture tidak ada di DAFTAR_FIXTURE",IF(I224="zona tidak ada di layout","CEK zona_no / jenis_fixture",IF(D224&lt;&gt;I224,"CEK jenis_zona",IF(E224="","Zona kosong",IF(F224="","CEK nama kosong","OK"))))))</f>
        <v/>
      </c>
    </row>
    <row r="225">
      <c r="A225" s="9" t="n"/>
      <c r="B225" s="10">
        <f>IF(A225="","",IFERROR(INDEX(DAFTAR_FIXTURE!$B$2:$B$51,MATCH(A225,DAFTAR_FIXTURE!$A$2:$A$51,0)),""))</f>
        <v/>
      </c>
      <c r="C225" s="11" t="n"/>
      <c r="D225" s="11" t="n"/>
      <c r="E225" s="12" t="n"/>
      <c r="F225" s="9" t="n"/>
      <c r="G225" s="11" t="n"/>
      <c r="H225" s="10">
        <f>IF(E225="","","https://cdn.ruparupa.io/fit-in/850x850/ruparupa-com/image/upload/Products/"&amp;E225&amp;"_1.jpg")</f>
        <v/>
      </c>
      <c r="I225" s="10">
        <f>IF(OR(B225="",C225=""),"",IFERROR(INDEX(LAYOUT!$D$2:$D$34,MATCH(B225&amp;"|"&amp;C225,LAYOUT!$E$2:$E$34,0)),"zona tidak ada di layout"))</f>
        <v/>
      </c>
      <c r="J225" s="13">
        <f>IF(OR(A225="",E225=""),"",COUNTIFS($A$2:$A$500,A225,$C$2:$C$500,C225,$E$2:$E$500,"&lt;&gt;"))</f>
        <v/>
      </c>
      <c r="K225" s="13">
        <f>IF(A225="","",IF(B225="","CEK id_fixture tidak ada di DAFTAR_FIXTURE",IF(I225="zona tidak ada di layout","CEK zona_no / jenis_fixture",IF(D225&lt;&gt;I225,"CEK jenis_zona",IF(E225="","Zona kosong",IF(F225="","CEK nama kosong","OK"))))))</f>
        <v/>
      </c>
    </row>
    <row r="226">
      <c r="A226" s="9" t="n"/>
      <c r="B226" s="10">
        <f>IF(A226="","",IFERROR(INDEX(DAFTAR_FIXTURE!$B$2:$B$51,MATCH(A226,DAFTAR_FIXTURE!$A$2:$A$51,0)),""))</f>
        <v/>
      </c>
      <c r="C226" s="11" t="n"/>
      <c r="D226" s="11" t="n"/>
      <c r="E226" s="12" t="n"/>
      <c r="F226" s="9" t="n"/>
      <c r="G226" s="11" t="n"/>
      <c r="H226" s="10">
        <f>IF(E226="","","https://cdn.ruparupa.io/fit-in/850x850/ruparupa-com/image/upload/Products/"&amp;E226&amp;"_1.jpg")</f>
        <v/>
      </c>
      <c r="I226" s="10">
        <f>IF(OR(B226="",C226=""),"",IFERROR(INDEX(LAYOUT!$D$2:$D$34,MATCH(B226&amp;"|"&amp;C226,LAYOUT!$E$2:$E$34,0)),"zona tidak ada di layout"))</f>
        <v/>
      </c>
      <c r="J226" s="13">
        <f>IF(OR(A226="",E226=""),"",COUNTIFS($A$2:$A$500,A226,$C$2:$C$500,C226,$E$2:$E$500,"&lt;&gt;"))</f>
        <v/>
      </c>
      <c r="K226" s="13">
        <f>IF(A226="","",IF(B226="","CEK id_fixture tidak ada di DAFTAR_FIXTURE",IF(I226="zona tidak ada di layout","CEK zona_no / jenis_fixture",IF(D226&lt;&gt;I226,"CEK jenis_zona",IF(E226="","Zona kosong",IF(F226="","CEK nama kosong","OK"))))))</f>
        <v/>
      </c>
    </row>
    <row r="227">
      <c r="A227" s="9" t="n"/>
      <c r="B227" s="10">
        <f>IF(A227="","",IFERROR(INDEX(DAFTAR_FIXTURE!$B$2:$B$51,MATCH(A227,DAFTAR_FIXTURE!$A$2:$A$51,0)),""))</f>
        <v/>
      </c>
      <c r="C227" s="11" t="n"/>
      <c r="D227" s="11" t="n"/>
      <c r="E227" s="12" t="n"/>
      <c r="F227" s="9" t="n"/>
      <c r="G227" s="11" t="n"/>
      <c r="H227" s="10">
        <f>IF(E227="","","https://cdn.ruparupa.io/fit-in/850x850/ruparupa-com/image/upload/Products/"&amp;E227&amp;"_1.jpg")</f>
        <v/>
      </c>
      <c r="I227" s="10">
        <f>IF(OR(B227="",C227=""),"",IFERROR(INDEX(LAYOUT!$D$2:$D$34,MATCH(B227&amp;"|"&amp;C227,LAYOUT!$E$2:$E$34,0)),"zona tidak ada di layout"))</f>
        <v/>
      </c>
      <c r="J227" s="13">
        <f>IF(OR(A227="",E227=""),"",COUNTIFS($A$2:$A$500,A227,$C$2:$C$500,C227,$E$2:$E$500,"&lt;&gt;"))</f>
        <v/>
      </c>
      <c r="K227" s="13">
        <f>IF(A227="","",IF(B227="","CEK id_fixture tidak ada di DAFTAR_FIXTURE",IF(I227="zona tidak ada di layout","CEK zona_no / jenis_fixture",IF(D227&lt;&gt;I227,"CEK jenis_zona",IF(E227="","Zona kosong",IF(F227="","CEK nama kosong","OK"))))))</f>
        <v/>
      </c>
    </row>
    <row r="228">
      <c r="A228" s="9" t="n"/>
      <c r="B228" s="10">
        <f>IF(A228="","",IFERROR(INDEX(DAFTAR_FIXTURE!$B$2:$B$51,MATCH(A228,DAFTAR_FIXTURE!$A$2:$A$51,0)),""))</f>
        <v/>
      </c>
      <c r="C228" s="11" t="n"/>
      <c r="D228" s="11" t="n"/>
      <c r="E228" s="12" t="n"/>
      <c r="F228" s="9" t="n"/>
      <c r="G228" s="11" t="n"/>
      <c r="H228" s="10">
        <f>IF(E228="","","https://cdn.ruparupa.io/fit-in/850x850/ruparupa-com/image/upload/Products/"&amp;E228&amp;"_1.jpg")</f>
        <v/>
      </c>
      <c r="I228" s="10">
        <f>IF(OR(B228="",C228=""),"",IFERROR(INDEX(LAYOUT!$D$2:$D$34,MATCH(B228&amp;"|"&amp;C228,LAYOUT!$E$2:$E$34,0)),"zona tidak ada di layout"))</f>
        <v/>
      </c>
      <c r="J228" s="13">
        <f>IF(OR(A228="",E228=""),"",COUNTIFS($A$2:$A$500,A228,$C$2:$C$500,C228,$E$2:$E$500,"&lt;&gt;"))</f>
        <v/>
      </c>
      <c r="K228" s="13">
        <f>IF(A228="","",IF(B228="","CEK id_fixture tidak ada di DAFTAR_FIXTURE",IF(I228="zona tidak ada di layout","CEK zona_no / jenis_fixture",IF(D228&lt;&gt;I228,"CEK jenis_zona",IF(E228="","Zona kosong",IF(F228="","CEK nama kosong","OK"))))))</f>
        <v/>
      </c>
    </row>
    <row r="229">
      <c r="A229" s="9" t="n"/>
      <c r="B229" s="10">
        <f>IF(A229="","",IFERROR(INDEX(DAFTAR_FIXTURE!$B$2:$B$51,MATCH(A229,DAFTAR_FIXTURE!$A$2:$A$51,0)),""))</f>
        <v/>
      </c>
      <c r="C229" s="11" t="n"/>
      <c r="D229" s="11" t="n"/>
      <c r="E229" s="12" t="n"/>
      <c r="F229" s="9" t="n"/>
      <c r="G229" s="11" t="n"/>
      <c r="H229" s="10">
        <f>IF(E229="","","https://cdn.ruparupa.io/fit-in/850x850/ruparupa-com/image/upload/Products/"&amp;E229&amp;"_1.jpg")</f>
        <v/>
      </c>
      <c r="I229" s="10">
        <f>IF(OR(B229="",C229=""),"",IFERROR(INDEX(LAYOUT!$D$2:$D$34,MATCH(B229&amp;"|"&amp;C229,LAYOUT!$E$2:$E$34,0)),"zona tidak ada di layout"))</f>
        <v/>
      </c>
      <c r="J229" s="13">
        <f>IF(OR(A229="",E229=""),"",COUNTIFS($A$2:$A$500,A229,$C$2:$C$500,C229,$E$2:$E$500,"&lt;&gt;"))</f>
        <v/>
      </c>
      <c r="K229" s="13">
        <f>IF(A229="","",IF(B229="","CEK id_fixture tidak ada di DAFTAR_FIXTURE",IF(I229="zona tidak ada di layout","CEK zona_no / jenis_fixture",IF(D229&lt;&gt;I229,"CEK jenis_zona",IF(E229="","Zona kosong",IF(F229="","CEK nama kosong","OK"))))))</f>
        <v/>
      </c>
    </row>
    <row r="230">
      <c r="A230" s="9" t="n"/>
      <c r="B230" s="10">
        <f>IF(A230="","",IFERROR(INDEX(DAFTAR_FIXTURE!$B$2:$B$51,MATCH(A230,DAFTAR_FIXTURE!$A$2:$A$51,0)),""))</f>
        <v/>
      </c>
      <c r="C230" s="11" t="n"/>
      <c r="D230" s="11" t="n"/>
      <c r="E230" s="12" t="n"/>
      <c r="F230" s="9" t="n"/>
      <c r="G230" s="11" t="n"/>
      <c r="H230" s="10">
        <f>IF(E230="","","https://cdn.ruparupa.io/fit-in/850x850/ruparupa-com/image/upload/Products/"&amp;E230&amp;"_1.jpg")</f>
        <v/>
      </c>
      <c r="I230" s="10">
        <f>IF(OR(B230="",C230=""),"",IFERROR(INDEX(LAYOUT!$D$2:$D$34,MATCH(B230&amp;"|"&amp;C230,LAYOUT!$E$2:$E$34,0)),"zona tidak ada di layout"))</f>
        <v/>
      </c>
      <c r="J230" s="13">
        <f>IF(OR(A230="",E230=""),"",COUNTIFS($A$2:$A$500,A230,$C$2:$C$500,C230,$E$2:$E$500,"&lt;&gt;"))</f>
        <v/>
      </c>
      <c r="K230" s="13">
        <f>IF(A230="","",IF(B230="","CEK id_fixture tidak ada di DAFTAR_FIXTURE",IF(I230="zona tidak ada di layout","CEK zona_no / jenis_fixture",IF(D230&lt;&gt;I230,"CEK jenis_zona",IF(E230="","Zona kosong",IF(F230="","CEK nama kosong","OK"))))))</f>
        <v/>
      </c>
    </row>
    <row r="231">
      <c r="A231" s="9" t="n"/>
      <c r="B231" s="10">
        <f>IF(A231="","",IFERROR(INDEX(DAFTAR_FIXTURE!$B$2:$B$51,MATCH(A231,DAFTAR_FIXTURE!$A$2:$A$51,0)),""))</f>
        <v/>
      </c>
      <c r="C231" s="11" t="n"/>
      <c r="D231" s="11" t="n"/>
      <c r="E231" s="12" t="n"/>
      <c r="F231" s="9" t="n"/>
      <c r="G231" s="11" t="n"/>
      <c r="H231" s="10">
        <f>IF(E231="","","https://cdn.ruparupa.io/fit-in/850x850/ruparupa-com/image/upload/Products/"&amp;E231&amp;"_1.jpg")</f>
        <v/>
      </c>
      <c r="I231" s="10">
        <f>IF(OR(B231="",C231=""),"",IFERROR(INDEX(LAYOUT!$D$2:$D$34,MATCH(B231&amp;"|"&amp;C231,LAYOUT!$E$2:$E$34,0)),"zona tidak ada di layout"))</f>
        <v/>
      </c>
      <c r="J231" s="13">
        <f>IF(OR(A231="",E231=""),"",COUNTIFS($A$2:$A$500,A231,$C$2:$C$500,C231,$E$2:$E$500,"&lt;&gt;"))</f>
        <v/>
      </c>
      <c r="K231" s="13">
        <f>IF(A231="","",IF(B231="","CEK id_fixture tidak ada di DAFTAR_FIXTURE",IF(I231="zona tidak ada di layout","CEK zona_no / jenis_fixture",IF(D231&lt;&gt;I231,"CEK jenis_zona",IF(E231="","Zona kosong",IF(F231="","CEK nama kosong","OK"))))))</f>
        <v/>
      </c>
    </row>
    <row r="232">
      <c r="A232" s="9" t="n"/>
      <c r="B232" s="10">
        <f>IF(A232="","",IFERROR(INDEX(DAFTAR_FIXTURE!$B$2:$B$51,MATCH(A232,DAFTAR_FIXTURE!$A$2:$A$51,0)),""))</f>
        <v/>
      </c>
      <c r="C232" s="11" t="n"/>
      <c r="D232" s="11" t="n"/>
      <c r="E232" s="12" t="n"/>
      <c r="F232" s="9" t="n"/>
      <c r="G232" s="11" t="n"/>
      <c r="H232" s="10">
        <f>IF(E232="","","https://cdn.ruparupa.io/fit-in/850x850/ruparupa-com/image/upload/Products/"&amp;E232&amp;"_1.jpg")</f>
        <v/>
      </c>
      <c r="I232" s="10">
        <f>IF(OR(B232="",C232=""),"",IFERROR(INDEX(LAYOUT!$D$2:$D$34,MATCH(B232&amp;"|"&amp;C232,LAYOUT!$E$2:$E$34,0)),"zona tidak ada di layout"))</f>
        <v/>
      </c>
      <c r="J232" s="13">
        <f>IF(OR(A232="",E232=""),"",COUNTIFS($A$2:$A$500,A232,$C$2:$C$500,C232,$E$2:$E$500,"&lt;&gt;"))</f>
        <v/>
      </c>
      <c r="K232" s="13">
        <f>IF(A232="","",IF(B232="","CEK id_fixture tidak ada di DAFTAR_FIXTURE",IF(I232="zona tidak ada di layout","CEK zona_no / jenis_fixture",IF(D232&lt;&gt;I232,"CEK jenis_zona",IF(E232="","Zona kosong",IF(F232="","CEK nama kosong","OK"))))))</f>
        <v/>
      </c>
    </row>
    <row r="233">
      <c r="A233" s="9" t="n"/>
      <c r="B233" s="10">
        <f>IF(A233="","",IFERROR(INDEX(DAFTAR_FIXTURE!$B$2:$B$51,MATCH(A233,DAFTAR_FIXTURE!$A$2:$A$51,0)),""))</f>
        <v/>
      </c>
      <c r="C233" s="11" t="n"/>
      <c r="D233" s="11" t="n"/>
      <c r="E233" s="12" t="n"/>
      <c r="F233" s="9" t="n"/>
      <c r="G233" s="11" t="n"/>
      <c r="H233" s="10">
        <f>IF(E233="","","https://cdn.ruparupa.io/fit-in/850x850/ruparupa-com/image/upload/Products/"&amp;E233&amp;"_1.jpg")</f>
        <v/>
      </c>
      <c r="I233" s="10">
        <f>IF(OR(B233="",C233=""),"",IFERROR(INDEX(LAYOUT!$D$2:$D$34,MATCH(B233&amp;"|"&amp;C233,LAYOUT!$E$2:$E$34,0)),"zona tidak ada di layout"))</f>
        <v/>
      </c>
      <c r="J233" s="13">
        <f>IF(OR(A233="",E233=""),"",COUNTIFS($A$2:$A$500,A233,$C$2:$C$500,C233,$E$2:$E$500,"&lt;&gt;"))</f>
        <v/>
      </c>
      <c r="K233" s="13">
        <f>IF(A233="","",IF(B233="","CEK id_fixture tidak ada di DAFTAR_FIXTURE",IF(I233="zona tidak ada di layout","CEK zona_no / jenis_fixture",IF(D233&lt;&gt;I233,"CEK jenis_zona",IF(E233="","Zona kosong",IF(F233="","CEK nama kosong","OK"))))))</f>
        <v/>
      </c>
    </row>
    <row r="234">
      <c r="A234" s="9" t="n"/>
      <c r="B234" s="10">
        <f>IF(A234="","",IFERROR(INDEX(DAFTAR_FIXTURE!$B$2:$B$51,MATCH(A234,DAFTAR_FIXTURE!$A$2:$A$51,0)),""))</f>
        <v/>
      </c>
      <c r="C234" s="11" t="n"/>
      <c r="D234" s="11" t="n"/>
      <c r="E234" s="12" t="n"/>
      <c r="F234" s="9" t="n"/>
      <c r="G234" s="11" t="n"/>
      <c r="H234" s="10">
        <f>IF(E234="","","https://cdn.ruparupa.io/fit-in/850x850/ruparupa-com/image/upload/Products/"&amp;E234&amp;"_1.jpg")</f>
        <v/>
      </c>
      <c r="I234" s="10">
        <f>IF(OR(B234="",C234=""),"",IFERROR(INDEX(LAYOUT!$D$2:$D$34,MATCH(B234&amp;"|"&amp;C234,LAYOUT!$E$2:$E$34,0)),"zona tidak ada di layout"))</f>
        <v/>
      </c>
      <c r="J234" s="13">
        <f>IF(OR(A234="",E234=""),"",COUNTIFS($A$2:$A$500,A234,$C$2:$C$500,C234,$E$2:$E$500,"&lt;&gt;"))</f>
        <v/>
      </c>
      <c r="K234" s="13">
        <f>IF(A234="","",IF(B234="","CEK id_fixture tidak ada di DAFTAR_FIXTURE",IF(I234="zona tidak ada di layout","CEK zona_no / jenis_fixture",IF(D234&lt;&gt;I234,"CEK jenis_zona",IF(E234="","Zona kosong",IF(F234="","CEK nama kosong","OK"))))))</f>
        <v/>
      </c>
    </row>
    <row r="235">
      <c r="A235" s="9" t="n"/>
      <c r="B235" s="10">
        <f>IF(A235="","",IFERROR(INDEX(DAFTAR_FIXTURE!$B$2:$B$51,MATCH(A235,DAFTAR_FIXTURE!$A$2:$A$51,0)),""))</f>
        <v/>
      </c>
      <c r="C235" s="11" t="n"/>
      <c r="D235" s="11" t="n"/>
      <c r="E235" s="12" t="n"/>
      <c r="F235" s="9" t="n"/>
      <c r="G235" s="11" t="n"/>
      <c r="H235" s="10">
        <f>IF(E235="","","https://cdn.ruparupa.io/fit-in/850x850/ruparupa-com/image/upload/Products/"&amp;E235&amp;"_1.jpg")</f>
        <v/>
      </c>
      <c r="I235" s="10">
        <f>IF(OR(B235="",C235=""),"",IFERROR(INDEX(LAYOUT!$D$2:$D$34,MATCH(B235&amp;"|"&amp;C235,LAYOUT!$E$2:$E$34,0)),"zona tidak ada di layout"))</f>
        <v/>
      </c>
      <c r="J235" s="13">
        <f>IF(OR(A235="",E235=""),"",COUNTIFS($A$2:$A$500,A235,$C$2:$C$500,C235,$E$2:$E$500,"&lt;&gt;"))</f>
        <v/>
      </c>
      <c r="K235" s="13">
        <f>IF(A235="","",IF(B235="","CEK id_fixture tidak ada di DAFTAR_FIXTURE",IF(I235="zona tidak ada di layout","CEK zona_no / jenis_fixture",IF(D235&lt;&gt;I235,"CEK jenis_zona",IF(E235="","Zona kosong",IF(F235="","CEK nama kosong","OK"))))))</f>
        <v/>
      </c>
    </row>
    <row r="236">
      <c r="A236" s="9" t="n"/>
      <c r="B236" s="10">
        <f>IF(A236="","",IFERROR(INDEX(DAFTAR_FIXTURE!$B$2:$B$51,MATCH(A236,DAFTAR_FIXTURE!$A$2:$A$51,0)),""))</f>
        <v/>
      </c>
      <c r="C236" s="11" t="n"/>
      <c r="D236" s="11" t="n"/>
      <c r="E236" s="12" t="n"/>
      <c r="F236" s="9" t="n"/>
      <c r="G236" s="11" t="n"/>
      <c r="H236" s="10">
        <f>IF(E236="","","https://cdn.ruparupa.io/fit-in/850x850/ruparupa-com/image/upload/Products/"&amp;E236&amp;"_1.jpg")</f>
        <v/>
      </c>
      <c r="I236" s="10">
        <f>IF(OR(B236="",C236=""),"",IFERROR(INDEX(LAYOUT!$D$2:$D$34,MATCH(B236&amp;"|"&amp;C236,LAYOUT!$E$2:$E$34,0)),"zona tidak ada di layout"))</f>
        <v/>
      </c>
      <c r="J236" s="13">
        <f>IF(OR(A236="",E236=""),"",COUNTIFS($A$2:$A$500,A236,$C$2:$C$500,C236,$E$2:$E$500,"&lt;&gt;"))</f>
        <v/>
      </c>
      <c r="K236" s="13">
        <f>IF(A236="","",IF(B236="","CEK id_fixture tidak ada di DAFTAR_FIXTURE",IF(I236="zona tidak ada di layout","CEK zona_no / jenis_fixture",IF(D236&lt;&gt;I236,"CEK jenis_zona",IF(E236="","Zona kosong",IF(F236="","CEK nama kosong","OK"))))))</f>
        <v/>
      </c>
    </row>
    <row r="237">
      <c r="A237" s="9" t="n"/>
      <c r="B237" s="10">
        <f>IF(A237="","",IFERROR(INDEX(DAFTAR_FIXTURE!$B$2:$B$51,MATCH(A237,DAFTAR_FIXTURE!$A$2:$A$51,0)),""))</f>
        <v/>
      </c>
      <c r="C237" s="11" t="n"/>
      <c r="D237" s="11" t="n"/>
      <c r="E237" s="12" t="n"/>
      <c r="F237" s="9" t="n"/>
      <c r="G237" s="11" t="n"/>
      <c r="H237" s="10">
        <f>IF(E237="","","https://cdn.ruparupa.io/fit-in/850x850/ruparupa-com/image/upload/Products/"&amp;E237&amp;"_1.jpg")</f>
        <v/>
      </c>
      <c r="I237" s="10">
        <f>IF(OR(B237="",C237=""),"",IFERROR(INDEX(LAYOUT!$D$2:$D$34,MATCH(B237&amp;"|"&amp;C237,LAYOUT!$E$2:$E$34,0)),"zona tidak ada di layout"))</f>
        <v/>
      </c>
      <c r="J237" s="13">
        <f>IF(OR(A237="",E237=""),"",COUNTIFS($A$2:$A$500,A237,$C$2:$C$500,C237,$E$2:$E$500,"&lt;&gt;"))</f>
        <v/>
      </c>
      <c r="K237" s="13">
        <f>IF(A237="","",IF(B237="","CEK id_fixture tidak ada di DAFTAR_FIXTURE",IF(I237="zona tidak ada di layout","CEK zona_no / jenis_fixture",IF(D237&lt;&gt;I237,"CEK jenis_zona",IF(E237="","Zona kosong",IF(F237="","CEK nama kosong","OK"))))))</f>
        <v/>
      </c>
    </row>
    <row r="238">
      <c r="A238" s="9" t="n"/>
      <c r="B238" s="10">
        <f>IF(A238="","",IFERROR(INDEX(DAFTAR_FIXTURE!$B$2:$B$51,MATCH(A238,DAFTAR_FIXTURE!$A$2:$A$51,0)),""))</f>
        <v/>
      </c>
      <c r="C238" s="11" t="n"/>
      <c r="D238" s="11" t="n"/>
      <c r="E238" s="12" t="n"/>
      <c r="F238" s="9" t="n"/>
      <c r="G238" s="11" t="n"/>
      <c r="H238" s="10">
        <f>IF(E238="","","https://cdn.ruparupa.io/fit-in/850x850/ruparupa-com/image/upload/Products/"&amp;E238&amp;"_1.jpg")</f>
        <v/>
      </c>
      <c r="I238" s="10">
        <f>IF(OR(B238="",C238=""),"",IFERROR(INDEX(LAYOUT!$D$2:$D$34,MATCH(B238&amp;"|"&amp;C238,LAYOUT!$E$2:$E$34,0)),"zona tidak ada di layout"))</f>
        <v/>
      </c>
      <c r="J238" s="13">
        <f>IF(OR(A238="",E238=""),"",COUNTIFS($A$2:$A$500,A238,$C$2:$C$500,C238,$E$2:$E$500,"&lt;&gt;"))</f>
        <v/>
      </c>
      <c r="K238" s="13">
        <f>IF(A238="","",IF(B238="","CEK id_fixture tidak ada di DAFTAR_FIXTURE",IF(I238="zona tidak ada di layout","CEK zona_no / jenis_fixture",IF(D238&lt;&gt;I238,"CEK jenis_zona",IF(E238="","Zona kosong",IF(F238="","CEK nama kosong","OK"))))))</f>
        <v/>
      </c>
    </row>
    <row r="239">
      <c r="A239" s="9" t="n"/>
      <c r="B239" s="10">
        <f>IF(A239="","",IFERROR(INDEX(DAFTAR_FIXTURE!$B$2:$B$51,MATCH(A239,DAFTAR_FIXTURE!$A$2:$A$51,0)),""))</f>
        <v/>
      </c>
      <c r="C239" s="11" t="n"/>
      <c r="D239" s="11" t="n"/>
      <c r="E239" s="12" t="n"/>
      <c r="F239" s="9" t="n"/>
      <c r="G239" s="11" t="n"/>
      <c r="H239" s="10">
        <f>IF(E239="","","https://cdn.ruparupa.io/fit-in/850x850/ruparupa-com/image/upload/Products/"&amp;E239&amp;"_1.jpg")</f>
        <v/>
      </c>
      <c r="I239" s="10">
        <f>IF(OR(B239="",C239=""),"",IFERROR(INDEX(LAYOUT!$D$2:$D$34,MATCH(B239&amp;"|"&amp;C239,LAYOUT!$E$2:$E$34,0)),"zona tidak ada di layout"))</f>
        <v/>
      </c>
      <c r="J239" s="13">
        <f>IF(OR(A239="",E239=""),"",COUNTIFS($A$2:$A$500,A239,$C$2:$C$500,C239,$E$2:$E$500,"&lt;&gt;"))</f>
        <v/>
      </c>
      <c r="K239" s="13">
        <f>IF(A239="","",IF(B239="","CEK id_fixture tidak ada di DAFTAR_FIXTURE",IF(I239="zona tidak ada di layout","CEK zona_no / jenis_fixture",IF(D239&lt;&gt;I239,"CEK jenis_zona",IF(E239="","Zona kosong",IF(F239="","CEK nama kosong","OK"))))))</f>
        <v/>
      </c>
    </row>
    <row r="240">
      <c r="A240" s="9" t="n"/>
      <c r="B240" s="10">
        <f>IF(A240="","",IFERROR(INDEX(DAFTAR_FIXTURE!$B$2:$B$51,MATCH(A240,DAFTAR_FIXTURE!$A$2:$A$51,0)),""))</f>
        <v/>
      </c>
      <c r="C240" s="11" t="n"/>
      <c r="D240" s="11" t="n"/>
      <c r="E240" s="12" t="n"/>
      <c r="F240" s="9" t="n"/>
      <c r="G240" s="11" t="n"/>
      <c r="H240" s="10">
        <f>IF(E240="","","https://cdn.ruparupa.io/fit-in/850x850/ruparupa-com/image/upload/Products/"&amp;E240&amp;"_1.jpg")</f>
        <v/>
      </c>
      <c r="I240" s="10">
        <f>IF(OR(B240="",C240=""),"",IFERROR(INDEX(LAYOUT!$D$2:$D$34,MATCH(B240&amp;"|"&amp;C240,LAYOUT!$E$2:$E$34,0)),"zona tidak ada di layout"))</f>
        <v/>
      </c>
      <c r="J240" s="13">
        <f>IF(OR(A240="",E240=""),"",COUNTIFS($A$2:$A$500,A240,$C$2:$C$500,C240,$E$2:$E$500,"&lt;&gt;"))</f>
        <v/>
      </c>
      <c r="K240" s="13">
        <f>IF(A240="","",IF(B240="","CEK id_fixture tidak ada di DAFTAR_FIXTURE",IF(I240="zona tidak ada di layout","CEK zona_no / jenis_fixture",IF(D240&lt;&gt;I240,"CEK jenis_zona",IF(E240="","Zona kosong",IF(F240="","CEK nama kosong","OK"))))))</f>
        <v/>
      </c>
    </row>
    <row r="241">
      <c r="A241" s="9" t="n"/>
      <c r="B241" s="10">
        <f>IF(A241="","",IFERROR(INDEX(DAFTAR_FIXTURE!$B$2:$B$51,MATCH(A241,DAFTAR_FIXTURE!$A$2:$A$51,0)),""))</f>
        <v/>
      </c>
      <c r="C241" s="11" t="n"/>
      <c r="D241" s="11" t="n"/>
      <c r="E241" s="12" t="n"/>
      <c r="F241" s="9" t="n"/>
      <c r="G241" s="11" t="n"/>
      <c r="H241" s="10">
        <f>IF(E241="","","https://cdn.ruparupa.io/fit-in/850x850/ruparupa-com/image/upload/Products/"&amp;E241&amp;"_1.jpg")</f>
        <v/>
      </c>
      <c r="I241" s="10">
        <f>IF(OR(B241="",C241=""),"",IFERROR(INDEX(LAYOUT!$D$2:$D$34,MATCH(B241&amp;"|"&amp;C241,LAYOUT!$E$2:$E$34,0)),"zona tidak ada di layout"))</f>
        <v/>
      </c>
      <c r="J241" s="13">
        <f>IF(OR(A241="",E241=""),"",COUNTIFS($A$2:$A$500,A241,$C$2:$C$500,C241,$E$2:$E$500,"&lt;&gt;"))</f>
        <v/>
      </c>
      <c r="K241" s="13">
        <f>IF(A241="","",IF(B241="","CEK id_fixture tidak ada di DAFTAR_FIXTURE",IF(I241="zona tidak ada di layout","CEK zona_no / jenis_fixture",IF(D241&lt;&gt;I241,"CEK jenis_zona",IF(E241="","Zona kosong",IF(F241="","CEK nama kosong","OK"))))))</f>
        <v/>
      </c>
    </row>
    <row r="242">
      <c r="A242" s="9" t="n"/>
      <c r="B242" s="10">
        <f>IF(A242="","",IFERROR(INDEX(DAFTAR_FIXTURE!$B$2:$B$51,MATCH(A242,DAFTAR_FIXTURE!$A$2:$A$51,0)),""))</f>
        <v/>
      </c>
      <c r="C242" s="11" t="n"/>
      <c r="D242" s="11" t="n"/>
      <c r="E242" s="12" t="n"/>
      <c r="F242" s="9" t="n"/>
      <c r="G242" s="11" t="n"/>
      <c r="H242" s="10">
        <f>IF(E242="","","https://cdn.ruparupa.io/fit-in/850x850/ruparupa-com/image/upload/Products/"&amp;E242&amp;"_1.jpg")</f>
        <v/>
      </c>
      <c r="I242" s="10">
        <f>IF(OR(B242="",C242=""),"",IFERROR(INDEX(LAYOUT!$D$2:$D$34,MATCH(B242&amp;"|"&amp;C242,LAYOUT!$E$2:$E$34,0)),"zona tidak ada di layout"))</f>
        <v/>
      </c>
      <c r="J242" s="13">
        <f>IF(OR(A242="",E242=""),"",COUNTIFS($A$2:$A$500,A242,$C$2:$C$500,C242,$E$2:$E$500,"&lt;&gt;"))</f>
        <v/>
      </c>
      <c r="K242" s="13">
        <f>IF(A242="","",IF(B242="","CEK id_fixture tidak ada di DAFTAR_FIXTURE",IF(I242="zona tidak ada di layout","CEK zona_no / jenis_fixture",IF(D242&lt;&gt;I242,"CEK jenis_zona",IF(E242="","Zona kosong",IF(F242="","CEK nama kosong","OK"))))))</f>
        <v/>
      </c>
    </row>
    <row r="243">
      <c r="A243" s="9" t="n"/>
      <c r="B243" s="10">
        <f>IF(A243="","",IFERROR(INDEX(DAFTAR_FIXTURE!$B$2:$B$51,MATCH(A243,DAFTAR_FIXTURE!$A$2:$A$51,0)),""))</f>
        <v/>
      </c>
      <c r="C243" s="11" t="n"/>
      <c r="D243" s="11" t="n"/>
      <c r="E243" s="12" t="n"/>
      <c r="F243" s="9" t="n"/>
      <c r="G243" s="11" t="n"/>
      <c r="H243" s="10">
        <f>IF(E243="","","https://cdn.ruparupa.io/fit-in/850x850/ruparupa-com/image/upload/Products/"&amp;E243&amp;"_1.jpg")</f>
        <v/>
      </c>
      <c r="I243" s="10">
        <f>IF(OR(B243="",C243=""),"",IFERROR(INDEX(LAYOUT!$D$2:$D$34,MATCH(B243&amp;"|"&amp;C243,LAYOUT!$E$2:$E$34,0)),"zona tidak ada di layout"))</f>
        <v/>
      </c>
      <c r="J243" s="13">
        <f>IF(OR(A243="",E243=""),"",COUNTIFS($A$2:$A$500,A243,$C$2:$C$500,C243,$E$2:$E$500,"&lt;&gt;"))</f>
        <v/>
      </c>
      <c r="K243" s="13">
        <f>IF(A243="","",IF(B243="","CEK id_fixture tidak ada di DAFTAR_FIXTURE",IF(I243="zona tidak ada di layout","CEK zona_no / jenis_fixture",IF(D243&lt;&gt;I243,"CEK jenis_zona",IF(E243="","Zona kosong",IF(F243="","CEK nama kosong","OK"))))))</f>
        <v/>
      </c>
    </row>
    <row r="244">
      <c r="A244" s="9" t="n"/>
      <c r="B244" s="10">
        <f>IF(A244="","",IFERROR(INDEX(DAFTAR_FIXTURE!$B$2:$B$51,MATCH(A244,DAFTAR_FIXTURE!$A$2:$A$51,0)),""))</f>
        <v/>
      </c>
      <c r="C244" s="11" t="n"/>
      <c r="D244" s="11" t="n"/>
      <c r="E244" s="12" t="n"/>
      <c r="F244" s="9" t="n"/>
      <c r="G244" s="11" t="n"/>
      <c r="H244" s="10">
        <f>IF(E244="","","https://cdn.ruparupa.io/fit-in/850x850/ruparupa-com/image/upload/Products/"&amp;E244&amp;"_1.jpg")</f>
        <v/>
      </c>
      <c r="I244" s="10">
        <f>IF(OR(B244="",C244=""),"",IFERROR(INDEX(LAYOUT!$D$2:$D$34,MATCH(B244&amp;"|"&amp;C244,LAYOUT!$E$2:$E$34,0)),"zona tidak ada di layout"))</f>
        <v/>
      </c>
      <c r="J244" s="13">
        <f>IF(OR(A244="",E244=""),"",COUNTIFS($A$2:$A$500,A244,$C$2:$C$500,C244,$E$2:$E$500,"&lt;&gt;"))</f>
        <v/>
      </c>
      <c r="K244" s="13">
        <f>IF(A244="","",IF(B244="","CEK id_fixture tidak ada di DAFTAR_FIXTURE",IF(I244="zona tidak ada di layout","CEK zona_no / jenis_fixture",IF(D244&lt;&gt;I244,"CEK jenis_zona",IF(E244="","Zona kosong",IF(F244="","CEK nama kosong","OK"))))))</f>
        <v/>
      </c>
    </row>
    <row r="245">
      <c r="A245" s="9" t="n"/>
      <c r="B245" s="10">
        <f>IF(A245="","",IFERROR(INDEX(DAFTAR_FIXTURE!$B$2:$B$51,MATCH(A245,DAFTAR_FIXTURE!$A$2:$A$51,0)),""))</f>
        <v/>
      </c>
      <c r="C245" s="11" t="n"/>
      <c r="D245" s="11" t="n"/>
      <c r="E245" s="12" t="n"/>
      <c r="F245" s="9" t="n"/>
      <c r="G245" s="11" t="n"/>
      <c r="H245" s="10">
        <f>IF(E245="","","https://cdn.ruparupa.io/fit-in/850x850/ruparupa-com/image/upload/Products/"&amp;E245&amp;"_1.jpg")</f>
        <v/>
      </c>
      <c r="I245" s="10">
        <f>IF(OR(B245="",C245=""),"",IFERROR(INDEX(LAYOUT!$D$2:$D$34,MATCH(B245&amp;"|"&amp;C245,LAYOUT!$E$2:$E$34,0)),"zona tidak ada di layout"))</f>
        <v/>
      </c>
      <c r="J245" s="13">
        <f>IF(OR(A245="",E245=""),"",COUNTIFS($A$2:$A$500,A245,$C$2:$C$500,C245,$E$2:$E$500,"&lt;&gt;"))</f>
        <v/>
      </c>
      <c r="K245" s="13">
        <f>IF(A245="","",IF(B245="","CEK id_fixture tidak ada di DAFTAR_FIXTURE",IF(I245="zona tidak ada di layout","CEK zona_no / jenis_fixture",IF(D245&lt;&gt;I245,"CEK jenis_zona",IF(E245="","Zona kosong",IF(F245="","CEK nama kosong","OK"))))))</f>
        <v/>
      </c>
    </row>
    <row r="246">
      <c r="A246" s="9" t="n"/>
      <c r="B246" s="10">
        <f>IF(A246="","",IFERROR(INDEX(DAFTAR_FIXTURE!$B$2:$B$51,MATCH(A246,DAFTAR_FIXTURE!$A$2:$A$51,0)),""))</f>
        <v/>
      </c>
      <c r="C246" s="11" t="n"/>
      <c r="D246" s="11" t="n"/>
      <c r="E246" s="12" t="n"/>
      <c r="F246" s="9" t="n"/>
      <c r="G246" s="11" t="n"/>
      <c r="H246" s="10">
        <f>IF(E246="","","https://cdn.ruparupa.io/fit-in/850x850/ruparupa-com/image/upload/Products/"&amp;E246&amp;"_1.jpg")</f>
        <v/>
      </c>
      <c r="I246" s="10">
        <f>IF(OR(B246="",C246=""),"",IFERROR(INDEX(LAYOUT!$D$2:$D$34,MATCH(B246&amp;"|"&amp;C246,LAYOUT!$E$2:$E$34,0)),"zona tidak ada di layout"))</f>
        <v/>
      </c>
      <c r="J246" s="13">
        <f>IF(OR(A246="",E246=""),"",COUNTIFS($A$2:$A$500,A246,$C$2:$C$500,C246,$E$2:$E$500,"&lt;&gt;"))</f>
        <v/>
      </c>
      <c r="K246" s="13">
        <f>IF(A246="","",IF(B246="","CEK id_fixture tidak ada di DAFTAR_FIXTURE",IF(I246="zona tidak ada di layout","CEK zona_no / jenis_fixture",IF(D246&lt;&gt;I246,"CEK jenis_zona",IF(E246="","Zona kosong",IF(F246="","CEK nama kosong","OK"))))))</f>
        <v/>
      </c>
    </row>
    <row r="247">
      <c r="A247" s="9" t="n"/>
      <c r="B247" s="10">
        <f>IF(A247="","",IFERROR(INDEX(DAFTAR_FIXTURE!$B$2:$B$51,MATCH(A247,DAFTAR_FIXTURE!$A$2:$A$51,0)),""))</f>
        <v/>
      </c>
      <c r="C247" s="11" t="n"/>
      <c r="D247" s="11" t="n"/>
      <c r="E247" s="12" t="n"/>
      <c r="F247" s="9" t="n"/>
      <c r="G247" s="11" t="n"/>
      <c r="H247" s="10">
        <f>IF(E247="","","https://cdn.ruparupa.io/fit-in/850x850/ruparupa-com/image/upload/Products/"&amp;E247&amp;"_1.jpg")</f>
        <v/>
      </c>
      <c r="I247" s="10">
        <f>IF(OR(B247="",C247=""),"",IFERROR(INDEX(LAYOUT!$D$2:$D$34,MATCH(B247&amp;"|"&amp;C247,LAYOUT!$E$2:$E$34,0)),"zona tidak ada di layout"))</f>
        <v/>
      </c>
      <c r="J247" s="13">
        <f>IF(OR(A247="",E247=""),"",COUNTIFS($A$2:$A$500,A247,$C$2:$C$500,C247,$E$2:$E$500,"&lt;&gt;"))</f>
        <v/>
      </c>
      <c r="K247" s="13">
        <f>IF(A247="","",IF(B247="","CEK id_fixture tidak ada di DAFTAR_FIXTURE",IF(I247="zona tidak ada di layout","CEK zona_no / jenis_fixture",IF(D247&lt;&gt;I247,"CEK jenis_zona",IF(E247="","Zona kosong",IF(F247="","CEK nama kosong","OK"))))))</f>
        <v/>
      </c>
    </row>
    <row r="248">
      <c r="A248" s="9" t="n"/>
      <c r="B248" s="10">
        <f>IF(A248="","",IFERROR(INDEX(DAFTAR_FIXTURE!$B$2:$B$51,MATCH(A248,DAFTAR_FIXTURE!$A$2:$A$51,0)),""))</f>
        <v/>
      </c>
      <c r="C248" s="11" t="n"/>
      <c r="D248" s="11" t="n"/>
      <c r="E248" s="12" t="n"/>
      <c r="F248" s="9" t="n"/>
      <c r="G248" s="11" t="n"/>
      <c r="H248" s="10">
        <f>IF(E248="","","https://cdn.ruparupa.io/fit-in/850x850/ruparupa-com/image/upload/Products/"&amp;E248&amp;"_1.jpg")</f>
        <v/>
      </c>
      <c r="I248" s="10">
        <f>IF(OR(B248="",C248=""),"",IFERROR(INDEX(LAYOUT!$D$2:$D$34,MATCH(B248&amp;"|"&amp;C248,LAYOUT!$E$2:$E$34,0)),"zona tidak ada di layout"))</f>
        <v/>
      </c>
      <c r="J248" s="13">
        <f>IF(OR(A248="",E248=""),"",COUNTIFS($A$2:$A$500,A248,$C$2:$C$500,C248,$E$2:$E$500,"&lt;&gt;"))</f>
        <v/>
      </c>
      <c r="K248" s="13">
        <f>IF(A248="","",IF(B248="","CEK id_fixture tidak ada di DAFTAR_FIXTURE",IF(I248="zona tidak ada di layout","CEK zona_no / jenis_fixture",IF(D248&lt;&gt;I248,"CEK jenis_zona",IF(E248="","Zona kosong",IF(F248="","CEK nama kosong","OK"))))))</f>
        <v/>
      </c>
    </row>
    <row r="249">
      <c r="A249" s="9" t="n"/>
      <c r="B249" s="10">
        <f>IF(A249="","",IFERROR(INDEX(DAFTAR_FIXTURE!$B$2:$B$51,MATCH(A249,DAFTAR_FIXTURE!$A$2:$A$51,0)),""))</f>
        <v/>
      </c>
      <c r="C249" s="11" t="n"/>
      <c r="D249" s="11" t="n"/>
      <c r="E249" s="12" t="n"/>
      <c r="F249" s="9" t="n"/>
      <c r="G249" s="11" t="n"/>
      <c r="H249" s="10">
        <f>IF(E249="","","https://cdn.ruparupa.io/fit-in/850x850/ruparupa-com/image/upload/Products/"&amp;E249&amp;"_1.jpg")</f>
        <v/>
      </c>
      <c r="I249" s="10">
        <f>IF(OR(B249="",C249=""),"",IFERROR(INDEX(LAYOUT!$D$2:$D$34,MATCH(B249&amp;"|"&amp;C249,LAYOUT!$E$2:$E$34,0)),"zona tidak ada di layout"))</f>
        <v/>
      </c>
      <c r="J249" s="13">
        <f>IF(OR(A249="",E249=""),"",COUNTIFS($A$2:$A$500,A249,$C$2:$C$500,C249,$E$2:$E$500,"&lt;&gt;"))</f>
        <v/>
      </c>
      <c r="K249" s="13">
        <f>IF(A249="","",IF(B249="","CEK id_fixture tidak ada di DAFTAR_FIXTURE",IF(I249="zona tidak ada di layout","CEK zona_no / jenis_fixture",IF(D249&lt;&gt;I249,"CEK jenis_zona",IF(E249="","Zona kosong",IF(F249="","CEK nama kosong","OK"))))))</f>
        <v/>
      </c>
    </row>
    <row r="250">
      <c r="A250" s="9" t="n"/>
      <c r="B250" s="10">
        <f>IF(A250="","",IFERROR(INDEX(DAFTAR_FIXTURE!$B$2:$B$51,MATCH(A250,DAFTAR_FIXTURE!$A$2:$A$51,0)),""))</f>
        <v/>
      </c>
      <c r="C250" s="11" t="n"/>
      <c r="D250" s="11" t="n"/>
      <c r="E250" s="12" t="n"/>
      <c r="F250" s="9" t="n"/>
      <c r="G250" s="11" t="n"/>
      <c r="H250" s="10">
        <f>IF(E250="","","https://cdn.ruparupa.io/fit-in/850x850/ruparupa-com/image/upload/Products/"&amp;E250&amp;"_1.jpg")</f>
        <v/>
      </c>
      <c r="I250" s="10">
        <f>IF(OR(B250="",C250=""),"",IFERROR(INDEX(LAYOUT!$D$2:$D$34,MATCH(B250&amp;"|"&amp;C250,LAYOUT!$E$2:$E$34,0)),"zona tidak ada di layout"))</f>
        <v/>
      </c>
      <c r="J250" s="13">
        <f>IF(OR(A250="",E250=""),"",COUNTIFS($A$2:$A$500,A250,$C$2:$C$500,C250,$E$2:$E$500,"&lt;&gt;"))</f>
        <v/>
      </c>
      <c r="K250" s="13">
        <f>IF(A250="","",IF(B250="","CEK id_fixture tidak ada di DAFTAR_FIXTURE",IF(I250="zona tidak ada di layout","CEK zona_no / jenis_fixture",IF(D250&lt;&gt;I250,"CEK jenis_zona",IF(E250="","Zona kosong",IF(F250="","CEK nama kosong","OK"))))))</f>
        <v/>
      </c>
    </row>
    <row r="251">
      <c r="A251" s="9" t="n"/>
      <c r="B251" s="10">
        <f>IF(A251="","",IFERROR(INDEX(DAFTAR_FIXTURE!$B$2:$B$51,MATCH(A251,DAFTAR_FIXTURE!$A$2:$A$51,0)),""))</f>
        <v/>
      </c>
      <c r="C251" s="11" t="n"/>
      <c r="D251" s="11" t="n"/>
      <c r="E251" s="12" t="n"/>
      <c r="F251" s="9" t="n"/>
      <c r="G251" s="11" t="n"/>
      <c r="H251" s="10">
        <f>IF(E251="","","https://cdn.ruparupa.io/fit-in/850x850/ruparupa-com/image/upload/Products/"&amp;E251&amp;"_1.jpg")</f>
        <v/>
      </c>
      <c r="I251" s="10">
        <f>IF(OR(B251="",C251=""),"",IFERROR(INDEX(LAYOUT!$D$2:$D$34,MATCH(B251&amp;"|"&amp;C251,LAYOUT!$E$2:$E$34,0)),"zona tidak ada di layout"))</f>
        <v/>
      </c>
      <c r="J251" s="13">
        <f>IF(OR(A251="",E251=""),"",COUNTIFS($A$2:$A$500,A251,$C$2:$C$500,C251,$E$2:$E$500,"&lt;&gt;"))</f>
        <v/>
      </c>
      <c r="K251" s="13">
        <f>IF(A251="","",IF(B251="","CEK id_fixture tidak ada di DAFTAR_FIXTURE",IF(I251="zona tidak ada di layout","CEK zona_no / jenis_fixture",IF(D251&lt;&gt;I251,"CEK jenis_zona",IF(E251="","Zona kosong",IF(F251="","CEK nama kosong","OK"))))))</f>
        <v/>
      </c>
    </row>
    <row r="252">
      <c r="A252" s="9" t="n"/>
      <c r="B252" s="10">
        <f>IF(A252="","",IFERROR(INDEX(DAFTAR_FIXTURE!$B$2:$B$51,MATCH(A252,DAFTAR_FIXTURE!$A$2:$A$51,0)),""))</f>
        <v/>
      </c>
      <c r="C252" s="11" t="n"/>
      <c r="D252" s="11" t="n"/>
      <c r="E252" s="12" t="n"/>
      <c r="F252" s="9" t="n"/>
      <c r="G252" s="11" t="n"/>
      <c r="H252" s="10">
        <f>IF(E252="","","https://cdn.ruparupa.io/fit-in/850x850/ruparupa-com/image/upload/Products/"&amp;E252&amp;"_1.jpg")</f>
        <v/>
      </c>
      <c r="I252" s="10">
        <f>IF(OR(B252="",C252=""),"",IFERROR(INDEX(LAYOUT!$D$2:$D$34,MATCH(B252&amp;"|"&amp;C252,LAYOUT!$E$2:$E$34,0)),"zona tidak ada di layout"))</f>
        <v/>
      </c>
      <c r="J252" s="13">
        <f>IF(OR(A252="",E252=""),"",COUNTIFS($A$2:$A$500,A252,$C$2:$C$500,C252,$E$2:$E$500,"&lt;&gt;"))</f>
        <v/>
      </c>
      <c r="K252" s="13">
        <f>IF(A252="","",IF(B252="","CEK id_fixture tidak ada di DAFTAR_FIXTURE",IF(I252="zona tidak ada di layout","CEK zona_no / jenis_fixture",IF(D252&lt;&gt;I252,"CEK jenis_zona",IF(E252="","Zona kosong",IF(F252="","CEK nama kosong","OK"))))))</f>
        <v/>
      </c>
    </row>
    <row r="253">
      <c r="A253" s="9" t="n"/>
      <c r="B253" s="10">
        <f>IF(A253="","",IFERROR(INDEX(DAFTAR_FIXTURE!$B$2:$B$51,MATCH(A253,DAFTAR_FIXTURE!$A$2:$A$51,0)),""))</f>
        <v/>
      </c>
      <c r="C253" s="11" t="n"/>
      <c r="D253" s="11" t="n"/>
      <c r="E253" s="12" t="n"/>
      <c r="F253" s="9" t="n"/>
      <c r="G253" s="11" t="n"/>
      <c r="H253" s="10">
        <f>IF(E253="","","https://cdn.ruparupa.io/fit-in/850x850/ruparupa-com/image/upload/Products/"&amp;E253&amp;"_1.jpg")</f>
        <v/>
      </c>
      <c r="I253" s="10">
        <f>IF(OR(B253="",C253=""),"",IFERROR(INDEX(LAYOUT!$D$2:$D$34,MATCH(B253&amp;"|"&amp;C253,LAYOUT!$E$2:$E$34,0)),"zona tidak ada di layout"))</f>
        <v/>
      </c>
      <c r="J253" s="13">
        <f>IF(OR(A253="",E253=""),"",COUNTIFS($A$2:$A$500,A253,$C$2:$C$500,C253,$E$2:$E$500,"&lt;&gt;"))</f>
        <v/>
      </c>
      <c r="K253" s="13">
        <f>IF(A253="","",IF(B253="","CEK id_fixture tidak ada di DAFTAR_FIXTURE",IF(I253="zona tidak ada di layout","CEK zona_no / jenis_fixture",IF(D253&lt;&gt;I253,"CEK jenis_zona",IF(E253="","Zona kosong",IF(F253="","CEK nama kosong","OK"))))))</f>
        <v/>
      </c>
    </row>
    <row r="254">
      <c r="A254" s="9" t="n"/>
      <c r="B254" s="10">
        <f>IF(A254="","",IFERROR(INDEX(DAFTAR_FIXTURE!$B$2:$B$51,MATCH(A254,DAFTAR_FIXTURE!$A$2:$A$51,0)),""))</f>
        <v/>
      </c>
      <c r="C254" s="11" t="n"/>
      <c r="D254" s="11" t="n"/>
      <c r="E254" s="12" t="n"/>
      <c r="F254" s="9" t="n"/>
      <c r="G254" s="11" t="n"/>
      <c r="H254" s="10">
        <f>IF(E254="","","https://cdn.ruparupa.io/fit-in/850x850/ruparupa-com/image/upload/Products/"&amp;E254&amp;"_1.jpg")</f>
        <v/>
      </c>
      <c r="I254" s="10">
        <f>IF(OR(B254="",C254=""),"",IFERROR(INDEX(LAYOUT!$D$2:$D$34,MATCH(B254&amp;"|"&amp;C254,LAYOUT!$E$2:$E$34,0)),"zona tidak ada di layout"))</f>
        <v/>
      </c>
      <c r="J254" s="13">
        <f>IF(OR(A254="",E254=""),"",COUNTIFS($A$2:$A$500,A254,$C$2:$C$500,C254,$E$2:$E$500,"&lt;&gt;"))</f>
        <v/>
      </c>
      <c r="K254" s="13">
        <f>IF(A254="","",IF(B254="","CEK id_fixture tidak ada di DAFTAR_FIXTURE",IF(I254="zona tidak ada di layout","CEK zona_no / jenis_fixture",IF(D254&lt;&gt;I254,"CEK jenis_zona",IF(E254="","Zona kosong",IF(F254="","CEK nama kosong","OK"))))))</f>
        <v/>
      </c>
    </row>
    <row r="255">
      <c r="A255" s="9" t="n"/>
      <c r="B255" s="10">
        <f>IF(A255="","",IFERROR(INDEX(DAFTAR_FIXTURE!$B$2:$B$51,MATCH(A255,DAFTAR_FIXTURE!$A$2:$A$51,0)),""))</f>
        <v/>
      </c>
      <c r="C255" s="11" t="n"/>
      <c r="D255" s="11" t="n"/>
      <c r="E255" s="12" t="n"/>
      <c r="F255" s="9" t="n"/>
      <c r="G255" s="11" t="n"/>
      <c r="H255" s="10">
        <f>IF(E255="","","https://cdn.ruparupa.io/fit-in/850x850/ruparupa-com/image/upload/Products/"&amp;E255&amp;"_1.jpg")</f>
        <v/>
      </c>
      <c r="I255" s="10">
        <f>IF(OR(B255="",C255=""),"",IFERROR(INDEX(LAYOUT!$D$2:$D$34,MATCH(B255&amp;"|"&amp;C255,LAYOUT!$E$2:$E$34,0)),"zona tidak ada di layout"))</f>
        <v/>
      </c>
      <c r="J255" s="13">
        <f>IF(OR(A255="",E255=""),"",COUNTIFS($A$2:$A$500,A255,$C$2:$C$500,C255,$E$2:$E$500,"&lt;&gt;"))</f>
        <v/>
      </c>
      <c r="K255" s="13">
        <f>IF(A255="","",IF(B255="","CEK id_fixture tidak ada di DAFTAR_FIXTURE",IF(I255="zona tidak ada di layout","CEK zona_no / jenis_fixture",IF(D255&lt;&gt;I255,"CEK jenis_zona",IF(E255="","Zona kosong",IF(F255="","CEK nama kosong","OK"))))))</f>
        <v/>
      </c>
    </row>
    <row r="256">
      <c r="A256" s="9" t="n"/>
      <c r="B256" s="10">
        <f>IF(A256="","",IFERROR(INDEX(DAFTAR_FIXTURE!$B$2:$B$51,MATCH(A256,DAFTAR_FIXTURE!$A$2:$A$51,0)),""))</f>
        <v/>
      </c>
      <c r="C256" s="11" t="n"/>
      <c r="D256" s="11" t="n"/>
      <c r="E256" s="12" t="n"/>
      <c r="F256" s="9" t="n"/>
      <c r="G256" s="11" t="n"/>
      <c r="H256" s="10">
        <f>IF(E256="","","https://cdn.ruparupa.io/fit-in/850x850/ruparupa-com/image/upload/Products/"&amp;E256&amp;"_1.jpg")</f>
        <v/>
      </c>
      <c r="I256" s="10">
        <f>IF(OR(B256="",C256=""),"",IFERROR(INDEX(LAYOUT!$D$2:$D$34,MATCH(B256&amp;"|"&amp;C256,LAYOUT!$E$2:$E$34,0)),"zona tidak ada di layout"))</f>
        <v/>
      </c>
      <c r="J256" s="13">
        <f>IF(OR(A256="",E256=""),"",COUNTIFS($A$2:$A$500,A256,$C$2:$C$500,C256,$E$2:$E$500,"&lt;&gt;"))</f>
        <v/>
      </c>
      <c r="K256" s="13">
        <f>IF(A256="","",IF(B256="","CEK id_fixture tidak ada di DAFTAR_FIXTURE",IF(I256="zona tidak ada di layout","CEK zona_no / jenis_fixture",IF(D256&lt;&gt;I256,"CEK jenis_zona",IF(E256="","Zona kosong",IF(F256="","CEK nama kosong","OK"))))))</f>
        <v/>
      </c>
    </row>
    <row r="257">
      <c r="A257" s="9" t="n"/>
      <c r="B257" s="10">
        <f>IF(A257="","",IFERROR(INDEX(DAFTAR_FIXTURE!$B$2:$B$51,MATCH(A257,DAFTAR_FIXTURE!$A$2:$A$51,0)),""))</f>
        <v/>
      </c>
      <c r="C257" s="11" t="n"/>
      <c r="D257" s="11" t="n"/>
      <c r="E257" s="12" t="n"/>
      <c r="F257" s="9" t="n"/>
      <c r="G257" s="11" t="n"/>
      <c r="H257" s="10">
        <f>IF(E257="","","https://cdn.ruparupa.io/fit-in/850x850/ruparupa-com/image/upload/Products/"&amp;E257&amp;"_1.jpg")</f>
        <v/>
      </c>
      <c r="I257" s="10">
        <f>IF(OR(B257="",C257=""),"",IFERROR(INDEX(LAYOUT!$D$2:$D$34,MATCH(B257&amp;"|"&amp;C257,LAYOUT!$E$2:$E$34,0)),"zona tidak ada di layout"))</f>
        <v/>
      </c>
      <c r="J257" s="13">
        <f>IF(OR(A257="",E257=""),"",COUNTIFS($A$2:$A$500,A257,$C$2:$C$500,C257,$E$2:$E$500,"&lt;&gt;"))</f>
        <v/>
      </c>
      <c r="K257" s="13">
        <f>IF(A257="","",IF(B257="","CEK id_fixture tidak ada di DAFTAR_FIXTURE",IF(I257="zona tidak ada di layout","CEK zona_no / jenis_fixture",IF(D257&lt;&gt;I257,"CEK jenis_zona",IF(E257="","Zona kosong",IF(F257="","CEK nama kosong","OK"))))))</f>
        <v/>
      </c>
    </row>
    <row r="258">
      <c r="A258" s="9" t="n"/>
      <c r="B258" s="10">
        <f>IF(A258="","",IFERROR(INDEX(DAFTAR_FIXTURE!$B$2:$B$51,MATCH(A258,DAFTAR_FIXTURE!$A$2:$A$51,0)),""))</f>
        <v/>
      </c>
      <c r="C258" s="11" t="n"/>
      <c r="D258" s="11" t="n"/>
      <c r="E258" s="12" t="n"/>
      <c r="F258" s="9" t="n"/>
      <c r="G258" s="11" t="n"/>
      <c r="H258" s="10">
        <f>IF(E258="","","https://cdn.ruparupa.io/fit-in/850x850/ruparupa-com/image/upload/Products/"&amp;E258&amp;"_1.jpg")</f>
        <v/>
      </c>
      <c r="I258" s="10">
        <f>IF(OR(B258="",C258=""),"",IFERROR(INDEX(LAYOUT!$D$2:$D$34,MATCH(B258&amp;"|"&amp;C258,LAYOUT!$E$2:$E$34,0)),"zona tidak ada di layout"))</f>
        <v/>
      </c>
      <c r="J258" s="13">
        <f>IF(OR(A258="",E258=""),"",COUNTIFS($A$2:$A$500,A258,$C$2:$C$500,C258,$E$2:$E$500,"&lt;&gt;"))</f>
        <v/>
      </c>
      <c r="K258" s="13">
        <f>IF(A258="","",IF(B258="","CEK id_fixture tidak ada di DAFTAR_FIXTURE",IF(I258="zona tidak ada di layout","CEK zona_no / jenis_fixture",IF(D258&lt;&gt;I258,"CEK jenis_zona",IF(E258="","Zona kosong",IF(F258="","CEK nama kosong","OK"))))))</f>
        <v/>
      </c>
    </row>
    <row r="259">
      <c r="A259" s="9" t="n"/>
      <c r="B259" s="10">
        <f>IF(A259="","",IFERROR(INDEX(DAFTAR_FIXTURE!$B$2:$B$51,MATCH(A259,DAFTAR_FIXTURE!$A$2:$A$51,0)),""))</f>
        <v/>
      </c>
      <c r="C259" s="11" t="n"/>
      <c r="D259" s="11" t="n"/>
      <c r="E259" s="12" t="n"/>
      <c r="F259" s="9" t="n"/>
      <c r="G259" s="11" t="n"/>
      <c r="H259" s="10">
        <f>IF(E259="","","https://cdn.ruparupa.io/fit-in/850x850/ruparupa-com/image/upload/Products/"&amp;E259&amp;"_1.jpg")</f>
        <v/>
      </c>
      <c r="I259" s="10">
        <f>IF(OR(B259="",C259=""),"",IFERROR(INDEX(LAYOUT!$D$2:$D$34,MATCH(B259&amp;"|"&amp;C259,LAYOUT!$E$2:$E$34,0)),"zona tidak ada di layout"))</f>
        <v/>
      </c>
      <c r="J259" s="13">
        <f>IF(OR(A259="",E259=""),"",COUNTIFS($A$2:$A$500,A259,$C$2:$C$500,C259,$E$2:$E$500,"&lt;&gt;"))</f>
        <v/>
      </c>
      <c r="K259" s="13">
        <f>IF(A259="","",IF(B259="","CEK id_fixture tidak ada di DAFTAR_FIXTURE",IF(I259="zona tidak ada di layout","CEK zona_no / jenis_fixture",IF(D259&lt;&gt;I259,"CEK jenis_zona",IF(E259="","Zona kosong",IF(F259="","CEK nama kosong","OK"))))))</f>
        <v/>
      </c>
    </row>
    <row r="260">
      <c r="A260" s="9" t="n"/>
      <c r="B260" s="10">
        <f>IF(A260="","",IFERROR(INDEX(DAFTAR_FIXTURE!$B$2:$B$51,MATCH(A260,DAFTAR_FIXTURE!$A$2:$A$51,0)),""))</f>
        <v/>
      </c>
      <c r="C260" s="11" t="n"/>
      <c r="D260" s="11" t="n"/>
      <c r="E260" s="12" t="n"/>
      <c r="F260" s="9" t="n"/>
      <c r="G260" s="11" t="n"/>
      <c r="H260" s="10">
        <f>IF(E260="","","https://cdn.ruparupa.io/fit-in/850x850/ruparupa-com/image/upload/Products/"&amp;E260&amp;"_1.jpg")</f>
        <v/>
      </c>
      <c r="I260" s="10">
        <f>IF(OR(B260="",C260=""),"",IFERROR(INDEX(LAYOUT!$D$2:$D$34,MATCH(B260&amp;"|"&amp;C260,LAYOUT!$E$2:$E$34,0)),"zona tidak ada di layout"))</f>
        <v/>
      </c>
      <c r="J260" s="13">
        <f>IF(OR(A260="",E260=""),"",COUNTIFS($A$2:$A$500,A260,$C$2:$C$500,C260,$E$2:$E$500,"&lt;&gt;"))</f>
        <v/>
      </c>
      <c r="K260" s="13">
        <f>IF(A260="","",IF(B260="","CEK id_fixture tidak ada di DAFTAR_FIXTURE",IF(I260="zona tidak ada di layout","CEK zona_no / jenis_fixture",IF(D260&lt;&gt;I260,"CEK jenis_zona",IF(E260="","Zona kosong",IF(F260="","CEK nama kosong","OK"))))))</f>
        <v/>
      </c>
    </row>
    <row r="261">
      <c r="A261" s="9" t="n"/>
      <c r="B261" s="10">
        <f>IF(A261="","",IFERROR(INDEX(DAFTAR_FIXTURE!$B$2:$B$51,MATCH(A261,DAFTAR_FIXTURE!$A$2:$A$51,0)),""))</f>
        <v/>
      </c>
      <c r="C261" s="11" t="n"/>
      <c r="D261" s="11" t="n"/>
      <c r="E261" s="12" t="n"/>
      <c r="F261" s="9" t="n"/>
      <c r="G261" s="11" t="n"/>
      <c r="H261" s="10">
        <f>IF(E261="","","https://cdn.ruparupa.io/fit-in/850x850/ruparupa-com/image/upload/Products/"&amp;E261&amp;"_1.jpg")</f>
        <v/>
      </c>
      <c r="I261" s="10">
        <f>IF(OR(B261="",C261=""),"",IFERROR(INDEX(LAYOUT!$D$2:$D$34,MATCH(B261&amp;"|"&amp;C261,LAYOUT!$E$2:$E$34,0)),"zona tidak ada di layout"))</f>
        <v/>
      </c>
      <c r="J261" s="13">
        <f>IF(OR(A261="",E261=""),"",COUNTIFS($A$2:$A$500,A261,$C$2:$C$500,C261,$E$2:$E$500,"&lt;&gt;"))</f>
        <v/>
      </c>
      <c r="K261" s="13">
        <f>IF(A261="","",IF(B261="","CEK id_fixture tidak ada di DAFTAR_FIXTURE",IF(I261="zona tidak ada di layout","CEK zona_no / jenis_fixture",IF(D261&lt;&gt;I261,"CEK jenis_zona",IF(E261="","Zona kosong",IF(F261="","CEK nama kosong","OK"))))))</f>
        <v/>
      </c>
    </row>
    <row r="262">
      <c r="A262" s="9" t="n"/>
      <c r="B262" s="10">
        <f>IF(A262="","",IFERROR(INDEX(DAFTAR_FIXTURE!$B$2:$B$51,MATCH(A262,DAFTAR_FIXTURE!$A$2:$A$51,0)),""))</f>
        <v/>
      </c>
      <c r="C262" s="11" t="n"/>
      <c r="D262" s="11" t="n"/>
      <c r="E262" s="12" t="n"/>
      <c r="F262" s="9" t="n"/>
      <c r="G262" s="11" t="n"/>
      <c r="H262" s="10">
        <f>IF(E262="","","https://cdn.ruparupa.io/fit-in/850x850/ruparupa-com/image/upload/Products/"&amp;E262&amp;"_1.jpg")</f>
        <v/>
      </c>
      <c r="I262" s="10">
        <f>IF(OR(B262="",C262=""),"",IFERROR(INDEX(LAYOUT!$D$2:$D$34,MATCH(B262&amp;"|"&amp;C262,LAYOUT!$E$2:$E$34,0)),"zona tidak ada di layout"))</f>
        <v/>
      </c>
      <c r="J262" s="13">
        <f>IF(OR(A262="",E262=""),"",COUNTIFS($A$2:$A$500,A262,$C$2:$C$500,C262,$E$2:$E$500,"&lt;&gt;"))</f>
        <v/>
      </c>
      <c r="K262" s="13">
        <f>IF(A262="","",IF(B262="","CEK id_fixture tidak ada di DAFTAR_FIXTURE",IF(I262="zona tidak ada di layout","CEK zona_no / jenis_fixture",IF(D262&lt;&gt;I262,"CEK jenis_zona",IF(E262="","Zona kosong",IF(F262="","CEK nama kosong","OK"))))))</f>
        <v/>
      </c>
    </row>
    <row r="263">
      <c r="A263" s="9" t="n"/>
      <c r="B263" s="10">
        <f>IF(A263="","",IFERROR(INDEX(DAFTAR_FIXTURE!$B$2:$B$51,MATCH(A263,DAFTAR_FIXTURE!$A$2:$A$51,0)),""))</f>
        <v/>
      </c>
      <c r="C263" s="11" t="n"/>
      <c r="D263" s="11" t="n"/>
      <c r="E263" s="12" t="n"/>
      <c r="F263" s="9" t="n"/>
      <c r="G263" s="11" t="n"/>
      <c r="H263" s="10">
        <f>IF(E263="","","https://cdn.ruparupa.io/fit-in/850x850/ruparupa-com/image/upload/Products/"&amp;E263&amp;"_1.jpg")</f>
        <v/>
      </c>
      <c r="I263" s="10">
        <f>IF(OR(B263="",C263=""),"",IFERROR(INDEX(LAYOUT!$D$2:$D$34,MATCH(B263&amp;"|"&amp;C263,LAYOUT!$E$2:$E$34,0)),"zona tidak ada di layout"))</f>
        <v/>
      </c>
      <c r="J263" s="13">
        <f>IF(OR(A263="",E263=""),"",COUNTIFS($A$2:$A$500,A263,$C$2:$C$500,C263,$E$2:$E$500,"&lt;&gt;"))</f>
        <v/>
      </c>
      <c r="K263" s="13">
        <f>IF(A263="","",IF(B263="","CEK id_fixture tidak ada di DAFTAR_FIXTURE",IF(I263="zona tidak ada di layout","CEK zona_no / jenis_fixture",IF(D263&lt;&gt;I263,"CEK jenis_zona",IF(E263="","Zona kosong",IF(F263="","CEK nama kosong","OK"))))))</f>
        <v/>
      </c>
    </row>
    <row r="264">
      <c r="A264" s="9" t="n"/>
      <c r="B264" s="10">
        <f>IF(A264="","",IFERROR(INDEX(DAFTAR_FIXTURE!$B$2:$B$51,MATCH(A264,DAFTAR_FIXTURE!$A$2:$A$51,0)),""))</f>
        <v/>
      </c>
      <c r="C264" s="11" t="n"/>
      <c r="D264" s="11" t="n"/>
      <c r="E264" s="12" t="n"/>
      <c r="F264" s="9" t="n"/>
      <c r="G264" s="11" t="n"/>
      <c r="H264" s="10">
        <f>IF(E264="","","https://cdn.ruparupa.io/fit-in/850x850/ruparupa-com/image/upload/Products/"&amp;E264&amp;"_1.jpg")</f>
        <v/>
      </c>
      <c r="I264" s="10">
        <f>IF(OR(B264="",C264=""),"",IFERROR(INDEX(LAYOUT!$D$2:$D$34,MATCH(B264&amp;"|"&amp;C264,LAYOUT!$E$2:$E$34,0)),"zona tidak ada di layout"))</f>
        <v/>
      </c>
      <c r="J264" s="13">
        <f>IF(OR(A264="",E264=""),"",COUNTIFS($A$2:$A$500,A264,$C$2:$C$500,C264,$E$2:$E$500,"&lt;&gt;"))</f>
        <v/>
      </c>
      <c r="K264" s="13">
        <f>IF(A264="","",IF(B264="","CEK id_fixture tidak ada di DAFTAR_FIXTURE",IF(I264="zona tidak ada di layout","CEK zona_no / jenis_fixture",IF(D264&lt;&gt;I264,"CEK jenis_zona",IF(E264="","Zona kosong",IF(F264="","CEK nama kosong","OK"))))))</f>
        <v/>
      </c>
    </row>
    <row r="265">
      <c r="A265" s="9" t="n"/>
      <c r="B265" s="10">
        <f>IF(A265="","",IFERROR(INDEX(DAFTAR_FIXTURE!$B$2:$B$51,MATCH(A265,DAFTAR_FIXTURE!$A$2:$A$51,0)),""))</f>
        <v/>
      </c>
      <c r="C265" s="11" t="n"/>
      <c r="D265" s="11" t="n"/>
      <c r="E265" s="12" t="n"/>
      <c r="F265" s="9" t="n"/>
      <c r="G265" s="11" t="n"/>
      <c r="H265" s="10">
        <f>IF(E265="","","https://cdn.ruparupa.io/fit-in/850x850/ruparupa-com/image/upload/Products/"&amp;E265&amp;"_1.jpg")</f>
        <v/>
      </c>
      <c r="I265" s="10">
        <f>IF(OR(B265="",C265=""),"",IFERROR(INDEX(LAYOUT!$D$2:$D$34,MATCH(B265&amp;"|"&amp;C265,LAYOUT!$E$2:$E$34,0)),"zona tidak ada di layout"))</f>
        <v/>
      </c>
      <c r="J265" s="13">
        <f>IF(OR(A265="",E265=""),"",COUNTIFS($A$2:$A$500,A265,$C$2:$C$500,C265,$E$2:$E$500,"&lt;&gt;"))</f>
        <v/>
      </c>
      <c r="K265" s="13">
        <f>IF(A265="","",IF(B265="","CEK id_fixture tidak ada di DAFTAR_FIXTURE",IF(I265="zona tidak ada di layout","CEK zona_no / jenis_fixture",IF(D265&lt;&gt;I265,"CEK jenis_zona",IF(E265="","Zona kosong",IF(F265="","CEK nama kosong","OK"))))))</f>
        <v/>
      </c>
    </row>
    <row r="266">
      <c r="A266" s="9" t="n"/>
      <c r="B266" s="10">
        <f>IF(A266="","",IFERROR(INDEX(DAFTAR_FIXTURE!$B$2:$B$51,MATCH(A266,DAFTAR_FIXTURE!$A$2:$A$51,0)),""))</f>
        <v/>
      </c>
      <c r="C266" s="11" t="n"/>
      <c r="D266" s="11" t="n"/>
      <c r="E266" s="12" t="n"/>
      <c r="F266" s="9" t="n"/>
      <c r="G266" s="11" t="n"/>
      <c r="H266" s="10">
        <f>IF(E266="","","https://cdn.ruparupa.io/fit-in/850x850/ruparupa-com/image/upload/Products/"&amp;E266&amp;"_1.jpg")</f>
        <v/>
      </c>
      <c r="I266" s="10">
        <f>IF(OR(B266="",C266=""),"",IFERROR(INDEX(LAYOUT!$D$2:$D$34,MATCH(B266&amp;"|"&amp;C266,LAYOUT!$E$2:$E$34,0)),"zona tidak ada di layout"))</f>
        <v/>
      </c>
      <c r="J266" s="13">
        <f>IF(OR(A266="",E266=""),"",COUNTIFS($A$2:$A$500,A266,$C$2:$C$500,C266,$E$2:$E$500,"&lt;&gt;"))</f>
        <v/>
      </c>
      <c r="K266" s="13">
        <f>IF(A266="","",IF(B266="","CEK id_fixture tidak ada di DAFTAR_FIXTURE",IF(I266="zona tidak ada di layout","CEK zona_no / jenis_fixture",IF(D266&lt;&gt;I266,"CEK jenis_zona",IF(E266="","Zona kosong",IF(F266="","CEK nama kosong","OK"))))))</f>
        <v/>
      </c>
    </row>
    <row r="267">
      <c r="A267" s="9" t="n"/>
      <c r="B267" s="10">
        <f>IF(A267="","",IFERROR(INDEX(DAFTAR_FIXTURE!$B$2:$B$51,MATCH(A267,DAFTAR_FIXTURE!$A$2:$A$51,0)),""))</f>
        <v/>
      </c>
      <c r="C267" s="11" t="n"/>
      <c r="D267" s="11" t="n"/>
      <c r="E267" s="12" t="n"/>
      <c r="F267" s="9" t="n"/>
      <c r="G267" s="11" t="n"/>
      <c r="H267" s="10">
        <f>IF(E267="","","https://cdn.ruparupa.io/fit-in/850x850/ruparupa-com/image/upload/Products/"&amp;E267&amp;"_1.jpg")</f>
        <v/>
      </c>
      <c r="I267" s="10">
        <f>IF(OR(B267="",C267=""),"",IFERROR(INDEX(LAYOUT!$D$2:$D$34,MATCH(B267&amp;"|"&amp;C267,LAYOUT!$E$2:$E$34,0)),"zona tidak ada di layout"))</f>
        <v/>
      </c>
      <c r="J267" s="13">
        <f>IF(OR(A267="",E267=""),"",COUNTIFS($A$2:$A$500,A267,$C$2:$C$500,C267,$E$2:$E$500,"&lt;&gt;"))</f>
        <v/>
      </c>
      <c r="K267" s="13">
        <f>IF(A267="","",IF(B267="","CEK id_fixture tidak ada di DAFTAR_FIXTURE",IF(I267="zona tidak ada di layout","CEK zona_no / jenis_fixture",IF(D267&lt;&gt;I267,"CEK jenis_zona",IF(E267="","Zona kosong",IF(F267="","CEK nama kosong","OK"))))))</f>
        <v/>
      </c>
    </row>
    <row r="268">
      <c r="A268" s="9" t="n"/>
      <c r="B268" s="10">
        <f>IF(A268="","",IFERROR(INDEX(DAFTAR_FIXTURE!$B$2:$B$51,MATCH(A268,DAFTAR_FIXTURE!$A$2:$A$51,0)),""))</f>
        <v/>
      </c>
      <c r="C268" s="11" t="n"/>
      <c r="D268" s="11" t="n"/>
      <c r="E268" s="12" t="n"/>
      <c r="F268" s="9" t="n"/>
      <c r="G268" s="11" t="n"/>
      <c r="H268" s="10">
        <f>IF(E268="","","https://cdn.ruparupa.io/fit-in/850x850/ruparupa-com/image/upload/Products/"&amp;E268&amp;"_1.jpg")</f>
        <v/>
      </c>
      <c r="I268" s="10">
        <f>IF(OR(B268="",C268=""),"",IFERROR(INDEX(LAYOUT!$D$2:$D$34,MATCH(B268&amp;"|"&amp;C268,LAYOUT!$E$2:$E$34,0)),"zona tidak ada di layout"))</f>
        <v/>
      </c>
      <c r="J268" s="13">
        <f>IF(OR(A268="",E268=""),"",COUNTIFS($A$2:$A$500,A268,$C$2:$C$500,C268,$E$2:$E$500,"&lt;&gt;"))</f>
        <v/>
      </c>
      <c r="K268" s="13">
        <f>IF(A268="","",IF(B268="","CEK id_fixture tidak ada di DAFTAR_FIXTURE",IF(I268="zona tidak ada di layout","CEK zona_no / jenis_fixture",IF(D268&lt;&gt;I268,"CEK jenis_zona",IF(E268="","Zona kosong",IF(F268="","CEK nama kosong","OK"))))))</f>
        <v/>
      </c>
    </row>
    <row r="269">
      <c r="A269" s="9" t="n"/>
      <c r="B269" s="10">
        <f>IF(A269="","",IFERROR(INDEX(DAFTAR_FIXTURE!$B$2:$B$51,MATCH(A269,DAFTAR_FIXTURE!$A$2:$A$51,0)),""))</f>
        <v/>
      </c>
      <c r="C269" s="11" t="n"/>
      <c r="D269" s="11" t="n"/>
      <c r="E269" s="12" t="n"/>
      <c r="F269" s="9" t="n"/>
      <c r="G269" s="11" t="n"/>
      <c r="H269" s="10">
        <f>IF(E269="","","https://cdn.ruparupa.io/fit-in/850x850/ruparupa-com/image/upload/Products/"&amp;E269&amp;"_1.jpg")</f>
        <v/>
      </c>
      <c r="I269" s="10">
        <f>IF(OR(B269="",C269=""),"",IFERROR(INDEX(LAYOUT!$D$2:$D$34,MATCH(B269&amp;"|"&amp;C269,LAYOUT!$E$2:$E$34,0)),"zona tidak ada di layout"))</f>
        <v/>
      </c>
      <c r="J269" s="13">
        <f>IF(OR(A269="",E269=""),"",COUNTIFS($A$2:$A$500,A269,$C$2:$C$500,C269,$E$2:$E$500,"&lt;&gt;"))</f>
        <v/>
      </c>
      <c r="K269" s="13">
        <f>IF(A269="","",IF(B269="","CEK id_fixture tidak ada di DAFTAR_FIXTURE",IF(I269="zona tidak ada di layout","CEK zona_no / jenis_fixture",IF(D269&lt;&gt;I269,"CEK jenis_zona",IF(E269="","Zona kosong",IF(F269="","CEK nama kosong","OK"))))))</f>
        <v/>
      </c>
    </row>
    <row r="270">
      <c r="A270" s="9" t="n"/>
      <c r="B270" s="10">
        <f>IF(A270="","",IFERROR(INDEX(DAFTAR_FIXTURE!$B$2:$B$51,MATCH(A270,DAFTAR_FIXTURE!$A$2:$A$51,0)),""))</f>
        <v/>
      </c>
      <c r="C270" s="11" t="n"/>
      <c r="D270" s="11" t="n"/>
      <c r="E270" s="12" t="n"/>
      <c r="F270" s="9" t="n"/>
      <c r="G270" s="11" t="n"/>
      <c r="H270" s="10">
        <f>IF(E270="","","https://cdn.ruparupa.io/fit-in/850x850/ruparupa-com/image/upload/Products/"&amp;E270&amp;"_1.jpg")</f>
        <v/>
      </c>
      <c r="I270" s="10">
        <f>IF(OR(B270="",C270=""),"",IFERROR(INDEX(LAYOUT!$D$2:$D$34,MATCH(B270&amp;"|"&amp;C270,LAYOUT!$E$2:$E$34,0)),"zona tidak ada di layout"))</f>
        <v/>
      </c>
      <c r="J270" s="13">
        <f>IF(OR(A270="",E270=""),"",COUNTIFS($A$2:$A$500,A270,$C$2:$C$500,C270,$E$2:$E$500,"&lt;&gt;"))</f>
        <v/>
      </c>
      <c r="K270" s="13">
        <f>IF(A270="","",IF(B270="","CEK id_fixture tidak ada di DAFTAR_FIXTURE",IF(I270="zona tidak ada di layout","CEK zona_no / jenis_fixture",IF(D270&lt;&gt;I270,"CEK jenis_zona",IF(E270="","Zona kosong",IF(F270="","CEK nama kosong","OK"))))))</f>
        <v/>
      </c>
    </row>
    <row r="271">
      <c r="A271" s="9" t="n"/>
      <c r="B271" s="10">
        <f>IF(A271="","",IFERROR(INDEX(DAFTAR_FIXTURE!$B$2:$B$51,MATCH(A271,DAFTAR_FIXTURE!$A$2:$A$51,0)),""))</f>
        <v/>
      </c>
      <c r="C271" s="11" t="n"/>
      <c r="D271" s="11" t="n"/>
      <c r="E271" s="12" t="n"/>
      <c r="F271" s="9" t="n"/>
      <c r="G271" s="11" t="n"/>
      <c r="H271" s="10">
        <f>IF(E271="","","https://cdn.ruparupa.io/fit-in/850x850/ruparupa-com/image/upload/Products/"&amp;E271&amp;"_1.jpg")</f>
        <v/>
      </c>
      <c r="I271" s="10">
        <f>IF(OR(B271="",C271=""),"",IFERROR(INDEX(LAYOUT!$D$2:$D$34,MATCH(B271&amp;"|"&amp;C271,LAYOUT!$E$2:$E$34,0)),"zona tidak ada di layout"))</f>
        <v/>
      </c>
      <c r="J271" s="13">
        <f>IF(OR(A271="",E271=""),"",COUNTIFS($A$2:$A$500,A271,$C$2:$C$500,C271,$E$2:$E$500,"&lt;&gt;"))</f>
        <v/>
      </c>
      <c r="K271" s="13">
        <f>IF(A271="","",IF(B271="","CEK id_fixture tidak ada di DAFTAR_FIXTURE",IF(I271="zona tidak ada di layout","CEK zona_no / jenis_fixture",IF(D271&lt;&gt;I271,"CEK jenis_zona",IF(E271="","Zona kosong",IF(F271="","CEK nama kosong","OK"))))))</f>
        <v/>
      </c>
    </row>
    <row r="272">
      <c r="A272" s="9" t="n"/>
      <c r="B272" s="10">
        <f>IF(A272="","",IFERROR(INDEX(DAFTAR_FIXTURE!$B$2:$B$51,MATCH(A272,DAFTAR_FIXTURE!$A$2:$A$51,0)),""))</f>
        <v/>
      </c>
      <c r="C272" s="11" t="n"/>
      <c r="D272" s="11" t="n"/>
      <c r="E272" s="12" t="n"/>
      <c r="F272" s="9" t="n"/>
      <c r="G272" s="11" t="n"/>
      <c r="H272" s="10">
        <f>IF(E272="","","https://cdn.ruparupa.io/fit-in/850x850/ruparupa-com/image/upload/Products/"&amp;E272&amp;"_1.jpg")</f>
        <v/>
      </c>
      <c r="I272" s="10">
        <f>IF(OR(B272="",C272=""),"",IFERROR(INDEX(LAYOUT!$D$2:$D$34,MATCH(B272&amp;"|"&amp;C272,LAYOUT!$E$2:$E$34,0)),"zona tidak ada di layout"))</f>
        <v/>
      </c>
      <c r="J272" s="13">
        <f>IF(OR(A272="",E272=""),"",COUNTIFS($A$2:$A$500,A272,$C$2:$C$500,C272,$E$2:$E$500,"&lt;&gt;"))</f>
        <v/>
      </c>
      <c r="K272" s="13">
        <f>IF(A272="","",IF(B272="","CEK id_fixture tidak ada di DAFTAR_FIXTURE",IF(I272="zona tidak ada di layout","CEK zona_no / jenis_fixture",IF(D272&lt;&gt;I272,"CEK jenis_zona",IF(E272="","Zona kosong",IF(F272="","CEK nama kosong","OK"))))))</f>
        <v/>
      </c>
    </row>
    <row r="273">
      <c r="A273" s="9" t="n"/>
      <c r="B273" s="10">
        <f>IF(A273="","",IFERROR(INDEX(DAFTAR_FIXTURE!$B$2:$B$51,MATCH(A273,DAFTAR_FIXTURE!$A$2:$A$51,0)),""))</f>
        <v/>
      </c>
      <c r="C273" s="11" t="n"/>
      <c r="D273" s="11" t="n"/>
      <c r="E273" s="12" t="n"/>
      <c r="F273" s="9" t="n"/>
      <c r="G273" s="11" t="n"/>
      <c r="H273" s="10">
        <f>IF(E273="","","https://cdn.ruparupa.io/fit-in/850x850/ruparupa-com/image/upload/Products/"&amp;E273&amp;"_1.jpg")</f>
        <v/>
      </c>
      <c r="I273" s="10">
        <f>IF(OR(B273="",C273=""),"",IFERROR(INDEX(LAYOUT!$D$2:$D$34,MATCH(B273&amp;"|"&amp;C273,LAYOUT!$E$2:$E$34,0)),"zona tidak ada di layout"))</f>
        <v/>
      </c>
      <c r="J273" s="13">
        <f>IF(OR(A273="",E273=""),"",COUNTIFS($A$2:$A$500,A273,$C$2:$C$500,C273,$E$2:$E$500,"&lt;&gt;"))</f>
        <v/>
      </c>
      <c r="K273" s="13">
        <f>IF(A273="","",IF(B273="","CEK id_fixture tidak ada di DAFTAR_FIXTURE",IF(I273="zona tidak ada di layout","CEK zona_no / jenis_fixture",IF(D273&lt;&gt;I273,"CEK jenis_zona",IF(E273="","Zona kosong",IF(F273="","CEK nama kosong","OK"))))))</f>
        <v/>
      </c>
    </row>
    <row r="274">
      <c r="A274" s="9" t="n"/>
      <c r="B274" s="10">
        <f>IF(A274="","",IFERROR(INDEX(DAFTAR_FIXTURE!$B$2:$B$51,MATCH(A274,DAFTAR_FIXTURE!$A$2:$A$51,0)),""))</f>
        <v/>
      </c>
      <c r="C274" s="11" t="n"/>
      <c r="D274" s="11" t="n"/>
      <c r="E274" s="12" t="n"/>
      <c r="F274" s="9" t="n"/>
      <c r="G274" s="11" t="n"/>
      <c r="H274" s="10">
        <f>IF(E274="","","https://cdn.ruparupa.io/fit-in/850x850/ruparupa-com/image/upload/Products/"&amp;E274&amp;"_1.jpg")</f>
        <v/>
      </c>
      <c r="I274" s="10">
        <f>IF(OR(B274="",C274=""),"",IFERROR(INDEX(LAYOUT!$D$2:$D$34,MATCH(B274&amp;"|"&amp;C274,LAYOUT!$E$2:$E$34,0)),"zona tidak ada di layout"))</f>
        <v/>
      </c>
      <c r="J274" s="13">
        <f>IF(OR(A274="",E274=""),"",COUNTIFS($A$2:$A$500,A274,$C$2:$C$500,C274,$E$2:$E$500,"&lt;&gt;"))</f>
        <v/>
      </c>
      <c r="K274" s="13">
        <f>IF(A274="","",IF(B274="","CEK id_fixture tidak ada di DAFTAR_FIXTURE",IF(I274="zona tidak ada di layout","CEK zona_no / jenis_fixture",IF(D274&lt;&gt;I274,"CEK jenis_zona",IF(E274="","Zona kosong",IF(F274="","CEK nama kosong","OK"))))))</f>
        <v/>
      </c>
    </row>
    <row r="275">
      <c r="A275" s="9" t="n"/>
      <c r="B275" s="10">
        <f>IF(A275="","",IFERROR(INDEX(DAFTAR_FIXTURE!$B$2:$B$51,MATCH(A275,DAFTAR_FIXTURE!$A$2:$A$51,0)),""))</f>
        <v/>
      </c>
      <c r="C275" s="11" t="n"/>
      <c r="D275" s="11" t="n"/>
      <c r="E275" s="12" t="n"/>
      <c r="F275" s="9" t="n"/>
      <c r="G275" s="11" t="n"/>
      <c r="H275" s="10">
        <f>IF(E275="","","https://cdn.ruparupa.io/fit-in/850x850/ruparupa-com/image/upload/Products/"&amp;E275&amp;"_1.jpg")</f>
        <v/>
      </c>
      <c r="I275" s="10">
        <f>IF(OR(B275="",C275=""),"",IFERROR(INDEX(LAYOUT!$D$2:$D$34,MATCH(B275&amp;"|"&amp;C275,LAYOUT!$E$2:$E$34,0)),"zona tidak ada di layout"))</f>
        <v/>
      </c>
      <c r="J275" s="13">
        <f>IF(OR(A275="",E275=""),"",COUNTIFS($A$2:$A$500,A275,$C$2:$C$500,C275,$E$2:$E$500,"&lt;&gt;"))</f>
        <v/>
      </c>
      <c r="K275" s="13">
        <f>IF(A275="","",IF(B275="","CEK id_fixture tidak ada di DAFTAR_FIXTURE",IF(I275="zona tidak ada di layout","CEK zona_no / jenis_fixture",IF(D275&lt;&gt;I275,"CEK jenis_zona",IF(E275="","Zona kosong",IF(F275="","CEK nama kosong","OK"))))))</f>
        <v/>
      </c>
    </row>
    <row r="276">
      <c r="A276" s="9" t="n"/>
      <c r="B276" s="10">
        <f>IF(A276="","",IFERROR(INDEX(DAFTAR_FIXTURE!$B$2:$B$51,MATCH(A276,DAFTAR_FIXTURE!$A$2:$A$51,0)),""))</f>
        <v/>
      </c>
      <c r="C276" s="11" t="n"/>
      <c r="D276" s="11" t="n"/>
      <c r="E276" s="12" t="n"/>
      <c r="F276" s="9" t="n"/>
      <c r="G276" s="11" t="n"/>
      <c r="H276" s="10">
        <f>IF(E276="","","https://cdn.ruparupa.io/fit-in/850x850/ruparupa-com/image/upload/Products/"&amp;E276&amp;"_1.jpg")</f>
        <v/>
      </c>
      <c r="I276" s="10">
        <f>IF(OR(B276="",C276=""),"",IFERROR(INDEX(LAYOUT!$D$2:$D$34,MATCH(B276&amp;"|"&amp;C276,LAYOUT!$E$2:$E$34,0)),"zona tidak ada di layout"))</f>
        <v/>
      </c>
      <c r="J276" s="13">
        <f>IF(OR(A276="",E276=""),"",COUNTIFS($A$2:$A$500,A276,$C$2:$C$500,C276,$E$2:$E$500,"&lt;&gt;"))</f>
        <v/>
      </c>
      <c r="K276" s="13">
        <f>IF(A276="","",IF(B276="","CEK id_fixture tidak ada di DAFTAR_FIXTURE",IF(I276="zona tidak ada di layout","CEK zona_no / jenis_fixture",IF(D276&lt;&gt;I276,"CEK jenis_zona",IF(E276="","Zona kosong",IF(F276="","CEK nama kosong","OK"))))))</f>
        <v/>
      </c>
    </row>
    <row r="277">
      <c r="A277" s="9" t="n"/>
      <c r="B277" s="10">
        <f>IF(A277="","",IFERROR(INDEX(DAFTAR_FIXTURE!$B$2:$B$51,MATCH(A277,DAFTAR_FIXTURE!$A$2:$A$51,0)),""))</f>
        <v/>
      </c>
      <c r="C277" s="11" t="n"/>
      <c r="D277" s="11" t="n"/>
      <c r="E277" s="12" t="n"/>
      <c r="F277" s="9" t="n"/>
      <c r="G277" s="11" t="n"/>
      <c r="H277" s="10">
        <f>IF(E277="","","https://cdn.ruparupa.io/fit-in/850x850/ruparupa-com/image/upload/Products/"&amp;E277&amp;"_1.jpg")</f>
        <v/>
      </c>
      <c r="I277" s="10">
        <f>IF(OR(B277="",C277=""),"",IFERROR(INDEX(LAYOUT!$D$2:$D$34,MATCH(B277&amp;"|"&amp;C277,LAYOUT!$E$2:$E$34,0)),"zona tidak ada di layout"))</f>
        <v/>
      </c>
      <c r="J277" s="13">
        <f>IF(OR(A277="",E277=""),"",COUNTIFS($A$2:$A$500,A277,$C$2:$C$500,C277,$E$2:$E$500,"&lt;&gt;"))</f>
        <v/>
      </c>
      <c r="K277" s="13">
        <f>IF(A277="","",IF(B277="","CEK id_fixture tidak ada di DAFTAR_FIXTURE",IF(I277="zona tidak ada di layout","CEK zona_no / jenis_fixture",IF(D277&lt;&gt;I277,"CEK jenis_zona",IF(E277="","Zona kosong",IF(F277="","CEK nama kosong","OK"))))))</f>
        <v/>
      </c>
    </row>
    <row r="278">
      <c r="A278" s="9" t="n"/>
      <c r="B278" s="10">
        <f>IF(A278="","",IFERROR(INDEX(DAFTAR_FIXTURE!$B$2:$B$51,MATCH(A278,DAFTAR_FIXTURE!$A$2:$A$51,0)),""))</f>
        <v/>
      </c>
      <c r="C278" s="11" t="n"/>
      <c r="D278" s="11" t="n"/>
      <c r="E278" s="12" t="n"/>
      <c r="F278" s="9" t="n"/>
      <c r="G278" s="11" t="n"/>
      <c r="H278" s="10">
        <f>IF(E278="","","https://cdn.ruparupa.io/fit-in/850x850/ruparupa-com/image/upload/Products/"&amp;E278&amp;"_1.jpg")</f>
        <v/>
      </c>
      <c r="I278" s="10">
        <f>IF(OR(B278="",C278=""),"",IFERROR(INDEX(LAYOUT!$D$2:$D$34,MATCH(B278&amp;"|"&amp;C278,LAYOUT!$E$2:$E$34,0)),"zona tidak ada di layout"))</f>
        <v/>
      </c>
      <c r="J278" s="13">
        <f>IF(OR(A278="",E278=""),"",COUNTIFS($A$2:$A$500,A278,$C$2:$C$500,C278,$E$2:$E$500,"&lt;&gt;"))</f>
        <v/>
      </c>
      <c r="K278" s="13">
        <f>IF(A278="","",IF(B278="","CEK id_fixture tidak ada di DAFTAR_FIXTURE",IF(I278="zona tidak ada di layout","CEK zona_no / jenis_fixture",IF(D278&lt;&gt;I278,"CEK jenis_zona",IF(E278="","Zona kosong",IF(F278="","CEK nama kosong","OK"))))))</f>
        <v/>
      </c>
    </row>
    <row r="279">
      <c r="A279" s="9" t="n"/>
      <c r="B279" s="10">
        <f>IF(A279="","",IFERROR(INDEX(DAFTAR_FIXTURE!$B$2:$B$51,MATCH(A279,DAFTAR_FIXTURE!$A$2:$A$51,0)),""))</f>
        <v/>
      </c>
      <c r="C279" s="11" t="n"/>
      <c r="D279" s="11" t="n"/>
      <c r="E279" s="12" t="n"/>
      <c r="F279" s="9" t="n"/>
      <c r="G279" s="11" t="n"/>
      <c r="H279" s="10">
        <f>IF(E279="","","https://cdn.ruparupa.io/fit-in/850x850/ruparupa-com/image/upload/Products/"&amp;E279&amp;"_1.jpg")</f>
        <v/>
      </c>
      <c r="I279" s="10">
        <f>IF(OR(B279="",C279=""),"",IFERROR(INDEX(LAYOUT!$D$2:$D$34,MATCH(B279&amp;"|"&amp;C279,LAYOUT!$E$2:$E$34,0)),"zona tidak ada di layout"))</f>
        <v/>
      </c>
      <c r="J279" s="13">
        <f>IF(OR(A279="",E279=""),"",COUNTIFS($A$2:$A$500,A279,$C$2:$C$500,C279,$E$2:$E$500,"&lt;&gt;"))</f>
        <v/>
      </c>
      <c r="K279" s="13">
        <f>IF(A279="","",IF(B279="","CEK id_fixture tidak ada di DAFTAR_FIXTURE",IF(I279="zona tidak ada di layout","CEK zona_no / jenis_fixture",IF(D279&lt;&gt;I279,"CEK jenis_zona",IF(E279="","Zona kosong",IF(F279="","CEK nama kosong","OK"))))))</f>
        <v/>
      </c>
    </row>
    <row r="280">
      <c r="A280" s="9" t="n"/>
      <c r="B280" s="10">
        <f>IF(A280="","",IFERROR(INDEX(DAFTAR_FIXTURE!$B$2:$B$51,MATCH(A280,DAFTAR_FIXTURE!$A$2:$A$51,0)),""))</f>
        <v/>
      </c>
      <c r="C280" s="11" t="n"/>
      <c r="D280" s="11" t="n"/>
      <c r="E280" s="12" t="n"/>
      <c r="F280" s="9" t="n"/>
      <c r="G280" s="11" t="n"/>
      <c r="H280" s="10">
        <f>IF(E280="","","https://cdn.ruparupa.io/fit-in/850x850/ruparupa-com/image/upload/Products/"&amp;E280&amp;"_1.jpg")</f>
        <v/>
      </c>
      <c r="I280" s="10">
        <f>IF(OR(B280="",C280=""),"",IFERROR(INDEX(LAYOUT!$D$2:$D$34,MATCH(B280&amp;"|"&amp;C280,LAYOUT!$E$2:$E$34,0)),"zona tidak ada di layout"))</f>
        <v/>
      </c>
      <c r="J280" s="13">
        <f>IF(OR(A280="",E280=""),"",COUNTIFS($A$2:$A$500,A280,$C$2:$C$500,C280,$E$2:$E$500,"&lt;&gt;"))</f>
        <v/>
      </c>
      <c r="K280" s="13">
        <f>IF(A280="","",IF(B280="","CEK id_fixture tidak ada di DAFTAR_FIXTURE",IF(I280="zona tidak ada di layout","CEK zona_no / jenis_fixture",IF(D280&lt;&gt;I280,"CEK jenis_zona",IF(E280="","Zona kosong",IF(F280="","CEK nama kosong","OK"))))))</f>
        <v/>
      </c>
    </row>
    <row r="281">
      <c r="A281" s="9" t="n"/>
      <c r="B281" s="10">
        <f>IF(A281="","",IFERROR(INDEX(DAFTAR_FIXTURE!$B$2:$B$51,MATCH(A281,DAFTAR_FIXTURE!$A$2:$A$51,0)),""))</f>
        <v/>
      </c>
      <c r="C281" s="11" t="n"/>
      <c r="D281" s="11" t="n"/>
      <c r="E281" s="12" t="n"/>
      <c r="F281" s="9" t="n"/>
      <c r="G281" s="11" t="n"/>
      <c r="H281" s="10">
        <f>IF(E281="","","https://cdn.ruparupa.io/fit-in/850x850/ruparupa-com/image/upload/Products/"&amp;E281&amp;"_1.jpg")</f>
        <v/>
      </c>
      <c r="I281" s="10">
        <f>IF(OR(B281="",C281=""),"",IFERROR(INDEX(LAYOUT!$D$2:$D$34,MATCH(B281&amp;"|"&amp;C281,LAYOUT!$E$2:$E$34,0)),"zona tidak ada di layout"))</f>
        <v/>
      </c>
      <c r="J281" s="13">
        <f>IF(OR(A281="",E281=""),"",COUNTIFS($A$2:$A$500,A281,$C$2:$C$500,C281,$E$2:$E$500,"&lt;&gt;"))</f>
        <v/>
      </c>
      <c r="K281" s="13">
        <f>IF(A281="","",IF(B281="","CEK id_fixture tidak ada di DAFTAR_FIXTURE",IF(I281="zona tidak ada di layout","CEK zona_no / jenis_fixture",IF(D281&lt;&gt;I281,"CEK jenis_zona",IF(E281="","Zona kosong",IF(F281="","CEK nama kosong","OK"))))))</f>
        <v/>
      </c>
    </row>
    <row r="282">
      <c r="A282" s="9" t="n"/>
      <c r="B282" s="10">
        <f>IF(A282="","",IFERROR(INDEX(DAFTAR_FIXTURE!$B$2:$B$51,MATCH(A282,DAFTAR_FIXTURE!$A$2:$A$51,0)),""))</f>
        <v/>
      </c>
      <c r="C282" s="11" t="n"/>
      <c r="D282" s="11" t="n"/>
      <c r="E282" s="12" t="n"/>
      <c r="F282" s="9" t="n"/>
      <c r="G282" s="11" t="n"/>
      <c r="H282" s="10">
        <f>IF(E282="","","https://cdn.ruparupa.io/fit-in/850x850/ruparupa-com/image/upload/Products/"&amp;E282&amp;"_1.jpg")</f>
        <v/>
      </c>
      <c r="I282" s="10">
        <f>IF(OR(B282="",C282=""),"",IFERROR(INDEX(LAYOUT!$D$2:$D$34,MATCH(B282&amp;"|"&amp;C282,LAYOUT!$E$2:$E$34,0)),"zona tidak ada di layout"))</f>
        <v/>
      </c>
      <c r="J282" s="13">
        <f>IF(OR(A282="",E282=""),"",COUNTIFS($A$2:$A$500,A282,$C$2:$C$500,C282,$E$2:$E$500,"&lt;&gt;"))</f>
        <v/>
      </c>
      <c r="K282" s="13">
        <f>IF(A282="","",IF(B282="","CEK id_fixture tidak ada di DAFTAR_FIXTURE",IF(I282="zona tidak ada di layout","CEK zona_no / jenis_fixture",IF(D282&lt;&gt;I282,"CEK jenis_zona",IF(E282="","Zona kosong",IF(F282="","CEK nama kosong","OK"))))))</f>
        <v/>
      </c>
    </row>
    <row r="283">
      <c r="A283" s="9" t="n"/>
      <c r="B283" s="10">
        <f>IF(A283="","",IFERROR(INDEX(DAFTAR_FIXTURE!$B$2:$B$51,MATCH(A283,DAFTAR_FIXTURE!$A$2:$A$51,0)),""))</f>
        <v/>
      </c>
      <c r="C283" s="11" t="n"/>
      <c r="D283" s="11" t="n"/>
      <c r="E283" s="12" t="n"/>
      <c r="F283" s="9" t="n"/>
      <c r="G283" s="11" t="n"/>
      <c r="H283" s="10">
        <f>IF(E283="","","https://cdn.ruparupa.io/fit-in/850x850/ruparupa-com/image/upload/Products/"&amp;E283&amp;"_1.jpg")</f>
        <v/>
      </c>
      <c r="I283" s="10">
        <f>IF(OR(B283="",C283=""),"",IFERROR(INDEX(LAYOUT!$D$2:$D$34,MATCH(B283&amp;"|"&amp;C283,LAYOUT!$E$2:$E$34,0)),"zona tidak ada di layout"))</f>
        <v/>
      </c>
      <c r="J283" s="13">
        <f>IF(OR(A283="",E283=""),"",COUNTIFS($A$2:$A$500,A283,$C$2:$C$500,C283,$E$2:$E$500,"&lt;&gt;"))</f>
        <v/>
      </c>
      <c r="K283" s="13">
        <f>IF(A283="","",IF(B283="","CEK id_fixture tidak ada di DAFTAR_FIXTURE",IF(I283="zona tidak ada di layout","CEK zona_no / jenis_fixture",IF(D283&lt;&gt;I283,"CEK jenis_zona",IF(E283="","Zona kosong",IF(F283="","CEK nama kosong","OK"))))))</f>
        <v/>
      </c>
    </row>
    <row r="284">
      <c r="A284" s="9" t="n"/>
      <c r="B284" s="10">
        <f>IF(A284="","",IFERROR(INDEX(DAFTAR_FIXTURE!$B$2:$B$51,MATCH(A284,DAFTAR_FIXTURE!$A$2:$A$51,0)),""))</f>
        <v/>
      </c>
      <c r="C284" s="11" t="n"/>
      <c r="D284" s="11" t="n"/>
      <c r="E284" s="12" t="n"/>
      <c r="F284" s="9" t="n"/>
      <c r="G284" s="11" t="n"/>
      <c r="H284" s="10">
        <f>IF(E284="","","https://cdn.ruparupa.io/fit-in/850x850/ruparupa-com/image/upload/Products/"&amp;E284&amp;"_1.jpg")</f>
        <v/>
      </c>
      <c r="I284" s="10">
        <f>IF(OR(B284="",C284=""),"",IFERROR(INDEX(LAYOUT!$D$2:$D$34,MATCH(B284&amp;"|"&amp;C284,LAYOUT!$E$2:$E$34,0)),"zona tidak ada di layout"))</f>
        <v/>
      </c>
      <c r="J284" s="13">
        <f>IF(OR(A284="",E284=""),"",COUNTIFS($A$2:$A$500,A284,$C$2:$C$500,C284,$E$2:$E$500,"&lt;&gt;"))</f>
        <v/>
      </c>
      <c r="K284" s="13">
        <f>IF(A284="","",IF(B284="","CEK id_fixture tidak ada di DAFTAR_FIXTURE",IF(I284="zona tidak ada di layout","CEK zona_no / jenis_fixture",IF(D284&lt;&gt;I284,"CEK jenis_zona",IF(E284="","Zona kosong",IF(F284="","CEK nama kosong","OK"))))))</f>
        <v/>
      </c>
    </row>
    <row r="285">
      <c r="A285" s="9" t="n"/>
      <c r="B285" s="10">
        <f>IF(A285="","",IFERROR(INDEX(DAFTAR_FIXTURE!$B$2:$B$51,MATCH(A285,DAFTAR_FIXTURE!$A$2:$A$51,0)),""))</f>
        <v/>
      </c>
      <c r="C285" s="11" t="n"/>
      <c r="D285" s="11" t="n"/>
      <c r="E285" s="12" t="n"/>
      <c r="F285" s="9" t="n"/>
      <c r="G285" s="11" t="n"/>
      <c r="H285" s="10">
        <f>IF(E285="","","https://cdn.ruparupa.io/fit-in/850x850/ruparupa-com/image/upload/Products/"&amp;E285&amp;"_1.jpg")</f>
        <v/>
      </c>
      <c r="I285" s="10">
        <f>IF(OR(B285="",C285=""),"",IFERROR(INDEX(LAYOUT!$D$2:$D$34,MATCH(B285&amp;"|"&amp;C285,LAYOUT!$E$2:$E$34,0)),"zona tidak ada di layout"))</f>
        <v/>
      </c>
      <c r="J285" s="13">
        <f>IF(OR(A285="",E285=""),"",COUNTIFS($A$2:$A$500,A285,$C$2:$C$500,C285,$E$2:$E$500,"&lt;&gt;"))</f>
        <v/>
      </c>
      <c r="K285" s="13">
        <f>IF(A285="","",IF(B285="","CEK id_fixture tidak ada di DAFTAR_FIXTURE",IF(I285="zona tidak ada di layout","CEK zona_no / jenis_fixture",IF(D285&lt;&gt;I285,"CEK jenis_zona",IF(E285="","Zona kosong",IF(F285="","CEK nama kosong","OK"))))))</f>
        <v/>
      </c>
    </row>
    <row r="286">
      <c r="A286" s="9" t="n"/>
      <c r="B286" s="10">
        <f>IF(A286="","",IFERROR(INDEX(DAFTAR_FIXTURE!$B$2:$B$51,MATCH(A286,DAFTAR_FIXTURE!$A$2:$A$51,0)),""))</f>
        <v/>
      </c>
      <c r="C286" s="11" t="n"/>
      <c r="D286" s="11" t="n"/>
      <c r="E286" s="12" t="n"/>
      <c r="F286" s="9" t="n"/>
      <c r="G286" s="11" t="n"/>
      <c r="H286" s="10">
        <f>IF(E286="","","https://cdn.ruparupa.io/fit-in/850x850/ruparupa-com/image/upload/Products/"&amp;E286&amp;"_1.jpg")</f>
        <v/>
      </c>
      <c r="I286" s="10">
        <f>IF(OR(B286="",C286=""),"",IFERROR(INDEX(LAYOUT!$D$2:$D$34,MATCH(B286&amp;"|"&amp;C286,LAYOUT!$E$2:$E$34,0)),"zona tidak ada di layout"))</f>
        <v/>
      </c>
      <c r="J286" s="13">
        <f>IF(OR(A286="",E286=""),"",COUNTIFS($A$2:$A$500,A286,$C$2:$C$500,C286,$E$2:$E$500,"&lt;&gt;"))</f>
        <v/>
      </c>
      <c r="K286" s="13">
        <f>IF(A286="","",IF(B286="","CEK id_fixture tidak ada di DAFTAR_FIXTURE",IF(I286="zona tidak ada di layout","CEK zona_no / jenis_fixture",IF(D286&lt;&gt;I286,"CEK jenis_zona",IF(E286="","Zona kosong",IF(F286="","CEK nama kosong","OK"))))))</f>
        <v/>
      </c>
    </row>
    <row r="287">
      <c r="A287" s="9" t="n"/>
      <c r="B287" s="10">
        <f>IF(A287="","",IFERROR(INDEX(DAFTAR_FIXTURE!$B$2:$B$51,MATCH(A287,DAFTAR_FIXTURE!$A$2:$A$51,0)),""))</f>
        <v/>
      </c>
      <c r="C287" s="11" t="n"/>
      <c r="D287" s="11" t="n"/>
      <c r="E287" s="12" t="n"/>
      <c r="F287" s="9" t="n"/>
      <c r="G287" s="11" t="n"/>
      <c r="H287" s="10">
        <f>IF(E287="","","https://cdn.ruparupa.io/fit-in/850x850/ruparupa-com/image/upload/Products/"&amp;E287&amp;"_1.jpg")</f>
        <v/>
      </c>
      <c r="I287" s="10">
        <f>IF(OR(B287="",C287=""),"",IFERROR(INDEX(LAYOUT!$D$2:$D$34,MATCH(B287&amp;"|"&amp;C287,LAYOUT!$E$2:$E$34,0)),"zona tidak ada di layout"))</f>
        <v/>
      </c>
      <c r="J287" s="13">
        <f>IF(OR(A287="",E287=""),"",COUNTIFS($A$2:$A$500,A287,$C$2:$C$500,C287,$E$2:$E$500,"&lt;&gt;"))</f>
        <v/>
      </c>
      <c r="K287" s="13">
        <f>IF(A287="","",IF(B287="","CEK id_fixture tidak ada di DAFTAR_FIXTURE",IF(I287="zona tidak ada di layout","CEK zona_no / jenis_fixture",IF(D287&lt;&gt;I287,"CEK jenis_zona",IF(E287="","Zona kosong",IF(F287="","CEK nama kosong","OK"))))))</f>
        <v/>
      </c>
    </row>
    <row r="288">
      <c r="A288" s="9" t="n"/>
      <c r="B288" s="10">
        <f>IF(A288="","",IFERROR(INDEX(DAFTAR_FIXTURE!$B$2:$B$51,MATCH(A288,DAFTAR_FIXTURE!$A$2:$A$51,0)),""))</f>
        <v/>
      </c>
      <c r="C288" s="11" t="n"/>
      <c r="D288" s="11" t="n"/>
      <c r="E288" s="12" t="n"/>
      <c r="F288" s="9" t="n"/>
      <c r="G288" s="11" t="n"/>
      <c r="H288" s="10">
        <f>IF(E288="","","https://cdn.ruparupa.io/fit-in/850x850/ruparupa-com/image/upload/Products/"&amp;E288&amp;"_1.jpg")</f>
        <v/>
      </c>
      <c r="I288" s="10">
        <f>IF(OR(B288="",C288=""),"",IFERROR(INDEX(LAYOUT!$D$2:$D$34,MATCH(B288&amp;"|"&amp;C288,LAYOUT!$E$2:$E$34,0)),"zona tidak ada di layout"))</f>
        <v/>
      </c>
      <c r="J288" s="13">
        <f>IF(OR(A288="",E288=""),"",COUNTIFS($A$2:$A$500,A288,$C$2:$C$500,C288,$E$2:$E$500,"&lt;&gt;"))</f>
        <v/>
      </c>
      <c r="K288" s="13">
        <f>IF(A288="","",IF(B288="","CEK id_fixture tidak ada di DAFTAR_FIXTURE",IF(I288="zona tidak ada di layout","CEK zona_no / jenis_fixture",IF(D288&lt;&gt;I288,"CEK jenis_zona",IF(E288="","Zona kosong",IF(F288="","CEK nama kosong","OK"))))))</f>
        <v/>
      </c>
    </row>
    <row r="289">
      <c r="A289" s="9" t="n"/>
      <c r="B289" s="10">
        <f>IF(A289="","",IFERROR(INDEX(DAFTAR_FIXTURE!$B$2:$B$51,MATCH(A289,DAFTAR_FIXTURE!$A$2:$A$51,0)),""))</f>
        <v/>
      </c>
      <c r="C289" s="11" t="n"/>
      <c r="D289" s="11" t="n"/>
      <c r="E289" s="12" t="n"/>
      <c r="F289" s="9" t="n"/>
      <c r="G289" s="11" t="n"/>
      <c r="H289" s="10">
        <f>IF(E289="","","https://cdn.ruparupa.io/fit-in/850x850/ruparupa-com/image/upload/Products/"&amp;E289&amp;"_1.jpg")</f>
        <v/>
      </c>
      <c r="I289" s="10">
        <f>IF(OR(B289="",C289=""),"",IFERROR(INDEX(LAYOUT!$D$2:$D$34,MATCH(B289&amp;"|"&amp;C289,LAYOUT!$E$2:$E$34,0)),"zona tidak ada di layout"))</f>
        <v/>
      </c>
      <c r="J289" s="13">
        <f>IF(OR(A289="",E289=""),"",COUNTIFS($A$2:$A$500,A289,$C$2:$C$500,C289,$E$2:$E$500,"&lt;&gt;"))</f>
        <v/>
      </c>
      <c r="K289" s="13">
        <f>IF(A289="","",IF(B289="","CEK id_fixture tidak ada di DAFTAR_FIXTURE",IF(I289="zona tidak ada di layout","CEK zona_no / jenis_fixture",IF(D289&lt;&gt;I289,"CEK jenis_zona",IF(E289="","Zona kosong",IF(F289="","CEK nama kosong","OK"))))))</f>
        <v/>
      </c>
    </row>
    <row r="290">
      <c r="A290" s="9" t="n"/>
      <c r="B290" s="10">
        <f>IF(A290="","",IFERROR(INDEX(DAFTAR_FIXTURE!$B$2:$B$51,MATCH(A290,DAFTAR_FIXTURE!$A$2:$A$51,0)),""))</f>
        <v/>
      </c>
      <c r="C290" s="11" t="n"/>
      <c r="D290" s="11" t="n"/>
      <c r="E290" s="12" t="n"/>
      <c r="F290" s="9" t="n"/>
      <c r="G290" s="11" t="n"/>
      <c r="H290" s="10">
        <f>IF(E290="","","https://cdn.ruparupa.io/fit-in/850x850/ruparupa-com/image/upload/Products/"&amp;E290&amp;"_1.jpg")</f>
        <v/>
      </c>
      <c r="I290" s="10">
        <f>IF(OR(B290="",C290=""),"",IFERROR(INDEX(LAYOUT!$D$2:$D$34,MATCH(B290&amp;"|"&amp;C290,LAYOUT!$E$2:$E$34,0)),"zona tidak ada di layout"))</f>
        <v/>
      </c>
      <c r="J290" s="13">
        <f>IF(OR(A290="",E290=""),"",COUNTIFS($A$2:$A$500,A290,$C$2:$C$500,C290,$E$2:$E$500,"&lt;&gt;"))</f>
        <v/>
      </c>
      <c r="K290" s="13">
        <f>IF(A290="","",IF(B290="","CEK id_fixture tidak ada di DAFTAR_FIXTURE",IF(I290="zona tidak ada di layout","CEK zona_no / jenis_fixture",IF(D290&lt;&gt;I290,"CEK jenis_zona",IF(E290="","Zona kosong",IF(F290="","CEK nama kosong","OK"))))))</f>
        <v/>
      </c>
    </row>
    <row r="291">
      <c r="A291" s="9" t="n"/>
      <c r="B291" s="10">
        <f>IF(A291="","",IFERROR(INDEX(DAFTAR_FIXTURE!$B$2:$B$51,MATCH(A291,DAFTAR_FIXTURE!$A$2:$A$51,0)),""))</f>
        <v/>
      </c>
      <c r="C291" s="11" t="n"/>
      <c r="D291" s="11" t="n"/>
      <c r="E291" s="12" t="n"/>
      <c r="F291" s="9" t="n"/>
      <c r="G291" s="11" t="n"/>
      <c r="H291" s="10">
        <f>IF(E291="","","https://cdn.ruparupa.io/fit-in/850x850/ruparupa-com/image/upload/Products/"&amp;E291&amp;"_1.jpg")</f>
        <v/>
      </c>
      <c r="I291" s="10">
        <f>IF(OR(B291="",C291=""),"",IFERROR(INDEX(LAYOUT!$D$2:$D$34,MATCH(B291&amp;"|"&amp;C291,LAYOUT!$E$2:$E$34,0)),"zona tidak ada di layout"))</f>
        <v/>
      </c>
      <c r="J291" s="13">
        <f>IF(OR(A291="",E291=""),"",COUNTIFS($A$2:$A$500,A291,$C$2:$C$500,C291,$E$2:$E$500,"&lt;&gt;"))</f>
        <v/>
      </c>
      <c r="K291" s="13">
        <f>IF(A291="","",IF(B291="","CEK id_fixture tidak ada di DAFTAR_FIXTURE",IF(I291="zona tidak ada di layout","CEK zona_no / jenis_fixture",IF(D291&lt;&gt;I291,"CEK jenis_zona",IF(E291="","Zona kosong",IF(F291="","CEK nama kosong","OK"))))))</f>
        <v/>
      </c>
    </row>
    <row r="292">
      <c r="A292" s="9" t="n"/>
      <c r="B292" s="10">
        <f>IF(A292="","",IFERROR(INDEX(DAFTAR_FIXTURE!$B$2:$B$51,MATCH(A292,DAFTAR_FIXTURE!$A$2:$A$51,0)),""))</f>
        <v/>
      </c>
      <c r="C292" s="11" t="n"/>
      <c r="D292" s="11" t="n"/>
      <c r="E292" s="12" t="n"/>
      <c r="F292" s="9" t="n"/>
      <c r="G292" s="11" t="n"/>
      <c r="H292" s="10">
        <f>IF(E292="","","https://cdn.ruparupa.io/fit-in/850x850/ruparupa-com/image/upload/Products/"&amp;E292&amp;"_1.jpg")</f>
        <v/>
      </c>
      <c r="I292" s="10">
        <f>IF(OR(B292="",C292=""),"",IFERROR(INDEX(LAYOUT!$D$2:$D$34,MATCH(B292&amp;"|"&amp;C292,LAYOUT!$E$2:$E$34,0)),"zona tidak ada di layout"))</f>
        <v/>
      </c>
      <c r="J292" s="13">
        <f>IF(OR(A292="",E292=""),"",COUNTIFS($A$2:$A$500,A292,$C$2:$C$500,C292,$E$2:$E$500,"&lt;&gt;"))</f>
        <v/>
      </c>
      <c r="K292" s="13">
        <f>IF(A292="","",IF(B292="","CEK id_fixture tidak ada di DAFTAR_FIXTURE",IF(I292="zona tidak ada di layout","CEK zona_no / jenis_fixture",IF(D292&lt;&gt;I292,"CEK jenis_zona",IF(E292="","Zona kosong",IF(F292="","CEK nama kosong","OK"))))))</f>
        <v/>
      </c>
    </row>
    <row r="293">
      <c r="A293" s="9" t="n"/>
      <c r="B293" s="10">
        <f>IF(A293="","",IFERROR(INDEX(DAFTAR_FIXTURE!$B$2:$B$51,MATCH(A293,DAFTAR_FIXTURE!$A$2:$A$51,0)),""))</f>
        <v/>
      </c>
      <c r="C293" s="11" t="n"/>
      <c r="D293" s="11" t="n"/>
      <c r="E293" s="12" t="n"/>
      <c r="F293" s="9" t="n"/>
      <c r="G293" s="11" t="n"/>
      <c r="H293" s="10">
        <f>IF(E293="","","https://cdn.ruparupa.io/fit-in/850x850/ruparupa-com/image/upload/Products/"&amp;E293&amp;"_1.jpg")</f>
        <v/>
      </c>
      <c r="I293" s="10">
        <f>IF(OR(B293="",C293=""),"",IFERROR(INDEX(LAYOUT!$D$2:$D$34,MATCH(B293&amp;"|"&amp;C293,LAYOUT!$E$2:$E$34,0)),"zona tidak ada di layout"))</f>
        <v/>
      </c>
      <c r="J293" s="13">
        <f>IF(OR(A293="",E293=""),"",COUNTIFS($A$2:$A$500,A293,$C$2:$C$500,C293,$E$2:$E$500,"&lt;&gt;"))</f>
        <v/>
      </c>
      <c r="K293" s="13">
        <f>IF(A293="","",IF(B293="","CEK id_fixture tidak ada di DAFTAR_FIXTURE",IF(I293="zona tidak ada di layout","CEK zona_no / jenis_fixture",IF(D293&lt;&gt;I293,"CEK jenis_zona",IF(E293="","Zona kosong",IF(F293="","CEK nama kosong","OK"))))))</f>
        <v/>
      </c>
    </row>
    <row r="294">
      <c r="A294" s="9" t="n"/>
      <c r="B294" s="10">
        <f>IF(A294="","",IFERROR(INDEX(DAFTAR_FIXTURE!$B$2:$B$51,MATCH(A294,DAFTAR_FIXTURE!$A$2:$A$51,0)),""))</f>
        <v/>
      </c>
      <c r="C294" s="11" t="n"/>
      <c r="D294" s="11" t="n"/>
      <c r="E294" s="12" t="n"/>
      <c r="F294" s="9" t="n"/>
      <c r="G294" s="11" t="n"/>
      <c r="H294" s="10">
        <f>IF(E294="","","https://cdn.ruparupa.io/fit-in/850x850/ruparupa-com/image/upload/Products/"&amp;E294&amp;"_1.jpg")</f>
        <v/>
      </c>
      <c r="I294" s="10">
        <f>IF(OR(B294="",C294=""),"",IFERROR(INDEX(LAYOUT!$D$2:$D$34,MATCH(B294&amp;"|"&amp;C294,LAYOUT!$E$2:$E$34,0)),"zona tidak ada di layout"))</f>
        <v/>
      </c>
      <c r="J294" s="13">
        <f>IF(OR(A294="",E294=""),"",COUNTIFS($A$2:$A$500,A294,$C$2:$C$500,C294,$E$2:$E$500,"&lt;&gt;"))</f>
        <v/>
      </c>
      <c r="K294" s="13">
        <f>IF(A294="","",IF(B294="","CEK id_fixture tidak ada di DAFTAR_FIXTURE",IF(I294="zona tidak ada di layout","CEK zona_no / jenis_fixture",IF(D294&lt;&gt;I294,"CEK jenis_zona",IF(E294="","Zona kosong",IF(F294="","CEK nama kosong","OK"))))))</f>
        <v/>
      </c>
    </row>
    <row r="295">
      <c r="A295" s="9" t="n"/>
      <c r="B295" s="10">
        <f>IF(A295="","",IFERROR(INDEX(DAFTAR_FIXTURE!$B$2:$B$51,MATCH(A295,DAFTAR_FIXTURE!$A$2:$A$51,0)),""))</f>
        <v/>
      </c>
      <c r="C295" s="11" t="n"/>
      <c r="D295" s="11" t="n"/>
      <c r="E295" s="12" t="n"/>
      <c r="F295" s="9" t="n"/>
      <c r="G295" s="11" t="n"/>
      <c r="H295" s="10">
        <f>IF(E295="","","https://cdn.ruparupa.io/fit-in/850x850/ruparupa-com/image/upload/Products/"&amp;E295&amp;"_1.jpg")</f>
        <v/>
      </c>
      <c r="I295" s="10">
        <f>IF(OR(B295="",C295=""),"",IFERROR(INDEX(LAYOUT!$D$2:$D$34,MATCH(B295&amp;"|"&amp;C295,LAYOUT!$E$2:$E$34,0)),"zona tidak ada di layout"))</f>
        <v/>
      </c>
      <c r="J295" s="13">
        <f>IF(OR(A295="",E295=""),"",COUNTIFS($A$2:$A$500,A295,$C$2:$C$500,C295,$E$2:$E$500,"&lt;&gt;"))</f>
        <v/>
      </c>
      <c r="K295" s="13">
        <f>IF(A295="","",IF(B295="","CEK id_fixture tidak ada di DAFTAR_FIXTURE",IF(I295="zona tidak ada di layout","CEK zona_no / jenis_fixture",IF(D295&lt;&gt;I295,"CEK jenis_zona",IF(E295="","Zona kosong",IF(F295="","CEK nama kosong","OK"))))))</f>
        <v/>
      </c>
    </row>
    <row r="296">
      <c r="A296" s="9" t="n"/>
      <c r="B296" s="10">
        <f>IF(A296="","",IFERROR(INDEX(DAFTAR_FIXTURE!$B$2:$B$51,MATCH(A296,DAFTAR_FIXTURE!$A$2:$A$51,0)),""))</f>
        <v/>
      </c>
      <c r="C296" s="11" t="n"/>
      <c r="D296" s="11" t="n"/>
      <c r="E296" s="12" t="n"/>
      <c r="F296" s="9" t="n"/>
      <c r="G296" s="11" t="n"/>
      <c r="H296" s="10">
        <f>IF(E296="","","https://cdn.ruparupa.io/fit-in/850x850/ruparupa-com/image/upload/Products/"&amp;E296&amp;"_1.jpg")</f>
        <v/>
      </c>
      <c r="I296" s="10">
        <f>IF(OR(B296="",C296=""),"",IFERROR(INDEX(LAYOUT!$D$2:$D$34,MATCH(B296&amp;"|"&amp;C296,LAYOUT!$E$2:$E$34,0)),"zona tidak ada di layout"))</f>
        <v/>
      </c>
      <c r="J296" s="13">
        <f>IF(OR(A296="",E296=""),"",COUNTIFS($A$2:$A$500,A296,$C$2:$C$500,C296,$E$2:$E$500,"&lt;&gt;"))</f>
        <v/>
      </c>
      <c r="K296" s="13">
        <f>IF(A296="","",IF(B296="","CEK id_fixture tidak ada di DAFTAR_FIXTURE",IF(I296="zona tidak ada di layout","CEK zona_no / jenis_fixture",IF(D296&lt;&gt;I296,"CEK jenis_zona",IF(E296="","Zona kosong",IF(F296="","CEK nama kosong","OK"))))))</f>
        <v/>
      </c>
    </row>
    <row r="297">
      <c r="A297" s="9" t="n"/>
      <c r="B297" s="10">
        <f>IF(A297="","",IFERROR(INDEX(DAFTAR_FIXTURE!$B$2:$B$51,MATCH(A297,DAFTAR_FIXTURE!$A$2:$A$51,0)),""))</f>
        <v/>
      </c>
      <c r="C297" s="11" t="n"/>
      <c r="D297" s="11" t="n"/>
      <c r="E297" s="12" t="n"/>
      <c r="F297" s="9" t="n"/>
      <c r="G297" s="11" t="n"/>
      <c r="H297" s="10">
        <f>IF(E297="","","https://cdn.ruparupa.io/fit-in/850x850/ruparupa-com/image/upload/Products/"&amp;E297&amp;"_1.jpg")</f>
        <v/>
      </c>
      <c r="I297" s="10">
        <f>IF(OR(B297="",C297=""),"",IFERROR(INDEX(LAYOUT!$D$2:$D$34,MATCH(B297&amp;"|"&amp;C297,LAYOUT!$E$2:$E$34,0)),"zona tidak ada di layout"))</f>
        <v/>
      </c>
      <c r="J297" s="13">
        <f>IF(OR(A297="",E297=""),"",COUNTIFS($A$2:$A$500,A297,$C$2:$C$500,C297,$E$2:$E$500,"&lt;&gt;"))</f>
        <v/>
      </c>
      <c r="K297" s="13">
        <f>IF(A297="","",IF(B297="","CEK id_fixture tidak ada di DAFTAR_FIXTURE",IF(I297="zona tidak ada di layout","CEK zona_no / jenis_fixture",IF(D297&lt;&gt;I297,"CEK jenis_zona",IF(E297="","Zona kosong",IF(F297="","CEK nama kosong","OK"))))))</f>
        <v/>
      </c>
    </row>
    <row r="298">
      <c r="A298" s="9" t="n"/>
      <c r="B298" s="10">
        <f>IF(A298="","",IFERROR(INDEX(DAFTAR_FIXTURE!$B$2:$B$51,MATCH(A298,DAFTAR_FIXTURE!$A$2:$A$51,0)),""))</f>
        <v/>
      </c>
      <c r="C298" s="11" t="n"/>
      <c r="D298" s="11" t="n"/>
      <c r="E298" s="12" t="n"/>
      <c r="F298" s="9" t="n"/>
      <c r="G298" s="11" t="n"/>
      <c r="H298" s="10">
        <f>IF(E298="","","https://cdn.ruparupa.io/fit-in/850x850/ruparupa-com/image/upload/Products/"&amp;E298&amp;"_1.jpg")</f>
        <v/>
      </c>
      <c r="I298" s="10">
        <f>IF(OR(B298="",C298=""),"",IFERROR(INDEX(LAYOUT!$D$2:$D$34,MATCH(B298&amp;"|"&amp;C298,LAYOUT!$E$2:$E$34,0)),"zona tidak ada di layout"))</f>
        <v/>
      </c>
      <c r="J298" s="13">
        <f>IF(OR(A298="",E298=""),"",COUNTIFS($A$2:$A$500,A298,$C$2:$C$500,C298,$E$2:$E$500,"&lt;&gt;"))</f>
        <v/>
      </c>
      <c r="K298" s="13">
        <f>IF(A298="","",IF(B298="","CEK id_fixture tidak ada di DAFTAR_FIXTURE",IF(I298="zona tidak ada di layout","CEK zona_no / jenis_fixture",IF(D298&lt;&gt;I298,"CEK jenis_zona",IF(E298="","Zona kosong",IF(F298="","CEK nama kosong","OK"))))))</f>
        <v/>
      </c>
    </row>
    <row r="299">
      <c r="A299" s="9" t="n"/>
      <c r="B299" s="10">
        <f>IF(A299="","",IFERROR(INDEX(DAFTAR_FIXTURE!$B$2:$B$51,MATCH(A299,DAFTAR_FIXTURE!$A$2:$A$51,0)),""))</f>
        <v/>
      </c>
      <c r="C299" s="11" t="n"/>
      <c r="D299" s="11" t="n"/>
      <c r="E299" s="12" t="n"/>
      <c r="F299" s="9" t="n"/>
      <c r="G299" s="11" t="n"/>
      <c r="H299" s="10">
        <f>IF(E299="","","https://cdn.ruparupa.io/fit-in/850x850/ruparupa-com/image/upload/Products/"&amp;E299&amp;"_1.jpg")</f>
        <v/>
      </c>
      <c r="I299" s="10">
        <f>IF(OR(B299="",C299=""),"",IFERROR(INDEX(LAYOUT!$D$2:$D$34,MATCH(B299&amp;"|"&amp;C299,LAYOUT!$E$2:$E$34,0)),"zona tidak ada di layout"))</f>
        <v/>
      </c>
      <c r="J299" s="13">
        <f>IF(OR(A299="",E299=""),"",COUNTIFS($A$2:$A$500,A299,$C$2:$C$500,C299,$E$2:$E$500,"&lt;&gt;"))</f>
        <v/>
      </c>
      <c r="K299" s="13">
        <f>IF(A299="","",IF(B299="","CEK id_fixture tidak ada di DAFTAR_FIXTURE",IF(I299="zona tidak ada di layout","CEK zona_no / jenis_fixture",IF(D299&lt;&gt;I299,"CEK jenis_zona",IF(E299="","Zona kosong",IF(F299="","CEK nama kosong","OK"))))))</f>
        <v/>
      </c>
    </row>
    <row r="300">
      <c r="A300" s="9" t="n"/>
      <c r="B300" s="10">
        <f>IF(A300="","",IFERROR(INDEX(DAFTAR_FIXTURE!$B$2:$B$51,MATCH(A300,DAFTAR_FIXTURE!$A$2:$A$51,0)),""))</f>
        <v/>
      </c>
      <c r="C300" s="11" t="n"/>
      <c r="D300" s="11" t="n"/>
      <c r="E300" s="12" t="n"/>
      <c r="F300" s="9" t="n"/>
      <c r="G300" s="11" t="n"/>
      <c r="H300" s="10">
        <f>IF(E300="","","https://cdn.ruparupa.io/fit-in/850x850/ruparupa-com/image/upload/Products/"&amp;E300&amp;"_1.jpg")</f>
        <v/>
      </c>
      <c r="I300" s="10">
        <f>IF(OR(B300="",C300=""),"",IFERROR(INDEX(LAYOUT!$D$2:$D$34,MATCH(B300&amp;"|"&amp;C300,LAYOUT!$E$2:$E$34,0)),"zona tidak ada di layout"))</f>
        <v/>
      </c>
      <c r="J300" s="13">
        <f>IF(OR(A300="",E300=""),"",COUNTIFS($A$2:$A$500,A300,$C$2:$C$500,C300,$E$2:$E$500,"&lt;&gt;"))</f>
        <v/>
      </c>
      <c r="K300" s="13">
        <f>IF(A300="","",IF(B300="","CEK id_fixture tidak ada di DAFTAR_FIXTURE",IF(I300="zona tidak ada di layout","CEK zona_no / jenis_fixture",IF(D300&lt;&gt;I300,"CEK jenis_zona",IF(E300="","Zona kosong",IF(F300="","CEK nama kosong","OK"))))))</f>
        <v/>
      </c>
    </row>
    <row r="301">
      <c r="A301" s="9" t="n"/>
      <c r="B301" s="10">
        <f>IF(A301="","",IFERROR(INDEX(DAFTAR_FIXTURE!$B$2:$B$51,MATCH(A301,DAFTAR_FIXTURE!$A$2:$A$51,0)),""))</f>
        <v/>
      </c>
      <c r="C301" s="11" t="n"/>
      <c r="D301" s="11" t="n"/>
      <c r="E301" s="12" t="n"/>
      <c r="F301" s="9" t="n"/>
      <c r="G301" s="11" t="n"/>
      <c r="H301" s="10">
        <f>IF(E301="","","https://cdn.ruparupa.io/fit-in/850x850/ruparupa-com/image/upload/Products/"&amp;E301&amp;"_1.jpg")</f>
        <v/>
      </c>
      <c r="I301" s="10">
        <f>IF(OR(B301="",C301=""),"",IFERROR(INDEX(LAYOUT!$D$2:$D$34,MATCH(B301&amp;"|"&amp;C301,LAYOUT!$E$2:$E$34,0)),"zona tidak ada di layout"))</f>
        <v/>
      </c>
      <c r="J301" s="13">
        <f>IF(OR(A301="",E301=""),"",COUNTIFS($A$2:$A$500,A301,$C$2:$C$500,C301,$E$2:$E$500,"&lt;&gt;"))</f>
        <v/>
      </c>
      <c r="K301" s="13">
        <f>IF(A301="","",IF(B301="","CEK id_fixture tidak ada di DAFTAR_FIXTURE",IF(I301="zona tidak ada di layout","CEK zona_no / jenis_fixture",IF(D301&lt;&gt;I301,"CEK jenis_zona",IF(E301="","Zona kosong",IF(F301="","CEK nama kosong","OK"))))))</f>
        <v/>
      </c>
    </row>
    <row r="302">
      <c r="A302" s="9" t="n"/>
      <c r="B302" s="10">
        <f>IF(A302="","",IFERROR(INDEX(DAFTAR_FIXTURE!$B$2:$B$51,MATCH(A302,DAFTAR_FIXTURE!$A$2:$A$51,0)),""))</f>
        <v/>
      </c>
      <c r="C302" s="11" t="n"/>
      <c r="D302" s="11" t="n"/>
      <c r="E302" s="12" t="n"/>
      <c r="F302" s="9" t="n"/>
      <c r="G302" s="11" t="n"/>
      <c r="H302" s="10">
        <f>IF(E302="","","https://cdn.ruparupa.io/fit-in/850x850/ruparupa-com/image/upload/Products/"&amp;E302&amp;"_1.jpg")</f>
        <v/>
      </c>
      <c r="I302" s="10">
        <f>IF(OR(B302="",C302=""),"",IFERROR(INDEX(LAYOUT!$D$2:$D$34,MATCH(B302&amp;"|"&amp;C302,LAYOUT!$E$2:$E$34,0)),"zona tidak ada di layout"))</f>
        <v/>
      </c>
      <c r="J302" s="13">
        <f>IF(OR(A302="",E302=""),"",COUNTIFS($A$2:$A$500,A302,$C$2:$C$500,C302,$E$2:$E$500,"&lt;&gt;"))</f>
        <v/>
      </c>
      <c r="K302" s="13">
        <f>IF(A302="","",IF(B302="","CEK id_fixture tidak ada di DAFTAR_FIXTURE",IF(I302="zona tidak ada di layout","CEK zona_no / jenis_fixture",IF(D302&lt;&gt;I302,"CEK jenis_zona",IF(E302="","Zona kosong",IF(F302="","CEK nama kosong","OK"))))))</f>
        <v/>
      </c>
    </row>
    <row r="303">
      <c r="A303" s="9" t="n"/>
      <c r="B303" s="10">
        <f>IF(A303="","",IFERROR(INDEX(DAFTAR_FIXTURE!$B$2:$B$51,MATCH(A303,DAFTAR_FIXTURE!$A$2:$A$51,0)),""))</f>
        <v/>
      </c>
      <c r="C303" s="11" t="n"/>
      <c r="D303" s="11" t="n"/>
      <c r="E303" s="12" t="n"/>
      <c r="F303" s="9" t="n"/>
      <c r="G303" s="11" t="n"/>
      <c r="H303" s="10">
        <f>IF(E303="","","https://cdn.ruparupa.io/fit-in/850x850/ruparupa-com/image/upload/Products/"&amp;E303&amp;"_1.jpg")</f>
        <v/>
      </c>
      <c r="I303" s="10">
        <f>IF(OR(B303="",C303=""),"",IFERROR(INDEX(LAYOUT!$D$2:$D$34,MATCH(B303&amp;"|"&amp;C303,LAYOUT!$E$2:$E$34,0)),"zona tidak ada di layout"))</f>
        <v/>
      </c>
      <c r="J303" s="13">
        <f>IF(OR(A303="",E303=""),"",COUNTIFS($A$2:$A$500,A303,$C$2:$C$500,C303,$E$2:$E$500,"&lt;&gt;"))</f>
        <v/>
      </c>
      <c r="K303" s="13">
        <f>IF(A303="","",IF(B303="","CEK id_fixture tidak ada di DAFTAR_FIXTURE",IF(I303="zona tidak ada di layout","CEK zona_no / jenis_fixture",IF(D303&lt;&gt;I303,"CEK jenis_zona",IF(E303="","Zona kosong",IF(F303="","CEK nama kosong","OK"))))))</f>
        <v/>
      </c>
    </row>
    <row r="304">
      <c r="A304" s="9" t="n"/>
      <c r="B304" s="10">
        <f>IF(A304="","",IFERROR(INDEX(DAFTAR_FIXTURE!$B$2:$B$51,MATCH(A304,DAFTAR_FIXTURE!$A$2:$A$51,0)),""))</f>
        <v/>
      </c>
      <c r="C304" s="11" t="n"/>
      <c r="D304" s="11" t="n"/>
      <c r="E304" s="12" t="n"/>
      <c r="F304" s="9" t="n"/>
      <c r="G304" s="11" t="n"/>
      <c r="H304" s="10">
        <f>IF(E304="","","https://cdn.ruparupa.io/fit-in/850x850/ruparupa-com/image/upload/Products/"&amp;E304&amp;"_1.jpg")</f>
        <v/>
      </c>
      <c r="I304" s="10">
        <f>IF(OR(B304="",C304=""),"",IFERROR(INDEX(LAYOUT!$D$2:$D$34,MATCH(B304&amp;"|"&amp;C304,LAYOUT!$E$2:$E$34,0)),"zona tidak ada di layout"))</f>
        <v/>
      </c>
      <c r="J304" s="13">
        <f>IF(OR(A304="",E304=""),"",COUNTIFS($A$2:$A$500,A304,$C$2:$C$500,C304,$E$2:$E$500,"&lt;&gt;"))</f>
        <v/>
      </c>
      <c r="K304" s="13">
        <f>IF(A304="","",IF(B304="","CEK id_fixture tidak ada di DAFTAR_FIXTURE",IF(I304="zona tidak ada di layout","CEK zona_no / jenis_fixture",IF(D304&lt;&gt;I304,"CEK jenis_zona",IF(E304="","Zona kosong",IF(F304="","CEK nama kosong","OK"))))))</f>
        <v/>
      </c>
    </row>
    <row r="305">
      <c r="A305" s="9" t="n"/>
      <c r="B305" s="10">
        <f>IF(A305="","",IFERROR(INDEX(DAFTAR_FIXTURE!$B$2:$B$51,MATCH(A305,DAFTAR_FIXTURE!$A$2:$A$51,0)),""))</f>
        <v/>
      </c>
      <c r="C305" s="11" t="n"/>
      <c r="D305" s="11" t="n"/>
      <c r="E305" s="12" t="n"/>
      <c r="F305" s="9" t="n"/>
      <c r="G305" s="11" t="n"/>
      <c r="H305" s="10">
        <f>IF(E305="","","https://cdn.ruparupa.io/fit-in/850x850/ruparupa-com/image/upload/Products/"&amp;E305&amp;"_1.jpg")</f>
        <v/>
      </c>
      <c r="I305" s="10">
        <f>IF(OR(B305="",C305=""),"",IFERROR(INDEX(LAYOUT!$D$2:$D$34,MATCH(B305&amp;"|"&amp;C305,LAYOUT!$E$2:$E$34,0)),"zona tidak ada di layout"))</f>
        <v/>
      </c>
      <c r="J305" s="13">
        <f>IF(OR(A305="",E305=""),"",COUNTIFS($A$2:$A$500,A305,$C$2:$C$500,C305,$E$2:$E$500,"&lt;&gt;"))</f>
        <v/>
      </c>
      <c r="K305" s="13">
        <f>IF(A305="","",IF(B305="","CEK id_fixture tidak ada di DAFTAR_FIXTURE",IF(I305="zona tidak ada di layout","CEK zona_no / jenis_fixture",IF(D305&lt;&gt;I305,"CEK jenis_zona",IF(E305="","Zona kosong",IF(F305="","CEK nama kosong","OK"))))))</f>
        <v/>
      </c>
    </row>
    <row r="306">
      <c r="A306" s="9" t="n"/>
      <c r="B306" s="10">
        <f>IF(A306="","",IFERROR(INDEX(DAFTAR_FIXTURE!$B$2:$B$51,MATCH(A306,DAFTAR_FIXTURE!$A$2:$A$51,0)),""))</f>
        <v/>
      </c>
      <c r="C306" s="11" t="n"/>
      <c r="D306" s="11" t="n"/>
      <c r="E306" s="12" t="n"/>
      <c r="F306" s="9" t="n"/>
      <c r="G306" s="11" t="n"/>
      <c r="H306" s="10">
        <f>IF(E306="","","https://cdn.ruparupa.io/fit-in/850x850/ruparupa-com/image/upload/Products/"&amp;E306&amp;"_1.jpg")</f>
        <v/>
      </c>
      <c r="I306" s="10">
        <f>IF(OR(B306="",C306=""),"",IFERROR(INDEX(LAYOUT!$D$2:$D$34,MATCH(B306&amp;"|"&amp;C306,LAYOUT!$E$2:$E$34,0)),"zona tidak ada di layout"))</f>
        <v/>
      </c>
      <c r="J306" s="13">
        <f>IF(OR(A306="",E306=""),"",COUNTIFS($A$2:$A$500,A306,$C$2:$C$500,C306,$E$2:$E$500,"&lt;&gt;"))</f>
        <v/>
      </c>
      <c r="K306" s="13">
        <f>IF(A306="","",IF(B306="","CEK id_fixture tidak ada di DAFTAR_FIXTURE",IF(I306="zona tidak ada di layout","CEK zona_no / jenis_fixture",IF(D306&lt;&gt;I306,"CEK jenis_zona",IF(E306="","Zona kosong",IF(F306="","CEK nama kosong","OK"))))))</f>
        <v/>
      </c>
    </row>
    <row r="307">
      <c r="A307" s="9" t="n"/>
      <c r="B307" s="10">
        <f>IF(A307="","",IFERROR(INDEX(DAFTAR_FIXTURE!$B$2:$B$51,MATCH(A307,DAFTAR_FIXTURE!$A$2:$A$51,0)),""))</f>
        <v/>
      </c>
      <c r="C307" s="11" t="n"/>
      <c r="D307" s="11" t="n"/>
      <c r="E307" s="12" t="n"/>
      <c r="F307" s="9" t="n"/>
      <c r="G307" s="11" t="n"/>
      <c r="H307" s="10">
        <f>IF(E307="","","https://cdn.ruparupa.io/fit-in/850x850/ruparupa-com/image/upload/Products/"&amp;E307&amp;"_1.jpg")</f>
        <v/>
      </c>
      <c r="I307" s="10">
        <f>IF(OR(B307="",C307=""),"",IFERROR(INDEX(LAYOUT!$D$2:$D$34,MATCH(B307&amp;"|"&amp;C307,LAYOUT!$E$2:$E$34,0)),"zona tidak ada di layout"))</f>
        <v/>
      </c>
      <c r="J307" s="13">
        <f>IF(OR(A307="",E307=""),"",COUNTIFS($A$2:$A$500,A307,$C$2:$C$500,C307,$E$2:$E$500,"&lt;&gt;"))</f>
        <v/>
      </c>
      <c r="K307" s="13">
        <f>IF(A307="","",IF(B307="","CEK id_fixture tidak ada di DAFTAR_FIXTURE",IF(I307="zona tidak ada di layout","CEK zona_no / jenis_fixture",IF(D307&lt;&gt;I307,"CEK jenis_zona",IF(E307="","Zona kosong",IF(F307="","CEK nama kosong","OK"))))))</f>
        <v/>
      </c>
    </row>
    <row r="308">
      <c r="A308" s="9" t="n"/>
      <c r="B308" s="10">
        <f>IF(A308="","",IFERROR(INDEX(DAFTAR_FIXTURE!$B$2:$B$51,MATCH(A308,DAFTAR_FIXTURE!$A$2:$A$51,0)),""))</f>
        <v/>
      </c>
      <c r="C308" s="11" t="n"/>
      <c r="D308" s="11" t="n"/>
      <c r="E308" s="12" t="n"/>
      <c r="F308" s="9" t="n"/>
      <c r="G308" s="11" t="n"/>
      <c r="H308" s="10">
        <f>IF(E308="","","https://cdn.ruparupa.io/fit-in/850x850/ruparupa-com/image/upload/Products/"&amp;E308&amp;"_1.jpg")</f>
        <v/>
      </c>
      <c r="I308" s="10">
        <f>IF(OR(B308="",C308=""),"",IFERROR(INDEX(LAYOUT!$D$2:$D$34,MATCH(B308&amp;"|"&amp;C308,LAYOUT!$E$2:$E$34,0)),"zona tidak ada di layout"))</f>
        <v/>
      </c>
      <c r="J308" s="13">
        <f>IF(OR(A308="",E308=""),"",COUNTIFS($A$2:$A$500,A308,$C$2:$C$500,C308,$E$2:$E$500,"&lt;&gt;"))</f>
        <v/>
      </c>
      <c r="K308" s="13">
        <f>IF(A308="","",IF(B308="","CEK id_fixture tidak ada di DAFTAR_FIXTURE",IF(I308="zona tidak ada di layout","CEK zona_no / jenis_fixture",IF(D308&lt;&gt;I308,"CEK jenis_zona",IF(E308="","Zona kosong",IF(F308="","CEK nama kosong","OK"))))))</f>
        <v/>
      </c>
    </row>
    <row r="309">
      <c r="A309" s="9" t="n"/>
      <c r="B309" s="10">
        <f>IF(A309="","",IFERROR(INDEX(DAFTAR_FIXTURE!$B$2:$B$51,MATCH(A309,DAFTAR_FIXTURE!$A$2:$A$51,0)),""))</f>
        <v/>
      </c>
      <c r="C309" s="11" t="n"/>
      <c r="D309" s="11" t="n"/>
      <c r="E309" s="12" t="n"/>
      <c r="F309" s="9" t="n"/>
      <c r="G309" s="11" t="n"/>
      <c r="H309" s="10">
        <f>IF(E309="","","https://cdn.ruparupa.io/fit-in/850x850/ruparupa-com/image/upload/Products/"&amp;E309&amp;"_1.jpg")</f>
        <v/>
      </c>
      <c r="I309" s="10">
        <f>IF(OR(B309="",C309=""),"",IFERROR(INDEX(LAYOUT!$D$2:$D$34,MATCH(B309&amp;"|"&amp;C309,LAYOUT!$E$2:$E$34,0)),"zona tidak ada di layout"))</f>
        <v/>
      </c>
      <c r="J309" s="13">
        <f>IF(OR(A309="",E309=""),"",COUNTIFS($A$2:$A$500,A309,$C$2:$C$500,C309,$E$2:$E$500,"&lt;&gt;"))</f>
        <v/>
      </c>
      <c r="K309" s="13">
        <f>IF(A309="","",IF(B309="","CEK id_fixture tidak ada di DAFTAR_FIXTURE",IF(I309="zona tidak ada di layout","CEK zona_no / jenis_fixture",IF(D309&lt;&gt;I309,"CEK jenis_zona",IF(E309="","Zona kosong",IF(F309="","CEK nama kosong","OK"))))))</f>
        <v/>
      </c>
    </row>
    <row r="310">
      <c r="A310" s="9" t="n"/>
      <c r="B310" s="10">
        <f>IF(A310="","",IFERROR(INDEX(DAFTAR_FIXTURE!$B$2:$B$51,MATCH(A310,DAFTAR_FIXTURE!$A$2:$A$51,0)),""))</f>
        <v/>
      </c>
      <c r="C310" s="11" t="n"/>
      <c r="D310" s="11" t="n"/>
      <c r="E310" s="12" t="n"/>
      <c r="F310" s="9" t="n"/>
      <c r="G310" s="11" t="n"/>
      <c r="H310" s="10">
        <f>IF(E310="","","https://cdn.ruparupa.io/fit-in/850x850/ruparupa-com/image/upload/Products/"&amp;E310&amp;"_1.jpg")</f>
        <v/>
      </c>
      <c r="I310" s="10">
        <f>IF(OR(B310="",C310=""),"",IFERROR(INDEX(LAYOUT!$D$2:$D$34,MATCH(B310&amp;"|"&amp;C310,LAYOUT!$E$2:$E$34,0)),"zona tidak ada di layout"))</f>
        <v/>
      </c>
      <c r="J310" s="13">
        <f>IF(OR(A310="",E310=""),"",COUNTIFS($A$2:$A$500,A310,$C$2:$C$500,C310,$E$2:$E$500,"&lt;&gt;"))</f>
        <v/>
      </c>
      <c r="K310" s="13">
        <f>IF(A310="","",IF(B310="","CEK id_fixture tidak ada di DAFTAR_FIXTURE",IF(I310="zona tidak ada di layout","CEK zona_no / jenis_fixture",IF(D310&lt;&gt;I310,"CEK jenis_zona",IF(E310="","Zona kosong",IF(F310="","CEK nama kosong","OK"))))))</f>
        <v/>
      </c>
    </row>
    <row r="311">
      <c r="A311" s="9" t="n"/>
      <c r="B311" s="10">
        <f>IF(A311="","",IFERROR(INDEX(DAFTAR_FIXTURE!$B$2:$B$51,MATCH(A311,DAFTAR_FIXTURE!$A$2:$A$51,0)),""))</f>
        <v/>
      </c>
      <c r="C311" s="11" t="n"/>
      <c r="D311" s="11" t="n"/>
      <c r="E311" s="12" t="n"/>
      <c r="F311" s="9" t="n"/>
      <c r="G311" s="11" t="n"/>
      <c r="H311" s="10">
        <f>IF(E311="","","https://cdn.ruparupa.io/fit-in/850x850/ruparupa-com/image/upload/Products/"&amp;E311&amp;"_1.jpg")</f>
        <v/>
      </c>
      <c r="I311" s="10">
        <f>IF(OR(B311="",C311=""),"",IFERROR(INDEX(LAYOUT!$D$2:$D$34,MATCH(B311&amp;"|"&amp;C311,LAYOUT!$E$2:$E$34,0)),"zona tidak ada di layout"))</f>
        <v/>
      </c>
      <c r="J311" s="13">
        <f>IF(OR(A311="",E311=""),"",COUNTIFS($A$2:$A$500,A311,$C$2:$C$500,C311,$E$2:$E$500,"&lt;&gt;"))</f>
        <v/>
      </c>
      <c r="K311" s="13">
        <f>IF(A311="","",IF(B311="","CEK id_fixture tidak ada di DAFTAR_FIXTURE",IF(I311="zona tidak ada di layout","CEK zona_no / jenis_fixture",IF(D311&lt;&gt;I311,"CEK jenis_zona",IF(E311="","Zona kosong",IF(F311="","CEK nama kosong","OK"))))))</f>
        <v/>
      </c>
    </row>
    <row r="312">
      <c r="A312" s="9" t="n"/>
      <c r="B312" s="10">
        <f>IF(A312="","",IFERROR(INDEX(DAFTAR_FIXTURE!$B$2:$B$51,MATCH(A312,DAFTAR_FIXTURE!$A$2:$A$51,0)),""))</f>
        <v/>
      </c>
      <c r="C312" s="11" t="n"/>
      <c r="D312" s="11" t="n"/>
      <c r="E312" s="12" t="n"/>
      <c r="F312" s="9" t="n"/>
      <c r="G312" s="11" t="n"/>
      <c r="H312" s="10">
        <f>IF(E312="","","https://cdn.ruparupa.io/fit-in/850x850/ruparupa-com/image/upload/Products/"&amp;E312&amp;"_1.jpg")</f>
        <v/>
      </c>
      <c r="I312" s="10">
        <f>IF(OR(B312="",C312=""),"",IFERROR(INDEX(LAYOUT!$D$2:$D$34,MATCH(B312&amp;"|"&amp;C312,LAYOUT!$E$2:$E$34,0)),"zona tidak ada di layout"))</f>
        <v/>
      </c>
      <c r="J312" s="13">
        <f>IF(OR(A312="",E312=""),"",COUNTIFS($A$2:$A$500,A312,$C$2:$C$500,C312,$E$2:$E$500,"&lt;&gt;"))</f>
        <v/>
      </c>
      <c r="K312" s="13">
        <f>IF(A312="","",IF(B312="","CEK id_fixture tidak ada di DAFTAR_FIXTURE",IF(I312="zona tidak ada di layout","CEK zona_no / jenis_fixture",IF(D312&lt;&gt;I312,"CEK jenis_zona",IF(E312="","Zona kosong",IF(F312="","CEK nama kosong","OK"))))))</f>
        <v/>
      </c>
    </row>
    <row r="313">
      <c r="A313" s="9" t="n"/>
      <c r="B313" s="10">
        <f>IF(A313="","",IFERROR(INDEX(DAFTAR_FIXTURE!$B$2:$B$51,MATCH(A313,DAFTAR_FIXTURE!$A$2:$A$51,0)),""))</f>
        <v/>
      </c>
      <c r="C313" s="11" t="n"/>
      <c r="D313" s="11" t="n"/>
      <c r="E313" s="12" t="n"/>
      <c r="F313" s="9" t="n"/>
      <c r="G313" s="11" t="n"/>
      <c r="H313" s="10">
        <f>IF(E313="","","https://cdn.ruparupa.io/fit-in/850x850/ruparupa-com/image/upload/Products/"&amp;E313&amp;"_1.jpg")</f>
        <v/>
      </c>
      <c r="I313" s="10">
        <f>IF(OR(B313="",C313=""),"",IFERROR(INDEX(LAYOUT!$D$2:$D$34,MATCH(B313&amp;"|"&amp;C313,LAYOUT!$E$2:$E$34,0)),"zona tidak ada di layout"))</f>
        <v/>
      </c>
      <c r="J313" s="13">
        <f>IF(OR(A313="",E313=""),"",COUNTIFS($A$2:$A$500,A313,$C$2:$C$500,C313,$E$2:$E$500,"&lt;&gt;"))</f>
        <v/>
      </c>
      <c r="K313" s="13">
        <f>IF(A313="","",IF(B313="","CEK id_fixture tidak ada di DAFTAR_FIXTURE",IF(I313="zona tidak ada di layout","CEK zona_no / jenis_fixture",IF(D313&lt;&gt;I313,"CEK jenis_zona",IF(E313="","Zona kosong",IF(F313="","CEK nama kosong","OK"))))))</f>
        <v/>
      </c>
    </row>
    <row r="314">
      <c r="A314" s="9" t="n"/>
      <c r="B314" s="10">
        <f>IF(A314="","",IFERROR(INDEX(DAFTAR_FIXTURE!$B$2:$B$51,MATCH(A314,DAFTAR_FIXTURE!$A$2:$A$51,0)),""))</f>
        <v/>
      </c>
      <c r="C314" s="11" t="n"/>
      <c r="D314" s="11" t="n"/>
      <c r="E314" s="12" t="n"/>
      <c r="F314" s="9" t="n"/>
      <c r="G314" s="11" t="n"/>
      <c r="H314" s="10">
        <f>IF(E314="","","https://cdn.ruparupa.io/fit-in/850x850/ruparupa-com/image/upload/Products/"&amp;E314&amp;"_1.jpg")</f>
        <v/>
      </c>
      <c r="I314" s="10">
        <f>IF(OR(B314="",C314=""),"",IFERROR(INDEX(LAYOUT!$D$2:$D$34,MATCH(B314&amp;"|"&amp;C314,LAYOUT!$E$2:$E$34,0)),"zona tidak ada di layout"))</f>
        <v/>
      </c>
      <c r="J314" s="13">
        <f>IF(OR(A314="",E314=""),"",COUNTIFS($A$2:$A$500,A314,$C$2:$C$500,C314,$E$2:$E$500,"&lt;&gt;"))</f>
        <v/>
      </c>
      <c r="K314" s="13">
        <f>IF(A314="","",IF(B314="","CEK id_fixture tidak ada di DAFTAR_FIXTURE",IF(I314="zona tidak ada di layout","CEK zona_no / jenis_fixture",IF(D314&lt;&gt;I314,"CEK jenis_zona",IF(E314="","Zona kosong",IF(F314="","CEK nama kosong","OK"))))))</f>
        <v/>
      </c>
    </row>
    <row r="315">
      <c r="A315" s="9" t="n"/>
      <c r="B315" s="10">
        <f>IF(A315="","",IFERROR(INDEX(DAFTAR_FIXTURE!$B$2:$B$51,MATCH(A315,DAFTAR_FIXTURE!$A$2:$A$51,0)),""))</f>
        <v/>
      </c>
      <c r="C315" s="11" t="n"/>
      <c r="D315" s="11" t="n"/>
      <c r="E315" s="12" t="n"/>
      <c r="F315" s="9" t="n"/>
      <c r="G315" s="11" t="n"/>
      <c r="H315" s="10">
        <f>IF(E315="","","https://cdn.ruparupa.io/fit-in/850x850/ruparupa-com/image/upload/Products/"&amp;E315&amp;"_1.jpg")</f>
        <v/>
      </c>
      <c r="I315" s="10">
        <f>IF(OR(B315="",C315=""),"",IFERROR(INDEX(LAYOUT!$D$2:$D$34,MATCH(B315&amp;"|"&amp;C315,LAYOUT!$E$2:$E$34,0)),"zona tidak ada di layout"))</f>
        <v/>
      </c>
      <c r="J315" s="13">
        <f>IF(OR(A315="",E315=""),"",COUNTIFS($A$2:$A$500,A315,$C$2:$C$500,C315,$E$2:$E$500,"&lt;&gt;"))</f>
        <v/>
      </c>
      <c r="K315" s="13">
        <f>IF(A315="","",IF(B315="","CEK id_fixture tidak ada di DAFTAR_FIXTURE",IF(I315="zona tidak ada di layout","CEK zona_no / jenis_fixture",IF(D315&lt;&gt;I315,"CEK jenis_zona",IF(E315="","Zona kosong",IF(F315="","CEK nama kosong","OK"))))))</f>
        <v/>
      </c>
    </row>
    <row r="316">
      <c r="A316" s="9" t="n"/>
      <c r="B316" s="10">
        <f>IF(A316="","",IFERROR(INDEX(DAFTAR_FIXTURE!$B$2:$B$51,MATCH(A316,DAFTAR_FIXTURE!$A$2:$A$51,0)),""))</f>
        <v/>
      </c>
      <c r="C316" s="11" t="n"/>
      <c r="D316" s="11" t="n"/>
      <c r="E316" s="12" t="n"/>
      <c r="F316" s="9" t="n"/>
      <c r="G316" s="11" t="n"/>
      <c r="H316" s="10">
        <f>IF(E316="","","https://cdn.ruparupa.io/fit-in/850x850/ruparupa-com/image/upload/Products/"&amp;E316&amp;"_1.jpg")</f>
        <v/>
      </c>
      <c r="I316" s="10">
        <f>IF(OR(B316="",C316=""),"",IFERROR(INDEX(LAYOUT!$D$2:$D$34,MATCH(B316&amp;"|"&amp;C316,LAYOUT!$E$2:$E$34,0)),"zona tidak ada di layout"))</f>
        <v/>
      </c>
      <c r="J316" s="13">
        <f>IF(OR(A316="",E316=""),"",COUNTIFS($A$2:$A$500,A316,$C$2:$C$500,C316,$E$2:$E$500,"&lt;&gt;"))</f>
        <v/>
      </c>
      <c r="K316" s="13">
        <f>IF(A316="","",IF(B316="","CEK id_fixture tidak ada di DAFTAR_FIXTURE",IF(I316="zona tidak ada di layout","CEK zona_no / jenis_fixture",IF(D316&lt;&gt;I316,"CEK jenis_zona",IF(E316="","Zona kosong",IF(F316="","CEK nama kosong","OK"))))))</f>
        <v/>
      </c>
    </row>
    <row r="317">
      <c r="A317" s="9" t="n"/>
      <c r="B317" s="10">
        <f>IF(A317="","",IFERROR(INDEX(DAFTAR_FIXTURE!$B$2:$B$51,MATCH(A317,DAFTAR_FIXTURE!$A$2:$A$51,0)),""))</f>
        <v/>
      </c>
      <c r="C317" s="11" t="n"/>
      <c r="D317" s="11" t="n"/>
      <c r="E317" s="12" t="n"/>
      <c r="F317" s="9" t="n"/>
      <c r="G317" s="11" t="n"/>
      <c r="H317" s="10">
        <f>IF(E317="","","https://cdn.ruparupa.io/fit-in/850x850/ruparupa-com/image/upload/Products/"&amp;E317&amp;"_1.jpg")</f>
        <v/>
      </c>
      <c r="I317" s="10">
        <f>IF(OR(B317="",C317=""),"",IFERROR(INDEX(LAYOUT!$D$2:$D$34,MATCH(B317&amp;"|"&amp;C317,LAYOUT!$E$2:$E$34,0)),"zona tidak ada di layout"))</f>
        <v/>
      </c>
      <c r="J317" s="13">
        <f>IF(OR(A317="",E317=""),"",COUNTIFS($A$2:$A$500,A317,$C$2:$C$500,C317,$E$2:$E$500,"&lt;&gt;"))</f>
        <v/>
      </c>
      <c r="K317" s="13">
        <f>IF(A317="","",IF(B317="","CEK id_fixture tidak ada di DAFTAR_FIXTURE",IF(I317="zona tidak ada di layout","CEK zona_no / jenis_fixture",IF(D317&lt;&gt;I317,"CEK jenis_zona",IF(E317="","Zona kosong",IF(F317="","CEK nama kosong","OK"))))))</f>
        <v/>
      </c>
    </row>
    <row r="318">
      <c r="A318" s="9" t="n"/>
      <c r="B318" s="10">
        <f>IF(A318="","",IFERROR(INDEX(DAFTAR_FIXTURE!$B$2:$B$51,MATCH(A318,DAFTAR_FIXTURE!$A$2:$A$51,0)),""))</f>
        <v/>
      </c>
      <c r="C318" s="11" t="n"/>
      <c r="D318" s="11" t="n"/>
      <c r="E318" s="12" t="n"/>
      <c r="F318" s="9" t="n"/>
      <c r="G318" s="11" t="n"/>
      <c r="H318" s="10">
        <f>IF(E318="","","https://cdn.ruparupa.io/fit-in/850x850/ruparupa-com/image/upload/Products/"&amp;E318&amp;"_1.jpg")</f>
        <v/>
      </c>
      <c r="I318" s="10">
        <f>IF(OR(B318="",C318=""),"",IFERROR(INDEX(LAYOUT!$D$2:$D$34,MATCH(B318&amp;"|"&amp;C318,LAYOUT!$E$2:$E$34,0)),"zona tidak ada di layout"))</f>
        <v/>
      </c>
      <c r="J318" s="13">
        <f>IF(OR(A318="",E318=""),"",COUNTIFS($A$2:$A$500,A318,$C$2:$C$500,C318,$E$2:$E$500,"&lt;&gt;"))</f>
        <v/>
      </c>
      <c r="K318" s="13">
        <f>IF(A318="","",IF(B318="","CEK id_fixture tidak ada di DAFTAR_FIXTURE",IF(I318="zona tidak ada di layout","CEK zona_no / jenis_fixture",IF(D318&lt;&gt;I318,"CEK jenis_zona",IF(E318="","Zona kosong",IF(F318="","CEK nama kosong","OK"))))))</f>
        <v/>
      </c>
    </row>
    <row r="319">
      <c r="A319" s="9" t="n"/>
      <c r="B319" s="10">
        <f>IF(A319="","",IFERROR(INDEX(DAFTAR_FIXTURE!$B$2:$B$51,MATCH(A319,DAFTAR_FIXTURE!$A$2:$A$51,0)),""))</f>
        <v/>
      </c>
      <c r="C319" s="11" t="n"/>
      <c r="D319" s="11" t="n"/>
      <c r="E319" s="12" t="n"/>
      <c r="F319" s="9" t="n"/>
      <c r="G319" s="11" t="n"/>
      <c r="H319" s="10">
        <f>IF(E319="","","https://cdn.ruparupa.io/fit-in/850x850/ruparupa-com/image/upload/Products/"&amp;E319&amp;"_1.jpg")</f>
        <v/>
      </c>
      <c r="I319" s="10">
        <f>IF(OR(B319="",C319=""),"",IFERROR(INDEX(LAYOUT!$D$2:$D$34,MATCH(B319&amp;"|"&amp;C319,LAYOUT!$E$2:$E$34,0)),"zona tidak ada di layout"))</f>
        <v/>
      </c>
      <c r="J319" s="13">
        <f>IF(OR(A319="",E319=""),"",COUNTIFS($A$2:$A$500,A319,$C$2:$C$500,C319,$E$2:$E$500,"&lt;&gt;"))</f>
        <v/>
      </c>
      <c r="K319" s="13">
        <f>IF(A319="","",IF(B319="","CEK id_fixture tidak ada di DAFTAR_FIXTURE",IF(I319="zona tidak ada di layout","CEK zona_no / jenis_fixture",IF(D319&lt;&gt;I319,"CEK jenis_zona",IF(E319="","Zona kosong",IF(F319="","CEK nama kosong","OK"))))))</f>
        <v/>
      </c>
    </row>
    <row r="320">
      <c r="A320" s="9" t="n"/>
      <c r="B320" s="10">
        <f>IF(A320="","",IFERROR(INDEX(DAFTAR_FIXTURE!$B$2:$B$51,MATCH(A320,DAFTAR_FIXTURE!$A$2:$A$51,0)),""))</f>
        <v/>
      </c>
      <c r="C320" s="11" t="n"/>
      <c r="D320" s="11" t="n"/>
      <c r="E320" s="12" t="n"/>
      <c r="F320" s="9" t="n"/>
      <c r="G320" s="11" t="n"/>
      <c r="H320" s="10">
        <f>IF(E320="","","https://cdn.ruparupa.io/fit-in/850x850/ruparupa-com/image/upload/Products/"&amp;E320&amp;"_1.jpg")</f>
        <v/>
      </c>
      <c r="I320" s="10">
        <f>IF(OR(B320="",C320=""),"",IFERROR(INDEX(LAYOUT!$D$2:$D$34,MATCH(B320&amp;"|"&amp;C320,LAYOUT!$E$2:$E$34,0)),"zona tidak ada di layout"))</f>
        <v/>
      </c>
      <c r="J320" s="13">
        <f>IF(OR(A320="",E320=""),"",COUNTIFS($A$2:$A$500,A320,$C$2:$C$500,C320,$E$2:$E$500,"&lt;&gt;"))</f>
        <v/>
      </c>
      <c r="K320" s="13">
        <f>IF(A320="","",IF(B320="","CEK id_fixture tidak ada di DAFTAR_FIXTURE",IF(I320="zona tidak ada di layout","CEK zona_no / jenis_fixture",IF(D320&lt;&gt;I320,"CEK jenis_zona",IF(E320="","Zona kosong",IF(F320="","CEK nama kosong","OK"))))))</f>
        <v/>
      </c>
    </row>
    <row r="321">
      <c r="A321" s="9" t="n"/>
      <c r="B321" s="10">
        <f>IF(A321="","",IFERROR(INDEX(DAFTAR_FIXTURE!$B$2:$B$51,MATCH(A321,DAFTAR_FIXTURE!$A$2:$A$51,0)),""))</f>
        <v/>
      </c>
      <c r="C321" s="11" t="n"/>
      <c r="D321" s="11" t="n"/>
      <c r="E321" s="12" t="n"/>
      <c r="F321" s="9" t="n"/>
      <c r="G321" s="11" t="n"/>
      <c r="H321" s="10">
        <f>IF(E321="","","https://cdn.ruparupa.io/fit-in/850x850/ruparupa-com/image/upload/Products/"&amp;E321&amp;"_1.jpg")</f>
        <v/>
      </c>
      <c r="I321" s="10">
        <f>IF(OR(B321="",C321=""),"",IFERROR(INDEX(LAYOUT!$D$2:$D$34,MATCH(B321&amp;"|"&amp;C321,LAYOUT!$E$2:$E$34,0)),"zona tidak ada di layout"))</f>
        <v/>
      </c>
      <c r="J321" s="13">
        <f>IF(OR(A321="",E321=""),"",COUNTIFS($A$2:$A$500,A321,$C$2:$C$500,C321,$E$2:$E$500,"&lt;&gt;"))</f>
        <v/>
      </c>
      <c r="K321" s="13">
        <f>IF(A321="","",IF(B321="","CEK id_fixture tidak ada di DAFTAR_FIXTURE",IF(I321="zona tidak ada di layout","CEK zona_no / jenis_fixture",IF(D321&lt;&gt;I321,"CEK jenis_zona",IF(E321="","Zona kosong",IF(F321="","CEK nama kosong","OK"))))))</f>
        <v/>
      </c>
    </row>
    <row r="322">
      <c r="A322" s="9" t="n"/>
      <c r="B322" s="10">
        <f>IF(A322="","",IFERROR(INDEX(DAFTAR_FIXTURE!$B$2:$B$51,MATCH(A322,DAFTAR_FIXTURE!$A$2:$A$51,0)),""))</f>
        <v/>
      </c>
      <c r="C322" s="11" t="n"/>
      <c r="D322" s="11" t="n"/>
      <c r="E322" s="12" t="n"/>
      <c r="F322" s="9" t="n"/>
      <c r="G322" s="11" t="n"/>
      <c r="H322" s="10">
        <f>IF(E322="","","https://cdn.ruparupa.io/fit-in/850x850/ruparupa-com/image/upload/Products/"&amp;E322&amp;"_1.jpg")</f>
        <v/>
      </c>
      <c r="I322" s="10">
        <f>IF(OR(B322="",C322=""),"",IFERROR(INDEX(LAYOUT!$D$2:$D$34,MATCH(B322&amp;"|"&amp;C322,LAYOUT!$E$2:$E$34,0)),"zona tidak ada di layout"))</f>
        <v/>
      </c>
      <c r="J322" s="13">
        <f>IF(OR(A322="",E322=""),"",COUNTIFS($A$2:$A$500,A322,$C$2:$C$500,C322,$E$2:$E$500,"&lt;&gt;"))</f>
        <v/>
      </c>
      <c r="K322" s="13">
        <f>IF(A322="","",IF(B322="","CEK id_fixture tidak ada di DAFTAR_FIXTURE",IF(I322="zona tidak ada di layout","CEK zona_no / jenis_fixture",IF(D322&lt;&gt;I322,"CEK jenis_zona",IF(E322="","Zona kosong",IF(F322="","CEK nama kosong","OK"))))))</f>
        <v/>
      </c>
    </row>
    <row r="323">
      <c r="A323" s="9" t="n"/>
      <c r="B323" s="10">
        <f>IF(A323="","",IFERROR(INDEX(DAFTAR_FIXTURE!$B$2:$B$51,MATCH(A323,DAFTAR_FIXTURE!$A$2:$A$51,0)),""))</f>
        <v/>
      </c>
      <c r="C323" s="11" t="n"/>
      <c r="D323" s="11" t="n"/>
      <c r="E323" s="12" t="n"/>
      <c r="F323" s="9" t="n"/>
      <c r="G323" s="11" t="n"/>
      <c r="H323" s="10">
        <f>IF(E323="","","https://cdn.ruparupa.io/fit-in/850x850/ruparupa-com/image/upload/Products/"&amp;E323&amp;"_1.jpg")</f>
        <v/>
      </c>
      <c r="I323" s="10">
        <f>IF(OR(B323="",C323=""),"",IFERROR(INDEX(LAYOUT!$D$2:$D$34,MATCH(B323&amp;"|"&amp;C323,LAYOUT!$E$2:$E$34,0)),"zona tidak ada di layout"))</f>
        <v/>
      </c>
      <c r="J323" s="13">
        <f>IF(OR(A323="",E323=""),"",COUNTIFS($A$2:$A$500,A323,$C$2:$C$500,C323,$E$2:$E$500,"&lt;&gt;"))</f>
        <v/>
      </c>
      <c r="K323" s="13">
        <f>IF(A323="","",IF(B323="","CEK id_fixture tidak ada di DAFTAR_FIXTURE",IF(I323="zona tidak ada di layout","CEK zona_no / jenis_fixture",IF(D323&lt;&gt;I323,"CEK jenis_zona",IF(E323="","Zona kosong",IF(F323="","CEK nama kosong","OK"))))))</f>
        <v/>
      </c>
    </row>
    <row r="324">
      <c r="A324" s="9" t="n"/>
      <c r="B324" s="10">
        <f>IF(A324="","",IFERROR(INDEX(DAFTAR_FIXTURE!$B$2:$B$51,MATCH(A324,DAFTAR_FIXTURE!$A$2:$A$51,0)),""))</f>
        <v/>
      </c>
      <c r="C324" s="11" t="n"/>
      <c r="D324" s="11" t="n"/>
      <c r="E324" s="12" t="n"/>
      <c r="F324" s="9" t="n"/>
      <c r="G324" s="11" t="n"/>
      <c r="H324" s="10">
        <f>IF(E324="","","https://cdn.ruparupa.io/fit-in/850x850/ruparupa-com/image/upload/Products/"&amp;E324&amp;"_1.jpg")</f>
        <v/>
      </c>
      <c r="I324" s="10">
        <f>IF(OR(B324="",C324=""),"",IFERROR(INDEX(LAYOUT!$D$2:$D$34,MATCH(B324&amp;"|"&amp;C324,LAYOUT!$E$2:$E$34,0)),"zona tidak ada di layout"))</f>
        <v/>
      </c>
      <c r="J324" s="13">
        <f>IF(OR(A324="",E324=""),"",COUNTIFS($A$2:$A$500,A324,$C$2:$C$500,C324,$E$2:$E$500,"&lt;&gt;"))</f>
        <v/>
      </c>
      <c r="K324" s="13">
        <f>IF(A324="","",IF(B324="","CEK id_fixture tidak ada di DAFTAR_FIXTURE",IF(I324="zona tidak ada di layout","CEK zona_no / jenis_fixture",IF(D324&lt;&gt;I324,"CEK jenis_zona",IF(E324="","Zona kosong",IF(F324="","CEK nama kosong","OK"))))))</f>
        <v/>
      </c>
    </row>
    <row r="325">
      <c r="A325" s="9" t="n"/>
      <c r="B325" s="10">
        <f>IF(A325="","",IFERROR(INDEX(DAFTAR_FIXTURE!$B$2:$B$51,MATCH(A325,DAFTAR_FIXTURE!$A$2:$A$51,0)),""))</f>
        <v/>
      </c>
      <c r="C325" s="11" t="n"/>
      <c r="D325" s="11" t="n"/>
      <c r="E325" s="12" t="n"/>
      <c r="F325" s="9" t="n"/>
      <c r="G325" s="11" t="n"/>
      <c r="H325" s="10">
        <f>IF(E325="","","https://cdn.ruparupa.io/fit-in/850x850/ruparupa-com/image/upload/Products/"&amp;E325&amp;"_1.jpg")</f>
        <v/>
      </c>
      <c r="I325" s="10">
        <f>IF(OR(B325="",C325=""),"",IFERROR(INDEX(LAYOUT!$D$2:$D$34,MATCH(B325&amp;"|"&amp;C325,LAYOUT!$E$2:$E$34,0)),"zona tidak ada di layout"))</f>
        <v/>
      </c>
      <c r="J325" s="13">
        <f>IF(OR(A325="",E325=""),"",COUNTIFS($A$2:$A$500,A325,$C$2:$C$500,C325,$E$2:$E$500,"&lt;&gt;"))</f>
        <v/>
      </c>
      <c r="K325" s="13">
        <f>IF(A325="","",IF(B325="","CEK id_fixture tidak ada di DAFTAR_FIXTURE",IF(I325="zona tidak ada di layout","CEK zona_no / jenis_fixture",IF(D325&lt;&gt;I325,"CEK jenis_zona",IF(E325="","Zona kosong",IF(F325="","CEK nama kosong","OK"))))))</f>
        <v/>
      </c>
    </row>
    <row r="326">
      <c r="A326" s="9" t="n"/>
      <c r="B326" s="10">
        <f>IF(A326="","",IFERROR(INDEX(DAFTAR_FIXTURE!$B$2:$B$51,MATCH(A326,DAFTAR_FIXTURE!$A$2:$A$51,0)),""))</f>
        <v/>
      </c>
      <c r="C326" s="11" t="n"/>
      <c r="D326" s="11" t="n"/>
      <c r="E326" s="12" t="n"/>
      <c r="F326" s="9" t="n"/>
      <c r="G326" s="11" t="n"/>
      <c r="H326" s="10">
        <f>IF(E326="","","https://cdn.ruparupa.io/fit-in/850x850/ruparupa-com/image/upload/Products/"&amp;E326&amp;"_1.jpg")</f>
        <v/>
      </c>
      <c r="I326" s="10">
        <f>IF(OR(B326="",C326=""),"",IFERROR(INDEX(LAYOUT!$D$2:$D$34,MATCH(B326&amp;"|"&amp;C326,LAYOUT!$E$2:$E$34,0)),"zona tidak ada di layout"))</f>
        <v/>
      </c>
      <c r="J326" s="13">
        <f>IF(OR(A326="",E326=""),"",COUNTIFS($A$2:$A$500,A326,$C$2:$C$500,C326,$E$2:$E$500,"&lt;&gt;"))</f>
        <v/>
      </c>
      <c r="K326" s="13">
        <f>IF(A326="","",IF(B326="","CEK id_fixture tidak ada di DAFTAR_FIXTURE",IF(I326="zona tidak ada di layout","CEK zona_no / jenis_fixture",IF(D326&lt;&gt;I326,"CEK jenis_zona",IF(E326="","Zona kosong",IF(F326="","CEK nama kosong","OK"))))))</f>
        <v/>
      </c>
    </row>
    <row r="327">
      <c r="A327" s="9" t="n"/>
      <c r="B327" s="10">
        <f>IF(A327="","",IFERROR(INDEX(DAFTAR_FIXTURE!$B$2:$B$51,MATCH(A327,DAFTAR_FIXTURE!$A$2:$A$51,0)),""))</f>
        <v/>
      </c>
      <c r="C327" s="11" t="n"/>
      <c r="D327" s="11" t="n"/>
      <c r="E327" s="12" t="n"/>
      <c r="F327" s="9" t="n"/>
      <c r="G327" s="11" t="n"/>
      <c r="H327" s="10">
        <f>IF(E327="","","https://cdn.ruparupa.io/fit-in/850x850/ruparupa-com/image/upload/Products/"&amp;E327&amp;"_1.jpg")</f>
        <v/>
      </c>
      <c r="I327" s="10">
        <f>IF(OR(B327="",C327=""),"",IFERROR(INDEX(LAYOUT!$D$2:$D$34,MATCH(B327&amp;"|"&amp;C327,LAYOUT!$E$2:$E$34,0)),"zona tidak ada di layout"))</f>
        <v/>
      </c>
      <c r="J327" s="13">
        <f>IF(OR(A327="",E327=""),"",COUNTIFS($A$2:$A$500,A327,$C$2:$C$500,C327,$E$2:$E$500,"&lt;&gt;"))</f>
        <v/>
      </c>
      <c r="K327" s="13">
        <f>IF(A327="","",IF(B327="","CEK id_fixture tidak ada di DAFTAR_FIXTURE",IF(I327="zona tidak ada di layout","CEK zona_no / jenis_fixture",IF(D327&lt;&gt;I327,"CEK jenis_zona",IF(E327="","Zona kosong",IF(F327="","CEK nama kosong","OK"))))))</f>
        <v/>
      </c>
    </row>
    <row r="328">
      <c r="A328" s="9" t="n"/>
      <c r="B328" s="10">
        <f>IF(A328="","",IFERROR(INDEX(DAFTAR_FIXTURE!$B$2:$B$51,MATCH(A328,DAFTAR_FIXTURE!$A$2:$A$51,0)),""))</f>
        <v/>
      </c>
      <c r="C328" s="11" t="n"/>
      <c r="D328" s="11" t="n"/>
      <c r="E328" s="12" t="n"/>
      <c r="F328" s="9" t="n"/>
      <c r="G328" s="11" t="n"/>
      <c r="H328" s="10">
        <f>IF(E328="","","https://cdn.ruparupa.io/fit-in/850x850/ruparupa-com/image/upload/Products/"&amp;E328&amp;"_1.jpg")</f>
        <v/>
      </c>
      <c r="I328" s="10">
        <f>IF(OR(B328="",C328=""),"",IFERROR(INDEX(LAYOUT!$D$2:$D$34,MATCH(B328&amp;"|"&amp;C328,LAYOUT!$E$2:$E$34,0)),"zona tidak ada di layout"))</f>
        <v/>
      </c>
      <c r="J328" s="13">
        <f>IF(OR(A328="",E328=""),"",COUNTIFS($A$2:$A$500,A328,$C$2:$C$500,C328,$E$2:$E$500,"&lt;&gt;"))</f>
        <v/>
      </c>
      <c r="K328" s="13">
        <f>IF(A328="","",IF(B328="","CEK id_fixture tidak ada di DAFTAR_FIXTURE",IF(I328="zona tidak ada di layout","CEK zona_no / jenis_fixture",IF(D328&lt;&gt;I328,"CEK jenis_zona",IF(E328="","Zona kosong",IF(F328="","CEK nama kosong","OK"))))))</f>
        <v/>
      </c>
    </row>
    <row r="329">
      <c r="A329" s="9" t="n"/>
      <c r="B329" s="10">
        <f>IF(A329="","",IFERROR(INDEX(DAFTAR_FIXTURE!$B$2:$B$51,MATCH(A329,DAFTAR_FIXTURE!$A$2:$A$51,0)),""))</f>
        <v/>
      </c>
      <c r="C329" s="11" t="n"/>
      <c r="D329" s="11" t="n"/>
      <c r="E329" s="12" t="n"/>
      <c r="F329" s="9" t="n"/>
      <c r="G329" s="11" t="n"/>
      <c r="H329" s="10">
        <f>IF(E329="","","https://cdn.ruparupa.io/fit-in/850x850/ruparupa-com/image/upload/Products/"&amp;E329&amp;"_1.jpg")</f>
        <v/>
      </c>
      <c r="I329" s="10">
        <f>IF(OR(B329="",C329=""),"",IFERROR(INDEX(LAYOUT!$D$2:$D$34,MATCH(B329&amp;"|"&amp;C329,LAYOUT!$E$2:$E$34,0)),"zona tidak ada di layout"))</f>
        <v/>
      </c>
      <c r="J329" s="13">
        <f>IF(OR(A329="",E329=""),"",COUNTIFS($A$2:$A$500,A329,$C$2:$C$500,C329,$E$2:$E$500,"&lt;&gt;"))</f>
        <v/>
      </c>
      <c r="K329" s="13">
        <f>IF(A329="","",IF(B329="","CEK id_fixture tidak ada di DAFTAR_FIXTURE",IF(I329="zona tidak ada di layout","CEK zona_no / jenis_fixture",IF(D329&lt;&gt;I329,"CEK jenis_zona",IF(E329="","Zona kosong",IF(F329="","CEK nama kosong","OK"))))))</f>
        <v/>
      </c>
    </row>
    <row r="330">
      <c r="A330" s="9" t="n"/>
      <c r="B330" s="10">
        <f>IF(A330="","",IFERROR(INDEX(DAFTAR_FIXTURE!$B$2:$B$51,MATCH(A330,DAFTAR_FIXTURE!$A$2:$A$51,0)),""))</f>
        <v/>
      </c>
      <c r="C330" s="11" t="n"/>
      <c r="D330" s="11" t="n"/>
      <c r="E330" s="12" t="n"/>
      <c r="F330" s="9" t="n"/>
      <c r="G330" s="11" t="n"/>
      <c r="H330" s="10">
        <f>IF(E330="","","https://cdn.ruparupa.io/fit-in/850x850/ruparupa-com/image/upload/Products/"&amp;E330&amp;"_1.jpg")</f>
        <v/>
      </c>
      <c r="I330" s="10">
        <f>IF(OR(B330="",C330=""),"",IFERROR(INDEX(LAYOUT!$D$2:$D$34,MATCH(B330&amp;"|"&amp;C330,LAYOUT!$E$2:$E$34,0)),"zona tidak ada di layout"))</f>
        <v/>
      </c>
      <c r="J330" s="13">
        <f>IF(OR(A330="",E330=""),"",COUNTIFS($A$2:$A$500,A330,$C$2:$C$500,C330,$E$2:$E$500,"&lt;&gt;"))</f>
        <v/>
      </c>
      <c r="K330" s="13">
        <f>IF(A330="","",IF(B330="","CEK id_fixture tidak ada di DAFTAR_FIXTURE",IF(I330="zona tidak ada di layout","CEK zona_no / jenis_fixture",IF(D330&lt;&gt;I330,"CEK jenis_zona",IF(E330="","Zona kosong",IF(F330="","CEK nama kosong","OK"))))))</f>
        <v/>
      </c>
    </row>
    <row r="331">
      <c r="A331" s="9" t="n"/>
      <c r="B331" s="10">
        <f>IF(A331="","",IFERROR(INDEX(DAFTAR_FIXTURE!$B$2:$B$51,MATCH(A331,DAFTAR_FIXTURE!$A$2:$A$51,0)),""))</f>
        <v/>
      </c>
      <c r="C331" s="11" t="n"/>
      <c r="D331" s="11" t="n"/>
      <c r="E331" s="12" t="n"/>
      <c r="F331" s="9" t="n"/>
      <c r="G331" s="11" t="n"/>
      <c r="H331" s="10">
        <f>IF(E331="","","https://cdn.ruparupa.io/fit-in/850x850/ruparupa-com/image/upload/Products/"&amp;E331&amp;"_1.jpg")</f>
        <v/>
      </c>
      <c r="I331" s="10">
        <f>IF(OR(B331="",C331=""),"",IFERROR(INDEX(LAYOUT!$D$2:$D$34,MATCH(B331&amp;"|"&amp;C331,LAYOUT!$E$2:$E$34,0)),"zona tidak ada di layout"))</f>
        <v/>
      </c>
      <c r="J331" s="13">
        <f>IF(OR(A331="",E331=""),"",COUNTIFS($A$2:$A$500,A331,$C$2:$C$500,C331,$E$2:$E$500,"&lt;&gt;"))</f>
        <v/>
      </c>
      <c r="K331" s="13">
        <f>IF(A331="","",IF(B331="","CEK id_fixture tidak ada di DAFTAR_FIXTURE",IF(I331="zona tidak ada di layout","CEK zona_no / jenis_fixture",IF(D331&lt;&gt;I331,"CEK jenis_zona",IF(E331="","Zona kosong",IF(F331="","CEK nama kosong","OK"))))))</f>
        <v/>
      </c>
    </row>
    <row r="332">
      <c r="A332" s="9" t="n"/>
      <c r="B332" s="10">
        <f>IF(A332="","",IFERROR(INDEX(DAFTAR_FIXTURE!$B$2:$B$51,MATCH(A332,DAFTAR_FIXTURE!$A$2:$A$51,0)),""))</f>
        <v/>
      </c>
      <c r="C332" s="11" t="n"/>
      <c r="D332" s="11" t="n"/>
      <c r="E332" s="12" t="n"/>
      <c r="F332" s="9" t="n"/>
      <c r="G332" s="11" t="n"/>
      <c r="H332" s="10">
        <f>IF(E332="","","https://cdn.ruparupa.io/fit-in/850x850/ruparupa-com/image/upload/Products/"&amp;E332&amp;"_1.jpg")</f>
        <v/>
      </c>
      <c r="I332" s="10">
        <f>IF(OR(B332="",C332=""),"",IFERROR(INDEX(LAYOUT!$D$2:$D$34,MATCH(B332&amp;"|"&amp;C332,LAYOUT!$E$2:$E$34,0)),"zona tidak ada di layout"))</f>
        <v/>
      </c>
      <c r="J332" s="13">
        <f>IF(OR(A332="",E332=""),"",COUNTIFS($A$2:$A$500,A332,$C$2:$C$500,C332,$E$2:$E$500,"&lt;&gt;"))</f>
        <v/>
      </c>
      <c r="K332" s="13">
        <f>IF(A332="","",IF(B332="","CEK id_fixture tidak ada di DAFTAR_FIXTURE",IF(I332="zona tidak ada di layout","CEK zona_no / jenis_fixture",IF(D332&lt;&gt;I332,"CEK jenis_zona",IF(E332="","Zona kosong",IF(F332="","CEK nama kosong","OK"))))))</f>
        <v/>
      </c>
    </row>
    <row r="333">
      <c r="A333" s="9" t="n"/>
      <c r="B333" s="10">
        <f>IF(A333="","",IFERROR(INDEX(DAFTAR_FIXTURE!$B$2:$B$51,MATCH(A333,DAFTAR_FIXTURE!$A$2:$A$51,0)),""))</f>
        <v/>
      </c>
      <c r="C333" s="11" t="n"/>
      <c r="D333" s="11" t="n"/>
      <c r="E333" s="12" t="n"/>
      <c r="F333" s="9" t="n"/>
      <c r="G333" s="11" t="n"/>
      <c r="H333" s="10">
        <f>IF(E333="","","https://cdn.ruparupa.io/fit-in/850x850/ruparupa-com/image/upload/Products/"&amp;E333&amp;"_1.jpg")</f>
        <v/>
      </c>
      <c r="I333" s="10">
        <f>IF(OR(B333="",C333=""),"",IFERROR(INDEX(LAYOUT!$D$2:$D$34,MATCH(B333&amp;"|"&amp;C333,LAYOUT!$E$2:$E$34,0)),"zona tidak ada di layout"))</f>
        <v/>
      </c>
      <c r="J333" s="13">
        <f>IF(OR(A333="",E333=""),"",COUNTIFS($A$2:$A$500,A333,$C$2:$C$500,C333,$E$2:$E$500,"&lt;&gt;"))</f>
        <v/>
      </c>
      <c r="K333" s="13">
        <f>IF(A333="","",IF(B333="","CEK id_fixture tidak ada di DAFTAR_FIXTURE",IF(I333="zona tidak ada di layout","CEK zona_no / jenis_fixture",IF(D333&lt;&gt;I333,"CEK jenis_zona",IF(E333="","Zona kosong",IF(F333="","CEK nama kosong","OK"))))))</f>
        <v/>
      </c>
    </row>
    <row r="334">
      <c r="A334" s="9" t="n"/>
      <c r="B334" s="10">
        <f>IF(A334="","",IFERROR(INDEX(DAFTAR_FIXTURE!$B$2:$B$51,MATCH(A334,DAFTAR_FIXTURE!$A$2:$A$51,0)),""))</f>
        <v/>
      </c>
      <c r="C334" s="11" t="n"/>
      <c r="D334" s="11" t="n"/>
      <c r="E334" s="12" t="n"/>
      <c r="F334" s="9" t="n"/>
      <c r="G334" s="11" t="n"/>
      <c r="H334" s="10">
        <f>IF(E334="","","https://cdn.ruparupa.io/fit-in/850x850/ruparupa-com/image/upload/Products/"&amp;E334&amp;"_1.jpg")</f>
        <v/>
      </c>
      <c r="I334" s="10">
        <f>IF(OR(B334="",C334=""),"",IFERROR(INDEX(LAYOUT!$D$2:$D$34,MATCH(B334&amp;"|"&amp;C334,LAYOUT!$E$2:$E$34,0)),"zona tidak ada di layout"))</f>
        <v/>
      </c>
      <c r="J334" s="13">
        <f>IF(OR(A334="",E334=""),"",COUNTIFS($A$2:$A$500,A334,$C$2:$C$500,C334,$E$2:$E$500,"&lt;&gt;"))</f>
        <v/>
      </c>
      <c r="K334" s="13">
        <f>IF(A334="","",IF(B334="","CEK id_fixture tidak ada di DAFTAR_FIXTURE",IF(I334="zona tidak ada di layout","CEK zona_no / jenis_fixture",IF(D334&lt;&gt;I334,"CEK jenis_zona",IF(E334="","Zona kosong",IF(F334="","CEK nama kosong","OK"))))))</f>
        <v/>
      </c>
    </row>
    <row r="335">
      <c r="A335" s="9" t="n"/>
      <c r="B335" s="10">
        <f>IF(A335="","",IFERROR(INDEX(DAFTAR_FIXTURE!$B$2:$B$51,MATCH(A335,DAFTAR_FIXTURE!$A$2:$A$51,0)),""))</f>
        <v/>
      </c>
      <c r="C335" s="11" t="n"/>
      <c r="D335" s="11" t="n"/>
      <c r="E335" s="12" t="n"/>
      <c r="F335" s="9" t="n"/>
      <c r="G335" s="11" t="n"/>
      <c r="H335" s="10">
        <f>IF(E335="","","https://cdn.ruparupa.io/fit-in/850x850/ruparupa-com/image/upload/Products/"&amp;E335&amp;"_1.jpg")</f>
        <v/>
      </c>
      <c r="I335" s="10">
        <f>IF(OR(B335="",C335=""),"",IFERROR(INDEX(LAYOUT!$D$2:$D$34,MATCH(B335&amp;"|"&amp;C335,LAYOUT!$E$2:$E$34,0)),"zona tidak ada di layout"))</f>
        <v/>
      </c>
      <c r="J335" s="13">
        <f>IF(OR(A335="",E335=""),"",COUNTIFS($A$2:$A$500,A335,$C$2:$C$500,C335,$E$2:$E$500,"&lt;&gt;"))</f>
        <v/>
      </c>
      <c r="K335" s="13">
        <f>IF(A335="","",IF(B335="","CEK id_fixture tidak ada di DAFTAR_FIXTURE",IF(I335="zona tidak ada di layout","CEK zona_no / jenis_fixture",IF(D335&lt;&gt;I335,"CEK jenis_zona",IF(E335="","Zona kosong",IF(F335="","CEK nama kosong","OK"))))))</f>
        <v/>
      </c>
    </row>
    <row r="336">
      <c r="A336" s="9" t="n"/>
      <c r="B336" s="10">
        <f>IF(A336="","",IFERROR(INDEX(DAFTAR_FIXTURE!$B$2:$B$51,MATCH(A336,DAFTAR_FIXTURE!$A$2:$A$51,0)),""))</f>
        <v/>
      </c>
      <c r="C336" s="11" t="n"/>
      <c r="D336" s="11" t="n"/>
      <c r="E336" s="12" t="n"/>
      <c r="F336" s="9" t="n"/>
      <c r="G336" s="11" t="n"/>
      <c r="H336" s="10">
        <f>IF(E336="","","https://cdn.ruparupa.io/fit-in/850x850/ruparupa-com/image/upload/Products/"&amp;E336&amp;"_1.jpg")</f>
        <v/>
      </c>
      <c r="I336" s="10">
        <f>IF(OR(B336="",C336=""),"",IFERROR(INDEX(LAYOUT!$D$2:$D$34,MATCH(B336&amp;"|"&amp;C336,LAYOUT!$E$2:$E$34,0)),"zona tidak ada di layout"))</f>
        <v/>
      </c>
      <c r="J336" s="13">
        <f>IF(OR(A336="",E336=""),"",COUNTIFS($A$2:$A$500,A336,$C$2:$C$500,C336,$E$2:$E$500,"&lt;&gt;"))</f>
        <v/>
      </c>
      <c r="K336" s="13">
        <f>IF(A336="","",IF(B336="","CEK id_fixture tidak ada di DAFTAR_FIXTURE",IF(I336="zona tidak ada di layout","CEK zona_no / jenis_fixture",IF(D336&lt;&gt;I336,"CEK jenis_zona",IF(E336="","Zona kosong",IF(F336="","CEK nama kosong","OK"))))))</f>
        <v/>
      </c>
    </row>
    <row r="337">
      <c r="A337" s="9" t="n"/>
      <c r="B337" s="10">
        <f>IF(A337="","",IFERROR(INDEX(DAFTAR_FIXTURE!$B$2:$B$51,MATCH(A337,DAFTAR_FIXTURE!$A$2:$A$51,0)),""))</f>
        <v/>
      </c>
      <c r="C337" s="11" t="n"/>
      <c r="D337" s="11" t="n"/>
      <c r="E337" s="12" t="n"/>
      <c r="F337" s="9" t="n"/>
      <c r="G337" s="11" t="n"/>
      <c r="H337" s="10">
        <f>IF(E337="","","https://cdn.ruparupa.io/fit-in/850x850/ruparupa-com/image/upload/Products/"&amp;E337&amp;"_1.jpg")</f>
        <v/>
      </c>
      <c r="I337" s="10">
        <f>IF(OR(B337="",C337=""),"",IFERROR(INDEX(LAYOUT!$D$2:$D$34,MATCH(B337&amp;"|"&amp;C337,LAYOUT!$E$2:$E$34,0)),"zona tidak ada di layout"))</f>
        <v/>
      </c>
      <c r="J337" s="13">
        <f>IF(OR(A337="",E337=""),"",COUNTIFS($A$2:$A$500,A337,$C$2:$C$500,C337,$E$2:$E$500,"&lt;&gt;"))</f>
        <v/>
      </c>
      <c r="K337" s="13">
        <f>IF(A337="","",IF(B337="","CEK id_fixture tidak ada di DAFTAR_FIXTURE",IF(I337="zona tidak ada di layout","CEK zona_no / jenis_fixture",IF(D337&lt;&gt;I337,"CEK jenis_zona",IF(E337="","Zona kosong",IF(F337="","CEK nama kosong","OK"))))))</f>
        <v/>
      </c>
    </row>
    <row r="338">
      <c r="A338" s="9" t="n"/>
      <c r="B338" s="10">
        <f>IF(A338="","",IFERROR(INDEX(DAFTAR_FIXTURE!$B$2:$B$51,MATCH(A338,DAFTAR_FIXTURE!$A$2:$A$51,0)),""))</f>
        <v/>
      </c>
      <c r="C338" s="11" t="n"/>
      <c r="D338" s="11" t="n"/>
      <c r="E338" s="12" t="n"/>
      <c r="F338" s="9" t="n"/>
      <c r="G338" s="11" t="n"/>
      <c r="H338" s="10">
        <f>IF(E338="","","https://cdn.ruparupa.io/fit-in/850x850/ruparupa-com/image/upload/Products/"&amp;E338&amp;"_1.jpg")</f>
        <v/>
      </c>
      <c r="I338" s="10">
        <f>IF(OR(B338="",C338=""),"",IFERROR(INDEX(LAYOUT!$D$2:$D$34,MATCH(B338&amp;"|"&amp;C338,LAYOUT!$E$2:$E$34,0)),"zona tidak ada di layout"))</f>
        <v/>
      </c>
      <c r="J338" s="13">
        <f>IF(OR(A338="",E338=""),"",COUNTIFS($A$2:$A$500,A338,$C$2:$C$500,C338,$E$2:$E$500,"&lt;&gt;"))</f>
        <v/>
      </c>
      <c r="K338" s="13">
        <f>IF(A338="","",IF(B338="","CEK id_fixture tidak ada di DAFTAR_FIXTURE",IF(I338="zona tidak ada di layout","CEK zona_no / jenis_fixture",IF(D338&lt;&gt;I338,"CEK jenis_zona",IF(E338="","Zona kosong",IF(F338="","CEK nama kosong","OK"))))))</f>
        <v/>
      </c>
    </row>
    <row r="339">
      <c r="A339" s="9" t="n"/>
      <c r="B339" s="10">
        <f>IF(A339="","",IFERROR(INDEX(DAFTAR_FIXTURE!$B$2:$B$51,MATCH(A339,DAFTAR_FIXTURE!$A$2:$A$51,0)),""))</f>
        <v/>
      </c>
      <c r="C339" s="11" t="n"/>
      <c r="D339" s="11" t="n"/>
      <c r="E339" s="12" t="n"/>
      <c r="F339" s="9" t="n"/>
      <c r="G339" s="11" t="n"/>
      <c r="H339" s="10">
        <f>IF(E339="","","https://cdn.ruparupa.io/fit-in/850x850/ruparupa-com/image/upload/Products/"&amp;E339&amp;"_1.jpg")</f>
        <v/>
      </c>
      <c r="I339" s="10">
        <f>IF(OR(B339="",C339=""),"",IFERROR(INDEX(LAYOUT!$D$2:$D$34,MATCH(B339&amp;"|"&amp;C339,LAYOUT!$E$2:$E$34,0)),"zona tidak ada di layout"))</f>
        <v/>
      </c>
      <c r="J339" s="13">
        <f>IF(OR(A339="",E339=""),"",COUNTIFS($A$2:$A$500,A339,$C$2:$C$500,C339,$E$2:$E$500,"&lt;&gt;"))</f>
        <v/>
      </c>
      <c r="K339" s="13">
        <f>IF(A339="","",IF(B339="","CEK id_fixture tidak ada di DAFTAR_FIXTURE",IF(I339="zona tidak ada di layout","CEK zona_no / jenis_fixture",IF(D339&lt;&gt;I339,"CEK jenis_zona",IF(E339="","Zona kosong",IF(F339="","CEK nama kosong","OK"))))))</f>
        <v/>
      </c>
    </row>
    <row r="340">
      <c r="A340" s="9" t="n"/>
      <c r="B340" s="10">
        <f>IF(A340="","",IFERROR(INDEX(DAFTAR_FIXTURE!$B$2:$B$51,MATCH(A340,DAFTAR_FIXTURE!$A$2:$A$51,0)),""))</f>
        <v/>
      </c>
      <c r="C340" s="11" t="n"/>
      <c r="D340" s="11" t="n"/>
      <c r="E340" s="12" t="n"/>
      <c r="F340" s="9" t="n"/>
      <c r="G340" s="11" t="n"/>
      <c r="H340" s="10">
        <f>IF(E340="","","https://cdn.ruparupa.io/fit-in/850x850/ruparupa-com/image/upload/Products/"&amp;E340&amp;"_1.jpg")</f>
        <v/>
      </c>
      <c r="I340" s="10">
        <f>IF(OR(B340="",C340=""),"",IFERROR(INDEX(LAYOUT!$D$2:$D$34,MATCH(B340&amp;"|"&amp;C340,LAYOUT!$E$2:$E$34,0)),"zona tidak ada di layout"))</f>
        <v/>
      </c>
      <c r="J340" s="13">
        <f>IF(OR(A340="",E340=""),"",COUNTIFS($A$2:$A$500,A340,$C$2:$C$500,C340,$E$2:$E$500,"&lt;&gt;"))</f>
        <v/>
      </c>
      <c r="K340" s="13">
        <f>IF(A340="","",IF(B340="","CEK id_fixture tidak ada di DAFTAR_FIXTURE",IF(I340="zona tidak ada di layout","CEK zona_no / jenis_fixture",IF(D340&lt;&gt;I340,"CEK jenis_zona",IF(E340="","Zona kosong",IF(F340="","CEK nama kosong","OK"))))))</f>
        <v/>
      </c>
    </row>
    <row r="341">
      <c r="A341" s="9" t="n"/>
      <c r="B341" s="10">
        <f>IF(A341="","",IFERROR(INDEX(DAFTAR_FIXTURE!$B$2:$B$51,MATCH(A341,DAFTAR_FIXTURE!$A$2:$A$51,0)),""))</f>
        <v/>
      </c>
      <c r="C341" s="11" t="n"/>
      <c r="D341" s="11" t="n"/>
      <c r="E341" s="12" t="n"/>
      <c r="F341" s="9" t="n"/>
      <c r="G341" s="11" t="n"/>
      <c r="H341" s="10">
        <f>IF(E341="","","https://cdn.ruparupa.io/fit-in/850x850/ruparupa-com/image/upload/Products/"&amp;E341&amp;"_1.jpg")</f>
        <v/>
      </c>
      <c r="I341" s="10">
        <f>IF(OR(B341="",C341=""),"",IFERROR(INDEX(LAYOUT!$D$2:$D$34,MATCH(B341&amp;"|"&amp;C341,LAYOUT!$E$2:$E$34,0)),"zona tidak ada di layout"))</f>
        <v/>
      </c>
      <c r="J341" s="13">
        <f>IF(OR(A341="",E341=""),"",COUNTIFS($A$2:$A$500,A341,$C$2:$C$500,C341,$E$2:$E$500,"&lt;&gt;"))</f>
        <v/>
      </c>
      <c r="K341" s="13">
        <f>IF(A341="","",IF(B341="","CEK id_fixture tidak ada di DAFTAR_FIXTURE",IF(I341="zona tidak ada di layout","CEK zona_no / jenis_fixture",IF(D341&lt;&gt;I341,"CEK jenis_zona",IF(E341="","Zona kosong",IF(F341="","CEK nama kosong","OK"))))))</f>
        <v/>
      </c>
    </row>
    <row r="342">
      <c r="A342" s="9" t="n"/>
      <c r="B342" s="10">
        <f>IF(A342="","",IFERROR(INDEX(DAFTAR_FIXTURE!$B$2:$B$51,MATCH(A342,DAFTAR_FIXTURE!$A$2:$A$51,0)),""))</f>
        <v/>
      </c>
      <c r="C342" s="11" t="n"/>
      <c r="D342" s="11" t="n"/>
      <c r="E342" s="12" t="n"/>
      <c r="F342" s="9" t="n"/>
      <c r="G342" s="11" t="n"/>
      <c r="H342" s="10">
        <f>IF(E342="","","https://cdn.ruparupa.io/fit-in/850x850/ruparupa-com/image/upload/Products/"&amp;E342&amp;"_1.jpg")</f>
        <v/>
      </c>
      <c r="I342" s="10">
        <f>IF(OR(B342="",C342=""),"",IFERROR(INDEX(LAYOUT!$D$2:$D$34,MATCH(B342&amp;"|"&amp;C342,LAYOUT!$E$2:$E$34,0)),"zona tidak ada di layout"))</f>
        <v/>
      </c>
      <c r="J342" s="13">
        <f>IF(OR(A342="",E342=""),"",COUNTIFS($A$2:$A$500,A342,$C$2:$C$500,C342,$E$2:$E$500,"&lt;&gt;"))</f>
        <v/>
      </c>
      <c r="K342" s="13">
        <f>IF(A342="","",IF(B342="","CEK id_fixture tidak ada di DAFTAR_FIXTURE",IF(I342="zona tidak ada di layout","CEK zona_no / jenis_fixture",IF(D342&lt;&gt;I342,"CEK jenis_zona",IF(E342="","Zona kosong",IF(F342="","CEK nama kosong","OK"))))))</f>
        <v/>
      </c>
    </row>
    <row r="343">
      <c r="A343" s="9" t="n"/>
      <c r="B343" s="10">
        <f>IF(A343="","",IFERROR(INDEX(DAFTAR_FIXTURE!$B$2:$B$51,MATCH(A343,DAFTAR_FIXTURE!$A$2:$A$51,0)),""))</f>
        <v/>
      </c>
      <c r="C343" s="11" t="n"/>
      <c r="D343" s="11" t="n"/>
      <c r="E343" s="12" t="n"/>
      <c r="F343" s="9" t="n"/>
      <c r="G343" s="11" t="n"/>
      <c r="H343" s="10">
        <f>IF(E343="","","https://cdn.ruparupa.io/fit-in/850x850/ruparupa-com/image/upload/Products/"&amp;E343&amp;"_1.jpg")</f>
        <v/>
      </c>
      <c r="I343" s="10">
        <f>IF(OR(B343="",C343=""),"",IFERROR(INDEX(LAYOUT!$D$2:$D$34,MATCH(B343&amp;"|"&amp;C343,LAYOUT!$E$2:$E$34,0)),"zona tidak ada di layout"))</f>
        <v/>
      </c>
      <c r="J343" s="13">
        <f>IF(OR(A343="",E343=""),"",COUNTIFS($A$2:$A$500,A343,$C$2:$C$500,C343,$E$2:$E$500,"&lt;&gt;"))</f>
        <v/>
      </c>
      <c r="K343" s="13">
        <f>IF(A343="","",IF(B343="","CEK id_fixture tidak ada di DAFTAR_FIXTURE",IF(I343="zona tidak ada di layout","CEK zona_no / jenis_fixture",IF(D343&lt;&gt;I343,"CEK jenis_zona",IF(E343="","Zona kosong",IF(F343="","CEK nama kosong","OK"))))))</f>
        <v/>
      </c>
    </row>
    <row r="344">
      <c r="A344" s="9" t="n"/>
      <c r="B344" s="10">
        <f>IF(A344="","",IFERROR(INDEX(DAFTAR_FIXTURE!$B$2:$B$51,MATCH(A344,DAFTAR_FIXTURE!$A$2:$A$51,0)),""))</f>
        <v/>
      </c>
      <c r="C344" s="11" t="n"/>
      <c r="D344" s="11" t="n"/>
      <c r="E344" s="12" t="n"/>
      <c r="F344" s="9" t="n"/>
      <c r="G344" s="11" t="n"/>
      <c r="H344" s="10">
        <f>IF(E344="","","https://cdn.ruparupa.io/fit-in/850x850/ruparupa-com/image/upload/Products/"&amp;E344&amp;"_1.jpg")</f>
        <v/>
      </c>
      <c r="I344" s="10">
        <f>IF(OR(B344="",C344=""),"",IFERROR(INDEX(LAYOUT!$D$2:$D$34,MATCH(B344&amp;"|"&amp;C344,LAYOUT!$E$2:$E$34,0)),"zona tidak ada di layout"))</f>
        <v/>
      </c>
      <c r="J344" s="13">
        <f>IF(OR(A344="",E344=""),"",COUNTIFS($A$2:$A$500,A344,$C$2:$C$500,C344,$E$2:$E$500,"&lt;&gt;"))</f>
        <v/>
      </c>
      <c r="K344" s="13">
        <f>IF(A344="","",IF(B344="","CEK id_fixture tidak ada di DAFTAR_FIXTURE",IF(I344="zona tidak ada di layout","CEK zona_no / jenis_fixture",IF(D344&lt;&gt;I344,"CEK jenis_zona",IF(E344="","Zona kosong",IF(F344="","CEK nama kosong","OK"))))))</f>
        <v/>
      </c>
    </row>
    <row r="345">
      <c r="A345" s="9" t="n"/>
      <c r="B345" s="10">
        <f>IF(A345="","",IFERROR(INDEX(DAFTAR_FIXTURE!$B$2:$B$51,MATCH(A345,DAFTAR_FIXTURE!$A$2:$A$51,0)),""))</f>
        <v/>
      </c>
      <c r="C345" s="11" t="n"/>
      <c r="D345" s="11" t="n"/>
      <c r="E345" s="12" t="n"/>
      <c r="F345" s="9" t="n"/>
      <c r="G345" s="11" t="n"/>
      <c r="H345" s="10">
        <f>IF(E345="","","https://cdn.ruparupa.io/fit-in/850x850/ruparupa-com/image/upload/Products/"&amp;E345&amp;"_1.jpg")</f>
        <v/>
      </c>
      <c r="I345" s="10">
        <f>IF(OR(B345="",C345=""),"",IFERROR(INDEX(LAYOUT!$D$2:$D$34,MATCH(B345&amp;"|"&amp;C345,LAYOUT!$E$2:$E$34,0)),"zona tidak ada di layout"))</f>
        <v/>
      </c>
      <c r="J345" s="13">
        <f>IF(OR(A345="",E345=""),"",COUNTIFS($A$2:$A$500,A345,$C$2:$C$500,C345,$E$2:$E$500,"&lt;&gt;"))</f>
        <v/>
      </c>
      <c r="K345" s="13">
        <f>IF(A345="","",IF(B345="","CEK id_fixture tidak ada di DAFTAR_FIXTURE",IF(I345="zona tidak ada di layout","CEK zona_no / jenis_fixture",IF(D345&lt;&gt;I345,"CEK jenis_zona",IF(E345="","Zona kosong",IF(F345="","CEK nama kosong","OK"))))))</f>
        <v/>
      </c>
    </row>
    <row r="346">
      <c r="A346" s="9" t="n"/>
      <c r="B346" s="10">
        <f>IF(A346="","",IFERROR(INDEX(DAFTAR_FIXTURE!$B$2:$B$51,MATCH(A346,DAFTAR_FIXTURE!$A$2:$A$51,0)),""))</f>
        <v/>
      </c>
      <c r="C346" s="11" t="n"/>
      <c r="D346" s="11" t="n"/>
      <c r="E346" s="12" t="n"/>
      <c r="F346" s="9" t="n"/>
      <c r="G346" s="11" t="n"/>
      <c r="H346" s="10">
        <f>IF(E346="","","https://cdn.ruparupa.io/fit-in/850x850/ruparupa-com/image/upload/Products/"&amp;E346&amp;"_1.jpg")</f>
        <v/>
      </c>
      <c r="I346" s="10">
        <f>IF(OR(B346="",C346=""),"",IFERROR(INDEX(LAYOUT!$D$2:$D$34,MATCH(B346&amp;"|"&amp;C346,LAYOUT!$E$2:$E$34,0)),"zona tidak ada di layout"))</f>
        <v/>
      </c>
      <c r="J346" s="13">
        <f>IF(OR(A346="",E346=""),"",COUNTIFS($A$2:$A$500,A346,$C$2:$C$500,C346,$E$2:$E$500,"&lt;&gt;"))</f>
        <v/>
      </c>
      <c r="K346" s="13">
        <f>IF(A346="","",IF(B346="","CEK id_fixture tidak ada di DAFTAR_FIXTURE",IF(I346="zona tidak ada di layout","CEK zona_no / jenis_fixture",IF(D346&lt;&gt;I346,"CEK jenis_zona",IF(E346="","Zona kosong",IF(F346="","CEK nama kosong","OK"))))))</f>
        <v/>
      </c>
    </row>
    <row r="347">
      <c r="A347" s="9" t="n"/>
      <c r="B347" s="10">
        <f>IF(A347="","",IFERROR(INDEX(DAFTAR_FIXTURE!$B$2:$B$51,MATCH(A347,DAFTAR_FIXTURE!$A$2:$A$51,0)),""))</f>
        <v/>
      </c>
      <c r="C347" s="11" t="n"/>
      <c r="D347" s="11" t="n"/>
      <c r="E347" s="12" t="n"/>
      <c r="F347" s="9" t="n"/>
      <c r="G347" s="11" t="n"/>
      <c r="H347" s="10">
        <f>IF(E347="","","https://cdn.ruparupa.io/fit-in/850x850/ruparupa-com/image/upload/Products/"&amp;E347&amp;"_1.jpg")</f>
        <v/>
      </c>
      <c r="I347" s="10">
        <f>IF(OR(B347="",C347=""),"",IFERROR(INDEX(LAYOUT!$D$2:$D$34,MATCH(B347&amp;"|"&amp;C347,LAYOUT!$E$2:$E$34,0)),"zona tidak ada di layout"))</f>
        <v/>
      </c>
      <c r="J347" s="13">
        <f>IF(OR(A347="",E347=""),"",COUNTIFS($A$2:$A$500,A347,$C$2:$C$500,C347,$E$2:$E$500,"&lt;&gt;"))</f>
        <v/>
      </c>
      <c r="K347" s="13">
        <f>IF(A347="","",IF(B347="","CEK id_fixture tidak ada di DAFTAR_FIXTURE",IF(I347="zona tidak ada di layout","CEK zona_no / jenis_fixture",IF(D347&lt;&gt;I347,"CEK jenis_zona",IF(E347="","Zona kosong",IF(F347="","CEK nama kosong","OK"))))))</f>
        <v/>
      </c>
    </row>
    <row r="348">
      <c r="A348" s="9" t="n"/>
      <c r="B348" s="10">
        <f>IF(A348="","",IFERROR(INDEX(DAFTAR_FIXTURE!$B$2:$B$51,MATCH(A348,DAFTAR_FIXTURE!$A$2:$A$51,0)),""))</f>
        <v/>
      </c>
      <c r="C348" s="11" t="n"/>
      <c r="D348" s="11" t="n"/>
      <c r="E348" s="12" t="n"/>
      <c r="F348" s="9" t="n"/>
      <c r="G348" s="11" t="n"/>
      <c r="H348" s="10">
        <f>IF(E348="","","https://cdn.ruparupa.io/fit-in/850x850/ruparupa-com/image/upload/Products/"&amp;E348&amp;"_1.jpg")</f>
        <v/>
      </c>
      <c r="I348" s="10">
        <f>IF(OR(B348="",C348=""),"",IFERROR(INDEX(LAYOUT!$D$2:$D$34,MATCH(B348&amp;"|"&amp;C348,LAYOUT!$E$2:$E$34,0)),"zona tidak ada di layout"))</f>
        <v/>
      </c>
      <c r="J348" s="13">
        <f>IF(OR(A348="",E348=""),"",COUNTIFS($A$2:$A$500,A348,$C$2:$C$500,C348,$E$2:$E$500,"&lt;&gt;"))</f>
        <v/>
      </c>
      <c r="K348" s="13">
        <f>IF(A348="","",IF(B348="","CEK id_fixture tidak ada di DAFTAR_FIXTURE",IF(I348="zona tidak ada di layout","CEK zona_no / jenis_fixture",IF(D348&lt;&gt;I348,"CEK jenis_zona",IF(E348="","Zona kosong",IF(F348="","CEK nama kosong","OK"))))))</f>
        <v/>
      </c>
    </row>
    <row r="349">
      <c r="A349" s="9" t="n"/>
      <c r="B349" s="10">
        <f>IF(A349="","",IFERROR(INDEX(DAFTAR_FIXTURE!$B$2:$B$51,MATCH(A349,DAFTAR_FIXTURE!$A$2:$A$51,0)),""))</f>
        <v/>
      </c>
      <c r="C349" s="11" t="n"/>
      <c r="D349" s="11" t="n"/>
      <c r="E349" s="12" t="n"/>
      <c r="F349" s="9" t="n"/>
      <c r="G349" s="11" t="n"/>
      <c r="H349" s="10">
        <f>IF(E349="","","https://cdn.ruparupa.io/fit-in/850x850/ruparupa-com/image/upload/Products/"&amp;E349&amp;"_1.jpg")</f>
        <v/>
      </c>
      <c r="I349" s="10">
        <f>IF(OR(B349="",C349=""),"",IFERROR(INDEX(LAYOUT!$D$2:$D$34,MATCH(B349&amp;"|"&amp;C349,LAYOUT!$E$2:$E$34,0)),"zona tidak ada di layout"))</f>
        <v/>
      </c>
      <c r="J349" s="13">
        <f>IF(OR(A349="",E349=""),"",COUNTIFS($A$2:$A$500,A349,$C$2:$C$500,C349,$E$2:$E$500,"&lt;&gt;"))</f>
        <v/>
      </c>
      <c r="K349" s="13">
        <f>IF(A349="","",IF(B349="","CEK id_fixture tidak ada di DAFTAR_FIXTURE",IF(I349="zona tidak ada di layout","CEK zona_no / jenis_fixture",IF(D349&lt;&gt;I349,"CEK jenis_zona",IF(E349="","Zona kosong",IF(F349="","CEK nama kosong","OK"))))))</f>
        <v/>
      </c>
    </row>
    <row r="350">
      <c r="A350" s="9" t="n"/>
      <c r="B350" s="10">
        <f>IF(A350="","",IFERROR(INDEX(DAFTAR_FIXTURE!$B$2:$B$51,MATCH(A350,DAFTAR_FIXTURE!$A$2:$A$51,0)),""))</f>
        <v/>
      </c>
      <c r="C350" s="11" t="n"/>
      <c r="D350" s="11" t="n"/>
      <c r="E350" s="12" t="n"/>
      <c r="F350" s="9" t="n"/>
      <c r="G350" s="11" t="n"/>
      <c r="H350" s="10">
        <f>IF(E350="","","https://cdn.ruparupa.io/fit-in/850x850/ruparupa-com/image/upload/Products/"&amp;E350&amp;"_1.jpg")</f>
        <v/>
      </c>
      <c r="I350" s="10">
        <f>IF(OR(B350="",C350=""),"",IFERROR(INDEX(LAYOUT!$D$2:$D$34,MATCH(B350&amp;"|"&amp;C350,LAYOUT!$E$2:$E$34,0)),"zona tidak ada di layout"))</f>
        <v/>
      </c>
      <c r="J350" s="13">
        <f>IF(OR(A350="",E350=""),"",COUNTIFS($A$2:$A$500,A350,$C$2:$C$500,C350,$E$2:$E$500,"&lt;&gt;"))</f>
        <v/>
      </c>
      <c r="K350" s="13">
        <f>IF(A350="","",IF(B350="","CEK id_fixture tidak ada di DAFTAR_FIXTURE",IF(I350="zona tidak ada di layout","CEK zona_no / jenis_fixture",IF(D350&lt;&gt;I350,"CEK jenis_zona",IF(E350="","Zona kosong",IF(F350="","CEK nama kosong","OK"))))))</f>
        <v/>
      </c>
    </row>
    <row r="351">
      <c r="A351" s="9" t="n"/>
      <c r="B351" s="10">
        <f>IF(A351="","",IFERROR(INDEX(DAFTAR_FIXTURE!$B$2:$B$51,MATCH(A351,DAFTAR_FIXTURE!$A$2:$A$51,0)),""))</f>
        <v/>
      </c>
      <c r="C351" s="11" t="n"/>
      <c r="D351" s="11" t="n"/>
      <c r="E351" s="12" t="n"/>
      <c r="F351" s="9" t="n"/>
      <c r="G351" s="11" t="n"/>
      <c r="H351" s="10">
        <f>IF(E351="","","https://cdn.ruparupa.io/fit-in/850x850/ruparupa-com/image/upload/Products/"&amp;E351&amp;"_1.jpg")</f>
        <v/>
      </c>
      <c r="I351" s="10">
        <f>IF(OR(B351="",C351=""),"",IFERROR(INDEX(LAYOUT!$D$2:$D$34,MATCH(B351&amp;"|"&amp;C351,LAYOUT!$E$2:$E$34,0)),"zona tidak ada di layout"))</f>
        <v/>
      </c>
      <c r="J351" s="13">
        <f>IF(OR(A351="",E351=""),"",COUNTIFS($A$2:$A$500,A351,$C$2:$C$500,C351,$E$2:$E$500,"&lt;&gt;"))</f>
        <v/>
      </c>
      <c r="K351" s="13">
        <f>IF(A351="","",IF(B351="","CEK id_fixture tidak ada di DAFTAR_FIXTURE",IF(I351="zona tidak ada di layout","CEK zona_no / jenis_fixture",IF(D351&lt;&gt;I351,"CEK jenis_zona",IF(E351="","Zona kosong",IF(F351="","CEK nama kosong","OK"))))))</f>
        <v/>
      </c>
    </row>
    <row r="352">
      <c r="A352" s="9" t="n"/>
      <c r="B352" s="10">
        <f>IF(A352="","",IFERROR(INDEX(DAFTAR_FIXTURE!$B$2:$B$51,MATCH(A352,DAFTAR_FIXTURE!$A$2:$A$51,0)),""))</f>
        <v/>
      </c>
      <c r="C352" s="11" t="n"/>
      <c r="D352" s="11" t="n"/>
      <c r="E352" s="12" t="n"/>
      <c r="F352" s="9" t="n"/>
      <c r="G352" s="11" t="n"/>
      <c r="H352" s="10">
        <f>IF(E352="","","https://cdn.ruparupa.io/fit-in/850x850/ruparupa-com/image/upload/Products/"&amp;E352&amp;"_1.jpg")</f>
        <v/>
      </c>
      <c r="I352" s="10">
        <f>IF(OR(B352="",C352=""),"",IFERROR(INDEX(LAYOUT!$D$2:$D$34,MATCH(B352&amp;"|"&amp;C352,LAYOUT!$E$2:$E$34,0)),"zona tidak ada di layout"))</f>
        <v/>
      </c>
      <c r="J352" s="13">
        <f>IF(OR(A352="",E352=""),"",COUNTIFS($A$2:$A$500,A352,$C$2:$C$500,C352,$E$2:$E$500,"&lt;&gt;"))</f>
        <v/>
      </c>
      <c r="K352" s="13">
        <f>IF(A352="","",IF(B352="","CEK id_fixture tidak ada di DAFTAR_FIXTURE",IF(I352="zona tidak ada di layout","CEK zona_no / jenis_fixture",IF(D352&lt;&gt;I352,"CEK jenis_zona",IF(E352="","Zona kosong",IF(F352="","CEK nama kosong","OK"))))))</f>
        <v/>
      </c>
    </row>
    <row r="353">
      <c r="A353" s="9" t="n"/>
      <c r="B353" s="10">
        <f>IF(A353="","",IFERROR(INDEX(DAFTAR_FIXTURE!$B$2:$B$51,MATCH(A353,DAFTAR_FIXTURE!$A$2:$A$51,0)),""))</f>
        <v/>
      </c>
      <c r="C353" s="11" t="n"/>
      <c r="D353" s="11" t="n"/>
      <c r="E353" s="12" t="n"/>
      <c r="F353" s="9" t="n"/>
      <c r="G353" s="11" t="n"/>
      <c r="H353" s="10">
        <f>IF(E353="","","https://cdn.ruparupa.io/fit-in/850x850/ruparupa-com/image/upload/Products/"&amp;E353&amp;"_1.jpg")</f>
        <v/>
      </c>
      <c r="I353" s="10">
        <f>IF(OR(B353="",C353=""),"",IFERROR(INDEX(LAYOUT!$D$2:$D$34,MATCH(B353&amp;"|"&amp;C353,LAYOUT!$E$2:$E$34,0)),"zona tidak ada di layout"))</f>
        <v/>
      </c>
      <c r="J353" s="13">
        <f>IF(OR(A353="",E353=""),"",COUNTIFS($A$2:$A$500,A353,$C$2:$C$500,C353,$E$2:$E$500,"&lt;&gt;"))</f>
        <v/>
      </c>
      <c r="K353" s="13">
        <f>IF(A353="","",IF(B353="","CEK id_fixture tidak ada di DAFTAR_FIXTURE",IF(I353="zona tidak ada di layout","CEK zona_no / jenis_fixture",IF(D353&lt;&gt;I353,"CEK jenis_zona",IF(E353="","Zona kosong",IF(F353="","CEK nama kosong","OK"))))))</f>
        <v/>
      </c>
    </row>
    <row r="354">
      <c r="A354" s="9" t="n"/>
      <c r="B354" s="10">
        <f>IF(A354="","",IFERROR(INDEX(DAFTAR_FIXTURE!$B$2:$B$51,MATCH(A354,DAFTAR_FIXTURE!$A$2:$A$51,0)),""))</f>
        <v/>
      </c>
      <c r="C354" s="11" t="n"/>
      <c r="D354" s="11" t="n"/>
      <c r="E354" s="12" t="n"/>
      <c r="F354" s="9" t="n"/>
      <c r="G354" s="11" t="n"/>
      <c r="H354" s="10">
        <f>IF(E354="","","https://cdn.ruparupa.io/fit-in/850x850/ruparupa-com/image/upload/Products/"&amp;E354&amp;"_1.jpg")</f>
        <v/>
      </c>
      <c r="I354" s="10">
        <f>IF(OR(B354="",C354=""),"",IFERROR(INDEX(LAYOUT!$D$2:$D$34,MATCH(B354&amp;"|"&amp;C354,LAYOUT!$E$2:$E$34,0)),"zona tidak ada di layout"))</f>
        <v/>
      </c>
      <c r="J354" s="13">
        <f>IF(OR(A354="",E354=""),"",COUNTIFS($A$2:$A$500,A354,$C$2:$C$500,C354,$E$2:$E$500,"&lt;&gt;"))</f>
        <v/>
      </c>
      <c r="K354" s="13">
        <f>IF(A354="","",IF(B354="","CEK id_fixture tidak ada di DAFTAR_FIXTURE",IF(I354="zona tidak ada di layout","CEK zona_no / jenis_fixture",IF(D354&lt;&gt;I354,"CEK jenis_zona",IF(E354="","Zona kosong",IF(F354="","CEK nama kosong","OK"))))))</f>
        <v/>
      </c>
    </row>
    <row r="355">
      <c r="A355" s="9" t="n"/>
      <c r="B355" s="10">
        <f>IF(A355="","",IFERROR(INDEX(DAFTAR_FIXTURE!$B$2:$B$51,MATCH(A355,DAFTAR_FIXTURE!$A$2:$A$51,0)),""))</f>
        <v/>
      </c>
      <c r="C355" s="11" t="n"/>
      <c r="D355" s="11" t="n"/>
      <c r="E355" s="12" t="n"/>
      <c r="F355" s="9" t="n"/>
      <c r="G355" s="11" t="n"/>
      <c r="H355" s="10">
        <f>IF(E355="","","https://cdn.ruparupa.io/fit-in/850x850/ruparupa-com/image/upload/Products/"&amp;E355&amp;"_1.jpg")</f>
        <v/>
      </c>
      <c r="I355" s="10">
        <f>IF(OR(B355="",C355=""),"",IFERROR(INDEX(LAYOUT!$D$2:$D$34,MATCH(B355&amp;"|"&amp;C355,LAYOUT!$E$2:$E$34,0)),"zona tidak ada di layout"))</f>
        <v/>
      </c>
      <c r="J355" s="13">
        <f>IF(OR(A355="",E355=""),"",COUNTIFS($A$2:$A$500,A355,$C$2:$C$500,C355,$E$2:$E$500,"&lt;&gt;"))</f>
        <v/>
      </c>
      <c r="K355" s="13">
        <f>IF(A355="","",IF(B355="","CEK id_fixture tidak ada di DAFTAR_FIXTURE",IF(I355="zona tidak ada di layout","CEK zona_no / jenis_fixture",IF(D355&lt;&gt;I355,"CEK jenis_zona",IF(E355="","Zona kosong",IF(F355="","CEK nama kosong","OK"))))))</f>
        <v/>
      </c>
    </row>
    <row r="356">
      <c r="A356" s="9" t="n"/>
      <c r="B356" s="10">
        <f>IF(A356="","",IFERROR(INDEX(DAFTAR_FIXTURE!$B$2:$B$51,MATCH(A356,DAFTAR_FIXTURE!$A$2:$A$51,0)),""))</f>
        <v/>
      </c>
      <c r="C356" s="11" t="n"/>
      <c r="D356" s="11" t="n"/>
      <c r="E356" s="12" t="n"/>
      <c r="F356" s="9" t="n"/>
      <c r="G356" s="11" t="n"/>
      <c r="H356" s="10">
        <f>IF(E356="","","https://cdn.ruparupa.io/fit-in/850x850/ruparupa-com/image/upload/Products/"&amp;E356&amp;"_1.jpg")</f>
        <v/>
      </c>
      <c r="I356" s="10">
        <f>IF(OR(B356="",C356=""),"",IFERROR(INDEX(LAYOUT!$D$2:$D$34,MATCH(B356&amp;"|"&amp;C356,LAYOUT!$E$2:$E$34,0)),"zona tidak ada di layout"))</f>
        <v/>
      </c>
      <c r="J356" s="13">
        <f>IF(OR(A356="",E356=""),"",COUNTIFS($A$2:$A$500,A356,$C$2:$C$500,C356,$E$2:$E$500,"&lt;&gt;"))</f>
        <v/>
      </c>
      <c r="K356" s="13">
        <f>IF(A356="","",IF(B356="","CEK id_fixture tidak ada di DAFTAR_FIXTURE",IF(I356="zona tidak ada di layout","CEK zona_no / jenis_fixture",IF(D356&lt;&gt;I356,"CEK jenis_zona",IF(E356="","Zona kosong",IF(F356="","CEK nama kosong","OK"))))))</f>
        <v/>
      </c>
    </row>
    <row r="357">
      <c r="A357" s="9" t="n"/>
      <c r="B357" s="10">
        <f>IF(A357="","",IFERROR(INDEX(DAFTAR_FIXTURE!$B$2:$B$51,MATCH(A357,DAFTAR_FIXTURE!$A$2:$A$51,0)),""))</f>
        <v/>
      </c>
      <c r="C357" s="11" t="n"/>
      <c r="D357" s="11" t="n"/>
      <c r="E357" s="12" t="n"/>
      <c r="F357" s="9" t="n"/>
      <c r="G357" s="11" t="n"/>
      <c r="H357" s="10">
        <f>IF(E357="","","https://cdn.ruparupa.io/fit-in/850x850/ruparupa-com/image/upload/Products/"&amp;E357&amp;"_1.jpg")</f>
        <v/>
      </c>
      <c r="I357" s="10">
        <f>IF(OR(B357="",C357=""),"",IFERROR(INDEX(LAYOUT!$D$2:$D$34,MATCH(B357&amp;"|"&amp;C357,LAYOUT!$E$2:$E$34,0)),"zona tidak ada di layout"))</f>
        <v/>
      </c>
      <c r="J357" s="13">
        <f>IF(OR(A357="",E357=""),"",COUNTIFS($A$2:$A$500,A357,$C$2:$C$500,C357,$E$2:$E$500,"&lt;&gt;"))</f>
        <v/>
      </c>
      <c r="K357" s="13">
        <f>IF(A357="","",IF(B357="","CEK id_fixture tidak ada di DAFTAR_FIXTURE",IF(I357="zona tidak ada di layout","CEK zona_no / jenis_fixture",IF(D357&lt;&gt;I357,"CEK jenis_zona",IF(E357="","Zona kosong",IF(F357="","CEK nama kosong","OK"))))))</f>
        <v/>
      </c>
    </row>
    <row r="358">
      <c r="A358" s="9" t="n"/>
      <c r="B358" s="10">
        <f>IF(A358="","",IFERROR(INDEX(DAFTAR_FIXTURE!$B$2:$B$51,MATCH(A358,DAFTAR_FIXTURE!$A$2:$A$51,0)),""))</f>
        <v/>
      </c>
      <c r="C358" s="11" t="n"/>
      <c r="D358" s="11" t="n"/>
      <c r="E358" s="12" t="n"/>
      <c r="F358" s="9" t="n"/>
      <c r="G358" s="11" t="n"/>
      <c r="H358" s="10">
        <f>IF(E358="","","https://cdn.ruparupa.io/fit-in/850x850/ruparupa-com/image/upload/Products/"&amp;E358&amp;"_1.jpg")</f>
        <v/>
      </c>
      <c r="I358" s="10">
        <f>IF(OR(B358="",C358=""),"",IFERROR(INDEX(LAYOUT!$D$2:$D$34,MATCH(B358&amp;"|"&amp;C358,LAYOUT!$E$2:$E$34,0)),"zona tidak ada di layout"))</f>
        <v/>
      </c>
      <c r="J358" s="13">
        <f>IF(OR(A358="",E358=""),"",COUNTIFS($A$2:$A$500,A358,$C$2:$C$500,C358,$E$2:$E$500,"&lt;&gt;"))</f>
        <v/>
      </c>
      <c r="K358" s="13">
        <f>IF(A358="","",IF(B358="","CEK id_fixture tidak ada di DAFTAR_FIXTURE",IF(I358="zona tidak ada di layout","CEK zona_no / jenis_fixture",IF(D358&lt;&gt;I358,"CEK jenis_zona",IF(E358="","Zona kosong",IF(F358="","CEK nama kosong","OK"))))))</f>
        <v/>
      </c>
    </row>
    <row r="359">
      <c r="A359" s="9" t="n"/>
      <c r="B359" s="10">
        <f>IF(A359="","",IFERROR(INDEX(DAFTAR_FIXTURE!$B$2:$B$51,MATCH(A359,DAFTAR_FIXTURE!$A$2:$A$51,0)),""))</f>
        <v/>
      </c>
      <c r="C359" s="11" t="n"/>
      <c r="D359" s="11" t="n"/>
      <c r="E359" s="12" t="n"/>
      <c r="F359" s="9" t="n"/>
      <c r="G359" s="11" t="n"/>
      <c r="H359" s="10">
        <f>IF(E359="","","https://cdn.ruparupa.io/fit-in/850x850/ruparupa-com/image/upload/Products/"&amp;E359&amp;"_1.jpg")</f>
        <v/>
      </c>
      <c r="I359" s="10">
        <f>IF(OR(B359="",C359=""),"",IFERROR(INDEX(LAYOUT!$D$2:$D$34,MATCH(B359&amp;"|"&amp;C359,LAYOUT!$E$2:$E$34,0)),"zona tidak ada di layout"))</f>
        <v/>
      </c>
      <c r="J359" s="13">
        <f>IF(OR(A359="",E359=""),"",COUNTIFS($A$2:$A$500,A359,$C$2:$C$500,C359,$E$2:$E$500,"&lt;&gt;"))</f>
        <v/>
      </c>
      <c r="K359" s="13">
        <f>IF(A359="","",IF(B359="","CEK id_fixture tidak ada di DAFTAR_FIXTURE",IF(I359="zona tidak ada di layout","CEK zona_no / jenis_fixture",IF(D359&lt;&gt;I359,"CEK jenis_zona",IF(E359="","Zona kosong",IF(F359="","CEK nama kosong","OK"))))))</f>
        <v/>
      </c>
    </row>
    <row r="360">
      <c r="A360" s="9" t="n"/>
      <c r="B360" s="10">
        <f>IF(A360="","",IFERROR(INDEX(DAFTAR_FIXTURE!$B$2:$B$51,MATCH(A360,DAFTAR_FIXTURE!$A$2:$A$51,0)),""))</f>
        <v/>
      </c>
      <c r="C360" s="11" t="n"/>
      <c r="D360" s="11" t="n"/>
      <c r="E360" s="12" t="n"/>
      <c r="F360" s="9" t="n"/>
      <c r="G360" s="11" t="n"/>
      <c r="H360" s="10">
        <f>IF(E360="","","https://cdn.ruparupa.io/fit-in/850x850/ruparupa-com/image/upload/Products/"&amp;E360&amp;"_1.jpg")</f>
        <v/>
      </c>
      <c r="I360" s="10">
        <f>IF(OR(B360="",C360=""),"",IFERROR(INDEX(LAYOUT!$D$2:$D$34,MATCH(B360&amp;"|"&amp;C360,LAYOUT!$E$2:$E$34,0)),"zona tidak ada di layout"))</f>
        <v/>
      </c>
      <c r="J360" s="13">
        <f>IF(OR(A360="",E360=""),"",COUNTIFS($A$2:$A$500,A360,$C$2:$C$500,C360,$E$2:$E$500,"&lt;&gt;"))</f>
        <v/>
      </c>
      <c r="K360" s="13">
        <f>IF(A360="","",IF(B360="","CEK id_fixture tidak ada di DAFTAR_FIXTURE",IF(I360="zona tidak ada di layout","CEK zona_no / jenis_fixture",IF(D360&lt;&gt;I360,"CEK jenis_zona",IF(E360="","Zona kosong",IF(F360="","CEK nama kosong","OK"))))))</f>
        <v/>
      </c>
    </row>
    <row r="361">
      <c r="A361" s="9" t="n"/>
      <c r="B361" s="10">
        <f>IF(A361="","",IFERROR(INDEX(DAFTAR_FIXTURE!$B$2:$B$51,MATCH(A361,DAFTAR_FIXTURE!$A$2:$A$51,0)),""))</f>
        <v/>
      </c>
      <c r="C361" s="11" t="n"/>
      <c r="D361" s="11" t="n"/>
      <c r="E361" s="12" t="n"/>
      <c r="F361" s="9" t="n"/>
      <c r="G361" s="11" t="n"/>
      <c r="H361" s="10">
        <f>IF(E361="","","https://cdn.ruparupa.io/fit-in/850x850/ruparupa-com/image/upload/Products/"&amp;E361&amp;"_1.jpg")</f>
        <v/>
      </c>
      <c r="I361" s="10">
        <f>IF(OR(B361="",C361=""),"",IFERROR(INDEX(LAYOUT!$D$2:$D$34,MATCH(B361&amp;"|"&amp;C361,LAYOUT!$E$2:$E$34,0)),"zona tidak ada di layout"))</f>
        <v/>
      </c>
      <c r="J361" s="13">
        <f>IF(OR(A361="",E361=""),"",COUNTIFS($A$2:$A$500,A361,$C$2:$C$500,C361,$E$2:$E$500,"&lt;&gt;"))</f>
        <v/>
      </c>
      <c r="K361" s="13">
        <f>IF(A361="","",IF(B361="","CEK id_fixture tidak ada di DAFTAR_FIXTURE",IF(I361="zona tidak ada di layout","CEK zona_no / jenis_fixture",IF(D361&lt;&gt;I361,"CEK jenis_zona",IF(E361="","Zona kosong",IF(F361="","CEK nama kosong","OK"))))))</f>
        <v/>
      </c>
    </row>
    <row r="362">
      <c r="A362" s="9" t="n"/>
      <c r="B362" s="10">
        <f>IF(A362="","",IFERROR(INDEX(DAFTAR_FIXTURE!$B$2:$B$51,MATCH(A362,DAFTAR_FIXTURE!$A$2:$A$51,0)),""))</f>
        <v/>
      </c>
      <c r="C362" s="11" t="n"/>
      <c r="D362" s="11" t="n"/>
      <c r="E362" s="12" t="n"/>
      <c r="F362" s="9" t="n"/>
      <c r="G362" s="11" t="n"/>
      <c r="H362" s="10">
        <f>IF(E362="","","https://cdn.ruparupa.io/fit-in/850x850/ruparupa-com/image/upload/Products/"&amp;E362&amp;"_1.jpg")</f>
        <v/>
      </c>
      <c r="I362" s="10">
        <f>IF(OR(B362="",C362=""),"",IFERROR(INDEX(LAYOUT!$D$2:$D$34,MATCH(B362&amp;"|"&amp;C362,LAYOUT!$E$2:$E$34,0)),"zona tidak ada di layout"))</f>
        <v/>
      </c>
      <c r="J362" s="13">
        <f>IF(OR(A362="",E362=""),"",COUNTIFS($A$2:$A$500,A362,$C$2:$C$500,C362,$E$2:$E$500,"&lt;&gt;"))</f>
        <v/>
      </c>
      <c r="K362" s="13">
        <f>IF(A362="","",IF(B362="","CEK id_fixture tidak ada di DAFTAR_FIXTURE",IF(I362="zona tidak ada di layout","CEK zona_no / jenis_fixture",IF(D362&lt;&gt;I362,"CEK jenis_zona",IF(E362="","Zona kosong",IF(F362="","CEK nama kosong","OK"))))))</f>
        <v/>
      </c>
    </row>
    <row r="363">
      <c r="A363" s="9" t="n"/>
      <c r="B363" s="10">
        <f>IF(A363="","",IFERROR(INDEX(DAFTAR_FIXTURE!$B$2:$B$51,MATCH(A363,DAFTAR_FIXTURE!$A$2:$A$51,0)),""))</f>
        <v/>
      </c>
      <c r="C363" s="11" t="n"/>
      <c r="D363" s="11" t="n"/>
      <c r="E363" s="12" t="n"/>
      <c r="F363" s="9" t="n"/>
      <c r="G363" s="11" t="n"/>
      <c r="H363" s="10">
        <f>IF(E363="","","https://cdn.ruparupa.io/fit-in/850x850/ruparupa-com/image/upload/Products/"&amp;E363&amp;"_1.jpg")</f>
        <v/>
      </c>
      <c r="I363" s="10">
        <f>IF(OR(B363="",C363=""),"",IFERROR(INDEX(LAYOUT!$D$2:$D$34,MATCH(B363&amp;"|"&amp;C363,LAYOUT!$E$2:$E$34,0)),"zona tidak ada di layout"))</f>
        <v/>
      </c>
      <c r="J363" s="13">
        <f>IF(OR(A363="",E363=""),"",COUNTIFS($A$2:$A$500,A363,$C$2:$C$500,C363,$E$2:$E$500,"&lt;&gt;"))</f>
        <v/>
      </c>
      <c r="K363" s="13">
        <f>IF(A363="","",IF(B363="","CEK id_fixture tidak ada di DAFTAR_FIXTURE",IF(I363="zona tidak ada di layout","CEK zona_no / jenis_fixture",IF(D363&lt;&gt;I363,"CEK jenis_zona",IF(E363="","Zona kosong",IF(F363="","CEK nama kosong","OK"))))))</f>
        <v/>
      </c>
    </row>
    <row r="364">
      <c r="A364" s="9" t="n"/>
      <c r="B364" s="10">
        <f>IF(A364="","",IFERROR(INDEX(DAFTAR_FIXTURE!$B$2:$B$51,MATCH(A364,DAFTAR_FIXTURE!$A$2:$A$51,0)),""))</f>
        <v/>
      </c>
      <c r="C364" s="11" t="n"/>
      <c r="D364" s="11" t="n"/>
      <c r="E364" s="12" t="n"/>
      <c r="F364" s="9" t="n"/>
      <c r="G364" s="11" t="n"/>
      <c r="H364" s="10">
        <f>IF(E364="","","https://cdn.ruparupa.io/fit-in/850x850/ruparupa-com/image/upload/Products/"&amp;E364&amp;"_1.jpg")</f>
        <v/>
      </c>
      <c r="I364" s="10">
        <f>IF(OR(B364="",C364=""),"",IFERROR(INDEX(LAYOUT!$D$2:$D$34,MATCH(B364&amp;"|"&amp;C364,LAYOUT!$E$2:$E$34,0)),"zona tidak ada di layout"))</f>
        <v/>
      </c>
      <c r="J364" s="13">
        <f>IF(OR(A364="",E364=""),"",COUNTIFS($A$2:$A$500,A364,$C$2:$C$500,C364,$E$2:$E$500,"&lt;&gt;"))</f>
        <v/>
      </c>
      <c r="K364" s="13">
        <f>IF(A364="","",IF(B364="","CEK id_fixture tidak ada di DAFTAR_FIXTURE",IF(I364="zona tidak ada di layout","CEK zona_no / jenis_fixture",IF(D364&lt;&gt;I364,"CEK jenis_zona",IF(E364="","Zona kosong",IF(F364="","CEK nama kosong","OK"))))))</f>
        <v/>
      </c>
    </row>
    <row r="365">
      <c r="A365" s="9" t="n"/>
      <c r="B365" s="10">
        <f>IF(A365="","",IFERROR(INDEX(DAFTAR_FIXTURE!$B$2:$B$51,MATCH(A365,DAFTAR_FIXTURE!$A$2:$A$51,0)),""))</f>
        <v/>
      </c>
      <c r="C365" s="11" t="n"/>
      <c r="D365" s="11" t="n"/>
      <c r="E365" s="12" t="n"/>
      <c r="F365" s="9" t="n"/>
      <c r="G365" s="11" t="n"/>
      <c r="H365" s="10">
        <f>IF(E365="","","https://cdn.ruparupa.io/fit-in/850x850/ruparupa-com/image/upload/Products/"&amp;E365&amp;"_1.jpg")</f>
        <v/>
      </c>
      <c r="I365" s="10">
        <f>IF(OR(B365="",C365=""),"",IFERROR(INDEX(LAYOUT!$D$2:$D$34,MATCH(B365&amp;"|"&amp;C365,LAYOUT!$E$2:$E$34,0)),"zona tidak ada di layout"))</f>
        <v/>
      </c>
      <c r="J365" s="13">
        <f>IF(OR(A365="",E365=""),"",COUNTIFS($A$2:$A$500,A365,$C$2:$C$500,C365,$E$2:$E$500,"&lt;&gt;"))</f>
        <v/>
      </c>
      <c r="K365" s="13">
        <f>IF(A365="","",IF(B365="","CEK id_fixture tidak ada di DAFTAR_FIXTURE",IF(I365="zona tidak ada di layout","CEK zona_no / jenis_fixture",IF(D365&lt;&gt;I365,"CEK jenis_zona",IF(E365="","Zona kosong",IF(F365="","CEK nama kosong","OK"))))))</f>
        <v/>
      </c>
    </row>
    <row r="366">
      <c r="A366" s="9" t="n"/>
      <c r="B366" s="10">
        <f>IF(A366="","",IFERROR(INDEX(DAFTAR_FIXTURE!$B$2:$B$51,MATCH(A366,DAFTAR_FIXTURE!$A$2:$A$51,0)),""))</f>
        <v/>
      </c>
      <c r="C366" s="11" t="n"/>
      <c r="D366" s="11" t="n"/>
      <c r="E366" s="12" t="n"/>
      <c r="F366" s="9" t="n"/>
      <c r="G366" s="11" t="n"/>
      <c r="H366" s="10">
        <f>IF(E366="","","https://cdn.ruparupa.io/fit-in/850x850/ruparupa-com/image/upload/Products/"&amp;E366&amp;"_1.jpg")</f>
        <v/>
      </c>
      <c r="I366" s="10">
        <f>IF(OR(B366="",C366=""),"",IFERROR(INDEX(LAYOUT!$D$2:$D$34,MATCH(B366&amp;"|"&amp;C366,LAYOUT!$E$2:$E$34,0)),"zona tidak ada di layout"))</f>
        <v/>
      </c>
      <c r="J366" s="13">
        <f>IF(OR(A366="",E366=""),"",COUNTIFS($A$2:$A$500,A366,$C$2:$C$500,C366,$E$2:$E$500,"&lt;&gt;"))</f>
        <v/>
      </c>
      <c r="K366" s="13">
        <f>IF(A366="","",IF(B366="","CEK id_fixture tidak ada di DAFTAR_FIXTURE",IF(I366="zona tidak ada di layout","CEK zona_no / jenis_fixture",IF(D366&lt;&gt;I366,"CEK jenis_zona",IF(E366="","Zona kosong",IF(F366="","CEK nama kosong","OK"))))))</f>
        <v/>
      </c>
    </row>
    <row r="367">
      <c r="A367" s="9" t="n"/>
      <c r="B367" s="10">
        <f>IF(A367="","",IFERROR(INDEX(DAFTAR_FIXTURE!$B$2:$B$51,MATCH(A367,DAFTAR_FIXTURE!$A$2:$A$51,0)),""))</f>
        <v/>
      </c>
      <c r="C367" s="11" t="n"/>
      <c r="D367" s="11" t="n"/>
      <c r="E367" s="12" t="n"/>
      <c r="F367" s="9" t="n"/>
      <c r="G367" s="11" t="n"/>
      <c r="H367" s="10">
        <f>IF(E367="","","https://cdn.ruparupa.io/fit-in/850x850/ruparupa-com/image/upload/Products/"&amp;E367&amp;"_1.jpg")</f>
        <v/>
      </c>
      <c r="I367" s="10">
        <f>IF(OR(B367="",C367=""),"",IFERROR(INDEX(LAYOUT!$D$2:$D$34,MATCH(B367&amp;"|"&amp;C367,LAYOUT!$E$2:$E$34,0)),"zona tidak ada di layout"))</f>
        <v/>
      </c>
      <c r="J367" s="13">
        <f>IF(OR(A367="",E367=""),"",COUNTIFS($A$2:$A$500,A367,$C$2:$C$500,C367,$E$2:$E$500,"&lt;&gt;"))</f>
        <v/>
      </c>
      <c r="K367" s="13">
        <f>IF(A367="","",IF(B367="","CEK id_fixture tidak ada di DAFTAR_FIXTURE",IF(I367="zona tidak ada di layout","CEK zona_no / jenis_fixture",IF(D367&lt;&gt;I367,"CEK jenis_zona",IF(E367="","Zona kosong",IF(F367="","CEK nama kosong","OK"))))))</f>
        <v/>
      </c>
    </row>
    <row r="368">
      <c r="A368" s="9" t="n"/>
      <c r="B368" s="10">
        <f>IF(A368="","",IFERROR(INDEX(DAFTAR_FIXTURE!$B$2:$B$51,MATCH(A368,DAFTAR_FIXTURE!$A$2:$A$51,0)),""))</f>
        <v/>
      </c>
      <c r="C368" s="11" t="n"/>
      <c r="D368" s="11" t="n"/>
      <c r="E368" s="12" t="n"/>
      <c r="F368" s="9" t="n"/>
      <c r="G368" s="11" t="n"/>
      <c r="H368" s="10">
        <f>IF(E368="","","https://cdn.ruparupa.io/fit-in/850x850/ruparupa-com/image/upload/Products/"&amp;E368&amp;"_1.jpg")</f>
        <v/>
      </c>
      <c r="I368" s="10">
        <f>IF(OR(B368="",C368=""),"",IFERROR(INDEX(LAYOUT!$D$2:$D$34,MATCH(B368&amp;"|"&amp;C368,LAYOUT!$E$2:$E$34,0)),"zona tidak ada di layout"))</f>
        <v/>
      </c>
      <c r="J368" s="13">
        <f>IF(OR(A368="",E368=""),"",COUNTIFS($A$2:$A$500,A368,$C$2:$C$500,C368,$E$2:$E$500,"&lt;&gt;"))</f>
        <v/>
      </c>
      <c r="K368" s="13">
        <f>IF(A368="","",IF(B368="","CEK id_fixture tidak ada di DAFTAR_FIXTURE",IF(I368="zona tidak ada di layout","CEK zona_no / jenis_fixture",IF(D368&lt;&gt;I368,"CEK jenis_zona",IF(E368="","Zona kosong",IF(F368="","CEK nama kosong","OK"))))))</f>
        <v/>
      </c>
    </row>
    <row r="369">
      <c r="A369" s="9" t="n"/>
      <c r="B369" s="10">
        <f>IF(A369="","",IFERROR(INDEX(DAFTAR_FIXTURE!$B$2:$B$51,MATCH(A369,DAFTAR_FIXTURE!$A$2:$A$51,0)),""))</f>
        <v/>
      </c>
      <c r="C369" s="11" t="n"/>
      <c r="D369" s="11" t="n"/>
      <c r="E369" s="12" t="n"/>
      <c r="F369" s="9" t="n"/>
      <c r="G369" s="11" t="n"/>
      <c r="H369" s="10">
        <f>IF(E369="","","https://cdn.ruparupa.io/fit-in/850x850/ruparupa-com/image/upload/Products/"&amp;E369&amp;"_1.jpg")</f>
        <v/>
      </c>
      <c r="I369" s="10">
        <f>IF(OR(B369="",C369=""),"",IFERROR(INDEX(LAYOUT!$D$2:$D$34,MATCH(B369&amp;"|"&amp;C369,LAYOUT!$E$2:$E$34,0)),"zona tidak ada di layout"))</f>
        <v/>
      </c>
      <c r="J369" s="13">
        <f>IF(OR(A369="",E369=""),"",COUNTIFS($A$2:$A$500,A369,$C$2:$C$500,C369,$E$2:$E$500,"&lt;&gt;"))</f>
        <v/>
      </c>
      <c r="K369" s="13">
        <f>IF(A369="","",IF(B369="","CEK id_fixture tidak ada di DAFTAR_FIXTURE",IF(I369="zona tidak ada di layout","CEK zona_no / jenis_fixture",IF(D369&lt;&gt;I369,"CEK jenis_zona",IF(E369="","Zona kosong",IF(F369="","CEK nama kosong","OK"))))))</f>
        <v/>
      </c>
    </row>
    <row r="370">
      <c r="A370" s="9" t="n"/>
      <c r="B370" s="10">
        <f>IF(A370="","",IFERROR(INDEX(DAFTAR_FIXTURE!$B$2:$B$51,MATCH(A370,DAFTAR_FIXTURE!$A$2:$A$51,0)),""))</f>
        <v/>
      </c>
      <c r="C370" s="11" t="n"/>
      <c r="D370" s="11" t="n"/>
      <c r="E370" s="12" t="n"/>
      <c r="F370" s="9" t="n"/>
      <c r="G370" s="11" t="n"/>
      <c r="H370" s="10">
        <f>IF(E370="","","https://cdn.ruparupa.io/fit-in/850x850/ruparupa-com/image/upload/Products/"&amp;E370&amp;"_1.jpg")</f>
        <v/>
      </c>
      <c r="I370" s="10">
        <f>IF(OR(B370="",C370=""),"",IFERROR(INDEX(LAYOUT!$D$2:$D$34,MATCH(B370&amp;"|"&amp;C370,LAYOUT!$E$2:$E$34,0)),"zona tidak ada di layout"))</f>
        <v/>
      </c>
      <c r="J370" s="13">
        <f>IF(OR(A370="",E370=""),"",COUNTIFS($A$2:$A$500,A370,$C$2:$C$500,C370,$E$2:$E$500,"&lt;&gt;"))</f>
        <v/>
      </c>
      <c r="K370" s="13">
        <f>IF(A370="","",IF(B370="","CEK id_fixture tidak ada di DAFTAR_FIXTURE",IF(I370="zona tidak ada di layout","CEK zona_no / jenis_fixture",IF(D370&lt;&gt;I370,"CEK jenis_zona",IF(E370="","Zona kosong",IF(F370="","CEK nama kosong","OK"))))))</f>
        <v/>
      </c>
    </row>
    <row r="371">
      <c r="A371" s="9" t="n"/>
      <c r="B371" s="10">
        <f>IF(A371="","",IFERROR(INDEX(DAFTAR_FIXTURE!$B$2:$B$51,MATCH(A371,DAFTAR_FIXTURE!$A$2:$A$51,0)),""))</f>
        <v/>
      </c>
      <c r="C371" s="11" t="n"/>
      <c r="D371" s="11" t="n"/>
      <c r="E371" s="12" t="n"/>
      <c r="F371" s="9" t="n"/>
      <c r="G371" s="11" t="n"/>
      <c r="H371" s="10">
        <f>IF(E371="","","https://cdn.ruparupa.io/fit-in/850x850/ruparupa-com/image/upload/Products/"&amp;E371&amp;"_1.jpg")</f>
        <v/>
      </c>
      <c r="I371" s="10">
        <f>IF(OR(B371="",C371=""),"",IFERROR(INDEX(LAYOUT!$D$2:$D$34,MATCH(B371&amp;"|"&amp;C371,LAYOUT!$E$2:$E$34,0)),"zona tidak ada di layout"))</f>
        <v/>
      </c>
      <c r="J371" s="13">
        <f>IF(OR(A371="",E371=""),"",COUNTIFS($A$2:$A$500,A371,$C$2:$C$500,C371,$E$2:$E$500,"&lt;&gt;"))</f>
        <v/>
      </c>
      <c r="K371" s="13">
        <f>IF(A371="","",IF(B371="","CEK id_fixture tidak ada di DAFTAR_FIXTURE",IF(I371="zona tidak ada di layout","CEK zona_no / jenis_fixture",IF(D371&lt;&gt;I371,"CEK jenis_zona",IF(E371="","Zona kosong",IF(F371="","CEK nama kosong","OK"))))))</f>
        <v/>
      </c>
    </row>
    <row r="372">
      <c r="A372" s="9" t="n"/>
      <c r="B372" s="10">
        <f>IF(A372="","",IFERROR(INDEX(DAFTAR_FIXTURE!$B$2:$B$51,MATCH(A372,DAFTAR_FIXTURE!$A$2:$A$51,0)),""))</f>
        <v/>
      </c>
      <c r="C372" s="11" t="n"/>
      <c r="D372" s="11" t="n"/>
      <c r="E372" s="12" t="n"/>
      <c r="F372" s="9" t="n"/>
      <c r="G372" s="11" t="n"/>
      <c r="H372" s="10">
        <f>IF(E372="","","https://cdn.ruparupa.io/fit-in/850x850/ruparupa-com/image/upload/Products/"&amp;E372&amp;"_1.jpg")</f>
        <v/>
      </c>
      <c r="I372" s="10">
        <f>IF(OR(B372="",C372=""),"",IFERROR(INDEX(LAYOUT!$D$2:$D$34,MATCH(B372&amp;"|"&amp;C372,LAYOUT!$E$2:$E$34,0)),"zona tidak ada di layout"))</f>
        <v/>
      </c>
      <c r="J372" s="13">
        <f>IF(OR(A372="",E372=""),"",COUNTIFS($A$2:$A$500,A372,$C$2:$C$500,C372,$E$2:$E$500,"&lt;&gt;"))</f>
        <v/>
      </c>
      <c r="K372" s="13">
        <f>IF(A372="","",IF(B372="","CEK id_fixture tidak ada di DAFTAR_FIXTURE",IF(I372="zona tidak ada di layout","CEK zona_no / jenis_fixture",IF(D372&lt;&gt;I372,"CEK jenis_zona",IF(E372="","Zona kosong",IF(F372="","CEK nama kosong","OK"))))))</f>
        <v/>
      </c>
    </row>
    <row r="373">
      <c r="A373" s="9" t="n"/>
      <c r="B373" s="10">
        <f>IF(A373="","",IFERROR(INDEX(DAFTAR_FIXTURE!$B$2:$B$51,MATCH(A373,DAFTAR_FIXTURE!$A$2:$A$51,0)),""))</f>
        <v/>
      </c>
      <c r="C373" s="11" t="n"/>
      <c r="D373" s="11" t="n"/>
      <c r="E373" s="12" t="n"/>
      <c r="F373" s="9" t="n"/>
      <c r="G373" s="11" t="n"/>
      <c r="H373" s="10">
        <f>IF(E373="","","https://cdn.ruparupa.io/fit-in/850x850/ruparupa-com/image/upload/Products/"&amp;E373&amp;"_1.jpg")</f>
        <v/>
      </c>
      <c r="I373" s="10">
        <f>IF(OR(B373="",C373=""),"",IFERROR(INDEX(LAYOUT!$D$2:$D$34,MATCH(B373&amp;"|"&amp;C373,LAYOUT!$E$2:$E$34,0)),"zona tidak ada di layout"))</f>
        <v/>
      </c>
      <c r="J373" s="13">
        <f>IF(OR(A373="",E373=""),"",COUNTIFS($A$2:$A$500,A373,$C$2:$C$500,C373,$E$2:$E$500,"&lt;&gt;"))</f>
        <v/>
      </c>
      <c r="K373" s="13">
        <f>IF(A373="","",IF(B373="","CEK id_fixture tidak ada di DAFTAR_FIXTURE",IF(I373="zona tidak ada di layout","CEK zona_no / jenis_fixture",IF(D373&lt;&gt;I373,"CEK jenis_zona",IF(E373="","Zona kosong",IF(F373="","CEK nama kosong","OK"))))))</f>
        <v/>
      </c>
    </row>
    <row r="374">
      <c r="A374" s="9" t="n"/>
      <c r="B374" s="10">
        <f>IF(A374="","",IFERROR(INDEX(DAFTAR_FIXTURE!$B$2:$B$51,MATCH(A374,DAFTAR_FIXTURE!$A$2:$A$51,0)),""))</f>
        <v/>
      </c>
      <c r="C374" s="11" t="n"/>
      <c r="D374" s="11" t="n"/>
      <c r="E374" s="12" t="n"/>
      <c r="F374" s="9" t="n"/>
      <c r="G374" s="11" t="n"/>
      <c r="H374" s="10">
        <f>IF(E374="","","https://cdn.ruparupa.io/fit-in/850x850/ruparupa-com/image/upload/Products/"&amp;E374&amp;"_1.jpg")</f>
        <v/>
      </c>
      <c r="I374" s="10">
        <f>IF(OR(B374="",C374=""),"",IFERROR(INDEX(LAYOUT!$D$2:$D$34,MATCH(B374&amp;"|"&amp;C374,LAYOUT!$E$2:$E$34,0)),"zona tidak ada di layout"))</f>
        <v/>
      </c>
      <c r="J374" s="13">
        <f>IF(OR(A374="",E374=""),"",COUNTIFS($A$2:$A$500,A374,$C$2:$C$500,C374,$E$2:$E$500,"&lt;&gt;"))</f>
        <v/>
      </c>
      <c r="K374" s="13">
        <f>IF(A374="","",IF(B374="","CEK id_fixture tidak ada di DAFTAR_FIXTURE",IF(I374="zona tidak ada di layout","CEK zona_no / jenis_fixture",IF(D374&lt;&gt;I374,"CEK jenis_zona",IF(E374="","Zona kosong",IF(F374="","CEK nama kosong","OK"))))))</f>
        <v/>
      </c>
    </row>
    <row r="375">
      <c r="A375" s="9" t="n"/>
      <c r="B375" s="10">
        <f>IF(A375="","",IFERROR(INDEX(DAFTAR_FIXTURE!$B$2:$B$51,MATCH(A375,DAFTAR_FIXTURE!$A$2:$A$51,0)),""))</f>
        <v/>
      </c>
      <c r="C375" s="11" t="n"/>
      <c r="D375" s="11" t="n"/>
      <c r="E375" s="12" t="n"/>
      <c r="F375" s="9" t="n"/>
      <c r="G375" s="11" t="n"/>
      <c r="H375" s="10">
        <f>IF(E375="","","https://cdn.ruparupa.io/fit-in/850x850/ruparupa-com/image/upload/Products/"&amp;E375&amp;"_1.jpg")</f>
        <v/>
      </c>
      <c r="I375" s="10">
        <f>IF(OR(B375="",C375=""),"",IFERROR(INDEX(LAYOUT!$D$2:$D$34,MATCH(B375&amp;"|"&amp;C375,LAYOUT!$E$2:$E$34,0)),"zona tidak ada di layout"))</f>
        <v/>
      </c>
      <c r="J375" s="13">
        <f>IF(OR(A375="",E375=""),"",COUNTIFS($A$2:$A$500,A375,$C$2:$C$500,C375,$E$2:$E$500,"&lt;&gt;"))</f>
        <v/>
      </c>
      <c r="K375" s="13">
        <f>IF(A375="","",IF(B375="","CEK id_fixture tidak ada di DAFTAR_FIXTURE",IF(I375="zona tidak ada di layout","CEK zona_no / jenis_fixture",IF(D375&lt;&gt;I375,"CEK jenis_zona",IF(E375="","Zona kosong",IF(F375="","CEK nama kosong","OK"))))))</f>
        <v/>
      </c>
    </row>
    <row r="376">
      <c r="A376" s="9" t="n"/>
      <c r="B376" s="10">
        <f>IF(A376="","",IFERROR(INDEX(DAFTAR_FIXTURE!$B$2:$B$51,MATCH(A376,DAFTAR_FIXTURE!$A$2:$A$51,0)),""))</f>
        <v/>
      </c>
      <c r="C376" s="11" t="n"/>
      <c r="D376" s="11" t="n"/>
      <c r="E376" s="12" t="n"/>
      <c r="F376" s="9" t="n"/>
      <c r="G376" s="11" t="n"/>
      <c r="H376" s="10">
        <f>IF(E376="","","https://cdn.ruparupa.io/fit-in/850x850/ruparupa-com/image/upload/Products/"&amp;E376&amp;"_1.jpg")</f>
        <v/>
      </c>
      <c r="I376" s="10">
        <f>IF(OR(B376="",C376=""),"",IFERROR(INDEX(LAYOUT!$D$2:$D$34,MATCH(B376&amp;"|"&amp;C376,LAYOUT!$E$2:$E$34,0)),"zona tidak ada di layout"))</f>
        <v/>
      </c>
      <c r="J376" s="13">
        <f>IF(OR(A376="",E376=""),"",COUNTIFS($A$2:$A$500,A376,$C$2:$C$500,C376,$E$2:$E$500,"&lt;&gt;"))</f>
        <v/>
      </c>
      <c r="K376" s="13">
        <f>IF(A376="","",IF(B376="","CEK id_fixture tidak ada di DAFTAR_FIXTURE",IF(I376="zona tidak ada di layout","CEK zona_no / jenis_fixture",IF(D376&lt;&gt;I376,"CEK jenis_zona",IF(E376="","Zona kosong",IF(F376="","CEK nama kosong","OK"))))))</f>
        <v/>
      </c>
    </row>
    <row r="377">
      <c r="A377" s="9" t="n"/>
      <c r="B377" s="10">
        <f>IF(A377="","",IFERROR(INDEX(DAFTAR_FIXTURE!$B$2:$B$51,MATCH(A377,DAFTAR_FIXTURE!$A$2:$A$51,0)),""))</f>
        <v/>
      </c>
      <c r="C377" s="11" t="n"/>
      <c r="D377" s="11" t="n"/>
      <c r="E377" s="12" t="n"/>
      <c r="F377" s="9" t="n"/>
      <c r="G377" s="11" t="n"/>
      <c r="H377" s="10">
        <f>IF(E377="","","https://cdn.ruparupa.io/fit-in/850x850/ruparupa-com/image/upload/Products/"&amp;E377&amp;"_1.jpg")</f>
        <v/>
      </c>
      <c r="I377" s="10">
        <f>IF(OR(B377="",C377=""),"",IFERROR(INDEX(LAYOUT!$D$2:$D$34,MATCH(B377&amp;"|"&amp;C377,LAYOUT!$E$2:$E$34,0)),"zona tidak ada di layout"))</f>
        <v/>
      </c>
      <c r="J377" s="13">
        <f>IF(OR(A377="",E377=""),"",COUNTIFS($A$2:$A$500,A377,$C$2:$C$500,C377,$E$2:$E$500,"&lt;&gt;"))</f>
        <v/>
      </c>
      <c r="K377" s="13">
        <f>IF(A377="","",IF(B377="","CEK id_fixture tidak ada di DAFTAR_FIXTURE",IF(I377="zona tidak ada di layout","CEK zona_no / jenis_fixture",IF(D377&lt;&gt;I377,"CEK jenis_zona",IF(E377="","Zona kosong",IF(F377="","CEK nama kosong","OK"))))))</f>
        <v/>
      </c>
    </row>
    <row r="378">
      <c r="A378" s="9" t="n"/>
      <c r="B378" s="10">
        <f>IF(A378="","",IFERROR(INDEX(DAFTAR_FIXTURE!$B$2:$B$51,MATCH(A378,DAFTAR_FIXTURE!$A$2:$A$51,0)),""))</f>
        <v/>
      </c>
      <c r="C378" s="11" t="n"/>
      <c r="D378" s="11" t="n"/>
      <c r="E378" s="12" t="n"/>
      <c r="F378" s="9" t="n"/>
      <c r="G378" s="11" t="n"/>
      <c r="H378" s="10">
        <f>IF(E378="","","https://cdn.ruparupa.io/fit-in/850x850/ruparupa-com/image/upload/Products/"&amp;E378&amp;"_1.jpg")</f>
        <v/>
      </c>
      <c r="I378" s="10">
        <f>IF(OR(B378="",C378=""),"",IFERROR(INDEX(LAYOUT!$D$2:$D$34,MATCH(B378&amp;"|"&amp;C378,LAYOUT!$E$2:$E$34,0)),"zona tidak ada di layout"))</f>
        <v/>
      </c>
      <c r="J378" s="13">
        <f>IF(OR(A378="",E378=""),"",COUNTIFS($A$2:$A$500,A378,$C$2:$C$500,C378,$E$2:$E$500,"&lt;&gt;"))</f>
        <v/>
      </c>
      <c r="K378" s="13">
        <f>IF(A378="","",IF(B378="","CEK id_fixture tidak ada di DAFTAR_FIXTURE",IF(I378="zona tidak ada di layout","CEK zona_no / jenis_fixture",IF(D378&lt;&gt;I378,"CEK jenis_zona",IF(E378="","Zona kosong",IF(F378="","CEK nama kosong","OK"))))))</f>
        <v/>
      </c>
    </row>
    <row r="379">
      <c r="A379" s="9" t="n"/>
      <c r="B379" s="10">
        <f>IF(A379="","",IFERROR(INDEX(DAFTAR_FIXTURE!$B$2:$B$51,MATCH(A379,DAFTAR_FIXTURE!$A$2:$A$51,0)),""))</f>
        <v/>
      </c>
      <c r="C379" s="11" t="n"/>
      <c r="D379" s="11" t="n"/>
      <c r="E379" s="12" t="n"/>
      <c r="F379" s="9" t="n"/>
      <c r="G379" s="11" t="n"/>
      <c r="H379" s="10">
        <f>IF(E379="","","https://cdn.ruparupa.io/fit-in/850x850/ruparupa-com/image/upload/Products/"&amp;E379&amp;"_1.jpg")</f>
        <v/>
      </c>
      <c r="I379" s="10">
        <f>IF(OR(B379="",C379=""),"",IFERROR(INDEX(LAYOUT!$D$2:$D$34,MATCH(B379&amp;"|"&amp;C379,LAYOUT!$E$2:$E$34,0)),"zona tidak ada di layout"))</f>
        <v/>
      </c>
      <c r="J379" s="13">
        <f>IF(OR(A379="",E379=""),"",COUNTIFS($A$2:$A$500,A379,$C$2:$C$500,C379,$E$2:$E$500,"&lt;&gt;"))</f>
        <v/>
      </c>
      <c r="K379" s="13">
        <f>IF(A379="","",IF(B379="","CEK id_fixture tidak ada di DAFTAR_FIXTURE",IF(I379="zona tidak ada di layout","CEK zona_no / jenis_fixture",IF(D379&lt;&gt;I379,"CEK jenis_zona",IF(E379="","Zona kosong",IF(F379="","CEK nama kosong","OK"))))))</f>
        <v/>
      </c>
    </row>
    <row r="380">
      <c r="A380" s="9" t="n"/>
      <c r="B380" s="10">
        <f>IF(A380="","",IFERROR(INDEX(DAFTAR_FIXTURE!$B$2:$B$51,MATCH(A380,DAFTAR_FIXTURE!$A$2:$A$51,0)),""))</f>
        <v/>
      </c>
      <c r="C380" s="11" t="n"/>
      <c r="D380" s="11" t="n"/>
      <c r="E380" s="12" t="n"/>
      <c r="F380" s="9" t="n"/>
      <c r="G380" s="11" t="n"/>
      <c r="H380" s="10">
        <f>IF(E380="","","https://cdn.ruparupa.io/fit-in/850x850/ruparupa-com/image/upload/Products/"&amp;E380&amp;"_1.jpg")</f>
        <v/>
      </c>
      <c r="I380" s="10">
        <f>IF(OR(B380="",C380=""),"",IFERROR(INDEX(LAYOUT!$D$2:$D$34,MATCH(B380&amp;"|"&amp;C380,LAYOUT!$E$2:$E$34,0)),"zona tidak ada di layout"))</f>
        <v/>
      </c>
      <c r="J380" s="13">
        <f>IF(OR(A380="",E380=""),"",COUNTIFS($A$2:$A$500,A380,$C$2:$C$500,C380,$E$2:$E$500,"&lt;&gt;"))</f>
        <v/>
      </c>
      <c r="K380" s="13">
        <f>IF(A380="","",IF(B380="","CEK id_fixture tidak ada di DAFTAR_FIXTURE",IF(I380="zona tidak ada di layout","CEK zona_no / jenis_fixture",IF(D380&lt;&gt;I380,"CEK jenis_zona",IF(E380="","Zona kosong",IF(F380="","CEK nama kosong","OK"))))))</f>
        <v/>
      </c>
    </row>
    <row r="381">
      <c r="A381" s="9" t="n"/>
      <c r="B381" s="10">
        <f>IF(A381="","",IFERROR(INDEX(DAFTAR_FIXTURE!$B$2:$B$51,MATCH(A381,DAFTAR_FIXTURE!$A$2:$A$51,0)),""))</f>
        <v/>
      </c>
      <c r="C381" s="11" t="n"/>
      <c r="D381" s="11" t="n"/>
      <c r="E381" s="12" t="n"/>
      <c r="F381" s="9" t="n"/>
      <c r="G381" s="11" t="n"/>
      <c r="H381" s="10">
        <f>IF(E381="","","https://cdn.ruparupa.io/fit-in/850x850/ruparupa-com/image/upload/Products/"&amp;E381&amp;"_1.jpg")</f>
        <v/>
      </c>
      <c r="I381" s="10">
        <f>IF(OR(B381="",C381=""),"",IFERROR(INDEX(LAYOUT!$D$2:$D$34,MATCH(B381&amp;"|"&amp;C381,LAYOUT!$E$2:$E$34,0)),"zona tidak ada di layout"))</f>
        <v/>
      </c>
      <c r="J381" s="13">
        <f>IF(OR(A381="",E381=""),"",COUNTIFS($A$2:$A$500,A381,$C$2:$C$500,C381,$E$2:$E$500,"&lt;&gt;"))</f>
        <v/>
      </c>
      <c r="K381" s="13">
        <f>IF(A381="","",IF(B381="","CEK id_fixture tidak ada di DAFTAR_FIXTURE",IF(I381="zona tidak ada di layout","CEK zona_no / jenis_fixture",IF(D381&lt;&gt;I381,"CEK jenis_zona",IF(E381="","Zona kosong",IF(F381="","CEK nama kosong","OK"))))))</f>
        <v/>
      </c>
    </row>
    <row r="382">
      <c r="A382" s="9" t="n"/>
      <c r="B382" s="10">
        <f>IF(A382="","",IFERROR(INDEX(DAFTAR_FIXTURE!$B$2:$B$51,MATCH(A382,DAFTAR_FIXTURE!$A$2:$A$51,0)),""))</f>
        <v/>
      </c>
      <c r="C382" s="11" t="n"/>
      <c r="D382" s="11" t="n"/>
      <c r="E382" s="12" t="n"/>
      <c r="F382" s="9" t="n"/>
      <c r="G382" s="11" t="n"/>
      <c r="H382" s="10">
        <f>IF(E382="","","https://cdn.ruparupa.io/fit-in/850x850/ruparupa-com/image/upload/Products/"&amp;E382&amp;"_1.jpg")</f>
        <v/>
      </c>
      <c r="I382" s="10">
        <f>IF(OR(B382="",C382=""),"",IFERROR(INDEX(LAYOUT!$D$2:$D$34,MATCH(B382&amp;"|"&amp;C382,LAYOUT!$E$2:$E$34,0)),"zona tidak ada di layout"))</f>
        <v/>
      </c>
      <c r="J382" s="13">
        <f>IF(OR(A382="",E382=""),"",COUNTIFS($A$2:$A$500,A382,$C$2:$C$500,C382,$E$2:$E$500,"&lt;&gt;"))</f>
        <v/>
      </c>
      <c r="K382" s="13">
        <f>IF(A382="","",IF(B382="","CEK id_fixture tidak ada di DAFTAR_FIXTURE",IF(I382="zona tidak ada di layout","CEK zona_no / jenis_fixture",IF(D382&lt;&gt;I382,"CEK jenis_zona",IF(E382="","Zona kosong",IF(F382="","CEK nama kosong","OK"))))))</f>
        <v/>
      </c>
    </row>
    <row r="383">
      <c r="A383" s="9" t="n"/>
      <c r="B383" s="10">
        <f>IF(A383="","",IFERROR(INDEX(DAFTAR_FIXTURE!$B$2:$B$51,MATCH(A383,DAFTAR_FIXTURE!$A$2:$A$51,0)),""))</f>
        <v/>
      </c>
      <c r="C383" s="11" t="n"/>
      <c r="D383" s="11" t="n"/>
      <c r="E383" s="12" t="n"/>
      <c r="F383" s="9" t="n"/>
      <c r="G383" s="11" t="n"/>
      <c r="H383" s="10">
        <f>IF(E383="","","https://cdn.ruparupa.io/fit-in/850x850/ruparupa-com/image/upload/Products/"&amp;E383&amp;"_1.jpg")</f>
        <v/>
      </c>
      <c r="I383" s="10">
        <f>IF(OR(B383="",C383=""),"",IFERROR(INDEX(LAYOUT!$D$2:$D$34,MATCH(B383&amp;"|"&amp;C383,LAYOUT!$E$2:$E$34,0)),"zona tidak ada di layout"))</f>
        <v/>
      </c>
      <c r="J383" s="13">
        <f>IF(OR(A383="",E383=""),"",COUNTIFS($A$2:$A$500,A383,$C$2:$C$500,C383,$E$2:$E$500,"&lt;&gt;"))</f>
        <v/>
      </c>
      <c r="K383" s="13">
        <f>IF(A383="","",IF(B383="","CEK id_fixture tidak ada di DAFTAR_FIXTURE",IF(I383="zona tidak ada di layout","CEK zona_no / jenis_fixture",IF(D383&lt;&gt;I383,"CEK jenis_zona",IF(E383="","Zona kosong",IF(F383="","CEK nama kosong","OK"))))))</f>
        <v/>
      </c>
    </row>
    <row r="384">
      <c r="A384" s="9" t="n"/>
      <c r="B384" s="10">
        <f>IF(A384="","",IFERROR(INDEX(DAFTAR_FIXTURE!$B$2:$B$51,MATCH(A384,DAFTAR_FIXTURE!$A$2:$A$51,0)),""))</f>
        <v/>
      </c>
      <c r="C384" s="11" t="n"/>
      <c r="D384" s="11" t="n"/>
      <c r="E384" s="12" t="n"/>
      <c r="F384" s="9" t="n"/>
      <c r="G384" s="11" t="n"/>
      <c r="H384" s="10">
        <f>IF(E384="","","https://cdn.ruparupa.io/fit-in/850x850/ruparupa-com/image/upload/Products/"&amp;E384&amp;"_1.jpg")</f>
        <v/>
      </c>
      <c r="I384" s="10">
        <f>IF(OR(B384="",C384=""),"",IFERROR(INDEX(LAYOUT!$D$2:$D$34,MATCH(B384&amp;"|"&amp;C384,LAYOUT!$E$2:$E$34,0)),"zona tidak ada di layout"))</f>
        <v/>
      </c>
      <c r="J384" s="13">
        <f>IF(OR(A384="",E384=""),"",COUNTIFS($A$2:$A$500,A384,$C$2:$C$500,C384,$E$2:$E$500,"&lt;&gt;"))</f>
        <v/>
      </c>
      <c r="K384" s="13">
        <f>IF(A384="","",IF(B384="","CEK id_fixture tidak ada di DAFTAR_FIXTURE",IF(I384="zona tidak ada di layout","CEK zona_no / jenis_fixture",IF(D384&lt;&gt;I384,"CEK jenis_zona",IF(E384="","Zona kosong",IF(F384="","CEK nama kosong","OK"))))))</f>
        <v/>
      </c>
    </row>
    <row r="385">
      <c r="A385" s="9" t="n"/>
      <c r="B385" s="10">
        <f>IF(A385="","",IFERROR(INDEX(DAFTAR_FIXTURE!$B$2:$B$51,MATCH(A385,DAFTAR_FIXTURE!$A$2:$A$51,0)),""))</f>
        <v/>
      </c>
      <c r="C385" s="11" t="n"/>
      <c r="D385" s="11" t="n"/>
      <c r="E385" s="12" t="n"/>
      <c r="F385" s="9" t="n"/>
      <c r="G385" s="11" t="n"/>
      <c r="H385" s="10">
        <f>IF(E385="","","https://cdn.ruparupa.io/fit-in/850x850/ruparupa-com/image/upload/Products/"&amp;E385&amp;"_1.jpg")</f>
        <v/>
      </c>
      <c r="I385" s="10">
        <f>IF(OR(B385="",C385=""),"",IFERROR(INDEX(LAYOUT!$D$2:$D$34,MATCH(B385&amp;"|"&amp;C385,LAYOUT!$E$2:$E$34,0)),"zona tidak ada di layout"))</f>
        <v/>
      </c>
      <c r="J385" s="13">
        <f>IF(OR(A385="",E385=""),"",COUNTIFS($A$2:$A$500,A385,$C$2:$C$500,C385,$E$2:$E$500,"&lt;&gt;"))</f>
        <v/>
      </c>
      <c r="K385" s="13">
        <f>IF(A385="","",IF(B385="","CEK id_fixture tidak ada di DAFTAR_FIXTURE",IF(I385="zona tidak ada di layout","CEK zona_no / jenis_fixture",IF(D385&lt;&gt;I385,"CEK jenis_zona",IF(E385="","Zona kosong",IF(F385="","CEK nama kosong","OK"))))))</f>
        <v/>
      </c>
    </row>
    <row r="386">
      <c r="A386" s="9" t="n"/>
      <c r="B386" s="10">
        <f>IF(A386="","",IFERROR(INDEX(DAFTAR_FIXTURE!$B$2:$B$51,MATCH(A386,DAFTAR_FIXTURE!$A$2:$A$51,0)),""))</f>
        <v/>
      </c>
      <c r="C386" s="11" t="n"/>
      <c r="D386" s="11" t="n"/>
      <c r="E386" s="12" t="n"/>
      <c r="F386" s="9" t="n"/>
      <c r="G386" s="11" t="n"/>
      <c r="H386" s="10">
        <f>IF(E386="","","https://cdn.ruparupa.io/fit-in/850x850/ruparupa-com/image/upload/Products/"&amp;E386&amp;"_1.jpg")</f>
        <v/>
      </c>
      <c r="I386" s="10">
        <f>IF(OR(B386="",C386=""),"",IFERROR(INDEX(LAYOUT!$D$2:$D$34,MATCH(B386&amp;"|"&amp;C386,LAYOUT!$E$2:$E$34,0)),"zona tidak ada di layout"))</f>
        <v/>
      </c>
      <c r="J386" s="13">
        <f>IF(OR(A386="",E386=""),"",COUNTIFS($A$2:$A$500,A386,$C$2:$C$500,C386,$E$2:$E$500,"&lt;&gt;"))</f>
        <v/>
      </c>
      <c r="K386" s="13">
        <f>IF(A386="","",IF(B386="","CEK id_fixture tidak ada di DAFTAR_FIXTURE",IF(I386="zona tidak ada di layout","CEK zona_no / jenis_fixture",IF(D386&lt;&gt;I386,"CEK jenis_zona",IF(E386="","Zona kosong",IF(F386="","CEK nama kosong","OK"))))))</f>
        <v/>
      </c>
    </row>
    <row r="387">
      <c r="A387" s="9" t="n"/>
      <c r="B387" s="10">
        <f>IF(A387="","",IFERROR(INDEX(DAFTAR_FIXTURE!$B$2:$B$51,MATCH(A387,DAFTAR_FIXTURE!$A$2:$A$51,0)),""))</f>
        <v/>
      </c>
      <c r="C387" s="11" t="n"/>
      <c r="D387" s="11" t="n"/>
      <c r="E387" s="12" t="n"/>
      <c r="F387" s="9" t="n"/>
      <c r="G387" s="11" t="n"/>
      <c r="H387" s="10">
        <f>IF(E387="","","https://cdn.ruparupa.io/fit-in/850x850/ruparupa-com/image/upload/Products/"&amp;E387&amp;"_1.jpg")</f>
        <v/>
      </c>
      <c r="I387" s="10">
        <f>IF(OR(B387="",C387=""),"",IFERROR(INDEX(LAYOUT!$D$2:$D$34,MATCH(B387&amp;"|"&amp;C387,LAYOUT!$E$2:$E$34,0)),"zona tidak ada di layout"))</f>
        <v/>
      </c>
      <c r="J387" s="13">
        <f>IF(OR(A387="",E387=""),"",COUNTIFS($A$2:$A$500,A387,$C$2:$C$500,C387,$E$2:$E$500,"&lt;&gt;"))</f>
        <v/>
      </c>
      <c r="K387" s="13">
        <f>IF(A387="","",IF(B387="","CEK id_fixture tidak ada di DAFTAR_FIXTURE",IF(I387="zona tidak ada di layout","CEK zona_no / jenis_fixture",IF(D387&lt;&gt;I387,"CEK jenis_zona",IF(E387="","Zona kosong",IF(F387="","CEK nama kosong","OK"))))))</f>
        <v/>
      </c>
    </row>
    <row r="388">
      <c r="A388" s="9" t="n"/>
      <c r="B388" s="10">
        <f>IF(A388="","",IFERROR(INDEX(DAFTAR_FIXTURE!$B$2:$B$51,MATCH(A388,DAFTAR_FIXTURE!$A$2:$A$51,0)),""))</f>
        <v/>
      </c>
      <c r="C388" s="11" t="n"/>
      <c r="D388" s="11" t="n"/>
      <c r="E388" s="12" t="n"/>
      <c r="F388" s="9" t="n"/>
      <c r="G388" s="11" t="n"/>
      <c r="H388" s="10">
        <f>IF(E388="","","https://cdn.ruparupa.io/fit-in/850x850/ruparupa-com/image/upload/Products/"&amp;E388&amp;"_1.jpg")</f>
        <v/>
      </c>
      <c r="I388" s="10">
        <f>IF(OR(B388="",C388=""),"",IFERROR(INDEX(LAYOUT!$D$2:$D$34,MATCH(B388&amp;"|"&amp;C388,LAYOUT!$E$2:$E$34,0)),"zona tidak ada di layout"))</f>
        <v/>
      </c>
      <c r="J388" s="13">
        <f>IF(OR(A388="",E388=""),"",COUNTIFS($A$2:$A$500,A388,$C$2:$C$500,C388,$E$2:$E$500,"&lt;&gt;"))</f>
        <v/>
      </c>
      <c r="K388" s="13">
        <f>IF(A388="","",IF(B388="","CEK id_fixture tidak ada di DAFTAR_FIXTURE",IF(I388="zona tidak ada di layout","CEK zona_no / jenis_fixture",IF(D388&lt;&gt;I388,"CEK jenis_zona",IF(E388="","Zona kosong",IF(F388="","CEK nama kosong","OK"))))))</f>
        <v/>
      </c>
    </row>
    <row r="389">
      <c r="A389" s="9" t="n"/>
      <c r="B389" s="10">
        <f>IF(A389="","",IFERROR(INDEX(DAFTAR_FIXTURE!$B$2:$B$51,MATCH(A389,DAFTAR_FIXTURE!$A$2:$A$51,0)),""))</f>
        <v/>
      </c>
      <c r="C389" s="11" t="n"/>
      <c r="D389" s="11" t="n"/>
      <c r="E389" s="12" t="n"/>
      <c r="F389" s="9" t="n"/>
      <c r="G389" s="11" t="n"/>
      <c r="H389" s="10">
        <f>IF(E389="","","https://cdn.ruparupa.io/fit-in/850x850/ruparupa-com/image/upload/Products/"&amp;E389&amp;"_1.jpg")</f>
        <v/>
      </c>
      <c r="I389" s="10">
        <f>IF(OR(B389="",C389=""),"",IFERROR(INDEX(LAYOUT!$D$2:$D$34,MATCH(B389&amp;"|"&amp;C389,LAYOUT!$E$2:$E$34,0)),"zona tidak ada di layout"))</f>
        <v/>
      </c>
      <c r="J389" s="13">
        <f>IF(OR(A389="",E389=""),"",COUNTIFS($A$2:$A$500,A389,$C$2:$C$500,C389,$E$2:$E$500,"&lt;&gt;"))</f>
        <v/>
      </c>
      <c r="K389" s="13">
        <f>IF(A389="","",IF(B389="","CEK id_fixture tidak ada di DAFTAR_FIXTURE",IF(I389="zona tidak ada di layout","CEK zona_no / jenis_fixture",IF(D389&lt;&gt;I389,"CEK jenis_zona",IF(E389="","Zona kosong",IF(F389="","CEK nama kosong","OK"))))))</f>
        <v/>
      </c>
    </row>
    <row r="390">
      <c r="A390" s="9" t="n"/>
      <c r="B390" s="10">
        <f>IF(A390="","",IFERROR(INDEX(DAFTAR_FIXTURE!$B$2:$B$51,MATCH(A390,DAFTAR_FIXTURE!$A$2:$A$51,0)),""))</f>
        <v/>
      </c>
      <c r="C390" s="11" t="n"/>
      <c r="D390" s="11" t="n"/>
      <c r="E390" s="12" t="n"/>
      <c r="F390" s="9" t="n"/>
      <c r="G390" s="11" t="n"/>
      <c r="H390" s="10">
        <f>IF(E390="","","https://cdn.ruparupa.io/fit-in/850x850/ruparupa-com/image/upload/Products/"&amp;E390&amp;"_1.jpg")</f>
        <v/>
      </c>
      <c r="I390" s="10">
        <f>IF(OR(B390="",C390=""),"",IFERROR(INDEX(LAYOUT!$D$2:$D$34,MATCH(B390&amp;"|"&amp;C390,LAYOUT!$E$2:$E$34,0)),"zona tidak ada di layout"))</f>
        <v/>
      </c>
      <c r="J390" s="13">
        <f>IF(OR(A390="",E390=""),"",COUNTIFS($A$2:$A$500,A390,$C$2:$C$500,C390,$E$2:$E$500,"&lt;&gt;"))</f>
        <v/>
      </c>
      <c r="K390" s="13">
        <f>IF(A390="","",IF(B390="","CEK id_fixture tidak ada di DAFTAR_FIXTURE",IF(I390="zona tidak ada di layout","CEK zona_no / jenis_fixture",IF(D390&lt;&gt;I390,"CEK jenis_zona",IF(E390="","Zona kosong",IF(F390="","CEK nama kosong","OK"))))))</f>
        <v/>
      </c>
    </row>
    <row r="391">
      <c r="A391" s="9" t="n"/>
      <c r="B391" s="10">
        <f>IF(A391="","",IFERROR(INDEX(DAFTAR_FIXTURE!$B$2:$B$51,MATCH(A391,DAFTAR_FIXTURE!$A$2:$A$51,0)),""))</f>
        <v/>
      </c>
      <c r="C391" s="11" t="n"/>
      <c r="D391" s="11" t="n"/>
      <c r="E391" s="12" t="n"/>
      <c r="F391" s="9" t="n"/>
      <c r="G391" s="11" t="n"/>
      <c r="H391" s="10">
        <f>IF(E391="","","https://cdn.ruparupa.io/fit-in/850x850/ruparupa-com/image/upload/Products/"&amp;E391&amp;"_1.jpg")</f>
        <v/>
      </c>
      <c r="I391" s="10">
        <f>IF(OR(B391="",C391=""),"",IFERROR(INDEX(LAYOUT!$D$2:$D$34,MATCH(B391&amp;"|"&amp;C391,LAYOUT!$E$2:$E$34,0)),"zona tidak ada di layout"))</f>
        <v/>
      </c>
      <c r="J391" s="13">
        <f>IF(OR(A391="",E391=""),"",COUNTIFS($A$2:$A$500,A391,$C$2:$C$500,C391,$E$2:$E$500,"&lt;&gt;"))</f>
        <v/>
      </c>
      <c r="K391" s="13">
        <f>IF(A391="","",IF(B391="","CEK id_fixture tidak ada di DAFTAR_FIXTURE",IF(I391="zona tidak ada di layout","CEK zona_no / jenis_fixture",IF(D391&lt;&gt;I391,"CEK jenis_zona",IF(E391="","Zona kosong",IF(F391="","CEK nama kosong","OK"))))))</f>
        <v/>
      </c>
    </row>
    <row r="392">
      <c r="A392" s="9" t="n"/>
      <c r="B392" s="10">
        <f>IF(A392="","",IFERROR(INDEX(DAFTAR_FIXTURE!$B$2:$B$51,MATCH(A392,DAFTAR_FIXTURE!$A$2:$A$51,0)),""))</f>
        <v/>
      </c>
      <c r="C392" s="11" t="n"/>
      <c r="D392" s="11" t="n"/>
      <c r="E392" s="12" t="n"/>
      <c r="F392" s="9" t="n"/>
      <c r="G392" s="11" t="n"/>
      <c r="H392" s="10">
        <f>IF(E392="","","https://cdn.ruparupa.io/fit-in/850x850/ruparupa-com/image/upload/Products/"&amp;E392&amp;"_1.jpg")</f>
        <v/>
      </c>
      <c r="I392" s="10">
        <f>IF(OR(B392="",C392=""),"",IFERROR(INDEX(LAYOUT!$D$2:$D$34,MATCH(B392&amp;"|"&amp;C392,LAYOUT!$E$2:$E$34,0)),"zona tidak ada di layout"))</f>
        <v/>
      </c>
      <c r="J392" s="13">
        <f>IF(OR(A392="",E392=""),"",COUNTIFS($A$2:$A$500,A392,$C$2:$C$500,C392,$E$2:$E$500,"&lt;&gt;"))</f>
        <v/>
      </c>
      <c r="K392" s="13">
        <f>IF(A392="","",IF(B392="","CEK id_fixture tidak ada di DAFTAR_FIXTURE",IF(I392="zona tidak ada di layout","CEK zona_no / jenis_fixture",IF(D392&lt;&gt;I392,"CEK jenis_zona",IF(E392="","Zona kosong",IF(F392="","CEK nama kosong","OK"))))))</f>
        <v/>
      </c>
    </row>
    <row r="393">
      <c r="A393" s="9" t="n"/>
      <c r="B393" s="10">
        <f>IF(A393="","",IFERROR(INDEX(DAFTAR_FIXTURE!$B$2:$B$51,MATCH(A393,DAFTAR_FIXTURE!$A$2:$A$51,0)),""))</f>
        <v/>
      </c>
      <c r="C393" s="11" t="n"/>
      <c r="D393" s="11" t="n"/>
      <c r="E393" s="12" t="n"/>
      <c r="F393" s="9" t="n"/>
      <c r="G393" s="11" t="n"/>
      <c r="H393" s="10">
        <f>IF(E393="","","https://cdn.ruparupa.io/fit-in/850x850/ruparupa-com/image/upload/Products/"&amp;E393&amp;"_1.jpg")</f>
        <v/>
      </c>
      <c r="I393" s="10">
        <f>IF(OR(B393="",C393=""),"",IFERROR(INDEX(LAYOUT!$D$2:$D$34,MATCH(B393&amp;"|"&amp;C393,LAYOUT!$E$2:$E$34,0)),"zona tidak ada di layout"))</f>
        <v/>
      </c>
      <c r="J393" s="13">
        <f>IF(OR(A393="",E393=""),"",COUNTIFS($A$2:$A$500,A393,$C$2:$C$500,C393,$E$2:$E$500,"&lt;&gt;"))</f>
        <v/>
      </c>
      <c r="K393" s="13">
        <f>IF(A393="","",IF(B393="","CEK id_fixture tidak ada di DAFTAR_FIXTURE",IF(I393="zona tidak ada di layout","CEK zona_no / jenis_fixture",IF(D393&lt;&gt;I393,"CEK jenis_zona",IF(E393="","Zona kosong",IF(F393="","CEK nama kosong","OK"))))))</f>
        <v/>
      </c>
    </row>
    <row r="394">
      <c r="A394" s="9" t="n"/>
      <c r="B394" s="10">
        <f>IF(A394="","",IFERROR(INDEX(DAFTAR_FIXTURE!$B$2:$B$51,MATCH(A394,DAFTAR_FIXTURE!$A$2:$A$51,0)),""))</f>
        <v/>
      </c>
      <c r="C394" s="11" t="n"/>
      <c r="D394" s="11" t="n"/>
      <c r="E394" s="12" t="n"/>
      <c r="F394" s="9" t="n"/>
      <c r="G394" s="11" t="n"/>
      <c r="H394" s="10">
        <f>IF(E394="","","https://cdn.ruparupa.io/fit-in/850x850/ruparupa-com/image/upload/Products/"&amp;E394&amp;"_1.jpg")</f>
        <v/>
      </c>
      <c r="I394" s="10">
        <f>IF(OR(B394="",C394=""),"",IFERROR(INDEX(LAYOUT!$D$2:$D$34,MATCH(B394&amp;"|"&amp;C394,LAYOUT!$E$2:$E$34,0)),"zona tidak ada di layout"))</f>
        <v/>
      </c>
      <c r="J394" s="13">
        <f>IF(OR(A394="",E394=""),"",COUNTIFS($A$2:$A$500,A394,$C$2:$C$500,C394,$E$2:$E$500,"&lt;&gt;"))</f>
        <v/>
      </c>
      <c r="K394" s="13">
        <f>IF(A394="","",IF(B394="","CEK id_fixture tidak ada di DAFTAR_FIXTURE",IF(I394="zona tidak ada di layout","CEK zona_no / jenis_fixture",IF(D394&lt;&gt;I394,"CEK jenis_zona",IF(E394="","Zona kosong",IF(F394="","CEK nama kosong","OK"))))))</f>
        <v/>
      </c>
    </row>
    <row r="395">
      <c r="A395" s="9" t="n"/>
      <c r="B395" s="10">
        <f>IF(A395="","",IFERROR(INDEX(DAFTAR_FIXTURE!$B$2:$B$51,MATCH(A395,DAFTAR_FIXTURE!$A$2:$A$51,0)),""))</f>
        <v/>
      </c>
      <c r="C395" s="11" t="n"/>
      <c r="D395" s="11" t="n"/>
      <c r="E395" s="12" t="n"/>
      <c r="F395" s="9" t="n"/>
      <c r="G395" s="11" t="n"/>
      <c r="H395" s="10">
        <f>IF(E395="","","https://cdn.ruparupa.io/fit-in/850x850/ruparupa-com/image/upload/Products/"&amp;E395&amp;"_1.jpg")</f>
        <v/>
      </c>
      <c r="I395" s="10">
        <f>IF(OR(B395="",C395=""),"",IFERROR(INDEX(LAYOUT!$D$2:$D$34,MATCH(B395&amp;"|"&amp;C395,LAYOUT!$E$2:$E$34,0)),"zona tidak ada di layout"))</f>
        <v/>
      </c>
      <c r="J395" s="13">
        <f>IF(OR(A395="",E395=""),"",COUNTIFS($A$2:$A$500,A395,$C$2:$C$500,C395,$E$2:$E$500,"&lt;&gt;"))</f>
        <v/>
      </c>
      <c r="K395" s="13">
        <f>IF(A395="","",IF(B395="","CEK id_fixture tidak ada di DAFTAR_FIXTURE",IF(I395="zona tidak ada di layout","CEK zona_no / jenis_fixture",IF(D395&lt;&gt;I395,"CEK jenis_zona",IF(E395="","Zona kosong",IF(F395="","CEK nama kosong","OK"))))))</f>
        <v/>
      </c>
    </row>
    <row r="396">
      <c r="A396" s="9" t="n"/>
      <c r="B396" s="10">
        <f>IF(A396="","",IFERROR(INDEX(DAFTAR_FIXTURE!$B$2:$B$51,MATCH(A396,DAFTAR_FIXTURE!$A$2:$A$51,0)),""))</f>
        <v/>
      </c>
      <c r="C396" s="11" t="n"/>
      <c r="D396" s="11" t="n"/>
      <c r="E396" s="12" t="n"/>
      <c r="F396" s="9" t="n"/>
      <c r="G396" s="11" t="n"/>
      <c r="H396" s="10">
        <f>IF(E396="","","https://cdn.ruparupa.io/fit-in/850x850/ruparupa-com/image/upload/Products/"&amp;E396&amp;"_1.jpg")</f>
        <v/>
      </c>
      <c r="I396" s="10">
        <f>IF(OR(B396="",C396=""),"",IFERROR(INDEX(LAYOUT!$D$2:$D$34,MATCH(B396&amp;"|"&amp;C396,LAYOUT!$E$2:$E$34,0)),"zona tidak ada di layout"))</f>
        <v/>
      </c>
      <c r="J396" s="13">
        <f>IF(OR(A396="",E396=""),"",COUNTIFS($A$2:$A$500,A396,$C$2:$C$500,C396,$E$2:$E$500,"&lt;&gt;"))</f>
        <v/>
      </c>
      <c r="K396" s="13">
        <f>IF(A396="","",IF(B396="","CEK id_fixture tidak ada di DAFTAR_FIXTURE",IF(I396="zona tidak ada di layout","CEK zona_no / jenis_fixture",IF(D396&lt;&gt;I396,"CEK jenis_zona",IF(E396="","Zona kosong",IF(F396="","CEK nama kosong","OK"))))))</f>
        <v/>
      </c>
    </row>
    <row r="397">
      <c r="A397" s="9" t="n"/>
      <c r="B397" s="10">
        <f>IF(A397="","",IFERROR(INDEX(DAFTAR_FIXTURE!$B$2:$B$51,MATCH(A397,DAFTAR_FIXTURE!$A$2:$A$51,0)),""))</f>
        <v/>
      </c>
      <c r="C397" s="11" t="n"/>
      <c r="D397" s="11" t="n"/>
      <c r="E397" s="12" t="n"/>
      <c r="F397" s="9" t="n"/>
      <c r="G397" s="11" t="n"/>
      <c r="H397" s="10">
        <f>IF(E397="","","https://cdn.ruparupa.io/fit-in/850x850/ruparupa-com/image/upload/Products/"&amp;E397&amp;"_1.jpg")</f>
        <v/>
      </c>
      <c r="I397" s="10">
        <f>IF(OR(B397="",C397=""),"",IFERROR(INDEX(LAYOUT!$D$2:$D$34,MATCH(B397&amp;"|"&amp;C397,LAYOUT!$E$2:$E$34,0)),"zona tidak ada di layout"))</f>
        <v/>
      </c>
      <c r="J397" s="13">
        <f>IF(OR(A397="",E397=""),"",COUNTIFS($A$2:$A$500,A397,$C$2:$C$500,C397,$E$2:$E$500,"&lt;&gt;"))</f>
        <v/>
      </c>
      <c r="K397" s="13">
        <f>IF(A397="","",IF(B397="","CEK id_fixture tidak ada di DAFTAR_FIXTURE",IF(I397="zona tidak ada di layout","CEK zona_no / jenis_fixture",IF(D397&lt;&gt;I397,"CEK jenis_zona",IF(E397="","Zona kosong",IF(F397="","CEK nama kosong","OK"))))))</f>
        <v/>
      </c>
    </row>
    <row r="398">
      <c r="A398" s="9" t="n"/>
      <c r="B398" s="10">
        <f>IF(A398="","",IFERROR(INDEX(DAFTAR_FIXTURE!$B$2:$B$51,MATCH(A398,DAFTAR_FIXTURE!$A$2:$A$51,0)),""))</f>
        <v/>
      </c>
      <c r="C398" s="11" t="n"/>
      <c r="D398" s="11" t="n"/>
      <c r="E398" s="12" t="n"/>
      <c r="F398" s="9" t="n"/>
      <c r="G398" s="11" t="n"/>
      <c r="H398" s="10">
        <f>IF(E398="","","https://cdn.ruparupa.io/fit-in/850x850/ruparupa-com/image/upload/Products/"&amp;E398&amp;"_1.jpg")</f>
        <v/>
      </c>
      <c r="I398" s="10">
        <f>IF(OR(B398="",C398=""),"",IFERROR(INDEX(LAYOUT!$D$2:$D$34,MATCH(B398&amp;"|"&amp;C398,LAYOUT!$E$2:$E$34,0)),"zona tidak ada di layout"))</f>
        <v/>
      </c>
      <c r="J398" s="13">
        <f>IF(OR(A398="",E398=""),"",COUNTIFS($A$2:$A$500,A398,$C$2:$C$500,C398,$E$2:$E$500,"&lt;&gt;"))</f>
        <v/>
      </c>
      <c r="K398" s="13">
        <f>IF(A398="","",IF(B398="","CEK id_fixture tidak ada di DAFTAR_FIXTURE",IF(I398="zona tidak ada di layout","CEK zona_no / jenis_fixture",IF(D398&lt;&gt;I398,"CEK jenis_zona",IF(E398="","Zona kosong",IF(F398="","CEK nama kosong","OK"))))))</f>
        <v/>
      </c>
    </row>
    <row r="399">
      <c r="A399" s="9" t="n"/>
      <c r="B399" s="10">
        <f>IF(A399="","",IFERROR(INDEX(DAFTAR_FIXTURE!$B$2:$B$51,MATCH(A399,DAFTAR_FIXTURE!$A$2:$A$51,0)),""))</f>
        <v/>
      </c>
      <c r="C399" s="11" t="n"/>
      <c r="D399" s="11" t="n"/>
      <c r="E399" s="12" t="n"/>
      <c r="F399" s="9" t="n"/>
      <c r="G399" s="11" t="n"/>
      <c r="H399" s="10">
        <f>IF(E399="","","https://cdn.ruparupa.io/fit-in/850x850/ruparupa-com/image/upload/Products/"&amp;E399&amp;"_1.jpg")</f>
        <v/>
      </c>
      <c r="I399" s="10">
        <f>IF(OR(B399="",C399=""),"",IFERROR(INDEX(LAYOUT!$D$2:$D$34,MATCH(B399&amp;"|"&amp;C399,LAYOUT!$E$2:$E$34,0)),"zona tidak ada di layout"))</f>
        <v/>
      </c>
      <c r="J399" s="13">
        <f>IF(OR(A399="",E399=""),"",COUNTIFS($A$2:$A$500,A399,$C$2:$C$500,C399,$E$2:$E$500,"&lt;&gt;"))</f>
        <v/>
      </c>
      <c r="K399" s="13">
        <f>IF(A399="","",IF(B399="","CEK id_fixture tidak ada di DAFTAR_FIXTURE",IF(I399="zona tidak ada di layout","CEK zona_no / jenis_fixture",IF(D399&lt;&gt;I399,"CEK jenis_zona",IF(E399="","Zona kosong",IF(F399="","CEK nama kosong","OK"))))))</f>
        <v/>
      </c>
    </row>
    <row r="400">
      <c r="A400" s="9" t="n"/>
      <c r="B400" s="10">
        <f>IF(A400="","",IFERROR(INDEX(DAFTAR_FIXTURE!$B$2:$B$51,MATCH(A400,DAFTAR_FIXTURE!$A$2:$A$51,0)),""))</f>
        <v/>
      </c>
      <c r="C400" s="11" t="n"/>
      <c r="D400" s="11" t="n"/>
      <c r="E400" s="12" t="n"/>
      <c r="F400" s="9" t="n"/>
      <c r="G400" s="11" t="n"/>
      <c r="H400" s="10">
        <f>IF(E400="","","https://cdn.ruparupa.io/fit-in/850x850/ruparupa-com/image/upload/Products/"&amp;E400&amp;"_1.jpg")</f>
        <v/>
      </c>
      <c r="I400" s="10">
        <f>IF(OR(B400="",C400=""),"",IFERROR(INDEX(LAYOUT!$D$2:$D$34,MATCH(B400&amp;"|"&amp;C400,LAYOUT!$E$2:$E$34,0)),"zona tidak ada di layout"))</f>
        <v/>
      </c>
      <c r="J400" s="13">
        <f>IF(OR(A400="",E400=""),"",COUNTIFS($A$2:$A$500,A400,$C$2:$C$500,C400,$E$2:$E$500,"&lt;&gt;"))</f>
        <v/>
      </c>
      <c r="K400" s="13">
        <f>IF(A400="","",IF(B400="","CEK id_fixture tidak ada di DAFTAR_FIXTURE",IF(I400="zona tidak ada di layout","CEK zona_no / jenis_fixture",IF(D400&lt;&gt;I400,"CEK jenis_zona",IF(E400="","Zona kosong",IF(F400="","CEK nama kosong","OK"))))))</f>
        <v/>
      </c>
    </row>
    <row r="401">
      <c r="A401" s="9" t="n"/>
      <c r="B401" s="10">
        <f>IF(A401="","",IFERROR(INDEX(DAFTAR_FIXTURE!$B$2:$B$51,MATCH(A401,DAFTAR_FIXTURE!$A$2:$A$51,0)),""))</f>
        <v/>
      </c>
      <c r="C401" s="11" t="n"/>
      <c r="D401" s="11" t="n"/>
      <c r="E401" s="12" t="n"/>
      <c r="F401" s="9" t="n"/>
      <c r="G401" s="11" t="n"/>
      <c r="H401" s="10">
        <f>IF(E401="","","https://cdn.ruparupa.io/fit-in/850x850/ruparupa-com/image/upload/Products/"&amp;E401&amp;"_1.jpg")</f>
        <v/>
      </c>
      <c r="I401" s="10">
        <f>IF(OR(B401="",C401=""),"",IFERROR(INDEX(LAYOUT!$D$2:$D$34,MATCH(B401&amp;"|"&amp;C401,LAYOUT!$E$2:$E$34,0)),"zona tidak ada di layout"))</f>
        <v/>
      </c>
      <c r="J401" s="13">
        <f>IF(OR(A401="",E401=""),"",COUNTIFS($A$2:$A$500,A401,$C$2:$C$500,C401,$E$2:$E$500,"&lt;&gt;"))</f>
        <v/>
      </c>
      <c r="K401" s="13">
        <f>IF(A401="","",IF(B401="","CEK id_fixture tidak ada di DAFTAR_FIXTURE",IF(I401="zona tidak ada di layout","CEK zona_no / jenis_fixture",IF(D401&lt;&gt;I401,"CEK jenis_zona",IF(E401="","Zona kosong",IF(F401="","CEK nama kosong","OK"))))))</f>
        <v/>
      </c>
    </row>
    <row r="402">
      <c r="A402" s="9" t="n"/>
      <c r="B402" s="10">
        <f>IF(A402="","",IFERROR(INDEX(DAFTAR_FIXTURE!$B$2:$B$51,MATCH(A402,DAFTAR_FIXTURE!$A$2:$A$51,0)),""))</f>
        <v/>
      </c>
      <c r="C402" s="11" t="n"/>
      <c r="D402" s="11" t="n"/>
      <c r="E402" s="12" t="n"/>
      <c r="F402" s="9" t="n"/>
      <c r="G402" s="11" t="n"/>
      <c r="H402" s="10">
        <f>IF(E402="","","https://cdn.ruparupa.io/fit-in/850x850/ruparupa-com/image/upload/Products/"&amp;E402&amp;"_1.jpg")</f>
        <v/>
      </c>
      <c r="I402" s="10">
        <f>IF(OR(B402="",C402=""),"",IFERROR(INDEX(LAYOUT!$D$2:$D$34,MATCH(B402&amp;"|"&amp;C402,LAYOUT!$E$2:$E$34,0)),"zona tidak ada di layout"))</f>
        <v/>
      </c>
      <c r="J402" s="13">
        <f>IF(OR(A402="",E402=""),"",COUNTIFS($A$2:$A$500,A402,$C$2:$C$500,C402,$E$2:$E$500,"&lt;&gt;"))</f>
        <v/>
      </c>
      <c r="K402" s="13">
        <f>IF(A402="","",IF(B402="","CEK id_fixture tidak ada di DAFTAR_FIXTURE",IF(I402="zona tidak ada di layout","CEK zona_no / jenis_fixture",IF(D402&lt;&gt;I402,"CEK jenis_zona",IF(E402="","Zona kosong",IF(F402="","CEK nama kosong","OK"))))))</f>
        <v/>
      </c>
    </row>
    <row r="403">
      <c r="A403" s="9" t="n"/>
      <c r="B403" s="10">
        <f>IF(A403="","",IFERROR(INDEX(DAFTAR_FIXTURE!$B$2:$B$51,MATCH(A403,DAFTAR_FIXTURE!$A$2:$A$51,0)),""))</f>
        <v/>
      </c>
      <c r="C403" s="11" t="n"/>
      <c r="D403" s="11" t="n"/>
      <c r="E403" s="12" t="n"/>
      <c r="F403" s="9" t="n"/>
      <c r="G403" s="11" t="n"/>
      <c r="H403" s="10">
        <f>IF(E403="","","https://cdn.ruparupa.io/fit-in/850x850/ruparupa-com/image/upload/Products/"&amp;E403&amp;"_1.jpg")</f>
        <v/>
      </c>
      <c r="I403" s="10">
        <f>IF(OR(B403="",C403=""),"",IFERROR(INDEX(LAYOUT!$D$2:$D$34,MATCH(B403&amp;"|"&amp;C403,LAYOUT!$E$2:$E$34,0)),"zona tidak ada di layout"))</f>
        <v/>
      </c>
      <c r="J403" s="13">
        <f>IF(OR(A403="",E403=""),"",COUNTIFS($A$2:$A$500,A403,$C$2:$C$500,C403,$E$2:$E$500,"&lt;&gt;"))</f>
        <v/>
      </c>
      <c r="K403" s="13">
        <f>IF(A403="","",IF(B403="","CEK id_fixture tidak ada di DAFTAR_FIXTURE",IF(I403="zona tidak ada di layout","CEK zona_no / jenis_fixture",IF(D403&lt;&gt;I403,"CEK jenis_zona",IF(E403="","Zona kosong",IF(F403="","CEK nama kosong","OK"))))))</f>
        <v/>
      </c>
    </row>
    <row r="404">
      <c r="A404" s="9" t="n"/>
      <c r="B404" s="10">
        <f>IF(A404="","",IFERROR(INDEX(DAFTAR_FIXTURE!$B$2:$B$51,MATCH(A404,DAFTAR_FIXTURE!$A$2:$A$51,0)),""))</f>
        <v/>
      </c>
      <c r="C404" s="11" t="n"/>
      <c r="D404" s="11" t="n"/>
      <c r="E404" s="12" t="n"/>
      <c r="F404" s="9" t="n"/>
      <c r="G404" s="11" t="n"/>
      <c r="H404" s="10">
        <f>IF(E404="","","https://cdn.ruparupa.io/fit-in/850x850/ruparupa-com/image/upload/Products/"&amp;E404&amp;"_1.jpg")</f>
        <v/>
      </c>
      <c r="I404" s="10">
        <f>IF(OR(B404="",C404=""),"",IFERROR(INDEX(LAYOUT!$D$2:$D$34,MATCH(B404&amp;"|"&amp;C404,LAYOUT!$E$2:$E$34,0)),"zona tidak ada di layout"))</f>
        <v/>
      </c>
      <c r="J404" s="13">
        <f>IF(OR(A404="",E404=""),"",COUNTIFS($A$2:$A$500,A404,$C$2:$C$500,C404,$E$2:$E$500,"&lt;&gt;"))</f>
        <v/>
      </c>
      <c r="K404" s="13">
        <f>IF(A404="","",IF(B404="","CEK id_fixture tidak ada di DAFTAR_FIXTURE",IF(I404="zona tidak ada di layout","CEK zona_no / jenis_fixture",IF(D404&lt;&gt;I404,"CEK jenis_zona",IF(E404="","Zona kosong",IF(F404="","CEK nama kosong","OK"))))))</f>
        <v/>
      </c>
    </row>
    <row r="405">
      <c r="A405" s="9" t="n"/>
      <c r="B405" s="10">
        <f>IF(A405="","",IFERROR(INDEX(DAFTAR_FIXTURE!$B$2:$B$51,MATCH(A405,DAFTAR_FIXTURE!$A$2:$A$51,0)),""))</f>
        <v/>
      </c>
      <c r="C405" s="11" t="n"/>
      <c r="D405" s="11" t="n"/>
      <c r="E405" s="12" t="n"/>
      <c r="F405" s="9" t="n"/>
      <c r="G405" s="11" t="n"/>
      <c r="H405" s="10">
        <f>IF(E405="","","https://cdn.ruparupa.io/fit-in/850x850/ruparupa-com/image/upload/Products/"&amp;E405&amp;"_1.jpg")</f>
        <v/>
      </c>
      <c r="I405" s="10">
        <f>IF(OR(B405="",C405=""),"",IFERROR(INDEX(LAYOUT!$D$2:$D$34,MATCH(B405&amp;"|"&amp;C405,LAYOUT!$E$2:$E$34,0)),"zona tidak ada di layout"))</f>
        <v/>
      </c>
      <c r="J405" s="13">
        <f>IF(OR(A405="",E405=""),"",COUNTIFS($A$2:$A$500,A405,$C$2:$C$500,C405,$E$2:$E$500,"&lt;&gt;"))</f>
        <v/>
      </c>
      <c r="K405" s="13">
        <f>IF(A405="","",IF(B405="","CEK id_fixture tidak ada di DAFTAR_FIXTURE",IF(I405="zona tidak ada di layout","CEK zona_no / jenis_fixture",IF(D405&lt;&gt;I405,"CEK jenis_zona",IF(E405="","Zona kosong",IF(F405="","CEK nama kosong","OK"))))))</f>
        <v/>
      </c>
    </row>
    <row r="406">
      <c r="A406" s="9" t="n"/>
      <c r="B406" s="10">
        <f>IF(A406="","",IFERROR(INDEX(DAFTAR_FIXTURE!$B$2:$B$51,MATCH(A406,DAFTAR_FIXTURE!$A$2:$A$51,0)),""))</f>
        <v/>
      </c>
      <c r="C406" s="11" t="n"/>
      <c r="D406" s="11" t="n"/>
      <c r="E406" s="12" t="n"/>
      <c r="F406" s="9" t="n"/>
      <c r="G406" s="11" t="n"/>
      <c r="H406" s="10">
        <f>IF(E406="","","https://cdn.ruparupa.io/fit-in/850x850/ruparupa-com/image/upload/Products/"&amp;E406&amp;"_1.jpg")</f>
        <v/>
      </c>
      <c r="I406" s="10">
        <f>IF(OR(B406="",C406=""),"",IFERROR(INDEX(LAYOUT!$D$2:$D$34,MATCH(B406&amp;"|"&amp;C406,LAYOUT!$E$2:$E$34,0)),"zona tidak ada di layout"))</f>
        <v/>
      </c>
      <c r="J406" s="13">
        <f>IF(OR(A406="",E406=""),"",COUNTIFS($A$2:$A$500,A406,$C$2:$C$500,C406,$E$2:$E$500,"&lt;&gt;"))</f>
        <v/>
      </c>
      <c r="K406" s="13">
        <f>IF(A406="","",IF(B406="","CEK id_fixture tidak ada di DAFTAR_FIXTURE",IF(I406="zona tidak ada di layout","CEK zona_no / jenis_fixture",IF(D406&lt;&gt;I406,"CEK jenis_zona",IF(E406="","Zona kosong",IF(F406="","CEK nama kosong","OK"))))))</f>
        <v/>
      </c>
    </row>
    <row r="407">
      <c r="A407" s="9" t="n"/>
      <c r="B407" s="10">
        <f>IF(A407="","",IFERROR(INDEX(DAFTAR_FIXTURE!$B$2:$B$51,MATCH(A407,DAFTAR_FIXTURE!$A$2:$A$51,0)),""))</f>
        <v/>
      </c>
      <c r="C407" s="11" t="n"/>
      <c r="D407" s="11" t="n"/>
      <c r="E407" s="12" t="n"/>
      <c r="F407" s="9" t="n"/>
      <c r="G407" s="11" t="n"/>
      <c r="H407" s="10">
        <f>IF(E407="","","https://cdn.ruparupa.io/fit-in/850x850/ruparupa-com/image/upload/Products/"&amp;E407&amp;"_1.jpg")</f>
        <v/>
      </c>
      <c r="I407" s="10">
        <f>IF(OR(B407="",C407=""),"",IFERROR(INDEX(LAYOUT!$D$2:$D$34,MATCH(B407&amp;"|"&amp;C407,LAYOUT!$E$2:$E$34,0)),"zona tidak ada di layout"))</f>
        <v/>
      </c>
      <c r="J407" s="13">
        <f>IF(OR(A407="",E407=""),"",COUNTIFS($A$2:$A$500,A407,$C$2:$C$500,C407,$E$2:$E$500,"&lt;&gt;"))</f>
        <v/>
      </c>
      <c r="K407" s="13">
        <f>IF(A407="","",IF(B407="","CEK id_fixture tidak ada di DAFTAR_FIXTURE",IF(I407="zona tidak ada di layout","CEK zona_no / jenis_fixture",IF(D407&lt;&gt;I407,"CEK jenis_zona",IF(E407="","Zona kosong",IF(F407="","CEK nama kosong","OK"))))))</f>
        <v/>
      </c>
    </row>
    <row r="408">
      <c r="A408" s="9" t="n"/>
      <c r="B408" s="10">
        <f>IF(A408="","",IFERROR(INDEX(DAFTAR_FIXTURE!$B$2:$B$51,MATCH(A408,DAFTAR_FIXTURE!$A$2:$A$51,0)),""))</f>
        <v/>
      </c>
      <c r="C408" s="11" t="n"/>
      <c r="D408" s="11" t="n"/>
      <c r="E408" s="12" t="n"/>
      <c r="F408" s="9" t="n"/>
      <c r="G408" s="11" t="n"/>
      <c r="H408" s="10">
        <f>IF(E408="","","https://cdn.ruparupa.io/fit-in/850x850/ruparupa-com/image/upload/Products/"&amp;E408&amp;"_1.jpg")</f>
        <v/>
      </c>
      <c r="I408" s="10">
        <f>IF(OR(B408="",C408=""),"",IFERROR(INDEX(LAYOUT!$D$2:$D$34,MATCH(B408&amp;"|"&amp;C408,LAYOUT!$E$2:$E$34,0)),"zona tidak ada di layout"))</f>
        <v/>
      </c>
      <c r="J408" s="13">
        <f>IF(OR(A408="",E408=""),"",COUNTIFS($A$2:$A$500,A408,$C$2:$C$500,C408,$E$2:$E$500,"&lt;&gt;"))</f>
        <v/>
      </c>
      <c r="K408" s="13">
        <f>IF(A408="","",IF(B408="","CEK id_fixture tidak ada di DAFTAR_FIXTURE",IF(I408="zona tidak ada di layout","CEK zona_no / jenis_fixture",IF(D408&lt;&gt;I408,"CEK jenis_zona",IF(E408="","Zona kosong",IF(F408="","CEK nama kosong","OK"))))))</f>
        <v/>
      </c>
    </row>
    <row r="409">
      <c r="A409" s="9" t="n"/>
      <c r="B409" s="10">
        <f>IF(A409="","",IFERROR(INDEX(DAFTAR_FIXTURE!$B$2:$B$51,MATCH(A409,DAFTAR_FIXTURE!$A$2:$A$51,0)),""))</f>
        <v/>
      </c>
      <c r="C409" s="11" t="n"/>
      <c r="D409" s="11" t="n"/>
      <c r="E409" s="12" t="n"/>
      <c r="F409" s="9" t="n"/>
      <c r="G409" s="11" t="n"/>
      <c r="H409" s="10">
        <f>IF(E409="","","https://cdn.ruparupa.io/fit-in/850x850/ruparupa-com/image/upload/Products/"&amp;E409&amp;"_1.jpg")</f>
        <v/>
      </c>
      <c r="I409" s="10">
        <f>IF(OR(B409="",C409=""),"",IFERROR(INDEX(LAYOUT!$D$2:$D$34,MATCH(B409&amp;"|"&amp;C409,LAYOUT!$E$2:$E$34,0)),"zona tidak ada di layout"))</f>
        <v/>
      </c>
      <c r="J409" s="13">
        <f>IF(OR(A409="",E409=""),"",COUNTIFS($A$2:$A$500,A409,$C$2:$C$500,C409,$E$2:$E$500,"&lt;&gt;"))</f>
        <v/>
      </c>
      <c r="K409" s="13">
        <f>IF(A409="","",IF(B409="","CEK id_fixture tidak ada di DAFTAR_FIXTURE",IF(I409="zona tidak ada di layout","CEK zona_no / jenis_fixture",IF(D409&lt;&gt;I409,"CEK jenis_zona",IF(E409="","Zona kosong",IF(F409="","CEK nama kosong","OK"))))))</f>
        <v/>
      </c>
    </row>
    <row r="410">
      <c r="A410" s="9" t="n"/>
      <c r="B410" s="10">
        <f>IF(A410="","",IFERROR(INDEX(DAFTAR_FIXTURE!$B$2:$B$51,MATCH(A410,DAFTAR_FIXTURE!$A$2:$A$51,0)),""))</f>
        <v/>
      </c>
      <c r="C410" s="11" t="n"/>
      <c r="D410" s="11" t="n"/>
      <c r="E410" s="12" t="n"/>
      <c r="F410" s="9" t="n"/>
      <c r="G410" s="11" t="n"/>
      <c r="H410" s="10">
        <f>IF(E410="","","https://cdn.ruparupa.io/fit-in/850x850/ruparupa-com/image/upload/Products/"&amp;E410&amp;"_1.jpg")</f>
        <v/>
      </c>
      <c r="I410" s="10">
        <f>IF(OR(B410="",C410=""),"",IFERROR(INDEX(LAYOUT!$D$2:$D$34,MATCH(B410&amp;"|"&amp;C410,LAYOUT!$E$2:$E$34,0)),"zona tidak ada di layout"))</f>
        <v/>
      </c>
      <c r="J410" s="13">
        <f>IF(OR(A410="",E410=""),"",COUNTIFS($A$2:$A$500,A410,$C$2:$C$500,C410,$E$2:$E$500,"&lt;&gt;"))</f>
        <v/>
      </c>
      <c r="K410" s="13">
        <f>IF(A410="","",IF(B410="","CEK id_fixture tidak ada di DAFTAR_FIXTURE",IF(I410="zona tidak ada di layout","CEK zona_no / jenis_fixture",IF(D410&lt;&gt;I410,"CEK jenis_zona",IF(E410="","Zona kosong",IF(F410="","CEK nama kosong","OK"))))))</f>
        <v/>
      </c>
    </row>
    <row r="411">
      <c r="A411" s="9" t="n"/>
      <c r="B411" s="10">
        <f>IF(A411="","",IFERROR(INDEX(DAFTAR_FIXTURE!$B$2:$B$51,MATCH(A411,DAFTAR_FIXTURE!$A$2:$A$51,0)),""))</f>
        <v/>
      </c>
      <c r="C411" s="11" t="n"/>
      <c r="D411" s="11" t="n"/>
      <c r="E411" s="12" t="n"/>
      <c r="F411" s="9" t="n"/>
      <c r="G411" s="11" t="n"/>
      <c r="H411" s="10">
        <f>IF(E411="","","https://cdn.ruparupa.io/fit-in/850x850/ruparupa-com/image/upload/Products/"&amp;E411&amp;"_1.jpg")</f>
        <v/>
      </c>
      <c r="I411" s="10">
        <f>IF(OR(B411="",C411=""),"",IFERROR(INDEX(LAYOUT!$D$2:$D$34,MATCH(B411&amp;"|"&amp;C411,LAYOUT!$E$2:$E$34,0)),"zona tidak ada di layout"))</f>
        <v/>
      </c>
      <c r="J411" s="13">
        <f>IF(OR(A411="",E411=""),"",COUNTIFS($A$2:$A$500,A411,$C$2:$C$500,C411,$E$2:$E$500,"&lt;&gt;"))</f>
        <v/>
      </c>
      <c r="K411" s="13">
        <f>IF(A411="","",IF(B411="","CEK id_fixture tidak ada di DAFTAR_FIXTURE",IF(I411="zona tidak ada di layout","CEK zona_no / jenis_fixture",IF(D411&lt;&gt;I411,"CEK jenis_zona",IF(E411="","Zona kosong",IF(F411="","CEK nama kosong","OK"))))))</f>
        <v/>
      </c>
    </row>
    <row r="412">
      <c r="A412" s="9" t="n"/>
      <c r="B412" s="10">
        <f>IF(A412="","",IFERROR(INDEX(DAFTAR_FIXTURE!$B$2:$B$51,MATCH(A412,DAFTAR_FIXTURE!$A$2:$A$51,0)),""))</f>
        <v/>
      </c>
      <c r="C412" s="11" t="n"/>
      <c r="D412" s="11" t="n"/>
      <c r="E412" s="12" t="n"/>
      <c r="F412" s="9" t="n"/>
      <c r="G412" s="11" t="n"/>
      <c r="H412" s="10">
        <f>IF(E412="","","https://cdn.ruparupa.io/fit-in/850x850/ruparupa-com/image/upload/Products/"&amp;E412&amp;"_1.jpg")</f>
        <v/>
      </c>
      <c r="I412" s="10">
        <f>IF(OR(B412="",C412=""),"",IFERROR(INDEX(LAYOUT!$D$2:$D$34,MATCH(B412&amp;"|"&amp;C412,LAYOUT!$E$2:$E$34,0)),"zona tidak ada di layout"))</f>
        <v/>
      </c>
      <c r="J412" s="13">
        <f>IF(OR(A412="",E412=""),"",COUNTIFS($A$2:$A$500,A412,$C$2:$C$500,C412,$E$2:$E$500,"&lt;&gt;"))</f>
        <v/>
      </c>
      <c r="K412" s="13">
        <f>IF(A412="","",IF(B412="","CEK id_fixture tidak ada di DAFTAR_FIXTURE",IF(I412="zona tidak ada di layout","CEK zona_no / jenis_fixture",IF(D412&lt;&gt;I412,"CEK jenis_zona",IF(E412="","Zona kosong",IF(F412="","CEK nama kosong","OK"))))))</f>
        <v/>
      </c>
    </row>
    <row r="413">
      <c r="A413" s="9" t="n"/>
      <c r="B413" s="10">
        <f>IF(A413="","",IFERROR(INDEX(DAFTAR_FIXTURE!$B$2:$B$51,MATCH(A413,DAFTAR_FIXTURE!$A$2:$A$51,0)),""))</f>
        <v/>
      </c>
      <c r="C413" s="11" t="n"/>
      <c r="D413" s="11" t="n"/>
      <c r="E413" s="12" t="n"/>
      <c r="F413" s="9" t="n"/>
      <c r="G413" s="11" t="n"/>
      <c r="H413" s="10">
        <f>IF(E413="","","https://cdn.ruparupa.io/fit-in/850x850/ruparupa-com/image/upload/Products/"&amp;E413&amp;"_1.jpg")</f>
        <v/>
      </c>
      <c r="I413" s="10">
        <f>IF(OR(B413="",C413=""),"",IFERROR(INDEX(LAYOUT!$D$2:$D$34,MATCH(B413&amp;"|"&amp;C413,LAYOUT!$E$2:$E$34,0)),"zona tidak ada di layout"))</f>
        <v/>
      </c>
      <c r="J413" s="13">
        <f>IF(OR(A413="",E413=""),"",COUNTIFS($A$2:$A$500,A413,$C$2:$C$500,C413,$E$2:$E$500,"&lt;&gt;"))</f>
        <v/>
      </c>
      <c r="K413" s="13">
        <f>IF(A413="","",IF(B413="","CEK id_fixture tidak ada di DAFTAR_FIXTURE",IF(I413="zona tidak ada di layout","CEK zona_no / jenis_fixture",IF(D413&lt;&gt;I413,"CEK jenis_zona",IF(E413="","Zona kosong",IF(F413="","CEK nama kosong","OK"))))))</f>
        <v/>
      </c>
    </row>
    <row r="414">
      <c r="A414" s="9" t="n"/>
      <c r="B414" s="10">
        <f>IF(A414="","",IFERROR(INDEX(DAFTAR_FIXTURE!$B$2:$B$51,MATCH(A414,DAFTAR_FIXTURE!$A$2:$A$51,0)),""))</f>
        <v/>
      </c>
      <c r="C414" s="11" t="n"/>
      <c r="D414" s="11" t="n"/>
      <c r="E414" s="12" t="n"/>
      <c r="F414" s="9" t="n"/>
      <c r="G414" s="11" t="n"/>
      <c r="H414" s="10">
        <f>IF(E414="","","https://cdn.ruparupa.io/fit-in/850x850/ruparupa-com/image/upload/Products/"&amp;E414&amp;"_1.jpg")</f>
        <v/>
      </c>
      <c r="I414" s="10">
        <f>IF(OR(B414="",C414=""),"",IFERROR(INDEX(LAYOUT!$D$2:$D$34,MATCH(B414&amp;"|"&amp;C414,LAYOUT!$E$2:$E$34,0)),"zona tidak ada di layout"))</f>
        <v/>
      </c>
      <c r="J414" s="13">
        <f>IF(OR(A414="",E414=""),"",COUNTIFS($A$2:$A$500,A414,$C$2:$C$500,C414,$E$2:$E$500,"&lt;&gt;"))</f>
        <v/>
      </c>
      <c r="K414" s="13">
        <f>IF(A414="","",IF(B414="","CEK id_fixture tidak ada di DAFTAR_FIXTURE",IF(I414="zona tidak ada di layout","CEK zona_no / jenis_fixture",IF(D414&lt;&gt;I414,"CEK jenis_zona",IF(E414="","Zona kosong",IF(F414="","CEK nama kosong","OK"))))))</f>
        <v/>
      </c>
    </row>
    <row r="415">
      <c r="A415" s="9" t="n"/>
      <c r="B415" s="10">
        <f>IF(A415="","",IFERROR(INDEX(DAFTAR_FIXTURE!$B$2:$B$51,MATCH(A415,DAFTAR_FIXTURE!$A$2:$A$51,0)),""))</f>
        <v/>
      </c>
      <c r="C415" s="11" t="n"/>
      <c r="D415" s="11" t="n"/>
      <c r="E415" s="12" t="n"/>
      <c r="F415" s="9" t="n"/>
      <c r="G415" s="11" t="n"/>
      <c r="H415" s="10">
        <f>IF(E415="","","https://cdn.ruparupa.io/fit-in/850x850/ruparupa-com/image/upload/Products/"&amp;E415&amp;"_1.jpg")</f>
        <v/>
      </c>
      <c r="I415" s="10">
        <f>IF(OR(B415="",C415=""),"",IFERROR(INDEX(LAYOUT!$D$2:$D$34,MATCH(B415&amp;"|"&amp;C415,LAYOUT!$E$2:$E$34,0)),"zona tidak ada di layout"))</f>
        <v/>
      </c>
      <c r="J415" s="13">
        <f>IF(OR(A415="",E415=""),"",COUNTIFS($A$2:$A$500,A415,$C$2:$C$500,C415,$E$2:$E$500,"&lt;&gt;"))</f>
        <v/>
      </c>
      <c r="K415" s="13">
        <f>IF(A415="","",IF(B415="","CEK id_fixture tidak ada di DAFTAR_FIXTURE",IF(I415="zona tidak ada di layout","CEK zona_no / jenis_fixture",IF(D415&lt;&gt;I415,"CEK jenis_zona",IF(E415="","Zona kosong",IF(F415="","CEK nama kosong","OK"))))))</f>
        <v/>
      </c>
    </row>
    <row r="416">
      <c r="A416" s="9" t="n"/>
      <c r="B416" s="10">
        <f>IF(A416="","",IFERROR(INDEX(DAFTAR_FIXTURE!$B$2:$B$51,MATCH(A416,DAFTAR_FIXTURE!$A$2:$A$51,0)),""))</f>
        <v/>
      </c>
      <c r="C416" s="11" t="n"/>
      <c r="D416" s="11" t="n"/>
      <c r="E416" s="12" t="n"/>
      <c r="F416" s="9" t="n"/>
      <c r="G416" s="11" t="n"/>
      <c r="H416" s="10">
        <f>IF(E416="","","https://cdn.ruparupa.io/fit-in/850x850/ruparupa-com/image/upload/Products/"&amp;E416&amp;"_1.jpg")</f>
        <v/>
      </c>
      <c r="I416" s="10">
        <f>IF(OR(B416="",C416=""),"",IFERROR(INDEX(LAYOUT!$D$2:$D$34,MATCH(B416&amp;"|"&amp;C416,LAYOUT!$E$2:$E$34,0)),"zona tidak ada di layout"))</f>
        <v/>
      </c>
      <c r="J416" s="13">
        <f>IF(OR(A416="",E416=""),"",COUNTIFS($A$2:$A$500,A416,$C$2:$C$500,C416,$E$2:$E$500,"&lt;&gt;"))</f>
        <v/>
      </c>
      <c r="K416" s="13">
        <f>IF(A416="","",IF(B416="","CEK id_fixture tidak ada di DAFTAR_FIXTURE",IF(I416="zona tidak ada di layout","CEK zona_no / jenis_fixture",IF(D416&lt;&gt;I416,"CEK jenis_zona",IF(E416="","Zona kosong",IF(F416="","CEK nama kosong","OK"))))))</f>
        <v/>
      </c>
    </row>
    <row r="417">
      <c r="A417" s="9" t="n"/>
      <c r="B417" s="10">
        <f>IF(A417="","",IFERROR(INDEX(DAFTAR_FIXTURE!$B$2:$B$51,MATCH(A417,DAFTAR_FIXTURE!$A$2:$A$51,0)),""))</f>
        <v/>
      </c>
      <c r="C417" s="11" t="n"/>
      <c r="D417" s="11" t="n"/>
      <c r="E417" s="12" t="n"/>
      <c r="F417" s="9" t="n"/>
      <c r="G417" s="11" t="n"/>
      <c r="H417" s="10">
        <f>IF(E417="","","https://cdn.ruparupa.io/fit-in/850x850/ruparupa-com/image/upload/Products/"&amp;E417&amp;"_1.jpg")</f>
        <v/>
      </c>
      <c r="I417" s="10">
        <f>IF(OR(B417="",C417=""),"",IFERROR(INDEX(LAYOUT!$D$2:$D$34,MATCH(B417&amp;"|"&amp;C417,LAYOUT!$E$2:$E$34,0)),"zona tidak ada di layout"))</f>
        <v/>
      </c>
      <c r="J417" s="13">
        <f>IF(OR(A417="",E417=""),"",COUNTIFS($A$2:$A$500,A417,$C$2:$C$500,C417,$E$2:$E$500,"&lt;&gt;"))</f>
        <v/>
      </c>
      <c r="K417" s="13">
        <f>IF(A417="","",IF(B417="","CEK id_fixture tidak ada di DAFTAR_FIXTURE",IF(I417="zona tidak ada di layout","CEK zona_no / jenis_fixture",IF(D417&lt;&gt;I417,"CEK jenis_zona",IF(E417="","Zona kosong",IF(F417="","CEK nama kosong","OK"))))))</f>
        <v/>
      </c>
    </row>
    <row r="418">
      <c r="A418" s="9" t="n"/>
      <c r="B418" s="10">
        <f>IF(A418="","",IFERROR(INDEX(DAFTAR_FIXTURE!$B$2:$B$51,MATCH(A418,DAFTAR_FIXTURE!$A$2:$A$51,0)),""))</f>
        <v/>
      </c>
      <c r="C418" s="11" t="n"/>
      <c r="D418" s="11" t="n"/>
      <c r="E418" s="12" t="n"/>
      <c r="F418" s="9" t="n"/>
      <c r="G418" s="11" t="n"/>
      <c r="H418" s="10">
        <f>IF(E418="","","https://cdn.ruparupa.io/fit-in/850x850/ruparupa-com/image/upload/Products/"&amp;E418&amp;"_1.jpg")</f>
        <v/>
      </c>
      <c r="I418" s="10">
        <f>IF(OR(B418="",C418=""),"",IFERROR(INDEX(LAYOUT!$D$2:$D$34,MATCH(B418&amp;"|"&amp;C418,LAYOUT!$E$2:$E$34,0)),"zona tidak ada di layout"))</f>
        <v/>
      </c>
      <c r="J418" s="13">
        <f>IF(OR(A418="",E418=""),"",COUNTIFS($A$2:$A$500,A418,$C$2:$C$500,C418,$E$2:$E$500,"&lt;&gt;"))</f>
        <v/>
      </c>
      <c r="K418" s="13">
        <f>IF(A418="","",IF(B418="","CEK id_fixture tidak ada di DAFTAR_FIXTURE",IF(I418="zona tidak ada di layout","CEK zona_no / jenis_fixture",IF(D418&lt;&gt;I418,"CEK jenis_zona",IF(E418="","Zona kosong",IF(F418="","CEK nama kosong","OK"))))))</f>
        <v/>
      </c>
    </row>
    <row r="419">
      <c r="A419" s="9" t="n"/>
      <c r="B419" s="10">
        <f>IF(A419="","",IFERROR(INDEX(DAFTAR_FIXTURE!$B$2:$B$51,MATCH(A419,DAFTAR_FIXTURE!$A$2:$A$51,0)),""))</f>
        <v/>
      </c>
      <c r="C419" s="11" t="n"/>
      <c r="D419" s="11" t="n"/>
      <c r="E419" s="12" t="n"/>
      <c r="F419" s="9" t="n"/>
      <c r="G419" s="11" t="n"/>
      <c r="H419" s="10">
        <f>IF(E419="","","https://cdn.ruparupa.io/fit-in/850x850/ruparupa-com/image/upload/Products/"&amp;E419&amp;"_1.jpg")</f>
        <v/>
      </c>
      <c r="I419" s="10">
        <f>IF(OR(B419="",C419=""),"",IFERROR(INDEX(LAYOUT!$D$2:$D$34,MATCH(B419&amp;"|"&amp;C419,LAYOUT!$E$2:$E$34,0)),"zona tidak ada di layout"))</f>
        <v/>
      </c>
      <c r="J419" s="13">
        <f>IF(OR(A419="",E419=""),"",COUNTIFS($A$2:$A$500,A419,$C$2:$C$500,C419,$E$2:$E$500,"&lt;&gt;"))</f>
        <v/>
      </c>
      <c r="K419" s="13">
        <f>IF(A419="","",IF(B419="","CEK id_fixture tidak ada di DAFTAR_FIXTURE",IF(I419="zona tidak ada di layout","CEK zona_no / jenis_fixture",IF(D419&lt;&gt;I419,"CEK jenis_zona",IF(E419="","Zona kosong",IF(F419="","CEK nama kosong","OK"))))))</f>
        <v/>
      </c>
    </row>
    <row r="420">
      <c r="A420" s="9" t="n"/>
      <c r="B420" s="10">
        <f>IF(A420="","",IFERROR(INDEX(DAFTAR_FIXTURE!$B$2:$B$51,MATCH(A420,DAFTAR_FIXTURE!$A$2:$A$51,0)),""))</f>
        <v/>
      </c>
      <c r="C420" s="11" t="n"/>
      <c r="D420" s="11" t="n"/>
      <c r="E420" s="12" t="n"/>
      <c r="F420" s="9" t="n"/>
      <c r="G420" s="11" t="n"/>
      <c r="H420" s="10">
        <f>IF(E420="","","https://cdn.ruparupa.io/fit-in/850x850/ruparupa-com/image/upload/Products/"&amp;E420&amp;"_1.jpg")</f>
        <v/>
      </c>
      <c r="I420" s="10">
        <f>IF(OR(B420="",C420=""),"",IFERROR(INDEX(LAYOUT!$D$2:$D$34,MATCH(B420&amp;"|"&amp;C420,LAYOUT!$E$2:$E$34,0)),"zona tidak ada di layout"))</f>
        <v/>
      </c>
      <c r="J420" s="13">
        <f>IF(OR(A420="",E420=""),"",COUNTIFS($A$2:$A$500,A420,$C$2:$C$500,C420,$E$2:$E$500,"&lt;&gt;"))</f>
        <v/>
      </c>
      <c r="K420" s="13">
        <f>IF(A420="","",IF(B420="","CEK id_fixture tidak ada di DAFTAR_FIXTURE",IF(I420="zona tidak ada di layout","CEK zona_no / jenis_fixture",IF(D420&lt;&gt;I420,"CEK jenis_zona",IF(E420="","Zona kosong",IF(F420="","CEK nama kosong","OK"))))))</f>
        <v/>
      </c>
    </row>
    <row r="421">
      <c r="A421" s="9" t="n"/>
      <c r="B421" s="10">
        <f>IF(A421="","",IFERROR(INDEX(DAFTAR_FIXTURE!$B$2:$B$51,MATCH(A421,DAFTAR_FIXTURE!$A$2:$A$51,0)),""))</f>
        <v/>
      </c>
      <c r="C421" s="11" t="n"/>
      <c r="D421" s="11" t="n"/>
      <c r="E421" s="12" t="n"/>
      <c r="F421" s="9" t="n"/>
      <c r="G421" s="11" t="n"/>
      <c r="H421" s="10">
        <f>IF(E421="","","https://cdn.ruparupa.io/fit-in/850x850/ruparupa-com/image/upload/Products/"&amp;E421&amp;"_1.jpg")</f>
        <v/>
      </c>
      <c r="I421" s="10">
        <f>IF(OR(B421="",C421=""),"",IFERROR(INDEX(LAYOUT!$D$2:$D$34,MATCH(B421&amp;"|"&amp;C421,LAYOUT!$E$2:$E$34,0)),"zona tidak ada di layout"))</f>
        <v/>
      </c>
      <c r="J421" s="13">
        <f>IF(OR(A421="",E421=""),"",COUNTIFS($A$2:$A$500,A421,$C$2:$C$500,C421,$E$2:$E$500,"&lt;&gt;"))</f>
        <v/>
      </c>
      <c r="K421" s="13">
        <f>IF(A421="","",IF(B421="","CEK id_fixture tidak ada di DAFTAR_FIXTURE",IF(I421="zona tidak ada di layout","CEK zona_no / jenis_fixture",IF(D421&lt;&gt;I421,"CEK jenis_zona",IF(E421="","Zona kosong",IF(F421="","CEK nama kosong","OK"))))))</f>
        <v/>
      </c>
    </row>
    <row r="422">
      <c r="A422" s="9" t="n"/>
      <c r="B422" s="10">
        <f>IF(A422="","",IFERROR(INDEX(DAFTAR_FIXTURE!$B$2:$B$51,MATCH(A422,DAFTAR_FIXTURE!$A$2:$A$51,0)),""))</f>
        <v/>
      </c>
      <c r="C422" s="11" t="n"/>
      <c r="D422" s="11" t="n"/>
      <c r="E422" s="12" t="n"/>
      <c r="F422" s="9" t="n"/>
      <c r="G422" s="11" t="n"/>
      <c r="H422" s="10">
        <f>IF(E422="","","https://cdn.ruparupa.io/fit-in/850x850/ruparupa-com/image/upload/Products/"&amp;E422&amp;"_1.jpg")</f>
        <v/>
      </c>
      <c r="I422" s="10">
        <f>IF(OR(B422="",C422=""),"",IFERROR(INDEX(LAYOUT!$D$2:$D$34,MATCH(B422&amp;"|"&amp;C422,LAYOUT!$E$2:$E$34,0)),"zona tidak ada di layout"))</f>
        <v/>
      </c>
      <c r="J422" s="13">
        <f>IF(OR(A422="",E422=""),"",COUNTIFS($A$2:$A$500,A422,$C$2:$C$500,C422,$E$2:$E$500,"&lt;&gt;"))</f>
        <v/>
      </c>
      <c r="K422" s="13">
        <f>IF(A422="","",IF(B422="","CEK id_fixture tidak ada di DAFTAR_FIXTURE",IF(I422="zona tidak ada di layout","CEK zona_no / jenis_fixture",IF(D422&lt;&gt;I422,"CEK jenis_zona",IF(E422="","Zona kosong",IF(F422="","CEK nama kosong","OK"))))))</f>
        <v/>
      </c>
    </row>
    <row r="423">
      <c r="A423" s="9" t="n"/>
      <c r="B423" s="10">
        <f>IF(A423="","",IFERROR(INDEX(DAFTAR_FIXTURE!$B$2:$B$51,MATCH(A423,DAFTAR_FIXTURE!$A$2:$A$51,0)),""))</f>
        <v/>
      </c>
      <c r="C423" s="11" t="n"/>
      <c r="D423" s="11" t="n"/>
      <c r="E423" s="12" t="n"/>
      <c r="F423" s="9" t="n"/>
      <c r="G423" s="11" t="n"/>
      <c r="H423" s="10">
        <f>IF(E423="","","https://cdn.ruparupa.io/fit-in/850x850/ruparupa-com/image/upload/Products/"&amp;E423&amp;"_1.jpg")</f>
        <v/>
      </c>
      <c r="I423" s="10">
        <f>IF(OR(B423="",C423=""),"",IFERROR(INDEX(LAYOUT!$D$2:$D$34,MATCH(B423&amp;"|"&amp;C423,LAYOUT!$E$2:$E$34,0)),"zona tidak ada di layout"))</f>
        <v/>
      </c>
      <c r="J423" s="13">
        <f>IF(OR(A423="",E423=""),"",COUNTIFS($A$2:$A$500,A423,$C$2:$C$500,C423,$E$2:$E$500,"&lt;&gt;"))</f>
        <v/>
      </c>
      <c r="K423" s="13">
        <f>IF(A423="","",IF(B423="","CEK id_fixture tidak ada di DAFTAR_FIXTURE",IF(I423="zona tidak ada di layout","CEK zona_no / jenis_fixture",IF(D423&lt;&gt;I423,"CEK jenis_zona",IF(E423="","Zona kosong",IF(F423="","CEK nama kosong","OK"))))))</f>
        <v/>
      </c>
    </row>
    <row r="424">
      <c r="A424" s="9" t="n"/>
      <c r="B424" s="10">
        <f>IF(A424="","",IFERROR(INDEX(DAFTAR_FIXTURE!$B$2:$B$51,MATCH(A424,DAFTAR_FIXTURE!$A$2:$A$51,0)),""))</f>
        <v/>
      </c>
      <c r="C424" s="11" t="n"/>
      <c r="D424" s="11" t="n"/>
      <c r="E424" s="12" t="n"/>
      <c r="F424" s="9" t="n"/>
      <c r="G424" s="11" t="n"/>
      <c r="H424" s="10">
        <f>IF(E424="","","https://cdn.ruparupa.io/fit-in/850x850/ruparupa-com/image/upload/Products/"&amp;E424&amp;"_1.jpg")</f>
        <v/>
      </c>
      <c r="I424" s="10">
        <f>IF(OR(B424="",C424=""),"",IFERROR(INDEX(LAYOUT!$D$2:$D$34,MATCH(B424&amp;"|"&amp;C424,LAYOUT!$E$2:$E$34,0)),"zona tidak ada di layout"))</f>
        <v/>
      </c>
      <c r="J424" s="13">
        <f>IF(OR(A424="",E424=""),"",COUNTIFS($A$2:$A$500,A424,$C$2:$C$500,C424,$E$2:$E$500,"&lt;&gt;"))</f>
        <v/>
      </c>
      <c r="K424" s="13">
        <f>IF(A424="","",IF(B424="","CEK id_fixture tidak ada di DAFTAR_FIXTURE",IF(I424="zona tidak ada di layout","CEK zona_no / jenis_fixture",IF(D424&lt;&gt;I424,"CEK jenis_zona",IF(E424="","Zona kosong",IF(F424="","CEK nama kosong","OK"))))))</f>
        <v/>
      </c>
    </row>
    <row r="425">
      <c r="A425" s="9" t="n"/>
      <c r="B425" s="10">
        <f>IF(A425="","",IFERROR(INDEX(DAFTAR_FIXTURE!$B$2:$B$51,MATCH(A425,DAFTAR_FIXTURE!$A$2:$A$51,0)),""))</f>
        <v/>
      </c>
      <c r="C425" s="11" t="n"/>
      <c r="D425" s="11" t="n"/>
      <c r="E425" s="12" t="n"/>
      <c r="F425" s="9" t="n"/>
      <c r="G425" s="11" t="n"/>
      <c r="H425" s="10">
        <f>IF(E425="","","https://cdn.ruparupa.io/fit-in/850x850/ruparupa-com/image/upload/Products/"&amp;E425&amp;"_1.jpg")</f>
        <v/>
      </c>
      <c r="I425" s="10">
        <f>IF(OR(B425="",C425=""),"",IFERROR(INDEX(LAYOUT!$D$2:$D$34,MATCH(B425&amp;"|"&amp;C425,LAYOUT!$E$2:$E$34,0)),"zona tidak ada di layout"))</f>
        <v/>
      </c>
      <c r="J425" s="13">
        <f>IF(OR(A425="",E425=""),"",COUNTIFS($A$2:$A$500,A425,$C$2:$C$500,C425,$E$2:$E$500,"&lt;&gt;"))</f>
        <v/>
      </c>
      <c r="K425" s="13">
        <f>IF(A425="","",IF(B425="","CEK id_fixture tidak ada di DAFTAR_FIXTURE",IF(I425="zona tidak ada di layout","CEK zona_no / jenis_fixture",IF(D425&lt;&gt;I425,"CEK jenis_zona",IF(E425="","Zona kosong",IF(F425="","CEK nama kosong","OK"))))))</f>
        <v/>
      </c>
    </row>
    <row r="426">
      <c r="A426" s="9" t="n"/>
      <c r="B426" s="10">
        <f>IF(A426="","",IFERROR(INDEX(DAFTAR_FIXTURE!$B$2:$B$51,MATCH(A426,DAFTAR_FIXTURE!$A$2:$A$51,0)),""))</f>
        <v/>
      </c>
      <c r="C426" s="11" t="n"/>
      <c r="D426" s="11" t="n"/>
      <c r="E426" s="12" t="n"/>
      <c r="F426" s="9" t="n"/>
      <c r="G426" s="11" t="n"/>
      <c r="H426" s="10">
        <f>IF(E426="","","https://cdn.ruparupa.io/fit-in/850x850/ruparupa-com/image/upload/Products/"&amp;E426&amp;"_1.jpg")</f>
        <v/>
      </c>
      <c r="I426" s="10">
        <f>IF(OR(B426="",C426=""),"",IFERROR(INDEX(LAYOUT!$D$2:$D$34,MATCH(B426&amp;"|"&amp;C426,LAYOUT!$E$2:$E$34,0)),"zona tidak ada di layout"))</f>
        <v/>
      </c>
      <c r="J426" s="13">
        <f>IF(OR(A426="",E426=""),"",COUNTIFS($A$2:$A$500,A426,$C$2:$C$500,C426,$E$2:$E$500,"&lt;&gt;"))</f>
        <v/>
      </c>
      <c r="K426" s="13">
        <f>IF(A426="","",IF(B426="","CEK id_fixture tidak ada di DAFTAR_FIXTURE",IF(I426="zona tidak ada di layout","CEK zona_no / jenis_fixture",IF(D426&lt;&gt;I426,"CEK jenis_zona",IF(E426="","Zona kosong",IF(F426="","CEK nama kosong","OK"))))))</f>
        <v/>
      </c>
    </row>
    <row r="427">
      <c r="A427" s="9" t="n"/>
      <c r="B427" s="10">
        <f>IF(A427="","",IFERROR(INDEX(DAFTAR_FIXTURE!$B$2:$B$51,MATCH(A427,DAFTAR_FIXTURE!$A$2:$A$51,0)),""))</f>
        <v/>
      </c>
      <c r="C427" s="11" t="n"/>
      <c r="D427" s="11" t="n"/>
      <c r="E427" s="12" t="n"/>
      <c r="F427" s="9" t="n"/>
      <c r="G427" s="11" t="n"/>
      <c r="H427" s="10">
        <f>IF(E427="","","https://cdn.ruparupa.io/fit-in/850x850/ruparupa-com/image/upload/Products/"&amp;E427&amp;"_1.jpg")</f>
        <v/>
      </c>
      <c r="I427" s="10">
        <f>IF(OR(B427="",C427=""),"",IFERROR(INDEX(LAYOUT!$D$2:$D$34,MATCH(B427&amp;"|"&amp;C427,LAYOUT!$E$2:$E$34,0)),"zona tidak ada di layout"))</f>
        <v/>
      </c>
      <c r="J427" s="13">
        <f>IF(OR(A427="",E427=""),"",COUNTIFS($A$2:$A$500,A427,$C$2:$C$500,C427,$E$2:$E$500,"&lt;&gt;"))</f>
        <v/>
      </c>
      <c r="K427" s="13">
        <f>IF(A427="","",IF(B427="","CEK id_fixture tidak ada di DAFTAR_FIXTURE",IF(I427="zona tidak ada di layout","CEK zona_no / jenis_fixture",IF(D427&lt;&gt;I427,"CEK jenis_zona",IF(E427="","Zona kosong",IF(F427="","CEK nama kosong","OK"))))))</f>
        <v/>
      </c>
    </row>
    <row r="428">
      <c r="A428" s="9" t="n"/>
      <c r="B428" s="10">
        <f>IF(A428="","",IFERROR(INDEX(DAFTAR_FIXTURE!$B$2:$B$51,MATCH(A428,DAFTAR_FIXTURE!$A$2:$A$51,0)),""))</f>
        <v/>
      </c>
      <c r="C428" s="11" t="n"/>
      <c r="D428" s="11" t="n"/>
      <c r="E428" s="12" t="n"/>
      <c r="F428" s="9" t="n"/>
      <c r="G428" s="11" t="n"/>
      <c r="H428" s="10">
        <f>IF(E428="","","https://cdn.ruparupa.io/fit-in/850x850/ruparupa-com/image/upload/Products/"&amp;E428&amp;"_1.jpg")</f>
        <v/>
      </c>
      <c r="I428" s="10">
        <f>IF(OR(B428="",C428=""),"",IFERROR(INDEX(LAYOUT!$D$2:$D$34,MATCH(B428&amp;"|"&amp;C428,LAYOUT!$E$2:$E$34,0)),"zona tidak ada di layout"))</f>
        <v/>
      </c>
      <c r="J428" s="13">
        <f>IF(OR(A428="",E428=""),"",COUNTIFS($A$2:$A$500,A428,$C$2:$C$500,C428,$E$2:$E$500,"&lt;&gt;"))</f>
        <v/>
      </c>
      <c r="K428" s="13">
        <f>IF(A428="","",IF(B428="","CEK id_fixture tidak ada di DAFTAR_FIXTURE",IF(I428="zona tidak ada di layout","CEK zona_no / jenis_fixture",IF(D428&lt;&gt;I428,"CEK jenis_zona",IF(E428="","Zona kosong",IF(F428="","CEK nama kosong","OK"))))))</f>
        <v/>
      </c>
    </row>
    <row r="429">
      <c r="A429" s="9" t="n"/>
      <c r="B429" s="10">
        <f>IF(A429="","",IFERROR(INDEX(DAFTAR_FIXTURE!$B$2:$B$51,MATCH(A429,DAFTAR_FIXTURE!$A$2:$A$51,0)),""))</f>
        <v/>
      </c>
      <c r="C429" s="11" t="n"/>
      <c r="D429" s="11" t="n"/>
      <c r="E429" s="12" t="n"/>
      <c r="F429" s="9" t="n"/>
      <c r="G429" s="11" t="n"/>
      <c r="H429" s="10">
        <f>IF(E429="","","https://cdn.ruparupa.io/fit-in/850x850/ruparupa-com/image/upload/Products/"&amp;E429&amp;"_1.jpg")</f>
        <v/>
      </c>
      <c r="I429" s="10">
        <f>IF(OR(B429="",C429=""),"",IFERROR(INDEX(LAYOUT!$D$2:$D$34,MATCH(B429&amp;"|"&amp;C429,LAYOUT!$E$2:$E$34,0)),"zona tidak ada di layout"))</f>
        <v/>
      </c>
      <c r="J429" s="13">
        <f>IF(OR(A429="",E429=""),"",COUNTIFS($A$2:$A$500,A429,$C$2:$C$500,C429,$E$2:$E$500,"&lt;&gt;"))</f>
        <v/>
      </c>
      <c r="K429" s="13">
        <f>IF(A429="","",IF(B429="","CEK id_fixture tidak ada di DAFTAR_FIXTURE",IF(I429="zona tidak ada di layout","CEK zona_no / jenis_fixture",IF(D429&lt;&gt;I429,"CEK jenis_zona",IF(E429="","Zona kosong",IF(F429="","CEK nama kosong","OK"))))))</f>
        <v/>
      </c>
    </row>
    <row r="430">
      <c r="A430" s="9" t="n"/>
      <c r="B430" s="10">
        <f>IF(A430="","",IFERROR(INDEX(DAFTAR_FIXTURE!$B$2:$B$51,MATCH(A430,DAFTAR_FIXTURE!$A$2:$A$51,0)),""))</f>
        <v/>
      </c>
      <c r="C430" s="11" t="n"/>
      <c r="D430" s="11" t="n"/>
      <c r="E430" s="12" t="n"/>
      <c r="F430" s="9" t="n"/>
      <c r="G430" s="11" t="n"/>
      <c r="H430" s="10">
        <f>IF(E430="","","https://cdn.ruparupa.io/fit-in/850x850/ruparupa-com/image/upload/Products/"&amp;E430&amp;"_1.jpg")</f>
        <v/>
      </c>
      <c r="I430" s="10">
        <f>IF(OR(B430="",C430=""),"",IFERROR(INDEX(LAYOUT!$D$2:$D$34,MATCH(B430&amp;"|"&amp;C430,LAYOUT!$E$2:$E$34,0)),"zona tidak ada di layout"))</f>
        <v/>
      </c>
      <c r="J430" s="13">
        <f>IF(OR(A430="",E430=""),"",COUNTIFS($A$2:$A$500,A430,$C$2:$C$500,C430,$E$2:$E$500,"&lt;&gt;"))</f>
        <v/>
      </c>
      <c r="K430" s="13">
        <f>IF(A430="","",IF(B430="","CEK id_fixture tidak ada di DAFTAR_FIXTURE",IF(I430="zona tidak ada di layout","CEK zona_no / jenis_fixture",IF(D430&lt;&gt;I430,"CEK jenis_zona",IF(E430="","Zona kosong",IF(F430="","CEK nama kosong","OK"))))))</f>
        <v/>
      </c>
    </row>
    <row r="431">
      <c r="A431" s="9" t="n"/>
      <c r="B431" s="10">
        <f>IF(A431="","",IFERROR(INDEX(DAFTAR_FIXTURE!$B$2:$B$51,MATCH(A431,DAFTAR_FIXTURE!$A$2:$A$51,0)),""))</f>
        <v/>
      </c>
      <c r="C431" s="11" t="n"/>
      <c r="D431" s="11" t="n"/>
      <c r="E431" s="12" t="n"/>
      <c r="F431" s="9" t="n"/>
      <c r="G431" s="11" t="n"/>
      <c r="H431" s="10">
        <f>IF(E431="","","https://cdn.ruparupa.io/fit-in/850x850/ruparupa-com/image/upload/Products/"&amp;E431&amp;"_1.jpg")</f>
        <v/>
      </c>
      <c r="I431" s="10">
        <f>IF(OR(B431="",C431=""),"",IFERROR(INDEX(LAYOUT!$D$2:$D$34,MATCH(B431&amp;"|"&amp;C431,LAYOUT!$E$2:$E$34,0)),"zona tidak ada di layout"))</f>
        <v/>
      </c>
      <c r="J431" s="13">
        <f>IF(OR(A431="",E431=""),"",COUNTIFS($A$2:$A$500,A431,$C$2:$C$500,C431,$E$2:$E$500,"&lt;&gt;"))</f>
        <v/>
      </c>
      <c r="K431" s="13">
        <f>IF(A431="","",IF(B431="","CEK id_fixture tidak ada di DAFTAR_FIXTURE",IF(I431="zona tidak ada di layout","CEK zona_no / jenis_fixture",IF(D431&lt;&gt;I431,"CEK jenis_zona",IF(E431="","Zona kosong",IF(F431="","CEK nama kosong","OK"))))))</f>
        <v/>
      </c>
    </row>
    <row r="432">
      <c r="A432" s="9" t="n"/>
      <c r="B432" s="10">
        <f>IF(A432="","",IFERROR(INDEX(DAFTAR_FIXTURE!$B$2:$B$51,MATCH(A432,DAFTAR_FIXTURE!$A$2:$A$51,0)),""))</f>
        <v/>
      </c>
      <c r="C432" s="11" t="n"/>
      <c r="D432" s="11" t="n"/>
      <c r="E432" s="12" t="n"/>
      <c r="F432" s="9" t="n"/>
      <c r="G432" s="11" t="n"/>
      <c r="H432" s="10">
        <f>IF(E432="","","https://cdn.ruparupa.io/fit-in/850x850/ruparupa-com/image/upload/Products/"&amp;E432&amp;"_1.jpg")</f>
        <v/>
      </c>
      <c r="I432" s="10">
        <f>IF(OR(B432="",C432=""),"",IFERROR(INDEX(LAYOUT!$D$2:$D$34,MATCH(B432&amp;"|"&amp;C432,LAYOUT!$E$2:$E$34,0)),"zona tidak ada di layout"))</f>
        <v/>
      </c>
      <c r="J432" s="13">
        <f>IF(OR(A432="",E432=""),"",COUNTIFS($A$2:$A$500,A432,$C$2:$C$500,C432,$E$2:$E$500,"&lt;&gt;"))</f>
        <v/>
      </c>
      <c r="K432" s="13">
        <f>IF(A432="","",IF(B432="","CEK id_fixture tidak ada di DAFTAR_FIXTURE",IF(I432="zona tidak ada di layout","CEK zona_no / jenis_fixture",IF(D432&lt;&gt;I432,"CEK jenis_zona",IF(E432="","Zona kosong",IF(F432="","CEK nama kosong","OK"))))))</f>
        <v/>
      </c>
    </row>
    <row r="433">
      <c r="A433" s="9" t="n"/>
      <c r="B433" s="10">
        <f>IF(A433="","",IFERROR(INDEX(DAFTAR_FIXTURE!$B$2:$B$51,MATCH(A433,DAFTAR_FIXTURE!$A$2:$A$51,0)),""))</f>
        <v/>
      </c>
      <c r="C433" s="11" t="n"/>
      <c r="D433" s="11" t="n"/>
      <c r="E433" s="12" t="n"/>
      <c r="F433" s="9" t="n"/>
      <c r="G433" s="11" t="n"/>
      <c r="H433" s="10">
        <f>IF(E433="","","https://cdn.ruparupa.io/fit-in/850x850/ruparupa-com/image/upload/Products/"&amp;E433&amp;"_1.jpg")</f>
        <v/>
      </c>
      <c r="I433" s="10">
        <f>IF(OR(B433="",C433=""),"",IFERROR(INDEX(LAYOUT!$D$2:$D$34,MATCH(B433&amp;"|"&amp;C433,LAYOUT!$E$2:$E$34,0)),"zona tidak ada di layout"))</f>
        <v/>
      </c>
      <c r="J433" s="13">
        <f>IF(OR(A433="",E433=""),"",COUNTIFS($A$2:$A$500,A433,$C$2:$C$500,C433,$E$2:$E$500,"&lt;&gt;"))</f>
        <v/>
      </c>
      <c r="K433" s="13">
        <f>IF(A433="","",IF(B433="","CEK id_fixture tidak ada di DAFTAR_FIXTURE",IF(I433="zona tidak ada di layout","CEK zona_no / jenis_fixture",IF(D433&lt;&gt;I433,"CEK jenis_zona",IF(E433="","Zona kosong",IF(F433="","CEK nama kosong","OK"))))))</f>
        <v/>
      </c>
    </row>
    <row r="434">
      <c r="A434" s="9" t="n"/>
      <c r="B434" s="10">
        <f>IF(A434="","",IFERROR(INDEX(DAFTAR_FIXTURE!$B$2:$B$51,MATCH(A434,DAFTAR_FIXTURE!$A$2:$A$51,0)),""))</f>
        <v/>
      </c>
      <c r="C434" s="11" t="n"/>
      <c r="D434" s="11" t="n"/>
      <c r="E434" s="12" t="n"/>
      <c r="F434" s="9" t="n"/>
      <c r="G434" s="11" t="n"/>
      <c r="H434" s="10">
        <f>IF(E434="","","https://cdn.ruparupa.io/fit-in/850x850/ruparupa-com/image/upload/Products/"&amp;E434&amp;"_1.jpg")</f>
        <v/>
      </c>
      <c r="I434" s="10">
        <f>IF(OR(B434="",C434=""),"",IFERROR(INDEX(LAYOUT!$D$2:$D$34,MATCH(B434&amp;"|"&amp;C434,LAYOUT!$E$2:$E$34,0)),"zona tidak ada di layout"))</f>
        <v/>
      </c>
      <c r="J434" s="13">
        <f>IF(OR(A434="",E434=""),"",COUNTIFS($A$2:$A$500,A434,$C$2:$C$500,C434,$E$2:$E$500,"&lt;&gt;"))</f>
        <v/>
      </c>
      <c r="K434" s="13">
        <f>IF(A434="","",IF(B434="","CEK id_fixture tidak ada di DAFTAR_FIXTURE",IF(I434="zona tidak ada di layout","CEK zona_no / jenis_fixture",IF(D434&lt;&gt;I434,"CEK jenis_zona",IF(E434="","Zona kosong",IF(F434="","CEK nama kosong","OK"))))))</f>
        <v/>
      </c>
    </row>
    <row r="435">
      <c r="A435" s="9" t="n"/>
      <c r="B435" s="10">
        <f>IF(A435="","",IFERROR(INDEX(DAFTAR_FIXTURE!$B$2:$B$51,MATCH(A435,DAFTAR_FIXTURE!$A$2:$A$51,0)),""))</f>
        <v/>
      </c>
      <c r="C435" s="11" t="n"/>
      <c r="D435" s="11" t="n"/>
      <c r="E435" s="12" t="n"/>
      <c r="F435" s="9" t="n"/>
      <c r="G435" s="11" t="n"/>
      <c r="H435" s="10">
        <f>IF(E435="","","https://cdn.ruparupa.io/fit-in/850x850/ruparupa-com/image/upload/Products/"&amp;E435&amp;"_1.jpg")</f>
        <v/>
      </c>
      <c r="I435" s="10">
        <f>IF(OR(B435="",C435=""),"",IFERROR(INDEX(LAYOUT!$D$2:$D$34,MATCH(B435&amp;"|"&amp;C435,LAYOUT!$E$2:$E$34,0)),"zona tidak ada di layout"))</f>
        <v/>
      </c>
      <c r="J435" s="13">
        <f>IF(OR(A435="",E435=""),"",COUNTIFS($A$2:$A$500,A435,$C$2:$C$500,C435,$E$2:$E$500,"&lt;&gt;"))</f>
        <v/>
      </c>
      <c r="K435" s="13">
        <f>IF(A435="","",IF(B435="","CEK id_fixture tidak ada di DAFTAR_FIXTURE",IF(I435="zona tidak ada di layout","CEK zona_no / jenis_fixture",IF(D435&lt;&gt;I435,"CEK jenis_zona",IF(E435="","Zona kosong",IF(F435="","CEK nama kosong","OK"))))))</f>
        <v/>
      </c>
    </row>
    <row r="436">
      <c r="A436" s="9" t="n"/>
      <c r="B436" s="10">
        <f>IF(A436="","",IFERROR(INDEX(DAFTAR_FIXTURE!$B$2:$B$51,MATCH(A436,DAFTAR_FIXTURE!$A$2:$A$51,0)),""))</f>
        <v/>
      </c>
      <c r="C436" s="11" t="n"/>
      <c r="D436" s="11" t="n"/>
      <c r="E436" s="12" t="n"/>
      <c r="F436" s="9" t="n"/>
      <c r="G436" s="11" t="n"/>
      <c r="H436" s="10">
        <f>IF(E436="","","https://cdn.ruparupa.io/fit-in/850x850/ruparupa-com/image/upload/Products/"&amp;E436&amp;"_1.jpg")</f>
        <v/>
      </c>
      <c r="I436" s="10">
        <f>IF(OR(B436="",C436=""),"",IFERROR(INDEX(LAYOUT!$D$2:$D$34,MATCH(B436&amp;"|"&amp;C436,LAYOUT!$E$2:$E$34,0)),"zona tidak ada di layout"))</f>
        <v/>
      </c>
      <c r="J436" s="13">
        <f>IF(OR(A436="",E436=""),"",COUNTIFS($A$2:$A$500,A436,$C$2:$C$500,C436,$E$2:$E$500,"&lt;&gt;"))</f>
        <v/>
      </c>
      <c r="K436" s="13">
        <f>IF(A436="","",IF(B436="","CEK id_fixture tidak ada di DAFTAR_FIXTURE",IF(I436="zona tidak ada di layout","CEK zona_no / jenis_fixture",IF(D436&lt;&gt;I436,"CEK jenis_zona",IF(E436="","Zona kosong",IF(F436="","CEK nama kosong","OK"))))))</f>
        <v/>
      </c>
    </row>
    <row r="437">
      <c r="A437" s="9" t="n"/>
      <c r="B437" s="10">
        <f>IF(A437="","",IFERROR(INDEX(DAFTAR_FIXTURE!$B$2:$B$51,MATCH(A437,DAFTAR_FIXTURE!$A$2:$A$51,0)),""))</f>
        <v/>
      </c>
      <c r="C437" s="11" t="n"/>
      <c r="D437" s="11" t="n"/>
      <c r="E437" s="12" t="n"/>
      <c r="F437" s="9" t="n"/>
      <c r="G437" s="11" t="n"/>
      <c r="H437" s="10">
        <f>IF(E437="","","https://cdn.ruparupa.io/fit-in/850x850/ruparupa-com/image/upload/Products/"&amp;E437&amp;"_1.jpg")</f>
        <v/>
      </c>
      <c r="I437" s="10">
        <f>IF(OR(B437="",C437=""),"",IFERROR(INDEX(LAYOUT!$D$2:$D$34,MATCH(B437&amp;"|"&amp;C437,LAYOUT!$E$2:$E$34,0)),"zona tidak ada di layout"))</f>
        <v/>
      </c>
      <c r="J437" s="13">
        <f>IF(OR(A437="",E437=""),"",COUNTIFS($A$2:$A$500,A437,$C$2:$C$500,C437,$E$2:$E$500,"&lt;&gt;"))</f>
        <v/>
      </c>
      <c r="K437" s="13">
        <f>IF(A437="","",IF(B437="","CEK id_fixture tidak ada di DAFTAR_FIXTURE",IF(I437="zona tidak ada di layout","CEK zona_no / jenis_fixture",IF(D437&lt;&gt;I437,"CEK jenis_zona",IF(E437="","Zona kosong",IF(F437="","CEK nama kosong","OK"))))))</f>
        <v/>
      </c>
    </row>
    <row r="438">
      <c r="A438" s="9" t="n"/>
      <c r="B438" s="10">
        <f>IF(A438="","",IFERROR(INDEX(DAFTAR_FIXTURE!$B$2:$B$51,MATCH(A438,DAFTAR_FIXTURE!$A$2:$A$51,0)),""))</f>
        <v/>
      </c>
      <c r="C438" s="11" t="n"/>
      <c r="D438" s="11" t="n"/>
      <c r="E438" s="12" t="n"/>
      <c r="F438" s="9" t="n"/>
      <c r="G438" s="11" t="n"/>
      <c r="H438" s="10">
        <f>IF(E438="","","https://cdn.ruparupa.io/fit-in/850x850/ruparupa-com/image/upload/Products/"&amp;E438&amp;"_1.jpg")</f>
        <v/>
      </c>
      <c r="I438" s="10">
        <f>IF(OR(B438="",C438=""),"",IFERROR(INDEX(LAYOUT!$D$2:$D$34,MATCH(B438&amp;"|"&amp;C438,LAYOUT!$E$2:$E$34,0)),"zona tidak ada di layout"))</f>
        <v/>
      </c>
      <c r="J438" s="13">
        <f>IF(OR(A438="",E438=""),"",COUNTIFS($A$2:$A$500,A438,$C$2:$C$500,C438,$E$2:$E$500,"&lt;&gt;"))</f>
        <v/>
      </c>
      <c r="K438" s="13">
        <f>IF(A438="","",IF(B438="","CEK id_fixture tidak ada di DAFTAR_FIXTURE",IF(I438="zona tidak ada di layout","CEK zona_no / jenis_fixture",IF(D438&lt;&gt;I438,"CEK jenis_zona",IF(E438="","Zona kosong",IF(F438="","CEK nama kosong","OK"))))))</f>
        <v/>
      </c>
    </row>
    <row r="439">
      <c r="A439" s="9" t="n"/>
      <c r="B439" s="10">
        <f>IF(A439="","",IFERROR(INDEX(DAFTAR_FIXTURE!$B$2:$B$51,MATCH(A439,DAFTAR_FIXTURE!$A$2:$A$51,0)),""))</f>
        <v/>
      </c>
      <c r="C439" s="11" t="n"/>
      <c r="D439" s="11" t="n"/>
      <c r="E439" s="12" t="n"/>
      <c r="F439" s="9" t="n"/>
      <c r="G439" s="11" t="n"/>
      <c r="H439" s="10">
        <f>IF(E439="","","https://cdn.ruparupa.io/fit-in/850x850/ruparupa-com/image/upload/Products/"&amp;E439&amp;"_1.jpg")</f>
        <v/>
      </c>
      <c r="I439" s="10">
        <f>IF(OR(B439="",C439=""),"",IFERROR(INDEX(LAYOUT!$D$2:$D$34,MATCH(B439&amp;"|"&amp;C439,LAYOUT!$E$2:$E$34,0)),"zona tidak ada di layout"))</f>
        <v/>
      </c>
      <c r="J439" s="13">
        <f>IF(OR(A439="",E439=""),"",COUNTIFS($A$2:$A$500,A439,$C$2:$C$500,C439,$E$2:$E$500,"&lt;&gt;"))</f>
        <v/>
      </c>
      <c r="K439" s="13">
        <f>IF(A439="","",IF(B439="","CEK id_fixture tidak ada di DAFTAR_FIXTURE",IF(I439="zona tidak ada di layout","CEK zona_no / jenis_fixture",IF(D439&lt;&gt;I439,"CEK jenis_zona",IF(E439="","Zona kosong",IF(F439="","CEK nama kosong","OK"))))))</f>
        <v/>
      </c>
    </row>
    <row r="440">
      <c r="A440" s="9" t="n"/>
      <c r="B440" s="10">
        <f>IF(A440="","",IFERROR(INDEX(DAFTAR_FIXTURE!$B$2:$B$51,MATCH(A440,DAFTAR_FIXTURE!$A$2:$A$51,0)),""))</f>
        <v/>
      </c>
      <c r="C440" s="11" t="n"/>
      <c r="D440" s="11" t="n"/>
      <c r="E440" s="12" t="n"/>
      <c r="F440" s="9" t="n"/>
      <c r="G440" s="11" t="n"/>
      <c r="H440" s="10">
        <f>IF(E440="","","https://cdn.ruparupa.io/fit-in/850x850/ruparupa-com/image/upload/Products/"&amp;E440&amp;"_1.jpg")</f>
        <v/>
      </c>
      <c r="I440" s="10">
        <f>IF(OR(B440="",C440=""),"",IFERROR(INDEX(LAYOUT!$D$2:$D$34,MATCH(B440&amp;"|"&amp;C440,LAYOUT!$E$2:$E$34,0)),"zona tidak ada di layout"))</f>
        <v/>
      </c>
      <c r="J440" s="13">
        <f>IF(OR(A440="",E440=""),"",COUNTIFS($A$2:$A$500,A440,$C$2:$C$500,C440,$E$2:$E$500,"&lt;&gt;"))</f>
        <v/>
      </c>
      <c r="K440" s="13">
        <f>IF(A440="","",IF(B440="","CEK id_fixture tidak ada di DAFTAR_FIXTURE",IF(I440="zona tidak ada di layout","CEK zona_no / jenis_fixture",IF(D440&lt;&gt;I440,"CEK jenis_zona",IF(E440="","Zona kosong",IF(F440="","CEK nama kosong","OK"))))))</f>
        <v/>
      </c>
    </row>
    <row r="441">
      <c r="A441" s="9" t="n"/>
      <c r="B441" s="10">
        <f>IF(A441="","",IFERROR(INDEX(DAFTAR_FIXTURE!$B$2:$B$51,MATCH(A441,DAFTAR_FIXTURE!$A$2:$A$51,0)),""))</f>
        <v/>
      </c>
      <c r="C441" s="11" t="n"/>
      <c r="D441" s="11" t="n"/>
      <c r="E441" s="12" t="n"/>
      <c r="F441" s="9" t="n"/>
      <c r="G441" s="11" t="n"/>
      <c r="H441" s="10">
        <f>IF(E441="","","https://cdn.ruparupa.io/fit-in/850x850/ruparupa-com/image/upload/Products/"&amp;E441&amp;"_1.jpg")</f>
        <v/>
      </c>
      <c r="I441" s="10">
        <f>IF(OR(B441="",C441=""),"",IFERROR(INDEX(LAYOUT!$D$2:$D$34,MATCH(B441&amp;"|"&amp;C441,LAYOUT!$E$2:$E$34,0)),"zona tidak ada di layout"))</f>
        <v/>
      </c>
      <c r="J441" s="13">
        <f>IF(OR(A441="",E441=""),"",COUNTIFS($A$2:$A$500,A441,$C$2:$C$500,C441,$E$2:$E$500,"&lt;&gt;"))</f>
        <v/>
      </c>
      <c r="K441" s="13">
        <f>IF(A441="","",IF(B441="","CEK id_fixture tidak ada di DAFTAR_FIXTURE",IF(I441="zona tidak ada di layout","CEK zona_no / jenis_fixture",IF(D441&lt;&gt;I441,"CEK jenis_zona",IF(E441="","Zona kosong",IF(F441="","CEK nama kosong","OK"))))))</f>
        <v/>
      </c>
    </row>
    <row r="442">
      <c r="A442" s="9" t="n"/>
      <c r="B442" s="10">
        <f>IF(A442="","",IFERROR(INDEX(DAFTAR_FIXTURE!$B$2:$B$51,MATCH(A442,DAFTAR_FIXTURE!$A$2:$A$51,0)),""))</f>
        <v/>
      </c>
      <c r="C442" s="11" t="n"/>
      <c r="D442" s="11" t="n"/>
      <c r="E442" s="12" t="n"/>
      <c r="F442" s="9" t="n"/>
      <c r="G442" s="11" t="n"/>
      <c r="H442" s="10">
        <f>IF(E442="","","https://cdn.ruparupa.io/fit-in/850x850/ruparupa-com/image/upload/Products/"&amp;E442&amp;"_1.jpg")</f>
        <v/>
      </c>
      <c r="I442" s="10">
        <f>IF(OR(B442="",C442=""),"",IFERROR(INDEX(LAYOUT!$D$2:$D$34,MATCH(B442&amp;"|"&amp;C442,LAYOUT!$E$2:$E$34,0)),"zona tidak ada di layout"))</f>
        <v/>
      </c>
      <c r="J442" s="13">
        <f>IF(OR(A442="",E442=""),"",COUNTIFS($A$2:$A$500,A442,$C$2:$C$500,C442,$E$2:$E$500,"&lt;&gt;"))</f>
        <v/>
      </c>
      <c r="K442" s="13">
        <f>IF(A442="","",IF(B442="","CEK id_fixture tidak ada di DAFTAR_FIXTURE",IF(I442="zona tidak ada di layout","CEK zona_no / jenis_fixture",IF(D442&lt;&gt;I442,"CEK jenis_zona",IF(E442="","Zona kosong",IF(F442="","CEK nama kosong","OK"))))))</f>
        <v/>
      </c>
    </row>
    <row r="443">
      <c r="A443" s="9" t="n"/>
      <c r="B443" s="10">
        <f>IF(A443="","",IFERROR(INDEX(DAFTAR_FIXTURE!$B$2:$B$51,MATCH(A443,DAFTAR_FIXTURE!$A$2:$A$51,0)),""))</f>
        <v/>
      </c>
      <c r="C443" s="11" t="n"/>
      <c r="D443" s="11" t="n"/>
      <c r="E443" s="12" t="n"/>
      <c r="F443" s="9" t="n"/>
      <c r="G443" s="11" t="n"/>
      <c r="H443" s="10">
        <f>IF(E443="","","https://cdn.ruparupa.io/fit-in/850x850/ruparupa-com/image/upload/Products/"&amp;E443&amp;"_1.jpg")</f>
        <v/>
      </c>
      <c r="I443" s="10">
        <f>IF(OR(B443="",C443=""),"",IFERROR(INDEX(LAYOUT!$D$2:$D$34,MATCH(B443&amp;"|"&amp;C443,LAYOUT!$E$2:$E$34,0)),"zona tidak ada di layout"))</f>
        <v/>
      </c>
      <c r="J443" s="13">
        <f>IF(OR(A443="",E443=""),"",COUNTIFS($A$2:$A$500,A443,$C$2:$C$500,C443,$E$2:$E$500,"&lt;&gt;"))</f>
        <v/>
      </c>
      <c r="K443" s="13">
        <f>IF(A443="","",IF(B443="","CEK id_fixture tidak ada di DAFTAR_FIXTURE",IF(I443="zona tidak ada di layout","CEK zona_no / jenis_fixture",IF(D443&lt;&gt;I443,"CEK jenis_zona",IF(E443="","Zona kosong",IF(F443="","CEK nama kosong","OK"))))))</f>
        <v/>
      </c>
    </row>
    <row r="444">
      <c r="A444" s="9" t="n"/>
      <c r="B444" s="10">
        <f>IF(A444="","",IFERROR(INDEX(DAFTAR_FIXTURE!$B$2:$B$51,MATCH(A444,DAFTAR_FIXTURE!$A$2:$A$51,0)),""))</f>
        <v/>
      </c>
      <c r="C444" s="11" t="n"/>
      <c r="D444" s="11" t="n"/>
      <c r="E444" s="12" t="n"/>
      <c r="F444" s="9" t="n"/>
      <c r="G444" s="11" t="n"/>
      <c r="H444" s="10">
        <f>IF(E444="","","https://cdn.ruparupa.io/fit-in/850x850/ruparupa-com/image/upload/Products/"&amp;E444&amp;"_1.jpg")</f>
        <v/>
      </c>
      <c r="I444" s="10">
        <f>IF(OR(B444="",C444=""),"",IFERROR(INDEX(LAYOUT!$D$2:$D$34,MATCH(B444&amp;"|"&amp;C444,LAYOUT!$E$2:$E$34,0)),"zona tidak ada di layout"))</f>
        <v/>
      </c>
      <c r="J444" s="13">
        <f>IF(OR(A444="",E444=""),"",COUNTIFS($A$2:$A$500,A444,$C$2:$C$500,C444,$E$2:$E$500,"&lt;&gt;"))</f>
        <v/>
      </c>
      <c r="K444" s="13">
        <f>IF(A444="","",IF(B444="","CEK id_fixture tidak ada di DAFTAR_FIXTURE",IF(I444="zona tidak ada di layout","CEK zona_no / jenis_fixture",IF(D444&lt;&gt;I444,"CEK jenis_zona",IF(E444="","Zona kosong",IF(F444="","CEK nama kosong","OK"))))))</f>
        <v/>
      </c>
    </row>
    <row r="445">
      <c r="A445" s="9" t="n"/>
      <c r="B445" s="10">
        <f>IF(A445="","",IFERROR(INDEX(DAFTAR_FIXTURE!$B$2:$B$51,MATCH(A445,DAFTAR_FIXTURE!$A$2:$A$51,0)),""))</f>
        <v/>
      </c>
      <c r="C445" s="11" t="n"/>
      <c r="D445" s="11" t="n"/>
      <c r="E445" s="12" t="n"/>
      <c r="F445" s="9" t="n"/>
      <c r="G445" s="11" t="n"/>
      <c r="H445" s="10">
        <f>IF(E445="","","https://cdn.ruparupa.io/fit-in/850x850/ruparupa-com/image/upload/Products/"&amp;E445&amp;"_1.jpg")</f>
        <v/>
      </c>
      <c r="I445" s="10">
        <f>IF(OR(B445="",C445=""),"",IFERROR(INDEX(LAYOUT!$D$2:$D$34,MATCH(B445&amp;"|"&amp;C445,LAYOUT!$E$2:$E$34,0)),"zona tidak ada di layout"))</f>
        <v/>
      </c>
      <c r="J445" s="13">
        <f>IF(OR(A445="",E445=""),"",COUNTIFS($A$2:$A$500,A445,$C$2:$C$500,C445,$E$2:$E$500,"&lt;&gt;"))</f>
        <v/>
      </c>
      <c r="K445" s="13">
        <f>IF(A445="","",IF(B445="","CEK id_fixture tidak ada di DAFTAR_FIXTURE",IF(I445="zona tidak ada di layout","CEK zona_no / jenis_fixture",IF(D445&lt;&gt;I445,"CEK jenis_zona",IF(E445="","Zona kosong",IF(F445="","CEK nama kosong","OK"))))))</f>
        <v/>
      </c>
    </row>
    <row r="446">
      <c r="A446" s="9" t="n"/>
      <c r="B446" s="10">
        <f>IF(A446="","",IFERROR(INDEX(DAFTAR_FIXTURE!$B$2:$B$51,MATCH(A446,DAFTAR_FIXTURE!$A$2:$A$51,0)),""))</f>
        <v/>
      </c>
      <c r="C446" s="11" t="n"/>
      <c r="D446" s="11" t="n"/>
      <c r="E446" s="12" t="n"/>
      <c r="F446" s="9" t="n"/>
      <c r="G446" s="11" t="n"/>
      <c r="H446" s="10">
        <f>IF(E446="","","https://cdn.ruparupa.io/fit-in/850x850/ruparupa-com/image/upload/Products/"&amp;E446&amp;"_1.jpg")</f>
        <v/>
      </c>
      <c r="I446" s="10">
        <f>IF(OR(B446="",C446=""),"",IFERROR(INDEX(LAYOUT!$D$2:$D$34,MATCH(B446&amp;"|"&amp;C446,LAYOUT!$E$2:$E$34,0)),"zona tidak ada di layout"))</f>
        <v/>
      </c>
      <c r="J446" s="13">
        <f>IF(OR(A446="",E446=""),"",COUNTIFS($A$2:$A$500,A446,$C$2:$C$500,C446,$E$2:$E$500,"&lt;&gt;"))</f>
        <v/>
      </c>
      <c r="K446" s="13">
        <f>IF(A446="","",IF(B446="","CEK id_fixture tidak ada di DAFTAR_FIXTURE",IF(I446="zona tidak ada di layout","CEK zona_no / jenis_fixture",IF(D446&lt;&gt;I446,"CEK jenis_zona",IF(E446="","Zona kosong",IF(F446="","CEK nama kosong","OK"))))))</f>
        <v/>
      </c>
    </row>
    <row r="447">
      <c r="A447" s="9" t="n"/>
      <c r="B447" s="10">
        <f>IF(A447="","",IFERROR(INDEX(DAFTAR_FIXTURE!$B$2:$B$51,MATCH(A447,DAFTAR_FIXTURE!$A$2:$A$51,0)),""))</f>
        <v/>
      </c>
      <c r="C447" s="11" t="n"/>
      <c r="D447" s="11" t="n"/>
      <c r="E447" s="12" t="n"/>
      <c r="F447" s="9" t="n"/>
      <c r="G447" s="11" t="n"/>
      <c r="H447" s="10">
        <f>IF(E447="","","https://cdn.ruparupa.io/fit-in/850x850/ruparupa-com/image/upload/Products/"&amp;E447&amp;"_1.jpg")</f>
        <v/>
      </c>
      <c r="I447" s="10">
        <f>IF(OR(B447="",C447=""),"",IFERROR(INDEX(LAYOUT!$D$2:$D$34,MATCH(B447&amp;"|"&amp;C447,LAYOUT!$E$2:$E$34,0)),"zona tidak ada di layout"))</f>
        <v/>
      </c>
      <c r="J447" s="13">
        <f>IF(OR(A447="",E447=""),"",COUNTIFS($A$2:$A$500,A447,$C$2:$C$500,C447,$E$2:$E$500,"&lt;&gt;"))</f>
        <v/>
      </c>
      <c r="K447" s="13">
        <f>IF(A447="","",IF(B447="","CEK id_fixture tidak ada di DAFTAR_FIXTURE",IF(I447="zona tidak ada di layout","CEK zona_no / jenis_fixture",IF(D447&lt;&gt;I447,"CEK jenis_zona",IF(E447="","Zona kosong",IF(F447="","CEK nama kosong","OK"))))))</f>
        <v/>
      </c>
    </row>
    <row r="448">
      <c r="A448" s="9" t="n"/>
      <c r="B448" s="10">
        <f>IF(A448="","",IFERROR(INDEX(DAFTAR_FIXTURE!$B$2:$B$51,MATCH(A448,DAFTAR_FIXTURE!$A$2:$A$51,0)),""))</f>
        <v/>
      </c>
      <c r="C448" s="11" t="n"/>
      <c r="D448" s="11" t="n"/>
      <c r="E448" s="12" t="n"/>
      <c r="F448" s="9" t="n"/>
      <c r="G448" s="11" t="n"/>
      <c r="H448" s="10">
        <f>IF(E448="","","https://cdn.ruparupa.io/fit-in/850x850/ruparupa-com/image/upload/Products/"&amp;E448&amp;"_1.jpg")</f>
        <v/>
      </c>
      <c r="I448" s="10">
        <f>IF(OR(B448="",C448=""),"",IFERROR(INDEX(LAYOUT!$D$2:$D$34,MATCH(B448&amp;"|"&amp;C448,LAYOUT!$E$2:$E$34,0)),"zona tidak ada di layout"))</f>
        <v/>
      </c>
      <c r="J448" s="13">
        <f>IF(OR(A448="",E448=""),"",COUNTIFS($A$2:$A$500,A448,$C$2:$C$500,C448,$E$2:$E$500,"&lt;&gt;"))</f>
        <v/>
      </c>
      <c r="K448" s="13">
        <f>IF(A448="","",IF(B448="","CEK id_fixture tidak ada di DAFTAR_FIXTURE",IF(I448="zona tidak ada di layout","CEK zona_no / jenis_fixture",IF(D448&lt;&gt;I448,"CEK jenis_zona",IF(E448="","Zona kosong",IF(F448="","CEK nama kosong","OK"))))))</f>
        <v/>
      </c>
    </row>
    <row r="449">
      <c r="A449" s="9" t="n"/>
      <c r="B449" s="10">
        <f>IF(A449="","",IFERROR(INDEX(DAFTAR_FIXTURE!$B$2:$B$51,MATCH(A449,DAFTAR_FIXTURE!$A$2:$A$51,0)),""))</f>
        <v/>
      </c>
      <c r="C449" s="11" t="n"/>
      <c r="D449" s="11" t="n"/>
      <c r="E449" s="12" t="n"/>
      <c r="F449" s="9" t="n"/>
      <c r="G449" s="11" t="n"/>
      <c r="H449" s="10">
        <f>IF(E449="","","https://cdn.ruparupa.io/fit-in/850x850/ruparupa-com/image/upload/Products/"&amp;E449&amp;"_1.jpg")</f>
        <v/>
      </c>
      <c r="I449" s="10">
        <f>IF(OR(B449="",C449=""),"",IFERROR(INDEX(LAYOUT!$D$2:$D$34,MATCH(B449&amp;"|"&amp;C449,LAYOUT!$E$2:$E$34,0)),"zona tidak ada di layout"))</f>
        <v/>
      </c>
      <c r="J449" s="13">
        <f>IF(OR(A449="",E449=""),"",COUNTIFS($A$2:$A$500,A449,$C$2:$C$500,C449,$E$2:$E$500,"&lt;&gt;"))</f>
        <v/>
      </c>
      <c r="K449" s="13">
        <f>IF(A449="","",IF(B449="","CEK id_fixture tidak ada di DAFTAR_FIXTURE",IF(I449="zona tidak ada di layout","CEK zona_no / jenis_fixture",IF(D449&lt;&gt;I449,"CEK jenis_zona",IF(E449="","Zona kosong",IF(F449="","CEK nama kosong","OK"))))))</f>
        <v/>
      </c>
    </row>
    <row r="450">
      <c r="A450" s="9" t="n"/>
      <c r="B450" s="10">
        <f>IF(A450="","",IFERROR(INDEX(DAFTAR_FIXTURE!$B$2:$B$51,MATCH(A450,DAFTAR_FIXTURE!$A$2:$A$51,0)),""))</f>
        <v/>
      </c>
      <c r="C450" s="11" t="n"/>
      <c r="D450" s="11" t="n"/>
      <c r="E450" s="12" t="n"/>
      <c r="F450" s="9" t="n"/>
      <c r="G450" s="11" t="n"/>
      <c r="H450" s="10">
        <f>IF(E450="","","https://cdn.ruparupa.io/fit-in/850x850/ruparupa-com/image/upload/Products/"&amp;E450&amp;"_1.jpg")</f>
        <v/>
      </c>
      <c r="I450" s="10">
        <f>IF(OR(B450="",C450=""),"",IFERROR(INDEX(LAYOUT!$D$2:$D$34,MATCH(B450&amp;"|"&amp;C450,LAYOUT!$E$2:$E$34,0)),"zona tidak ada di layout"))</f>
        <v/>
      </c>
      <c r="J450" s="13">
        <f>IF(OR(A450="",E450=""),"",COUNTIFS($A$2:$A$500,A450,$C$2:$C$500,C450,$E$2:$E$500,"&lt;&gt;"))</f>
        <v/>
      </c>
      <c r="K450" s="13">
        <f>IF(A450="","",IF(B450="","CEK id_fixture tidak ada di DAFTAR_FIXTURE",IF(I450="zona tidak ada di layout","CEK zona_no / jenis_fixture",IF(D450&lt;&gt;I450,"CEK jenis_zona",IF(E450="","Zona kosong",IF(F450="","CEK nama kosong","OK"))))))</f>
        <v/>
      </c>
    </row>
    <row r="451">
      <c r="A451" s="9" t="n"/>
      <c r="B451" s="10">
        <f>IF(A451="","",IFERROR(INDEX(DAFTAR_FIXTURE!$B$2:$B$51,MATCH(A451,DAFTAR_FIXTURE!$A$2:$A$51,0)),""))</f>
        <v/>
      </c>
      <c r="C451" s="11" t="n"/>
      <c r="D451" s="11" t="n"/>
      <c r="E451" s="12" t="n"/>
      <c r="F451" s="9" t="n"/>
      <c r="G451" s="11" t="n"/>
      <c r="H451" s="10">
        <f>IF(E451="","","https://cdn.ruparupa.io/fit-in/850x850/ruparupa-com/image/upload/Products/"&amp;E451&amp;"_1.jpg")</f>
        <v/>
      </c>
      <c r="I451" s="10">
        <f>IF(OR(B451="",C451=""),"",IFERROR(INDEX(LAYOUT!$D$2:$D$34,MATCH(B451&amp;"|"&amp;C451,LAYOUT!$E$2:$E$34,0)),"zona tidak ada di layout"))</f>
        <v/>
      </c>
      <c r="J451" s="13">
        <f>IF(OR(A451="",E451=""),"",COUNTIFS($A$2:$A$500,A451,$C$2:$C$500,C451,$E$2:$E$500,"&lt;&gt;"))</f>
        <v/>
      </c>
      <c r="K451" s="13">
        <f>IF(A451="","",IF(B451="","CEK id_fixture tidak ada di DAFTAR_FIXTURE",IF(I451="zona tidak ada di layout","CEK zona_no / jenis_fixture",IF(D451&lt;&gt;I451,"CEK jenis_zona",IF(E451="","Zona kosong",IF(F451="","CEK nama kosong","OK"))))))</f>
        <v/>
      </c>
    </row>
    <row r="452">
      <c r="A452" s="9" t="n"/>
      <c r="B452" s="10">
        <f>IF(A452="","",IFERROR(INDEX(DAFTAR_FIXTURE!$B$2:$B$51,MATCH(A452,DAFTAR_FIXTURE!$A$2:$A$51,0)),""))</f>
        <v/>
      </c>
      <c r="C452" s="11" t="n"/>
      <c r="D452" s="11" t="n"/>
      <c r="E452" s="12" t="n"/>
      <c r="F452" s="9" t="n"/>
      <c r="G452" s="11" t="n"/>
      <c r="H452" s="10">
        <f>IF(E452="","","https://cdn.ruparupa.io/fit-in/850x850/ruparupa-com/image/upload/Products/"&amp;E452&amp;"_1.jpg")</f>
        <v/>
      </c>
      <c r="I452" s="10">
        <f>IF(OR(B452="",C452=""),"",IFERROR(INDEX(LAYOUT!$D$2:$D$34,MATCH(B452&amp;"|"&amp;C452,LAYOUT!$E$2:$E$34,0)),"zona tidak ada di layout"))</f>
        <v/>
      </c>
      <c r="J452" s="13">
        <f>IF(OR(A452="",E452=""),"",COUNTIFS($A$2:$A$500,A452,$C$2:$C$500,C452,$E$2:$E$500,"&lt;&gt;"))</f>
        <v/>
      </c>
      <c r="K452" s="13">
        <f>IF(A452="","",IF(B452="","CEK id_fixture tidak ada di DAFTAR_FIXTURE",IF(I452="zona tidak ada di layout","CEK zona_no / jenis_fixture",IF(D452&lt;&gt;I452,"CEK jenis_zona",IF(E452="","Zona kosong",IF(F452="","CEK nama kosong","OK"))))))</f>
        <v/>
      </c>
    </row>
    <row r="453">
      <c r="A453" s="9" t="n"/>
      <c r="B453" s="10">
        <f>IF(A453="","",IFERROR(INDEX(DAFTAR_FIXTURE!$B$2:$B$51,MATCH(A453,DAFTAR_FIXTURE!$A$2:$A$51,0)),""))</f>
        <v/>
      </c>
      <c r="C453" s="11" t="n"/>
      <c r="D453" s="11" t="n"/>
      <c r="E453" s="12" t="n"/>
      <c r="F453" s="9" t="n"/>
      <c r="G453" s="11" t="n"/>
      <c r="H453" s="10">
        <f>IF(E453="","","https://cdn.ruparupa.io/fit-in/850x850/ruparupa-com/image/upload/Products/"&amp;E453&amp;"_1.jpg")</f>
        <v/>
      </c>
      <c r="I453" s="10">
        <f>IF(OR(B453="",C453=""),"",IFERROR(INDEX(LAYOUT!$D$2:$D$34,MATCH(B453&amp;"|"&amp;C453,LAYOUT!$E$2:$E$34,0)),"zona tidak ada di layout"))</f>
        <v/>
      </c>
      <c r="J453" s="13">
        <f>IF(OR(A453="",E453=""),"",COUNTIFS($A$2:$A$500,A453,$C$2:$C$500,C453,$E$2:$E$500,"&lt;&gt;"))</f>
        <v/>
      </c>
      <c r="K453" s="13">
        <f>IF(A453="","",IF(B453="","CEK id_fixture tidak ada di DAFTAR_FIXTURE",IF(I453="zona tidak ada di layout","CEK zona_no / jenis_fixture",IF(D453&lt;&gt;I453,"CEK jenis_zona",IF(E453="","Zona kosong",IF(F453="","CEK nama kosong","OK"))))))</f>
        <v/>
      </c>
    </row>
    <row r="454">
      <c r="A454" s="9" t="n"/>
      <c r="B454" s="10">
        <f>IF(A454="","",IFERROR(INDEX(DAFTAR_FIXTURE!$B$2:$B$51,MATCH(A454,DAFTAR_FIXTURE!$A$2:$A$51,0)),""))</f>
        <v/>
      </c>
      <c r="C454" s="11" t="n"/>
      <c r="D454" s="11" t="n"/>
      <c r="E454" s="12" t="n"/>
      <c r="F454" s="9" t="n"/>
      <c r="G454" s="11" t="n"/>
      <c r="H454" s="10">
        <f>IF(E454="","","https://cdn.ruparupa.io/fit-in/850x850/ruparupa-com/image/upload/Products/"&amp;E454&amp;"_1.jpg")</f>
        <v/>
      </c>
      <c r="I454" s="10">
        <f>IF(OR(B454="",C454=""),"",IFERROR(INDEX(LAYOUT!$D$2:$D$34,MATCH(B454&amp;"|"&amp;C454,LAYOUT!$E$2:$E$34,0)),"zona tidak ada di layout"))</f>
        <v/>
      </c>
      <c r="J454" s="13">
        <f>IF(OR(A454="",E454=""),"",COUNTIFS($A$2:$A$500,A454,$C$2:$C$500,C454,$E$2:$E$500,"&lt;&gt;"))</f>
        <v/>
      </c>
      <c r="K454" s="13">
        <f>IF(A454="","",IF(B454="","CEK id_fixture tidak ada di DAFTAR_FIXTURE",IF(I454="zona tidak ada di layout","CEK zona_no / jenis_fixture",IF(D454&lt;&gt;I454,"CEK jenis_zona",IF(E454="","Zona kosong",IF(F454="","CEK nama kosong","OK"))))))</f>
        <v/>
      </c>
    </row>
    <row r="455">
      <c r="A455" s="9" t="n"/>
      <c r="B455" s="10">
        <f>IF(A455="","",IFERROR(INDEX(DAFTAR_FIXTURE!$B$2:$B$51,MATCH(A455,DAFTAR_FIXTURE!$A$2:$A$51,0)),""))</f>
        <v/>
      </c>
      <c r="C455" s="11" t="n"/>
      <c r="D455" s="11" t="n"/>
      <c r="E455" s="12" t="n"/>
      <c r="F455" s="9" t="n"/>
      <c r="G455" s="11" t="n"/>
      <c r="H455" s="10">
        <f>IF(E455="","","https://cdn.ruparupa.io/fit-in/850x850/ruparupa-com/image/upload/Products/"&amp;E455&amp;"_1.jpg")</f>
        <v/>
      </c>
      <c r="I455" s="10">
        <f>IF(OR(B455="",C455=""),"",IFERROR(INDEX(LAYOUT!$D$2:$D$34,MATCH(B455&amp;"|"&amp;C455,LAYOUT!$E$2:$E$34,0)),"zona tidak ada di layout"))</f>
        <v/>
      </c>
      <c r="J455" s="13">
        <f>IF(OR(A455="",E455=""),"",COUNTIFS($A$2:$A$500,A455,$C$2:$C$500,C455,$E$2:$E$500,"&lt;&gt;"))</f>
        <v/>
      </c>
      <c r="K455" s="13">
        <f>IF(A455="","",IF(B455="","CEK id_fixture tidak ada di DAFTAR_FIXTURE",IF(I455="zona tidak ada di layout","CEK zona_no / jenis_fixture",IF(D455&lt;&gt;I455,"CEK jenis_zona",IF(E455="","Zona kosong",IF(F455="","CEK nama kosong","OK"))))))</f>
        <v/>
      </c>
    </row>
    <row r="456">
      <c r="A456" s="9" t="n"/>
      <c r="B456" s="10">
        <f>IF(A456="","",IFERROR(INDEX(DAFTAR_FIXTURE!$B$2:$B$51,MATCH(A456,DAFTAR_FIXTURE!$A$2:$A$51,0)),""))</f>
        <v/>
      </c>
      <c r="C456" s="11" t="n"/>
      <c r="D456" s="11" t="n"/>
      <c r="E456" s="12" t="n"/>
      <c r="F456" s="9" t="n"/>
      <c r="G456" s="11" t="n"/>
      <c r="H456" s="10">
        <f>IF(E456="","","https://cdn.ruparupa.io/fit-in/850x850/ruparupa-com/image/upload/Products/"&amp;E456&amp;"_1.jpg")</f>
        <v/>
      </c>
      <c r="I456" s="10">
        <f>IF(OR(B456="",C456=""),"",IFERROR(INDEX(LAYOUT!$D$2:$D$34,MATCH(B456&amp;"|"&amp;C456,LAYOUT!$E$2:$E$34,0)),"zona tidak ada di layout"))</f>
        <v/>
      </c>
      <c r="J456" s="13">
        <f>IF(OR(A456="",E456=""),"",COUNTIFS($A$2:$A$500,A456,$C$2:$C$500,C456,$E$2:$E$500,"&lt;&gt;"))</f>
        <v/>
      </c>
      <c r="K456" s="13">
        <f>IF(A456="","",IF(B456="","CEK id_fixture tidak ada di DAFTAR_FIXTURE",IF(I456="zona tidak ada di layout","CEK zona_no / jenis_fixture",IF(D456&lt;&gt;I456,"CEK jenis_zona",IF(E456="","Zona kosong",IF(F456="","CEK nama kosong","OK"))))))</f>
        <v/>
      </c>
    </row>
    <row r="457">
      <c r="A457" s="9" t="n"/>
      <c r="B457" s="10">
        <f>IF(A457="","",IFERROR(INDEX(DAFTAR_FIXTURE!$B$2:$B$51,MATCH(A457,DAFTAR_FIXTURE!$A$2:$A$51,0)),""))</f>
        <v/>
      </c>
      <c r="C457" s="11" t="n"/>
      <c r="D457" s="11" t="n"/>
      <c r="E457" s="12" t="n"/>
      <c r="F457" s="9" t="n"/>
      <c r="G457" s="11" t="n"/>
      <c r="H457" s="10">
        <f>IF(E457="","","https://cdn.ruparupa.io/fit-in/850x850/ruparupa-com/image/upload/Products/"&amp;E457&amp;"_1.jpg")</f>
        <v/>
      </c>
      <c r="I457" s="10">
        <f>IF(OR(B457="",C457=""),"",IFERROR(INDEX(LAYOUT!$D$2:$D$34,MATCH(B457&amp;"|"&amp;C457,LAYOUT!$E$2:$E$34,0)),"zona tidak ada di layout"))</f>
        <v/>
      </c>
      <c r="J457" s="13">
        <f>IF(OR(A457="",E457=""),"",COUNTIFS($A$2:$A$500,A457,$C$2:$C$500,C457,$E$2:$E$500,"&lt;&gt;"))</f>
        <v/>
      </c>
      <c r="K457" s="13">
        <f>IF(A457="","",IF(B457="","CEK id_fixture tidak ada di DAFTAR_FIXTURE",IF(I457="zona tidak ada di layout","CEK zona_no / jenis_fixture",IF(D457&lt;&gt;I457,"CEK jenis_zona",IF(E457="","Zona kosong",IF(F457="","CEK nama kosong","OK"))))))</f>
        <v/>
      </c>
    </row>
    <row r="458">
      <c r="A458" s="9" t="n"/>
      <c r="B458" s="10">
        <f>IF(A458="","",IFERROR(INDEX(DAFTAR_FIXTURE!$B$2:$B$51,MATCH(A458,DAFTAR_FIXTURE!$A$2:$A$51,0)),""))</f>
        <v/>
      </c>
      <c r="C458" s="11" t="n"/>
      <c r="D458" s="11" t="n"/>
      <c r="E458" s="12" t="n"/>
      <c r="F458" s="9" t="n"/>
      <c r="G458" s="11" t="n"/>
      <c r="H458" s="10">
        <f>IF(E458="","","https://cdn.ruparupa.io/fit-in/850x850/ruparupa-com/image/upload/Products/"&amp;E458&amp;"_1.jpg")</f>
        <v/>
      </c>
      <c r="I458" s="10">
        <f>IF(OR(B458="",C458=""),"",IFERROR(INDEX(LAYOUT!$D$2:$D$34,MATCH(B458&amp;"|"&amp;C458,LAYOUT!$E$2:$E$34,0)),"zona tidak ada di layout"))</f>
        <v/>
      </c>
      <c r="J458" s="13">
        <f>IF(OR(A458="",E458=""),"",COUNTIFS($A$2:$A$500,A458,$C$2:$C$500,C458,$E$2:$E$500,"&lt;&gt;"))</f>
        <v/>
      </c>
      <c r="K458" s="13">
        <f>IF(A458="","",IF(B458="","CEK id_fixture tidak ada di DAFTAR_FIXTURE",IF(I458="zona tidak ada di layout","CEK zona_no / jenis_fixture",IF(D458&lt;&gt;I458,"CEK jenis_zona",IF(E458="","Zona kosong",IF(F458="","CEK nama kosong","OK"))))))</f>
        <v/>
      </c>
    </row>
    <row r="459">
      <c r="A459" s="9" t="n"/>
      <c r="B459" s="10">
        <f>IF(A459="","",IFERROR(INDEX(DAFTAR_FIXTURE!$B$2:$B$51,MATCH(A459,DAFTAR_FIXTURE!$A$2:$A$51,0)),""))</f>
        <v/>
      </c>
      <c r="C459" s="11" t="n"/>
      <c r="D459" s="11" t="n"/>
      <c r="E459" s="12" t="n"/>
      <c r="F459" s="9" t="n"/>
      <c r="G459" s="11" t="n"/>
      <c r="H459" s="10">
        <f>IF(E459="","","https://cdn.ruparupa.io/fit-in/850x850/ruparupa-com/image/upload/Products/"&amp;E459&amp;"_1.jpg")</f>
        <v/>
      </c>
      <c r="I459" s="10">
        <f>IF(OR(B459="",C459=""),"",IFERROR(INDEX(LAYOUT!$D$2:$D$34,MATCH(B459&amp;"|"&amp;C459,LAYOUT!$E$2:$E$34,0)),"zona tidak ada di layout"))</f>
        <v/>
      </c>
      <c r="J459" s="13">
        <f>IF(OR(A459="",E459=""),"",COUNTIFS($A$2:$A$500,A459,$C$2:$C$500,C459,$E$2:$E$500,"&lt;&gt;"))</f>
        <v/>
      </c>
      <c r="K459" s="13">
        <f>IF(A459="","",IF(B459="","CEK id_fixture tidak ada di DAFTAR_FIXTURE",IF(I459="zona tidak ada di layout","CEK zona_no / jenis_fixture",IF(D459&lt;&gt;I459,"CEK jenis_zona",IF(E459="","Zona kosong",IF(F459="","CEK nama kosong","OK"))))))</f>
        <v/>
      </c>
    </row>
    <row r="460">
      <c r="A460" s="9" t="n"/>
      <c r="B460" s="10">
        <f>IF(A460="","",IFERROR(INDEX(DAFTAR_FIXTURE!$B$2:$B$51,MATCH(A460,DAFTAR_FIXTURE!$A$2:$A$51,0)),""))</f>
        <v/>
      </c>
      <c r="C460" s="11" t="n"/>
      <c r="D460" s="11" t="n"/>
      <c r="E460" s="12" t="n"/>
      <c r="F460" s="9" t="n"/>
      <c r="G460" s="11" t="n"/>
      <c r="H460" s="10">
        <f>IF(E460="","","https://cdn.ruparupa.io/fit-in/850x850/ruparupa-com/image/upload/Products/"&amp;E460&amp;"_1.jpg")</f>
        <v/>
      </c>
      <c r="I460" s="10">
        <f>IF(OR(B460="",C460=""),"",IFERROR(INDEX(LAYOUT!$D$2:$D$34,MATCH(B460&amp;"|"&amp;C460,LAYOUT!$E$2:$E$34,0)),"zona tidak ada di layout"))</f>
        <v/>
      </c>
      <c r="J460" s="13">
        <f>IF(OR(A460="",E460=""),"",COUNTIFS($A$2:$A$500,A460,$C$2:$C$500,C460,$E$2:$E$500,"&lt;&gt;"))</f>
        <v/>
      </c>
      <c r="K460" s="13">
        <f>IF(A460="","",IF(B460="","CEK id_fixture tidak ada di DAFTAR_FIXTURE",IF(I460="zona tidak ada di layout","CEK zona_no / jenis_fixture",IF(D460&lt;&gt;I460,"CEK jenis_zona",IF(E460="","Zona kosong",IF(F460="","CEK nama kosong","OK"))))))</f>
        <v/>
      </c>
    </row>
    <row r="461">
      <c r="A461" s="9" t="n"/>
      <c r="B461" s="10">
        <f>IF(A461="","",IFERROR(INDEX(DAFTAR_FIXTURE!$B$2:$B$51,MATCH(A461,DAFTAR_FIXTURE!$A$2:$A$51,0)),""))</f>
        <v/>
      </c>
      <c r="C461" s="11" t="n"/>
      <c r="D461" s="11" t="n"/>
      <c r="E461" s="12" t="n"/>
      <c r="F461" s="9" t="n"/>
      <c r="G461" s="11" t="n"/>
      <c r="H461" s="10">
        <f>IF(E461="","","https://cdn.ruparupa.io/fit-in/850x850/ruparupa-com/image/upload/Products/"&amp;E461&amp;"_1.jpg")</f>
        <v/>
      </c>
      <c r="I461" s="10">
        <f>IF(OR(B461="",C461=""),"",IFERROR(INDEX(LAYOUT!$D$2:$D$34,MATCH(B461&amp;"|"&amp;C461,LAYOUT!$E$2:$E$34,0)),"zona tidak ada di layout"))</f>
        <v/>
      </c>
      <c r="J461" s="13">
        <f>IF(OR(A461="",E461=""),"",COUNTIFS($A$2:$A$500,A461,$C$2:$C$500,C461,$E$2:$E$500,"&lt;&gt;"))</f>
        <v/>
      </c>
      <c r="K461" s="13">
        <f>IF(A461="","",IF(B461="","CEK id_fixture tidak ada di DAFTAR_FIXTURE",IF(I461="zona tidak ada di layout","CEK zona_no / jenis_fixture",IF(D461&lt;&gt;I461,"CEK jenis_zona",IF(E461="","Zona kosong",IF(F461="","CEK nama kosong","OK"))))))</f>
        <v/>
      </c>
    </row>
    <row r="462">
      <c r="A462" s="9" t="n"/>
      <c r="B462" s="10">
        <f>IF(A462="","",IFERROR(INDEX(DAFTAR_FIXTURE!$B$2:$B$51,MATCH(A462,DAFTAR_FIXTURE!$A$2:$A$51,0)),""))</f>
        <v/>
      </c>
      <c r="C462" s="11" t="n"/>
      <c r="D462" s="11" t="n"/>
      <c r="E462" s="12" t="n"/>
      <c r="F462" s="9" t="n"/>
      <c r="G462" s="11" t="n"/>
      <c r="H462" s="10">
        <f>IF(E462="","","https://cdn.ruparupa.io/fit-in/850x850/ruparupa-com/image/upload/Products/"&amp;E462&amp;"_1.jpg")</f>
        <v/>
      </c>
      <c r="I462" s="10">
        <f>IF(OR(B462="",C462=""),"",IFERROR(INDEX(LAYOUT!$D$2:$D$34,MATCH(B462&amp;"|"&amp;C462,LAYOUT!$E$2:$E$34,0)),"zona tidak ada di layout"))</f>
        <v/>
      </c>
      <c r="J462" s="13">
        <f>IF(OR(A462="",E462=""),"",COUNTIFS($A$2:$A$500,A462,$C$2:$C$500,C462,$E$2:$E$500,"&lt;&gt;"))</f>
        <v/>
      </c>
      <c r="K462" s="13">
        <f>IF(A462="","",IF(B462="","CEK id_fixture tidak ada di DAFTAR_FIXTURE",IF(I462="zona tidak ada di layout","CEK zona_no / jenis_fixture",IF(D462&lt;&gt;I462,"CEK jenis_zona",IF(E462="","Zona kosong",IF(F462="","CEK nama kosong","OK"))))))</f>
        <v/>
      </c>
    </row>
    <row r="463">
      <c r="A463" s="9" t="n"/>
      <c r="B463" s="10">
        <f>IF(A463="","",IFERROR(INDEX(DAFTAR_FIXTURE!$B$2:$B$51,MATCH(A463,DAFTAR_FIXTURE!$A$2:$A$51,0)),""))</f>
        <v/>
      </c>
      <c r="C463" s="11" t="n"/>
      <c r="D463" s="11" t="n"/>
      <c r="E463" s="12" t="n"/>
      <c r="F463" s="9" t="n"/>
      <c r="G463" s="11" t="n"/>
      <c r="H463" s="10">
        <f>IF(E463="","","https://cdn.ruparupa.io/fit-in/850x850/ruparupa-com/image/upload/Products/"&amp;E463&amp;"_1.jpg")</f>
        <v/>
      </c>
      <c r="I463" s="10">
        <f>IF(OR(B463="",C463=""),"",IFERROR(INDEX(LAYOUT!$D$2:$D$34,MATCH(B463&amp;"|"&amp;C463,LAYOUT!$E$2:$E$34,0)),"zona tidak ada di layout"))</f>
        <v/>
      </c>
      <c r="J463" s="13">
        <f>IF(OR(A463="",E463=""),"",COUNTIFS($A$2:$A$500,A463,$C$2:$C$500,C463,$E$2:$E$500,"&lt;&gt;"))</f>
        <v/>
      </c>
      <c r="K463" s="13">
        <f>IF(A463="","",IF(B463="","CEK id_fixture tidak ada di DAFTAR_FIXTURE",IF(I463="zona tidak ada di layout","CEK zona_no / jenis_fixture",IF(D463&lt;&gt;I463,"CEK jenis_zona",IF(E463="","Zona kosong",IF(F463="","CEK nama kosong","OK"))))))</f>
        <v/>
      </c>
    </row>
    <row r="464">
      <c r="A464" s="9" t="n"/>
      <c r="B464" s="10">
        <f>IF(A464="","",IFERROR(INDEX(DAFTAR_FIXTURE!$B$2:$B$51,MATCH(A464,DAFTAR_FIXTURE!$A$2:$A$51,0)),""))</f>
        <v/>
      </c>
      <c r="C464" s="11" t="n"/>
      <c r="D464" s="11" t="n"/>
      <c r="E464" s="12" t="n"/>
      <c r="F464" s="9" t="n"/>
      <c r="G464" s="11" t="n"/>
      <c r="H464" s="10">
        <f>IF(E464="","","https://cdn.ruparupa.io/fit-in/850x850/ruparupa-com/image/upload/Products/"&amp;E464&amp;"_1.jpg")</f>
        <v/>
      </c>
      <c r="I464" s="10">
        <f>IF(OR(B464="",C464=""),"",IFERROR(INDEX(LAYOUT!$D$2:$D$34,MATCH(B464&amp;"|"&amp;C464,LAYOUT!$E$2:$E$34,0)),"zona tidak ada di layout"))</f>
        <v/>
      </c>
      <c r="J464" s="13">
        <f>IF(OR(A464="",E464=""),"",COUNTIFS($A$2:$A$500,A464,$C$2:$C$500,C464,$E$2:$E$500,"&lt;&gt;"))</f>
        <v/>
      </c>
      <c r="K464" s="13">
        <f>IF(A464="","",IF(B464="","CEK id_fixture tidak ada di DAFTAR_FIXTURE",IF(I464="zona tidak ada di layout","CEK zona_no / jenis_fixture",IF(D464&lt;&gt;I464,"CEK jenis_zona",IF(E464="","Zona kosong",IF(F464="","CEK nama kosong","OK"))))))</f>
        <v/>
      </c>
    </row>
    <row r="465">
      <c r="A465" s="9" t="n"/>
      <c r="B465" s="10">
        <f>IF(A465="","",IFERROR(INDEX(DAFTAR_FIXTURE!$B$2:$B$51,MATCH(A465,DAFTAR_FIXTURE!$A$2:$A$51,0)),""))</f>
        <v/>
      </c>
      <c r="C465" s="11" t="n"/>
      <c r="D465" s="11" t="n"/>
      <c r="E465" s="12" t="n"/>
      <c r="F465" s="9" t="n"/>
      <c r="G465" s="11" t="n"/>
      <c r="H465" s="10">
        <f>IF(E465="","","https://cdn.ruparupa.io/fit-in/850x850/ruparupa-com/image/upload/Products/"&amp;E465&amp;"_1.jpg")</f>
        <v/>
      </c>
      <c r="I465" s="10">
        <f>IF(OR(B465="",C465=""),"",IFERROR(INDEX(LAYOUT!$D$2:$D$34,MATCH(B465&amp;"|"&amp;C465,LAYOUT!$E$2:$E$34,0)),"zona tidak ada di layout"))</f>
        <v/>
      </c>
      <c r="J465" s="13">
        <f>IF(OR(A465="",E465=""),"",COUNTIFS($A$2:$A$500,A465,$C$2:$C$500,C465,$E$2:$E$500,"&lt;&gt;"))</f>
        <v/>
      </c>
      <c r="K465" s="13">
        <f>IF(A465="","",IF(B465="","CEK id_fixture tidak ada di DAFTAR_FIXTURE",IF(I465="zona tidak ada di layout","CEK zona_no / jenis_fixture",IF(D465&lt;&gt;I465,"CEK jenis_zona",IF(E465="","Zona kosong",IF(F465="","CEK nama kosong","OK"))))))</f>
        <v/>
      </c>
    </row>
    <row r="466">
      <c r="A466" s="9" t="n"/>
      <c r="B466" s="10">
        <f>IF(A466="","",IFERROR(INDEX(DAFTAR_FIXTURE!$B$2:$B$51,MATCH(A466,DAFTAR_FIXTURE!$A$2:$A$51,0)),""))</f>
        <v/>
      </c>
      <c r="C466" s="11" t="n"/>
      <c r="D466" s="11" t="n"/>
      <c r="E466" s="12" t="n"/>
      <c r="F466" s="9" t="n"/>
      <c r="G466" s="11" t="n"/>
      <c r="H466" s="10">
        <f>IF(E466="","","https://cdn.ruparupa.io/fit-in/850x850/ruparupa-com/image/upload/Products/"&amp;E466&amp;"_1.jpg")</f>
        <v/>
      </c>
      <c r="I466" s="10">
        <f>IF(OR(B466="",C466=""),"",IFERROR(INDEX(LAYOUT!$D$2:$D$34,MATCH(B466&amp;"|"&amp;C466,LAYOUT!$E$2:$E$34,0)),"zona tidak ada di layout"))</f>
        <v/>
      </c>
      <c r="J466" s="13">
        <f>IF(OR(A466="",E466=""),"",COUNTIFS($A$2:$A$500,A466,$C$2:$C$500,C466,$E$2:$E$500,"&lt;&gt;"))</f>
        <v/>
      </c>
      <c r="K466" s="13">
        <f>IF(A466="","",IF(B466="","CEK id_fixture tidak ada di DAFTAR_FIXTURE",IF(I466="zona tidak ada di layout","CEK zona_no / jenis_fixture",IF(D466&lt;&gt;I466,"CEK jenis_zona",IF(E466="","Zona kosong",IF(F466="","CEK nama kosong","OK"))))))</f>
        <v/>
      </c>
    </row>
    <row r="467">
      <c r="A467" s="9" t="n"/>
      <c r="B467" s="10">
        <f>IF(A467="","",IFERROR(INDEX(DAFTAR_FIXTURE!$B$2:$B$51,MATCH(A467,DAFTAR_FIXTURE!$A$2:$A$51,0)),""))</f>
        <v/>
      </c>
      <c r="C467" s="11" t="n"/>
      <c r="D467" s="11" t="n"/>
      <c r="E467" s="12" t="n"/>
      <c r="F467" s="9" t="n"/>
      <c r="G467" s="11" t="n"/>
      <c r="H467" s="10">
        <f>IF(E467="","","https://cdn.ruparupa.io/fit-in/850x850/ruparupa-com/image/upload/Products/"&amp;E467&amp;"_1.jpg")</f>
        <v/>
      </c>
      <c r="I467" s="10">
        <f>IF(OR(B467="",C467=""),"",IFERROR(INDEX(LAYOUT!$D$2:$D$34,MATCH(B467&amp;"|"&amp;C467,LAYOUT!$E$2:$E$34,0)),"zona tidak ada di layout"))</f>
        <v/>
      </c>
      <c r="J467" s="13">
        <f>IF(OR(A467="",E467=""),"",COUNTIFS($A$2:$A$500,A467,$C$2:$C$500,C467,$E$2:$E$500,"&lt;&gt;"))</f>
        <v/>
      </c>
      <c r="K467" s="13">
        <f>IF(A467="","",IF(B467="","CEK id_fixture tidak ada di DAFTAR_FIXTURE",IF(I467="zona tidak ada di layout","CEK zona_no / jenis_fixture",IF(D467&lt;&gt;I467,"CEK jenis_zona",IF(E467="","Zona kosong",IF(F467="","CEK nama kosong","OK"))))))</f>
        <v/>
      </c>
    </row>
    <row r="468">
      <c r="A468" s="9" t="n"/>
      <c r="B468" s="10">
        <f>IF(A468="","",IFERROR(INDEX(DAFTAR_FIXTURE!$B$2:$B$51,MATCH(A468,DAFTAR_FIXTURE!$A$2:$A$51,0)),""))</f>
        <v/>
      </c>
      <c r="C468" s="11" t="n"/>
      <c r="D468" s="11" t="n"/>
      <c r="E468" s="12" t="n"/>
      <c r="F468" s="9" t="n"/>
      <c r="G468" s="11" t="n"/>
      <c r="H468" s="10">
        <f>IF(E468="","","https://cdn.ruparupa.io/fit-in/850x850/ruparupa-com/image/upload/Products/"&amp;E468&amp;"_1.jpg")</f>
        <v/>
      </c>
      <c r="I468" s="10">
        <f>IF(OR(B468="",C468=""),"",IFERROR(INDEX(LAYOUT!$D$2:$D$34,MATCH(B468&amp;"|"&amp;C468,LAYOUT!$E$2:$E$34,0)),"zona tidak ada di layout"))</f>
        <v/>
      </c>
      <c r="J468" s="13">
        <f>IF(OR(A468="",E468=""),"",COUNTIFS($A$2:$A$500,A468,$C$2:$C$500,C468,$E$2:$E$500,"&lt;&gt;"))</f>
        <v/>
      </c>
      <c r="K468" s="13">
        <f>IF(A468="","",IF(B468="","CEK id_fixture tidak ada di DAFTAR_FIXTURE",IF(I468="zona tidak ada di layout","CEK zona_no / jenis_fixture",IF(D468&lt;&gt;I468,"CEK jenis_zona",IF(E468="","Zona kosong",IF(F468="","CEK nama kosong","OK"))))))</f>
        <v/>
      </c>
    </row>
    <row r="469">
      <c r="A469" s="9" t="n"/>
      <c r="B469" s="10">
        <f>IF(A469="","",IFERROR(INDEX(DAFTAR_FIXTURE!$B$2:$B$51,MATCH(A469,DAFTAR_FIXTURE!$A$2:$A$51,0)),""))</f>
        <v/>
      </c>
      <c r="C469" s="11" t="n"/>
      <c r="D469" s="11" t="n"/>
      <c r="E469" s="12" t="n"/>
      <c r="F469" s="9" t="n"/>
      <c r="G469" s="11" t="n"/>
      <c r="H469" s="10">
        <f>IF(E469="","","https://cdn.ruparupa.io/fit-in/850x850/ruparupa-com/image/upload/Products/"&amp;E469&amp;"_1.jpg")</f>
        <v/>
      </c>
      <c r="I469" s="10">
        <f>IF(OR(B469="",C469=""),"",IFERROR(INDEX(LAYOUT!$D$2:$D$34,MATCH(B469&amp;"|"&amp;C469,LAYOUT!$E$2:$E$34,0)),"zona tidak ada di layout"))</f>
        <v/>
      </c>
      <c r="J469" s="13">
        <f>IF(OR(A469="",E469=""),"",COUNTIFS($A$2:$A$500,A469,$C$2:$C$500,C469,$E$2:$E$500,"&lt;&gt;"))</f>
        <v/>
      </c>
      <c r="K469" s="13">
        <f>IF(A469="","",IF(B469="","CEK id_fixture tidak ada di DAFTAR_FIXTURE",IF(I469="zona tidak ada di layout","CEK zona_no / jenis_fixture",IF(D469&lt;&gt;I469,"CEK jenis_zona",IF(E469="","Zona kosong",IF(F469="","CEK nama kosong","OK"))))))</f>
        <v/>
      </c>
    </row>
    <row r="470">
      <c r="A470" s="9" t="n"/>
      <c r="B470" s="10">
        <f>IF(A470="","",IFERROR(INDEX(DAFTAR_FIXTURE!$B$2:$B$51,MATCH(A470,DAFTAR_FIXTURE!$A$2:$A$51,0)),""))</f>
        <v/>
      </c>
      <c r="C470" s="11" t="n"/>
      <c r="D470" s="11" t="n"/>
      <c r="E470" s="12" t="n"/>
      <c r="F470" s="9" t="n"/>
      <c r="G470" s="11" t="n"/>
      <c r="H470" s="10">
        <f>IF(E470="","","https://cdn.ruparupa.io/fit-in/850x850/ruparupa-com/image/upload/Products/"&amp;E470&amp;"_1.jpg")</f>
        <v/>
      </c>
      <c r="I470" s="10">
        <f>IF(OR(B470="",C470=""),"",IFERROR(INDEX(LAYOUT!$D$2:$D$34,MATCH(B470&amp;"|"&amp;C470,LAYOUT!$E$2:$E$34,0)),"zona tidak ada di layout"))</f>
        <v/>
      </c>
      <c r="J470" s="13">
        <f>IF(OR(A470="",E470=""),"",COUNTIFS($A$2:$A$500,A470,$C$2:$C$500,C470,$E$2:$E$500,"&lt;&gt;"))</f>
        <v/>
      </c>
      <c r="K470" s="13">
        <f>IF(A470="","",IF(B470="","CEK id_fixture tidak ada di DAFTAR_FIXTURE",IF(I470="zona tidak ada di layout","CEK zona_no / jenis_fixture",IF(D470&lt;&gt;I470,"CEK jenis_zona",IF(E470="","Zona kosong",IF(F470="","CEK nama kosong","OK"))))))</f>
        <v/>
      </c>
    </row>
    <row r="471">
      <c r="A471" s="9" t="n"/>
      <c r="B471" s="10">
        <f>IF(A471="","",IFERROR(INDEX(DAFTAR_FIXTURE!$B$2:$B$51,MATCH(A471,DAFTAR_FIXTURE!$A$2:$A$51,0)),""))</f>
        <v/>
      </c>
      <c r="C471" s="11" t="n"/>
      <c r="D471" s="11" t="n"/>
      <c r="E471" s="12" t="n"/>
      <c r="F471" s="9" t="n"/>
      <c r="G471" s="11" t="n"/>
      <c r="H471" s="10">
        <f>IF(E471="","","https://cdn.ruparupa.io/fit-in/850x850/ruparupa-com/image/upload/Products/"&amp;E471&amp;"_1.jpg")</f>
        <v/>
      </c>
      <c r="I471" s="10">
        <f>IF(OR(B471="",C471=""),"",IFERROR(INDEX(LAYOUT!$D$2:$D$34,MATCH(B471&amp;"|"&amp;C471,LAYOUT!$E$2:$E$34,0)),"zona tidak ada di layout"))</f>
        <v/>
      </c>
      <c r="J471" s="13">
        <f>IF(OR(A471="",E471=""),"",COUNTIFS($A$2:$A$500,A471,$C$2:$C$500,C471,$E$2:$E$500,"&lt;&gt;"))</f>
        <v/>
      </c>
      <c r="K471" s="13">
        <f>IF(A471="","",IF(B471="","CEK id_fixture tidak ada di DAFTAR_FIXTURE",IF(I471="zona tidak ada di layout","CEK zona_no / jenis_fixture",IF(D471&lt;&gt;I471,"CEK jenis_zona",IF(E471="","Zona kosong",IF(F471="","CEK nama kosong","OK"))))))</f>
        <v/>
      </c>
    </row>
    <row r="472">
      <c r="A472" s="9" t="n"/>
      <c r="B472" s="10">
        <f>IF(A472="","",IFERROR(INDEX(DAFTAR_FIXTURE!$B$2:$B$51,MATCH(A472,DAFTAR_FIXTURE!$A$2:$A$51,0)),""))</f>
        <v/>
      </c>
      <c r="C472" s="11" t="n"/>
      <c r="D472" s="11" t="n"/>
      <c r="E472" s="12" t="n"/>
      <c r="F472" s="9" t="n"/>
      <c r="G472" s="11" t="n"/>
      <c r="H472" s="10">
        <f>IF(E472="","","https://cdn.ruparupa.io/fit-in/850x850/ruparupa-com/image/upload/Products/"&amp;E472&amp;"_1.jpg")</f>
        <v/>
      </c>
      <c r="I472" s="10">
        <f>IF(OR(B472="",C472=""),"",IFERROR(INDEX(LAYOUT!$D$2:$D$34,MATCH(B472&amp;"|"&amp;C472,LAYOUT!$E$2:$E$34,0)),"zona tidak ada di layout"))</f>
        <v/>
      </c>
      <c r="J472" s="13">
        <f>IF(OR(A472="",E472=""),"",COUNTIFS($A$2:$A$500,A472,$C$2:$C$500,C472,$E$2:$E$500,"&lt;&gt;"))</f>
        <v/>
      </c>
      <c r="K472" s="13">
        <f>IF(A472="","",IF(B472="","CEK id_fixture tidak ada di DAFTAR_FIXTURE",IF(I472="zona tidak ada di layout","CEK zona_no / jenis_fixture",IF(D472&lt;&gt;I472,"CEK jenis_zona",IF(E472="","Zona kosong",IF(F472="","CEK nama kosong","OK"))))))</f>
        <v/>
      </c>
    </row>
    <row r="473">
      <c r="A473" s="9" t="n"/>
      <c r="B473" s="10">
        <f>IF(A473="","",IFERROR(INDEX(DAFTAR_FIXTURE!$B$2:$B$51,MATCH(A473,DAFTAR_FIXTURE!$A$2:$A$51,0)),""))</f>
        <v/>
      </c>
      <c r="C473" s="11" t="n"/>
      <c r="D473" s="11" t="n"/>
      <c r="E473" s="12" t="n"/>
      <c r="F473" s="9" t="n"/>
      <c r="G473" s="11" t="n"/>
      <c r="H473" s="10">
        <f>IF(E473="","","https://cdn.ruparupa.io/fit-in/850x850/ruparupa-com/image/upload/Products/"&amp;E473&amp;"_1.jpg")</f>
        <v/>
      </c>
      <c r="I473" s="10">
        <f>IF(OR(B473="",C473=""),"",IFERROR(INDEX(LAYOUT!$D$2:$D$34,MATCH(B473&amp;"|"&amp;C473,LAYOUT!$E$2:$E$34,0)),"zona tidak ada di layout"))</f>
        <v/>
      </c>
      <c r="J473" s="13">
        <f>IF(OR(A473="",E473=""),"",COUNTIFS($A$2:$A$500,A473,$C$2:$C$500,C473,$E$2:$E$500,"&lt;&gt;"))</f>
        <v/>
      </c>
      <c r="K473" s="13">
        <f>IF(A473="","",IF(B473="","CEK id_fixture tidak ada di DAFTAR_FIXTURE",IF(I473="zona tidak ada di layout","CEK zona_no / jenis_fixture",IF(D473&lt;&gt;I473,"CEK jenis_zona",IF(E473="","Zona kosong",IF(F473="","CEK nama kosong","OK"))))))</f>
        <v/>
      </c>
    </row>
    <row r="474">
      <c r="A474" s="9" t="n"/>
      <c r="B474" s="10">
        <f>IF(A474="","",IFERROR(INDEX(DAFTAR_FIXTURE!$B$2:$B$51,MATCH(A474,DAFTAR_FIXTURE!$A$2:$A$51,0)),""))</f>
        <v/>
      </c>
      <c r="C474" s="11" t="n"/>
      <c r="D474" s="11" t="n"/>
      <c r="E474" s="12" t="n"/>
      <c r="F474" s="9" t="n"/>
      <c r="G474" s="11" t="n"/>
      <c r="H474" s="10">
        <f>IF(E474="","","https://cdn.ruparupa.io/fit-in/850x850/ruparupa-com/image/upload/Products/"&amp;E474&amp;"_1.jpg")</f>
        <v/>
      </c>
      <c r="I474" s="10">
        <f>IF(OR(B474="",C474=""),"",IFERROR(INDEX(LAYOUT!$D$2:$D$34,MATCH(B474&amp;"|"&amp;C474,LAYOUT!$E$2:$E$34,0)),"zona tidak ada di layout"))</f>
        <v/>
      </c>
      <c r="J474" s="13">
        <f>IF(OR(A474="",E474=""),"",COUNTIFS($A$2:$A$500,A474,$C$2:$C$500,C474,$E$2:$E$500,"&lt;&gt;"))</f>
        <v/>
      </c>
      <c r="K474" s="13">
        <f>IF(A474="","",IF(B474="","CEK id_fixture tidak ada di DAFTAR_FIXTURE",IF(I474="zona tidak ada di layout","CEK zona_no / jenis_fixture",IF(D474&lt;&gt;I474,"CEK jenis_zona",IF(E474="","Zona kosong",IF(F474="","CEK nama kosong","OK"))))))</f>
        <v/>
      </c>
    </row>
    <row r="475">
      <c r="A475" s="9" t="n"/>
      <c r="B475" s="10">
        <f>IF(A475="","",IFERROR(INDEX(DAFTAR_FIXTURE!$B$2:$B$51,MATCH(A475,DAFTAR_FIXTURE!$A$2:$A$51,0)),""))</f>
        <v/>
      </c>
      <c r="C475" s="11" t="n"/>
      <c r="D475" s="11" t="n"/>
      <c r="E475" s="12" t="n"/>
      <c r="F475" s="9" t="n"/>
      <c r="G475" s="11" t="n"/>
      <c r="H475" s="10">
        <f>IF(E475="","","https://cdn.ruparupa.io/fit-in/850x850/ruparupa-com/image/upload/Products/"&amp;E475&amp;"_1.jpg")</f>
        <v/>
      </c>
      <c r="I475" s="10">
        <f>IF(OR(B475="",C475=""),"",IFERROR(INDEX(LAYOUT!$D$2:$D$34,MATCH(B475&amp;"|"&amp;C475,LAYOUT!$E$2:$E$34,0)),"zona tidak ada di layout"))</f>
        <v/>
      </c>
      <c r="J475" s="13">
        <f>IF(OR(A475="",E475=""),"",COUNTIFS($A$2:$A$500,A475,$C$2:$C$500,C475,$E$2:$E$500,"&lt;&gt;"))</f>
        <v/>
      </c>
      <c r="K475" s="13">
        <f>IF(A475="","",IF(B475="","CEK id_fixture tidak ada di DAFTAR_FIXTURE",IF(I475="zona tidak ada di layout","CEK zona_no / jenis_fixture",IF(D475&lt;&gt;I475,"CEK jenis_zona",IF(E475="","Zona kosong",IF(F475="","CEK nama kosong","OK"))))))</f>
        <v/>
      </c>
    </row>
    <row r="476">
      <c r="A476" s="9" t="n"/>
      <c r="B476" s="10">
        <f>IF(A476="","",IFERROR(INDEX(DAFTAR_FIXTURE!$B$2:$B$51,MATCH(A476,DAFTAR_FIXTURE!$A$2:$A$51,0)),""))</f>
        <v/>
      </c>
      <c r="C476" s="11" t="n"/>
      <c r="D476" s="11" t="n"/>
      <c r="E476" s="12" t="n"/>
      <c r="F476" s="9" t="n"/>
      <c r="G476" s="11" t="n"/>
      <c r="H476" s="10">
        <f>IF(E476="","","https://cdn.ruparupa.io/fit-in/850x850/ruparupa-com/image/upload/Products/"&amp;E476&amp;"_1.jpg")</f>
        <v/>
      </c>
      <c r="I476" s="10">
        <f>IF(OR(B476="",C476=""),"",IFERROR(INDEX(LAYOUT!$D$2:$D$34,MATCH(B476&amp;"|"&amp;C476,LAYOUT!$E$2:$E$34,0)),"zona tidak ada di layout"))</f>
        <v/>
      </c>
      <c r="J476" s="13">
        <f>IF(OR(A476="",E476=""),"",COUNTIFS($A$2:$A$500,A476,$C$2:$C$500,C476,$E$2:$E$500,"&lt;&gt;"))</f>
        <v/>
      </c>
      <c r="K476" s="13">
        <f>IF(A476="","",IF(B476="","CEK id_fixture tidak ada di DAFTAR_FIXTURE",IF(I476="zona tidak ada di layout","CEK zona_no / jenis_fixture",IF(D476&lt;&gt;I476,"CEK jenis_zona",IF(E476="","Zona kosong",IF(F476="","CEK nama kosong","OK"))))))</f>
        <v/>
      </c>
    </row>
    <row r="477">
      <c r="A477" s="9" t="n"/>
      <c r="B477" s="10">
        <f>IF(A477="","",IFERROR(INDEX(DAFTAR_FIXTURE!$B$2:$B$51,MATCH(A477,DAFTAR_FIXTURE!$A$2:$A$51,0)),""))</f>
        <v/>
      </c>
      <c r="C477" s="11" t="n"/>
      <c r="D477" s="11" t="n"/>
      <c r="E477" s="12" t="n"/>
      <c r="F477" s="9" t="n"/>
      <c r="G477" s="11" t="n"/>
      <c r="H477" s="10">
        <f>IF(E477="","","https://cdn.ruparupa.io/fit-in/850x850/ruparupa-com/image/upload/Products/"&amp;E477&amp;"_1.jpg")</f>
        <v/>
      </c>
      <c r="I477" s="10">
        <f>IF(OR(B477="",C477=""),"",IFERROR(INDEX(LAYOUT!$D$2:$D$34,MATCH(B477&amp;"|"&amp;C477,LAYOUT!$E$2:$E$34,0)),"zona tidak ada di layout"))</f>
        <v/>
      </c>
      <c r="J477" s="13">
        <f>IF(OR(A477="",E477=""),"",COUNTIFS($A$2:$A$500,A477,$C$2:$C$500,C477,$E$2:$E$500,"&lt;&gt;"))</f>
        <v/>
      </c>
      <c r="K477" s="13">
        <f>IF(A477="","",IF(B477="","CEK id_fixture tidak ada di DAFTAR_FIXTURE",IF(I477="zona tidak ada di layout","CEK zona_no / jenis_fixture",IF(D477&lt;&gt;I477,"CEK jenis_zona",IF(E477="","Zona kosong",IF(F477="","CEK nama kosong","OK"))))))</f>
        <v/>
      </c>
    </row>
    <row r="478">
      <c r="A478" s="9" t="n"/>
      <c r="B478" s="10">
        <f>IF(A478="","",IFERROR(INDEX(DAFTAR_FIXTURE!$B$2:$B$51,MATCH(A478,DAFTAR_FIXTURE!$A$2:$A$51,0)),""))</f>
        <v/>
      </c>
      <c r="C478" s="11" t="n"/>
      <c r="D478" s="11" t="n"/>
      <c r="E478" s="12" t="n"/>
      <c r="F478" s="9" t="n"/>
      <c r="G478" s="11" t="n"/>
      <c r="H478" s="10">
        <f>IF(E478="","","https://cdn.ruparupa.io/fit-in/850x850/ruparupa-com/image/upload/Products/"&amp;E478&amp;"_1.jpg")</f>
        <v/>
      </c>
      <c r="I478" s="10">
        <f>IF(OR(B478="",C478=""),"",IFERROR(INDEX(LAYOUT!$D$2:$D$34,MATCH(B478&amp;"|"&amp;C478,LAYOUT!$E$2:$E$34,0)),"zona tidak ada di layout"))</f>
        <v/>
      </c>
      <c r="J478" s="13">
        <f>IF(OR(A478="",E478=""),"",COUNTIFS($A$2:$A$500,A478,$C$2:$C$500,C478,$E$2:$E$500,"&lt;&gt;"))</f>
        <v/>
      </c>
      <c r="K478" s="13">
        <f>IF(A478="","",IF(B478="","CEK id_fixture tidak ada di DAFTAR_FIXTURE",IF(I478="zona tidak ada di layout","CEK zona_no / jenis_fixture",IF(D478&lt;&gt;I478,"CEK jenis_zona",IF(E478="","Zona kosong",IF(F478="","CEK nama kosong","OK"))))))</f>
        <v/>
      </c>
    </row>
    <row r="479">
      <c r="A479" s="9" t="n"/>
      <c r="B479" s="10">
        <f>IF(A479="","",IFERROR(INDEX(DAFTAR_FIXTURE!$B$2:$B$51,MATCH(A479,DAFTAR_FIXTURE!$A$2:$A$51,0)),""))</f>
        <v/>
      </c>
      <c r="C479" s="11" t="n"/>
      <c r="D479" s="11" t="n"/>
      <c r="E479" s="12" t="n"/>
      <c r="F479" s="9" t="n"/>
      <c r="G479" s="11" t="n"/>
      <c r="H479" s="10">
        <f>IF(E479="","","https://cdn.ruparupa.io/fit-in/850x850/ruparupa-com/image/upload/Products/"&amp;E479&amp;"_1.jpg")</f>
        <v/>
      </c>
      <c r="I479" s="10">
        <f>IF(OR(B479="",C479=""),"",IFERROR(INDEX(LAYOUT!$D$2:$D$34,MATCH(B479&amp;"|"&amp;C479,LAYOUT!$E$2:$E$34,0)),"zona tidak ada di layout"))</f>
        <v/>
      </c>
      <c r="J479" s="13">
        <f>IF(OR(A479="",E479=""),"",COUNTIFS($A$2:$A$500,A479,$C$2:$C$500,C479,$E$2:$E$500,"&lt;&gt;"))</f>
        <v/>
      </c>
      <c r="K479" s="13">
        <f>IF(A479="","",IF(B479="","CEK id_fixture tidak ada di DAFTAR_FIXTURE",IF(I479="zona tidak ada di layout","CEK zona_no / jenis_fixture",IF(D479&lt;&gt;I479,"CEK jenis_zona",IF(E479="","Zona kosong",IF(F479="","CEK nama kosong","OK"))))))</f>
        <v/>
      </c>
    </row>
    <row r="480">
      <c r="A480" s="9" t="n"/>
      <c r="B480" s="10">
        <f>IF(A480="","",IFERROR(INDEX(DAFTAR_FIXTURE!$B$2:$B$51,MATCH(A480,DAFTAR_FIXTURE!$A$2:$A$51,0)),""))</f>
        <v/>
      </c>
      <c r="C480" s="11" t="n"/>
      <c r="D480" s="11" t="n"/>
      <c r="E480" s="12" t="n"/>
      <c r="F480" s="9" t="n"/>
      <c r="G480" s="11" t="n"/>
      <c r="H480" s="10">
        <f>IF(E480="","","https://cdn.ruparupa.io/fit-in/850x850/ruparupa-com/image/upload/Products/"&amp;E480&amp;"_1.jpg")</f>
        <v/>
      </c>
      <c r="I480" s="10">
        <f>IF(OR(B480="",C480=""),"",IFERROR(INDEX(LAYOUT!$D$2:$D$34,MATCH(B480&amp;"|"&amp;C480,LAYOUT!$E$2:$E$34,0)),"zona tidak ada di layout"))</f>
        <v/>
      </c>
      <c r="J480" s="13">
        <f>IF(OR(A480="",E480=""),"",COUNTIFS($A$2:$A$500,A480,$C$2:$C$500,C480,$E$2:$E$500,"&lt;&gt;"))</f>
        <v/>
      </c>
      <c r="K480" s="13">
        <f>IF(A480="","",IF(B480="","CEK id_fixture tidak ada di DAFTAR_FIXTURE",IF(I480="zona tidak ada di layout","CEK zona_no / jenis_fixture",IF(D480&lt;&gt;I480,"CEK jenis_zona",IF(E480="","Zona kosong",IF(F480="","CEK nama kosong","OK"))))))</f>
        <v/>
      </c>
    </row>
    <row r="481">
      <c r="A481" s="9" t="n"/>
      <c r="B481" s="10">
        <f>IF(A481="","",IFERROR(INDEX(DAFTAR_FIXTURE!$B$2:$B$51,MATCH(A481,DAFTAR_FIXTURE!$A$2:$A$51,0)),""))</f>
        <v/>
      </c>
      <c r="C481" s="11" t="n"/>
      <c r="D481" s="11" t="n"/>
      <c r="E481" s="12" t="n"/>
      <c r="F481" s="9" t="n"/>
      <c r="G481" s="11" t="n"/>
      <c r="H481" s="10">
        <f>IF(E481="","","https://cdn.ruparupa.io/fit-in/850x850/ruparupa-com/image/upload/Products/"&amp;E481&amp;"_1.jpg")</f>
        <v/>
      </c>
      <c r="I481" s="10">
        <f>IF(OR(B481="",C481=""),"",IFERROR(INDEX(LAYOUT!$D$2:$D$34,MATCH(B481&amp;"|"&amp;C481,LAYOUT!$E$2:$E$34,0)),"zona tidak ada di layout"))</f>
        <v/>
      </c>
      <c r="J481" s="13">
        <f>IF(OR(A481="",E481=""),"",COUNTIFS($A$2:$A$500,A481,$C$2:$C$500,C481,$E$2:$E$500,"&lt;&gt;"))</f>
        <v/>
      </c>
      <c r="K481" s="13">
        <f>IF(A481="","",IF(B481="","CEK id_fixture tidak ada di DAFTAR_FIXTURE",IF(I481="zona tidak ada di layout","CEK zona_no / jenis_fixture",IF(D481&lt;&gt;I481,"CEK jenis_zona",IF(E481="","Zona kosong",IF(F481="","CEK nama kosong","OK"))))))</f>
        <v/>
      </c>
    </row>
    <row r="482">
      <c r="A482" s="9" t="n"/>
      <c r="B482" s="10">
        <f>IF(A482="","",IFERROR(INDEX(DAFTAR_FIXTURE!$B$2:$B$51,MATCH(A482,DAFTAR_FIXTURE!$A$2:$A$51,0)),""))</f>
        <v/>
      </c>
      <c r="C482" s="11" t="n"/>
      <c r="D482" s="11" t="n"/>
      <c r="E482" s="12" t="n"/>
      <c r="F482" s="9" t="n"/>
      <c r="G482" s="11" t="n"/>
      <c r="H482" s="10">
        <f>IF(E482="","","https://cdn.ruparupa.io/fit-in/850x850/ruparupa-com/image/upload/Products/"&amp;E482&amp;"_1.jpg")</f>
        <v/>
      </c>
      <c r="I482" s="10">
        <f>IF(OR(B482="",C482=""),"",IFERROR(INDEX(LAYOUT!$D$2:$D$34,MATCH(B482&amp;"|"&amp;C482,LAYOUT!$E$2:$E$34,0)),"zona tidak ada di layout"))</f>
        <v/>
      </c>
      <c r="J482" s="13">
        <f>IF(OR(A482="",E482=""),"",COUNTIFS($A$2:$A$500,A482,$C$2:$C$500,C482,$E$2:$E$500,"&lt;&gt;"))</f>
        <v/>
      </c>
      <c r="K482" s="13">
        <f>IF(A482="","",IF(B482="","CEK id_fixture tidak ada di DAFTAR_FIXTURE",IF(I482="zona tidak ada di layout","CEK zona_no / jenis_fixture",IF(D482&lt;&gt;I482,"CEK jenis_zona",IF(E482="","Zona kosong",IF(F482="","CEK nama kosong","OK"))))))</f>
        <v/>
      </c>
    </row>
    <row r="483">
      <c r="A483" s="9" t="n"/>
      <c r="B483" s="10">
        <f>IF(A483="","",IFERROR(INDEX(DAFTAR_FIXTURE!$B$2:$B$51,MATCH(A483,DAFTAR_FIXTURE!$A$2:$A$51,0)),""))</f>
        <v/>
      </c>
      <c r="C483" s="11" t="n"/>
      <c r="D483" s="11" t="n"/>
      <c r="E483" s="12" t="n"/>
      <c r="F483" s="9" t="n"/>
      <c r="G483" s="11" t="n"/>
      <c r="H483" s="10">
        <f>IF(E483="","","https://cdn.ruparupa.io/fit-in/850x850/ruparupa-com/image/upload/Products/"&amp;E483&amp;"_1.jpg")</f>
        <v/>
      </c>
      <c r="I483" s="10">
        <f>IF(OR(B483="",C483=""),"",IFERROR(INDEX(LAYOUT!$D$2:$D$34,MATCH(B483&amp;"|"&amp;C483,LAYOUT!$E$2:$E$34,0)),"zona tidak ada di layout"))</f>
        <v/>
      </c>
      <c r="J483" s="13">
        <f>IF(OR(A483="",E483=""),"",COUNTIFS($A$2:$A$500,A483,$C$2:$C$500,C483,$E$2:$E$500,"&lt;&gt;"))</f>
        <v/>
      </c>
      <c r="K483" s="13">
        <f>IF(A483="","",IF(B483="","CEK id_fixture tidak ada di DAFTAR_FIXTURE",IF(I483="zona tidak ada di layout","CEK zona_no / jenis_fixture",IF(D483&lt;&gt;I483,"CEK jenis_zona",IF(E483="","Zona kosong",IF(F483="","CEK nama kosong","OK"))))))</f>
        <v/>
      </c>
    </row>
    <row r="484">
      <c r="A484" s="9" t="n"/>
      <c r="B484" s="10">
        <f>IF(A484="","",IFERROR(INDEX(DAFTAR_FIXTURE!$B$2:$B$51,MATCH(A484,DAFTAR_FIXTURE!$A$2:$A$51,0)),""))</f>
        <v/>
      </c>
      <c r="C484" s="11" t="n"/>
      <c r="D484" s="11" t="n"/>
      <c r="E484" s="12" t="n"/>
      <c r="F484" s="9" t="n"/>
      <c r="G484" s="11" t="n"/>
      <c r="H484" s="10">
        <f>IF(E484="","","https://cdn.ruparupa.io/fit-in/850x850/ruparupa-com/image/upload/Products/"&amp;E484&amp;"_1.jpg")</f>
        <v/>
      </c>
      <c r="I484" s="10">
        <f>IF(OR(B484="",C484=""),"",IFERROR(INDEX(LAYOUT!$D$2:$D$34,MATCH(B484&amp;"|"&amp;C484,LAYOUT!$E$2:$E$34,0)),"zona tidak ada di layout"))</f>
        <v/>
      </c>
      <c r="J484" s="13">
        <f>IF(OR(A484="",E484=""),"",COUNTIFS($A$2:$A$500,A484,$C$2:$C$500,C484,$E$2:$E$500,"&lt;&gt;"))</f>
        <v/>
      </c>
      <c r="K484" s="13">
        <f>IF(A484="","",IF(B484="","CEK id_fixture tidak ada di DAFTAR_FIXTURE",IF(I484="zona tidak ada di layout","CEK zona_no / jenis_fixture",IF(D484&lt;&gt;I484,"CEK jenis_zona",IF(E484="","Zona kosong",IF(F484="","CEK nama kosong","OK"))))))</f>
        <v/>
      </c>
    </row>
    <row r="485">
      <c r="A485" s="9" t="n"/>
      <c r="B485" s="10">
        <f>IF(A485="","",IFERROR(INDEX(DAFTAR_FIXTURE!$B$2:$B$51,MATCH(A485,DAFTAR_FIXTURE!$A$2:$A$51,0)),""))</f>
        <v/>
      </c>
      <c r="C485" s="11" t="n"/>
      <c r="D485" s="11" t="n"/>
      <c r="E485" s="12" t="n"/>
      <c r="F485" s="9" t="n"/>
      <c r="G485" s="11" t="n"/>
      <c r="H485" s="10">
        <f>IF(E485="","","https://cdn.ruparupa.io/fit-in/850x850/ruparupa-com/image/upload/Products/"&amp;E485&amp;"_1.jpg")</f>
        <v/>
      </c>
      <c r="I485" s="10">
        <f>IF(OR(B485="",C485=""),"",IFERROR(INDEX(LAYOUT!$D$2:$D$34,MATCH(B485&amp;"|"&amp;C485,LAYOUT!$E$2:$E$34,0)),"zona tidak ada di layout"))</f>
        <v/>
      </c>
      <c r="J485" s="13">
        <f>IF(OR(A485="",E485=""),"",COUNTIFS($A$2:$A$500,A485,$C$2:$C$500,C485,$E$2:$E$500,"&lt;&gt;"))</f>
        <v/>
      </c>
      <c r="K485" s="13">
        <f>IF(A485="","",IF(B485="","CEK id_fixture tidak ada di DAFTAR_FIXTURE",IF(I485="zona tidak ada di layout","CEK zona_no / jenis_fixture",IF(D485&lt;&gt;I485,"CEK jenis_zona",IF(E485="","Zona kosong",IF(F485="","CEK nama kosong","OK"))))))</f>
        <v/>
      </c>
    </row>
    <row r="486">
      <c r="A486" s="9" t="n"/>
      <c r="B486" s="10">
        <f>IF(A486="","",IFERROR(INDEX(DAFTAR_FIXTURE!$B$2:$B$51,MATCH(A486,DAFTAR_FIXTURE!$A$2:$A$51,0)),""))</f>
        <v/>
      </c>
      <c r="C486" s="11" t="n"/>
      <c r="D486" s="11" t="n"/>
      <c r="E486" s="12" t="n"/>
      <c r="F486" s="9" t="n"/>
      <c r="G486" s="11" t="n"/>
      <c r="H486" s="10">
        <f>IF(E486="","","https://cdn.ruparupa.io/fit-in/850x850/ruparupa-com/image/upload/Products/"&amp;E486&amp;"_1.jpg")</f>
        <v/>
      </c>
      <c r="I486" s="10">
        <f>IF(OR(B486="",C486=""),"",IFERROR(INDEX(LAYOUT!$D$2:$D$34,MATCH(B486&amp;"|"&amp;C486,LAYOUT!$E$2:$E$34,0)),"zona tidak ada di layout"))</f>
        <v/>
      </c>
      <c r="J486" s="13">
        <f>IF(OR(A486="",E486=""),"",COUNTIFS($A$2:$A$500,A486,$C$2:$C$500,C486,$E$2:$E$500,"&lt;&gt;"))</f>
        <v/>
      </c>
      <c r="K486" s="13">
        <f>IF(A486="","",IF(B486="","CEK id_fixture tidak ada di DAFTAR_FIXTURE",IF(I486="zona tidak ada di layout","CEK zona_no / jenis_fixture",IF(D486&lt;&gt;I486,"CEK jenis_zona",IF(E486="","Zona kosong",IF(F486="","CEK nama kosong","OK"))))))</f>
        <v/>
      </c>
    </row>
    <row r="487">
      <c r="A487" s="9" t="n"/>
      <c r="B487" s="10">
        <f>IF(A487="","",IFERROR(INDEX(DAFTAR_FIXTURE!$B$2:$B$51,MATCH(A487,DAFTAR_FIXTURE!$A$2:$A$51,0)),""))</f>
        <v/>
      </c>
      <c r="C487" s="11" t="n"/>
      <c r="D487" s="11" t="n"/>
      <c r="E487" s="12" t="n"/>
      <c r="F487" s="9" t="n"/>
      <c r="G487" s="11" t="n"/>
      <c r="H487" s="10">
        <f>IF(E487="","","https://cdn.ruparupa.io/fit-in/850x850/ruparupa-com/image/upload/Products/"&amp;E487&amp;"_1.jpg")</f>
        <v/>
      </c>
      <c r="I487" s="10">
        <f>IF(OR(B487="",C487=""),"",IFERROR(INDEX(LAYOUT!$D$2:$D$34,MATCH(B487&amp;"|"&amp;C487,LAYOUT!$E$2:$E$34,0)),"zona tidak ada di layout"))</f>
        <v/>
      </c>
      <c r="J487" s="13">
        <f>IF(OR(A487="",E487=""),"",COUNTIFS($A$2:$A$500,A487,$C$2:$C$500,C487,$E$2:$E$500,"&lt;&gt;"))</f>
        <v/>
      </c>
      <c r="K487" s="13">
        <f>IF(A487="","",IF(B487="","CEK id_fixture tidak ada di DAFTAR_FIXTURE",IF(I487="zona tidak ada di layout","CEK zona_no / jenis_fixture",IF(D487&lt;&gt;I487,"CEK jenis_zona",IF(E487="","Zona kosong",IF(F487="","CEK nama kosong","OK"))))))</f>
        <v/>
      </c>
    </row>
    <row r="488">
      <c r="A488" s="9" t="n"/>
      <c r="B488" s="10">
        <f>IF(A488="","",IFERROR(INDEX(DAFTAR_FIXTURE!$B$2:$B$51,MATCH(A488,DAFTAR_FIXTURE!$A$2:$A$51,0)),""))</f>
        <v/>
      </c>
      <c r="C488" s="11" t="n"/>
      <c r="D488" s="11" t="n"/>
      <c r="E488" s="12" t="n"/>
      <c r="F488" s="9" t="n"/>
      <c r="G488" s="11" t="n"/>
      <c r="H488" s="10">
        <f>IF(E488="","","https://cdn.ruparupa.io/fit-in/850x850/ruparupa-com/image/upload/Products/"&amp;E488&amp;"_1.jpg")</f>
        <v/>
      </c>
      <c r="I488" s="10">
        <f>IF(OR(B488="",C488=""),"",IFERROR(INDEX(LAYOUT!$D$2:$D$34,MATCH(B488&amp;"|"&amp;C488,LAYOUT!$E$2:$E$34,0)),"zona tidak ada di layout"))</f>
        <v/>
      </c>
      <c r="J488" s="13">
        <f>IF(OR(A488="",E488=""),"",COUNTIFS($A$2:$A$500,A488,$C$2:$C$500,C488,$E$2:$E$500,"&lt;&gt;"))</f>
        <v/>
      </c>
      <c r="K488" s="13">
        <f>IF(A488="","",IF(B488="","CEK id_fixture tidak ada di DAFTAR_FIXTURE",IF(I488="zona tidak ada di layout","CEK zona_no / jenis_fixture",IF(D488&lt;&gt;I488,"CEK jenis_zona",IF(E488="","Zona kosong",IF(F488="","CEK nama kosong","OK"))))))</f>
        <v/>
      </c>
    </row>
    <row r="489">
      <c r="A489" s="9" t="n"/>
      <c r="B489" s="10">
        <f>IF(A489="","",IFERROR(INDEX(DAFTAR_FIXTURE!$B$2:$B$51,MATCH(A489,DAFTAR_FIXTURE!$A$2:$A$51,0)),""))</f>
        <v/>
      </c>
      <c r="C489" s="11" t="n"/>
      <c r="D489" s="11" t="n"/>
      <c r="E489" s="12" t="n"/>
      <c r="F489" s="9" t="n"/>
      <c r="G489" s="11" t="n"/>
      <c r="H489" s="10">
        <f>IF(E489="","","https://cdn.ruparupa.io/fit-in/850x850/ruparupa-com/image/upload/Products/"&amp;E489&amp;"_1.jpg")</f>
        <v/>
      </c>
      <c r="I489" s="10">
        <f>IF(OR(B489="",C489=""),"",IFERROR(INDEX(LAYOUT!$D$2:$D$34,MATCH(B489&amp;"|"&amp;C489,LAYOUT!$E$2:$E$34,0)),"zona tidak ada di layout"))</f>
        <v/>
      </c>
      <c r="J489" s="13">
        <f>IF(OR(A489="",E489=""),"",COUNTIFS($A$2:$A$500,A489,$C$2:$C$500,C489,$E$2:$E$500,"&lt;&gt;"))</f>
        <v/>
      </c>
      <c r="K489" s="13">
        <f>IF(A489="","",IF(B489="","CEK id_fixture tidak ada di DAFTAR_FIXTURE",IF(I489="zona tidak ada di layout","CEK zona_no / jenis_fixture",IF(D489&lt;&gt;I489,"CEK jenis_zona",IF(E489="","Zona kosong",IF(F489="","CEK nama kosong","OK"))))))</f>
        <v/>
      </c>
    </row>
    <row r="490">
      <c r="A490" s="9" t="n"/>
      <c r="B490" s="10">
        <f>IF(A490="","",IFERROR(INDEX(DAFTAR_FIXTURE!$B$2:$B$51,MATCH(A490,DAFTAR_FIXTURE!$A$2:$A$51,0)),""))</f>
        <v/>
      </c>
      <c r="C490" s="11" t="n"/>
      <c r="D490" s="11" t="n"/>
      <c r="E490" s="12" t="n"/>
      <c r="F490" s="9" t="n"/>
      <c r="G490" s="11" t="n"/>
      <c r="H490" s="10">
        <f>IF(E490="","","https://cdn.ruparupa.io/fit-in/850x850/ruparupa-com/image/upload/Products/"&amp;E490&amp;"_1.jpg")</f>
        <v/>
      </c>
      <c r="I490" s="10">
        <f>IF(OR(B490="",C490=""),"",IFERROR(INDEX(LAYOUT!$D$2:$D$34,MATCH(B490&amp;"|"&amp;C490,LAYOUT!$E$2:$E$34,0)),"zona tidak ada di layout"))</f>
        <v/>
      </c>
      <c r="J490" s="13">
        <f>IF(OR(A490="",E490=""),"",COUNTIFS($A$2:$A$500,A490,$C$2:$C$500,C490,$E$2:$E$500,"&lt;&gt;"))</f>
        <v/>
      </c>
      <c r="K490" s="13">
        <f>IF(A490="","",IF(B490="","CEK id_fixture tidak ada di DAFTAR_FIXTURE",IF(I490="zona tidak ada di layout","CEK zona_no / jenis_fixture",IF(D490&lt;&gt;I490,"CEK jenis_zona",IF(E490="","Zona kosong",IF(F490="","CEK nama kosong","OK"))))))</f>
        <v/>
      </c>
    </row>
    <row r="491">
      <c r="A491" s="9" t="n"/>
      <c r="B491" s="10">
        <f>IF(A491="","",IFERROR(INDEX(DAFTAR_FIXTURE!$B$2:$B$51,MATCH(A491,DAFTAR_FIXTURE!$A$2:$A$51,0)),""))</f>
        <v/>
      </c>
      <c r="C491" s="11" t="n"/>
      <c r="D491" s="11" t="n"/>
      <c r="E491" s="12" t="n"/>
      <c r="F491" s="9" t="n"/>
      <c r="G491" s="11" t="n"/>
      <c r="H491" s="10">
        <f>IF(E491="","","https://cdn.ruparupa.io/fit-in/850x850/ruparupa-com/image/upload/Products/"&amp;E491&amp;"_1.jpg")</f>
        <v/>
      </c>
      <c r="I491" s="10">
        <f>IF(OR(B491="",C491=""),"",IFERROR(INDEX(LAYOUT!$D$2:$D$34,MATCH(B491&amp;"|"&amp;C491,LAYOUT!$E$2:$E$34,0)),"zona tidak ada di layout"))</f>
        <v/>
      </c>
      <c r="J491" s="13">
        <f>IF(OR(A491="",E491=""),"",COUNTIFS($A$2:$A$500,A491,$C$2:$C$500,C491,$E$2:$E$500,"&lt;&gt;"))</f>
        <v/>
      </c>
      <c r="K491" s="13">
        <f>IF(A491="","",IF(B491="","CEK id_fixture tidak ada di DAFTAR_FIXTURE",IF(I491="zona tidak ada di layout","CEK zona_no / jenis_fixture",IF(D491&lt;&gt;I491,"CEK jenis_zona",IF(E491="","Zona kosong",IF(F491="","CEK nama kosong","OK"))))))</f>
        <v/>
      </c>
    </row>
    <row r="492">
      <c r="A492" s="9" t="n"/>
      <c r="B492" s="10">
        <f>IF(A492="","",IFERROR(INDEX(DAFTAR_FIXTURE!$B$2:$B$51,MATCH(A492,DAFTAR_FIXTURE!$A$2:$A$51,0)),""))</f>
        <v/>
      </c>
      <c r="C492" s="11" t="n"/>
      <c r="D492" s="11" t="n"/>
      <c r="E492" s="12" t="n"/>
      <c r="F492" s="9" t="n"/>
      <c r="G492" s="11" t="n"/>
      <c r="H492" s="10">
        <f>IF(E492="","","https://cdn.ruparupa.io/fit-in/850x850/ruparupa-com/image/upload/Products/"&amp;E492&amp;"_1.jpg")</f>
        <v/>
      </c>
      <c r="I492" s="10">
        <f>IF(OR(B492="",C492=""),"",IFERROR(INDEX(LAYOUT!$D$2:$D$34,MATCH(B492&amp;"|"&amp;C492,LAYOUT!$E$2:$E$34,0)),"zona tidak ada di layout"))</f>
        <v/>
      </c>
      <c r="J492" s="13">
        <f>IF(OR(A492="",E492=""),"",COUNTIFS($A$2:$A$500,A492,$C$2:$C$500,C492,$E$2:$E$500,"&lt;&gt;"))</f>
        <v/>
      </c>
      <c r="K492" s="13">
        <f>IF(A492="","",IF(B492="","CEK id_fixture tidak ada di DAFTAR_FIXTURE",IF(I492="zona tidak ada di layout","CEK zona_no / jenis_fixture",IF(D492&lt;&gt;I492,"CEK jenis_zona",IF(E492="","Zona kosong",IF(F492="","CEK nama kosong","OK"))))))</f>
        <v/>
      </c>
    </row>
    <row r="493">
      <c r="A493" s="9" t="n"/>
      <c r="B493" s="10">
        <f>IF(A493="","",IFERROR(INDEX(DAFTAR_FIXTURE!$B$2:$B$51,MATCH(A493,DAFTAR_FIXTURE!$A$2:$A$51,0)),""))</f>
        <v/>
      </c>
      <c r="C493" s="11" t="n"/>
      <c r="D493" s="11" t="n"/>
      <c r="E493" s="12" t="n"/>
      <c r="F493" s="9" t="n"/>
      <c r="G493" s="11" t="n"/>
      <c r="H493" s="10">
        <f>IF(E493="","","https://cdn.ruparupa.io/fit-in/850x850/ruparupa-com/image/upload/Products/"&amp;E493&amp;"_1.jpg")</f>
        <v/>
      </c>
      <c r="I493" s="10">
        <f>IF(OR(B493="",C493=""),"",IFERROR(INDEX(LAYOUT!$D$2:$D$34,MATCH(B493&amp;"|"&amp;C493,LAYOUT!$E$2:$E$34,0)),"zona tidak ada di layout"))</f>
        <v/>
      </c>
      <c r="J493" s="13">
        <f>IF(OR(A493="",E493=""),"",COUNTIFS($A$2:$A$500,A493,$C$2:$C$500,C493,$E$2:$E$500,"&lt;&gt;"))</f>
        <v/>
      </c>
      <c r="K493" s="13">
        <f>IF(A493="","",IF(B493="","CEK id_fixture tidak ada di DAFTAR_FIXTURE",IF(I493="zona tidak ada di layout","CEK zona_no / jenis_fixture",IF(D493&lt;&gt;I493,"CEK jenis_zona",IF(E493="","Zona kosong",IF(F493="","CEK nama kosong","OK"))))))</f>
        <v/>
      </c>
    </row>
    <row r="494">
      <c r="A494" s="9" t="n"/>
      <c r="B494" s="10">
        <f>IF(A494="","",IFERROR(INDEX(DAFTAR_FIXTURE!$B$2:$B$51,MATCH(A494,DAFTAR_FIXTURE!$A$2:$A$51,0)),""))</f>
        <v/>
      </c>
      <c r="C494" s="11" t="n"/>
      <c r="D494" s="11" t="n"/>
      <c r="E494" s="12" t="n"/>
      <c r="F494" s="9" t="n"/>
      <c r="G494" s="11" t="n"/>
      <c r="H494" s="10">
        <f>IF(E494="","","https://cdn.ruparupa.io/fit-in/850x850/ruparupa-com/image/upload/Products/"&amp;E494&amp;"_1.jpg")</f>
        <v/>
      </c>
      <c r="I494" s="10">
        <f>IF(OR(B494="",C494=""),"",IFERROR(INDEX(LAYOUT!$D$2:$D$34,MATCH(B494&amp;"|"&amp;C494,LAYOUT!$E$2:$E$34,0)),"zona tidak ada di layout"))</f>
        <v/>
      </c>
      <c r="J494" s="13">
        <f>IF(OR(A494="",E494=""),"",COUNTIFS($A$2:$A$500,A494,$C$2:$C$500,C494,$E$2:$E$500,"&lt;&gt;"))</f>
        <v/>
      </c>
      <c r="K494" s="13">
        <f>IF(A494="","",IF(B494="","CEK id_fixture tidak ada di DAFTAR_FIXTURE",IF(I494="zona tidak ada di layout","CEK zona_no / jenis_fixture",IF(D494&lt;&gt;I494,"CEK jenis_zona",IF(E494="","Zona kosong",IF(F494="","CEK nama kosong","OK"))))))</f>
        <v/>
      </c>
    </row>
    <row r="495">
      <c r="A495" s="9" t="n"/>
      <c r="B495" s="10">
        <f>IF(A495="","",IFERROR(INDEX(DAFTAR_FIXTURE!$B$2:$B$51,MATCH(A495,DAFTAR_FIXTURE!$A$2:$A$51,0)),""))</f>
        <v/>
      </c>
      <c r="C495" s="11" t="n"/>
      <c r="D495" s="11" t="n"/>
      <c r="E495" s="12" t="n"/>
      <c r="F495" s="9" t="n"/>
      <c r="G495" s="11" t="n"/>
      <c r="H495" s="10">
        <f>IF(E495="","","https://cdn.ruparupa.io/fit-in/850x850/ruparupa-com/image/upload/Products/"&amp;E495&amp;"_1.jpg")</f>
        <v/>
      </c>
      <c r="I495" s="10">
        <f>IF(OR(B495="",C495=""),"",IFERROR(INDEX(LAYOUT!$D$2:$D$34,MATCH(B495&amp;"|"&amp;C495,LAYOUT!$E$2:$E$34,0)),"zona tidak ada di layout"))</f>
        <v/>
      </c>
      <c r="J495" s="13">
        <f>IF(OR(A495="",E495=""),"",COUNTIFS($A$2:$A$500,A495,$C$2:$C$500,C495,$E$2:$E$500,"&lt;&gt;"))</f>
        <v/>
      </c>
      <c r="K495" s="13">
        <f>IF(A495="","",IF(B495="","CEK id_fixture tidak ada di DAFTAR_FIXTURE",IF(I495="zona tidak ada di layout","CEK zona_no / jenis_fixture",IF(D495&lt;&gt;I495,"CEK jenis_zona",IF(E495="","Zona kosong",IF(F495="","CEK nama kosong","OK"))))))</f>
        <v/>
      </c>
    </row>
    <row r="496">
      <c r="A496" s="9" t="n"/>
      <c r="B496" s="10">
        <f>IF(A496="","",IFERROR(INDEX(DAFTAR_FIXTURE!$B$2:$B$51,MATCH(A496,DAFTAR_FIXTURE!$A$2:$A$51,0)),""))</f>
        <v/>
      </c>
      <c r="C496" s="11" t="n"/>
      <c r="D496" s="11" t="n"/>
      <c r="E496" s="12" t="n"/>
      <c r="F496" s="9" t="n"/>
      <c r="G496" s="11" t="n"/>
      <c r="H496" s="10">
        <f>IF(E496="","","https://cdn.ruparupa.io/fit-in/850x850/ruparupa-com/image/upload/Products/"&amp;E496&amp;"_1.jpg")</f>
        <v/>
      </c>
      <c r="I496" s="10">
        <f>IF(OR(B496="",C496=""),"",IFERROR(INDEX(LAYOUT!$D$2:$D$34,MATCH(B496&amp;"|"&amp;C496,LAYOUT!$E$2:$E$34,0)),"zona tidak ada di layout"))</f>
        <v/>
      </c>
      <c r="J496" s="13">
        <f>IF(OR(A496="",E496=""),"",COUNTIFS($A$2:$A$500,A496,$C$2:$C$500,C496,$E$2:$E$500,"&lt;&gt;"))</f>
        <v/>
      </c>
      <c r="K496" s="13">
        <f>IF(A496="","",IF(B496="","CEK id_fixture tidak ada di DAFTAR_FIXTURE",IF(I496="zona tidak ada di layout","CEK zona_no / jenis_fixture",IF(D496&lt;&gt;I496,"CEK jenis_zona",IF(E496="","Zona kosong",IF(F496="","CEK nama kosong","OK"))))))</f>
        <v/>
      </c>
    </row>
    <row r="497">
      <c r="A497" s="9" t="n"/>
      <c r="B497" s="10">
        <f>IF(A497="","",IFERROR(INDEX(DAFTAR_FIXTURE!$B$2:$B$51,MATCH(A497,DAFTAR_FIXTURE!$A$2:$A$51,0)),""))</f>
        <v/>
      </c>
      <c r="C497" s="11" t="n"/>
      <c r="D497" s="11" t="n"/>
      <c r="E497" s="12" t="n"/>
      <c r="F497" s="9" t="n"/>
      <c r="G497" s="11" t="n"/>
      <c r="H497" s="10">
        <f>IF(E497="","","https://cdn.ruparupa.io/fit-in/850x850/ruparupa-com/image/upload/Products/"&amp;E497&amp;"_1.jpg")</f>
        <v/>
      </c>
      <c r="I497" s="10">
        <f>IF(OR(B497="",C497=""),"",IFERROR(INDEX(LAYOUT!$D$2:$D$34,MATCH(B497&amp;"|"&amp;C497,LAYOUT!$E$2:$E$34,0)),"zona tidak ada di layout"))</f>
        <v/>
      </c>
      <c r="J497" s="13">
        <f>IF(OR(A497="",E497=""),"",COUNTIFS($A$2:$A$500,A497,$C$2:$C$500,C497,$E$2:$E$500,"&lt;&gt;"))</f>
        <v/>
      </c>
      <c r="K497" s="13">
        <f>IF(A497="","",IF(B497="","CEK id_fixture tidak ada di DAFTAR_FIXTURE",IF(I497="zona tidak ada di layout","CEK zona_no / jenis_fixture",IF(D497&lt;&gt;I497,"CEK jenis_zona",IF(E497="","Zona kosong",IF(F497="","CEK nama kosong","OK"))))))</f>
        <v/>
      </c>
    </row>
    <row r="498">
      <c r="A498" s="9" t="n"/>
      <c r="B498" s="10">
        <f>IF(A498="","",IFERROR(INDEX(DAFTAR_FIXTURE!$B$2:$B$51,MATCH(A498,DAFTAR_FIXTURE!$A$2:$A$51,0)),""))</f>
        <v/>
      </c>
      <c r="C498" s="11" t="n"/>
      <c r="D498" s="11" t="n"/>
      <c r="E498" s="12" t="n"/>
      <c r="F498" s="9" t="n"/>
      <c r="G498" s="11" t="n"/>
      <c r="H498" s="10">
        <f>IF(E498="","","https://cdn.ruparupa.io/fit-in/850x850/ruparupa-com/image/upload/Products/"&amp;E498&amp;"_1.jpg")</f>
        <v/>
      </c>
      <c r="I498" s="10">
        <f>IF(OR(B498="",C498=""),"",IFERROR(INDEX(LAYOUT!$D$2:$D$34,MATCH(B498&amp;"|"&amp;C498,LAYOUT!$E$2:$E$34,0)),"zona tidak ada di layout"))</f>
        <v/>
      </c>
      <c r="J498" s="13">
        <f>IF(OR(A498="",E498=""),"",COUNTIFS($A$2:$A$500,A498,$C$2:$C$500,C498,$E$2:$E$500,"&lt;&gt;"))</f>
        <v/>
      </c>
      <c r="K498" s="13">
        <f>IF(A498="","",IF(B498="","CEK id_fixture tidak ada di DAFTAR_FIXTURE",IF(I498="zona tidak ada di layout","CEK zona_no / jenis_fixture",IF(D498&lt;&gt;I498,"CEK jenis_zona",IF(E498="","Zona kosong",IF(F498="","CEK nama kosong","OK"))))))</f>
        <v/>
      </c>
    </row>
    <row r="499">
      <c r="A499" s="9" t="n"/>
      <c r="B499" s="10">
        <f>IF(A499="","",IFERROR(INDEX(DAFTAR_FIXTURE!$B$2:$B$51,MATCH(A499,DAFTAR_FIXTURE!$A$2:$A$51,0)),""))</f>
        <v/>
      </c>
      <c r="C499" s="11" t="n"/>
      <c r="D499" s="11" t="n"/>
      <c r="E499" s="12" t="n"/>
      <c r="F499" s="9" t="n"/>
      <c r="G499" s="11" t="n"/>
      <c r="H499" s="10">
        <f>IF(E499="","","https://cdn.ruparupa.io/fit-in/850x850/ruparupa-com/image/upload/Products/"&amp;E499&amp;"_1.jpg")</f>
        <v/>
      </c>
      <c r="I499" s="10">
        <f>IF(OR(B499="",C499=""),"",IFERROR(INDEX(LAYOUT!$D$2:$D$34,MATCH(B499&amp;"|"&amp;C499,LAYOUT!$E$2:$E$34,0)),"zona tidak ada di layout"))</f>
        <v/>
      </c>
      <c r="J499" s="13">
        <f>IF(OR(A499="",E499=""),"",COUNTIFS($A$2:$A$500,A499,$C$2:$C$500,C499,$E$2:$E$500,"&lt;&gt;"))</f>
        <v/>
      </c>
      <c r="K499" s="13">
        <f>IF(A499="","",IF(B499="","CEK id_fixture tidak ada di DAFTAR_FIXTURE",IF(I499="zona tidak ada di layout","CEK zona_no / jenis_fixture",IF(D499&lt;&gt;I499,"CEK jenis_zona",IF(E499="","Zona kosong",IF(F499="","CEK nama kosong","OK"))))))</f>
        <v/>
      </c>
    </row>
    <row r="500">
      <c r="A500" s="9" t="n"/>
      <c r="B500" s="10">
        <f>IF(A500="","",IFERROR(INDEX(DAFTAR_FIXTURE!$B$2:$B$51,MATCH(A500,DAFTAR_FIXTURE!$A$2:$A$51,0)),""))</f>
        <v/>
      </c>
      <c r="C500" s="11" t="n"/>
      <c r="D500" s="11" t="n"/>
      <c r="E500" s="12" t="n"/>
      <c r="F500" s="9" t="n"/>
      <c r="G500" s="11" t="n"/>
      <c r="H500" s="10">
        <f>IF(E500="","","https://cdn.ruparupa.io/fit-in/850x850/ruparupa-com/image/upload/Products/"&amp;E500&amp;"_1.jpg")</f>
        <v/>
      </c>
      <c r="I500" s="10">
        <f>IF(OR(B500="",C500=""),"",IFERROR(INDEX(LAYOUT!$D$2:$D$34,MATCH(B500&amp;"|"&amp;C500,LAYOUT!$E$2:$E$34,0)),"zona tidak ada di layout"))</f>
        <v/>
      </c>
      <c r="J500" s="13">
        <f>IF(OR(A500="",E500=""),"",COUNTIFS($A$2:$A$500,A500,$C$2:$C$500,C500,$E$2:$E$500,"&lt;&gt;"))</f>
        <v/>
      </c>
      <c r="K500" s="13">
        <f>IF(A500="","",IF(B500="","CEK id_fixture tidak ada di DAFTAR_FIXTURE",IF(I500="zona tidak ada di layout","CEK zona_no / jenis_fixture",IF(D500&lt;&gt;I500,"CEK jenis_zona",IF(E500="","Zona kosong",IF(F500="","CEK nama kosong","OK"))))))</f>
        <v/>
      </c>
    </row>
  </sheetData>
  <autoFilter ref="A1:K500"/>
  <conditionalFormatting sqref="K2:K500">
    <cfRule type="expression" priority="1" dxfId="0">
      <formula>LEFT($K2,3)="CEK"</formula>
    </cfRule>
    <cfRule type="expression" priority="2" dxfId="1">
      <formula>$K2="OK"</formula>
    </cfRule>
    <cfRule type="expression" priority="3" dxfId="2">
      <formula>$K2="Zona kosong"</formula>
    </cfRule>
  </conditionalFormatting>
  <dataValidations count="4">
    <dataValidation sqref="A2:A500" showDropDown="0" showInputMessage="0" showErrorMessage="1" allowBlank="1" errorTitle="id_fixture" error="Pilih ID dari dropdown. Tambah ID baru di sheet DAFTAR_FIXTURE." type="list">
      <formula1>FIXTURE_IDS</formula1>
    </dataValidation>
    <dataValidation sqref="D2:D500" showDropDown="0" showInputMessage="0" showErrorMessage="0" allowBlank="1" type="list">
      <formula1>"Rak,Gantungan"</formula1>
    </dataValidation>
    <dataValidation sqref="G2:G500" showDropDown="0" showInputMessage="0" showErrorMessage="0" allowBlank="1" type="list">
      <formula1>"rak,gantung"</formula1>
    </dataValidation>
    <dataValidation sqref="C2:C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4" t="inlineStr">
        <is>
          <t>id_fixture</t>
        </is>
      </c>
      <c r="B1" s="14" t="inlineStr">
        <is>
          <t>jenis_fixture</t>
        </is>
      </c>
      <c r="C1" s="14" t="inlineStr">
        <is>
          <t>keterangan (opsional: toko / lokasi)</t>
        </is>
      </c>
      <c r="E1" s="15" t="inlineStr">
        <is>
          <t>ID di sini muncul sebagai dropdown di sheet DATA (sampai baris 51). Tiap ID harus unik.</t>
        </is>
      </c>
    </row>
    <row r="2">
      <c r="A2" s="9" t="inlineStr">
        <is>
          <t>WLL-01</t>
        </is>
      </c>
      <c r="B2" s="9" t="inlineStr">
        <is>
          <t>Wall 6 Rack</t>
        </is>
      </c>
      <c r="C2" s="9" t="n"/>
    </row>
    <row r="3">
      <c r="A3" s="9" t="inlineStr">
        <is>
          <t>WLL-02</t>
        </is>
      </c>
      <c r="B3" s="9" t="inlineStr">
        <is>
          <t>Wall 5 Rack</t>
        </is>
      </c>
      <c r="C3" s="9" t="n"/>
    </row>
    <row r="4">
      <c r="A4" s="9" t="inlineStr">
        <is>
          <t>WLL-03</t>
        </is>
      </c>
      <c r="B4" s="9" t="inlineStr">
        <is>
          <t>Wall 3 Rack + 2 Gantungan</t>
        </is>
      </c>
      <c r="C4" s="9" t="n"/>
    </row>
    <row r="5">
      <c r="A5" s="9" t="inlineStr">
        <is>
          <t>GND-01</t>
        </is>
      </c>
      <c r="B5" s="9" t="inlineStr">
        <is>
          <t>Gondola 4 Rack</t>
        </is>
      </c>
      <c r="C5" s="9" t="n"/>
    </row>
    <row r="6">
      <c r="A6" s="9" t="inlineStr">
        <is>
          <t>GND-02</t>
        </is>
      </c>
      <c r="B6" s="9" t="inlineStr">
        <is>
          <t>Gondola Full Gantungan</t>
        </is>
      </c>
      <c r="C6" s="9" t="n"/>
    </row>
    <row r="7">
      <c r="A7" s="9" t="inlineStr">
        <is>
          <t>GND-03</t>
        </is>
      </c>
      <c r="B7" s="9" t="inlineStr">
        <is>
          <t>Gondola 1 Rack + 3 Gantungan</t>
        </is>
      </c>
      <c r="C7" s="9" t="n"/>
    </row>
    <row r="8">
      <c r="A8" s="9" t="inlineStr">
        <is>
          <t>END-01</t>
        </is>
      </c>
      <c r="B8" s="9" t="inlineStr">
        <is>
          <t>Endcap 4 Rack</t>
        </is>
      </c>
      <c r="C8" s="9" t="n"/>
    </row>
    <row r="9">
      <c r="A9" s="9" t="inlineStr">
        <is>
          <t>PLT-01</t>
        </is>
      </c>
      <c r="B9" s="9" t="inlineStr">
        <is>
          <t>Pallet 90x90</t>
        </is>
      </c>
      <c r="C9" s="9" t="n"/>
    </row>
    <row r="10">
      <c r="A10" s="9" t="n"/>
      <c r="B10" s="9" t="n"/>
      <c r="C10" s="9" t="n"/>
    </row>
    <row r="11">
      <c r="A11" s="9" t="n"/>
      <c r="B11" s="9" t="n"/>
      <c r="C11" s="9" t="n"/>
    </row>
    <row r="12">
      <c r="A12" s="9" t="n"/>
      <c r="B12" s="9" t="n"/>
      <c r="C12" s="9" t="n"/>
    </row>
    <row r="13">
      <c r="A13" s="9" t="n"/>
      <c r="B13" s="9" t="n"/>
      <c r="C13" s="9" t="n"/>
    </row>
    <row r="14">
      <c r="A14" s="9" t="n"/>
      <c r="B14" s="9" t="n"/>
      <c r="C14" s="9" t="n"/>
    </row>
    <row r="15">
      <c r="A15" s="9" t="n"/>
      <c r="B15" s="9" t="n"/>
      <c r="C15" s="9" t="n"/>
    </row>
    <row r="16">
      <c r="A16" s="9" t="n"/>
      <c r="B16" s="9" t="n"/>
      <c r="C16" s="9" t="n"/>
    </row>
    <row r="17">
      <c r="A17" s="9" t="n"/>
      <c r="B17" s="9" t="n"/>
      <c r="C17" s="9" t="n"/>
    </row>
    <row r="18">
      <c r="A18" s="9" t="n"/>
      <c r="B18" s="9" t="n"/>
      <c r="C18" s="9" t="n"/>
    </row>
    <row r="19">
      <c r="A19" s="9" t="n"/>
      <c r="B19" s="9" t="n"/>
      <c r="C19" s="9" t="n"/>
    </row>
    <row r="20">
      <c r="A20" s="9" t="n"/>
      <c r="B20" s="9" t="n"/>
      <c r="C20" s="9" t="n"/>
    </row>
    <row r="21">
      <c r="A21" s="9" t="n"/>
      <c r="B21" s="9" t="n"/>
      <c r="C21" s="9" t="n"/>
    </row>
    <row r="22">
      <c r="A22" s="9" t="n"/>
      <c r="B22" s="9" t="n"/>
      <c r="C22" s="9" t="n"/>
    </row>
    <row r="23">
      <c r="A23" s="9" t="n"/>
      <c r="B23" s="9" t="n"/>
      <c r="C23" s="9" t="n"/>
    </row>
    <row r="24">
      <c r="A24" s="9" t="n"/>
      <c r="B24" s="9" t="n"/>
      <c r="C24" s="9" t="n"/>
    </row>
    <row r="25">
      <c r="A25" s="9" t="n"/>
      <c r="B25" s="9" t="n"/>
      <c r="C25" s="9" t="n"/>
    </row>
    <row r="26">
      <c r="A26" s="9" t="n"/>
      <c r="B26" s="9" t="n"/>
      <c r="C26" s="9" t="n"/>
    </row>
    <row r="27">
      <c r="A27" s="9" t="n"/>
      <c r="B27" s="9" t="n"/>
      <c r="C27" s="9" t="n"/>
    </row>
    <row r="28">
      <c r="A28" s="9" t="n"/>
      <c r="B28" s="9" t="n"/>
      <c r="C28" s="9" t="n"/>
    </row>
    <row r="29">
      <c r="A29" s="9" t="n"/>
      <c r="B29" s="9" t="n"/>
      <c r="C29" s="9" t="n"/>
    </row>
    <row r="30">
      <c r="A30" s="9" t="n"/>
      <c r="B30" s="9" t="n"/>
      <c r="C30" s="9" t="n"/>
    </row>
    <row r="31">
      <c r="A31" s="9" t="n"/>
      <c r="B31" s="9" t="n"/>
      <c r="C31" s="9" t="n"/>
    </row>
    <row r="32">
      <c r="A32" s="9" t="n"/>
      <c r="B32" s="9" t="n"/>
      <c r="C32" s="9" t="n"/>
    </row>
    <row r="33">
      <c r="A33" s="9" t="n"/>
      <c r="B33" s="9" t="n"/>
      <c r="C33" s="9" t="n"/>
    </row>
    <row r="34">
      <c r="A34" s="9" t="n"/>
      <c r="B34" s="9" t="n"/>
      <c r="C34" s="9" t="n"/>
    </row>
    <row r="35">
      <c r="A35" s="9" t="n"/>
      <c r="B35" s="9" t="n"/>
      <c r="C35" s="9" t="n"/>
    </row>
    <row r="36">
      <c r="A36" s="9" t="n"/>
      <c r="B36" s="9" t="n"/>
      <c r="C36" s="9" t="n"/>
    </row>
    <row r="37">
      <c r="A37" s="9" t="n"/>
      <c r="B37" s="9" t="n"/>
      <c r="C37" s="9" t="n"/>
    </row>
    <row r="38">
      <c r="A38" s="9" t="n"/>
      <c r="B38" s="9" t="n"/>
      <c r="C38" s="9" t="n"/>
    </row>
    <row r="39">
      <c r="A39" s="9" t="n"/>
      <c r="B39" s="9" t="n"/>
      <c r="C39" s="9" t="n"/>
    </row>
    <row r="40">
      <c r="A40" s="9" t="n"/>
      <c r="B40" s="9" t="n"/>
      <c r="C40" s="9" t="n"/>
    </row>
    <row r="41">
      <c r="A41" s="9" t="n"/>
      <c r="B41" s="9" t="n"/>
      <c r="C41" s="9" t="n"/>
    </row>
    <row r="42">
      <c r="A42" s="9" t="n"/>
      <c r="B42" s="9" t="n"/>
      <c r="C42" s="9" t="n"/>
    </row>
    <row r="43">
      <c r="A43" s="9" t="n"/>
      <c r="B43" s="9" t="n"/>
      <c r="C43" s="9" t="n"/>
    </row>
    <row r="44">
      <c r="A44" s="9" t="n"/>
      <c r="B44" s="9" t="n"/>
      <c r="C44" s="9" t="n"/>
    </row>
    <row r="45">
      <c r="A45" s="9" t="n"/>
      <c r="B45" s="9" t="n"/>
      <c r="C45" s="9" t="n"/>
    </row>
    <row r="46">
      <c r="A46" s="9" t="n"/>
      <c r="B46" s="9" t="n"/>
      <c r="C46" s="9" t="n"/>
    </row>
    <row r="47">
      <c r="A47" s="9" t="n"/>
      <c r="B47" s="9" t="n"/>
      <c r="C47" s="9" t="n"/>
    </row>
    <row r="48">
      <c r="A48" s="9" t="n"/>
      <c r="B48" s="9" t="n"/>
      <c r="C48" s="9" t="n"/>
    </row>
    <row r="49">
      <c r="A49" s="9" t="n"/>
      <c r="B49" s="9" t="n"/>
      <c r="C49" s="9" t="n"/>
    </row>
    <row r="50">
      <c r="A50" s="9" t="n"/>
      <c r="B50" s="9" t="n"/>
      <c r="C50" s="9" t="n"/>
    </row>
    <row r="51">
      <c r="A51" s="9" t="n"/>
      <c r="B51" s="9" t="n"/>
      <c r="C51" s="9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9" t="inlineStr">
        <is>
          <t>Wall 6 Rack</t>
        </is>
      </c>
      <c r="B2" s="9" t="inlineStr">
        <is>
          <t>120x50x270 / 120x50x240</t>
        </is>
      </c>
      <c r="C2" s="11" t="n">
        <v>1</v>
      </c>
      <c r="D2" s="9" t="inlineStr">
        <is>
          <t>Rak</t>
        </is>
      </c>
      <c r="E2" s="17">
        <f>A2&amp;"|"&amp;C2</f>
        <v/>
      </c>
    </row>
    <row r="3">
      <c r="A3" s="9" t="inlineStr">
        <is>
          <t>Wall 6 Rack</t>
        </is>
      </c>
      <c r="B3" s="9" t="inlineStr">
        <is>
          <t>120x50x270 / 120x50x240</t>
        </is>
      </c>
      <c r="C3" s="11" t="n">
        <v>2</v>
      </c>
      <c r="D3" s="9" t="inlineStr">
        <is>
          <t>Rak</t>
        </is>
      </c>
      <c r="E3" s="17">
        <f>A3&amp;"|"&amp;C3</f>
        <v/>
      </c>
    </row>
    <row r="4">
      <c r="A4" s="9" t="inlineStr">
        <is>
          <t>Wall 6 Rack</t>
        </is>
      </c>
      <c r="B4" s="9" t="inlineStr">
        <is>
          <t>120x50x270 / 120x50x240</t>
        </is>
      </c>
      <c r="C4" s="11" t="n">
        <v>3</v>
      </c>
      <c r="D4" s="9" t="inlineStr">
        <is>
          <t>Rak</t>
        </is>
      </c>
      <c r="E4" s="17">
        <f>A4&amp;"|"&amp;C4</f>
        <v/>
      </c>
    </row>
    <row r="5">
      <c r="A5" s="9" t="inlineStr">
        <is>
          <t>Wall 6 Rack</t>
        </is>
      </c>
      <c r="B5" s="9" t="inlineStr">
        <is>
          <t>120x50x270 / 120x50x240</t>
        </is>
      </c>
      <c r="C5" s="11" t="n">
        <v>4</v>
      </c>
      <c r="D5" s="9" t="inlineStr">
        <is>
          <t>Rak</t>
        </is>
      </c>
      <c r="E5" s="17">
        <f>A5&amp;"|"&amp;C5</f>
        <v/>
      </c>
    </row>
    <row r="6">
      <c r="A6" s="9" t="inlineStr">
        <is>
          <t>Wall 6 Rack</t>
        </is>
      </c>
      <c r="B6" s="9" t="inlineStr">
        <is>
          <t>120x50x270 / 120x50x240</t>
        </is>
      </c>
      <c r="C6" s="11" t="n">
        <v>5</v>
      </c>
      <c r="D6" s="9" t="inlineStr">
        <is>
          <t>Rak</t>
        </is>
      </c>
      <c r="E6" s="17">
        <f>A6&amp;"|"&amp;C6</f>
        <v/>
      </c>
    </row>
    <row r="7">
      <c r="A7" s="9" t="inlineStr">
        <is>
          <t>Wall 6 Rack</t>
        </is>
      </c>
      <c r="B7" s="9" t="inlineStr">
        <is>
          <t>120x50x270 / 120x50x240</t>
        </is>
      </c>
      <c r="C7" s="11" t="n">
        <v>6</v>
      </c>
      <c r="D7" s="9" t="inlineStr">
        <is>
          <t>Rak</t>
        </is>
      </c>
      <c r="E7" s="17">
        <f>A7&amp;"|"&amp;C7</f>
        <v/>
      </c>
    </row>
    <row r="8">
      <c r="A8" s="9" t="inlineStr">
        <is>
          <t>Wall 5 Rack</t>
        </is>
      </c>
      <c r="B8" s="9" t="inlineStr">
        <is>
          <t>120x50x270 / 120x50x240</t>
        </is>
      </c>
      <c r="C8" s="11" t="n">
        <v>1</v>
      </c>
      <c r="D8" s="9" t="inlineStr">
        <is>
          <t>Rak</t>
        </is>
      </c>
      <c r="E8" s="17">
        <f>A8&amp;"|"&amp;C8</f>
        <v/>
      </c>
    </row>
    <row r="9">
      <c r="A9" s="9" t="inlineStr">
        <is>
          <t>Wall 5 Rack</t>
        </is>
      </c>
      <c r="B9" s="9" t="inlineStr">
        <is>
          <t>120x50x270 / 120x50x240</t>
        </is>
      </c>
      <c r="C9" s="11" t="n">
        <v>2</v>
      </c>
      <c r="D9" s="9" t="inlineStr">
        <is>
          <t>Rak</t>
        </is>
      </c>
      <c r="E9" s="17">
        <f>A9&amp;"|"&amp;C9</f>
        <v/>
      </c>
    </row>
    <row r="10">
      <c r="A10" s="9" t="inlineStr">
        <is>
          <t>Wall 5 Rack</t>
        </is>
      </c>
      <c r="B10" s="9" t="inlineStr">
        <is>
          <t>120x50x270 / 120x50x240</t>
        </is>
      </c>
      <c r="C10" s="11" t="n">
        <v>3</v>
      </c>
      <c r="D10" s="9" t="inlineStr">
        <is>
          <t>Rak</t>
        </is>
      </c>
      <c r="E10" s="17">
        <f>A10&amp;"|"&amp;C10</f>
        <v/>
      </c>
    </row>
    <row r="11">
      <c r="A11" s="9" t="inlineStr">
        <is>
          <t>Wall 5 Rack</t>
        </is>
      </c>
      <c r="B11" s="9" t="inlineStr">
        <is>
          <t>120x50x270 / 120x50x240</t>
        </is>
      </c>
      <c r="C11" s="11" t="n">
        <v>4</v>
      </c>
      <c r="D11" s="9" t="inlineStr">
        <is>
          <t>Rak</t>
        </is>
      </c>
      <c r="E11" s="17">
        <f>A11&amp;"|"&amp;C11</f>
        <v/>
      </c>
    </row>
    <row r="12">
      <c r="A12" s="9" t="inlineStr">
        <is>
          <t>Wall 5 Rack</t>
        </is>
      </c>
      <c r="B12" s="9" t="inlineStr">
        <is>
          <t>120x50x270 / 120x50x240</t>
        </is>
      </c>
      <c r="C12" s="11" t="n">
        <v>5</v>
      </c>
      <c r="D12" s="9" t="inlineStr">
        <is>
          <t>Rak</t>
        </is>
      </c>
      <c r="E12" s="17">
        <f>A12&amp;"|"&amp;C12</f>
        <v/>
      </c>
    </row>
    <row r="13">
      <c r="A13" s="9" t="inlineStr">
        <is>
          <t>Wall 3 Rack + 2 Gantungan</t>
        </is>
      </c>
      <c r="B13" s="9" t="inlineStr">
        <is>
          <t>120x50x270 / 120x50x240</t>
        </is>
      </c>
      <c r="C13" s="11" t="n">
        <v>1</v>
      </c>
      <c r="D13" s="9" t="inlineStr">
        <is>
          <t>Gantungan</t>
        </is>
      </c>
      <c r="E13" s="17">
        <f>A13&amp;"|"&amp;C13</f>
        <v/>
      </c>
    </row>
    <row r="14">
      <c r="A14" s="9" t="inlineStr">
        <is>
          <t>Wall 3 Rack + 2 Gantungan</t>
        </is>
      </c>
      <c r="B14" s="9" t="inlineStr">
        <is>
          <t>120x50x270 / 120x50x240</t>
        </is>
      </c>
      <c r="C14" s="11" t="n">
        <v>2</v>
      </c>
      <c r="D14" s="9" t="inlineStr">
        <is>
          <t>Gantungan</t>
        </is>
      </c>
      <c r="E14" s="17">
        <f>A14&amp;"|"&amp;C14</f>
        <v/>
      </c>
    </row>
    <row r="15">
      <c r="A15" s="9" t="inlineStr">
        <is>
          <t>Wall 3 Rack + 2 Gantungan</t>
        </is>
      </c>
      <c r="B15" s="9" t="inlineStr">
        <is>
          <t>120x50x270 / 120x50x240</t>
        </is>
      </c>
      <c r="C15" s="11" t="n">
        <v>3</v>
      </c>
      <c r="D15" s="9" t="inlineStr">
        <is>
          <t>Rak</t>
        </is>
      </c>
      <c r="E15" s="17">
        <f>A15&amp;"|"&amp;C15</f>
        <v/>
      </c>
    </row>
    <row r="16">
      <c r="A16" s="9" t="inlineStr">
        <is>
          <t>Wall 3 Rack + 2 Gantungan</t>
        </is>
      </c>
      <c r="B16" s="9" t="inlineStr">
        <is>
          <t>120x50x270 / 120x50x240</t>
        </is>
      </c>
      <c r="C16" s="11" t="n">
        <v>4</v>
      </c>
      <c r="D16" s="9" t="inlineStr">
        <is>
          <t>Rak</t>
        </is>
      </c>
      <c r="E16" s="17">
        <f>A16&amp;"|"&amp;C16</f>
        <v/>
      </c>
    </row>
    <row r="17">
      <c r="A17" s="9" t="inlineStr">
        <is>
          <t>Wall 3 Rack + 2 Gantungan</t>
        </is>
      </c>
      <c r="B17" s="9" t="inlineStr">
        <is>
          <t>120x50x270 / 120x50x240</t>
        </is>
      </c>
      <c r="C17" s="11" t="n">
        <v>5</v>
      </c>
      <c r="D17" s="9" t="inlineStr">
        <is>
          <t>Rak</t>
        </is>
      </c>
      <c r="E17" s="17">
        <f>A17&amp;"|"&amp;C17</f>
        <v/>
      </c>
    </row>
    <row r="18">
      <c r="A18" s="9" t="inlineStr">
        <is>
          <t>Gondola 4 Rack</t>
        </is>
      </c>
      <c r="B18" s="9" t="inlineStr">
        <is>
          <t>120x50x150</t>
        </is>
      </c>
      <c r="C18" s="11" t="n">
        <v>1</v>
      </c>
      <c r="D18" s="9" t="inlineStr">
        <is>
          <t>Rak</t>
        </is>
      </c>
      <c r="E18" s="17">
        <f>A18&amp;"|"&amp;C18</f>
        <v/>
      </c>
    </row>
    <row r="19">
      <c r="A19" s="9" t="inlineStr">
        <is>
          <t>Gondola 4 Rack</t>
        </is>
      </c>
      <c r="B19" s="9" t="inlineStr">
        <is>
          <t>120x50x150</t>
        </is>
      </c>
      <c r="C19" s="11" t="n">
        <v>2</v>
      </c>
      <c r="D19" s="9" t="inlineStr">
        <is>
          <t>Rak</t>
        </is>
      </c>
      <c r="E19" s="17">
        <f>A19&amp;"|"&amp;C19</f>
        <v/>
      </c>
    </row>
    <row r="20">
      <c r="A20" s="9" t="inlineStr">
        <is>
          <t>Gondola 4 Rack</t>
        </is>
      </c>
      <c r="B20" s="9" t="inlineStr">
        <is>
          <t>120x50x150</t>
        </is>
      </c>
      <c r="C20" s="11" t="n">
        <v>3</v>
      </c>
      <c r="D20" s="9" t="inlineStr">
        <is>
          <t>Rak</t>
        </is>
      </c>
      <c r="E20" s="17">
        <f>A20&amp;"|"&amp;C20</f>
        <v/>
      </c>
    </row>
    <row r="21">
      <c r="A21" s="9" t="inlineStr">
        <is>
          <t>Gondola 4 Rack</t>
        </is>
      </c>
      <c r="B21" s="9" t="inlineStr">
        <is>
          <t>120x50x150</t>
        </is>
      </c>
      <c r="C21" s="11" t="n">
        <v>4</v>
      </c>
      <c r="D21" s="9" t="inlineStr">
        <is>
          <t>Rak</t>
        </is>
      </c>
      <c r="E21" s="17">
        <f>A21&amp;"|"&amp;C21</f>
        <v/>
      </c>
    </row>
    <row r="22">
      <c r="A22" s="9" t="inlineStr">
        <is>
          <t>Gondola Full Gantungan</t>
        </is>
      </c>
      <c r="B22" s="9" t="inlineStr">
        <is>
          <t>120x50x150</t>
        </is>
      </c>
      <c r="C22" s="11" t="n">
        <v>1</v>
      </c>
      <c r="D22" s="9" t="inlineStr">
        <is>
          <t>Gantungan</t>
        </is>
      </c>
      <c r="E22" s="17">
        <f>A22&amp;"|"&amp;C22</f>
        <v/>
      </c>
    </row>
    <row r="23">
      <c r="A23" s="9" t="inlineStr">
        <is>
          <t>Gondola Full Gantungan</t>
        </is>
      </c>
      <c r="B23" s="9" t="inlineStr">
        <is>
          <t>120x50x150</t>
        </is>
      </c>
      <c r="C23" s="11" t="n">
        <v>2</v>
      </c>
      <c r="D23" s="9" t="inlineStr">
        <is>
          <t>Gantungan</t>
        </is>
      </c>
      <c r="E23" s="17">
        <f>A23&amp;"|"&amp;C23</f>
        <v/>
      </c>
    </row>
    <row r="24">
      <c r="A24" s="9" t="inlineStr">
        <is>
          <t>Gondola Full Gantungan</t>
        </is>
      </c>
      <c r="B24" s="9" t="inlineStr">
        <is>
          <t>120x50x150</t>
        </is>
      </c>
      <c r="C24" s="11" t="n">
        <v>3</v>
      </c>
      <c r="D24" s="9" t="inlineStr">
        <is>
          <t>Gantungan</t>
        </is>
      </c>
      <c r="E24" s="17">
        <f>A24&amp;"|"&amp;C24</f>
        <v/>
      </c>
    </row>
    <row r="25">
      <c r="A25" s="9" t="inlineStr">
        <is>
          <t>Gondola Full Gantungan</t>
        </is>
      </c>
      <c r="B25" s="9" t="inlineStr">
        <is>
          <t>120x50x150</t>
        </is>
      </c>
      <c r="C25" s="11" t="n">
        <v>4</v>
      </c>
      <c r="D25" s="9" t="inlineStr">
        <is>
          <t>Gantungan</t>
        </is>
      </c>
      <c r="E25" s="17">
        <f>A25&amp;"|"&amp;C25</f>
        <v/>
      </c>
    </row>
    <row r="26">
      <c r="A26" s="9" t="inlineStr">
        <is>
          <t>Gondola 1 Rack + 3 Gantungan</t>
        </is>
      </c>
      <c r="B26" s="9" t="inlineStr">
        <is>
          <t>120x50x150</t>
        </is>
      </c>
      <c r="C26" s="11" t="n">
        <v>1</v>
      </c>
      <c r="D26" s="9" t="inlineStr">
        <is>
          <t>Rak</t>
        </is>
      </c>
      <c r="E26" s="17">
        <f>A26&amp;"|"&amp;C26</f>
        <v/>
      </c>
    </row>
    <row r="27">
      <c r="A27" s="9" t="inlineStr">
        <is>
          <t>Gondola 1 Rack + 3 Gantungan</t>
        </is>
      </c>
      <c r="B27" s="9" t="inlineStr">
        <is>
          <t>120x50x150</t>
        </is>
      </c>
      <c r="C27" s="11" t="n">
        <v>2</v>
      </c>
      <c r="D27" s="9" t="inlineStr">
        <is>
          <t>Gantungan</t>
        </is>
      </c>
      <c r="E27" s="17">
        <f>A27&amp;"|"&amp;C27</f>
        <v/>
      </c>
    </row>
    <row r="28">
      <c r="A28" s="9" t="inlineStr">
        <is>
          <t>Gondola 1 Rack + 3 Gantungan</t>
        </is>
      </c>
      <c r="B28" s="9" t="inlineStr">
        <is>
          <t>120x50x150</t>
        </is>
      </c>
      <c r="C28" s="11" t="n">
        <v>3</v>
      </c>
      <c r="D28" s="9" t="inlineStr">
        <is>
          <t>Gantungan</t>
        </is>
      </c>
      <c r="E28" s="17">
        <f>A28&amp;"|"&amp;C28</f>
        <v/>
      </c>
    </row>
    <row r="29">
      <c r="A29" s="9" t="inlineStr">
        <is>
          <t>Gondola 1 Rack + 3 Gantungan</t>
        </is>
      </c>
      <c r="B29" s="9" t="inlineStr">
        <is>
          <t>120x50x150</t>
        </is>
      </c>
      <c r="C29" s="11" t="n">
        <v>4</v>
      </c>
      <c r="D29" s="9" t="inlineStr">
        <is>
          <t>Gantungan</t>
        </is>
      </c>
      <c r="E29" s="17">
        <f>A29&amp;"|"&amp;C29</f>
        <v/>
      </c>
    </row>
    <row r="30">
      <c r="A30" s="9" t="inlineStr">
        <is>
          <t>Endcap 4 Rack</t>
        </is>
      </c>
      <c r="B30" s="9" t="inlineStr">
        <is>
          <t>100x50x150</t>
        </is>
      </c>
      <c r="C30" s="11" t="n">
        <v>1</v>
      </c>
      <c r="D30" s="9" t="inlineStr">
        <is>
          <t>Rak</t>
        </is>
      </c>
      <c r="E30" s="17">
        <f>A30&amp;"|"&amp;C30</f>
        <v/>
      </c>
    </row>
    <row r="31">
      <c r="A31" s="9" t="inlineStr">
        <is>
          <t>Endcap 4 Rack</t>
        </is>
      </c>
      <c r="B31" s="9" t="inlineStr">
        <is>
          <t>100x50x150</t>
        </is>
      </c>
      <c r="C31" s="11" t="n">
        <v>2</v>
      </c>
      <c r="D31" s="9" t="inlineStr">
        <is>
          <t>Rak</t>
        </is>
      </c>
      <c r="E31" s="17">
        <f>A31&amp;"|"&amp;C31</f>
        <v/>
      </c>
    </row>
    <row r="32">
      <c r="A32" s="9" t="inlineStr">
        <is>
          <t>Endcap 4 Rack</t>
        </is>
      </c>
      <c r="B32" s="9" t="inlineStr">
        <is>
          <t>100x50x150</t>
        </is>
      </c>
      <c r="C32" s="11" t="n">
        <v>3</v>
      </c>
      <c r="D32" s="9" t="inlineStr">
        <is>
          <t>Rak</t>
        </is>
      </c>
      <c r="E32" s="17">
        <f>A32&amp;"|"&amp;C32</f>
        <v/>
      </c>
    </row>
    <row r="33">
      <c r="A33" s="9" t="inlineStr">
        <is>
          <t>Endcap 4 Rack</t>
        </is>
      </c>
      <c r="B33" s="9" t="inlineStr">
        <is>
          <t>100x50x150</t>
        </is>
      </c>
      <c r="C33" s="11" t="n">
        <v>4</v>
      </c>
      <c r="D33" s="9" t="inlineStr">
        <is>
          <t>Rak</t>
        </is>
      </c>
      <c r="E33" s="17">
        <f>A33&amp;"|"&amp;C33</f>
        <v/>
      </c>
    </row>
    <row r="34">
      <c r="A34" s="9" t="inlineStr">
        <is>
          <t>Pallet 90x90</t>
        </is>
      </c>
      <c r="B34" s="9" t="inlineStr">
        <is>
          <t>90x90x100</t>
        </is>
      </c>
      <c r="C34" s="11" t="n">
        <v>1</v>
      </c>
      <c r="D34" s="9" t="inlineStr">
        <is>
          <t>Rak</t>
        </is>
      </c>
      <c r="E34" s="17">
        <f>A34&amp;"|"&amp;C34</f>
        <v/>
      </c>
    </row>
    <row r="36">
      <c r="A36" s="15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2026-10-02T06:45:16Z</dcterms:created>
  <dcterms:modified xsi:type="dcterms:W3CDTF">2026-10-02T06:45:17Z</dcterms:modified>
</cp:coreProperties>
</file>