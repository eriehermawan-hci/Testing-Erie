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DIMENSI" sheetId="3" state="visible" r:id="rId3"/>
    <sheet xmlns:r="http://schemas.openxmlformats.org/officeDocument/2006/relationships" name="LAYOUT" sheetId="4" state="visible" r:id="rId4"/>
  </sheets>
  <definedNames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  <font>
      <b val="1"/>
      <color rgb="003B4456"/>
    </font>
    <font>
      <color rgb="003B4456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  <c r="B1" s="2" t="n"/>
    </row>
    <row r="2">
      <c r="A2" s="6" t="inlineStr">
        <is>
          <t>Isi sheet DATA dari kiri ke kanan. Satu baris = satu SKU dalam satu series. Hasilnya: visual planogram 2D dan 3D per Grup Adjacency atau per Series.</t>
        </is>
      </c>
      <c r="B2" s="2" t="n"/>
    </row>
    <row r="3">
      <c r="A3" s="2" t="n"/>
      <c r="B3" s="2" t="n"/>
    </row>
    <row r="4">
      <c r="A4" s="3" t="inlineStr">
        <is>
          <t>LOGIKA YANG DIPAKAI</t>
        </is>
      </c>
      <c r="B4" s="4" t="n"/>
    </row>
    <row r="5">
      <c r="A5" s="5" t="inlineStr">
        <is>
          <t>1. Data SKU</t>
        </is>
      </c>
      <c r="B5" s="6" t="inlineStr">
        <is>
          <t>Setiap SKU punya DEPT, GRUP ADJACENCY, dan SERIES (kolom A–K).</t>
        </is>
      </c>
    </row>
    <row r="6">
      <c r="A6" s="5" t="inlineStr">
        <is>
          <t>2. Output</t>
        </is>
      </c>
      <c r="B6" s="6" t="inlineStr">
        <is>
          <t>Visual planogram ditampilkan per Grup Adjacency atau per Series. Pilih salah satu di dashboard.</t>
        </is>
      </c>
    </row>
    <row r="7">
      <c r="A7" s="5" t="inlineStr">
        <is>
          <t>3. Satu series = fixture sendiri</t>
        </is>
      </c>
      <c r="B7" s="6" t="inlineStr">
        <is>
          <t>Antar series pasti beda fixture dan posisinya. Dalam satu series boleh memakai lebih dari satu fixture (sampai 3).</t>
        </is>
      </c>
    </row>
    <row r="8">
      <c r="A8" s="5" t="inlineStr">
        <is>
          <t>4. Tiga fixture, terkunci</t>
        </is>
      </c>
      <c r="B8" s="6" t="inlineStr">
        <is>
          <t>FIXTURE 1 (kolom L–O) hanya Gondola atau Endcap. FIXTURE 2 (kolom P–S) hanya Wall. FIXTURE 3 (kolom T–W) hanya Wall. Isi sesuai kebutuhan; ketiganya tidak wajib terisi.</t>
        </is>
      </c>
    </row>
    <row r="9">
      <c r="A9" s="5" t="inlineStr">
        <is>
          <t>5. Urutan zona</t>
        </is>
      </c>
      <c r="B9" s="6" t="inlineStr">
        <is>
          <t>SHELVING KE dihitung dari atas mulai 1, Gantungan ikut dihitung. Susunan tiap jenis fixture ada di sheet LAYOUT.</t>
        </is>
      </c>
    </row>
    <row r="10">
      <c r="A10" s="2" t="n"/>
      <c r="B10" s="2" t="n"/>
    </row>
    <row r="11">
      <c r="A11" s="3" t="inlineStr">
        <is>
          <t>LANGKAH 1 — DATA SKU (kolom A–K, template wajib internal)</t>
        </is>
      </c>
      <c r="B11" s="4" t="n"/>
    </row>
    <row r="12">
      <c r="A12" s="5" t="inlineStr">
        <is>
          <t>DEPT, COMM, CLASS</t>
        </is>
      </c>
      <c r="B12" s="6" t="inlineStr">
        <is>
          <t>Hirarki produk dari data master.</t>
        </is>
      </c>
    </row>
    <row r="13">
      <c r="A13" s="5" t="inlineStr">
        <is>
          <t>SKU *</t>
        </is>
      </c>
      <c r="B13" s="6" t="inlineStr">
        <is>
          <t>Kode artikel. Wajib. Dipakai juga untuk membentuk link gambar bila LINK IMAGE kosong.</t>
        </is>
      </c>
    </row>
    <row r="14">
      <c r="A14" s="5" t="inlineStr">
        <is>
          <t>SKU DESCRIPTION *</t>
        </is>
      </c>
      <c r="B14" s="6" t="inlineStr">
        <is>
          <t>Nama item. Wajib. Tampil di kartu produk.</t>
        </is>
      </c>
    </row>
    <row r="15">
      <c r="A15" s="5" t="inlineStr">
        <is>
          <t>STOCK</t>
        </is>
      </c>
      <c r="B15" s="6" t="inlineStr">
        <is>
          <t>Informasi stok (dari data master). Tidak memengaruhi gambar.</t>
        </is>
      </c>
    </row>
    <row r="16">
      <c r="A16" s="5" t="inlineStr">
        <is>
          <t>GRUP DISPLAY</t>
        </is>
      </c>
      <c r="B16" s="6" t="inlineStr">
        <is>
          <t>Contoh: MAKAN, MASAK. Tidak ditampilkan sebagai filter.</t>
        </is>
      </c>
    </row>
    <row r="17">
      <c r="A17" s="5" t="inlineStr">
        <is>
          <t>GRUP ADJACENCY *</t>
        </is>
      </c>
      <c r="B17" s="6" t="inlineStr">
        <is>
          <t>Contoh: A2. SERVINGWARE. Filter utama di dashboard.</t>
        </is>
      </c>
    </row>
    <row r="18">
      <c r="A18" s="5" t="inlineStr">
        <is>
          <t>SERIES *</t>
        </is>
      </c>
      <c r="B18" s="6" t="inlineStr">
        <is>
          <t>Contoh: SERVING SET MARBLE. Filter utama, dan menentukan fixture mana yang dipakai (satu series = satu set fixture). Wajib untuk SKU yang ditempatkan.</t>
        </is>
      </c>
    </row>
    <row r="19">
      <c r="A19" s="5" t="inlineStr">
        <is>
          <t>SUB SERIES, LINK IMAGE</t>
        </is>
      </c>
      <c r="B19" s="6" t="inlineStr">
        <is>
          <t>Opsional. LINK IMAGE kosong = otomatis https://cdn.ruparupa.io/fit-in/850x850/ruparupa-com/image/upload/Products/{SKU}_1.jpg.</t>
        </is>
      </c>
    </row>
    <row r="20">
      <c r="A20" s="2" t="n"/>
      <c r="B20" s="2" t="n"/>
    </row>
    <row r="21">
      <c r="A21" s="3" t="inlineStr">
        <is>
          <t>LANGKAH 2 — PENEMPATAN KE FIXTURE (3 blok, terkunci)</t>
        </is>
      </c>
      <c r="B21" s="4" t="n"/>
    </row>
    <row r="22">
      <c r="A22" s="5" t="inlineStr">
        <is>
          <t>JENIS FIXTURE n *</t>
        </is>
      </c>
      <c r="B22" s="6" t="inlineStr">
        <is>
          <t>Pilih dari dropdown. Blok 1 berisi pilihan Gondola dan Endcap, blok 2 dan 3 berisi pilihan Wall. Isi di setiap baris yang dipakai (salin ke bawah); harus sama untuk satu series di blok yang sama.</t>
        </is>
      </c>
    </row>
    <row r="23">
      <c r="A23" s="5" t="inlineStr">
        <is>
          <t>SHELVING KE n *</t>
        </is>
      </c>
      <c r="B23" s="6" t="inlineStr">
        <is>
          <t>Nomor zona dari atas, mulai 1 (Gantungan ikut dihitung). Lihat jumlah dan urutannya di sheet LAYOUT. Zona yang tidak diisi dianggap kosong.</t>
        </is>
      </c>
    </row>
    <row r="24">
      <c r="A24" s="5" t="inlineStr">
        <is>
          <t>TIPE ZONA n (otomatis)</t>
        </is>
      </c>
      <c r="B24" s="6" t="inlineStr">
        <is>
          <t>Menampilkan apakah nomor itu Shelving atau Gantungan. Jangan diisi atau dihapus.</t>
        </is>
      </c>
    </row>
    <row r="25">
      <c r="A25" s="5" t="inlineStr">
        <is>
          <t>STATUS n (otomatis)</t>
        </is>
      </c>
      <c r="B25" s="6" t="inlineStr">
        <is>
          <t>OK, atau CEK + penyebab. Kuning = Zona STOCK / Belum ditempatkan. Jangan diisi atau dihapus.</t>
        </is>
      </c>
    </row>
    <row r="26">
      <c r="A26" s="2" t="n"/>
      <c r="B26" s="2" t="n"/>
    </row>
    <row r="27">
      <c r="A27" s="3" t="inlineStr">
        <is>
          <t>ATURAN PENGISIAN</t>
        </is>
      </c>
      <c r="B27" s="4" t="n"/>
    </row>
    <row r="28">
      <c r="A28" s="5" t="inlineStr">
        <is>
          <t>Satu SKU di beberapa fixture</t>
        </is>
      </c>
      <c r="B28" s="6" t="inlineStr">
        <is>
          <t>Dalam satu baris, isi lebih dari satu blok. Contoh: Gondola shelving 2 (blok 1) dan Wall shelving 3 (blok 2).</t>
        </is>
      </c>
    </row>
    <row r="29">
      <c r="A29" s="5" t="inlineStr">
        <is>
          <t>SKU yang sama di series lain</t>
        </is>
      </c>
      <c r="B29" s="6" t="inlineStr">
        <is>
          <t>Tulis baris baru dengan SERIES lain. Sampel memakai SKU yang sama di tiga series dalam satu Grup Adjacency.</t>
        </is>
      </c>
    </row>
    <row r="30">
      <c r="A30" s="5" t="inlineStr">
        <is>
          <t>SKU lebih dari satu kali dalam blok yang sama</t>
        </is>
      </c>
      <c r="B30" s="6" t="inlineStr">
        <is>
          <t>Tulis baris baru (misalnya SKU yang sama di dua shelving berbeda dalam satu Gondola).</t>
        </is>
      </c>
    </row>
    <row r="31">
      <c r="A31" s="5" t="inlineStr">
        <is>
          <t>Baris tanpa SKU</t>
        </is>
      </c>
      <c r="B31" s="6" t="inlineStr">
        <is>
          <t>Boleh dipakai hanya untuk menandai zona (isi SERIES, JENIS FIXTURE, SHELVING KE). Zona tanpa SKU menjadi STOCK atau Display Produk.</t>
        </is>
      </c>
    </row>
    <row r="32">
      <c r="A32" s="5" t="inlineStr">
        <is>
          <t>Zona kosong</t>
        </is>
      </c>
      <c r="B32" s="6" t="inlineStr">
        <is>
          <t>Gondola dan Endcap: shelving 1 kosong = Display Produk (gambar 3D), shelving lain kosong = STOCK. Wall: shelving 2, 3, 4 kosong = Display Produk; shelving 1, 5, 6 kosong = STOCK.</t>
        </is>
      </c>
    </row>
    <row r="33">
      <c r="A33" s="5" t="inlineStr">
        <is>
          <t>Baris tanpa penempatan</t>
        </is>
      </c>
      <c r="B33" s="6" t="inlineStr">
        <is>
          <t>SKU master saja: ikut filter, belum tampil di fixture mana pun.</t>
        </is>
      </c>
    </row>
    <row r="34">
      <c r="A34" s="2" t="n"/>
      <c r="B34" s="2" t="n"/>
    </row>
    <row r="35">
      <c r="A35" s="3" t="inlineStr">
        <is>
          <t>SHEET LAIN</t>
        </is>
      </c>
      <c r="B35" s="4" t="n"/>
    </row>
    <row r="36">
      <c r="A36" s="5" t="inlineStr">
        <is>
          <t>LAYOUT</t>
        </is>
      </c>
      <c r="B36" s="6" t="inlineStr">
        <is>
          <t>Referensi susunan zona tiap jenis fixture. Jangan diubah.</t>
        </is>
      </c>
    </row>
    <row r="37">
      <c r="A37" s="5" t="inlineStr">
        <is>
          <t>DIMENSI (opsional)</t>
        </is>
      </c>
      <c r="B37" s="6" t="inlineStr">
        <is>
          <t>Ukuran kemasan untuk Activation Packaging. Hanya berlaku untuk Pallet, yang belum ada di format ini.</t>
        </is>
      </c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>
      <c r="A70" s="2" t="n"/>
      <c r="B70" s="2" t="n"/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zoomScale="10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34" customWidth="1" min="12" max="12"/>
    <col width="11" customWidth="1" min="13" max="13"/>
    <col width="12" customWidth="1" min="14" max="14"/>
    <col width="26" customWidth="1" min="15" max="15"/>
    <col width="34" customWidth="1" min="16" max="16"/>
    <col width="11" customWidth="1" min="17" max="17"/>
    <col width="12" customWidth="1" min="18" max="18"/>
    <col width="26" customWidth="1" min="19" max="19"/>
    <col width="34" customWidth="1" min="20" max="20"/>
    <col width="11" customWidth="1" min="21" max="21"/>
    <col width="12" customWidth="1" min="22" max="22"/>
    <col width="26" customWidth="1" min="23" max="23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JENIS FIXTURE 1 (Gondola/Endcap)</t>
        </is>
      </c>
      <c r="M1" s="8" t="inlineStr">
        <is>
          <t>SHELVING KE 1</t>
        </is>
      </c>
      <c r="N1" s="8" t="inlineStr">
        <is>
          <t>TIPE ZONA 1 (otomatis)</t>
        </is>
      </c>
      <c r="O1" s="8" t="inlineStr">
        <is>
          <t>STATUS 1 (otomatis)</t>
        </is>
      </c>
      <c r="P1" s="8" t="inlineStr">
        <is>
          <t>JENIS FIXTURE 2 (Wall)</t>
        </is>
      </c>
      <c r="Q1" s="8" t="inlineStr">
        <is>
          <t>SHELVING KE 2</t>
        </is>
      </c>
      <c r="R1" s="8" t="inlineStr">
        <is>
          <t>TIPE ZONA 2 (otomatis)</t>
        </is>
      </c>
      <c r="S1" s="8" t="inlineStr">
        <is>
          <t>STATUS 2 (otomatis)</t>
        </is>
      </c>
      <c r="T1" s="8" t="inlineStr">
        <is>
          <t>JENIS FIXTURE 3 (Wall)</t>
        </is>
      </c>
      <c r="U1" s="8" t="inlineStr">
        <is>
          <t>SHELVING KE 3</t>
        </is>
      </c>
      <c r="V1" s="8" t="inlineStr">
        <is>
          <t>TIPE ZONA 3 (otomatis)</t>
        </is>
      </c>
      <c r="W1" s="8" t="inlineStr">
        <is>
          <t>STATUS 3 (otomatis)</t>
        </is>
      </c>
      <c r="X1" s="8" t="n"/>
      <c r="Y1" s="8" t="n"/>
      <c r="Z1" s="9" t="n"/>
      <c r="AA1" s="9" t="n"/>
      <c r="AB1" s="8" t="n"/>
      <c r="AC1" s="8" t="n"/>
      <c r="AD1" s="8" t="n"/>
      <c r="AE1" s="8" t="n"/>
      <c r="AF1" s="8" t="n"/>
      <c r="AG1" s="8" t="n"/>
      <c r="AH1" s="9" t="n"/>
      <c r="AI1" s="9" t="n"/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Serving Set</t>
        </is>
      </c>
      <c r="D2" s="10" t="inlineStr">
        <is>
          <t>10470029</t>
        </is>
      </c>
      <c r="E2" s="10" t="inlineStr">
        <is>
          <t>SERVING SET W/RACK OCTAGON MARBLE (4)</t>
        </is>
      </c>
      <c r="F2" s="10" t="n"/>
      <c r="G2" s="10" t="inlineStr">
        <is>
          <t>MAKAN</t>
        </is>
      </c>
      <c r="H2" s="10" t="inlineStr">
        <is>
          <t>A2. SERVINGWARE</t>
        </is>
      </c>
      <c r="I2" s="10" t="inlineStr">
        <is>
          <t>SERVING SET MARBLE</t>
        </is>
      </c>
      <c r="J2" s="10" t="n"/>
      <c r="K2" s="10" t="n"/>
      <c r="L2" s="11" t="inlineStr">
        <is>
          <t>Gondola 4 Shelving</t>
        </is>
      </c>
      <c r="M2" s="11" t="n">
        <v>1</v>
      </c>
      <c r="N2" s="11">
        <f>IF(OR(L2="",M2=""),"",IFERROR(INDEX(LAYOUT!$D$2:$D$80,MATCH(L2&amp;"|"&amp;M2,LAYOUT!$E$2:$E$80,0)),""))</f>
        <v/>
      </c>
      <c r="O2" s="12">
        <f>IF(AND(L2="",M2=""),IF(AND(P2="",Q2="",T2="",U2=""),IF(OR($D2&lt;&gt;"",$E2&lt;&gt;""),"Belum ditempatkan",""),""),IF(L2="","CEK JENIS FIXTURE kosong",IF(AND(LEFT(L2,7)&lt;&gt;"Gondola",LEFT(L2,6)&lt;&gt;"Endcap"),"CEK Fixture 1 hanya Gondola atau Endcap",IF(M2="","CEK SHELVING KE kosong",IF(ISNA(MATCH(L2&amp;"|"&amp;M2,LAYOUT!$E$2:$E$80,0)),"CEK SHELVING KE di luar layout",IF($I2="","CEK SERIES kosong",IF($D2="","Zona STOCK",IF($E2="","CEK SKU DESCRIPTION kosong",IF(COUNTIFS($I$2:$I$500,$I2,L$2:L$500,"&lt;&gt;"&amp;L2,L$2:L$500,"&lt;&gt;")&gt;0,"CEK jenis fixture beda dalam satu series","OK")))))))))</f>
        <v/>
      </c>
      <c r="P2" s="11" t="inlineStr">
        <is>
          <t>Wall 6 Shelving</t>
        </is>
      </c>
      <c r="Q2" s="11" t="n">
        <v>2</v>
      </c>
      <c r="R2" s="11">
        <f>IF(OR(P2="",Q2=""),"",IFERROR(INDEX(LAYOUT!$D$2:$D$80,MATCH(P2&amp;"|"&amp;Q2,LAYOUT!$E$2:$E$80,0)),""))</f>
        <v/>
      </c>
      <c r="S2" s="12">
        <f>IF(AND(P2="",Q2=""),IF(AND(L2="",M2="",T2="",U2=""),IF(OR($D2&lt;&gt;"",$E2&lt;&gt;""),"Belum ditempatkan",""),""),IF(P2="","CEK JENIS FIXTURE kosong",IF(LEFT(P2,4)&lt;&gt;"Wall","CEK Fixture 2 hanya Wall",IF(Q2="","CEK SHELVING KE kosong",IF(ISNA(MATCH(P2&amp;"|"&amp;Q2,LAYOUT!$E$2:$E$80,0)),"CEK SHELVING KE di luar layout",IF($I2="","CEK SERIES kosong",IF($D2="","Zona STOCK",IF($E2="","CEK SKU DESCRIPTION kosong",IF(COUNTIFS($I$2:$I$500,$I2,P$2:P$500,"&lt;&gt;"&amp;P2,P$2:P$500,"&lt;&gt;")&gt;0,"CEK jenis fixture beda dalam satu series","OK")))))))))</f>
        <v/>
      </c>
      <c r="T2" s="11" t="n"/>
      <c r="U2" s="11" t="n"/>
      <c r="V2" s="11">
        <f>IF(OR(T2="",U2=""),"",IFERROR(INDEX(LAYOUT!$D$2:$D$80,MATCH(T2&amp;"|"&amp;U2,LAYOUT!$E$2:$E$80,0)),""))</f>
        <v/>
      </c>
      <c r="W2" s="12">
        <f>IF(AND(T2="",U2=""),IF(AND(L2="",M2="",P2="",Q2=""),IF(OR($D2&lt;&gt;"",$E2&lt;&gt;""),"Belum ditempatkan",""),""),IF(T2="","CEK JENIS FIXTURE kosong",IF(LEFT(T2,4)&lt;&gt;"Wall","CEK Fixture 3 hanya Wall",IF(U2="","CEK SHELVING KE kosong",IF(ISNA(MATCH(T2&amp;"|"&amp;U2,LAYOUT!$E$2:$E$80,0)),"CEK SHELVING KE di luar layout",IF($I2="","CEK SERIES kosong",IF($D2="","Zona STOCK",IF($E2="","CEK SKU DESCRIPTION kosong",IF(COUNTIFS($I$2:$I$500,$I2,T$2:T$500,"&lt;&gt;"&amp;T2,T$2:T$500,"&lt;&gt;")&gt;0,"CEK jenis fixture beda dalam satu series","OK")))))))))</f>
        <v/>
      </c>
      <c r="X2" s="11" t="n"/>
      <c r="Y2" s="11" t="n"/>
      <c r="Z2" s="12" t="n"/>
      <c r="AA2" s="12" t="n"/>
      <c r="AB2" s="11" t="n"/>
      <c r="AC2" s="11" t="n"/>
      <c r="AD2" s="11" t="n"/>
      <c r="AE2" s="11" t="n"/>
      <c r="AF2" s="11" t="n"/>
      <c r="AG2" s="11" t="n"/>
      <c r="AH2" s="12" t="n"/>
      <c r="AI2" s="12" t="n"/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10470030</t>
        </is>
      </c>
      <c r="E3" s="10" t="inlineStr">
        <is>
          <t>SERVING SET RND DETACHABLE MARBLE (2)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SERVING SET MARBLE</t>
        </is>
      </c>
      <c r="J3" s="10" t="n"/>
      <c r="K3" s="10" t="n"/>
      <c r="L3" s="11" t="inlineStr">
        <is>
          <t>Gondola 4 Shelving</t>
        </is>
      </c>
      <c r="M3" s="11" t="n">
        <v>1</v>
      </c>
      <c r="N3" s="11">
        <f>IF(OR(L3="",M3=""),"",IFERROR(INDEX(LAYOUT!$D$2:$D$80,MATCH(L3&amp;"|"&amp;M3,LAYOUT!$E$2:$E$80,0)),""))</f>
        <v/>
      </c>
      <c r="O3" s="12">
        <f>IF(AND(L3="",M3=""),IF(AND(P3="",Q3="",T3="",U3=""),IF(OR($D3&lt;&gt;"",$E3&lt;&gt;""),"Belum ditempatkan",""),""),IF(L3="","CEK JENIS FIXTURE kosong",IF(AND(LEFT(L3,7)&lt;&gt;"Gondola",LEFT(L3,6)&lt;&gt;"Endcap"),"CEK Fixture 1 hanya Gondola atau Endcap",IF(M3="","CEK SHELVING KE kosong",IF(ISNA(MATCH(L3&amp;"|"&amp;M3,LAYOUT!$E$2:$E$80,0)),"CEK SHELVING KE di luar layout",IF($I3="","CEK SERIES kosong",IF($D3="","Zona STOCK",IF($E3="","CEK SKU DESCRIPTION kosong",IF(COUNTIFS($I$2:$I$500,$I3,L$2:L$500,"&lt;&gt;"&amp;L3,L$2:L$500,"&lt;&gt;")&gt;0,"CEK jenis fixture beda dalam satu series","OK")))))))))</f>
        <v/>
      </c>
      <c r="P3" s="11" t="inlineStr">
        <is>
          <t>Wall 6 Shelving</t>
        </is>
      </c>
      <c r="Q3" s="11" t="n">
        <v>2</v>
      </c>
      <c r="R3" s="11">
        <f>IF(OR(P3="",Q3=""),"",IFERROR(INDEX(LAYOUT!$D$2:$D$80,MATCH(P3&amp;"|"&amp;Q3,LAYOUT!$E$2:$E$80,0)),""))</f>
        <v/>
      </c>
      <c r="S3" s="12">
        <f>IF(AND(P3="",Q3=""),IF(AND(L3="",M3="",T3="",U3=""),IF(OR($D3&lt;&gt;"",$E3&lt;&gt;""),"Belum ditempatkan",""),""),IF(P3="","CEK JENIS FIXTURE kosong",IF(LEFT(P3,4)&lt;&gt;"Wall","CEK Fixture 2 hanya Wall",IF(Q3="","CEK SHELVING KE kosong",IF(ISNA(MATCH(P3&amp;"|"&amp;Q3,LAYOUT!$E$2:$E$80,0)),"CEK SHELVING KE di luar layout",IF($I3="","CEK SERIES kosong",IF($D3="","Zona STOCK",IF($E3="","CEK SKU DESCRIPTION kosong",IF(COUNTIFS($I$2:$I$500,$I3,P$2:P$500,"&lt;&gt;"&amp;P3,P$2:P$500,"&lt;&gt;")&gt;0,"CEK jenis fixture beda dalam satu series","OK")))))))))</f>
        <v/>
      </c>
      <c r="T3" s="11" t="n"/>
      <c r="U3" s="11" t="n"/>
      <c r="V3" s="11">
        <f>IF(OR(T3="",U3=""),"",IFERROR(INDEX(LAYOUT!$D$2:$D$80,MATCH(T3&amp;"|"&amp;U3,LAYOUT!$E$2:$E$80,0)),""))</f>
        <v/>
      </c>
      <c r="W3" s="12">
        <f>IF(AND(T3="",U3=""),IF(AND(L3="",M3="",P3="",Q3=""),IF(OR($D3&lt;&gt;"",$E3&lt;&gt;""),"Belum ditempatkan",""),""),IF(T3="","CEK JENIS FIXTURE kosong",IF(LEFT(T3,4)&lt;&gt;"Wall","CEK Fixture 3 hanya Wall",IF(U3="","CEK SHELVING KE kosong",IF(ISNA(MATCH(T3&amp;"|"&amp;U3,LAYOUT!$E$2:$E$80,0)),"CEK SHELVING KE di luar layout",IF($I3="","CEK SERIES kosong",IF($D3="","Zona STOCK",IF($E3="","CEK SKU DESCRIPTION kosong",IF(COUNTIFS($I$2:$I$500,$I3,T$2:T$500,"&lt;&gt;"&amp;T3,T$2:T$500,"&lt;&gt;")&gt;0,"CEK jenis fixture beda dalam satu series","OK")))))))))</f>
        <v/>
      </c>
      <c r="X3" s="11" t="n"/>
      <c r="Y3" s="11" t="n"/>
      <c r="Z3" s="12" t="n"/>
      <c r="AA3" s="12" t="n"/>
      <c r="AB3" s="11" t="n"/>
      <c r="AC3" s="11" t="n"/>
      <c r="AD3" s="11" t="n"/>
      <c r="AE3" s="11" t="n"/>
      <c r="AF3" s="11" t="n"/>
      <c r="AG3" s="11" t="n"/>
      <c r="AH3" s="12" t="n"/>
      <c r="AI3" s="12" t="n"/>
    </row>
    <row r="4">
      <c r="A4" s="10" t="inlineStr">
        <is>
          <t>Homeware</t>
        </is>
      </c>
      <c r="B4" s="10" t="inlineStr">
        <is>
          <t>Tableware</t>
        </is>
      </c>
      <c r="C4" s="10" t="inlineStr">
        <is>
          <t>Serving Set</t>
        </is>
      </c>
      <c r="D4" s="10" t="inlineStr">
        <is>
          <t>10681571</t>
        </is>
      </c>
      <c r="E4" s="10" t="inlineStr">
        <is>
          <t>SERVING GLASS SQR PLATER ZEVY GOLD</t>
        </is>
      </c>
      <c r="F4" s="10" t="n"/>
      <c r="G4" s="10" t="inlineStr">
        <is>
          <t>MAKAN</t>
        </is>
      </c>
      <c r="H4" s="10" t="inlineStr">
        <is>
          <t>A2. SERVINGWARE</t>
        </is>
      </c>
      <c r="I4" s="10" t="inlineStr">
        <is>
          <t>W/GOLD RACK GLASS</t>
        </is>
      </c>
      <c r="J4" s="10" t="n"/>
      <c r="K4" s="10" t="n"/>
      <c r="L4" s="11" t="inlineStr">
        <is>
          <t>Endcap 3 Shelving</t>
        </is>
      </c>
      <c r="M4" s="11" t="n">
        <v>1</v>
      </c>
      <c r="N4" s="11">
        <f>IF(OR(L4="",M4=""),"",IFERROR(INDEX(LAYOUT!$D$2:$D$80,MATCH(L4&amp;"|"&amp;M4,LAYOUT!$E$2:$E$80,0)),""))</f>
        <v/>
      </c>
      <c r="O4" s="12">
        <f>IF(AND(L4="",M4=""),IF(AND(P4="",Q4="",T4="",U4=""),IF(OR($D4&lt;&gt;"",$E4&lt;&gt;""),"Belum ditempatkan",""),""),IF(L4="","CEK JENIS FIXTURE kosong",IF(AND(LEFT(L4,7)&lt;&gt;"Gondola",LEFT(L4,6)&lt;&gt;"Endcap"),"CEK Fixture 1 hanya Gondola atau Endcap",IF(M4="","CEK SHELVING KE kosong",IF(ISNA(MATCH(L4&amp;"|"&amp;M4,LAYOUT!$E$2:$E$80,0)),"CEK SHELVING KE di luar layout",IF($I4="","CEK SERIES kosong",IF($D4="","Zona STOCK",IF($E4="","CEK SKU DESCRIPTION kosong",IF(COUNTIFS($I$2:$I$500,$I4,L$2:L$500,"&lt;&gt;"&amp;L4,L$2:L$500,"&lt;&gt;")&gt;0,"CEK jenis fixture beda dalam satu series","OK")))))))))</f>
        <v/>
      </c>
      <c r="P4" s="11" t="n"/>
      <c r="Q4" s="11" t="n"/>
      <c r="R4" s="11">
        <f>IF(OR(P4="",Q4=""),"",IFERROR(INDEX(LAYOUT!$D$2:$D$80,MATCH(P4&amp;"|"&amp;Q4,LAYOUT!$E$2:$E$80,0)),""))</f>
        <v/>
      </c>
      <c r="S4" s="12">
        <f>IF(AND(P4="",Q4=""),IF(AND(L4="",M4="",T4="",U4=""),IF(OR($D4&lt;&gt;"",$E4&lt;&gt;""),"Belum ditempatkan",""),""),IF(P4="","CEK JENIS FIXTURE kosong",IF(LEFT(P4,4)&lt;&gt;"Wall","CEK Fixture 2 hanya Wall",IF(Q4="","CEK SHELVING KE kosong",IF(ISNA(MATCH(P4&amp;"|"&amp;Q4,LAYOUT!$E$2:$E$80,0)),"CEK SHELVING KE di luar layout",IF($I4="","CEK SERIES kosong",IF($D4="","Zona STOCK",IF($E4="","CEK SKU DESCRIPTION kosong",IF(COUNTIFS($I$2:$I$500,$I4,P$2:P$500,"&lt;&gt;"&amp;P4,P$2:P$500,"&lt;&gt;")&gt;0,"CEK jenis fixture beda dalam satu series","OK")))))))))</f>
        <v/>
      </c>
      <c r="T4" s="11" t="n"/>
      <c r="U4" s="11" t="n"/>
      <c r="V4" s="11">
        <f>IF(OR(T4="",U4=""),"",IFERROR(INDEX(LAYOUT!$D$2:$D$80,MATCH(T4&amp;"|"&amp;U4,LAYOUT!$E$2:$E$80,0)),""))</f>
        <v/>
      </c>
      <c r="W4" s="12">
        <f>IF(AND(T4="",U4=""),IF(AND(L4="",M4="",P4="",Q4=""),IF(OR($D4&lt;&gt;"",$E4&lt;&gt;""),"Belum ditempatkan",""),""),IF(T4="","CEK JENIS FIXTURE kosong",IF(LEFT(T4,4)&lt;&gt;"Wall","CEK Fixture 3 hanya Wall",IF(U4="","CEK SHELVING KE kosong",IF(ISNA(MATCH(T4&amp;"|"&amp;U4,LAYOUT!$E$2:$E$80,0)),"CEK SHELVING KE di luar layout",IF($I4="","CEK SERIES kosong",IF($D4="","Zona STOCK",IF($E4="","CEK SKU DESCRIPTION kosong",IF(COUNTIFS($I$2:$I$500,$I4,T$2:T$500,"&lt;&gt;"&amp;T4,T$2:T$500,"&lt;&gt;")&gt;0,"CEK jenis fixture beda dalam satu series","OK")))))))))</f>
        <v/>
      </c>
      <c r="X4" s="11" t="n"/>
      <c r="Y4" s="11" t="n"/>
      <c r="Z4" s="12" t="n"/>
      <c r="AA4" s="12" t="n"/>
      <c r="AB4" s="11" t="n"/>
      <c r="AC4" s="11" t="n"/>
      <c r="AD4" s="11" t="n"/>
      <c r="AE4" s="11" t="n"/>
      <c r="AF4" s="11" t="n"/>
      <c r="AG4" s="11" t="n"/>
      <c r="AH4" s="12" t="n"/>
      <c r="AI4" s="12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>
        <f>IF(OR(L5="",M5=""),"",IFERROR(INDEX(LAYOUT!$D$2:$D$80,MATCH(L5&amp;"|"&amp;M5,LAYOUT!$E$2:$E$80,0)),""))</f>
        <v/>
      </c>
      <c r="O5" s="12">
        <f>IF(AND(L5="",M5=""),IF(AND(P5="",Q5="",T5="",U5=""),IF(OR($D5&lt;&gt;"",$E5&lt;&gt;""),"Belum ditempatkan",""),""),IF(L5="","CEK JENIS FIXTURE kosong",IF(AND(LEFT(L5,7)&lt;&gt;"Gondola",LEFT(L5,6)&lt;&gt;"Endcap"),"CEK Fixture 1 hanya Gondola atau Endcap",IF(M5="","CEK SHELVING KE kosong",IF(ISNA(MATCH(L5&amp;"|"&amp;M5,LAYOUT!$E$2:$E$80,0)),"CEK SHELVING KE di luar layout",IF($I5="","CEK SERIES kosong",IF($D5="","Zona STOCK",IF($E5="","CEK SKU DESCRIPTION kosong",IF(COUNTIFS($I$2:$I$500,$I5,L$2:L$500,"&lt;&gt;"&amp;L5,L$2:L$500,"&lt;&gt;")&gt;0,"CEK jenis fixture beda dalam satu series","OK")))))))))</f>
        <v/>
      </c>
      <c r="P5" s="11" t="n"/>
      <c r="Q5" s="11" t="n"/>
      <c r="R5" s="11">
        <f>IF(OR(P5="",Q5=""),"",IFERROR(INDEX(LAYOUT!$D$2:$D$80,MATCH(P5&amp;"|"&amp;Q5,LAYOUT!$E$2:$E$80,0)),""))</f>
        <v/>
      </c>
      <c r="S5" s="12">
        <f>IF(AND(P5="",Q5=""),IF(AND(L5="",M5="",T5="",U5=""),IF(OR($D5&lt;&gt;"",$E5&lt;&gt;""),"Belum ditempatkan",""),""),IF(P5="","CEK JENIS FIXTURE kosong",IF(LEFT(P5,4)&lt;&gt;"Wall","CEK Fixture 2 hanya Wall",IF(Q5="","CEK SHELVING KE kosong",IF(ISNA(MATCH(P5&amp;"|"&amp;Q5,LAYOUT!$E$2:$E$80,0)),"CEK SHELVING KE di luar layout",IF($I5="","CEK SERIES kosong",IF($D5="","Zona STOCK",IF($E5="","CEK SKU DESCRIPTION kosong",IF(COUNTIFS($I$2:$I$500,$I5,P$2:P$500,"&lt;&gt;"&amp;P5,P$2:P$500,"&lt;&gt;")&gt;0,"CEK jenis fixture beda dalam satu series","OK")))))))))</f>
        <v/>
      </c>
      <c r="T5" s="11" t="n"/>
      <c r="U5" s="11" t="n"/>
      <c r="V5" s="11">
        <f>IF(OR(T5="",U5=""),"",IFERROR(INDEX(LAYOUT!$D$2:$D$80,MATCH(T5&amp;"|"&amp;U5,LAYOUT!$E$2:$E$80,0)),""))</f>
        <v/>
      </c>
      <c r="W5" s="12">
        <f>IF(AND(T5="",U5=""),IF(AND(L5="",M5="",P5="",Q5=""),IF(OR($D5&lt;&gt;"",$E5&lt;&gt;""),"Belum ditempatkan",""),""),IF(T5="","CEK JENIS FIXTURE kosong",IF(LEFT(T5,4)&lt;&gt;"Wall","CEK Fixture 3 hanya Wall",IF(U5="","CEK SHELVING KE kosong",IF(ISNA(MATCH(T5&amp;"|"&amp;U5,LAYOUT!$E$2:$E$80,0)),"CEK SHELVING KE di luar layout",IF($I5="","CEK SERIES kosong",IF($D5="","Zona STOCK",IF($E5="","CEK SKU DESCRIPTION kosong",IF(COUNTIFS($I$2:$I$500,$I5,T$2:T$500,"&lt;&gt;"&amp;T5,T$2:T$500,"&lt;&gt;")&gt;0,"CEK jenis fixture beda dalam satu series","OK")))))))))</f>
        <v/>
      </c>
      <c r="X5" s="11" t="n"/>
      <c r="Y5" s="11" t="n"/>
      <c r="Z5" s="12" t="n"/>
      <c r="AA5" s="12" t="n"/>
      <c r="AB5" s="11" t="n"/>
      <c r="AC5" s="11" t="n"/>
      <c r="AD5" s="11" t="n"/>
      <c r="AE5" s="11" t="n"/>
      <c r="AF5" s="11" t="n"/>
      <c r="AG5" s="11" t="n"/>
      <c r="AH5" s="12" t="n"/>
      <c r="AI5" s="12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>
        <f>IF(OR(L6="",M6=""),"",IFERROR(INDEX(LAYOUT!$D$2:$D$80,MATCH(L6&amp;"|"&amp;M6,LAYOUT!$E$2:$E$80,0)),""))</f>
        <v/>
      </c>
      <c r="O6" s="12">
        <f>IF(AND(L6="",M6=""),IF(AND(P6="",Q6="",T6="",U6=""),IF(OR($D6&lt;&gt;"",$E6&lt;&gt;""),"Belum ditempatkan",""),""),IF(L6="","CEK JENIS FIXTURE kosong",IF(AND(LEFT(L6,7)&lt;&gt;"Gondola",LEFT(L6,6)&lt;&gt;"Endcap"),"CEK Fixture 1 hanya Gondola atau Endcap",IF(M6="","CEK SHELVING KE kosong",IF(ISNA(MATCH(L6&amp;"|"&amp;M6,LAYOUT!$E$2:$E$80,0)),"CEK SHELVING KE di luar layout",IF($I6="","CEK SERIES kosong",IF($D6="","Zona STOCK",IF($E6="","CEK SKU DESCRIPTION kosong",IF(COUNTIFS($I$2:$I$500,$I6,L$2:L$500,"&lt;&gt;"&amp;L6,L$2:L$500,"&lt;&gt;")&gt;0,"CEK jenis fixture beda dalam satu series","OK")))))))))</f>
        <v/>
      </c>
      <c r="P6" s="11" t="n"/>
      <c r="Q6" s="11" t="n"/>
      <c r="R6" s="11">
        <f>IF(OR(P6="",Q6=""),"",IFERROR(INDEX(LAYOUT!$D$2:$D$80,MATCH(P6&amp;"|"&amp;Q6,LAYOUT!$E$2:$E$80,0)),""))</f>
        <v/>
      </c>
      <c r="S6" s="12">
        <f>IF(AND(P6="",Q6=""),IF(AND(L6="",M6="",T6="",U6=""),IF(OR($D6&lt;&gt;"",$E6&lt;&gt;""),"Belum ditempatkan",""),""),IF(P6="","CEK JENIS FIXTURE kosong",IF(LEFT(P6,4)&lt;&gt;"Wall","CEK Fixture 2 hanya Wall",IF(Q6="","CEK SHELVING KE kosong",IF(ISNA(MATCH(P6&amp;"|"&amp;Q6,LAYOUT!$E$2:$E$80,0)),"CEK SHELVING KE di luar layout",IF($I6="","CEK SERIES kosong",IF($D6="","Zona STOCK",IF($E6="","CEK SKU DESCRIPTION kosong",IF(COUNTIFS($I$2:$I$500,$I6,P$2:P$500,"&lt;&gt;"&amp;P6,P$2:P$500,"&lt;&gt;")&gt;0,"CEK jenis fixture beda dalam satu series","OK")))))))))</f>
        <v/>
      </c>
      <c r="T6" s="11" t="n"/>
      <c r="U6" s="11" t="n"/>
      <c r="V6" s="11">
        <f>IF(OR(T6="",U6=""),"",IFERROR(INDEX(LAYOUT!$D$2:$D$80,MATCH(T6&amp;"|"&amp;U6,LAYOUT!$E$2:$E$80,0)),""))</f>
        <v/>
      </c>
      <c r="W6" s="12">
        <f>IF(AND(T6="",U6=""),IF(AND(L6="",M6="",P6="",Q6=""),IF(OR($D6&lt;&gt;"",$E6&lt;&gt;""),"Belum ditempatkan",""),""),IF(T6="","CEK JENIS FIXTURE kosong",IF(LEFT(T6,4)&lt;&gt;"Wall","CEK Fixture 3 hanya Wall",IF(U6="","CEK SHELVING KE kosong",IF(ISNA(MATCH(T6&amp;"|"&amp;U6,LAYOUT!$E$2:$E$80,0)),"CEK SHELVING KE di luar layout",IF($I6="","CEK SERIES kosong",IF($D6="","Zona STOCK",IF($E6="","CEK SKU DESCRIPTION kosong",IF(COUNTIFS($I$2:$I$500,$I6,T$2:T$500,"&lt;&gt;"&amp;T6,T$2:T$500,"&lt;&gt;")&gt;0,"CEK jenis fixture beda dalam satu series","OK")))))))))</f>
        <v/>
      </c>
      <c r="X6" s="11" t="n"/>
      <c r="Y6" s="11" t="n"/>
      <c r="Z6" s="12" t="n"/>
      <c r="AA6" s="12" t="n"/>
      <c r="AB6" s="11" t="n"/>
      <c r="AC6" s="11" t="n"/>
      <c r="AD6" s="11" t="n"/>
      <c r="AE6" s="11" t="n"/>
      <c r="AF6" s="11" t="n"/>
      <c r="AG6" s="11" t="n"/>
      <c r="AH6" s="12" t="n"/>
      <c r="AI6" s="12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>
        <f>IF(OR(L7="",M7=""),"",IFERROR(INDEX(LAYOUT!$D$2:$D$80,MATCH(L7&amp;"|"&amp;M7,LAYOUT!$E$2:$E$80,0)),""))</f>
        <v/>
      </c>
      <c r="O7" s="12">
        <f>IF(AND(L7="",M7=""),IF(AND(P7="",Q7="",T7="",U7=""),IF(OR($D7&lt;&gt;"",$E7&lt;&gt;""),"Belum ditempatkan",""),""),IF(L7="","CEK JENIS FIXTURE kosong",IF(AND(LEFT(L7,7)&lt;&gt;"Gondola",LEFT(L7,6)&lt;&gt;"Endcap"),"CEK Fixture 1 hanya Gondola atau Endcap",IF(M7="","CEK SHELVING KE kosong",IF(ISNA(MATCH(L7&amp;"|"&amp;M7,LAYOUT!$E$2:$E$80,0)),"CEK SHELVING KE di luar layout",IF($I7="","CEK SERIES kosong",IF($D7="","Zona STOCK",IF($E7="","CEK SKU DESCRIPTION kosong",IF(COUNTIFS($I$2:$I$500,$I7,L$2:L$500,"&lt;&gt;"&amp;L7,L$2:L$500,"&lt;&gt;")&gt;0,"CEK jenis fixture beda dalam satu series","OK")))))))))</f>
        <v/>
      </c>
      <c r="P7" s="11" t="n"/>
      <c r="Q7" s="11" t="n"/>
      <c r="R7" s="11">
        <f>IF(OR(P7="",Q7=""),"",IFERROR(INDEX(LAYOUT!$D$2:$D$80,MATCH(P7&amp;"|"&amp;Q7,LAYOUT!$E$2:$E$80,0)),""))</f>
        <v/>
      </c>
      <c r="S7" s="12">
        <f>IF(AND(P7="",Q7=""),IF(AND(L7="",M7="",T7="",U7=""),IF(OR($D7&lt;&gt;"",$E7&lt;&gt;""),"Belum ditempatkan",""),""),IF(P7="","CEK JENIS FIXTURE kosong",IF(LEFT(P7,4)&lt;&gt;"Wall","CEK Fixture 2 hanya Wall",IF(Q7="","CEK SHELVING KE kosong",IF(ISNA(MATCH(P7&amp;"|"&amp;Q7,LAYOUT!$E$2:$E$80,0)),"CEK SHELVING KE di luar layout",IF($I7="","CEK SERIES kosong",IF($D7="","Zona STOCK",IF($E7="","CEK SKU DESCRIPTION kosong",IF(COUNTIFS($I$2:$I$500,$I7,P$2:P$500,"&lt;&gt;"&amp;P7,P$2:P$500,"&lt;&gt;")&gt;0,"CEK jenis fixture beda dalam satu series","OK")))))))))</f>
        <v/>
      </c>
      <c r="T7" s="11" t="n"/>
      <c r="U7" s="11" t="n"/>
      <c r="V7" s="11">
        <f>IF(OR(T7="",U7=""),"",IFERROR(INDEX(LAYOUT!$D$2:$D$80,MATCH(T7&amp;"|"&amp;U7,LAYOUT!$E$2:$E$80,0)),""))</f>
        <v/>
      </c>
      <c r="W7" s="12">
        <f>IF(AND(T7="",U7=""),IF(AND(L7="",M7="",P7="",Q7=""),IF(OR($D7&lt;&gt;"",$E7&lt;&gt;""),"Belum ditempatkan",""),""),IF(T7="","CEK JENIS FIXTURE kosong",IF(LEFT(T7,4)&lt;&gt;"Wall","CEK Fixture 3 hanya Wall",IF(U7="","CEK SHELVING KE kosong",IF(ISNA(MATCH(T7&amp;"|"&amp;U7,LAYOUT!$E$2:$E$80,0)),"CEK SHELVING KE di luar layout",IF($I7="","CEK SERIES kosong",IF($D7="","Zona STOCK",IF($E7="","CEK SKU DESCRIPTION kosong",IF(COUNTIFS($I$2:$I$500,$I7,T$2:T$500,"&lt;&gt;"&amp;T7,T$2:T$500,"&lt;&gt;")&gt;0,"CEK jenis fixture beda dalam satu series","OK")))))))))</f>
        <v/>
      </c>
      <c r="X7" s="11" t="n"/>
      <c r="Y7" s="11" t="n"/>
      <c r="Z7" s="12" t="n"/>
      <c r="AA7" s="12" t="n"/>
      <c r="AB7" s="11" t="n"/>
      <c r="AC7" s="11" t="n"/>
      <c r="AD7" s="11" t="n"/>
      <c r="AE7" s="11" t="n"/>
      <c r="AF7" s="11" t="n"/>
      <c r="AG7" s="11" t="n"/>
      <c r="AH7" s="12" t="n"/>
      <c r="AI7" s="12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>
        <f>IF(OR(L8="",M8=""),"",IFERROR(INDEX(LAYOUT!$D$2:$D$80,MATCH(L8&amp;"|"&amp;M8,LAYOUT!$E$2:$E$80,0)),""))</f>
        <v/>
      </c>
      <c r="O8" s="12">
        <f>IF(AND(L8="",M8=""),IF(AND(P8="",Q8="",T8="",U8=""),IF(OR($D8&lt;&gt;"",$E8&lt;&gt;""),"Belum ditempatkan",""),""),IF(L8="","CEK JENIS FIXTURE kosong",IF(AND(LEFT(L8,7)&lt;&gt;"Gondola",LEFT(L8,6)&lt;&gt;"Endcap"),"CEK Fixture 1 hanya Gondola atau Endcap",IF(M8="","CEK SHELVING KE kosong",IF(ISNA(MATCH(L8&amp;"|"&amp;M8,LAYOUT!$E$2:$E$80,0)),"CEK SHELVING KE di luar layout",IF($I8="","CEK SERIES kosong",IF($D8="","Zona STOCK",IF($E8="","CEK SKU DESCRIPTION kosong",IF(COUNTIFS($I$2:$I$500,$I8,L$2:L$500,"&lt;&gt;"&amp;L8,L$2:L$500,"&lt;&gt;")&gt;0,"CEK jenis fixture beda dalam satu series","OK")))))))))</f>
        <v/>
      </c>
      <c r="P8" s="11" t="n"/>
      <c r="Q8" s="11" t="n"/>
      <c r="R8" s="11">
        <f>IF(OR(P8="",Q8=""),"",IFERROR(INDEX(LAYOUT!$D$2:$D$80,MATCH(P8&amp;"|"&amp;Q8,LAYOUT!$E$2:$E$80,0)),""))</f>
        <v/>
      </c>
      <c r="S8" s="12">
        <f>IF(AND(P8="",Q8=""),IF(AND(L8="",M8="",T8="",U8=""),IF(OR($D8&lt;&gt;"",$E8&lt;&gt;""),"Belum ditempatkan",""),""),IF(P8="","CEK JENIS FIXTURE kosong",IF(LEFT(P8,4)&lt;&gt;"Wall","CEK Fixture 2 hanya Wall",IF(Q8="","CEK SHELVING KE kosong",IF(ISNA(MATCH(P8&amp;"|"&amp;Q8,LAYOUT!$E$2:$E$80,0)),"CEK SHELVING KE di luar layout",IF($I8="","CEK SERIES kosong",IF($D8="","Zona STOCK",IF($E8="","CEK SKU DESCRIPTION kosong",IF(COUNTIFS($I$2:$I$500,$I8,P$2:P$500,"&lt;&gt;"&amp;P8,P$2:P$500,"&lt;&gt;")&gt;0,"CEK jenis fixture beda dalam satu series","OK")))))))))</f>
        <v/>
      </c>
      <c r="T8" s="11" t="n"/>
      <c r="U8" s="11" t="n"/>
      <c r="V8" s="11">
        <f>IF(OR(T8="",U8=""),"",IFERROR(INDEX(LAYOUT!$D$2:$D$80,MATCH(T8&amp;"|"&amp;U8,LAYOUT!$E$2:$E$80,0)),""))</f>
        <v/>
      </c>
      <c r="W8" s="12">
        <f>IF(AND(T8="",U8=""),IF(AND(L8="",M8="",P8="",Q8=""),IF(OR($D8&lt;&gt;"",$E8&lt;&gt;""),"Belum ditempatkan",""),""),IF(T8="","CEK JENIS FIXTURE kosong",IF(LEFT(T8,4)&lt;&gt;"Wall","CEK Fixture 3 hanya Wall",IF(U8="","CEK SHELVING KE kosong",IF(ISNA(MATCH(T8&amp;"|"&amp;U8,LAYOUT!$E$2:$E$80,0)),"CEK SHELVING KE di luar layout",IF($I8="","CEK SERIES kosong",IF($D8="","Zona STOCK",IF($E8="","CEK SKU DESCRIPTION kosong",IF(COUNTIFS($I$2:$I$500,$I8,T$2:T$500,"&lt;&gt;"&amp;T8,T$2:T$500,"&lt;&gt;")&gt;0,"CEK jenis fixture beda dalam satu series","OK")))))))))</f>
        <v/>
      </c>
      <c r="X8" s="11" t="n"/>
      <c r="Y8" s="11" t="n"/>
      <c r="Z8" s="12" t="n"/>
      <c r="AA8" s="12" t="n"/>
      <c r="AB8" s="11" t="n"/>
      <c r="AC8" s="11" t="n"/>
      <c r="AD8" s="11" t="n"/>
      <c r="AE8" s="11" t="n"/>
      <c r="AF8" s="11" t="n"/>
      <c r="AG8" s="11" t="n"/>
      <c r="AH8" s="12" t="n"/>
      <c r="AI8" s="12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>
        <f>IF(OR(L9="",M9=""),"",IFERROR(INDEX(LAYOUT!$D$2:$D$80,MATCH(L9&amp;"|"&amp;M9,LAYOUT!$E$2:$E$80,0)),""))</f>
        <v/>
      </c>
      <c r="O9" s="12">
        <f>IF(AND(L9="",M9=""),IF(AND(P9="",Q9="",T9="",U9=""),IF(OR($D9&lt;&gt;"",$E9&lt;&gt;""),"Belum ditempatkan",""),""),IF(L9="","CEK JENIS FIXTURE kosong",IF(AND(LEFT(L9,7)&lt;&gt;"Gondola",LEFT(L9,6)&lt;&gt;"Endcap"),"CEK Fixture 1 hanya Gondola atau Endcap",IF(M9="","CEK SHELVING KE kosong",IF(ISNA(MATCH(L9&amp;"|"&amp;M9,LAYOUT!$E$2:$E$80,0)),"CEK SHELVING KE di luar layout",IF($I9="","CEK SERIES kosong",IF($D9="","Zona STOCK",IF($E9="","CEK SKU DESCRIPTION kosong",IF(COUNTIFS($I$2:$I$500,$I9,L$2:L$500,"&lt;&gt;"&amp;L9,L$2:L$500,"&lt;&gt;")&gt;0,"CEK jenis fixture beda dalam satu series","OK")))))))))</f>
        <v/>
      </c>
      <c r="P9" s="11" t="n"/>
      <c r="Q9" s="11" t="n"/>
      <c r="R9" s="11">
        <f>IF(OR(P9="",Q9=""),"",IFERROR(INDEX(LAYOUT!$D$2:$D$80,MATCH(P9&amp;"|"&amp;Q9,LAYOUT!$E$2:$E$80,0)),""))</f>
        <v/>
      </c>
      <c r="S9" s="12">
        <f>IF(AND(P9="",Q9=""),IF(AND(L9="",M9="",T9="",U9=""),IF(OR($D9&lt;&gt;"",$E9&lt;&gt;""),"Belum ditempatkan",""),""),IF(P9="","CEK JENIS FIXTURE kosong",IF(LEFT(P9,4)&lt;&gt;"Wall","CEK Fixture 2 hanya Wall",IF(Q9="","CEK SHELVING KE kosong",IF(ISNA(MATCH(P9&amp;"|"&amp;Q9,LAYOUT!$E$2:$E$80,0)),"CEK SHELVING KE di luar layout",IF($I9="","CEK SERIES kosong",IF($D9="","Zona STOCK",IF($E9="","CEK SKU DESCRIPTION kosong",IF(COUNTIFS($I$2:$I$500,$I9,P$2:P$500,"&lt;&gt;"&amp;P9,P$2:P$500,"&lt;&gt;")&gt;0,"CEK jenis fixture beda dalam satu series","OK")))))))))</f>
        <v/>
      </c>
      <c r="T9" s="11" t="n"/>
      <c r="U9" s="11" t="n"/>
      <c r="V9" s="11">
        <f>IF(OR(T9="",U9=""),"",IFERROR(INDEX(LAYOUT!$D$2:$D$80,MATCH(T9&amp;"|"&amp;U9,LAYOUT!$E$2:$E$80,0)),""))</f>
        <v/>
      </c>
      <c r="W9" s="12">
        <f>IF(AND(T9="",U9=""),IF(AND(L9="",M9="",P9="",Q9=""),IF(OR($D9&lt;&gt;"",$E9&lt;&gt;""),"Belum ditempatkan",""),""),IF(T9="","CEK JENIS FIXTURE kosong",IF(LEFT(T9,4)&lt;&gt;"Wall","CEK Fixture 3 hanya Wall",IF(U9="","CEK SHELVING KE kosong",IF(ISNA(MATCH(T9&amp;"|"&amp;U9,LAYOUT!$E$2:$E$80,0)),"CEK SHELVING KE di luar layout",IF($I9="","CEK SERIES kosong",IF($D9="","Zona STOCK",IF($E9="","CEK SKU DESCRIPTION kosong",IF(COUNTIFS($I$2:$I$500,$I9,T$2:T$500,"&lt;&gt;"&amp;T9,T$2:T$500,"&lt;&gt;")&gt;0,"CEK jenis fixture beda dalam satu series","OK")))))))))</f>
        <v/>
      </c>
      <c r="X9" s="11" t="n"/>
      <c r="Y9" s="11" t="n"/>
      <c r="Z9" s="12" t="n"/>
      <c r="AA9" s="12" t="n"/>
      <c r="AB9" s="11" t="n"/>
      <c r="AC9" s="11" t="n"/>
      <c r="AD9" s="11" t="n"/>
      <c r="AE9" s="11" t="n"/>
      <c r="AF9" s="11" t="n"/>
      <c r="AG9" s="11" t="n"/>
      <c r="AH9" s="12" t="n"/>
      <c r="AI9" s="12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>
        <f>IF(OR(L10="",M10=""),"",IFERROR(INDEX(LAYOUT!$D$2:$D$80,MATCH(L10&amp;"|"&amp;M10,LAYOUT!$E$2:$E$80,0)),""))</f>
        <v/>
      </c>
      <c r="O10" s="12">
        <f>IF(AND(L10="",M10=""),IF(AND(P10="",Q10="",T10="",U10=""),IF(OR($D10&lt;&gt;"",$E10&lt;&gt;""),"Belum ditempatkan",""),""),IF(L10="","CEK JENIS FIXTURE kosong",IF(AND(LEFT(L10,7)&lt;&gt;"Gondola",LEFT(L10,6)&lt;&gt;"Endcap"),"CEK Fixture 1 hanya Gondola atau Endcap",IF(M10="","CEK SHELVING KE kosong",IF(ISNA(MATCH(L10&amp;"|"&amp;M10,LAYOUT!$E$2:$E$80,0)),"CEK SHELVING KE di luar layout",IF($I10="","CEK SERIES kosong",IF($D10="","Zona STOCK",IF($E10="","CEK SKU DESCRIPTION kosong",IF(COUNTIFS($I$2:$I$500,$I10,L$2:L$500,"&lt;&gt;"&amp;L10,L$2:L$500,"&lt;&gt;")&gt;0,"CEK jenis fixture beda dalam satu series","OK")))))))))</f>
        <v/>
      </c>
      <c r="P10" s="11" t="n"/>
      <c r="Q10" s="11" t="n"/>
      <c r="R10" s="11">
        <f>IF(OR(P10="",Q10=""),"",IFERROR(INDEX(LAYOUT!$D$2:$D$80,MATCH(P10&amp;"|"&amp;Q10,LAYOUT!$E$2:$E$80,0)),""))</f>
        <v/>
      </c>
      <c r="S10" s="12">
        <f>IF(AND(P10="",Q10=""),IF(AND(L10="",M10="",T10="",U10=""),IF(OR($D10&lt;&gt;"",$E10&lt;&gt;""),"Belum ditempatkan",""),""),IF(P10="","CEK JENIS FIXTURE kosong",IF(LEFT(P10,4)&lt;&gt;"Wall","CEK Fixture 2 hanya Wall",IF(Q10="","CEK SHELVING KE kosong",IF(ISNA(MATCH(P10&amp;"|"&amp;Q10,LAYOUT!$E$2:$E$80,0)),"CEK SHELVING KE di luar layout",IF($I10="","CEK SERIES kosong",IF($D10="","Zona STOCK",IF($E10="","CEK SKU DESCRIPTION kosong",IF(COUNTIFS($I$2:$I$500,$I10,P$2:P$500,"&lt;&gt;"&amp;P10,P$2:P$500,"&lt;&gt;")&gt;0,"CEK jenis fixture beda dalam satu series","OK")))))))))</f>
        <v/>
      </c>
      <c r="T10" s="11" t="n"/>
      <c r="U10" s="11" t="n"/>
      <c r="V10" s="11">
        <f>IF(OR(T10="",U10=""),"",IFERROR(INDEX(LAYOUT!$D$2:$D$80,MATCH(T10&amp;"|"&amp;U10,LAYOUT!$E$2:$E$80,0)),""))</f>
        <v/>
      </c>
      <c r="W10" s="12">
        <f>IF(AND(T10="",U10=""),IF(AND(L10="",M10="",P10="",Q10=""),IF(OR($D10&lt;&gt;"",$E10&lt;&gt;""),"Belum ditempatkan",""),""),IF(T10="","CEK JENIS FIXTURE kosong",IF(LEFT(T10,4)&lt;&gt;"Wall","CEK Fixture 3 hanya Wall",IF(U10="","CEK SHELVING KE kosong",IF(ISNA(MATCH(T10&amp;"|"&amp;U10,LAYOUT!$E$2:$E$80,0)),"CEK SHELVING KE di luar layout",IF($I10="","CEK SERIES kosong",IF($D10="","Zona STOCK",IF($E10="","CEK SKU DESCRIPTION kosong",IF(COUNTIFS($I$2:$I$500,$I10,T$2:T$500,"&lt;&gt;"&amp;T10,T$2:T$500,"&lt;&gt;")&gt;0,"CEK jenis fixture beda dalam satu series","OK")))))))))</f>
        <v/>
      </c>
      <c r="X10" s="11" t="n"/>
      <c r="Y10" s="11" t="n"/>
      <c r="Z10" s="12" t="n"/>
      <c r="AA10" s="12" t="n"/>
      <c r="AB10" s="11" t="n"/>
      <c r="AC10" s="11" t="n"/>
      <c r="AD10" s="11" t="n"/>
      <c r="AE10" s="11" t="n"/>
      <c r="AF10" s="11" t="n"/>
      <c r="AG10" s="11" t="n"/>
      <c r="AH10" s="12" t="n"/>
      <c r="AI10" s="12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>
        <f>IF(OR(L11="",M11=""),"",IFERROR(INDEX(LAYOUT!$D$2:$D$80,MATCH(L11&amp;"|"&amp;M11,LAYOUT!$E$2:$E$80,0)),""))</f>
        <v/>
      </c>
      <c r="O11" s="12">
        <f>IF(AND(L11="",M11=""),IF(AND(P11="",Q11="",T11="",U11=""),IF(OR($D11&lt;&gt;"",$E11&lt;&gt;""),"Belum ditempatkan",""),""),IF(L11="","CEK JENIS FIXTURE kosong",IF(AND(LEFT(L11,7)&lt;&gt;"Gondola",LEFT(L11,6)&lt;&gt;"Endcap"),"CEK Fixture 1 hanya Gondola atau Endcap",IF(M11="","CEK SHELVING KE kosong",IF(ISNA(MATCH(L11&amp;"|"&amp;M11,LAYOUT!$E$2:$E$80,0)),"CEK SHELVING KE di luar layout",IF($I11="","CEK SERIES kosong",IF($D11="","Zona STOCK",IF($E11="","CEK SKU DESCRIPTION kosong",IF(COUNTIFS($I$2:$I$500,$I11,L$2:L$500,"&lt;&gt;"&amp;L11,L$2:L$500,"&lt;&gt;")&gt;0,"CEK jenis fixture beda dalam satu series","OK")))))))))</f>
        <v/>
      </c>
      <c r="P11" s="11" t="n"/>
      <c r="Q11" s="11" t="n"/>
      <c r="R11" s="11">
        <f>IF(OR(P11="",Q11=""),"",IFERROR(INDEX(LAYOUT!$D$2:$D$80,MATCH(P11&amp;"|"&amp;Q11,LAYOUT!$E$2:$E$80,0)),""))</f>
        <v/>
      </c>
      <c r="S11" s="12">
        <f>IF(AND(P11="",Q11=""),IF(AND(L11="",M11="",T11="",U11=""),IF(OR($D11&lt;&gt;"",$E11&lt;&gt;""),"Belum ditempatkan",""),""),IF(P11="","CEK JENIS FIXTURE kosong",IF(LEFT(P11,4)&lt;&gt;"Wall","CEK Fixture 2 hanya Wall",IF(Q11="","CEK SHELVING KE kosong",IF(ISNA(MATCH(P11&amp;"|"&amp;Q11,LAYOUT!$E$2:$E$80,0)),"CEK SHELVING KE di luar layout",IF($I11="","CEK SERIES kosong",IF($D11="","Zona STOCK",IF($E11="","CEK SKU DESCRIPTION kosong",IF(COUNTIFS($I$2:$I$500,$I11,P$2:P$500,"&lt;&gt;"&amp;P11,P$2:P$500,"&lt;&gt;")&gt;0,"CEK jenis fixture beda dalam satu series","OK")))))))))</f>
        <v/>
      </c>
      <c r="T11" s="11" t="n"/>
      <c r="U11" s="11" t="n"/>
      <c r="V11" s="11">
        <f>IF(OR(T11="",U11=""),"",IFERROR(INDEX(LAYOUT!$D$2:$D$80,MATCH(T11&amp;"|"&amp;U11,LAYOUT!$E$2:$E$80,0)),""))</f>
        <v/>
      </c>
      <c r="W11" s="12">
        <f>IF(AND(T11="",U11=""),IF(AND(L11="",M11="",P11="",Q11=""),IF(OR($D11&lt;&gt;"",$E11&lt;&gt;""),"Belum ditempatkan",""),""),IF(T11="","CEK JENIS FIXTURE kosong",IF(LEFT(T11,4)&lt;&gt;"Wall","CEK Fixture 3 hanya Wall",IF(U11="","CEK SHELVING KE kosong",IF(ISNA(MATCH(T11&amp;"|"&amp;U11,LAYOUT!$E$2:$E$80,0)),"CEK SHELVING KE di luar layout",IF($I11="","CEK SERIES kosong",IF($D11="","Zona STOCK",IF($E11="","CEK SKU DESCRIPTION kosong",IF(COUNTIFS($I$2:$I$500,$I11,T$2:T$500,"&lt;&gt;"&amp;T11,T$2:T$500,"&lt;&gt;")&gt;0,"CEK jenis fixture beda dalam satu series","OK")))))))))</f>
        <v/>
      </c>
      <c r="X11" s="11" t="n"/>
      <c r="Y11" s="11" t="n"/>
      <c r="Z11" s="12" t="n"/>
      <c r="AA11" s="12" t="n"/>
      <c r="AB11" s="11" t="n"/>
      <c r="AC11" s="11" t="n"/>
      <c r="AD11" s="11" t="n"/>
      <c r="AE11" s="11" t="n"/>
      <c r="AF11" s="11" t="n"/>
      <c r="AG11" s="11" t="n"/>
      <c r="AH11" s="12" t="n"/>
      <c r="A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>
        <f>IF(OR(L12="",M12=""),"",IFERROR(INDEX(LAYOUT!$D$2:$D$80,MATCH(L12&amp;"|"&amp;M12,LAYOUT!$E$2:$E$80,0)),""))</f>
        <v/>
      </c>
      <c r="O12" s="12">
        <f>IF(AND(L12="",M12=""),IF(AND(P12="",Q12="",T12="",U12=""),IF(OR($D12&lt;&gt;"",$E12&lt;&gt;""),"Belum ditempatkan",""),""),IF(L12="","CEK JENIS FIXTURE kosong",IF(AND(LEFT(L12,7)&lt;&gt;"Gondola",LEFT(L12,6)&lt;&gt;"Endcap"),"CEK Fixture 1 hanya Gondola atau Endcap",IF(M12="","CEK SHELVING KE kosong",IF(ISNA(MATCH(L12&amp;"|"&amp;M12,LAYOUT!$E$2:$E$80,0)),"CEK SHELVING KE di luar layout",IF($I12="","CEK SERIES kosong",IF($D12="","Zona STOCK",IF($E12="","CEK SKU DESCRIPTION kosong",IF(COUNTIFS($I$2:$I$500,$I12,L$2:L$500,"&lt;&gt;"&amp;L12,L$2:L$500,"&lt;&gt;")&gt;0,"CEK jenis fixture beda dalam satu series","OK")))))))))</f>
        <v/>
      </c>
      <c r="P12" s="11" t="n"/>
      <c r="Q12" s="11" t="n"/>
      <c r="R12" s="11">
        <f>IF(OR(P12="",Q12=""),"",IFERROR(INDEX(LAYOUT!$D$2:$D$80,MATCH(P12&amp;"|"&amp;Q12,LAYOUT!$E$2:$E$80,0)),""))</f>
        <v/>
      </c>
      <c r="S12" s="12">
        <f>IF(AND(P12="",Q12=""),IF(AND(L12="",M12="",T12="",U12=""),IF(OR($D12&lt;&gt;"",$E12&lt;&gt;""),"Belum ditempatkan",""),""),IF(P12="","CEK JENIS FIXTURE kosong",IF(LEFT(P12,4)&lt;&gt;"Wall","CEK Fixture 2 hanya Wall",IF(Q12="","CEK SHELVING KE kosong",IF(ISNA(MATCH(P12&amp;"|"&amp;Q12,LAYOUT!$E$2:$E$80,0)),"CEK SHELVING KE di luar layout",IF($I12="","CEK SERIES kosong",IF($D12="","Zona STOCK",IF($E12="","CEK SKU DESCRIPTION kosong",IF(COUNTIFS($I$2:$I$500,$I12,P$2:P$500,"&lt;&gt;"&amp;P12,P$2:P$500,"&lt;&gt;")&gt;0,"CEK jenis fixture beda dalam satu series","OK")))))))))</f>
        <v/>
      </c>
      <c r="T12" s="11" t="n"/>
      <c r="U12" s="11" t="n"/>
      <c r="V12" s="11">
        <f>IF(OR(T12="",U12=""),"",IFERROR(INDEX(LAYOUT!$D$2:$D$80,MATCH(T12&amp;"|"&amp;U12,LAYOUT!$E$2:$E$80,0)),""))</f>
        <v/>
      </c>
      <c r="W12" s="12">
        <f>IF(AND(T12="",U12=""),IF(AND(L12="",M12="",P12="",Q12=""),IF(OR($D12&lt;&gt;"",$E12&lt;&gt;""),"Belum ditempatkan",""),""),IF(T12="","CEK JENIS FIXTURE kosong",IF(LEFT(T12,4)&lt;&gt;"Wall","CEK Fixture 3 hanya Wall",IF(U12="","CEK SHELVING KE kosong",IF(ISNA(MATCH(T12&amp;"|"&amp;U12,LAYOUT!$E$2:$E$80,0)),"CEK SHELVING KE di luar layout",IF($I12="","CEK SERIES kosong",IF($D12="","Zona STOCK",IF($E12="","CEK SKU DESCRIPTION kosong",IF(COUNTIFS($I$2:$I$500,$I12,T$2:T$500,"&lt;&gt;"&amp;T12,T$2:T$500,"&lt;&gt;")&gt;0,"CEK jenis fixture beda dalam satu series","OK")))))))))</f>
        <v/>
      </c>
      <c r="X12" s="11" t="n"/>
      <c r="Y12" s="11" t="n"/>
      <c r="Z12" s="12" t="n"/>
      <c r="AA12" s="12" t="n"/>
      <c r="AB12" s="11" t="n"/>
      <c r="AC12" s="11" t="n"/>
      <c r="AD12" s="11" t="n"/>
      <c r="AE12" s="11" t="n"/>
      <c r="AF12" s="11" t="n"/>
      <c r="AG12" s="11" t="n"/>
      <c r="AH12" s="12" t="n"/>
      <c r="AI12" s="12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>
        <f>IF(OR(L13="",M13=""),"",IFERROR(INDEX(LAYOUT!$D$2:$D$80,MATCH(L13&amp;"|"&amp;M13,LAYOUT!$E$2:$E$80,0)),""))</f>
        <v/>
      </c>
      <c r="O13" s="12">
        <f>IF(AND(L13="",M13=""),IF(AND(P13="",Q13="",T13="",U13=""),IF(OR($D13&lt;&gt;"",$E13&lt;&gt;""),"Belum ditempatkan",""),""),IF(L13="","CEK JENIS FIXTURE kosong",IF(AND(LEFT(L13,7)&lt;&gt;"Gondola",LEFT(L13,6)&lt;&gt;"Endcap"),"CEK Fixture 1 hanya Gondola atau Endcap",IF(M13="","CEK SHELVING KE kosong",IF(ISNA(MATCH(L13&amp;"|"&amp;M13,LAYOUT!$E$2:$E$80,0)),"CEK SHELVING KE di luar layout",IF($I13="","CEK SERIES kosong",IF($D13="","Zona STOCK",IF($E13="","CEK SKU DESCRIPTION kosong",IF(COUNTIFS($I$2:$I$500,$I13,L$2:L$500,"&lt;&gt;"&amp;L13,L$2:L$500,"&lt;&gt;")&gt;0,"CEK jenis fixture beda dalam satu series","OK")))))))))</f>
        <v/>
      </c>
      <c r="P13" s="11" t="n"/>
      <c r="Q13" s="11" t="n"/>
      <c r="R13" s="11">
        <f>IF(OR(P13="",Q13=""),"",IFERROR(INDEX(LAYOUT!$D$2:$D$80,MATCH(P13&amp;"|"&amp;Q13,LAYOUT!$E$2:$E$80,0)),""))</f>
        <v/>
      </c>
      <c r="S13" s="12">
        <f>IF(AND(P13="",Q13=""),IF(AND(L13="",M13="",T13="",U13=""),IF(OR($D13&lt;&gt;"",$E13&lt;&gt;""),"Belum ditempatkan",""),""),IF(P13="","CEK JENIS FIXTURE kosong",IF(LEFT(P13,4)&lt;&gt;"Wall","CEK Fixture 2 hanya Wall",IF(Q13="","CEK SHELVING KE kosong",IF(ISNA(MATCH(P13&amp;"|"&amp;Q13,LAYOUT!$E$2:$E$80,0)),"CEK SHELVING KE di luar layout",IF($I13="","CEK SERIES kosong",IF($D13="","Zona STOCK",IF($E13="","CEK SKU DESCRIPTION kosong",IF(COUNTIFS($I$2:$I$500,$I13,P$2:P$500,"&lt;&gt;"&amp;P13,P$2:P$500,"&lt;&gt;")&gt;0,"CEK jenis fixture beda dalam satu series","OK")))))))))</f>
        <v/>
      </c>
      <c r="T13" s="11" t="n"/>
      <c r="U13" s="11" t="n"/>
      <c r="V13" s="11">
        <f>IF(OR(T13="",U13=""),"",IFERROR(INDEX(LAYOUT!$D$2:$D$80,MATCH(T13&amp;"|"&amp;U13,LAYOUT!$E$2:$E$80,0)),""))</f>
        <v/>
      </c>
      <c r="W13" s="12">
        <f>IF(AND(T13="",U13=""),IF(AND(L13="",M13="",P13="",Q13=""),IF(OR($D13&lt;&gt;"",$E13&lt;&gt;""),"Belum ditempatkan",""),""),IF(T13="","CEK JENIS FIXTURE kosong",IF(LEFT(T13,4)&lt;&gt;"Wall","CEK Fixture 3 hanya Wall",IF(U13="","CEK SHELVING KE kosong",IF(ISNA(MATCH(T13&amp;"|"&amp;U13,LAYOUT!$E$2:$E$80,0)),"CEK SHELVING KE di luar layout",IF($I13="","CEK SERIES kosong",IF($D13="","Zona STOCK",IF($E13="","CEK SKU DESCRIPTION kosong",IF(COUNTIFS($I$2:$I$500,$I13,T$2:T$500,"&lt;&gt;"&amp;T13,T$2:T$500,"&lt;&gt;")&gt;0,"CEK jenis fixture beda dalam satu series","OK")))))))))</f>
        <v/>
      </c>
      <c r="X13" s="11" t="n"/>
      <c r="Y13" s="11" t="n"/>
      <c r="Z13" s="12" t="n"/>
      <c r="AA13" s="12" t="n"/>
      <c r="AB13" s="11" t="n"/>
      <c r="AC13" s="11" t="n"/>
      <c r="AD13" s="11" t="n"/>
      <c r="AE13" s="11" t="n"/>
      <c r="AF13" s="11" t="n"/>
      <c r="AG13" s="11" t="n"/>
      <c r="AH13" s="12" t="n"/>
      <c r="A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>
        <f>IF(OR(L14="",M14=""),"",IFERROR(INDEX(LAYOUT!$D$2:$D$80,MATCH(L14&amp;"|"&amp;M14,LAYOUT!$E$2:$E$80,0)),""))</f>
        <v/>
      </c>
      <c r="O14" s="12">
        <f>IF(AND(L14="",M14=""),IF(AND(P14="",Q14="",T14="",U14=""),IF(OR($D14&lt;&gt;"",$E14&lt;&gt;""),"Belum ditempatkan",""),""),IF(L14="","CEK JENIS FIXTURE kosong",IF(AND(LEFT(L14,7)&lt;&gt;"Gondola",LEFT(L14,6)&lt;&gt;"Endcap"),"CEK Fixture 1 hanya Gondola atau Endcap",IF(M14="","CEK SHELVING KE kosong",IF(ISNA(MATCH(L14&amp;"|"&amp;M14,LAYOUT!$E$2:$E$80,0)),"CEK SHELVING KE di luar layout",IF($I14="","CEK SERIES kosong",IF($D14="","Zona STOCK",IF($E14="","CEK SKU DESCRIPTION kosong",IF(COUNTIFS($I$2:$I$500,$I14,L$2:L$500,"&lt;&gt;"&amp;L14,L$2:L$500,"&lt;&gt;")&gt;0,"CEK jenis fixture beda dalam satu series","OK")))))))))</f>
        <v/>
      </c>
      <c r="P14" s="11" t="n"/>
      <c r="Q14" s="11" t="n"/>
      <c r="R14" s="11">
        <f>IF(OR(P14="",Q14=""),"",IFERROR(INDEX(LAYOUT!$D$2:$D$80,MATCH(P14&amp;"|"&amp;Q14,LAYOUT!$E$2:$E$80,0)),""))</f>
        <v/>
      </c>
      <c r="S14" s="12">
        <f>IF(AND(P14="",Q14=""),IF(AND(L14="",M14="",T14="",U14=""),IF(OR($D14&lt;&gt;"",$E14&lt;&gt;""),"Belum ditempatkan",""),""),IF(P14="","CEK JENIS FIXTURE kosong",IF(LEFT(P14,4)&lt;&gt;"Wall","CEK Fixture 2 hanya Wall",IF(Q14="","CEK SHELVING KE kosong",IF(ISNA(MATCH(P14&amp;"|"&amp;Q14,LAYOUT!$E$2:$E$80,0)),"CEK SHELVING KE di luar layout",IF($I14="","CEK SERIES kosong",IF($D14="","Zona STOCK",IF($E14="","CEK SKU DESCRIPTION kosong",IF(COUNTIFS($I$2:$I$500,$I14,P$2:P$500,"&lt;&gt;"&amp;P14,P$2:P$500,"&lt;&gt;")&gt;0,"CEK jenis fixture beda dalam satu series","OK")))))))))</f>
        <v/>
      </c>
      <c r="T14" s="11" t="n"/>
      <c r="U14" s="11" t="n"/>
      <c r="V14" s="11">
        <f>IF(OR(T14="",U14=""),"",IFERROR(INDEX(LAYOUT!$D$2:$D$80,MATCH(T14&amp;"|"&amp;U14,LAYOUT!$E$2:$E$80,0)),""))</f>
        <v/>
      </c>
      <c r="W14" s="12">
        <f>IF(AND(T14="",U14=""),IF(AND(L14="",M14="",P14="",Q14=""),IF(OR($D14&lt;&gt;"",$E14&lt;&gt;""),"Belum ditempatkan",""),""),IF(T14="","CEK JENIS FIXTURE kosong",IF(LEFT(T14,4)&lt;&gt;"Wall","CEK Fixture 3 hanya Wall",IF(U14="","CEK SHELVING KE kosong",IF(ISNA(MATCH(T14&amp;"|"&amp;U14,LAYOUT!$E$2:$E$80,0)),"CEK SHELVING KE di luar layout",IF($I14="","CEK SERIES kosong",IF($D14="","Zona STOCK",IF($E14="","CEK SKU DESCRIPTION kosong",IF(COUNTIFS($I$2:$I$500,$I14,T$2:T$500,"&lt;&gt;"&amp;T14,T$2:T$500,"&lt;&gt;")&gt;0,"CEK jenis fixture beda dalam satu series","OK")))))))))</f>
        <v/>
      </c>
      <c r="X14" s="11" t="n"/>
      <c r="Y14" s="11" t="n"/>
      <c r="Z14" s="12" t="n"/>
      <c r="AA14" s="12" t="n"/>
      <c r="AB14" s="11" t="n"/>
      <c r="AC14" s="11" t="n"/>
      <c r="AD14" s="11" t="n"/>
      <c r="AE14" s="11" t="n"/>
      <c r="AF14" s="11" t="n"/>
      <c r="AG14" s="11" t="n"/>
      <c r="AH14" s="12" t="n"/>
      <c r="AI14" s="12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>
        <f>IF(OR(L15="",M15=""),"",IFERROR(INDEX(LAYOUT!$D$2:$D$80,MATCH(L15&amp;"|"&amp;M15,LAYOUT!$E$2:$E$80,0)),""))</f>
        <v/>
      </c>
      <c r="O15" s="12">
        <f>IF(AND(L15="",M15=""),IF(AND(P15="",Q15="",T15="",U15=""),IF(OR($D15&lt;&gt;"",$E15&lt;&gt;""),"Belum ditempatkan",""),""),IF(L15="","CEK JENIS FIXTURE kosong",IF(AND(LEFT(L15,7)&lt;&gt;"Gondola",LEFT(L15,6)&lt;&gt;"Endcap"),"CEK Fixture 1 hanya Gondola atau Endcap",IF(M15="","CEK SHELVING KE kosong",IF(ISNA(MATCH(L15&amp;"|"&amp;M15,LAYOUT!$E$2:$E$80,0)),"CEK SHELVING KE di luar layout",IF($I15="","CEK SERIES kosong",IF($D15="","Zona STOCK",IF($E15="","CEK SKU DESCRIPTION kosong",IF(COUNTIFS($I$2:$I$500,$I15,L$2:L$500,"&lt;&gt;"&amp;L15,L$2:L$500,"&lt;&gt;")&gt;0,"CEK jenis fixture beda dalam satu series","OK")))))))))</f>
        <v/>
      </c>
      <c r="P15" s="11" t="n"/>
      <c r="Q15" s="11" t="n"/>
      <c r="R15" s="11">
        <f>IF(OR(P15="",Q15=""),"",IFERROR(INDEX(LAYOUT!$D$2:$D$80,MATCH(P15&amp;"|"&amp;Q15,LAYOUT!$E$2:$E$80,0)),""))</f>
        <v/>
      </c>
      <c r="S15" s="12">
        <f>IF(AND(P15="",Q15=""),IF(AND(L15="",M15="",T15="",U15=""),IF(OR($D15&lt;&gt;"",$E15&lt;&gt;""),"Belum ditempatkan",""),""),IF(P15="","CEK JENIS FIXTURE kosong",IF(LEFT(P15,4)&lt;&gt;"Wall","CEK Fixture 2 hanya Wall",IF(Q15="","CEK SHELVING KE kosong",IF(ISNA(MATCH(P15&amp;"|"&amp;Q15,LAYOUT!$E$2:$E$80,0)),"CEK SHELVING KE di luar layout",IF($I15="","CEK SERIES kosong",IF($D15="","Zona STOCK",IF($E15="","CEK SKU DESCRIPTION kosong",IF(COUNTIFS($I$2:$I$500,$I15,P$2:P$500,"&lt;&gt;"&amp;P15,P$2:P$500,"&lt;&gt;")&gt;0,"CEK jenis fixture beda dalam satu series","OK")))))))))</f>
        <v/>
      </c>
      <c r="T15" s="11" t="n"/>
      <c r="U15" s="11" t="n"/>
      <c r="V15" s="11">
        <f>IF(OR(T15="",U15=""),"",IFERROR(INDEX(LAYOUT!$D$2:$D$80,MATCH(T15&amp;"|"&amp;U15,LAYOUT!$E$2:$E$80,0)),""))</f>
        <v/>
      </c>
      <c r="W15" s="12">
        <f>IF(AND(T15="",U15=""),IF(AND(L15="",M15="",P15="",Q15=""),IF(OR($D15&lt;&gt;"",$E15&lt;&gt;""),"Belum ditempatkan",""),""),IF(T15="","CEK JENIS FIXTURE kosong",IF(LEFT(T15,4)&lt;&gt;"Wall","CEK Fixture 3 hanya Wall",IF(U15="","CEK SHELVING KE kosong",IF(ISNA(MATCH(T15&amp;"|"&amp;U15,LAYOUT!$E$2:$E$80,0)),"CEK SHELVING KE di luar layout",IF($I15="","CEK SERIES kosong",IF($D15="","Zona STOCK",IF($E15="","CEK SKU DESCRIPTION kosong",IF(COUNTIFS($I$2:$I$500,$I15,T$2:T$500,"&lt;&gt;"&amp;T15,T$2:T$500,"&lt;&gt;")&gt;0,"CEK jenis fixture beda dalam satu series","OK")))))))))</f>
        <v/>
      </c>
      <c r="X15" s="11" t="n"/>
      <c r="Y15" s="11" t="n"/>
      <c r="Z15" s="12" t="n"/>
      <c r="AA15" s="12" t="n"/>
      <c r="AB15" s="11" t="n"/>
      <c r="AC15" s="11" t="n"/>
      <c r="AD15" s="11" t="n"/>
      <c r="AE15" s="11" t="n"/>
      <c r="AF15" s="11" t="n"/>
      <c r="AG15" s="11" t="n"/>
      <c r="AH15" s="12" t="n"/>
      <c r="A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>
        <f>IF(OR(L16="",M16=""),"",IFERROR(INDEX(LAYOUT!$D$2:$D$80,MATCH(L16&amp;"|"&amp;M16,LAYOUT!$E$2:$E$80,0)),""))</f>
        <v/>
      </c>
      <c r="O16" s="12">
        <f>IF(AND(L16="",M16=""),IF(AND(P16="",Q16="",T16="",U16=""),IF(OR($D16&lt;&gt;"",$E16&lt;&gt;""),"Belum ditempatkan",""),""),IF(L16="","CEK JENIS FIXTURE kosong",IF(AND(LEFT(L16,7)&lt;&gt;"Gondola",LEFT(L16,6)&lt;&gt;"Endcap"),"CEK Fixture 1 hanya Gondola atau Endcap",IF(M16="","CEK SHELVING KE kosong",IF(ISNA(MATCH(L16&amp;"|"&amp;M16,LAYOUT!$E$2:$E$80,0)),"CEK SHELVING KE di luar layout",IF($I16="","CEK SERIES kosong",IF($D16="","Zona STOCK",IF($E16="","CEK SKU DESCRIPTION kosong",IF(COUNTIFS($I$2:$I$500,$I16,L$2:L$500,"&lt;&gt;"&amp;L16,L$2:L$500,"&lt;&gt;")&gt;0,"CEK jenis fixture beda dalam satu series","OK")))))))))</f>
        <v/>
      </c>
      <c r="P16" s="11" t="n"/>
      <c r="Q16" s="11" t="n"/>
      <c r="R16" s="11">
        <f>IF(OR(P16="",Q16=""),"",IFERROR(INDEX(LAYOUT!$D$2:$D$80,MATCH(P16&amp;"|"&amp;Q16,LAYOUT!$E$2:$E$80,0)),""))</f>
        <v/>
      </c>
      <c r="S16" s="12">
        <f>IF(AND(P16="",Q16=""),IF(AND(L16="",M16="",T16="",U16=""),IF(OR($D16&lt;&gt;"",$E16&lt;&gt;""),"Belum ditempatkan",""),""),IF(P16="","CEK JENIS FIXTURE kosong",IF(LEFT(P16,4)&lt;&gt;"Wall","CEK Fixture 2 hanya Wall",IF(Q16="","CEK SHELVING KE kosong",IF(ISNA(MATCH(P16&amp;"|"&amp;Q16,LAYOUT!$E$2:$E$80,0)),"CEK SHELVING KE di luar layout",IF($I16="","CEK SERIES kosong",IF($D16="","Zona STOCK",IF($E16="","CEK SKU DESCRIPTION kosong",IF(COUNTIFS($I$2:$I$500,$I16,P$2:P$500,"&lt;&gt;"&amp;P16,P$2:P$500,"&lt;&gt;")&gt;0,"CEK jenis fixture beda dalam satu series","OK")))))))))</f>
        <v/>
      </c>
      <c r="T16" s="11" t="n"/>
      <c r="U16" s="11" t="n"/>
      <c r="V16" s="11">
        <f>IF(OR(T16="",U16=""),"",IFERROR(INDEX(LAYOUT!$D$2:$D$80,MATCH(T16&amp;"|"&amp;U16,LAYOUT!$E$2:$E$80,0)),""))</f>
        <v/>
      </c>
      <c r="W16" s="12">
        <f>IF(AND(T16="",U16=""),IF(AND(L16="",M16="",P16="",Q16=""),IF(OR($D16&lt;&gt;"",$E16&lt;&gt;""),"Belum ditempatkan",""),""),IF(T16="","CEK JENIS FIXTURE kosong",IF(LEFT(T16,4)&lt;&gt;"Wall","CEK Fixture 3 hanya Wall",IF(U16="","CEK SHELVING KE kosong",IF(ISNA(MATCH(T16&amp;"|"&amp;U16,LAYOUT!$E$2:$E$80,0)),"CEK SHELVING KE di luar layout",IF($I16="","CEK SERIES kosong",IF($D16="","Zona STOCK",IF($E16="","CEK SKU DESCRIPTION kosong",IF(COUNTIFS($I$2:$I$500,$I16,T$2:T$500,"&lt;&gt;"&amp;T16,T$2:T$500,"&lt;&gt;")&gt;0,"CEK jenis fixture beda dalam satu series","OK")))))))))</f>
        <v/>
      </c>
      <c r="X16" s="11" t="n"/>
      <c r="Y16" s="11" t="n"/>
      <c r="Z16" s="12" t="n"/>
      <c r="AA16" s="12" t="n"/>
      <c r="AB16" s="11" t="n"/>
      <c r="AC16" s="11" t="n"/>
      <c r="AD16" s="11" t="n"/>
      <c r="AE16" s="11" t="n"/>
      <c r="AF16" s="11" t="n"/>
      <c r="AG16" s="11" t="n"/>
      <c r="AH16" s="12" t="n"/>
      <c r="AI16" s="12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>
        <f>IF(OR(L17="",M17=""),"",IFERROR(INDEX(LAYOUT!$D$2:$D$80,MATCH(L17&amp;"|"&amp;M17,LAYOUT!$E$2:$E$80,0)),""))</f>
        <v/>
      </c>
      <c r="O17" s="12">
        <f>IF(AND(L17="",M17=""),IF(AND(P17="",Q17="",T17="",U17=""),IF(OR($D17&lt;&gt;"",$E17&lt;&gt;""),"Belum ditempatkan",""),""),IF(L17="","CEK JENIS FIXTURE kosong",IF(AND(LEFT(L17,7)&lt;&gt;"Gondola",LEFT(L17,6)&lt;&gt;"Endcap"),"CEK Fixture 1 hanya Gondola atau Endcap",IF(M17="","CEK SHELVING KE kosong",IF(ISNA(MATCH(L17&amp;"|"&amp;M17,LAYOUT!$E$2:$E$80,0)),"CEK SHELVING KE di luar layout",IF($I17="","CEK SERIES kosong",IF($D17="","Zona STOCK",IF($E17="","CEK SKU DESCRIPTION kosong",IF(COUNTIFS($I$2:$I$500,$I17,L$2:L$500,"&lt;&gt;"&amp;L17,L$2:L$500,"&lt;&gt;")&gt;0,"CEK jenis fixture beda dalam satu series","OK")))))))))</f>
        <v/>
      </c>
      <c r="P17" s="11" t="n"/>
      <c r="Q17" s="11" t="n"/>
      <c r="R17" s="11">
        <f>IF(OR(P17="",Q17=""),"",IFERROR(INDEX(LAYOUT!$D$2:$D$80,MATCH(P17&amp;"|"&amp;Q17,LAYOUT!$E$2:$E$80,0)),""))</f>
        <v/>
      </c>
      <c r="S17" s="12">
        <f>IF(AND(P17="",Q17=""),IF(AND(L17="",M17="",T17="",U17=""),IF(OR($D17&lt;&gt;"",$E17&lt;&gt;""),"Belum ditempatkan",""),""),IF(P17="","CEK JENIS FIXTURE kosong",IF(LEFT(P17,4)&lt;&gt;"Wall","CEK Fixture 2 hanya Wall",IF(Q17="","CEK SHELVING KE kosong",IF(ISNA(MATCH(P17&amp;"|"&amp;Q17,LAYOUT!$E$2:$E$80,0)),"CEK SHELVING KE di luar layout",IF($I17="","CEK SERIES kosong",IF($D17="","Zona STOCK",IF($E17="","CEK SKU DESCRIPTION kosong",IF(COUNTIFS($I$2:$I$500,$I17,P$2:P$500,"&lt;&gt;"&amp;P17,P$2:P$500,"&lt;&gt;")&gt;0,"CEK jenis fixture beda dalam satu series","OK")))))))))</f>
        <v/>
      </c>
      <c r="T17" s="11" t="n"/>
      <c r="U17" s="11" t="n"/>
      <c r="V17" s="11">
        <f>IF(OR(T17="",U17=""),"",IFERROR(INDEX(LAYOUT!$D$2:$D$80,MATCH(T17&amp;"|"&amp;U17,LAYOUT!$E$2:$E$80,0)),""))</f>
        <v/>
      </c>
      <c r="W17" s="12">
        <f>IF(AND(T17="",U17=""),IF(AND(L17="",M17="",P17="",Q17=""),IF(OR($D17&lt;&gt;"",$E17&lt;&gt;""),"Belum ditempatkan",""),""),IF(T17="","CEK JENIS FIXTURE kosong",IF(LEFT(T17,4)&lt;&gt;"Wall","CEK Fixture 3 hanya Wall",IF(U17="","CEK SHELVING KE kosong",IF(ISNA(MATCH(T17&amp;"|"&amp;U17,LAYOUT!$E$2:$E$80,0)),"CEK SHELVING KE di luar layout",IF($I17="","CEK SERIES kosong",IF($D17="","Zona STOCK",IF($E17="","CEK SKU DESCRIPTION kosong",IF(COUNTIFS($I$2:$I$500,$I17,T$2:T$500,"&lt;&gt;"&amp;T17,T$2:T$500,"&lt;&gt;")&gt;0,"CEK jenis fixture beda dalam satu series","OK")))))))))</f>
        <v/>
      </c>
      <c r="X17" s="11" t="n"/>
      <c r="Y17" s="11" t="n"/>
      <c r="Z17" s="12" t="n"/>
      <c r="AA17" s="12" t="n"/>
      <c r="AB17" s="11" t="n"/>
      <c r="AC17" s="11" t="n"/>
      <c r="AD17" s="11" t="n"/>
      <c r="AE17" s="11" t="n"/>
      <c r="AF17" s="11" t="n"/>
      <c r="AG17" s="11" t="n"/>
      <c r="AH17" s="12" t="n"/>
      <c r="A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>
        <f>IF(OR(L18="",M18=""),"",IFERROR(INDEX(LAYOUT!$D$2:$D$80,MATCH(L18&amp;"|"&amp;M18,LAYOUT!$E$2:$E$80,0)),""))</f>
        <v/>
      </c>
      <c r="O18" s="12">
        <f>IF(AND(L18="",M18=""),IF(AND(P18="",Q18="",T18="",U18=""),IF(OR($D18&lt;&gt;"",$E18&lt;&gt;""),"Belum ditempatkan",""),""),IF(L18="","CEK JENIS FIXTURE kosong",IF(AND(LEFT(L18,7)&lt;&gt;"Gondola",LEFT(L18,6)&lt;&gt;"Endcap"),"CEK Fixture 1 hanya Gondola atau Endcap",IF(M18="","CEK SHELVING KE kosong",IF(ISNA(MATCH(L18&amp;"|"&amp;M18,LAYOUT!$E$2:$E$80,0)),"CEK SHELVING KE di luar layout",IF($I18="","CEK SERIES kosong",IF($D18="","Zona STOCK",IF($E18="","CEK SKU DESCRIPTION kosong",IF(COUNTIFS($I$2:$I$500,$I18,L$2:L$500,"&lt;&gt;"&amp;L18,L$2:L$500,"&lt;&gt;")&gt;0,"CEK jenis fixture beda dalam satu series","OK")))))))))</f>
        <v/>
      </c>
      <c r="P18" s="11" t="n"/>
      <c r="Q18" s="11" t="n"/>
      <c r="R18" s="11">
        <f>IF(OR(P18="",Q18=""),"",IFERROR(INDEX(LAYOUT!$D$2:$D$80,MATCH(P18&amp;"|"&amp;Q18,LAYOUT!$E$2:$E$80,0)),""))</f>
        <v/>
      </c>
      <c r="S18" s="12">
        <f>IF(AND(P18="",Q18=""),IF(AND(L18="",M18="",T18="",U18=""),IF(OR($D18&lt;&gt;"",$E18&lt;&gt;""),"Belum ditempatkan",""),""),IF(P18="","CEK JENIS FIXTURE kosong",IF(LEFT(P18,4)&lt;&gt;"Wall","CEK Fixture 2 hanya Wall",IF(Q18="","CEK SHELVING KE kosong",IF(ISNA(MATCH(P18&amp;"|"&amp;Q18,LAYOUT!$E$2:$E$80,0)),"CEK SHELVING KE di luar layout",IF($I18="","CEK SERIES kosong",IF($D18="","Zona STOCK",IF($E18="","CEK SKU DESCRIPTION kosong",IF(COUNTIFS($I$2:$I$500,$I18,P$2:P$500,"&lt;&gt;"&amp;P18,P$2:P$500,"&lt;&gt;")&gt;0,"CEK jenis fixture beda dalam satu series","OK")))))))))</f>
        <v/>
      </c>
      <c r="T18" s="11" t="n"/>
      <c r="U18" s="11" t="n"/>
      <c r="V18" s="11">
        <f>IF(OR(T18="",U18=""),"",IFERROR(INDEX(LAYOUT!$D$2:$D$80,MATCH(T18&amp;"|"&amp;U18,LAYOUT!$E$2:$E$80,0)),""))</f>
        <v/>
      </c>
      <c r="W18" s="12">
        <f>IF(AND(T18="",U18=""),IF(AND(L18="",M18="",P18="",Q18=""),IF(OR($D18&lt;&gt;"",$E18&lt;&gt;""),"Belum ditempatkan",""),""),IF(T18="","CEK JENIS FIXTURE kosong",IF(LEFT(T18,4)&lt;&gt;"Wall","CEK Fixture 3 hanya Wall",IF(U18="","CEK SHELVING KE kosong",IF(ISNA(MATCH(T18&amp;"|"&amp;U18,LAYOUT!$E$2:$E$80,0)),"CEK SHELVING KE di luar layout",IF($I18="","CEK SERIES kosong",IF($D18="","Zona STOCK",IF($E18="","CEK SKU DESCRIPTION kosong",IF(COUNTIFS($I$2:$I$500,$I18,T$2:T$500,"&lt;&gt;"&amp;T18,T$2:T$500,"&lt;&gt;")&gt;0,"CEK jenis fixture beda dalam satu series","OK")))))))))</f>
        <v/>
      </c>
      <c r="X18" s="11" t="n"/>
      <c r="Y18" s="11" t="n"/>
      <c r="Z18" s="12" t="n"/>
      <c r="AA18" s="12" t="n"/>
      <c r="AB18" s="11" t="n"/>
      <c r="AC18" s="11" t="n"/>
      <c r="AD18" s="11" t="n"/>
      <c r="AE18" s="11" t="n"/>
      <c r="AF18" s="11" t="n"/>
      <c r="AG18" s="11" t="n"/>
      <c r="AH18" s="12" t="n"/>
      <c r="AI18" s="12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>
        <f>IF(OR(L19="",M19=""),"",IFERROR(INDEX(LAYOUT!$D$2:$D$80,MATCH(L19&amp;"|"&amp;M19,LAYOUT!$E$2:$E$80,0)),""))</f>
        <v/>
      </c>
      <c r="O19" s="12">
        <f>IF(AND(L19="",M19=""),IF(AND(P19="",Q19="",T19="",U19=""),IF(OR($D19&lt;&gt;"",$E19&lt;&gt;""),"Belum ditempatkan",""),""),IF(L19="","CEK JENIS FIXTURE kosong",IF(AND(LEFT(L19,7)&lt;&gt;"Gondola",LEFT(L19,6)&lt;&gt;"Endcap"),"CEK Fixture 1 hanya Gondola atau Endcap",IF(M19="","CEK SHELVING KE kosong",IF(ISNA(MATCH(L19&amp;"|"&amp;M19,LAYOUT!$E$2:$E$80,0)),"CEK SHELVING KE di luar layout",IF($I19="","CEK SERIES kosong",IF($D19="","Zona STOCK",IF($E19="","CEK SKU DESCRIPTION kosong",IF(COUNTIFS($I$2:$I$500,$I19,L$2:L$500,"&lt;&gt;"&amp;L19,L$2:L$500,"&lt;&gt;")&gt;0,"CEK jenis fixture beda dalam satu series","OK")))))))))</f>
        <v/>
      </c>
      <c r="P19" s="11" t="n"/>
      <c r="Q19" s="11" t="n"/>
      <c r="R19" s="11">
        <f>IF(OR(P19="",Q19=""),"",IFERROR(INDEX(LAYOUT!$D$2:$D$80,MATCH(P19&amp;"|"&amp;Q19,LAYOUT!$E$2:$E$80,0)),""))</f>
        <v/>
      </c>
      <c r="S19" s="12">
        <f>IF(AND(P19="",Q19=""),IF(AND(L19="",M19="",T19="",U19=""),IF(OR($D19&lt;&gt;"",$E19&lt;&gt;""),"Belum ditempatkan",""),""),IF(P19="","CEK JENIS FIXTURE kosong",IF(LEFT(P19,4)&lt;&gt;"Wall","CEK Fixture 2 hanya Wall",IF(Q19="","CEK SHELVING KE kosong",IF(ISNA(MATCH(P19&amp;"|"&amp;Q19,LAYOUT!$E$2:$E$80,0)),"CEK SHELVING KE di luar layout",IF($I19="","CEK SERIES kosong",IF($D19="","Zona STOCK",IF($E19="","CEK SKU DESCRIPTION kosong",IF(COUNTIFS($I$2:$I$500,$I19,P$2:P$500,"&lt;&gt;"&amp;P19,P$2:P$500,"&lt;&gt;")&gt;0,"CEK jenis fixture beda dalam satu series","OK")))))))))</f>
        <v/>
      </c>
      <c r="T19" s="11" t="n"/>
      <c r="U19" s="11" t="n"/>
      <c r="V19" s="11">
        <f>IF(OR(T19="",U19=""),"",IFERROR(INDEX(LAYOUT!$D$2:$D$80,MATCH(T19&amp;"|"&amp;U19,LAYOUT!$E$2:$E$80,0)),""))</f>
        <v/>
      </c>
      <c r="W19" s="12">
        <f>IF(AND(T19="",U19=""),IF(AND(L19="",M19="",P19="",Q19=""),IF(OR($D19&lt;&gt;"",$E19&lt;&gt;""),"Belum ditempatkan",""),""),IF(T19="","CEK JENIS FIXTURE kosong",IF(LEFT(T19,4)&lt;&gt;"Wall","CEK Fixture 3 hanya Wall",IF(U19="","CEK SHELVING KE kosong",IF(ISNA(MATCH(T19&amp;"|"&amp;U19,LAYOUT!$E$2:$E$80,0)),"CEK SHELVING KE di luar layout",IF($I19="","CEK SERIES kosong",IF($D19="","Zona STOCK",IF($E19="","CEK SKU DESCRIPTION kosong",IF(COUNTIFS($I$2:$I$500,$I19,T$2:T$500,"&lt;&gt;"&amp;T19,T$2:T$500,"&lt;&gt;")&gt;0,"CEK jenis fixture beda dalam satu series","OK")))))))))</f>
        <v/>
      </c>
      <c r="X19" s="11" t="n"/>
      <c r="Y19" s="11" t="n"/>
      <c r="Z19" s="12" t="n"/>
      <c r="AA19" s="12" t="n"/>
      <c r="AB19" s="11" t="n"/>
      <c r="AC19" s="11" t="n"/>
      <c r="AD19" s="11" t="n"/>
      <c r="AE19" s="11" t="n"/>
      <c r="AF19" s="11" t="n"/>
      <c r="AG19" s="11" t="n"/>
      <c r="AH19" s="12" t="n"/>
      <c r="A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>
        <f>IF(OR(L20="",M20=""),"",IFERROR(INDEX(LAYOUT!$D$2:$D$80,MATCH(L20&amp;"|"&amp;M20,LAYOUT!$E$2:$E$80,0)),""))</f>
        <v/>
      </c>
      <c r="O20" s="12">
        <f>IF(AND(L20="",M20=""),IF(AND(P20="",Q20="",T20="",U20=""),IF(OR($D20&lt;&gt;"",$E20&lt;&gt;""),"Belum ditempatkan",""),""),IF(L20="","CEK JENIS FIXTURE kosong",IF(AND(LEFT(L20,7)&lt;&gt;"Gondola",LEFT(L20,6)&lt;&gt;"Endcap"),"CEK Fixture 1 hanya Gondola atau Endcap",IF(M20="","CEK SHELVING KE kosong",IF(ISNA(MATCH(L20&amp;"|"&amp;M20,LAYOUT!$E$2:$E$80,0)),"CEK SHELVING KE di luar layout",IF($I20="","CEK SERIES kosong",IF($D20="","Zona STOCK",IF($E20="","CEK SKU DESCRIPTION kosong",IF(COUNTIFS($I$2:$I$500,$I20,L$2:L$500,"&lt;&gt;"&amp;L20,L$2:L$500,"&lt;&gt;")&gt;0,"CEK jenis fixture beda dalam satu series","OK")))))))))</f>
        <v/>
      </c>
      <c r="P20" s="11" t="n"/>
      <c r="Q20" s="11" t="n"/>
      <c r="R20" s="11">
        <f>IF(OR(P20="",Q20=""),"",IFERROR(INDEX(LAYOUT!$D$2:$D$80,MATCH(P20&amp;"|"&amp;Q20,LAYOUT!$E$2:$E$80,0)),""))</f>
        <v/>
      </c>
      <c r="S20" s="12">
        <f>IF(AND(P20="",Q20=""),IF(AND(L20="",M20="",T20="",U20=""),IF(OR($D20&lt;&gt;"",$E20&lt;&gt;""),"Belum ditempatkan",""),""),IF(P20="","CEK JENIS FIXTURE kosong",IF(LEFT(P20,4)&lt;&gt;"Wall","CEK Fixture 2 hanya Wall",IF(Q20="","CEK SHELVING KE kosong",IF(ISNA(MATCH(P20&amp;"|"&amp;Q20,LAYOUT!$E$2:$E$80,0)),"CEK SHELVING KE di luar layout",IF($I20="","CEK SERIES kosong",IF($D20="","Zona STOCK",IF($E20="","CEK SKU DESCRIPTION kosong",IF(COUNTIFS($I$2:$I$500,$I20,P$2:P$500,"&lt;&gt;"&amp;P20,P$2:P$500,"&lt;&gt;")&gt;0,"CEK jenis fixture beda dalam satu series","OK")))))))))</f>
        <v/>
      </c>
      <c r="T20" s="11" t="n"/>
      <c r="U20" s="11" t="n"/>
      <c r="V20" s="11">
        <f>IF(OR(T20="",U20=""),"",IFERROR(INDEX(LAYOUT!$D$2:$D$80,MATCH(T20&amp;"|"&amp;U20,LAYOUT!$E$2:$E$80,0)),""))</f>
        <v/>
      </c>
      <c r="W20" s="12">
        <f>IF(AND(T20="",U20=""),IF(AND(L20="",M20="",P20="",Q20=""),IF(OR($D20&lt;&gt;"",$E20&lt;&gt;""),"Belum ditempatkan",""),""),IF(T20="","CEK JENIS FIXTURE kosong",IF(LEFT(T20,4)&lt;&gt;"Wall","CEK Fixture 3 hanya Wall",IF(U20="","CEK SHELVING KE kosong",IF(ISNA(MATCH(T20&amp;"|"&amp;U20,LAYOUT!$E$2:$E$80,0)),"CEK SHELVING KE di luar layout",IF($I20="","CEK SERIES kosong",IF($D20="","Zona STOCK",IF($E20="","CEK SKU DESCRIPTION kosong",IF(COUNTIFS($I$2:$I$500,$I20,T$2:T$500,"&lt;&gt;"&amp;T20,T$2:T$500,"&lt;&gt;")&gt;0,"CEK jenis fixture beda dalam satu series","OK")))))))))</f>
        <v/>
      </c>
      <c r="X20" s="11" t="n"/>
      <c r="Y20" s="11" t="n"/>
      <c r="Z20" s="12" t="n"/>
      <c r="AA20" s="12" t="n"/>
      <c r="AB20" s="11" t="n"/>
      <c r="AC20" s="11" t="n"/>
      <c r="AD20" s="11" t="n"/>
      <c r="AE20" s="11" t="n"/>
      <c r="AF20" s="11" t="n"/>
      <c r="AG20" s="11" t="n"/>
      <c r="AH20" s="12" t="n"/>
      <c r="AI20" s="12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>
        <f>IF(OR(L21="",M21=""),"",IFERROR(INDEX(LAYOUT!$D$2:$D$80,MATCH(L21&amp;"|"&amp;M21,LAYOUT!$E$2:$E$80,0)),""))</f>
        <v/>
      </c>
      <c r="O21" s="12">
        <f>IF(AND(L21="",M21=""),IF(AND(P21="",Q21="",T21="",U21=""),IF(OR($D21&lt;&gt;"",$E21&lt;&gt;""),"Belum ditempatkan",""),""),IF(L21="","CEK JENIS FIXTURE kosong",IF(AND(LEFT(L21,7)&lt;&gt;"Gondola",LEFT(L21,6)&lt;&gt;"Endcap"),"CEK Fixture 1 hanya Gondola atau Endcap",IF(M21="","CEK SHELVING KE kosong",IF(ISNA(MATCH(L21&amp;"|"&amp;M21,LAYOUT!$E$2:$E$80,0)),"CEK SHELVING KE di luar layout",IF($I21="","CEK SERIES kosong",IF($D21="","Zona STOCK",IF($E21="","CEK SKU DESCRIPTION kosong",IF(COUNTIFS($I$2:$I$500,$I21,L$2:L$500,"&lt;&gt;"&amp;L21,L$2:L$500,"&lt;&gt;")&gt;0,"CEK jenis fixture beda dalam satu series","OK")))))))))</f>
        <v/>
      </c>
      <c r="P21" s="11" t="n"/>
      <c r="Q21" s="11" t="n"/>
      <c r="R21" s="11">
        <f>IF(OR(P21="",Q21=""),"",IFERROR(INDEX(LAYOUT!$D$2:$D$80,MATCH(P21&amp;"|"&amp;Q21,LAYOUT!$E$2:$E$80,0)),""))</f>
        <v/>
      </c>
      <c r="S21" s="12">
        <f>IF(AND(P21="",Q21=""),IF(AND(L21="",M21="",T21="",U21=""),IF(OR($D21&lt;&gt;"",$E21&lt;&gt;""),"Belum ditempatkan",""),""),IF(P21="","CEK JENIS FIXTURE kosong",IF(LEFT(P21,4)&lt;&gt;"Wall","CEK Fixture 2 hanya Wall",IF(Q21="","CEK SHELVING KE kosong",IF(ISNA(MATCH(P21&amp;"|"&amp;Q21,LAYOUT!$E$2:$E$80,0)),"CEK SHELVING KE di luar layout",IF($I21="","CEK SERIES kosong",IF($D21="","Zona STOCK",IF($E21="","CEK SKU DESCRIPTION kosong",IF(COUNTIFS($I$2:$I$500,$I21,P$2:P$500,"&lt;&gt;"&amp;P21,P$2:P$500,"&lt;&gt;")&gt;0,"CEK jenis fixture beda dalam satu series","OK")))))))))</f>
        <v/>
      </c>
      <c r="T21" s="11" t="n"/>
      <c r="U21" s="11" t="n"/>
      <c r="V21" s="11">
        <f>IF(OR(T21="",U21=""),"",IFERROR(INDEX(LAYOUT!$D$2:$D$80,MATCH(T21&amp;"|"&amp;U21,LAYOUT!$E$2:$E$80,0)),""))</f>
        <v/>
      </c>
      <c r="W21" s="12">
        <f>IF(AND(T21="",U21=""),IF(AND(L21="",M21="",P21="",Q21=""),IF(OR($D21&lt;&gt;"",$E21&lt;&gt;""),"Belum ditempatkan",""),""),IF(T21="","CEK JENIS FIXTURE kosong",IF(LEFT(T21,4)&lt;&gt;"Wall","CEK Fixture 3 hanya Wall",IF(U21="","CEK SHELVING KE kosong",IF(ISNA(MATCH(T21&amp;"|"&amp;U21,LAYOUT!$E$2:$E$80,0)),"CEK SHELVING KE di luar layout",IF($I21="","CEK SERIES kosong",IF($D21="","Zona STOCK",IF($E21="","CEK SKU DESCRIPTION kosong",IF(COUNTIFS($I$2:$I$500,$I21,T$2:T$500,"&lt;&gt;"&amp;T21,T$2:T$500,"&lt;&gt;")&gt;0,"CEK jenis fixture beda dalam satu series","OK")))))))))</f>
        <v/>
      </c>
      <c r="X21" s="11" t="n"/>
      <c r="Y21" s="11" t="n"/>
      <c r="Z21" s="12" t="n"/>
      <c r="AA21" s="12" t="n"/>
      <c r="AB21" s="11" t="n"/>
      <c r="AC21" s="11" t="n"/>
      <c r="AD21" s="11" t="n"/>
      <c r="AE21" s="11" t="n"/>
      <c r="AF21" s="11" t="n"/>
      <c r="AG21" s="11" t="n"/>
      <c r="AH21" s="12" t="n"/>
      <c r="A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>
        <f>IF(OR(L22="",M22=""),"",IFERROR(INDEX(LAYOUT!$D$2:$D$80,MATCH(L22&amp;"|"&amp;M22,LAYOUT!$E$2:$E$80,0)),""))</f>
        <v/>
      </c>
      <c r="O22" s="12">
        <f>IF(AND(L22="",M22=""),IF(AND(P22="",Q22="",T22="",U22=""),IF(OR($D22&lt;&gt;"",$E22&lt;&gt;""),"Belum ditempatkan",""),""),IF(L22="","CEK JENIS FIXTURE kosong",IF(AND(LEFT(L22,7)&lt;&gt;"Gondola",LEFT(L22,6)&lt;&gt;"Endcap"),"CEK Fixture 1 hanya Gondola atau Endcap",IF(M22="","CEK SHELVING KE kosong",IF(ISNA(MATCH(L22&amp;"|"&amp;M22,LAYOUT!$E$2:$E$80,0)),"CEK SHELVING KE di luar layout",IF($I22="","CEK SERIES kosong",IF($D22="","Zona STOCK",IF($E22="","CEK SKU DESCRIPTION kosong",IF(COUNTIFS($I$2:$I$500,$I22,L$2:L$500,"&lt;&gt;"&amp;L22,L$2:L$500,"&lt;&gt;")&gt;0,"CEK jenis fixture beda dalam satu series","OK")))))))))</f>
        <v/>
      </c>
      <c r="P22" s="11" t="n"/>
      <c r="Q22" s="11" t="n"/>
      <c r="R22" s="11">
        <f>IF(OR(P22="",Q22=""),"",IFERROR(INDEX(LAYOUT!$D$2:$D$80,MATCH(P22&amp;"|"&amp;Q22,LAYOUT!$E$2:$E$80,0)),""))</f>
        <v/>
      </c>
      <c r="S22" s="12">
        <f>IF(AND(P22="",Q22=""),IF(AND(L22="",M22="",T22="",U22=""),IF(OR($D22&lt;&gt;"",$E22&lt;&gt;""),"Belum ditempatkan",""),""),IF(P22="","CEK JENIS FIXTURE kosong",IF(LEFT(P22,4)&lt;&gt;"Wall","CEK Fixture 2 hanya Wall",IF(Q22="","CEK SHELVING KE kosong",IF(ISNA(MATCH(P22&amp;"|"&amp;Q22,LAYOUT!$E$2:$E$80,0)),"CEK SHELVING KE di luar layout",IF($I22="","CEK SERIES kosong",IF($D22="","Zona STOCK",IF($E22="","CEK SKU DESCRIPTION kosong",IF(COUNTIFS($I$2:$I$500,$I22,P$2:P$500,"&lt;&gt;"&amp;P22,P$2:P$500,"&lt;&gt;")&gt;0,"CEK jenis fixture beda dalam satu series","OK")))))))))</f>
        <v/>
      </c>
      <c r="T22" s="11" t="n"/>
      <c r="U22" s="11" t="n"/>
      <c r="V22" s="11">
        <f>IF(OR(T22="",U22=""),"",IFERROR(INDEX(LAYOUT!$D$2:$D$80,MATCH(T22&amp;"|"&amp;U22,LAYOUT!$E$2:$E$80,0)),""))</f>
        <v/>
      </c>
      <c r="W22" s="12">
        <f>IF(AND(T22="",U22=""),IF(AND(L22="",M22="",P22="",Q22=""),IF(OR($D22&lt;&gt;"",$E22&lt;&gt;""),"Belum ditempatkan",""),""),IF(T22="","CEK JENIS FIXTURE kosong",IF(LEFT(T22,4)&lt;&gt;"Wall","CEK Fixture 3 hanya Wall",IF(U22="","CEK SHELVING KE kosong",IF(ISNA(MATCH(T22&amp;"|"&amp;U22,LAYOUT!$E$2:$E$80,0)),"CEK SHELVING KE di luar layout",IF($I22="","CEK SERIES kosong",IF($D22="","Zona STOCK",IF($E22="","CEK SKU DESCRIPTION kosong",IF(COUNTIFS($I$2:$I$500,$I22,T$2:T$500,"&lt;&gt;"&amp;T22,T$2:T$500,"&lt;&gt;")&gt;0,"CEK jenis fixture beda dalam satu series","OK")))))))))</f>
        <v/>
      </c>
      <c r="X22" s="11" t="n"/>
      <c r="Y22" s="11" t="n"/>
      <c r="Z22" s="12" t="n"/>
      <c r="AA22" s="12" t="n"/>
      <c r="AB22" s="11" t="n"/>
      <c r="AC22" s="11" t="n"/>
      <c r="AD22" s="11" t="n"/>
      <c r="AE22" s="11" t="n"/>
      <c r="AF22" s="11" t="n"/>
      <c r="AG22" s="11" t="n"/>
      <c r="AH22" s="12" t="n"/>
      <c r="AI22" s="12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>
        <f>IF(OR(L23="",M23=""),"",IFERROR(INDEX(LAYOUT!$D$2:$D$80,MATCH(L23&amp;"|"&amp;M23,LAYOUT!$E$2:$E$80,0)),""))</f>
        <v/>
      </c>
      <c r="O23" s="12">
        <f>IF(AND(L23="",M23=""),IF(AND(P23="",Q23="",T23="",U23=""),IF(OR($D23&lt;&gt;"",$E23&lt;&gt;""),"Belum ditempatkan",""),""),IF(L23="","CEK JENIS FIXTURE kosong",IF(AND(LEFT(L23,7)&lt;&gt;"Gondola",LEFT(L23,6)&lt;&gt;"Endcap"),"CEK Fixture 1 hanya Gondola atau Endcap",IF(M23="","CEK SHELVING KE kosong",IF(ISNA(MATCH(L23&amp;"|"&amp;M23,LAYOUT!$E$2:$E$80,0)),"CEK SHELVING KE di luar layout",IF($I23="","CEK SERIES kosong",IF($D23="","Zona STOCK",IF($E23="","CEK SKU DESCRIPTION kosong",IF(COUNTIFS($I$2:$I$500,$I23,L$2:L$500,"&lt;&gt;"&amp;L23,L$2:L$500,"&lt;&gt;")&gt;0,"CEK jenis fixture beda dalam satu series","OK")))))))))</f>
        <v/>
      </c>
      <c r="P23" s="11" t="n"/>
      <c r="Q23" s="11" t="n"/>
      <c r="R23" s="11">
        <f>IF(OR(P23="",Q23=""),"",IFERROR(INDEX(LAYOUT!$D$2:$D$80,MATCH(P23&amp;"|"&amp;Q23,LAYOUT!$E$2:$E$80,0)),""))</f>
        <v/>
      </c>
      <c r="S23" s="12">
        <f>IF(AND(P23="",Q23=""),IF(AND(L23="",M23="",T23="",U23=""),IF(OR($D23&lt;&gt;"",$E23&lt;&gt;""),"Belum ditempatkan",""),""),IF(P23="","CEK JENIS FIXTURE kosong",IF(LEFT(P23,4)&lt;&gt;"Wall","CEK Fixture 2 hanya Wall",IF(Q23="","CEK SHELVING KE kosong",IF(ISNA(MATCH(P23&amp;"|"&amp;Q23,LAYOUT!$E$2:$E$80,0)),"CEK SHELVING KE di luar layout",IF($I23="","CEK SERIES kosong",IF($D23="","Zona STOCK",IF($E23="","CEK SKU DESCRIPTION kosong",IF(COUNTIFS($I$2:$I$500,$I23,P$2:P$500,"&lt;&gt;"&amp;P23,P$2:P$500,"&lt;&gt;")&gt;0,"CEK jenis fixture beda dalam satu series","OK")))))))))</f>
        <v/>
      </c>
      <c r="T23" s="11" t="n"/>
      <c r="U23" s="11" t="n"/>
      <c r="V23" s="11">
        <f>IF(OR(T23="",U23=""),"",IFERROR(INDEX(LAYOUT!$D$2:$D$80,MATCH(T23&amp;"|"&amp;U23,LAYOUT!$E$2:$E$80,0)),""))</f>
        <v/>
      </c>
      <c r="W23" s="12">
        <f>IF(AND(T23="",U23=""),IF(AND(L23="",M23="",P23="",Q23=""),IF(OR($D23&lt;&gt;"",$E23&lt;&gt;""),"Belum ditempatkan",""),""),IF(T23="","CEK JENIS FIXTURE kosong",IF(LEFT(T23,4)&lt;&gt;"Wall","CEK Fixture 3 hanya Wall",IF(U23="","CEK SHELVING KE kosong",IF(ISNA(MATCH(T23&amp;"|"&amp;U23,LAYOUT!$E$2:$E$80,0)),"CEK SHELVING KE di luar layout",IF($I23="","CEK SERIES kosong",IF($D23="","Zona STOCK",IF($E23="","CEK SKU DESCRIPTION kosong",IF(COUNTIFS($I$2:$I$500,$I23,T$2:T$500,"&lt;&gt;"&amp;T23,T$2:T$500,"&lt;&gt;")&gt;0,"CEK jenis fixture beda dalam satu series","OK")))))))))</f>
        <v/>
      </c>
      <c r="X23" s="11" t="n"/>
      <c r="Y23" s="11" t="n"/>
      <c r="Z23" s="12" t="n"/>
      <c r="AA23" s="12" t="n"/>
      <c r="AB23" s="11" t="n"/>
      <c r="AC23" s="11" t="n"/>
      <c r="AD23" s="11" t="n"/>
      <c r="AE23" s="11" t="n"/>
      <c r="AF23" s="11" t="n"/>
      <c r="AG23" s="11" t="n"/>
      <c r="AH23" s="12" t="n"/>
      <c r="A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>
        <f>IF(OR(L24="",M24=""),"",IFERROR(INDEX(LAYOUT!$D$2:$D$80,MATCH(L24&amp;"|"&amp;M24,LAYOUT!$E$2:$E$80,0)),""))</f>
        <v/>
      </c>
      <c r="O24" s="12">
        <f>IF(AND(L24="",M24=""),IF(AND(P24="",Q24="",T24="",U24=""),IF(OR($D24&lt;&gt;"",$E24&lt;&gt;""),"Belum ditempatkan",""),""),IF(L24="","CEK JENIS FIXTURE kosong",IF(AND(LEFT(L24,7)&lt;&gt;"Gondola",LEFT(L24,6)&lt;&gt;"Endcap"),"CEK Fixture 1 hanya Gondola atau Endcap",IF(M24="","CEK SHELVING KE kosong",IF(ISNA(MATCH(L24&amp;"|"&amp;M24,LAYOUT!$E$2:$E$80,0)),"CEK SHELVING KE di luar layout",IF($I24="","CEK SERIES kosong",IF($D24="","Zona STOCK",IF($E24="","CEK SKU DESCRIPTION kosong",IF(COUNTIFS($I$2:$I$500,$I24,L$2:L$500,"&lt;&gt;"&amp;L24,L$2:L$500,"&lt;&gt;")&gt;0,"CEK jenis fixture beda dalam satu series","OK")))))))))</f>
        <v/>
      </c>
      <c r="P24" s="11" t="n"/>
      <c r="Q24" s="11" t="n"/>
      <c r="R24" s="11">
        <f>IF(OR(P24="",Q24=""),"",IFERROR(INDEX(LAYOUT!$D$2:$D$80,MATCH(P24&amp;"|"&amp;Q24,LAYOUT!$E$2:$E$80,0)),""))</f>
        <v/>
      </c>
      <c r="S24" s="12">
        <f>IF(AND(P24="",Q24=""),IF(AND(L24="",M24="",T24="",U24=""),IF(OR($D24&lt;&gt;"",$E24&lt;&gt;""),"Belum ditempatkan",""),""),IF(P24="","CEK JENIS FIXTURE kosong",IF(LEFT(P24,4)&lt;&gt;"Wall","CEK Fixture 2 hanya Wall",IF(Q24="","CEK SHELVING KE kosong",IF(ISNA(MATCH(P24&amp;"|"&amp;Q24,LAYOUT!$E$2:$E$80,0)),"CEK SHELVING KE di luar layout",IF($I24="","CEK SERIES kosong",IF($D24="","Zona STOCK",IF($E24="","CEK SKU DESCRIPTION kosong",IF(COUNTIFS($I$2:$I$500,$I24,P$2:P$500,"&lt;&gt;"&amp;P24,P$2:P$500,"&lt;&gt;")&gt;0,"CEK jenis fixture beda dalam satu series","OK")))))))))</f>
        <v/>
      </c>
      <c r="T24" s="11" t="n"/>
      <c r="U24" s="11" t="n"/>
      <c r="V24" s="11">
        <f>IF(OR(T24="",U24=""),"",IFERROR(INDEX(LAYOUT!$D$2:$D$80,MATCH(T24&amp;"|"&amp;U24,LAYOUT!$E$2:$E$80,0)),""))</f>
        <v/>
      </c>
      <c r="W24" s="12">
        <f>IF(AND(T24="",U24=""),IF(AND(L24="",M24="",P24="",Q24=""),IF(OR($D24&lt;&gt;"",$E24&lt;&gt;""),"Belum ditempatkan",""),""),IF(T24="","CEK JENIS FIXTURE kosong",IF(LEFT(T24,4)&lt;&gt;"Wall","CEK Fixture 3 hanya Wall",IF(U24="","CEK SHELVING KE kosong",IF(ISNA(MATCH(T24&amp;"|"&amp;U24,LAYOUT!$E$2:$E$80,0)),"CEK SHELVING KE di luar layout",IF($I24="","CEK SERIES kosong",IF($D24="","Zona STOCK",IF($E24="","CEK SKU DESCRIPTION kosong",IF(COUNTIFS($I$2:$I$500,$I24,T$2:T$500,"&lt;&gt;"&amp;T24,T$2:T$500,"&lt;&gt;")&gt;0,"CEK jenis fixture beda dalam satu series","OK")))))))))</f>
        <v/>
      </c>
      <c r="X24" s="11" t="n"/>
      <c r="Y24" s="11" t="n"/>
      <c r="Z24" s="12" t="n"/>
      <c r="AA24" s="12" t="n"/>
      <c r="AB24" s="11" t="n"/>
      <c r="AC24" s="11" t="n"/>
      <c r="AD24" s="11" t="n"/>
      <c r="AE24" s="11" t="n"/>
      <c r="AF24" s="11" t="n"/>
      <c r="AG24" s="11" t="n"/>
      <c r="AH24" s="12" t="n"/>
      <c r="AI24" s="12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>
        <f>IF(OR(L25="",M25=""),"",IFERROR(INDEX(LAYOUT!$D$2:$D$80,MATCH(L25&amp;"|"&amp;M25,LAYOUT!$E$2:$E$80,0)),""))</f>
        <v/>
      </c>
      <c r="O25" s="12">
        <f>IF(AND(L25="",M25=""),IF(AND(P25="",Q25="",T25="",U25=""),IF(OR($D25&lt;&gt;"",$E25&lt;&gt;""),"Belum ditempatkan",""),""),IF(L25="","CEK JENIS FIXTURE kosong",IF(AND(LEFT(L25,7)&lt;&gt;"Gondola",LEFT(L25,6)&lt;&gt;"Endcap"),"CEK Fixture 1 hanya Gondola atau Endcap",IF(M25="","CEK SHELVING KE kosong",IF(ISNA(MATCH(L25&amp;"|"&amp;M25,LAYOUT!$E$2:$E$80,0)),"CEK SHELVING KE di luar layout",IF($I25="","CEK SERIES kosong",IF($D25="","Zona STOCK",IF($E25="","CEK SKU DESCRIPTION kosong",IF(COUNTIFS($I$2:$I$500,$I25,L$2:L$500,"&lt;&gt;"&amp;L25,L$2:L$500,"&lt;&gt;")&gt;0,"CEK jenis fixture beda dalam satu series","OK")))))))))</f>
        <v/>
      </c>
      <c r="P25" s="11" t="n"/>
      <c r="Q25" s="11" t="n"/>
      <c r="R25" s="11">
        <f>IF(OR(P25="",Q25=""),"",IFERROR(INDEX(LAYOUT!$D$2:$D$80,MATCH(P25&amp;"|"&amp;Q25,LAYOUT!$E$2:$E$80,0)),""))</f>
        <v/>
      </c>
      <c r="S25" s="12">
        <f>IF(AND(P25="",Q25=""),IF(AND(L25="",M25="",T25="",U25=""),IF(OR($D25&lt;&gt;"",$E25&lt;&gt;""),"Belum ditempatkan",""),""),IF(P25="","CEK JENIS FIXTURE kosong",IF(LEFT(P25,4)&lt;&gt;"Wall","CEK Fixture 2 hanya Wall",IF(Q25="","CEK SHELVING KE kosong",IF(ISNA(MATCH(P25&amp;"|"&amp;Q25,LAYOUT!$E$2:$E$80,0)),"CEK SHELVING KE di luar layout",IF($I25="","CEK SERIES kosong",IF($D25="","Zona STOCK",IF($E25="","CEK SKU DESCRIPTION kosong",IF(COUNTIFS($I$2:$I$500,$I25,P$2:P$500,"&lt;&gt;"&amp;P25,P$2:P$500,"&lt;&gt;")&gt;0,"CEK jenis fixture beda dalam satu series","OK")))))))))</f>
        <v/>
      </c>
      <c r="T25" s="11" t="n"/>
      <c r="U25" s="11" t="n"/>
      <c r="V25" s="11">
        <f>IF(OR(T25="",U25=""),"",IFERROR(INDEX(LAYOUT!$D$2:$D$80,MATCH(T25&amp;"|"&amp;U25,LAYOUT!$E$2:$E$80,0)),""))</f>
        <v/>
      </c>
      <c r="W25" s="12">
        <f>IF(AND(T25="",U25=""),IF(AND(L25="",M25="",P25="",Q25=""),IF(OR($D25&lt;&gt;"",$E25&lt;&gt;""),"Belum ditempatkan",""),""),IF(T25="","CEK JENIS FIXTURE kosong",IF(LEFT(T25,4)&lt;&gt;"Wall","CEK Fixture 3 hanya Wall",IF(U25="","CEK SHELVING KE kosong",IF(ISNA(MATCH(T25&amp;"|"&amp;U25,LAYOUT!$E$2:$E$80,0)),"CEK SHELVING KE di luar layout",IF($I25="","CEK SERIES kosong",IF($D25="","Zona STOCK",IF($E25="","CEK SKU DESCRIPTION kosong",IF(COUNTIFS($I$2:$I$500,$I25,T$2:T$500,"&lt;&gt;"&amp;T25,T$2:T$500,"&lt;&gt;")&gt;0,"CEK jenis fixture beda dalam satu series","OK")))))))))</f>
        <v/>
      </c>
      <c r="X25" s="11" t="n"/>
      <c r="Y25" s="11" t="n"/>
      <c r="Z25" s="12" t="n"/>
      <c r="AA25" s="12" t="n"/>
      <c r="AB25" s="11" t="n"/>
      <c r="AC25" s="11" t="n"/>
      <c r="AD25" s="11" t="n"/>
      <c r="AE25" s="11" t="n"/>
      <c r="AF25" s="11" t="n"/>
      <c r="AG25" s="11" t="n"/>
      <c r="AH25" s="12" t="n"/>
      <c r="A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>
        <f>IF(OR(L26="",M26=""),"",IFERROR(INDEX(LAYOUT!$D$2:$D$80,MATCH(L26&amp;"|"&amp;M26,LAYOUT!$E$2:$E$80,0)),""))</f>
        <v/>
      </c>
      <c r="O26" s="12">
        <f>IF(AND(L26="",M26=""),IF(AND(P26="",Q26="",T26="",U26=""),IF(OR($D26&lt;&gt;"",$E26&lt;&gt;""),"Belum ditempatkan",""),""),IF(L26="","CEK JENIS FIXTURE kosong",IF(AND(LEFT(L26,7)&lt;&gt;"Gondola",LEFT(L26,6)&lt;&gt;"Endcap"),"CEK Fixture 1 hanya Gondola atau Endcap",IF(M26="","CEK SHELVING KE kosong",IF(ISNA(MATCH(L26&amp;"|"&amp;M26,LAYOUT!$E$2:$E$80,0)),"CEK SHELVING KE di luar layout",IF($I26="","CEK SERIES kosong",IF($D26="","Zona STOCK",IF($E26="","CEK SKU DESCRIPTION kosong",IF(COUNTIFS($I$2:$I$500,$I26,L$2:L$500,"&lt;&gt;"&amp;L26,L$2:L$500,"&lt;&gt;")&gt;0,"CEK jenis fixture beda dalam satu series","OK")))))))))</f>
        <v/>
      </c>
      <c r="P26" s="11" t="n"/>
      <c r="Q26" s="11" t="n"/>
      <c r="R26" s="11">
        <f>IF(OR(P26="",Q26=""),"",IFERROR(INDEX(LAYOUT!$D$2:$D$80,MATCH(P26&amp;"|"&amp;Q26,LAYOUT!$E$2:$E$80,0)),""))</f>
        <v/>
      </c>
      <c r="S26" s="12">
        <f>IF(AND(P26="",Q26=""),IF(AND(L26="",M26="",T26="",U26=""),IF(OR($D26&lt;&gt;"",$E26&lt;&gt;""),"Belum ditempatkan",""),""),IF(P26="","CEK JENIS FIXTURE kosong",IF(LEFT(P26,4)&lt;&gt;"Wall","CEK Fixture 2 hanya Wall",IF(Q26="","CEK SHELVING KE kosong",IF(ISNA(MATCH(P26&amp;"|"&amp;Q26,LAYOUT!$E$2:$E$80,0)),"CEK SHELVING KE di luar layout",IF($I26="","CEK SERIES kosong",IF($D26="","Zona STOCK",IF($E26="","CEK SKU DESCRIPTION kosong",IF(COUNTIFS($I$2:$I$500,$I26,P$2:P$500,"&lt;&gt;"&amp;P26,P$2:P$500,"&lt;&gt;")&gt;0,"CEK jenis fixture beda dalam satu series","OK")))))))))</f>
        <v/>
      </c>
      <c r="T26" s="11" t="n"/>
      <c r="U26" s="11" t="n"/>
      <c r="V26" s="11">
        <f>IF(OR(T26="",U26=""),"",IFERROR(INDEX(LAYOUT!$D$2:$D$80,MATCH(T26&amp;"|"&amp;U26,LAYOUT!$E$2:$E$80,0)),""))</f>
        <v/>
      </c>
      <c r="W26" s="12">
        <f>IF(AND(T26="",U26=""),IF(AND(L26="",M26="",P26="",Q26=""),IF(OR($D26&lt;&gt;"",$E26&lt;&gt;""),"Belum ditempatkan",""),""),IF(T26="","CEK JENIS FIXTURE kosong",IF(LEFT(T26,4)&lt;&gt;"Wall","CEK Fixture 3 hanya Wall",IF(U26="","CEK SHELVING KE kosong",IF(ISNA(MATCH(T26&amp;"|"&amp;U26,LAYOUT!$E$2:$E$80,0)),"CEK SHELVING KE di luar layout",IF($I26="","CEK SERIES kosong",IF($D26="","Zona STOCK",IF($E26="","CEK SKU DESCRIPTION kosong",IF(COUNTIFS($I$2:$I$500,$I26,T$2:T$500,"&lt;&gt;"&amp;T26,T$2:T$500,"&lt;&gt;")&gt;0,"CEK jenis fixture beda dalam satu series","OK")))))))))</f>
        <v/>
      </c>
      <c r="X26" s="11" t="n"/>
      <c r="Y26" s="11" t="n"/>
      <c r="Z26" s="12" t="n"/>
      <c r="AA26" s="12" t="n"/>
      <c r="AB26" s="11" t="n"/>
      <c r="AC26" s="11" t="n"/>
      <c r="AD26" s="11" t="n"/>
      <c r="AE26" s="11" t="n"/>
      <c r="AF26" s="11" t="n"/>
      <c r="AG26" s="11" t="n"/>
      <c r="AH26" s="12" t="n"/>
      <c r="AI26" s="12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>
        <f>IF(OR(L27="",M27=""),"",IFERROR(INDEX(LAYOUT!$D$2:$D$80,MATCH(L27&amp;"|"&amp;M27,LAYOUT!$E$2:$E$80,0)),""))</f>
        <v/>
      </c>
      <c r="O27" s="12">
        <f>IF(AND(L27="",M27=""),IF(AND(P27="",Q27="",T27="",U27=""),IF(OR($D27&lt;&gt;"",$E27&lt;&gt;""),"Belum ditempatkan",""),""),IF(L27="","CEK JENIS FIXTURE kosong",IF(AND(LEFT(L27,7)&lt;&gt;"Gondola",LEFT(L27,6)&lt;&gt;"Endcap"),"CEK Fixture 1 hanya Gondola atau Endcap",IF(M27="","CEK SHELVING KE kosong",IF(ISNA(MATCH(L27&amp;"|"&amp;M27,LAYOUT!$E$2:$E$80,0)),"CEK SHELVING KE di luar layout",IF($I27="","CEK SERIES kosong",IF($D27="","Zona STOCK",IF($E27="","CEK SKU DESCRIPTION kosong",IF(COUNTIFS($I$2:$I$500,$I27,L$2:L$500,"&lt;&gt;"&amp;L27,L$2:L$500,"&lt;&gt;")&gt;0,"CEK jenis fixture beda dalam satu series","OK")))))))))</f>
        <v/>
      </c>
      <c r="P27" s="11" t="n"/>
      <c r="Q27" s="11" t="n"/>
      <c r="R27" s="11">
        <f>IF(OR(P27="",Q27=""),"",IFERROR(INDEX(LAYOUT!$D$2:$D$80,MATCH(P27&amp;"|"&amp;Q27,LAYOUT!$E$2:$E$80,0)),""))</f>
        <v/>
      </c>
      <c r="S27" s="12">
        <f>IF(AND(P27="",Q27=""),IF(AND(L27="",M27="",T27="",U27=""),IF(OR($D27&lt;&gt;"",$E27&lt;&gt;""),"Belum ditempatkan",""),""),IF(P27="","CEK JENIS FIXTURE kosong",IF(LEFT(P27,4)&lt;&gt;"Wall","CEK Fixture 2 hanya Wall",IF(Q27="","CEK SHELVING KE kosong",IF(ISNA(MATCH(P27&amp;"|"&amp;Q27,LAYOUT!$E$2:$E$80,0)),"CEK SHELVING KE di luar layout",IF($I27="","CEK SERIES kosong",IF($D27="","Zona STOCK",IF($E27="","CEK SKU DESCRIPTION kosong",IF(COUNTIFS($I$2:$I$500,$I27,P$2:P$500,"&lt;&gt;"&amp;P27,P$2:P$500,"&lt;&gt;")&gt;0,"CEK jenis fixture beda dalam satu series","OK")))))))))</f>
        <v/>
      </c>
      <c r="T27" s="11" t="n"/>
      <c r="U27" s="11" t="n"/>
      <c r="V27" s="11">
        <f>IF(OR(T27="",U27=""),"",IFERROR(INDEX(LAYOUT!$D$2:$D$80,MATCH(T27&amp;"|"&amp;U27,LAYOUT!$E$2:$E$80,0)),""))</f>
        <v/>
      </c>
      <c r="W27" s="12">
        <f>IF(AND(T27="",U27=""),IF(AND(L27="",M27="",P27="",Q27=""),IF(OR($D27&lt;&gt;"",$E27&lt;&gt;""),"Belum ditempatkan",""),""),IF(T27="","CEK JENIS FIXTURE kosong",IF(LEFT(T27,4)&lt;&gt;"Wall","CEK Fixture 3 hanya Wall",IF(U27="","CEK SHELVING KE kosong",IF(ISNA(MATCH(T27&amp;"|"&amp;U27,LAYOUT!$E$2:$E$80,0)),"CEK SHELVING KE di luar layout",IF($I27="","CEK SERIES kosong",IF($D27="","Zona STOCK",IF($E27="","CEK SKU DESCRIPTION kosong",IF(COUNTIFS($I$2:$I$500,$I27,T$2:T$500,"&lt;&gt;"&amp;T27,T$2:T$500,"&lt;&gt;")&gt;0,"CEK jenis fixture beda dalam satu series","OK")))))))))</f>
        <v/>
      </c>
      <c r="X27" s="11" t="n"/>
      <c r="Y27" s="11" t="n"/>
      <c r="Z27" s="12" t="n"/>
      <c r="AA27" s="12" t="n"/>
      <c r="AB27" s="11" t="n"/>
      <c r="AC27" s="11" t="n"/>
      <c r="AD27" s="11" t="n"/>
      <c r="AE27" s="11" t="n"/>
      <c r="AF27" s="11" t="n"/>
      <c r="AG27" s="11" t="n"/>
      <c r="AH27" s="12" t="n"/>
      <c r="A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>
        <f>IF(OR(L28="",M28=""),"",IFERROR(INDEX(LAYOUT!$D$2:$D$80,MATCH(L28&amp;"|"&amp;M28,LAYOUT!$E$2:$E$80,0)),""))</f>
        <v/>
      </c>
      <c r="O28" s="12">
        <f>IF(AND(L28="",M28=""),IF(AND(P28="",Q28="",T28="",U28=""),IF(OR($D28&lt;&gt;"",$E28&lt;&gt;""),"Belum ditempatkan",""),""),IF(L28="","CEK JENIS FIXTURE kosong",IF(AND(LEFT(L28,7)&lt;&gt;"Gondola",LEFT(L28,6)&lt;&gt;"Endcap"),"CEK Fixture 1 hanya Gondola atau Endcap",IF(M28="","CEK SHELVING KE kosong",IF(ISNA(MATCH(L28&amp;"|"&amp;M28,LAYOUT!$E$2:$E$80,0)),"CEK SHELVING KE di luar layout",IF($I28="","CEK SERIES kosong",IF($D28="","Zona STOCK",IF($E28="","CEK SKU DESCRIPTION kosong",IF(COUNTIFS($I$2:$I$500,$I28,L$2:L$500,"&lt;&gt;"&amp;L28,L$2:L$500,"&lt;&gt;")&gt;0,"CEK jenis fixture beda dalam satu series","OK")))))))))</f>
        <v/>
      </c>
      <c r="P28" s="11" t="n"/>
      <c r="Q28" s="11" t="n"/>
      <c r="R28" s="11">
        <f>IF(OR(P28="",Q28=""),"",IFERROR(INDEX(LAYOUT!$D$2:$D$80,MATCH(P28&amp;"|"&amp;Q28,LAYOUT!$E$2:$E$80,0)),""))</f>
        <v/>
      </c>
      <c r="S28" s="12">
        <f>IF(AND(P28="",Q28=""),IF(AND(L28="",M28="",T28="",U28=""),IF(OR($D28&lt;&gt;"",$E28&lt;&gt;""),"Belum ditempatkan",""),""),IF(P28="","CEK JENIS FIXTURE kosong",IF(LEFT(P28,4)&lt;&gt;"Wall","CEK Fixture 2 hanya Wall",IF(Q28="","CEK SHELVING KE kosong",IF(ISNA(MATCH(P28&amp;"|"&amp;Q28,LAYOUT!$E$2:$E$80,0)),"CEK SHELVING KE di luar layout",IF($I28="","CEK SERIES kosong",IF($D28="","Zona STOCK",IF($E28="","CEK SKU DESCRIPTION kosong",IF(COUNTIFS($I$2:$I$500,$I28,P$2:P$500,"&lt;&gt;"&amp;P28,P$2:P$500,"&lt;&gt;")&gt;0,"CEK jenis fixture beda dalam satu series","OK")))))))))</f>
        <v/>
      </c>
      <c r="T28" s="11" t="n"/>
      <c r="U28" s="11" t="n"/>
      <c r="V28" s="11">
        <f>IF(OR(T28="",U28=""),"",IFERROR(INDEX(LAYOUT!$D$2:$D$80,MATCH(T28&amp;"|"&amp;U28,LAYOUT!$E$2:$E$80,0)),""))</f>
        <v/>
      </c>
      <c r="W28" s="12">
        <f>IF(AND(T28="",U28=""),IF(AND(L28="",M28="",P28="",Q28=""),IF(OR($D28&lt;&gt;"",$E28&lt;&gt;""),"Belum ditempatkan",""),""),IF(T28="","CEK JENIS FIXTURE kosong",IF(LEFT(T28,4)&lt;&gt;"Wall","CEK Fixture 3 hanya Wall",IF(U28="","CEK SHELVING KE kosong",IF(ISNA(MATCH(T28&amp;"|"&amp;U28,LAYOUT!$E$2:$E$80,0)),"CEK SHELVING KE di luar layout",IF($I28="","CEK SERIES kosong",IF($D28="","Zona STOCK",IF($E28="","CEK SKU DESCRIPTION kosong",IF(COUNTIFS($I$2:$I$500,$I28,T$2:T$500,"&lt;&gt;"&amp;T28,T$2:T$500,"&lt;&gt;")&gt;0,"CEK jenis fixture beda dalam satu series","OK")))))))))</f>
        <v/>
      </c>
      <c r="X28" s="11" t="n"/>
      <c r="Y28" s="11" t="n"/>
      <c r="Z28" s="12" t="n"/>
      <c r="AA28" s="12" t="n"/>
      <c r="AB28" s="11" t="n"/>
      <c r="AC28" s="11" t="n"/>
      <c r="AD28" s="11" t="n"/>
      <c r="AE28" s="11" t="n"/>
      <c r="AF28" s="11" t="n"/>
      <c r="AG28" s="11" t="n"/>
      <c r="AH28" s="12" t="n"/>
      <c r="AI28" s="12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>
        <f>IF(OR(L29="",M29=""),"",IFERROR(INDEX(LAYOUT!$D$2:$D$80,MATCH(L29&amp;"|"&amp;M29,LAYOUT!$E$2:$E$80,0)),""))</f>
        <v/>
      </c>
      <c r="O29" s="12">
        <f>IF(AND(L29="",M29=""),IF(AND(P29="",Q29="",T29="",U29=""),IF(OR($D29&lt;&gt;"",$E29&lt;&gt;""),"Belum ditempatkan",""),""),IF(L29="","CEK JENIS FIXTURE kosong",IF(AND(LEFT(L29,7)&lt;&gt;"Gondola",LEFT(L29,6)&lt;&gt;"Endcap"),"CEK Fixture 1 hanya Gondola atau Endcap",IF(M29="","CEK SHELVING KE kosong",IF(ISNA(MATCH(L29&amp;"|"&amp;M29,LAYOUT!$E$2:$E$80,0)),"CEK SHELVING KE di luar layout",IF($I29="","CEK SERIES kosong",IF($D29="","Zona STOCK",IF($E29="","CEK SKU DESCRIPTION kosong",IF(COUNTIFS($I$2:$I$500,$I29,L$2:L$500,"&lt;&gt;"&amp;L29,L$2:L$500,"&lt;&gt;")&gt;0,"CEK jenis fixture beda dalam satu series","OK")))))))))</f>
        <v/>
      </c>
      <c r="P29" s="11" t="n"/>
      <c r="Q29" s="11" t="n"/>
      <c r="R29" s="11">
        <f>IF(OR(P29="",Q29=""),"",IFERROR(INDEX(LAYOUT!$D$2:$D$80,MATCH(P29&amp;"|"&amp;Q29,LAYOUT!$E$2:$E$80,0)),""))</f>
        <v/>
      </c>
      <c r="S29" s="12">
        <f>IF(AND(P29="",Q29=""),IF(AND(L29="",M29="",T29="",U29=""),IF(OR($D29&lt;&gt;"",$E29&lt;&gt;""),"Belum ditempatkan",""),""),IF(P29="","CEK JENIS FIXTURE kosong",IF(LEFT(P29,4)&lt;&gt;"Wall","CEK Fixture 2 hanya Wall",IF(Q29="","CEK SHELVING KE kosong",IF(ISNA(MATCH(P29&amp;"|"&amp;Q29,LAYOUT!$E$2:$E$80,0)),"CEK SHELVING KE di luar layout",IF($I29="","CEK SERIES kosong",IF($D29="","Zona STOCK",IF($E29="","CEK SKU DESCRIPTION kosong",IF(COUNTIFS($I$2:$I$500,$I29,P$2:P$500,"&lt;&gt;"&amp;P29,P$2:P$500,"&lt;&gt;")&gt;0,"CEK jenis fixture beda dalam satu series","OK")))))))))</f>
        <v/>
      </c>
      <c r="T29" s="11" t="n"/>
      <c r="U29" s="11" t="n"/>
      <c r="V29" s="11">
        <f>IF(OR(T29="",U29=""),"",IFERROR(INDEX(LAYOUT!$D$2:$D$80,MATCH(T29&amp;"|"&amp;U29,LAYOUT!$E$2:$E$80,0)),""))</f>
        <v/>
      </c>
      <c r="W29" s="12">
        <f>IF(AND(T29="",U29=""),IF(AND(L29="",M29="",P29="",Q29=""),IF(OR($D29&lt;&gt;"",$E29&lt;&gt;""),"Belum ditempatkan",""),""),IF(T29="","CEK JENIS FIXTURE kosong",IF(LEFT(T29,4)&lt;&gt;"Wall","CEK Fixture 3 hanya Wall",IF(U29="","CEK SHELVING KE kosong",IF(ISNA(MATCH(T29&amp;"|"&amp;U29,LAYOUT!$E$2:$E$80,0)),"CEK SHELVING KE di luar layout",IF($I29="","CEK SERIES kosong",IF($D29="","Zona STOCK",IF($E29="","CEK SKU DESCRIPTION kosong",IF(COUNTIFS($I$2:$I$500,$I29,T$2:T$500,"&lt;&gt;"&amp;T29,T$2:T$500,"&lt;&gt;")&gt;0,"CEK jenis fixture beda dalam satu series","OK")))))))))</f>
        <v/>
      </c>
      <c r="X29" s="11" t="n"/>
      <c r="Y29" s="11" t="n"/>
      <c r="Z29" s="12" t="n"/>
      <c r="AA29" s="12" t="n"/>
      <c r="AB29" s="11" t="n"/>
      <c r="AC29" s="11" t="n"/>
      <c r="AD29" s="11" t="n"/>
      <c r="AE29" s="11" t="n"/>
      <c r="AF29" s="11" t="n"/>
      <c r="AG29" s="11" t="n"/>
      <c r="AH29" s="12" t="n"/>
      <c r="AI29" s="12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>
        <f>IF(OR(L30="",M30=""),"",IFERROR(INDEX(LAYOUT!$D$2:$D$80,MATCH(L30&amp;"|"&amp;M30,LAYOUT!$E$2:$E$80,0)),""))</f>
        <v/>
      </c>
      <c r="O30" s="12">
        <f>IF(AND(L30="",M30=""),IF(AND(P30="",Q30="",T30="",U30=""),IF(OR($D30&lt;&gt;"",$E30&lt;&gt;""),"Belum ditempatkan",""),""),IF(L30="","CEK JENIS FIXTURE kosong",IF(AND(LEFT(L30,7)&lt;&gt;"Gondola",LEFT(L30,6)&lt;&gt;"Endcap"),"CEK Fixture 1 hanya Gondola atau Endcap",IF(M30="","CEK SHELVING KE kosong",IF(ISNA(MATCH(L30&amp;"|"&amp;M30,LAYOUT!$E$2:$E$80,0)),"CEK SHELVING KE di luar layout",IF($I30="","CEK SERIES kosong",IF($D30="","Zona STOCK",IF($E30="","CEK SKU DESCRIPTION kosong",IF(COUNTIFS($I$2:$I$500,$I30,L$2:L$500,"&lt;&gt;"&amp;L30,L$2:L$500,"&lt;&gt;")&gt;0,"CEK jenis fixture beda dalam satu series","OK")))))))))</f>
        <v/>
      </c>
      <c r="P30" s="11" t="n"/>
      <c r="Q30" s="11" t="n"/>
      <c r="R30" s="11">
        <f>IF(OR(P30="",Q30=""),"",IFERROR(INDEX(LAYOUT!$D$2:$D$80,MATCH(P30&amp;"|"&amp;Q30,LAYOUT!$E$2:$E$80,0)),""))</f>
        <v/>
      </c>
      <c r="S30" s="12">
        <f>IF(AND(P30="",Q30=""),IF(AND(L30="",M30="",T30="",U30=""),IF(OR($D30&lt;&gt;"",$E30&lt;&gt;""),"Belum ditempatkan",""),""),IF(P30="","CEK JENIS FIXTURE kosong",IF(LEFT(P30,4)&lt;&gt;"Wall","CEK Fixture 2 hanya Wall",IF(Q30="","CEK SHELVING KE kosong",IF(ISNA(MATCH(P30&amp;"|"&amp;Q30,LAYOUT!$E$2:$E$80,0)),"CEK SHELVING KE di luar layout",IF($I30="","CEK SERIES kosong",IF($D30="","Zona STOCK",IF($E30="","CEK SKU DESCRIPTION kosong",IF(COUNTIFS($I$2:$I$500,$I30,P$2:P$500,"&lt;&gt;"&amp;P30,P$2:P$500,"&lt;&gt;")&gt;0,"CEK jenis fixture beda dalam satu series","OK")))))))))</f>
        <v/>
      </c>
      <c r="T30" s="11" t="n"/>
      <c r="U30" s="11" t="n"/>
      <c r="V30" s="11">
        <f>IF(OR(T30="",U30=""),"",IFERROR(INDEX(LAYOUT!$D$2:$D$80,MATCH(T30&amp;"|"&amp;U30,LAYOUT!$E$2:$E$80,0)),""))</f>
        <v/>
      </c>
      <c r="W30" s="12">
        <f>IF(AND(T30="",U30=""),IF(AND(L30="",M30="",P30="",Q30=""),IF(OR($D30&lt;&gt;"",$E30&lt;&gt;""),"Belum ditempatkan",""),""),IF(T30="","CEK JENIS FIXTURE kosong",IF(LEFT(T30,4)&lt;&gt;"Wall","CEK Fixture 3 hanya Wall",IF(U30="","CEK SHELVING KE kosong",IF(ISNA(MATCH(T30&amp;"|"&amp;U30,LAYOUT!$E$2:$E$80,0)),"CEK SHELVING KE di luar layout",IF($I30="","CEK SERIES kosong",IF($D30="","Zona STOCK",IF($E30="","CEK SKU DESCRIPTION kosong",IF(COUNTIFS($I$2:$I$500,$I30,T$2:T$500,"&lt;&gt;"&amp;T30,T$2:T$500,"&lt;&gt;")&gt;0,"CEK jenis fixture beda dalam satu series","OK")))))))))</f>
        <v/>
      </c>
      <c r="X30" s="11" t="n"/>
      <c r="Y30" s="11" t="n"/>
      <c r="Z30" s="12" t="n"/>
      <c r="AA30" s="12" t="n"/>
      <c r="AB30" s="11" t="n"/>
      <c r="AC30" s="11" t="n"/>
      <c r="AD30" s="11" t="n"/>
      <c r="AE30" s="11" t="n"/>
      <c r="AF30" s="11" t="n"/>
      <c r="AG30" s="11" t="n"/>
      <c r="AH30" s="12" t="n"/>
      <c r="AI30" s="12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>
        <f>IF(OR(L31="",M31=""),"",IFERROR(INDEX(LAYOUT!$D$2:$D$80,MATCH(L31&amp;"|"&amp;M31,LAYOUT!$E$2:$E$80,0)),""))</f>
        <v/>
      </c>
      <c r="O31" s="12">
        <f>IF(AND(L31="",M31=""),IF(AND(P31="",Q31="",T31="",U31=""),IF(OR($D31&lt;&gt;"",$E31&lt;&gt;""),"Belum ditempatkan",""),""),IF(L31="","CEK JENIS FIXTURE kosong",IF(AND(LEFT(L31,7)&lt;&gt;"Gondola",LEFT(L31,6)&lt;&gt;"Endcap"),"CEK Fixture 1 hanya Gondola atau Endcap",IF(M31="","CEK SHELVING KE kosong",IF(ISNA(MATCH(L31&amp;"|"&amp;M31,LAYOUT!$E$2:$E$80,0)),"CEK SHELVING KE di luar layout",IF($I31="","CEK SERIES kosong",IF($D31="","Zona STOCK",IF($E31="","CEK SKU DESCRIPTION kosong",IF(COUNTIFS($I$2:$I$500,$I31,L$2:L$500,"&lt;&gt;"&amp;L31,L$2:L$500,"&lt;&gt;")&gt;0,"CEK jenis fixture beda dalam satu series","OK")))))))))</f>
        <v/>
      </c>
      <c r="P31" s="11" t="n"/>
      <c r="Q31" s="11" t="n"/>
      <c r="R31" s="11">
        <f>IF(OR(P31="",Q31=""),"",IFERROR(INDEX(LAYOUT!$D$2:$D$80,MATCH(P31&amp;"|"&amp;Q31,LAYOUT!$E$2:$E$80,0)),""))</f>
        <v/>
      </c>
      <c r="S31" s="12">
        <f>IF(AND(P31="",Q31=""),IF(AND(L31="",M31="",T31="",U31=""),IF(OR($D31&lt;&gt;"",$E31&lt;&gt;""),"Belum ditempatkan",""),""),IF(P31="","CEK JENIS FIXTURE kosong",IF(LEFT(P31,4)&lt;&gt;"Wall","CEK Fixture 2 hanya Wall",IF(Q31="","CEK SHELVING KE kosong",IF(ISNA(MATCH(P31&amp;"|"&amp;Q31,LAYOUT!$E$2:$E$80,0)),"CEK SHELVING KE di luar layout",IF($I31="","CEK SERIES kosong",IF($D31="","Zona STOCK",IF($E31="","CEK SKU DESCRIPTION kosong",IF(COUNTIFS($I$2:$I$500,$I31,P$2:P$500,"&lt;&gt;"&amp;P31,P$2:P$500,"&lt;&gt;")&gt;0,"CEK jenis fixture beda dalam satu series","OK")))))))))</f>
        <v/>
      </c>
      <c r="T31" s="11" t="n"/>
      <c r="U31" s="11" t="n"/>
      <c r="V31" s="11">
        <f>IF(OR(T31="",U31=""),"",IFERROR(INDEX(LAYOUT!$D$2:$D$80,MATCH(T31&amp;"|"&amp;U31,LAYOUT!$E$2:$E$80,0)),""))</f>
        <v/>
      </c>
      <c r="W31" s="12">
        <f>IF(AND(T31="",U31=""),IF(AND(L31="",M31="",P31="",Q31=""),IF(OR($D31&lt;&gt;"",$E31&lt;&gt;""),"Belum ditempatkan",""),""),IF(T31="","CEK JENIS FIXTURE kosong",IF(LEFT(T31,4)&lt;&gt;"Wall","CEK Fixture 3 hanya Wall",IF(U31="","CEK SHELVING KE kosong",IF(ISNA(MATCH(T31&amp;"|"&amp;U31,LAYOUT!$E$2:$E$80,0)),"CEK SHELVING KE di luar layout",IF($I31="","CEK SERIES kosong",IF($D31="","Zona STOCK",IF($E31="","CEK SKU DESCRIPTION kosong",IF(COUNTIFS($I$2:$I$500,$I31,T$2:T$500,"&lt;&gt;"&amp;T31,T$2:T$500,"&lt;&gt;")&gt;0,"CEK jenis fixture beda dalam satu series","OK")))))))))</f>
        <v/>
      </c>
      <c r="X31" s="11" t="n"/>
      <c r="Y31" s="11" t="n"/>
      <c r="Z31" s="12" t="n"/>
      <c r="AA31" s="12" t="n"/>
      <c r="AB31" s="11" t="n"/>
      <c r="AC31" s="11" t="n"/>
      <c r="AD31" s="11" t="n"/>
      <c r="AE31" s="11" t="n"/>
      <c r="AF31" s="11" t="n"/>
      <c r="AG31" s="11" t="n"/>
      <c r="AH31" s="12" t="n"/>
      <c r="AI31" s="12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>
        <f>IF(OR(L32="",M32=""),"",IFERROR(INDEX(LAYOUT!$D$2:$D$80,MATCH(L32&amp;"|"&amp;M32,LAYOUT!$E$2:$E$80,0)),""))</f>
        <v/>
      </c>
      <c r="O32" s="12">
        <f>IF(AND(L32="",M32=""),IF(AND(P32="",Q32="",T32="",U32=""),IF(OR($D32&lt;&gt;"",$E32&lt;&gt;""),"Belum ditempatkan",""),""),IF(L32="","CEK JENIS FIXTURE kosong",IF(AND(LEFT(L32,7)&lt;&gt;"Gondola",LEFT(L32,6)&lt;&gt;"Endcap"),"CEK Fixture 1 hanya Gondola atau Endcap",IF(M32="","CEK SHELVING KE kosong",IF(ISNA(MATCH(L32&amp;"|"&amp;M32,LAYOUT!$E$2:$E$80,0)),"CEK SHELVING KE di luar layout",IF($I32="","CEK SERIES kosong",IF($D32="","Zona STOCK",IF($E32="","CEK SKU DESCRIPTION kosong",IF(COUNTIFS($I$2:$I$500,$I32,L$2:L$500,"&lt;&gt;"&amp;L32,L$2:L$500,"&lt;&gt;")&gt;0,"CEK jenis fixture beda dalam satu series","OK")))))))))</f>
        <v/>
      </c>
      <c r="P32" s="11" t="n"/>
      <c r="Q32" s="11" t="n"/>
      <c r="R32" s="11">
        <f>IF(OR(P32="",Q32=""),"",IFERROR(INDEX(LAYOUT!$D$2:$D$80,MATCH(P32&amp;"|"&amp;Q32,LAYOUT!$E$2:$E$80,0)),""))</f>
        <v/>
      </c>
      <c r="S32" s="12">
        <f>IF(AND(P32="",Q32=""),IF(AND(L32="",M32="",T32="",U32=""),IF(OR($D32&lt;&gt;"",$E32&lt;&gt;""),"Belum ditempatkan",""),""),IF(P32="","CEK JENIS FIXTURE kosong",IF(LEFT(P32,4)&lt;&gt;"Wall","CEK Fixture 2 hanya Wall",IF(Q32="","CEK SHELVING KE kosong",IF(ISNA(MATCH(P32&amp;"|"&amp;Q32,LAYOUT!$E$2:$E$80,0)),"CEK SHELVING KE di luar layout",IF($I32="","CEK SERIES kosong",IF($D32="","Zona STOCK",IF($E32="","CEK SKU DESCRIPTION kosong",IF(COUNTIFS($I$2:$I$500,$I32,P$2:P$500,"&lt;&gt;"&amp;P32,P$2:P$500,"&lt;&gt;")&gt;0,"CEK jenis fixture beda dalam satu series","OK")))))))))</f>
        <v/>
      </c>
      <c r="T32" s="11" t="n"/>
      <c r="U32" s="11" t="n"/>
      <c r="V32" s="11">
        <f>IF(OR(T32="",U32=""),"",IFERROR(INDEX(LAYOUT!$D$2:$D$80,MATCH(T32&amp;"|"&amp;U32,LAYOUT!$E$2:$E$80,0)),""))</f>
        <v/>
      </c>
      <c r="W32" s="12">
        <f>IF(AND(T32="",U32=""),IF(AND(L32="",M32="",P32="",Q32=""),IF(OR($D32&lt;&gt;"",$E32&lt;&gt;""),"Belum ditempatkan",""),""),IF(T32="","CEK JENIS FIXTURE kosong",IF(LEFT(T32,4)&lt;&gt;"Wall","CEK Fixture 3 hanya Wall",IF(U32="","CEK SHELVING KE kosong",IF(ISNA(MATCH(T32&amp;"|"&amp;U32,LAYOUT!$E$2:$E$80,0)),"CEK SHELVING KE di luar layout",IF($I32="","CEK SERIES kosong",IF($D32="","Zona STOCK",IF($E32="","CEK SKU DESCRIPTION kosong",IF(COUNTIFS($I$2:$I$500,$I32,T$2:T$500,"&lt;&gt;"&amp;T32,T$2:T$500,"&lt;&gt;")&gt;0,"CEK jenis fixture beda dalam satu series","OK")))))))))</f>
        <v/>
      </c>
      <c r="X32" s="11" t="n"/>
      <c r="Y32" s="11" t="n"/>
      <c r="Z32" s="12" t="n"/>
      <c r="AA32" s="12" t="n"/>
      <c r="AB32" s="11" t="n"/>
      <c r="AC32" s="11" t="n"/>
      <c r="AD32" s="11" t="n"/>
      <c r="AE32" s="11" t="n"/>
      <c r="AF32" s="11" t="n"/>
      <c r="AG32" s="11" t="n"/>
      <c r="AH32" s="12" t="n"/>
      <c r="AI32" s="12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>
        <f>IF(OR(L33="",M33=""),"",IFERROR(INDEX(LAYOUT!$D$2:$D$80,MATCH(L33&amp;"|"&amp;M33,LAYOUT!$E$2:$E$80,0)),""))</f>
        <v/>
      </c>
      <c r="O33" s="12">
        <f>IF(AND(L33="",M33=""),IF(AND(P33="",Q33="",T33="",U33=""),IF(OR($D33&lt;&gt;"",$E33&lt;&gt;""),"Belum ditempatkan",""),""),IF(L33="","CEK JENIS FIXTURE kosong",IF(AND(LEFT(L33,7)&lt;&gt;"Gondola",LEFT(L33,6)&lt;&gt;"Endcap"),"CEK Fixture 1 hanya Gondola atau Endcap",IF(M33="","CEK SHELVING KE kosong",IF(ISNA(MATCH(L33&amp;"|"&amp;M33,LAYOUT!$E$2:$E$80,0)),"CEK SHELVING KE di luar layout",IF($I33="","CEK SERIES kosong",IF($D33="","Zona STOCK",IF($E33="","CEK SKU DESCRIPTION kosong",IF(COUNTIFS($I$2:$I$500,$I33,L$2:L$500,"&lt;&gt;"&amp;L33,L$2:L$500,"&lt;&gt;")&gt;0,"CEK jenis fixture beda dalam satu series","OK")))))))))</f>
        <v/>
      </c>
      <c r="P33" s="11" t="n"/>
      <c r="Q33" s="11" t="n"/>
      <c r="R33" s="11">
        <f>IF(OR(P33="",Q33=""),"",IFERROR(INDEX(LAYOUT!$D$2:$D$80,MATCH(P33&amp;"|"&amp;Q33,LAYOUT!$E$2:$E$80,0)),""))</f>
        <v/>
      </c>
      <c r="S33" s="12">
        <f>IF(AND(P33="",Q33=""),IF(AND(L33="",M33="",T33="",U33=""),IF(OR($D33&lt;&gt;"",$E33&lt;&gt;""),"Belum ditempatkan",""),""),IF(P33="","CEK JENIS FIXTURE kosong",IF(LEFT(P33,4)&lt;&gt;"Wall","CEK Fixture 2 hanya Wall",IF(Q33="","CEK SHELVING KE kosong",IF(ISNA(MATCH(P33&amp;"|"&amp;Q33,LAYOUT!$E$2:$E$80,0)),"CEK SHELVING KE di luar layout",IF($I33="","CEK SERIES kosong",IF($D33="","Zona STOCK",IF($E33="","CEK SKU DESCRIPTION kosong",IF(COUNTIFS($I$2:$I$500,$I33,P$2:P$500,"&lt;&gt;"&amp;P33,P$2:P$500,"&lt;&gt;")&gt;0,"CEK jenis fixture beda dalam satu series","OK")))))))))</f>
        <v/>
      </c>
      <c r="T33" s="11" t="n"/>
      <c r="U33" s="11" t="n"/>
      <c r="V33" s="11">
        <f>IF(OR(T33="",U33=""),"",IFERROR(INDEX(LAYOUT!$D$2:$D$80,MATCH(T33&amp;"|"&amp;U33,LAYOUT!$E$2:$E$80,0)),""))</f>
        <v/>
      </c>
      <c r="W33" s="12">
        <f>IF(AND(T33="",U33=""),IF(AND(L33="",M33="",P33="",Q33=""),IF(OR($D33&lt;&gt;"",$E33&lt;&gt;""),"Belum ditempatkan",""),""),IF(T33="","CEK JENIS FIXTURE kosong",IF(LEFT(T33,4)&lt;&gt;"Wall","CEK Fixture 3 hanya Wall",IF(U33="","CEK SHELVING KE kosong",IF(ISNA(MATCH(T33&amp;"|"&amp;U33,LAYOUT!$E$2:$E$80,0)),"CEK SHELVING KE di luar layout",IF($I33="","CEK SERIES kosong",IF($D33="","Zona STOCK",IF($E33="","CEK SKU DESCRIPTION kosong",IF(COUNTIFS($I$2:$I$500,$I33,T$2:T$500,"&lt;&gt;"&amp;T33,T$2:T$500,"&lt;&gt;")&gt;0,"CEK jenis fixture beda dalam satu series","OK")))))))))</f>
        <v/>
      </c>
      <c r="X33" s="11" t="n"/>
      <c r="Y33" s="11" t="n"/>
      <c r="Z33" s="12" t="n"/>
      <c r="AA33" s="12" t="n"/>
      <c r="AB33" s="11" t="n"/>
      <c r="AC33" s="11" t="n"/>
      <c r="AD33" s="11" t="n"/>
      <c r="AE33" s="11" t="n"/>
      <c r="AF33" s="11" t="n"/>
      <c r="AG33" s="11" t="n"/>
      <c r="AH33" s="12" t="n"/>
      <c r="AI33" s="12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>
        <f>IF(OR(L34="",M34=""),"",IFERROR(INDEX(LAYOUT!$D$2:$D$80,MATCH(L34&amp;"|"&amp;M34,LAYOUT!$E$2:$E$80,0)),""))</f>
        <v/>
      </c>
      <c r="O34" s="12">
        <f>IF(AND(L34="",M34=""),IF(AND(P34="",Q34="",T34="",U34=""),IF(OR($D34&lt;&gt;"",$E34&lt;&gt;""),"Belum ditempatkan",""),""),IF(L34="","CEK JENIS FIXTURE kosong",IF(AND(LEFT(L34,7)&lt;&gt;"Gondola",LEFT(L34,6)&lt;&gt;"Endcap"),"CEK Fixture 1 hanya Gondola atau Endcap",IF(M34="","CEK SHELVING KE kosong",IF(ISNA(MATCH(L34&amp;"|"&amp;M34,LAYOUT!$E$2:$E$80,0)),"CEK SHELVING KE di luar layout",IF($I34="","CEK SERIES kosong",IF($D34="","Zona STOCK",IF($E34="","CEK SKU DESCRIPTION kosong",IF(COUNTIFS($I$2:$I$500,$I34,L$2:L$500,"&lt;&gt;"&amp;L34,L$2:L$500,"&lt;&gt;")&gt;0,"CEK jenis fixture beda dalam satu series","OK")))))))))</f>
        <v/>
      </c>
      <c r="P34" s="11" t="n"/>
      <c r="Q34" s="11" t="n"/>
      <c r="R34" s="11">
        <f>IF(OR(P34="",Q34=""),"",IFERROR(INDEX(LAYOUT!$D$2:$D$80,MATCH(P34&amp;"|"&amp;Q34,LAYOUT!$E$2:$E$80,0)),""))</f>
        <v/>
      </c>
      <c r="S34" s="12">
        <f>IF(AND(P34="",Q34=""),IF(AND(L34="",M34="",T34="",U34=""),IF(OR($D34&lt;&gt;"",$E34&lt;&gt;""),"Belum ditempatkan",""),""),IF(P34="","CEK JENIS FIXTURE kosong",IF(LEFT(P34,4)&lt;&gt;"Wall","CEK Fixture 2 hanya Wall",IF(Q34="","CEK SHELVING KE kosong",IF(ISNA(MATCH(P34&amp;"|"&amp;Q34,LAYOUT!$E$2:$E$80,0)),"CEK SHELVING KE di luar layout",IF($I34="","CEK SERIES kosong",IF($D34="","Zona STOCK",IF($E34="","CEK SKU DESCRIPTION kosong",IF(COUNTIFS($I$2:$I$500,$I34,P$2:P$500,"&lt;&gt;"&amp;P34,P$2:P$500,"&lt;&gt;")&gt;0,"CEK jenis fixture beda dalam satu series","OK")))))))))</f>
        <v/>
      </c>
      <c r="T34" s="11" t="n"/>
      <c r="U34" s="11" t="n"/>
      <c r="V34" s="11">
        <f>IF(OR(T34="",U34=""),"",IFERROR(INDEX(LAYOUT!$D$2:$D$80,MATCH(T34&amp;"|"&amp;U34,LAYOUT!$E$2:$E$80,0)),""))</f>
        <v/>
      </c>
      <c r="W34" s="12">
        <f>IF(AND(T34="",U34=""),IF(AND(L34="",M34="",P34="",Q34=""),IF(OR($D34&lt;&gt;"",$E34&lt;&gt;""),"Belum ditempatkan",""),""),IF(T34="","CEK JENIS FIXTURE kosong",IF(LEFT(T34,4)&lt;&gt;"Wall","CEK Fixture 3 hanya Wall",IF(U34="","CEK SHELVING KE kosong",IF(ISNA(MATCH(T34&amp;"|"&amp;U34,LAYOUT!$E$2:$E$80,0)),"CEK SHELVING KE di luar layout",IF($I34="","CEK SERIES kosong",IF($D34="","Zona STOCK",IF($E34="","CEK SKU DESCRIPTION kosong",IF(COUNTIFS($I$2:$I$500,$I34,T$2:T$500,"&lt;&gt;"&amp;T34,T$2:T$500,"&lt;&gt;")&gt;0,"CEK jenis fixture beda dalam satu series","OK")))))))))</f>
        <v/>
      </c>
      <c r="X34" s="11" t="n"/>
      <c r="Y34" s="11" t="n"/>
      <c r="Z34" s="12" t="n"/>
      <c r="AA34" s="12" t="n"/>
      <c r="AB34" s="11" t="n"/>
      <c r="AC34" s="11" t="n"/>
      <c r="AD34" s="11" t="n"/>
      <c r="AE34" s="11" t="n"/>
      <c r="AF34" s="11" t="n"/>
      <c r="AG34" s="11" t="n"/>
      <c r="AH34" s="12" t="n"/>
      <c r="AI34" s="12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>
        <f>IF(OR(L35="",M35=""),"",IFERROR(INDEX(LAYOUT!$D$2:$D$80,MATCH(L35&amp;"|"&amp;M35,LAYOUT!$E$2:$E$80,0)),""))</f>
        <v/>
      </c>
      <c r="O35" s="12">
        <f>IF(AND(L35="",M35=""),IF(AND(P35="",Q35="",T35="",U35=""),IF(OR($D35&lt;&gt;"",$E35&lt;&gt;""),"Belum ditempatkan",""),""),IF(L35="","CEK JENIS FIXTURE kosong",IF(AND(LEFT(L35,7)&lt;&gt;"Gondola",LEFT(L35,6)&lt;&gt;"Endcap"),"CEK Fixture 1 hanya Gondola atau Endcap",IF(M35="","CEK SHELVING KE kosong",IF(ISNA(MATCH(L35&amp;"|"&amp;M35,LAYOUT!$E$2:$E$80,0)),"CEK SHELVING KE di luar layout",IF($I35="","CEK SERIES kosong",IF($D35="","Zona STOCK",IF($E35="","CEK SKU DESCRIPTION kosong",IF(COUNTIFS($I$2:$I$500,$I35,L$2:L$500,"&lt;&gt;"&amp;L35,L$2:L$500,"&lt;&gt;")&gt;0,"CEK jenis fixture beda dalam satu series","OK")))))))))</f>
        <v/>
      </c>
      <c r="P35" s="11" t="n"/>
      <c r="Q35" s="11" t="n"/>
      <c r="R35" s="11">
        <f>IF(OR(P35="",Q35=""),"",IFERROR(INDEX(LAYOUT!$D$2:$D$80,MATCH(P35&amp;"|"&amp;Q35,LAYOUT!$E$2:$E$80,0)),""))</f>
        <v/>
      </c>
      <c r="S35" s="12">
        <f>IF(AND(P35="",Q35=""),IF(AND(L35="",M35="",T35="",U35=""),IF(OR($D35&lt;&gt;"",$E35&lt;&gt;""),"Belum ditempatkan",""),""),IF(P35="","CEK JENIS FIXTURE kosong",IF(LEFT(P35,4)&lt;&gt;"Wall","CEK Fixture 2 hanya Wall",IF(Q35="","CEK SHELVING KE kosong",IF(ISNA(MATCH(P35&amp;"|"&amp;Q35,LAYOUT!$E$2:$E$80,0)),"CEK SHELVING KE di luar layout",IF($I35="","CEK SERIES kosong",IF($D35="","Zona STOCK",IF($E35="","CEK SKU DESCRIPTION kosong",IF(COUNTIFS($I$2:$I$500,$I35,P$2:P$500,"&lt;&gt;"&amp;P35,P$2:P$500,"&lt;&gt;")&gt;0,"CEK jenis fixture beda dalam satu series","OK")))))))))</f>
        <v/>
      </c>
      <c r="T35" s="11" t="n"/>
      <c r="U35" s="11" t="n"/>
      <c r="V35" s="11">
        <f>IF(OR(T35="",U35=""),"",IFERROR(INDEX(LAYOUT!$D$2:$D$80,MATCH(T35&amp;"|"&amp;U35,LAYOUT!$E$2:$E$80,0)),""))</f>
        <v/>
      </c>
      <c r="W35" s="12">
        <f>IF(AND(T35="",U35=""),IF(AND(L35="",M35="",P35="",Q35=""),IF(OR($D35&lt;&gt;"",$E35&lt;&gt;""),"Belum ditempatkan",""),""),IF(T35="","CEK JENIS FIXTURE kosong",IF(LEFT(T35,4)&lt;&gt;"Wall","CEK Fixture 3 hanya Wall",IF(U35="","CEK SHELVING KE kosong",IF(ISNA(MATCH(T35&amp;"|"&amp;U35,LAYOUT!$E$2:$E$80,0)),"CEK SHELVING KE di luar layout",IF($I35="","CEK SERIES kosong",IF($D35="","Zona STOCK",IF($E35="","CEK SKU DESCRIPTION kosong",IF(COUNTIFS($I$2:$I$500,$I35,T$2:T$500,"&lt;&gt;"&amp;T35,T$2:T$500,"&lt;&gt;")&gt;0,"CEK jenis fixture beda dalam satu series","OK")))))))))</f>
        <v/>
      </c>
      <c r="X35" s="11" t="n"/>
      <c r="Y35" s="11" t="n"/>
      <c r="Z35" s="12" t="n"/>
      <c r="AA35" s="12" t="n"/>
      <c r="AB35" s="11" t="n"/>
      <c r="AC35" s="11" t="n"/>
      <c r="AD35" s="11" t="n"/>
      <c r="AE35" s="11" t="n"/>
      <c r="AF35" s="11" t="n"/>
      <c r="AG35" s="11" t="n"/>
      <c r="AH35" s="12" t="n"/>
      <c r="AI35" s="12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>
        <f>IF(OR(L36="",M36=""),"",IFERROR(INDEX(LAYOUT!$D$2:$D$80,MATCH(L36&amp;"|"&amp;M36,LAYOUT!$E$2:$E$80,0)),""))</f>
        <v/>
      </c>
      <c r="O36" s="12">
        <f>IF(AND(L36="",M36=""),IF(AND(P36="",Q36="",T36="",U36=""),IF(OR($D36&lt;&gt;"",$E36&lt;&gt;""),"Belum ditempatkan",""),""),IF(L36="","CEK JENIS FIXTURE kosong",IF(AND(LEFT(L36,7)&lt;&gt;"Gondola",LEFT(L36,6)&lt;&gt;"Endcap"),"CEK Fixture 1 hanya Gondola atau Endcap",IF(M36="","CEK SHELVING KE kosong",IF(ISNA(MATCH(L36&amp;"|"&amp;M36,LAYOUT!$E$2:$E$80,0)),"CEK SHELVING KE di luar layout",IF($I36="","CEK SERIES kosong",IF($D36="","Zona STOCK",IF($E36="","CEK SKU DESCRIPTION kosong",IF(COUNTIFS($I$2:$I$500,$I36,L$2:L$500,"&lt;&gt;"&amp;L36,L$2:L$500,"&lt;&gt;")&gt;0,"CEK jenis fixture beda dalam satu series","OK")))))))))</f>
        <v/>
      </c>
      <c r="P36" s="11" t="n"/>
      <c r="Q36" s="11" t="n"/>
      <c r="R36" s="11">
        <f>IF(OR(P36="",Q36=""),"",IFERROR(INDEX(LAYOUT!$D$2:$D$80,MATCH(P36&amp;"|"&amp;Q36,LAYOUT!$E$2:$E$80,0)),""))</f>
        <v/>
      </c>
      <c r="S36" s="12">
        <f>IF(AND(P36="",Q36=""),IF(AND(L36="",M36="",T36="",U36=""),IF(OR($D36&lt;&gt;"",$E36&lt;&gt;""),"Belum ditempatkan",""),""),IF(P36="","CEK JENIS FIXTURE kosong",IF(LEFT(P36,4)&lt;&gt;"Wall","CEK Fixture 2 hanya Wall",IF(Q36="","CEK SHELVING KE kosong",IF(ISNA(MATCH(P36&amp;"|"&amp;Q36,LAYOUT!$E$2:$E$80,0)),"CEK SHELVING KE di luar layout",IF($I36="","CEK SERIES kosong",IF($D36="","Zona STOCK",IF($E36="","CEK SKU DESCRIPTION kosong",IF(COUNTIFS($I$2:$I$500,$I36,P$2:P$500,"&lt;&gt;"&amp;P36,P$2:P$500,"&lt;&gt;")&gt;0,"CEK jenis fixture beda dalam satu series","OK")))))))))</f>
        <v/>
      </c>
      <c r="T36" s="11" t="n"/>
      <c r="U36" s="11" t="n"/>
      <c r="V36" s="11">
        <f>IF(OR(T36="",U36=""),"",IFERROR(INDEX(LAYOUT!$D$2:$D$80,MATCH(T36&amp;"|"&amp;U36,LAYOUT!$E$2:$E$80,0)),""))</f>
        <v/>
      </c>
      <c r="W36" s="12">
        <f>IF(AND(T36="",U36=""),IF(AND(L36="",M36="",P36="",Q36=""),IF(OR($D36&lt;&gt;"",$E36&lt;&gt;""),"Belum ditempatkan",""),""),IF(T36="","CEK JENIS FIXTURE kosong",IF(LEFT(T36,4)&lt;&gt;"Wall","CEK Fixture 3 hanya Wall",IF(U36="","CEK SHELVING KE kosong",IF(ISNA(MATCH(T36&amp;"|"&amp;U36,LAYOUT!$E$2:$E$80,0)),"CEK SHELVING KE di luar layout",IF($I36="","CEK SERIES kosong",IF($D36="","Zona STOCK",IF($E36="","CEK SKU DESCRIPTION kosong",IF(COUNTIFS($I$2:$I$500,$I36,T$2:T$500,"&lt;&gt;"&amp;T36,T$2:T$500,"&lt;&gt;")&gt;0,"CEK jenis fixture beda dalam satu series","OK")))))))))</f>
        <v/>
      </c>
      <c r="X36" s="11" t="n"/>
      <c r="Y36" s="11" t="n"/>
      <c r="Z36" s="12" t="n"/>
      <c r="AA36" s="12" t="n"/>
      <c r="AB36" s="11" t="n"/>
      <c r="AC36" s="11" t="n"/>
      <c r="AD36" s="11" t="n"/>
      <c r="AE36" s="11" t="n"/>
      <c r="AF36" s="11" t="n"/>
      <c r="AG36" s="11" t="n"/>
      <c r="AH36" s="12" t="n"/>
      <c r="AI36" s="12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>
        <f>IF(OR(L37="",M37=""),"",IFERROR(INDEX(LAYOUT!$D$2:$D$80,MATCH(L37&amp;"|"&amp;M37,LAYOUT!$E$2:$E$80,0)),""))</f>
        <v/>
      </c>
      <c r="O37" s="12">
        <f>IF(AND(L37="",M37=""),IF(AND(P37="",Q37="",T37="",U37=""),IF(OR($D37&lt;&gt;"",$E37&lt;&gt;""),"Belum ditempatkan",""),""),IF(L37="","CEK JENIS FIXTURE kosong",IF(AND(LEFT(L37,7)&lt;&gt;"Gondola",LEFT(L37,6)&lt;&gt;"Endcap"),"CEK Fixture 1 hanya Gondola atau Endcap",IF(M37="","CEK SHELVING KE kosong",IF(ISNA(MATCH(L37&amp;"|"&amp;M37,LAYOUT!$E$2:$E$80,0)),"CEK SHELVING KE di luar layout",IF($I37="","CEK SERIES kosong",IF($D37="","Zona STOCK",IF($E37="","CEK SKU DESCRIPTION kosong",IF(COUNTIFS($I$2:$I$500,$I37,L$2:L$500,"&lt;&gt;"&amp;L37,L$2:L$500,"&lt;&gt;")&gt;0,"CEK jenis fixture beda dalam satu series","OK")))))))))</f>
        <v/>
      </c>
      <c r="P37" s="11" t="n"/>
      <c r="Q37" s="11" t="n"/>
      <c r="R37" s="11">
        <f>IF(OR(P37="",Q37=""),"",IFERROR(INDEX(LAYOUT!$D$2:$D$80,MATCH(P37&amp;"|"&amp;Q37,LAYOUT!$E$2:$E$80,0)),""))</f>
        <v/>
      </c>
      <c r="S37" s="12">
        <f>IF(AND(P37="",Q37=""),IF(AND(L37="",M37="",T37="",U37=""),IF(OR($D37&lt;&gt;"",$E37&lt;&gt;""),"Belum ditempatkan",""),""),IF(P37="","CEK JENIS FIXTURE kosong",IF(LEFT(P37,4)&lt;&gt;"Wall","CEK Fixture 2 hanya Wall",IF(Q37="","CEK SHELVING KE kosong",IF(ISNA(MATCH(P37&amp;"|"&amp;Q37,LAYOUT!$E$2:$E$80,0)),"CEK SHELVING KE di luar layout",IF($I37="","CEK SERIES kosong",IF($D37="","Zona STOCK",IF($E37="","CEK SKU DESCRIPTION kosong",IF(COUNTIFS($I$2:$I$500,$I37,P$2:P$500,"&lt;&gt;"&amp;P37,P$2:P$500,"&lt;&gt;")&gt;0,"CEK jenis fixture beda dalam satu series","OK")))))))))</f>
        <v/>
      </c>
      <c r="T37" s="11" t="n"/>
      <c r="U37" s="11" t="n"/>
      <c r="V37" s="11">
        <f>IF(OR(T37="",U37=""),"",IFERROR(INDEX(LAYOUT!$D$2:$D$80,MATCH(T37&amp;"|"&amp;U37,LAYOUT!$E$2:$E$80,0)),""))</f>
        <v/>
      </c>
      <c r="W37" s="12">
        <f>IF(AND(T37="",U37=""),IF(AND(L37="",M37="",P37="",Q37=""),IF(OR($D37&lt;&gt;"",$E37&lt;&gt;""),"Belum ditempatkan",""),""),IF(T37="","CEK JENIS FIXTURE kosong",IF(LEFT(T37,4)&lt;&gt;"Wall","CEK Fixture 3 hanya Wall",IF(U37="","CEK SHELVING KE kosong",IF(ISNA(MATCH(T37&amp;"|"&amp;U37,LAYOUT!$E$2:$E$80,0)),"CEK SHELVING KE di luar layout",IF($I37="","CEK SERIES kosong",IF($D37="","Zona STOCK",IF($E37="","CEK SKU DESCRIPTION kosong",IF(COUNTIFS($I$2:$I$500,$I37,T$2:T$500,"&lt;&gt;"&amp;T37,T$2:T$500,"&lt;&gt;")&gt;0,"CEK jenis fixture beda dalam satu series","OK")))))))))</f>
        <v/>
      </c>
      <c r="X37" s="11" t="n"/>
      <c r="Y37" s="11" t="n"/>
      <c r="Z37" s="12" t="n"/>
      <c r="AA37" s="12" t="n"/>
      <c r="AB37" s="11" t="n"/>
      <c r="AC37" s="11" t="n"/>
      <c r="AD37" s="11" t="n"/>
      <c r="AE37" s="11" t="n"/>
      <c r="AF37" s="11" t="n"/>
      <c r="AG37" s="11" t="n"/>
      <c r="AH37" s="12" t="n"/>
      <c r="AI37" s="12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>
        <f>IF(OR(L38="",M38=""),"",IFERROR(INDEX(LAYOUT!$D$2:$D$80,MATCH(L38&amp;"|"&amp;M38,LAYOUT!$E$2:$E$80,0)),""))</f>
        <v/>
      </c>
      <c r="O38" s="12">
        <f>IF(AND(L38="",M38=""),IF(AND(P38="",Q38="",T38="",U38=""),IF(OR($D38&lt;&gt;"",$E38&lt;&gt;""),"Belum ditempatkan",""),""),IF(L38="","CEK JENIS FIXTURE kosong",IF(AND(LEFT(L38,7)&lt;&gt;"Gondola",LEFT(L38,6)&lt;&gt;"Endcap"),"CEK Fixture 1 hanya Gondola atau Endcap",IF(M38="","CEK SHELVING KE kosong",IF(ISNA(MATCH(L38&amp;"|"&amp;M38,LAYOUT!$E$2:$E$80,0)),"CEK SHELVING KE di luar layout",IF($I38="","CEK SERIES kosong",IF($D38="","Zona STOCK",IF($E38="","CEK SKU DESCRIPTION kosong",IF(COUNTIFS($I$2:$I$500,$I38,L$2:L$500,"&lt;&gt;"&amp;L38,L$2:L$500,"&lt;&gt;")&gt;0,"CEK jenis fixture beda dalam satu series","OK")))))))))</f>
        <v/>
      </c>
      <c r="P38" s="11" t="n"/>
      <c r="Q38" s="11" t="n"/>
      <c r="R38" s="11">
        <f>IF(OR(P38="",Q38=""),"",IFERROR(INDEX(LAYOUT!$D$2:$D$80,MATCH(P38&amp;"|"&amp;Q38,LAYOUT!$E$2:$E$80,0)),""))</f>
        <v/>
      </c>
      <c r="S38" s="12">
        <f>IF(AND(P38="",Q38=""),IF(AND(L38="",M38="",T38="",U38=""),IF(OR($D38&lt;&gt;"",$E38&lt;&gt;""),"Belum ditempatkan",""),""),IF(P38="","CEK JENIS FIXTURE kosong",IF(LEFT(P38,4)&lt;&gt;"Wall","CEK Fixture 2 hanya Wall",IF(Q38="","CEK SHELVING KE kosong",IF(ISNA(MATCH(P38&amp;"|"&amp;Q38,LAYOUT!$E$2:$E$80,0)),"CEK SHELVING KE di luar layout",IF($I38="","CEK SERIES kosong",IF($D38="","Zona STOCK",IF($E38="","CEK SKU DESCRIPTION kosong",IF(COUNTIFS($I$2:$I$500,$I38,P$2:P$500,"&lt;&gt;"&amp;P38,P$2:P$500,"&lt;&gt;")&gt;0,"CEK jenis fixture beda dalam satu series","OK")))))))))</f>
        <v/>
      </c>
      <c r="T38" s="11" t="n"/>
      <c r="U38" s="11" t="n"/>
      <c r="V38" s="11">
        <f>IF(OR(T38="",U38=""),"",IFERROR(INDEX(LAYOUT!$D$2:$D$80,MATCH(T38&amp;"|"&amp;U38,LAYOUT!$E$2:$E$80,0)),""))</f>
        <v/>
      </c>
      <c r="W38" s="12">
        <f>IF(AND(T38="",U38=""),IF(AND(L38="",M38="",P38="",Q38=""),IF(OR($D38&lt;&gt;"",$E38&lt;&gt;""),"Belum ditempatkan",""),""),IF(T38="","CEK JENIS FIXTURE kosong",IF(LEFT(T38,4)&lt;&gt;"Wall","CEK Fixture 3 hanya Wall",IF(U38="","CEK SHELVING KE kosong",IF(ISNA(MATCH(T38&amp;"|"&amp;U38,LAYOUT!$E$2:$E$80,0)),"CEK SHELVING KE di luar layout",IF($I38="","CEK SERIES kosong",IF($D38="","Zona STOCK",IF($E38="","CEK SKU DESCRIPTION kosong",IF(COUNTIFS($I$2:$I$500,$I38,T$2:T$500,"&lt;&gt;"&amp;T38,T$2:T$500,"&lt;&gt;")&gt;0,"CEK jenis fixture beda dalam satu series","OK")))))))))</f>
        <v/>
      </c>
      <c r="X38" s="11" t="n"/>
      <c r="Y38" s="11" t="n"/>
      <c r="Z38" s="12" t="n"/>
      <c r="AA38" s="12" t="n"/>
      <c r="AB38" s="11" t="n"/>
      <c r="AC38" s="11" t="n"/>
      <c r="AD38" s="11" t="n"/>
      <c r="AE38" s="11" t="n"/>
      <c r="AF38" s="11" t="n"/>
      <c r="AG38" s="11" t="n"/>
      <c r="AH38" s="12" t="n"/>
      <c r="AI38" s="12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>
        <f>IF(OR(L39="",M39=""),"",IFERROR(INDEX(LAYOUT!$D$2:$D$80,MATCH(L39&amp;"|"&amp;M39,LAYOUT!$E$2:$E$80,0)),""))</f>
        <v/>
      </c>
      <c r="O39" s="12">
        <f>IF(AND(L39="",M39=""),IF(AND(P39="",Q39="",T39="",U39=""),IF(OR($D39&lt;&gt;"",$E39&lt;&gt;""),"Belum ditempatkan",""),""),IF(L39="","CEK JENIS FIXTURE kosong",IF(AND(LEFT(L39,7)&lt;&gt;"Gondola",LEFT(L39,6)&lt;&gt;"Endcap"),"CEK Fixture 1 hanya Gondola atau Endcap",IF(M39="","CEK SHELVING KE kosong",IF(ISNA(MATCH(L39&amp;"|"&amp;M39,LAYOUT!$E$2:$E$80,0)),"CEK SHELVING KE di luar layout",IF($I39="","CEK SERIES kosong",IF($D39="","Zona STOCK",IF($E39="","CEK SKU DESCRIPTION kosong",IF(COUNTIFS($I$2:$I$500,$I39,L$2:L$500,"&lt;&gt;"&amp;L39,L$2:L$500,"&lt;&gt;")&gt;0,"CEK jenis fixture beda dalam satu series","OK")))))))))</f>
        <v/>
      </c>
      <c r="P39" s="11" t="n"/>
      <c r="Q39" s="11" t="n"/>
      <c r="R39" s="11">
        <f>IF(OR(P39="",Q39=""),"",IFERROR(INDEX(LAYOUT!$D$2:$D$80,MATCH(P39&amp;"|"&amp;Q39,LAYOUT!$E$2:$E$80,0)),""))</f>
        <v/>
      </c>
      <c r="S39" s="12">
        <f>IF(AND(P39="",Q39=""),IF(AND(L39="",M39="",T39="",U39=""),IF(OR($D39&lt;&gt;"",$E39&lt;&gt;""),"Belum ditempatkan",""),""),IF(P39="","CEK JENIS FIXTURE kosong",IF(LEFT(P39,4)&lt;&gt;"Wall","CEK Fixture 2 hanya Wall",IF(Q39="","CEK SHELVING KE kosong",IF(ISNA(MATCH(P39&amp;"|"&amp;Q39,LAYOUT!$E$2:$E$80,0)),"CEK SHELVING KE di luar layout",IF($I39="","CEK SERIES kosong",IF($D39="","Zona STOCK",IF($E39="","CEK SKU DESCRIPTION kosong",IF(COUNTIFS($I$2:$I$500,$I39,P$2:P$500,"&lt;&gt;"&amp;P39,P$2:P$500,"&lt;&gt;")&gt;0,"CEK jenis fixture beda dalam satu series","OK")))))))))</f>
        <v/>
      </c>
      <c r="T39" s="11" t="n"/>
      <c r="U39" s="11" t="n"/>
      <c r="V39" s="11">
        <f>IF(OR(T39="",U39=""),"",IFERROR(INDEX(LAYOUT!$D$2:$D$80,MATCH(T39&amp;"|"&amp;U39,LAYOUT!$E$2:$E$80,0)),""))</f>
        <v/>
      </c>
      <c r="W39" s="12">
        <f>IF(AND(T39="",U39=""),IF(AND(L39="",M39="",P39="",Q39=""),IF(OR($D39&lt;&gt;"",$E39&lt;&gt;""),"Belum ditempatkan",""),""),IF(T39="","CEK JENIS FIXTURE kosong",IF(LEFT(T39,4)&lt;&gt;"Wall","CEK Fixture 3 hanya Wall",IF(U39="","CEK SHELVING KE kosong",IF(ISNA(MATCH(T39&amp;"|"&amp;U39,LAYOUT!$E$2:$E$80,0)),"CEK SHELVING KE di luar layout",IF($I39="","CEK SERIES kosong",IF($D39="","Zona STOCK",IF($E39="","CEK SKU DESCRIPTION kosong",IF(COUNTIFS($I$2:$I$500,$I39,T$2:T$500,"&lt;&gt;"&amp;T39,T$2:T$500,"&lt;&gt;")&gt;0,"CEK jenis fixture beda dalam satu series","OK")))))))))</f>
        <v/>
      </c>
      <c r="X39" s="11" t="n"/>
      <c r="Y39" s="11" t="n"/>
      <c r="Z39" s="12" t="n"/>
      <c r="AA39" s="12" t="n"/>
      <c r="AB39" s="11" t="n"/>
      <c r="AC39" s="11" t="n"/>
      <c r="AD39" s="11" t="n"/>
      <c r="AE39" s="11" t="n"/>
      <c r="AF39" s="11" t="n"/>
      <c r="AG39" s="11" t="n"/>
      <c r="AH39" s="12" t="n"/>
      <c r="AI39" s="12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>
        <f>IF(OR(L40="",M40=""),"",IFERROR(INDEX(LAYOUT!$D$2:$D$80,MATCH(L40&amp;"|"&amp;M40,LAYOUT!$E$2:$E$80,0)),""))</f>
        <v/>
      </c>
      <c r="O40" s="12">
        <f>IF(AND(L40="",M40=""),IF(AND(P40="",Q40="",T40="",U40=""),IF(OR($D40&lt;&gt;"",$E40&lt;&gt;""),"Belum ditempatkan",""),""),IF(L40="","CEK JENIS FIXTURE kosong",IF(AND(LEFT(L40,7)&lt;&gt;"Gondola",LEFT(L40,6)&lt;&gt;"Endcap"),"CEK Fixture 1 hanya Gondola atau Endcap",IF(M40="","CEK SHELVING KE kosong",IF(ISNA(MATCH(L40&amp;"|"&amp;M40,LAYOUT!$E$2:$E$80,0)),"CEK SHELVING KE di luar layout",IF($I40="","CEK SERIES kosong",IF($D40="","Zona STOCK",IF($E40="","CEK SKU DESCRIPTION kosong",IF(COUNTIFS($I$2:$I$500,$I40,L$2:L$500,"&lt;&gt;"&amp;L40,L$2:L$500,"&lt;&gt;")&gt;0,"CEK jenis fixture beda dalam satu series","OK")))))))))</f>
        <v/>
      </c>
      <c r="P40" s="11" t="n"/>
      <c r="Q40" s="11" t="n"/>
      <c r="R40" s="11">
        <f>IF(OR(P40="",Q40=""),"",IFERROR(INDEX(LAYOUT!$D$2:$D$80,MATCH(P40&amp;"|"&amp;Q40,LAYOUT!$E$2:$E$80,0)),""))</f>
        <v/>
      </c>
      <c r="S40" s="12">
        <f>IF(AND(P40="",Q40=""),IF(AND(L40="",M40="",T40="",U40=""),IF(OR($D40&lt;&gt;"",$E40&lt;&gt;""),"Belum ditempatkan",""),""),IF(P40="","CEK JENIS FIXTURE kosong",IF(LEFT(P40,4)&lt;&gt;"Wall","CEK Fixture 2 hanya Wall",IF(Q40="","CEK SHELVING KE kosong",IF(ISNA(MATCH(P40&amp;"|"&amp;Q40,LAYOUT!$E$2:$E$80,0)),"CEK SHELVING KE di luar layout",IF($I40="","CEK SERIES kosong",IF($D40="","Zona STOCK",IF($E40="","CEK SKU DESCRIPTION kosong",IF(COUNTIFS($I$2:$I$500,$I40,P$2:P$500,"&lt;&gt;"&amp;P40,P$2:P$500,"&lt;&gt;")&gt;0,"CEK jenis fixture beda dalam satu series","OK")))))))))</f>
        <v/>
      </c>
      <c r="T40" s="11" t="n"/>
      <c r="U40" s="11" t="n"/>
      <c r="V40" s="11">
        <f>IF(OR(T40="",U40=""),"",IFERROR(INDEX(LAYOUT!$D$2:$D$80,MATCH(T40&amp;"|"&amp;U40,LAYOUT!$E$2:$E$80,0)),""))</f>
        <v/>
      </c>
      <c r="W40" s="12">
        <f>IF(AND(T40="",U40=""),IF(AND(L40="",M40="",P40="",Q40=""),IF(OR($D40&lt;&gt;"",$E40&lt;&gt;""),"Belum ditempatkan",""),""),IF(T40="","CEK JENIS FIXTURE kosong",IF(LEFT(T40,4)&lt;&gt;"Wall","CEK Fixture 3 hanya Wall",IF(U40="","CEK SHELVING KE kosong",IF(ISNA(MATCH(T40&amp;"|"&amp;U40,LAYOUT!$E$2:$E$80,0)),"CEK SHELVING KE di luar layout",IF($I40="","CEK SERIES kosong",IF($D40="","Zona STOCK",IF($E40="","CEK SKU DESCRIPTION kosong",IF(COUNTIFS($I$2:$I$500,$I40,T$2:T$500,"&lt;&gt;"&amp;T40,T$2:T$500,"&lt;&gt;")&gt;0,"CEK jenis fixture beda dalam satu series","OK")))))))))</f>
        <v/>
      </c>
      <c r="X40" s="11" t="n"/>
      <c r="Y40" s="11" t="n"/>
      <c r="Z40" s="12" t="n"/>
      <c r="AA40" s="12" t="n"/>
      <c r="AB40" s="11" t="n"/>
      <c r="AC40" s="11" t="n"/>
      <c r="AD40" s="11" t="n"/>
      <c r="AE40" s="11" t="n"/>
      <c r="AF40" s="11" t="n"/>
      <c r="AG40" s="11" t="n"/>
      <c r="AH40" s="12" t="n"/>
      <c r="AI40" s="12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>
        <f>IF(OR(L41="",M41=""),"",IFERROR(INDEX(LAYOUT!$D$2:$D$80,MATCH(L41&amp;"|"&amp;M41,LAYOUT!$E$2:$E$80,0)),""))</f>
        <v/>
      </c>
      <c r="O41" s="12">
        <f>IF(AND(L41="",M41=""),IF(AND(P41="",Q41="",T41="",U41=""),IF(OR($D41&lt;&gt;"",$E41&lt;&gt;""),"Belum ditempatkan",""),""),IF(L41="","CEK JENIS FIXTURE kosong",IF(AND(LEFT(L41,7)&lt;&gt;"Gondola",LEFT(L41,6)&lt;&gt;"Endcap"),"CEK Fixture 1 hanya Gondola atau Endcap",IF(M41="","CEK SHELVING KE kosong",IF(ISNA(MATCH(L41&amp;"|"&amp;M41,LAYOUT!$E$2:$E$80,0)),"CEK SHELVING KE di luar layout",IF($I41="","CEK SERIES kosong",IF($D41="","Zona STOCK",IF($E41="","CEK SKU DESCRIPTION kosong",IF(COUNTIFS($I$2:$I$500,$I41,L$2:L$500,"&lt;&gt;"&amp;L41,L$2:L$500,"&lt;&gt;")&gt;0,"CEK jenis fixture beda dalam satu series","OK")))))))))</f>
        <v/>
      </c>
      <c r="P41" s="11" t="n"/>
      <c r="Q41" s="11" t="n"/>
      <c r="R41" s="11">
        <f>IF(OR(P41="",Q41=""),"",IFERROR(INDEX(LAYOUT!$D$2:$D$80,MATCH(P41&amp;"|"&amp;Q41,LAYOUT!$E$2:$E$80,0)),""))</f>
        <v/>
      </c>
      <c r="S41" s="12">
        <f>IF(AND(P41="",Q41=""),IF(AND(L41="",M41="",T41="",U41=""),IF(OR($D41&lt;&gt;"",$E41&lt;&gt;""),"Belum ditempatkan",""),""),IF(P41="","CEK JENIS FIXTURE kosong",IF(LEFT(P41,4)&lt;&gt;"Wall","CEK Fixture 2 hanya Wall",IF(Q41="","CEK SHELVING KE kosong",IF(ISNA(MATCH(P41&amp;"|"&amp;Q41,LAYOUT!$E$2:$E$80,0)),"CEK SHELVING KE di luar layout",IF($I41="","CEK SERIES kosong",IF($D41="","Zona STOCK",IF($E41="","CEK SKU DESCRIPTION kosong",IF(COUNTIFS($I$2:$I$500,$I41,P$2:P$500,"&lt;&gt;"&amp;P41,P$2:P$500,"&lt;&gt;")&gt;0,"CEK jenis fixture beda dalam satu series","OK")))))))))</f>
        <v/>
      </c>
      <c r="T41" s="11" t="n"/>
      <c r="U41" s="11" t="n"/>
      <c r="V41" s="11">
        <f>IF(OR(T41="",U41=""),"",IFERROR(INDEX(LAYOUT!$D$2:$D$80,MATCH(T41&amp;"|"&amp;U41,LAYOUT!$E$2:$E$80,0)),""))</f>
        <v/>
      </c>
      <c r="W41" s="12">
        <f>IF(AND(T41="",U41=""),IF(AND(L41="",M41="",P41="",Q41=""),IF(OR($D41&lt;&gt;"",$E41&lt;&gt;""),"Belum ditempatkan",""),""),IF(T41="","CEK JENIS FIXTURE kosong",IF(LEFT(T41,4)&lt;&gt;"Wall","CEK Fixture 3 hanya Wall",IF(U41="","CEK SHELVING KE kosong",IF(ISNA(MATCH(T41&amp;"|"&amp;U41,LAYOUT!$E$2:$E$80,0)),"CEK SHELVING KE di luar layout",IF($I41="","CEK SERIES kosong",IF($D41="","Zona STOCK",IF($E41="","CEK SKU DESCRIPTION kosong",IF(COUNTIFS($I$2:$I$500,$I41,T$2:T$500,"&lt;&gt;"&amp;T41,T$2:T$500,"&lt;&gt;")&gt;0,"CEK jenis fixture beda dalam satu series","OK")))))))))</f>
        <v/>
      </c>
      <c r="X41" s="11" t="n"/>
      <c r="Y41" s="11" t="n"/>
      <c r="Z41" s="12" t="n"/>
      <c r="AA41" s="12" t="n"/>
      <c r="AB41" s="11" t="n"/>
      <c r="AC41" s="11" t="n"/>
      <c r="AD41" s="11" t="n"/>
      <c r="AE41" s="11" t="n"/>
      <c r="AF41" s="11" t="n"/>
      <c r="AG41" s="11" t="n"/>
      <c r="AH41" s="12" t="n"/>
      <c r="AI41" s="12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>
        <f>IF(OR(L42="",M42=""),"",IFERROR(INDEX(LAYOUT!$D$2:$D$80,MATCH(L42&amp;"|"&amp;M42,LAYOUT!$E$2:$E$80,0)),""))</f>
        <v/>
      </c>
      <c r="O42" s="12">
        <f>IF(AND(L42="",M42=""),IF(AND(P42="",Q42="",T42="",U42=""),IF(OR($D42&lt;&gt;"",$E42&lt;&gt;""),"Belum ditempatkan",""),""),IF(L42="","CEK JENIS FIXTURE kosong",IF(AND(LEFT(L42,7)&lt;&gt;"Gondola",LEFT(L42,6)&lt;&gt;"Endcap"),"CEK Fixture 1 hanya Gondola atau Endcap",IF(M42="","CEK SHELVING KE kosong",IF(ISNA(MATCH(L42&amp;"|"&amp;M42,LAYOUT!$E$2:$E$80,0)),"CEK SHELVING KE di luar layout",IF($I42="","CEK SERIES kosong",IF($D42="","Zona STOCK",IF($E42="","CEK SKU DESCRIPTION kosong",IF(COUNTIFS($I$2:$I$500,$I42,L$2:L$500,"&lt;&gt;"&amp;L42,L$2:L$500,"&lt;&gt;")&gt;0,"CEK jenis fixture beda dalam satu series","OK")))))))))</f>
        <v/>
      </c>
      <c r="P42" s="11" t="n"/>
      <c r="Q42" s="11" t="n"/>
      <c r="R42" s="11">
        <f>IF(OR(P42="",Q42=""),"",IFERROR(INDEX(LAYOUT!$D$2:$D$80,MATCH(P42&amp;"|"&amp;Q42,LAYOUT!$E$2:$E$80,0)),""))</f>
        <v/>
      </c>
      <c r="S42" s="12">
        <f>IF(AND(P42="",Q42=""),IF(AND(L42="",M42="",T42="",U42=""),IF(OR($D42&lt;&gt;"",$E42&lt;&gt;""),"Belum ditempatkan",""),""),IF(P42="","CEK JENIS FIXTURE kosong",IF(LEFT(P42,4)&lt;&gt;"Wall","CEK Fixture 2 hanya Wall",IF(Q42="","CEK SHELVING KE kosong",IF(ISNA(MATCH(P42&amp;"|"&amp;Q42,LAYOUT!$E$2:$E$80,0)),"CEK SHELVING KE di luar layout",IF($I42="","CEK SERIES kosong",IF($D42="","Zona STOCK",IF($E42="","CEK SKU DESCRIPTION kosong",IF(COUNTIFS($I$2:$I$500,$I42,P$2:P$500,"&lt;&gt;"&amp;P42,P$2:P$500,"&lt;&gt;")&gt;0,"CEK jenis fixture beda dalam satu series","OK")))))))))</f>
        <v/>
      </c>
      <c r="T42" s="11" t="n"/>
      <c r="U42" s="11" t="n"/>
      <c r="V42" s="11">
        <f>IF(OR(T42="",U42=""),"",IFERROR(INDEX(LAYOUT!$D$2:$D$80,MATCH(T42&amp;"|"&amp;U42,LAYOUT!$E$2:$E$80,0)),""))</f>
        <v/>
      </c>
      <c r="W42" s="12">
        <f>IF(AND(T42="",U42=""),IF(AND(L42="",M42="",P42="",Q42=""),IF(OR($D42&lt;&gt;"",$E42&lt;&gt;""),"Belum ditempatkan",""),""),IF(T42="","CEK JENIS FIXTURE kosong",IF(LEFT(T42,4)&lt;&gt;"Wall","CEK Fixture 3 hanya Wall",IF(U42="","CEK SHELVING KE kosong",IF(ISNA(MATCH(T42&amp;"|"&amp;U42,LAYOUT!$E$2:$E$80,0)),"CEK SHELVING KE di luar layout",IF($I42="","CEK SERIES kosong",IF($D42="","Zona STOCK",IF($E42="","CEK SKU DESCRIPTION kosong",IF(COUNTIFS($I$2:$I$500,$I42,T$2:T$500,"&lt;&gt;"&amp;T42,T$2:T$500,"&lt;&gt;")&gt;0,"CEK jenis fixture beda dalam satu series","OK")))))))))</f>
        <v/>
      </c>
      <c r="X42" s="11" t="n"/>
      <c r="Y42" s="11" t="n"/>
      <c r="Z42" s="12" t="n"/>
      <c r="AA42" s="12" t="n"/>
      <c r="AB42" s="11" t="n"/>
      <c r="AC42" s="11" t="n"/>
      <c r="AD42" s="11" t="n"/>
      <c r="AE42" s="11" t="n"/>
      <c r="AF42" s="11" t="n"/>
      <c r="AG42" s="11" t="n"/>
      <c r="AH42" s="12" t="n"/>
      <c r="AI42" s="12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>
        <f>IF(OR(L43="",M43=""),"",IFERROR(INDEX(LAYOUT!$D$2:$D$80,MATCH(L43&amp;"|"&amp;M43,LAYOUT!$E$2:$E$80,0)),""))</f>
        <v/>
      </c>
      <c r="O43" s="12">
        <f>IF(AND(L43="",M43=""),IF(AND(P43="",Q43="",T43="",U43=""),IF(OR($D43&lt;&gt;"",$E43&lt;&gt;""),"Belum ditempatkan",""),""),IF(L43="","CEK JENIS FIXTURE kosong",IF(AND(LEFT(L43,7)&lt;&gt;"Gondola",LEFT(L43,6)&lt;&gt;"Endcap"),"CEK Fixture 1 hanya Gondola atau Endcap",IF(M43="","CEK SHELVING KE kosong",IF(ISNA(MATCH(L43&amp;"|"&amp;M43,LAYOUT!$E$2:$E$80,0)),"CEK SHELVING KE di luar layout",IF($I43="","CEK SERIES kosong",IF($D43="","Zona STOCK",IF($E43="","CEK SKU DESCRIPTION kosong",IF(COUNTIFS($I$2:$I$500,$I43,L$2:L$500,"&lt;&gt;"&amp;L43,L$2:L$500,"&lt;&gt;")&gt;0,"CEK jenis fixture beda dalam satu series","OK")))))))))</f>
        <v/>
      </c>
      <c r="P43" s="11" t="n"/>
      <c r="Q43" s="11" t="n"/>
      <c r="R43" s="11">
        <f>IF(OR(P43="",Q43=""),"",IFERROR(INDEX(LAYOUT!$D$2:$D$80,MATCH(P43&amp;"|"&amp;Q43,LAYOUT!$E$2:$E$80,0)),""))</f>
        <v/>
      </c>
      <c r="S43" s="12">
        <f>IF(AND(P43="",Q43=""),IF(AND(L43="",M43="",T43="",U43=""),IF(OR($D43&lt;&gt;"",$E43&lt;&gt;""),"Belum ditempatkan",""),""),IF(P43="","CEK JENIS FIXTURE kosong",IF(LEFT(P43,4)&lt;&gt;"Wall","CEK Fixture 2 hanya Wall",IF(Q43="","CEK SHELVING KE kosong",IF(ISNA(MATCH(P43&amp;"|"&amp;Q43,LAYOUT!$E$2:$E$80,0)),"CEK SHELVING KE di luar layout",IF($I43="","CEK SERIES kosong",IF($D43="","Zona STOCK",IF($E43="","CEK SKU DESCRIPTION kosong",IF(COUNTIFS($I$2:$I$500,$I43,P$2:P$500,"&lt;&gt;"&amp;P43,P$2:P$500,"&lt;&gt;")&gt;0,"CEK jenis fixture beda dalam satu series","OK")))))))))</f>
        <v/>
      </c>
      <c r="T43" s="11" t="n"/>
      <c r="U43" s="11" t="n"/>
      <c r="V43" s="11">
        <f>IF(OR(T43="",U43=""),"",IFERROR(INDEX(LAYOUT!$D$2:$D$80,MATCH(T43&amp;"|"&amp;U43,LAYOUT!$E$2:$E$80,0)),""))</f>
        <v/>
      </c>
      <c r="W43" s="12">
        <f>IF(AND(T43="",U43=""),IF(AND(L43="",M43="",P43="",Q43=""),IF(OR($D43&lt;&gt;"",$E43&lt;&gt;""),"Belum ditempatkan",""),""),IF(T43="","CEK JENIS FIXTURE kosong",IF(LEFT(T43,4)&lt;&gt;"Wall","CEK Fixture 3 hanya Wall",IF(U43="","CEK SHELVING KE kosong",IF(ISNA(MATCH(T43&amp;"|"&amp;U43,LAYOUT!$E$2:$E$80,0)),"CEK SHELVING KE di luar layout",IF($I43="","CEK SERIES kosong",IF($D43="","Zona STOCK",IF($E43="","CEK SKU DESCRIPTION kosong",IF(COUNTIFS($I$2:$I$500,$I43,T$2:T$500,"&lt;&gt;"&amp;T43,T$2:T$500,"&lt;&gt;")&gt;0,"CEK jenis fixture beda dalam satu series","OK")))))))))</f>
        <v/>
      </c>
      <c r="X43" s="11" t="n"/>
      <c r="Y43" s="11" t="n"/>
      <c r="Z43" s="12" t="n"/>
      <c r="AA43" s="12" t="n"/>
      <c r="AB43" s="11" t="n"/>
      <c r="AC43" s="11" t="n"/>
      <c r="AD43" s="11" t="n"/>
      <c r="AE43" s="11" t="n"/>
      <c r="AF43" s="11" t="n"/>
      <c r="AG43" s="11" t="n"/>
      <c r="AH43" s="12" t="n"/>
      <c r="AI43" s="12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>
        <f>IF(OR(L44="",M44=""),"",IFERROR(INDEX(LAYOUT!$D$2:$D$80,MATCH(L44&amp;"|"&amp;M44,LAYOUT!$E$2:$E$80,0)),""))</f>
        <v/>
      </c>
      <c r="O44" s="12">
        <f>IF(AND(L44="",M44=""),IF(AND(P44="",Q44="",T44="",U44=""),IF(OR($D44&lt;&gt;"",$E44&lt;&gt;""),"Belum ditempatkan",""),""),IF(L44="","CEK JENIS FIXTURE kosong",IF(AND(LEFT(L44,7)&lt;&gt;"Gondola",LEFT(L44,6)&lt;&gt;"Endcap"),"CEK Fixture 1 hanya Gondola atau Endcap",IF(M44="","CEK SHELVING KE kosong",IF(ISNA(MATCH(L44&amp;"|"&amp;M44,LAYOUT!$E$2:$E$80,0)),"CEK SHELVING KE di luar layout",IF($I44="","CEK SERIES kosong",IF($D44="","Zona STOCK",IF($E44="","CEK SKU DESCRIPTION kosong",IF(COUNTIFS($I$2:$I$500,$I44,L$2:L$500,"&lt;&gt;"&amp;L44,L$2:L$500,"&lt;&gt;")&gt;0,"CEK jenis fixture beda dalam satu series","OK")))))))))</f>
        <v/>
      </c>
      <c r="P44" s="11" t="n"/>
      <c r="Q44" s="11" t="n"/>
      <c r="R44" s="11">
        <f>IF(OR(P44="",Q44=""),"",IFERROR(INDEX(LAYOUT!$D$2:$D$80,MATCH(P44&amp;"|"&amp;Q44,LAYOUT!$E$2:$E$80,0)),""))</f>
        <v/>
      </c>
      <c r="S44" s="12">
        <f>IF(AND(P44="",Q44=""),IF(AND(L44="",M44="",T44="",U44=""),IF(OR($D44&lt;&gt;"",$E44&lt;&gt;""),"Belum ditempatkan",""),""),IF(P44="","CEK JENIS FIXTURE kosong",IF(LEFT(P44,4)&lt;&gt;"Wall","CEK Fixture 2 hanya Wall",IF(Q44="","CEK SHELVING KE kosong",IF(ISNA(MATCH(P44&amp;"|"&amp;Q44,LAYOUT!$E$2:$E$80,0)),"CEK SHELVING KE di luar layout",IF($I44="","CEK SERIES kosong",IF($D44="","Zona STOCK",IF($E44="","CEK SKU DESCRIPTION kosong",IF(COUNTIFS($I$2:$I$500,$I44,P$2:P$500,"&lt;&gt;"&amp;P44,P$2:P$500,"&lt;&gt;")&gt;0,"CEK jenis fixture beda dalam satu series","OK")))))))))</f>
        <v/>
      </c>
      <c r="T44" s="11" t="n"/>
      <c r="U44" s="11" t="n"/>
      <c r="V44" s="11">
        <f>IF(OR(T44="",U44=""),"",IFERROR(INDEX(LAYOUT!$D$2:$D$80,MATCH(T44&amp;"|"&amp;U44,LAYOUT!$E$2:$E$80,0)),""))</f>
        <v/>
      </c>
      <c r="W44" s="12">
        <f>IF(AND(T44="",U44=""),IF(AND(L44="",M44="",P44="",Q44=""),IF(OR($D44&lt;&gt;"",$E44&lt;&gt;""),"Belum ditempatkan",""),""),IF(T44="","CEK JENIS FIXTURE kosong",IF(LEFT(T44,4)&lt;&gt;"Wall","CEK Fixture 3 hanya Wall",IF(U44="","CEK SHELVING KE kosong",IF(ISNA(MATCH(T44&amp;"|"&amp;U44,LAYOUT!$E$2:$E$80,0)),"CEK SHELVING KE di luar layout",IF($I44="","CEK SERIES kosong",IF($D44="","Zona STOCK",IF($E44="","CEK SKU DESCRIPTION kosong",IF(COUNTIFS($I$2:$I$500,$I44,T$2:T$500,"&lt;&gt;"&amp;T44,T$2:T$500,"&lt;&gt;")&gt;0,"CEK jenis fixture beda dalam satu series","OK")))))))))</f>
        <v/>
      </c>
      <c r="X44" s="11" t="n"/>
      <c r="Y44" s="11" t="n"/>
      <c r="Z44" s="12" t="n"/>
      <c r="AA44" s="12" t="n"/>
      <c r="AB44" s="11" t="n"/>
      <c r="AC44" s="11" t="n"/>
      <c r="AD44" s="11" t="n"/>
      <c r="AE44" s="11" t="n"/>
      <c r="AF44" s="11" t="n"/>
      <c r="AG44" s="11" t="n"/>
      <c r="AH44" s="12" t="n"/>
      <c r="AI44" s="12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>
        <f>IF(OR(L45="",M45=""),"",IFERROR(INDEX(LAYOUT!$D$2:$D$80,MATCH(L45&amp;"|"&amp;M45,LAYOUT!$E$2:$E$80,0)),""))</f>
        <v/>
      </c>
      <c r="O45" s="12">
        <f>IF(AND(L45="",M45=""),IF(AND(P45="",Q45="",T45="",U45=""),IF(OR($D45&lt;&gt;"",$E45&lt;&gt;""),"Belum ditempatkan",""),""),IF(L45="","CEK JENIS FIXTURE kosong",IF(AND(LEFT(L45,7)&lt;&gt;"Gondola",LEFT(L45,6)&lt;&gt;"Endcap"),"CEK Fixture 1 hanya Gondola atau Endcap",IF(M45="","CEK SHELVING KE kosong",IF(ISNA(MATCH(L45&amp;"|"&amp;M45,LAYOUT!$E$2:$E$80,0)),"CEK SHELVING KE di luar layout",IF($I45="","CEK SERIES kosong",IF($D45="","Zona STOCK",IF($E45="","CEK SKU DESCRIPTION kosong",IF(COUNTIFS($I$2:$I$500,$I45,L$2:L$500,"&lt;&gt;"&amp;L45,L$2:L$500,"&lt;&gt;")&gt;0,"CEK jenis fixture beda dalam satu series","OK")))))))))</f>
        <v/>
      </c>
      <c r="P45" s="11" t="n"/>
      <c r="Q45" s="11" t="n"/>
      <c r="R45" s="11">
        <f>IF(OR(P45="",Q45=""),"",IFERROR(INDEX(LAYOUT!$D$2:$D$80,MATCH(P45&amp;"|"&amp;Q45,LAYOUT!$E$2:$E$80,0)),""))</f>
        <v/>
      </c>
      <c r="S45" s="12">
        <f>IF(AND(P45="",Q45=""),IF(AND(L45="",M45="",T45="",U45=""),IF(OR($D45&lt;&gt;"",$E45&lt;&gt;""),"Belum ditempatkan",""),""),IF(P45="","CEK JENIS FIXTURE kosong",IF(LEFT(P45,4)&lt;&gt;"Wall","CEK Fixture 2 hanya Wall",IF(Q45="","CEK SHELVING KE kosong",IF(ISNA(MATCH(P45&amp;"|"&amp;Q45,LAYOUT!$E$2:$E$80,0)),"CEK SHELVING KE di luar layout",IF($I45="","CEK SERIES kosong",IF($D45="","Zona STOCK",IF($E45="","CEK SKU DESCRIPTION kosong",IF(COUNTIFS($I$2:$I$500,$I45,P$2:P$500,"&lt;&gt;"&amp;P45,P$2:P$500,"&lt;&gt;")&gt;0,"CEK jenis fixture beda dalam satu series","OK")))))))))</f>
        <v/>
      </c>
      <c r="T45" s="11" t="n"/>
      <c r="U45" s="11" t="n"/>
      <c r="V45" s="11">
        <f>IF(OR(T45="",U45=""),"",IFERROR(INDEX(LAYOUT!$D$2:$D$80,MATCH(T45&amp;"|"&amp;U45,LAYOUT!$E$2:$E$80,0)),""))</f>
        <v/>
      </c>
      <c r="W45" s="12">
        <f>IF(AND(T45="",U45=""),IF(AND(L45="",M45="",P45="",Q45=""),IF(OR($D45&lt;&gt;"",$E45&lt;&gt;""),"Belum ditempatkan",""),""),IF(T45="","CEK JENIS FIXTURE kosong",IF(LEFT(T45,4)&lt;&gt;"Wall","CEK Fixture 3 hanya Wall",IF(U45="","CEK SHELVING KE kosong",IF(ISNA(MATCH(T45&amp;"|"&amp;U45,LAYOUT!$E$2:$E$80,0)),"CEK SHELVING KE di luar layout",IF($I45="","CEK SERIES kosong",IF($D45="","Zona STOCK",IF($E45="","CEK SKU DESCRIPTION kosong",IF(COUNTIFS($I$2:$I$500,$I45,T$2:T$500,"&lt;&gt;"&amp;T45,T$2:T$500,"&lt;&gt;")&gt;0,"CEK jenis fixture beda dalam satu series","OK")))))))))</f>
        <v/>
      </c>
      <c r="X45" s="11" t="n"/>
      <c r="Y45" s="11" t="n"/>
      <c r="Z45" s="12" t="n"/>
      <c r="AA45" s="12" t="n"/>
      <c r="AB45" s="11" t="n"/>
      <c r="AC45" s="11" t="n"/>
      <c r="AD45" s="11" t="n"/>
      <c r="AE45" s="11" t="n"/>
      <c r="AF45" s="11" t="n"/>
      <c r="AG45" s="11" t="n"/>
      <c r="AH45" s="12" t="n"/>
      <c r="AI45" s="12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>
        <f>IF(OR(L46="",M46=""),"",IFERROR(INDEX(LAYOUT!$D$2:$D$80,MATCH(L46&amp;"|"&amp;M46,LAYOUT!$E$2:$E$80,0)),""))</f>
        <v/>
      </c>
      <c r="O46" s="12">
        <f>IF(AND(L46="",M46=""),IF(AND(P46="",Q46="",T46="",U46=""),IF(OR($D46&lt;&gt;"",$E46&lt;&gt;""),"Belum ditempatkan",""),""),IF(L46="","CEK JENIS FIXTURE kosong",IF(AND(LEFT(L46,7)&lt;&gt;"Gondola",LEFT(L46,6)&lt;&gt;"Endcap"),"CEK Fixture 1 hanya Gondola atau Endcap",IF(M46="","CEK SHELVING KE kosong",IF(ISNA(MATCH(L46&amp;"|"&amp;M46,LAYOUT!$E$2:$E$80,0)),"CEK SHELVING KE di luar layout",IF($I46="","CEK SERIES kosong",IF($D46="","Zona STOCK",IF($E46="","CEK SKU DESCRIPTION kosong",IF(COUNTIFS($I$2:$I$500,$I46,L$2:L$500,"&lt;&gt;"&amp;L46,L$2:L$500,"&lt;&gt;")&gt;0,"CEK jenis fixture beda dalam satu series","OK")))))))))</f>
        <v/>
      </c>
      <c r="P46" s="11" t="n"/>
      <c r="Q46" s="11" t="n"/>
      <c r="R46" s="11">
        <f>IF(OR(P46="",Q46=""),"",IFERROR(INDEX(LAYOUT!$D$2:$D$80,MATCH(P46&amp;"|"&amp;Q46,LAYOUT!$E$2:$E$80,0)),""))</f>
        <v/>
      </c>
      <c r="S46" s="12">
        <f>IF(AND(P46="",Q46=""),IF(AND(L46="",M46="",T46="",U46=""),IF(OR($D46&lt;&gt;"",$E46&lt;&gt;""),"Belum ditempatkan",""),""),IF(P46="","CEK JENIS FIXTURE kosong",IF(LEFT(P46,4)&lt;&gt;"Wall","CEK Fixture 2 hanya Wall",IF(Q46="","CEK SHELVING KE kosong",IF(ISNA(MATCH(P46&amp;"|"&amp;Q46,LAYOUT!$E$2:$E$80,0)),"CEK SHELVING KE di luar layout",IF($I46="","CEK SERIES kosong",IF($D46="","Zona STOCK",IF($E46="","CEK SKU DESCRIPTION kosong",IF(COUNTIFS($I$2:$I$500,$I46,P$2:P$500,"&lt;&gt;"&amp;P46,P$2:P$500,"&lt;&gt;")&gt;0,"CEK jenis fixture beda dalam satu series","OK")))))))))</f>
        <v/>
      </c>
      <c r="T46" s="11" t="n"/>
      <c r="U46" s="11" t="n"/>
      <c r="V46" s="11">
        <f>IF(OR(T46="",U46=""),"",IFERROR(INDEX(LAYOUT!$D$2:$D$80,MATCH(T46&amp;"|"&amp;U46,LAYOUT!$E$2:$E$80,0)),""))</f>
        <v/>
      </c>
      <c r="W46" s="12">
        <f>IF(AND(T46="",U46=""),IF(AND(L46="",M46="",P46="",Q46=""),IF(OR($D46&lt;&gt;"",$E46&lt;&gt;""),"Belum ditempatkan",""),""),IF(T46="","CEK JENIS FIXTURE kosong",IF(LEFT(T46,4)&lt;&gt;"Wall","CEK Fixture 3 hanya Wall",IF(U46="","CEK SHELVING KE kosong",IF(ISNA(MATCH(T46&amp;"|"&amp;U46,LAYOUT!$E$2:$E$80,0)),"CEK SHELVING KE di luar layout",IF($I46="","CEK SERIES kosong",IF($D46="","Zona STOCK",IF($E46="","CEK SKU DESCRIPTION kosong",IF(COUNTIFS($I$2:$I$500,$I46,T$2:T$500,"&lt;&gt;"&amp;T46,T$2:T$500,"&lt;&gt;")&gt;0,"CEK jenis fixture beda dalam satu series","OK")))))))))</f>
        <v/>
      </c>
      <c r="X46" s="11" t="n"/>
      <c r="Y46" s="11" t="n"/>
      <c r="Z46" s="12" t="n"/>
      <c r="AA46" s="12" t="n"/>
      <c r="AB46" s="11" t="n"/>
      <c r="AC46" s="11" t="n"/>
      <c r="AD46" s="11" t="n"/>
      <c r="AE46" s="11" t="n"/>
      <c r="AF46" s="11" t="n"/>
      <c r="AG46" s="11" t="n"/>
      <c r="AH46" s="12" t="n"/>
      <c r="AI46" s="12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>
        <f>IF(OR(L47="",M47=""),"",IFERROR(INDEX(LAYOUT!$D$2:$D$80,MATCH(L47&amp;"|"&amp;M47,LAYOUT!$E$2:$E$80,0)),""))</f>
        <v/>
      </c>
      <c r="O47" s="12">
        <f>IF(AND(L47="",M47=""),IF(AND(P47="",Q47="",T47="",U47=""),IF(OR($D47&lt;&gt;"",$E47&lt;&gt;""),"Belum ditempatkan",""),""),IF(L47="","CEK JENIS FIXTURE kosong",IF(AND(LEFT(L47,7)&lt;&gt;"Gondola",LEFT(L47,6)&lt;&gt;"Endcap"),"CEK Fixture 1 hanya Gondola atau Endcap",IF(M47="","CEK SHELVING KE kosong",IF(ISNA(MATCH(L47&amp;"|"&amp;M47,LAYOUT!$E$2:$E$80,0)),"CEK SHELVING KE di luar layout",IF($I47="","CEK SERIES kosong",IF($D47="","Zona STOCK",IF($E47="","CEK SKU DESCRIPTION kosong",IF(COUNTIFS($I$2:$I$500,$I47,L$2:L$500,"&lt;&gt;"&amp;L47,L$2:L$500,"&lt;&gt;")&gt;0,"CEK jenis fixture beda dalam satu series","OK")))))))))</f>
        <v/>
      </c>
      <c r="P47" s="11" t="n"/>
      <c r="Q47" s="11" t="n"/>
      <c r="R47" s="11">
        <f>IF(OR(P47="",Q47=""),"",IFERROR(INDEX(LAYOUT!$D$2:$D$80,MATCH(P47&amp;"|"&amp;Q47,LAYOUT!$E$2:$E$80,0)),""))</f>
        <v/>
      </c>
      <c r="S47" s="12">
        <f>IF(AND(P47="",Q47=""),IF(AND(L47="",M47="",T47="",U47=""),IF(OR($D47&lt;&gt;"",$E47&lt;&gt;""),"Belum ditempatkan",""),""),IF(P47="","CEK JENIS FIXTURE kosong",IF(LEFT(P47,4)&lt;&gt;"Wall","CEK Fixture 2 hanya Wall",IF(Q47="","CEK SHELVING KE kosong",IF(ISNA(MATCH(P47&amp;"|"&amp;Q47,LAYOUT!$E$2:$E$80,0)),"CEK SHELVING KE di luar layout",IF($I47="","CEK SERIES kosong",IF($D47="","Zona STOCK",IF($E47="","CEK SKU DESCRIPTION kosong",IF(COUNTIFS($I$2:$I$500,$I47,P$2:P$500,"&lt;&gt;"&amp;P47,P$2:P$500,"&lt;&gt;")&gt;0,"CEK jenis fixture beda dalam satu series","OK")))))))))</f>
        <v/>
      </c>
      <c r="T47" s="11" t="n"/>
      <c r="U47" s="11" t="n"/>
      <c r="V47" s="11">
        <f>IF(OR(T47="",U47=""),"",IFERROR(INDEX(LAYOUT!$D$2:$D$80,MATCH(T47&amp;"|"&amp;U47,LAYOUT!$E$2:$E$80,0)),""))</f>
        <v/>
      </c>
      <c r="W47" s="12">
        <f>IF(AND(T47="",U47=""),IF(AND(L47="",M47="",P47="",Q47=""),IF(OR($D47&lt;&gt;"",$E47&lt;&gt;""),"Belum ditempatkan",""),""),IF(T47="","CEK JENIS FIXTURE kosong",IF(LEFT(T47,4)&lt;&gt;"Wall","CEK Fixture 3 hanya Wall",IF(U47="","CEK SHELVING KE kosong",IF(ISNA(MATCH(T47&amp;"|"&amp;U47,LAYOUT!$E$2:$E$80,0)),"CEK SHELVING KE di luar layout",IF($I47="","CEK SERIES kosong",IF($D47="","Zona STOCK",IF($E47="","CEK SKU DESCRIPTION kosong",IF(COUNTIFS($I$2:$I$500,$I47,T$2:T$500,"&lt;&gt;"&amp;T47,T$2:T$500,"&lt;&gt;")&gt;0,"CEK jenis fixture beda dalam satu series","OK")))))))))</f>
        <v/>
      </c>
      <c r="X47" s="11" t="n"/>
      <c r="Y47" s="11" t="n"/>
      <c r="Z47" s="12" t="n"/>
      <c r="AA47" s="12" t="n"/>
      <c r="AB47" s="11" t="n"/>
      <c r="AC47" s="11" t="n"/>
      <c r="AD47" s="11" t="n"/>
      <c r="AE47" s="11" t="n"/>
      <c r="AF47" s="11" t="n"/>
      <c r="AG47" s="11" t="n"/>
      <c r="AH47" s="12" t="n"/>
      <c r="AI47" s="12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>
        <f>IF(OR(L48="",M48=""),"",IFERROR(INDEX(LAYOUT!$D$2:$D$80,MATCH(L48&amp;"|"&amp;M48,LAYOUT!$E$2:$E$80,0)),""))</f>
        <v/>
      </c>
      <c r="O48" s="12">
        <f>IF(AND(L48="",M48=""),IF(AND(P48="",Q48="",T48="",U48=""),IF(OR($D48&lt;&gt;"",$E48&lt;&gt;""),"Belum ditempatkan",""),""),IF(L48="","CEK JENIS FIXTURE kosong",IF(AND(LEFT(L48,7)&lt;&gt;"Gondola",LEFT(L48,6)&lt;&gt;"Endcap"),"CEK Fixture 1 hanya Gondola atau Endcap",IF(M48="","CEK SHELVING KE kosong",IF(ISNA(MATCH(L48&amp;"|"&amp;M48,LAYOUT!$E$2:$E$80,0)),"CEK SHELVING KE di luar layout",IF($I48="","CEK SERIES kosong",IF($D48="","Zona STOCK",IF($E48="","CEK SKU DESCRIPTION kosong",IF(COUNTIFS($I$2:$I$500,$I48,L$2:L$500,"&lt;&gt;"&amp;L48,L$2:L$500,"&lt;&gt;")&gt;0,"CEK jenis fixture beda dalam satu series","OK")))))))))</f>
        <v/>
      </c>
      <c r="P48" s="11" t="n"/>
      <c r="Q48" s="11" t="n"/>
      <c r="R48" s="11">
        <f>IF(OR(P48="",Q48=""),"",IFERROR(INDEX(LAYOUT!$D$2:$D$80,MATCH(P48&amp;"|"&amp;Q48,LAYOUT!$E$2:$E$80,0)),""))</f>
        <v/>
      </c>
      <c r="S48" s="12">
        <f>IF(AND(P48="",Q48=""),IF(AND(L48="",M48="",T48="",U48=""),IF(OR($D48&lt;&gt;"",$E48&lt;&gt;""),"Belum ditempatkan",""),""),IF(P48="","CEK JENIS FIXTURE kosong",IF(LEFT(P48,4)&lt;&gt;"Wall","CEK Fixture 2 hanya Wall",IF(Q48="","CEK SHELVING KE kosong",IF(ISNA(MATCH(P48&amp;"|"&amp;Q48,LAYOUT!$E$2:$E$80,0)),"CEK SHELVING KE di luar layout",IF($I48="","CEK SERIES kosong",IF($D48="","Zona STOCK",IF($E48="","CEK SKU DESCRIPTION kosong",IF(COUNTIFS($I$2:$I$500,$I48,P$2:P$500,"&lt;&gt;"&amp;P48,P$2:P$500,"&lt;&gt;")&gt;0,"CEK jenis fixture beda dalam satu series","OK")))))))))</f>
        <v/>
      </c>
      <c r="T48" s="11" t="n"/>
      <c r="U48" s="11" t="n"/>
      <c r="V48" s="11">
        <f>IF(OR(T48="",U48=""),"",IFERROR(INDEX(LAYOUT!$D$2:$D$80,MATCH(T48&amp;"|"&amp;U48,LAYOUT!$E$2:$E$80,0)),""))</f>
        <v/>
      </c>
      <c r="W48" s="12">
        <f>IF(AND(T48="",U48=""),IF(AND(L48="",M48="",P48="",Q48=""),IF(OR($D48&lt;&gt;"",$E48&lt;&gt;""),"Belum ditempatkan",""),""),IF(T48="","CEK JENIS FIXTURE kosong",IF(LEFT(T48,4)&lt;&gt;"Wall","CEK Fixture 3 hanya Wall",IF(U48="","CEK SHELVING KE kosong",IF(ISNA(MATCH(T48&amp;"|"&amp;U48,LAYOUT!$E$2:$E$80,0)),"CEK SHELVING KE di luar layout",IF($I48="","CEK SERIES kosong",IF($D48="","Zona STOCK",IF($E48="","CEK SKU DESCRIPTION kosong",IF(COUNTIFS($I$2:$I$500,$I48,T$2:T$500,"&lt;&gt;"&amp;T48,T$2:T$500,"&lt;&gt;")&gt;0,"CEK jenis fixture beda dalam satu series","OK")))))))))</f>
        <v/>
      </c>
      <c r="X48" s="11" t="n"/>
      <c r="Y48" s="11" t="n"/>
      <c r="Z48" s="12" t="n"/>
      <c r="AA48" s="12" t="n"/>
      <c r="AB48" s="11" t="n"/>
      <c r="AC48" s="11" t="n"/>
      <c r="AD48" s="11" t="n"/>
      <c r="AE48" s="11" t="n"/>
      <c r="AF48" s="11" t="n"/>
      <c r="AG48" s="11" t="n"/>
      <c r="AH48" s="12" t="n"/>
      <c r="AI48" s="12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>
        <f>IF(OR(L49="",M49=""),"",IFERROR(INDEX(LAYOUT!$D$2:$D$80,MATCH(L49&amp;"|"&amp;M49,LAYOUT!$E$2:$E$80,0)),""))</f>
        <v/>
      </c>
      <c r="O49" s="12">
        <f>IF(AND(L49="",M49=""),IF(AND(P49="",Q49="",T49="",U49=""),IF(OR($D49&lt;&gt;"",$E49&lt;&gt;""),"Belum ditempatkan",""),""),IF(L49="","CEK JENIS FIXTURE kosong",IF(AND(LEFT(L49,7)&lt;&gt;"Gondola",LEFT(L49,6)&lt;&gt;"Endcap"),"CEK Fixture 1 hanya Gondola atau Endcap",IF(M49="","CEK SHELVING KE kosong",IF(ISNA(MATCH(L49&amp;"|"&amp;M49,LAYOUT!$E$2:$E$80,0)),"CEK SHELVING KE di luar layout",IF($I49="","CEK SERIES kosong",IF($D49="","Zona STOCK",IF($E49="","CEK SKU DESCRIPTION kosong",IF(COUNTIFS($I$2:$I$500,$I49,L$2:L$500,"&lt;&gt;"&amp;L49,L$2:L$500,"&lt;&gt;")&gt;0,"CEK jenis fixture beda dalam satu series","OK")))))))))</f>
        <v/>
      </c>
      <c r="P49" s="11" t="n"/>
      <c r="Q49" s="11" t="n"/>
      <c r="R49" s="11">
        <f>IF(OR(P49="",Q49=""),"",IFERROR(INDEX(LAYOUT!$D$2:$D$80,MATCH(P49&amp;"|"&amp;Q49,LAYOUT!$E$2:$E$80,0)),""))</f>
        <v/>
      </c>
      <c r="S49" s="12">
        <f>IF(AND(P49="",Q49=""),IF(AND(L49="",M49="",T49="",U49=""),IF(OR($D49&lt;&gt;"",$E49&lt;&gt;""),"Belum ditempatkan",""),""),IF(P49="","CEK JENIS FIXTURE kosong",IF(LEFT(P49,4)&lt;&gt;"Wall","CEK Fixture 2 hanya Wall",IF(Q49="","CEK SHELVING KE kosong",IF(ISNA(MATCH(P49&amp;"|"&amp;Q49,LAYOUT!$E$2:$E$80,0)),"CEK SHELVING KE di luar layout",IF($I49="","CEK SERIES kosong",IF($D49="","Zona STOCK",IF($E49="","CEK SKU DESCRIPTION kosong",IF(COUNTIFS($I$2:$I$500,$I49,P$2:P$500,"&lt;&gt;"&amp;P49,P$2:P$500,"&lt;&gt;")&gt;0,"CEK jenis fixture beda dalam satu series","OK")))))))))</f>
        <v/>
      </c>
      <c r="T49" s="11" t="n"/>
      <c r="U49" s="11" t="n"/>
      <c r="V49" s="11">
        <f>IF(OR(T49="",U49=""),"",IFERROR(INDEX(LAYOUT!$D$2:$D$80,MATCH(T49&amp;"|"&amp;U49,LAYOUT!$E$2:$E$80,0)),""))</f>
        <v/>
      </c>
      <c r="W49" s="12">
        <f>IF(AND(T49="",U49=""),IF(AND(L49="",M49="",P49="",Q49=""),IF(OR($D49&lt;&gt;"",$E49&lt;&gt;""),"Belum ditempatkan",""),""),IF(T49="","CEK JENIS FIXTURE kosong",IF(LEFT(T49,4)&lt;&gt;"Wall","CEK Fixture 3 hanya Wall",IF(U49="","CEK SHELVING KE kosong",IF(ISNA(MATCH(T49&amp;"|"&amp;U49,LAYOUT!$E$2:$E$80,0)),"CEK SHELVING KE di luar layout",IF($I49="","CEK SERIES kosong",IF($D49="","Zona STOCK",IF($E49="","CEK SKU DESCRIPTION kosong",IF(COUNTIFS($I$2:$I$500,$I49,T$2:T$500,"&lt;&gt;"&amp;T49,T$2:T$500,"&lt;&gt;")&gt;0,"CEK jenis fixture beda dalam satu series","OK")))))))))</f>
        <v/>
      </c>
      <c r="X49" s="11" t="n"/>
      <c r="Y49" s="11" t="n"/>
      <c r="Z49" s="12" t="n"/>
      <c r="AA49" s="12" t="n"/>
      <c r="AB49" s="11" t="n"/>
      <c r="AC49" s="11" t="n"/>
      <c r="AD49" s="11" t="n"/>
      <c r="AE49" s="11" t="n"/>
      <c r="AF49" s="11" t="n"/>
      <c r="AG49" s="11" t="n"/>
      <c r="AH49" s="12" t="n"/>
      <c r="AI49" s="12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>
        <f>IF(OR(L50="",M50=""),"",IFERROR(INDEX(LAYOUT!$D$2:$D$80,MATCH(L50&amp;"|"&amp;M50,LAYOUT!$E$2:$E$80,0)),""))</f>
        <v/>
      </c>
      <c r="O50" s="12">
        <f>IF(AND(L50="",M50=""),IF(AND(P50="",Q50="",T50="",U50=""),IF(OR($D50&lt;&gt;"",$E50&lt;&gt;""),"Belum ditempatkan",""),""),IF(L50="","CEK JENIS FIXTURE kosong",IF(AND(LEFT(L50,7)&lt;&gt;"Gondola",LEFT(L50,6)&lt;&gt;"Endcap"),"CEK Fixture 1 hanya Gondola atau Endcap",IF(M50="","CEK SHELVING KE kosong",IF(ISNA(MATCH(L50&amp;"|"&amp;M50,LAYOUT!$E$2:$E$80,0)),"CEK SHELVING KE di luar layout",IF($I50="","CEK SERIES kosong",IF($D50="","Zona STOCK",IF($E50="","CEK SKU DESCRIPTION kosong",IF(COUNTIFS($I$2:$I$500,$I50,L$2:L$500,"&lt;&gt;"&amp;L50,L$2:L$500,"&lt;&gt;")&gt;0,"CEK jenis fixture beda dalam satu series","OK")))))))))</f>
        <v/>
      </c>
      <c r="P50" s="11" t="n"/>
      <c r="Q50" s="11" t="n"/>
      <c r="R50" s="11">
        <f>IF(OR(P50="",Q50=""),"",IFERROR(INDEX(LAYOUT!$D$2:$D$80,MATCH(P50&amp;"|"&amp;Q50,LAYOUT!$E$2:$E$80,0)),""))</f>
        <v/>
      </c>
      <c r="S50" s="12">
        <f>IF(AND(P50="",Q50=""),IF(AND(L50="",M50="",T50="",U50=""),IF(OR($D50&lt;&gt;"",$E50&lt;&gt;""),"Belum ditempatkan",""),""),IF(P50="","CEK JENIS FIXTURE kosong",IF(LEFT(P50,4)&lt;&gt;"Wall","CEK Fixture 2 hanya Wall",IF(Q50="","CEK SHELVING KE kosong",IF(ISNA(MATCH(P50&amp;"|"&amp;Q50,LAYOUT!$E$2:$E$80,0)),"CEK SHELVING KE di luar layout",IF($I50="","CEK SERIES kosong",IF($D50="","Zona STOCK",IF($E50="","CEK SKU DESCRIPTION kosong",IF(COUNTIFS($I$2:$I$500,$I50,P$2:P$500,"&lt;&gt;"&amp;P50,P$2:P$500,"&lt;&gt;")&gt;0,"CEK jenis fixture beda dalam satu series","OK")))))))))</f>
        <v/>
      </c>
      <c r="T50" s="11" t="n"/>
      <c r="U50" s="11" t="n"/>
      <c r="V50" s="11">
        <f>IF(OR(T50="",U50=""),"",IFERROR(INDEX(LAYOUT!$D$2:$D$80,MATCH(T50&amp;"|"&amp;U50,LAYOUT!$E$2:$E$80,0)),""))</f>
        <v/>
      </c>
      <c r="W50" s="12">
        <f>IF(AND(T50="",U50=""),IF(AND(L50="",M50="",P50="",Q50=""),IF(OR($D50&lt;&gt;"",$E50&lt;&gt;""),"Belum ditempatkan",""),""),IF(T50="","CEK JENIS FIXTURE kosong",IF(LEFT(T50,4)&lt;&gt;"Wall","CEK Fixture 3 hanya Wall",IF(U50="","CEK SHELVING KE kosong",IF(ISNA(MATCH(T50&amp;"|"&amp;U50,LAYOUT!$E$2:$E$80,0)),"CEK SHELVING KE di luar layout",IF($I50="","CEK SERIES kosong",IF($D50="","Zona STOCK",IF($E50="","CEK SKU DESCRIPTION kosong",IF(COUNTIFS($I$2:$I$500,$I50,T$2:T$500,"&lt;&gt;"&amp;T50,T$2:T$500,"&lt;&gt;")&gt;0,"CEK jenis fixture beda dalam satu series","OK")))))))))</f>
        <v/>
      </c>
      <c r="X50" s="11" t="n"/>
      <c r="Y50" s="11" t="n"/>
      <c r="Z50" s="12" t="n"/>
      <c r="AA50" s="12" t="n"/>
      <c r="AB50" s="11" t="n"/>
      <c r="AC50" s="11" t="n"/>
      <c r="AD50" s="11" t="n"/>
      <c r="AE50" s="11" t="n"/>
      <c r="AF50" s="11" t="n"/>
      <c r="AG50" s="11" t="n"/>
      <c r="AH50" s="12" t="n"/>
      <c r="AI50" s="12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>
        <f>IF(OR(L51="",M51=""),"",IFERROR(INDEX(LAYOUT!$D$2:$D$80,MATCH(L51&amp;"|"&amp;M51,LAYOUT!$E$2:$E$80,0)),""))</f>
        <v/>
      </c>
      <c r="O51" s="12">
        <f>IF(AND(L51="",M51=""),IF(AND(P51="",Q51="",T51="",U51=""),IF(OR($D51&lt;&gt;"",$E51&lt;&gt;""),"Belum ditempatkan",""),""),IF(L51="","CEK JENIS FIXTURE kosong",IF(AND(LEFT(L51,7)&lt;&gt;"Gondola",LEFT(L51,6)&lt;&gt;"Endcap"),"CEK Fixture 1 hanya Gondola atau Endcap",IF(M51="","CEK SHELVING KE kosong",IF(ISNA(MATCH(L51&amp;"|"&amp;M51,LAYOUT!$E$2:$E$80,0)),"CEK SHELVING KE di luar layout",IF($I51="","CEK SERIES kosong",IF($D51="","Zona STOCK",IF($E51="","CEK SKU DESCRIPTION kosong",IF(COUNTIFS($I$2:$I$500,$I51,L$2:L$500,"&lt;&gt;"&amp;L51,L$2:L$500,"&lt;&gt;")&gt;0,"CEK jenis fixture beda dalam satu series","OK")))))))))</f>
        <v/>
      </c>
      <c r="P51" s="11" t="n"/>
      <c r="Q51" s="11" t="n"/>
      <c r="R51" s="11">
        <f>IF(OR(P51="",Q51=""),"",IFERROR(INDEX(LAYOUT!$D$2:$D$80,MATCH(P51&amp;"|"&amp;Q51,LAYOUT!$E$2:$E$80,0)),""))</f>
        <v/>
      </c>
      <c r="S51" s="12">
        <f>IF(AND(P51="",Q51=""),IF(AND(L51="",M51="",T51="",U51=""),IF(OR($D51&lt;&gt;"",$E51&lt;&gt;""),"Belum ditempatkan",""),""),IF(P51="","CEK JENIS FIXTURE kosong",IF(LEFT(P51,4)&lt;&gt;"Wall","CEK Fixture 2 hanya Wall",IF(Q51="","CEK SHELVING KE kosong",IF(ISNA(MATCH(P51&amp;"|"&amp;Q51,LAYOUT!$E$2:$E$80,0)),"CEK SHELVING KE di luar layout",IF($I51="","CEK SERIES kosong",IF($D51="","Zona STOCK",IF($E51="","CEK SKU DESCRIPTION kosong",IF(COUNTIFS($I$2:$I$500,$I51,P$2:P$500,"&lt;&gt;"&amp;P51,P$2:P$500,"&lt;&gt;")&gt;0,"CEK jenis fixture beda dalam satu series","OK")))))))))</f>
        <v/>
      </c>
      <c r="T51" s="11" t="n"/>
      <c r="U51" s="11" t="n"/>
      <c r="V51" s="11">
        <f>IF(OR(T51="",U51=""),"",IFERROR(INDEX(LAYOUT!$D$2:$D$80,MATCH(T51&amp;"|"&amp;U51,LAYOUT!$E$2:$E$80,0)),""))</f>
        <v/>
      </c>
      <c r="W51" s="12">
        <f>IF(AND(T51="",U51=""),IF(AND(L51="",M51="",P51="",Q51=""),IF(OR($D51&lt;&gt;"",$E51&lt;&gt;""),"Belum ditempatkan",""),""),IF(T51="","CEK JENIS FIXTURE kosong",IF(LEFT(T51,4)&lt;&gt;"Wall","CEK Fixture 3 hanya Wall",IF(U51="","CEK SHELVING KE kosong",IF(ISNA(MATCH(T51&amp;"|"&amp;U51,LAYOUT!$E$2:$E$80,0)),"CEK SHELVING KE di luar layout",IF($I51="","CEK SERIES kosong",IF($D51="","Zona STOCK",IF($E51="","CEK SKU DESCRIPTION kosong",IF(COUNTIFS($I$2:$I$500,$I51,T$2:T$500,"&lt;&gt;"&amp;T51,T$2:T$500,"&lt;&gt;")&gt;0,"CEK jenis fixture beda dalam satu series","OK")))))))))</f>
        <v/>
      </c>
      <c r="X51" s="11" t="n"/>
      <c r="Y51" s="11" t="n"/>
      <c r="Z51" s="12" t="n"/>
      <c r="AA51" s="12" t="n"/>
      <c r="AB51" s="11" t="n"/>
      <c r="AC51" s="11" t="n"/>
      <c r="AD51" s="11" t="n"/>
      <c r="AE51" s="11" t="n"/>
      <c r="AF51" s="11" t="n"/>
      <c r="AG51" s="11" t="n"/>
      <c r="AH51" s="12" t="n"/>
      <c r="AI51" s="12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>
        <f>IF(OR(L52="",M52=""),"",IFERROR(INDEX(LAYOUT!$D$2:$D$80,MATCH(L52&amp;"|"&amp;M52,LAYOUT!$E$2:$E$80,0)),""))</f>
        <v/>
      </c>
      <c r="O52" s="12">
        <f>IF(AND(L52="",M52=""),IF(AND(P52="",Q52="",T52="",U52=""),IF(OR($D52&lt;&gt;"",$E52&lt;&gt;""),"Belum ditempatkan",""),""),IF(L52="","CEK JENIS FIXTURE kosong",IF(AND(LEFT(L52,7)&lt;&gt;"Gondola",LEFT(L52,6)&lt;&gt;"Endcap"),"CEK Fixture 1 hanya Gondola atau Endcap",IF(M52="","CEK SHELVING KE kosong",IF(ISNA(MATCH(L52&amp;"|"&amp;M52,LAYOUT!$E$2:$E$80,0)),"CEK SHELVING KE di luar layout",IF($I52="","CEK SERIES kosong",IF($D52="","Zona STOCK",IF($E52="","CEK SKU DESCRIPTION kosong",IF(COUNTIFS($I$2:$I$500,$I52,L$2:L$500,"&lt;&gt;"&amp;L52,L$2:L$500,"&lt;&gt;")&gt;0,"CEK jenis fixture beda dalam satu series","OK")))))))))</f>
        <v/>
      </c>
      <c r="P52" s="11" t="n"/>
      <c r="Q52" s="11" t="n"/>
      <c r="R52" s="11">
        <f>IF(OR(P52="",Q52=""),"",IFERROR(INDEX(LAYOUT!$D$2:$D$80,MATCH(P52&amp;"|"&amp;Q52,LAYOUT!$E$2:$E$80,0)),""))</f>
        <v/>
      </c>
      <c r="S52" s="12">
        <f>IF(AND(P52="",Q52=""),IF(AND(L52="",M52="",T52="",U52=""),IF(OR($D52&lt;&gt;"",$E52&lt;&gt;""),"Belum ditempatkan",""),""),IF(P52="","CEK JENIS FIXTURE kosong",IF(LEFT(P52,4)&lt;&gt;"Wall","CEK Fixture 2 hanya Wall",IF(Q52="","CEK SHELVING KE kosong",IF(ISNA(MATCH(P52&amp;"|"&amp;Q52,LAYOUT!$E$2:$E$80,0)),"CEK SHELVING KE di luar layout",IF($I52="","CEK SERIES kosong",IF($D52="","Zona STOCK",IF($E52="","CEK SKU DESCRIPTION kosong",IF(COUNTIFS($I$2:$I$500,$I52,P$2:P$500,"&lt;&gt;"&amp;P52,P$2:P$500,"&lt;&gt;")&gt;0,"CEK jenis fixture beda dalam satu series","OK")))))))))</f>
        <v/>
      </c>
      <c r="T52" s="11" t="n"/>
      <c r="U52" s="11" t="n"/>
      <c r="V52" s="11">
        <f>IF(OR(T52="",U52=""),"",IFERROR(INDEX(LAYOUT!$D$2:$D$80,MATCH(T52&amp;"|"&amp;U52,LAYOUT!$E$2:$E$80,0)),""))</f>
        <v/>
      </c>
      <c r="W52" s="12">
        <f>IF(AND(T52="",U52=""),IF(AND(L52="",M52="",P52="",Q52=""),IF(OR($D52&lt;&gt;"",$E52&lt;&gt;""),"Belum ditempatkan",""),""),IF(T52="","CEK JENIS FIXTURE kosong",IF(LEFT(T52,4)&lt;&gt;"Wall","CEK Fixture 3 hanya Wall",IF(U52="","CEK SHELVING KE kosong",IF(ISNA(MATCH(T52&amp;"|"&amp;U52,LAYOUT!$E$2:$E$80,0)),"CEK SHELVING KE di luar layout",IF($I52="","CEK SERIES kosong",IF($D52="","Zona STOCK",IF($E52="","CEK SKU DESCRIPTION kosong",IF(COUNTIFS($I$2:$I$500,$I52,T$2:T$500,"&lt;&gt;"&amp;T52,T$2:T$500,"&lt;&gt;")&gt;0,"CEK jenis fixture beda dalam satu series","OK")))))))))</f>
        <v/>
      </c>
      <c r="X52" s="11" t="n"/>
      <c r="Y52" s="11" t="n"/>
      <c r="Z52" s="12" t="n"/>
      <c r="AA52" s="12" t="n"/>
      <c r="AB52" s="11" t="n"/>
      <c r="AC52" s="11" t="n"/>
      <c r="AD52" s="11" t="n"/>
      <c r="AE52" s="11" t="n"/>
      <c r="AF52" s="11" t="n"/>
      <c r="AG52" s="11" t="n"/>
      <c r="AH52" s="12" t="n"/>
      <c r="AI52" s="12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>
        <f>IF(OR(L53="",M53=""),"",IFERROR(INDEX(LAYOUT!$D$2:$D$80,MATCH(L53&amp;"|"&amp;M53,LAYOUT!$E$2:$E$80,0)),""))</f>
        <v/>
      </c>
      <c r="O53" s="12">
        <f>IF(AND(L53="",M53=""),IF(AND(P53="",Q53="",T53="",U53=""),IF(OR($D53&lt;&gt;"",$E53&lt;&gt;""),"Belum ditempatkan",""),""),IF(L53="","CEK JENIS FIXTURE kosong",IF(AND(LEFT(L53,7)&lt;&gt;"Gondola",LEFT(L53,6)&lt;&gt;"Endcap"),"CEK Fixture 1 hanya Gondola atau Endcap",IF(M53="","CEK SHELVING KE kosong",IF(ISNA(MATCH(L53&amp;"|"&amp;M53,LAYOUT!$E$2:$E$80,0)),"CEK SHELVING KE di luar layout",IF($I53="","CEK SERIES kosong",IF($D53="","Zona STOCK",IF($E53="","CEK SKU DESCRIPTION kosong",IF(COUNTIFS($I$2:$I$500,$I53,L$2:L$500,"&lt;&gt;"&amp;L53,L$2:L$500,"&lt;&gt;")&gt;0,"CEK jenis fixture beda dalam satu series","OK")))))))))</f>
        <v/>
      </c>
      <c r="P53" s="11" t="n"/>
      <c r="Q53" s="11" t="n"/>
      <c r="R53" s="11">
        <f>IF(OR(P53="",Q53=""),"",IFERROR(INDEX(LAYOUT!$D$2:$D$80,MATCH(P53&amp;"|"&amp;Q53,LAYOUT!$E$2:$E$80,0)),""))</f>
        <v/>
      </c>
      <c r="S53" s="12">
        <f>IF(AND(P53="",Q53=""),IF(AND(L53="",M53="",T53="",U53=""),IF(OR($D53&lt;&gt;"",$E53&lt;&gt;""),"Belum ditempatkan",""),""),IF(P53="","CEK JENIS FIXTURE kosong",IF(LEFT(P53,4)&lt;&gt;"Wall","CEK Fixture 2 hanya Wall",IF(Q53="","CEK SHELVING KE kosong",IF(ISNA(MATCH(P53&amp;"|"&amp;Q53,LAYOUT!$E$2:$E$80,0)),"CEK SHELVING KE di luar layout",IF($I53="","CEK SERIES kosong",IF($D53="","Zona STOCK",IF($E53="","CEK SKU DESCRIPTION kosong",IF(COUNTIFS($I$2:$I$500,$I53,P$2:P$500,"&lt;&gt;"&amp;P53,P$2:P$500,"&lt;&gt;")&gt;0,"CEK jenis fixture beda dalam satu series","OK")))))))))</f>
        <v/>
      </c>
      <c r="T53" s="11" t="n"/>
      <c r="U53" s="11" t="n"/>
      <c r="V53" s="11">
        <f>IF(OR(T53="",U53=""),"",IFERROR(INDEX(LAYOUT!$D$2:$D$80,MATCH(T53&amp;"|"&amp;U53,LAYOUT!$E$2:$E$80,0)),""))</f>
        <v/>
      </c>
      <c r="W53" s="12">
        <f>IF(AND(T53="",U53=""),IF(AND(L53="",M53="",P53="",Q53=""),IF(OR($D53&lt;&gt;"",$E53&lt;&gt;""),"Belum ditempatkan",""),""),IF(T53="","CEK JENIS FIXTURE kosong",IF(LEFT(T53,4)&lt;&gt;"Wall","CEK Fixture 3 hanya Wall",IF(U53="","CEK SHELVING KE kosong",IF(ISNA(MATCH(T53&amp;"|"&amp;U53,LAYOUT!$E$2:$E$80,0)),"CEK SHELVING KE di luar layout",IF($I53="","CEK SERIES kosong",IF($D53="","Zona STOCK",IF($E53="","CEK SKU DESCRIPTION kosong",IF(COUNTIFS($I$2:$I$500,$I53,T$2:T$500,"&lt;&gt;"&amp;T53,T$2:T$500,"&lt;&gt;")&gt;0,"CEK jenis fixture beda dalam satu series","OK")))))))))</f>
        <v/>
      </c>
      <c r="X53" s="11" t="n"/>
      <c r="Y53" s="11" t="n"/>
      <c r="Z53" s="12" t="n"/>
      <c r="AA53" s="12" t="n"/>
      <c r="AB53" s="11" t="n"/>
      <c r="AC53" s="11" t="n"/>
      <c r="AD53" s="11" t="n"/>
      <c r="AE53" s="11" t="n"/>
      <c r="AF53" s="11" t="n"/>
      <c r="AG53" s="11" t="n"/>
      <c r="AH53" s="12" t="n"/>
      <c r="AI53" s="12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>
        <f>IF(OR(L54="",M54=""),"",IFERROR(INDEX(LAYOUT!$D$2:$D$80,MATCH(L54&amp;"|"&amp;M54,LAYOUT!$E$2:$E$80,0)),""))</f>
        <v/>
      </c>
      <c r="O54" s="12">
        <f>IF(AND(L54="",M54=""),IF(AND(P54="",Q54="",T54="",U54=""),IF(OR($D54&lt;&gt;"",$E54&lt;&gt;""),"Belum ditempatkan",""),""),IF(L54="","CEK JENIS FIXTURE kosong",IF(AND(LEFT(L54,7)&lt;&gt;"Gondola",LEFT(L54,6)&lt;&gt;"Endcap"),"CEK Fixture 1 hanya Gondola atau Endcap",IF(M54="","CEK SHELVING KE kosong",IF(ISNA(MATCH(L54&amp;"|"&amp;M54,LAYOUT!$E$2:$E$80,0)),"CEK SHELVING KE di luar layout",IF($I54="","CEK SERIES kosong",IF($D54="","Zona STOCK",IF($E54="","CEK SKU DESCRIPTION kosong",IF(COUNTIFS($I$2:$I$500,$I54,L$2:L$500,"&lt;&gt;"&amp;L54,L$2:L$500,"&lt;&gt;")&gt;0,"CEK jenis fixture beda dalam satu series","OK")))))))))</f>
        <v/>
      </c>
      <c r="P54" s="11" t="n"/>
      <c r="Q54" s="11" t="n"/>
      <c r="R54" s="11">
        <f>IF(OR(P54="",Q54=""),"",IFERROR(INDEX(LAYOUT!$D$2:$D$80,MATCH(P54&amp;"|"&amp;Q54,LAYOUT!$E$2:$E$80,0)),""))</f>
        <v/>
      </c>
      <c r="S54" s="12">
        <f>IF(AND(P54="",Q54=""),IF(AND(L54="",M54="",T54="",U54=""),IF(OR($D54&lt;&gt;"",$E54&lt;&gt;""),"Belum ditempatkan",""),""),IF(P54="","CEK JENIS FIXTURE kosong",IF(LEFT(P54,4)&lt;&gt;"Wall","CEK Fixture 2 hanya Wall",IF(Q54="","CEK SHELVING KE kosong",IF(ISNA(MATCH(P54&amp;"|"&amp;Q54,LAYOUT!$E$2:$E$80,0)),"CEK SHELVING KE di luar layout",IF($I54="","CEK SERIES kosong",IF($D54="","Zona STOCK",IF($E54="","CEK SKU DESCRIPTION kosong",IF(COUNTIFS($I$2:$I$500,$I54,P$2:P$500,"&lt;&gt;"&amp;P54,P$2:P$500,"&lt;&gt;")&gt;0,"CEK jenis fixture beda dalam satu series","OK")))))))))</f>
        <v/>
      </c>
      <c r="T54" s="11" t="n"/>
      <c r="U54" s="11" t="n"/>
      <c r="V54" s="11">
        <f>IF(OR(T54="",U54=""),"",IFERROR(INDEX(LAYOUT!$D$2:$D$80,MATCH(T54&amp;"|"&amp;U54,LAYOUT!$E$2:$E$80,0)),""))</f>
        <v/>
      </c>
      <c r="W54" s="12">
        <f>IF(AND(T54="",U54=""),IF(AND(L54="",M54="",P54="",Q54=""),IF(OR($D54&lt;&gt;"",$E54&lt;&gt;""),"Belum ditempatkan",""),""),IF(T54="","CEK JENIS FIXTURE kosong",IF(LEFT(T54,4)&lt;&gt;"Wall","CEK Fixture 3 hanya Wall",IF(U54="","CEK SHELVING KE kosong",IF(ISNA(MATCH(T54&amp;"|"&amp;U54,LAYOUT!$E$2:$E$80,0)),"CEK SHELVING KE di luar layout",IF($I54="","CEK SERIES kosong",IF($D54="","Zona STOCK",IF($E54="","CEK SKU DESCRIPTION kosong",IF(COUNTIFS($I$2:$I$500,$I54,T$2:T$500,"&lt;&gt;"&amp;T54,T$2:T$500,"&lt;&gt;")&gt;0,"CEK jenis fixture beda dalam satu series","OK")))))))))</f>
        <v/>
      </c>
      <c r="X54" s="11" t="n"/>
      <c r="Y54" s="11" t="n"/>
      <c r="Z54" s="12" t="n"/>
      <c r="AA54" s="12" t="n"/>
      <c r="AB54" s="11" t="n"/>
      <c r="AC54" s="11" t="n"/>
      <c r="AD54" s="11" t="n"/>
      <c r="AE54" s="11" t="n"/>
      <c r="AF54" s="11" t="n"/>
      <c r="AG54" s="11" t="n"/>
      <c r="AH54" s="12" t="n"/>
      <c r="AI54" s="12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>
        <f>IF(OR(L55="",M55=""),"",IFERROR(INDEX(LAYOUT!$D$2:$D$80,MATCH(L55&amp;"|"&amp;M55,LAYOUT!$E$2:$E$80,0)),""))</f>
        <v/>
      </c>
      <c r="O55" s="12">
        <f>IF(AND(L55="",M55=""),IF(AND(P55="",Q55="",T55="",U55=""),IF(OR($D55&lt;&gt;"",$E55&lt;&gt;""),"Belum ditempatkan",""),""),IF(L55="","CEK JENIS FIXTURE kosong",IF(AND(LEFT(L55,7)&lt;&gt;"Gondola",LEFT(L55,6)&lt;&gt;"Endcap"),"CEK Fixture 1 hanya Gondola atau Endcap",IF(M55="","CEK SHELVING KE kosong",IF(ISNA(MATCH(L55&amp;"|"&amp;M55,LAYOUT!$E$2:$E$80,0)),"CEK SHELVING KE di luar layout",IF($I55="","CEK SERIES kosong",IF($D55="","Zona STOCK",IF($E55="","CEK SKU DESCRIPTION kosong",IF(COUNTIFS($I$2:$I$500,$I55,L$2:L$500,"&lt;&gt;"&amp;L55,L$2:L$500,"&lt;&gt;")&gt;0,"CEK jenis fixture beda dalam satu series","OK")))))))))</f>
        <v/>
      </c>
      <c r="P55" s="11" t="n"/>
      <c r="Q55" s="11" t="n"/>
      <c r="R55" s="11">
        <f>IF(OR(P55="",Q55=""),"",IFERROR(INDEX(LAYOUT!$D$2:$D$80,MATCH(P55&amp;"|"&amp;Q55,LAYOUT!$E$2:$E$80,0)),""))</f>
        <v/>
      </c>
      <c r="S55" s="12">
        <f>IF(AND(P55="",Q55=""),IF(AND(L55="",M55="",T55="",U55=""),IF(OR($D55&lt;&gt;"",$E55&lt;&gt;""),"Belum ditempatkan",""),""),IF(P55="","CEK JENIS FIXTURE kosong",IF(LEFT(P55,4)&lt;&gt;"Wall","CEK Fixture 2 hanya Wall",IF(Q55="","CEK SHELVING KE kosong",IF(ISNA(MATCH(P55&amp;"|"&amp;Q55,LAYOUT!$E$2:$E$80,0)),"CEK SHELVING KE di luar layout",IF($I55="","CEK SERIES kosong",IF($D55="","Zona STOCK",IF($E55="","CEK SKU DESCRIPTION kosong",IF(COUNTIFS($I$2:$I$500,$I55,P$2:P$500,"&lt;&gt;"&amp;P55,P$2:P$500,"&lt;&gt;")&gt;0,"CEK jenis fixture beda dalam satu series","OK")))))))))</f>
        <v/>
      </c>
      <c r="T55" s="11" t="n"/>
      <c r="U55" s="11" t="n"/>
      <c r="V55" s="11">
        <f>IF(OR(T55="",U55=""),"",IFERROR(INDEX(LAYOUT!$D$2:$D$80,MATCH(T55&amp;"|"&amp;U55,LAYOUT!$E$2:$E$80,0)),""))</f>
        <v/>
      </c>
      <c r="W55" s="12">
        <f>IF(AND(T55="",U55=""),IF(AND(L55="",M55="",P55="",Q55=""),IF(OR($D55&lt;&gt;"",$E55&lt;&gt;""),"Belum ditempatkan",""),""),IF(T55="","CEK JENIS FIXTURE kosong",IF(LEFT(T55,4)&lt;&gt;"Wall","CEK Fixture 3 hanya Wall",IF(U55="","CEK SHELVING KE kosong",IF(ISNA(MATCH(T55&amp;"|"&amp;U55,LAYOUT!$E$2:$E$80,0)),"CEK SHELVING KE di luar layout",IF($I55="","CEK SERIES kosong",IF($D55="","Zona STOCK",IF($E55="","CEK SKU DESCRIPTION kosong",IF(COUNTIFS($I$2:$I$500,$I55,T$2:T$500,"&lt;&gt;"&amp;T55,T$2:T$500,"&lt;&gt;")&gt;0,"CEK jenis fixture beda dalam satu series","OK")))))))))</f>
        <v/>
      </c>
      <c r="X55" s="11" t="n"/>
      <c r="Y55" s="11" t="n"/>
      <c r="Z55" s="12" t="n"/>
      <c r="AA55" s="12" t="n"/>
      <c r="AB55" s="11" t="n"/>
      <c r="AC55" s="11" t="n"/>
      <c r="AD55" s="11" t="n"/>
      <c r="AE55" s="11" t="n"/>
      <c r="AF55" s="11" t="n"/>
      <c r="AG55" s="11" t="n"/>
      <c r="AH55" s="12" t="n"/>
      <c r="AI55" s="12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>
        <f>IF(OR(L56="",M56=""),"",IFERROR(INDEX(LAYOUT!$D$2:$D$80,MATCH(L56&amp;"|"&amp;M56,LAYOUT!$E$2:$E$80,0)),""))</f>
        <v/>
      </c>
      <c r="O56" s="12">
        <f>IF(AND(L56="",M56=""),IF(AND(P56="",Q56="",T56="",U56=""),IF(OR($D56&lt;&gt;"",$E56&lt;&gt;""),"Belum ditempatkan",""),""),IF(L56="","CEK JENIS FIXTURE kosong",IF(AND(LEFT(L56,7)&lt;&gt;"Gondola",LEFT(L56,6)&lt;&gt;"Endcap"),"CEK Fixture 1 hanya Gondola atau Endcap",IF(M56="","CEK SHELVING KE kosong",IF(ISNA(MATCH(L56&amp;"|"&amp;M56,LAYOUT!$E$2:$E$80,0)),"CEK SHELVING KE di luar layout",IF($I56="","CEK SERIES kosong",IF($D56="","Zona STOCK",IF($E56="","CEK SKU DESCRIPTION kosong",IF(COUNTIFS($I$2:$I$500,$I56,L$2:L$500,"&lt;&gt;"&amp;L56,L$2:L$500,"&lt;&gt;")&gt;0,"CEK jenis fixture beda dalam satu series","OK")))))))))</f>
        <v/>
      </c>
      <c r="P56" s="11" t="n"/>
      <c r="Q56" s="11" t="n"/>
      <c r="R56" s="11">
        <f>IF(OR(P56="",Q56=""),"",IFERROR(INDEX(LAYOUT!$D$2:$D$80,MATCH(P56&amp;"|"&amp;Q56,LAYOUT!$E$2:$E$80,0)),""))</f>
        <v/>
      </c>
      <c r="S56" s="12">
        <f>IF(AND(P56="",Q56=""),IF(AND(L56="",M56="",T56="",U56=""),IF(OR($D56&lt;&gt;"",$E56&lt;&gt;""),"Belum ditempatkan",""),""),IF(P56="","CEK JENIS FIXTURE kosong",IF(LEFT(P56,4)&lt;&gt;"Wall","CEK Fixture 2 hanya Wall",IF(Q56="","CEK SHELVING KE kosong",IF(ISNA(MATCH(P56&amp;"|"&amp;Q56,LAYOUT!$E$2:$E$80,0)),"CEK SHELVING KE di luar layout",IF($I56="","CEK SERIES kosong",IF($D56="","Zona STOCK",IF($E56="","CEK SKU DESCRIPTION kosong",IF(COUNTIFS($I$2:$I$500,$I56,P$2:P$500,"&lt;&gt;"&amp;P56,P$2:P$500,"&lt;&gt;")&gt;0,"CEK jenis fixture beda dalam satu series","OK")))))))))</f>
        <v/>
      </c>
      <c r="T56" s="11" t="n"/>
      <c r="U56" s="11" t="n"/>
      <c r="V56" s="11">
        <f>IF(OR(T56="",U56=""),"",IFERROR(INDEX(LAYOUT!$D$2:$D$80,MATCH(T56&amp;"|"&amp;U56,LAYOUT!$E$2:$E$80,0)),""))</f>
        <v/>
      </c>
      <c r="W56" s="12">
        <f>IF(AND(T56="",U56=""),IF(AND(L56="",M56="",P56="",Q56=""),IF(OR($D56&lt;&gt;"",$E56&lt;&gt;""),"Belum ditempatkan",""),""),IF(T56="","CEK JENIS FIXTURE kosong",IF(LEFT(T56,4)&lt;&gt;"Wall","CEK Fixture 3 hanya Wall",IF(U56="","CEK SHELVING KE kosong",IF(ISNA(MATCH(T56&amp;"|"&amp;U56,LAYOUT!$E$2:$E$80,0)),"CEK SHELVING KE di luar layout",IF($I56="","CEK SERIES kosong",IF($D56="","Zona STOCK",IF($E56="","CEK SKU DESCRIPTION kosong",IF(COUNTIFS($I$2:$I$500,$I56,T$2:T$500,"&lt;&gt;"&amp;T56,T$2:T$500,"&lt;&gt;")&gt;0,"CEK jenis fixture beda dalam satu series","OK")))))))))</f>
        <v/>
      </c>
      <c r="X56" s="11" t="n"/>
      <c r="Y56" s="11" t="n"/>
      <c r="Z56" s="12" t="n"/>
      <c r="AA56" s="12" t="n"/>
      <c r="AB56" s="11" t="n"/>
      <c r="AC56" s="11" t="n"/>
      <c r="AD56" s="11" t="n"/>
      <c r="AE56" s="11" t="n"/>
      <c r="AF56" s="11" t="n"/>
      <c r="AG56" s="11" t="n"/>
      <c r="AH56" s="12" t="n"/>
      <c r="AI56" s="12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>
        <f>IF(OR(L57="",M57=""),"",IFERROR(INDEX(LAYOUT!$D$2:$D$80,MATCH(L57&amp;"|"&amp;M57,LAYOUT!$E$2:$E$80,0)),""))</f>
        <v/>
      </c>
      <c r="O57" s="12">
        <f>IF(AND(L57="",M57=""),IF(AND(P57="",Q57="",T57="",U57=""),IF(OR($D57&lt;&gt;"",$E57&lt;&gt;""),"Belum ditempatkan",""),""),IF(L57="","CEK JENIS FIXTURE kosong",IF(AND(LEFT(L57,7)&lt;&gt;"Gondola",LEFT(L57,6)&lt;&gt;"Endcap"),"CEK Fixture 1 hanya Gondola atau Endcap",IF(M57="","CEK SHELVING KE kosong",IF(ISNA(MATCH(L57&amp;"|"&amp;M57,LAYOUT!$E$2:$E$80,0)),"CEK SHELVING KE di luar layout",IF($I57="","CEK SERIES kosong",IF($D57="","Zona STOCK",IF($E57="","CEK SKU DESCRIPTION kosong",IF(COUNTIFS($I$2:$I$500,$I57,L$2:L$500,"&lt;&gt;"&amp;L57,L$2:L$500,"&lt;&gt;")&gt;0,"CEK jenis fixture beda dalam satu series","OK")))))))))</f>
        <v/>
      </c>
      <c r="P57" s="11" t="n"/>
      <c r="Q57" s="11" t="n"/>
      <c r="R57" s="11">
        <f>IF(OR(P57="",Q57=""),"",IFERROR(INDEX(LAYOUT!$D$2:$D$80,MATCH(P57&amp;"|"&amp;Q57,LAYOUT!$E$2:$E$80,0)),""))</f>
        <v/>
      </c>
      <c r="S57" s="12">
        <f>IF(AND(P57="",Q57=""),IF(AND(L57="",M57="",T57="",U57=""),IF(OR($D57&lt;&gt;"",$E57&lt;&gt;""),"Belum ditempatkan",""),""),IF(P57="","CEK JENIS FIXTURE kosong",IF(LEFT(P57,4)&lt;&gt;"Wall","CEK Fixture 2 hanya Wall",IF(Q57="","CEK SHELVING KE kosong",IF(ISNA(MATCH(P57&amp;"|"&amp;Q57,LAYOUT!$E$2:$E$80,0)),"CEK SHELVING KE di luar layout",IF($I57="","CEK SERIES kosong",IF($D57="","Zona STOCK",IF($E57="","CEK SKU DESCRIPTION kosong",IF(COUNTIFS($I$2:$I$500,$I57,P$2:P$500,"&lt;&gt;"&amp;P57,P$2:P$500,"&lt;&gt;")&gt;0,"CEK jenis fixture beda dalam satu series","OK")))))))))</f>
        <v/>
      </c>
      <c r="T57" s="11" t="n"/>
      <c r="U57" s="11" t="n"/>
      <c r="V57" s="11">
        <f>IF(OR(T57="",U57=""),"",IFERROR(INDEX(LAYOUT!$D$2:$D$80,MATCH(T57&amp;"|"&amp;U57,LAYOUT!$E$2:$E$80,0)),""))</f>
        <v/>
      </c>
      <c r="W57" s="12">
        <f>IF(AND(T57="",U57=""),IF(AND(L57="",M57="",P57="",Q57=""),IF(OR($D57&lt;&gt;"",$E57&lt;&gt;""),"Belum ditempatkan",""),""),IF(T57="","CEK JENIS FIXTURE kosong",IF(LEFT(T57,4)&lt;&gt;"Wall","CEK Fixture 3 hanya Wall",IF(U57="","CEK SHELVING KE kosong",IF(ISNA(MATCH(T57&amp;"|"&amp;U57,LAYOUT!$E$2:$E$80,0)),"CEK SHELVING KE di luar layout",IF($I57="","CEK SERIES kosong",IF($D57="","Zona STOCK",IF($E57="","CEK SKU DESCRIPTION kosong",IF(COUNTIFS($I$2:$I$500,$I57,T$2:T$500,"&lt;&gt;"&amp;T57,T$2:T$500,"&lt;&gt;")&gt;0,"CEK jenis fixture beda dalam satu series","OK")))))))))</f>
        <v/>
      </c>
      <c r="X57" s="11" t="n"/>
      <c r="Y57" s="11" t="n"/>
      <c r="Z57" s="12" t="n"/>
      <c r="AA57" s="12" t="n"/>
      <c r="AB57" s="11" t="n"/>
      <c r="AC57" s="11" t="n"/>
      <c r="AD57" s="11" t="n"/>
      <c r="AE57" s="11" t="n"/>
      <c r="AF57" s="11" t="n"/>
      <c r="AG57" s="11" t="n"/>
      <c r="AH57" s="12" t="n"/>
      <c r="AI57" s="12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>
        <f>IF(OR(L58="",M58=""),"",IFERROR(INDEX(LAYOUT!$D$2:$D$80,MATCH(L58&amp;"|"&amp;M58,LAYOUT!$E$2:$E$80,0)),""))</f>
        <v/>
      </c>
      <c r="O58" s="12">
        <f>IF(AND(L58="",M58=""),IF(AND(P58="",Q58="",T58="",U58=""),IF(OR($D58&lt;&gt;"",$E58&lt;&gt;""),"Belum ditempatkan",""),""),IF(L58="","CEK JENIS FIXTURE kosong",IF(AND(LEFT(L58,7)&lt;&gt;"Gondola",LEFT(L58,6)&lt;&gt;"Endcap"),"CEK Fixture 1 hanya Gondola atau Endcap",IF(M58="","CEK SHELVING KE kosong",IF(ISNA(MATCH(L58&amp;"|"&amp;M58,LAYOUT!$E$2:$E$80,0)),"CEK SHELVING KE di luar layout",IF($I58="","CEK SERIES kosong",IF($D58="","Zona STOCK",IF($E58="","CEK SKU DESCRIPTION kosong",IF(COUNTIFS($I$2:$I$500,$I58,L$2:L$500,"&lt;&gt;"&amp;L58,L$2:L$500,"&lt;&gt;")&gt;0,"CEK jenis fixture beda dalam satu series","OK")))))))))</f>
        <v/>
      </c>
      <c r="P58" s="11" t="n"/>
      <c r="Q58" s="11" t="n"/>
      <c r="R58" s="11">
        <f>IF(OR(P58="",Q58=""),"",IFERROR(INDEX(LAYOUT!$D$2:$D$80,MATCH(P58&amp;"|"&amp;Q58,LAYOUT!$E$2:$E$80,0)),""))</f>
        <v/>
      </c>
      <c r="S58" s="12">
        <f>IF(AND(P58="",Q58=""),IF(AND(L58="",M58="",T58="",U58=""),IF(OR($D58&lt;&gt;"",$E58&lt;&gt;""),"Belum ditempatkan",""),""),IF(P58="","CEK JENIS FIXTURE kosong",IF(LEFT(P58,4)&lt;&gt;"Wall","CEK Fixture 2 hanya Wall",IF(Q58="","CEK SHELVING KE kosong",IF(ISNA(MATCH(P58&amp;"|"&amp;Q58,LAYOUT!$E$2:$E$80,0)),"CEK SHELVING KE di luar layout",IF($I58="","CEK SERIES kosong",IF($D58="","Zona STOCK",IF($E58="","CEK SKU DESCRIPTION kosong",IF(COUNTIFS($I$2:$I$500,$I58,P$2:P$500,"&lt;&gt;"&amp;P58,P$2:P$500,"&lt;&gt;")&gt;0,"CEK jenis fixture beda dalam satu series","OK")))))))))</f>
        <v/>
      </c>
      <c r="T58" s="11" t="n"/>
      <c r="U58" s="11" t="n"/>
      <c r="V58" s="11">
        <f>IF(OR(T58="",U58=""),"",IFERROR(INDEX(LAYOUT!$D$2:$D$80,MATCH(T58&amp;"|"&amp;U58,LAYOUT!$E$2:$E$80,0)),""))</f>
        <v/>
      </c>
      <c r="W58" s="12">
        <f>IF(AND(T58="",U58=""),IF(AND(L58="",M58="",P58="",Q58=""),IF(OR($D58&lt;&gt;"",$E58&lt;&gt;""),"Belum ditempatkan",""),""),IF(T58="","CEK JENIS FIXTURE kosong",IF(LEFT(T58,4)&lt;&gt;"Wall","CEK Fixture 3 hanya Wall",IF(U58="","CEK SHELVING KE kosong",IF(ISNA(MATCH(T58&amp;"|"&amp;U58,LAYOUT!$E$2:$E$80,0)),"CEK SHELVING KE di luar layout",IF($I58="","CEK SERIES kosong",IF($D58="","Zona STOCK",IF($E58="","CEK SKU DESCRIPTION kosong",IF(COUNTIFS($I$2:$I$500,$I58,T$2:T$500,"&lt;&gt;"&amp;T58,T$2:T$500,"&lt;&gt;")&gt;0,"CEK jenis fixture beda dalam satu series","OK")))))))))</f>
        <v/>
      </c>
      <c r="X58" s="11" t="n"/>
      <c r="Y58" s="11" t="n"/>
      <c r="Z58" s="12" t="n"/>
      <c r="AA58" s="12" t="n"/>
      <c r="AB58" s="11" t="n"/>
      <c r="AC58" s="11" t="n"/>
      <c r="AD58" s="11" t="n"/>
      <c r="AE58" s="11" t="n"/>
      <c r="AF58" s="11" t="n"/>
      <c r="AG58" s="11" t="n"/>
      <c r="AH58" s="12" t="n"/>
      <c r="AI58" s="12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>
        <f>IF(OR(L59="",M59=""),"",IFERROR(INDEX(LAYOUT!$D$2:$D$80,MATCH(L59&amp;"|"&amp;M59,LAYOUT!$E$2:$E$80,0)),""))</f>
        <v/>
      </c>
      <c r="O59" s="12">
        <f>IF(AND(L59="",M59=""),IF(AND(P59="",Q59="",T59="",U59=""),IF(OR($D59&lt;&gt;"",$E59&lt;&gt;""),"Belum ditempatkan",""),""),IF(L59="","CEK JENIS FIXTURE kosong",IF(AND(LEFT(L59,7)&lt;&gt;"Gondola",LEFT(L59,6)&lt;&gt;"Endcap"),"CEK Fixture 1 hanya Gondola atau Endcap",IF(M59="","CEK SHELVING KE kosong",IF(ISNA(MATCH(L59&amp;"|"&amp;M59,LAYOUT!$E$2:$E$80,0)),"CEK SHELVING KE di luar layout",IF($I59="","CEK SERIES kosong",IF($D59="","Zona STOCK",IF($E59="","CEK SKU DESCRIPTION kosong",IF(COUNTIFS($I$2:$I$500,$I59,L$2:L$500,"&lt;&gt;"&amp;L59,L$2:L$500,"&lt;&gt;")&gt;0,"CEK jenis fixture beda dalam satu series","OK")))))))))</f>
        <v/>
      </c>
      <c r="P59" s="11" t="n"/>
      <c r="Q59" s="11" t="n"/>
      <c r="R59" s="11">
        <f>IF(OR(P59="",Q59=""),"",IFERROR(INDEX(LAYOUT!$D$2:$D$80,MATCH(P59&amp;"|"&amp;Q59,LAYOUT!$E$2:$E$80,0)),""))</f>
        <v/>
      </c>
      <c r="S59" s="12">
        <f>IF(AND(P59="",Q59=""),IF(AND(L59="",M59="",T59="",U59=""),IF(OR($D59&lt;&gt;"",$E59&lt;&gt;""),"Belum ditempatkan",""),""),IF(P59="","CEK JENIS FIXTURE kosong",IF(LEFT(P59,4)&lt;&gt;"Wall","CEK Fixture 2 hanya Wall",IF(Q59="","CEK SHELVING KE kosong",IF(ISNA(MATCH(P59&amp;"|"&amp;Q59,LAYOUT!$E$2:$E$80,0)),"CEK SHELVING KE di luar layout",IF($I59="","CEK SERIES kosong",IF($D59="","Zona STOCK",IF($E59="","CEK SKU DESCRIPTION kosong",IF(COUNTIFS($I$2:$I$500,$I59,P$2:P$500,"&lt;&gt;"&amp;P59,P$2:P$500,"&lt;&gt;")&gt;0,"CEK jenis fixture beda dalam satu series","OK")))))))))</f>
        <v/>
      </c>
      <c r="T59" s="11" t="n"/>
      <c r="U59" s="11" t="n"/>
      <c r="V59" s="11">
        <f>IF(OR(T59="",U59=""),"",IFERROR(INDEX(LAYOUT!$D$2:$D$80,MATCH(T59&amp;"|"&amp;U59,LAYOUT!$E$2:$E$80,0)),""))</f>
        <v/>
      </c>
      <c r="W59" s="12">
        <f>IF(AND(T59="",U59=""),IF(AND(L59="",M59="",P59="",Q59=""),IF(OR($D59&lt;&gt;"",$E59&lt;&gt;""),"Belum ditempatkan",""),""),IF(T59="","CEK JENIS FIXTURE kosong",IF(LEFT(T59,4)&lt;&gt;"Wall","CEK Fixture 3 hanya Wall",IF(U59="","CEK SHELVING KE kosong",IF(ISNA(MATCH(T59&amp;"|"&amp;U59,LAYOUT!$E$2:$E$80,0)),"CEK SHELVING KE di luar layout",IF($I59="","CEK SERIES kosong",IF($D59="","Zona STOCK",IF($E59="","CEK SKU DESCRIPTION kosong",IF(COUNTIFS($I$2:$I$500,$I59,T$2:T$500,"&lt;&gt;"&amp;T59,T$2:T$500,"&lt;&gt;")&gt;0,"CEK jenis fixture beda dalam satu series","OK")))))))))</f>
        <v/>
      </c>
      <c r="X59" s="11" t="n"/>
      <c r="Y59" s="11" t="n"/>
      <c r="Z59" s="12" t="n"/>
      <c r="AA59" s="12" t="n"/>
      <c r="AB59" s="11" t="n"/>
      <c r="AC59" s="11" t="n"/>
      <c r="AD59" s="11" t="n"/>
      <c r="AE59" s="11" t="n"/>
      <c r="AF59" s="11" t="n"/>
      <c r="AG59" s="11" t="n"/>
      <c r="AH59" s="12" t="n"/>
      <c r="AI59" s="12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>
        <f>IF(OR(L60="",M60=""),"",IFERROR(INDEX(LAYOUT!$D$2:$D$80,MATCH(L60&amp;"|"&amp;M60,LAYOUT!$E$2:$E$80,0)),""))</f>
        <v/>
      </c>
      <c r="O60" s="12">
        <f>IF(AND(L60="",M60=""),IF(AND(P60="",Q60="",T60="",U60=""),IF(OR($D60&lt;&gt;"",$E60&lt;&gt;""),"Belum ditempatkan",""),""),IF(L60="","CEK JENIS FIXTURE kosong",IF(AND(LEFT(L60,7)&lt;&gt;"Gondola",LEFT(L60,6)&lt;&gt;"Endcap"),"CEK Fixture 1 hanya Gondola atau Endcap",IF(M60="","CEK SHELVING KE kosong",IF(ISNA(MATCH(L60&amp;"|"&amp;M60,LAYOUT!$E$2:$E$80,0)),"CEK SHELVING KE di luar layout",IF($I60="","CEK SERIES kosong",IF($D60="","Zona STOCK",IF($E60="","CEK SKU DESCRIPTION kosong",IF(COUNTIFS($I$2:$I$500,$I60,L$2:L$500,"&lt;&gt;"&amp;L60,L$2:L$500,"&lt;&gt;")&gt;0,"CEK jenis fixture beda dalam satu series","OK")))))))))</f>
        <v/>
      </c>
      <c r="P60" s="11" t="n"/>
      <c r="Q60" s="11" t="n"/>
      <c r="R60" s="11">
        <f>IF(OR(P60="",Q60=""),"",IFERROR(INDEX(LAYOUT!$D$2:$D$80,MATCH(P60&amp;"|"&amp;Q60,LAYOUT!$E$2:$E$80,0)),""))</f>
        <v/>
      </c>
      <c r="S60" s="12">
        <f>IF(AND(P60="",Q60=""),IF(AND(L60="",M60="",T60="",U60=""),IF(OR($D60&lt;&gt;"",$E60&lt;&gt;""),"Belum ditempatkan",""),""),IF(P60="","CEK JENIS FIXTURE kosong",IF(LEFT(P60,4)&lt;&gt;"Wall","CEK Fixture 2 hanya Wall",IF(Q60="","CEK SHELVING KE kosong",IF(ISNA(MATCH(P60&amp;"|"&amp;Q60,LAYOUT!$E$2:$E$80,0)),"CEK SHELVING KE di luar layout",IF($I60="","CEK SERIES kosong",IF($D60="","Zona STOCK",IF($E60="","CEK SKU DESCRIPTION kosong",IF(COUNTIFS($I$2:$I$500,$I60,P$2:P$500,"&lt;&gt;"&amp;P60,P$2:P$500,"&lt;&gt;")&gt;0,"CEK jenis fixture beda dalam satu series","OK")))))))))</f>
        <v/>
      </c>
      <c r="T60" s="11" t="n"/>
      <c r="U60" s="11" t="n"/>
      <c r="V60" s="11">
        <f>IF(OR(T60="",U60=""),"",IFERROR(INDEX(LAYOUT!$D$2:$D$80,MATCH(T60&amp;"|"&amp;U60,LAYOUT!$E$2:$E$80,0)),""))</f>
        <v/>
      </c>
      <c r="W60" s="12">
        <f>IF(AND(T60="",U60=""),IF(AND(L60="",M60="",P60="",Q60=""),IF(OR($D60&lt;&gt;"",$E60&lt;&gt;""),"Belum ditempatkan",""),""),IF(T60="","CEK JENIS FIXTURE kosong",IF(LEFT(T60,4)&lt;&gt;"Wall","CEK Fixture 3 hanya Wall",IF(U60="","CEK SHELVING KE kosong",IF(ISNA(MATCH(T60&amp;"|"&amp;U60,LAYOUT!$E$2:$E$80,0)),"CEK SHELVING KE di luar layout",IF($I60="","CEK SERIES kosong",IF($D60="","Zona STOCK",IF($E60="","CEK SKU DESCRIPTION kosong",IF(COUNTIFS($I$2:$I$500,$I60,T$2:T$500,"&lt;&gt;"&amp;T60,T$2:T$500,"&lt;&gt;")&gt;0,"CEK jenis fixture beda dalam satu series","OK")))))))))</f>
        <v/>
      </c>
      <c r="X60" s="11" t="n"/>
      <c r="Y60" s="11" t="n"/>
      <c r="Z60" s="12" t="n"/>
      <c r="AA60" s="12" t="n"/>
      <c r="AB60" s="11" t="n"/>
      <c r="AC60" s="11" t="n"/>
      <c r="AD60" s="11" t="n"/>
      <c r="AE60" s="11" t="n"/>
      <c r="AF60" s="11" t="n"/>
      <c r="AG60" s="11" t="n"/>
      <c r="AH60" s="12" t="n"/>
      <c r="AI60" s="12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>
        <f>IF(OR(L61="",M61=""),"",IFERROR(INDEX(LAYOUT!$D$2:$D$80,MATCH(L61&amp;"|"&amp;M61,LAYOUT!$E$2:$E$80,0)),""))</f>
        <v/>
      </c>
      <c r="O61" s="12">
        <f>IF(AND(L61="",M61=""),IF(AND(P61="",Q61="",T61="",U61=""),IF(OR($D61&lt;&gt;"",$E61&lt;&gt;""),"Belum ditempatkan",""),""),IF(L61="","CEK JENIS FIXTURE kosong",IF(AND(LEFT(L61,7)&lt;&gt;"Gondola",LEFT(L61,6)&lt;&gt;"Endcap"),"CEK Fixture 1 hanya Gondola atau Endcap",IF(M61="","CEK SHELVING KE kosong",IF(ISNA(MATCH(L61&amp;"|"&amp;M61,LAYOUT!$E$2:$E$80,0)),"CEK SHELVING KE di luar layout",IF($I61="","CEK SERIES kosong",IF($D61="","Zona STOCK",IF($E61="","CEK SKU DESCRIPTION kosong",IF(COUNTIFS($I$2:$I$500,$I61,L$2:L$500,"&lt;&gt;"&amp;L61,L$2:L$500,"&lt;&gt;")&gt;0,"CEK jenis fixture beda dalam satu series","OK")))))))))</f>
        <v/>
      </c>
      <c r="P61" s="11" t="n"/>
      <c r="Q61" s="11" t="n"/>
      <c r="R61" s="11">
        <f>IF(OR(P61="",Q61=""),"",IFERROR(INDEX(LAYOUT!$D$2:$D$80,MATCH(P61&amp;"|"&amp;Q61,LAYOUT!$E$2:$E$80,0)),""))</f>
        <v/>
      </c>
      <c r="S61" s="12">
        <f>IF(AND(P61="",Q61=""),IF(AND(L61="",M61="",T61="",U61=""),IF(OR($D61&lt;&gt;"",$E61&lt;&gt;""),"Belum ditempatkan",""),""),IF(P61="","CEK JENIS FIXTURE kosong",IF(LEFT(P61,4)&lt;&gt;"Wall","CEK Fixture 2 hanya Wall",IF(Q61="","CEK SHELVING KE kosong",IF(ISNA(MATCH(P61&amp;"|"&amp;Q61,LAYOUT!$E$2:$E$80,0)),"CEK SHELVING KE di luar layout",IF($I61="","CEK SERIES kosong",IF($D61="","Zona STOCK",IF($E61="","CEK SKU DESCRIPTION kosong",IF(COUNTIFS($I$2:$I$500,$I61,P$2:P$500,"&lt;&gt;"&amp;P61,P$2:P$500,"&lt;&gt;")&gt;0,"CEK jenis fixture beda dalam satu series","OK")))))))))</f>
        <v/>
      </c>
      <c r="T61" s="11" t="n"/>
      <c r="U61" s="11" t="n"/>
      <c r="V61" s="11">
        <f>IF(OR(T61="",U61=""),"",IFERROR(INDEX(LAYOUT!$D$2:$D$80,MATCH(T61&amp;"|"&amp;U61,LAYOUT!$E$2:$E$80,0)),""))</f>
        <v/>
      </c>
      <c r="W61" s="12">
        <f>IF(AND(T61="",U61=""),IF(AND(L61="",M61="",P61="",Q61=""),IF(OR($D61&lt;&gt;"",$E61&lt;&gt;""),"Belum ditempatkan",""),""),IF(T61="","CEK JENIS FIXTURE kosong",IF(LEFT(T61,4)&lt;&gt;"Wall","CEK Fixture 3 hanya Wall",IF(U61="","CEK SHELVING KE kosong",IF(ISNA(MATCH(T61&amp;"|"&amp;U61,LAYOUT!$E$2:$E$80,0)),"CEK SHELVING KE di luar layout",IF($I61="","CEK SERIES kosong",IF($D61="","Zona STOCK",IF($E61="","CEK SKU DESCRIPTION kosong",IF(COUNTIFS($I$2:$I$500,$I61,T$2:T$500,"&lt;&gt;"&amp;T61,T$2:T$500,"&lt;&gt;")&gt;0,"CEK jenis fixture beda dalam satu series","OK")))))))))</f>
        <v/>
      </c>
      <c r="X61" s="11" t="n"/>
      <c r="Y61" s="11" t="n"/>
      <c r="Z61" s="12" t="n"/>
      <c r="AA61" s="12" t="n"/>
      <c r="AB61" s="11" t="n"/>
      <c r="AC61" s="11" t="n"/>
      <c r="AD61" s="11" t="n"/>
      <c r="AE61" s="11" t="n"/>
      <c r="AF61" s="11" t="n"/>
      <c r="AG61" s="11" t="n"/>
      <c r="AH61" s="12" t="n"/>
      <c r="AI61" s="12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>
        <f>IF(OR(L62="",M62=""),"",IFERROR(INDEX(LAYOUT!$D$2:$D$80,MATCH(L62&amp;"|"&amp;M62,LAYOUT!$E$2:$E$80,0)),""))</f>
        <v/>
      </c>
      <c r="O62" s="12">
        <f>IF(AND(L62="",M62=""),IF(AND(P62="",Q62="",T62="",U62=""),IF(OR($D62&lt;&gt;"",$E62&lt;&gt;""),"Belum ditempatkan",""),""),IF(L62="","CEK JENIS FIXTURE kosong",IF(AND(LEFT(L62,7)&lt;&gt;"Gondola",LEFT(L62,6)&lt;&gt;"Endcap"),"CEK Fixture 1 hanya Gondola atau Endcap",IF(M62="","CEK SHELVING KE kosong",IF(ISNA(MATCH(L62&amp;"|"&amp;M62,LAYOUT!$E$2:$E$80,0)),"CEK SHELVING KE di luar layout",IF($I62="","CEK SERIES kosong",IF($D62="","Zona STOCK",IF($E62="","CEK SKU DESCRIPTION kosong",IF(COUNTIFS($I$2:$I$500,$I62,L$2:L$500,"&lt;&gt;"&amp;L62,L$2:L$500,"&lt;&gt;")&gt;0,"CEK jenis fixture beda dalam satu series","OK")))))))))</f>
        <v/>
      </c>
      <c r="P62" s="11" t="n"/>
      <c r="Q62" s="11" t="n"/>
      <c r="R62" s="11">
        <f>IF(OR(P62="",Q62=""),"",IFERROR(INDEX(LAYOUT!$D$2:$D$80,MATCH(P62&amp;"|"&amp;Q62,LAYOUT!$E$2:$E$80,0)),""))</f>
        <v/>
      </c>
      <c r="S62" s="12">
        <f>IF(AND(P62="",Q62=""),IF(AND(L62="",M62="",T62="",U62=""),IF(OR($D62&lt;&gt;"",$E62&lt;&gt;""),"Belum ditempatkan",""),""),IF(P62="","CEK JENIS FIXTURE kosong",IF(LEFT(P62,4)&lt;&gt;"Wall","CEK Fixture 2 hanya Wall",IF(Q62="","CEK SHELVING KE kosong",IF(ISNA(MATCH(P62&amp;"|"&amp;Q62,LAYOUT!$E$2:$E$80,0)),"CEK SHELVING KE di luar layout",IF($I62="","CEK SERIES kosong",IF($D62="","Zona STOCK",IF($E62="","CEK SKU DESCRIPTION kosong",IF(COUNTIFS($I$2:$I$500,$I62,P$2:P$500,"&lt;&gt;"&amp;P62,P$2:P$500,"&lt;&gt;")&gt;0,"CEK jenis fixture beda dalam satu series","OK")))))))))</f>
        <v/>
      </c>
      <c r="T62" s="11" t="n"/>
      <c r="U62" s="11" t="n"/>
      <c r="V62" s="11">
        <f>IF(OR(T62="",U62=""),"",IFERROR(INDEX(LAYOUT!$D$2:$D$80,MATCH(T62&amp;"|"&amp;U62,LAYOUT!$E$2:$E$80,0)),""))</f>
        <v/>
      </c>
      <c r="W62" s="12">
        <f>IF(AND(T62="",U62=""),IF(AND(L62="",M62="",P62="",Q62=""),IF(OR($D62&lt;&gt;"",$E62&lt;&gt;""),"Belum ditempatkan",""),""),IF(T62="","CEK JENIS FIXTURE kosong",IF(LEFT(T62,4)&lt;&gt;"Wall","CEK Fixture 3 hanya Wall",IF(U62="","CEK SHELVING KE kosong",IF(ISNA(MATCH(T62&amp;"|"&amp;U62,LAYOUT!$E$2:$E$80,0)),"CEK SHELVING KE di luar layout",IF($I62="","CEK SERIES kosong",IF($D62="","Zona STOCK",IF($E62="","CEK SKU DESCRIPTION kosong",IF(COUNTIFS($I$2:$I$500,$I62,T$2:T$500,"&lt;&gt;"&amp;T62,T$2:T$500,"&lt;&gt;")&gt;0,"CEK jenis fixture beda dalam satu series","OK")))))))))</f>
        <v/>
      </c>
      <c r="X62" s="11" t="n"/>
      <c r="Y62" s="11" t="n"/>
      <c r="Z62" s="12" t="n"/>
      <c r="AA62" s="12" t="n"/>
      <c r="AB62" s="11" t="n"/>
      <c r="AC62" s="11" t="n"/>
      <c r="AD62" s="11" t="n"/>
      <c r="AE62" s="11" t="n"/>
      <c r="AF62" s="11" t="n"/>
      <c r="AG62" s="11" t="n"/>
      <c r="AH62" s="12" t="n"/>
      <c r="AI62" s="12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>
        <f>IF(OR(L63="",M63=""),"",IFERROR(INDEX(LAYOUT!$D$2:$D$80,MATCH(L63&amp;"|"&amp;M63,LAYOUT!$E$2:$E$80,0)),""))</f>
        <v/>
      </c>
      <c r="O63" s="12">
        <f>IF(AND(L63="",M63=""),IF(AND(P63="",Q63="",T63="",U63=""),IF(OR($D63&lt;&gt;"",$E63&lt;&gt;""),"Belum ditempatkan",""),""),IF(L63="","CEK JENIS FIXTURE kosong",IF(AND(LEFT(L63,7)&lt;&gt;"Gondola",LEFT(L63,6)&lt;&gt;"Endcap"),"CEK Fixture 1 hanya Gondola atau Endcap",IF(M63="","CEK SHELVING KE kosong",IF(ISNA(MATCH(L63&amp;"|"&amp;M63,LAYOUT!$E$2:$E$80,0)),"CEK SHELVING KE di luar layout",IF($I63="","CEK SERIES kosong",IF($D63="","Zona STOCK",IF($E63="","CEK SKU DESCRIPTION kosong",IF(COUNTIFS($I$2:$I$500,$I63,L$2:L$500,"&lt;&gt;"&amp;L63,L$2:L$500,"&lt;&gt;")&gt;0,"CEK jenis fixture beda dalam satu series","OK")))))))))</f>
        <v/>
      </c>
      <c r="P63" s="11" t="n"/>
      <c r="Q63" s="11" t="n"/>
      <c r="R63" s="11">
        <f>IF(OR(P63="",Q63=""),"",IFERROR(INDEX(LAYOUT!$D$2:$D$80,MATCH(P63&amp;"|"&amp;Q63,LAYOUT!$E$2:$E$80,0)),""))</f>
        <v/>
      </c>
      <c r="S63" s="12">
        <f>IF(AND(P63="",Q63=""),IF(AND(L63="",M63="",T63="",U63=""),IF(OR($D63&lt;&gt;"",$E63&lt;&gt;""),"Belum ditempatkan",""),""),IF(P63="","CEK JENIS FIXTURE kosong",IF(LEFT(P63,4)&lt;&gt;"Wall","CEK Fixture 2 hanya Wall",IF(Q63="","CEK SHELVING KE kosong",IF(ISNA(MATCH(P63&amp;"|"&amp;Q63,LAYOUT!$E$2:$E$80,0)),"CEK SHELVING KE di luar layout",IF($I63="","CEK SERIES kosong",IF($D63="","Zona STOCK",IF($E63="","CEK SKU DESCRIPTION kosong",IF(COUNTIFS($I$2:$I$500,$I63,P$2:P$500,"&lt;&gt;"&amp;P63,P$2:P$500,"&lt;&gt;")&gt;0,"CEK jenis fixture beda dalam satu series","OK")))))))))</f>
        <v/>
      </c>
      <c r="T63" s="11" t="n"/>
      <c r="U63" s="11" t="n"/>
      <c r="V63" s="11">
        <f>IF(OR(T63="",U63=""),"",IFERROR(INDEX(LAYOUT!$D$2:$D$80,MATCH(T63&amp;"|"&amp;U63,LAYOUT!$E$2:$E$80,0)),""))</f>
        <v/>
      </c>
      <c r="W63" s="12">
        <f>IF(AND(T63="",U63=""),IF(AND(L63="",M63="",P63="",Q63=""),IF(OR($D63&lt;&gt;"",$E63&lt;&gt;""),"Belum ditempatkan",""),""),IF(T63="","CEK JENIS FIXTURE kosong",IF(LEFT(T63,4)&lt;&gt;"Wall","CEK Fixture 3 hanya Wall",IF(U63="","CEK SHELVING KE kosong",IF(ISNA(MATCH(T63&amp;"|"&amp;U63,LAYOUT!$E$2:$E$80,0)),"CEK SHELVING KE di luar layout",IF($I63="","CEK SERIES kosong",IF($D63="","Zona STOCK",IF($E63="","CEK SKU DESCRIPTION kosong",IF(COUNTIFS($I$2:$I$500,$I63,T$2:T$500,"&lt;&gt;"&amp;T63,T$2:T$500,"&lt;&gt;")&gt;0,"CEK jenis fixture beda dalam satu series","OK")))))))))</f>
        <v/>
      </c>
      <c r="X63" s="11" t="n"/>
      <c r="Y63" s="11" t="n"/>
      <c r="Z63" s="12" t="n"/>
      <c r="AA63" s="12" t="n"/>
      <c r="AB63" s="11" t="n"/>
      <c r="AC63" s="11" t="n"/>
      <c r="AD63" s="11" t="n"/>
      <c r="AE63" s="11" t="n"/>
      <c r="AF63" s="11" t="n"/>
      <c r="AG63" s="11" t="n"/>
      <c r="AH63" s="12" t="n"/>
      <c r="AI63" s="12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>
        <f>IF(OR(L64="",M64=""),"",IFERROR(INDEX(LAYOUT!$D$2:$D$80,MATCH(L64&amp;"|"&amp;M64,LAYOUT!$E$2:$E$80,0)),""))</f>
        <v/>
      </c>
      <c r="O64" s="12">
        <f>IF(AND(L64="",M64=""),IF(AND(P64="",Q64="",T64="",U64=""),IF(OR($D64&lt;&gt;"",$E64&lt;&gt;""),"Belum ditempatkan",""),""),IF(L64="","CEK JENIS FIXTURE kosong",IF(AND(LEFT(L64,7)&lt;&gt;"Gondola",LEFT(L64,6)&lt;&gt;"Endcap"),"CEK Fixture 1 hanya Gondola atau Endcap",IF(M64="","CEK SHELVING KE kosong",IF(ISNA(MATCH(L64&amp;"|"&amp;M64,LAYOUT!$E$2:$E$80,0)),"CEK SHELVING KE di luar layout",IF($I64="","CEK SERIES kosong",IF($D64="","Zona STOCK",IF($E64="","CEK SKU DESCRIPTION kosong",IF(COUNTIFS($I$2:$I$500,$I64,L$2:L$500,"&lt;&gt;"&amp;L64,L$2:L$500,"&lt;&gt;")&gt;0,"CEK jenis fixture beda dalam satu series","OK")))))))))</f>
        <v/>
      </c>
      <c r="P64" s="11" t="n"/>
      <c r="Q64" s="11" t="n"/>
      <c r="R64" s="11">
        <f>IF(OR(P64="",Q64=""),"",IFERROR(INDEX(LAYOUT!$D$2:$D$80,MATCH(P64&amp;"|"&amp;Q64,LAYOUT!$E$2:$E$80,0)),""))</f>
        <v/>
      </c>
      <c r="S64" s="12">
        <f>IF(AND(P64="",Q64=""),IF(AND(L64="",M64="",T64="",U64=""),IF(OR($D64&lt;&gt;"",$E64&lt;&gt;""),"Belum ditempatkan",""),""),IF(P64="","CEK JENIS FIXTURE kosong",IF(LEFT(P64,4)&lt;&gt;"Wall","CEK Fixture 2 hanya Wall",IF(Q64="","CEK SHELVING KE kosong",IF(ISNA(MATCH(P64&amp;"|"&amp;Q64,LAYOUT!$E$2:$E$80,0)),"CEK SHELVING KE di luar layout",IF($I64="","CEK SERIES kosong",IF($D64="","Zona STOCK",IF($E64="","CEK SKU DESCRIPTION kosong",IF(COUNTIFS($I$2:$I$500,$I64,P$2:P$500,"&lt;&gt;"&amp;P64,P$2:P$500,"&lt;&gt;")&gt;0,"CEK jenis fixture beda dalam satu series","OK")))))))))</f>
        <v/>
      </c>
      <c r="T64" s="11" t="n"/>
      <c r="U64" s="11" t="n"/>
      <c r="V64" s="11">
        <f>IF(OR(T64="",U64=""),"",IFERROR(INDEX(LAYOUT!$D$2:$D$80,MATCH(T64&amp;"|"&amp;U64,LAYOUT!$E$2:$E$80,0)),""))</f>
        <v/>
      </c>
      <c r="W64" s="12">
        <f>IF(AND(T64="",U64=""),IF(AND(L64="",M64="",P64="",Q64=""),IF(OR($D64&lt;&gt;"",$E64&lt;&gt;""),"Belum ditempatkan",""),""),IF(T64="","CEK JENIS FIXTURE kosong",IF(LEFT(T64,4)&lt;&gt;"Wall","CEK Fixture 3 hanya Wall",IF(U64="","CEK SHELVING KE kosong",IF(ISNA(MATCH(T64&amp;"|"&amp;U64,LAYOUT!$E$2:$E$80,0)),"CEK SHELVING KE di luar layout",IF($I64="","CEK SERIES kosong",IF($D64="","Zona STOCK",IF($E64="","CEK SKU DESCRIPTION kosong",IF(COUNTIFS($I$2:$I$500,$I64,T$2:T$500,"&lt;&gt;"&amp;T64,T$2:T$500,"&lt;&gt;")&gt;0,"CEK jenis fixture beda dalam satu series","OK")))))))))</f>
        <v/>
      </c>
      <c r="X64" s="11" t="n"/>
      <c r="Y64" s="11" t="n"/>
      <c r="Z64" s="12" t="n"/>
      <c r="AA64" s="12" t="n"/>
      <c r="AB64" s="11" t="n"/>
      <c r="AC64" s="11" t="n"/>
      <c r="AD64" s="11" t="n"/>
      <c r="AE64" s="11" t="n"/>
      <c r="AF64" s="11" t="n"/>
      <c r="AG64" s="11" t="n"/>
      <c r="AH64" s="12" t="n"/>
      <c r="AI64" s="12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>
        <f>IF(OR(L65="",M65=""),"",IFERROR(INDEX(LAYOUT!$D$2:$D$80,MATCH(L65&amp;"|"&amp;M65,LAYOUT!$E$2:$E$80,0)),""))</f>
        <v/>
      </c>
      <c r="O65" s="12">
        <f>IF(AND(L65="",M65=""),IF(AND(P65="",Q65="",T65="",U65=""),IF(OR($D65&lt;&gt;"",$E65&lt;&gt;""),"Belum ditempatkan",""),""),IF(L65="","CEK JENIS FIXTURE kosong",IF(AND(LEFT(L65,7)&lt;&gt;"Gondola",LEFT(L65,6)&lt;&gt;"Endcap"),"CEK Fixture 1 hanya Gondola atau Endcap",IF(M65="","CEK SHELVING KE kosong",IF(ISNA(MATCH(L65&amp;"|"&amp;M65,LAYOUT!$E$2:$E$80,0)),"CEK SHELVING KE di luar layout",IF($I65="","CEK SERIES kosong",IF($D65="","Zona STOCK",IF($E65="","CEK SKU DESCRIPTION kosong",IF(COUNTIFS($I$2:$I$500,$I65,L$2:L$500,"&lt;&gt;"&amp;L65,L$2:L$500,"&lt;&gt;")&gt;0,"CEK jenis fixture beda dalam satu series","OK")))))))))</f>
        <v/>
      </c>
      <c r="P65" s="11" t="n"/>
      <c r="Q65" s="11" t="n"/>
      <c r="R65" s="11">
        <f>IF(OR(P65="",Q65=""),"",IFERROR(INDEX(LAYOUT!$D$2:$D$80,MATCH(P65&amp;"|"&amp;Q65,LAYOUT!$E$2:$E$80,0)),""))</f>
        <v/>
      </c>
      <c r="S65" s="12">
        <f>IF(AND(P65="",Q65=""),IF(AND(L65="",M65="",T65="",U65=""),IF(OR($D65&lt;&gt;"",$E65&lt;&gt;""),"Belum ditempatkan",""),""),IF(P65="","CEK JENIS FIXTURE kosong",IF(LEFT(P65,4)&lt;&gt;"Wall","CEK Fixture 2 hanya Wall",IF(Q65="","CEK SHELVING KE kosong",IF(ISNA(MATCH(P65&amp;"|"&amp;Q65,LAYOUT!$E$2:$E$80,0)),"CEK SHELVING KE di luar layout",IF($I65="","CEK SERIES kosong",IF($D65="","Zona STOCK",IF($E65="","CEK SKU DESCRIPTION kosong",IF(COUNTIFS($I$2:$I$500,$I65,P$2:P$500,"&lt;&gt;"&amp;P65,P$2:P$500,"&lt;&gt;")&gt;0,"CEK jenis fixture beda dalam satu series","OK")))))))))</f>
        <v/>
      </c>
      <c r="T65" s="11" t="n"/>
      <c r="U65" s="11" t="n"/>
      <c r="V65" s="11">
        <f>IF(OR(T65="",U65=""),"",IFERROR(INDEX(LAYOUT!$D$2:$D$80,MATCH(T65&amp;"|"&amp;U65,LAYOUT!$E$2:$E$80,0)),""))</f>
        <v/>
      </c>
      <c r="W65" s="12">
        <f>IF(AND(T65="",U65=""),IF(AND(L65="",M65="",P65="",Q65=""),IF(OR($D65&lt;&gt;"",$E65&lt;&gt;""),"Belum ditempatkan",""),""),IF(T65="","CEK JENIS FIXTURE kosong",IF(LEFT(T65,4)&lt;&gt;"Wall","CEK Fixture 3 hanya Wall",IF(U65="","CEK SHELVING KE kosong",IF(ISNA(MATCH(T65&amp;"|"&amp;U65,LAYOUT!$E$2:$E$80,0)),"CEK SHELVING KE di luar layout",IF($I65="","CEK SERIES kosong",IF($D65="","Zona STOCK",IF($E65="","CEK SKU DESCRIPTION kosong",IF(COUNTIFS($I$2:$I$500,$I65,T$2:T$500,"&lt;&gt;"&amp;T65,T$2:T$500,"&lt;&gt;")&gt;0,"CEK jenis fixture beda dalam satu series","OK")))))))))</f>
        <v/>
      </c>
      <c r="X65" s="11" t="n"/>
      <c r="Y65" s="11" t="n"/>
      <c r="Z65" s="12" t="n"/>
      <c r="AA65" s="12" t="n"/>
      <c r="AB65" s="11" t="n"/>
      <c r="AC65" s="11" t="n"/>
      <c r="AD65" s="11" t="n"/>
      <c r="AE65" s="11" t="n"/>
      <c r="AF65" s="11" t="n"/>
      <c r="AG65" s="11" t="n"/>
      <c r="AH65" s="12" t="n"/>
      <c r="AI65" s="12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>
        <f>IF(OR(L66="",M66=""),"",IFERROR(INDEX(LAYOUT!$D$2:$D$80,MATCH(L66&amp;"|"&amp;M66,LAYOUT!$E$2:$E$80,0)),""))</f>
        <v/>
      </c>
      <c r="O66" s="12">
        <f>IF(AND(L66="",M66=""),IF(AND(P66="",Q66="",T66="",U66=""),IF(OR($D66&lt;&gt;"",$E66&lt;&gt;""),"Belum ditempatkan",""),""),IF(L66="","CEK JENIS FIXTURE kosong",IF(AND(LEFT(L66,7)&lt;&gt;"Gondola",LEFT(L66,6)&lt;&gt;"Endcap"),"CEK Fixture 1 hanya Gondola atau Endcap",IF(M66="","CEK SHELVING KE kosong",IF(ISNA(MATCH(L66&amp;"|"&amp;M66,LAYOUT!$E$2:$E$80,0)),"CEK SHELVING KE di luar layout",IF($I66="","CEK SERIES kosong",IF($D66="","Zona STOCK",IF($E66="","CEK SKU DESCRIPTION kosong",IF(COUNTIFS($I$2:$I$500,$I66,L$2:L$500,"&lt;&gt;"&amp;L66,L$2:L$500,"&lt;&gt;")&gt;0,"CEK jenis fixture beda dalam satu series","OK")))))))))</f>
        <v/>
      </c>
      <c r="P66" s="11" t="n"/>
      <c r="Q66" s="11" t="n"/>
      <c r="R66" s="11">
        <f>IF(OR(P66="",Q66=""),"",IFERROR(INDEX(LAYOUT!$D$2:$D$80,MATCH(P66&amp;"|"&amp;Q66,LAYOUT!$E$2:$E$80,0)),""))</f>
        <v/>
      </c>
      <c r="S66" s="12">
        <f>IF(AND(P66="",Q66=""),IF(AND(L66="",M66="",T66="",U66=""),IF(OR($D66&lt;&gt;"",$E66&lt;&gt;""),"Belum ditempatkan",""),""),IF(P66="","CEK JENIS FIXTURE kosong",IF(LEFT(P66,4)&lt;&gt;"Wall","CEK Fixture 2 hanya Wall",IF(Q66="","CEK SHELVING KE kosong",IF(ISNA(MATCH(P66&amp;"|"&amp;Q66,LAYOUT!$E$2:$E$80,0)),"CEK SHELVING KE di luar layout",IF($I66="","CEK SERIES kosong",IF($D66="","Zona STOCK",IF($E66="","CEK SKU DESCRIPTION kosong",IF(COUNTIFS($I$2:$I$500,$I66,P$2:P$500,"&lt;&gt;"&amp;P66,P$2:P$500,"&lt;&gt;")&gt;0,"CEK jenis fixture beda dalam satu series","OK")))))))))</f>
        <v/>
      </c>
      <c r="T66" s="11" t="n"/>
      <c r="U66" s="11" t="n"/>
      <c r="V66" s="11">
        <f>IF(OR(T66="",U66=""),"",IFERROR(INDEX(LAYOUT!$D$2:$D$80,MATCH(T66&amp;"|"&amp;U66,LAYOUT!$E$2:$E$80,0)),""))</f>
        <v/>
      </c>
      <c r="W66" s="12">
        <f>IF(AND(T66="",U66=""),IF(AND(L66="",M66="",P66="",Q66=""),IF(OR($D66&lt;&gt;"",$E66&lt;&gt;""),"Belum ditempatkan",""),""),IF(T66="","CEK JENIS FIXTURE kosong",IF(LEFT(T66,4)&lt;&gt;"Wall","CEK Fixture 3 hanya Wall",IF(U66="","CEK SHELVING KE kosong",IF(ISNA(MATCH(T66&amp;"|"&amp;U66,LAYOUT!$E$2:$E$80,0)),"CEK SHELVING KE di luar layout",IF($I66="","CEK SERIES kosong",IF($D66="","Zona STOCK",IF($E66="","CEK SKU DESCRIPTION kosong",IF(COUNTIFS($I$2:$I$500,$I66,T$2:T$500,"&lt;&gt;"&amp;T66,T$2:T$500,"&lt;&gt;")&gt;0,"CEK jenis fixture beda dalam satu series","OK")))))))))</f>
        <v/>
      </c>
      <c r="X66" s="11" t="n"/>
      <c r="Y66" s="11" t="n"/>
      <c r="Z66" s="12" t="n"/>
      <c r="AA66" s="12" t="n"/>
      <c r="AB66" s="11" t="n"/>
      <c r="AC66" s="11" t="n"/>
      <c r="AD66" s="11" t="n"/>
      <c r="AE66" s="11" t="n"/>
      <c r="AF66" s="11" t="n"/>
      <c r="AG66" s="11" t="n"/>
      <c r="AH66" s="12" t="n"/>
      <c r="AI66" s="12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>
        <f>IF(OR(L67="",M67=""),"",IFERROR(INDEX(LAYOUT!$D$2:$D$80,MATCH(L67&amp;"|"&amp;M67,LAYOUT!$E$2:$E$80,0)),""))</f>
        <v/>
      </c>
      <c r="O67" s="12">
        <f>IF(AND(L67="",M67=""),IF(AND(P67="",Q67="",T67="",U67=""),IF(OR($D67&lt;&gt;"",$E67&lt;&gt;""),"Belum ditempatkan",""),""),IF(L67="","CEK JENIS FIXTURE kosong",IF(AND(LEFT(L67,7)&lt;&gt;"Gondola",LEFT(L67,6)&lt;&gt;"Endcap"),"CEK Fixture 1 hanya Gondola atau Endcap",IF(M67="","CEK SHELVING KE kosong",IF(ISNA(MATCH(L67&amp;"|"&amp;M67,LAYOUT!$E$2:$E$80,0)),"CEK SHELVING KE di luar layout",IF($I67="","CEK SERIES kosong",IF($D67="","Zona STOCK",IF($E67="","CEK SKU DESCRIPTION kosong",IF(COUNTIFS($I$2:$I$500,$I67,L$2:L$500,"&lt;&gt;"&amp;L67,L$2:L$500,"&lt;&gt;")&gt;0,"CEK jenis fixture beda dalam satu series","OK")))))))))</f>
        <v/>
      </c>
      <c r="P67" s="11" t="n"/>
      <c r="Q67" s="11" t="n"/>
      <c r="R67" s="11">
        <f>IF(OR(P67="",Q67=""),"",IFERROR(INDEX(LAYOUT!$D$2:$D$80,MATCH(P67&amp;"|"&amp;Q67,LAYOUT!$E$2:$E$80,0)),""))</f>
        <v/>
      </c>
      <c r="S67" s="12">
        <f>IF(AND(P67="",Q67=""),IF(AND(L67="",M67="",T67="",U67=""),IF(OR($D67&lt;&gt;"",$E67&lt;&gt;""),"Belum ditempatkan",""),""),IF(P67="","CEK JENIS FIXTURE kosong",IF(LEFT(P67,4)&lt;&gt;"Wall","CEK Fixture 2 hanya Wall",IF(Q67="","CEK SHELVING KE kosong",IF(ISNA(MATCH(P67&amp;"|"&amp;Q67,LAYOUT!$E$2:$E$80,0)),"CEK SHELVING KE di luar layout",IF($I67="","CEK SERIES kosong",IF($D67="","Zona STOCK",IF($E67="","CEK SKU DESCRIPTION kosong",IF(COUNTIFS($I$2:$I$500,$I67,P$2:P$500,"&lt;&gt;"&amp;P67,P$2:P$500,"&lt;&gt;")&gt;0,"CEK jenis fixture beda dalam satu series","OK")))))))))</f>
        <v/>
      </c>
      <c r="T67" s="11" t="n"/>
      <c r="U67" s="11" t="n"/>
      <c r="V67" s="11">
        <f>IF(OR(T67="",U67=""),"",IFERROR(INDEX(LAYOUT!$D$2:$D$80,MATCH(T67&amp;"|"&amp;U67,LAYOUT!$E$2:$E$80,0)),""))</f>
        <v/>
      </c>
      <c r="W67" s="12">
        <f>IF(AND(T67="",U67=""),IF(AND(L67="",M67="",P67="",Q67=""),IF(OR($D67&lt;&gt;"",$E67&lt;&gt;""),"Belum ditempatkan",""),""),IF(T67="","CEK JENIS FIXTURE kosong",IF(LEFT(T67,4)&lt;&gt;"Wall","CEK Fixture 3 hanya Wall",IF(U67="","CEK SHELVING KE kosong",IF(ISNA(MATCH(T67&amp;"|"&amp;U67,LAYOUT!$E$2:$E$80,0)),"CEK SHELVING KE di luar layout",IF($I67="","CEK SERIES kosong",IF($D67="","Zona STOCK",IF($E67="","CEK SKU DESCRIPTION kosong",IF(COUNTIFS($I$2:$I$500,$I67,T$2:T$500,"&lt;&gt;"&amp;T67,T$2:T$500,"&lt;&gt;")&gt;0,"CEK jenis fixture beda dalam satu series","OK")))))))))</f>
        <v/>
      </c>
      <c r="X67" s="11" t="n"/>
      <c r="Y67" s="11" t="n"/>
      <c r="Z67" s="12" t="n"/>
      <c r="AA67" s="12" t="n"/>
      <c r="AB67" s="11" t="n"/>
      <c r="AC67" s="11" t="n"/>
      <c r="AD67" s="11" t="n"/>
      <c r="AE67" s="11" t="n"/>
      <c r="AF67" s="11" t="n"/>
      <c r="AG67" s="11" t="n"/>
      <c r="AH67" s="12" t="n"/>
      <c r="AI67" s="12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>
        <f>IF(OR(L68="",M68=""),"",IFERROR(INDEX(LAYOUT!$D$2:$D$80,MATCH(L68&amp;"|"&amp;M68,LAYOUT!$E$2:$E$80,0)),""))</f>
        <v/>
      </c>
      <c r="O68" s="12">
        <f>IF(AND(L68="",M68=""),IF(AND(P68="",Q68="",T68="",U68=""),IF(OR($D68&lt;&gt;"",$E68&lt;&gt;""),"Belum ditempatkan",""),""),IF(L68="","CEK JENIS FIXTURE kosong",IF(AND(LEFT(L68,7)&lt;&gt;"Gondola",LEFT(L68,6)&lt;&gt;"Endcap"),"CEK Fixture 1 hanya Gondola atau Endcap",IF(M68="","CEK SHELVING KE kosong",IF(ISNA(MATCH(L68&amp;"|"&amp;M68,LAYOUT!$E$2:$E$80,0)),"CEK SHELVING KE di luar layout",IF($I68="","CEK SERIES kosong",IF($D68="","Zona STOCK",IF($E68="","CEK SKU DESCRIPTION kosong",IF(COUNTIFS($I$2:$I$500,$I68,L$2:L$500,"&lt;&gt;"&amp;L68,L$2:L$500,"&lt;&gt;")&gt;0,"CEK jenis fixture beda dalam satu series","OK")))))))))</f>
        <v/>
      </c>
      <c r="P68" s="11" t="n"/>
      <c r="Q68" s="11" t="n"/>
      <c r="R68" s="11">
        <f>IF(OR(P68="",Q68=""),"",IFERROR(INDEX(LAYOUT!$D$2:$D$80,MATCH(P68&amp;"|"&amp;Q68,LAYOUT!$E$2:$E$80,0)),""))</f>
        <v/>
      </c>
      <c r="S68" s="12">
        <f>IF(AND(P68="",Q68=""),IF(AND(L68="",M68="",T68="",U68=""),IF(OR($D68&lt;&gt;"",$E68&lt;&gt;""),"Belum ditempatkan",""),""),IF(P68="","CEK JENIS FIXTURE kosong",IF(LEFT(P68,4)&lt;&gt;"Wall","CEK Fixture 2 hanya Wall",IF(Q68="","CEK SHELVING KE kosong",IF(ISNA(MATCH(P68&amp;"|"&amp;Q68,LAYOUT!$E$2:$E$80,0)),"CEK SHELVING KE di luar layout",IF($I68="","CEK SERIES kosong",IF($D68="","Zona STOCK",IF($E68="","CEK SKU DESCRIPTION kosong",IF(COUNTIFS($I$2:$I$500,$I68,P$2:P$500,"&lt;&gt;"&amp;P68,P$2:P$500,"&lt;&gt;")&gt;0,"CEK jenis fixture beda dalam satu series","OK")))))))))</f>
        <v/>
      </c>
      <c r="T68" s="11" t="n"/>
      <c r="U68" s="11" t="n"/>
      <c r="V68" s="11">
        <f>IF(OR(T68="",U68=""),"",IFERROR(INDEX(LAYOUT!$D$2:$D$80,MATCH(T68&amp;"|"&amp;U68,LAYOUT!$E$2:$E$80,0)),""))</f>
        <v/>
      </c>
      <c r="W68" s="12">
        <f>IF(AND(T68="",U68=""),IF(AND(L68="",M68="",P68="",Q68=""),IF(OR($D68&lt;&gt;"",$E68&lt;&gt;""),"Belum ditempatkan",""),""),IF(T68="","CEK JENIS FIXTURE kosong",IF(LEFT(T68,4)&lt;&gt;"Wall","CEK Fixture 3 hanya Wall",IF(U68="","CEK SHELVING KE kosong",IF(ISNA(MATCH(T68&amp;"|"&amp;U68,LAYOUT!$E$2:$E$80,0)),"CEK SHELVING KE di luar layout",IF($I68="","CEK SERIES kosong",IF($D68="","Zona STOCK",IF($E68="","CEK SKU DESCRIPTION kosong",IF(COUNTIFS($I$2:$I$500,$I68,T$2:T$500,"&lt;&gt;"&amp;T68,T$2:T$500,"&lt;&gt;")&gt;0,"CEK jenis fixture beda dalam satu series","OK")))))))))</f>
        <v/>
      </c>
      <c r="X68" s="11" t="n"/>
      <c r="Y68" s="11" t="n"/>
      <c r="Z68" s="12" t="n"/>
      <c r="AA68" s="12" t="n"/>
      <c r="AB68" s="11" t="n"/>
      <c r="AC68" s="11" t="n"/>
      <c r="AD68" s="11" t="n"/>
      <c r="AE68" s="11" t="n"/>
      <c r="AF68" s="11" t="n"/>
      <c r="AG68" s="11" t="n"/>
      <c r="AH68" s="12" t="n"/>
      <c r="AI68" s="12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>
        <f>IF(OR(L69="",M69=""),"",IFERROR(INDEX(LAYOUT!$D$2:$D$80,MATCH(L69&amp;"|"&amp;M69,LAYOUT!$E$2:$E$80,0)),""))</f>
        <v/>
      </c>
      <c r="O69" s="12">
        <f>IF(AND(L69="",M69=""),IF(AND(P69="",Q69="",T69="",U69=""),IF(OR($D69&lt;&gt;"",$E69&lt;&gt;""),"Belum ditempatkan",""),""),IF(L69="","CEK JENIS FIXTURE kosong",IF(AND(LEFT(L69,7)&lt;&gt;"Gondola",LEFT(L69,6)&lt;&gt;"Endcap"),"CEK Fixture 1 hanya Gondola atau Endcap",IF(M69="","CEK SHELVING KE kosong",IF(ISNA(MATCH(L69&amp;"|"&amp;M69,LAYOUT!$E$2:$E$80,0)),"CEK SHELVING KE di luar layout",IF($I69="","CEK SERIES kosong",IF($D69="","Zona STOCK",IF($E69="","CEK SKU DESCRIPTION kosong",IF(COUNTIFS($I$2:$I$500,$I69,L$2:L$500,"&lt;&gt;"&amp;L69,L$2:L$500,"&lt;&gt;")&gt;0,"CEK jenis fixture beda dalam satu series","OK")))))))))</f>
        <v/>
      </c>
      <c r="P69" s="11" t="n"/>
      <c r="Q69" s="11" t="n"/>
      <c r="R69" s="11">
        <f>IF(OR(P69="",Q69=""),"",IFERROR(INDEX(LAYOUT!$D$2:$D$80,MATCH(P69&amp;"|"&amp;Q69,LAYOUT!$E$2:$E$80,0)),""))</f>
        <v/>
      </c>
      <c r="S69" s="12">
        <f>IF(AND(P69="",Q69=""),IF(AND(L69="",M69="",T69="",U69=""),IF(OR($D69&lt;&gt;"",$E69&lt;&gt;""),"Belum ditempatkan",""),""),IF(P69="","CEK JENIS FIXTURE kosong",IF(LEFT(P69,4)&lt;&gt;"Wall","CEK Fixture 2 hanya Wall",IF(Q69="","CEK SHELVING KE kosong",IF(ISNA(MATCH(P69&amp;"|"&amp;Q69,LAYOUT!$E$2:$E$80,0)),"CEK SHELVING KE di luar layout",IF($I69="","CEK SERIES kosong",IF($D69="","Zona STOCK",IF($E69="","CEK SKU DESCRIPTION kosong",IF(COUNTIFS($I$2:$I$500,$I69,P$2:P$500,"&lt;&gt;"&amp;P69,P$2:P$500,"&lt;&gt;")&gt;0,"CEK jenis fixture beda dalam satu series","OK")))))))))</f>
        <v/>
      </c>
      <c r="T69" s="11" t="n"/>
      <c r="U69" s="11" t="n"/>
      <c r="V69" s="11">
        <f>IF(OR(T69="",U69=""),"",IFERROR(INDEX(LAYOUT!$D$2:$D$80,MATCH(T69&amp;"|"&amp;U69,LAYOUT!$E$2:$E$80,0)),""))</f>
        <v/>
      </c>
      <c r="W69" s="12">
        <f>IF(AND(T69="",U69=""),IF(AND(L69="",M69="",P69="",Q69=""),IF(OR($D69&lt;&gt;"",$E69&lt;&gt;""),"Belum ditempatkan",""),""),IF(T69="","CEK JENIS FIXTURE kosong",IF(LEFT(T69,4)&lt;&gt;"Wall","CEK Fixture 3 hanya Wall",IF(U69="","CEK SHELVING KE kosong",IF(ISNA(MATCH(T69&amp;"|"&amp;U69,LAYOUT!$E$2:$E$80,0)),"CEK SHELVING KE di luar layout",IF($I69="","CEK SERIES kosong",IF($D69="","Zona STOCK",IF($E69="","CEK SKU DESCRIPTION kosong",IF(COUNTIFS($I$2:$I$500,$I69,T$2:T$500,"&lt;&gt;"&amp;T69,T$2:T$500,"&lt;&gt;")&gt;0,"CEK jenis fixture beda dalam satu series","OK")))))))))</f>
        <v/>
      </c>
      <c r="X69" s="11" t="n"/>
      <c r="Y69" s="11" t="n"/>
      <c r="Z69" s="12" t="n"/>
      <c r="AA69" s="12" t="n"/>
      <c r="AB69" s="11" t="n"/>
      <c r="AC69" s="11" t="n"/>
      <c r="AD69" s="11" t="n"/>
      <c r="AE69" s="11" t="n"/>
      <c r="AF69" s="11" t="n"/>
      <c r="AG69" s="11" t="n"/>
      <c r="AH69" s="12" t="n"/>
      <c r="AI69" s="12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>
        <f>IF(OR(L70="",M70=""),"",IFERROR(INDEX(LAYOUT!$D$2:$D$80,MATCH(L70&amp;"|"&amp;M70,LAYOUT!$E$2:$E$80,0)),""))</f>
        <v/>
      </c>
      <c r="O70" s="12">
        <f>IF(AND(L70="",M70=""),IF(AND(P70="",Q70="",T70="",U70=""),IF(OR($D70&lt;&gt;"",$E70&lt;&gt;""),"Belum ditempatkan",""),""),IF(L70="","CEK JENIS FIXTURE kosong",IF(AND(LEFT(L70,7)&lt;&gt;"Gondola",LEFT(L70,6)&lt;&gt;"Endcap"),"CEK Fixture 1 hanya Gondola atau Endcap",IF(M70="","CEK SHELVING KE kosong",IF(ISNA(MATCH(L70&amp;"|"&amp;M70,LAYOUT!$E$2:$E$80,0)),"CEK SHELVING KE di luar layout",IF($I70="","CEK SERIES kosong",IF($D70="","Zona STOCK",IF($E70="","CEK SKU DESCRIPTION kosong",IF(COUNTIFS($I$2:$I$500,$I70,L$2:L$500,"&lt;&gt;"&amp;L70,L$2:L$500,"&lt;&gt;")&gt;0,"CEK jenis fixture beda dalam satu series","OK")))))))))</f>
        <v/>
      </c>
      <c r="P70" s="11" t="n"/>
      <c r="Q70" s="11" t="n"/>
      <c r="R70" s="11">
        <f>IF(OR(P70="",Q70=""),"",IFERROR(INDEX(LAYOUT!$D$2:$D$80,MATCH(P70&amp;"|"&amp;Q70,LAYOUT!$E$2:$E$80,0)),""))</f>
        <v/>
      </c>
      <c r="S70" s="12">
        <f>IF(AND(P70="",Q70=""),IF(AND(L70="",M70="",T70="",U70=""),IF(OR($D70&lt;&gt;"",$E70&lt;&gt;""),"Belum ditempatkan",""),""),IF(P70="","CEK JENIS FIXTURE kosong",IF(LEFT(P70,4)&lt;&gt;"Wall","CEK Fixture 2 hanya Wall",IF(Q70="","CEK SHELVING KE kosong",IF(ISNA(MATCH(P70&amp;"|"&amp;Q70,LAYOUT!$E$2:$E$80,0)),"CEK SHELVING KE di luar layout",IF($I70="","CEK SERIES kosong",IF($D70="","Zona STOCK",IF($E70="","CEK SKU DESCRIPTION kosong",IF(COUNTIFS($I$2:$I$500,$I70,P$2:P$500,"&lt;&gt;"&amp;P70,P$2:P$500,"&lt;&gt;")&gt;0,"CEK jenis fixture beda dalam satu series","OK")))))))))</f>
        <v/>
      </c>
      <c r="T70" s="11" t="n"/>
      <c r="U70" s="11" t="n"/>
      <c r="V70" s="11">
        <f>IF(OR(T70="",U70=""),"",IFERROR(INDEX(LAYOUT!$D$2:$D$80,MATCH(T70&amp;"|"&amp;U70,LAYOUT!$E$2:$E$80,0)),""))</f>
        <v/>
      </c>
      <c r="W70" s="12">
        <f>IF(AND(T70="",U70=""),IF(AND(L70="",M70="",P70="",Q70=""),IF(OR($D70&lt;&gt;"",$E70&lt;&gt;""),"Belum ditempatkan",""),""),IF(T70="","CEK JENIS FIXTURE kosong",IF(LEFT(T70,4)&lt;&gt;"Wall","CEK Fixture 3 hanya Wall",IF(U70="","CEK SHELVING KE kosong",IF(ISNA(MATCH(T70&amp;"|"&amp;U70,LAYOUT!$E$2:$E$80,0)),"CEK SHELVING KE di luar layout",IF($I70="","CEK SERIES kosong",IF($D70="","Zona STOCK",IF($E70="","CEK SKU DESCRIPTION kosong",IF(COUNTIFS($I$2:$I$500,$I70,T$2:T$500,"&lt;&gt;"&amp;T70,T$2:T$500,"&lt;&gt;")&gt;0,"CEK jenis fixture beda dalam satu series","OK")))))))))</f>
        <v/>
      </c>
      <c r="X70" s="11" t="n"/>
      <c r="Y70" s="11" t="n"/>
      <c r="Z70" s="12" t="n"/>
      <c r="AA70" s="12" t="n"/>
      <c r="AB70" s="11" t="n"/>
      <c r="AC70" s="11" t="n"/>
      <c r="AD70" s="11" t="n"/>
      <c r="AE70" s="11" t="n"/>
      <c r="AF70" s="11" t="n"/>
      <c r="AG70" s="11" t="n"/>
      <c r="AH70" s="12" t="n"/>
      <c r="AI70" s="12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>
        <f>IF(OR(L71="",M71=""),"",IFERROR(INDEX(LAYOUT!$D$2:$D$80,MATCH(L71&amp;"|"&amp;M71,LAYOUT!$E$2:$E$80,0)),""))</f>
        <v/>
      </c>
      <c r="O71" s="12">
        <f>IF(AND(L71="",M71=""),IF(AND(P71="",Q71="",T71="",U71=""),IF(OR($D71&lt;&gt;"",$E71&lt;&gt;""),"Belum ditempatkan",""),""),IF(L71="","CEK JENIS FIXTURE kosong",IF(AND(LEFT(L71,7)&lt;&gt;"Gondola",LEFT(L71,6)&lt;&gt;"Endcap"),"CEK Fixture 1 hanya Gondola atau Endcap",IF(M71="","CEK SHELVING KE kosong",IF(ISNA(MATCH(L71&amp;"|"&amp;M71,LAYOUT!$E$2:$E$80,0)),"CEK SHELVING KE di luar layout",IF($I71="","CEK SERIES kosong",IF($D71="","Zona STOCK",IF($E71="","CEK SKU DESCRIPTION kosong",IF(COUNTIFS($I$2:$I$500,$I71,L$2:L$500,"&lt;&gt;"&amp;L71,L$2:L$500,"&lt;&gt;")&gt;0,"CEK jenis fixture beda dalam satu series","OK")))))))))</f>
        <v/>
      </c>
      <c r="P71" s="11" t="n"/>
      <c r="Q71" s="11" t="n"/>
      <c r="R71" s="11">
        <f>IF(OR(P71="",Q71=""),"",IFERROR(INDEX(LAYOUT!$D$2:$D$80,MATCH(P71&amp;"|"&amp;Q71,LAYOUT!$E$2:$E$80,0)),""))</f>
        <v/>
      </c>
      <c r="S71" s="12">
        <f>IF(AND(P71="",Q71=""),IF(AND(L71="",M71="",T71="",U71=""),IF(OR($D71&lt;&gt;"",$E71&lt;&gt;""),"Belum ditempatkan",""),""),IF(P71="","CEK JENIS FIXTURE kosong",IF(LEFT(P71,4)&lt;&gt;"Wall","CEK Fixture 2 hanya Wall",IF(Q71="","CEK SHELVING KE kosong",IF(ISNA(MATCH(P71&amp;"|"&amp;Q71,LAYOUT!$E$2:$E$80,0)),"CEK SHELVING KE di luar layout",IF($I71="","CEK SERIES kosong",IF($D71="","Zona STOCK",IF($E71="","CEK SKU DESCRIPTION kosong",IF(COUNTIFS($I$2:$I$500,$I71,P$2:P$500,"&lt;&gt;"&amp;P71,P$2:P$500,"&lt;&gt;")&gt;0,"CEK jenis fixture beda dalam satu series","OK")))))))))</f>
        <v/>
      </c>
      <c r="T71" s="11" t="n"/>
      <c r="U71" s="11" t="n"/>
      <c r="V71" s="11">
        <f>IF(OR(T71="",U71=""),"",IFERROR(INDEX(LAYOUT!$D$2:$D$80,MATCH(T71&amp;"|"&amp;U71,LAYOUT!$E$2:$E$80,0)),""))</f>
        <v/>
      </c>
      <c r="W71" s="12">
        <f>IF(AND(T71="",U71=""),IF(AND(L71="",M71="",P71="",Q71=""),IF(OR($D71&lt;&gt;"",$E71&lt;&gt;""),"Belum ditempatkan",""),""),IF(T71="","CEK JENIS FIXTURE kosong",IF(LEFT(T71,4)&lt;&gt;"Wall","CEK Fixture 3 hanya Wall",IF(U71="","CEK SHELVING KE kosong",IF(ISNA(MATCH(T71&amp;"|"&amp;U71,LAYOUT!$E$2:$E$80,0)),"CEK SHELVING KE di luar layout",IF($I71="","CEK SERIES kosong",IF($D71="","Zona STOCK",IF($E71="","CEK SKU DESCRIPTION kosong",IF(COUNTIFS($I$2:$I$500,$I71,T$2:T$500,"&lt;&gt;"&amp;T71,T$2:T$500,"&lt;&gt;")&gt;0,"CEK jenis fixture beda dalam satu series","OK")))))))))</f>
        <v/>
      </c>
      <c r="X71" s="11" t="n"/>
      <c r="Y71" s="11" t="n"/>
      <c r="Z71" s="12" t="n"/>
      <c r="AA71" s="12" t="n"/>
      <c r="AB71" s="11" t="n"/>
      <c r="AC71" s="11" t="n"/>
      <c r="AD71" s="11" t="n"/>
      <c r="AE71" s="11" t="n"/>
      <c r="AF71" s="11" t="n"/>
      <c r="AG71" s="11" t="n"/>
      <c r="AH71" s="12" t="n"/>
      <c r="AI71" s="12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>
        <f>IF(OR(L72="",M72=""),"",IFERROR(INDEX(LAYOUT!$D$2:$D$80,MATCH(L72&amp;"|"&amp;M72,LAYOUT!$E$2:$E$80,0)),""))</f>
        <v/>
      </c>
      <c r="O72" s="12">
        <f>IF(AND(L72="",M72=""),IF(AND(P72="",Q72="",T72="",U72=""),IF(OR($D72&lt;&gt;"",$E72&lt;&gt;""),"Belum ditempatkan",""),""),IF(L72="","CEK JENIS FIXTURE kosong",IF(AND(LEFT(L72,7)&lt;&gt;"Gondola",LEFT(L72,6)&lt;&gt;"Endcap"),"CEK Fixture 1 hanya Gondola atau Endcap",IF(M72="","CEK SHELVING KE kosong",IF(ISNA(MATCH(L72&amp;"|"&amp;M72,LAYOUT!$E$2:$E$80,0)),"CEK SHELVING KE di luar layout",IF($I72="","CEK SERIES kosong",IF($D72="","Zona STOCK",IF($E72="","CEK SKU DESCRIPTION kosong",IF(COUNTIFS($I$2:$I$500,$I72,L$2:L$500,"&lt;&gt;"&amp;L72,L$2:L$500,"&lt;&gt;")&gt;0,"CEK jenis fixture beda dalam satu series","OK")))))))))</f>
        <v/>
      </c>
      <c r="P72" s="11" t="n"/>
      <c r="Q72" s="11" t="n"/>
      <c r="R72" s="11">
        <f>IF(OR(P72="",Q72=""),"",IFERROR(INDEX(LAYOUT!$D$2:$D$80,MATCH(P72&amp;"|"&amp;Q72,LAYOUT!$E$2:$E$80,0)),""))</f>
        <v/>
      </c>
      <c r="S72" s="12">
        <f>IF(AND(P72="",Q72=""),IF(AND(L72="",M72="",T72="",U72=""),IF(OR($D72&lt;&gt;"",$E72&lt;&gt;""),"Belum ditempatkan",""),""),IF(P72="","CEK JENIS FIXTURE kosong",IF(LEFT(P72,4)&lt;&gt;"Wall","CEK Fixture 2 hanya Wall",IF(Q72="","CEK SHELVING KE kosong",IF(ISNA(MATCH(P72&amp;"|"&amp;Q72,LAYOUT!$E$2:$E$80,0)),"CEK SHELVING KE di luar layout",IF($I72="","CEK SERIES kosong",IF($D72="","Zona STOCK",IF($E72="","CEK SKU DESCRIPTION kosong",IF(COUNTIFS($I$2:$I$500,$I72,P$2:P$500,"&lt;&gt;"&amp;P72,P$2:P$500,"&lt;&gt;")&gt;0,"CEK jenis fixture beda dalam satu series","OK")))))))))</f>
        <v/>
      </c>
      <c r="T72" s="11" t="n"/>
      <c r="U72" s="11" t="n"/>
      <c r="V72" s="11">
        <f>IF(OR(T72="",U72=""),"",IFERROR(INDEX(LAYOUT!$D$2:$D$80,MATCH(T72&amp;"|"&amp;U72,LAYOUT!$E$2:$E$80,0)),""))</f>
        <v/>
      </c>
      <c r="W72" s="12">
        <f>IF(AND(T72="",U72=""),IF(AND(L72="",M72="",P72="",Q72=""),IF(OR($D72&lt;&gt;"",$E72&lt;&gt;""),"Belum ditempatkan",""),""),IF(T72="","CEK JENIS FIXTURE kosong",IF(LEFT(T72,4)&lt;&gt;"Wall","CEK Fixture 3 hanya Wall",IF(U72="","CEK SHELVING KE kosong",IF(ISNA(MATCH(T72&amp;"|"&amp;U72,LAYOUT!$E$2:$E$80,0)),"CEK SHELVING KE di luar layout",IF($I72="","CEK SERIES kosong",IF($D72="","Zona STOCK",IF($E72="","CEK SKU DESCRIPTION kosong",IF(COUNTIFS($I$2:$I$500,$I72,T$2:T$500,"&lt;&gt;"&amp;T72,T$2:T$500,"&lt;&gt;")&gt;0,"CEK jenis fixture beda dalam satu series","OK")))))))))</f>
        <v/>
      </c>
      <c r="X72" s="11" t="n"/>
      <c r="Y72" s="11" t="n"/>
      <c r="Z72" s="12" t="n"/>
      <c r="AA72" s="12" t="n"/>
      <c r="AB72" s="11" t="n"/>
      <c r="AC72" s="11" t="n"/>
      <c r="AD72" s="11" t="n"/>
      <c r="AE72" s="11" t="n"/>
      <c r="AF72" s="11" t="n"/>
      <c r="AG72" s="11" t="n"/>
      <c r="AH72" s="12" t="n"/>
      <c r="AI72" s="12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>
        <f>IF(OR(L73="",M73=""),"",IFERROR(INDEX(LAYOUT!$D$2:$D$80,MATCH(L73&amp;"|"&amp;M73,LAYOUT!$E$2:$E$80,0)),""))</f>
        <v/>
      </c>
      <c r="O73" s="12">
        <f>IF(AND(L73="",M73=""),IF(AND(P73="",Q73="",T73="",U73=""),IF(OR($D73&lt;&gt;"",$E73&lt;&gt;""),"Belum ditempatkan",""),""),IF(L73="","CEK JENIS FIXTURE kosong",IF(AND(LEFT(L73,7)&lt;&gt;"Gondola",LEFT(L73,6)&lt;&gt;"Endcap"),"CEK Fixture 1 hanya Gondola atau Endcap",IF(M73="","CEK SHELVING KE kosong",IF(ISNA(MATCH(L73&amp;"|"&amp;M73,LAYOUT!$E$2:$E$80,0)),"CEK SHELVING KE di luar layout",IF($I73="","CEK SERIES kosong",IF($D73="","Zona STOCK",IF($E73="","CEK SKU DESCRIPTION kosong",IF(COUNTIFS($I$2:$I$500,$I73,L$2:L$500,"&lt;&gt;"&amp;L73,L$2:L$500,"&lt;&gt;")&gt;0,"CEK jenis fixture beda dalam satu series","OK")))))))))</f>
        <v/>
      </c>
      <c r="P73" s="11" t="n"/>
      <c r="Q73" s="11" t="n"/>
      <c r="R73" s="11">
        <f>IF(OR(P73="",Q73=""),"",IFERROR(INDEX(LAYOUT!$D$2:$D$80,MATCH(P73&amp;"|"&amp;Q73,LAYOUT!$E$2:$E$80,0)),""))</f>
        <v/>
      </c>
      <c r="S73" s="12">
        <f>IF(AND(P73="",Q73=""),IF(AND(L73="",M73="",T73="",U73=""),IF(OR($D73&lt;&gt;"",$E73&lt;&gt;""),"Belum ditempatkan",""),""),IF(P73="","CEK JENIS FIXTURE kosong",IF(LEFT(P73,4)&lt;&gt;"Wall","CEK Fixture 2 hanya Wall",IF(Q73="","CEK SHELVING KE kosong",IF(ISNA(MATCH(P73&amp;"|"&amp;Q73,LAYOUT!$E$2:$E$80,0)),"CEK SHELVING KE di luar layout",IF($I73="","CEK SERIES kosong",IF($D73="","Zona STOCK",IF($E73="","CEK SKU DESCRIPTION kosong",IF(COUNTIFS($I$2:$I$500,$I73,P$2:P$500,"&lt;&gt;"&amp;P73,P$2:P$500,"&lt;&gt;")&gt;0,"CEK jenis fixture beda dalam satu series","OK")))))))))</f>
        <v/>
      </c>
      <c r="T73" s="11" t="n"/>
      <c r="U73" s="11" t="n"/>
      <c r="V73" s="11">
        <f>IF(OR(T73="",U73=""),"",IFERROR(INDEX(LAYOUT!$D$2:$D$80,MATCH(T73&amp;"|"&amp;U73,LAYOUT!$E$2:$E$80,0)),""))</f>
        <v/>
      </c>
      <c r="W73" s="12">
        <f>IF(AND(T73="",U73=""),IF(AND(L73="",M73="",P73="",Q73=""),IF(OR($D73&lt;&gt;"",$E73&lt;&gt;""),"Belum ditempatkan",""),""),IF(T73="","CEK JENIS FIXTURE kosong",IF(LEFT(T73,4)&lt;&gt;"Wall","CEK Fixture 3 hanya Wall",IF(U73="","CEK SHELVING KE kosong",IF(ISNA(MATCH(T73&amp;"|"&amp;U73,LAYOUT!$E$2:$E$80,0)),"CEK SHELVING KE di luar layout",IF($I73="","CEK SERIES kosong",IF($D73="","Zona STOCK",IF($E73="","CEK SKU DESCRIPTION kosong",IF(COUNTIFS($I$2:$I$500,$I73,T$2:T$500,"&lt;&gt;"&amp;T73,T$2:T$500,"&lt;&gt;")&gt;0,"CEK jenis fixture beda dalam satu series","OK")))))))))</f>
        <v/>
      </c>
      <c r="X73" s="11" t="n"/>
      <c r="Y73" s="11" t="n"/>
      <c r="Z73" s="12" t="n"/>
      <c r="AA73" s="12" t="n"/>
      <c r="AB73" s="11" t="n"/>
      <c r="AC73" s="11" t="n"/>
      <c r="AD73" s="11" t="n"/>
      <c r="AE73" s="11" t="n"/>
      <c r="AF73" s="11" t="n"/>
      <c r="AG73" s="11" t="n"/>
      <c r="AH73" s="12" t="n"/>
      <c r="AI73" s="12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>
        <f>IF(OR(L74="",M74=""),"",IFERROR(INDEX(LAYOUT!$D$2:$D$80,MATCH(L74&amp;"|"&amp;M74,LAYOUT!$E$2:$E$80,0)),""))</f>
        <v/>
      </c>
      <c r="O74" s="12">
        <f>IF(AND(L74="",M74=""),IF(AND(P74="",Q74="",T74="",U74=""),IF(OR($D74&lt;&gt;"",$E74&lt;&gt;""),"Belum ditempatkan",""),""),IF(L74="","CEK JENIS FIXTURE kosong",IF(AND(LEFT(L74,7)&lt;&gt;"Gondola",LEFT(L74,6)&lt;&gt;"Endcap"),"CEK Fixture 1 hanya Gondola atau Endcap",IF(M74="","CEK SHELVING KE kosong",IF(ISNA(MATCH(L74&amp;"|"&amp;M74,LAYOUT!$E$2:$E$80,0)),"CEK SHELVING KE di luar layout",IF($I74="","CEK SERIES kosong",IF($D74="","Zona STOCK",IF($E74="","CEK SKU DESCRIPTION kosong",IF(COUNTIFS($I$2:$I$500,$I74,L$2:L$500,"&lt;&gt;"&amp;L74,L$2:L$500,"&lt;&gt;")&gt;0,"CEK jenis fixture beda dalam satu series","OK")))))))))</f>
        <v/>
      </c>
      <c r="P74" s="11" t="n"/>
      <c r="Q74" s="11" t="n"/>
      <c r="R74" s="11">
        <f>IF(OR(P74="",Q74=""),"",IFERROR(INDEX(LAYOUT!$D$2:$D$80,MATCH(P74&amp;"|"&amp;Q74,LAYOUT!$E$2:$E$80,0)),""))</f>
        <v/>
      </c>
      <c r="S74" s="12">
        <f>IF(AND(P74="",Q74=""),IF(AND(L74="",M74="",T74="",U74=""),IF(OR($D74&lt;&gt;"",$E74&lt;&gt;""),"Belum ditempatkan",""),""),IF(P74="","CEK JENIS FIXTURE kosong",IF(LEFT(P74,4)&lt;&gt;"Wall","CEK Fixture 2 hanya Wall",IF(Q74="","CEK SHELVING KE kosong",IF(ISNA(MATCH(P74&amp;"|"&amp;Q74,LAYOUT!$E$2:$E$80,0)),"CEK SHELVING KE di luar layout",IF($I74="","CEK SERIES kosong",IF($D74="","Zona STOCK",IF($E74="","CEK SKU DESCRIPTION kosong",IF(COUNTIFS($I$2:$I$500,$I74,P$2:P$500,"&lt;&gt;"&amp;P74,P$2:P$500,"&lt;&gt;")&gt;0,"CEK jenis fixture beda dalam satu series","OK")))))))))</f>
        <v/>
      </c>
      <c r="T74" s="11" t="n"/>
      <c r="U74" s="11" t="n"/>
      <c r="V74" s="11">
        <f>IF(OR(T74="",U74=""),"",IFERROR(INDEX(LAYOUT!$D$2:$D$80,MATCH(T74&amp;"|"&amp;U74,LAYOUT!$E$2:$E$80,0)),""))</f>
        <v/>
      </c>
      <c r="W74" s="12">
        <f>IF(AND(T74="",U74=""),IF(AND(L74="",M74="",P74="",Q74=""),IF(OR($D74&lt;&gt;"",$E74&lt;&gt;""),"Belum ditempatkan",""),""),IF(T74="","CEK JENIS FIXTURE kosong",IF(LEFT(T74,4)&lt;&gt;"Wall","CEK Fixture 3 hanya Wall",IF(U74="","CEK SHELVING KE kosong",IF(ISNA(MATCH(T74&amp;"|"&amp;U74,LAYOUT!$E$2:$E$80,0)),"CEK SHELVING KE di luar layout",IF($I74="","CEK SERIES kosong",IF($D74="","Zona STOCK",IF($E74="","CEK SKU DESCRIPTION kosong",IF(COUNTIFS($I$2:$I$500,$I74,T$2:T$500,"&lt;&gt;"&amp;T74,T$2:T$500,"&lt;&gt;")&gt;0,"CEK jenis fixture beda dalam satu series","OK")))))))))</f>
        <v/>
      </c>
      <c r="X74" s="11" t="n"/>
      <c r="Y74" s="11" t="n"/>
      <c r="Z74" s="12" t="n"/>
      <c r="AA74" s="12" t="n"/>
      <c r="AB74" s="11" t="n"/>
      <c r="AC74" s="11" t="n"/>
      <c r="AD74" s="11" t="n"/>
      <c r="AE74" s="11" t="n"/>
      <c r="AF74" s="11" t="n"/>
      <c r="AG74" s="11" t="n"/>
      <c r="AH74" s="12" t="n"/>
      <c r="AI74" s="12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>
        <f>IF(OR(L75="",M75=""),"",IFERROR(INDEX(LAYOUT!$D$2:$D$80,MATCH(L75&amp;"|"&amp;M75,LAYOUT!$E$2:$E$80,0)),""))</f>
        <v/>
      </c>
      <c r="O75" s="12">
        <f>IF(AND(L75="",M75=""),IF(AND(P75="",Q75="",T75="",U75=""),IF(OR($D75&lt;&gt;"",$E75&lt;&gt;""),"Belum ditempatkan",""),""),IF(L75="","CEK JENIS FIXTURE kosong",IF(AND(LEFT(L75,7)&lt;&gt;"Gondola",LEFT(L75,6)&lt;&gt;"Endcap"),"CEK Fixture 1 hanya Gondola atau Endcap",IF(M75="","CEK SHELVING KE kosong",IF(ISNA(MATCH(L75&amp;"|"&amp;M75,LAYOUT!$E$2:$E$80,0)),"CEK SHELVING KE di luar layout",IF($I75="","CEK SERIES kosong",IF($D75="","Zona STOCK",IF($E75="","CEK SKU DESCRIPTION kosong",IF(COUNTIFS($I$2:$I$500,$I75,L$2:L$500,"&lt;&gt;"&amp;L75,L$2:L$500,"&lt;&gt;")&gt;0,"CEK jenis fixture beda dalam satu series","OK")))))))))</f>
        <v/>
      </c>
      <c r="P75" s="11" t="n"/>
      <c r="Q75" s="11" t="n"/>
      <c r="R75" s="11">
        <f>IF(OR(P75="",Q75=""),"",IFERROR(INDEX(LAYOUT!$D$2:$D$80,MATCH(P75&amp;"|"&amp;Q75,LAYOUT!$E$2:$E$80,0)),""))</f>
        <v/>
      </c>
      <c r="S75" s="12">
        <f>IF(AND(P75="",Q75=""),IF(AND(L75="",M75="",T75="",U75=""),IF(OR($D75&lt;&gt;"",$E75&lt;&gt;""),"Belum ditempatkan",""),""),IF(P75="","CEK JENIS FIXTURE kosong",IF(LEFT(P75,4)&lt;&gt;"Wall","CEK Fixture 2 hanya Wall",IF(Q75="","CEK SHELVING KE kosong",IF(ISNA(MATCH(P75&amp;"|"&amp;Q75,LAYOUT!$E$2:$E$80,0)),"CEK SHELVING KE di luar layout",IF($I75="","CEK SERIES kosong",IF($D75="","Zona STOCK",IF($E75="","CEK SKU DESCRIPTION kosong",IF(COUNTIFS($I$2:$I$500,$I75,P$2:P$500,"&lt;&gt;"&amp;P75,P$2:P$500,"&lt;&gt;")&gt;0,"CEK jenis fixture beda dalam satu series","OK")))))))))</f>
        <v/>
      </c>
      <c r="T75" s="11" t="n"/>
      <c r="U75" s="11" t="n"/>
      <c r="V75" s="11">
        <f>IF(OR(T75="",U75=""),"",IFERROR(INDEX(LAYOUT!$D$2:$D$80,MATCH(T75&amp;"|"&amp;U75,LAYOUT!$E$2:$E$80,0)),""))</f>
        <v/>
      </c>
      <c r="W75" s="12">
        <f>IF(AND(T75="",U75=""),IF(AND(L75="",M75="",P75="",Q75=""),IF(OR($D75&lt;&gt;"",$E75&lt;&gt;""),"Belum ditempatkan",""),""),IF(T75="","CEK JENIS FIXTURE kosong",IF(LEFT(T75,4)&lt;&gt;"Wall","CEK Fixture 3 hanya Wall",IF(U75="","CEK SHELVING KE kosong",IF(ISNA(MATCH(T75&amp;"|"&amp;U75,LAYOUT!$E$2:$E$80,0)),"CEK SHELVING KE di luar layout",IF($I75="","CEK SERIES kosong",IF($D75="","Zona STOCK",IF($E75="","CEK SKU DESCRIPTION kosong",IF(COUNTIFS($I$2:$I$500,$I75,T$2:T$500,"&lt;&gt;"&amp;T75,T$2:T$500,"&lt;&gt;")&gt;0,"CEK jenis fixture beda dalam satu series","OK")))))))))</f>
        <v/>
      </c>
      <c r="X75" s="11" t="n"/>
      <c r="Y75" s="11" t="n"/>
      <c r="Z75" s="12" t="n"/>
      <c r="AA75" s="12" t="n"/>
      <c r="AB75" s="11" t="n"/>
      <c r="AC75" s="11" t="n"/>
      <c r="AD75" s="11" t="n"/>
      <c r="AE75" s="11" t="n"/>
      <c r="AF75" s="11" t="n"/>
      <c r="AG75" s="11" t="n"/>
      <c r="AH75" s="12" t="n"/>
      <c r="AI75" s="12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>
        <f>IF(OR(L76="",M76=""),"",IFERROR(INDEX(LAYOUT!$D$2:$D$80,MATCH(L76&amp;"|"&amp;M76,LAYOUT!$E$2:$E$80,0)),""))</f>
        <v/>
      </c>
      <c r="O76" s="12">
        <f>IF(AND(L76="",M76=""),IF(AND(P76="",Q76="",T76="",U76=""),IF(OR($D76&lt;&gt;"",$E76&lt;&gt;""),"Belum ditempatkan",""),""),IF(L76="","CEK JENIS FIXTURE kosong",IF(AND(LEFT(L76,7)&lt;&gt;"Gondola",LEFT(L76,6)&lt;&gt;"Endcap"),"CEK Fixture 1 hanya Gondola atau Endcap",IF(M76="","CEK SHELVING KE kosong",IF(ISNA(MATCH(L76&amp;"|"&amp;M76,LAYOUT!$E$2:$E$80,0)),"CEK SHELVING KE di luar layout",IF($I76="","CEK SERIES kosong",IF($D76="","Zona STOCK",IF($E76="","CEK SKU DESCRIPTION kosong",IF(COUNTIFS($I$2:$I$500,$I76,L$2:L$500,"&lt;&gt;"&amp;L76,L$2:L$500,"&lt;&gt;")&gt;0,"CEK jenis fixture beda dalam satu series","OK")))))))))</f>
        <v/>
      </c>
      <c r="P76" s="11" t="n"/>
      <c r="Q76" s="11" t="n"/>
      <c r="R76" s="11">
        <f>IF(OR(P76="",Q76=""),"",IFERROR(INDEX(LAYOUT!$D$2:$D$80,MATCH(P76&amp;"|"&amp;Q76,LAYOUT!$E$2:$E$80,0)),""))</f>
        <v/>
      </c>
      <c r="S76" s="12">
        <f>IF(AND(P76="",Q76=""),IF(AND(L76="",M76="",T76="",U76=""),IF(OR($D76&lt;&gt;"",$E76&lt;&gt;""),"Belum ditempatkan",""),""),IF(P76="","CEK JENIS FIXTURE kosong",IF(LEFT(P76,4)&lt;&gt;"Wall","CEK Fixture 2 hanya Wall",IF(Q76="","CEK SHELVING KE kosong",IF(ISNA(MATCH(P76&amp;"|"&amp;Q76,LAYOUT!$E$2:$E$80,0)),"CEK SHELVING KE di luar layout",IF($I76="","CEK SERIES kosong",IF($D76="","Zona STOCK",IF($E76="","CEK SKU DESCRIPTION kosong",IF(COUNTIFS($I$2:$I$500,$I76,P$2:P$500,"&lt;&gt;"&amp;P76,P$2:P$500,"&lt;&gt;")&gt;0,"CEK jenis fixture beda dalam satu series","OK")))))))))</f>
        <v/>
      </c>
      <c r="T76" s="11" t="n"/>
      <c r="U76" s="11" t="n"/>
      <c r="V76" s="11">
        <f>IF(OR(T76="",U76=""),"",IFERROR(INDEX(LAYOUT!$D$2:$D$80,MATCH(T76&amp;"|"&amp;U76,LAYOUT!$E$2:$E$80,0)),""))</f>
        <v/>
      </c>
      <c r="W76" s="12">
        <f>IF(AND(T76="",U76=""),IF(AND(L76="",M76="",P76="",Q76=""),IF(OR($D76&lt;&gt;"",$E76&lt;&gt;""),"Belum ditempatkan",""),""),IF(T76="","CEK JENIS FIXTURE kosong",IF(LEFT(T76,4)&lt;&gt;"Wall","CEK Fixture 3 hanya Wall",IF(U76="","CEK SHELVING KE kosong",IF(ISNA(MATCH(T76&amp;"|"&amp;U76,LAYOUT!$E$2:$E$80,0)),"CEK SHELVING KE di luar layout",IF($I76="","CEK SERIES kosong",IF($D76="","Zona STOCK",IF($E76="","CEK SKU DESCRIPTION kosong",IF(COUNTIFS($I$2:$I$500,$I76,T$2:T$500,"&lt;&gt;"&amp;T76,T$2:T$500,"&lt;&gt;")&gt;0,"CEK jenis fixture beda dalam satu series","OK")))))))))</f>
        <v/>
      </c>
      <c r="X76" s="11" t="n"/>
      <c r="Y76" s="11" t="n"/>
      <c r="Z76" s="12" t="n"/>
      <c r="AA76" s="12" t="n"/>
      <c r="AB76" s="11" t="n"/>
      <c r="AC76" s="11" t="n"/>
      <c r="AD76" s="11" t="n"/>
      <c r="AE76" s="11" t="n"/>
      <c r="AF76" s="11" t="n"/>
      <c r="AG76" s="11" t="n"/>
      <c r="AH76" s="12" t="n"/>
      <c r="AI76" s="12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>
        <f>IF(OR(L77="",M77=""),"",IFERROR(INDEX(LAYOUT!$D$2:$D$80,MATCH(L77&amp;"|"&amp;M77,LAYOUT!$E$2:$E$80,0)),""))</f>
        <v/>
      </c>
      <c r="O77" s="12">
        <f>IF(AND(L77="",M77=""),IF(AND(P77="",Q77="",T77="",U77=""),IF(OR($D77&lt;&gt;"",$E77&lt;&gt;""),"Belum ditempatkan",""),""),IF(L77="","CEK JENIS FIXTURE kosong",IF(AND(LEFT(L77,7)&lt;&gt;"Gondola",LEFT(L77,6)&lt;&gt;"Endcap"),"CEK Fixture 1 hanya Gondola atau Endcap",IF(M77="","CEK SHELVING KE kosong",IF(ISNA(MATCH(L77&amp;"|"&amp;M77,LAYOUT!$E$2:$E$80,0)),"CEK SHELVING KE di luar layout",IF($I77="","CEK SERIES kosong",IF($D77="","Zona STOCK",IF($E77="","CEK SKU DESCRIPTION kosong",IF(COUNTIFS($I$2:$I$500,$I77,L$2:L$500,"&lt;&gt;"&amp;L77,L$2:L$500,"&lt;&gt;")&gt;0,"CEK jenis fixture beda dalam satu series","OK")))))))))</f>
        <v/>
      </c>
      <c r="P77" s="11" t="n"/>
      <c r="Q77" s="11" t="n"/>
      <c r="R77" s="11">
        <f>IF(OR(P77="",Q77=""),"",IFERROR(INDEX(LAYOUT!$D$2:$D$80,MATCH(P77&amp;"|"&amp;Q77,LAYOUT!$E$2:$E$80,0)),""))</f>
        <v/>
      </c>
      <c r="S77" s="12">
        <f>IF(AND(P77="",Q77=""),IF(AND(L77="",M77="",T77="",U77=""),IF(OR($D77&lt;&gt;"",$E77&lt;&gt;""),"Belum ditempatkan",""),""),IF(P77="","CEK JENIS FIXTURE kosong",IF(LEFT(P77,4)&lt;&gt;"Wall","CEK Fixture 2 hanya Wall",IF(Q77="","CEK SHELVING KE kosong",IF(ISNA(MATCH(P77&amp;"|"&amp;Q77,LAYOUT!$E$2:$E$80,0)),"CEK SHELVING KE di luar layout",IF($I77="","CEK SERIES kosong",IF($D77="","Zona STOCK",IF($E77="","CEK SKU DESCRIPTION kosong",IF(COUNTIFS($I$2:$I$500,$I77,P$2:P$500,"&lt;&gt;"&amp;P77,P$2:P$500,"&lt;&gt;")&gt;0,"CEK jenis fixture beda dalam satu series","OK")))))))))</f>
        <v/>
      </c>
      <c r="T77" s="11" t="n"/>
      <c r="U77" s="11" t="n"/>
      <c r="V77" s="11">
        <f>IF(OR(T77="",U77=""),"",IFERROR(INDEX(LAYOUT!$D$2:$D$80,MATCH(T77&amp;"|"&amp;U77,LAYOUT!$E$2:$E$80,0)),""))</f>
        <v/>
      </c>
      <c r="W77" s="12">
        <f>IF(AND(T77="",U77=""),IF(AND(L77="",M77="",P77="",Q77=""),IF(OR($D77&lt;&gt;"",$E77&lt;&gt;""),"Belum ditempatkan",""),""),IF(T77="","CEK JENIS FIXTURE kosong",IF(LEFT(T77,4)&lt;&gt;"Wall","CEK Fixture 3 hanya Wall",IF(U77="","CEK SHELVING KE kosong",IF(ISNA(MATCH(T77&amp;"|"&amp;U77,LAYOUT!$E$2:$E$80,0)),"CEK SHELVING KE di luar layout",IF($I77="","CEK SERIES kosong",IF($D77="","Zona STOCK",IF($E77="","CEK SKU DESCRIPTION kosong",IF(COUNTIFS($I$2:$I$500,$I77,T$2:T$500,"&lt;&gt;"&amp;T77,T$2:T$500,"&lt;&gt;")&gt;0,"CEK jenis fixture beda dalam satu series","OK")))))))))</f>
        <v/>
      </c>
      <c r="X77" s="11" t="n"/>
      <c r="Y77" s="11" t="n"/>
      <c r="Z77" s="12" t="n"/>
      <c r="AA77" s="12" t="n"/>
      <c r="AB77" s="11" t="n"/>
      <c r="AC77" s="11" t="n"/>
      <c r="AD77" s="11" t="n"/>
      <c r="AE77" s="11" t="n"/>
      <c r="AF77" s="11" t="n"/>
      <c r="AG77" s="11" t="n"/>
      <c r="AH77" s="12" t="n"/>
      <c r="AI77" s="12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>
        <f>IF(OR(L78="",M78=""),"",IFERROR(INDEX(LAYOUT!$D$2:$D$80,MATCH(L78&amp;"|"&amp;M78,LAYOUT!$E$2:$E$80,0)),""))</f>
        <v/>
      </c>
      <c r="O78" s="12">
        <f>IF(AND(L78="",M78=""),IF(AND(P78="",Q78="",T78="",U78=""),IF(OR($D78&lt;&gt;"",$E78&lt;&gt;""),"Belum ditempatkan",""),""),IF(L78="","CEK JENIS FIXTURE kosong",IF(AND(LEFT(L78,7)&lt;&gt;"Gondola",LEFT(L78,6)&lt;&gt;"Endcap"),"CEK Fixture 1 hanya Gondola atau Endcap",IF(M78="","CEK SHELVING KE kosong",IF(ISNA(MATCH(L78&amp;"|"&amp;M78,LAYOUT!$E$2:$E$80,0)),"CEK SHELVING KE di luar layout",IF($I78="","CEK SERIES kosong",IF($D78="","Zona STOCK",IF($E78="","CEK SKU DESCRIPTION kosong",IF(COUNTIFS($I$2:$I$500,$I78,L$2:L$500,"&lt;&gt;"&amp;L78,L$2:L$500,"&lt;&gt;")&gt;0,"CEK jenis fixture beda dalam satu series","OK")))))))))</f>
        <v/>
      </c>
      <c r="P78" s="11" t="n"/>
      <c r="Q78" s="11" t="n"/>
      <c r="R78" s="11">
        <f>IF(OR(P78="",Q78=""),"",IFERROR(INDEX(LAYOUT!$D$2:$D$80,MATCH(P78&amp;"|"&amp;Q78,LAYOUT!$E$2:$E$80,0)),""))</f>
        <v/>
      </c>
      <c r="S78" s="12">
        <f>IF(AND(P78="",Q78=""),IF(AND(L78="",M78="",T78="",U78=""),IF(OR($D78&lt;&gt;"",$E78&lt;&gt;""),"Belum ditempatkan",""),""),IF(P78="","CEK JENIS FIXTURE kosong",IF(LEFT(P78,4)&lt;&gt;"Wall","CEK Fixture 2 hanya Wall",IF(Q78="","CEK SHELVING KE kosong",IF(ISNA(MATCH(P78&amp;"|"&amp;Q78,LAYOUT!$E$2:$E$80,0)),"CEK SHELVING KE di luar layout",IF($I78="","CEK SERIES kosong",IF($D78="","Zona STOCK",IF($E78="","CEK SKU DESCRIPTION kosong",IF(COUNTIFS($I$2:$I$500,$I78,P$2:P$500,"&lt;&gt;"&amp;P78,P$2:P$500,"&lt;&gt;")&gt;0,"CEK jenis fixture beda dalam satu series","OK")))))))))</f>
        <v/>
      </c>
      <c r="T78" s="11" t="n"/>
      <c r="U78" s="11" t="n"/>
      <c r="V78" s="11">
        <f>IF(OR(T78="",U78=""),"",IFERROR(INDEX(LAYOUT!$D$2:$D$80,MATCH(T78&amp;"|"&amp;U78,LAYOUT!$E$2:$E$80,0)),""))</f>
        <v/>
      </c>
      <c r="W78" s="12">
        <f>IF(AND(T78="",U78=""),IF(AND(L78="",M78="",P78="",Q78=""),IF(OR($D78&lt;&gt;"",$E78&lt;&gt;""),"Belum ditempatkan",""),""),IF(T78="","CEK JENIS FIXTURE kosong",IF(LEFT(T78,4)&lt;&gt;"Wall","CEK Fixture 3 hanya Wall",IF(U78="","CEK SHELVING KE kosong",IF(ISNA(MATCH(T78&amp;"|"&amp;U78,LAYOUT!$E$2:$E$80,0)),"CEK SHELVING KE di luar layout",IF($I78="","CEK SERIES kosong",IF($D78="","Zona STOCK",IF($E78="","CEK SKU DESCRIPTION kosong",IF(COUNTIFS($I$2:$I$500,$I78,T$2:T$500,"&lt;&gt;"&amp;T78,T$2:T$500,"&lt;&gt;")&gt;0,"CEK jenis fixture beda dalam satu series","OK")))))))))</f>
        <v/>
      </c>
      <c r="X78" s="11" t="n"/>
      <c r="Y78" s="11" t="n"/>
      <c r="Z78" s="12" t="n"/>
      <c r="AA78" s="12" t="n"/>
      <c r="AB78" s="11" t="n"/>
      <c r="AC78" s="11" t="n"/>
      <c r="AD78" s="11" t="n"/>
      <c r="AE78" s="11" t="n"/>
      <c r="AF78" s="11" t="n"/>
      <c r="AG78" s="11" t="n"/>
      <c r="AH78" s="12" t="n"/>
      <c r="AI78" s="12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>
        <f>IF(OR(L79="",M79=""),"",IFERROR(INDEX(LAYOUT!$D$2:$D$80,MATCH(L79&amp;"|"&amp;M79,LAYOUT!$E$2:$E$80,0)),""))</f>
        <v/>
      </c>
      <c r="O79" s="12">
        <f>IF(AND(L79="",M79=""),IF(AND(P79="",Q79="",T79="",U79=""),IF(OR($D79&lt;&gt;"",$E79&lt;&gt;""),"Belum ditempatkan",""),""),IF(L79="","CEK JENIS FIXTURE kosong",IF(AND(LEFT(L79,7)&lt;&gt;"Gondola",LEFT(L79,6)&lt;&gt;"Endcap"),"CEK Fixture 1 hanya Gondola atau Endcap",IF(M79="","CEK SHELVING KE kosong",IF(ISNA(MATCH(L79&amp;"|"&amp;M79,LAYOUT!$E$2:$E$80,0)),"CEK SHELVING KE di luar layout",IF($I79="","CEK SERIES kosong",IF($D79="","Zona STOCK",IF($E79="","CEK SKU DESCRIPTION kosong",IF(COUNTIFS($I$2:$I$500,$I79,L$2:L$500,"&lt;&gt;"&amp;L79,L$2:L$500,"&lt;&gt;")&gt;0,"CEK jenis fixture beda dalam satu series","OK")))))))))</f>
        <v/>
      </c>
      <c r="P79" s="11" t="n"/>
      <c r="Q79" s="11" t="n"/>
      <c r="R79" s="11">
        <f>IF(OR(P79="",Q79=""),"",IFERROR(INDEX(LAYOUT!$D$2:$D$80,MATCH(P79&amp;"|"&amp;Q79,LAYOUT!$E$2:$E$80,0)),""))</f>
        <v/>
      </c>
      <c r="S79" s="12">
        <f>IF(AND(P79="",Q79=""),IF(AND(L79="",M79="",T79="",U79=""),IF(OR($D79&lt;&gt;"",$E79&lt;&gt;""),"Belum ditempatkan",""),""),IF(P79="","CEK JENIS FIXTURE kosong",IF(LEFT(P79,4)&lt;&gt;"Wall","CEK Fixture 2 hanya Wall",IF(Q79="","CEK SHELVING KE kosong",IF(ISNA(MATCH(P79&amp;"|"&amp;Q79,LAYOUT!$E$2:$E$80,0)),"CEK SHELVING KE di luar layout",IF($I79="","CEK SERIES kosong",IF($D79="","Zona STOCK",IF($E79="","CEK SKU DESCRIPTION kosong",IF(COUNTIFS($I$2:$I$500,$I79,P$2:P$500,"&lt;&gt;"&amp;P79,P$2:P$500,"&lt;&gt;")&gt;0,"CEK jenis fixture beda dalam satu series","OK")))))))))</f>
        <v/>
      </c>
      <c r="T79" s="11" t="n"/>
      <c r="U79" s="11" t="n"/>
      <c r="V79" s="11">
        <f>IF(OR(T79="",U79=""),"",IFERROR(INDEX(LAYOUT!$D$2:$D$80,MATCH(T79&amp;"|"&amp;U79,LAYOUT!$E$2:$E$80,0)),""))</f>
        <v/>
      </c>
      <c r="W79" s="12">
        <f>IF(AND(T79="",U79=""),IF(AND(L79="",M79="",P79="",Q79=""),IF(OR($D79&lt;&gt;"",$E79&lt;&gt;""),"Belum ditempatkan",""),""),IF(T79="","CEK JENIS FIXTURE kosong",IF(LEFT(T79,4)&lt;&gt;"Wall","CEK Fixture 3 hanya Wall",IF(U79="","CEK SHELVING KE kosong",IF(ISNA(MATCH(T79&amp;"|"&amp;U79,LAYOUT!$E$2:$E$80,0)),"CEK SHELVING KE di luar layout",IF($I79="","CEK SERIES kosong",IF($D79="","Zona STOCK",IF($E79="","CEK SKU DESCRIPTION kosong",IF(COUNTIFS($I$2:$I$500,$I79,T$2:T$500,"&lt;&gt;"&amp;T79,T$2:T$500,"&lt;&gt;")&gt;0,"CEK jenis fixture beda dalam satu series","OK")))))))))</f>
        <v/>
      </c>
      <c r="X79" s="11" t="n"/>
      <c r="Y79" s="11" t="n"/>
      <c r="Z79" s="12" t="n"/>
      <c r="AA79" s="12" t="n"/>
      <c r="AB79" s="11" t="n"/>
      <c r="AC79" s="11" t="n"/>
      <c r="AD79" s="11" t="n"/>
      <c r="AE79" s="11" t="n"/>
      <c r="AF79" s="11" t="n"/>
      <c r="AG79" s="11" t="n"/>
      <c r="AH79" s="12" t="n"/>
      <c r="AI79" s="12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>
        <f>IF(OR(L80="",M80=""),"",IFERROR(INDEX(LAYOUT!$D$2:$D$80,MATCH(L80&amp;"|"&amp;M80,LAYOUT!$E$2:$E$80,0)),""))</f>
        <v/>
      </c>
      <c r="O80" s="12">
        <f>IF(AND(L80="",M80=""),IF(AND(P80="",Q80="",T80="",U80=""),IF(OR($D80&lt;&gt;"",$E80&lt;&gt;""),"Belum ditempatkan",""),""),IF(L80="","CEK JENIS FIXTURE kosong",IF(AND(LEFT(L80,7)&lt;&gt;"Gondola",LEFT(L80,6)&lt;&gt;"Endcap"),"CEK Fixture 1 hanya Gondola atau Endcap",IF(M80="","CEK SHELVING KE kosong",IF(ISNA(MATCH(L80&amp;"|"&amp;M80,LAYOUT!$E$2:$E$80,0)),"CEK SHELVING KE di luar layout",IF($I80="","CEK SERIES kosong",IF($D80="","Zona STOCK",IF($E80="","CEK SKU DESCRIPTION kosong",IF(COUNTIFS($I$2:$I$500,$I80,L$2:L$500,"&lt;&gt;"&amp;L80,L$2:L$500,"&lt;&gt;")&gt;0,"CEK jenis fixture beda dalam satu series","OK")))))))))</f>
        <v/>
      </c>
      <c r="P80" s="11" t="n"/>
      <c r="Q80" s="11" t="n"/>
      <c r="R80" s="11">
        <f>IF(OR(P80="",Q80=""),"",IFERROR(INDEX(LAYOUT!$D$2:$D$80,MATCH(P80&amp;"|"&amp;Q80,LAYOUT!$E$2:$E$80,0)),""))</f>
        <v/>
      </c>
      <c r="S80" s="12">
        <f>IF(AND(P80="",Q80=""),IF(AND(L80="",M80="",T80="",U80=""),IF(OR($D80&lt;&gt;"",$E80&lt;&gt;""),"Belum ditempatkan",""),""),IF(P80="","CEK JENIS FIXTURE kosong",IF(LEFT(P80,4)&lt;&gt;"Wall","CEK Fixture 2 hanya Wall",IF(Q80="","CEK SHELVING KE kosong",IF(ISNA(MATCH(P80&amp;"|"&amp;Q80,LAYOUT!$E$2:$E$80,0)),"CEK SHELVING KE di luar layout",IF($I80="","CEK SERIES kosong",IF($D80="","Zona STOCK",IF($E80="","CEK SKU DESCRIPTION kosong",IF(COUNTIFS($I$2:$I$500,$I80,P$2:P$500,"&lt;&gt;"&amp;P80,P$2:P$500,"&lt;&gt;")&gt;0,"CEK jenis fixture beda dalam satu series","OK")))))))))</f>
        <v/>
      </c>
      <c r="T80" s="11" t="n"/>
      <c r="U80" s="11" t="n"/>
      <c r="V80" s="11">
        <f>IF(OR(T80="",U80=""),"",IFERROR(INDEX(LAYOUT!$D$2:$D$80,MATCH(T80&amp;"|"&amp;U80,LAYOUT!$E$2:$E$80,0)),""))</f>
        <v/>
      </c>
      <c r="W80" s="12">
        <f>IF(AND(T80="",U80=""),IF(AND(L80="",M80="",P80="",Q80=""),IF(OR($D80&lt;&gt;"",$E80&lt;&gt;""),"Belum ditempatkan",""),""),IF(T80="","CEK JENIS FIXTURE kosong",IF(LEFT(T80,4)&lt;&gt;"Wall","CEK Fixture 3 hanya Wall",IF(U80="","CEK SHELVING KE kosong",IF(ISNA(MATCH(T80&amp;"|"&amp;U80,LAYOUT!$E$2:$E$80,0)),"CEK SHELVING KE di luar layout",IF($I80="","CEK SERIES kosong",IF($D80="","Zona STOCK",IF($E80="","CEK SKU DESCRIPTION kosong",IF(COUNTIFS($I$2:$I$500,$I80,T$2:T$500,"&lt;&gt;"&amp;T80,T$2:T$500,"&lt;&gt;")&gt;0,"CEK jenis fixture beda dalam satu series","OK")))))))))</f>
        <v/>
      </c>
      <c r="X80" s="11" t="n"/>
      <c r="Y80" s="11" t="n"/>
      <c r="Z80" s="12" t="n"/>
      <c r="AA80" s="12" t="n"/>
      <c r="AB80" s="11" t="n"/>
      <c r="AC80" s="11" t="n"/>
      <c r="AD80" s="11" t="n"/>
      <c r="AE80" s="11" t="n"/>
      <c r="AF80" s="11" t="n"/>
      <c r="AG80" s="11" t="n"/>
      <c r="AH80" s="12" t="n"/>
      <c r="AI80" s="12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>
        <f>IF(OR(L81="",M81=""),"",IFERROR(INDEX(LAYOUT!$D$2:$D$80,MATCH(L81&amp;"|"&amp;M81,LAYOUT!$E$2:$E$80,0)),""))</f>
        <v/>
      </c>
      <c r="O81" s="12">
        <f>IF(AND(L81="",M81=""),IF(AND(P81="",Q81="",T81="",U81=""),IF(OR($D81&lt;&gt;"",$E81&lt;&gt;""),"Belum ditempatkan",""),""),IF(L81="","CEK JENIS FIXTURE kosong",IF(AND(LEFT(L81,7)&lt;&gt;"Gondola",LEFT(L81,6)&lt;&gt;"Endcap"),"CEK Fixture 1 hanya Gondola atau Endcap",IF(M81="","CEK SHELVING KE kosong",IF(ISNA(MATCH(L81&amp;"|"&amp;M81,LAYOUT!$E$2:$E$80,0)),"CEK SHELVING KE di luar layout",IF($I81="","CEK SERIES kosong",IF($D81="","Zona STOCK",IF($E81="","CEK SKU DESCRIPTION kosong",IF(COUNTIFS($I$2:$I$500,$I81,L$2:L$500,"&lt;&gt;"&amp;L81,L$2:L$500,"&lt;&gt;")&gt;0,"CEK jenis fixture beda dalam satu series","OK")))))))))</f>
        <v/>
      </c>
      <c r="P81" s="11" t="n"/>
      <c r="Q81" s="11" t="n"/>
      <c r="R81" s="11">
        <f>IF(OR(P81="",Q81=""),"",IFERROR(INDEX(LAYOUT!$D$2:$D$80,MATCH(P81&amp;"|"&amp;Q81,LAYOUT!$E$2:$E$80,0)),""))</f>
        <v/>
      </c>
      <c r="S81" s="12">
        <f>IF(AND(P81="",Q81=""),IF(AND(L81="",M81="",T81="",U81=""),IF(OR($D81&lt;&gt;"",$E81&lt;&gt;""),"Belum ditempatkan",""),""),IF(P81="","CEK JENIS FIXTURE kosong",IF(LEFT(P81,4)&lt;&gt;"Wall","CEK Fixture 2 hanya Wall",IF(Q81="","CEK SHELVING KE kosong",IF(ISNA(MATCH(P81&amp;"|"&amp;Q81,LAYOUT!$E$2:$E$80,0)),"CEK SHELVING KE di luar layout",IF($I81="","CEK SERIES kosong",IF($D81="","Zona STOCK",IF($E81="","CEK SKU DESCRIPTION kosong",IF(COUNTIFS($I$2:$I$500,$I81,P$2:P$500,"&lt;&gt;"&amp;P81,P$2:P$500,"&lt;&gt;")&gt;0,"CEK jenis fixture beda dalam satu series","OK")))))))))</f>
        <v/>
      </c>
      <c r="T81" s="11" t="n"/>
      <c r="U81" s="11" t="n"/>
      <c r="V81" s="11">
        <f>IF(OR(T81="",U81=""),"",IFERROR(INDEX(LAYOUT!$D$2:$D$80,MATCH(T81&amp;"|"&amp;U81,LAYOUT!$E$2:$E$80,0)),""))</f>
        <v/>
      </c>
      <c r="W81" s="12">
        <f>IF(AND(T81="",U81=""),IF(AND(L81="",M81="",P81="",Q81=""),IF(OR($D81&lt;&gt;"",$E81&lt;&gt;""),"Belum ditempatkan",""),""),IF(T81="","CEK JENIS FIXTURE kosong",IF(LEFT(T81,4)&lt;&gt;"Wall","CEK Fixture 3 hanya Wall",IF(U81="","CEK SHELVING KE kosong",IF(ISNA(MATCH(T81&amp;"|"&amp;U81,LAYOUT!$E$2:$E$80,0)),"CEK SHELVING KE di luar layout",IF($I81="","CEK SERIES kosong",IF($D81="","Zona STOCK",IF($E81="","CEK SKU DESCRIPTION kosong",IF(COUNTIFS($I$2:$I$500,$I81,T$2:T$500,"&lt;&gt;"&amp;T81,T$2:T$500,"&lt;&gt;")&gt;0,"CEK jenis fixture beda dalam satu series","OK")))))))))</f>
        <v/>
      </c>
      <c r="X81" s="11" t="n"/>
      <c r="Y81" s="11" t="n"/>
      <c r="Z81" s="12" t="n"/>
      <c r="AA81" s="12" t="n"/>
      <c r="AB81" s="11" t="n"/>
      <c r="AC81" s="11" t="n"/>
      <c r="AD81" s="11" t="n"/>
      <c r="AE81" s="11" t="n"/>
      <c r="AF81" s="11" t="n"/>
      <c r="AG81" s="11" t="n"/>
      <c r="AH81" s="12" t="n"/>
      <c r="AI81" s="12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>
        <f>IF(OR(L82="",M82=""),"",IFERROR(INDEX(LAYOUT!$D$2:$D$80,MATCH(L82&amp;"|"&amp;M82,LAYOUT!$E$2:$E$80,0)),""))</f>
        <v/>
      </c>
      <c r="O82" s="12">
        <f>IF(AND(L82="",M82=""),IF(AND(P82="",Q82="",T82="",U82=""),IF(OR($D82&lt;&gt;"",$E82&lt;&gt;""),"Belum ditempatkan",""),""),IF(L82="","CEK JENIS FIXTURE kosong",IF(AND(LEFT(L82,7)&lt;&gt;"Gondola",LEFT(L82,6)&lt;&gt;"Endcap"),"CEK Fixture 1 hanya Gondola atau Endcap",IF(M82="","CEK SHELVING KE kosong",IF(ISNA(MATCH(L82&amp;"|"&amp;M82,LAYOUT!$E$2:$E$80,0)),"CEK SHELVING KE di luar layout",IF($I82="","CEK SERIES kosong",IF($D82="","Zona STOCK",IF($E82="","CEK SKU DESCRIPTION kosong",IF(COUNTIFS($I$2:$I$500,$I82,L$2:L$500,"&lt;&gt;"&amp;L82,L$2:L$500,"&lt;&gt;")&gt;0,"CEK jenis fixture beda dalam satu series","OK")))))))))</f>
        <v/>
      </c>
      <c r="P82" s="11" t="n"/>
      <c r="Q82" s="11" t="n"/>
      <c r="R82" s="11">
        <f>IF(OR(P82="",Q82=""),"",IFERROR(INDEX(LAYOUT!$D$2:$D$80,MATCH(P82&amp;"|"&amp;Q82,LAYOUT!$E$2:$E$80,0)),""))</f>
        <v/>
      </c>
      <c r="S82" s="12">
        <f>IF(AND(P82="",Q82=""),IF(AND(L82="",M82="",T82="",U82=""),IF(OR($D82&lt;&gt;"",$E82&lt;&gt;""),"Belum ditempatkan",""),""),IF(P82="","CEK JENIS FIXTURE kosong",IF(LEFT(P82,4)&lt;&gt;"Wall","CEK Fixture 2 hanya Wall",IF(Q82="","CEK SHELVING KE kosong",IF(ISNA(MATCH(P82&amp;"|"&amp;Q82,LAYOUT!$E$2:$E$80,0)),"CEK SHELVING KE di luar layout",IF($I82="","CEK SERIES kosong",IF($D82="","Zona STOCK",IF($E82="","CEK SKU DESCRIPTION kosong",IF(COUNTIFS($I$2:$I$500,$I82,P$2:P$500,"&lt;&gt;"&amp;P82,P$2:P$500,"&lt;&gt;")&gt;0,"CEK jenis fixture beda dalam satu series","OK")))))))))</f>
        <v/>
      </c>
      <c r="T82" s="11" t="n"/>
      <c r="U82" s="11" t="n"/>
      <c r="V82" s="11">
        <f>IF(OR(T82="",U82=""),"",IFERROR(INDEX(LAYOUT!$D$2:$D$80,MATCH(T82&amp;"|"&amp;U82,LAYOUT!$E$2:$E$80,0)),""))</f>
        <v/>
      </c>
      <c r="W82" s="12">
        <f>IF(AND(T82="",U82=""),IF(AND(L82="",M82="",P82="",Q82=""),IF(OR($D82&lt;&gt;"",$E82&lt;&gt;""),"Belum ditempatkan",""),""),IF(T82="","CEK JENIS FIXTURE kosong",IF(LEFT(T82,4)&lt;&gt;"Wall","CEK Fixture 3 hanya Wall",IF(U82="","CEK SHELVING KE kosong",IF(ISNA(MATCH(T82&amp;"|"&amp;U82,LAYOUT!$E$2:$E$80,0)),"CEK SHELVING KE di luar layout",IF($I82="","CEK SERIES kosong",IF($D82="","Zona STOCK",IF($E82="","CEK SKU DESCRIPTION kosong",IF(COUNTIFS($I$2:$I$500,$I82,T$2:T$500,"&lt;&gt;"&amp;T82,T$2:T$500,"&lt;&gt;")&gt;0,"CEK jenis fixture beda dalam satu series","OK")))))))))</f>
        <v/>
      </c>
      <c r="X82" s="11" t="n"/>
      <c r="Y82" s="11" t="n"/>
      <c r="Z82" s="12" t="n"/>
      <c r="AA82" s="12" t="n"/>
      <c r="AB82" s="11" t="n"/>
      <c r="AC82" s="11" t="n"/>
      <c r="AD82" s="11" t="n"/>
      <c r="AE82" s="11" t="n"/>
      <c r="AF82" s="11" t="n"/>
      <c r="AG82" s="11" t="n"/>
      <c r="AH82" s="12" t="n"/>
      <c r="AI82" s="12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>
        <f>IF(OR(L83="",M83=""),"",IFERROR(INDEX(LAYOUT!$D$2:$D$80,MATCH(L83&amp;"|"&amp;M83,LAYOUT!$E$2:$E$80,0)),""))</f>
        <v/>
      </c>
      <c r="O83" s="12">
        <f>IF(AND(L83="",M83=""),IF(AND(P83="",Q83="",T83="",U83=""),IF(OR($D83&lt;&gt;"",$E83&lt;&gt;""),"Belum ditempatkan",""),""),IF(L83="","CEK JENIS FIXTURE kosong",IF(AND(LEFT(L83,7)&lt;&gt;"Gondola",LEFT(L83,6)&lt;&gt;"Endcap"),"CEK Fixture 1 hanya Gondola atau Endcap",IF(M83="","CEK SHELVING KE kosong",IF(ISNA(MATCH(L83&amp;"|"&amp;M83,LAYOUT!$E$2:$E$80,0)),"CEK SHELVING KE di luar layout",IF($I83="","CEK SERIES kosong",IF($D83="","Zona STOCK",IF($E83="","CEK SKU DESCRIPTION kosong",IF(COUNTIFS($I$2:$I$500,$I83,L$2:L$500,"&lt;&gt;"&amp;L83,L$2:L$500,"&lt;&gt;")&gt;0,"CEK jenis fixture beda dalam satu series","OK")))))))))</f>
        <v/>
      </c>
      <c r="P83" s="11" t="n"/>
      <c r="Q83" s="11" t="n"/>
      <c r="R83" s="11">
        <f>IF(OR(P83="",Q83=""),"",IFERROR(INDEX(LAYOUT!$D$2:$D$80,MATCH(P83&amp;"|"&amp;Q83,LAYOUT!$E$2:$E$80,0)),""))</f>
        <v/>
      </c>
      <c r="S83" s="12">
        <f>IF(AND(P83="",Q83=""),IF(AND(L83="",M83="",T83="",U83=""),IF(OR($D83&lt;&gt;"",$E83&lt;&gt;""),"Belum ditempatkan",""),""),IF(P83="","CEK JENIS FIXTURE kosong",IF(LEFT(P83,4)&lt;&gt;"Wall","CEK Fixture 2 hanya Wall",IF(Q83="","CEK SHELVING KE kosong",IF(ISNA(MATCH(P83&amp;"|"&amp;Q83,LAYOUT!$E$2:$E$80,0)),"CEK SHELVING KE di luar layout",IF($I83="","CEK SERIES kosong",IF($D83="","Zona STOCK",IF($E83="","CEK SKU DESCRIPTION kosong",IF(COUNTIFS($I$2:$I$500,$I83,P$2:P$500,"&lt;&gt;"&amp;P83,P$2:P$500,"&lt;&gt;")&gt;0,"CEK jenis fixture beda dalam satu series","OK")))))))))</f>
        <v/>
      </c>
      <c r="T83" s="11" t="n"/>
      <c r="U83" s="11" t="n"/>
      <c r="V83" s="11">
        <f>IF(OR(T83="",U83=""),"",IFERROR(INDEX(LAYOUT!$D$2:$D$80,MATCH(T83&amp;"|"&amp;U83,LAYOUT!$E$2:$E$80,0)),""))</f>
        <v/>
      </c>
      <c r="W83" s="12">
        <f>IF(AND(T83="",U83=""),IF(AND(L83="",M83="",P83="",Q83=""),IF(OR($D83&lt;&gt;"",$E83&lt;&gt;""),"Belum ditempatkan",""),""),IF(T83="","CEK JENIS FIXTURE kosong",IF(LEFT(T83,4)&lt;&gt;"Wall","CEK Fixture 3 hanya Wall",IF(U83="","CEK SHELVING KE kosong",IF(ISNA(MATCH(T83&amp;"|"&amp;U83,LAYOUT!$E$2:$E$80,0)),"CEK SHELVING KE di luar layout",IF($I83="","CEK SERIES kosong",IF($D83="","Zona STOCK",IF($E83="","CEK SKU DESCRIPTION kosong",IF(COUNTIFS($I$2:$I$500,$I83,T$2:T$500,"&lt;&gt;"&amp;T83,T$2:T$500,"&lt;&gt;")&gt;0,"CEK jenis fixture beda dalam satu series","OK")))))))))</f>
        <v/>
      </c>
      <c r="X83" s="11" t="n"/>
      <c r="Y83" s="11" t="n"/>
      <c r="Z83" s="12" t="n"/>
      <c r="AA83" s="12" t="n"/>
      <c r="AB83" s="11" t="n"/>
      <c r="AC83" s="11" t="n"/>
      <c r="AD83" s="11" t="n"/>
      <c r="AE83" s="11" t="n"/>
      <c r="AF83" s="11" t="n"/>
      <c r="AG83" s="11" t="n"/>
      <c r="AH83" s="12" t="n"/>
      <c r="AI83" s="12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>
        <f>IF(OR(L84="",M84=""),"",IFERROR(INDEX(LAYOUT!$D$2:$D$80,MATCH(L84&amp;"|"&amp;M84,LAYOUT!$E$2:$E$80,0)),""))</f>
        <v/>
      </c>
      <c r="O84" s="12">
        <f>IF(AND(L84="",M84=""),IF(AND(P84="",Q84="",T84="",U84=""),IF(OR($D84&lt;&gt;"",$E84&lt;&gt;""),"Belum ditempatkan",""),""),IF(L84="","CEK JENIS FIXTURE kosong",IF(AND(LEFT(L84,7)&lt;&gt;"Gondola",LEFT(L84,6)&lt;&gt;"Endcap"),"CEK Fixture 1 hanya Gondola atau Endcap",IF(M84="","CEK SHELVING KE kosong",IF(ISNA(MATCH(L84&amp;"|"&amp;M84,LAYOUT!$E$2:$E$80,0)),"CEK SHELVING KE di luar layout",IF($I84="","CEK SERIES kosong",IF($D84="","Zona STOCK",IF($E84="","CEK SKU DESCRIPTION kosong",IF(COUNTIFS($I$2:$I$500,$I84,L$2:L$500,"&lt;&gt;"&amp;L84,L$2:L$500,"&lt;&gt;")&gt;0,"CEK jenis fixture beda dalam satu series","OK")))))))))</f>
        <v/>
      </c>
      <c r="P84" s="11" t="n"/>
      <c r="Q84" s="11" t="n"/>
      <c r="R84" s="11">
        <f>IF(OR(P84="",Q84=""),"",IFERROR(INDEX(LAYOUT!$D$2:$D$80,MATCH(P84&amp;"|"&amp;Q84,LAYOUT!$E$2:$E$80,0)),""))</f>
        <v/>
      </c>
      <c r="S84" s="12">
        <f>IF(AND(P84="",Q84=""),IF(AND(L84="",M84="",T84="",U84=""),IF(OR($D84&lt;&gt;"",$E84&lt;&gt;""),"Belum ditempatkan",""),""),IF(P84="","CEK JENIS FIXTURE kosong",IF(LEFT(P84,4)&lt;&gt;"Wall","CEK Fixture 2 hanya Wall",IF(Q84="","CEK SHELVING KE kosong",IF(ISNA(MATCH(P84&amp;"|"&amp;Q84,LAYOUT!$E$2:$E$80,0)),"CEK SHELVING KE di luar layout",IF($I84="","CEK SERIES kosong",IF($D84="","Zona STOCK",IF($E84="","CEK SKU DESCRIPTION kosong",IF(COUNTIFS($I$2:$I$500,$I84,P$2:P$500,"&lt;&gt;"&amp;P84,P$2:P$500,"&lt;&gt;")&gt;0,"CEK jenis fixture beda dalam satu series","OK")))))))))</f>
        <v/>
      </c>
      <c r="T84" s="11" t="n"/>
      <c r="U84" s="11" t="n"/>
      <c r="V84" s="11">
        <f>IF(OR(T84="",U84=""),"",IFERROR(INDEX(LAYOUT!$D$2:$D$80,MATCH(T84&amp;"|"&amp;U84,LAYOUT!$E$2:$E$80,0)),""))</f>
        <v/>
      </c>
      <c r="W84" s="12">
        <f>IF(AND(T84="",U84=""),IF(AND(L84="",M84="",P84="",Q84=""),IF(OR($D84&lt;&gt;"",$E84&lt;&gt;""),"Belum ditempatkan",""),""),IF(T84="","CEK JENIS FIXTURE kosong",IF(LEFT(T84,4)&lt;&gt;"Wall","CEK Fixture 3 hanya Wall",IF(U84="","CEK SHELVING KE kosong",IF(ISNA(MATCH(T84&amp;"|"&amp;U84,LAYOUT!$E$2:$E$80,0)),"CEK SHELVING KE di luar layout",IF($I84="","CEK SERIES kosong",IF($D84="","Zona STOCK",IF($E84="","CEK SKU DESCRIPTION kosong",IF(COUNTIFS($I$2:$I$500,$I84,T$2:T$500,"&lt;&gt;"&amp;T84,T$2:T$500,"&lt;&gt;")&gt;0,"CEK jenis fixture beda dalam satu series","OK")))))))))</f>
        <v/>
      </c>
      <c r="X84" s="11" t="n"/>
      <c r="Y84" s="11" t="n"/>
      <c r="Z84" s="12" t="n"/>
      <c r="AA84" s="12" t="n"/>
      <c r="AB84" s="11" t="n"/>
      <c r="AC84" s="11" t="n"/>
      <c r="AD84" s="11" t="n"/>
      <c r="AE84" s="11" t="n"/>
      <c r="AF84" s="11" t="n"/>
      <c r="AG84" s="11" t="n"/>
      <c r="AH84" s="12" t="n"/>
      <c r="AI84" s="12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>
        <f>IF(OR(L85="",M85=""),"",IFERROR(INDEX(LAYOUT!$D$2:$D$80,MATCH(L85&amp;"|"&amp;M85,LAYOUT!$E$2:$E$80,0)),""))</f>
        <v/>
      </c>
      <c r="O85" s="12">
        <f>IF(AND(L85="",M85=""),IF(AND(P85="",Q85="",T85="",U85=""),IF(OR($D85&lt;&gt;"",$E85&lt;&gt;""),"Belum ditempatkan",""),""),IF(L85="","CEK JENIS FIXTURE kosong",IF(AND(LEFT(L85,7)&lt;&gt;"Gondola",LEFT(L85,6)&lt;&gt;"Endcap"),"CEK Fixture 1 hanya Gondola atau Endcap",IF(M85="","CEK SHELVING KE kosong",IF(ISNA(MATCH(L85&amp;"|"&amp;M85,LAYOUT!$E$2:$E$80,0)),"CEK SHELVING KE di luar layout",IF($I85="","CEK SERIES kosong",IF($D85="","Zona STOCK",IF($E85="","CEK SKU DESCRIPTION kosong",IF(COUNTIFS($I$2:$I$500,$I85,L$2:L$500,"&lt;&gt;"&amp;L85,L$2:L$500,"&lt;&gt;")&gt;0,"CEK jenis fixture beda dalam satu series","OK")))))))))</f>
        <v/>
      </c>
      <c r="P85" s="11" t="n"/>
      <c r="Q85" s="11" t="n"/>
      <c r="R85" s="11">
        <f>IF(OR(P85="",Q85=""),"",IFERROR(INDEX(LAYOUT!$D$2:$D$80,MATCH(P85&amp;"|"&amp;Q85,LAYOUT!$E$2:$E$80,0)),""))</f>
        <v/>
      </c>
      <c r="S85" s="12">
        <f>IF(AND(P85="",Q85=""),IF(AND(L85="",M85="",T85="",U85=""),IF(OR($D85&lt;&gt;"",$E85&lt;&gt;""),"Belum ditempatkan",""),""),IF(P85="","CEK JENIS FIXTURE kosong",IF(LEFT(P85,4)&lt;&gt;"Wall","CEK Fixture 2 hanya Wall",IF(Q85="","CEK SHELVING KE kosong",IF(ISNA(MATCH(P85&amp;"|"&amp;Q85,LAYOUT!$E$2:$E$80,0)),"CEK SHELVING KE di luar layout",IF($I85="","CEK SERIES kosong",IF($D85="","Zona STOCK",IF($E85="","CEK SKU DESCRIPTION kosong",IF(COUNTIFS($I$2:$I$500,$I85,P$2:P$500,"&lt;&gt;"&amp;P85,P$2:P$500,"&lt;&gt;")&gt;0,"CEK jenis fixture beda dalam satu series","OK")))))))))</f>
        <v/>
      </c>
      <c r="T85" s="11" t="n"/>
      <c r="U85" s="11" t="n"/>
      <c r="V85" s="11">
        <f>IF(OR(T85="",U85=""),"",IFERROR(INDEX(LAYOUT!$D$2:$D$80,MATCH(T85&amp;"|"&amp;U85,LAYOUT!$E$2:$E$80,0)),""))</f>
        <v/>
      </c>
      <c r="W85" s="12">
        <f>IF(AND(T85="",U85=""),IF(AND(L85="",M85="",P85="",Q85=""),IF(OR($D85&lt;&gt;"",$E85&lt;&gt;""),"Belum ditempatkan",""),""),IF(T85="","CEK JENIS FIXTURE kosong",IF(LEFT(T85,4)&lt;&gt;"Wall","CEK Fixture 3 hanya Wall",IF(U85="","CEK SHELVING KE kosong",IF(ISNA(MATCH(T85&amp;"|"&amp;U85,LAYOUT!$E$2:$E$80,0)),"CEK SHELVING KE di luar layout",IF($I85="","CEK SERIES kosong",IF($D85="","Zona STOCK",IF($E85="","CEK SKU DESCRIPTION kosong",IF(COUNTIFS($I$2:$I$500,$I85,T$2:T$500,"&lt;&gt;"&amp;T85,T$2:T$500,"&lt;&gt;")&gt;0,"CEK jenis fixture beda dalam satu series","OK")))))))))</f>
        <v/>
      </c>
      <c r="X85" s="11" t="n"/>
      <c r="Y85" s="11" t="n"/>
      <c r="Z85" s="12" t="n"/>
      <c r="AA85" s="12" t="n"/>
      <c r="AB85" s="11" t="n"/>
      <c r="AC85" s="11" t="n"/>
      <c r="AD85" s="11" t="n"/>
      <c r="AE85" s="11" t="n"/>
      <c r="AF85" s="11" t="n"/>
      <c r="AG85" s="11" t="n"/>
      <c r="AH85" s="12" t="n"/>
      <c r="AI85" s="12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>
        <f>IF(OR(L86="",M86=""),"",IFERROR(INDEX(LAYOUT!$D$2:$D$80,MATCH(L86&amp;"|"&amp;M86,LAYOUT!$E$2:$E$80,0)),""))</f>
        <v/>
      </c>
      <c r="O86" s="12">
        <f>IF(AND(L86="",M86=""),IF(AND(P86="",Q86="",T86="",U86=""),IF(OR($D86&lt;&gt;"",$E86&lt;&gt;""),"Belum ditempatkan",""),""),IF(L86="","CEK JENIS FIXTURE kosong",IF(AND(LEFT(L86,7)&lt;&gt;"Gondola",LEFT(L86,6)&lt;&gt;"Endcap"),"CEK Fixture 1 hanya Gondola atau Endcap",IF(M86="","CEK SHELVING KE kosong",IF(ISNA(MATCH(L86&amp;"|"&amp;M86,LAYOUT!$E$2:$E$80,0)),"CEK SHELVING KE di luar layout",IF($I86="","CEK SERIES kosong",IF($D86="","Zona STOCK",IF($E86="","CEK SKU DESCRIPTION kosong",IF(COUNTIFS($I$2:$I$500,$I86,L$2:L$500,"&lt;&gt;"&amp;L86,L$2:L$500,"&lt;&gt;")&gt;0,"CEK jenis fixture beda dalam satu series","OK")))))))))</f>
        <v/>
      </c>
      <c r="P86" s="11" t="n"/>
      <c r="Q86" s="11" t="n"/>
      <c r="R86" s="11">
        <f>IF(OR(P86="",Q86=""),"",IFERROR(INDEX(LAYOUT!$D$2:$D$80,MATCH(P86&amp;"|"&amp;Q86,LAYOUT!$E$2:$E$80,0)),""))</f>
        <v/>
      </c>
      <c r="S86" s="12">
        <f>IF(AND(P86="",Q86=""),IF(AND(L86="",M86="",T86="",U86=""),IF(OR($D86&lt;&gt;"",$E86&lt;&gt;""),"Belum ditempatkan",""),""),IF(P86="","CEK JENIS FIXTURE kosong",IF(LEFT(P86,4)&lt;&gt;"Wall","CEK Fixture 2 hanya Wall",IF(Q86="","CEK SHELVING KE kosong",IF(ISNA(MATCH(P86&amp;"|"&amp;Q86,LAYOUT!$E$2:$E$80,0)),"CEK SHELVING KE di luar layout",IF($I86="","CEK SERIES kosong",IF($D86="","Zona STOCK",IF($E86="","CEK SKU DESCRIPTION kosong",IF(COUNTIFS($I$2:$I$500,$I86,P$2:P$500,"&lt;&gt;"&amp;P86,P$2:P$500,"&lt;&gt;")&gt;0,"CEK jenis fixture beda dalam satu series","OK")))))))))</f>
        <v/>
      </c>
      <c r="T86" s="11" t="n"/>
      <c r="U86" s="11" t="n"/>
      <c r="V86" s="11">
        <f>IF(OR(T86="",U86=""),"",IFERROR(INDEX(LAYOUT!$D$2:$D$80,MATCH(T86&amp;"|"&amp;U86,LAYOUT!$E$2:$E$80,0)),""))</f>
        <v/>
      </c>
      <c r="W86" s="12">
        <f>IF(AND(T86="",U86=""),IF(AND(L86="",M86="",P86="",Q86=""),IF(OR($D86&lt;&gt;"",$E86&lt;&gt;""),"Belum ditempatkan",""),""),IF(T86="","CEK JENIS FIXTURE kosong",IF(LEFT(T86,4)&lt;&gt;"Wall","CEK Fixture 3 hanya Wall",IF(U86="","CEK SHELVING KE kosong",IF(ISNA(MATCH(T86&amp;"|"&amp;U86,LAYOUT!$E$2:$E$80,0)),"CEK SHELVING KE di luar layout",IF($I86="","CEK SERIES kosong",IF($D86="","Zona STOCK",IF($E86="","CEK SKU DESCRIPTION kosong",IF(COUNTIFS($I$2:$I$500,$I86,T$2:T$500,"&lt;&gt;"&amp;T86,T$2:T$500,"&lt;&gt;")&gt;0,"CEK jenis fixture beda dalam satu series","OK")))))))))</f>
        <v/>
      </c>
      <c r="X86" s="11" t="n"/>
      <c r="Y86" s="11" t="n"/>
      <c r="Z86" s="12" t="n"/>
      <c r="AA86" s="12" t="n"/>
      <c r="AB86" s="11" t="n"/>
      <c r="AC86" s="11" t="n"/>
      <c r="AD86" s="11" t="n"/>
      <c r="AE86" s="11" t="n"/>
      <c r="AF86" s="11" t="n"/>
      <c r="AG86" s="11" t="n"/>
      <c r="AH86" s="12" t="n"/>
      <c r="AI86" s="12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>
        <f>IF(OR(L87="",M87=""),"",IFERROR(INDEX(LAYOUT!$D$2:$D$80,MATCH(L87&amp;"|"&amp;M87,LAYOUT!$E$2:$E$80,0)),""))</f>
        <v/>
      </c>
      <c r="O87" s="12">
        <f>IF(AND(L87="",M87=""),IF(AND(P87="",Q87="",T87="",U87=""),IF(OR($D87&lt;&gt;"",$E87&lt;&gt;""),"Belum ditempatkan",""),""),IF(L87="","CEK JENIS FIXTURE kosong",IF(AND(LEFT(L87,7)&lt;&gt;"Gondola",LEFT(L87,6)&lt;&gt;"Endcap"),"CEK Fixture 1 hanya Gondola atau Endcap",IF(M87="","CEK SHELVING KE kosong",IF(ISNA(MATCH(L87&amp;"|"&amp;M87,LAYOUT!$E$2:$E$80,0)),"CEK SHELVING KE di luar layout",IF($I87="","CEK SERIES kosong",IF($D87="","Zona STOCK",IF($E87="","CEK SKU DESCRIPTION kosong",IF(COUNTIFS($I$2:$I$500,$I87,L$2:L$500,"&lt;&gt;"&amp;L87,L$2:L$500,"&lt;&gt;")&gt;0,"CEK jenis fixture beda dalam satu series","OK")))))))))</f>
        <v/>
      </c>
      <c r="P87" s="11" t="n"/>
      <c r="Q87" s="11" t="n"/>
      <c r="R87" s="11">
        <f>IF(OR(P87="",Q87=""),"",IFERROR(INDEX(LAYOUT!$D$2:$D$80,MATCH(P87&amp;"|"&amp;Q87,LAYOUT!$E$2:$E$80,0)),""))</f>
        <v/>
      </c>
      <c r="S87" s="12">
        <f>IF(AND(P87="",Q87=""),IF(AND(L87="",M87="",T87="",U87=""),IF(OR($D87&lt;&gt;"",$E87&lt;&gt;""),"Belum ditempatkan",""),""),IF(P87="","CEK JENIS FIXTURE kosong",IF(LEFT(P87,4)&lt;&gt;"Wall","CEK Fixture 2 hanya Wall",IF(Q87="","CEK SHELVING KE kosong",IF(ISNA(MATCH(P87&amp;"|"&amp;Q87,LAYOUT!$E$2:$E$80,0)),"CEK SHELVING KE di luar layout",IF($I87="","CEK SERIES kosong",IF($D87="","Zona STOCK",IF($E87="","CEK SKU DESCRIPTION kosong",IF(COUNTIFS($I$2:$I$500,$I87,P$2:P$500,"&lt;&gt;"&amp;P87,P$2:P$500,"&lt;&gt;")&gt;0,"CEK jenis fixture beda dalam satu series","OK")))))))))</f>
        <v/>
      </c>
      <c r="T87" s="11" t="n"/>
      <c r="U87" s="11" t="n"/>
      <c r="V87" s="11">
        <f>IF(OR(T87="",U87=""),"",IFERROR(INDEX(LAYOUT!$D$2:$D$80,MATCH(T87&amp;"|"&amp;U87,LAYOUT!$E$2:$E$80,0)),""))</f>
        <v/>
      </c>
      <c r="W87" s="12">
        <f>IF(AND(T87="",U87=""),IF(AND(L87="",M87="",P87="",Q87=""),IF(OR($D87&lt;&gt;"",$E87&lt;&gt;""),"Belum ditempatkan",""),""),IF(T87="","CEK JENIS FIXTURE kosong",IF(LEFT(T87,4)&lt;&gt;"Wall","CEK Fixture 3 hanya Wall",IF(U87="","CEK SHELVING KE kosong",IF(ISNA(MATCH(T87&amp;"|"&amp;U87,LAYOUT!$E$2:$E$80,0)),"CEK SHELVING KE di luar layout",IF($I87="","CEK SERIES kosong",IF($D87="","Zona STOCK",IF($E87="","CEK SKU DESCRIPTION kosong",IF(COUNTIFS($I$2:$I$500,$I87,T$2:T$500,"&lt;&gt;"&amp;T87,T$2:T$500,"&lt;&gt;")&gt;0,"CEK jenis fixture beda dalam satu series","OK")))))))))</f>
        <v/>
      </c>
      <c r="X87" s="11" t="n"/>
      <c r="Y87" s="11" t="n"/>
      <c r="Z87" s="12" t="n"/>
      <c r="AA87" s="12" t="n"/>
      <c r="AB87" s="11" t="n"/>
      <c r="AC87" s="11" t="n"/>
      <c r="AD87" s="11" t="n"/>
      <c r="AE87" s="11" t="n"/>
      <c r="AF87" s="11" t="n"/>
      <c r="AG87" s="11" t="n"/>
      <c r="AH87" s="12" t="n"/>
      <c r="AI87" s="12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>
        <f>IF(OR(L88="",M88=""),"",IFERROR(INDEX(LAYOUT!$D$2:$D$80,MATCH(L88&amp;"|"&amp;M88,LAYOUT!$E$2:$E$80,0)),""))</f>
        <v/>
      </c>
      <c r="O88" s="12">
        <f>IF(AND(L88="",M88=""),IF(AND(P88="",Q88="",T88="",U88=""),IF(OR($D88&lt;&gt;"",$E88&lt;&gt;""),"Belum ditempatkan",""),""),IF(L88="","CEK JENIS FIXTURE kosong",IF(AND(LEFT(L88,7)&lt;&gt;"Gondola",LEFT(L88,6)&lt;&gt;"Endcap"),"CEK Fixture 1 hanya Gondola atau Endcap",IF(M88="","CEK SHELVING KE kosong",IF(ISNA(MATCH(L88&amp;"|"&amp;M88,LAYOUT!$E$2:$E$80,0)),"CEK SHELVING KE di luar layout",IF($I88="","CEK SERIES kosong",IF($D88="","Zona STOCK",IF($E88="","CEK SKU DESCRIPTION kosong",IF(COUNTIFS($I$2:$I$500,$I88,L$2:L$500,"&lt;&gt;"&amp;L88,L$2:L$500,"&lt;&gt;")&gt;0,"CEK jenis fixture beda dalam satu series","OK")))))))))</f>
        <v/>
      </c>
      <c r="P88" s="11" t="n"/>
      <c r="Q88" s="11" t="n"/>
      <c r="R88" s="11">
        <f>IF(OR(P88="",Q88=""),"",IFERROR(INDEX(LAYOUT!$D$2:$D$80,MATCH(P88&amp;"|"&amp;Q88,LAYOUT!$E$2:$E$80,0)),""))</f>
        <v/>
      </c>
      <c r="S88" s="12">
        <f>IF(AND(P88="",Q88=""),IF(AND(L88="",M88="",T88="",U88=""),IF(OR($D88&lt;&gt;"",$E88&lt;&gt;""),"Belum ditempatkan",""),""),IF(P88="","CEK JENIS FIXTURE kosong",IF(LEFT(P88,4)&lt;&gt;"Wall","CEK Fixture 2 hanya Wall",IF(Q88="","CEK SHELVING KE kosong",IF(ISNA(MATCH(P88&amp;"|"&amp;Q88,LAYOUT!$E$2:$E$80,0)),"CEK SHELVING KE di luar layout",IF($I88="","CEK SERIES kosong",IF($D88="","Zona STOCK",IF($E88="","CEK SKU DESCRIPTION kosong",IF(COUNTIFS($I$2:$I$500,$I88,P$2:P$500,"&lt;&gt;"&amp;P88,P$2:P$500,"&lt;&gt;")&gt;0,"CEK jenis fixture beda dalam satu series","OK")))))))))</f>
        <v/>
      </c>
      <c r="T88" s="11" t="n"/>
      <c r="U88" s="11" t="n"/>
      <c r="V88" s="11">
        <f>IF(OR(T88="",U88=""),"",IFERROR(INDEX(LAYOUT!$D$2:$D$80,MATCH(T88&amp;"|"&amp;U88,LAYOUT!$E$2:$E$80,0)),""))</f>
        <v/>
      </c>
      <c r="W88" s="12">
        <f>IF(AND(T88="",U88=""),IF(AND(L88="",M88="",P88="",Q88=""),IF(OR($D88&lt;&gt;"",$E88&lt;&gt;""),"Belum ditempatkan",""),""),IF(T88="","CEK JENIS FIXTURE kosong",IF(LEFT(T88,4)&lt;&gt;"Wall","CEK Fixture 3 hanya Wall",IF(U88="","CEK SHELVING KE kosong",IF(ISNA(MATCH(T88&amp;"|"&amp;U88,LAYOUT!$E$2:$E$80,0)),"CEK SHELVING KE di luar layout",IF($I88="","CEK SERIES kosong",IF($D88="","Zona STOCK",IF($E88="","CEK SKU DESCRIPTION kosong",IF(COUNTIFS($I$2:$I$500,$I88,T$2:T$500,"&lt;&gt;"&amp;T88,T$2:T$500,"&lt;&gt;")&gt;0,"CEK jenis fixture beda dalam satu series","OK")))))))))</f>
        <v/>
      </c>
      <c r="X88" s="11" t="n"/>
      <c r="Y88" s="11" t="n"/>
      <c r="Z88" s="12" t="n"/>
      <c r="AA88" s="12" t="n"/>
      <c r="AB88" s="11" t="n"/>
      <c r="AC88" s="11" t="n"/>
      <c r="AD88" s="11" t="n"/>
      <c r="AE88" s="11" t="n"/>
      <c r="AF88" s="11" t="n"/>
      <c r="AG88" s="11" t="n"/>
      <c r="AH88" s="12" t="n"/>
      <c r="AI88" s="12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>
        <f>IF(OR(L89="",M89=""),"",IFERROR(INDEX(LAYOUT!$D$2:$D$80,MATCH(L89&amp;"|"&amp;M89,LAYOUT!$E$2:$E$80,0)),""))</f>
        <v/>
      </c>
      <c r="O89" s="12">
        <f>IF(AND(L89="",M89=""),IF(AND(P89="",Q89="",T89="",U89=""),IF(OR($D89&lt;&gt;"",$E89&lt;&gt;""),"Belum ditempatkan",""),""),IF(L89="","CEK JENIS FIXTURE kosong",IF(AND(LEFT(L89,7)&lt;&gt;"Gondola",LEFT(L89,6)&lt;&gt;"Endcap"),"CEK Fixture 1 hanya Gondola atau Endcap",IF(M89="","CEK SHELVING KE kosong",IF(ISNA(MATCH(L89&amp;"|"&amp;M89,LAYOUT!$E$2:$E$80,0)),"CEK SHELVING KE di luar layout",IF($I89="","CEK SERIES kosong",IF($D89="","Zona STOCK",IF($E89="","CEK SKU DESCRIPTION kosong",IF(COUNTIFS($I$2:$I$500,$I89,L$2:L$500,"&lt;&gt;"&amp;L89,L$2:L$500,"&lt;&gt;")&gt;0,"CEK jenis fixture beda dalam satu series","OK")))))))))</f>
        <v/>
      </c>
      <c r="P89" s="11" t="n"/>
      <c r="Q89" s="11" t="n"/>
      <c r="R89" s="11">
        <f>IF(OR(P89="",Q89=""),"",IFERROR(INDEX(LAYOUT!$D$2:$D$80,MATCH(P89&amp;"|"&amp;Q89,LAYOUT!$E$2:$E$80,0)),""))</f>
        <v/>
      </c>
      <c r="S89" s="12">
        <f>IF(AND(P89="",Q89=""),IF(AND(L89="",M89="",T89="",U89=""),IF(OR($D89&lt;&gt;"",$E89&lt;&gt;""),"Belum ditempatkan",""),""),IF(P89="","CEK JENIS FIXTURE kosong",IF(LEFT(P89,4)&lt;&gt;"Wall","CEK Fixture 2 hanya Wall",IF(Q89="","CEK SHELVING KE kosong",IF(ISNA(MATCH(P89&amp;"|"&amp;Q89,LAYOUT!$E$2:$E$80,0)),"CEK SHELVING KE di luar layout",IF($I89="","CEK SERIES kosong",IF($D89="","Zona STOCK",IF($E89="","CEK SKU DESCRIPTION kosong",IF(COUNTIFS($I$2:$I$500,$I89,P$2:P$500,"&lt;&gt;"&amp;P89,P$2:P$500,"&lt;&gt;")&gt;0,"CEK jenis fixture beda dalam satu series","OK")))))))))</f>
        <v/>
      </c>
      <c r="T89" s="11" t="n"/>
      <c r="U89" s="11" t="n"/>
      <c r="V89" s="11">
        <f>IF(OR(T89="",U89=""),"",IFERROR(INDEX(LAYOUT!$D$2:$D$80,MATCH(T89&amp;"|"&amp;U89,LAYOUT!$E$2:$E$80,0)),""))</f>
        <v/>
      </c>
      <c r="W89" s="12">
        <f>IF(AND(T89="",U89=""),IF(AND(L89="",M89="",P89="",Q89=""),IF(OR($D89&lt;&gt;"",$E89&lt;&gt;""),"Belum ditempatkan",""),""),IF(T89="","CEK JENIS FIXTURE kosong",IF(LEFT(T89,4)&lt;&gt;"Wall","CEK Fixture 3 hanya Wall",IF(U89="","CEK SHELVING KE kosong",IF(ISNA(MATCH(T89&amp;"|"&amp;U89,LAYOUT!$E$2:$E$80,0)),"CEK SHELVING KE di luar layout",IF($I89="","CEK SERIES kosong",IF($D89="","Zona STOCK",IF($E89="","CEK SKU DESCRIPTION kosong",IF(COUNTIFS($I$2:$I$500,$I89,T$2:T$500,"&lt;&gt;"&amp;T89,T$2:T$500,"&lt;&gt;")&gt;0,"CEK jenis fixture beda dalam satu series","OK")))))))))</f>
        <v/>
      </c>
      <c r="X89" s="11" t="n"/>
      <c r="Y89" s="11" t="n"/>
      <c r="Z89" s="12" t="n"/>
      <c r="AA89" s="12" t="n"/>
      <c r="AB89" s="11" t="n"/>
      <c r="AC89" s="11" t="n"/>
      <c r="AD89" s="11" t="n"/>
      <c r="AE89" s="11" t="n"/>
      <c r="AF89" s="11" t="n"/>
      <c r="AG89" s="11" t="n"/>
      <c r="AH89" s="12" t="n"/>
      <c r="AI89" s="12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>
        <f>IF(OR(L90="",M90=""),"",IFERROR(INDEX(LAYOUT!$D$2:$D$80,MATCH(L90&amp;"|"&amp;M90,LAYOUT!$E$2:$E$80,0)),""))</f>
        <v/>
      </c>
      <c r="O90" s="12">
        <f>IF(AND(L90="",M90=""),IF(AND(P90="",Q90="",T90="",U90=""),IF(OR($D90&lt;&gt;"",$E90&lt;&gt;""),"Belum ditempatkan",""),""),IF(L90="","CEK JENIS FIXTURE kosong",IF(AND(LEFT(L90,7)&lt;&gt;"Gondola",LEFT(L90,6)&lt;&gt;"Endcap"),"CEK Fixture 1 hanya Gondola atau Endcap",IF(M90="","CEK SHELVING KE kosong",IF(ISNA(MATCH(L90&amp;"|"&amp;M90,LAYOUT!$E$2:$E$80,0)),"CEK SHELVING KE di luar layout",IF($I90="","CEK SERIES kosong",IF($D90="","Zona STOCK",IF($E90="","CEK SKU DESCRIPTION kosong",IF(COUNTIFS($I$2:$I$500,$I90,L$2:L$500,"&lt;&gt;"&amp;L90,L$2:L$500,"&lt;&gt;")&gt;0,"CEK jenis fixture beda dalam satu series","OK")))))))))</f>
        <v/>
      </c>
      <c r="P90" s="11" t="n"/>
      <c r="Q90" s="11" t="n"/>
      <c r="R90" s="11">
        <f>IF(OR(P90="",Q90=""),"",IFERROR(INDEX(LAYOUT!$D$2:$D$80,MATCH(P90&amp;"|"&amp;Q90,LAYOUT!$E$2:$E$80,0)),""))</f>
        <v/>
      </c>
      <c r="S90" s="12">
        <f>IF(AND(P90="",Q90=""),IF(AND(L90="",M90="",T90="",U90=""),IF(OR($D90&lt;&gt;"",$E90&lt;&gt;""),"Belum ditempatkan",""),""),IF(P90="","CEK JENIS FIXTURE kosong",IF(LEFT(P90,4)&lt;&gt;"Wall","CEK Fixture 2 hanya Wall",IF(Q90="","CEK SHELVING KE kosong",IF(ISNA(MATCH(P90&amp;"|"&amp;Q90,LAYOUT!$E$2:$E$80,0)),"CEK SHELVING KE di luar layout",IF($I90="","CEK SERIES kosong",IF($D90="","Zona STOCK",IF($E90="","CEK SKU DESCRIPTION kosong",IF(COUNTIFS($I$2:$I$500,$I90,P$2:P$500,"&lt;&gt;"&amp;P90,P$2:P$500,"&lt;&gt;")&gt;0,"CEK jenis fixture beda dalam satu series","OK")))))))))</f>
        <v/>
      </c>
      <c r="T90" s="11" t="n"/>
      <c r="U90" s="11" t="n"/>
      <c r="V90" s="11">
        <f>IF(OR(T90="",U90=""),"",IFERROR(INDEX(LAYOUT!$D$2:$D$80,MATCH(T90&amp;"|"&amp;U90,LAYOUT!$E$2:$E$80,0)),""))</f>
        <v/>
      </c>
      <c r="W90" s="12">
        <f>IF(AND(T90="",U90=""),IF(AND(L90="",M90="",P90="",Q90=""),IF(OR($D90&lt;&gt;"",$E90&lt;&gt;""),"Belum ditempatkan",""),""),IF(T90="","CEK JENIS FIXTURE kosong",IF(LEFT(T90,4)&lt;&gt;"Wall","CEK Fixture 3 hanya Wall",IF(U90="","CEK SHELVING KE kosong",IF(ISNA(MATCH(T90&amp;"|"&amp;U90,LAYOUT!$E$2:$E$80,0)),"CEK SHELVING KE di luar layout",IF($I90="","CEK SERIES kosong",IF($D90="","Zona STOCK",IF($E90="","CEK SKU DESCRIPTION kosong",IF(COUNTIFS($I$2:$I$500,$I90,T$2:T$500,"&lt;&gt;"&amp;T90,T$2:T$500,"&lt;&gt;")&gt;0,"CEK jenis fixture beda dalam satu series","OK")))))))))</f>
        <v/>
      </c>
      <c r="X90" s="11" t="n"/>
      <c r="Y90" s="11" t="n"/>
      <c r="Z90" s="12" t="n"/>
      <c r="AA90" s="12" t="n"/>
      <c r="AB90" s="11" t="n"/>
      <c r="AC90" s="11" t="n"/>
      <c r="AD90" s="11" t="n"/>
      <c r="AE90" s="11" t="n"/>
      <c r="AF90" s="11" t="n"/>
      <c r="AG90" s="11" t="n"/>
      <c r="AH90" s="12" t="n"/>
      <c r="AI90" s="12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>
        <f>IF(OR(L91="",M91=""),"",IFERROR(INDEX(LAYOUT!$D$2:$D$80,MATCH(L91&amp;"|"&amp;M91,LAYOUT!$E$2:$E$80,0)),""))</f>
        <v/>
      </c>
      <c r="O91" s="12">
        <f>IF(AND(L91="",M91=""),IF(AND(P91="",Q91="",T91="",U91=""),IF(OR($D91&lt;&gt;"",$E91&lt;&gt;""),"Belum ditempatkan",""),""),IF(L91="","CEK JENIS FIXTURE kosong",IF(AND(LEFT(L91,7)&lt;&gt;"Gondola",LEFT(L91,6)&lt;&gt;"Endcap"),"CEK Fixture 1 hanya Gondola atau Endcap",IF(M91="","CEK SHELVING KE kosong",IF(ISNA(MATCH(L91&amp;"|"&amp;M91,LAYOUT!$E$2:$E$80,0)),"CEK SHELVING KE di luar layout",IF($I91="","CEK SERIES kosong",IF($D91="","Zona STOCK",IF($E91="","CEK SKU DESCRIPTION kosong",IF(COUNTIFS($I$2:$I$500,$I91,L$2:L$500,"&lt;&gt;"&amp;L91,L$2:L$500,"&lt;&gt;")&gt;0,"CEK jenis fixture beda dalam satu series","OK")))))))))</f>
        <v/>
      </c>
      <c r="P91" s="11" t="n"/>
      <c r="Q91" s="11" t="n"/>
      <c r="R91" s="11">
        <f>IF(OR(P91="",Q91=""),"",IFERROR(INDEX(LAYOUT!$D$2:$D$80,MATCH(P91&amp;"|"&amp;Q91,LAYOUT!$E$2:$E$80,0)),""))</f>
        <v/>
      </c>
      <c r="S91" s="12">
        <f>IF(AND(P91="",Q91=""),IF(AND(L91="",M91="",T91="",U91=""),IF(OR($D91&lt;&gt;"",$E91&lt;&gt;""),"Belum ditempatkan",""),""),IF(P91="","CEK JENIS FIXTURE kosong",IF(LEFT(P91,4)&lt;&gt;"Wall","CEK Fixture 2 hanya Wall",IF(Q91="","CEK SHELVING KE kosong",IF(ISNA(MATCH(P91&amp;"|"&amp;Q91,LAYOUT!$E$2:$E$80,0)),"CEK SHELVING KE di luar layout",IF($I91="","CEK SERIES kosong",IF($D91="","Zona STOCK",IF($E91="","CEK SKU DESCRIPTION kosong",IF(COUNTIFS($I$2:$I$500,$I91,P$2:P$500,"&lt;&gt;"&amp;P91,P$2:P$500,"&lt;&gt;")&gt;0,"CEK jenis fixture beda dalam satu series","OK")))))))))</f>
        <v/>
      </c>
      <c r="T91" s="11" t="n"/>
      <c r="U91" s="11" t="n"/>
      <c r="V91" s="11">
        <f>IF(OR(T91="",U91=""),"",IFERROR(INDEX(LAYOUT!$D$2:$D$80,MATCH(T91&amp;"|"&amp;U91,LAYOUT!$E$2:$E$80,0)),""))</f>
        <v/>
      </c>
      <c r="W91" s="12">
        <f>IF(AND(T91="",U91=""),IF(AND(L91="",M91="",P91="",Q91=""),IF(OR($D91&lt;&gt;"",$E91&lt;&gt;""),"Belum ditempatkan",""),""),IF(T91="","CEK JENIS FIXTURE kosong",IF(LEFT(T91,4)&lt;&gt;"Wall","CEK Fixture 3 hanya Wall",IF(U91="","CEK SHELVING KE kosong",IF(ISNA(MATCH(T91&amp;"|"&amp;U91,LAYOUT!$E$2:$E$80,0)),"CEK SHELVING KE di luar layout",IF($I91="","CEK SERIES kosong",IF($D91="","Zona STOCK",IF($E91="","CEK SKU DESCRIPTION kosong",IF(COUNTIFS($I$2:$I$500,$I91,T$2:T$500,"&lt;&gt;"&amp;T91,T$2:T$500,"&lt;&gt;")&gt;0,"CEK jenis fixture beda dalam satu series","OK")))))))))</f>
        <v/>
      </c>
      <c r="X91" s="11" t="n"/>
      <c r="Y91" s="11" t="n"/>
      <c r="Z91" s="12" t="n"/>
      <c r="AA91" s="12" t="n"/>
      <c r="AB91" s="11" t="n"/>
      <c r="AC91" s="11" t="n"/>
      <c r="AD91" s="11" t="n"/>
      <c r="AE91" s="11" t="n"/>
      <c r="AF91" s="11" t="n"/>
      <c r="AG91" s="11" t="n"/>
      <c r="AH91" s="12" t="n"/>
      <c r="AI91" s="12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>
        <f>IF(OR(L92="",M92=""),"",IFERROR(INDEX(LAYOUT!$D$2:$D$80,MATCH(L92&amp;"|"&amp;M92,LAYOUT!$E$2:$E$80,0)),""))</f>
        <v/>
      </c>
      <c r="O92" s="12">
        <f>IF(AND(L92="",M92=""),IF(AND(P92="",Q92="",T92="",U92=""),IF(OR($D92&lt;&gt;"",$E92&lt;&gt;""),"Belum ditempatkan",""),""),IF(L92="","CEK JENIS FIXTURE kosong",IF(AND(LEFT(L92,7)&lt;&gt;"Gondola",LEFT(L92,6)&lt;&gt;"Endcap"),"CEK Fixture 1 hanya Gondola atau Endcap",IF(M92="","CEK SHELVING KE kosong",IF(ISNA(MATCH(L92&amp;"|"&amp;M92,LAYOUT!$E$2:$E$80,0)),"CEK SHELVING KE di luar layout",IF($I92="","CEK SERIES kosong",IF($D92="","Zona STOCK",IF($E92="","CEK SKU DESCRIPTION kosong",IF(COUNTIFS($I$2:$I$500,$I92,L$2:L$500,"&lt;&gt;"&amp;L92,L$2:L$500,"&lt;&gt;")&gt;0,"CEK jenis fixture beda dalam satu series","OK")))))))))</f>
        <v/>
      </c>
      <c r="P92" s="11" t="n"/>
      <c r="Q92" s="11" t="n"/>
      <c r="R92" s="11">
        <f>IF(OR(P92="",Q92=""),"",IFERROR(INDEX(LAYOUT!$D$2:$D$80,MATCH(P92&amp;"|"&amp;Q92,LAYOUT!$E$2:$E$80,0)),""))</f>
        <v/>
      </c>
      <c r="S92" s="12">
        <f>IF(AND(P92="",Q92=""),IF(AND(L92="",M92="",T92="",U92=""),IF(OR($D92&lt;&gt;"",$E92&lt;&gt;""),"Belum ditempatkan",""),""),IF(P92="","CEK JENIS FIXTURE kosong",IF(LEFT(P92,4)&lt;&gt;"Wall","CEK Fixture 2 hanya Wall",IF(Q92="","CEK SHELVING KE kosong",IF(ISNA(MATCH(P92&amp;"|"&amp;Q92,LAYOUT!$E$2:$E$80,0)),"CEK SHELVING KE di luar layout",IF($I92="","CEK SERIES kosong",IF($D92="","Zona STOCK",IF($E92="","CEK SKU DESCRIPTION kosong",IF(COUNTIFS($I$2:$I$500,$I92,P$2:P$500,"&lt;&gt;"&amp;P92,P$2:P$500,"&lt;&gt;")&gt;0,"CEK jenis fixture beda dalam satu series","OK")))))))))</f>
        <v/>
      </c>
      <c r="T92" s="11" t="n"/>
      <c r="U92" s="11" t="n"/>
      <c r="V92" s="11">
        <f>IF(OR(T92="",U92=""),"",IFERROR(INDEX(LAYOUT!$D$2:$D$80,MATCH(T92&amp;"|"&amp;U92,LAYOUT!$E$2:$E$80,0)),""))</f>
        <v/>
      </c>
      <c r="W92" s="12">
        <f>IF(AND(T92="",U92=""),IF(AND(L92="",M92="",P92="",Q92=""),IF(OR($D92&lt;&gt;"",$E92&lt;&gt;""),"Belum ditempatkan",""),""),IF(T92="","CEK JENIS FIXTURE kosong",IF(LEFT(T92,4)&lt;&gt;"Wall","CEK Fixture 3 hanya Wall",IF(U92="","CEK SHELVING KE kosong",IF(ISNA(MATCH(T92&amp;"|"&amp;U92,LAYOUT!$E$2:$E$80,0)),"CEK SHELVING KE di luar layout",IF($I92="","CEK SERIES kosong",IF($D92="","Zona STOCK",IF($E92="","CEK SKU DESCRIPTION kosong",IF(COUNTIFS($I$2:$I$500,$I92,T$2:T$500,"&lt;&gt;"&amp;T92,T$2:T$500,"&lt;&gt;")&gt;0,"CEK jenis fixture beda dalam satu series","OK")))))))))</f>
        <v/>
      </c>
      <c r="X92" s="11" t="n"/>
      <c r="Y92" s="11" t="n"/>
      <c r="Z92" s="12" t="n"/>
      <c r="AA92" s="12" t="n"/>
      <c r="AB92" s="11" t="n"/>
      <c r="AC92" s="11" t="n"/>
      <c r="AD92" s="11" t="n"/>
      <c r="AE92" s="11" t="n"/>
      <c r="AF92" s="11" t="n"/>
      <c r="AG92" s="11" t="n"/>
      <c r="AH92" s="12" t="n"/>
      <c r="AI92" s="12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>
        <f>IF(OR(L93="",M93=""),"",IFERROR(INDEX(LAYOUT!$D$2:$D$80,MATCH(L93&amp;"|"&amp;M93,LAYOUT!$E$2:$E$80,0)),""))</f>
        <v/>
      </c>
      <c r="O93" s="12">
        <f>IF(AND(L93="",M93=""),IF(AND(P93="",Q93="",T93="",U93=""),IF(OR($D93&lt;&gt;"",$E93&lt;&gt;""),"Belum ditempatkan",""),""),IF(L93="","CEK JENIS FIXTURE kosong",IF(AND(LEFT(L93,7)&lt;&gt;"Gondola",LEFT(L93,6)&lt;&gt;"Endcap"),"CEK Fixture 1 hanya Gondola atau Endcap",IF(M93="","CEK SHELVING KE kosong",IF(ISNA(MATCH(L93&amp;"|"&amp;M93,LAYOUT!$E$2:$E$80,0)),"CEK SHELVING KE di luar layout",IF($I93="","CEK SERIES kosong",IF($D93="","Zona STOCK",IF($E93="","CEK SKU DESCRIPTION kosong",IF(COUNTIFS($I$2:$I$500,$I93,L$2:L$500,"&lt;&gt;"&amp;L93,L$2:L$500,"&lt;&gt;")&gt;0,"CEK jenis fixture beda dalam satu series","OK")))))))))</f>
        <v/>
      </c>
      <c r="P93" s="11" t="n"/>
      <c r="Q93" s="11" t="n"/>
      <c r="R93" s="11">
        <f>IF(OR(P93="",Q93=""),"",IFERROR(INDEX(LAYOUT!$D$2:$D$80,MATCH(P93&amp;"|"&amp;Q93,LAYOUT!$E$2:$E$80,0)),""))</f>
        <v/>
      </c>
      <c r="S93" s="12">
        <f>IF(AND(P93="",Q93=""),IF(AND(L93="",M93="",T93="",U93=""),IF(OR($D93&lt;&gt;"",$E93&lt;&gt;""),"Belum ditempatkan",""),""),IF(P93="","CEK JENIS FIXTURE kosong",IF(LEFT(P93,4)&lt;&gt;"Wall","CEK Fixture 2 hanya Wall",IF(Q93="","CEK SHELVING KE kosong",IF(ISNA(MATCH(P93&amp;"|"&amp;Q93,LAYOUT!$E$2:$E$80,0)),"CEK SHELVING KE di luar layout",IF($I93="","CEK SERIES kosong",IF($D93="","Zona STOCK",IF($E93="","CEK SKU DESCRIPTION kosong",IF(COUNTIFS($I$2:$I$500,$I93,P$2:P$500,"&lt;&gt;"&amp;P93,P$2:P$500,"&lt;&gt;")&gt;0,"CEK jenis fixture beda dalam satu series","OK")))))))))</f>
        <v/>
      </c>
      <c r="T93" s="11" t="n"/>
      <c r="U93" s="11" t="n"/>
      <c r="V93" s="11">
        <f>IF(OR(T93="",U93=""),"",IFERROR(INDEX(LAYOUT!$D$2:$D$80,MATCH(T93&amp;"|"&amp;U93,LAYOUT!$E$2:$E$80,0)),""))</f>
        <v/>
      </c>
      <c r="W93" s="12">
        <f>IF(AND(T93="",U93=""),IF(AND(L93="",M93="",P93="",Q93=""),IF(OR($D93&lt;&gt;"",$E93&lt;&gt;""),"Belum ditempatkan",""),""),IF(T93="","CEK JENIS FIXTURE kosong",IF(LEFT(T93,4)&lt;&gt;"Wall","CEK Fixture 3 hanya Wall",IF(U93="","CEK SHELVING KE kosong",IF(ISNA(MATCH(T93&amp;"|"&amp;U93,LAYOUT!$E$2:$E$80,0)),"CEK SHELVING KE di luar layout",IF($I93="","CEK SERIES kosong",IF($D93="","Zona STOCK",IF($E93="","CEK SKU DESCRIPTION kosong",IF(COUNTIFS($I$2:$I$500,$I93,T$2:T$500,"&lt;&gt;"&amp;T93,T$2:T$500,"&lt;&gt;")&gt;0,"CEK jenis fixture beda dalam satu series","OK")))))))))</f>
        <v/>
      </c>
      <c r="X93" s="11" t="n"/>
      <c r="Y93" s="11" t="n"/>
      <c r="Z93" s="12" t="n"/>
      <c r="AA93" s="12" t="n"/>
      <c r="AB93" s="11" t="n"/>
      <c r="AC93" s="11" t="n"/>
      <c r="AD93" s="11" t="n"/>
      <c r="AE93" s="11" t="n"/>
      <c r="AF93" s="11" t="n"/>
      <c r="AG93" s="11" t="n"/>
      <c r="AH93" s="12" t="n"/>
      <c r="AI93" s="12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>
        <f>IF(OR(L94="",M94=""),"",IFERROR(INDEX(LAYOUT!$D$2:$D$80,MATCH(L94&amp;"|"&amp;M94,LAYOUT!$E$2:$E$80,0)),""))</f>
        <v/>
      </c>
      <c r="O94" s="12">
        <f>IF(AND(L94="",M94=""),IF(AND(P94="",Q94="",T94="",U94=""),IF(OR($D94&lt;&gt;"",$E94&lt;&gt;""),"Belum ditempatkan",""),""),IF(L94="","CEK JENIS FIXTURE kosong",IF(AND(LEFT(L94,7)&lt;&gt;"Gondola",LEFT(L94,6)&lt;&gt;"Endcap"),"CEK Fixture 1 hanya Gondola atau Endcap",IF(M94="","CEK SHELVING KE kosong",IF(ISNA(MATCH(L94&amp;"|"&amp;M94,LAYOUT!$E$2:$E$80,0)),"CEK SHELVING KE di luar layout",IF($I94="","CEK SERIES kosong",IF($D94="","Zona STOCK",IF($E94="","CEK SKU DESCRIPTION kosong",IF(COUNTIFS($I$2:$I$500,$I94,L$2:L$500,"&lt;&gt;"&amp;L94,L$2:L$500,"&lt;&gt;")&gt;0,"CEK jenis fixture beda dalam satu series","OK")))))))))</f>
        <v/>
      </c>
      <c r="P94" s="11" t="n"/>
      <c r="Q94" s="11" t="n"/>
      <c r="R94" s="11">
        <f>IF(OR(P94="",Q94=""),"",IFERROR(INDEX(LAYOUT!$D$2:$D$80,MATCH(P94&amp;"|"&amp;Q94,LAYOUT!$E$2:$E$80,0)),""))</f>
        <v/>
      </c>
      <c r="S94" s="12">
        <f>IF(AND(P94="",Q94=""),IF(AND(L94="",M94="",T94="",U94=""),IF(OR($D94&lt;&gt;"",$E94&lt;&gt;""),"Belum ditempatkan",""),""),IF(P94="","CEK JENIS FIXTURE kosong",IF(LEFT(P94,4)&lt;&gt;"Wall","CEK Fixture 2 hanya Wall",IF(Q94="","CEK SHELVING KE kosong",IF(ISNA(MATCH(P94&amp;"|"&amp;Q94,LAYOUT!$E$2:$E$80,0)),"CEK SHELVING KE di luar layout",IF($I94="","CEK SERIES kosong",IF($D94="","Zona STOCK",IF($E94="","CEK SKU DESCRIPTION kosong",IF(COUNTIFS($I$2:$I$500,$I94,P$2:P$500,"&lt;&gt;"&amp;P94,P$2:P$500,"&lt;&gt;")&gt;0,"CEK jenis fixture beda dalam satu series","OK")))))))))</f>
        <v/>
      </c>
      <c r="T94" s="11" t="n"/>
      <c r="U94" s="11" t="n"/>
      <c r="V94" s="11">
        <f>IF(OR(T94="",U94=""),"",IFERROR(INDEX(LAYOUT!$D$2:$D$80,MATCH(T94&amp;"|"&amp;U94,LAYOUT!$E$2:$E$80,0)),""))</f>
        <v/>
      </c>
      <c r="W94" s="12">
        <f>IF(AND(T94="",U94=""),IF(AND(L94="",M94="",P94="",Q94=""),IF(OR($D94&lt;&gt;"",$E94&lt;&gt;""),"Belum ditempatkan",""),""),IF(T94="","CEK JENIS FIXTURE kosong",IF(LEFT(T94,4)&lt;&gt;"Wall","CEK Fixture 3 hanya Wall",IF(U94="","CEK SHELVING KE kosong",IF(ISNA(MATCH(T94&amp;"|"&amp;U94,LAYOUT!$E$2:$E$80,0)),"CEK SHELVING KE di luar layout",IF($I94="","CEK SERIES kosong",IF($D94="","Zona STOCK",IF($E94="","CEK SKU DESCRIPTION kosong",IF(COUNTIFS($I$2:$I$500,$I94,T$2:T$500,"&lt;&gt;"&amp;T94,T$2:T$500,"&lt;&gt;")&gt;0,"CEK jenis fixture beda dalam satu series","OK")))))))))</f>
        <v/>
      </c>
      <c r="X94" s="11" t="n"/>
      <c r="Y94" s="11" t="n"/>
      <c r="Z94" s="12" t="n"/>
      <c r="AA94" s="12" t="n"/>
      <c r="AB94" s="11" t="n"/>
      <c r="AC94" s="11" t="n"/>
      <c r="AD94" s="11" t="n"/>
      <c r="AE94" s="11" t="n"/>
      <c r="AF94" s="11" t="n"/>
      <c r="AG94" s="11" t="n"/>
      <c r="AH94" s="12" t="n"/>
      <c r="AI94" s="12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>
        <f>IF(OR(L95="",M95=""),"",IFERROR(INDEX(LAYOUT!$D$2:$D$80,MATCH(L95&amp;"|"&amp;M95,LAYOUT!$E$2:$E$80,0)),""))</f>
        <v/>
      </c>
      <c r="O95" s="12">
        <f>IF(AND(L95="",M95=""),IF(AND(P95="",Q95="",T95="",U95=""),IF(OR($D95&lt;&gt;"",$E95&lt;&gt;""),"Belum ditempatkan",""),""),IF(L95="","CEK JENIS FIXTURE kosong",IF(AND(LEFT(L95,7)&lt;&gt;"Gondola",LEFT(L95,6)&lt;&gt;"Endcap"),"CEK Fixture 1 hanya Gondola atau Endcap",IF(M95="","CEK SHELVING KE kosong",IF(ISNA(MATCH(L95&amp;"|"&amp;M95,LAYOUT!$E$2:$E$80,0)),"CEK SHELVING KE di luar layout",IF($I95="","CEK SERIES kosong",IF($D95="","Zona STOCK",IF($E95="","CEK SKU DESCRIPTION kosong",IF(COUNTIFS($I$2:$I$500,$I95,L$2:L$500,"&lt;&gt;"&amp;L95,L$2:L$500,"&lt;&gt;")&gt;0,"CEK jenis fixture beda dalam satu series","OK")))))))))</f>
        <v/>
      </c>
      <c r="P95" s="11" t="n"/>
      <c r="Q95" s="11" t="n"/>
      <c r="R95" s="11">
        <f>IF(OR(P95="",Q95=""),"",IFERROR(INDEX(LAYOUT!$D$2:$D$80,MATCH(P95&amp;"|"&amp;Q95,LAYOUT!$E$2:$E$80,0)),""))</f>
        <v/>
      </c>
      <c r="S95" s="12">
        <f>IF(AND(P95="",Q95=""),IF(AND(L95="",M95="",T95="",U95=""),IF(OR($D95&lt;&gt;"",$E95&lt;&gt;""),"Belum ditempatkan",""),""),IF(P95="","CEK JENIS FIXTURE kosong",IF(LEFT(P95,4)&lt;&gt;"Wall","CEK Fixture 2 hanya Wall",IF(Q95="","CEK SHELVING KE kosong",IF(ISNA(MATCH(P95&amp;"|"&amp;Q95,LAYOUT!$E$2:$E$80,0)),"CEK SHELVING KE di luar layout",IF($I95="","CEK SERIES kosong",IF($D95="","Zona STOCK",IF($E95="","CEK SKU DESCRIPTION kosong",IF(COUNTIFS($I$2:$I$500,$I95,P$2:P$500,"&lt;&gt;"&amp;P95,P$2:P$500,"&lt;&gt;")&gt;0,"CEK jenis fixture beda dalam satu series","OK")))))))))</f>
        <v/>
      </c>
      <c r="T95" s="11" t="n"/>
      <c r="U95" s="11" t="n"/>
      <c r="V95" s="11">
        <f>IF(OR(T95="",U95=""),"",IFERROR(INDEX(LAYOUT!$D$2:$D$80,MATCH(T95&amp;"|"&amp;U95,LAYOUT!$E$2:$E$80,0)),""))</f>
        <v/>
      </c>
      <c r="W95" s="12">
        <f>IF(AND(T95="",U95=""),IF(AND(L95="",M95="",P95="",Q95=""),IF(OR($D95&lt;&gt;"",$E95&lt;&gt;""),"Belum ditempatkan",""),""),IF(T95="","CEK JENIS FIXTURE kosong",IF(LEFT(T95,4)&lt;&gt;"Wall","CEK Fixture 3 hanya Wall",IF(U95="","CEK SHELVING KE kosong",IF(ISNA(MATCH(T95&amp;"|"&amp;U95,LAYOUT!$E$2:$E$80,0)),"CEK SHELVING KE di luar layout",IF($I95="","CEK SERIES kosong",IF($D95="","Zona STOCK",IF($E95="","CEK SKU DESCRIPTION kosong",IF(COUNTIFS($I$2:$I$500,$I95,T$2:T$500,"&lt;&gt;"&amp;T95,T$2:T$500,"&lt;&gt;")&gt;0,"CEK jenis fixture beda dalam satu series","OK")))))))))</f>
        <v/>
      </c>
      <c r="X95" s="11" t="n"/>
      <c r="Y95" s="11" t="n"/>
      <c r="Z95" s="12" t="n"/>
      <c r="AA95" s="12" t="n"/>
      <c r="AB95" s="11" t="n"/>
      <c r="AC95" s="11" t="n"/>
      <c r="AD95" s="11" t="n"/>
      <c r="AE95" s="11" t="n"/>
      <c r="AF95" s="11" t="n"/>
      <c r="AG95" s="11" t="n"/>
      <c r="AH95" s="12" t="n"/>
      <c r="AI95" s="12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>
        <f>IF(OR(L96="",M96=""),"",IFERROR(INDEX(LAYOUT!$D$2:$D$80,MATCH(L96&amp;"|"&amp;M96,LAYOUT!$E$2:$E$80,0)),""))</f>
        <v/>
      </c>
      <c r="O96" s="12">
        <f>IF(AND(L96="",M96=""),IF(AND(P96="",Q96="",T96="",U96=""),IF(OR($D96&lt;&gt;"",$E96&lt;&gt;""),"Belum ditempatkan",""),""),IF(L96="","CEK JENIS FIXTURE kosong",IF(AND(LEFT(L96,7)&lt;&gt;"Gondola",LEFT(L96,6)&lt;&gt;"Endcap"),"CEK Fixture 1 hanya Gondola atau Endcap",IF(M96="","CEK SHELVING KE kosong",IF(ISNA(MATCH(L96&amp;"|"&amp;M96,LAYOUT!$E$2:$E$80,0)),"CEK SHELVING KE di luar layout",IF($I96="","CEK SERIES kosong",IF($D96="","Zona STOCK",IF($E96="","CEK SKU DESCRIPTION kosong",IF(COUNTIFS($I$2:$I$500,$I96,L$2:L$500,"&lt;&gt;"&amp;L96,L$2:L$500,"&lt;&gt;")&gt;0,"CEK jenis fixture beda dalam satu series","OK")))))))))</f>
        <v/>
      </c>
      <c r="P96" s="11" t="n"/>
      <c r="Q96" s="11" t="n"/>
      <c r="R96" s="11">
        <f>IF(OR(P96="",Q96=""),"",IFERROR(INDEX(LAYOUT!$D$2:$D$80,MATCH(P96&amp;"|"&amp;Q96,LAYOUT!$E$2:$E$80,0)),""))</f>
        <v/>
      </c>
      <c r="S96" s="12">
        <f>IF(AND(P96="",Q96=""),IF(AND(L96="",M96="",T96="",U96=""),IF(OR($D96&lt;&gt;"",$E96&lt;&gt;""),"Belum ditempatkan",""),""),IF(P96="","CEK JENIS FIXTURE kosong",IF(LEFT(P96,4)&lt;&gt;"Wall","CEK Fixture 2 hanya Wall",IF(Q96="","CEK SHELVING KE kosong",IF(ISNA(MATCH(P96&amp;"|"&amp;Q96,LAYOUT!$E$2:$E$80,0)),"CEK SHELVING KE di luar layout",IF($I96="","CEK SERIES kosong",IF($D96="","Zona STOCK",IF($E96="","CEK SKU DESCRIPTION kosong",IF(COUNTIFS($I$2:$I$500,$I96,P$2:P$500,"&lt;&gt;"&amp;P96,P$2:P$500,"&lt;&gt;")&gt;0,"CEK jenis fixture beda dalam satu series","OK")))))))))</f>
        <v/>
      </c>
      <c r="T96" s="11" t="n"/>
      <c r="U96" s="11" t="n"/>
      <c r="V96" s="11">
        <f>IF(OR(T96="",U96=""),"",IFERROR(INDEX(LAYOUT!$D$2:$D$80,MATCH(T96&amp;"|"&amp;U96,LAYOUT!$E$2:$E$80,0)),""))</f>
        <v/>
      </c>
      <c r="W96" s="12">
        <f>IF(AND(T96="",U96=""),IF(AND(L96="",M96="",P96="",Q96=""),IF(OR($D96&lt;&gt;"",$E96&lt;&gt;""),"Belum ditempatkan",""),""),IF(T96="","CEK JENIS FIXTURE kosong",IF(LEFT(T96,4)&lt;&gt;"Wall","CEK Fixture 3 hanya Wall",IF(U96="","CEK SHELVING KE kosong",IF(ISNA(MATCH(T96&amp;"|"&amp;U96,LAYOUT!$E$2:$E$80,0)),"CEK SHELVING KE di luar layout",IF($I96="","CEK SERIES kosong",IF($D96="","Zona STOCK",IF($E96="","CEK SKU DESCRIPTION kosong",IF(COUNTIFS($I$2:$I$500,$I96,T$2:T$500,"&lt;&gt;"&amp;T96,T$2:T$500,"&lt;&gt;")&gt;0,"CEK jenis fixture beda dalam satu series","OK")))))))))</f>
        <v/>
      </c>
      <c r="X96" s="11" t="n"/>
      <c r="Y96" s="11" t="n"/>
      <c r="Z96" s="12" t="n"/>
      <c r="AA96" s="12" t="n"/>
      <c r="AB96" s="11" t="n"/>
      <c r="AC96" s="11" t="n"/>
      <c r="AD96" s="11" t="n"/>
      <c r="AE96" s="11" t="n"/>
      <c r="AF96" s="11" t="n"/>
      <c r="AG96" s="11" t="n"/>
      <c r="AH96" s="12" t="n"/>
      <c r="AI96" s="12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>
        <f>IF(OR(L97="",M97=""),"",IFERROR(INDEX(LAYOUT!$D$2:$D$80,MATCH(L97&amp;"|"&amp;M97,LAYOUT!$E$2:$E$80,0)),""))</f>
        <v/>
      </c>
      <c r="O97" s="12">
        <f>IF(AND(L97="",M97=""),IF(AND(P97="",Q97="",T97="",U97=""),IF(OR($D97&lt;&gt;"",$E97&lt;&gt;""),"Belum ditempatkan",""),""),IF(L97="","CEK JENIS FIXTURE kosong",IF(AND(LEFT(L97,7)&lt;&gt;"Gondola",LEFT(L97,6)&lt;&gt;"Endcap"),"CEK Fixture 1 hanya Gondola atau Endcap",IF(M97="","CEK SHELVING KE kosong",IF(ISNA(MATCH(L97&amp;"|"&amp;M97,LAYOUT!$E$2:$E$80,0)),"CEK SHELVING KE di luar layout",IF($I97="","CEK SERIES kosong",IF($D97="","Zona STOCK",IF($E97="","CEK SKU DESCRIPTION kosong",IF(COUNTIFS($I$2:$I$500,$I97,L$2:L$500,"&lt;&gt;"&amp;L97,L$2:L$500,"&lt;&gt;")&gt;0,"CEK jenis fixture beda dalam satu series","OK")))))))))</f>
        <v/>
      </c>
      <c r="P97" s="11" t="n"/>
      <c r="Q97" s="11" t="n"/>
      <c r="R97" s="11">
        <f>IF(OR(P97="",Q97=""),"",IFERROR(INDEX(LAYOUT!$D$2:$D$80,MATCH(P97&amp;"|"&amp;Q97,LAYOUT!$E$2:$E$80,0)),""))</f>
        <v/>
      </c>
      <c r="S97" s="12">
        <f>IF(AND(P97="",Q97=""),IF(AND(L97="",M97="",T97="",U97=""),IF(OR($D97&lt;&gt;"",$E97&lt;&gt;""),"Belum ditempatkan",""),""),IF(P97="","CEK JENIS FIXTURE kosong",IF(LEFT(P97,4)&lt;&gt;"Wall","CEK Fixture 2 hanya Wall",IF(Q97="","CEK SHELVING KE kosong",IF(ISNA(MATCH(P97&amp;"|"&amp;Q97,LAYOUT!$E$2:$E$80,0)),"CEK SHELVING KE di luar layout",IF($I97="","CEK SERIES kosong",IF($D97="","Zona STOCK",IF($E97="","CEK SKU DESCRIPTION kosong",IF(COUNTIFS($I$2:$I$500,$I97,P$2:P$500,"&lt;&gt;"&amp;P97,P$2:P$500,"&lt;&gt;")&gt;0,"CEK jenis fixture beda dalam satu series","OK")))))))))</f>
        <v/>
      </c>
      <c r="T97" s="11" t="n"/>
      <c r="U97" s="11" t="n"/>
      <c r="V97" s="11">
        <f>IF(OR(T97="",U97=""),"",IFERROR(INDEX(LAYOUT!$D$2:$D$80,MATCH(T97&amp;"|"&amp;U97,LAYOUT!$E$2:$E$80,0)),""))</f>
        <v/>
      </c>
      <c r="W97" s="12">
        <f>IF(AND(T97="",U97=""),IF(AND(L97="",M97="",P97="",Q97=""),IF(OR($D97&lt;&gt;"",$E97&lt;&gt;""),"Belum ditempatkan",""),""),IF(T97="","CEK JENIS FIXTURE kosong",IF(LEFT(T97,4)&lt;&gt;"Wall","CEK Fixture 3 hanya Wall",IF(U97="","CEK SHELVING KE kosong",IF(ISNA(MATCH(T97&amp;"|"&amp;U97,LAYOUT!$E$2:$E$80,0)),"CEK SHELVING KE di luar layout",IF($I97="","CEK SERIES kosong",IF($D97="","Zona STOCK",IF($E97="","CEK SKU DESCRIPTION kosong",IF(COUNTIFS($I$2:$I$500,$I97,T$2:T$500,"&lt;&gt;"&amp;T97,T$2:T$500,"&lt;&gt;")&gt;0,"CEK jenis fixture beda dalam satu series","OK")))))))))</f>
        <v/>
      </c>
      <c r="X97" s="11" t="n"/>
      <c r="Y97" s="11" t="n"/>
      <c r="Z97" s="12" t="n"/>
      <c r="AA97" s="12" t="n"/>
      <c r="AB97" s="11" t="n"/>
      <c r="AC97" s="11" t="n"/>
      <c r="AD97" s="11" t="n"/>
      <c r="AE97" s="11" t="n"/>
      <c r="AF97" s="11" t="n"/>
      <c r="AG97" s="11" t="n"/>
      <c r="AH97" s="12" t="n"/>
      <c r="AI97" s="12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>
        <f>IF(OR(L98="",M98=""),"",IFERROR(INDEX(LAYOUT!$D$2:$D$80,MATCH(L98&amp;"|"&amp;M98,LAYOUT!$E$2:$E$80,0)),""))</f>
        <v/>
      </c>
      <c r="O98" s="12">
        <f>IF(AND(L98="",M98=""),IF(AND(P98="",Q98="",T98="",U98=""),IF(OR($D98&lt;&gt;"",$E98&lt;&gt;""),"Belum ditempatkan",""),""),IF(L98="","CEK JENIS FIXTURE kosong",IF(AND(LEFT(L98,7)&lt;&gt;"Gondola",LEFT(L98,6)&lt;&gt;"Endcap"),"CEK Fixture 1 hanya Gondola atau Endcap",IF(M98="","CEK SHELVING KE kosong",IF(ISNA(MATCH(L98&amp;"|"&amp;M98,LAYOUT!$E$2:$E$80,0)),"CEK SHELVING KE di luar layout",IF($I98="","CEK SERIES kosong",IF($D98="","Zona STOCK",IF($E98="","CEK SKU DESCRIPTION kosong",IF(COUNTIFS($I$2:$I$500,$I98,L$2:L$500,"&lt;&gt;"&amp;L98,L$2:L$500,"&lt;&gt;")&gt;0,"CEK jenis fixture beda dalam satu series","OK")))))))))</f>
        <v/>
      </c>
      <c r="P98" s="11" t="n"/>
      <c r="Q98" s="11" t="n"/>
      <c r="R98" s="11">
        <f>IF(OR(P98="",Q98=""),"",IFERROR(INDEX(LAYOUT!$D$2:$D$80,MATCH(P98&amp;"|"&amp;Q98,LAYOUT!$E$2:$E$80,0)),""))</f>
        <v/>
      </c>
      <c r="S98" s="12">
        <f>IF(AND(P98="",Q98=""),IF(AND(L98="",M98="",T98="",U98=""),IF(OR($D98&lt;&gt;"",$E98&lt;&gt;""),"Belum ditempatkan",""),""),IF(P98="","CEK JENIS FIXTURE kosong",IF(LEFT(P98,4)&lt;&gt;"Wall","CEK Fixture 2 hanya Wall",IF(Q98="","CEK SHELVING KE kosong",IF(ISNA(MATCH(P98&amp;"|"&amp;Q98,LAYOUT!$E$2:$E$80,0)),"CEK SHELVING KE di luar layout",IF($I98="","CEK SERIES kosong",IF($D98="","Zona STOCK",IF($E98="","CEK SKU DESCRIPTION kosong",IF(COUNTIFS($I$2:$I$500,$I98,P$2:P$500,"&lt;&gt;"&amp;P98,P$2:P$500,"&lt;&gt;")&gt;0,"CEK jenis fixture beda dalam satu series","OK")))))))))</f>
        <v/>
      </c>
      <c r="T98" s="11" t="n"/>
      <c r="U98" s="11" t="n"/>
      <c r="V98" s="11">
        <f>IF(OR(T98="",U98=""),"",IFERROR(INDEX(LAYOUT!$D$2:$D$80,MATCH(T98&amp;"|"&amp;U98,LAYOUT!$E$2:$E$80,0)),""))</f>
        <v/>
      </c>
      <c r="W98" s="12">
        <f>IF(AND(T98="",U98=""),IF(AND(L98="",M98="",P98="",Q98=""),IF(OR($D98&lt;&gt;"",$E98&lt;&gt;""),"Belum ditempatkan",""),""),IF(T98="","CEK JENIS FIXTURE kosong",IF(LEFT(T98,4)&lt;&gt;"Wall","CEK Fixture 3 hanya Wall",IF(U98="","CEK SHELVING KE kosong",IF(ISNA(MATCH(T98&amp;"|"&amp;U98,LAYOUT!$E$2:$E$80,0)),"CEK SHELVING KE di luar layout",IF($I98="","CEK SERIES kosong",IF($D98="","Zona STOCK",IF($E98="","CEK SKU DESCRIPTION kosong",IF(COUNTIFS($I$2:$I$500,$I98,T$2:T$500,"&lt;&gt;"&amp;T98,T$2:T$500,"&lt;&gt;")&gt;0,"CEK jenis fixture beda dalam satu series","OK")))))))))</f>
        <v/>
      </c>
      <c r="X98" s="11" t="n"/>
      <c r="Y98" s="11" t="n"/>
      <c r="Z98" s="12" t="n"/>
      <c r="AA98" s="12" t="n"/>
      <c r="AB98" s="11" t="n"/>
      <c r="AC98" s="11" t="n"/>
      <c r="AD98" s="11" t="n"/>
      <c r="AE98" s="11" t="n"/>
      <c r="AF98" s="11" t="n"/>
      <c r="AG98" s="11" t="n"/>
      <c r="AH98" s="12" t="n"/>
      <c r="AI98" s="12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>
        <f>IF(OR(L99="",M99=""),"",IFERROR(INDEX(LAYOUT!$D$2:$D$80,MATCH(L99&amp;"|"&amp;M99,LAYOUT!$E$2:$E$80,0)),""))</f>
        <v/>
      </c>
      <c r="O99" s="12">
        <f>IF(AND(L99="",M99=""),IF(AND(P99="",Q99="",T99="",U99=""),IF(OR($D99&lt;&gt;"",$E99&lt;&gt;""),"Belum ditempatkan",""),""),IF(L99="","CEK JENIS FIXTURE kosong",IF(AND(LEFT(L99,7)&lt;&gt;"Gondola",LEFT(L99,6)&lt;&gt;"Endcap"),"CEK Fixture 1 hanya Gondola atau Endcap",IF(M99="","CEK SHELVING KE kosong",IF(ISNA(MATCH(L99&amp;"|"&amp;M99,LAYOUT!$E$2:$E$80,0)),"CEK SHELVING KE di luar layout",IF($I99="","CEK SERIES kosong",IF($D99="","Zona STOCK",IF($E99="","CEK SKU DESCRIPTION kosong",IF(COUNTIFS($I$2:$I$500,$I99,L$2:L$500,"&lt;&gt;"&amp;L99,L$2:L$500,"&lt;&gt;")&gt;0,"CEK jenis fixture beda dalam satu series","OK")))))))))</f>
        <v/>
      </c>
      <c r="P99" s="11" t="n"/>
      <c r="Q99" s="11" t="n"/>
      <c r="R99" s="11">
        <f>IF(OR(P99="",Q99=""),"",IFERROR(INDEX(LAYOUT!$D$2:$D$80,MATCH(P99&amp;"|"&amp;Q99,LAYOUT!$E$2:$E$80,0)),""))</f>
        <v/>
      </c>
      <c r="S99" s="12">
        <f>IF(AND(P99="",Q99=""),IF(AND(L99="",M99="",T99="",U99=""),IF(OR($D99&lt;&gt;"",$E99&lt;&gt;""),"Belum ditempatkan",""),""),IF(P99="","CEK JENIS FIXTURE kosong",IF(LEFT(P99,4)&lt;&gt;"Wall","CEK Fixture 2 hanya Wall",IF(Q99="","CEK SHELVING KE kosong",IF(ISNA(MATCH(P99&amp;"|"&amp;Q99,LAYOUT!$E$2:$E$80,0)),"CEK SHELVING KE di luar layout",IF($I99="","CEK SERIES kosong",IF($D99="","Zona STOCK",IF($E99="","CEK SKU DESCRIPTION kosong",IF(COUNTIFS($I$2:$I$500,$I99,P$2:P$500,"&lt;&gt;"&amp;P99,P$2:P$500,"&lt;&gt;")&gt;0,"CEK jenis fixture beda dalam satu series","OK")))))))))</f>
        <v/>
      </c>
      <c r="T99" s="11" t="n"/>
      <c r="U99" s="11" t="n"/>
      <c r="V99" s="11">
        <f>IF(OR(T99="",U99=""),"",IFERROR(INDEX(LAYOUT!$D$2:$D$80,MATCH(T99&amp;"|"&amp;U99,LAYOUT!$E$2:$E$80,0)),""))</f>
        <v/>
      </c>
      <c r="W99" s="12">
        <f>IF(AND(T99="",U99=""),IF(AND(L99="",M99="",P99="",Q99=""),IF(OR($D99&lt;&gt;"",$E99&lt;&gt;""),"Belum ditempatkan",""),""),IF(T99="","CEK JENIS FIXTURE kosong",IF(LEFT(T99,4)&lt;&gt;"Wall","CEK Fixture 3 hanya Wall",IF(U99="","CEK SHELVING KE kosong",IF(ISNA(MATCH(T99&amp;"|"&amp;U99,LAYOUT!$E$2:$E$80,0)),"CEK SHELVING KE di luar layout",IF($I99="","CEK SERIES kosong",IF($D99="","Zona STOCK",IF($E99="","CEK SKU DESCRIPTION kosong",IF(COUNTIFS($I$2:$I$500,$I99,T$2:T$500,"&lt;&gt;"&amp;T99,T$2:T$500,"&lt;&gt;")&gt;0,"CEK jenis fixture beda dalam satu series","OK")))))))))</f>
        <v/>
      </c>
      <c r="X99" s="11" t="n"/>
      <c r="Y99" s="11" t="n"/>
      <c r="Z99" s="12" t="n"/>
      <c r="AA99" s="12" t="n"/>
      <c r="AB99" s="11" t="n"/>
      <c r="AC99" s="11" t="n"/>
      <c r="AD99" s="11" t="n"/>
      <c r="AE99" s="11" t="n"/>
      <c r="AF99" s="11" t="n"/>
      <c r="AG99" s="11" t="n"/>
      <c r="AH99" s="12" t="n"/>
      <c r="AI99" s="12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>
        <f>IF(OR(L100="",M100=""),"",IFERROR(INDEX(LAYOUT!$D$2:$D$80,MATCH(L100&amp;"|"&amp;M100,LAYOUT!$E$2:$E$80,0)),""))</f>
        <v/>
      </c>
      <c r="O100" s="12">
        <f>IF(AND(L100="",M100=""),IF(AND(P100="",Q100="",T100="",U100=""),IF(OR($D100&lt;&gt;"",$E100&lt;&gt;""),"Belum ditempatkan",""),""),IF(L100="","CEK JENIS FIXTURE kosong",IF(AND(LEFT(L100,7)&lt;&gt;"Gondola",LEFT(L100,6)&lt;&gt;"Endcap"),"CEK Fixture 1 hanya Gondola atau Endcap",IF(M100="","CEK SHELVING KE kosong",IF(ISNA(MATCH(L100&amp;"|"&amp;M100,LAYOUT!$E$2:$E$80,0)),"CEK SHELVING KE di luar layout",IF($I100="","CEK SERIES kosong",IF($D100="","Zona STOCK",IF($E100="","CEK SKU DESCRIPTION kosong",IF(COUNTIFS($I$2:$I$500,$I100,L$2:L$500,"&lt;&gt;"&amp;L100,L$2:L$500,"&lt;&gt;")&gt;0,"CEK jenis fixture beda dalam satu series","OK")))))))))</f>
        <v/>
      </c>
      <c r="P100" s="11" t="n"/>
      <c r="Q100" s="11" t="n"/>
      <c r="R100" s="11">
        <f>IF(OR(P100="",Q100=""),"",IFERROR(INDEX(LAYOUT!$D$2:$D$80,MATCH(P100&amp;"|"&amp;Q100,LAYOUT!$E$2:$E$80,0)),""))</f>
        <v/>
      </c>
      <c r="S100" s="12">
        <f>IF(AND(P100="",Q100=""),IF(AND(L100="",M100="",T100="",U100=""),IF(OR($D100&lt;&gt;"",$E100&lt;&gt;""),"Belum ditempatkan",""),""),IF(P100="","CEK JENIS FIXTURE kosong",IF(LEFT(P100,4)&lt;&gt;"Wall","CEK Fixture 2 hanya Wall",IF(Q100="","CEK SHELVING KE kosong",IF(ISNA(MATCH(P100&amp;"|"&amp;Q100,LAYOUT!$E$2:$E$80,0)),"CEK SHELVING KE di luar layout",IF($I100="","CEK SERIES kosong",IF($D100="","Zona STOCK",IF($E100="","CEK SKU DESCRIPTION kosong",IF(COUNTIFS($I$2:$I$500,$I100,P$2:P$500,"&lt;&gt;"&amp;P100,P$2:P$500,"&lt;&gt;")&gt;0,"CEK jenis fixture beda dalam satu series","OK")))))))))</f>
        <v/>
      </c>
      <c r="T100" s="11" t="n"/>
      <c r="U100" s="11" t="n"/>
      <c r="V100" s="11">
        <f>IF(OR(T100="",U100=""),"",IFERROR(INDEX(LAYOUT!$D$2:$D$80,MATCH(T100&amp;"|"&amp;U100,LAYOUT!$E$2:$E$80,0)),""))</f>
        <v/>
      </c>
      <c r="W100" s="12">
        <f>IF(AND(T100="",U100=""),IF(AND(L100="",M100="",P100="",Q100=""),IF(OR($D100&lt;&gt;"",$E100&lt;&gt;""),"Belum ditempatkan",""),""),IF(T100="","CEK JENIS FIXTURE kosong",IF(LEFT(T100,4)&lt;&gt;"Wall","CEK Fixture 3 hanya Wall",IF(U100="","CEK SHELVING KE kosong",IF(ISNA(MATCH(T100&amp;"|"&amp;U100,LAYOUT!$E$2:$E$80,0)),"CEK SHELVING KE di luar layout",IF($I100="","CEK SERIES kosong",IF($D100="","Zona STOCK",IF($E100="","CEK SKU DESCRIPTION kosong",IF(COUNTIFS($I$2:$I$500,$I100,T$2:T$500,"&lt;&gt;"&amp;T100,T$2:T$500,"&lt;&gt;")&gt;0,"CEK jenis fixture beda dalam satu series","OK")))))))))</f>
        <v/>
      </c>
      <c r="X100" s="11" t="n"/>
      <c r="Y100" s="11" t="n"/>
      <c r="Z100" s="12" t="n"/>
      <c r="AA100" s="12" t="n"/>
      <c r="AB100" s="11" t="n"/>
      <c r="AC100" s="11" t="n"/>
      <c r="AD100" s="11" t="n"/>
      <c r="AE100" s="11" t="n"/>
      <c r="AF100" s="11" t="n"/>
      <c r="AG100" s="11" t="n"/>
      <c r="AH100" s="12" t="n"/>
      <c r="AI100" s="12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>
        <f>IF(OR(L101="",M101=""),"",IFERROR(INDEX(LAYOUT!$D$2:$D$80,MATCH(L101&amp;"|"&amp;M101,LAYOUT!$E$2:$E$80,0)),""))</f>
        <v/>
      </c>
      <c r="O101" s="12">
        <f>IF(AND(L101="",M101=""),IF(AND(P101="",Q101="",T101="",U101=""),IF(OR($D101&lt;&gt;"",$E101&lt;&gt;""),"Belum ditempatkan",""),""),IF(L101="","CEK JENIS FIXTURE kosong",IF(AND(LEFT(L101,7)&lt;&gt;"Gondola",LEFT(L101,6)&lt;&gt;"Endcap"),"CEK Fixture 1 hanya Gondola atau Endcap",IF(M101="","CEK SHELVING KE kosong",IF(ISNA(MATCH(L101&amp;"|"&amp;M101,LAYOUT!$E$2:$E$80,0)),"CEK SHELVING KE di luar layout",IF($I101="","CEK SERIES kosong",IF($D101="","Zona STOCK",IF($E101="","CEK SKU DESCRIPTION kosong",IF(COUNTIFS($I$2:$I$500,$I101,L$2:L$500,"&lt;&gt;"&amp;L101,L$2:L$500,"&lt;&gt;")&gt;0,"CEK jenis fixture beda dalam satu series","OK")))))))))</f>
        <v/>
      </c>
      <c r="P101" s="11" t="n"/>
      <c r="Q101" s="11" t="n"/>
      <c r="R101" s="11">
        <f>IF(OR(P101="",Q101=""),"",IFERROR(INDEX(LAYOUT!$D$2:$D$80,MATCH(P101&amp;"|"&amp;Q101,LAYOUT!$E$2:$E$80,0)),""))</f>
        <v/>
      </c>
      <c r="S101" s="12">
        <f>IF(AND(P101="",Q101=""),IF(AND(L101="",M101="",T101="",U101=""),IF(OR($D101&lt;&gt;"",$E101&lt;&gt;""),"Belum ditempatkan",""),""),IF(P101="","CEK JENIS FIXTURE kosong",IF(LEFT(P101,4)&lt;&gt;"Wall","CEK Fixture 2 hanya Wall",IF(Q101="","CEK SHELVING KE kosong",IF(ISNA(MATCH(P101&amp;"|"&amp;Q101,LAYOUT!$E$2:$E$80,0)),"CEK SHELVING KE di luar layout",IF($I101="","CEK SERIES kosong",IF($D101="","Zona STOCK",IF($E101="","CEK SKU DESCRIPTION kosong",IF(COUNTIFS($I$2:$I$500,$I101,P$2:P$500,"&lt;&gt;"&amp;P101,P$2:P$500,"&lt;&gt;")&gt;0,"CEK jenis fixture beda dalam satu series","OK")))))))))</f>
        <v/>
      </c>
      <c r="T101" s="11" t="n"/>
      <c r="U101" s="11" t="n"/>
      <c r="V101" s="11">
        <f>IF(OR(T101="",U101=""),"",IFERROR(INDEX(LAYOUT!$D$2:$D$80,MATCH(T101&amp;"|"&amp;U101,LAYOUT!$E$2:$E$80,0)),""))</f>
        <v/>
      </c>
      <c r="W101" s="12">
        <f>IF(AND(T101="",U101=""),IF(AND(L101="",M101="",P101="",Q101=""),IF(OR($D101&lt;&gt;"",$E101&lt;&gt;""),"Belum ditempatkan",""),""),IF(T101="","CEK JENIS FIXTURE kosong",IF(LEFT(T101,4)&lt;&gt;"Wall","CEK Fixture 3 hanya Wall",IF(U101="","CEK SHELVING KE kosong",IF(ISNA(MATCH(T101&amp;"|"&amp;U101,LAYOUT!$E$2:$E$80,0)),"CEK SHELVING KE di luar layout",IF($I101="","CEK SERIES kosong",IF($D101="","Zona STOCK",IF($E101="","CEK SKU DESCRIPTION kosong",IF(COUNTIFS($I$2:$I$500,$I101,T$2:T$500,"&lt;&gt;"&amp;T101,T$2:T$500,"&lt;&gt;")&gt;0,"CEK jenis fixture beda dalam satu series","OK")))))))))</f>
        <v/>
      </c>
      <c r="X101" s="11" t="n"/>
      <c r="Y101" s="11" t="n"/>
      <c r="Z101" s="12" t="n"/>
      <c r="AA101" s="12" t="n"/>
      <c r="AB101" s="11" t="n"/>
      <c r="AC101" s="11" t="n"/>
      <c r="AD101" s="11" t="n"/>
      <c r="AE101" s="11" t="n"/>
      <c r="AF101" s="11" t="n"/>
      <c r="AG101" s="11" t="n"/>
      <c r="AH101" s="12" t="n"/>
      <c r="AI101" s="12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>
        <f>IF(OR(L102="",M102=""),"",IFERROR(INDEX(LAYOUT!$D$2:$D$80,MATCH(L102&amp;"|"&amp;M102,LAYOUT!$E$2:$E$80,0)),""))</f>
        <v/>
      </c>
      <c r="O102" s="12">
        <f>IF(AND(L102="",M102=""),IF(AND(P102="",Q102="",T102="",U102=""),IF(OR($D102&lt;&gt;"",$E102&lt;&gt;""),"Belum ditempatkan",""),""),IF(L102="","CEK JENIS FIXTURE kosong",IF(AND(LEFT(L102,7)&lt;&gt;"Gondola",LEFT(L102,6)&lt;&gt;"Endcap"),"CEK Fixture 1 hanya Gondola atau Endcap",IF(M102="","CEK SHELVING KE kosong",IF(ISNA(MATCH(L102&amp;"|"&amp;M102,LAYOUT!$E$2:$E$80,0)),"CEK SHELVING KE di luar layout",IF($I102="","CEK SERIES kosong",IF($D102="","Zona STOCK",IF($E102="","CEK SKU DESCRIPTION kosong",IF(COUNTIFS($I$2:$I$500,$I102,L$2:L$500,"&lt;&gt;"&amp;L102,L$2:L$500,"&lt;&gt;")&gt;0,"CEK jenis fixture beda dalam satu series","OK")))))))))</f>
        <v/>
      </c>
      <c r="P102" s="11" t="n"/>
      <c r="Q102" s="11" t="n"/>
      <c r="R102" s="11">
        <f>IF(OR(P102="",Q102=""),"",IFERROR(INDEX(LAYOUT!$D$2:$D$80,MATCH(P102&amp;"|"&amp;Q102,LAYOUT!$E$2:$E$80,0)),""))</f>
        <v/>
      </c>
      <c r="S102" s="12">
        <f>IF(AND(P102="",Q102=""),IF(AND(L102="",M102="",T102="",U102=""),IF(OR($D102&lt;&gt;"",$E102&lt;&gt;""),"Belum ditempatkan",""),""),IF(P102="","CEK JENIS FIXTURE kosong",IF(LEFT(P102,4)&lt;&gt;"Wall","CEK Fixture 2 hanya Wall",IF(Q102="","CEK SHELVING KE kosong",IF(ISNA(MATCH(P102&amp;"|"&amp;Q102,LAYOUT!$E$2:$E$80,0)),"CEK SHELVING KE di luar layout",IF($I102="","CEK SERIES kosong",IF($D102="","Zona STOCK",IF($E102="","CEK SKU DESCRIPTION kosong",IF(COUNTIFS($I$2:$I$500,$I102,P$2:P$500,"&lt;&gt;"&amp;P102,P$2:P$500,"&lt;&gt;")&gt;0,"CEK jenis fixture beda dalam satu series","OK")))))))))</f>
        <v/>
      </c>
      <c r="T102" s="11" t="n"/>
      <c r="U102" s="11" t="n"/>
      <c r="V102" s="11">
        <f>IF(OR(T102="",U102=""),"",IFERROR(INDEX(LAYOUT!$D$2:$D$80,MATCH(T102&amp;"|"&amp;U102,LAYOUT!$E$2:$E$80,0)),""))</f>
        <v/>
      </c>
      <c r="W102" s="12">
        <f>IF(AND(T102="",U102=""),IF(AND(L102="",M102="",P102="",Q102=""),IF(OR($D102&lt;&gt;"",$E102&lt;&gt;""),"Belum ditempatkan",""),""),IF(T102="","CEK JENIS FIXTURE kosong",IF(LEFT(T102,4)&lt;&gt;"Wall","CEK Fixture 3 hanya Wall",IF(U102="","CEK SHELVING KE kosong",IF(ISNA(MATCH(T102&amp;"|"&amp;U102,LAYOUT!$E$2:$E$80,0)),"CEK SHELVING KE di luar layout",IF($I102="","CEK SERIES kosong",IF($D102="","Zona STOCK",IF($E102="","CEK SKU DESCRIPTION kosong",IF(COUNTIFS($I$2:$I$500,$I102,T$2:T$500,"&lt;&gt;"&amp;T102,T$2:T$500,"&lt;&gt;")&gt;0,"CEK jenis fixture beda dalam satu series","OK")))))))))</f>
        <v/>
      </c>
      <c r="X102" s="11" t="n"/>
      <c r="Y102" s="11" t="n"/>
      <c r="Z102" s="12" t="n"/>
      <c r="AA102" s="12" t="n"/>
      <c r="AB102" s="11" t="n"/>
      <c r="AC102" s="11" t="n"/>
      <c r="AD102" s="11" t="n"/>
      <c r="AE102" s="11" t="n"/>
      <c r="AF102" s="11" t="n"/>
      <c r="AG102" s="11" t="n"/>
      <c r="AH102" s="12" t="n"/>
      <c r="AI102" s="12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>
        <f>IF(OR(L103="",M103=""),"",IFERROR(INDEX(LAYOUT!$D$2:$D$80,MATCH(L103&amp;"|"&amp;M103,LAYOUT!$E$2:$E$80,0)),""))</f>
        <v/>
      </c>
      <c r="O103" s="12">
        <f>IF(AND(L103="",M103=""),IF(AND(P103="",Q103="",T103="",U103=""),IF(OR($D103&lt;&gt;"",$E103&lt;&gt;""),"Belum ditempatkan",""),""),IF(L103="","CEK JENIS FIXTURE kosong",IF(AND(LEFT(L103,7)&lt;&gt;"Gondola",LEFT(L103,6)&lt;&gt;"Endcap"),"CEK Fixture 1 hanya Gondola atau Endcap",IF(M103="","CEK SHELVING KE kosong",IF(ISNA(MATCH(L103&amp;"|"&amp;M103,LAYOUT!$E$2:$E$80,0)),"CEK SHELVING KE di luar layout",IF($I103="","CEK SERIES kosong",IF($D103="","Zona STOCK",IF($E103="","CEK SKU DESCRIPTION kosong",IF(COUNTIFS($I$2:$I$500,$I103,L$2:L$500,"&lt;&gt;"&amp;L103,L$2:L$500,"&lt;&gt;")&gt;0,"CEK jenis fixture beda dalam satu series","OK")))))))))</f>
        <v/>
      </c>
      <c r="P103" s="11" t="n"/>
      <c r="Q103" s="11" t="n"/>
      <c r="R103" s="11">
        <f>IF(OR(P103="",Q103=""),"",IFERROR(INDEX(LAYOUT!$D$2:$D$80,MATCH(P103&amp;"|"&amp;Q103,LAYOUT!$E$2:$E$80,0)),""))</f>
        <v/>
      </c>
      <c r="S103" s="12">
        <f>IF(AND(P103="",Q103=""),IF(AND(L103="",M103="",T103="",U103=""),IF(OR($D103&lt;&gt;"",$E103&lt;&gt;""),"Belum ditempatkan",""),""),IF(P103="","CEK JENIS FIXTURE kosong",IF(LEFT(P103,4)&lt;&gt;"Wall","CEK Fixture 2 hanya Wall",IF(Q103="","CEK SHELVING KE kosong",IF(ISNA(MATCH(P103&amp;"|"&amp;Q103,LAYOUT!$E$2:$E$80,0)),"CEK SHELVING KE di luar layout",IF($I103="","CEK SERIES kosong",IF($D103="","Zona STOCK",IF($E103="","CEK SKU DESCRIPTION kosong",IF(COUNTIFS($I$2:$I$500,$I103,P$2:P$500,"&lt;&gt;"&amp;P103,P$2:P$500,"&lt;&gt;")&gt;0,"CEK jenis fixture beda dalam satu series","OK")))))))))</f>
        <v/>
      </c>
      <c r="T103" s="11" t="n"/>
      <c r="U103" s="11" t="n"/>
      <c r="V103" s="11">
        <f>IF(OR(T103="",U103=""),"",IFERROR(INDEX(LAYOUT!$D$2:$D$80,MATCH(T103&amp;"|"&amp;U103,LAYOUT!$E$2:$E$80,0)),""))</f>
        <v/>
      </c>
      <c r="W103" s="12">
        <f>IF(AND(T103="",U103=""),IF(AND(L103="",M103="",P103="",Q103=""),IF(OR($D103&lt;&gt;"",$E103&lt;&gt;""),"Belum ditempatkan",""),""),IF(T103="","CEK JENIS FIXTURE kosong",IF(LEFT(T103,4)&lt;&gt;"Wall","CEK Fixture 3 hanya Wall",IF(U103="","CEK SHELVING KE kosong",IF(ISNA(MATCH(T103&amp;"|"&amp;U103,LAYOUT!$E$2:$E$80,0)),"CEK SHELVING KE di luar layout",IF($I103="","CEK SERIES kosong",IF($D103="","Zona STOCK",IF($E103="","CEK SKU DESCRIPTION kosong",IF(COUNTIFS($I$2:$I$500,$I103,T$2:T$500,"&lt;&gt;"&amp;T103,T$2:T$500,"&lt;&gt;")&gt;0,"CEK jenis fixture beda dalam satu series","OK")))))))))</f>
        <v/>
      </c>
      <c r="X103" s="11" t="n"/>
      <c r="Y103" s="11" t="n"/>
      <c r="Z103" s="12" t="n"/>
      <c r="AA103" s="12" t="n"/>
      <c r="AB103" s="11" t="n"/>
      <c r="AC103" s="11" t="n"/>
      <c r="AD103" s="11" t="n"/>
      <c r="AE103" s="11" t="n"/>
      <c r="AF103" s="11" t="n"/>
      <c r="AG103" s="11" t="n"/>
      <c r="AH103" s="12" t="n"/>
      <c r="AI103" s="12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>
        <f>IF(OR(L104="",M104=""),"",IFERROR(INDEX(LAYOUT!$D$2:$D$80,MATCH(L104&amp;"|"&amp;M104,LAYOUT!$E$2:$E$80,0)),""))</f>
        <v/>
      </c>
      <c r="O104" s="12">
        <f>IF(AND(L104="",M104=""),IF(AND(P104="",Q104="",T104="",U104=""),IF(OR($D104&lt;&gt;"",$E104&lt;&gt;""),"Belum ditempatkan",""),""),IF(L104="","CEK JENIS FIXTURE kosong",IF(AND(LEFT(L104,7)&lt;&gt;"Gondola",LEFT(L104,6)&lt;&gt;"Endcap"),"CEK Fixture 1 hanya Gondola atau Endcap",IF(M104="","CEK SHELVING KE kosong",IF(ISNA(MATCH(L104&amp;"|"&amp;M104,LAYOUT!$E$2:$E$80,0)),"CEK SHELVING KE di luar layout",IF($I104="","CEK SERIES kosong",IF($D104="","Zona STOCK",IF($E104="","CEK SKU DESCRIPTION kosong",IF(COUNTIFS($I$2:$I$500,$I104,L$2:L$500,"&lt;&gt;"&amp;L104,L$2:L$500,"&lt;&gt;")&gt;0,"CEK jenis fixture beda dalam satu series","OK")))))))))</f>
        <v/>
      </c>
      <c r="P104" s="11" t="n"/>
      <c r="Q104" s="11" t="n"/>
      <c r="R104" s="11">
        <f>IF(OR(P104="",Q104=""),"",IFERROR(INDEX(LAYOUT!$D$2:$D$80,MATCH(P104&amp;"|"&amp;Q104,LAYOUT!$E$2:$E$80,0)),""))</f>
        <v/>
      </c>
      <c r="S104" s="12">
        <f>IF(AND(P104="",Q104=""),IF(AND(L104="",M104="",T104="",U104=""),IF(OR($D104&lt;&gt;"",$E104&lt;&gt;""),"Belum ditempatkan",""),""),IF(P104="","CEK JENIS FIXTURE kosong",IF(LEFT(P104,4)&lt;&gt;"Wall","CEK Fixture 2 hanya Wall",IF(Q104="","CEK SHELVING KE kosong",IF(ISNA(MATCH(P104&amp;"|"&amp;Q104,LAYOUT!$E$2:$E$80,0)),"CEK SHELVING KE di luar layout",IF($I104="","CEK SERIES kosong",IF($D104="","Zona STOCK",IF($E104="","CEK SKU DESCRIPTION kosong",IF(COUNTIFS($I$2:$I$500,$I104,P$2:P$500,"&lt;&gt;"&amp;P104,P$2:P$500,"&lt;&gt;")&gt;0,"CEK jenis fixture beda dalam satu series","OK")))))))))</f>
        <v/>
      </c>
      <c r="T104" s="11" t="n"/>
      <c r="U104" s="11" t="n"/>
      <c r="V104" s="11">
        <f>IF(OR(T104="",U104=""),"",IFERROR(INDEX(LAYOUT!$D$2:$D$80,MATCH(T104&amp;"|"&amp;U104,LAYOUT!$E$2:$E$80,0)),""))</f>
        <v/>
      </c>
      <c r="W104" s="12">
        <f>IF(AND(T104="",U104=""),IF(AND(L104="",M104="",P104="",Q104=""),IF(OR($D104&lt;&gt;"",$E104&lt;&gt;""),"Belum ditempatkan",""),""),IF(T104="","CEK JENIS FIXTURE kosong",IF(LEFT(T104,4)&lt;&gt;"Wall","CEK Fixture 3 hanya Wall",IF(U104="","CEK SHELVING KE kosong",IF(ISNA(MATCH(T104&amp;"|"&amp;U104,LAYOUT!$E$2:$E$80,0)),"CEK SHELVING KE di luar layout",IF($I104="","CEK SERIES kosong",IF($D104="","Zona STOCK",IF($E104="","CEK SKU DESCRIPTION kosong",IF(COUNTIFS($I$2:$I$500,$I104,T$2:T$500,"&lt;&gt;"&amp;T104,T$2:T$500,"&lt;&gt;")&gt;0,"CEK jenis fixture beda dalam satu series","OK")))))))))</f>
        <v/>
      </c>
      <c r="X104" s="11" t="n"/>
      <c r="Y104" s="11" t="n"/>
      <c r="Z104" s="12" t="n"/>
      <c r="AA104" s="12" t="n"/>
      <c r="AB104" s="11" t="n"/>
      <c r="AC104" s="11" t="n"/>
      <c r="AD104" s="11" t="n"/>
      <c r="AE104" s="11" t="n"/>
      <c r="AF104" s="11" t="n"/>
      <c r="AG104" s="11" t="n"/>
      <c r="AH104" s="12" t="n"/>
      <c r="AI104" s="12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>
        <f>IF(OR(L105="",M105=""),"",IFERROR(INDEX(LAYOUT!$D$2:$D$80,MATCH(L105&amp;"|"&amp;M105,LAYOUT!$E$2:$E$80,0)),""))</f>
        <v/>
      </c>
      <c r="O105" s="12">
        <f>IF(AND(L105="",M105=""),IF(AND(P105="",Q105="",T105="",U105=""),IF(OR($D105&lt;&gt;"",$E105&lt;&gt;""),"Belum ditempatkan",""),""),IF(L105="","CEK JENIS FIXTURE kosong",IF(AND(LEFT(L105,7)&lt;&gt;"Gondola",LEFT(L105,6)&lt;&gt;"Endcap"),"CEK Fixture 1 hanya Gondola atau Endcap",IF(M105="","CEK SHELVING KE kosong",IF(ISNA(MATCH(L105&amp;"|"&amp;M105,LAYOUT!$E$2:$E$80,0)),"CEK SHELVING KE di luar layout",IF($I105="","CEK SERIES kosong",IF($D105="","Zona STOCK",IF($E105="","CEK SKU DESCRIPTION kosong",IF(COUNTIFS($I$2:$I$500,$I105,L$2:L$500,"&lt;&gt;"&amp;L105,L$2:L$500,"&lt;&gt;")&gt;0,"CEK jenis fixture beda dalam satu series","OK")))))))))</f>
        <v/>
      </c>
      <c r="P105" s="11" t="n"/>
      <c r="Q105" s="11" t="n"/>
      <c r="R105" s="11">
        <f>IF(OR(P105="",Q105=""),"",IFERROR(INDEX(LAYOUT!$D$2:$D$80,MATCH(P105&amp;"|"&amp;Q105,LAYOUT!$E$2:$E$80,0)),""))</f>
        <v/>
      </c>
      <c r="S105" s="12">
        <f>IF(AND(P105="",Q105=""),IF(AND(L105="",M105="",T105="",U105=""),IF(OR($D105&lt;&gt;"",$E105&lt;&gt;""),"Belum ditempatkan",""),""),IF(P105="","CEK JENIS FIXTURE kosong",IF(LEFT(P105,4)&lt;&gt;"Wall","CEK Fixture 2 hanya Wall",IF(Q105="","CEK SHELVING KE kosong",IF(ISNA(MATCH(P105&amp;"|"&amp;Q105,LAYOUT!$E$2:$E$80,0)),"CEK SHELVING KE di luar layout",IF($I105="","CEK SERIES kosong",IF($D105="","Zona STOCK",IF($E105="","CEK SKU DESCRIPTION kosong",IF(COUNTIFS($I$2:$I$500,$I105,P$2:P$500,"&lt;&gt;"&amp;P105,P$2:P$500,"&lt;&gt;")&gt;0,"CEK jenis fixture beda dalam satu series","OK")))))))))</f>
        <v/>
      </c>
      <c r="T105" s="11" t="n"/>
      <c r="U105" s="11" t="n"/>
      <c r="V105" s="11">
        <f>IF(OR(T105="",U105=""),"",IFERROR(INDEX(LAYOUT!$D$2:$D$80,MATCH(T105&amp;"|"&amp;U105,LAYOUT!$E$2:$E$80,0)),""))</f>
        <v/>
      </c>
      <c r="W105" s="12">
        <f>IF(AND(T105="",U105=""),IF(AND(L105="",M105="",P105="",Q105=""),IF(OR($D105&lt;&gt;"",$E105&lt;&gt;""),"Belum ditempatkan",""),""),IF(T105="","CEK JENIS FIXTURE kosong",IF(LEFT(T105,4)&lt;&gt;"Wall","CEK Fixture 3 hanya Wall",IF(U105="","CEK SHELVING KE kosong",IF(ISNA(MATCH(T105&amp;"|"&amp;U105,LAYOUT!$E$2:$E$80,0)),"CEK SHELVING KE di luar layout",IF($I105="","CEK SERIES kosong",IF($D105="","Zona STOCK",IF($E105="","CEK SKU DESCRIPTION kosong",IF(COUNTIFS($I$2:$I$500,$I105,T$2:T$500,"&lt;&gt;"&amp;T105,T$2:T$500,"&lt;&gt;")&gt;0,"CEK jenis fixture beda dalam satu series","OK")))))))))</f>
        <v/>
      </c>
      <c r="X105" s="11" t="n"/>
      <c r="Y105" s="11" t="n"/>
      <c r="Z105" s="12" t="n"/>
      <c r="AA105" s="12" t="n"/>
      <c r="AB105" s="11" t="n"/>
      <c r="AC105" s="11" t="n"/>
      <c r="AD105" s="11" t="n"/>
      <c r="AE105" s="11" t="n"/>
      <c r="AF105" s="11" t="n"/>
      <c r="AG105" s="11" t="n"/>
      <c r="AH105" s="12" t="n"/>
      <c r="AI105" s="12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>
        <f>IF(OR(L106="",M106=""),"",IFERROR(INDEX(LAYOUT!$D$2:$D$80,MATCH(L106&amp;"|"&amp;M106,LAYOUT!$E$2:$E$80,0)),""))</f>
        <v/>
      </c>
      <c r="O106" s="12">
        <f>IF(AND(L106="",M106=""),IF(AND(P106="",Q106="",T106="",U106=""),IF(OR($D106&lt;&gt;"",$E106&lt;&gt;""),"Belum ditempatkan",""),""),IF(L106="","CEK JENIS FIXTURE kosong",IF(AND(LEFT(L106,7)&lt;&gt;"Gondola",LEFT(L106,6)&lt;&gt;"Endcap"),"CEK Fixture 1 hanya Gondola atau Endcap",IF(M106="","CEK SHELVING KE kosong",IF(ISNA(MATCH(L106&amp;"|"&amp;M106,LAYOUT!$E$2:$E$80,0)),"CEK SHELVING KE di luar layout",IF($I106="","CEK SERIES kosong",IF($D106="","Zona STOCK",IF($E106="","CEK SKU DESCRIPTION kosong",IF(COUNTIFS($I$2:$I$500,$I106,L$2:L$500,"&lt;&gt;"&amp;L106,L$2:L$500,"&lt;&gt;")&gt;0,"CEK jenis fixture beda dalam satu series","OK")))))))))</f>
        <v/>
      </c>
      <c r="P106" s="11" t="n"/>
      <c r="Q106" s="11" t="n"/>
      <c r="R106" s="11">
        <f>IF(OR(P106="",Q106=""),"",IFERROR(INDEX(LAYOUT!$D$2:$D$80,MATCH(P106&amp;"|"&amp;Q106,LAYOUT!$E$2:$E$80,0)),""))</f>
        <v/>
      </c>
      <c r="S106" s="12">
        <f>IF(AND(P106="",Q106=""),IF(AND(L106="",M106="",T106="",U106=""),IF(OR($D106&lt;&gt;"",$E106&lt;&gt;""),"Belum ditempatkan",""),""),IF(P106="","CEK JENIS FIXTURE kosong",IF(LEFT(P106,4)&lt;&gt;"Wall","CEK Fixture 2 hanya Wall",IF(Q106="","CEK SHELVING KE kosong",IF(ISNA(MATCH(P106&amp;"|"&amp;Q106,LAYOUT!$E$2:$E$80,0)),"CEK SHELVING KE di luar layout",IF($I106="","CEK SERIES kosong",IF($D106="","Zona STOCK",IF($E106="","CEK SKU DESCRIPTION kosong",IF(COUNTIFS($I$2:$I$500,$I106,P$2:P$500,"&lt;&gt;"&amp;P106,P$2:P$500,"&lt;&gt;")&gt;0,"CEK jenis fixture beda dalam satu series","OK")))))))))</f>
        <v/>
      </c>
      <c r="T106" s="11" t="n"/>
      <c r="U106" s="11" t="n"/>
      <c r="V106" s="11">
        <f>IF(OR(T106="",U106=""),"",IFERROR(INDEX(LAYOUT!$D$2:$D$80,MATCH(T106&amp;"|"&amp;U106,LAYOUT!$E$2:$E$80,0)),""))</f>
        <v/>
      </c>
      <c r="W106" s="12">
        <f>IF(AND(T106="",U106=""),IF(AND(L106="",M106="",P106="",Q106=""),IF(OR($D106&lt;&gt;"",$E106&lt;&gt;""),"Belum ditempatkan",""),""),IF(T106="","CEK JENIS FIXTURE kosong",IF(LEFT(T106,4)&lt;&gt;"Wall","CEK Fixture 3 hanya Wall",IF(U106="","CEK SHELVING KE kosong",IF(ISNA(MATCH(T106&amp;"|"&amp;U106,LAYOUT!$E$2:$E$80,0)),"CEK SHELVING KE di luar layout",IF($I106="","CEK SERIES kosong",IF($D106="","Zona STOCK",IF($E106="","CEK SKU DESCRIPTION kosong",IF(COUNTIFS($I$2:$I$500,$I106,T$2:T$500,"&lt;&gt;"&amp;T106,T$2:T$500,"&lt;&gt;")&gt;0,"CEK jenis fixture beda dalam satu series","OK")))))))))</f>
        <v/>
      </c>
      <c r="X106" s="11" t="n"/>
      <c r="Y106" s="11" t="n"/>
      <c r="Z106" s="12" t="n"/>
      <c r="AA106" s="12" t="n"/>
      <c r="AB106" s="11" t="n"/>
      <c r="AC106" s="11" t="n"/>
      <c r="AD106" s="11" t="n"/>
      <c r="AE106" s="11" t="n"/>
      <c r="AF106" s="11" t="n"/>
      <c r="AG106" s="11" t="n"/>
      <c r="AH106" s="12" t="n"/>
      <c r="AI106" s="12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>
        <f>IF(OR(L107="",M107=""),"",IFERROR(INDEX(LAYOUT!$D$2:$D$80,MATCH(L107&amp;"|"&amp;M107,LAYOUT!$E$2:$E$80,0)),""))</f>
        <v/>
      </c>
      <c r="O107" s="12">
        <f>IF(AND(L107="",M107=""),IF(AND(P107="",Q107="",T107="",U107=""),IF(OR($D107&lt;&gt;"",$E107&lt;&gt;""),"Belum ditempatkan",""),""),IF(L107="","CEK JENIS FIXTURE kosong",IF(AND(LEFT(L107,7)&lt;&gt;"Gondola",LEFT(L107,6)&lt;&gt;"Endcap"),"CEK Fixture 1 hanya Gondola atau Endcap",IF(M107="","CEK SHELVING KE kosong",IF(ISNA(MATCH(L107&amp;"|"&amp;M107,LAYOUT!$E$2:$E$80,0)),"CEK SHELVING KE di luar layout",IF($I107="","CEK SERIES kosong",IF($D107="","Zona STOCK",IF($E107="","CEK SKU DESCRIPTION kosong",IF(COUNTIFS($I$2:$I$500,$I107,L$2:L$500,"&lt;&gt;"&amp;L107,L$2:L$500,"&lt;&gt;")&gt;0,"CEK jenis fixture beda dalam satu series","OK")))))))))</f>
        <v/>
      </c>
      <c r="P107" s="11" t="n"/>
      <c r="Q107" s="11" t="n"/>
      <c r="R107" s="11">
        <f>IF(OR(P107="",Q107=""),"",IFERROR(INDEX(LAYOUT!$D$2:$D$80,MATCH(P107&amp;"|"&amp;Q107,LAYOUT!$E$2:$E$80,0)),""))</f>
        <v/>
      </c>
      <c r="S107" s="12">
        <f>IF(AND(P107="",Q107=""),IF(AND(L107="",M107="",T107="",U107=""),IF(OR($D107&lt;&gt;"",$E107&lt;&gt;""),"Belum ditempatkan",""),""),IF(P107="","CEK JENIS FIXTURE kosong",IF(LEFT(P107,4)&lt;&gt;"Wall","CEK Fixture 2 hanya Wall",IF(Q107="","CEK SHELVING KE kosong",IF(ISNA(MATCH(P107&amp;"|"&amp;Q107,LAYOUT!$E$2:$E$80,0)),"CEK SHELVING KE di luar layout",IF($I107="","CEK SERIES kosong",IF($D107="","Zona STOCK",IF($E107="","CEK SKU DESCRIPTION kosong",IF(COUNTIFS($I$2:$I$500,$I107,P$2:P$500,"&lt;&gt;"&amp;P107,P$2:P$500,"&lt;&gt;")&gt;0,"CEK jenis fixture beda dalam satu series","OK")))))))))</f>
        <v/>
      </c>
      <c r="T107" s="11" t="n"/>
      <c r="U107" s="11" t="n"/>
      <c r="V107" s="11">
        <f>IF(OR(T107="",U107=""),"",IFERROR(INDEX(LAYOUT!$D$2:$D$80,MATCH(T107&amp;"|"&amp;U107,LAYOUT!$E$2:$E$80,0)),""))</f>
        <v/>
      </c>
      <c r="W107" s="12">
        <f>IF(AND(T107="",U107=""),IF(AND(L107="",M107="",P107="",Q107=""),IF(OR($D107&lt;&gt;"",$E107&lt;&gt;""),"Belum ditempatkan",""),""),IF(T107="","CEK JENIS FIXTURE kosong",IF(LEFT(T107,4)&lt;&gt;"Wall","CEK Fixture 3 hanya Wall",IF(U107="","CEK SHELVING KE kosong",IF(ISNA(MATCH(T107&amp;"|"&amp;U107,LAYOUT!$E$2:$E$80,0)),"CEK SHELVING KE di luar layout",IF($I107="","CEK SERIES kosong",IF($D107="","Zona STOCK",IF($E107="","CEK SKU DESCRIPTION kosong",IF(COUNTIFS($I$2:$I$500,$I107,T$2:T$500,"&lt;&gt;"&amp;T107,T$2:T$500,"&lt;&gt;")&gt;0,"CEK jenis fixture beda dalam satu series","OK")))))))))</f>
        <v/>
      </c>
      <c r="X107" s="11" t="n"/>
      <c r="Y107" s="11" t="n"/>
      <c r="Z107" s="12" t="n"/>
      <c r="AA107" s="12" t="n"/>
      <c r="AB107" s="11" t="n"/>
      <c r="AC107" s="11" t="n"/>
      <c r="AD107" s="11" t="n"/>
      <c r="AE107" s="11" t="n"/>
      <c r="AF107" s="11" t="n"/>
      <c r="AG107" s="11" t="n"/>
      <c r="AH107" s="12" t="n"/>
      <c r="AI107" s="12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>
        <f>IF(OR(L108="",M108=""),"",IFERROR(INDEX(LAYOUT!$D$2:$D$80,MATCH(L108&amp;"|"&amp;M108,LAYOUT!$E$2:$E$80,0)),""))</f>
        <v/>
      </c>
      <c r="O108" s="12">
        <f>IF(AND(L108="",M108=""),IF(AND(P108="",Q108="",T108="",U108=""),IF(OR($D108&lt;&gt;"",$E108&lt;&gt;""),"Belum ditempatkan",""),""),IF(L108="","CEK JENIS FIXTURE kosong",IF(AND(LEFT(L108,7)&lt;&gt;"Gondola",LEFT(L108,6)&lt;&gt;"Endcap"),"CEK Fixture 1 hanya Gondola atau Endcap",IF(M108="","CEK SHELVING KE kosong",IF(ISNA(MATCH(L108&amp;"|"&amp;M108,LAYOUT!$E$2:$E$80,0)),"CEK SHELVING KE di luar layout",IF($I108="","CEK SERIES kosong",IF($D108="","Zona STOCK",IF($E108="","CEK SKU DESCRIPTION kosong",IF(COUNTIFS($I$2:$I$500,$I108,L$2:L$500,"&lt;&gt;"&amp;L108,L$2:L$500,"&lt;&gt;")&gt;0,"CEK jenis fixture beda dalam satu series","OK")))))))))</f>
        <v/>
      </c>
      <c r="P108" s="11" t="n"/>
      <c r="Q108" s="11" t="n"/>
      <c r="R108" s="11">
        <f>IF(OR(P108="",Q108=""),"",IFERROR(INDEX(LAYOUT!$D$2:$D$80,MATCH(P108&amp;"|"&amp;Q108,LAYOUT!$E$2:$E$80,0)),""))</f>
        <v/>
      </c>
      <c r="S108" s="12">
        <f>IF(AND(P108="",Q108=""),IF(AND(L108="",M108="",T108="",U108=""),IF(OR($D108&lt;&gt;"",$E108&lt;&gt;""),"Belum ditempatkan",""),""),IF(P108="","CEK JENIS FIXTURE kosong",IF(LEFT(P108,4)&lt;&gt;"Wall","CEK Fixture 2 hanya Wall",IF(Q108="","CEK SHELVING KE kosong",IF(ISNA(MATCH(P108&amp;"|"&amp;Q108,LAYOUT!$E$2:$E$80,0)),"CEK SHELVING KE di luar layout",IF($I108="","CEK SERIES kosong",IF($D108="","Zona STOCK",IF($E108="","CEK SKU DESCRIPTION kosong",IF(COUNTIFS($I$2:$I$500,$I108,P$2:P$500,"&lt;&gt;"&amp;P108,P$2:P$500,"&lt;&gt;")&gt;0,"CEK jenis fixture beda dalam satu series","OK")))))))))</f>
        <v/>
      </c>
      <c r="T108" s="11" t="n"/>
      <c r="U108" s="11" t="n"/>
      <c r="V108" s="11">
        <f>IF(OR(T108="",U108=""),"",IFERROR(INDEX(LAYOUT!$D$2:$D$80,MATCH(T108&amp;"|"&amp;U108,LAYOUT!$E$2:$E$80,0)),""))</f>
        <v/>
      </c>
      <c r="W108" s="12">
        <f>IF(AND(T108="",U108=""),IF(AND(L108="",M108="",P108="",Q108=""),IF(OR($D108&lt;&gt;"",$E108&lt;&gt;""),"Belum ditempatkan",""),""),IF(T108="","CEK JENIS FIXTURE kosong",IF(LEFT(T108,4)&lt;&gt;"Wall","CEK Fixture 3 hanya Wall",IF(U108="","CEK SHELVING KE kosong",IF(ISNA(MATCH(T108&amp;"|"&amp;U108,LAYOUT!$E$2:$E$80,0)),"CEK SHELVING KE di luar layout",IF($I108="","CEK SERIES kosong",IF($D108="","Zona STOCK",IF($E108="","CEK SKU DESCRIPTION kosong",IF(COUNTIFS($I$2:$I$500,$I108,T$2:T$500,"&lt;&gt;"&amp;T108,T$2:T$500,"&lt;&gt;")&gt;0,"CEK jenis fixture beda dalam satu series","OK")))))))))</f>
        <v/>
      </c>
      <c r="X108" s="11" t="n"/>
      <c r="Y108" s="11" t="n"/>
      <c r="Z108" s="12" t="n"/>
      <c r="AA108" s="12" t="n"/>
      <c r="AB108" s="11" t="n"/>
      <c r="AC108" s="11" t="n"/>
      <c r="AD108" s="11" t="n"/>
      <c r="AE108" s="11" t="n"/>
      <c r="AF108" s="11" t="n"/>
      <c r="AG108" s="11" t="n"/>
      <c r="AH108" s="12" t="n"/>
      <c r="AI108" s="12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>
        <f>IF(OR(L109="",M109=""),"",IFERROR(INDEX(LAYOUT!$D$2:$D$80,MATCH(L109&amp;"|"&amp;M109,LAYOUT!$E$2:$E$80,0)),""))</f>
        <v/>
      </c>
      <c r="O109" s="12">
        <f>IF(AND(L109="",M109=""),IF(AND(P109="",Q109="",T109="",U109=""),IF(OR($D109&lt;&gt;"",$E109&lt;&gt;""),"Belum ditempatkan",""),""),IF(L109="","CEK JENIS FIXTURE kosong",IF(AND(LEFT(L109,7)&lt;&gt;"Gondola",LEFT(L109,6)&lt;&gt;"Endcap"),"CEK Fixture 1 hanya Gondola atau Endcap",IF(M109="","CEK SHELVING KE kosong",IF(ISNA(MATCH(L109&amp;"|"&amp;M109,LAYOUT!$E$2:$E$80,0)),"CEK SHELVING KE di luar layout",IF($I109="","CEK SERIES kosong",IF($D109="","Zona STOCK",IF($E109="","CEK SKU DESCRIPTION kosong",IF(COUNTIFS($I$2:$I$500,$I109,L$2:L$500,"&lt;&gt;"&amp;L109,L$2:L$500,"&lt;&gt;")&gt;0,"CEK jenis fixture beda dalam satu series","OK")))))))))</f>
        <v/>
      </c>
      <c r="P109" s="11" t="n"/>
      <c r="Q109" s="11" t="n"/>
      <c r="R109" s="11">
        <f>IF(OR(P109="",Q109=""),"",IFERROR(INDEX(LAYOUT!$D$2:$D$80,MATCH(P109&amp;"|"&amp;Q109,LAYOUT!$E$2:$E$80,0)),""))</f>
        <v/>
      </c>
      <c r="S109" s="12">
        <f>IF(AND(P109="",Q109=""),IF(AND(L109="",M109="",T109="",U109=""),IF(OR($D109&lt;&gt;"",$E109&lt;&gt;""),"Belum ditempatkan",""),""),IF(P109="","CEK JENIS FIXTURE kosong",IF(LEFT(P109,4)&lt;&gt;"Wall","CEK Fixture 2 hanya Wall",IF(Q109="","CEK SHELVING KE kosong",IF(ISNA(MATCH(P109&amp;"|"&amp;Q109,LAYOUT!$E$2:$E$80,0)),"CEK SHELVING KE di luar layout",IF($I109="","CEK SERIES kosong",IF($D109="","Zona STOCK",IF($E109="","CEK SKU DESCRIPTION kosong",IF(COUNTIFS($I$2:$I$500,$I109,P$2:P$500,"&lt;&gt;"&amp;P109,P$2:P$500,"&lt;&gt;")&gt;0,"CEK jenis fixture beda dalam satu series","OK")))))))))</f>
        <v/>
      </c>
      <c r="T109" s="11" t="n"/>
      <c r="U109" s="11" t="n"/>
      <c r="V109" s="11">
        <f>IF(OR(T109="",U109=""),"",IFERROR(INDEX(LAYOUT!$D$2:$D$80,MATCH(T109&amp;"|"&amp;U109,LAYOUT!$E$2:$E$80,0)),""))</f>
        <v/>
      </c>
      <c r="W109" s="12">
        <f>IF(AND(T109="",U109=""),IF(AND(L109="",M109="",P109="",Q109=""),IF(OR($D109&lt;&gt;"",$E109&lt;&gt;""),"Belum ditempatkan",""),""),IF(T109="","CEK JENIS FIXTURE kosong",IF(LEFT(T109,4)&lt;&gt;"Wall","CEK Fixture 3 hanya Wall",IF(U109="","CEK SHELVING KE kosong",IF(ISNA(MATCH(T109&amp;"|"&amp;U109,LAYOUT!$E$2:$E$80,0)),"CEK SHELVING KE di luar layout",IF($I109="","CEK SERIES kosong",IF($D109="","Zona STOCK",IF($E109="","CEK SKU DESCRIPTION kosong",IF(COUNTIFS($I$2:$I$500,$I109,T$2:T$500,"&lt;&gt;"&amp;T109,T$2:T$500,"&lt;&gt;")&gt;0,"CEK jenis fixture beda dalam satu series","OK")))))))))</f>
        <v/>
      </c>
      <c r="X109" s="11" t="n"/>
      <c r="Y109" s="11" t="n"/>
      <c r="Z109" s="12" t="n"/>
      <c r="AA109" s="12" t="n"/>
      <c r="AB109" s="11" t="n"/>
      <c r="AC109" s="11" t="n"/>
      <c r="AD109" s="11" t="n"/>
      <c r="AE109" s="11" t="n"/>
      <c r="AF109" s="11" t="n"/>
      <c r="AG109" s="11" t="n"/>
      <c r="AH109" s="12" t="n"/>
      <c r="AI109" s="12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>
        <f>IF(OR(L110="",M110=""),"",IFERROR(INDEX(LAYOUT!$D$2:$D$80,MATCH(L110&amp;"|"&amp;M110,LAYOUT!$E$2:$E$80,0)),""))</f>
        <v/>
      </c>
      <c r="O110" s="12">
        <f>IF(AND(L110="",M110=""),IF(AND(P110="",Q110="",T110="",U110=""),IF(OR($D110&lt;&gt;"",$E110&lt;&gt;""),"Belum ditempatkan",""),""),IF(L110="","CEK JENIS FIXTURE kosong",IF(AND(LEFT(L110,7)&lt;&gt;"Gondola",LEFT(L110,6)&lt;&gt;"Endcap"),"CEK Fixture 1 hanya Gondola atau Endcap",IF(M110="","CEK SHELVING KE kosong",IF(ISNA(MATCH(L110&amp;"|"&amp;M110,LAYOUT!$E$2:$E$80,0)),"CEK SHELVING KE di luar layout",IF($I110="","CEK SERIES kosong",IF($D110="","Zona STOCK",IF($E110="","CEK SKU DESCRIPTION kosong",IF(COUNTIFS($I$2:$I$500,$I110,L$2:L$500,"&lt;&gt;"&amp;L110,L$2:L$500,"&lt;&gt;")&gt;0,"CEK jenis fixture beda dalam satu series","OK")))))))))</f>
        <v/>
      </c>
      <c r="P110" s="11" t="n"/>
      <c r="Q110" s="11" t="n"/>
      <c r="R110" s="11">
        <f>IF(OR(P110="",Q110=""),"",IFERROR(INDEX(LAYOUT!$D$2:$D$80,MATCH(P110&amp;"|"&amp;Q110,LAYOUT!$E$2:$E$80,0)),""))</f>
        <v/>
      </c>
      <c r="S110" s="12">
        <f>IF(AND(P110="",Q110=""),IF(AND(L110="",M110="",T110="",U110=""),IF(OR($D110&lt;&gt;"",$E110&lt;&gt;""),"Belum ditempatkan",""),""),IF(P110="","CEK JENIS FIXTURE kosong",IF(LEFT(P110,4)&lt;&gt;"Wall","CEK Fixture 2 hanya Wall",IF(Q110="","CEK SHELVING KE kosong",IF(ISNA(MATCH(P110&amp;"|"&amp;Q110,LAYOUT!$E$2:$E$80,0)),"CEK SHELVING KE di luar layout",IF($I110="","CEK SERIES kosong",IF($D110="","Zona STOCK",IF($E110="","CEK SKU DESCRIPTION kosong",IF(COUNTIFS($I$2:$I$500,$I110,P$2:P$500,"&lt;&gt;"&amp;P110,P$2:P$500,"&lt;&gt;")&gt;0,"CEK jenis fixture beda dalam satu series","OK")))))))))</f>
        <v/>
      </c>
      <c r="T110" s="11" t="n"/>
      <c r="U110" s="11" t="n"/>
      <c r="V110" s="11">
        <f>IF(OR(T110="",U110=""),"",IFERROR(INDEX(LAYOUT!$D$2:$D$80,MATCH(T110&amp;"|"&amp;U110,LAYOUT!$E$2:$E$80,0)),""))</f>
        <v/>
      </c>
      <c r="W110" s="12">
        <f>IF(AND(T110="",U110=""),IF(AND(L110="",M110="",P110="",Q110=""),IF(OR($D110&lt;&gt;"",$E110&lt;&gt;""),"Belum ditempatkan",""),""),IF(T110="","CEK JENIS FIXTURE kosong",IF(LEFT(T110,4)&lt;&gt;"Wall","CEK Fixture 3 hanya Wall",IF(U110="","CEK SHELVING KE kosong",IF(ISNA(MATCH(T110&amp;"|"&amp;U110,LAYOUT!$E$2:$E$80,0)),"CEK SHELVING KE di luar layout",IF($I110="","CEK SERIES kosong",IF($D110="","Zona STOCK",IF($E110="","CEK SKU DESCRIPTION kosong",IF(COUNTIFS($I$2:$I$500,$I110,T$2:T$500,"&lt;&gt;"&amp;T110,T$2:T$500,"&lt;&gt;")&gt;0,"CEK jenis fixture beda dalam satu series","OK")))))))))</f>
        <v/>
      </c>
      <c r="X110" s="11" t="n"/>
      <c r="Y110" s="11" t="n"/>
      <c r="Z110" s="12" t="n"/>
      <c r="AA110" s="12" t="n"/>
      <c r="AB110" s="11" t="n"/>
      <c r="AC110" s="11" t="n"/>
      <c r="AD110" s="11" t="n"/>
      <c r="AE110" s="11" t="n"/>
      <c r="AF110" s="11" t="n"/>
      <c r="AG110" s="11" t="n"/>
      <c r="AH110" s="12" t="n"/>
      <c r="AI110" s="12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>
        <f>IF(OR(L111="",M111=""),"",IFERROR(INDEX(LAYOUT!$D$2:$D$80,MATCH(L111&amp;"|"&amp;M111,LAYOUT!$E$2:$E$80,0)),""))</f>
        <v/>
      </c>
      <c r="O111" s="12">
        <f>IF(AND(L111="",M111=""),IF(AND(P111="",Q111="",T111="",U111=""),IF(OR($D111&lt;&gt;"",$E111&lt;&gt;""),"Belum ditempatkan",""),""),IF(L111="","CEK JENIS FIXTURE kosong",IF(AND(LEFT(L111,7)&lt;&gt;"Gondola",LEFT(L111,6)&lt;&gt;"Endcap"),"CEK Fixture 1 hanya Gondola atau Endcap",IF(M111="","CEK SHELVING KE kosong",IF(ISNA(MATCH(L111&amp;"|"&amp;M111,LAYOUT!$E$2:$E$80,0)),"CEK SHELVING KE di luar layout",IF($I111="","CEK SERIES kosong",IF($D111="","Zona STOCK",IF($E111="","CEK SKU DESCRIPTION kosong",IF(COUNTIFS($I$2:$I$500,$I111,L$2:L$500,"&lt;&gt;"&amp;L111,L$2:L$500,"&lt;&gt;")&gt;0,"CEK jenis fixture beda dalam satu series","OK")))))))))</f>
        <v/>
      </c>
      <c r="P111" s="11" t="n"/>
      <c r="Q111" s="11" t="n"/>
      <c r="R111" s="11">
        <f>IF(OR(P111="",Q111=""),"",IFERROR(INDEX(LAYOUT!$D$2:$D$80,MATCH(P111&amp;"|"&amp;Q111,LAYOUT!$E$2:$E$80,0)),""))</f>
        <v/>
      </c>
      <c r="S111" s="12">
        <f>IF(AND(P111="",Q111=""),IF(AND(L111="",M111="",T111="",U111=""),IF(OR($D111&lt;&gt;"",$E111&lt;&gt;""),"Belum ditempatkan",""),""),IF(P111="","CEK JENIS FIXTURE kosong",IF(LEFT(P111,4)&lt;&gt;"Wall","CEK Fixture 2 hanya Wall",IF(Q111="","CEK SHELVING KE kosong",IF(ISNA(MATCH(P111&amp;"|"&amp;Q111,LAYOUT!$E$2:$E$80,0)),"CEK SHELVING KE di luar layout",IF($I111="","CEK SERIES kosong",IF($D111="","Zona STOCK",IF($E111="","CEK SKU DESCRIPTION kosong",IF(COUNTIFS($I$2:$I$500,$I111,P$2:P$500,"&lt;&gt;"&amp;P111,P$2:P$500,"&lt;&gt;")&gt;0,"CEK jenis fixture beda dalam satu series","OK")))))))))</f>
        <v/>
      </c>
      <c r="T111" s="11" t="n"/>
      <c r="U111" s="11" t="n"/>
      <c r="V111" s="11">
        <f>IF(OR(T111="",U111=""),"",IFERROR(INDEX(LAYOUT!$D$2:$D$80,MATCH(T111&amp;"|"&amp;U111,LAYOUT!$E$2:$E$80,0)),""))</f>
        <v/>
      </c>
      <c r="W111" s="12">
        <f>IF(AND(T111="",U111=""),IF(AND(L111="",M111="",P111="",Q111=""),IF(OR($D111&lt;&gt;"",$E111&lt;&gt;""),"Belum ditempatkan",""),""),IF(T111="","CEK JENIS FIXTURE kosong",IF(LEFT(T111,4)&lt;&gt;"Wall","CEK Fixture 3 hanya Wall",IF(U111="","CEK SHELVING KE kosong",IF(ISNA(MATCH(T111&amp;"|"&amp;U111,LAYOUT!$E$2:$E$80,0)),"CEK SHELVING KE di luar layout",IF($I111="","CEK SERIES kosong",IF($D111="","Zona STOCK",IF($E111="","CEK SKU DESCRIPTION kosong",IF(COUNTIFS($I$2:$I$500,$I111,T$2:T$500,"&lt;&gt;"&amp;T111,T$2:T$500,"&lt;&gt;")&gt;0,"CEK jenis fixture beda dalam satu series","OK")))))))))</f>
        <v/>
      </c>
      <c r="X111" s="11" t="n"/>
      <c r="Y111" s="11" t="n"/>
      <c r="Z111" s="12" t="n"/>
      <c r="AA111" s="12" t="n"/>
      <c r="AB111" s="11" t="n"/>
      <c r="AC111" s="11" t="n"/>
      <c r="AD111" s="11" t="n"/>
      <c r="AE111" s="11" t="n"/>
      <c r="AF111" s="11" t="n"/>
      <c r="AG111" s="11" t="n"/>
      <c r="AH111" s="12" t="n"/>
      <c r="AI111" s="12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>
        <f>IF(OR(L112="",M112=""),"",IFERROR(INDEX(LAYOUT!$D$2:$D$80,MATCH(L112&amp;"|"&amp;M112,LAYOUT!$E$2:$E$80,0)),""))</f>
        <v/>
      </c>
      <c r="O112" s="12">
        <f>IF(AND(L112="",M112=""),IF(AND(P112="",Q112="",T112="",U112=""),IF(OR($D112&lt;&gt;"",$E112&lt;&gt;""),"Belum ditempatkan",""),""),IF(L112="","CEK JENIS FIXTURE kosong",IF(AND(LEFT(L112,7)&lt;&gt;"Gondola",LEFT(L112,6)&lt;&gt;"Endcap"),"CEK Fixture 1 hanya Gondola atau Endcap",IF(M112="","CEK SHELVING KE kosong",IF(ISNA(MATCH(L112&amp;"|"&amp;M112,LAYOUT!$E$2:$E$80,0)),"CEK SHELVING KE di luar layout",IF($I112="","CEK SERIES kosong",IF($D112="","Zona STOCK",IF($E112="","CEK SKU DESCRIPTION kosong",IF(COUNTIFS($I$2:$I$500,$I112,L$2:L$500,"&lt;&gt;"&amp;L112,L$2:L$500,"&lt;&gt;")&gt;0,"CEK jenis fixture beda dalam satu series","OK")))))))))</f>
        <v/>
      </c>
      <c r="P112" s="11" t="n"/>
      <c r="Q112" s="11" t="n"/>
      <c r="R112" s="11">
        <f>IF(OR(P112="",Q112=""),"",IFERROR(INDEX(LAYOUT!$D$2:$D$80,MATCH(P112&amp;"|"&amp;Q112,LAYOUT!$E$2:$E$80,0)),""))</f>
        <v/>
      </c>
      <c r="S112" s="12">
        <f>IF(AND(P112="",Q112=""),IF(AND(L112="",M112="",T112="",U112=""),IF(OR($D112&lt;&gt;"",$E112&lt;&gt;""),"Belum ditempatkan",""),""),IF(P112="","CEK JENIS FIXTURE kosong",IF(LEFT(P112,4)&lt;&gt;"Wall","CEK Fixture 2 hanya Wall",IF(Q112="","CEK SHELVING KE kosong",IF(ISNA(MATCH(P112&amp;"|"&amp;Q112,LAYOUT!$E$2:$E$80,0)),"CEK SHELVING KE di luar layout",IF($I112="","CEK SERIES kosong",IF($D112="","Zona STOCK",IF($E112="","CEK SKU DESCRIPTION kosong",IF(COUNTIFS($I$2:$I$500,$I112,P$2:P$500,"&lt;&gt;"&amp;P112,P$2:P$500,"&lt;&gt;")&gt;0,"CEK jenis fixture beda dalam satu series","OK")))))))))</f>
        <v/>
      </c>
      <c r="T112" s="11" t="n"/>
      <c r="U112" s="11" t="n"/>
      <c r="V112" s="11">
        <f>IF(OR(T112="",U112=""),"",IFERROR(INDEX(LAYOUT!$D$2:$D$80,MATCH(T112&amp;"|"&amp;U112,LAYOUT!$E$2:$E$80,0)),""))</f>
        <v/>
      </c>
      <c r="W112" s="12">
        <f>IF(AND(T112="",U112=""),IF(AND(L112="",M112="",P112="",Q112=""),IF(OR($D112&lt;&gt;"",$E112&lt;&gt;""),"Belum ditempatkan",""),""),IF(T112="","CEK JENIS FIXTURE kosong",IF(LEFT(T112,4)&lt;&gt;"Wall","CEK Fixture 3 hanya Wall",IF(U112="","CEK SHELVING KE kosong",IF(ISNA(MATCH(T112&amp;"|"&amp;U112,LAYOUT!$E$2:$E$80,0)),"CEK SHELVING KE di luar layout",IF($I112="","CEK SERIES kosong",IF($D112="","Zona STOCK",IF($E112="","CEK SKU DESCRIPTION kosong",IF(COUNTIFS($I$2:$I$500,$I112,T$2:T$500,"&lt;&gt;"&amp;T112,T$2:T$500,"&lt;&gt;")&gt;0,"CEK jenis fixture beda dalam satu series","OK")))))))))</f>
        <v/>
      </c>
      <c r="X112" s="11" t="n"/>
      <c r="Y112" s="11" t="n"/>
      <c r="Z112" s="12" t="n"/>
      <c r="AA112" s="12" t="n"/>
      <c r="AB112" s="11" t="n"/>
      <c r="AC112" s="11" t="n"/>
      <c r="AD112" s="11" t="n"/>
      <c r="AE112" s="11" t="n"/>
      <c r="AF112" s="11" t="n"/>
      <c r="AG112" s="11" t="n"/>
      <c r="AH112" s="12" t="n"/>
      <c r="AI112" s="12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>
        <f>IF(OR(L113="",M113=""),"",IFERROR(INDEX(LAYOUT!$D$2:$D$80,MATCH(L113&amp;"|"&amp;M113,LAYOUT!$E$2:$E$80,0)),""))</f>
        <v/>
      </c>
      <c r="O113" s="12">
        <f>IF(AND(L113="",M113=""),IF(AND(P113="",Q113="",T113="",U113=""),IF(OR($D113&lt;&gt;"",$E113&lt;&gt;""),"Belum ditempatkan",""),""),IF(L113="","CEK JENIS FIXTURE kosong",IF(AND(LEFT(L113,7)&lt;&gt;"Gondola",LEFT(L113,6)&lt;&gt;"Endcap"),"CEK Fixture 1 hanya Gondola atau Endcap",IF(M113="","CEK SHELVING KE kosong",IF(ISNA(MATCH(L113&amp;"|"&amp;M113,LAYOUT!$E$2:$E$80,0)),"CEK SHELVING KE di luar layout",IF($I113="","CEK SERIES kosong",IF($D113="","Zona STOCK",IF($E113="","CEK SKU DESCRIPTION kosong",IF(COUNTIFS($I$2:$I$500,$I113,L$2:L$500,"&lt;&gt;"&amp;L113,L$2:L$500,"&lt;&gt;")&gt;0,"CEK jenis fixture beda dalam satu series","OK")))))))))</f>
        <v/>
      </c>
      <c r="P113" s="11" t="n"/>
      <c r="Q113" s="11" t="n"/>
      <c r="R113" s="11">
        <f>IF(OR(P113="",Q113=""),"",IFERROR(INDEX(LAYOUT!$D$2:$D$80,MATCH(P113&amp;"|"&amp;Q113,LAYOUT!$E$2:$E$80,0)),""))</f>
        <v/>
      </c>
      <c r="S113" s="12">
        <f>IF(AND(P113="",Q113=""),IF(AND(L113="",M113="",T113="",U113=""),IF(OR($D113&lt;&gt;"",$E113&lt;&gt;""),"Belum ditempatkan",""),""),IF(P113="","CEK JENIS FIXTURE kosong",IF(LEFT(P113,4)&lt;&gt;"Wall","CEK Fixture 2 hanya Wall",IF(Q113="","CEK SHELVING KE kosong",IF(ISNA(MATCH(P113&amp;"|"&amp;Q113,LAYOUT!$E$2:$E$80,0)),"CEK SHELVING KE di luar layout",IF($I113="","CEK SERIES kosong",IF($D113="","Zona STOCK",IF($E113="","CEK SKU DESCRIPTION kosong",IF(COUNTIFS($I$2:$I$500,$I113,P$2:P$500,"&lt;&gt;"&amp;P113,P$2:P$500,"&lt;&gt;")&gt;0,"CEK jenis fixture beda dalam satu series","OK")))))))))</f>
        <v/>
      </c>
      <c r="T113" s="11" t="n"/>
      <c r="U113" s="11" t="n"/>
      <c r="V113" s="11">
        <f>IF(OR(T113="",U113=""),"",IFERROR(INDEX(LAYOUT!$D$2:$D$80,MATCH(T113&amp;"|"&amp;U113,LAYOUT!$E$2:$E$80,0)),""))</f>
        <v/>
      </c>
      <c r="W113" s="12">
        <f>IF(AND(T113="",U113=""),IF(AND(L113="",M113="",P113="",Q113=""),IF(OR($D113&lt;&gt;"",$E113&lt;&gt;""),"Belum ditempatkan",""),""),IF(T113="","CEK JENIS FIXTURE kosong",IF(LEFT(T113,4)&lt;&gt;"Wall","CEK Fixture 3 hanya Wall",IF(U113="","CEK SHELVING KE kosong",IF(ISNA(MATCH(T113&amp;"|"&amp;U113,LAYOUT!$E$2:$E$80,0)),"CEK SHELVING KE di luar layout",IF($I113="","CEK SERIES kosong",IF($D113="","Zona STOCK",IF($E113="","CEK SKU DESCRIPTION kosong",IF(COUNTIFS($I$2:$I$500,$I113,T$2:T$500,"&lt;&gt;"&amp;T113,T$2:T$500,"&lt;&gt;")&gt;0,"CEK jenis fixture beda dalam satu series","OK")))))))))</f>
        <v/>
      </c>
      <c r="X113" s="11" t="n"/>
      <c r="Y113" s="11" t="n"/>
      <c r="Z113" s="12" t="n"/>
      <c r="AA113" s="12" t="n"/>
      <c r="AB113" s="11" t="n"/>
      <c r="AC113" s="11" t="n"/>
      <c r="AD113" s="11" t="n"/>
      <c r="AE113" s="11" t="n"/>
      <c r="AF113" s="11" t="n"/>
      <c r="AG113" s="11" t="n"/>
      <c r="AH113" s="12" t="n"/>
      <c r="AI113" s="12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>
        <f>IF(OR(L114="",M114=""),"",IFERROR(INDEX(LAYOUT!$D$2:$D$80,MATCH(L114&amp;"|"&amp;M114,LAYOUT!$E$2:$E$80,0)),""))</f>
        <v/>
      </c>
      <c r="O114" s="12">
        <f>IF(AND(L114="",M114=""),IF(AND(P114="",Q114="",T114="",U114=""),IF(OR($D114&lt;&gt;"",$E114&lt;&gt;""),"Belum ditempatkan",""),""),IF(L114="","CEK JENIS FIXTURE kosong",IF(AND(LEFT(L114,7)&lt;&gt;"Gondola",LEFT(L114,6)&lt;&gt;"Endcap"),"CEK Fixture 1 hanya Gondola atau Endcap",IF(M114="","CEK SHELVING KE kosong",IF(ISNA(MATCH(L114&amp;"|"&amp;M114,LAYOUT!$E$2:$E$80,0)),"CEK SHELVING KE di luar layout",IF($I114="","CEK SERIES kosong",IF($D114="","Zona STOCK",IF($E114="","CEK SKU DESCRIPTION kosong",IF(COUNTIFS($I$2:$I$500,$I114,L$2:L$500,"&lt;&gt;"&amp;L114,L$2:L$500,"&lt;&gt;")&gt;0,"CEK jenis fixture beda dalam satu series","OK")))))))))</f>
        <v/>
      </c>
      <c r="P114" s="11" t="n"/>
      <c r="Q114" s="11" t="n"/>
      <c r="R114" s="11">
        <f>IF(OR(P114="",Q114=""),"",IFERROR(INDEX(LAYOUT!$D$2:$D$80,MATCH(P114&amp;"|"&amp;Q114,LAYOUT!$E$2:$E$80,0)),""))</f>
        <v/>
      </c>
      <c r="S114" s="12">
        <f>IF(AND(P114="",Q114=""),IF(AND(L114="",M114="",T114="",U114=""),IF(OR($D114&lt;&gt;"",$E114&lt;&gt;""),"Belum ditempatkan",""),""),IF(P114="","CEK JENIS FIXTURE kosong",IF(LEFT(P114,4)&lt;&gt;"Wall","CEK Fixture 2 hanya Wall",IF(Q114="","CEK SHELVING KE kosong",IF(ISNA(MATCH(P114&amp;"|"&amp;Q114,LAYOUT!$E$2:$E$80,0)),"CEK SHELVING KE di luar layout",IF($I114="","CEK SERIES kosong",IF($D114="","Zona STOCK",IF($E114="","CEK SKU DESCRIPTION kosong",IF(COUNTIFS($I$2:$I$500,$I114,P$2:P$500,"&lt;&gt;"&amp;P114,P$2:P$500,"&lt;&gt;")&gt;0,"CEK jenis fixture beda dalam satu series","OK")))))))))</f>
        <v/>
      </c>
      <c r="T114" s="11" t="n"/>
      <c r="U114" s="11" t="n"/>
      <c r="V114" s="11">
        <f>IF(OR(T114="",U114=""),"",IFERROR(INDEX(LAYOUT!$D$2:$D$80,MATCH(T114&amp;"|"&amp;U114,LAYOUT!$E$2:$E$80,0)),""))</f>
        <v/>
      </c>
      <c r="W114" s="12">
        <f>IF(AND(T114="",U114=""),IF(AND(L114="",M114="",P114="",Q114=""),IF(OR($D114&lt;&gt;"",$E114&lt;&gt;""),"Belum ditempatkan",""),""),IF(T114="","CEK JENIS FIXTURE kosong",IF(LEFT(T114,4)&lt;&gt;"Wall","CEK Fixture 3 hanya Wall",IF(U114="","CEK SHELVING KE kosong",IF(ISNA(MATCH(T114&amp;"|"&amp;U114,LAYOUT!$E$2:$E$80,0)),"CEK SHELVING KE di luar layout",IF($I114="","CEK SERIES kosong",IF($D114="","Zona STOCK",IF($E114="","CEK SKU DESCRIPTION kosong",IF(COUNTIFS($I$2:$I$500,$I114,T$2:T$500,"&lt;&gt;"&amp;T114,T$2:T$500,"&lt;&gt;")&gt;0,"CEK jenis fixture beda dalam satu series","OK")))))))))</f>
        <v/>
      </c>
      <c r="X114" s="11" t="n"/>
      <c r="Y114" s="11" t="n"/>
      <c r="Z114" s="12" t="n"/>
      <c r="AA114" s="12" t="n"/>
      <c r="AB114" s="11" t="n"/>
      <c r="AC114" s="11" t="n"/>
      <c r="AD114" s="11" t="n"/>
      <c r="AE114" s="11" t="n"/>
      <c r="AF114" s="11" t="n"/>
      <c r="AG114" s="11" t="n"/>
      <c r="AH114" s="12" t="n"/>
      <c r="AI114" s="12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>
        <f>IF(OR(L115="",M115=""),"",IFERROR(INDEX(LAYOUT!$D$2:$D$80,MATCH(L115&amp;"|"&amp;M115,LAYOUT!$E$2:$E$80,0)),""))</f>
        <v/>
      </c>
      <c r="O115" s="12">
        <f>IF(AND(L115="",M115=""),IF(AND(P115="",Q115="",T115="",U115=""),IF(OR($D115&lt;&gt;"",$E115&lt;&gt;""),"Belum ditempatkan",""),""),IF(L115="","CEK JENIS FIXTURE kosong",IF(AND(LEFT(L115,7)&lt;&gt;"Gondola",LEFT(L115,6)&lt;&gt;"Endcap"),"CEK Fixture 1 hanya Gondola atau Endcap",IF(M115="","CEK SHELVING KE kosong",IF(ISNA(MATCH(L115&amp;"|"&amp;M115,LAYOUT!$E$2:$E$80,0)),"CEK SHELVING KE di luar layout",IF($I115="","CEK SERIES kosong",IF($D115="","Zona STOCK",IF($E115="","CEK SKU DESCRIPTION kosong",IF(COUNTIFS($I$2:$I$500,$I115,L$2:L$500,"&lt;&gt;"&amp;L115,L$2:L$500,"&lt;&gt;")&gt;0,"CEK jenis fixture beda dalam satu series","OK")))))))))</f>
        <v/>
      </c>
      <c r="P115" s="11" t="n"/>
      <c r="Q115" s="11" t="n"/>
      <c r="R115" s="11">
        <f>IF(OR(P115="",Q115=""),"",IFERROR(INDEX(LAYOUT!$D$2:$D$80,MATCH(P115&amp;"|"&amp;Q115,LAYOUT!$E$2:$E$80,0)),""))</f>
        <v/>
      </c>
      <c r="S115" s="12">
        <f>IF(AND(P115="",Q115=""),IF(AND(L115="",M115="",T115="",U115=""),IF(OR($D115&lt;&gt;"",$E115&lt;&gt;""),"Belum ditempatkan",""),""),IF(P115="","CEK JENIS FIXTURE kosong",IF(LEFT(P115,4)&lt;&gt;"Wall","CEK Fixture 2 hanya Wall",IF(Q115="","CEK SHELVING KE kosong",IF(ISNA(MATCH(P115&amp;"|"&amp;Q115,LAYOUT!$E$2:$E$80,0)),"CEK SHELVING KE di luar layout",IF($I115="","CEK SERIES kosong",IF($D115="","Zona STOCK",IF($E115="","CEK SKU DESCRIPTION kosong",IF(COUNTIFS($I$2:$I$500,$I115,P$2:P$500,"&lt;&gt;"&amp;P115,P$2:P$500,"&lt;&gt;")&gt;0,"CEK jenis fixture beda dalam satu series","OK")))))))))</f>
        <v/>
      </c>
      <c r="T115" s="11" t="n"/>
      <c r="U115" s="11" t="n"/>
      <c r="V115" s="11">
        <f>IF(OR(T115="",U115=""),"",IFERROR(INDEX(LAYOUT!$D$2:$D$80,MATCH(T115&amp;"|"&amp;U115,LAYOUT!$E$2:$E$80,0)),""))</f>
        <v/>
      </c>
      <c r="W115" s="12">
        <f>IF(AND(T115="",U115=""),IF(AND(L115="",M115="",P115="",Q115=""),IF(OR($D115&lt;&gt;"",$E115&lt;&gt;""),"Belum ditempatkan",""),""),IF(T115="","CEK JENIS FIXTURE kosong",IF(LEFT(T115,4)&lt;&gt;"Wall","CEK Fixture 3 hanya Wall",IF(U115="","CEK SHELVING KE kosong",IF(ISNA(MATCH(T115&amp;"|"&amp;U115,LAYOUT!$E$2:$E$80,0)),"CEK SHELVING KE di luar layout",IF($I115="","CEK SERIES kosong",IF($D115="","Zona STOCK",IF($E115="","CEK SKU DESCRIPTION kosong",IF(COUNTIFS($I$2:$I$500,$I115,T$2:T$500,"&lt;&gt;"&amp;T115,T$2:T$500,"&lt;&gt;")&gt;0,"CEK jenis fixture beda dalam satu series","OK")))))))))</f>
        <v/>
      </c>
      <c r="X115" s="11" t="n"/>
      <c r="Y115" s="11" t="n"/>
      <c r="Z115" s="12" t="n"/>
      <c r="AA115" s="12" t="n"/>
      <c r="AB115" s="11" t="n"/>
      <c r="AC115" s="11" t="n"/>
      <c r="AD115" s="11" t="n"/>
      <c r="AE115" s="11" t="n"/>
      <c r="AF115" s="11" t="n"/>
      <c r="AG115" s="11" t="n"/>
      <c r="AH115" s="12" t="n"/>
      <c r="AI115" s="12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>
        <f>IF(OR(L116="",M116=""),"",IFERROR(INDEX(LAYOUT!$D$2:$D$80,MATCH(L116&amp;"|"&amp;M116,LAYOUT!$E$2:$E$80,0)),""))</f>
        <v/>
      </c>
      <c r="O116" s="12">
        <f>IF(AND(L116="",M116=""),IF(AND(P116="",Q116="",T116="",U116=""),IF(OR($D116&lt;&gt;"",$E116&lt;&gt;""),"Belum ditempatkan",""),""),IF(L116="","CEK JENIS FIXTURE kosong",IF(AND(LEFT(L116,7)&lt;&gt;"Gondola",LEFT(L116,6)&lt;&gt;"Endcap"),"CEK Fixture 1 hanya Gondola atau Endcap",IF(M116="","CEK SHELVING KE kosong",IF(ISNA(MATCH(L116&amp;"|"&amp;M116,LAYOUT!$E$2:$E$80,0)),"CEK SHELVING KE di luar layout",IF($I116="","CEK SERIES kosong",IF($D116="","Zona STOCK",IF($E116="","CEK SKU DESCRIPTION kosong",IF(COUNTIFS($I$2:$I$500,$I116,L$2:L$500,"&lt;&gt;"&amp;L116,L$2:L$500,"&lt;&gt;")&gt;0,"CEK jenis fixture beda dalam satu series","OK")))))))))</f>
        <v/>
      </c>
      <c r="P116" s="11" t="n"/>
      <c r="Q116" s="11" t="n"/>
      <c r="R116" s="11">
        <f>IF(OR(P116="",Q116=""),"",IFERROR(INDEX(LAYOUT!$D$2:$D$80,MATCH(P116&amp;"|"&amp;Q116,LAYOUT!$E$2:$E$80,0)),""))</f>
        <v/>
      </c>
      <c r="S116" s="12">
        <f>IF(AND(P116="",Q116=""),IF(AND(L116="",M116="",T116="",U116=""),IF(OR($D116&lt;&gt;"",$E116&lt;&gt;""),"Belum ditempatkan",""),""),IF(P116="","CEK JENIS FIXTURE kosong",IF(LEFT(P116,4)&lt;&gt;"Wall","CEK Fixture 2 hanya Wall",IF(Q116="","CEK SHELVING KE kosong",IF(ISNA(MATCH(P116&amp;"|"&amp;Q116,LAYOUT!$E$2:$E$80,0)),"CEK SHELVING KE di luar layout",IF($I116="","CEK SERIES kosong",IF($D116="","Zona STOCK",IF($E116="","CEK SKU DESCRIPTION kosong",IF(COUNTIFS($I$2:$I$500,$I116,P$2:P$500,"&lt;&gt;"&amp;P116,P$2:P$500,"&lt;&gt;")&gt;0,"CEK jenis fixture beda dalam satu series","OK")))))))))</f>
        <v/>
      </c>
      <c r="T116" s="11" t="n"/>
      <c r="U116" s="11" t="n"/>
      <c r="V116" s="11">
        <f>IF(OR(T116="",U116=""),"",IFERROR(INDEX(LAYOUT!$D$2:$D$80,MATCH(T116&amp;"|"&amp;U116,LAYOUT!$E$2:$E$80,0)),""))</f>
        <v/>
      </c>
      <c r="W116" s="12">
        <f>IF(AND(T116="",U116=""),IF(AND(L116="",M116="",P116="",Q116=""),IF(OR($D116&lt;&gt;"",$E116&lt;&gt;""),"Belum ditempatkan",""),""),IF(T116="","CEK JENIS FIXTURE kosong",IF(LEFT(T116,4)&lt;&gt;"Wall","CEK Fixture 3 hanya Wall",IF(U116="","CEK SHELVING KE kosong",IF(ISNA(MATCH(T116&amp;"|"&amp;U116,LAYOUT!$E$2:$E$80,0)),"CEK SHELVING KE di luar layout",IF($I116="","CEK SERIES kosong",IF($D116="","Zona STOCK",IF($E116="","CEK SKU DESCRIPTION kosong",IF(COUNTIFS($I$2:$I$500,$I116,T$2:T$500,"&lt;&gt;"&amp;T116,T$2:T$500,"&lt;&gt;")&gt;0,"CEK jenis fixture beda dalam satu series","OK")))))))))</f>
        <v/>
      </c>
      <c r="X116" s="11" t="n"/>
      <c r="Y116" s="11" t="n"/>
      <c r="Z116" s="12" t="n"/>
      <c r="AA116" s="12" t="n"/>
      <c r="AB116" s="11" t="n"/>
      <c r="AC116" s="11" t="n"/>
      <c r="AD116" s="11" t="n"/>
      <c r="AE116" s="11" t="n"/>
      <c r="AF116" s="11" t="n"/>
      <c r="AG116" s="11" t="n"/>
      <c r="AH116" s="12" t="n"/>
      <c r="AI116" s="12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>
        <f>IF(OR(L117="",M117=""),"",IFERROR(INDEX(LAYOUT!$D$2:$D$80,MATCH(L117&amp;"|"&amp;M117,LAYOUT!$E$2:$E$80,0)),""))</f>
        <v/>
      </c>
      <c r="O117" s="12">
        <f>IF(AND(L117="",M117=""),IF(AND(P117="",Q117="",T117="",U117=""),IF(OR($D117&lt;&gt;"",$E117&lt;&gt;""),"Belum ditempatkan",""),""),IF(L117="","CEK JENIS FIXTURE kosong",IF(AND(LEFT(L117,7)&lt;&gt;"Gondola",LEFT(L117,6)&lt;&gt;"Endcap"),"CEK Fixture 1 hanya Gondola atau Endcap",IF(M117="","CEK SHELVING KE kosong",IF(ISNA(MATCH(L117&amp;"|"&amp;M117,LAYOUT!$E$2:$E$80,0)),"CEK SHELVING KE di luar layout",IF($I117="","CEK SERIES kosong",IF($D117="","Zona STOCK",IF($E117="","CEK SKU DESCRIPTION kosong",IF(COUNTIFS($I$2:$I$500,$I117,L$2:L$500,"&lt;&gt;"&amp;L117,L$2:L$500,"&lt;&gt;")&gt;0,"CEK jenis fixture beda dalam satu series","OK")))))))))</f>
        <v/>
      </c>
      <c r="P117" s="11" t="n"/>
      <c r="Q117" s="11" t="n"/>
      <c r="R117" s="11">
        <f>IF(OR(P117="",Q117=""),"",IFERROR(INDEX(LAYOUT!$D$2:$D$80,MATCH(P117&amp;"|"&amp;Q117,LAYOUT!$E$2:$E$80,0)),""))</f>
        <v/>
      </c>
      <c r="S117" s="12">
        <f>IF(AND(P117="",Q117=""),IF(AND(L117="",M117="",T117="",U117=""),IF(OR($D117&lt;&gt;"",$E117&lt;&gt;""),"Belum ditempatkan",""),""),IF(P117="","CEK JENIS FIXTURE kosong",IF(LEFT(P117,4)&lt;&gt;"Wall","CEK Fixture 2 hanya Wall",IF(Q117="","CEK SHELVING KE kosong",IF(ISNA(MATCH(P117&amp;"|"&amp;Q117,LAYOUT!$E$2:$E$80,0)),"CEK SHELVING KE di luar layout",IF($I117="","CEK SERIES kosong",IF($D117="","Zona STOCK",IF($E117="","CEK SKU DESCRIPTION kosong",IF(COUNTIFS($I$2:$I$500,$I117,P$2:P$500,"&lt;&gt;"&amp;P117,P$2:P$500,"&lt;&gt;")&gt;0,"CEK jenis fixture beda dalam satu series","OK")))))))))</f>
        <v/>
      </c>
      <c r="T117" s="11" t="n"/>
      <c r="U117" s="11" t="n"/>
      <c r="V117" s="11">
        <f>IF(OR(T117="",U117=""),"",IFERROR(INDEX(LAYOUT!$D$2:$D$80,MATCH(T117&amp;"|"&amp;U117,LAYOUT!$E$2:$E$80,0)),""))</f>
        <v/>
      </c>
      <c r="W117" s="12">
        <f>IF(AND(T117="",U117=""),IF(AND(L117="",M117="",P117="",Q117=""),IF(OR($D117&lt;&gt;"",$E117&lt;&gt;""),"Belum ditempatkan",""),""),IF(T117="","CEK JENIS FIXTURE kosong",IF(LEFT(T117,4)&lt;&gt;"Wall","CEK Fixture 3 hanya Wall",IF(U117="","CEK SHELVING KE kosong",IF(ISNA(MATCH(T117&amp;"|"&amp;U117,LAYOUT!$E$2:$E$80,0)),"CEK SHELVING KE di luar layout",IF($I117="","CEK SERIES kosong",IF($D117="","Zona STOCK",IF($E117="","CEK SKU DESCRIPTION kosong",IF(COUNTIFS($I$2:$I$500,$I117,T$2:T$500,"&lt;&gt;"&amp;T117,T$2:T$500,"&lt;&gt;")&gt;0,"CEK jenis fixture beda dalam satu series","OK")))))))))</f>
        <v/>
      </c>
      <c r="X117" s="11" t="n"/>
      <c r="Y117" s="11" t="n"/>
      <c r="Z117" s="12" t="n"/>
      <c r="AA117" s="12" t="n"/>
      <c r="AB117" s="11" t="n"/>
      <c r="AC117" s="11" t="n"/>
      <c r="AD117" s="11" t="n"/>
      <c r="AE117" s="11" t="n"/>
      <c r="AF117" s="11" t="n"/>
      <c r="AG117" s="11" t="n"/>
      <c r="AH117" s="12" t="n"/>
      <c r="AI117" s="12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>
        <f>IF(OR(L118="",M118=""),"",IFERROR(INDEX(LAYOUT!$D$2:$D$80,MATCH(L118&amp;"|"&amp;M118,LAYOUT!$E$2:$E$80,0)),""))</f>
        <v/>
      </c>
      <c r="O118" s="12">
        <f>IF(AND(L118="",M118=""),IF(AND(P118="",Q118="",T118="",U118=""),IF(OR($D118&lt;&gt;"",$E118&lt;&gt;""),"Belum ditempatkan",""),""),IF(L118="","CEK JENIS FIXTURE kosong",IF(AND(LEFT(L118,7)&lt;&gt;"Gondola",LEFT(L118,6)&lt;&gt;"Endcap"),"CEK Fixture 1 hanya Gondola atau Endcap",IF(M118="","CEK SHELVING KE kosong",IF(ISNA(MATCH(L118&amp;"|"&amp;M118,LAYOUT!$E$2:$E$80,0)),"CEK SHELVING KE di luar layout",IF($I118="","CEK SERIES kosong",IF($D118="","Zona STOCK",IF($E118="","CEK SKU DESCRIPTION kosong",IF(COUNTIFS($I$2:$I$500,$I118,L$2:L$500,"&lt;&gt;"&amp;L118,L$2:L$500,"&lt;&gt;")&gt;0,"CEK jenis fixture beda dalam satu series","OK")))))))))</f>
        <v/>
      </c>
      <c r="P118" s="11" t="n"/>
      <c r="Q118" s="11" t="n"/>
      <c r="R118" s="11">
        <f>IF(OR(P118="",Q118=""),"",IFERROR(INDEX(LAYOUT!$D$2:$D$80,MATCH(P118&amp;"|"&amp;Q118,LAYOUT!$E$2:$E$80,0)),""))</f>
        <v/>
      </c>
      <c r="S118" s="12">
        <f>IF(AND(P118="",Q118=""),IF(AND(L118="",M118="",T118="",U118=""),IF(OR($D118&lt;&gt;"",$E118&lt;&gt;""),"Belum ditempatkan",""),""),IF(P118="","CEK JENIS FIXTURE kosong",IF(LEFT(P118,4)&lt;&gt;"Wall","CEK Fixture 2 hanya Wall",IF(Q118="","CEK SHELVING KE kosong",IF(ISNA(MATCH(P118&amp;"|"&amp;Q118,LAYOUT!$E$2:$E$80,0)),"CEK SHELVING KE di luar layout",IF($I118="","CEK SERIES kosong",IF($D118="","Zona STOCK",IF($E118="","CEK SKU DESCRIPTION kosong",IF(COUNTIFS($I$2:$I$500,$I118,P$2:P$500,"&lt;&gt;"&amp;P118,P$2:P$500,"&lt;&gt;")&gt;0,"CEK jenis fixture beda dalam satu series","OK")))))))))</f>
        <v/>
      </c>
      <c r="T118" s="11" t="n"/>
      <c r="U118" s="11" t="n"/>
      <c r="V118" s="11">
        <f>IF(OR(T118="",U118=""),"",IFERROR(INDEX(LAYOUT!$D$2:$D$80,MATCH(T118&amp;"|"&amp;U118,LAYOUT!$E$2:$E$80,0)),""))</f>
        <v/>
      </c>
      <c r="W118" s="12">
        <f>IF(AND(T118="",U118=""),IF(AND(L118="",M118="",P118="",Q118=""),IF(OR($D118&lt;&gt;"",$E118&lt;&gt;""),"Belum ditempatkan",""),""),IF(T118="","CEK JENIS FIXTURE kosong",IF(LEFT(T118,4)&lt;&gt;"Wall","CEK Fixture 3 hanya Wall",IF(U118="","CEK SHELVING KE kosong",IF(ISNA(MATCH(T118&amp;"|"&amp;U118,LAYOUT!$E$2:$E$80,0)),"CEK SHELVING KE di luar layout",IF($I118="","CEK SERIES kosong",IF($D118="","Zona STOCK",IF($E118="","CEK SKU DESCRIPTION kosong",IF(COUNTIFS($I$2:$I$500,$I118,T$2:T$500,"&lt;&gt;"&amp;T118,T$2:T$500,"&lt;&gt;")&gt;0,"CEK jenis fixture beda dalam satu series","OK")))))))))</f>
        <v/>
      </c>
      <c r="X118" s="11" t="n"/>
      <c r="Y118" s="11" t="n"/>
      <c r="Z118" s="12" t="n"/>
      <c r="AA118" s="12" t="n"/>
      <c r="AB118" s="11" t="n"/>
      <c r="AC118" s="11" t="n"/>
      <c r="AD118" s="11" t="n"/>
      <c r="AE118" s="11" t="n"/>
      <c r="AF118" s="11" t="n"/>
      <c r="AG118" s="11" t="n"/>
      <c r="AH118" s="12" t="n"/>
      <c r="AI118" s="12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>
        <f>IF(OR(L119="",M119=""),"",IFERROR(INDEX(LAYOUT!$D$2:$D$80,MATCH(L119&amp;"|"&amp;M119,LAYOUT!$E$2:$E$80,0)),""))</f>
        <v/>
      </c>
      <c r="O119" s="12">
        <f>IF(AND(L119="",M119=""),IF(AND(P119="",Q119="",T119="",U119=""),IF(OR($D119&lt;&gt;"",$E119&lt;&gt;""),"Belum ditempatkan",""),""),IF(L119="","CEK JENIS FIXTURE kosong",IF(AND(LEFT(L119,7)&lt;&gt;"Gondola",LEFT(L119,6)&lt;&gt;"Endcap"),"CEK Fixture 1 hanya Gondola atau Endcap",IF(M119="","CEK SHELVING KE kosong",IF(ISNA(MATCH(L119&amp;"|"&amp;M119,LAYOUT!$E$2:$E$80,0)),"CEK SHELVING KE di luar layout",IF($I119="","CEK SERIES kosong",IF($D119="","Zona STOCK",IF($E119="","CEK SKU DESCRIPTION kosong",IF(COUNTIFS($I$2:$I$500,$I119,L$2:L$500,"&lt;&gt;"&amp;L119,L$2:L$500,"&lt;&gt;")&gt;0,"CEK jenis fixture beda dalam satu series","OK")))))))))</f>
        <v/>
      </c>
      <c r="P119" s="11" t="n"/>
      <c r="Q119" s="11" t="n"/>
      <c r="R119" s="11">
        <f>IF(OR(P119="",Q119=""),"",IFERROR(INDEX(LAYOUT!$D$2:$D$80,MATCH(P119&amp;"|"&amp;Q119,LAYOUT!$E$2:$E$80,0)),""))</f>
        <v/>
      </c>
      <c r="S119" s="12">
        <f>IF(AND(P119="",Q119=""),IF(AND(L119="",M119="",T119="",U119=""),IF(OR($D119&lt;&gt;"",$E119&lt;&gt;""),"Belum ditempatkan",""),""),IF(P119="","CEK JENIS FIXTURE kosong",IF(LEFT(P119,4)&lt;&gt;"Wall","CEK Fixture 2 hanya Wall",IF(Q119="","CEK SHELVING KE kosong",IF(ISNA(MATCH(P119&amp;"|"&amp;Q119,LAYOUT!$E$2:$E$80,0)),"CEK SHELVING KE di luar layout",IF($I119="","CEK SERIES kosong",IF($D119="","Zona STOCK",IF($E119="","CEK SKU DESCRIPTION kosong",IF(COUNTIFS($I$2:$I$500,$I119,P$2:P$500,"&lt;&gt;"&amp;P119,P$2:P$500,"&lt;&gt;")&gt;0,"CEK jenis fixture beda dalam satu series","OK")))))))))</f>
        <v/>
      </c>
      <c r="T119" s="11" t="n"/>
      <c r="U119" s="11" t="n"/>
      <c r="V119" s="11">
        <f>IF(OR(T119="",U119=""),"",IFERROR(INDEX(LAYOUT!$D$2:$D$80,MATCH(T119&amp;"|"&amp;U119,LAYOUT!$E$2:$E$80,0)),""))</f>
        <v/>
      </c>
      <c r="W119" s="12">
        <f>IF(AND(T119="",U119=""),IF(AND(L119="",M119="",P119="",Q119=""),IF(OR($D119&lt;&gt;"",$E119&lt;&gt;""),"Belum ditempatkan",""),""),IF(T119="","CEK JENIS FIXTURE kosong",IF(LEFT(T119,4)&lt;&gt;"Wall","CEK Fixture 3 hanya Wall",IF(U119="","CEK SHELVING KE kosong",IF(ISNA(MATCH(T119&amp;"|"&amp;U119,LAYOUT!$E$2:$E$80,0)),"CEK SHELVING KE di luar layout",IF($I119="","CEK SERIES kosong",IF($D119="","Zona STOCK",IF($E119="","CEK SKU DESCRIPTION kosong",IF(COUNTIFS($I$2:$I$500,$I119,T$2:T$500,"&lt;&gt;"&amp;T119,T$2:T$500,"&lt;&gt;")&gt;0,"CEK jenis fixture beda dalam satu series","OK")))))))))</f>
        <v/>
      </c>
      <c r="X119" s="11" t="n"/>
      <c r="Y119" s="11" t="n"/>
      <c r="Z119" s="12" t="n"/>
      <c r="AA119" s="12" t="n"/>
      <c r="AB119" s="11" t="n"/>
      <c r="AC119" s="11" t="n"/>
      <c r="AD119" s="11" t="n"/>
      <c r="AE119" s="11" t="n"/>
      <c r="AF119" s="11" t="n"/>
      <c r="AG119" s="11" t="n"/>
      <c r="AH119" s="12" t="n"/>
      <c r="AI119" s="12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>
        <f>IF(OR(L120="",M120=""),"",IFERROR(INDEX(LAYOUT!$D$2:$D$80,MATCH(L120&amp;"|"&amp;M120,LAYOUT!$E$2:$E$80,0)),""))</f>
        <v/>
      </c>
      <c r="O120" s="12">
        <f>IF(AND(L120="",M120=""),IF(AND(P120="",Q120="",T120="",U120=""),IF(OR($D120&lt;&gt;"",$E120&lt;&gt;""),"Belum ditempatkan",""),""),IF(L120="","CEK JENIS FIXTURE kosong",IF(AND(LEFT(L120,7)&lt;&gt;"Gondola",LEFT(L120,6)&lt;&gt;"Endcap"),"CEK Fixture 1 hanya Gondola atau Endcap",IF(M120="","CEK SHELVING KE kosong",IF(ISNA(MATCH(L120&amp;"|"&amp;M120,LAYOUT!$E$2:$E$80,0)),"CEK SHELVING KE di luar layout",IF($I120="","CEK SERIES kosong",IF($D120="","Zona STOCK",IF($E120="","CEK SKU DESCRIPTION kosong",IF(COUNTIFS($I$2:$I$500,$I120,L$2:L$500,"&lt;&gt;"&amp;L120,L$2:L$500,"&lt;&gt;")&gt;0,"CEK jenis fixture beda dalam satu series","OK")))))))))</f>
        <v/>
      </c>
      <c r="P120" s="11" t="n"/>
      <c r="Q120" s="11" t="n"/>
      <c r="R120" s="11">
        <f>IF(OR(P120="",Q120=""),"",IFERROR(INDEX(LAYOUT!$D$2:$D$80,MATCH(P120&amp;"|"&amp;Q120,LAYOUT!$E$2:$E$80,0)),""))</f>
        <v/>
      </c>
      <c r="S120" s="12">
        <f>IF(AND(P120="",Q120=""),IF(AND(L120="",M120="",T120="",U120=""),IF(OR($D120&lt;&gt;"",$E120&lt;&gt;""),"Belum ditempatkan",""),""),IF(P120="","CEK JENIS FIXTURE kosong",IF(LEFT(P120,4)&lt;&gt;"Wall","CEK Fixture 2 hanya Wall",IF(Q120="","CEK SHELVING KE kosong",IF(ISNA(MATCH(P120&amp;"|"&amp;Q120,LAYOUT!$E$2:$E$80,0)),"CEK SHELVING KE di luar layout",IF($I120="","CEK SERIES kosong",IF($D120="","Zona STOCK",IF($E120="","CEK SKU DESCRIPTION kosong",IF(COUNTIFS($I$2:$I$500,$I120,P$2:P$500,"&lt;&gt;"&amp;P120,P$2:P$500,"&lt;&gt;")&gt;0,"CEK jenis fixture beda dalam satu series","OK")))))))))</f>
        <v/>
      </c>
      <c r="T120" s="11" t="n"/>
      <c r="U120" s="11" t="n"/>
      <c r="V120" s="11">
        <f>IF(OR(T120="",U120=""),"",IFERROR(INDEX(LAYOUT!$D$2:$D$80,MATCH(T120&amp;"|"&amp;U120,LAYOUT!$E$2:$E$80,0)),""))</f>
        <v/>
      </c>
      <c r="W120" s="12">
        <f>IF(AND(T120="",U120=""),IF(AND(L120="",M120="",P120="",Q120=""),IF(OR($D120&lt;&gt;"",$E120&lt;&gt;""),"Belum ditempatkan",""),""),IF(T120="","CEK JENIS FIXTURE kosong",IF(LEFT(T120,4)&lt;&gt;"Wall","CEK Fixture 3 hanya Wall",IF(U120="","CEK SHELVING KE kosong",IF(ISNA(MATCH(T120&amp;"|"&amp;U120,LAYOUT!$E$2:$E$80,0)),"CEK SHELVING KE di luar layout",IF($I120="","CEK SERIES kosong",IF($D120="","Zona STOCK",IF($E120="","CEK SKU DESCRIPTION kosong",IF(COUNTIFS($I$2:$I$500,$I120,T$2:T$500,"&lt;&gt;"&amp;T120,T$2:T$500,"&lt;&gt;")&gt;0,"CEK jenis fixture beda dalam satu series","OK")))))))))</f>
        <v/>
      </c>
      <c r="X120" s="11" t="n"/>
      <c r="Y120" s="11" t="n"/>
      <c r="Z120" s="12" t="n"/>
      <c r="AA120" s="12" t="n"/>
      <c r="AB120" s="11" t="n"/>
      <c r="AC120" s="11" t="n"/>
      <c r="AD120" s="11" t="n"/>
      <c r="AE120" s="11" t="n"/>
      <c r="AF120" s="11" t="n"/>
      <c r="AG120" s="11" t="n"/>
      <c r="AH120" s="12" t="n"/>
      <c r="AI120" s="12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>
        <f>IF(OR(L121="",M121=""),"",IFERROR(INDEX(LAYOUT!$D$2:$D$80,MATCH(L121&amp;"|"&amp;M121,LAYOUT!$E$2:$E$80,0)),""))</f>
        <v/>
      </c>
      <c r="O121" s="12">
        <f>IF(AND(L121="",M121=""),IF(AND(P121="",Q121="",T121="",U121=""),IF(OR($D121&lt;&gt;"",$E121&lt;&gt;""),"Belum ditempatkan",""),""),IF(L121="","CEK JENIS FIXTURE kosong",IF(AND(LEFT(L121,7)&lt;&gt;"Gondola",LEFT(L121,6)&lt;&gt;"Endcap"),"CEK Fixture 1 hanya Gondola atau Endcap",IF(M121="","CEK SHELVING KE kosong",IF(ISNA(MATCH(L121&amp;"|"&amp;M121,LAYOUT!$E$2:$E$80,0)),"CEK SHELVING KE di luar layout",IF($I121="","CEK SERIES kosong",IF($D121="","Zona STOCK",IF($E121="","CEK SKU DESCRIPTION kosong",IF(COUNTIFS($I$2:$I$500,$I121,L$2:L$500,"&lt;&gt;"&amp;L121,L$2:L$500,"&lt;&gt;")&gt;0,"CEK jenis fixture beda dalam satu series","OK")))))))))</f>
        <v/>
      </c>
      <c r="P121" s="11" t="n"/>
      <c r="Q121" s="11" t="n"/>
      <c r="R121" s="11">
        <f>IF(OR(P121="",Q121=""),"",IFERROR(INDEX(LAYOUT!$D$2:$D$80,MATCH(P121&amp;"|"&amp;Q121,LAYOUT!$E$2:$E$80,0)),""))</f>
        <v/>
      </c>
      <c r="S121" s="12">
        <f>IF(AND(P121="",Q121=""),IF(AND(L121="",M121="",T121="",U121=""),IF(OR($D121&lt;&gt;"",$E121&lt;&gt;""),"Belum ditempatkan",""),""),IF(P121="","CEK JENIS FIXTURE kosong",IF(LEFT(P121,4)&lt;&gt;"Wall","CEK Fixture 2 hanya Wall",IF(Q121="","CEK SHELVING KE kosong",IF(ISNA(MATCH(P121&amp;"|"&amp;Q121,LAYOUT!$E$2:$E$80,0)),"CEK SHELVING KE di luar layout",IF($I121="","CEK SERIES kosong",IF($D121="","Zona STOCK",IF($E121="","CEK SKU DESCRIPTION kosong",IF(COUNTIFS($I$2:$I$500,$I121,P$2:P$500,"&lt;&gt;"&amp;P121,P$2:P$500,"&lt;&gt;")&gt;0,"CEK jenis fixture beda dalam satu series","OK")))))))))</f>
        <v/>
      </c>
      <c r="T121" s="11" t="n"/>
      <c r="U121" s="11" t="n"/>
      <c r="V121" s="11">
        <f>IF(OR(T121="",U121=""),"",IFERROR(INDEX(LAYOUT!$D$2:$D$80,MATCH(T121&amp;"|"&amp;U121,LAYOUT!$E$2:$E$80,0)),""))</f>
        <v/>
      </c>
      <c r="W121" s="12">
        <f>IF(AND(T121="",U121=""),IF(AND(L121="",M121="",P121="",Q121=""),IF(OR($D121&lt;&gt;"",$E121&lt;&gt;""),"Belum ditempatkan",""),""),IF(T121="","CEK JENIS FIXTURE kosong",IF(LEFT(T121,4)&lt;&gt;"Wall","CEK Fixture 3 hanya Wall",IF(U121="","CEK SHELVING KE kosong",IF(ISNA(MATCH(T121&amp;"|"&amp;U121,LAYOUT!$E$2:$E$80,0)),"CEK SHELVING KE di luar layout",IF($I121="","CEK SERIES kosong",IF($D121="","Zona STOCK",IF($E121="","CEK SKU DESCRIPTION kosong",IF(COUNTIFS($I$2:$I$500,$I121,T$2:T$500,"&lt;&gt;"&amp;T121,T$2:T$500,"&lt;&gt;")&gt;0,"CEK jenis fixture beda dalam satu series","OK")))))))))</f>
        <v/>
      </c>
      <c r="X121" s="11" t="n"/>
      <c r="Y121" s="11" t="n"/>
      <c r="Z121" s="12" t="n"/>
      <c r="AA121" s="12" t="n"/>
      <c r="AB121" s="11" t="n"/>
      <c r="AC121" s="11" t="n"/>
      <c r="AD121" s="11" t="n"/>
      <c r="AE121" s="11" t="n"/>
      <c r="AF121" s="11" t="n"/>
      <c r="AG121" s="11" t="n"/>
      <c r="AH121" s="12" t="n"/>
      <c r="AI121" s="12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>
        <f>IF(OR(L122="",M122=""),"",IFERROR(INDEX(LAYOUT!$D$2:$D$80,MATCH(L122&amp;"|"&amp;M122,LAYOUT!$E$2:$E$80,0)),""))</f>
        <v/>
      </c>
      <c r="O122" s="12">
        <f>IF(AND(L122="",M122=""),IF(AND(P122="",Q122="",T122="",U122=""),IF(OR($D122&lt;&gt;"",$E122&lt;&gt;""),"Belum ditempatkan",""),""),IF(L122="","CEK JENIS FIXTURE kosong",IF(AND(LEFT(L122,7)&lt;&gt;"Gondola",LEFT(L122,6)&lt;&gt;"Endcap"),"CEK Fixture 1 hanya Gondola atau Endcap",IF(M122="","CEK SHELVING KE kosong",IF(ISNA(MATCH(L122&amp;"|"&amp;M122,LAYOUT!$E$2:$E$80,0)),"CEK SHELVING KE di luar layout",IF($I122="","CEK SERIES kosong",IF($D122="","Zona STOCK",IF($E122="","CEK SKU DESCRIPTION kosong",IF(COUNTIFS($I$2:$I$500,$I122,L$2:L$500,"&lt;&gt;"&amp;L122,L$2:L$500,"&lt;&gt;")&gt;0,"CEK jenis fixture beda dalam satu series","OK")))))))))</f>
        <v/>
      </c>
      <c r="P122" s="11" t="n"/>
      <c r="Q122" s="11" t="n"/>
      <c r="R122" s="11">
        <f>IF(OR(P122="",Q122=""),"",IFERROR(INDEX(LAYOUT!$D$2:$D$80,MATCH(P122&amp;"|"&amp;Q122,LAYOUT!$E$2:$E$80,0)),""))</f>
        <v/>
      </c>
      <c r="S122" s="12">
        <f>IF(AND(P122="",Q122=""),IF(AND(L122="",M122="",T122="",U122=""),IF(OR($D122&lt;&gt;"",$E122&lt;&gt;""),"Belum ditempatkan",""),""),IF(P122="","CEK JENIS FIXTURE kosong",IF(LEFT(P122,4)&lt;&gt;"Wall","CEK Fixture 2 hanya Wall",IF(Q122="","CEK SHELVING KE kosong",IF(ISNA(MATCH(P122&amp;"|"&amp;Q122,LAYOUT!$E$2:$E$80,0)),"CEK SHELVING KE di luar layout",IF($I122="","CEK SERIES kosong",IF($D122="","Zona STOCK",IF($E122="","CEK SKU DESCRIPTION kosong",IF(COUNTIFS($I$2:$I$500,$I122,P$2:P$500,"&lt;&gt;"&amp;P122,P$2:P$500,"&lt;&gt;")&gt;0,"CEK jenis fixture beda dalam satu series","OK")))))))))</f>
        <v/>
      </c>
      <c r="T122" s="11" t="n"/>
      <c r="U122" s="11" t="n"/>
      <c r="V122" s="11">
        <f>IF(OR(T122="",U122=""),"",IFERROR(INDEX(LAYOUT!$D$2:$D$80,MATCH(T122&amp;"|"&amp;U122,LAYOUT!$E$2:$E$80,0)),""))</f>
        <v/>
      </c>
      <c r="W122" s="12">
        <f>IF(AND(T122="",U122=""),IF(AND(L122="",M122="",P122="",Q122=""),IF(OR($D122&lt;&gt;"",$E122&lt;&gt;""),"Belum ditempatkan",""),""),IF(T122="","CEK JENIS FIXTURE kosong",IF(LEFT(T122,4)&lt;&gt;"Wall","CEK Fixture 3 hanya Wall",IF(U122="","CEK SHELVING KE kosong",IF(ISNA(MATCH(T122&amp;"|"&amp;U122,LAYOUT!$E$2:$E$80,0)),"CEK SHELVING KE di luar layout",IF($I122="","CEK SERIES kosong",IF($D122="","Zona STOCK",IF($E122="","CEK SKU DESCRIPTION kosong",IF(COUNTIFS($I$2:$I$500,$I122,T$2:T$500,"&lt;&gt;"&amp;T122,T$2:T$500,"&lt;&gt;")&gt;0,"CEK jenis fixture beda dalam satu series","OK")))))))))</f>
        <v/>
      </c>
      <c r="X122" s="11" t="n"/>
      <c r="Y122" s="11" t="n"/>
      <c r="Z122" s="12" t="n"/>
      <c r="AA122" s="12" t="n"/>
      <c r="AB122" s="11" t="n"/>
      <c r="AC122" s="11" t="n"/>
      <c r="AD122" s="11" t="n"/>
      <c r="AE122" s="11" t="n"/>
      <c r="AF122" s="11" t="n"/>
      <c r="AG122" s="11" t="n"/>
      <c r="AH122" s="12" t="n"/>
      <c r="AI122" s="12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>
        <f>IF(OR(L123="",M123=""),"",IFERROR(INDEX(LAYOUT!$D$2:$D$80,MATCH(L123&amp;"|"&amp;M123,LAYOUT!$E$2:$E$80,0)),""))</f>
        <v/>
      </c>
      <c r="O123" s="12">
        <f>IF(AND(L123="",M123=""),IF(AND(P123="",Q123="",T123="",U123=""),IF(OR($D123&lt;&gt;"",$E123&lt;&gt;""),"Belum ditempatkan",""),""),IF(L123="","CEK JENIS FIXTURE kosong",IF(AND(LEFT(L123,7)&lt;&gt;"Gondola",LEFT(L123,6)&lt;&gt;"Endcap"),"CEK Fixture 1 hanya Gondola atau Endcap",IF(M123="","CEK SHELVING KE kosong",IF(ISNA(MATCH(L123&amp;"|"&amp;M123,LAYOUT!$E$2:$E$80,0)),"CEK SHELVING KE di luar layout",IF($I123="","CEK SERIES kosong",IF($D123="","Zona STOCK",IF($E123="","CEK SKU DESCRIPTION kosong",IF(COUNTIFS($I$2:$I$500,$I123,L$2:L$500,"&lt;&gt;"&amp;L123,L$2:L$500,"&lt;&gt;")&gt;0,"CEK jenis fixture beda dalam satu series","OK")))))))))</f>
        <v/>
      </c>
      <c r="P123" s="11" t="n"/>
      <c r="Q123" s="11" t="n"/>
      <c r="R123" s="11">
        <f>IF(OR(P123="",Q123=""),"",IFERROR(INDEX(LAYOUT!$D$2:$D$80,MATCH(P123&amp;"|"&amp;Q123,LAYOUT!$E$2:$E$80,0)),""))</f>
        <v/>
      </c>
      <c r="S123" s="12">
        <f>IF(AND(P123="",Q123=""),IF(AND(L123="",M123="",T123="",U123=""),IF(OR($D123&lt;&gt;"",$E123&lt;&gt;""),"Belum ditempatkan",""),""),IF(P123="","CEK JENIS FIXTURE kosong",IF(LEFT(P123,4)&lt;&gt;"Wall","CEK Fixture 2 hanya Wall",IF(Q123="","CEK SHELVING KE kosong",IF(ISNA(MATCH(P123&amp;"|"&amp;Q123,LAYOUT!$E$2:$E$80,0)),"CEK SHELVING KE di luar layout",IF($I123="","CEK SERIES kosong",IF($D123="","Zona STOCK",IF($E123="","CEK SKU DESCRIPTION kosong",IF(COUNTIFS($I$2:$I$500,$I123,P$2:P$500,"&lt;&gt;"&amp;P123,P$2:P$500,"&lt;&gt;")&gt;0,"CEK jenis fixture beda dalam satu series","OK")))))))))</f>
        <v/>
      </c>
      <c r="T123" s="11" t="n"/>
      <c r="U123" s="11" t="n"/>
      <c r="V123" s="11">
        <f>IF(OR(T123="",U123=""),"",IFERROR(INDEX(LAYOUT!$D$2:$D$80,MATCH(T123&amp;"|"&amp;U123,LAYOUT!$E$2:$E$80,0)),""))</f>
        <v/>
      </c>
      <c r="W123" s="12">
        <f>IF(AND(T123="",U123=""),IF(AND(L123="",M123="",P123="",Q123=""),IF(OR($D123&lt;&gt;"",$E123&lt;&gt;""),"Belum ditempatkan",""),""),IF(T123="","CEK JENIS FIXTURE kosong",IF(LEFT(T123,4)&lt;&gt;"Wall","CEK Fixture 3 hanya Wall",IF(U123="","CEK SHELVING KE kosong",IF(ISNA(MATCH(T123&amp;"|"&amp;U123,LAYOUT!$E$2:$E$80,0)),"CEK SHELVING KE di luar layout",IF($I123="","CEK SERIES kosong",IF($D123="","Zona STOCK",IF($E123="","CEK SKU DESCRIPTION kosong",IF(COUNTIFS($I$2:$I$500,$I123,T$2:T$500,"&lt;&gt;"&amp;T123,T$2:T$500,"&lt;&gt;")&gt;0,"CEK jenis fixture beda dalam satu series","OK")))))))))</f>
        <v/>
      </c>
      <c r="X123" s="11" t="n"/>
      <c r="Y123" s="11" t="n"/>
      <c r="Z123" s="12" t="n"/>
      <c r="AA123" s="12" t="n"/>
      <c r="AB123" s="11" t="n"/>
      <c r="AC123" s="11" t="n"/>
      <c r="AD123" s="11" t="n"/>
      <c r="AE123" s="11" t="n"/>
      <c r="AF123" s="11" t="n"/>
      <c r="AG123" s="11" t="n"/>
      <c r="AH123" s="12" t="n"/>
      <c r="AI123" s="12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>
        <f>IF(OR(L124="",M124=""),"",IFERROR(INDEX(LAYOUT!$D$2:$D$80,MATCH(L124&amp;"|"&amp;M124,LAYOUT!$E$2:$E$80,0)),""))</f>
        <v/>
      </c>
      <c r="O124" s="12">
        <f>IF(AND(L124="",M124=""),IF(AND(P124="",Q124="",T124="",U124=""),IF(OR($D124&lt;&gt;"",$E124&lt;&gt;""),"Belum ditempatkan",""),""),IF(L124="","CEK JENIS FIXTURE kosong",IF(AND(LEFT(L124,7)&lt;&gt;"Gondola",LEFT(L124,6)&lt;&gt;"Endcap"),"CEK Fixture 1 hanya Gondola atau Endcap",IF(M124="","CEK SHELVING KE kosong",IF(ISNA(MATCH(L124&amp;"|"&amp;M124,LAYOUT!$E$2:$E$80,0)),"CEK SHELVING KE di luar layout",IF($I124="","CEK SERIES kosong",IF($D124="","Zona STOCK",IF($E124="","CEK SKU DESCRIPTION kosong",IF(COUNTIFS($I$2:$I$500,$I124,L$2:L$500,"&lt;&gt;"&amp;L124,L$2:L$500,"&lt;&gt;")&gt;0,"CEK jenis fixture beda dalam satu series","OK")))))))))</f>
        <v/>
      </c>
      <c r="P124" s="11" t="n"/>
      <c r="Q124" s="11" t="n"/>
      <c r="R124" s="11">
        <f>IF(OR(P124="",Q124=""),"",IFERROR(INDEX(LAYOUT!$D$2:$D$80,MATCH(P124&amp;"|"&amp;Q124,LAYOUT!$E$2:$E$80,0)),""))</f>
        <v/>
      </c>
      <c r="S124" s="12">
        <f>IF(AND(P124="",Q124=""),IF(AND(L124="",M124="",T124="",U124=""),IF(OR($D124&lt;&gt;"",$E124&lt;&gt;""),"Belum ditempatkan",""),""),IF(P124="","CEK JENIS FIXTURE kosong",IF(LEFT(P124,4)&lt;&gt;"Wall","CEK Fixture 2 hanya Wall",IF(Q124="","CEK SHELVING KE kosong",IF(ISNA(MATCH(P124&amp;"|"&amp;Q124,LAYOUT!$E$2:$E$80,0)),"CEK SHELVING KE di luar layout",IF($I124="","CEK SERIES kosong",IF($D124="","Zona STOCK",IF($E124="","CEK SKU DESCRIPTION kosong",IF(COUNTIFS($I$2:$I$500,$I124,P$2:P$500,"&lt;&gt;"&amp;P124,P$2:P$500,"&lt;&gt;")&gt;0,"CEK jenis fixture beda dalam satu series","OK")))))))))</f>
        <v/>
      </c>
      <c r="T124" s="11" t="n"/>
      <c r="U124" s="11" t="n"/>
      <c r="V124" s="11">
        <f>IF(OR(T124="",U124=""),"",IFERROR(INDEX(LAYOUT!$D$2:$D$80,MATCH(T124&amp;"|"&amp;U124,LAYOUT!$E$2:$E$80,0)),""))</f>
        <v/>
      </c>
      <c r="W124" s="12">
        <f>IF(AND(T124="",U124=""),IF(AND(L124="",M124="",P124="",Q124=""),IF(OR($D124&lt;&gt;"",$E124&lt;&gt;""),"Belum ditempatkan",""),""),IF(T124="","CEK JENIS FIXTURE kosong",IF(LEFT(T124,4)&lt;&gt;"Wall","CEK Fixture 3 hanya Wall",IF(U124="","CEK SHELVING KE kosong",IF(ISNA(MATCH(T124&amp;"|"&amp;U124,LAYOUT!$E$2:$E$80,0)),"CEK SHELVING KE di luar layout",IF($I124="","CEK SERIES kosong",IF($D124="","Zona STOCK",IF($E124="","CEK SKU DESCRIPTION kosong",IF(COUNTIFS($I$2:$I$500,$I124,T$2:T$500,"&lt;&gt;"&amp;T124,T$2:T$500,"&lt;&gt;")&gt;0,"CEK jenis fixture beda dalam satu series","OK")))))))))</f>
        <v/>
      </c>
      <c r="X124" s="11" t="n"/>
      <c r="Y124" s="11" t="n"/>
      <c r="Z124" s="12" t="n"/>
      <c r="AA124" s="12" t="n"/>
      <c r="AB124" s="11" t="n"/>
      <c r="AC124" s="11" t="n"/>
      <c r="AD124" s="11" t="n"/>
      <c r="AE124" s="11" t="n"/>
      <c r="AF124" s="11" t="n"/>
      <c r="AG124" s="11" t="n"/>
      <c r="AH124" s="12" t="n"/>
      <c r="AI124" s="12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>
        <f>IF(OR(L125="",M125=""),"",IFERROR(INDEX(LAYOUT!$D$2:$D$80,MATCH(L125&amp;"|"&amp;M125,LAYOUT!$E$2:$E$80,0)),""))</f>
        <v/>
      </c>
      <c r="O125" s="12">
        <f>IF(AND(L125="",M125=""),IF(AND(P125="",Q125="",T125="",U125=""),IF(OR($D125&lt;&gt;"",$E125&lt;&gt;""),"Belum ditempatkan",""),""),IF(L125="","CEK JENIS FIXTURE kosong",IF(AND(LEFT(L125,7)&lt;&gt;"Gondola",LEFT(L125,6)&lt;&gt;"Endcap"),"CEK Fixture 1 hanya Gondola atau Endcap",IF(M125="","CEK SHELVING KE kosong",IF(ISNA(MATCH(L125&amp;"|"&amp;M125,LAYOUT!$E$2:$E$80,0)),"CEK SHELVING KE di luar layout",IF($I125="","CEK SERIES kosong",IF($D125="","Zona STOCK",IF($E125="","CEK SKU DESCRIPTION kosong",IF(COUNTIFS($I$2:$I$500,$I125,L$2:L$500,"&lt;&gt;"&amp;L125,L$2:L$500,"&lt;&gt;")&gt;0,"CEK jenis fixture beda dalam satu series","OK")))))))))</f>
        <v/>
      </c>
      <c r="P125" s="11" t="n"/>
      <c r="Q125" s="11" t="n"/>
      <c r="R125" s="11">
        <f>IF(OR(P125="",Q125=""),"",IFERROR(INDEX(LAYOUT!$D$2:$D$80,MATCH(P125&amp;"|"&amp;Q125,LAYOUT!$E$2:$E$80,0)),""))</f>
        <v/>
      </c>
      <c r="S125" s="12">
        <f>IF(AND(P125="",Q125=""),IF(AND(L125="",M125="",T125="",U125=""),IF(OR($D125&lt;&gt;"",$E125&lt;&gt;""),"Belum ditempatkan",""),""),IF(P125="","CEK JENIS FIXTURE kosong",IF(LEFT(P125,4)&lt;&gt;"Wall","CEK Fixture 2 hanya Wall",IF(Q125="","CEK SHELVING KE kosong",IF(ISNA(MATCH(P125&amp;"|"&amp;Q125,LAYOUT!$E$2:$E$80,0)),"CEK SHELVING KE di luar layout",IF($I125="","CEK SERIES kosong",IF($D125="","Zona STOCK",IF($E125="","CEK SKU DESCRIPTION kosong",IF(COUNTIFS($I$2:$I$500,$I125,P$2:P$500,"&lt;&gt;"&amp;P125,P$2:P$500,"&lt;&gt;")&gt;0,"CEK jenis fixture beda dalam satu series","OK")))))))))</f>
        <v/>
      </c>
      <c r="T125" s="11" t="n"/>
      <c r="U125" s="11" t="n"/>
      <c r="V125" s="11">
        <f>IF(OR(T125="",U125=""),"",IFERROR(INDEX(LAYOUT!$D$2:$D$80,MATCH(T125&amp;"|"&amp;U125,LAYOUT!$E$2:$E$80,0)),""))</f>
        <v/>
      </c>
      <c r="W125" s="12">
        <f>IF(AND(T125="",U125=""),IF(AND(L125="",M125="",P125="",Q125=""),IF(OR($D125&lt;&gt;"",$E125&lt;&gt;""),"Belum ditempatkan",""),""),IF(T125="","CEK JENIS FIXTURE kosong",IF(LEFT(T125,4)&lt;&gt;"Wall","CEK Fixture 3 hanya Wall",IF(U125="","CEK SHELVING KE kosong",IF(ISNA(MATCH(T125&amp;"|"&amp;U125,LAYOUT!$E$2:$E$80,0)),"CEK SHELVING KE di luar layout",IF($I125="","CEK SERIES kosong",IF($D125="","Zona STOCK",IF($E125="","CEK SKU DESCRIPTION kosong",IF(COUNTIFS($I$2:$I$500,$I125,T$2:T$500,"&lt;&gt;"&amp;T125,T$2:T$500,"&lt;&gt;")&gt;0,"CEK jenis fixture beda dalam satu series","OK")))))))))</f>
        <v/>
      </c>
      <c r="X125" s="11" t="n"/>
      <c r="Y125" s="11" t="n"/>
      <c r="Z125" s="12" t="n"/>
      <c r="AA125" s="12" t="n"/>
      <c r="AB125" s="11" t="n"/>
      <c r="AC125" s="11" t="n"/>
      <c r="AD125" s="11" t="n"/>
      <c r="AE125" s="11" t="n"/>
      <c r="AF125" s="11" t="n"/>
      <c r="AG125" s="11" t="n"/>
      <c r="AH125" s="12" t="n"/>
      <c r="AI125" s="12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>
        <f>IF(OR(L126="",M126=""),"",IFERROR(INDEX(LAYOUT!$D$2:$D$80,MATCH(L126&amp;"|"&amp;M126,LAYOUT!$E$2:$E$80,0)),""))</f>
        <v/>
      </c>
      <c r="O126" s="12">
        <f>IF(AND(L126="",M126=""),IF(AND(P126="",Q126="",T126="",U126=""),IF(OR($D126&lt;&gt;"",$E126&lt;&gt;""),"Belum ditempatkan",""),""),IF(L126="","CEK JENIS FIXTURE kosong",IF(AND(LEFT(L126,7)&lt;&gt;"Gondola",LEFT(L126,6)&lt;&gt;"Endcap"),"CEK Fixture 1 hanya Gondola atau Endcap",IF(M126="","CEK SHELVING KE kosong",IF(ISNA(MATCH(L126&amp;"|"&amp;M126,LAYOUT!$E$2:$E$80,0)),"CEK SHELVING KE di luar layout",IF($I126="","CEK SERIES kosong",IF($D126="","Zona STOCK",IF($E126="","CEK SKU DESCRIPTION kosong",IF(COUNTIFS($I$2:$I$500,$I126,L$2:L$500,"&lt;&gt;"&amp;L126,L$2:L$500,"&lt;&gt;")&gt;0,"CEK jenis fixture beda dalam satu series","OK")))))))))</f>
        <v/>
      </c>
      <c r="P126" s="11" t="n"/>
      <c r="Q126" s="11" t="n"/>
      <c r="R126" s="11">
        <f>IF(OR(P126="",Q126=""),"",IFERROR(INDEX(LAYOUT!$D$2:$D$80,MATCH(P126&amp;"|"&amp;Q126,LAYOUT!$E$2:$E$80,0)),""))</f>
        <v/>
      </c>
      <c r="S126" s="12">
        <f>IF(AND(P126="",Q126=""),IF(AND(L126="",M126="",T126="",U126=""),IF(OR($D126&lt;&gt;"",$E126&lt;&gt;""),"Belum ditempatkan",""),""),IF(P126="","CEK JENIS FIXTURE kosong",IF(LEFT(P126,4)&lt;&gt;"Wall","CEK Fixture 2 hanya Wall",IF(Q126="","CEK SHELVING KE kosong",IF(ISNA(MATCH(P126&amp;"|"&amp;Q126,LAYOUT!$E$2:$E$80,0)),"CEK SHELVING KE di luar layout",IF($I126="","CEK SERIES kosong",IF($D126="","Zona STOCK",IF($E126="","CEK SKU DESCRIPTION kosong",IF(COUNTIFS($I$2:$I$500,$I126,P$2:P$500,"&lt;&gt;"&amp;P126,P$2:P$500,"&lt;&gt;")&gt;0,"CEK jenis fixture beda dalam satu series","OK")))))))))</f>
        <v/>
      </c>
      <c r="T126" s="11" t="n"/>
      <c r="U126" s="11" t="n"/>
      <c r="V126" s="11">
        <f>IF(OR(T126="",U126=""),"",IFERROR(INDEX(LAYOUT!$D$2:$D$80,MATCH(T126&amp;"|"&amp;U126,LAYOUT!$E$2:$E$80,0)),""))</f>
        <v/>
      </c>
      <c r="W126" s="12">
        <f>IF(AND(T126="",U126=""),IF(AND(L126="",M126="",P126="",Q126=""),IF(OR($D126&lt;&gt;"",$E126&lt;&gt;""),"Belum ditempatkan",""),""),IF(T126="","CEK JENIS FIXTURE kosong",IF(LEFT(T126,4)&lt;&gt;"Wall","CEK Fixture 3 hanya Wall",IF(U126="","CEK SHELVING KE kosong",IF(ISNA(MATCH(T126&amp;"|"&amp;U126,LAYOUT!$E$2:$E$80,0)),"CEK SHELVING KE di luar layout",IF($I126="","CEK SERIES kosong",IF($D126="","Zona STOCK",IF($E126="","CEK SKU DESCRIPTION kosong",IF(COUNTIFS($I$2:$I$500,$I126,T$2:T$500,"&lt;&gt;"&amp;T126,T$2:T$500,"&lt;&gt;")&gt;0,"CEK jenis fixture beda dalam satu series","OK")))))))))</f>
        <v/>
      </c>
      <c r="X126" s="11" t="n"/>
      <c r="Y126" s="11" t="n"/>
      <c r="Z126" s="12" t="n"/>
      <c r="AA126" s="12" t="n"/>
      <c r="AB126" s="11" t="n"/>
      <c r="AC126" s="11" t="n"/>
      <c r="AD126" s="11" t="n"/>
      <c r="AE126" s="11" t="n"/>
      <c r="AF126" s="11" t="n"/>
      <c r="AG126" s="11" t="n"/>
      <c r="AH126" s="12" t="n"/>
      <c r="AI126" s="12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>
        <f>IF(OR(L127="",M127=""),"",IFERROR(INDEX(LAYOUT!$D$2:$D$80,MATCH(L127&amp;"|"&amp;M127,LAYOUT!$E$2:$E$80,0)),""))</f>
        <v/>
      </c>
      <c r="O127" s="12">
        <f>IF(AND(L127="",M127=""),IF(AND(P127="",Q127="",T127="",U127=""),IF(OR($D127&lt;&gt;"",$E127&lt;&gt;""),"Belum ditempatkan",""),""),IF(L127="","CEK JENIS FIXTURE kosong",IF(AND(LEFT(L127,7)&lt;&gt;"Gondola",LEFT(L127,6)&lt;&gt;"Endcap"),"CEK Fixture 1 hanya Gondola atau Endcap",IF(M127="","CEK SHELVING KE kosong",IF(ISNA(MATCH(L127&amp;"|"&amp;M127,LAYOUT!$E$2:$E$80,0)),"CEK SHELVING KE di luar layout",IF($I127="","CEK SERIES kosong",IF($D127="","Zona STOCK",IF($E127="","CEK SKU DESCRIPTION kosong",IF(COUNTIFS($I$2:$I$500,$I127,L$2:L$500,"&lt;&gt;"&amp;L127,L$2:L$500,"&lt;&gt;")&gt;0,"CEK jenis fixture beda dalam satu series","OK")))))))))</f>
        <v/>
      </c>
      <c r="P127" s="11" t="n"/>
      <c r="Q127" s="11" t="n"/>
      <c r="R127" s="11">
        <f>IF(OR(P127="",Q127=""),"",IFERROR(INDEX(LAYOUT!$D$2:$D$80,MATCH(P127&amp;"|"&amp;Q127,LAYOUT!$E$2:$E$80,0)),""))</f>
        <v/>
      </c>
      <c r="S127" s="12">
        <f>IF(AND(P127="",Q127=""),IF(AND(L127="",M127="",T127="",U127=""),IF(OR($D127&lt;&gt;"",$E127&lt;&gt;""),"Belum ditempatkan",""),""),IF(P127="","CEK JENIS FIXTURE kosong",IF(LEFT(P127,4)&lt;&gt;"Wall","CEK Fixture 2 hanya Wall",IF(Q127="","CEK SHELVING KE kosong",IF(ISNA(MATCH(P127&amp;"|"&amp;Q127,LAYOUT!$E$2:$E$80,0)),"CEK SHELVING KE di luar layout",IF($I127="","CEK SERIES kosong",IF($D127="","Zona STOCK",IF($E127="","CEK SKU DESCRIPTION kosong",IF(COUNTIFS($I$2:$I$500,$I127,P$2:P$500,"&lt;&gt;"&amp;P127,P$2:P$500,"&lt;&gt;")&gt;0,"CEK jenis fixture beda dalam satu series","OK")))))))))</f>
        <v/>
      </c>
      <c r="T127" s="11" t="n"/>
      <c r="U127" s="11" t="n"/>
      <c r="V127" s="11">
        <f>IF(OR(T127="",U127=""),"",IFERROR(INDEX(LAYOUT!$D$2:$D$80,MATCH(T127&amp;"|"&amp;U127,LAYOUT!$E$2:$E$80,0)),""))</f>
        <v/>
      </c>
      <c r="W127" s="12">
        <f>IF(AND(T127="",U127=""),IF(AND(L127="",M127="",P127="",Q127=""),IF(OR($D127&lt;&gt;"",$E127&lt;&gt;""),"Belum ditempatkan",""),""),IF(T127="","CEK JENIS FIXTURE kosong",IF(LEFT(T127,4)&lt;&gt;"Wall","CEK Fixture 3 hanya Wall",IF(U127="","CEK SHELVING KE kosong",IF(ISNA(MATCH(T127&amp;"|"&amp;U127,LAYOUT!$E$2:$E$80,0)),"CEK SHELVING KE di luar layout",IF($I127="","CEK SERIES kosong",IF($D127="","Zona STOCK",IF($E127="","CEK SKU DESCRIPTION kosong",IF(COUNTIFS($I$2:$I$500,$I127,T$2:T$500,"&lt;&gt;"&amp;T127,T$2:T$500,"&lt;&gt;")&gt;0,"CEK jenis fixture beda dalam satu series","OK")))))))))</f>
        <v/>
      </c>
      <c r="X127" s="11" t="n"/>
      <c r="Y127" s="11" t="n"/>
      <c r="Z127" s="12" t="n"/>
      <c r="AA127" s="12" t="n"/>
      <c r="AB127" s="11" t="n"/>
      <c r="AC127" s="11" t="n"/>
      <c r="AD127" s="11" t="n"/>
      <c r="AE127" s="11" t="n"/>
      <c r="AF127" s="11" t="n"/>
      <c r="AG127" s="11" t="n"/>
      <c r="AH127" s="12" t="n"/>
      <c r="AI127" s="12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>
        <f>IF(OR(L128="",M128=""),"",IFERROR(INDEX(LAYOUT!$D$2:$D$80,MATCH(L128&amp;"|"&amp;M128,LAYOUT!$E$2:$E$80,0)),""))</f>
        <v/>
      </c>
      <c r="O128" s="12">
        <f>IF(AND(L128="",M128=""),IF(AND(P128="",Q128="",T128="",U128=""),IF(OR($D128&lt;&gt;"",$E128&lt;&gt;""),"Belum ditempatkan",""),""),IF(L128="","CEK JENIS FIXTURE kosong",IF(AND(LEFT(L128,7)&lt;&gt;"Gondola",LEFT(L128,6)&lt;&gt;"Endcap"),"CEK Fixture 1 hanya Gondola atau Endcap",IF(M128="","CEK SHELVING KE kosong",IF(ISNA(MATCH(L128&amp;"|"&amp;M128,LAYOUT!$E$2:$E$80,0)),"CEK SHELVING KE di luar layout",IF($I128="","CEK SERIES kosong",IF($D128="","Zona STOCK",IF($E128="","CEK SKU DESCRIPTION kosong",IF(COUNTIFS($I$2:$I$500,$I128,L$2:L$500,"&lt;&gt;"&amp;L128,L$2:L$500,"&lt;&gt;")&gt;0,"CEK jenis fixture beda dalam satu series","OK")))))))))</f>
        <v/>
      </c>
      <c r="P128" s="11" t="n"/>
      <c r="Q128" s="11" t="n"/>
      <c r="R128" s="11">
        <f>IF(OR(P128="",Q128=""),"",IFERROR(INDEX(LAYOUT!$D$2:$D$80,MATCH(P128&amp;"|"&amp;Q128,LAYOUT!$E$2:$E$80,0)),""))</f>
        <v/>
      </c>
      <c r="S128" s="12">
        <f>IF(AND(P128="",Q128=""),IF(AND(L128="",M128="",T128="",U128=""),IF(OR($D128&lt;&gt;"",$E128&lt;&gt;""),"Belum ditempatkan",""),""),IF(P128="","CEK JENIS FIXTURE kosong",IF(LEFT(P128,4)&lt;&gt;"Wall","CEK Fixture 2 hanya Wall",IF(Q128="","CEK SHELVING KE kosong",IF(ISNA(MATCH(P128&amp;"|"&amp;Q128,LAYOUT!$E$2:$E$80,0)),"CEK SHELVING KE di luar layout",IF($I128="","CEK SERIES kosong",IF($D128="","Zona STOCK",IF($E128="","CEK SKU DESCRIPTION kosong",IF(COUNTIFS($I$2:$I$500,$I128,P$2:P$500,"&lt;&gt;"&amp;P128,P$2:P$500,"&lt;&gt;")&gt;0,"CEK jenis fixture beda dalam satu series","OK")))))))))</f>
        <v/>
      </c>
      <c r="T128" s="11" t="n"/>
      <c r="U128" s="11" t="n"/>
      <c r="V128" s="11">
        <f>IF(OR(T128="",U128=""),"",IFERROR(INDEX(LAYOUT!$D$2:$D$80,MATCH(T128&amp;"|"&amp;U128,LAYOUT!$E$2:$E$80,0)),""))</f>
        <v/>
      </c>
      <c r="W128" s="12">
        <f>IF(AND(T128="",U128=""),IF(AND(L128="",M128="",P128="",Q128=""),IF(OR($D128&lt;&gt;"",$E128&lt;&gt;""),"Belum ditempatkan",""),""),IF(T128="","CEK JENIS FIXTURE kosong",IF(LEFT(T128,4)&lt;&gt;"Wall","CEK Fixture 3 hanya Wall",IF(U128="","CEK SHELVING KE kosong",IF(ISNA(MATCH(T128&amp;"|"&amp;U128,LAYOUT!$E$2:$E$80,0)),"CEK SHELVING KE di luar layout",IF($I128="","CEK SERIES kosong",IF($D128="","Zona STOCK",IF($E128="","CEK SKU DESCRIPTION kosong",IF(COUNTIFS($I$2:$I$500,$I128,T$2:T$500,"&lt;&gt;"&amp;T128,T$2:T$500,"&lt;&gt;")&gt;0,"CEK jenis fixture beda dalam satu series","OK")))))))))</f>
        <v/>
      </c>
      <c r="X128" s="11" t="n"/>
      <c r="Y128" s="11" t="n"/>
      <c r="Z128" s="12" t="n"/>
      <c r="AA128" s="12" t="n"/>
      <c r="AB128" s="11" t="n"/>
      <c r="AC128" s="11" t="n"/>
      <c r="AD128" s="11" t="n"/>
      <c r="AE128" s="11" t="n"/>
      <c r="AF128" s="11" t="n"/>
      <c r="AG128" s="11" t="n"/>
      <c r="AH128" s="12" t="n"/>
      <c r="AI128" s="12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>
        <f>IF(OR(L129="",M129=""),"",IFERROR(INDEX(LAYOUT!$D$2:$D$80,MATCH(L129&amp;"|"&amp;M129,LAYOUT!$E$2:$E$80,0)),""))</f>
        <v/>
      </c>
      <c r="O129" s="12">
        <f>IF(AND(L129="",M129=""),IF(AND(P129="",Q129="",T129="",U129=""),IF(OR($D129&lt;&gt;"",$E129&lt;&gt;""),"Belum ditempatkan",""),""),IF(L129="","CEK JENIS FIXTURE kosong",IF(AND(LEFT(L129,7)&lt;&gt;"Gondola",LEFT(L129,6)&lt;&gt;"Endcap"),"CEK Fixture 1 hanya Gondola atau Endcap",IF(M129="","CEK SHELVING KE kosong",IF(ISNA(MATCH(L129&amp;"|"&amp;M129,LAYOUT!$E$2:$E$80,0)),"CEK SHELVING KE di luar layout",IF($I129="","CEK SERIES kosong",IF($D129="","Zona STOCK",IF($E129="","CEK SKU DESCRIPTION kosong",IF(COUNTIFS($I$2:$I$500,$I129,L$2:L$500,"&lt;&gt;"&amp;L129,L$2:L$500,"&lt;&gt;")&gt;0,"CEK jenis fixture beda dalam satu series","OK")))))))))</f>
        <v/>
      </c>
      <c r="P129" s="11" t="n"/>
      <c r="Q129" s="11" t="n"/>
      <c r="R129" s="11">
        <f>IF(OR(P129="",Q129=""),"",IFERROR(INDEX(LAYOUT!$D$2:$D$80,MATCH(P129&amp;"|"&amp;Q129,LAYOUT!$E$2:$E$80,0)),""))</f>
        <v/>
      </c>
      <c r="S129" s="12">
        <f>IF(AND(P129="",Q129=""),IF(AND(L129="",M129="",T129="",U129=""),IF(OR($D129&lt;&gt;"",$E129&lt;&gt;""),"Belum ditempatkan",""),""),IF(P129="","CEK JENIS FIXTURE kosong",IF(LEFT(P129,4)&lt;&gt;"Wall","CEK Fixture 2 hanya Wall",IF(Q129="","CEK SHELVING KE kosong",IF(ISNA(MATCH(P129&amp;"|"&amp;Q129,LAYOUT!$E$2:$E$80,0)),"CEK SHELVING KE di luar layout",IF($I129="","CEK SERIES kosong",IF($D129="","Zona STOCK",IF($E129="","CEK SKU DESCRIPTION kosong",IF(COUNTIFS($I$2:$I$500,$I129,P$2:P$500,"&lt;&gt;"&amp;P129,P$2:P$500,"&lt;&gt;")&gt;0,"CEK jenis fixture beda dalam satu series","OK")))))))))</f>
        <v/>
      </c>
      <c r="T129" s="11" t="n"/>
      <c r="U129" s="11" t="n"/>
      <c r="V129" s="11">
        <f>IF(OR(T129="",U129=""),"",IFERROR(INDEX(LAYOUT!$D$2:$D$80,MATCH(T129&amp;"|"&amp;U129,LAYOUT!$E$2:$E$80,0)),""))</f>
        <v/>
      </c>
      <c r="W129" s="12">
        <f>IF(AND(T129="",U129=""),IF(AND(L129="",M129="",P129="",Q129=""),IF(OR($D129&lt;&gt;"",$E129&lt;&gt;""),"Belum ditempatkan",""),""),IF(T129="","CEK JENIS FIXTURE kosong",IF(LEFT(T129,4)&lt;&gt;"Wall","CEK Fixture 3 hanya Wall",IF(U129="","CEK SHELVING KE kosong",IF(ISNA(MATCH(T129&amp;"|"&amp;U129,LAYOUT!$E$2:$E$80,0)),"CEK SHELVING KE di luar layout",IF($I129="","CEK SERIES kosong",IF($D129="","Zona STOCK",IF($E129="","CEK SKU DESCRIPTION kosong",IF(COUNTIFS($I$2:$I$500,$I129,T$2:T$500,"&lt;&gt;"&amp;T129,T$2:T$500,"&lt;&gt;")&gt;0,"CEK jenis fixture beda dalam satu series","OK")))))))))</f>
        <v/>
      </c>
      <c r="X129" s="11" t="n"/>
      <c r="Y129" s="11" t="n"/>
      <c r="Z129" s="12" t="n"/>
      <c r="AA129" s="12" t="n"/>
      <c r="AB129" s="11" t="n"/>
      <c r="AC129" s="11" t="n"/>
      <c r="AD129" s="11" t="n"/>
      <c r="AE129" s="11" t="n"/>
      <c r="AF129" s="11" t="n"/>
      <c r="AG129" s="11" t="n"/>
      <c r="AH129" s="12" t="n"/>
      <c r="AI129" s="12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>
        <f>IF(OR(L130="",M130=""),"",IFERROR(INDEX(LAYOUT!$D$2:$D$80,MATCH(L130&amp;"|"&amp;M130,LAYOUT!$E$2:$E$80,0)),""))</f>
        <v/>
      </c>
      <c r="O130" s="12">
        <f>IF(AND(L130="",M130=""),IF(AND(P130="",Q130="",T130="",U130=""),IF(OR($D130&lt;&gt;"",$E130&lt;&gt;""),"Belum ditempatkan",""),""),IF(L130="","CEK JENIS FIXTURE kosong",IF(AND(LEFT(L130,7)&lt;&gt;"Gondola",LEFT(L130,6)&lt;&gt;"Endcap"),"CEK Fixture 1 hanya Gondola atau Endcap",IF(M130="","CEK SHELVING KE kosong",IF(ISNA(MATCH(L130&amp;"|"&amp;M130,LAYOUT!$E$2:$E$80,0)),"CEK SHELVING KE di luar layout",IF($I130="","CEK SERIES kosong",IF($D130="","Zona STOCK",IF($E130="","CEK SKU DESCRIPTION kosong",IF(COUNTIFS($I$2:$I$500,$I130,L$2:L$500,"&lt;&gt;"&amp;L130,L$2:L$500,"&lt;&gt;")&gt;0,"CEK jenis fixture beda dalam satu series","OK")))))))))</f>
        <v/>
      </c>
      <c r="P130" s="11" t="n"/>
      <c r="Q130" s="11" t="n"/>
      <c r="R130" s="11">
        <f>IF(OR(P130="",Q130=""),"",IFERROR(INDEX(LAYOUT!$D$2:$D$80,MATCH(P130&amp;"|"&amp;Q130,LAYOUT!$E$2:$E$80,0)),""))</f>
        <v/>
      </c>
      <c r="S130" s="12">
        <f>IF(AND(P130="",Q130=""),IF(AND(L130="",M130="",T130="",U130=""),IF(OR($D130&lt;&gt;"",$E130&lt;&gt;""),"Belum ditempatkan",""),""),IF(P130="","CEK JENIS FIXTURE kosong",IF(LEFT(P130,4)&lt;&gt;"Wall","CEK Fixture 2 hanya Wall",IF(Q130="","CEK SHELVING KE kosong",IF(ISNA(MATCH(P130&amp;"|"&amp;Q130,LAYOUT!$E$2:$E$80,0)),"CEK SHELVING KE di luar layout",IF($I130="","CEK SERIES kosong",IF($D130="","Zona STOCK",IF($E130="","CEK SKU DESCRIPTION kosong",IF(COUNTIFS($I$2:$I$500,$I130,P$2:P$500,"&lt;&gt;"&amp;P130,P$2:P$500,"&lt;&gt;")&gt;0,"CEK jenis fixture beda dalam satu series","OK")))))))))</f>
        <v/>
      </c>
      <c r="T130" s="11" t="n"/>
      <c r="U130" s="11" t="n"/>
      <c r="V130" s="11">
        <f>IF(OR(T130="",U130=""),"",IFERROR(INDEX(LAYOUT!$D$2:$D$80,MATCH(T130&amp;"|"&amp;U130,LAYOUT!$E$2:$E$80,0)),""))</f>
        <v/>
      </c>
      <c r="W130" s="12">
        <f>IF(AND(T130="",U130=""),IF(AND(L130="",M130="",P130="",Q130=""),IF(OR($D130&lt;&gt;"",$E130&lt;&gt;""),"Belum ditempatkan",""),""),IF(T130="","CEK JENIS FIXTURE kosong",IF(LEFT(T130,4)&lt;&gt;"Wall","CEK Fixture 3 hanya Wall",IF(U130="","CEK SHELVING KE kosong",IF(ISNA(MATCH(T130&amp;"|"&amp;U130,LAYOUT!$E$2:$E$80,0)),"CEK SHELVING KE di luar layout",IF($I130="","CEK SERIES kosong",IF($D130="","Zona STOCK",IF($E130="","CEK SKU DESCRIPTION kosong",IF(COUNTIFS($I$2:$I$500,$I130,T$2:T$500,"&lt;&gt;"&amp;T130,T$2:T$500,"&lt;&gt;")&gt;0,"CEK jenis fixture beda dalam satu series","OK")))))))))</f>
        <v/>
      </c>
      <c r="X130" s="11" t="n"/>
      <c r="Y130" s="11" t="n"/>
      <c r="Z130" s="12" t="n"/>
      <c r="AA130" s="12" t="n"/>
      <c r="AB130" s="11" t="n"/>
      <c r="AC130" s="11" t="n"/>
      <c r="AD130" s="11" t="n"/>
      <c r="AE130" s="11" t="n"/>
      <c r="AF130" s="11" t="n"/>
      <c r="AG130" s="11" t="n"/>
      <c r="AH130" s="12" t="n"/>
      <c r="AI130" s="12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>
        <f>IF(OR(L131="",M131=""),"",IFERROR(INDEX(LAYOUT!$D$2:$D$80,MATCH(L131&amp;"|"&amp;M131,LAYOUT!$E$2:$E$80,0)),""))</f>
        <v/>
      </c>
      <c r="O131" s="12">
        <f>IF(AND(L131="",M131=""),IF(AND(P131="",Q131="",T131="",U131=""),IF(OR($D131&lt;&gt;"",$E131&lt;&gt;""),"Belum ditempatkan",""),""),IF(L131="","CEK JENIS FIXTURE kosong",IF(AND(LEFT(L131,7)&lt;&gt;"Gondola",LEFT(L131,6)&lt;&gt;"Endcap"),"CEK Fixture 1 hanya Gondola atau Endcap",IF(M131="","CEK SHELVING KE kosong",IF(ISNA(MATCH(L131&amp;"|"&amp;M131,LAYOUT!$E$2:$E$80,0)),"CEK SHELVING KE di luar layout",IF($I131="","CEK SERIES kosong",IF($D131="","Zona STOCK",IF($E131="","CEK SKU DESCRIPTION kosong",IF(COUNTIFS($I$2:$I$500,$I131,L$2:L$500,"&lt;&gt;"&amp;L131,L$2:L$500,"&lt;&gt;")&gt;0,"CEK jenis fixture beda dalam satu series","OK")))))))))</f>
        <v/>
      </c>
      <c r="P131" s="11" t="n"/>
      <c r="Q131" s="11" t="n"/>
      <c r="R131" s="11">
        <f>IF(OR(P131="",Q131=""),"",IFERROR(INDEX(LAYOUT!$D$2:$D$80,MATCH(P131&amp;"|"&amp;Q131,LAYOUT!$E$2:$E$80,0)),""))</f>
        <v/>
      </c>
      <c r="S131" s="12">
        <f>IF(AND(P131="",Q131=""),IF(AND(L131="",M131="",T131="",U131=""),IF(OR($D131&lt;&gt;"",$E131&lt;&gt;""),"Belum ditempatkan",""),""),IF(P131="","CEK JENIS FIXTURE kosong",IF(LEFT(P131,4)&lt;&gt;"Wall","CEK Fixture 2 hanya Wall",IF(Q131="","CEK SHELVING KE kosong",IF(ISNA(MATCH(P131&amp;"|"&amp;Q131,LAYOUT!$E$2:$E$80,0)),"CEK SHELVING KE di luar layout",IF($I131="","CEK SERIES kosong",IF($D131="","Zona STOCK",IF($E131="","CEK SKU DESCRIPTION kosong",IF(COUNTIFS($I$2:$I$500,$I131,P$2:P$500,"&lt;&gt;"&amp;P131,P$2:P$500,"&lt;&gt;")&gt;0,"CEK jenis fixture beda dalam satu series","OK")))))))))</f>
        <v/>
      </c>
      <c r="T131" s="11" t="n"/>
      <c r="U131" s="11" t="n"/>
      <c r="V131" s="11">
        <f>IF(OR(T131="",U131=""),"",IFERROR(INDEX(LAYOUT!$D$2:$D$80,MATCH(T131&amp;"|"&amp;U131,LAYOUT!$E$2:$E$80,0)),""))</f>
        <v/>
      </c>
      <c r="W131" s="12">
        <f>IF(AND(T131="",U131=""),IF(AND(L131="",M131="",P131="",Q131=""),IF(OR($D131&lt;&gt;"",$E131&lt;&gt;""),"Belum ditempatkan",""),""),IF(T131="","CEK JENIS FIXTURE kosong",IF(LEFT(T131,4)&lt;&gt;"Wall","CEK Fixture 3 hanya Wall",IF(U131="","CEK SHELVING KE kosong",IF(ISNA(MATCH(T131&amp;"|"&amp;U131,LAYOUT!$E$2:$E$80,0)),"CEK SHELVING KE di luar layout",IF($I131="","CEK SERIES kosong",IF($D131="","Zona STOCK",IF($E131="","CEK SKU DESCRIPTION kosong",IF(COUNTIFS($I$2:$I$500,$I131,T$2:T$500,"&lt;&gt;"&amp;T131,T$2:T$500,"&lt;&gt;")&gt;0,"CEK jenis fixture beda dalam satu series","OK")))))))))</f>
        <v/>
      </c>
      <c r="X131" s="11" t="n"/>
      <c r="Y131" s="11" t="n"/>
      <c r="Z131" s="12" t="n"/>
      <c r="AA131" s="12" t="n"/>
      <c r="AB131" s="11" t="n"/>
      <c r="AC131" s="11" t="n"/>
      <c r="AD131" s="11" t="n"/>
      <c r="AE131" s="11" t="n"/>
      <c r="AF131" s="11" t="n"/>
      <c r="AG131" s="11" t="n"/>
      <c r="AH131" s="12" t="n"/>
      <c r="AI131" s="12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>
        <f>IF(OR(L132="",M132=""),"",IFERROR(INDEX(LAYOUT!$D$2:$D$80,MATCH(L132&amp;"|"&amp;M132,LAYOUT!$E$2:$E$80,0)),""))</f>
        <v/>
      </c>
      <c r="O132" s="12">
        <f>IF(AND(L132="",M132=""),IF(AND(P132="",Q132="",T132="",U132=""),IF(OR($D132&lt;&gt;"",$E132&lt;&gt;""),"Belum ditempatkan",""),""),IF(L132="","CEK JENIS FIXTURE kosong",IF(AND(LEFT(L132,7)&lt;&gt;"Gondola",LEFT(L132,6)&lt;&gt;"Endcap"),"CEK Fixture 1 hanya Gondola atau Endcap",IF(M132="","CEK SHELVING KE kosong",IF(ISNA(MATCH(L132&amp;"|"&amp;M132,LAYOUT!$E$2:$E$80,0)),"CEK SHELVING KE di luar layout",IF($I132="","CEK SERIES kosong",IF($D132="","Zona STOCK",IF($E132="","CEK SKU DESCRIPTION kosong",IF(COUNTIFS($I$2:$I$500,$I132,L$2:L$500,"&lt;&gt;"&amp;L132,L$2:L$500,"&lt;&gt;")&gt;0,"CEK jenis fixture beda dalam satu series","OK")))))))))</f>
        <v/>
      </c>
      <c r="P132" s="11" t="n"/>
      <c r="Q132" s="11" t="n"/>
      <c r="R132" s="11">
        <f>IF(OR(P132="",Q132=""),"",IFERROR(INDEX(LAYOUT!$D$2:$D$80,MATCH(P132&amp;"|"&amp;Q132,LAYOUT!$E$2:$E$80,0)),""))</f>
        <v/>
      </c>
      <c r="S132" s="12">
        <f>IF(AND(P132="",Q132=""),IF(AND(L132="",M132="",T132="",U132=""),IF(OR($D132&lt;&gt;"",$E132&lt;&gt;""),"Belum ditempatkan",""),""),IF(P132="","CEK JENIS FIXTURE kosong",IF(LEFT(P132,4)&lt;&gt;"Wall","CEK Fixture 2 hanya Wall",IF(Q132="","CEK SHELVING KE kosong",IF(ISNA(MATCH(P132&amp;"|"&amp;Q132,LAYOUT!$E$2:$E$80,0)),"CEK SHELVING KE di luar layout",IF($I132="","CEK SERIES kosong",IF($D132="","Zona STOCK",IF($E132="","CEK SKU DESCRIPTION kosong",IF(COUNTIFS($I$2:$I$500,$I132,P$2:P$500,"&lt;&gt;"&amp;P132,P$2:P$500,"&lt;&gt;")&gt;0,"CEK jenis fixture beda dalam satu series","OK")))))))))</f>
        <v/>
      </c>
      <c r="T132" s="11" t="n"/>
      <c r="U132" s="11" t="n"/>
      <c r="V132" s="11">
        <f>IF(OR(T132="",U132=""),"",IFERROR(INDEX(LAYOUT!$D$2:$D$80,MATCH(T132&amp;"|"&amp;U132,LAYOUT!$E$2:$E$80,0)),""))</f>
        <v/>
      </c>
      <c r="W132" s="12">
        <f>IF(AND(T132="",U132=""),IF(AND(L132="",M132="",P132="",Q132=""),IF(OR($D132&lt;&gt;"",$E132&lt;&gt;""),"Belum ditempatkan",""),""),IF(T132="","CEK JENIS FIXTURE kosong",IF(LEFT(T132,4)&lt;&gt;"Wall","CEK Fixture 3 hanya Wall",IF(U132="","CEK SHELVING KE kosong",IF(ISNA(MATCH(T132&amp;"|"&amp;U132,LAYOUT!$E$2:$E$80,0)),"CEK SHELVING KE di luar layout",IF($I132="","CEK SERIES kosong",IF($D132="","Zona STOCK",IF($E132="","CEK SKU DESCRIPTION kosong",IF(COUNTIFS($I$2:$I$500,$I132,T$2:T$500,"&lt;&gt;"&amp;T132,T$2:T$500,"&lt;&gt;")&gt;0,"CEK jenis fixture beda dalam satu series","OK")))))))))</f>
        <v/>
      </c>
      <c r="X132" s="11" t="n"/>
      <c r="Y132" s="11" t="n"/>
      <c r="Z132" s="12" t="n"/>
      <c r="AA132" s="12" t="n"/>
      <c r="AB132" s="11" t="n"/>
      <c r="AC132" s="11" t="n"/>
      <c r="AD132" s="11" t="n"/>
      <c r="AE132" s="11" t="n"/>
      <c r="AF132" s="11" t="n"/>
      <c r="AG132" s="11" t="n"/>
      <c r="AH132" s="12" t="n"/>
      <c r="AI132" s="12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>
        <f>IF(OR(L133="",M133=""),"",IFERROR(INDEX(LAYOUT!$D$2:$D$80,MATCH(L133&amp;"|"&amp;M133,LAYOUT!$E$2:$E$80,0)),""))</f>
        <v/>
      </c>
      <c r="O133" s="12">
        <f>IF(AND(L133="",M133=""),IF(AND(P133="",Q133="",T133="",U133=""),IF(OR($D133&lt;&gt;"",$E133&lt;&gt;""),"Belum ditempatkan",""),""),IF(L133="","CEK JENIS FIXTURE kosong",IF(AND(LEFT(L133,7)&lt;&gt;"Gondola",LEFT(L133,6)&lt;&gt;"Endcap"),"CEK Fixture 1 hanya Gondola atau Endcap",IF(M133="","CEK SHELVING KE kosong",IF(ISNA(MATCH(L133&amp;"|"&amp;M133,LAYOUT!$E$2:$E$80,0)),"CEK SHELVING KE di luar layout",IF($I133="","CEK SERIES kosong",IF($D133="","Zona STOCK",IF($E133="","CEK SKU DESCRIPTION kosong",IF(COUNTIFS($I$2:$I$500,$I133,L$2:L$500,"&lt;&gt;"&amp;L133,L$2:L$500,"&lt;&gt;")&gt;0,"CEK jenis fixture beda dalam satu series","OK")))))))))</f>
        <v/>
      </c>
      <c r="P133" s="11" t="n"/>
      <c r="Q133" s="11" t="n"/>
      <c r="R133" s="11">
        <f>IF(OR(P133="",Q133=""),"",IFERROR(INDEX(LAYOUT!$D$2:$D$80,MATCH(P133&amp;"|"&amp;Q133,LAYOUT!$E$2:$E$80,0)),""))</f>
        <v/>
      </c>
      <c r="S133" s="12">
        <f>IF(AND(P133="",Q133=""),IF(AND(L133="",M133="",T133="",U133=""),IF(OR($D133&lt;&gt;"",$E133&lt;&gt;""),"Belum ditempatkan",""),""),IF(P133="","CEK JENIS FIXTURE kosong",IF(LEFT(P133,4)&lt;&gt;"Wall","CEK Fixture 2 hanya Wall",IF(Q133="","CEK SHELVING KE kosong",IF(ISNA(MATCH(P133&amp;"|"&amp;Q133,LAYOUT!$E$2:$E$80,0)),"CEK SHELVING KE di luar layout",IF($I133="","CEK SERIES kosong",IF($D133="","Zona STOCK",IF($E133="","CEK SKU DESCRIPTION kosong",IF(COUNTIFS($I$2:$I$500,$I133,P$2:P$500,"&lt;&gt;"&amp;P133,P$2:P$500,"&lt;&gt;")&gt;0,"CEK jenis fixture beda dalam satu series","OK")))))))))</f>
        <v/>
      </c>
      <c r="T133" s="11" t="n"/>
      <c r="U133" s="11" t="n"/>
      <c r="V133" s="11">
        <f>IF(OR(T133="",U133=""),"",IFERROR(INDEX(LAYOUT!$D$2:$D$80,MATCH(T133&amp;"|"&amp;U133,LAYOUT!$E$2:$E$80,0)),""))</f>
        <v/>
      </c>
      <c r="W133" s="12">
        <f>IF(AND(T133="",U133=""),IF(AND(L133="",M133="",P133="",Q133=""),IF(OR($D133&lt;&gt;"",$E133&lt;&gt;""),"Belum ditempatkan",""),""),IF(T133="","CEK JENIS FIXTURE kosong",IF(LEFT(T133,4)&lt;&gt;"Wall","CEK Fixture 3 hanya Wall",IF(U133="","CEK SHELVING KE kosong",IF(ISNA(MATCH(T133&amp;"|"&amp;U133,LAYOUT!$E$2:$E$80,0)),"CEK SHELVING KE di luar layout",IF($I133="","CEK SERIES kosong",IF($D133="","Zona STOCK",IF($E133="","CEK SKU DESCRIPTION kosong",IF(COUNTIFS($I$2:$I$500,$I133,T$2:T$500,"&lt;&gt;"&amp;T133,T$2:T$500,"&lt;&gt;")&gt;0,"CEK jenis fixture beda dalam satu series","OK")))))))))</f>
        <v/>
      </c>
      <c r="X133" s="11" t="n"/>
      <c r="Y133" s="11" t="n"/>
      <c r="Z133" s="12" t="n"/>
      <c r="AA133" s="12" t="n"/>
      <c r="AB133" s="11" t="n"/>
      <c r="AC133" s="11" t="n"/>
      <c r="AD133" s="11" t="n"/>
      <c r="AE133" s="11" t="n"/>
      <c r="AF133" s="11" t="n"/>
      <c r="AG133" s="11" t="n"/>
      <c r="AH133" s="12" t="n"/>
      <c r="AI133" s="12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>
        <f>IF(OR(L134="",M134=""),"",IFERROR(INDEX(LAYOUT!$D$2:$D$80,MATCH(L134&amp;"|"&amp;M134,LAYOUT!$E$2:$E$80,0)),""))</f>
        <v/>
      </c>
      <c r="O134" s="12">
        <f>IF(AND(L134="",M134=""),IF(AND(P134="",Q134="",T134="",U134=""),IF(OR($D134&lt;&gt;"",$E134&lt;&gt;""),"Belum ditempatkan",""),""),IF(L134="","CEK JENIS FIXTURE kosong",IF(AND(LEFT(L134,7)&lt;&gt;"Gondola",LEFT(L134,6)&lt;&gt;"Endcap"),"CEK Fixture 1 hanya Gondola atau Endcap",IF(M134="","CEK SHELVING KE kosong",IF(ISNA(MATCH(L134&amp;"|"&amp;M134,LAYOUT!$E$2:$E$80,0)),"CEK SHELVING KE di luar layout",IF($I134="","CEK SERIES kosong",IF($D134="","Zona STOCK",IF($E134="","CEK SKU DESCRIPTION kosong",IF(COUNTIFS($I$2:$I$500,$I134,L$2:L$500,"&lt;&gt;"&amp;L134,L$2:L$500,"&lt;&gt;")&gt;0,"CEK jenis fixture beda dalam satu series","OK")))))))))</f>
        <v/>
      </c>
      <c r="P134" s="11" t="n"/>
      <c r="Q134" s="11" t="n"/>
      <c r="R134" s="11">
        <f>IF(OR(P134="",Q134=""),"",IFERROR(INDEX(LAYOUT!$D$2:$D$80,MATCH(P134&amp;"|"&amp;Q134,LAYOUT!$E$2:$E$80,0)),""))</f>
        <v/>
      </c>
      <c r="S134" s="12">
        <f>IF(AND(P134="",Q134=""),IF(AND(L134="",M134="",T134="",U134=""),IF(OR($D134&lt;&gt;"",$E134&lt;&gt;""),"Belum ditempatkan",""),""),IF(P134="","CEK JENIS FIXTURE kosong",IF(LEFT(P134,4)&lt;&gt;"Wall","CEK Fixture 2 hanya Wall",IF(Q134="","CEK SHELVING KE kosong",IF(ISNA(MATCH(P134&amp;"|"&amp;Q134,LAYOUT!$E$2:$E$80,0)),"CEK SHELVING KE di luar layout",IF($I134="","CEK SERIES kosong",IF($D134="","Zona STOCK",IF($E134="","CEK SKU DESCRIPTION kosong",IF(COUNTIFS($I$2:$I$500,$I134,P$2:P$500,"&lt;&gt;"&amp;P134,P$2:P$500,"&lt;&gt;")&gt;0,"CEK jenis fixture beda dalam satu series","OK")))))))))</f>
        <v/>
      </c>
      <c r="T134" s="11" t="n"/>
      <c r="U134" s="11" t="n"/>
      <c r="V134" s="11">
        <f>IF(OR(T134="",U134=""),"",IFERROR(INDEX(LAYOUT!$D$2:$D$80,MATCH(T134&amp;"|"&amp;U134,LAYOUT!$E$2:$E$80,0)),""))</f>
        <v/>
      </c>
      <c r="W134" s="12">
        <f>IF(AND(T134="",U134=""),IF(AND(L134="",M134="",P134="",Q134=""),IF(OR($D134&lt;&gt;"",$E134&lt;&gt;""),"Belum ditempatkan",""),""),IF(T134="","CEK JENIS FIXTURE kosong",IF(LEFT(T134,4)&lt;&gt;"Wall","CEK Fixture 3 hanya Wall",IF(U134="","CEK SHELVING KE kosong",IF(ISNA(MATCH(T134&amp;"|"&amp;U134,LAYOUT!$E$2:$E$80,0)),"CEK SHELVING KE di luar layout",IF($I134="","CEK SERIES kosong",IF($D134="","Zona STOCK",IF($E134="","CEK SKU DESCRIPTION kosong",IF(COUNTIFS($I$2:$I$500,$I134,T$2:T$500,"&lt;&gt;"&amp;T134,T$2:T$500,"&lt;&gt;")&gt;0,"CEK jenis fixture beda dalam satu series","OK")))))))))</f>
        <v/>
      </c>
      <c r="X134" s="11" t="n"/>
      <c r="Y134" s="11" t="n"/>
      <c r="Z134" s="12" t="n"/>
      <c r="AA134" s="12" t="n"/>
      <c r="AB134" s="11" t="n"/>
      <c r="AC134" s="11" t="n"/>
      <c r="AD134" s="11" t="n"/>
      <c r="AE134" s="11" t="n"/>
      <c r="AF134" s="11" t="n"/>
      <c r="AG134" s="11" t="n"/>
      <c r="AH134" s="12" t="n"/>
      <c r="AI134" s="12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>
        <f>IF(OR(L135="",M135=""),"",IFERROR(INDEX(LAYOUT!$D$2:$D$80,MATCH(L135&amp;"|"&amp;M135,LAYOUT!$E$2:$E$80,0)),""))</f>
        <v/>
      </c>
      <c r="O135" s="12">
        <f>IF(AND(L135="",M135=""),IF(AND(P135="",Q135="",T135="",U135=""),IF(OR($D135&lt;&gt;"",$E135&lt;&gt;""),"Belum ditempatkan",""),""),IF(L135="","CEK JENIS FIXTURE kosong",IF(AND(LEFT(L135,7)&lt;&gt;"Gondola",LEFT(L135,6)&lt;&gt;"Endcap"),"CEK Fixture 1 hanya Gondola atau Endcap",IF(M135="","CEK SHELVING KE kosong",IF(ISNA(MATCH(L135&amp;"|"&amp;M135,LAYOUT!$E$2:$E$80,0)),"CEK SHELVING KE di luar layout",IF($I135="","CEK SERIES kosong",IF($D135="","Zona STOCK",IF($E135="","CEK SKU DESCRIPTION kosong",IF(COUNTIFS($I$2:$I$500,$I135,L$2:L$500,"&lt;&gt;"&amp;L135,L$2:L$500,"&lt;&gt;")&gt;0,"CEK jenis fixture beda dalam satu series","OK")))))))))</f>
        <v/>
      </c>
      <c r="P135" s="11" t="n"/>
      <c r="Q135" s="11" t="n"/>
      <c r="R135" s="11">
        <f>IF(OR(P135="",Q135=""),"",IFERROR(INDEX(LAYOUT!$D$2:$D$80,MATCH(P135&amp;"|"&amp;Q135,LAYOUT!$E$2:$E$80,0)),""))</f>
        <v/>
      </c>
      <c r="S135" s="12">
        <f>IF(AND(P135="",Q135=""),IF(AND(L135="",M135="",T135="",U135=""),IF(OR($D135&lt;&gt;"",$E135&lt;&gt;""),"Belum ditempatkan",""),""),IF(P135="","CEK JENIS FIXTURE kosong",IF(LEFT(P135,4)&lt;&gt;"Wall","CEK Fixture 2 hanya Wall",IF(Q135="","CEK SHELVING KE kosong",IF(ISNA(MATCH(P135&amp;"|"&amp;Q135,LAYOUT!$E$2:$E$80,0)),"CEK SHELVING KE di luar layout",IF($I135="","CEK SERIES kosong",IF($D135="","Zona STOCK",IF($E135="","CEK SKU DESCRIPTION kosong",IF(COUNTIFS($I$2:$I$500,$I135,P$2:P$500,"&lt;&gt;"&amp;P135,P$2:P$500,"&lt;&gt;")&gt;0,"CEK jenis fixture beda dalam satu series","OK")))))))))</f>
        <v/>
      </c>
      <c r="T135" s="11" t="n"/>
      <c r="U135" s="11" t="n"/>
      <c r="V135" s="11">
        <f>IF(OR(T135="",U135=""),"",IFERROR(INDEX(LAYOUT!$D$2:$D$80,MATCH(T135&amp;"|"&amp;U135,LAYOUT!$E$2:$E$80,0)),""))</f>
        <v/>
      </c>
      <c r="W135" s="12">
        <f>IF(AND(T135="",U135=""),IF(AND(L135="",M135="",P135="",Q135=""),IF(OR($D135&lt;&gt;"",$E135&lt;&gt;""),"Belum ditempatkan",""),""),IF(T135="","CEK JENIS FIXTURE kosong",IF(LEFT(T135,4)&lt;&gt;"Wall","CEK Fixture 3 hanya Wall",IF(U135="","CEK SHELVING KE kosong",IF(ISNA(MATCH(T135&amp;"|"&amp;U135,LAYOUT!$E$2:$E$80,0)),"CEK SHELVING KE di luar layout",IF($I135="","CEK SERIES kosong",IF($D135="","Zona STOCK",IF($E135="","CEK SKU DESCRIPTION kosong",IF(COUNTIFS($I$2:$I$500,$I135,T$2:T$500,"&lt;&gt;"&amp;T135,T$2:T$500,"&lt;&gt;")&gt;0,"CEK jenis fixture beda dalam satu series","OK")))))))))</f>
        <v/>
      </c>
      <c r="X135" s="11" t="n"/>
      <c r="Y135" s="11" t="n"/>
      <c r="Z135" s="12" t="n"/>
      <c r="AA135" s="12" t="n"/>
      <c r="AB135" s="11" t="n"/>
      <c r="AC135" s="11" t="n"/>
      <c r="AD135" s="11" t="n"/>
      <c r="AE135" s="11" t="n"/>
      <c r="AF135" s="11" t="n"/>
      <c r="AG135" s="11" t="n"/>
      <c r="AH135" s="12" t="n"/>
      <c r="AI135" s="12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>
        <f>IF(OR(L136="",M136=""),"",IFERROR(INDEX(LAYOUT!$D$2:$D$80,MATCH(L136&amp;"|"&amp;M136,LAYOUT!$E$2:$E$80,0)),""))</f>
        <v/>
      </c>
      <c r="O136" s="12">
        <f>IF(AND(L136="",M136=""),IF(AND(P136="",Q136="",T136="",U136=""),IF(OR($D136&lt;&gt;"",$E136&lt;&gt;""),"Belum ditempatkan",""),""),IF(L136="","CEK JENIS FIXTURE kosong",IF(AND(LEFT(L136,7)&lt;&gt;"Gondola",LEFT(L136,6)&lt;&gt;"Endcap"),"CEK Fixture 1 hanya Gondola atau Endcap",IF(M136="","CEK SHELVING KE kosong",IF(ISNA(MATCH(L136&amp;"|"&amp;M136,LAYOUT!$E$2:$E$80,0)),"CEK SHELVING KE di luar layout",IF($I136="","CEK SERIES kosong",IF($D136="","Zona STOCK",IF($E136="","CEK SKU DESCRIPTION kosong",IF(COUNTIFS($I$2:$I$500,$I136,L$2:L$500,"&lt;&gt;"&amp;L136,L$2:L$500,"&lt;&gt;")&gt;0,"CEK jenis fixture beda dalam satu series","OK")))))))))</f>
        <v/>
      </c>
      <c r="P136" s="11" t="n"/>
      <c r="Q136" s="11" t="n"/>
      <c r="R136" s="11">
        <f>IF(OR(P136="",Q136=""),"",IFERROR(INDEX(LAYOUT!$D$2:$D$80,MATCH(P136&amp;"|"&amp;Q136,LAYOUT!$E$2:$E$80,0)),""))</f>
        <v/>
      </c>
      <c r="S136" s="12">
        <f>IF(AND(P136="",Q136=""),IF(AND(L136="",M136="",T136="",U136=""),IF(OR($D136&lt;&gt;"",$E136&lt;&gt;""),"Belum ditempatkan",""),""),IF(P136="","CEK JENIS FIXTURE kosong",IF(LEFT(P136,4)&lt;&gt;"Wall","CEK Fixture 2 hanya Wall",IF(Q136="","CEK SHELVING KE kosong",IF(ISNA(MATCH(P136&amp;"|"&amp;Q136,LAYOUT!$E$2:$E$80,0)),"CEK SHELVING KE di luar layout",IF($I136="","CEK SERIES kosong",IF($D136="","Zona STOCK",IF($E136="","CEK SKU DESCRIPTION kosong",IF(COUNTIFS($I$2:$I$500,$I136,P$2:P$500,"&lt;&gt;"&amp;P136,P$2:P$500,"&lt;&gt;")&gt;0,"CEK jenis fixture beda dalam satu series","OK")))))))))</f>
        <v/>
      </c>
      <c r="T136" s="11" t="n"/>
      <c r="U136" s="11" t="n"/>
      <c r="V136" s="11">
        <f>IF(OR(T136="",U136=""),"",IFERROR(INDEX(LAYOUT!$D$2:$D$80,MATCH(T136&amp;"|"&amp;U136,LAYOUT!$E$2:$E$80,0)),""))</f>
        <v/>
      </c>
      <c r="W136" s="12">
        <f>IF(AND(T136="",U136=""),IF(AND(L136="",M136="",P136="",Q136=""),IF(OR($D136&lt;&gt;"",$E136&lt;&gt;""),"Belum ditempatkan",""),""),IF(T136="","CEK JENIS FIXTURE kosong",IF(LEFT(T136,4)&lt;&gt;"Wall","CEK Fixture 3 hanya Wall",IF(U136="","CEK SHELVING KE kosong",IF(ISNA(MATCH(T136&amp;"|"&amp;U136,LAYOUT!$E$2:$E$80,0)),"CEK SHELVING KE di luar layout",IF($I136="","CEK SERIES kosong",IF($D136="","Zona STOCK",IF($E136="","CEK SKU DESCRIPTION kosong",IF(COUNTIFS($I$2:$I$500,$I136,T$2:T$500,"&lt;&gt;"&amp;T136,T$2:T$500,"&lt;&gt;")&gt;0,"CEK jenis fixture beda dalam satu series","OK")))))))))</f>
        <v/>
      </c>
      <c r="X136" s="11" t="n"/>
      <c r="Y136" s="11" t="n"/>
      <c r="Z136" s="12" t="n"/>
      <c r="AA136" s="12" t="n"/>
      <c r="AB136" s="11" t="n"/>
      <c r="AC136" s="11" t="n"/>
      <c r="AD136" s="11" t="n"/>
      <c r="AE136" s="11" t="n"/>
      <c r="AF136" s="11" t="n"/>
      <c r="AG136" s="11" t="n"/>
      <c r="AH136" s="12" t="n"/>
      <c r="AI136" s="12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>
        <f>IF(OR(L137="",M137=""),"",IFERROR(INDEX(LAYOUT!$D$2:$D$80,MATCH(L137&amp;"|"&amp;M137,LAYOUT!$E$2:$E$80,0)),""))</f>
        <v/>
      </c>
      <c r="O137" s="12">
        <f>IF(AND(L137="",M137=""),IF(AND(P137="",Q137="",T137="",U137=""),IF(OR($D137&lt;&gt;"",$E137&lt;&gt;""),"Belum ditempatkan",""),""),IF(L137="","CEK JENIS FIXTURE kosong",IF(AND(LEFT(L137,7)&lt;&gt;"Gondola",LEFT(L137,6)&lt;&gt;"Endcap"),"CEK Fixture 1 hanya Gondola atau Endcap",IF(M137="","CEK SHELVING KE kosong",IF(ISNA(MATCH(L137&amp;"|"&amp;M137,LAYOUT!$E$2:$E$80,0)),"CEK SHELVING KE di luar layout",IF($I137="","CEK SERIES kosong",IF($D137="","Zona STOCK",IF($E137="","CEK SKU DESCRIPTION kosong",IF(COUNTIFS($I$2:$I$500,$I137,L$2:L$500,"&lt;&gt;"&amp;L137,L$2:L$500,"&lt;&gt;")&gt;0,"CEK jenis fixture beda dalam satu series","OK")))))))))</f>
        <v/>
      </c>
      <c r="P137" s="11" t="n"/>
      <c r="Q137" s="11" t="n"/>
      <c r="R137" s="11">
        <f>IF(OR(P137="",Q137=""),"",IFERROR(INDEX(LAYOUT!$D$2:$D$80,MATCH(P137&amp;"|"&amp;Q137,LAYOUT!$E$2:$E$80,0)),""))</f>
        <v/>
      </c>
      <c r="S137" s="12">
        <f>IF(AND(P137="",Q137=""),IF(AND(L137="",M137="",T137="",U137=""),IF(OR($D137&lt;&gt;"",$E137&lt;&gt;""),"Belum ditempatkan",""),""),IF(P137="","CEK JENIS FIXTURE kosong",IF(LEFT(P137,4)&lt;&gt;"Wall","CEK Fixture 2 hanya Wall",IF(Q137="","CEK SHELVING KE kosong",IF(ISNA(MATCH(P137&amp;"|"&amp;Q137,LAYOUT!$E$2:$E$80,0)),"CEK SHELVING KE di luar layout",IF($I137="","CEK SERIES kosong",IF($D137="","Zona STOCK",IF($E137="","CEK SKU DESCRIPTION kosong",IF(COUNTIFS($I$2:$I$500,$I137,P$2:P$500,"&lt;&gt;"&amp;P137,P$2:P$500,"&lt;&gt;")&gt;0,"CEK jenis fixture beda dalam satu series","OK")))))))))</f>
        <v/>
      </c>
      <c r="T137" s="11" t="n"/>
      <c r="U137" s="11" t="n"/>
      <c r="V137" s="11">
        <f>IF(OR(T137="",U137=""),"",IFERROR(INDEX(LAYOUT!$D$2:$D$80,MATCH(T137&amp;"|"&amp;U137,LAYOUT!$E$2:$E$80,0)),""))</f>
        <v/>
      </c>
      <c r="W137" s="12">
        <f>IF(AND(T137="",U137=""),IF(AND(L137="",M137="",P137="",Q137=""),IF(OR($D137&lt;&gt;"",$E137&lt;&gt;""),"Belum ditempatkan",""),""),IF(T137="","CEK JENIS FIXTURE kosong",IF(LEFT(T137,4)&lt;&gt;"Wall","CEK Fixture 3 hanya Wall",IF(U137="","CEK SHELVING KE kosong",IF(ISNA(MATCH(T137&amp;"|"&amp;U137,LAYOUT!$E$2:$E$80,0)),"CEK SHELVING KE di luar layout",IF($I137="","CEK SERIES kosong",IF($D137="","Zona STOCK",IF($E137="","CEK SKU DESCRIPTION kosong",IF(COUNTIFS($I$2:$I$500,$I137,T$2:T$500,"&lt;&gt;"&amp;T137,T$2:T$500,"&lt;&gt;")&gt;0,"CEK jenis fixture beda dalam satu series","OK")))))))))</f>
        <v/>
      </c>
      <c r="X137" s="11" t="n"/>
      <c r="Y137" s="11" t="n"/>
      <c r="Z137" s="12" t="n"/>
      <c r="AA137" s="12" t="n"/>
      <c r="AB137" s="11" t="n"/>
      <c r="AC137" s="11" t="n"/>
      <c r="AD137" s="11" t="n"/>
      <c r="AE137" s="11" t="n"/>
      <c r="AF137" s="11" t="n"/>
      <c r="AG137" s="11" t="n"/>
      <c r="AH137" s="12" t="n"/>
      <c r="AI137" s="12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>
        <f>IF(OR(L138="",M138=""),"",IFERROR(INDEX(LAYOUT!$D$2:$D$80,MATCH(L138&amp;"|"&amp;M138,LAYOUT!$E$2:$E$80,0)),""))</f>
        <v/>
      </c>
      <c r="O138" s="12">
        <f>IF(AND(L138="",M138=""),IF(AND(P138="",Q138="",T138="",U138=""),IF(OR($D138&lt;&gt;"",$E138&lt;&gt;""),"Belum ditempatkan",""),""),IF(L138="","CEK JENIS FIXTURE kosong",IF(AND(LEFT(L138,7)&lt;&gt;"Gondola",LEFT(L138,6)&lt;&gt;"Endcap"),"CEK Fixture 1 hanya Gondola atau Endcap",IF(M138="","CEK SHELVING KE kosong",IF(ISNA(MATCH(L138&amp;"|"&amp;M138,LAYOUT!$E$2:$E$80,0)),"CEK SHELVING KE di luar layout",IF($I138="","CEK SERIES kosong",IF($D138="","Zona STOCK",IF($E138="","CEK SKU DESCRIPTION kosong",IF(COUNTIFS($I$2:$I$500,$I138,L$2:L$500,"&lt;&gt;"&amp;L138,L$2:L$500,"&lt;&gt;")&gt;0,"CEK jenis fixture beda dalam satu series","OK")))))))))</f>
        <v/>
      </c>
      <c r="P138" s="11" t="n"/>
      <c r="Q138" s="11" t="n"/>
      <c r="R138" s="11">
        <f>IF(OR(P138="",Q138=""),"",IFERROR(INDEX(LAYOUT!$D$2:$D$80,MATCH(P138&amp;"|"&amp;Q138,LAYOUT!$E$2:$E$80,0)),""))</f>
        <v/>
      </c>
      <c r="S138" s="12">
        <f>IF(AND(P138="",Q138=""),IF(AND(L138="",M138="",T138="",U138=""),IF(OR($D138&lt;&gt;"",$E138&lt;&gt;""),"Belum ditempatkan",""),""),IF(P138="","CEK JENIS FIXTURE kosong",IF(LEFT(P138,4)&lt;&gt;"Wall","CEK Fixture 2 hanya Wall",IF(Q138="","CEK SHELVING KE kosong",IF(ISNA(MATCH(P138&amp;"|"&amp;Q138,LAYOUT!$E$2:$E$80,0)),"CEK SHELVING KE di luar layout",IF($I138="","CEK SERIES kosong",IF($D138="","Zona STOCK",IF($E138="","CEK SKU DESCRIPTION kosong",IF(COUNTIFS($I$2:$I$500,$I138,P$2:P$500,"&lt;&gt;"&amp;P138,P$2:P$500,"&lt;&gt;")&gt;0,"CEK jenis fixture beda dalam satu series","OK")))))))))</f>
        <v/>
      </c>
      <c r="T138" s="11" t="n"/>
      <c r="U138" s="11" t="n"/>
      <c r="V138" s="11">
        <f>IF(OR(T138="",U138=""),"",IFERROR(INDEX(LAYOUT!$D$2:$D$80,MATCH(T138&amp;"|"&amp;U138,LAYOUT!$E$2:$E$80,0)),""))</f>
        <v/>
      </c>
      <c r="W138" s="12">
        <f>IF(AND(T138="",U138=""),IF(AND(L138="",M138="",P138="",Q138=""),IF(OR($D138&lt;&gt;"",$E138&lt;&gt;""),"Belum ditempatkan",""),""),IF(T138="","CEK JENIS FIXTURE kosong",IF(LEFT(T138,4)&lt;&gt;"Wall","CEK Fixture 3 hanya Wall",IF(U138="","CEK SHELVING KE kosong",IF(ISNA(MATCH(T138&amp;"|"&amp;U138,LAYOUT!$E$2:$E$80,0)),"CEK SHELVING KE di luar layout",IF($I138="","CEK SERIES kosong",IF($D138="","Zona STOCK",IF($E138="","CEK SKU DESCRIPTION kosong",IF(COUNTIFS($I$2:$I$500,$I138,T$2:T$500,"&lt;&gt;"&amp;T138,T$2:T$500,"&lt;&gt;")&gt;0,"CEK jenis fixture beda dalam satu series","OK")))))))))</f>
        <v/>
      </c>
      <c r="X138" s="11" t="n"/>
      <c r="Y138" s="11" t="n"/>
      <c r="Z138" s="12" t="n"/>
      <c r="AA138" s="12" t="n"/>
      <c r="AB138" s="11" t="n"/>
      <c r="AC138" s="11" t="n"/>
      <c r="AD138" s="11" t="n"/>
      <c r="AE138" s="11" t="n"/>
      <c r="AF138" s="11" t="n"/>
      <c r="AG138" s="11" t="n"/>
      <c r="AH138" s="12" t="n"/>
      <c r="AI138" s="12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>
        <f>IF(OR(L139="",M139=""),"",IFERROR(INDEX(LAYOUT!$D$2:$D$80,MATCH(L139&amp;"|"&amp;M139,LAYOUT!$E$2:$E$80,0)),""))</f>
        <v/>
      </c>
      <c r="O139" s="12">
        <f>IF(AND(L139="",M139=""),IF(AND(P139="",Q139="",T139="",U139=""),IF(OR($D139&lt;&gt;"",$E139&lt;&gt;""),"Belum ditempatkan",""),""),IF(L139="","CEK JENIS FIXTURE kosong",IF(AND(LEFT(L139,7)&lt;&gt;"Gondola",LEFT(L139,6)&lt;&gt;"Endcap"),"CEK Fixture 1 hanya Gondola atau Endcap",IF(M139="","CEK SHELVING KE kosong",IF(ISNA(MATCH(L139&amp;"|"&amp;M139,LAYOUT!$E$2:$E$80,0)),"CEK SHELVING KE di luar layout",IF($I139="","CEK SERIES kosong",IF($D139="","Zona STOCK",IF($E139="","CEK SKU DESCRIPTION kosong",IF(COUNTIFS($I$2:$I$500,$I139,L$2:L$500,"&lt;&gt;"&amp;L139,L$2:L$500,"&lt;&gt;")&gt;0,"CEK jenis fixture beda dalam satu series","OK")))))))))</f>
        <v/>
      </c>
      <c r="P139" s="11" t="n"/>
      <c r="Q139" s="11" t="n"/>
      <c r="R139" s="11">
        <f>IF(OR(P139="",Q139=""),"",IFERROR(INDEX(LAYOUT!$D$2:$D$80,MATCH(P139&amp;"|"&amp;Q139,LAYOUT!$E$2:$E$80,0)),""))</f>
        <v/>
      </c>
      <c r="S139" s="12">
        <f>IF(AND(P139="",Q139=""),IF(AND(L139="",M139="",T139="",U139=""),IF(OR($D139&lt;&gt;"",$E139&lt;&gt;""),"Belum ditempatkan",""),""),IF(P139="","CEK JENIS FIXTURE kosong",IF(LEFT(P139,4)&lt;&gt;"Wall","CEK Fixture 2 hanya Wall",IF(Q139="","CEK SHELVING KE kosong",IF(ISNA(MATCH(P139&amp;"|"&amp;Q139,LAYOUT!$E$2:$E$80,0)),"CEK SHELVING KE di luar layout",IF($I139="","CEK SERIES kosong",IF($D139="","Zona STOCK",IF($E139="","CEK SKU DESCRIPTION kosong",IF(COUNTIFS($I$2:$I$500,$I139,P$2:P$500,"&lt;&gt;"&amp;P139,P$2:P$500,"&lt;&gt;")&gt;0,"CEK jenis fixture beda dalam satu series","OK")))))))))</f>
        <v/>
      </c>
      <c r="T139" s="11" t="n"/>
      <c r="U139" s="11" t="n"/>
      <c r="V139" s="11">
        <f>IF(OR(T139="",U139=""),"",IFERROR(INDEX(LAYOUT!$D$2:$D$80,MATCH(T139&amp;"|"&amp;U139,LAYOUT!$E$2:$E$80,0)),""))</f>
        <v/>
      </c>
      <c r="W139" s="12">
        <f>IF(AND(T139="",U139=""),IF(AND(L139="",M139="",P139="",Q139=""),IF(OR($D139&lt;&gt;"",$E139&lt;&gt;""),"Belum ditempatkan",""),""),IF(T139="","CEK JENIS FIXTURE kosong",IF(LEFT(T139,4)&lt;&gt;"Wall","CEK Fixture 3 hanya Wall",IF(U139="","CEK SHELVING KE kosong",IF(ISNA(MATCH(T139&amp;"|"&amp;U139,LAYOUT!$E$2:$E$80,0)),"CEK SHELVING KE di luar layout",IF($I139="","CEK SERIES kosong",IF($D139="","Zona STOCK",IF($E139="","CEK SKU DESCRIPTION kosong",IF(COUNTIFS($I$2:$I$500,$I139,T$2:T$500,"&lt;&gt;"&amp;T139,T$2:T$500,"&lt;&gt;")&gt;0,"CEK jenis fixture beda dalam satu series","OK")))))))))</f>
        <v/>
      </c>
      <c r="X139" s="11" t="n"/>
      <c r="Y139" s="11" t="n"/>
      <c r="Z139" s="12" t="n"/>
      <c r="AA139" s="12" t="n"/>
      <c r="AB139" s="11" t="n"/>
      <c r="AC139" s="11" t="n"/>
      <c r="AD139" s="11" t="n"/>
      <c r="AE139" s="11" t="n"/>
      <c r="AF139" s="11" t="n"/>
      <c r="AG139" s="11" t="n"/>
      <c r="AH139" s="12" t="n"/>
      <c r="AI139" s="12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>
        <f>IF(OR(L140="",M140=""),"",IFERROR(INDEX(LAYOUT!$D$2:$D$80,MATCH(L140&amp;"|"&amp;M140,LAYOUT!$E$2:$E$80,0)),""))</f>
        <v/>
      </c>
      <c r="O140" s="12">
        <f>IF(AND(L140="",M140=""),IF(AND(P140="",Q140="",T140="",U140=""),IF(OR($D140&lt;&gt;"",$E140&lt;&gt;""),"Belum ditempatkan",""),""),IF(L140="","CEK JENIS FIXTURE kosong",IF(AND(LEFT(L140,7)&lt;&gt;"Gondola",LEFT(L140,6)&lt;&gt;"Endcap"),"CEK Fixture 1 hanya Gondola atau Endcap",IF(M140="","CEK SHELVING KE kosong",IF(ISNA(MATCH(L140&amp;"|"&amp;M140,LAYOUT!$E$2:$E$80,0)),"CEK SHELVING KE di luar layout",IF($I140="","CEK SERIES kosong",IF($D140="","Zona STOCK",IF($E140="","CEK SKU DESCRIPTION kosong",IF(COUNTIFS($I$2:$I$500,$I140,L$2:L$500,"&lt;&gt;"&amp;L140,L$2:L$500,"&lt;&gt;")&gt;0,"CEK jenis fixture beda dalam satu series","OK")))))))))</f>
        <v/>
      </c>
      <c r="P140" s="11" t="n"/>
      <c r="Q140" s="11" t="n"/>
      <c r="R140" s="11">
        <f>IF(OR(P140="",Q140=""),"",IFERROR(INDEX(LAYOUT!$D$2:$D$80,MATCH(P140&amp;"|"&amp;Q140,LAYOUT!$E$2:$E$80,0)),""))</f>
        <v/>
      </c>
      <c r="S140" s="12">
        <f>IF(AND(P140="",Q140=""),IF(AND(L140="",M140="",T140="",U140=""),IF(OR($D140&lt;&gt;"",$E140&lt;&gt;""),"Belum ditempatkan",""),""),IF(P140="","CEK JENIS FIXTURE kosong",IF(LEFT(P140,4)&lt;&gt;"Wall","CEK Fixture 2 hanya Wall",IF(Q140="","CEK SHELVING KE kosong",IF(ISNA(MATCH(P140&amp;"|"&amp;Q140,LAYOUT!$E$2:$E$80,0)),"CEK SHELVING KE di luar layout",IF($I140="","CEK SERIES kosong",IF($D140="","Zona STOCK",IF($E140="","CEK SKU DESCRIPTION kosong",IF(COUNTIFS($I$2:$I$500,$I140,P$2:P$500,"&lt;&gt;"&amp;P140,P$2:P$500,"&lt;&gt;")&gt;0,"CEK jenis fixture beda dalam satu series","OK")))))))))</f>
        <v/>
      </c>
      <c r="T140" s="11" t="n"/>
      <c r="U140" s="11" t="n"/>
      <c r="V140" s="11">
        <f>IF(OR(T140="",U140=""),"",IFERROR(INDEX(LAYOUT!$D$2:$D$80,MATCH(T140&amp;"|"&amp;U140,LAYOUT!$E$2:$E$80,0)),""))</f>
        <v/>
      </c>
      <c r="W140" s="12">
        <f>IF(AND(T140="",U140=""),IF(AND(L140="",M140="",P140="",Q140=""),IF(OR($D140&lt;&gt;"",$E140&lt;&gt;""),"Belum ditempatkan",""),""),IF(T140="","CEK JENIS FIXTURE kosong",IF(LEFT(T140,4)&lt;&gt;"Wall","CEK Fixture 3 hanya Wall",IF(U140="","CEK SHELVING KE kosong",IF(ISNA(MATCH(T140&amp;"|"&amp;U140,LAYOUT!$E$2:$E$80,0)),"CEK SHELVING KE di luar layout",IF($I140="","CEK SERIES kosong",IF($D140="","Zona STOCK",IF($E140="","CEK SKU DESCRIPTION kosong",IF(COUNTIFS($I$2:$I$500,$I140,T$2:T$500,"&lt;&gt;"&amp;T140,T$2:T$500,"&lt;&gt;")&gt;0,"CEK jenis fixture beda dalam satu series","OK")))))))))</f>
        <v/>
      </c>
      <c r="X140" s="11" t="n"/>
      <c r="Y140" s="11" t="n"/>
      <c r="Z140" s="12" t="n"/>
      <c r="AA140" s="12" t="n"/>
      <c r="AB140" s="11" t="n"/>
      <c r="AC140" s="11" t="n"/>
      <c r="AD140" s="11" t="n"/>
      <c r="AE140" s="11" t="n"/>
      <c r="AF140" s="11" t="n"/>
      <c r="AG140" s="11" t="n"/>
      <c r="AH140" s="12" t="n"/>
      <c r="AI140" s="12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>
        <f>IF(OR(L141="",M141=""),"",IFERROR(INDEX(LAYOUT!$D$2:$D$80,MATCH(L141&amp;"|"&amp;M141,LAYOUT!$E$2:$E$80,0)),""))</f>
        <v/>
      </c>
      <c r="O141" s="12">
        <f>IF(AND(L141="",M141=""),IF(AND(P141="",Q141="",T141="",U141=""),IF(OR($D141&lt;&gt;"",$E141&lt;&gt;""),"Belum ditempatkan",""),""),IF(L141="","CEK JENIS FIXTURE kosong",IF(AND(LEFT(L141,7)&lt;&gt;"Gondola",LEFT(L141,6)&lt;&gt;"Endcap"),"CEK Fixture 1 hanya Gondola atau Endcap",IF(M141="","CEK SHELVING KE kosong",IF(ISNA(MATCH(L141&amp;"|"&amp;M141,LAYOUT!$E$2:$E$80,0)),"CEK SHELVING KE di luar layout",IF($I141="","CEK SERIES kosong",IF($D141="","Zona STOCK",IF($E141="","CEK SKU DESCRIPTION kosong",IF(COUNTIFS($I$2:$I$500,$I141,L$2:L$500,"&lt;&gt;"&amp;L141,L$2:L$500,"&lt;&gt;")&gt;0,"CEK jenis fixture beda dalam satu series","OK")))))))))</f>
        <v/>
      </c>
      <c r="P141" s="11" t="n"/>
      <c r="Q141" s="11" t="n"/>
      <c r="R141" s="11">
        <f>IF(OR(P141="",Q141=""),"",IFERROR(INDEX(LAYOUT!$D$2:$D$80,MATCH(P141&amp;"|"&amp;Q141,LAYOUT!$E$2:$E$80,0)),""))</f>
        <v/>
      </c>
      <c r="S141" s="12">
        <f>IF(AND(P141="",Q141=""),IF(AND(L141="",M141="",T141="",U141=""),IF(OR($D141&lt;&gt;"",$E141&lt;&gt;""),"Belum ditempatkan",""),""),IF(P141="","CEK JENIS FIXTURE kosong",IF(LEFT(P141,4)&lt;&gt;"Wall","CEK Fixture 2 hanya Wall",IF(Q141="","CEK SHELVING KE kosong",IF(ISNA(MATCH(P141&amp;"|"&amp;Q141,LAYOUT!$E$2:$E$80,0)),"CEK SHELVING KE di luar layout",IF($I141="","CEK SERIES kosong",IF($D141="","Zona STOCK",IF($E141="","CEK SKU DESCRIPTION kosong",IF(COUNTIFS($I$2:$I$500,$I141,P$2:P$500,"&lt;&gt;"&amp;P141,P$2:P$500,"&lt;&gt;")&gt;0,"CEK jenis fixture beda dalam satu series","OK")))))))))</f>
        <v/>
      </c>
      <c r="T141" s="11" t="n"/>
      <c r="U141" s="11" t="n"/>
      <c r="V141" s="11">
        <f>IF(OR(T141="",U141=""),"",IFERROR(INDEX(LAYOUT!$D$2:$D$80,MATCH(T141&amp;"|"&amp;U141,LAYOUT!$E$2:$E$80,0)),""))</f>
        <v/>
      </c>
      <c r="W141" s="12">
        <f>IF(AND(T141="",U141=""),IF(AND(L141="",M141="",P141="",Q141=""),IF(OR($D141&lt;&gt;"",$E141&lt;&gt;""),"Belum ditempatkan",""),""),IF(T141="","CEK JENIS FIXTURE kosong",IF(LEFT(T141,4)&lt;&gt;"Wall","CEK Fixture 3 hanya Wall",IF(U141="","CEK SHELVING KE kosong",IF(ISNA(MATCH(T141&amp;"|"&amp;U141,LAYOUT!$E$2:$E$80,0)),"CEK SHELVING KE di luar layout",IF($I141="","CEK SERIES kosong",IF($D141="","Zona STOCK",IF($E141="","CEK SKU DESCRIPTION kosong",IF(COUNTIFS($I$2:$I$500,$I141,T$2:T$500,"&lt;&gt;"&amp;T141,T$2:T$500,"&lt;&gt;")&gt;0,"CEK jenis fixture beda dalam satu series","OK")))))))))</f>
        <v/>
      </c>
      <c r="X141" s="11" t="n"/>
      <c r="Y141" s="11" t="n"/>
      <c r="Z141" s="12" t="n"/>
      <c r="AA141" s="12" t="n"/>
      <c r="AB141" s="11" t="n"/>
      <c r="AC141" s="11" t="n"/>
      <c r="AD141" s="11" t="n"/>
      <c r="AE141" s="11" t="n"/>
      <c r="AF141" s="11" t="n"/>
      <c r="AG141" s="11" t="n"/>
      <c r="AH141" s="12" t="n"/>
      <c r="AI141" s="12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>
        <f>IF(OR(L142="",M142=""),"",IFERROR(INDEX(LAYOUT!$D$2:$D$80,MATCH(L142&amp;"|"&amp;M142,LAYOUT!$E$2:$E$80,0)),""))</f>
        <v/>
      </c>
      <c r="O142" s="12">
        <f>IF(AND(L142="",M142=""),IF(AND(P142="",Q142="",T142="",U142=""),IF(OR($D142&lt;&gt;"",$E142&lt;&gt;""),"Belum ditempatkan",""),""),IF(L142="","CEK JENIS FIXTURE kosong",IF(AND(LEFT(L142,7)&lt;&gt;"Gondola",LEFT(L142,6)&lt;&gt;"Endcap"),"CEK Fixture 1 hanya Gondola atau Endcap",IF(M142="","CEK SHELVING KE kosong",IF(ISNA(MATCH(L142&amp;"|"&amp;M142,LAYOUT!$E$2:$E$80,0)),"CEK SHELVING KE di luar layout",IF($I142="","CEK SERIES kosong",IF($D142="","Zona STOCK",IF($E142="","CEK SKU DESCRIPTION kosong",IF(COUNTIFS($I$2:$I$500,$I142,L$2:L$500,"&lt;&gt;"&amp;L142,L$2:L$500,"&lt;&gt;")&gt;0,"CEK jenis fixture beda dalam satu series","OK")))))))))</f>
        <v/>
      </c>
      <c r="P142" s="11" t="n"/>
      <c r="Q142" s="11" t="n"/>
      <c r="R142" s="11">
        <f>IF(OR(P142="",Q142=""),"",IFERROR(INDEX(LAYOUT!$D$2:$D$80,MATCH(P142&amp;"|"&amp;Q142,LAYOUT!$E$2:$E$80,0)),""))</f>
        <v/>
      </c>
      <c r="S142" s="12">
        <f>IF(AND(P142="",Q142=""),IF(AND(L142="",M142="",T142="",U142=""),IF(OR($D142&lt;&gt;"",$E142&lt;&gt;""),"Belum ditempatkan",""),""),IF(P142="","CEK JENIS FIXTURE kosong",IF(LEFT(P142,4)&lt;&gt;"Wall","CEK Fixture 2 hanya Wall",IF(Q142="","CEK SHELVING KE kosong",IF(ISNA(MATCH(P142&amp;"|"&amp;Q142,LAYOUT!$E$2:$E$80,0)),"CEK SHELVING KE di luar layout",IF($I142="","CEK SERIES kosong",IF($D142="","Zona STOCK",IF($E142="","CEK SKU DESCRIPTION kosong",IF(COUNTIFS($I$2:$I$500,$I142,P$2:P$500,"&lt;&gt;"&amp;P142,P$2:P$500,"&lt;&gt;")&gt;0,"CEK jenis fixture beda dalam satu series","OK")))))))))</f>
        <v/>
      </c>
      <c r="T142" s="11" t="n"/>
      <c r="U142" s="11" t="n"/>
      <c r="V142" s="11">
        <f>IF(OR(T142="",U142=""),"",IFERROR(INDEX(LAYOUT!$D$2:$D$80,MATCH(T142&amp;"|"&amp;U142,LAYOUT!$E$2:$E$80,0)),""))</f>
        <v/>
      </c>
      <c r="W142" s="12">
        <f>IF(AND(T142="",U142=""),IF(AND(L142="",M142="",P142="",Q142=""),IF(OR($D142&lt;&gt;"",$E142&lt;&gt;""),"Belum ditempatkan",""),""),IF(T142="","CEK JENIS FIXTURE kosong",IF(LEFT(T142,4)&lt;&gt;"Wall","CEK Fixture 3 hanya Wall",IF(U142="","CEK SHELVING KE kosong",IF(ISNA(MATCH(T142&amp;"|"&amp;U142,LAYOUT!$E$2:$E$80,0)),"CEK SHELVING KE di luar layout",IF($I142="","CEK SERIES kosong",IF($D142="","Zona STOCK",IF($E142="","CEK SKU DESCRIPTION kosong",IF(COUNTIFS($I$2:$I$500,$I142,T$2:T$500,"&lt;&gt;"&amp;T142,T$2:T$500,"&lt;&gt;")&gt;0,"CEK jenis fixture beda dalam satu series","OK")))))))))</f>
        <v/>
      </c>
      <c r="X142" s="11" t="n"/>
      <c r="Y142" s="11" t="n"/>
      <c r="Z142" s="12" t="n"/>
      <c r="AA142" s="12" t="n"/>
      <c r="AB142" s="11" t="n"/>
      <c r="AC142" s="11" t="n"/>
      <c r="AD142" s="11" t="n"/>
      <c r="AE142" s="11" t="n"/>
      <c r="AF142" s="11" t="n"/>
      <c r="AG142" s="11" t="n"/>
      <c r="AH142" s="12" t="n"/>
      <c r="AI142" s="12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>
        <f>IF(OR(L143="",M143=""),"",IFERROR(INDEX(LAYOUT!$D$2:$D$80,MATCH(L143&amp;"|"&amp;M143,LAYOUT!$E$2:$E$80,0)),""))</f>
        <v/>
      </c>
      <c r="O143" s="12">
        <f>IF(AND(L143="",M143=""),IF(AND(P143="",Q143="",T143="",U143=""),IF(OR($D143&lt;&gt;"",$E143&lt;&gt;""),"Belum ditempatkan",""),""),IF(L143="","CEK JENIS FIXTURE kosong",IF(AND(LEFT(L143,7)&lt;&gt;"Gondola",LEFT(L143,6)&lt;&gt;"Endcap"),"CEK Fixture 1 hanya Gondola atau Endcap",IF(M143="","CEK SHELVING KE kosong",IF(ISNA(MATCH(L143&amp;"|"&amp;M143,LAYOUT!$E$2:$E$80,0)),"CEK SHELVING KE di luar layout",IF($I143="","CEK SERIES kosong",IF($D143="","Zona STOCK",IF($E143="","CEK SKU DESCRIPTION kosong",IF(COUNTIFS($I$2:$I$500,$I143,L$2:L$500,"&lt;&gt;"&amp;L143,L$2:L$500,"&lt;&gt;")&gt;0,"CEK jenis fixture beda dalam satu series","OK")))))))))</f>
        <v/>
      </c>
      <c r="P143" s="11" t="n"/>
      <c r="Q143" s="11" t="n"/>
      <c r="R143" s="11">
        <f>IF(OR(P143="",Q143=""),"",IFERROR(INDEX(LAYOUT!$D$2:$D$80,MATCH(P143&amp;"|"&amp;Q143,LAYOUT!$E$2:$E$80,0)),""))</f>
        <v/>
      </c>
      <c r="S143" s="12">
        <f>IF(AND(P143="",Q143=""),IF(AND(L143="",M143="",T143="",U143=""),IF(OR($D143&lt;&gt;"",$E143&lt;&gt;""),"Belum ditempatkan",""),""),IF(P143="","CEK JENIS FIXTURE kosong",IF(LEFT(P143,4)&lt;&gt;"Wall","CEK Fixture 2 hanya Wall",IF(Q143="","CEK SHELVING KE kosong",IF(ISNA(MATCH(P143&amp;"|"&amp;Q143,LAYOUT!$E$2:$E$80,0)),"CEK SHELVING KE di luar layout",IF($I143="","CEK SERIES kosong",IF($D143="","Zona STOCK",IF($E143="","CEK SKU DESCRIPTION kosong",IF(COUNTIFS($I$2:$I$500,$I143,P$2:P$500,"&lt;&gt;"&amp;P143,P$2:P$500,"&lt;&gt;")&gt;0,"CEK jenis fixture beda dalam satu series","OK")))))))))</f>
        <v/>
      </c>
      <c r="T143" s="11" t="n"/>
      <c r="U143" s="11" t="n"/>
      <c r="V143" s="11">
        <f>IF(OR(T143="",U143=""),"",IFERROR(INDEX(LAYOUT!$D$2:$D$80,MATCH(T143&amp;"|"&amp;U143,LAYOUT!$E$2:$E$80,0)),""))</f>
        <v/>
      </c>
      <c r="W143" s="12">
        <f>IF(AND(T143="",U143=""),IF(AND(L143="",M143="",P143="",Q143=""),IF(OR($D143&lt;&gt;"",$E143&lt;&gt;""),"Belum ditempatkan",""),""),IF(T143="","CEK JENIS FIXTURE kosong",IF(LEFT(T143,4)&lt;&gt;"Wall","CEK Fixture 3 hanya Wall",IF(U143="","CEK SHELVING KE kosong",IF(ISNA(MATCH(T143&amp;"|"&amp;U143,LAYOUT!$E$2:$E$80,0)),"CEK SHELVING KE di luar layout",IF($I143="","CEK SERIES kosong",IF($D143="","Zona STOCK",IF($E143="","CEK SKU DESCRIPTION kosong",IF(COUNTIFS($I$2:$I$500,$I143,T$2:T$500,"&lt;&gt;"&amp;T143,T$2:T$500,"&lt;&gt;")&gt;0,"CEK jenis fixture beda dalam satu series","OK")))))))))</f>
        <v/>
      </c>
      <c r="X143" s="11" t="n"/>
      <c r="Y143" s="11" t="n"/>
      <c r="Z143" s="12" t="n"/>
      <c r="AA143" s="12" t="n"/>
      <c r="AB143" s="11" t="n"/>
      <c r="AC143" s="11" t="n"/>
      <c r="AD143" s="11" t="n"/>
      <c r="AE143" s="11" t="n"/>
      <c r="AF143" s="11" t="n"/>
      <c r="AG143" s="11" t="n"/>
      <c r="AH143" s="12" t="n"/>
      <c r="AI143" s="12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>
        <f>IF(OR(L144="",M144=""),"",IFERROR(INDEX(LAYOUT!$D$2:$D$80,MATCH(L144&amp;"|"&amp;M144,LAYOUT!$E$2:$E$80,0)),""))</f>
        <v/>
      </c>
      <c r="O144" s="12">
        <f>IF(AND(L144="",M144=""),IF(AND(P144="",Q144="",T144="",U144=""),IF(OR($D144&lt;&gt;"",$E144&lt;&gt;""),"Belum ditempatkan",""),""),IF(L144="","CEK JENIS FIXTURE kosong",IF(AND(LEFT(L144,7)&lt;&gt;"Gondola",LEFT(L144,6)&lt;&gt;"Endcap"),"CEK Fixture 1 hanya Gondola atau Endcap",IF(M144="","CEK SHELVING KE kosong",IF(ISNA(MATCH(L144&amp;"|"&amp;M144,LAYOUT!$E$2:$E$80,0)),"CEK SHELVING KE di luar layout",IF($I144="","CEK SERIES kosong",IF($D144="","Zona STOCK",IF($E144="","CEK SKU DESCRIPTION kosong",IF(COUNTIFS($I$2:$I$500,$I144,L$2:L$500,"&lt;&gt;"&amp;L144,L$2:L$500,"&lt;&gt;")&gt;0,"CEK jenis fixture beda dalam satu series","OK")))))))))</f>
        <v/>
      </c>
      <c r="P144" s="11" t="n"/>
      <c r="Q144" s="11" t="n"/>
      <c r="R144" s="11">
        <f>IF(OR(P144="",Q144=""),"",IFERROR(INDEX(LAYOUT!$D$2:$D$80,MATCH(P144&amp;"|"&amp;Q144,LAYOUT!$E$2:$E$80,0)),""))</f>
        <v/>
      </c>
      <c r="S144" s="12">
        <f>IF(AND(P144="",Q144=""),IF(AND(L144="",M144="",T144="",U144=""),IF(OR($D144&lt;&gt;"",$E144&lt;&gt;""),"Belum ditempatkan",""),""),IF(P144="","CEK JENIS FIXTURE kosong",IF(LEFT(P144,4)&lt;&gt;"Wall","CEK Fixture 2 hanya Wall",IF(Q144="","CEK SHELVING KE kosong",IF(ISNA(MATCH(P144&amp;"|"&amp;Q144,LAYOUT!$E$2:$E$80,0)),"CEK SHELVING KE di luar layout",IF($I144="","CEK SERIES kosong",IF($D144="","Zona STOCK",IF($E144="","CEK SKU DESCRIPTION kosong",IF(COUNTIFS($I$2:$I$500,$I144,P$2:P$500,"&lt;&gt;"&amp;P144,P$2:P$500,"&lt;&gt;")&gt;0,"CEK jenis fixture beda dalam satu series","OK")))))))))</f>
        <v/>
      </c>
      <c r="T144" s="11" t="n"/>
      <c r="U144" s="11" t="n"/>
      <c r="V144" s="11">
        <f>IF(OR(T144="",U144=""),"",IFERROR(INDEX(LAYOUT!$D$2:$D$80,MATCH(T144&amp;"|"&amp;U144,LAYOUT!$E$2:$E$80,0)),""))</f>
        <v/>
      </c>
      <c r="W144" s="12">
        <f>IF(AND(T144="",U144=""),IF(AND(L144="",M144="",P144="",Q144=""),IF(OR($D144&lt;&gt;"",$E144&lt;&gt;""),"Belum ditempatkan",""),""),IF(T144="","CEK JENIS FIXTURE kosong",IF(LEFT(T144,4)&lt;&gt;"Wall","CEK Fixture 3 hanya Wall",IF(U144="","CEK SHELVING KE kosong",IF(ISNA(MATCH(T144&amp;"|"&amp;U144,LAYOUT!$E$2:$E$80,0)),"CEK SHELVING KE di luar layout",IF($I144="","CEK SERIES kosong",IF($D144="","Zona STOCK",IF($E144="","CEK SKU DESCRIPTION kosong",IF(COUNTIFS($I$2:$I$500,$I144,T$2:T$500,"&lt;&gt;"&amp;T144,T$2:T$500,"&lt;&gt;")&gt;0,"CEK jenis fixture beda dalam satu series","OK")))))))))</f>
        <v/>
      </c>
      <c r="X144" s="11" t="n"/>
      <c r="Y144" s="11" t="n"/>
      <c r="Z144" s="12" t="n"/>
      <c r="AA144" s="12" t="n"/>
      <c r="AB144" s="11" t="n"/>
      <c r="AC144" s="11" t="n"/>
      <c r="AD144" s="11" t="n"/>
      <c r="AE144" s="11" t="n"/>
      <c r="AF144" s="11" t="n"/>
      <c r="AG144" s="11" t="n"/>
      <c r="AH144" s="12" t="n"/>
      <c r="AI144" s="12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>
        <f>IF(OR(L145="",M145=""),"",IFERROR(INDEX(LAYOUT!$D$2:$D$80,MATCH(L145&amp;"|"&amp;M145,LAYOUT!$E$2:$E$80,0)),""))</f>
        <v/>
      </c>
      <c r="O145" s="12">
        <f>IF(AND(L145="",M145=""),IF(AND(P145="",Q145="",T145="",U145=""),IF(OR($D145&lt;&gt;"",$E145&lt;&gt;""),"Belum ditempatkan",""),""),IF(L145="","CEK JENIS FIXTURE kosong",IF(AND(LEFT(L145,7)&lt;&gt;"Gondola",LEFT(L145,6)&lt;&gt;"Endcap"),"CEK Fixture 1 hanya Gondola atau Endcap",IF(M145="","CEK SHELVING KE kosong",IF(ISNA(MATCH(L145&amp;"|"&amp;M145,LAYOUT!$E$2:$E$80,0)),"CEK SHELVING KE di luar layout",IF($I145="","CEK SERIES kosong",IF($D145="","Zona STOCK",IF($E145="","CEK SKU DESCRIPTION kosong",IF(COUNTIFS($I$2:$I$500,$I145,L$2:L$500,"&lt;&gt;"&amp;L145,L$2:L$500,"&lt;&gt;")&gt;0,"CEK jenis fixture beda dalam satu series","OK")))))))))</f>
        <v/>
      </c>
      <c r="P145" s="11" t="n"/>
      <c r="Q145" s="11" t="n"/>
      <c r="R145" s="11">
        <f>IF(OR(P145="",Q145=""),"",IFERROR(INDEX(LAYOUT!$D$2:$D$80,MATCH(P145&amp;"|"&amp;Q145,LAYOUT!$E$2:$E$80,0)),""))</f>
        <v/>
      </c>
      <c r="S145" s="12">
        <f>IF(AND(P145="",Q145=""),IF(AND(L145="",M145="",T145="",U145=""),IF(OR($D145&lt;&gt;"",$E145&lt;&gt;""),"Belum ditempatkan",""),""),IF(P145="","CEK JENIS FIXTURE kosong",IF(LEFT(P145,4)&lt;&gt;"Wall","CEK Fixture 2 hanya Wall",IF(Q145="","CEK SHELVING KE kosong",IF(ISNA(MATCH(P145&amp;"|"&amp;Q145,LAYOUT!$E$2:$E$80,0)),"CEK SHELVING KE di luar layout",IF($I145="","CEK SERIES kosong",IF($D145="","Zona STOCK",IF($E145="","CEK SKU DESCRIPTION kosong",IF(COUNTIFS($I$2:$I$500,$I145,P$2:P$500,"&lt;&gt;"&amp;P145,P$2:P$500,"&lt;&gt;")&gt;0,"CEK jenis fixture beda dalam satu series","OK")))))))))</f>
        <v/>
      </c>
      <c r="T145" s="11" t="n"/>
      <c r="U145" s="11" t="n"/>
      <c r="V145" s="11">
        <f>IF(OR(T145="",U145=""),"",IFERROR(INDEX(LAYOUT!$D$2:$D$80,MATCH(T145&amp;"|"&amp;U145,LAYOUT!$E$2:$E$80,0)),""))</f>
        <v/>
      </c>
      <c r="W145" s="12">
        <f>IF(AND(T145="",U145=""),IF(AND(L145="",M145="",P145="",Q145=""),IF(OR($D145&lt;&gt;"",$E145&lt;&gt;""),"Belum ditempatkan",""),""),IF(T145="","CEK JENIS FIXTURE kosong",IF(LEFT(T145,4)&lt;&gt;"Wall","CEK Fixture 3 hanya Wall",IF(U145="","CEK SHELVING KE kosong",IF(ISNA(MATCH(T145&amp;"|"&amp;U145,LAYOUT!$E$2:$E$80,0)),"CEK SHELVING KE di luar layout",IF($I145="","CEK SERIES kosong",IF($D145="","Zona STOCK",IF($E145="","CEK SKU DESCRIPTION kosong",IF(COUNTIFS($I$2:$I$500,$I145,T$2:T$500,"&lt;&gt;"&amp;T145,T$2:T$500,"&lt;&gt;")&gt;0,"CEK jenis fixture beda dalam satu series","OK")))))))))</f>
        <v/>
      </c>
      <c r="X145" s="11" t="n"/>
      <c r="Y145" s="11" t="n"/>
      <c r="Z145" s="12" t="n"/>
      <c r="AA145" s="12" t="n"/>
      <c r="AB145" s="11" t="n"/>
      <c r="AC145" s="11" t="n"/>
      <c r="AD145" s="11" t="n"/>
      <c r="AE145" s="11" t="n"/>
      <c r="AF145" s="11" t="n"/>
      <c r="AG145" s="11" t="n"/>
      <c r="AH145" s="12" t="n"/>
      <c r="AI145" s="12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>
        <f>IF(OR(L146="",M146=""),"",IFERROR(INDEX(LAYOUT!$D$2:$D$80,MATCH(L146&amp;"|"&amp;M146,LAYOUT!$E$2:$E$80,0)),""))</f>
        <v/>
      </c>
      <c r="O146" s="12">
        <f>IF(AND(L146="",M146=""),IF(AND(P146="",Q146="",T146="",U146=""),IF(OR($D146&lt;&gt;"",$E146&lt;&gt;""),"Belum ditempatkan",""),""),IF(L146="","CEK JENIS FIXTURE kosong",IF(AND(LEFT(L146,7)&lt;&gt;"Gondola",LEFT(L146,6)&lt;&gt;"Endcap"),"CEK Fixture 1 hanya Gondola atau Endcap",IF(M146="","CEK SHELVING KE kosong",IF(ISNA(MATCH(L146&amp;"|"&amp;M146,LAYOUT!$E$2:$E$80,0)),"CEK SHELVING KE di luar layout",IF($I146="","CEK SERIES kosong",IF($D146="","Zona STOCK",IF($E146="","CEK SKU DESCRIPTION kosong",IF(COUNTIFS($I$2:$I$500,$I146,L$2:L$500,"&lt;&gt;"&amp;L146,L$2:L$500,"&lt;&gt;")&gt;0,"CEK jenis fixture beda dalam satu series","OK")))))))))</f>
        <v/>
      </c>
      <c r="P146" s="11" t="n"/>
      <c r="Q146" s="11" t="n"/>
      <c r="R146" s="11">
        <f>IF(OR(P146="",Q146=""),"",IFERROR(INDEX(LAYOUT!$D$2:$D$80,MATCH(P146&amp;"|"&amp;Q146,LAYOUT!$E$2:$E$80,0)),""))</f>
        <v/>
      </c>
      <c r="S146" s="12">
        <f>IF(AND(P146="",Q146=""),IF(AND(L146="",M146="",T146="",U146=""),IF(OR($D146&lt;&gt;"",$E146&lt;&gt;""),"Belum ditempatkan",""),""),IF(P146="","CEK JENIS FIXTURE kosong",IF(LEFT(P146,4)&lt;&gt;"Wall","CEK Fixture 2 hanya Wall",IF(Q146="","CEK SHELVING KE kosong",IF(ISNA(MATCH(P146&amp;"|"&amp;Q146,LAYOUT!$E$2:$E$80,0)),"CEK SHELVING KE di luar layout",IF($I146="","CEK SERIES kosong",IF($D146="","Zona STOCK",IF($E146="","CEK SKU DESCRIPTION kosong",IF(COUNTIFS($I$2:$I$500,$I146,P$2:P$500,"&lt;&gt;"&amp;P146,P$2:P$500,"&lt;&gt;")&gt;0,"CEK jenis fixture beda dalam satu series","OK")))))))))</f>
        <v/>
      </c>
      <c r="T146" s="11" t="n"/>
      <c r="U146" s="11" t="n"/>
      <c r="V146" s="11">
        <f>IF(OR(T146="",U146=""),"",IFERROR(INDEX(LAYOUT!$D$2:$D$80,MATCH(T146&amp;"|"&amp;U146,LAYOUT!$E$2:$E$80,0)),""))</f>
        <v/>
      </c>
      <c r="W146" s="12">
        <f>IF(AND(T146="",U146=""),IF(AND(L146="",M146="",P146="",Q146=""),IF(OR($D146&lt;&gt;"",$E146&lt;&gt;""),"Belum ditempatkan",""),""),IF(T146="","CEK JENIS FIXTURE kosong",IF(LEFT(T146,4)&lt;&gt;"Wall","CEK Fixture 3 hanya Wall",IF(U146="","CEK SHELVING KE kosong",IF(ISNA(MATCH(T146&amp;"|"&amp;U146,LAYOUT!$E$2:$E$80,0)),"CEK SHELVING KE di luar layout",IF($I146="","CEK SERIES kosong",IF($D146="","Zona STOCK",IF($E146="","CEK SKU DESCRIPTION kosong",IF(COUNTIFS($I$2:$I$500,$I146,T$2:T$500,"&lt;&gt;"&amp;T146,T$2:T$500,"&lt;&gt;")&gt;0,"CEK jenis fixture beda dalam satu series","OK")))))))))</f>
        <v/>
      </c>
      <c r="X146" s="11" t="n"/>
      <c r="Y146" s="11" t="n"/>
      <c r="Z146" s="12" t="n"/>
      <c r="AA146" s="12" t="n"/>
      <c r="AB146" s="11" t="n"/>
      <c r="AC146" s="11" t="n"/>
      <c r="AD146" s="11" t="n"/>
      <c r="AE146" s="11" t="n"/>
      <c r="AF146" s="11" t="n"/>
      <c r="AG146" s="11" t="n"/>
      <c r="AH146" s="12" t="n"/>
      <c r="AI146" s="12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>
        <f>IF(OR(L147="",M147=""),"",IFERROR(INDEX(LAYOUT!$D$2:$D$80,MATCH(L147&amp;"|"&amp;M147,LAYOUT!$E$2:$E$80,0)),""))</f>
        <v/>
      </c>
      <c r="O147" s="12">
        <f>IF(AND(L147="",M147=""),IF(AND(P147="",Q147="",T147="",U147=""),IF(OR($D147&lt;&gt;"",$E147&lt;&gt;""),"Belum ditempatkan",""),""),IF(L147="","CEK JENIS FIXTURE kosong",IF(AND(LEFT(L147,7)&lt;&gt;"Gondola",LEFT(L147,6)&lt;&gt;"Endcap"),"CEK Fixture 1 hanya Gondola atau Endcap",IF(M147="","CEK SHELVING KE kosong",IF(ISNA(MATCH(L147&amp;"|"&amp;M147,LAYOUT!$E$2:$E$80,0)),"CEK SHELVING KE di luar layout",IF($I147="","CEK SERIES kosong",IF($D147="","Zona STOCK",IF($E147="","CEK SKU DESCRIPTION kosong",IF(COUNTIFS($I$2:$I$500,$I147,L$2:L$500,"&lt;&gt;"&amp;L147,L$2:L$500,"&lt;&gt;")&gt;0,"CEK jenis fixture beda dalam satu series","OK")))))))))</f>
        <v/>
      </c>
      <c r="P147" s="11" t="n"/>
      <c r="Q147" s="11" t="n"/>
      <c r="R147" s="11">
        <f>IF(OR(P147="",Q147=""),"",IFERROR(INDEX(LAYOUT!$D$2:$D$80,MATCH(P147&amp;"|"&amp;Q147,LAYOUT!$E$2:$E$80,0)),""))</f>
        <v/>
      </c>
      <c r="S147" s="12">
        <f>IF(AND(P147="",Q147=""),IF(AND(L147="",M147="",T147="",U147=""),IF(OR($D147&lt;&gt;"",$E147&lt;&gt;""),"Belum ditempatkan",""),""),IF(P147="","CEK JENIS FIXTURE kosong",IF(LEFT(P147,4)&lt;&gt;"Wall","CEK Fixture 2 hanya Wall",IF(Q147="","CEK SHELVING KE kosong",IF(ISNA(MATCH(P147&amp;"|"&amp;Q147,LAYOUT!$E$2:$E$80,0)),"CEK SHELVING KE di luar layout",IF($I147="","CEK SERIES kosong",IF($D147="","Zona STOCK",IF($E147="","CEK SKU DESCRIPTION kosong",IF(COUNTIFS($I$2:$I$500,$I147,P$2:P$500,"&lt;&gt;"&amp;P147,P$2:P$500,"&lt;&gt;")&gt;0,"CEK jenis fixture beda dalam satu series","OK")))))))))</f>
        <v/>
      </c>
      <c r="T147" s="11" t="n"/>
      <c r="U147" s="11" t="n"/>
      <c r="V147" s="11">
        <f>IF(OR(T147="",U147=""),"",IFERROR(INDEX(LAYOUT!$D$2:$D$80,MATCH(T147&amp;"|"&amp;U147,LAYOUT!$E$2:$E$80,0)),""))</f>
        <v/>
      </c>
      <c r="W147" s="12">
        <f>IF(AND(T147="",U147=""),IF(AND(L147="",M147="",P147="",Q147=""),IF(OR($D147&lt;&gt;"",$E147&lt;&gt;""),"Belum ditempatkan",""),""),IF(T147="","CEK JENIS FIXTURE kosong",IF(LEFT(T147,4)&lt;&gt;"Wall","CEK Fixture 3 hanya Wall",IF(U147="","CEK SHELVING KE kosong",IF(ISNA(MATCH(T147&amp;"|"&amp;U147,LAYOUT!$E$2:$E$80,0)),"CEK SHELVING KE di luar layout",IF($I147="","CEK SERIES kosong",IF($D147="","Zona STOCK",IF($E147="","CEK SKU DESCRIPTION kosong",IF(COUNTIFS($I$2:$I$500,$I147,T$2:T$500,"&lt;&gt;"&amp;T147,T$2:T$500,"&lt;&gt;")&gt;0,"CEK jenis fixture beda dalam satu series","OK")))))))))</f>
        <v/>
      </c>
      <c r="X147" s="11" t="n"/>
      <c r="Y147" s="11" t="n"/>
      <c r="Z147" s="12" t="n"/>
      <c r="AA147" s="12" t="n"/>
      <c r="AB147" s="11" t="n"/>
      <c r="AC147" s="11" t="n"/>
      <c r="AD147" s="11" t="n"/>
      <c r="AE147" s="11" t="n"/>
      <c r="AF147" s="11" t="n"/>
      <c r="AG147" s="11" t="n"/>
      <c r="AH147" s="12" t="n"/>
      <c r="AI147" s="12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>
        <f>IF(OR(L148="",M148=""),"",IFERROR(INDEX(LAYOUT!$D$2:$D$80,MATCH(L148&amp;"|"&amp;M148,LAYOUT!$E$2:$E$80,0)),""))</f>
        <v/>
      </c>
      <c r="O148" s="12">
        <f>IF(AND(L148="",M148=""),IF(AND(P148="",Q148="",T148="",U148=""),IF(OR($D148&lt;&gt;"",$E148&lt;&gt;""),"Belum ditempatkan",""),""),IF(L148="","CEK JENIS FIXTURE kosong",IF(AND(LEFT(L148,7)&lt;&gt;"Gondola",LEFT(L148,6)&lt;&gt;"Endcap"),"CEK Fixture 1 hanya Gondola atau Endcap",IF(M148="","CEK SHELVING KE kosong",IF(ISNA(MATCH(L148&amp;"|"&amp;M148,LAYOUT!$E$2:$E$80,0)),"CEK SHELVING KE di luar layout",IF($I148="","CEK SERIES kosong",IF($D148="","Zona STOCK",IF($E148="","CEK SKU DESCRIPTION kosong",IF(COUNTIFS($I$2:$I$500,$I148,L$2:L$500,"&lt;&gt;"&amp;L148,L$2:L$500,"&lt;&gt;")&gt;0,"CEK jenis fixture beda dalam satu series","OK")))))))))</f>
        <v/>
      </c>
      <c r="P148" s="11" t="n"/>
      <c r="Q148" s="11" t="n"/>
      <c r="R148" s="11">
        <f>IF(OR(P148="",Q148=""),"",IFERROR(INDEX(LAYOUT!$D$2:$D$80,MATCH(P148&amp;"|"&amp;Q148,LAYOUT!$E$2:$E$80,0)),""))</f>
        <v/>
      </c>
      <c r="S148" s="12">
        <f>IF(AND(P148="",Q148=""),IF(AND(L148="",M148="",T148="",U148=""),IF(OR($D148&lt;&gt;"",$E148&lt;&gt;""),"Belum ditempatkan",""),""),IF(P148="","CEK JENIS FIXTURE kosong",IF(LEFT(P148,4)&lt;&gt;"Wall","CEK Fixture 2 hanya Wall",IF(Q148="","CEK SHELVING KE kosong",IF(ISNA(MATCH(P148&amp;"|"&amp;Q148,LAYOUT!$E$2:$E$80,0)),"CEK SHELVING KE di luar layout",IF($I148="","CEK SERIES kosong",IF($D148="","Zona STOCK",IF($E148="","CEK SKU DESCRIPTION kosong",IF(COUNTIFS($I$2:$I$500,$I148,P$2:P$500,"&lt;&gt;"&amp;P148,P$2:P$500,"&lt;&gt;")&gt;0,"CEK jenis fixture beda dalam satu series","OK")))))))))</f>
        <v/>
      </c>
      <c r="T148" s="11" t="n"/>
      <c r="U148" s="11" t="n"/>
      <c r="V148" s="11">
        <f>IF(OR(T148="",U148=""),"",IFERROR(INDEX(LAYOUT!$D$2:$D$80,MATCH(T148&amp;"|"&amp;U148,LAYOUT!$E$2:$E$80,0)),""))</f>
        <v/>
      </c>
      <c r="W148" s="12">
        <f>IF(AND(T148="",U148=""),IF(AND(L148="",M148="",P148="",Q148=""),IF(OR($D148&lt;&gt;"",$E148&lt;&gt;""),"Belum ditempatkan",""),""),IF(T148="","CEK JENIS FIXTURE kosong",IF(LEFT(T148,4)&lt;&gt;"Wall","CEK Fixture 3 hanya Wall",IF(U148="","CEK SHELVING KE kosong",IF(ISNA(MATCH(T148&amp;"|"&amp;U148,LAYOUT!$E$2:$E$80,0)),"CEK SHELVING KE di luar layout",IF($I148="","CEK SERIES kosong",IF($D148="","Zona STOCK",IF($E148="","CEK SKU DESCRIPTION kosong",IF(COUNTIFS($I$2:$I$500,$I148,T$2:T$500,"&lt;&gt;"&amp;T148,T$2:T$500,"&lt;&gt;")&gt;0,"CEK jenis fixture beda dalam satu series","OK")))))))))</f>
        <v/>
      </c>
      <c r="X148" s="11" t="n"/>
      <c r="Y148" s="11" t="n"/>
      <c r="Z148" s="12" t="n"/>
      <c r="AA148" s="12" t="n"/>
      <c r="AB148" s="11" t="n"/>
      <c r="AC148" s="11" t="n"/>
      <c r="AD148" s="11" t="n"/>
      <c r="AE148" s="11" t="n"/>
      <c r="AF148" s="11" t="n"/>
      <c r="AG148" s="11" t="n"/>
      <c r="AH148" s="12" t="n"/>
      <c r="AI148" s="12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>
        <f>IF(OR(L149="",M149=""),"",IFERROR(INDEX(LAYOUT!$D$2:$D$80,MATCH(L149&amp;"|"&amp;M149,LAYOUT!$E$2:$E$80,0)),""))</f>
        <v/>
      </c>
      <c r="O149" s="12">
        <f>IF(AND(L149="",M149=""),IF(AND(P149="",Q149="",T149="",U149=""),IF(OR($D149&lt;&gt;"",$E149&lt;&gt;""),"Belum ditempatkan",""),""),IF(L149="","CEK JENIS FIXTURE kosong",IF(AND(LEFT(L149,7)&lt;&gt;"Gondola",LEFT(L149,6)&lt;&gt;"Endcap"),"CEK Fixture 1 hanya Gondola atau Endcap",IF(M149="","CEK SHELVING KE kosong",IF(ISNA(MATCH(L149&amp;"|"&amp;M149,LAYOUT!$E$2:$E$80,0)),"CEK SHELVING KE di luar layout",IF($I149="","CEK SERIES kosong",IF($D149="","Zona STOCK",IF($E149="","CEK SKU DESCRIPTION kosong",IF(COUNTIFS($I$2:$I$500,$I149,L$2:L$500,"&lt;&gt;"&amp;L149,L$2:L$500,"&lt;&gt;")&gt;0,"CEK jenis fixture beda dalam satu series","OK")))))))))</f>
        <v/>
      </c>
      <c r="P149" s="11" t="n"/>
      <c r="Q149" s="11" t="n"/>
      <c r="R149" s="11">
        <f>IF(OR(P149="",Q149=""),"",IFERROR(INDEX(LAYOUT!$D$2:$D$80,MATCH(P149&amp;"|"&amp;Q149,LAYOUT!$E$2:$E$80,0)),""))</f>
        <v/>
      </c>
      <c r="S149" s="12">
        <f>IF(AND(P149="",Q149=""),IF(AND(L149="",M149="",T149="",U149=""),IF(OR($D149&lt;&gt;"",$E149&lt;&gt;""),"Belum ditempatkan",""),""),IF(P149="","CEK JENIS FIXTURE kosong",IF(LEFT(P149,4)&lt;&gt;"Wall","CEK Fixture 2 hanya Wall",IF(Q149="","CEK SHELVING KE kosong",IF(ISNA(MATCH(P149&amp;"|"&amp;Q149,LAYOUT!$E$2:$E$80,0)),"CEK SHELVING KE di luar layout",IF($I149="","CEK SERIES kosong",IF($D149="","Zona STOCK",IF($E149="","CEK SKU DESCRIPTION kosong",IF(COUNTIFS($I$2:$I$500,$I149,P$2:P$500,"&lt;&gt;"&amp;P149,P$2:P$500,"&lt;&gt;")&gt;0,"CEK jenis fixture beda dalam satu series","OK")))))))))</f>
        <v/>
      </c>
      <c r="T149" s="11" t="n"/>
      <c r="U149" s="11" t="n"/>
      <c r="V149" s="11">
        <f>IF(OR(T149="",U149=""),"",IFERROR(INDEX(LAYOUT!$D$2:$D$80,MATCH(T149&amp;"|"&amp;U149,LAYOUT!$E$2:$E$80,0)),""))</f>
        <v/>
      </c>
      <c r="W149" s="12">
        <f>IF(AND(T149="",U149=""),IF(AND(L149="",M149="",P149="",Q149=""),IF(OR($D149&lt;&gt;"",$E149&lt;&gt;""),"Belum ditempatkan",""),""),IF(T149="","CEK JENIS FIXTURE kosong",IF(LEFT(T149,4)&lt;&gt;"Wall","CEK Fixture 3 hanya Wall",IF(U149="","CEK SHELVING KE kosong",IF(ISNA(MATCH(T149&amp;"|"&amp;U149,LAYOUT!$E$2:$E$80,0)),"CEK SHELVING KE di luar layout",IF($I149="","CEK SERIES kosong",IF($D149="","Zona STOCK",IF($E149="","CEK SKU DESCRIPTION kosong",IF(COUNTIFS($I$2:$I$500,$I149,T$2:T$500,"&lt;&gt;"&amp;T149,T$2:T$500,"&lt;&gt;")&gt;0,"CEK jenis fixture beda dalam satu series","OK")))))))))</f>
        <v/>
      </c>
      <c r="X149" s="11" t="n"/>
      <c r="Y149" s="11" t="n"/>
      <c r="Z149" s="12" t="n"/>
      <c r="AA149" s="12" t="n"/>
      <c r="AB149" s="11" t="n"/>
      <c r="AC149" s="11" t="n"/>
      <c r="AD149" s="11" t="n"/>
      <c r="AE149" s="11" t="n"/>
      <c r="AF149" s="11" t="n"/>
      <c r="AG149" s="11" t="n"/>
      <c r="AH149" s="12" t="n"/>
      <c r="AI149" s="12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>
        <f>IF(OR(L150="",M150=""),"",IFERROR(INDEX(LAYOUT!$D$2:$D$80,MATCH(L150&amp;"|"&amp;M150,LAYOUT!$E$2:$E$80,0)),""))</f>
        <v/>
      </c>
      <c r="O150" s="12">
        <f>IF(AND(L150="",M150=""),IF(AND(P150="",Q150="",T150="",U150=""),IF(OR($D150&lt;&gt;"",$E150&lt;&gt;""),"Belum ditempatkan",""),""),IF(L150="","CEK JENIS FIXTURE kosong",IF(AND(LEFT(L150,7)&lt;&gt;"Gondola",LEFT(L150,6)&lt;&gt;"Endcap"),"CEK Fixture 1 hanya Gondola atau Endcap",IF(M150="","CEK SHELVING KE kosong",IF(ISNA(MATCH(L150&amp;"|"&amp;M150,LAYOUT!$E$2:$E$80,0)),"CEK SHELVING KE di luar layout",IF($I150="","CEK SERIES kosong",IF($D150="","Zona STOCK",IF($E150="","CEK SKU DESCRIPTION kosong",IF(COUNTIFS($I$2:$I$500,$I150,L$2:L$500,"&lt;&gt;"&amp;L150,L$2:L$500,"&lt;&gt;")&gt;0,"CEK jenis fixture beda dalam satu series","OK")))))))))</f>
        <v/>
      </c>
      <c r="P150" s="11" t="n"/>
      <c r="Q150" s="11" t="n"/>
      <c r="R150" s="11">
        <f>IF(OR(P150="",Q150=""),"",IFERROR(INDEX(LAYOUT!$D$2:$D$80,MATCH(P150&amp;"|"&amp;Q150,LAYOUT!$E$2:$E$80,0)),""))</f>
        <v/>
      </c>
      <c r="S150" s="12">
        <f>IF(AND(P150="",Q150=""),IF(AND(L150="",M150="",T150="",U150=""),IF(OR($D150&lt;&gt;"",$E150&lt;&gt;""),"Belum ditempatkan",""),""),IF(P150="","CEK JENIS FIXTURE kosong",IF(LEFT(P150,4)&lt;&gt;"Wall","CEK Fixture 2 hanya Wall",IF(Q150="","CEK SHELVING KE kosong",IF(ISNA(MATCH(P150&amp;"|"&amp;Q150,LAYOUT!$E$2:$E$80,0)),"CEK SHELVING KE di luar layout",IF($I150="","CEK SERIES kosong",IF($D150="","Zona STOCK",IF($E150="","CEK SKU DESCRIPTION kosong",IF(COUNTIFS($I$2:$I$500,$I150,P$2:P$500,"&lt;&gt;"&amp;P150,P$2:P$500,"&lt;&gt;")&gt;0,"CEK jenis fixture beda dalam satu series","OK")))))))))</f>
        <v/>
      </c>
      <c r="T150" s="11" t="n"/>
      <c r="U150" s="11" t="n"/>
      <c r="V150" s="11">
        <f>IF(OR(T150="",U150=""),"",IFERROR(INDEX(LAYOUT!$D$2:$D$80,MATCH(T150&amp;"|"&amp;U150,LAYOUT!$E$2:$E$80,0)),""))</f>
        <v/>
      </c>
      <c r="W150" s="12">
        <f>IF(AND(T150="",U150=""),IF(AND(L150="",M150="",P150="",Q150=""),IF(OR($D150&lt;&gt;"",$E150&lt;&gt;""),"Belum ditempatkan",""),""),IF(T150="","CEK JENIS FIXTURE kosong",IF(LEFT(T150,4)&lt;&gt;"Wall","CEK Fixture 3 hanya Wall",IF(U150="","CEK SHELVING KE kosong",IF(ISNA(MATCH(T150&amp;"|"&amp;U150,LAYOUT!$E$2:$E$80,0)),"CEK SHELVING KE di luar layout",IF($I150="","CEK SERIES kosong",IF($D150="","Zona STOCK",IF($E150="","CEK SKU DESCRIPTION kosong",IF(COUNTIFS($I$2:$I$500,$I150,T$2:T$500,"&lt;&gt;"&amp;T150,T$2:T$500,"&lt;&gt;")&gt;0,"CEK jenis fixture beda dalam satu series","OK")))))))))</f>
        <v/>
      </c>
      <c r="X150" s="11" t="n"/>
      <c r="Y150" s="11" t="n"/>
      <c r="Z150" s="12" t="n"/>
      <c r="AA150" s="12" t="n"/>
      <c r="AB150" s="11" t="n"/>
      <c r="AC150" s="11" t="n"/>
      <c r="AD150" s="11" t="n"/>
      <c r="AE150" s="11" t="n"/>
      <c r="AF150" s="11" t="n"/>
      <c r="AG150" s="11" t="n"/>
      <c r="AH150" s="12" t="n"/>
      <c r="AI150" s="12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>
        <f>IF(OR(L151="",M151=""),"",IFERROR(INDEX(LAYOUT!$D$2:$D$80,MATCH(L151&amp;"|"&amp;M151,LAYOUT!$E$2:$E$80,0)),""))</f>
        <v/>
      </c>
      <c r="O151" s="12">
        <f>IF(AND(L151="",M151=""),IF(AND(P151="",Q151="",T151="",U151=""),IF(OR($D151&lt;&gt;"",$E151&lt;&gt;""),"Belum ditempatkan",""),""),IF(L151="","CEK JENIS FIXTURE kosong",IF(AND(LEFT(L151,7)&lt;&gt;"Gondola",LEFT(L151,6)&lt;&gt;"Endcap"),"CEK Fixture 1 hanya Gondola atau Endcap",IF(M151="","CEK SHELVING KE kosong",IF(ISNA(MATCH(L151&amp;"|"&amp;M151,LAYOUT!$E$2:$E$80,0)),"CEK SHELVING KE di luar layout",IF($I151="","CEK SERIES kosong",IF($D151="","Zona STOCK",IF($E151="","CEK SKU DESCRIPTION kosong",IF(COUNTIFS($I$2:$I$500,$I151,L$2:L$500,"&lt;&gt;"&amp;L151,L$2:L$500,"&lt;&gt;")&gt;0,"CEK jenis fixture beda dalam satu series","OK")))))))))</f>
        <v/>
      </c>
      <c r="P151" s="11" t="n"/>
      <c r="Q151" s="11" t="n"/>
      <c r="R151" s="11">
        <f>IF(OR(P151="",Q151=""),"",IFERROR(INDEX(LAYOUT!$D$2:$D$80,MATCH(P151&amp;"|"&amp;Q151,LAYOUT!$E$2:$E$80,0)),""))</f>
        <v/>
      </c>
      <c r="S151" s="12">
        <f>IF(AND(P151="",Q151=""),IF(AND(L151="",M151="",T151="",U151=""),IF(OR($D151&lt;&gt;"",$E151&lt;&gt;""),"Belum ditempatkan",""),""),IF(P151="","CEK JENIS FIXTURE kosong",IF(LEFT(P151,4)&lt;&gt;"Wall","CEK Fixture 2 hanya Wall",IF(Q151="","CEK SHELVING KE kosong",IF(ISNA(MATCH(P151&amp;"|"&amp;Q151,LAYOUT!$E$2:$E$80,0)),"CEK SHELVING KE di luar layout",IF($I151="","CEK SERIES kosong",IF($D151="","Zona STOCK",IF($E151="","CEK SKU DESCRIPTION kosong",IF(COUNTIFS($I$2:$I$500,$I151,P$2:P$500,"&lt;&gt;"&amp;P151,P$2:P$500,"&lt;&gt;")&gt;0,"CEK jenis fixture beda dalam satu series","OK")))))))))</f>
        <v/>
      </c>
      <c r="T151" s="11" t="n"/>
      <c r="U151" s="11" t="n"/>
      <c r="V151" s="11">
        <f>IF(OR(T151="",U151=""),"",IFERROR(INDEX(LAYOUT!$D$2:$D$80,MATCH(T151&amp;"|"&amp;U151,LAYOUT!$E$2:$E$80,0)),""))</f>
        <v/>
      </c>
      <c r="W151" s="12">
        <f>IF(AND(T151="",U151=""),IF(AND(L151="",M151="",P151="",Q151=""),IF(OR($D151&lt;&gt;"",$E151&lt;&gt;""),"Belum ditempatkan",""),""),IF(T151="","CEK JENIS FIXTURE kosong",IF(LEFT(T151,4)&lt;&gt;"Wall","CEK Fixture 3 hanya Wall",IF(U151="","CEK SHELVING KE kosong",IF(ISNA(MATCH(T151&amp;"|"&amp;U151,LAYOUT!$E$2:$E$80,0)),"CEK SHELVING KE di luar layout",IF($I151="","CEK SERIES kosong",IF($D151="","Zona STOCK",IF($E151="","CEK SKU DESCRIPTION kosong",IF(COUNTIFS($I$2:$I$500,$I151,T$2:T$500,"&lt;&gt;"&amp;T151,T$2:T$500,"&lt;&gt;")&gt;0,"CEK jenis fixture beda dalam satu series","OK")))))))))</f>
        <v/>
      </c>
      <c r="X151" s="11" t="n"/>
      <c r="Y151" s="11" t="n"/>
      <c r="Z151" s="12" t="n"/>
      <c r="AA151" s="12" t="n"/>
      <c r="AB151" s="11" t="n"/>
      <c r="AC151" s="11" t="n"/>
      <c r="AD151" s="11" t="n"/>
      <c r="AE151" s="11" t="n"/>
      <c r="AF151" s="11" t="n"/>
      <c r="AG151" s="11" t="n"/>
      <c r="AH151" s="12" t="n"/>
      <c r="AI151" s="12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>
        <f>IF(OR(L152="",M152=""),"",IFERROR(INDEX(LAYOUT!$D$2:$D$80,MATCH(L152&amp;"|"&amp;M152,LAYOUT!$E$2:$E$80,0)),""))</f>
        <v/>
      </c>
      <c r="O152" s="12">
        <f>IF(AND(L152="",M152=""),IF(AND(P152="",Q152="",T152="",U152=""),IF(OR($D152&lt;&gt;"",$E152&lt;&gt;""),"Belum ditempatkan",""),""),IF(L152="","CEK JENIS FIXTURE kosong",IF(AND(LEFT(L152,7)&lt;&gt;"Gondola",LEFT(L152,6)&lt;&gt;"Endcap"),"CEK Fixture 1 hanya Gondola atau Endcap",IF(M152="","CEK SHELVING KE kosong",IF(ISNA(MATCH(L152&amp;"|"&amp;M152,LAYOUT!$E$2:$E$80,0)),"CEK SHELVING KE di luar layout",IF($I152="","CEK SERIES kosong",IF($D152="","Zona STOCK",IF($E152="","CEK SKU DESCRIPTION kosong",IF(COUNTIFS($I$2:$I$500,$I152,L$2:L$500,"&lt;&gt;"&amp;L152,L$2:L$500,"&lt;&gt;")&gt;0,"CEK jenis fixture beda dalam satu series","OK")))))))))</f>
        <v/>
      </c>
      <c r="P152" s="11" t="n"/>
      <c r="Q152" s="11" t="n"/>
      <c r="R152" s="11">
        <f>IF(OR(P152="",Q152=""),"",IFERROR(INDEX(LAYOUT!$D$2:$D$80,MATCH(P152&amp;"|"&amp;Q152,LAYOUT!$E$2:$E$80,0)),""))</f>
        <v/>
      </c>
      <c r="S152" s="12">
        <f>IF(AND(P152="",Q152=""),IF(AND(L152="",M152="",T152="",U152=""),IF(OR($D152&lt;&gt;"",$E152&lt;&gt;""),"Belum ditempatkan",""),""),IF(P152="","CEK JENIS FIXTURE kosong",IF(LEFT(P152,4)&lt;&gt;"Wall","CEK Fixture 2 hanya Wall",IF(Q152="","CEK SHELVING KE kosong",IF(ISNA(MATCH(P152&amp;"|"&amp;Q152,LAYOUT!$E$2:$E$80,0)),"CEK SHELVING KE di luar layout",IF($I152="","CEK SERIES kosong",IF($D152="","Zona STOCK",IF($E152="","CEK SKU DESCRIPTION kosong",IF(COUNTIFS($I$2:$I$500,$I152,P$2:P$500,"&lt;&gt;"&amp;P152,P$2:P$500,"&lt;&gt;")&gt;0,"CEK jenis fixture beda dalam satu series","OK")))))))))</f>
        <v/>
      </c>
      <c r="T152" s="11" t="n"/>
      <c r="U152" s="11" t="n"/>
      <c r="V152" s="11">
        <f>IF(OR(T152="",U152=""),"",IFERROR(INDEX(LAYOUT!$D$2:$D$80,MATCH(T152&amp;"|"&amp;U152,LAYOUT!$E$2:$E$80,0)),""))</f>
        <v/>
      </c>
      <c r="W152" s="12">
        <f>IF(AND(T152="",U152=""),IF(AND(L152="",M152="",P152="",Q152=""),IF(OR($D152&lt;&gt;"",$E152&lt;&gt;""),"Belum ditempatkan",""),""),IF(T152="","CEK JENIS FIXTURE kosong",IF(LEFT(T152,4)&lt;&gt;"Wall","CEK Fixture 3 hanya Wall",IF(U152="","CEK SHELVING KE kosong",IF(ISNA(MATCH(T152&amp;"|"&amp;U152,LAYOUT!$E$2:$E$80,0)),"CEK SHELVING KE di luar layout",IF($I152="","CEK SERIES kosong",IF($D152="","Zona STOCK",IF($E152="","CEK SKU DESCRIPTION kosong",IF(COUNTIFS($I$2:$I$500,$I152,T$2:T$500,"&lt;&gt;"&amp;T152,T$2:T$500,"&lt;&gt;")&gt;0,"CEK jenis fixture beda dalam satu series","OK")))))))))</f>
        <v/>
      </c>
      <c r="X152" s="11" t="n"/>
      <c r="Y152" s="11" t="n"/>
      <c r="Z152" s="12" t="n"/>
      <c r="AA152" s="12" t="n"/>
      <c r="AB152" s="11" t="n"/>
      <c r="AC152" s="11" t="n"/>
      <c r="AD152" s="11" t="n"/>
      <c r="AE152" s="11" t="n"/>
      <c r="AF152" s="11" t="n"/>
      <c r="AG152" s="11" t="n"/>
      <c r="AH152" s="12" t="n"/>
      <c r="AI152" s="12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>
        <f>IF(OR(L153="",M153=""),"",IFERROR(INDEX(LAYOUT!$D$2:$D$80,MATCH(L153&amp;"|"&amp;M153,LAYOUT!$E$2:$E$80,0)),""))</f>
        <v/>
      </c>
      <c r="O153" s="12">
        <f>IF(AND(L153="",M153=""),IF(AND(P153="",Q153="",T153="",U153=""),IF(OR($D153&lt;&gt;"",$E153&lt;&gt;""),"Belum ditempatkan",""),""),IF(L153="","CEK JENIS FIXTURE kosong",IF(AND(LEFT(L153,7)&lt;&gt;"Gondola",LEFT(L153,6)&lt;&gt;"Endcap"),"CEK Fixture 1 hanya Gondola atau Endcap",IF(M153="","CEK SHELVING KE kosong",IF(ISNA(MATCH(L153&amp;"|"&amp;M153,LAYOUT!$E$2:$E$80,0)),"CEK SHELVING KE di luar layout",IF($I153="","CEK SERIES kosong",IF($D153="","Zona STOCK",IF($E153="","CEK SKU DESCRIPTION kosong",IF(COUNTIFS($I$2:$I$500,$I153,L$2:L$500,"&lt;&gt;"&amp;L153,L$2:L$500,"&lt;&gt;")&gt;0,"CEK jenis fixture beda dalam satu series","OK")))))))))</f>
        <v/>
      </c>
      <c r="P153" s="11" t="n"/>
      <c r="Q153" s="11" t="n"/>
      <c r="R153" s="11">
        <f>IF(OR(P153="",Q153=""),"",IFERROR(INDEX(LAYOUT!$D$2:$D$80,MATCH(P153&amp;"|"&amp;Q153,LAYOUT!$E$2:$E$80,0)),""))</f>
        <v/>
      </c>
      <c r="S153" s="12">
        <f>IF(AND(P153="",Q153=""),IF(AND(L153="",M153="",T153="",U153=""),IF(OR($D153&lt;&gt;"",$E153&lt;&gt;""),"Belum ditempatkan",""),""),IF(P153="","CEK JENIS FIXTURE kosong",IF(LEFT(P153,4)&lt;&gt;"Wall","CEK Fixture 2 hanya Wall",IF(Q153="","CEK SHELVING KE kosong",IF(ISNA(MATCH(P153&amp;"|"&amp;Q153,LAYOUT!$E$2:$E$80,0)),"CEK SHELVING KE di luar layout",IF($I153="","CEK SERIES kosong",IF($D153="","Zona STOCK",IF($E153="","CEK SKU DESCRIPTION kosong",IF(COUNTIFS($I$2:$I$500,$I153,P$2:P$500,"&lt;&gt;"&amp;P153,P$2:P$500,"&lt;&gt;")&gt;0,"CEK jenis fixture beda dalam satu series","OK")))))))))</f>
        <v/>
      </c>
      <c r="T153" s="11" t="n"/>
      <c r="U153" s="11" t="n"/>
      <c r="V153" s="11">
        <f>IF(OR(T153="",U153=""),"",IFERROR(INDEX(LAYOUT!$D$2:$D$80,MATCH(T153&amp;"|"&amp;U153,LAYOUT!$E$2:$E$80,0)),""))</f>
        <v/>
      </c>
      <c r="W153" s="12">
        <f>IF(AND(T153="",U153=""),IF(AND(L153="",M153="",P153="",Q153=""),IF(OR($D153&lt;&gt;"",$E153&lt;&gt;""),"Belum ditempatkan",""),""),IF(T153="","CEK JENIS FIXTURE kosong",IF(LEFT(T153,4)&lt;&gt;"Wall","CEK Fixture 3 hanya Wall",IF(U153="","CEK SHELVING KE kosong",IF(ISNA(MATCH(T153&amp;"|"&amp;U153,LAYOUT!$E$2:$E$80,0)),"CEK SHELVING KE di luar layout",IF($I153="","CEK SERIES kosong",IF($D153="","Zona STOCK",IF($E153="","CEK SKU DESCRIPTION kosong",IF(COUNTIFS($I$2:$I$500,$I153,T$2:T$500,"&lt;&gt;"&amp;T153,T$2:T$500,"&lt;&gt;")&gt;0,"CEK jenis fixture beda dalam satu series","OK")))))))))</f>
        <v/>
      </c>
      <c r="X153" s="11" t="n"/>
      <c r="Y153" s="11" t="n"/>
      <c r="Z153" s="12" t="n"/>
      <c r="AA153" s="12" t="n"/>
      <c r="AB153" s="11" t="n"/>
      <c r="AC153" s="11" t="n"/>
      <c r="AD153" s="11" t="n"/>
      <c r="AE153" s="11" t="n"/>
      <c r="AF153" s="11" t="n"/>
      <c r="AG153" s="11" t="n"/>
      <c r="AH153" s="12" t="n"/>
      <c r="AI153" s="12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>
        <f>IF(OR(L154="",M154=""),"",IFERROR(INDEX(LAYOUT!$D$2:$D$80,MATCH(L154&amp;"|"&amp;M154,LAYOUT!$E$2:$E$80,0)),""))</f>
        <v/>
      </c>
      <c r="O154" s="12">
        <f>IF(AND(L154="",M154=""),IF(AND(P154="",Q154="",T154="",U154=""),IF(OR($D154&lt;&gt;"",$E154&lt;&gt;""),"Belum ditempatkan",""),""),IF(L154="","CEK JENIS FIXTURE kosong",IF(AND(LEFT(L154,7)&lt;&gt;"Gondola",LEFT(L154,6)&lt;&gt;"Endcap"),"CEK Fixture 1 hanya Gondola atau Endcap",IF(M154="","CEK SHELVING KE kosong",IF(ISNA(MATCH(L154&amp;"|"&amp;M154,LAYOUT!$E$2:$E$80,0)),"CEK SHELVING KE di luar layout",IF($I154="","CEK SERIES kosong",IF($D154="","Zona STOCK",IF($E154="","CEK SKU DESCRIPTION kosong",IF(COUNTIFS($I$2:$I$500,$I154,L$2:L$500,"&lt;&gt;"&amp;L154,L$2:L$500,"&lt;&gt;")&gt;0,"CEK jenis fixture beda dalam satu series","OK")))))))))</f>
        <v/>
      </c>
      <c r="P154" s="11" t="n"/>
      <c r="Q154" s="11" t="n"/>
      <c r="R154" s="11">
        <f>IF(OR(P154="",Q154=""),"",IFERROR(INDEX(LAYOUT!$D$2:$D$80,MATCH(P154&amp;"|"&amp;Q154,LAYOUT!$E$2:$E$80,0)),""))</f>
        <v/>
      </c>
      <c r="S154" s="12">
        <f>IF(AND(P154="",Q154=""),IF(AND(L154="",M154="",T154="",U154=""),IF(OR($D154&lt;&gt;"",$E154&lt;&gt;""),"Belum ditempatkan",""),""),IF(P154="","CEK JENIS FIXTURE kosong",IF(LEFT(P154,4)&lt;&gt;"Wall","CEK Fixture 2 hanya Wall",IF(Q154="","CEK SHELVING KE kosong",IF(ISNA(MATCH(P154&amp;"|"&amp;Q154,LAYOUT!$E$2:$E$80,0)),"CEK SHELVING KE di luar layout",IF($I154="","CEK SERIES kosong",IF($D154="","Zona STOCK",IF($E154="","CEK SKU DESCRIPTION kosong",IF(COUNTIFS($I$2:$I$500,$I154,P$2:P$500,"&lt;&gt;"&amp;P154,P$2:P$500,"&lt;&gt;")&gt;0,"CEK jenis fixture beda dalam satu series","OK")))))))))</f>
        <v/>
      </c>
      <c r="T154" s="11" t="n"/>
      <c r="U154" s="11" t="n"/>
      <c r="V154" s="11">
        <f>IF(OR(T154="",U154=""),"",IFERROR(INDEX(LAYOUT!$D$2:$D$80,MATCH(T154&amp;"|"&amp;U154,LAYOUT!$E$2:$E$80,0)),""))</f>
        <v/>
      </c>
      <c r="W154" s="12">
        <f>IF(AND(T154="",U154=""),IF(AND(L154="",M154="",P154="",Q154=""),IF(OR($D154&lt;&gt;"",$E154&lt;&gt;""),"Belum ditempatkan",""),""),IF(T154="","CEK JENIS FIXTURE kosong",IF(LEFT(T154,4)&lt;&gt;"Wall","CEK Fixture 3 hanya Wall",IF(U154="","CEK SHELVING KE kosong",IF(ISNA(MATCH(T154&amp;"|"&amp;U154,LAYOUT!$E$2:$E$80,0)),"CEK SHELVING KE di luar layout",IF($I154="","CEK SERIES kosong",IF($D154="","Zona STOCK",IF($E154="","CEK SKU DESCRIPTION kosong",IF(COUNTIFS($I$2:$I$500,$I154,T$2:T$500,"&lt;&gt;"&amp;T154,T$2:T$500,"&lt;&gt;")&gt;0,"CEK jenis fixture beda dalam satu series","OK")))))))))</f>
        <v/>
      </c>
      <c r="X154" s="11" t="n"/>
      <c r="Y154" s="11" t="n"/>
      <c r="Z154" s="12" t="n"/>
      <c r="AA154" s="12" t="n"/>
      <c r="AB154" s="11" t="n"/>
      <c r="AC154" s="11" t="n"/>
      <c r="AD154" s="11" t="n"/>
      <c r="AE154" s="11" t="n"/>
      <c r="AF154" s="11" t="n"/>
      <c r="AG154" s="11" t="n"/>
      <c r="AH154" s="12" t="n"/>
      <c r="AI154" s="12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>
        <f>IF(OR(L155="",M155=""),"",IFERROR(INDEX(LAYOUT!$D$2:$D$80,MATCH(L155&amp;"|"&amp;M155,LAYOUT!$E$2:$E$80,0)),""))</f>
        <v/>
      </c>
      <c r="O155" s="12">
        <f>IF(AND(L155="",M155=""),IF(AND(P155="",Q155="",T155="",U155=""),IF(OR($D155&lt;&gt;"",$E155&lt;&gt;""),"Belum ditempatkan",""),""),IF(L155="","CEK JENIS FIXTURE kosong",IF(AND(LEFT(L155,7)&lt;&gt;"Gondola",LEFT(L155,6)&lt;&gt;"Endcap"),"CEK Fixture 1 hanya Gondola atau Endcap",IF(M155="","CEK SHELVING KE kosong",IF(ISNA(MATCH(L155&amp;"|"&amp;M155,LAYOUT!$E$2:$E$80,0)),"CEK SHELVING KE di luar layout",IF($I155="","CEK SERIES kosong",IF($D155="","Zona STOCK",IF($E155="","CEK SKU DESCRIPTION kosong",IF(COUNTIFS($I$2:$I$500,$I155,L$2:L$500,"&lt;&gt;"&amp;L155,L$2:L$500,"&lt;&gt;")&gt;0,"CEK jenis fixture beda dalam satu series","OK")))))))))</f>
        <v/>
      </c>
      <c r="P155" s="11" t="n"/>
      <c r="Q155" s="11" t="n"/>
      <c r="R155" s="11">
        <f>IF(OR(P155="",Q155=""),"",IFERROR(INDEX(LAYOUT!$D$2:$D$80,MATCH(P155&amp;"|"&amp;Q155,LAYOUT!$E$2:$E$80,0)),""))</f>
        <v/>
      </c>
      <c r="S155" s="12">
        <f>IF(AND(P155="",Q155=""),IF(AND(L155="",M155="",T155="",U155=""),IF(OR($D155&lt;&gt;"",$E155&lt;&gt;""),"Belum ditempatkan",""),""),IF(P155="","CEK JENIS FIXTURE kosong",IF(LEFT(P155,4)&lt;&gt;"Wall","CEK Fixture 2 hanya Wall",IF(Q155="","CEK SHELVING KE kosong",IF(ISNA(MATCH(P155&amp;"|"&amp;Q155,LAYOUT!$E$2:$E$80,0)),"CEK SHELVING KE di luar layout",IF($I155="","CEK SERIES kosong",IF($D155="","Zona STOCK",IF($E155="","CEK SKU DESCRIPTION kosong",IF(COUNTIFS($I$2:$I$500,$I155,P$2:P$500,"&lt;&gt;"&amp;P155,P$2:P$500,"&lt;&gt;")&gt;0,"CEK jenis fixture beda dalam satu series","OK")))))))))</f>
        <v/>
      </c>
      <c r="T155" s="11" t="n"/>
      <c r="U155" s="11" t="n"/>
      <c r="V155" s="11">
        <f>IF(OR(T155="",U155=""),"",IFERROR(INDEX(LAYOUT!$D$2:$D$80,MATCH(T155&amp;"|"&amp;U155,LAYOUT!$E$2:$E$80,0)),""))</f>
        <v/>
      </c>
      <c r="W155" s="12">
        <f>IF(AND(T155="",U155=""),IF(AND(L155="",M155="",P155="",Q155=""),IF(OR($D155&lt;&gt;"",$E155&lt;&gt;""),"Belum ditempatkan",""),""),IF(T155="","CEK JENIS FIXTURE kosong",IF(LEFT(T155,4)&lt;&gt;"Wall","CEK Fixture 3 hanya Wall",IF(U155="","CEK SHELVING KE kosong",IF(ISNA(MATCH(T155&amp;"|"&amp;U155,LAYOUT!$E$2:$E$80,0)),"CEK SHELVING KE di luar layout",IF($I155="","CEK SERIES kosong",IF($D155="","Zona STOCK",IF($E155="","CEK SKU DESCRIPTION kosong",IF(COUNTIFS($I$2:$I$500,$I155,T$2:T$500,"&lt;&gt;"&amp;T155,T$2:T$500,"&lt;&gt;")&gt;0,"CEK jenis fixture beda dalam satu series","OK")))))))))</f>
        <v/>
      </c>
      <c r="X155" s="11" t="n"/>
      <c r="Y155" s="11" t="n"/>
      <c r="Z155" s="12" t="n"/>
      <c r="AA155" s="12" t="n"/>
      <c r="AB155" s="11" t="n"/>
      <c r="AC155" s="11" t="n"/>
      <c r="AD155" s="11" t="n"/>
      <c r="AE155" s="11" t="n"/>
      <c r="AF155" s="11" t="n"/>
      <c r="AG155" s="11" t="n"/>
      <c r="AH155" s="12" t="n"/>
      <c r="AI155" s="12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>
        <f>IF(OR(L156="",M156=""),"",IFERROR(INDEX(LAYOUT!$D$2:$D$80,MATCH(L156&amp;"|"&amp;M156,LAYOUT!$E$2:$E$80,0)),""))</f>
        <v/>
      </c>
      <c r="O156" s="12">
        <f>IF(AND(L156="",M156=""),IF(AND(P156="",Q156="",T156="",U156=""),IF(OR($D156&lt;&gt;"",$E156&lt;&gt;""),"Belum ditempatkan",""),""),IF(L156="","CEK JENIS FIXTURE kosong",IF(AND(LEFT(L156,7)&lt;&gt;"Gondola",LEFT(L156,6)&lt;&gt;"Endcap"),"CEK Fixture 1 hanya Gondola atau Endcap",IF(M156="","CEK SHELVING KE kosong",IF(ISNA(MATCH(L156&amp;"|"&amp;M156,LAYOUT!$E$2:$E$80,0)),"CEK SHELVING KE di luar layout",IF($I156="","CEK SERIES kosong",IF($D156="","Zona STOCK",IF($E156="","CEK SKU DESCRIPTION kosong",IF(COUNTIFS($I$2:$I$500,$I156,L$2:L$500,"&lt;&gt;"&amp;L156,L$2:L$500,"&lt;&gt;")&gt;0,"CEK jenis fixture beda dalam satu series","OK")))))))))</f>
        <v/>
      </c>
      <c r="P156" s="11" t="n"/>
      <c r="Q156" s="11" t="n"/>
      <c r="R156" s="11">
        <f>IF(OR(P156="",Q156=""),"",IFERROR(INDEX(LAYOUT!$D$2:$D$80,MATCH(P156&amp;"|"&amp;Q156,LAYOUT!$E$2:$E$80,0)),""))</f>
        <v/>
      </c>
      <c r="S156" s="12">
        <f>IF(AND(P156="",Q156=""),IF(AND(L156="",M156="",T156="",U156=""),IF(OR($D156&lt;&gt;"",$E156&lt;&gt;""),"Belum ditempatkan",""),""),IF(P156="","CEK JENIS FIXTURE kosong",IF(LEFT(P156,4)&lt;&gt;"Wall","CEK Fixture 2 hanya Wall",IF(Q156="","CEK SHELVING KE kosong",IF(ISNA(MATCH(P156&amp;"|"&amp;Q156,LAYOUT!$E$2:$E$80,0)),"CEK SHELVING KE di luar layout",IF($I156="","CEK SERIES kosong",IF($D156="","Zona STOCK",IF($E156="","CEK SKU DESCRIPTION kosong",IF(COUNTIFS($I$2:$I$500,$I156,P$2:P$500,"&lt;&gt;"&amp;P156,P$2:P$500,"&lt;&gt;")&gt;0,"CEK jenis fixture beda dalam satu series","OK")))))))))</f>
        <v/>
      </c>
      <c r="T156" s="11" t="n"/>
      <c r="U156" s="11" t="n"/>
      <c r="V156" s="11">
        <f>IF(OR(T156="",U156=""),"",IFERROR(INDEX(LAYOUT!$D$2:$D$80,MATCH(T156&amp;"|"&amp;U156,LAYOUT!$E$2:$E$80,0)),""))</f>
        <v/>
      </c>
      <c r="W156" s="12">
        <f>IF(AND(T156="",U156=""),IF(AND(L156="",M156="",P156="",Q156=""),IF(OR($D156&lt;&gt;"",$E156&lt;&gt;""),"Belum ditempatkan",""),""),IF(T156="","CEK JENIS FIXTURE kosong",IF(LEFT(T156,4)&lt;&gt;"Wall","CEK Fixture 3 hanya Wall",IF(U156="","CEK SHELVING KE kosong",IF(ISNA(MATCH(T156&amp;"|"&amp;U156,LAYOUT!$E$2:$E$80,0)),"CEK SHELVING KE di luar layout",IF($I156="","CEK SERIES kosong",IF($D156="","Zona STOCK",IF($E156="","CEK SKU DESCRIPTION kosong",IF(COUNTIFS($I$2:$I$500,$I156,T$2:T$500,"&lt;&gt;"&amp;T156,T$2:T$500,"&lt;&gt;")&gt;0,"CEK jenis fixture beda dalam satu series","OK")))))))))</f>
        <v/>
      </c>
      <c r="X156" s="11" t="n"/>
      <c r="Y156" s="11" t="n"/>
      <c r="Z156" s="12" t="n"/>
      <c r="AA156" s="12" t="n"/>
      <c r="AB156" s="11" t="n"/>
      <c r="AC156" s="11" t="n"/>
      <c r="AD156" s="11" t="n"/>
      <c r="AE156" s="11" t="n"/>
      <c r="AF156" s="11" t="n"/>
      <c r="AG156" s="11" t="n"/>
      <c r="AH156" s="12" t="n"/>
      <c r="AI156" s="12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>
        <f>IF(OR(L157="",M157=""),"",IFERROR(INDEX(LAYOUT!$D$2:$D$80,MATCH(L157&amp;"|"&amp;M157,LAYOUT!$E$2:$E$80,0)),""))</f>
        <v/>
      </c>
      <c r="O157" s="12">
        <f>IF(AND(L157="",M157=""),IF(AND(P157="",Q157="",T157="",U157=""),IF(OR($D157&lt;&gt;"",$E157&lt;&gt;""),"Belum ditempatkan",""),""),IF(L157="","CEK JENIS FIXTURE kosong",IF(AND(LEFT(L157,7)&lt;&gt;"Gondola",LEFT(L157,6)&lt;&gt;"Endcap"),"CEK Fixture 1 hanya Gondola atau Endcap",IF(M157="","CEK SHELVING KE kosong",IF(ISNA(MATCH(L157&amp;"|"&amp;M157,LAYOUT!$E$2:$E$80,0)),"CEK SHELVING KE di luar layout",IF($I157="","CEK SERIES kosong",IF($D157="","Zona STOCK",IF($E157="","CEK SKU DESCRIPTION kosong",IF(COUNTIFS($I$2:$I$500,$I157,L$2:L$500,"&lt;&gt;"&amp;L157,L$2:L$500,"&lt;&gt;")&gt;0,"CEK jenis fixture beda dalam satu series","OK")))))))))</f>
        <v/>
      </c>
      <c r="P157" s="11" t="n"/>
      <c r="Q157" s="11" t="n"/>
      <c r="R157" s="11">
        <f>IF(OR(P157="",Q157=""),"",IFERROR(INDEX(LAYOUT!$D$2:$D$80,MATCH(P157&amp;"|"&amp;Q157,LAYOUT!$E$2:$E$80,0)),""))</f>
        <v/>
      </c>
      <c r="S157" s="12">
        <f>IF(AND(P157="",Q157=""),IF(AND(L157="",M157="",T157="",U157=""),IF(OR($D157&lt;&gt;"",$E157&lt;&gt;""),"Belum ditempatkan",""),""),IF(P157="","CEK JENIS FIXTURE kosong",IF(LEFT(P157,4)&lt;&gt;"Wall","CEK Fixture 2 hanya Wall",IF(Q157="","CEK SHELVING KE kosong",IF(ISNA(MATCH(P157&amp;"|"&amp;Q157,LAYOUT!$E$2:$E$80,0)),"CEK SHELVING KE di luar layout",IF($I157="","CEK SERIES kosong",IF($D157="","Zona STOCK",IF($E157="","CEK SKU DESCRIPTION kosong",IF(COUNTIFS($I$2:$I$500,$I157,P$2:P$500,"&lt;&gt;"&amp;P157,P$2:P$500,"&lt;&gt;")&gt;0,"CEK jenis fixture beda dalam satu series","OK")))))))))</f>
        <v/>
      </c>
      <c r="T157" s="11" t="n"/>
      <c r="U157" s="11" t="n"/>
      <c r="V157" s="11">
        <f>IF(OR(T157="",U157=""),"",IFERROR(INDEX(LAYOUT!$D$2:$D$80,MATCH(T157&amp;"|"&amp;U157,LAYOUT!$E$2:$E$80,0)),""))</f>
        <v/>
      </c>
      <c r="W157" s="12">
        <f>IF(AND(T157="",U157=""),IF(AND(L157="",M157="",P157="",Q157=""),IF(OR($D157&lt;&gt;"",$E157&lt;&gt;""),"Belum ditempatkan",""),""),IF(T157="","CEK JENIS FIXTURE kosong",IF(LEFT(T157,4)&lt;&gt;"Wall","CEK Fixture 3 hanya Wall",IF(U157="","CEK SHELVING KE kosong",IF(ISNA(MATCH(T157&amp;"|"&amp;U157,LAYOUT!$E$2:$E$80,0)),"CEK SHELVING KE di luar layout",IF($I157="","CEK SERIES kosong",IF($D157="","Zona STOCK",IF($E157="","CEK SKU DESCRIPTION kosong",IF(COUNTIFS($I$2:$I$500,$I157,T$2:T$500,"&lt;&gt;"&amp;T157,T$2:T$500,"&lt;&gt;")&gt;0,"CEK jenis fixture beda dalam satu series","OK")))))))))</f>
        <v/>
      </c>
      <c r="X157" s="11" t="n"/>
      <c r="Y157" s="11" t="n"/>
      <c r="Z157" s="12" t="n"/>
      <c r="AA157" s="12" t="n"/>
      <c r="AB157" s="11" t="n"/>
      <c r="AC157" s="11" t="n"/>
      <c r="AD157" s="11" t="n"/>
      <c r="AE157" s="11" t="n"/>
      <c r="AF157" s="11" t="n"/>
      <c r="AG157" s="11" t="n"/>
      <c r="AH157" s="12" t="n"/>
      <c r="AI157" s="12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>
        <f>IF(OR(L158="",M158=""),"",IFERROR(INDEX(LAYOUT!$D$2:$D$80,MATCH(L158&amp;"|"&amp;M158,LAYOUT!$E$2:$E$80,0)),""))</f>
        <v/>
      </c>
      <c r="O158" s="12">
        <f>IF(AND(L158="",M158=""),IF(AND(P158="",Q158="",T158="",U158=""),IF(OR($D158&lt;&gt;"",$E158&lt;&gt;""),"Belum ditempatkan",""),""),IF(L158="","CEK JENIS FIXTURE kosong",IF(AND(LEFT(L158,7)&lt;&gt;"Gondola",LEFT(L158,6)&lt;&gt;"Endcap"),"CEK Fixture 1 hanya Gondola atau Endcap",IF(M158="","CEK SHELVING KE kosong",IF(ISNA(MATCH(L158&amp;"|"&amp;M158,LAYOUT!$E$2:$E$80,0)),"CEK SHELVING KE di luar layout",IF($I158="","CEK SERIES kosong",IF($D158="","Zona STOCK",IF($E158="","CEK SKU DESCRIPTION kosong",IF(COUNTIFS($I$2:$I$500,$I158,L$2:L$500,"&lt;&gt;"&amp;L158,L$2:L$500,"&lt;&gt;")&gt;0,"CEK jenis fixture beda dalam satu series","OK")))))))))</f>
        <v/>
      </c>
      <c r="P158" s="11" t="n"/>
      <c r="Q158" s="11" t="n"/>
      <c r="R158" s="11">
        <f>IF(OR(P158="",Q158=""),"",IFERROR(INDEX(LAYOUT!$D$2:$D$80,MATCH(P158&amp;"|"&amp;Q158,LAYOUT!$E$2:$E$80,0)),""))</f>
        <v/>
      </c>
      <c r="S158" s="12">
        <f>IF(AND(P158="",Q158=""),IF(AND(L158="",M158="",T158="",U158=""),IF(OR($D158&lt;&gt;"",$E158&lt;&gt;""),"Belum ditempatkan",""),""),IF(P158="","CEK JENIS FIXTURE kosong",IF(LEFT(P158,4)&lt;&gt;"Wall","CEK Fixture 2 hanya Wall",IF(Q158="","CEK SHELVING KE kosong",IF(ISNA(MATCH(P158&amp;"|"&amp;Q158,LAYOUT!$E$2:$E$80,0)),"CEK SHELVING KE di luar layout",IF($I158="","CEK SERIES kosong",IF($D158="","Zona STOCK",IF($E158="","CEK SKU DESCRIPTION kosong",IF(COUNTIFS($I$2:$I$500,$I158,P$2:P$500,"&lt;&gt;"&amp;P158,P$2:P$500,"&lt;&gt;")&gt;0,"CEK jenis fixture beda dalam satu series","OK")))))))))</f>
        <v/>
      </c>
      <c r="T158" s="11" t="n"/>
      <c r="U158" s="11" t="n"/>
      <c r="V158" s="11">
        <f>IF(OR(T158="",U158=""),"",IFERROR(INDEX(LAYOUT!$D$2:$D$80,MATCH(T158&amp;"|"&amp;U158,LAYOUT!$E$2:$E$80,0)),""))</f>
        <v/>
      </c>
      <c r="W158" s="12">
        <f>IF(AND(T158="",U158=""),IF(AND(L158="",M158="",P158="",Q158=""),IF(OR($D158&lt;&gt;"",$E158&lt;&gt;""),"Belum ditempatkan",""),""),IF(T158="","CEK JENIS FIXTURE kosong",IF(LEFT(T158,4)&lt;&gt;"Wall","CEK Fixture 3 hanya Wall",IF(U158="","CEK SHELVING KE kosong",IF(ISNA(MATCH(T158&amp;"|"&amp;U158,LAYOUT!$E$2:$E$80,0)),"CEK SHELVING KE di luar layout",IF($I158="","CEK SERIES kosong",IF($D158="","Zona STOCK",IF($E158="","CEK SKU DESCRIPTION kosong",IF(COUNTIFS($I$2:$I$500,$I158,T$2:T$500,"&lt;&gt;"&amp;T158,T$2:T$500,"&lt;&gt;")&gt;0,"CEK jenis fixture beda dalam satu series","OK")))))))))</f>
        <v/>
      </c>
      <c r="X158" s="11" t="n"/>
      <c r="Y158" s="11" t="n"/>
      <c r="Z158" s="12" t="n"/>
      <c r="AA158" s="12" t="n"/>
      <c r="AB158" s="11" t="n"/>
      <c r="AC158" s="11" t="n"/>
      <c r="AD158" s="11" t="n"/>
      <c r="AE158" s="11" t="n"/>
      <c r="AF158" s="11" t="n"/>
      <c r="AG158" s="11" t="n"/>
      <c r="AH158" s="12" t="n"/>
      <c r="AI158" s="12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>
        <f>IF(OR(L159="",M159=""),"",IFERROR(INDEX(LAYOUT!$D$2:$D$80,MATCH(L159&amp;"|"&amp;M159,LAYOUT!$E$2:$E$80,0)),""))</f>
        <v/>
      </c>
      <c r="O159" s="12">
        <f>IF(AND(L159="",M159=""),IF(AND(P159="",Q159="",T159="",U159=""),IF(OR($D159&lt;&gt;"",$E159&lt;&gt;""),"Belum ditempatkan",""),""),IF(L159="","CEK JENIS FIXTURE kosong",IF(AND(LEFT(L159,7)&lt;&gt;"Gondola",LEFT(L159,6)&lt;&gt;"Endcap"),"CEK Fixture 1 hanya Gondola atau Endcap",IF(M159="","CEK SHELVING KE kosong",IF(ISNA(MATCH(L159&amp;"|"&amp;M159,LAYOUT!$E$2:$E$80,0)),"CEK SHELVING KE di luar layout",IF($I159="","CEK SERIES kosong",IF($D159="","Zona STOCK",IF($E159="","CEK SKU DESCRIPTION kosong",IF(COUNTIFS($I$2:$I$500,$I159,L$2:L$500,"&lt;&gt;"&amp;L159,L$2:L$500,"&lt;&gt;")&gt;0,"CEK jenis fixture beda dalam satu series","OK")))))))))</f>
        <v/>
      </c>
      <c r="P159" s="11" t="n"/>
      <c r="Q159" s="11" t="n"/>
      <c r="R159" s="11">
        <f>IF(OR(P159="",Q159=""),"",IFERROR(INDEX(LAYOUT!$D$2:$D$80,MATCH(P159&amp;"|"&amp;Q159,LAYOUT!$E$2:$E$80,0)),""))</f>
        <v/>
      </c>
      <c r="S159" s="12">
        <f>IF(AND(P159="",Q159=""),IF(AND(L159="",M159="",T159="",U159=""),IF(OR($D159&lt;&gt;"",$E159&lt;&gt;""),"Belum ditempatkan",""),""),IF(P159="","CEK JENIS FIXTURE kosong",IF(LEFT(P159,4)&lt;&gt;"Wall","CEK Fixture 2 hanya Wall",IF(Q159="","CEK SHELVING KE kosong",IF(ISNA(MATCH(P159&amp;"|"&amp;Q159,LAYOUT!$E$2:$E$80,0)),"CEK SHELVING KE di luar layout",IF($I159="","CEK SERIES kosong",IF($D159="","Zona STOCK",IF($E159="","CEK SKU DESCRIPTION kosong",IF(COUNTIFS($I$2:$I$500,$I159,P$2:P$500,"&lt;&gt;"&amp;P159,P$2:P$500,"&lt;&gt;")&gt;0,"CEK jenis fixture beda dalam satu series","OK")))))))))</f>
        <v/>
      </c>
      <c r="T159" s="11" t="n"/>
      <c r="U159" s="11" t="n"/>
      <c r="V159" s="11">
        <f>IF(OR(T159="",U159=""),"",IFERROR(INDEX(LAYOUT!$D$2:$D$80,MATCH(T159&amp;"|"&amp;U159,LAYOUT!$E$2:$E$80,0)),""))</f>
        <v/>
      </c>
      <c r="W159" s="12">
        <f>IF(AND(T159="",U159=""),IF(AND(L159="",M159="",P159="",Q159=""),IF(OR($D159&lt;&gt;"",$E159&lt;&gt;""),"Belum ditempatkan",""),""),IF(T159="","CEK JENIS FIXTURE kosong",IF(LEFT(T159,4)&lt;&gt;"Wall","CEK Fixture 3 hanya Wall",IF(U159="","CEK SHELVING KE kosong",IF(ISNA(MATCH(T159&amp;"|"&amp;U159,LAYOUT!$E$2:$E$80,0)),"CEK SHELVING KE di luar layout",IF($I159="","CEK SERIES kosong",IF($D159="","Zona STOCK",IF($E159="","CEK SKU DESCRIPTION kosong",IF(COUNTIFS($I$2:$I$500,$I159,T$2:T$500,"&lt;&gt;"&amp;T159,T$2:T$500,"&lt;&gt;")&gt;0,"CEK jenis fixture beda dalam satu series","OK")))))))))</f>
        <v/>
      </c>
      <c r="X159" s="11" t="n"/>
      <c r="Y159" s="11" t="n"/>
      <c r="Z159" s="12" t="n"/>
      <c r="AA159" s="12" t="n"/>
      <c r="AB159" s="11" t="n"/>
      <c r="AC159" s="11" t="n"/>
      <c r="AD159" s="11" t="n"/>
      <c r="AE159" s="11" t="n"/>
      <c r="AF159" s="11" t="n"/>
      <c r="AG159" s="11" t="n"/>
      <c r="AH159" s="12" t="n"/>
      <c r="AI159" s="12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>
        <f>IF(OR(L160="",M160=""),"",IFERROR(INDEX(LAYOUT!$D$2:$D$80,MATCH(L160&amp;"|"&amp;M160,LAYOUT!$E$2:$E$80,0)),""))</f>
        <v/>
      </c>
      <c r="O160" s="12">
        <f>IF(AND(L160="",M160=""),IF(AND(P160="",Q160="",T160="",U160=""),IF(OR($D160&lt;&gt;"",$E160&lt;&gt;""),"Belum ditempatkan",""),""),IF(L160="","CEK JENIS FIXTURE kosong",IF(AND(LEFT(L160,7)&lt;&gt;"Gondola",LEFT(L160,6)&lt;&gt;"Endcap"),"CEK Fixture 1 hanya Gondola atau Endcap",IF(M160="","CEK SHELVING KE kosong",IF(ISNA(MATCH(L160&amp;"|"&amp;M160,LAYOUT!$E$2:$E$80,0)),"CEK SHELVING KE di luar layout",IF($I160="","CEK SERIES kosong",IF($D160="","Zona STOCK",IF($E160="","CEK SKU DESCRIPTION kosong",IF(COUNTIFS($I$2:$I$500,$I160,L$2:L$500,"&lt;&gt;"&amp;L160,L$2:L$500,"&lt;&gt;")&gt;0,"CEK jenis fixture beda dalam satu series","OK")))))))))</f>
        <v/>
      </c>
      <c r="P160" s="11" t="n"/>
      <c r="Q160" s="11" t="n"/>
      <c r="R160" s="11">
        <f>IF(OR(P160="",Q160=""),"",IFERROR(INDEX(LAYOUT!$D$2:$D$80,MATCH(P160&amp;"|"&amp;Q160,LAYOUT!$E$2:$E$80,0)),""))</f>
        <v/>
      </c>
      <c r="S160" s="12">
        <f>IF(AND(P160="",Q160=""),IF(AND(L160="",M160="",T160="",U160=""),IF(OR($D160&lt;&gt;"",$E160&lt;&gt;""),"Belum ditempatkan",""),""),IF(P160="","CEK JENIS FIXTURE kosong",IF(LEFT(P160,4)&lt;&gt;"Wall","CEK Fixture 2 hanya Wall",IF(Q160="","CEK SHELVING KE kosong",IF(ISNA(MATCH(P160&amp;"|"&amp;Q160,LAYOUT!$E$2:$E$80,0)),"CEK SHELVING KE di luar layout",IF($I160="","CEK SERIES kosong",IF($D160="","Zona STOCK",IF($E160="","CEK SKU DESCRIPTION kosong",IF(COUNTIFS($I$2:$I$500,$I160,P$2:P$500,"&lt;&gt;"&amp;P160,P$2:P$500,"&lt;&gt;")&gt;0,"CEK jenis fixture beda dalam satu series","OK")))))))))</f>
        <v/>
      </c>
      <c r="T160" s="11" t="n"/>
      <c r="U160" s="11" t="n"/>
      <c r="V160" s="11">
        <f>IF(OR(T160="",U160=""),"",IFERROR(INDEX(LAYOUT!$D$2:$D$80,MATCH(T160&amp;"|"&amp;U160,LAYOUT!$E$2:$E$80,0)),""))</f>
        <v/>
      </c>
      <c r="W160" s="12">
        <f>IF(AND(T160="",U160=""),IF(AND(L160="",M160="",P160="",Q160=""),IF(OR($D160&lt;&gt;"",$E160&lt;&gt;""),"Belum ditempatkan",""),""),IF(T160="","CEK JENIS FIXTURE kosong",IF(LEFT(T160,4)&lt;&gt;"Wall","CEK Fixture 3 hanya Wall",IF(U160="","CEK SHELVING KE kosong",IF(ISNA(MATCH(T160&amp;"|"&amp;U160,LAYOUT!$E$2:$E$80,0)),"CEK SHELVING KE di luar layout",IF($I160="","CEK SERIES kosong",IF($D160="","Zona STOCK",IF($E160="","CEK SKU DESCRIPTION kosong",IF(COUNTIFS($I$2:$I$500,$I160,T$2:T$500,"&lt;&gt;"&amp;T160,T$2:T$500,"&lt;&gt;")&gt;0,"CEK jenis fixture beda dalam satu series","OK")))))))))</f>
        <v/>
      </c>
      <c r="X160" s="11" t="n"/>
      <c r="Y160" s="11" t="n"/>
      <c r="Z160" s="12" t="n"/>
      <c r="AA160" s="12" t="n"/>
      <c r="AB160" s="11" t="n"/>
      <c r="AC160" s="11" t="n"/>
      <c r="AD160" s="11" t="n"/>
      <c r="AE160" s="11" t="n"/>
      <c r="AF160" s="11" t="n"/>
      <c r="AG160" s="11" t="n"/>
      <c r="AH160" s="12" t="n"/>
      <c r="AI160" s="12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>
        <f>IF(OR(L161="",M161=""),"",IFERROR(INDEX(LAYOUT!$D$2:$D$80,MATCH(L161&amp;"|"&amp;M161,LAYOUT!$E$2:$E$80,0)),""))</f>
        <v/>
      </c>
      <c r="O161" s="12">
        <f>IF(AND(L161="",M161=""),IF(AND(P161="",Q161="",T161="",U161=""),IF(OR($D161&lt;&gt;"",$E161&lt;&gt;""),"Belum ditempatkan",""),""),IF(L161="","CEK JENIS FIXTURE kosong",IF(AND(LEFT(L161,7)&lt;&gt;"Gondola",LEFT(L161,6)&lt;&gt;"Endcap"),"CEK Fixture 1 hanya Gondola atau Endcap",IF(M161="","CEK SHELVING KE kosong",IF(ISNA(MATCH(L161&amp;"|"&amp;M161,LAYOUT!$E$2:$E$80,0)),"CEK SHELVING KE di luar layout",IF($I161="","CEK SERIES kosong",IF($D161="","Zona STOCK",IF($E161="","CEK SKU DESCRIPTION kosong",IF(COUNTIFS($I$2:$I$500,$I161,L$2:L$500,"&lt;&gt;"&amp;L161,L$2:L$500,"&lt;&gt;")&gt;0,"CEK jenis fixture beda dalam satu series","OK")))))))))</f>
        <v/>
      </c>
      <c r="P161" s="11" t="n"/>
      <c r="Q161" s="11" t="n"/>
      <c r="R161" s="11">
        <f>IF(OR(P161="",Q161=""),"",IFERROR(INDEX(LAYOUT!$D$2:$D$80,MATCH(P161&amp;"|"&amp;Q161,LAYOUT!$E$2:$E$80,0)),""))</f>
        <v/>
      </c>
      <c r="S161" s="12">
        <f>IF(AND(P161="",Q161=""),IF(AND(L161="",M161="",T161="",U161=""),IF(OR($D161&lt;&gt;"",$E161&lt;&gt;""),"Belum ditempatkan",""),""),IF(P161="","CEK JENIS FIXTURE kosong",IF(LEFT(P161,4)&lt;&gt;"Wall","CEK Fixture 2 hanya Wall",IF(Q161="","CEK SHELVING KE kosong",IF(ISNA(MATCH(P161&amp;"|"&amp;Q161,LAYOUT!$E$2:$E$80,0)),"CEK SHELVING KE di luar layout",IF($I161="","CEK SERIES kosong",IF($D161="","Zona STOCK",IF($E161="","CEK SKU DESCRIPTION kosong",IF(COUNTIFS($I$2:$I$500,$I161,P$2:P$500,"&lt;&gt;"&amp;P161,P$2:P$500,"&lt;&gt;")&gt;0,"CEK jenis fixture beda dalam satu series","OK")))))))))</f>
        <v/>
      </c>
      <c r="T161" s="11" t="n"/>
      <c r="U161" s="11" t="n"/>
      <c r="V161" s="11">
        <f>IF(OR(T161="",U161=""),"",IFERROR(INDEX(LAYOUT!$D$2:$D$80,MATCH(T161&amp;"|"&amp;U161,LAYOUT!$E$2:$E$80,0)),""))</f>
        <v/>
      </c>
      <c r="W161" s="12">
        <f>IF(AND(T161="",U161=""),IF(AND(L161="",M161="",P161="",Q161=""),IF(OR($D161&lt;&gt;"",$E161&lt;&gt;""),"Belum ditempatkan",""),""),IF(T161="","CEK JENIS FIXTURE kosong",IF(LEFT(T161,4)&lt;&gt;"Wall","CEK Fixture 3 hanya Wall",IF(U161="","CEK SHELVING KE kosong",IF(ISNA(MATCH(T161&amp;"|"&amp;U161,LAYOUT!$E$2:$E$80,0)),"CEK SHELVING KE di luar layout",IF($I161="","CEK SERIES kosong",IF($D161="","Zona STOCK",IF($E161="","CEK SKU DESCRIPTION kosong",IF(COUNTIFS($I$2:$I$500,$I161,T$2:T$500,"&lt;&gt;"&amp;T161,T$2:T$500,"&lt;&gt;")&gt;0,"CEK jenis fixture beda dalam satu series","OK")))))))))</f>
        <v/>
      </c>
      <c r="X161" s="11" t="n"/>
      <c r="Y161" s="11" t="n"/>
      <c r="Z161" s="12" t="n"/>
      <c r="AA161" s="12" t="n"/>
      <c r="AB161" s="11" t="n"/>
      <c r="AC161" s="11" t="n"/>
      <c r="AD161" s="11" t="n"/>
      <c r="AE161" s="11" t="n"/>
      <c r="AF161" s="11" t="n"/>
      <c r="AG161" s="11" t="n"/>
      <c r="AH161" s="12" t="n"/>
      <c r="AI161" s="12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>
        <f>IF(OR(L162="",M162=""),"",IFERROR(INDEX(LAYOUT!$D$2:$D$80,MATCH(L162&amp;"|"&amp;M162,LAYOUT!$E$2:$E$80,0)),""))</f>
        <v/>
      </c>
      <c r="O162" s="12">
        <f>IF(AND(L162="",M162=""),IF(AND(P162="",Q162="",T162="",U162=""),IF(OR($D162&lt;&gt;"",$E162&lt;&gt;""),"Belum ditempatkan",""),""),IF(L162="","CEK JENIS FIXTURE kosong",IF(AND(LEFT(L162,7)&lt;&gt;"Gondola",LEFT(L162,6)&lt;&gt;"Endcap"),"CEK Fixture 1 hanya Gondola atau Endcap",IF(M162="","CEK SHELVING KE kosong",IF(ISNA(MATCH(L162&amp;"|"&amp;M162,LAYOUT!$E$2:$E$80,0)),"CEK SHELVING KE di luar layout",IF($I162="","CEK SERIES kosong",IF($D162="","Zona STOCK",IF($E162="","CEK SKU DESCRIPTION kosong",IF(COUNTIFS($I$2:$I$500,$I162,L$2:L$500,"&lt;&gt;"&amp;L162,L$2:L$500,"&lt;&gt;")&gt;0,"CEK jenis fixture beda dalam satu series","OK")))))))))</f>
        <v/>
      </c>
      <c r="P162" s="11" t="n"/>
      <c r="Q162" s="11" t="n"/>
      <c r="R162" s="11">
        <f>IF(OR(P162="",Q162=""),"",IFERROR(INDEX(LAYOUT!$D$2:$D$80,MATCH(P162&amp;"|"&amp;Q162,LAYOUT!$E$2:$E$80,0)),""))</f>
        <v/>
      </c>
      <c r="S162" s="12">
        <f>IF(AND(P162="",Q162=""),IF(AND(L162="",M162="",T162="",U162=""),IF(OR($D162&lt;&gt;"",$E162&lt;&gt;""),"Belum ditempatkan",""),""),IF(P162="","CEK JENIS FIXTURE kosong",IF(LEFT(P162,4)&lt;&gt;"Wall","CEK Fixture 2 hanya Wall",IF(Q162="","CEK SHELVING KE kosong",IF(ISNA(MATCH(P162&amp;"|"&amp;Q162,LAYOUT!$E$2:$E$80,0)),"CEK SHELVING KE di luar layout",IF($I162="","CEK SERIES kosong",IF($D162="","Zona STOCK",IF($E162="","CEK SKU DESCRIPTION kosong",IF(COUNTIFS($I$2:$I$500,$I162,P$2:P$500,"&lt;&gt;"&amp;P162,P$2:P$500,"&lt;&gt;")&gt;0,"CEK jenis fixture beda dalam satu series","OK")))))))))</f>
        <v/>
      </c>
      <c r="T162" s="11" t="n"/>
      <c r="U162" s="11" t="n"/>
      <c r="V162" s="11">
        <f>IF(OR(T162="",U162=""),"",IFERROR(INDEX(LAYOUT!$D$2:$D$80,MATCH(T162&amp;"|"&amp;U162,LAYOUT!$E$2:$E$80,0)),""))</f>
        <v/>
      </c>
      <c r="W162" s="12">
        <f>IF(AND(T162="",U162=""),IF(AND(L162="",M162="",P162="",Q162=""),IF(OR($D162&lt;&gt;"",$E162&lt;&gt;""),"Belum ditempatkan",""),""),IF(T162="","CEK JENIS FIXTURE kosong",IF(LEFT(T162,4)&lt;&gt;"Wall","CEK Fixture 3 hanya Wall",IF(U162="","CEK SHELVING KE kosong",IF(ISNA(MATCH(T162&amp;"|"&amp;U162,LAYOUT!$E$2:$E$80,0)),"CEK SHELVING KE di luar layout",IF($I162="","CEK SERIES kosong",IF($D162="","Zona STOCK",IF($E162="","CEK SKU DESCRIPTION kosong",IF(COUNTIFS($I$2:$I$500,$I162,T$2:T$500,"&lt;&gt;"&amp;T162,T$2:T$500,"&lt;&gt;")&gt;0,"CEK jenis fixture beda dalam satu series","OK")))))))))</f>
        <v/>
      </c>
      <c r="X162" s="11" t="n"/>
      <c r="Y162" s="11" t="n"/>
      <c r="Z162" s="12" t="n"/>
      <c r="AA162" s="12" t="n"/>
      <c r="AB162" s="11" t="n"/>
      <c r="AC162" s="11" t="n"/>
      <c r="AD162" s="11" t="n"/>
      <c r="AE162" s="11" t="n"/>
      <c r="AF162" s="11" t="n"/>
      <c r="AG162" s="11" t="n"/>
      <c r="AH162" s="12" t="n"/>
      <c r="AI162" s="12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>
        <f>IF(OR(L163="",M163=""),"",IFERROR(INDEX(LAYOUT!$D$2:$D$80,MATCH(L163&amp;"|"&amp;M163,LAYOUT!$E$2:$E$80,0)),""))</f>
        <v/>
      </c>
      <c r="O163" s="12">
        <f>IF(AND(L163="",M163=""),IF(AND(P163="",Q163="",T163="",U163=""),IF(OR($D163&lt;&gt;"",$E163&lt;&gt;""),"Belum ditempatkan",""),""),IF(L163="","CEK JENIS FIXTURE kosong",IF(AND(LEFT(L163,7)&lt;&gt;"Gondola",LEFT(L163,6)&lt;&gt;"Endcap"),"CEK Fixture 1 hanya Gondola atau Endcap",IF(M163="","CEK SHELVING KE kosong",IF(ISNA(MATCH(L163&amp;"|"&amp;M163,LAYOUT!$E$2:$E$80,0)),"CEK SHELVING KE di luar layout",IF($I163="","CEK SERIES kosong",IF($D163="","Zona STOCK",IF($E163="","CEK SKU DESCRIPTION kosong",IF(COUNTIFS($I$2:$I$500,$I163,L$2:L$500,"&lt;&gt;"&amp;L163,L$2:L$500,"&lt;&gt;")&gt;0,"CEK jenis fixture beda dalam satu series","OK")))))))))</f>
        <v/>
      </c>
      <c r="P163" s="11" t="n"/>
      <c r="Q163" s="11" t="n"/>
      <c r="R163" s="11">
        <f>IF(OR(P163="",Q163=""),"",IFERROR(INDEX(LAYOUT!$D$2:$D$80,MATCH(P163&amp;"|"&amp;Q163,LAYOUT!$E$2:$E$80,0)),""))</f>
        <v/>
      </c>
      <c r="S163" s="12">
        <f>IF(AND(P163="",Q163=""),IF(AND(L163="",M163="",T163="",U163=""),IF(OR($D163&lt;&gt;"",$E163&lt;&gt;""),"Belum ditempatkan",""),""),IF(P163="","CEK JENIS FIXTURE kosong",IF(LEFT(P163,4)&lt;&gt;"Wall","CEK Fixture 2 hanya Wall",IF(Q163="","CEK SHELVING KE kosong",IF(ISNA(MATCH(P163&amp;"|"&amp;Q163,LAYOUT!$E$2:$E$80,0)),"CEK SHELVING KE di luar layout",IF($I163="","CEK SERIES kosong",IF($D163="","Zona STOCK",IF($E163="","CEK SKU DESCRIPTION kosong",IF(COUNTIFS($I$2:$I$500,$I163,P$2:P$500,"&lt;&gt;"&amp;P163,P$2:P$500,"&lt;&gt;")&gt;0,"CEK jenis fixture beda dalam satu series","OK")))))))))</f>
        <v/>
      </c>
      <c r="T163" s="11" t="n"/>
      <c r="U163" s="11" t="n"/>
      <c r="V163" s="11">
        <f>IF(OR(T163="",U163=""),"",IFERROR(INDEX(LAYOUT!$D$2:$D$80,MATCH(T163&amp;"|"&amp;U163,LAYOUT!$E$2:$E$80,0)),""))</f>
        <v/>
      </c>
      <c r="W163" s="12">
        <f>IF(AND(T163="",U163=""),IF(AND(L163="",M163="",P163="",Q163=""),IF(OR($D163&lt;&gt;"",$E163&lt;&gt;""),"Belum ditempatkan",""),""),IF(T163="","CEK JENIS FIXTURE kosong",IF(LEFT(T163,4)&lt;&gt;"Wall","CEK Fixture 3 hanya Wall",IF(U163="","CEK SHELVING KE kosong",IF(ISNA(MATCH(T163&amp;"|"&amp;U163,LAYOUT!$E$2:$E$80,0)),"CEK SHELVING KE di luar layout",IF($I163="","CEK SERIES kosong",IF($D163="","Zona STOCK",IF($E163="","CEK SKU DESCRIPTION kosong",IF(COUNTIFS($I$2:$I$500,$I163,T$2:T$500,"&lt;&gt;"&amp;T163,T$2:T$500,"&lt;&gt;")&gt;0,"CEK jenis fixture beda dalam satu series","OK")))))))))</f>
        <v/>
      </c>
      <c r="X163" s="11" t="n"/>
      <c r="Y163" s="11" t="n"/>
      <c r="Z163" s="12" t="n"/>
      <c r="AA163" s="12" t="n"/>
      <c r="AB163" s="11" t="n"/>
      <c r="AC163" s="11" t="n"/>
      <c r="AD163" s="11" t="n"/>
      <c r="AE163" s="11" t="n"/>
      <c r="AF163" s="11" t="n"/>
      <c r="AG163" s="11" t="n"/>
      <c r="AH163" s="12" t="n"/>
      <c r="AI163" s="12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>
        <f>IF(OR(L164="",M164=""),"",IFERROR(INDEX(LAYOUT!$D$2:$D$80,MATCH(L164&amp;"|"&amp;M164,LAYOUT!$E$2:$E$80,0)),""))</f>
        <v/>
      </c>
      <c r="O164" s="12">
        <f>IF(AND(L164="",M164=""),IF(AND(P164="",Q164="",T164="",U164=""),IF(OR($D164&lt;&gt;"",$E164&lt;&gt;""),"Belum ditempatkan",""),""),IF(L164="","CEK JENIS FIXTURE kosong",IF(AND(LEFT(L164,7)&lt;&gt;"Gondola",LEFT(L164,6)&lt;&gt;"Endcap"),"CEK Fixture 1 hanya Gondola atau Endcap",IF(M164="","CEK SHELVING KE kosong",IF(ISNA(MATCH(L164&amp;"|"&amp;M164,LAYOUT!$E$2:$E$80,0)),"CEK SHELVING KE di luar layout",IF($I164="","CEK SERIES kosong",IF($D164="","Zona STOCK",IF($E164="","CEK SKU DESCRIPTION kosong",IF(COUNTIFS($I$2:$I$500,$I164,L$2:L$500,"&lt;&gt;"&amp;L164,L$2:L$500,"&lt;&gt;")&gt;0,"CEK jenis fixture beda dalam satu series","OK")))))))))</f>
        <v/>
      </c>
      <c r="P164" s="11" t="n"/>
      <c r="Q164" s="11" t="n"/>
      <c r="R164" s="11">
        <f>IF(OR(P164="",Q164=""),"",IFERROR(INDEX(LAYOUT!$D$2:$D$80,MATCH(P164&amp;"|"&amp;Q164,LAYOUT!$E$2:$E$80,0)),""))</f>
        <v/>
      </c>
      <c r="S164" s="12">
        <f>IF(AND(P164="",Q164=""),IF(AND(L164="",M164="",T164="",U164=""),IF(OR($D164&lt;&gt;"",$E164&lt;&gt;""),"Belum ditempatkan",""),""),IF(P164="","CEK JENIS FIXTURE kosong",IF(LEFT(P164,4)&lt;&gt;"Wall","CEK Fixture 2 hanya Wall",IF(Q164="","CEK SHELVING KE kosong",IF(ISNA(MATCH(P164&amp;"|"&amp;Q164,LAYOUT!$E$2:$E$80,0)),"CEK SHELVING KE di luar layout",IF($I164="","CEK SERIES kosong",IF($D164="","Zona STOCK",IF($E164="","CEK SKU DESCRIPTION kosong",IF(COUNTIFS($I$2:$I$500,$I164,P$2:P$500,"&lt;&gt;"&amp;P164,P$2:P$500,"&lt;&gt;")&gt;0,"CEK jenis fixture beda dalam satu series","OK")))))))))</f>
        <v/>
      </c>
      <c r="T164" s="11" t="n"/>
      <c r="U164" s="11" t="n"/>
      <c r="V164" s="11">
        <f>IF(OR(T164="",U164=""),"",IFERROR(INDEX(LAYOUT!$D$2:$D$80,MATCH(T164&amp;"|"&amp;U164,LAYOUT!$E$2:$E$80,0)),""))</f>
        <v/>
      </c>
      <c r="W164" s="12">
        <f>IF(AND(T164="",U164=""),IF(AND(L164="",M164="",P164="",Q164=""),IF(OR($D164&lt;&gt;"",$E164&lt;&gt;""),"Belum ditempatkan",""),""),IF(T164="","CEK JENIS FIXTURE kosong",IF(LEFT(T164,4)&lt;&gt;"Wall","CEK Fixture 3 hanya Wall",IF(U164="","CEK SHELVING KE kosong",IF(ISNA(MATCH(T164&amp;"|"&amp;U164,LAYOUT!$E$2:$E$80,0)),"CEK SHELVING KE di luar layout",IF($I164="","CEK SERIES kosong",IF($D164="","Zona STOCK",IF($E164="","CEK SKU DESCRIPTION kosong",IF(COUNTIFS($I$2:$I$500,$I164,T$2:T$500,"&lt;&gt;"&amp;T164,T$2:T$500,"&lt;&gt;")&gt;0,"CEK jenis fixture beda dalam satu series","OK")))))))))</f>
        <v/>
      </c>
      <c r="X164" s="11" t="n"/>
      <c r="Y164" s="11" t="n"/>
      <c r="Z164" s="12" t="n"/>
      <c r="AA164" s="12" t="n"/>
      <c r="AB164" s="11" t="n"/>
      <c r="AC164" s="11" t="n"/>
      <c r="AD164" s="11" t="n"/>
      <c r="AE164" s="11" t="n"/>
      <c r="AF164" s="11" t="n"/>
      <c r="AG164" s="11" t="n"/>
      <c r="AH164" s="12" t="n"/>
      <c r="AI164" s="12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>
        <f>IF(OR(L165="",M165=""),"",IFERROR(INDEX(LAYOUT!$D$2:$D$80,MATCH(L165&amp;"|"&amp;M165,LAYOUT!$E$2:$E$80,0)),""))</f>
        <v/>
      </c>
      <c r="O165" s="12">
        <f>IF(AND(L165="",M165=""),IF(AND(P165="",Q165="",T165="",U165=""),IF(OR($D165&lt;&gt;"",$E165&lt;&gt;""),"Belum ditempatkan",""),""),IF(L165="","CEK JENIS FIXTURE kosong",IF(AND(LEFT(L165,7)&lt;&gt;"Gondola",LEFT(L165,6)&lt;&gt;"Endcap"),"CEK Fixture 1 hanya Gondola atau Endcap",IF(M165="","CEK SHELVING KE kosong",IF(ISNA(MATCH(L165&amp;"|"&amp;M165,LAYOUT!$E$2:$E$80,0)),"CEK SHELVING KE di luar layout",IF($I165="","CEK SERIES kosong",IF($D165="","Zona STOCK",IF($E165="","CEK SKU DESCRIPTION kosong",IF(COUNTIFS($I$2:$I$500,$I165,L$2:L$500,"&lt;&gt;"&amp;L165,L$2:L$500,"&lt;&gt;")&gt;0,"CEK jenis fixture beda dalam satu series","OK")))))))))</f>
        <v/>
      </c>
      <c r="P165" s="11" t="n"/>
      <c r="Q165" s="11" t="n"/>
      <c r="R165" s="11">
        <f>IF(OR(P165="",Q165=""),"",IFERROR(INDEX(LAYOUT!$D$2:$D$80,MATCH(P165&amp;"|"&amp;Q165,LAYOUT!$E$2:$E$80,0)),""))</f>
        <v/>
      </c>
      <c r="S165" s="12">
        <f>IF(AND(P165="",Q165=""),IF(AND(L165="",M165="",T165="",U165=""),IF(OR($D165&lt;&gt;"",$E165&lt;&gt;""),"Belum ditempatkan",""),""),IF(P165="","CEK JENIS FIXTURE kosong",IF(LEFT(P165,4)&lt;&gt;"Wall","CEK Fixture 2 hanya Wall",IF(Q165="","CEK SHELVING KE kosong",IF(ISNA(MATCH(P165&amp;"|"&amp;Q165,LAYOUT!$E$2:$E$80,0)),"CEK SHELVING KE di luar layout",IF($I165="","CEK SERIES kosong",IF($D165="","Zona STOCK",IF($E165="","CEK SKU DESCRIPTION kosong",IF(COUNTIFS($I$2:$I$500,$I165,P$2:P$500,"&lt;&gt;"&amp;P165,P$2:P$500,"&lt;&gt;")&gt;0,"CEK jenis fixture beda dalam satu series","OK")))))))))</f>
        <v/>
      </c>
      <c r="T165" s="11" t="n"/>
      <c r="U165" s="11" t="n"/>
      <c r="V165" s="11">
        <f>IF(OR(T165="",U165=""),"",IFERROR(INDEX(LAYOUT!$D$2:$D$80,MATCH(T165&amp;"|"&amp;U165,LAYOUT!$E$2:$E$80,0)),""))</f>
        <v/>
      </c>
      <c r="W165" s="12">
        <f>IF(AND(T165="",U165=""),IF(AND(L165="",M165="",P165="",Q165=""),IF(OR($D165&lt;&gt;"",$E165&lt;&gt;""),"Belum ditempatkan",""),""),IF(T165="","CEK JENIS FIXTURE kosong",IF(LEFT(T165,4)&lt;&gt;"Wall","CEK Fixture 3 hanya Wall",IF(U165="","CEK SHELVING KE kosong",IF(ISNA(MATCH(T165&amp;"|"&amp;U165,LAYOUT!$E$2:$E$80,0)),"CEK SHELVING KE di luar layout",IF($I165="","CEK SERIES kosong",IF($D165="","Zona STOCK",IF($E165="","CEK SKU DESCRIPTION kosong",IF(COUNTIFS($I$2:$I$500,$I165,T$2:T$500,"&lt;&gt;"&amp;T165,T$2:T$500,"&lt;&gt;")&gt;0,"CEK jenis fixture beda dalam satu series","OK")))))))))</f>
        <v/>
      </c>
      <c r="X165" s="11" t="n"/>
      <c r="Y165" s="11" t="n"/>
      <c r="Z165" s="12" t="n"/>
      <c r="AA165" s="12" t="n"/>
      <c r="AB165" s="11" t="n"/>
      <c r="AC165" s="11" t="n"/>
      <c r="AD165" s="11" t="n"/>
      <c r="AE165" s="11" t="n"/>
      <c r="AF165" s="11" t="n"/>
      <c r="AG165" s="11" t="n"/>
      <c r="AH165" s="12" t="n"/>
      <c r="AI165" s="12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>
        <f>IF(OR(L166="",M166=""),"",IFERROR(INDEX(LAYOUT!$D$2:$D$80,MATCH(L166&amp;"|"&amp;M166,LAYOUT!$E$2:$E$80,0)),""))</f>
        <v/>
      </c>
      <c r="O166" s="12">
        <f>IF(AND(L166="",M166=""),IF(AND(P166="",Q166="",T166="",U166=""),IF(OR($D166&lt;&gt;"",$E166&lt;&gt;""),"Belum ditempatkan",""),""),IF(L166="","CEK JENIS FIXTURE kosong",IF(AND(LEFT(L166,7)&lt;&gt;"Gondola",LEFT(L166,6)&lt;&gt;"Endcap"),"CEK Fixture 1 hanya Gondola atau Endcap",IF(M166="","CEK SHELVING KE kosong",IF(ISNA(MATCH(L166&amp;"|"&amp;M166,LAYOUT!$E$2:$E$80,0)),"CEK SHELVING KE di luar layout",IF($I166="","CEK SERIES kosong",IF($D166="","Zona STOCK",IF($E166="","CEK SKU DESCRIPTION kosong",IF(COUNTIFS($I$2:$I$500,$I166,L$2:L$500,"&lt;&gt;"&amp;L166,L$2:L$500,"&lt;&gt;")&gt;0,"CEK jenis fixture beda dalam satu series","OK")))))))))</f>
        <v/>
      </c>
      <c r="P166" s="11" t="n"/>
      <c r="Q166" s="11" t="n"/>
      <c r="R166" s="11">
        <f>IF(OR(P166="",Q166=""),"",IFERROR(INDEX(LAYOUT!$D$2:$D$80,MATCH(P166&amp;"|"&amp;Q166,LAYOUT!$E$2:$E$80,0)),""))</f>
        <v/>
      </c>
      <c r="S166" s="12">
        <f>IF(AND(P166="",Q166=""),IF(AND(L166="",M166="",T166="",U166=""),IF(OR($D166&lt;&gt;"",$E166&lt;&gt;""),"Belum ditempatkan",""),""),IF(P166="","CEK JENIS FIXTURE kosong",IF(LEFT(P166,4)&lt;&gt;"Wall","CEK Fixture 2 hanya Wall",IF(Q166="","CEK SHELVING KE kosong",IF(ISNA(MATCH(P166&amp;"|"&amp;Q166,LAYOUT!$E$2:$E$80,0)),"CEK SHELVING KE di luar layout",IF($I166="","CEK SERIES kosong",IF($D166="","Zona STOCK",IF($E166="","CEK SKU DESCRIPTION kosong",IF(COUNTIFS($I$2:$I$500,$I166,P$2:P$500,"&lt;&gt;"&amp;P166,P$2:P$500,"&lt;&gt;")&gt;0,"CEK jenis fixture beda dalam satu series","OK")))))))))</f>
        <v/>
      </c>
      <c r="T166" s="11" t="n"/>
      <c r="U166" s="11" t="n"/>
      <c r="V166" s="11">
        <f>IF(OR(T166="",U166=""),"",IFERROR(INDEX(LAYOUT!$D$2:$D$80,MATCH(T166&amp;"|"&amp;U166,LAYOUT!$E$2:$E$80,0)),""))</f>
        <v/>
      </c>
      <c r="W166" s="12">
        <f>IF(AND(T166="",U166=""),IF(AND(L166="",M166="",P166="",Q166=""),IF(OR($D166&lt;&gt;"",$E166&lt;&gt;""),"Belum ditempatkan",""),""),IF(T166="","CEK JENIS FIXTURE kosong",IF(LEFT(T166,4)&lt;&gt;"Wall","CEK Fixture 3 hanya Wall",IF(U166="","CEK SHELVING KE kosong",IF(ISNA(MATCH(T166&amp;"|"&amp;U166,LAYOUT!$E$2:$E$80,0)),"CEK SHELVING KE di luar layout",IF($I166="","CEK SERIES kosong",IF($D166="","Zona STOCK",IF($E166="","CEK SKU DESCRIPTION kosong",IF(COUNTIFS($I$2:$I$500,$I166,T$2:T$500,"&lt;&gt;"&amp;T166,T$2:T$500,"&lt;&gt;")&gt;0,"CEK jenis fixture beda dalam satu series","OK")))))))))</f>
        <v/>
      </c>
      <c r="X166" s="11" t="n"/>
      <c r="Y166" s="11" t="n"/>
      <c r="Z166" s="12" t="n"/>
      <c r="AA166" s="12" t="n"/>
      <c r="AB166" s="11" t="n"/>
      <c r="AC166" s="11" t="n"/>
      <c r="AD166" s="11" t="n"/>
      <c r="AE166" s="11" t="n"/>
      <c r="AF166" s="11" t="n"/>
      <c r="AG166" s="11" t="n"/>
      <c r="AH166" s="12" t="n"/>
      <c r="AI166" s="12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>
        <f>IF(OR(L167="",M167=""),"",IFERROR(INDEX(LAYOUT!$D$2:$D$80,MATCH(L167&amp;"|"&amp;M167,LAYOUT!$E$2:$E$80,0)),""))</f>
        <v/>
      </c>
      <c r="O167" s="12">
        <f>IF(AND(L167="",M167=""),IF(AND(P167="",Q167="",T167="",U167=""),IF(OR($D167&lt;&gt;"",$E167&lt;&gt;""),"Belum ditempatkan",""),""),IF(L167="","CEK JENIS FIXTURE kosong",IF(AND(LEFT(L167,7)&lt;&gt;"Gondola",LEFT(L167,6)&lt;&gt;"Endcap"),"CEK Fixture 1 hanya Gondola atau Endcap",IF(M167="","CEK SHELVING KE kosong",IF(ISNA(MATCH(L167&amp;"|"&amp;M167,LAYOUT!$E$2:$E$80,0)),"CEK SHELVING KE di luar layout",IF($I167="","CEK SERIES kosong",IF($D167="","Zona STOCK",IF($E167="","CEK SKU DESCRIPTION kosong",IF(COUNTIFS($I$2:$I$500,$I167,L$2:L$500,"&lt;&gt;"&amp;L167,L$2:L$500,"&lt;&gt;")&gt;0,"CEK jenis fixture beda dalam satu series","OK")))))))))</f>
        <v/>
      </c>
      <c r="P167" s="11" t="n"/>
      <c r="Q167" s="11" t="n"/>
      <c r="R167" s="11">
        <f>IF(OR(P167="",Q167=""),"",IFERROR(INDEX(LAYOUT!$D$2:$D$80,MATCH(P167&amp;"|"&amp;Q167,LAYOUT!$E$2:$E$80,0)),""))</f>
        <v/>
      </c>
      <c r="S167" s="12">
        <f>IF(AND(P167="",Q167=""),IF(AND(L167="",M167="",T167="",U167=""),IF(OR($D167&lt;&gt;"",$E167&lt;&gt;""),"Belum ditempatkan",""),""),IF(P167="","CEK JENIS FIXTURE kosong",IF(LEFT(P167,4)&lt;&gt;"Wall","CEK Fixture 2 hanya Wall",IF(Q167="","CEK SHELVING KE kosong",IF(ISNA(MATCH(P167&amp;"|"&amp;Q167,LAYOUT!$E$2:$E$80,0)),"CEK SHELVING KE di luar layout",IF($I167="","CEK SERIES kosong",IF($D167="","Zona STOCK",IF($E167="","CEK SKU DESCRIPTION kosong",IF(COUNTIFS($I$2:$I$500,$I167,P$2:P$500,"&lt;&gt;"&amp;P167,P$2:P$500,"&lt;&gt;")&gt;0,"CEK jenis fixture beda dalam satu series","OK")))))))))</f>
        <v/>
      </c>
      <c r="T167" s="11" t="n"/>
      <c r="U167" s="11" t="n"/>
      <c r="V167" s="11">
        <f>IF(OR(T167="",U167=""),"",IFERROR(INDEX(LAYOUT!$D$2:$D$80,MATCH(T167&amp;"|"&amp;U167,LAYOUT!$E$2:$E$80,0)),""))</f>
        <v/>
      </c>
      <c r="W167" s="12">
        <f>IF(AND(T167="",U167=""),IF(AND(L167="",M167="",P167="",Q167=""),IF(OR($D167&lt;&gt;"",$E167&lt;&gt;""),"Belum ditempatkan",""),""),IF(T167="","CEK JENIS FIXTURE kosong",IF(LEFT(T167,4)&lt;&gt;"Wall","CEK Fixture 3 hanya Wall",IF(U167="","CEK SHELVING KE kosong",IF(ISNA(MATCH(T167&amp;"|"&amp;U167,LAYOUT!$E$2:$E$80,0)),"CEK SHELVING KE di luar layout",IF($I167="","CEK SERIES kosong",IF($D167="","Zona STOCK",IF($E167="","CEK SKU DESCRIPTION kosong",IF(COUNTIFS($I$2:$I$500,$I167,T$2:T$500,"&lt;&gt;"&amp;T167,T$2:T$500,"&lt;&gt;")&gt;0,"CEK jenis fixture beda dalam satu series","OK")))))))))</f>
        <v/>
      </c>
      <c r="X167" s="11" t="n"/>
      <c r="Y167" s="11" t="n"/>
      <c r="Z167" s="12" t="n"/>
      <c r="AA167" s="12" t="n"/>
      <c r="AB167" s="11" t="n"/>
      <c r="AC167" s="11" t="n"/>
      <c r="AD167" s="11" t="n"/>
      <c r="AE167" s="11" t="n"/>
      <c r="AF167" s="11" t="n"/>
      <c r="AG167" s="11" t="n"/>
      <c r="AH167" s="12" t="n"/>
      <c r="AI167" s="12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>
        <f>IF(OR(L168="",M168=""),"",IFERROR(INDEX(LAYOUT!$D$2:$D$80,MATCH(L168&amp;"|"&amp;M168,LAYOUT!$E$2:$E$80,0)),""))</f>
        <v/>
      </c>
      <c r="O168" s="12">
        <f>IF(AND(L168="",M168=""),IF(AND(P168="",Q168="",T168="",U168=""),IF(OR($D168&lt;&gt;"",$E168&lt;&gt;""),"Belum ditempatkan",""),""),IF(L168="","CEK JENIS FIXTURE kosong",IF(AND(LEFT(L168,7)&lt;&gt;"Gondola",LEFT(L168,6)&lt;&gt;"Endcap"),"CEK Fixture 1 hanya Gondola atau Endcap",IF(M168="","CEK SHELVING KE kosong",IF(ISNA(MATCH(L168&amp;"|"&amp;M168,LAYOUT!$E$2:$E$80,0)),"CEK SHELVING KE di luar layout",IF($I168="","CEK SERIES kosong",IF($D168="","Zona STOCK",IF($E168="","CEK SKU DESCRIPTION kosong",IF(COUNTIFS($I$2:$I$500,$I168,L$2:L$500,"&lt;&gt;"&amp;L168,L$2:L$500,"&lt;&gt;")&gt;0,"CEK jenis fixture beda dalam satu series","OK")))))))))</f>
        <v/>
      </c>
      <c r="P168" s="11" t="n"/>
      <c r="Q168" s="11" t="n"/>
      <c r="R168" s="11">
        <f>IF(OR(P168="",Q168=""),"",IFERROR(INDEX(LAYOUT!$D$2:$D$80,MATCH(P168&amp;"|"&amp;Q168,LAYOUT!$E$2:$E$80,0)),""))</f>
        <v/>
      </c>
      <c r="S168" s="12">
        <f>IF(AND(P168="",Q168=""),IF(AND(L168="",M168="",T168="",U168=""),IF(OR($D168&lt;&gt;"",$E168&lt;&gt;""),"Belum ditempatkan",""),""),IF(P168="","CEK JENIS FIXTURE kosong",IF(LEFT(P168,4)&lt;&gt;"Wall","CEK Fixture 2 hanya Wall",IF(Q168="","CEK SHELVING KE kosong",IF(ISNA(MATCH(P168&amp;"|"&amp;Q168,LAYOUT!$E$2:$E$80,0)),"CEK SHELVING KE di luar layout",IF($I168="","CEK SERIES kosong",IF($D168="","Zona STOCK",IF($E168="","CEK SKU DESCRIPTION kosong",IF(COUNTIFS($I$2:$I$500,$I168,P$2:P$500,"&lt;&gt;"&amp;P168,P$2:P$500,"&lt;&gt;")&gt;0,"CEK jenis fixture beda dalam satu series","OK")))))))))</f>
        <v/>
      </c>
      <c r="T168" s="11" t="n"/>
      <c r="U168" s="11" t="n"/>
      <c r="V168" s="11">
        <f>IF(OR(T168="",U168=""),"",IFERROR(INDEX(LAYOUT!$D$2:$D$80,MATCH(T168&amp;"|"&amp;U168,LAYOUT!$E$2:$E$80,0)),""))</f>
        <v/>
      </c>
      <c r="W168" s="12">
        <f>IF(AND(T168="",U168=""),IF(AND(L168="",M168="",P168="",Q168=""),IF(OR($D168&lt;&gt;"",$E168&lt;&gt;""),"Belum ditempatkan",""),""),IF(T168="","CEK JENIS FIXTURE kosong",IF(LEFT(T168,4)&lt;&gt;"Wall","CEK Fixture 3 hanya Wall",IF(U168="","CEK SHELVING KE kosong",IF(ISNA(MATCH(T168&amp;"|"&amp;U168,LAYOUT!$E$2:$E$80,0)),"CEK SHELVING KE di luar layout",IF($I168="","CEK SERIES kosong",IF($D168="","Zona STOCK",IF($E168="","CEK SKU DESCRIPTION kosong",IF(COUNTIFS($I$2:$I$500,$I168,T$2:T$500,"&lt;&gt;"&amp;T168,T$2:T$500,"&lt;&gt;")&gt;0,"CEK jenis fixture beda dalam satu series","OK")))))))))</f>
        <v/>
      </c>
      <c r="X168" s="11" t="n"/>
      <c r="Y168" s="11" t="n"/>
      <c r="Z168" s="12" t="n"/>
      <c r="AA168" s="12" t="n"/>
      <c r="AB168" s="11" t="n"/>
      <c r="AC168" s="11" t="n"/>
      <c r="AD168" s="11" t="n"/>
      <c r="AE168" s="11" t="n"/>
      <c r="AF168" s="11" t="n"/>
      <c r="AG168" s="11" t="n"/>
      <c r="AH168" s="12" t="n"/>
      <c r="AI168" s="12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>
        <f>IF(OR(L169="",M169=""),"",IFERROR(INDEX(LAYOUT!$D$2:$D$80,MATCH(L169&amp;"|"&amp;M169,LAYOUT!$E$2:$E$80,0)),""))</f>
        <v/>
      </c>
      <c r="O169" s="12">
        <f>IF(AND(L169="",M169=""),IF(AND(P169="",Q169="",T169="",U169=""),IF(OR($D169&lt;&gt;"",$E169&lt;&gt;""),"Belum ditempatkan",""),""),IF(L169="","CEK JENIS FIXTURE kosong",IF(AND(LEFT(L169,7)&lt;&gt;"Gondola",LEFT(L169,6)&lt;&gt;"Endcap"),"CEK Fixture 1 hanya Gondola atau Endcap",IF(M169="","CEK SHELVING KE kosong",IF(ISNA(MATCH(L169&amp;"|"&amp;M169,LAYOUT!$E$2:$E$80,0)),"CEK SHELVING KE di luar layout",IF($I169="","CEK SERIES kosong",IF($D169="","Zona STOCK",IF($E169="","CEK SKU DESCRIPTION kosong",IF(COUNTIFS($I$2:$I$500,$I169,L$2:L$500,"&lt;&gt;"&amp;L169,L$2:L$500,"&lt;&gt;")&gt;0,"CEK jenis fixture beda dalam satu series","OK")))))))))</f>
        <v/>
      </c>
      <c r="P169" s="11" t="n"/>
      <c r="Q169" s="11" t="n"/>
      <c r="R169" s="11">
        <f>IF(OR(P169="",Q169=""),"",IFERROR(INDEX(LAYOUT!$D$2:$D$80,MATCH(P169&amp;"|"&amp;Q169,LAYOUT!$E$2:$E$80,0)),""))</f>
        <v/>
      </c>
      <c r="S169" s="12">
        <f>IF(AND(P169="",Q169=""),IF(AND(L169="",M169="",T169="",U169=""),IF(OR($D169&lt;&gt;"",$E169&lt;&gt;""),"Belum ditempatkan",""),""),IF(P169="","CEK JENIS FIXTURE kosong",IF(LEFT(P169,4)&lt;&gt;"Wall","CEK Fixture 2 hanya Wall",IF(Q169="","CEK SHELVING KE kosong",IF(ISNA(MATCH(P169&amp;"|"&amp;Q169,LAYOUT!$E$2:$E$80,0)),"CEK SHELVING KE di luar layout",IF($I169="","CEK SERIES kosong",IF($D169="","Zona STOCK",IF($E169="","CEK SKU DESCRIPTION kosong",IF(COUNTIFS($I$2:$I$500,$I169,P$2:P$500,"&lt;&gt;"&amp;P169,P$2:P$500,"&lt;&gt;")&gt;0,"CEK jenis fixture beda dalam satu series","OK")))))))))</f>
        <v/>
      </c>
      <c r="T169" s="11" t="n"/>
      <c r="U169" s="11" t="n"/>
      <c r="V169" s="11">
        <f>IF(OR(T169="",U169=""),"",IFERROR(INDEX(LAYOUT!$D$2:$D$80,MATCH(T169&amp;"|"&amp;U169,LAYOUT!$E$2:$E$80,0)),""))</f>
        <v/>
      </c>
      <c r="W169" s="12">
        <f>IF(AND(T169="",U169=""),IF(AND(L169="",M169="",P169="",Q169=""),IF(OR($D169&lt;&gt;"",$E169&lt;&gt;""),"Belum ditempatkan",""),""),IF(T169="","CEK JENIS FIXTURE kosong",IF(LEFT(T169,4)&lt;&gt;"Wall","CEK Fixture 3 hanya Wall",IF(U169="","CEK SHELVING KE kosong",IF(ISNA(MATCH(T169&amp;"|"&amp;U169,LAYOUT!$E$2:$E$80,0)),"CEK SHELVING KE di luar layout",IF($I169="","CEK SERIES kosong",IF($D169="","Zona STOCK",IF($E169="","CEK SKU DESCRIPTION kosong",IF(COUNTIFS($I$2:$I$500,$I169,T$2:T$500,"&lt;&gt;"&amp;T169,T$2:T$500,"&lt;&gt;")&gt;0,"CEK jenis fixture beda dalam satu series","OK")))))))))</f>
        <v/>
      </c>
      <c r="X169" s="11" t="n"/>
      <c r="Y169" s="11" t="n"/>
      <c r="Z169" s="12" t="n"/>
      <c r="AA169" s="12" t="n"/>
      <c r="AB169" s="11" t="n"/>
      <c r="AC169" s="11" t="n"/>
      <c r="AD169" s="11" t="n"/>
      <c r="AE169" s="11" t="n"/>
      <c r="AF169" s="11" t="n"/>
      <c r="AG169" s="11" t="n"/>
      <c r="AH169" s="12" t="n"/>
      <c r="AI169" s="12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>
        <f>IF(OR(L170="",M170=""),"",IFERROR(INDEX(LAYOUT!$D$2:$D$80,MATCH(L170&amp;"|"&amp;M170,LAYOUT!$E$2:$E$80,0)),""))</f>
        <v/>
      </c>
      <c r="O170" s="12">
        <f>IF(AND(L170="",M170=""),IF(AND(P170="",Q170="",T170="",U170=""),IF(OR($D170&lt;&gt;"",$E170&lt;&gt;""),"Belum ditempatkan",""),""),IF(L170="","CEK JENIS FIXTURE kosong",IF(AND(LEFT(L170,7)&lt;&gt;"Gondola",LEFT(L170,6)&lt;&gt;"Endcap"),"CEK Fixture 1 hanya Gondola atau Endcap",IF(M170="","CEK SHELVING KE kosong",IF(ISNA(MATCH(L170&amp;"|"&amp;M170,LAYOUT!$E$2:$E$80,0)),"CEK SHELVING KE di luar layout",IF($I170="","CEK SERIES kosong",IF($D170="","Zona STOCK",IF($E170="","CEK SKU DESCRIPTION kosong",IF(COUNTIFS($I$2:$I$500,$I170,L$2:L$500,"&lt;&gt;"&amp;L170,L$2:L$500,"&lt;&gt;")&gt;0,"CEK jenis fixture beda dalam satu series","OK")))))))))</f>
        <v/>
      </c>
      <c r="P170" s="11" t="n"/>
      <c r="Q170" s="11" t="n"/>
      <c r="R170" s="11">
        <f>IF(OR(P170="",Q170=""),"",IFERROR(INDEX(LAYOUT!$D$2:$D$80,MATCH(P170&amp;"|"&amp;Q170,LAYOUT!$E$2:$E$80,0)),""))</f>
        <v/>
      </c>
      <c r="S170" s="12">
        <f>IF(AND(P170="",Q170=""),IF(AND(L170="",M170="",T170="",U170=""),IF(OR($D170&lt;&gt;"",$E170&lt;&gt;""),"Belum ditempatkan",""),""),IF(P170="","CEK JENIS FIXTURE kosong",IF(LEFT(P170,4)&lt;&gt;"Wall","CEK Fixture 2 hanya Wall",IF(Q170="","CEK SHELVING KE kosong",IF(ISNA(MATCH(P170&amp;"|"&amp;Q170,LAYOUT!$E$2:$E$80,0)),"CEK SHELVING KE di luar layout",IF($I170="","CEK SERIES kosong",IF($D170="","Zona STOCK",IF($E170="","CEK SKU DESCRIPTION kosong",IF(COUNTIFS($I$2:$I$500,$I170,P$2:P$500,"&lt;&gt;"&amp;P170,P$2:P$500,"&lt;&gt;")&gt;0,"CEK jenis fixture beda dalam satu series","OK")))))))))</f>
        <v/>
      </c>
      <c r="T170" s="11" t="n"/>
      <c r="U170" s="11" t="n"/>
      <c r="V170" s="11">
        <f>IF(OR(T170="",U170=""),"",IFERROR(INDEX(LAYOUT!$D$2:$D$80,MATCH(T170&amp;"|"&amp;U170,LAYOUT!$E$2:$E$80,0)),""))</f>
        <v/>
      </c>
      <c r="W170" s="12">
        <f>IF(AND(T170="",U170=""),IF(AND(L170="",M170="",P170="",Q170=""),IF(OR($D170&lt;&gt;"",$E170&lt;&gt;""),"Belum ditempatkan",""),""),IF(T170="","CEK JENIS FIXTURE kosong",IF(LEFT(T170,4)&lt;&gt;"Wall","CEK Fixture 3 hanya Wall",IF(U170="","CEK SHELVING KE kosong",IF(ISNA(MATCH(T170&amp;"|"&amp;U170,LAYOUT!$E$2:$E$80,0)),"CEK SHELVING KE di luar layout",IF($I170="","CEK SERIES kosong",IF($D170="","Zona STOCK",IF($E170="","CEK SKU DESCRIPTION kosong",IF(COUNTIFS($I$2:$I$500,$I170,T$2:T$500,"&lt;&gt;"&amp;T170,T$2:T$500,"&lt;&gt;")&gt;0,"CEK jenis fixture beda dalam satu series","OK")))))))))</f>
        <v/>
      </c>
      <c r="X170" s="11" t="n"/>
      <c r="Y170" s="11" t="n"/>
      <c r="Z170" s="12" t="n"/>
      <c r="AA170" s="12" t="n"/>
      <c r="AB170" s="11" t="n"/>
      <c r="AC170" s="11" t="n"/>
      <c r="AD170" s="11" t="n"/>
      <c r="AE170" s="11" t="n"/>
      <c r="AF170" s="11" t="n"/>
      <c r="AG170" s="11" t="n"/>
      <c r="AH170" s="12" t="n"/>
      <c r="AI170" s="12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>
        <f>IF(OR(L171="",M171=""),"",IFERROR(INDEX(LAYOUT!$D$2:$D$80,MATCH(L171&amp;"|"&amp;M171,LAYOUT!$E$2:$E$80,0)),""))</f>
        <v/>
      </c>
      <c r="O171" s="12">
        <f>IF(AND(L171="",M171=""),IF(AND(P171="",Q171="",T171="",U171=""),IF(OR($D171&lt;&gt;"",$E171&lt;&gt;""),"Belum ditempatkan",""),""),IF(L171="","CEK JENIS FIXTURE kosong",IF(AND(LEFT(L171,7)&lt;&gt;"Gondola",LEFT(L171,6)&lt;&gt;"Endcap"),"CEK Fixture 1 hanya Gondola atau Endcap",IF(M171="","CEK SHELVING KE kosong",IF(ISNA(MATCH(L171&amp;"|"&amp;M171,LAYOUT!$E$2:$E$80,0)),"CEK SHELVING KE di luar layout",IF($I171="","CEK SERIES kosong",IF($D171="","Zona STOCK",IF($E171="","CEK SKU DESCRIPTION kosong",IF(COUNTIFS($I$2:$I$500,$I171,L$2:L$500,"&lt;&gt;"&amp;L171,L$2:L$500,"&lt;&gt;")&gt;0,"CEK jenis fixture beda dalam satu series","OK")))))))))</f>
        <v/>
      </c>
      <c r="P171" s="11" t="n"/>
      <c r="Q171" s="11" t="n"/>
      <c r="R171" s="11">
        <f>IF(OR(P171="",Q171=""),"",IFERROR(INDEX(LAYOUT!$D$2:$D$80,MATCH(P171&amp;"|"&amp;Q171,LAYOUT!$E$2:$E$80,0)),""))</f>
        <v/>
      </c>
      <c r="S171" s="12">
        <f>IF(AND(P171="",Q171=""),IF(AND(L171="",M171="",T171="",U171=""),IF(OR($D171&lt;&gt;"",$E171&lt;&gt;""),"Belum ditempatkan",""),""),IF(P171="","CEK JENIS FIXTURE kosong",IF(LEFT(P171,4)&lt;&gt;"Wall","CEK Fixture 2 hanya Wall",IF(Q171="","CEK SHELVING KE kosong",IF(ISNA(MATCH(P171&amp;"|"&amp;Q171,LAYOUT!$E$2:$E$80,0)),"CEK SHELVING KE di luar layout",IF($I171="","CEK SERIES kosong",IF($D171="","Zona STOCK",IF($E171="","CEK SKU DESCRIPTION kosong",IF(COUNTIFS($I$2:$I$500,$I171,P$2:P$500,"&lt;&gt;"&amp;P171,P$2:P$500,"&lt;&gt;")&gt;0,"CEK jenis fixture beda dalam satu series","OK")))))))))</f>
        <v/>
      </c>
      <c r="T171" s="11" t="n"/>
      <c r="U171" s="11" t="n"/>
      <c r="V171" s="11">
        <f>IF(OR(T171="",U171=""),"",IFERROR(INDEX(LAYOUT!$D$2:$D$80,MATCH(T171&amp;"|"&amp;U171,LAYOUT!$E$2:$E$80,0)),""))</f>
        <v/>
      </c>
      <c r="W171" s="12">
        <f>IF(AND(T171="",U171=""),IF(AND(L171="",M171="",P171="",Q171=""),IF(OR($D171&lt;&gt;"",$E171&lt;&gt;""),"Belum ditempatkan",""),""),IF(T171="","CEK JENIS FIXTURE kosong",IF(LEFT(T171,4)&lt;&gt;"Wall","CEK Fixture 3 hanya Wall",IF(U171="","CEK SHELVING KE kosong",IF(ISNA(MATCH(T171&amp;"|"&amp;U171,LAYOUT!$E$2:$E$80,0)),"CEK SHELVING KE di luar layout",IF($I171="","CEK SERIES kosong",IF($D171="","Zona STOCK",IF($E171="","CEK SKU DESCRIPTION kosong",IF(COUNTIFS($I$2:$I$500,$I171,T$2:T$500,"&lt;&gt;"&amp;T171,T$2:T$500,"&lt;&gt;")&gt;0,"CEK jenis fixture beda dalam satu series","OK")))))))))</f>
        <v/>
      </c>
      <c r="X171" s="11" t="n"/>
      <c r="Y171" s="11" t="n"/>
      <c r="Z171" s="12" t="n"/>
      <c r="AA171" s="12" t="n"/>
      <c r="AB171" s="11" t="n"/>
      <c r="AC171" s="11" t="n"/>
      <c r="AD171" s="11" t="n"/>
      <c r="AE171" s="11" t="n"/>
      <c r="AF171" s="11" t="n"/>
      <c r="AG171" s="11" t="n"/>
      <c r="AH171" s="12" t="n"/>
      <c r="AI171" s="12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>
        <f>IF(OR(L172="",M172=""),"",IFERROR(INDEX(LAYOUT!$D$2:$D$80,MATCH(L172&amp;"|"&amp;M172,LAYOUT!$E$2:$E$80,0)),""))</f>
        <v/>
      </c>
      <c r="O172" s="12">
        <f>IF(AND(L172="",M172=""),IF(AND(P172="",Q172="",T172="",U172=""),IF(OR($D172&lt;&gt;"",$E172&lt;&gt;""),"Belum ditempatkan",""),""),IF(L172="","CEK JENIS FIXTURE kosong",IF(AND(LEFT(L172,7)&lt;&gt;"Gondola",LEFT(L172,6)&lt;&gt;"Endcap"),"CEK Fixture 1 hanya Gondola atau Endcap",IF(M172="","CEK SHELVING KE kosong",IF(ISNA(MATCH(L172&amp;"|"&amp;M172,LAYOUT!$E$2:$E$80,0)),"CEK SHELVING KE di luar layout",IF($I172="","CEK SERIES kosong",IF($D172="","Zona STOCK",IF($E172="","CEK SKU DESCRIPTION kosong",IF(COUNTIFS($I$2:$I$500,$I172,L$2:L$500,"&lt;&gt;"&amp;L172,L$2:L$500,"&lt;&gt;")&gt;0,"CEK jenis fixture beda dalam satu series","OK")))))))))</f>
        <v/>
      </c>
      <c r="P172" s="11" t="n"/>
      <c r="Q172" s="11" t="n"/>
      <c r="R172" s="11">
        <f>IF(OR(P172="",Q172=""),"",IFERROR(INDEX(LAYOUT!$D$2:$D$80,MATCH(P172&amp;"|"&amp;Q172,LAYOUT!$E$2:$E$80,0)),""))</f>
        <v/>
      </c>
      <c r="S172" s="12">
        <f>IF(AND(P172="",Q172=""),IF(AND(L172="",M172="",T172="",U172=""),IF(OR($D172&lt;&gt;"",$E172&lt;&gt;""),"Belum ditempatkan",""),""),IF(P172="","CEK JENIS FIXTURE kosong",IF(LEFT(P172,4)&lt;&gt;"Wall","CEK Fixture 2 hanya Wall",IF(Q172="","CEK SHELVING KE kosong",IF(ISNA(MATCH(P172&amp;"|"&amp;Q172,LAYOUT!$E$2:$E$80,0)),"CEK SHELVING KE di luar layout",IF($I172="","CEK SERIES kosong",IF($D172="","Zona STOCK",IF($E172="","CEK SKU DESCRIPTION kosong",IF(COUNTIFS($I$2:$I$500,$I172,P$2:P$500,"&lt;&gt;"&amp;P172,P$2:P$500,"&lt;&gt;")&gt;0,"CEK jenis fixture beda dalam satu series","OK")))))))))</f>
        <v/>
      </c>
      <c r="T172" s="11" t="n"/>
      <c r="U172" s="11" t="n"/>
      <c r="V172" s="11">
        <f>IF(OR(T172="",U172=""),"",IFERROR(INDEX(LAYOUT!$D$2:$D$80,MATCH(T172&amp;"|"&amp;U172,LAYOUT!$E$2:$E$80,0)),""))</f>
        <v/>
      </c>
      <c r="W172" s="12">
        <f>IF(AND(T172="",U172=""),IF(AND(L172="",M172="",P172="",Q172=""),IF(OR($D172&lt;&gt;"",$E172&lt;&gt;""),"Belum ditempatkan",""),""),IF(T172="","CEK JENIS FIXTURE kosong",IF(LEFT(T172,4)&lt;&gt;"Wall","CEK Fixture 3 hanya Wall",IF(U172="","CEK SHELVING KE kosong",IF(ISNA(MATCH(T172&amp;"|"&amp;U172,LAYOUT!$E$2:$E$80,0)),"CEK SHELVING KE di luar layout",IF($I172="","CEK SERIES kosong",IF($D172="","Zona STOCK",IF($E172="","CEK SKU DESCRIPTION kosong",IF(COUNTIFS($I$2:$I$500,$I172,T$2:T$500,"&lt;&gt;"&amp;T172,T$2:T$500,"&lt;&gt;")&gt;0,"CEK jenis fixture beda dalam satu series","OK")))))))))</f>
        <v/>
      </c>
      <c r="X172" s="11" t="n"/>
      <c r="Y172" s="11" t="n"/>
      <c r="Z172" s="12" t="n"/>
      <c r="AA172" s="12" t="n"/>
      <c r="AB172" s="11" t="n"/>
      <c r="AC172" s="11" t="n"/>
      <c r="AD172" s="11" t="n"/>
      <c r="AE172" s="11" t="n"/>
      <c r="AF172" s="11" t="n"/>
      <c r="AG172" s="11" t="n"/>
      <c r="AH172" s="12" t="n"/>
      <c r="AI172" s="12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>
        <f>IF(OR(L173="",M173=""),"",IFERROR(INDEX(LAYOUT!$D$2:$D$80,MATCH(L173&amp;"|"&amp;M173,LAYOUT!$E$2:$E$80,0)),""))</f>
        <v/>
      </c>
      <c r="O173" s="12">
        <f>IF(AND(L173="",M173=""),IF(AND(P173="",Q173="",T173="",U173=""),IF(OR($D173&lt;&gt;"",$E173&lt;&gt;""),"Belum ditempatkan",""),""),IF(L173="","CEK JENIS FIXTURE kosong",IF(AND(LEFT(L173,7)&lt;&gt;"Gondola",LEFT(L173,6)&lt;&gt;"Endcap"),"CEK Fixture 1 hanya Gondola atau Endcap",IF(M173="","CEK SHELVING KE kosong",IF(ISNA(MATCH(L173&amp;"|"&amp;M173,LAYOUT!$E$2:$E$80,0)),"CEK SHELVING KE di luar layout",IF($I173="","CEK SERIES kosong",IF($D173="","Zona STOCK",IF($E173="","CEK SKU DESCRIPTION kosong",IF(COUNTIFS($I$2:$I$500,$I173,L$2:L$500,"&lt;&gt;"&amp;L173,L$2:L$500,"&lt;&gt;")&gt;0,"CEK jenis fixture beda dalam satu series","OK")))))))))</f>
        <v/>
      </c>
      <c r="P173" s="11" t="n"/>
      <c r="Q173" s="11" t="n"/>
      <c r="R173" s="11">
        <f>IF(OR(P173="",Q173=""),"",IFERROR(INDEX(LAYOUT!$D$2:$D$80,MATCH(P173&amp;"|"&amp;Q173,LAYOUT!$E$2:$E$80,0)),""))</f>
        <v/>
      </c>
      <c r="S173" s="12">
        <f>IF(AND(P173="",Q173=""),IF(AND(L173="",M173="",T173="",U173=""),IF(OR($D173&lt;&gt;"",$E173&lt;&gt;""),"Belum ditempatkan",""),""),IF(P173="","CEK JENIS FIXTURE kosong",IF(LEFT(P173,4)&lt;&gt;"Wall","CEK Fixture 2 hanya Wall",IF(Q173="","CEK SHELVING KE kosong",IF(ISNA(MATCH(P173&amp;"|"&amp;Q173,LAYOUT!$E$2:$E$80,0)),"CEK SHELVING KE di luar layout",IF($I173="","CEK SERIES kosong",IF($D173="","Zona STOCK",IF($E173="","CEK SKU DESCRIPTION kosong",IF(COUNTIFS($I$2:$I$500,$I173,P$2:P$500,"&lt;&gt;"&amp;P173,P$2:P$500,"&lt;&gt;")&gt;0,"CEK jenis fixture beda dalam satu series","OK")))))))))</f>
        <v/>
      </c>
      <c r="T173" s="11" t="n"/>
      <c r="U173" s="11" t="n"/>
      <c r="V173" s="11">
        <f>IF(OR(T173="",U173=""),"",IFERROR(INDEX(LAYOUT!$D$2:$D$80,MATCH(T173&amp;"|"&amp;U173,LAYOUT!$E$2:$E$80,0)),""))</f>
        <v/>
      </c>
      <c r="W173" s="12">
        <f>IF(AND(T173="",U173=""),IF(AND(L173="",M173="",P173="",Q173=""),IF(OR($D173&lt;&gt;"",$E173&lt;&gt;""),"Belum ditempatkan",""),""),IF(T173="","CEK JENIS FIXTURE kosong",IF(LEFT(T173,4)&lt;&gt;"Wall","CEK Fixture 3 hanya Wall",IF(U173="","CEK SHELVING KE kosong",IF(ISNA(MATCH(T173&amp;"|"&amp;U173,LAYOUT!$E$2:$E$80,0)),"CEK SHELVING KE di luar layout",IF($I173="","CEK SERIES kosong",IF($D173="","Zona STOCK",IF($E173="","CEK SKU DESCRIPTION kosong",IF(COUNTIFS($I$2:$I$500,$I173,T$2:T$500,"&lt;&gt;"&amp;T173,T$2:T$500,"&lt;&gt;")&gt;0,"CEK jenis fixture beda dalam satu series","OK")))))))))</f>
        <v/>
      </c>
      <c r="X173" s="11" t="n"/>
      <c r="Y173" s="11" t="n"/>
      <c r="Z173" s="12" t="n"/>
      <c r="AA173" s="12" t="n"/>
      <c r="AB173" s="11" t="n"/>
      <c r="AC173" s="11" t="n"/>
      <c r="AD173" s="11" t="n"/>
      <c r="AE173" s="11" t="n"/>
      <c r="AF173" s="11" t="n"/>
      <c r="AG173" s="11" t="n"/>
      <c r="AH173" s="12" t="n"/>
      <c r="AI173" s="12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>
        <f>IF(OR(L174="",M174=""),"",IFERROR(INDEX(LAYOUT!$D$2:$D$80,MATCH(L174&amp;"|"&amp;M174,LAYOUT!$E$2:$E$80,0)),""))</f>
        <v/>
      </c>
      <c r="O174" s="12">
        <f>IF(AND(L174="",M174=""),IF(AND(P174="",Q174="",T174="",U174=""),IF(OR($D174&lt;&gt;"",$E174&lt;&gt;""),"Belum ditempatkan",""),""),IF(L174="","CEK JENIS FIXTURE kosong",IF(AND(LEFT(L174,7)&lt;&gt;"Gondola",LEFT(L174,6)&lt;&gt;"Endcap"),"CEK Fixture 1 hanya Gondola atau Endcap",IF(M174="","CEK SHELVING KE kosong",IF(ISNA(MATCH(L174&amp;"|"&amp;M174,LAYOUT!$E$2:$E$80,0)),"CEK SHELVING KE di luar layout",IF($I174="","CEK SERIES kosong",IF($D174="","Zona STOCK",IF($E174="","CEK SKU DESCRIPTION kosong",IF(COUNTIFS($I$2:$I$500,$I174,L$2:L$500,"&lt;&gt;"&amp;L174,L$2:L$500,"&lt;&gt;")&gt;0,"CEK jenis fixture beda dalam satu series","OK")))))))))</f>
        <v/>
      </c>
      <c r="P174" s="11" t="n"/>
      <c r="Q174" s="11" t="n"/>
      <c r="R174" s="11">
        <f>IF(OR(P174="",Q174=""),"",IFERROR(INDEX(LAYOUT!$D$2:$D$80,MATCH(P174&amp;"|"&amp;Q174,LAYOUT!$E$2:$E$80,0)),""))</f>
        <v/>
      </c>
      <c r="S174" s="12">
        <f>IF(AND(P174="",Q174=""),IF(AND(L174="",M174="",T174="",U174=""),IF(OR($D174&lt;&gt;"",$E174&lt;&gt;""),"Belum ditempatkan",""),""),IF(P174="","CEK JENIS FIXTURE kosong",IF(LEFT(P174,4)&lt;&gt;"Wall","CEK Fixture 2 hanya Wall",IF(Q174="","CEK SHELVING KE kosong",IF(ISNA(MATCH(P174&amp;"|"&amp;Q174,LAYOUT!$E$2:$E$80,0)),"CEK SHELVING KE di luar layout",IF($I174="","CEK SERIES kosong",IF($D174="","Zona STOCK",IF($E174="","CEK SKU DESCRIPTION kosong",IF(COUNTIFS($I$2:$I$500,$I174,P$2:P$500,"&lt;&gt;"&amp;P174,P$2:P$500,"&lt;&gt;")&gt;0,"CEK jenis fixture beda dalam satu series","OK")))))))))</f>
        <v/>
      </c>
      <c r="T174" s="11" t="n"/>
      <c r="U174" s="11" t="n"/>
      <c r="V174" s="11">
        <f>IF(OR(T174="",U174=""),"",IFERROR(INDEX(LAYOUT!$D$2:$D$80,MATCH(T174&amp;"|"&amp;U174,LAYOUT!$E$2:$E$80,0)),""))</f>
        <v/>
      </c>
      <c r="W174" s="12">
        <f>IF(AND(T174="",U174=""),IF(AND(L174="",M174="",P174="",Q174=""),IF(OR($D174&lt;&gt;"",$E174&lt;&gt;""),"Belum ditempatkan",""),""),IF(T174="","CEK JENIS FIXTURE kosong",IF(LEFT(T174,4)&lt;&gt;"Wall","CEK Fixture 3 hanya Wall",IF(U174="","CEK SHELVING KE kosong",IF(ISNA(MATCH(T174&amp;"|"&amp;U174,LAYOUT!$E$2:$E$80,0)),"CEK SHELVING KE di luar layout",IF($I174="","CEK SERIES kosong",IF($D174="","Zona STOCK",IF($E174="","CEK SKU DESCRIPTION kosong",IF(COUNTIFS($I$2:$I$500,$I174,T$2:T$500,"&lt;&gt;"&amp;T174,T$2:T$500,"&lt;&gt;")&gt;0,"CEK jenis fixture beda dalam satu series","OK")))))))))</f>
        <v/>
      </c>
      <c r="X174" s="11" t="n"/>
      <c r="Y174" s="11" t="n"/>
      <c r="Z174" s="12" t="n"/>
      <c r="AA174" s="12" t="n"/>
      <c r="AB174" s="11" t="n"/>
      <c r="AC174" s="11" t="n"/>
      <c r="AD174" s="11" t="n"/>
      <c r="AE174" s="11" t="n"/>
      <c r="AF174" s="11" t="n"/>
      <c r="AG174" s="11" t="n"/>
      <c r="AH174" s="12" t="n"/>
      <c r="AI174" s="12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>
        <f>IF(OR(L175="",M175=""),"",IFERROR(INDEX(LAYOUT!$D$2:$D$80,MATCH(L175&amp;"|"&amp;M175,LAYOUT!$E$2:$E$80,0)),""))</f>
        <v/>
      </c>
      <c r="O175" s="12">
        <f>IF(AND(L175="",M175=""),IF(AND(P175="",Q175="",T175="",U175=""),IF(OR($D175&lt;&gt;"",$E175&lt;&gt;""),"Belum ditempatkan",""),""),IF(L175="","CEK JENIS FIXTURE kosong",IF(AND(LEFT(L175,7)&lt;&gt;"Gondola",LEFT(L175,6)&lt;&gt;"Endcap"),"CEK Fixture 1 hanya Gondola atau Endcap",IF(M175="","CEK SHELVING KE kosong",IF(ISNA(MATCH(L175&amp;"|"&amp;M175,LAYOUT!$E$2:$E$80,0)),"CEK SHELVING KE di luar layout",IF($I175="","CEK SERIES kosong",IF($D175="","Zona STOCK",IF($E175="","CEK SKU DESCRIPTION kosong",IF(COUNTIFS($I$2:$I$500,$I175,L$2:L$500,"&lt;&gt;"&amp;L175,L$2:L$500,"&lt;&gt;")&gt;0,"CEK jenis fixture beda dalam satu series","OK")))))))))</f>
        <v/>
      </c>
      <c r="P175" s="11" t="n"/>
      <c r="Q175" s="11" t="n"/>
      <c r="R175" s="11">
        <f>IF(OR(P175="",Q175=""),"",IFERROR(INDEX(LAYOUT!$D$2:$D$80,MATCH(P175&amp;"|"&amp;Q175,LAYOUT!$E$2:$E$80,0)),""))</f>
        <v/>
      </c>
      <c r="S175" s="12">
        <f>IF(AND(P175="",Q175=""),IF(AND(L175="",M175="",T175="",U175=""),IF(OR($D175&lt;&gt;"",$E175&lt;&gt;""),"Belum ditempatkan",""),""),IF(P175="","CEK JENIS FIXTURE kosong",IF(LEFT(P175,4)&lt;&gt;"Wall","CEK Fixture 2 hanya Wall",IF(Q175="","CEK SHELVING KE kosong",IF(ISNA(MATCH(P175&amp;"|"&amp;Q175,LAYOUT!$E$2:$E$80,0)),"CEK SHELVING KE di luar layout",IF($I175="","CEK SERIES kosong",IF($D175="","Zona STOCK",IF($E175="","CEK SKU DESCRIPTION kosong",IF(COUNTIFS($I$2:$I$500,$I175,P$2:P$500,"&lt;&gt;"&amp;P175,P$2:P$500,"&lt;&gt;")&gt;0,"CEK jenis fixture beda dalam satu series","OK")))))))))</f>
        <v/>
      </c>
      <c r="T175" s="11" t="n"/>
      <c r="U175" s="11" t="n"/>
      <c r="V175" s="11">
        <f>IF(OR(T175="",U175=""),"",IFERROR(INDEX(LAYOUT!$D$2:$D$80,MATCH(T175&amp;"|"&amp;U175,LAYOUT!$E$2:$E$80,0)),""))</f>
        <v/>
      </c>
      <c r="W175" s="12">
        <f>IF(AND(T175="",U175=""),IF(AND(L175="",M175="",P175="",Q175=""),IF(OR($D175&lt;&gt;"",$E175&lt;&gt;""),"Belum ditempatkan",""),""),IF(T175="","CEK JENIS FIXTURE kosong",IF(LEFT(T175,4)&lt;&gt;"Wall","CEK Fixture 3 hanya Wall",IF(U175="","CEK SHELVING KE kosong",IF(ISNA(MATCH(T175&amp;"|"&amp;U175,LAYOUT!$E$2:$E$80,0)),"CEK SHELVING KE di luar layout",IF($I175="","CEK SERIES kosong",IF($D175="","Zona STOCK",IF($E175="","CEK SKU DESCRIPTION kosong",IF(COUNTIFS($I$2:$I$500,$I175,T$2:T$500,"&lt;&gt;"&amp;T175,T$2:T$500,"&lt;&gt;")&gt;0,"CEK jenis fixture beda dalam satu series","OK")))))))))</f>
        <v/>
      </c>
      <c r="X175" s="11" t="n"/>
      <c r="Y175" s="11" t="n"/>
      <c r="Z175" s="12" t="n"/>
      <c r="AA175" s="12" t="n"/>
      <c r="AB175" s="11" t="n"/>
      <c r="AC175" s="11" t="n"/>
      <c r="AD175" s="11" t="n"/>
      <c r="AE175" s="11" t="n"/>
      <c r="AF175" s="11" t="n"/>
      <c r="AG175" s="11" t="n"/>
      <c r="AH175" s="12" t="n"/>
      <c r="AI175" s="12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>
        <f>IF(OR(L176="",M176=""),"",IFERROR(INDEX(LAYOUT!$D$2:$D$80,MATCH(L176&amp;"|"&amp;M176,LAYOUT!$E$2:$E$80,0)),""))</f>
        <v/>
      </c>
      <c r="O176" s="12">
        <f>IF(AND(L176="",M176=""),IF(AND(P176="",Q176="",T176="",U176=""),IF(OR($D176&lt;&gt;"",$E176&lt;&gt;""),"Belum ditempatkan",""),""),IF(L176="","CEK JENIS FIXTURE kosong",IF(AND(LEFT(L176,7)&lt;&gt;"Gondola",LEFT(L176,6)&lt;&gt;"Endcap"),"CEK Fixture 1 hanya Gondola atau Endcap",IF(M176="","CEK SHELVING KE kosong",IF(ISNA(MATCH(L176&amp;"|"&amp;M176,LAYOUT!$E$2:$E$80,0)),"CEK SHELVING KE di luar layout",IF($I176="","CEK SERIES kosong",IF($D176="","Zona STOCK",IF($E176="","CEK SKU DESCRIPTION kosong",IF(COUNTIFS($I$2:$I$500,$I176,L$2:L$500,"&lt;&gt;"&amp;L176,L$2:L$500,"&lt;&gt;")&gt;0,"CEK jenis fixture beda dalam satu series","OK")))))))))</f>
        <v/>
      </c>
      <c r="P176" s="11" t="n"/>
      <c r="Q176" s="11" t="n"/>
      <c r="R176" s="11">
        <f>IF(OR(P176="",Q176=""),"",IFERROR(INDEX(LAYOUT!$D$2:$D$80,MATCH(P176&amp;"|"&amp;Q176,LAYOUT!$E$2:$E$80,0)),""))</f>
        <v/>
      </c>
      <c r="S176" s="12">
        <f>IF(AND(P176="",Q176=""),IF(AND(L176="",M176="",T176="",U176=""),IF(OR($D176&lt;&gt;"",$E176&lt;&gt;""),"Belum ditempatkan",""),""),IF(P176="","CEK JENIS FIXTURE kosong",IF(LEFT(P176,4)&lt;&gt;"Wall","CEK Fixture 2 hanya Wall",IF(Q176="","CEK SHELVING KE kosong",IF(ISNA(MATCH(P176&amp;"|"&amp;Q176,LAYOUT!$E$2:$E$80,0)),"CEK SHELVING KE di luar layout",IF($I176="","CEK SERIES kosong",IF($D176="","Zona STOCK",IF($E176="","CEK SKU DESCRIPTION kosong",IF(COUNTIFS($I$2:$I$500,$I176,P$2:P$500,"&lt;&gt;"&amp;P176,P$2:P$500,"&lt;&gt;")&gt;0,"CEK jenis fixture beda dalam satu series","OK")))))))))</f>
        <v/>
      </c>
      <c r="T176" s="11" t="n"/>
      <c r="U176" s="11" t="n"/>
      <c r="V176" s="11">
        <f>IF(OR(T176="",U176=""),"",IFERROR(INDEX(LAYOUT!$D$2:$D$80,MATCH(T176&amp;"|"&amp;U176,LAYOUT!$E$2:$E$80,0)),""))</f>
        <v/>
      </c>
      <c r="W176" s="12">
        <f>IF(AND(T176="",U176=""),IF(AND(L176="",M176="",P176="",Q176=""),IF(OR($D176&lt;&gt;"",$E176&lt;&gt;""),"Belum ditempatkan",""),""),IF(T176="","CEK JENIS FIXTURE kosong",IF(LEFT(T176,4)&lt;&gt;"Wall","CEK Fixture 3 hanya Wall",IF(U176="","CEK SHELVING KE kosong",IF(ISNA(MATCH(T176&amp;"|"&amp;U176,LAYOUT!$E$2:$E$80,0)),"CEK SHELVING KE di luar layout",IF($I176="","CEK SERIES kosong",IF($D176="","Zona STOCK",IF($E176="","CEK SKU DESCRIPTION kosong",IF(COUNTIFS($I$2:$I$500,$I176,T$2:T$500,"&lt;&gt;"&amp;T176,T$2:T$500,"&lt;&gt;")&gt;0,"CEK jenis fixture beda dalam satu series","OK")))))))))</f>
        <v/>
      </c>
      <c r="X176" s="11" t="n"/>
      <c r="Y176" s="11" t="n"/>
      <c r="Z176" s="12" t="n"/>
      <c r="AA176" s="12" t="n"/>
      <c r="AB176" s="11" t="n"/>
      <c r="AC176" s="11" t="n"/>
      <c r="AD176" s="11" t="n"/>
      <c r="AE176" s="11" t="n"/>
      <c r="AF176" s="11" t="n"/>
      <c r="AG176" s="11" t="n"/>
      <c r="AH176" s="12" t="n"/>
      <c r="AI176" s="12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>
        <f>IF(OR(L177="",M177=""),"",IFERROR(INDEX(LAYOUT!$D$2:$D$80,MATCH(L177&amp;"|"&amp;M177,LAYOUT!$E$2:$E$80,0)),""))</f>
        <v/>
      </c>
      <c r="O177" s="12">
        <f>IF(AND(L177="",M177=""),IF(AND(P177="",Q177="",T177="",U177=""),IF(OR($D177&lt;&gt;"",$E177&lt;&gt;""),"Belum ditempatkan",""),""),IF(L177="","CEK JENIS FIXTURE kosong",IF(AND(LEFT(L177,7)&lt;&gt;"Gondola",LEFT(L177,6)&lt;&gt;"Endcap"),"CEK Fixture 1 hanya Gondola atau Endcap",IF(M177="","CEK SHELVING KE kosong",IF(ISNA(MATCH(L177&amp;"|"&amp;M177,LAYOUT!$E$2:$E$80,0)),"CEK SHELVING KE di luar layout",IF($I177="","CEK SERIES kosong",IF($D177="","Zona STOCK",IF($E177="","CEK SKU DESCRIPTION kosong",IF(COUNTIFS($I$2:$I$500,$I177,L$2:L$500,"&lt;&gt;"&amp;L177,L$2:L$500,"&lt;&gt;")&gt;0,"CEK jenis fixture beda dalam satu series","OK")))))))))</f>
        <v/>
      </c>
      <c r="P177" s="11" t="n"/>
      <c r="Q177" s="11" t="n"/>
      <c r="R177" s="11">
        <f>IF(OR(P177="",Q177=""),"",IFERROR(INDEX(LAYOUT!$D$2:$D$80,MATCH(P177&amp;"|"&amp;Q177,LAYOUT!$E$2:$E$80,0)),""))</f>
        <v/>
      </c>
      <c r="S177" s="12">
        <f>IF(AND(P177="",Q177=""),IF(AND(L177="",M177="",T177="",U177=""),IF(OR($D177&lt;&gt;"",$E177&lt;&gt;""),"Belum ditempatkan",""),""),IF(P177="","CEK JENIS FIXTURE kosong",IF(LEFT(P177,4)&lt;&gt;"Wall","CEK Fixture 2 hanya Wall",IF(Q177="","CEK SHELVING KE kosong",IF(ISNA(MATCH(P177&amp;"|"&amp;Q177,LAYOUT!$E$2:$E$80,0)),"CEK SHELVING KE di luar layout",IF($I177="","CEK SERIES kosong",IF($D177="","Zona STOCK",IF($E177="","CEK SKU DESCRIPTION kosong",IF(COUNTIFS($I$2:$I$500,$I177,P$2:P$500,"&lt;&gt;"&amp;P177,P$2:P$500,"&lt;&gt;")&gt;0,"CEK jenis fixture beda dalam satu series","OK")))))))))</f>
        <v/>
      </c>
      <c r="T177" s="11" t="n"/>
      <c r="U177" s="11" t="n"/>
      <c r="V177" s="11">
        <f>IF(OR(T177="",U177=""),"",IFERROR(INDEX(LAYOUT!$D$2:$D$80,MATCH(T177&amp;"|"&amp;U177,LAYOUT!$E$2:$E$80,0)),""))</f>
        <v/>
      </c>
      <c r="W177" s="12">
        <f>IF(AND(T177="",U177=""),IF(AND(L177="",M177="",P177="",Q177=""),IF(OR($D177&lt;&gt;"",$E177&lt;&gt;""),"Belum ditempatkan",""),""),IF(T177="","CEK JENIS FIXTURE kosong",IF(LEFT(T177,4)&lt;&gt;"Wall","CEK Fixture 3 hanya Wall",IF(U177="","CEK SHELVING KE kosong",IF(ISNA(MATCH(T177&amp;"|"&amp;U177,LAYOUT!$E$2:$E$80,0)),"CEK SHELVING KE di luar layout",IF($I177="","CEK SERIES kosong",IF($D177="","Zona STOCK",IF($E177="","CEK SKU DESCRIPTION kosong",IF(COUNTIFS($I$2:$I$500,$I177,T$2:T$500,"&lt;&gt;"&amp;T177,T$2:T$500,"&lt;&gt;")&gt;0,"CEK jenis fixture beda dalam satu series","OK")))))))))</f>
        <v/>
      </c>
      <c r="X177" s="11" t="n"/>
      <c r="Y177" s="11" t="n"/>
      <c r="Z177" s="12" t="n"/>
      <c r="AA177" s="12" t="n"/>
      <c r="AB177" s="11" t="n"/>
      <c r="AC177" s="11" t="n"/>
      <c r="AD177" s="11" t="n"/>
      <c r="AE177" s="11" t="n"/>
      <c r="AF177" s="11" t="n"/>
      <c r="AG177" s="11" t="n"/>
      <c r="AH177" s="12" t="n"/>
      <c r="AI177" s="12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>
        <f>IF(OR(L178="",M178=""),"",IFERROR(INDEX(LAYOUT!$D$2:$D$80,MATCH(L178&amp;"|"&amp;M178,LAYOUT!$E$2:$E$80,0)),""))</f>
        <v/>
      </c>
      <c r="O178" s="12">
        <f>IF(AND(L178="",M178=""),IF(AND(P178="",Q178="",T178="",U178=""),IF(OR($D178&lt;&gt;"",$E178&lt;&gt;""),"Belum ditempatkan",""),""),IF(L178="","CEK JENIS FIXTURE kosong",IF(AND(LEFT(L178,7)&lt;&gt;"Gondola",LEFT(L178,6)&lt;&gt;"Endcap"),"CEK Fixture 1 hanya Gondola atau Endcap",IF(M178="","CEK SHELVING KE kosong",IF(ISNA(MATCH(L178&amp;"|"&amp;M178,LAYOUT!$E$2:$E$80,0)),"CEK SHELVING KE di luar layout",IF($I178="","CEK SERIES kosong",IF($D178="","Zona STOCK",IF($E178="","CEK SKU DESCRIPTION kosong",IF(COUNTIFS($I$2:$I$500,$I178,L$2:L$500,"&lt;&gt;"&amp;L178,L$2:L$500,"&lt;&gt;")&gt;0,"CEK jenis fixture beda dalam satu series","OK")))))))))</f>
        <v/>
      </c>
      <c r="P178" s="11" t="n"/>
      <c r="Q178" s="11" t="n"/>
      <c r="R178" s="11">
        <f>IF(OR(P178="",Q178=""),"",IFERROR(INDEX(LAYOUT!$D$2:$D$80,MATCH(P178&amp;"|"&amp;Q178,LAYOUT!$E$2:$E$80,0)),""))</f>
        <v/>
      </c>
      <c r="S178" s="12">
        <f>IF(AND(P178="",Q178=""),IF(AND(L178="",M178="",T178="",U178=""),IF(OR($D178&lt;&gt;"",$E178&lt;&gt;""),"Belum ditempatkan",""),""),IF(P178="","CEK JENIS FIXTURE kosong",IF(LEFT(P178,4)&lt;&gt;"Wall","CEK Fixture 2 hanya Wall",IF(Q178="","CEK SHELVING KE kosong",IF(ISNA(MATCH(P178&amp;"|"&amp;Q178,LAYOUT!$E$2:$E$80,0)),"CEK SHELVING KE di luar layout",IF($I178="","CEK SERIES kosong",IF($D178="","Zona STOCK",IF($E178="","CEK SKU DESCRIPTION kosong",IF(COUNTIFS($I$2:$I$500,$I178,P$2:P$500,"&lt;&gt;"&amp;P178,P$2:P$500,"&lt;&gt;")&gt;0,"CEK jenis fixture beda dalam satu series","OK")))))))))</f>
        <v/>
      </c>
      <c r="T178" s="11" t="n"/>
      <c r="U178" s="11" t="n"/>
      <c r="V178" s="11">
        <f>IF(OR(T178="",U178=""),"",IFERROR(INDEX(LAYOUT!$D$2:$D$80,MATCH(T178&amp;"|"&amp;U178,LAYOUT!$E$2:$E$80,0)),""))</f>
        <v/>
      </c>
      <c r="W178" s="12">
        <f>IF(AND(T178="",U178=""),IF(AND(L178="",M178="",P178="",Q178=""),IF(OR($D178&lt;&gt;"",$E178&lt;&gt;""),"Belum ditempatkan",""),""),IF(T178="","CEK JENIS FIXTURE kosong",IF(LEFT(T178,4)&lt;&gt;"Wall","CEK Fixture 3 hanya Wall",IF(U178="","CEK SHELVING KE kosong",IF(ISNA(MATCH(T178&amp;"|"&amp;U178,LAYOUT!$E$2:$E$80,0)),"CEK SHELVING KE di luar layout",IF($I178="","CEK SERIES kosong",IF($D178="","Zona STOCK",IF($E178="","CEK SKU DESCRIPTION kosong",IF(COUNTIFS($I$2:$I$500,$I178,T$2:T$500,"&lt;&gt;"&amp;T178,T$2:T$500,"&lt;&gt;")&gt;0,"CEK jenis fixture beda dalam satu series","OK")))))))))</f>
        <v/>
      </c>
      <c r="X178" s="11" t="n"/>
      <c r="Y178" s="11" t="n"/>
      <c r="Z178" s="12" t="n"/>
      <c r="AA178" s="12" t="n"/>
      <c r="AB178" s="11" t="n"/>
      <c r="AC178" s="11" t="n"/>
      <c r="AD178" s="11" t="n"/>
      <c r="AE178" s="11" t="n"/>
      <c r="AF178" s="11" t="n"/>
      <c r="AG178" s="11" t="n"/>
      <c r="AH178" s="12" t="n"/>
      <c r="AI178" s="12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>
        <f>IF(OR(L179="",M179=""),"",IFERROR(INDEX(LAYOUT!$D$2:$D$80,MATCH(L179&amp;"|"&amp;M179,LAYOUT!$E$2:$E$80,0)),""))</f>
        <v/>
      </c>
      <c r="O179" s="12">
        <f>IF(AND(L179="",M179=""),IF(AND(P179="",Q179="",T179="",U179=""),IF(OR($D179&lt;&gt;"",$E179&lt;&gt;""),"Belum ditempatkan",""),""),IF(L179="","CEK JENIS FIXTURE kosong",IF(AND(LEFT(L179,7)&lt;&gt;"Gondola",LEFT(L179,6)&lt;&gt;"Endcap"),"CEK Fixture 1 hanya Gondola atau Endcap",IF(M179="","CEK SHELVING KE kosong",IF(ISNA(MATCH(L179&amp;"|"&amp;M179,LAYOUT!$E$2:$E$80,0)),"CEK SHELVING KE di luar layout",IF($I179="","CEK SERIES kosong",IF($D179="","Zona STOCK",IF($E179="","CEK SKU DESCRIPTION kosong",IF(COUNTIFS($I$2:$I$500,$I179,L$2:L$500,"&lt;&gt;"&amp;L179,L$2:L$500,"&lt;&gt;")&gt;0,"CEK jenis fixture beda dalam satu series","OK")))))))))</f>
        <v/>
      </c>
      <c r="P179" s="11" t="n"/>
      <c r="Q179" s="11" t="n"/>
      <c r="R179" s="11">
        <f>IF(OR(P179="",Q179=""),"",IFERROR(INDEX(LAYOUT!$D$2:$D$80,MATCH(P179&amp;"|"&amp;Q179,LAYOUT!$E$2:$E$80,0)),""))</f>
        <v/>
      </c>
      <c r="S179" s="12">
        <f>IF(AND(P179="",Q179=""),IF(AND(L179="",M179="",T179="",U179=""),IF(OR($D179&lt;&gt;"",$E179&lt;&gt;""),"Belum ditempatkan",""),""),IF(P179="","CEK JENIS FIXTURE kosong",IF(LEFT(P179,4)&lt;&gt;"Wall","CEK Fixture 2 hanya Wall",IF(Q179="","CEK SHELVING KE kosong",IF(ISNA(MATCH(P179&amp;"|"&amp;Q179,LAYOUT!$E$2:$E$80,0)),"CEK SHELVING KE di luar layout",IF($I179="","CEK SERIES kosong",IF($D179="","Zona STOCK",IF($E179="","CEK SKU DESCRIPTION kosong",IF(COUNTIFS($I$2:$I$500,$I179,P$2:P$500,"&lt;&gt;"&amp;P179,P$2:P$500,"&lt;&gt;")&gt;0,"CEK jenis fixture beda dalam satu series","OK")))))))))</f>
        <v/>
      </c>
      <c r="T179" s="11" t="n"/>
      <c r="U179" s="11" t="n"/>
      <c r="V179" s="11">
        <f>IF(OR(T179="",U179=""),"",IFERROR(INDEX(LAYOUT!$D$2:$D$80,MATCH(T179&amp;"|"&amp;U179,LAYOUT!$E$2:$E$80,0)),""))</f>
        <v/>
      </c>
      <c r="W179" s="12">
        <f>IF(AND(T179="",U179=""),IF(AND(L179="",M179="",P179="",Q179=""),IF(OR($D179&lt;&gt;"",$E179&lt;&gt;""),"Belum ditempatkan",""),""),IF(T179="","CEK JENIS FIXTURE kosong",IF(LEFT(T179,4)&lt;&gt;"Wall","CEK Fixture 3 hanya Wall",IF(U179="","CEK SHELVING KE kosong",IF(ISNA(MATCH(T179&amp;"|"&amp;U179,LAYOUT!$E$2:$E$80,0)),"CEK SHELVING KE di luar layout",IF($I179="","CEK SERIES kosong",IF($D179="","Zona STOCK",IF($E179="","CEK SKU DESCRIPTION kosong",IF(COUNTIFS($I$2:$I$500,$I179,T$2:T$500,"&lt;&gt;"&amp;T179,T$2:T$500,"&lt;&gt;")&gt;0,"CEK jenis fixture beda dalam satu series","OK")))))))))</f>
        <v/>
      </c>
      <c r="X179" s="11" t="n"/>
      <c r="Y179" s="11" t="n"/>
      <c r="Z179" s="12" t="n"/>
      <c r="AA179" s="12" t="n"/>
      <c r="AB179" s="11" t="n"/>
      <c r="AC179" s="11" t="n"/>
      <c r="AD179" s="11" t="n"/>
      <c r="AE179" s="11" t="n"/>
      <c r="AF179" s="11" t="n"/>
      <c r="AG179" s="11" t="n"/>
      <c r="AH179" s="12" t="n"/>
      <c r="AI179" s="12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>
        <f>IF(OR(L180="",M180=""),"",IFERROR(INDEX(LAYOUT!$D$2:$D$80,MATCH(L180&amp;"|"&amp;M180,LAYOUT!$E$2:$E$80,0)),""))</f>
        <v/>
      </c>
      <c r="O180" s="12">
        <f>IF(AND(L180="",M180=""),IF(AND(P180="",Q180="",T180="",U180=""),IF(OR($D180&lt;&gt;"",$E180&lt;&gt;""),"Belum ditempatkan",""),""),IF(L180="","CEK JENIS FIXTURE kosong",IF(AND(LEFT(L180,7)&lt;&gt;"Gondola",LEFT(L180,6)&lt;&gt;"Endcap"),"CEK Fixture 1 hanya Gondola atau Endcap",IF(M180="","CEK SHELVING KE kosong",IF(ISNA(MATCH(L180&amp;"|"&amp;M180,LAYOUT!$E$2:$E$80,0)),"CEK SHELVING KE di luar layout",IF($I180="","CEK SERIES kosong",IF($D180="","Zona STOCK",IF($E180="","CEK SKU DESCRIPTION kosong",IF(COUNTIFS($I$2:$I$500,$I180,L$2:L$500,"&lt;&gt;"&amp;L180,L$2:L$500,"&lt;&gt;")&gt;0,"CEK jenis fixture beda dalam satu series","OK")))))))))</f>
        <v/>
      </c>
      <c r="P180" s="11" t="n"/>
      <c r="Q180" s="11" t="n"/>
      <c r="R180" s="11">
        <f>IF(OR(P180="",Q180=""),"",IFERROR(INDEX(LAYOUT!$D$2:$D$80,MATCH(P180&amp;"|"&amp;Q180,LAYOUT!$E$2:$E$80,0)),""))</f>
        <v/>
      </c>
      <c r="S180" s="12">
        <f>IF(AND(P180="",Q180=""),IF(AND(L180="",M180="",T180="",U180=""),IF(OR($D180&lt;&gt;"",$E180&lt;&gt;""),"Belum ditempatkan",""),""),IF(P180="","CEK JENIS FIXTURE kosong",IF(LEFT(P180,4)&lt;&gt;"Wall","CEK Fixture 2 hanya Wall",IF(Q180="","CEK SHELVING KE kosong",IF(ISNA(MATCH(P180&amp;"|"&amp;Q180,LAYOUT!$E$2:$E$80,0)),"CEK SHELVING KE di luar layout",IF($I180="","CEK SERIES kosong",IF($D180="","Zona STOCK",IF($E180="","CEK SKU DESCRIPTION kosong",IF(COUNTIFS($I$2:$I$500,$I180,P$2:P$500,"&lt;&gt;"&amp;P180,P$2:P$500,"&lt;&gt;")&gt;0,"CEK jenis fixture beda dalam satu series","OK")))))))))</f>
        <v/>
      </c>
      <c r="T180" s="11" t="n"/>
      <c r="U180" s="11" t="n"/>
      <c r="V180" s="11">
        <f>IF(OR(T180="",U180=""),"",IFERROR(INDEX(LAYOUT!$D$2:$D$80,MATCH(T180&amp;"|"&amp;U180,LAYOUT!$E$2:$E$80,0)),""))</f>
        <v/>
      </c>
      <c r="W180" s="12">
        <f>IF(AND(T180="",U180=""),IF(AND(L180="",M180="",P180="",Q180=""),IF(OR($D180&lt;&gt;"",$E180&lt;&gt;""),"Belum ditempatkan",""),""),IF(T180="","CEK JENIS FIXTURE kosong",IF(LEFT(T180,4)&lt;&gt;"Wall","CEK Fixture 3 hanya Wall",IF(U180="","CEK SHELVING KE kosong",IF(ISNA(MATCH(T180&amp;"|"&amp;U180,LAYOUT!$E$2:$E$80,0)),"CEK SHELVING KE di luar layout",IF($I180="","CEK SERIES kosong",IF($D180="","Zona STOCK",IF($E180="","CEK SKU DESCRIPTION kosong",IF(COUNTIFS($I$2:$I$500,$I180,T$2:T$500,"&lt;&gt;"&amp;T180,T$2:T$500,"&lt;&gt;")&gt;0,"CEK jenis fixture beda dalam satu series","OK")))))))))</f>
        <v/>
      </c>
      <c r="X180" s="11" t="n"/>
      <c r="Y180" s="11" t="n"/>
      <c r="Z180" s="12" t="n"/>
      <c r="AA180" s="12" t="n"/>
      <c r="AB180" s="11" t="n"/>
      <c r="AC180" s="11" t="n"/>
      <c r="AD180" s="11" t="n"/>
      <c r="AE180" s="11" t="n"/>
      <c r="AF180" s="11" t="n"/>
      <c r="AG180" s="11" t="n"/>
      <c r="AH180" s="12" t="n"/>
      <c r="AI180" s="12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>
        <f>IF(OR(L181="",M181=""),"",IFERROR(INDEX(LAYOUT!$D$2:$D$80,MATCH(L181&amp;"|"&amp;M181,LAYOUT!$E$2:$E$80,0)),""))</f>
        <v/>
      </c>
      <c r="O181" s="12">
        <f>IF(AND(L181="",M181=""),IF(AND(P181="",Q181="",T181="",U181=""),IF(OR($D181&lt;&gt;"",$E181&lt;&gt;""),"Belum ditempatkan",""),""),IF(L181="","CEK JENIS FIXTURE kosong",IF(AND(LEFT(L181,7)&lt;&gt;"Gondola",LEFT(L181,6)&lt;&gt;"Endcap"),"CEK Fixture 1 hanya Gondola atau Endcap",IF(M181="","CEK SHELVING KE kosong",IF(ISNA(MATCH(L181&amp;"|"&amp;M181,LAYOUT!$E$2:$E$80,0)),"CEK SHELVING KE di luar layout",IF($I181="","CEK SERIES kosong",IF($D181="","Zona STOCK",IF($E181="","CEK SKU DESCRIPTION kosong",IF(COUNTIFS($I$2:$I$500,$I181,L$2:L$500,"&lt;&gt;"&amp;L181,L$2:L$500,"&lt;&gt;")&gt;0,"CEK jenis fixture beda dalam satu series","OK")))))))))</f>
        <v/>
      </c>
      <c r="P181" s="11" t="n"/>
      <c r="Q181" s="11" t="n"/>
      <c r="R181" s="11">
        <f>IF(OR(P181="",Q181=""),"",IFERROR(INDEX(LAYOUT!$D$2:$D$80,MATCH(P181&amp;"|"&amp;Q181,LAYOUT!$E$2:$E$80,0)),""))</f>
        <v/>
      </c>
      <c r="S181" s="12">
        <f>IF(AND(P181="",Q181=""),IF(AND(L181="",M181="",T181="",U181=""),IF(OR($D181&lt;&gt;"",$E181&lt;&gt;""),"Belum ditempatkan",""),""),IF(P181="","CEK JENIS FIXTURE kosong",IF(LEFT(P181,4)&lt;&gt;"Wall","CEK Fixture 2 hanya Wall",IF(Q181="","CEK SHELVING KE kosong",IF(ISNA(MATCH(P181&amp;"|"&amp;Q181,LAYOUT!$E$2:$E$80,0)),"CEK SHELVING KE di luar layout",IF($I181="","CEK SERIES kosong",IF($D181="","Zona STOCK",IF($E181="","CEK SKU DESCRIPTION kosong",IF(COUNTIFS($I$2:$I$500,$I181,P$2:P$500,"&lt;&gt;"&amp;P181,P$2:P$500,"&lt;&gt;")&gt;0,"CEK jenis fixture beda dalam satu series","OK")))))))))</f>
        <v/>
      </c>
      <c r="T181" s="11" t="n"/>
      <c r="U181" s="11" t="n"/>
      <c r="V181" s="11">
        <f>IF(OR(T181="",U181=""),"",IFERROR(INDEX(LAYOUT!$D$2:$D$80,MATCH(T181&amp;"|"&amp;U181,LAYOUT!$E$2:$E$80,0)),""))</f>
        <v/>
      </c>
      <c r="W181" s="12">
        <f>IF(AND(T181="",U181=""),IF(AND(L181="",M181="",P181="",Q181=""),IF(OR($D181&lt;&gt;"",$E181&lt;&gt;""),"Belum ditempatkan",""),""),IF(T181="","CEK JENIS FIXTURE kosong",IF(LEFT(T181,4)&lt;&gt;"Wall","CEK Fixture 3 hanya Wall",IF(U181="","CEK SHELVING KE kosong",IF(ISNA(MATCH(T181&amp;"|"&amp;U181,LAYOUT!$E$2:$E$80,0)),"CEK SHELVING KE di luar layout",IF($I181="","CEK SERIES kosong",IF($D181="","Zona STOCK",IF($E181="","CEK SKU DESCRIPTION kosong",IF(COUNTIFS($I$2:$I$500,$I181,T$2:T$500,"&lt;&gt;"&amp;T181,T$2:T$500,"&lt;&gt;")&gt;0,"CEK jenis fixture beda dalam satu series","OK")))))))))</f>
        <v/>
      </c>
      <c r="X181" s="11" t="n"/>
      <c r="Y181" s="11" t="n"/>
      <c r="Z181" s="12" t="n"/>
      <c r="AA181" s="12" t="n"/>
      <c r="AB181" s="11" t="n"/>
      <c r="AC181" s="11" t="n"/>
      <c r="AD181" s="11" t="n"/>
      <c r="AE181" s="11" t="n"/>
      <c r="AF181" s="11" t="n"/>
      <c r="AG181" s="11" t="n"/>
      <c r="AH181" s="12" t="n"/>
      <c r="AI181" s="12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>
        <f>IF(OR(L182="",M182=""),"",IFERROR(INDEX(LAYOUT!$D$2:$D$80,MATCH(L182&amp;"|"&amp;M182,LAYOUT!$E$2:$E$80,0)),""))</f>
        <v/>
      </c>
      <c r="O182" s="12">
        <f>IF(AND(L182="",M182=""),IF(AND(P182="",Q182="",T182="",U182=""),IF(OR($D182&lt;&gt;"",$E182&lt;&gt;""),"Belum ditempatkan",""),""),IF(L182="","CEK JENIS FIXTURE kosong",IF(AND(LEFT(L182,7)&lt;&gt;"Gondola",LEFT(L182,6)&lt;&gt;"Endcap"),"CEK Fixture 1 hanya Gondola atau Endcap",IF(M182="","CEK SHELVING KE kosong",IF(ISNA(MATCH(L182&amp;"|"&amp;M182,LAYOUT!$E$2:$E$80,0)),"CEK SHELVING KE di luar layout",IF($I182="","CEK SERIES kosong",IF($D182="","Zona STOCK",IF($E182="","CEK SKU DESCRIPTION kosong",IF(COUNTIFS($I$2:$I$500,$I182,L$2:L$500,"&lt;&gt;"&amp;L182,L$2:L$500,"&lt;&gt;")&gt;0,"CEK jenis fixture beda dalam satu series","OK")))))))))</f>
        <v/>
      </c>
      <c r="P182" s="11" t="n"/>
      <c r="Q182" s="11" t="n"/>
      <c r="R182" s="11">
        <f>IF(OR(P182="",Q182=""),"",IFERROR(INDEX(LAYOUT!$D$2:$D$80,MATCH(P182&amp;"|"&amp;Q182,LAYOUT!$E$2:$E$80,0)),""))</f>
        <v/>
      </c>
      <c r="S182" s="12">
        <f>IF(AND(P182="",Q182=""),IF(AND(L182="",M182="",T182="",U182=""),IF(OR($D182&lt;&gt;"",$E182&lt;&gt;""),"Belum ditempatkan",""),""),IF(P182="","CEK JENIS FIXTURE kosong",IF(LEFT(P182,4)&lt;&gt;"Wall","CEK Fixture 2 hanya Wall",IF(Q182="","CEK SHELVING KE kosong",IF(ISNA(MATCH(P182&amp;"|"&amp;Q182,LAYOUT!$E$2:$E$80,0)),"CEK SHELVING KE di luar layout",IF($I182="","CEK SERIES kosong",IF($D182="","Zona STOCK",IF($E182="","CEK SKU DESCRIPTION kosong",IF(COUNTIFS($I$2:$I$500,$I182,P$2:P$500,"&lt;&gt;"&amp;P182,P$2:P$500,"&lt;&gt;")&gt;0,"CEK jenis fixture beda dalam satu series","OK")))))))))</f>
        <v/>
      </c>
      <c r="T182" s="11" t="n"/>
      <c r="U182" s="11" t="n"/>
      <c r="V182" s="11">
        <f>IF(OR(T182="",U182=""),"",IFERROR(INDEX(LAYOUT!$D$2:$D$80,MATCH(T182&amp;"|"&amp;U182,LAYOUT!$E$2:$E$80,0)),""))</f>
        <v/>
      </c>
      <c r="W182" s="12">
        <f>IF(AND(T182="",U182=""),IF(AND(L182="",M182="",P182="",Q182=""),IF(OR($D182&lt;&gt;"",$E182&lt;&gt;""),"Belum ditempatkan",""),""),IF(T182="","CEK JENIS FIXTURE kosong",IF(LEFT(T182,4)&lt;&gt;"Wall","CEK Fixture 3 hanya Wall",IF(U182="","CEK SHELVING KE kosong",IF(ISNA(MATCH(T182&amp;"|"&amp;U182,LAYOUT!$E$2:$E$80,0)),"CEK SHELVING KE di luar layout",IF($I182="","CEK SERIES kosong",IF($D182="","Zona STOCK",IF($E182="","CEK SKU DESCRIPTION kosong",IF(COUNTIFS($I$2:$I$500,$I182,T$2:T$500,"&lt;&gt;"&amp;T182,T$2:T$500,"&lt;&gt;")&gt;0,"CEK jenis fixture beda dalam satu series","OK")))))))))</f>
        <v/>
      </c>
      <c r="X182" s="11" t="n"/>
      <c r="Y182" s="11" t="n"/>
      <c r="Z182" s="12" t="n"/>
      <c r="AA182" s="12" t="n"/>
      <c r="AB182" s="11" t="n"/>
      <c r="AC182" s="11" t="n"/>
      <c r="AD182" s="11" t="n"/>
      <c r="AE182" s="11" t="n"/>
      <c r="AF182" s="11" t="n"/>
      <c r="AG182" s="11" t="n"/>
      <c r="AH182" s="12" t="n"/>
      <c r="AI182" s="12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>
        <f>IF(OR(L183="",M183=""),"",IFERROR(INDEX(LAYOUT!$D$2:$D$80,MATCH(L183&amp;"|"&amp;M183,LAYOUT!$E$2:$E$80,0)),""))</f>
        <v/>
      </c>
      <c r="O183" s="12">
        <f>IF(AND(L183="",M183=""),IF(AND(P183="",Q183="",T183="",U183=""),IF(OR($D183&lt;&gt;"",$E183&lt;&gt;""),"Belum ditempatkan",""),""),IF(L183="","CEK JENIS FIXTURE kosong",IF(AND(LEFT(L183,7)&lt;&gt;"Gondola",LEFT(L183,6)&lt;&gt;"Endcap"),"CEK Fixture 1 hanya Gondola atau Endcap",IF(M183="","CEK SHELVING KE kosong",IF(ISNA(MATCH(L183&amp;"|"&amp;M183,LAYOUT!$E$2:$E$80,0)),"CEK SHELVING KE di luar layout",IF($I183="","CEK SERIES kosong",IF($D183="","Zona STOCK",IF($E183="","CEK SKU DESCRIPTION kosong",IF(COUNTIFS($I$2:$I$500,$I183,L$2:L$500,"&lt;&gt;"&amp;L183,L$2:L$500,"&lt;&gt;")&gt;0,"CEK jenis fixture beda dalam satu series","OK")))))))))</f>
        <v/>
      </c>
      <c r="P183" s="11" t="n"/>
      <c r="Q183" s="11" t="n"/>
      <c r="R183" s="11">
        <f>IF(OR(P183="",Q183=""),"",IFERROR(INDEX(LAYOUT!$D$2:$D$80,MATCH(P183&amp;"|"&amp;Q183,LAYOUT!$E$2:$E$80,0)),""))</f>
        <v/>
      </c>
      <c r="S183" s="12">
        <f>IF(AND(P183="",Q183=""),IF(AND(L183="",M183="",T183="",U183=""),IF(OR($D183&lt;&gt;"",$E183&lt;&gt;""),"Belum ditempatkan",""),""),IF(P183="","CEK JENIS FIXTURE kosong",IF(LEFT(P183,4)&lt;&gt;"Wall","CEK Fixture 2 hanya Wall",IF(Q183="","CEK SHELVING KE kosong",IF(ISNA(MATCH(P183&amp;"|"&amp;Q183,LAYOUT!$E$2:$E$80,0)),"CEK SHELVING KE di luar layout",IF($I183="","CEK SERIES kosong",IF($D183="","Zona STOCK",IF($E183="","CEK SKU DESCRIPTION kosong",IF(COUNTIFS($I$2:$I$500,$I183,P$2:P$500,"&lt;&gt;"&amp;P183,P$2:P$500,"&lt;&gt;")&gt;0,"CEK jenis fixture beda dalam satu series","OK")))))))))</f>
        <v/>
      </c>
      <c r="T183" s="11" t="n"/>
      <c r="U183" s="11" t="n"/>
      <c r="V183" s="11">
        <f>IF(OR(T183="",U183=""),"",IFERROR(INDEX(LAYOUT!$D$2:$D$80,MATCH(T183&amp;"|"&amp;U183,LAYOUT!$E$2:$E$80,0)),""))</f>
        <v/>
      </c>
      <c r="W183" s="12">
        <f>IF(AND(T183="",U183=""),IF(AND(L183="",M183="",P183="",Q183=""),IF(OR($D183&lt;&gt;"",$E183&lt;&gt;""),"Belum ditempatkan",""),""),IF(T183="","CEK JENIS FIXTURE kosong",IF(LEFT(T183,4)&lt;&gt;"Wall","CEK Fixture 3 hanya Wall",IF(U183="","CEK SHELVING KE kosong",IF(ISNA(MATCH(T183&amp;"|"&amp;U183,LAYOUT!$E$2:$E$80,0)),"CEK SHELVING KE di luar layout",IF($I183="","CEK SERIES kosong",IF($D183="","Zona STOCK",IF($E183="","CEK SKU DESCRIPTION kosong",IF(COUNTIFS($I$2:$I$500,$I183,T$2:T$500,"&lt;&gt;"&amp;T183,T$2:T$500,"&lt;&gt;")&gt;0,"CEK jenis fixture beda dalam satu series","OK")))))))))</f>
        <v/>
      </c>
      <c r="X183" s="11" t="n"/>
      <c r="Y183" s="11" t="n"/>
      <c r="Z183" s="12" t="n"/>
      <c r="AA183" s="12" t="n"/>
      <c r="AB183" s="11" t="n"/>
      <c r="AC183" s="11" t="n"/>
      <c r="AD183" s="11" t="n"/>
      <c r="AE183" s="11" t="n"/>
      <c r="AF183" s="11" t="n"/>
      <c r="AG183" s="11" t="n"/>
      <c r="AH183" s="12" t="n"/>
      <c r="AI183" s="12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>
        <f>IF(OR(L184="",M184=""),"",IFERROR(INDEX(LAYOUT!$D$2:$D$80,MATCH(L184&amp;"|"&amp;M184,LAYOUT!$E$2:$E$80,0)),""))</f>
        <v/>
      </c>
      <c r="O184" s="12">
        <f>IF(AND(L184="",M184=""),IF(AND(P184="",Q184="",T184="",U184=""),IF(OR($D184&lt;&gt;"",$E184&lt;&gt;""),"Belum ditempatkan",""),""),IF(L184="","CEK JENIS FIXTURE kosong",IF(AND(LEFT(L184,7)&lt;&gt;"Gondola",LEFT(L184,6)&lt;&gt;"Endcap"),"CEK Fixture 1 hanya Gondola atau Endcap",IF(M184="","CEK SHELVING KE kosong",IF(ISNA(MATCH(L184&amp;"|"&amp;M184,LAYOUT!$E$2:$E$80,0)),"CEK SHELVING KE di luar layout",IF($I184="","CEK SERIES kosong",IF($D184="","Zona STOCK",IF($E184="","CEK SKU DESCRIPTION kosong",IF(COUNTIFS($I$2:$I$500,$I184,L$2:L$500,"&lt;&gt;"&amp;L184,L$2:L$500,"&lt;&gt;")&gt;0,"CEK jenis fixture beda dalam satu series","OK")))))))))</f>
        <v/>
      </c>
      <c r="P184" s="11" t="n"/>
      <c r="Q184" s="11" t="n"/>
      <c r="R184" s="11">
        <f>IF(OR(P184="",Q184=""),"",IFERROR(INDEX(LAYOUT!$D$2:$D$80,MATCH(P184&amp;"|"&amp;Q184,LAYOUT!$E$2:$E$80,0)),""))</f>
        <v/>
      </c>
      <c r="S184" s="12">
        <f>IF(AND(P184="",Q184=""),IF(AND(L184="",M184="",T184="",U184=""),IF(OR($D184&lt;&gt;"",$E184&lt;&gt;""),"Belum ditempatkan",""),""),IF(P184="","CEK JENIS FIXTURE kosong",IF(LEFT(P184,4)&lt;&gt;"Wall","CEK Fixture 2 hanya Wall",IF(Q184="","CEK SHELVING KE kosong",IF(ISNA(MATCH(P184&amp;"|"&amp;Q184,LAYOUT!$E$2:$E$80,0)),"CEK SHELVING KE di luar layout",IF($I184="","CEK SERIES kosong",IF($D184="","Zona STOCK",IF($E184="","CEK SKU DESCRIPTION kosong",IF(COUNTIFS($I$2:$I$500,$I184,P$2:P$500,"&lt;&gt;"&amp;P184,P$2:P$500,"&lt;&gt;")&gt;0,"CEK jenis fixture beda dalam satu series","OK")))))))))</f>
        <v/>
      </c>
      <c r="T184" s="11" t="n"/>
      <c r="U184" s="11" t="n"/>
      <c r="V184" s="11">
        <f>IF(OR(T184="",U184=""),"",IFERROR(INDEX(LAYOUT!$D$2:$D$80,MATCH(T184&amp;"|"&amp;U184,LAYOUT!$E$2:$E$80,0)),""))</f>
        <v/>
      </c>
      <c r="W184" s="12">
        <f>IF(AND(T184="",U184=""),IF(AND(L184="",M184="",P184="",Q184=""),IF(OR($D184&lt;&gt;"",$E184&lt;&gt;""),"Belum ditempatkan",""),""),IF(T184="","CEK JENIS FIXTURE kosong",IF(LEFT(T184,4)&lt;&gt;"Wall","CEK Fixture 3 hanya Wall",IF(U184="","CEK SHELVING KE kosong",IF(ISNA(MATCH(T184&amp;"|"&amp;U184,LAYOUT!$E$2:$E$80,0)),"CEK SHELVING KE di luar layout",IF($I184="","CEK SERIES kosong",IF($D184="","Zona STOCK",IF($E184="","CEK SKU DESCRIPTION kosong",IF(COUNTIFS($I$2:$I$500,$I184,T$2:T$500,"&lt;&gt;"&amp;T184,T$2:T$500,"&lt;&gt;")&gt;0,"CEK jenis fixture beda dalam satu series","OK")))))))))</f>
        <v/>
      </c>
      <c r="X184" s="11" t="n"/>
      <c r="Y184" s="11" t="n"/>
      <c r="Z184" s="12" t="n"/>
      <c r="AA184" s="12" t="n"/>
      <c r="AB184" s="11" t="n"/>
      <c r="AC184" s="11" t="n"/>
      <c r="AD184" s="11" t="n"/>
      <c r="AE184" s="11" t="n"/>
      <c r="AF184" s="11" t="n"/>
      <c r="AG184" s="11" t="n"/>
      <c r="AH184" s="12" t="n"/>
      <c r="AI184" s="12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>
        <f>IF(OR(L185="",M185=""),"",IFERROR(INDEX(LAYOUT!$D$2:$D$80,MATCH(L185&amp;"|"&amp;M185,LAYOUT!$E$2:$E$80,0)),""))</f>
        <v/>
      </c>
      <c r="O185" s="12">
        <f>IF(AND(L185="",M185=""),IF(AND(P185="",Q185="",T185="",U185=""),IF(OR($D185&lt;&gt;"",$E185&lt;&gt;""),"Belum ditempatkan",""),""),IF(L185="","CEK JENIS FIXTURE kosong",IF(AND(LEFT(L185,7)&lt;&gt;"Gondola",LEFT(L185,6)&lt;&gt;"Endcap"),"CEK Fixture 1 hanya Gondola atau Endcap",IF(M185="","CEK SHELVING KE kosong",IF(ISNA(MATCH(L185&amp;"|"&amp;M185,LAYOUT!$E$2:$E$80,0)),"CEK SHELVING KE di luar layout",IF($I185="","CEK SERIES kosong",IF($D185="","Zona STOCK",IF($E185="","CEK SKU DESCRIPTION kosong",IF(COUNTIFS($I$2:$I$500,$I185,L$2:L$500,"&lt;&gt;"&amp;L185,L$2:L$500,"&lt;&gt;")&gt;0,"CEK jenis fixture beda dalam satu series","OK")))))))))</f>
        <v/>
      </c>
      <c r="P185" s="11" t="n"/>
      <c r="Q185" s="11" t="n"/>
      <c r="R185" s="11">
        <f>IF(OR(P185="",Q185=""),"",IFERROR(INDEX(LAYOUT!$D$2:$D$80,MATCH(P185&amp;"|"&amp;Q185,LAYOUT!$E$2:$E$80,0)),""))</f>
        <v/>
      </c>
      <c r="S185" s="12">
        <f>IF(AND(P185="",Q185=""),IF(AND(L185="",M185="",T185="",U185=""),IF(OR($D185&lt;&gt;"",$E185&lt;&gt;""),"Belum ditempatkan",""),""),IF(P185="","CEK JENIS FIXTURE kosong",IF(LEFT(P185,4)&lt;&gt;"Wall","CEK Fixture 2 hanya Wall",IF(Q185="","CEK SHELVING KE kosong",IF(ISNA(MATCH(P185&amp;"|"&amp;Q185,LAYOUT!$E$2:$E$80,0)),"CEK SHELVING KE di luar layout",IF($I185="","CEK SERIES kosong",IF($D185="","Zona STOCK",IF($E185="","CEK SKU DESCRIPTION kosong",IF(COUNTIFS($I$2:$I$500,$I185,P$2:P$500,"&lt;&gt;"&amp;P185,P$2:P$500,"&lt;&gt;")&gt;0,"CEK jenis fixture beda dalam satu series","OK")))))))))</f>
        <v/>
      </c>
      <c r="T185" s="11" t="n"/>
      <c r="U185" s="11" t="n"/>
      <c r="V185" s="11">
        <f>IF(OR(T185="",U185=""),"",IFERROR(INDEX(LAYOUT!$D$2:$D$80,MATCH(T185&amp;"|"&amp;U185,LAYOUT!$E$2:$E$80,0)),""))</f>
        <v/>
      </c>
      <c r="W185" s="12">
        <f>IF(AND(T185="",U185=""),IF(AND(L185="",M185="",P185="",Q185=""),IF(OR($D185&lt;&gt;"",$E185&lt;&gt;""),"Belum ditempatkan",""),""),IF(T185="","CEK JENIS FIXTURE kosong",IF(LEFT(T185,4)&lt;&gt;"Wall","CEK Fixture 3 hanya Wall",IF(U185="","CEK SHELVING KE kosong",IF(ISNA(MATCH(T185&amp;"|"&amp;U185,LAYOUT!$E$2:$E$80,0)),"CEK SHELVING KE di luar layout",IF($I185="","CEK SERIES kosong",IF($D185="","Zona STOCK",IF($E185="","CEK SKU DESCRIPTION kosong",IF(COUNTIFS($I$2:$I$500,$I185,T$2:T$500,"&lt;&gt;"&amp;T185,T$2:T$500,"&lt;&gt;")&gt;0,"CEK jenis fixture beda dalam satu series","OK")))))))))</f>
        <v/>
      </c>
      <c r="X185" s="11" t="n"/>
      <c r="Y185" s="11" t="n"/>
      <c r="Z185" s="12" t="n"/>
      <c r="AA185" s="12" t="n"/>
      <c r="AB185" s="11" t="n"/>
      <c r="AC185" s="11" t="n"/>
      <c r="AD185" s="11" t="n"/>
      <c r="AE185" s="11" t="n"/>
      <c r="AF185" s="11" t="n"/>
      <c r="AG185" s="11" t="n"/>
      <c r="AH185" s="12" t="n"/>
      <c r="AI185" s="12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>
        <f>IF(OR(L186="",M186=""),"",IFERROR(INDEX(LAYOUT!$D$2:$D$80,MATCH(L186&amp;"|"&amp;M186,LAYOUT!$E$2:$E$80,0)),""))</f>
        <v/>
      </c>
      <c r="O186" s="12">
        <f>IF(AND(L186="",M186=""),IF(AND(P186="",Q186="",T186="",U186=""),IF(OR($D186&lt;&gt;"",$E186&lt;&gt;""),"Belum ditempatkan",""),""),IF(L186="","CEK JENIS FIXTURE kosong",IF(AND(LEFT(L186,7)&lt;&gt;"Gondola",LEFT(L186,6)&lt;&gt;"Endcap"),"CEK Fixture 1 hanya Gondola atau Endcap",IF(M186="","CEK SHELVING KE kosong",IF(ISNA(MATCH(L186&amp;"|"&amp;M186,LAYOUT!$E$2:$E$80,0)),"CEK SHELVING KE di luar layout",IF($I186="","CEK SERIES kosong",IF($D186="","Zona STOCK",IF($E186="","CEK SKU DESCRIPTION kosong",IF(COUNTIFS($I$2:$I$500,$I186,L$2:L$500,"&lt;&gt;"&amp;L186,L$2:L$500,"&lt;&gt;")&gt;0,"CEK jenis fixture beda dalam satu series","OK")))))))))</f>
        <v/>
      </c>
      <c r="P186" s="11" t="n"/>
      <c r="Q186" s="11" t="n"/>
      <c r="R186" s="11">
        <f>IF(OR(P186="",Q186=""),"",IFERROR(INDEX(LAYOUT!$D$2:$D$80,MATCH(P186&amp;"|"&amp;Q186,LAYOUT!$E$2:$E$80,0)),""))</f>
        <v/>
      </c>
      <c r="S186" s="12">
        <f>IF(AND(P186="",Q186=""),IF(AND(L186="",M186="",T186="",U186=""),IF(OR($D186&lt;&gt;"",$E186&lt;&gt;""),"Belum ditempatkan",""),""),IF(P186="","CEK JENIS FIXTURE kosong",IF(LEFT(P186,4)&lt;&gt;"Wall","CEK Fixture 2 hanya Wall",IF(Q186="","CEK SHELVING KE kosong",IF(ISNA(MATCH(P186&amp;"|"&amp;Q186,LAYOUT!$E$2:$E$80,0)),"CEK SHELVING KE di luar layout",IF($I186="","CEK SERIES kosong",IF($D186="","Zona STOCK",IF($E186="","CEK SKU DESCRIPTION kosong",IF(COUNTIFS($I$2:$I$500,$I186,P$2:P$500,"&lt;&gt;"&amp;P186,P$2:P$500,"&lt;&gt;")&gt;0,"CEK jenis fixture beda dalam satu series","OK")))))))))</f>
        <v/>
      </c>
      <c r="T186" s="11" t="n"/>
      <c r="U186" s="11" t="n"/>
      <c r="V186" s="11">
        <f>IF(OR(T186="",U186=""),"",IFERROR(INDEX(LAYOUT!$D$2:$D$80,MATCH(T186&amp;"|"&amp;U186,LAYOUT!$E$2:$E$80,0)),""))</f>
        <v/>
      </c>
      <c r="W186" s="12">
        <f>IF(AND(T186="",U186=""),IF(AND(L186="",M186="",P186="",Q186=""),IF(OR($D186&lt;&gt;"",$E186&lt;&gt;""),"Belum ditempatkan",""),""),IF(T186="","CEK JENIS FIXTURE kosong",IF(LEFT(T186,4)&lt;&gt;"Wall","CEK Fixture 3 hanya Wall",IF(U186="","CEK SHELVING KE kosong",IF(ISNA(MATCH(T186&amp;"|"&amp;U186,LAYOUT!$E$2:$E$80,0)),"CEK SHELVING KE di luar layout",IF($I186="","CEK SERIES kosong",IF($D186="","Zona STOCK",IF($E186="","CEK SKU DESCRIPTION kosong",IF(COUNTIFS($I$2:$I$500,$I186,T$2:T$500,"&lt;&gt;"&amp;T186,T$2:T$500,"&lt;&gt;")&gt;0,"CEK jenis fixture beda dalam satu series","OK")))))))))</f>
        <v/>
      </c>
      <c r="X186" s="11" t="n"/>
      <c r="Y186" s="11" t="n"/>
      <c r="Z186" s="12" t="n"/>
      <c r="AA186" s="12" t="n"/>
      <c r="AB186" s="11" t="n"/>
      <c r="AC186" s="11" t="n"/>
      <c r="AD186" s="11" t="n"/>
      <c r="AE186" s="11" t="n"/>
      <c r="AF186" s="11" t="n"/>
      <c r="AG186" s="11" t="n"/>
      <c r="AH186" s="12" t="n"/>
      <c r="AI186" s="12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>
        <f>IF(OR(L187="",M187=""),"",IFERROR(INDEX(LAYOUT!$D$2:$D$80,MATCH(L187&amp;"|"&amp;M187,LAYOUT!$E$2:$E$80,0)),""))</f>
        <v/>
      </c>
      <c r="O187" s="12">
        <f>IF(AND(L187="",M187=""),IF(AND(P187="",Q187="",T187="",U187=""),IF(OR($D187&lt;&gt;"",$E187&lt;&gt;""),"Belum ditempatkan",""),""),IF(L187="","CEK JENIS FIXTURE kosong",IF(AND(LEFT(L187,7)&lt;&gt;"Gondola",LEFT(L187,6)&lt;&gt;"Endcap"),"CEK Fixture 1 hanya Gondola atau Endcap",IF(M187="","CEK SHELVING KE kosong",IF(ISNA(MATCH(L187&amp;"|"&amp;M187,LAYOUT!$E$2:$E$80,0)),"CEK SHELVING KE di luar layout",IF($I187="","CEK SERIES kosong",IF($D187="","Zona STOCK",IF($E187="","CEK SKU DESCRIPTION kosong",IF(COUNTIFS($I$2:$I$500,$I187,L$2:L$500,"&lt;&gt;"&amp;L187,L$2:L$500,"&lt;&gt;")&gt;0,"CEK jenis fixture beda dalam satu series","OK")))))))))</f>
        <v/>
      </c>
      <c r="P187" s="11" t="n"/>
      <c r="Q187" s="11" t="n"/>
      <c r="R187" s="11">
        <f>IF(OR(P187="",Q187=""),"",IFERROR(INDEX(LAYOUT!$D$2:$D$80,MATCH(P187&amp;"|"&amp;Q187,LAYOUT!$E$2:$E$80,0)),""))</f>
        <v/>
      </c>
      <c r="S187" s="12">
        <f>IF(AND(P187="",Q187=""),IF(AND(L187="",M187="",T187="",U187=""),IF(OR($D187&lt;&gt;"",$E187&lt;&gt;""),"Belum ditempatkan",""),""),IF(P187="","CEK JENIS FIXTURE kosong",IF(LEFT(P187,4)&lt;&gt;"Wall","CEK Fixture 2 hanya Wall",IF(Q187="","CEK SHELVING KE kosong",IF(ISNA(MATCH(P187&amp;"|"&amp;Q187,LAYOUT!$E$2:$E$80,0)),"CEK SHELVING KE di luar layout",IF($I187="","CEK SERIES kosong",IF($D187="","Zona STOCK",IF($E187="","CEK SKU DESCRIPTION kosong",IF(COUNTIFS($I$2:$I$500,$I187,P$2:P$500,"&lt;&gt;"&amp;P187,P$2:P$500,"&lt;&gt;")&gt;0,"CEK jenis fixture beda dalam satu series","OK")))))))))</f>
        <v/>
      </c>
      <c r="T187" s="11" t="n"/>
      <c r="U187" s="11" t="n"/>
      <c r="V187" s="11">
        <f>IF(OR(T187="",U187=""),"",IFERROR(INDEX(LAYOUT!$D$2:$D$80,MATCH(T187&amp;"|"&amp;U187,LAYOUT!$E$2:$E$80,0)),""))</f>
        <v/>
      </c>
      <c r="W187" s="12">
        <f>IF(AND(T187="",U187=""),IF(AND(L187="",M187="",P187="",Q187=""),IF(OR($D187&lt;&gt;"",$E187&lt;&gt;""),"Belum ditempatkan",""),""),IF(T187="","CEK JENIS FIXTURE kosong",IF(LEFT(T187,4)&lt;&gt;"Wall","CEK Fixture 3 hanya Wall",IF(U187="","CEK SHELVING KE kosong",IF(ISNA(MATCH(T187&amp;"|"&amp;U187,LAYOUT!$E$2:$E$80,0)),"CEK SHELVING KE di luar layout",IF($I187="","CEK SERIES kosong",IF($D187="","Zona STOCK",IF($E187="","CEK SKU DESCRIPTION kosong",IF(COUNTIFS($I$2:$I$500,$I187,T$2:T$500,"&lt;&gt;"&amp;T187,T$2:T$500,"&lt;&gt;")&gt;0,"CEK jenis fixture beda dalam satu series","OK")))))))))</f>
        <v/>
      </c>
      <c r="X187" s="11" t="n"/>
      <c r="Y187" s="11" t="n"/>
      <c r="Z187" s="12" t="n"/>
      <c r="AA187" s="12" t="n"/>
      <c r="AB187" s="11" t="n"/>
      <c r="AC187" s="11" t="n"/>
      <c r="AD187" s="11" t="n"/>
      <c r="AE187" s="11" t="n"/>
      <c r="AF187" s="11" t="n"/>
      <c r="AG187" s="11" t="n"/>
      <c r="AH187" s="12" t="n"/>
      <c r="AI187" s="12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>
        <f>IF(OR(L188="",M188=""),"",IFERROR(INDEX(LAYOUT!$D$2:$D$80,MATCH(L188&amp;"|"&amp;M188,LAYOUT!$E$2:$E$80,0)),""))</f>
        <v/>
      </c>
      <c r="O188" s="12">
        <f>IF(AND(L188="",M188=""),IF(AND(P188="",Q188="",T188="",U188=""),IF(OR($D188&lt;&gt;"",$E188&lt;&gt;""),"Belum ditempatkan",""),""),IF(L188="","CEK JENIS FIXTURE kosong",IF(AND(LEFT(L188,7)&lt;&gt;"Gondola",LEFT(L188,6)&lt;&gt;"Endcap"),"CEK Fixture 1 hanya Gondola atau Endcap",IF(M188="","CEK SHELVING KE kosong",IF(ISNA(MATCH(L188&amp;"|"&amp;M188,LAYOUT!$E$2:$E$80,0)),"CEK SHELVING KE di luar layout",IF($I188="","CEK SERIES kosong",IF($D188="","Zona STOCK",IF($E188="","CEK SKU DESCRIPTION kosong",IF(COUNTIFS($I$2:$I$500,$I188,L$2:L$500,"&lt;&gt;"&amp;L188,L$2:L$500,"&lt;&gt;")&gt;0,"CEK jenis fixture beda dalam satu series","OK")))))))))</f>
        <v/>
      </c>
      <c r="P188" s="11" t="n"/>
      <c r="Q188" s="11" t="n"/>
      <c r="R188" s="11">
        <f>IF(OR(P188="",Q188=""),"",IFERROR(INDEX(LAYOUT!$D$2:$D$80,MATCH(P188&amp;"|"&amp;Q188,LAYOUT!$E$2:$E$80,0)),""))</f>
        <v/>
      </c>
      <c r="S188" s="12">
        <f>IF(AND(P188="",Q188=""),IF(AND(L188="",M188="",T188="",U188=""),IF(OR($D188&lt;&gt;"",$E188&lt;&gt;""),"Belum ditempatkan",""),""),IF(P188="","CEK JENIS FIXTURE kosong",IF(LEFT(P188,4)&lt;&gt;"Wall","CEK Fixture 2 hanya Wall",IF(Q188="","CEK SHELVING KE kosong",IF(ISNA(MATCH(P188&amp;"|"&amp;Q188,LAYOUT!$E$2:$E$80,0)),"CEK SHELVING KE di luar layout",IF($I188="","CEK SERIES kosong",IF($D188="","Zona STOCK",IF($E188="","CEK SKU DESCRIPTION kosong",IF(COUNTIFS($I$2:$I$500,$I188,P$2:P$500,"&lt;&gt;"&amp;P188,P$2:P$500,"&lt;&gt;")&gt;0,"CEK jenis fixture beda dalam satu series","OK")))))))))</f>
        <v/>
      </c>
      <c r="T188" s="11" t="n"/>
      <c r="U188" s="11" t="n"/>
      <c r="V188" s="11">
        <f>IF(OR(T188="",U188=""),"",IFERROR(INDEX(LAYOUT!$D$2:$D$80,MATCH(T188&amp;"|"&amp;U188,LAYOUT!$E$2:$E$80,0)),""))</f>
        <v/>
      </c>
      <c r="W188" s="12">
        <f>IF(AND(T188="",U188=""),IF(AND(L188="",M188="",P188="",Q188=""),IF(OR($D188&lt;&gt;"",$E188&lt;&gt;""),"Belum ditempatkan",""),""),IF(T188="","CEK JENIS FIXTURE kosong",IF(LEFT(T188,4)&lt;&gt;"Wall","CEK Fixture 3 hanya Wall",IF(U188="","CEK SHELVING KE kosong",IF(ISNA(MATCH(T188&amp;"|"&amp;U188,LAYOUT!$E$2:$E$80,0)),"CEK SHELVING KE di luar layout",IF($I188="","CEK SERIES kosong",IF($D188="","Zona STOCK",IF($E188="","CEK SKU DESCRIPTION kosong",IF(COUNTIFS($I$2:$I$500,$I188,T$2:T$500,"&lt;&gt;"&amp;T188,T$2:T$500,"&lt;&gt;")&gt;0,"CEK jenis fixture beda dalam satu series","OK")))))))))</f>
        <v/>
      </c>
      <c r="X188" s="11" t="n"/>
      <c r="Y188" s="11" t="n"/>
      <c r="Z188" s="12" t="n"/>
      <c r="AA188" s="12" t="n"/>
      <c r="AB188" s="11" t="n"/>
      <c r="AC188" s="11" t="n"/>
      <c r="AD188" s="11" t="n"/>
      <c r="AE188" s="11" t="n"/>
      <c r="AF188" s="11" t="n"/>
      <c r="AG188" s="11" t="n"/>
      <c r="AH188" s="12" t="n"/>
      <c r="AI188" s="12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>
        <f>IF(OR(L189="",M189=""),"",IFERROR(INDEX(LAYOUT!$D$2:$D$80,MATCH(L189&amp;"|"&amp;M189,LAYOUT!$E$2:$E$80,0)),""))</f>
        <v/>
      </c>
      <c r="O189" s="12">
        <f>IF(AND(L189="",M189=""),IF(AND(P189="",Q189="",T189="",U189=""),IF(OR($D189&lt;&gt;"",$E189&lt;&gt;""),"Belum ditempatkan",""),""),IF(L189="","CEK JENIS FIXTURE kosong",IF(AND(LEFT(L189,7)&lt;&gt;"Gondola",LEFT(L189,6)&lt;&gt;"Endcap"),"CEK Fixture 1 hanya Gondola atau Endcap",IF(M189="","CEK SHELVING KE kosong",IF(ISNA(MATCH(L189&amp;"|"&amp;M189,LAYOUT!$E$2:$E$80,0)),"CEK SHELVING KE di luar layout",IF($I189="","CEK SERIES kosong",IF($D189="","Zona STOCK",IF($E189="","CEK SKU DESCRIPTION kosong",IF(COUNTIFS($I$2:$I$500,$I189,L$2:L$500,"&lt;&gt;"&amp;L189,L$2:L$500,"&lt;&gt;")&gt;0,"CEK jenis fixture beda dalam satu series","OK")))))))))</f>
        <v/>
      </c>
      <c r="P189" s="11" t="n"/>
      <c r="Q189" s="11" t="n"/>
      <c r="R189" s="11">
        <f>IF(OR(P189="",Q189=""),"",IFERROR(INDEX(LAYOUT!$D$2:$D$80,MATCH(P189&amp;"|"&amp;Q189,LAYOUT!$E$2:$E$80,0)),""))</f>
        <v/>
      </c>
      <c r="S189" s="12">
        <f>IF(AND(P189="",Q189=""),IF(AND(L189="",M189="",T189="",U189=""),IF(OR($D189&lt;&gt;"",$E189&lt;&gt;""),"Belum ditempatkan",""),""),IF(P189="","CEK JENIS FIXTURE kosong",IF(LEFT(P189,4)&lt;&gt;"Wall","CEK Fixture 2 hanya Wall",IF(Q189="","CEK SHELVING KE kosong",IF(ISNA(MATCH(P189&amp;"|"&amp;Q189,LAYOUT!$E$2:$E$80,0)),"CEK SHELVING KE di luar layout",IF($I189="","CEK SERIES kosong",IF($D189="","Zona STOCK",IF($E189="","CEK SKU DESCRIPTION kosong",IF(COUNTIFS($I$2:$I$500,$I189,P$2:P$500,"&lt;&gt;"&amp;P189,P$2:P$500,"&lt;&gt;")&gt;0,"CEK jenis fixture beda dalam satu series","OK")))))))))</f>
        <v/>
      </c>
      <c r="T189" s="11" t="n"/>
      <c r="U189" s="11" t="n"/>
      <c r="V189" s="11">
        <f>IF(OR(T189="",U189=""),"",IFERROR(INDEX(LAYOUT!$D$2:$D$80,MATCH(T189&amp;"|"&amp;U189,LAYOUT!$E$2:$E$80,0)),""))</f>
        <v/>
      </c>
      <c r="W189" s="12">
        <f>IF(AND(T189="",U189=""),IF(AND(L189="",M189="",P189="",Q189=""),IF(OR($D189&lt;&gt;"",$E189&lt;&gt;""),"Belum ditempatkan",""),""),IF(T189="","CEK JENIS FIXTURE kosong",IF(LEFT(T189,4)&lt;&gt;"Wall","CEK Fixture 3 hanya Wall",IF(U189="","CEK SHELVING KE kosong",IF(ISNA(MATCH(T189&amp;"|"&amp;U189,LAYOUT!$E$2:$E$80,0)),"CEK SHELVING KE di luar layout",IF($I189="","CEK SERIES kosong",IF($D189="","Zona STOCK",IF($E189="","CEK SKU DESCRIPTION kosong",IF(COUNTIFS($I$2:$I$500,$I189,T$2:T$500,"&lt;&gt;"&amp;T189,T$2:T$500,"&lt;&gt;")&gt;0,"CEK jenis fixture beda dalam satu series","OK")))))))))</f>
        <v/>
      </c>
      <c r="X189" s="11" t="n"/>
      <c r="Y189" s="11" t="n"/>
      <c r="Z189" s="12" t="n"/>
      <c r="AA189" s="12" t="n"/>
      <c r="AB189" s="11" t="n"/>
      <c r="AC189" s="11" t="n"/>
      <c r="AD189" s="11" t="n"/>
      <c r="AE189" s="11" t="n"/>
      <c r="AF189" s="11" t="n"/>
      <c r="AG189" s="11" t="n"/>
      <c r="AH189" s="12" t="n"/>
      <c r="AI189" s="12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>
        <f>IF(OR(L190="",M190=""),"",IFERROR(INDEX(LAYOUT!$D$2:$D$80,MATCH(L190&amp;"|"&amp;M190,LAYOUT!$E$2:$E$80,0)),""))</f>
        <v/>
      </c>
      <c r="O190" s="12">
        <f>IF(AND(L190="",M190=""),IF(AND(P190="",Q190="",T190="",U190=""),IF(OR($D190&lt;&gt;"",$E190&lt;&gt;""),"Belum ditempatkan",""),""),IF(L190="","CEK JENIS FIXTURE kosong",IF(AND(LEFT(L190,7)&lt;&gt;"Gondola",LEFT(L190,6)&lt;&gt;"Endcap"),"CEK Fixture 1 hanya Gondola atau Endcap",IF(M190="","CEK SHELVING KE kosong",IF(ISNA(MATCH(L190&amp;"|"&amp;M190,LAYOUT!$E$2:$E$80,0)),"CEK SHELVING KE di luar layout",IF($I190="","CEK SERIES kosong",IF($D190="","Zona STOCK",IF($E190="","CEK SKU DESCRIPTION kosong",IF(COUNTIFS($I$2:$I$500,$I190,L$2:L$500,"&lt;&gt;"&amp;L190,L$2:L$500,"&lt;&gt;")&gt;0,"CEK jenis fixture beda dalam satu series","OK")))))))))</f>
        <v/>
      </c>
      <c r="P190" s="11" t="n"/>
      <c r="Q190" s="11" t="n"/>
      <c r="R190" s="11">
        <f>IF(OR(P190="",Q190=""),"",IFERROR(INDEX(LAYOUT!$D$2:$D$80,MATCH(P190&amp;"|"&amp;Q190,LAYOUT!$E$2:$E$80,0)),""))</f>
        <v/>
      </c>
      <c r="S190" s="12">
        <f>IF(AND(P190="",Q190=""),IF(AND(L190="",M190="",T190="",U190=""),IF(OR($D190&lt;&gt;"",$E190&lt;&gt;""),"Belum ditempatkan",""),""),IF(P190="","CEK JENIS FIXTURE kosong",IF(LEFT(P190,4)&lt;&gt;"Wall","CEK Fixture 2 hanya Wall",IF(Q190="","CEK SHELVING KE kosong",IF(ISNA(MATCH(P190&amp;"|"&amp;Q190,LAYOUT!$E$2:$E$80,0)),"CEK SHELVING KE di luar layout",IF($I190="","CEK SERIES kosong",IF($D190="","Zona STOCK",IF($E190="","CEK SKU DESCRIPTION kosong",IF(COUNTIFS($I$2:$I$500,$I190,P$2:P$500,"&lt;&gt;"&amp;P190,P$2:P$500,"&lt;&gt;")&gt;0,"CEK jenis fixture beda dalam satu series","OK")))))))))</f>
        <v/>
      </c>
      <c r="T190" s="11" t="n"/>
      <c r="U190" s="11" t="n"/>
      <c r="V190" s="11">
        <f>IF(OR(T190="",U190=""),"",IFERROR(INDEX(LAYOUT!$D$2:$D$80,MATCH(T190&amp;"|"&amp;U190,LAYOUT!$E$2:$E$80,0)),""))</f>
        <v/>
      </c>
      <c r="W190" s="12">
        <f>IF(AND(T190="",U190=""),IF(AND(L190="",M190="",P190="",Q190=""),IF(OR($D190&lt;&gt;"",$E190&lt;&gt;""),"Belum ditempatkan",""),""),IF(T190="","CEK JENIS FIXTURE kosong",IF(LEFT(T190,4)&lt;&gt;"Wall","CEK Fixture 3 hanya Wall",IF(U190="","CEK SHELVING KE kosong",IF(ISNA(MATCH(T190&amp;"|"&amp;U190,LAYOUT!$E$2:$E$80,0)),"CEK SHELVING KE di luar layout",IF($I190="","CEK SERIES kosong",IF($D190="","Zona STOCK",IF($E190="","CEK SKU DESCRIPTION kosong",IF(COUNTIFS($I$2:$I$500,$I190,T$2:T$500,"&lt;&gt;"&amp;T190,T$2:T$500,"&lt;&gt;")&gt;0,"CEK jenis fixture beda dalam satu series","OK")))))))))</f>
        <v/>
      </c>
      <c r="X190" s="11" t="n"/>
      <c r="Y190" s="11" t="n"/>
      <c r="Z190" s="12" t="n"/>
      <c r="AA190" s="12" t="n"/>
      <c r="AB190" s="11" t="n"/>
      <c r="AC190" s="11" t="n"/>
      <c r="AD190" s="11" t="n"/>
      <c r="AE190" s="11" t="n"/>
      <c r="AF190" s="11" t="n"/>
      <c r="AG190" s="11" t="n"/>
      <c r="AH190" s="12" t="n"/>
      <c r="AI190" s="12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>
        <f>IF(OR(L191="",M191=""),"",IFERROR(INDEX(LAYOUT!$D$2:$D$80,MATCH(L191&amp;"|"&amp;M191,LAYOUT!$E$2:$E$80,0)),""))</f>
        <v/>
      </c>
      <c r="O191" s="12">
        <f>IF(AND(L191="",M191=""),IF(AND(P191="",Q191="",T191="",U191=""),IF(OR($D191&lt;&gt;"",$E191&lt;&gt;""),"Belum ditempatkan",""),""),IF(L191="","CEK JENIS FIXTURE kosong",IF(AND(LEFT(L191,7)&lt;&gt;"Gondola",LEFT(L191,6)&lt;&gt;"Endcap"),"CEK Fixture 1 hanya Gondola atau Endcap",IF(M191="","CEK SHELVING KE kosong",IF(ISNA(MATCH(L191&amp;"|"&amp;M191,LAYOUT!$E$2:$E$80,0)),"CEK SHELVING KE di luar layout",IF($I191="","CEK SERIES kosong",IF($D191="","Zona STOCK",IF($E191="","CEK SKU DESCRIPTION kosong",IF(COUNTIFS($I$2:$I$500,$I191,L$2:L$500,"&lt;&gt;"&amp;L191,L$2:L$500,"&lt;&gt;")&gt;0,"CEK jenis fixture beda dalam satu series","OK")))))))))</f>
        <v/>
      </c>
      <c r="P191" s="11" t="n"/>
      <c r="Q191" s="11" t="n"/>
      <c r="R191" s="11">
        <f>IF(OR(P191="",Q191=""),"",IFERROR(INDEX(LAYOUT!$D$2:$D$80,MATCH(P191&amp;"|"&amp;Q191,LAYOUT!$E$2:$E$80,0)),""))</f>
        <v/>
      </c>
      <c r="S191" s="12">
        <f>IF(AND(P191="",Q191=""),IF(AND(L191="",M191="",T191="",U191=""),IF(OR($D191&lt;&gt;"",$E191&lt;&gt;""),"Belum ditempatkan",""),""),IF(P191="","CEK JENIS FIXTURE kosong",IF(LEFT(P191,4)&lt;&gt;"Wall","CEK Fixture 2 hanya Wall",IF(Q191="","CEK SHELVING KE kosong",IF(ISNA(MATCH(P191&amp;"|"&amp;Q191,LAYOUT!$E$2:$E$80,0)),"CEK SHELVING KE di luar layout",IF($I191="","CEK SERIES kosong",IF($D191="","Zona STOCK",IF($E191="","CEK SKU DESCRIPTION kosong",IF(COUNTIFS($I$2:$I$500,$I191,P$2:P$500,"&lt;&gt;"&amp;P191,P$2:P$500,"&lt;&gt;")&gt;0,"CEK jenis fixture beda dalam satu series","OK")))))))))</f>
        <v/>
      </c>
      <c r="T191" s="11" t="n"/>
      <c r="U191" s="11" t="n"/>
      <c r="V191" s="11">
        <f>IF(OR(T191="",U191=""),"",IFERROR(INDEX(LAYOUT!$D$2:$D$80,MATCH(T191&amp;"|"&amp;U191,LAYOUT!$E$2:$E$80,0)),""))</f>
        <v/>
      </c>
      <c r="W191" s="12">
        <f>IF(AND(T191="",U191=""),IF(AND(L191="",M191="",P191="",Q191=""),IF(OR($D191&lt;&gt;"",$E191&lt;&gt;""),"Belum ditempatkan",""),""),IF(T191="","CEK JENIS FIXTURE kosong",IF(LEFT(T191,4)&lt;&gt;"Wall","CEK Fixture 3 hanya Wall",IF(U191="","CEK SHELVING KE kosong",IF(ISNA(MATCH(T191&amp;"|"&amp;U191,LAYOUT!$E$2:$E$80,0)),"CEK SHELVING KE di luar layout",IF($I191="","CEK SERIES kosong",IF($D191="","Zona STOCK",IF($E191="","CEK SKU DESCRIPTION kosong",IF(COUNTIFS($I$2:$I$500,$I191,T$2:T$500,"&lt;&gt;"&amp;T191,T$2:T$500,"&lt;&gt;")&gt;0,"CEK jenis fixture beda dalam satu series","OK")))))))))</f>
        <v/>
      </c>
      <c r="X191" s="11" t="n"/>
      <c r="Y191" s="11" t="n"/>
      <c r="Z191" s="12" t="n"/>
      <c r="AA191" s="12" t="n"/>
      <c r="AB191" s="11" t="n"/>
      <c r="AC191" s="11" t="n"/>
      <c r="AD191" s="11" t="n"/>
      <c r="AE191" s="11" t="n"/>
      <c r="AF191" s="11" t="n"/>
      <c r="AG191" s="11" t="n"/>
      <c r="AH191" s="12" t="n"/>
      <c r="AI191" s="12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>
        <f>IF(OR(L192="",M192=""),"",IFERROR(INDEX(LAYOUT!$D$2:$D$80,MATCH(L192&amp;"|"&amp;M192,LAYOUT!$E$2:$E$80,0)),""))</f>
        <v/>
      </c>
      <c r="O192" s="12">
        <f>IF(AND(L192="",M192=""),IF(AND(P192="",Q192="",T192="",U192=""),IF(OR($D192&lt;&gt;"",$E192&lt;&gt;""),"Belum ditempatkan",""),""),IF(L192="","CEK JENIS FIXTURE kosong",IF(AND(LEFT(L192,7)&lt;&gt;"Gondola",LEFT(L192,6)&lt;&gt;"Endcap"),"CEK Fixture 1 hanya Gondola atau Endcap",IF(M192="","CEK SHELVING KE kosong",IF(ISNA(MATCH(L192&amp;"|"&amp;M192,LAYOUT!$E$2:$E$80,0)),"CEK SHELVING KE di luar layout",IF($I192="","CEK SERIES kosong",IF($D192="","Zona STOCK",IF($E192="","CEK SKU DESCRIPTION kosong",IF(COUNTIFS($I$2:$I$500,$I192,L$2:L$500,"&lt;&gt;"&amp;L192,L$2:L$500,"&lt;&gt;")&gt;0,"CEK jenis fixture beda dalam satu series","OK")))))))))</f>
        <v/>
      </c>
      <c r="P192" s="11" t="n"/>
      <c r="Q192" s="11" t="n"/>
      <c r="R192" s="11">
        <f>IF(OR(P192="",Q192=""),"",IFERROR(INDEX(LAYOUT!$D$2:$D$80,MATCH(P192&amp;"|"&amp;Q192,LAYOUT!$E$2:$E$80,0)),""))</f>
        <v/>
      </c>
      <c r="S192" s="12">
        <f>IF(AND(P192="",Q192=""),IF(AND(L192="",M192="",T192="",U192=""),IF(OR($D192&lt;&gt;"",$E192&lt;&gt;""),"Belum ditempatkan",""),""),IF(P192="","CEK JENIS FIXTURE kosong",IF(LEFT(P192,4)&lt;&gt;"Wall","CEK Fixture 2 hanya Wall",IF(Q192="","CEK SHELVING KE kosong",IF(ISNA(MATCH(P192&amp;"|"&amp;Q192,LAYOUT!$E$2:$E$80,0)),"CEK SHELVING KE di luar layout",IF($I192="","CEK SERIES kosong",IF($D192="","Zona STOCK",IF($E192="","CEK SKU DESCRIPTION kosong",IF(COUNTIFS($I$2:$I$500,$I192,P$2:P$500,"&lt;&gt;"&amp;P192,P$2:P$500,"&lt;&gt;")&gt;0,"CEK jenis fixture beda dalam satu series","OK")))))))))</f>
        <v/>
      </c>
      <c r="T192" s="11" t="n"/>
      <c r="U192" s="11" t="n"/>
      <c r="V192" s="11">
        <f>IF(OR(T192="",U192=""),"",IFERROR(INDEX(LAYOUT!$D$2:$D$80,MATCH(T192&amp;"|"&amp;U192,LAYOUT!$E$2:$E$80,0)),""))</f>
        <v/>
      </c>
      <c r="W192" s="12">
        <f>IF(AND(T192="",U192=""),IF(AND(L192="",M192="",P192="",Q192=""),IF(OR($D192&lt;&gt;"",$E192&lt;&gt;""),"Belum ditempatkan",""),""),IF(T192="","CEK JENIS FIXTURE kosong",IF(LEFT(T192,4)&lt;&gt;"Wall","CEK Fixture 3 hanya Wall",IF(U192="","CEK SHELVING KE kosong",IF(ISNA(MATCH(T192&amp;"|"&amp;U192,LAYOUT!$E$2:$E$80,0)),"CEK SHELVING KE di luar layout",IF($I192="","CEK SERIES kosong",IF($D192="","Zona STOCK",IF($E192="","CEK SKU DESCRIPTION kosong",IF(COUNTIFS($I$2:$I$500,$I192,T$2:T$500,"&lt;&gt;"&amp;T192,T$2:T$500,"&lt;&gt;")&gt;0,"CEK jenis fixture beda dalam satu series","OK")))))))))</f>
        <v/>
      </c>
      <c r="X192" s="11" t="n"/>
      <c r="Y192" s="11" t="n"/>
      <c r="Z192" s="12" t="n"/>
      <c r="AA192" s="12" t="n"/>
      <c r="AB192" s="11" t="n"/>
      <c r="AC192" s="11" t="n"/>
      <c r="AD192" s="11" t="n"/>
      <c r="AE192" s="11" t="n"/>
      <c r="AF192" s="11" t="n"/>
      <c r="AG192" s="11" t="n"/>
      <c r="AH192" s="12" t="n"/>
      <c r="AI192" s="12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>
        <f>IF(OR(L193="",M193=""),"",IFERROR(INDEX(LAYOUT!$D$2:$D$80,MATCH(L193&amp;"|"&amp;M193,LAYOUT!$E$2:$E$80,0)),""))</f>
        <v/>
      </c>
      <c r="O193" s="12">
        <f>IF(AND(L193="",M193=""),IF(AND(P193="",Q193="",T193="",U193=""),IF(OR($D193&lt;&gt;"",$E193&lt;&gt;""),"Belum ditempatkan",""),""),IF(L193="","CEK JENIS FIXTURE kosong",IF(AND(LEFT(L193,7)&lt;&gt;"Gondola",LEFT(L193,6)&lt;&gt;"Endcap"),"CEK Fixture 1 hanya Gondola atau Endcap",IF(M193="","CEK SHELVING KE kosong",IF(ISNA(MATCH(L193&amp;"|"&amp;M193,LAYOUT!$E$2:$E$80,0)),"CEK SHELVING KE di luar layout",IF($I193="","CEK SERIES kosong",IF($D193="","Zona STOCK",IF($E193="","CEK SKU DESCRIPTION kosong",IF(COUNTIFS($I$2:$I$500,$I193,L$2:L$500,"&lt;&gt;"&amp;L193,L$2:L$500,"&lt;&gt;")&gt;0,"CEK jenis fixture beda dalam satu series","OK")))))))))</f>
        <v/>
      </c>
      <c r="P193" s="11" t="n"/>
      <c r="Q193" s="11" t="n"/>
      <c r="R193" s="11">
        <f>IF(OR(P193="",Q193=""),"",IFERROR(INDEX(LAYOUT!$D$2:$D$80,MATCH(P193&amp;"|"&amp;Q193,LAYOUT!$E$2:$E$80,0)),""))</f>
        <v/>
      </c>
      <c r="S193" s="12">
        <f>IF(AND(P193="",Q193=""),IF(AND(L193="",M193="",T193="",U193=""),IF(OR($D193&lt;&gt;"",$E193&lt;&gt;""),"Belum ditempatkan",""),""),IF(P193="","CEK JENIS FIXTURE kosong",IF(LEFT(P193,4)&lt;&gt;"Wall","CEK Fixture 2 hanya Wall",IF(Q193="","CEK SHELVING KE kosong",IF(ISNA(MATCH(P193&amp;"|"&amp;Q193,LAYOUT!$E$2:$E$80,0)),"CEK SHELVING KE di luar layout",IF($I193="","CEK SERIES kosong",IF($D193="","Zona STOCK",IF($E193="","CEK SKU DESCRIPTION kosong",IF(COUNTIFS($I$2:$I$500,$I193,P$2:P$500,"&lt;&gt;"&amp;P193,P$2:P$500,"&lt;&gt;")&gt;0,"CEK jenis fixture beda dalam satu series","OK")))))))))</f>
        <v/>
      </c>
      <c r="T193" s="11" t="n"/>
      <c r="U193" s="11" t="n"/>
      <c r="V193" s="11">
        <f>IF(OR(T193="",U193=""),"",IFERROR(INDEX(LAYOUT!$D$2:$D$80,MATCH(T193&amp;"|"&amp;U193,LAYOUT!$E$2:$E$80,0)),""))</f>
        <v/>
      </c>
      <c r="W193" s="12">
        <f>IF(AND(T193="",U193=""),IF(AND(L193="",M193="",P193="",Q193=""),IF(OR($D193&lt;&gt;"",$E193&lt;&gt;""),"Belum ditempatkan",""),""),IF(T193="","CEK JENIS FIXTURE kosong",IF(LEFT(T193,4)&lt;&gt;"Wall","CEK Fixture 3 hanya Wall",IF(U193="","CEK SHELVING KE kosong",IF(ISNA(MATCH(T193&amp;"|"&amp;U193,LAYOUT!$E$2:$E$80,0)),"CEK SHELVING KE di luar layout",IF($I193="","CEK SERIES kosong",IF($D193="","Zona STOCK",IF($E193="","CEK SKU DESCRIPTION kosong",IF(COUNTIFS($I$2:$I$500,$I193,T$2:T$500,"&lt;&gt;"&amp;T193,T$2:T$500,"&lt;&gt;")&gt;0,"CEK jenis fixture beda dalam satu series","OK")))))))))</f>
        <v/>
      </c>
      <c r="X193" s="11" t="n"/>
      <c r="Y193" s="11" t="n"/>
      <c r="Z193" s="12" t="n"/>
      <c r="AA193" s="12" t="n"/>
      <c r="AB193" s="11" t="n"/>
      <c r="AC193" s="11" t="n"/>
      <c r="AD193" s="11" t="n"/>
      <c r="AE193" s="11" t="n"/>
      <c r="AF193" s="11" t="n"/>
      <c r="AG193" s="11" t="n"/>
      <c r="AH193" s="12" t="n"/>
      <c r="AI193" s="12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>
        <f>IF(OR(L194="",M194=""),"",IFERROR(INDEX(LAYOUT!$D$2:$D$80,MATCH(L194&amp;"|"&amp;M194,LAYOUT!$E$2:$E$80,0)),""))</f>
        <v/>
      </c>
      <c r="O194" s="12">
        <f>IF(AND(L194="",M194=""),IF(AND(P194="",Q194="",T194="",U194=""),IF(OR($D194&lt;&gt;"",$E194&lt;&gt;""),"Belum ditempatkan",""),""),IF(L194="","CEK JENIS FIXTURE kosong",IF(AND(LEFT(L194,7)&lt;&gt;"Gondola",LEFT(L194,6)&lt;&gt;"Endcap"),"CEK Fixture 1 hanya Gondola atau Endcap",IF(M194="","CEK SHELVING KE kosong",IF(ISNA(MATCH(L194&amp;"|"&amp;M194,LAYOUT!$E$2:$E$80,0)),"CEK SHELVING KE di luar layout",IF($I194="","CEK SERIES kosong",IF($D194="","Zona STOCK",IF($E194="","CEK SKU DESCRIPTION kosong",IF(COUNTIFS($I$2:$I$500,$I194,L$2:L$500,"&lt;&gt;"&amp;L194,L$2:L$500,"&lt;&gt;")&gt;0,"CEK jenis fixture beda dalam satu series","OK")))))))))</f>
        <v/>
      </c>
      <c r="P194" s="11" t="n"/>
      <c r="Q194" s="11" t="n"/>
      <c r="R194" s="11">
        <f>IF(OR(P194="",Q194=""),"",IFERROR(INDEX(LAYOUT!$D$2:$D$80,MATCH(P194&amp;"|"&amp;Q194,LAYOUT!$E$2:$E$80,0)),""))</f>
        <v/>
      </c>
      <c r="S194" s="12">
        <f>IF(AND(P194="",Q194=""),IF(AND(L194="",M194="",T194="",U194=""),IF(OR($D194&lt;&gt;"",$E194&lt;&gt;""),"Belum ditempatkan",""),""),IF(P194="","CEK JENIS FIXTURE kosong",IF(LEFT(P194,4)&lt;&gt;"Wall","CEK Fixture 2 hanya Wall",IF(Q194="","CEK SHELVING KE kosong",IF(ISNA(MATCH(P194&amp;"|"&amp;Q194,LAYOUT!$E$2:$E$80,0)),"CEK SHELVING KE di luar layout",IF($I194="","CEK SERIES kosong",IF($D194="","Zona STOCK",IF($E194="","CEK SKU DESCRIPTION kosong",IF(COUNTIFS($I$2:$I$500,$I194,P$2:P$500,"&lt;&gt;"&amp;P194,P$2:P$500,"&lt;&gt;")&gt;0,"CEK jenis fixture beda dalam satu series","OK")))))))))</f>
        <v/>
      </c>
      <c r="T194" s="11" t="n"/>
      <c r="U194" s="11" t="n"/>
      <c r="V194" s="11">
        <f>IF(OR(T194="",U194=""),"",IFERROR(INDEX(LAYOUT!$D$2:$D$80,MATCH(T194&amp;"|"&amp;U194,LAYOUT!$E$2:$E$80,0)),""))</f>
        <v/>
      </c>
      <c r="W194" s="12">
        <f>IF(AND(T194="",U194=""),IF(AND(L194="",M194="",P194="",Q194=""),IF(OR($D194&lt;&gt;"",$E194&lt;&gt;""),"Belum ditempatkan",""),""),IF(T194="","CEK JENIS FIXTURE kosong",IF(LEFT(T194,4)&lt;&gt;"Wall","CEK Fixture 3 hanya Wall",IF(U194="","CEK SHELVING KE kosong",IF(ISNA(MATCH(T194&amp;"|"&amp;U194,LAYOUT!$E$2:$E$80,0)),"CEK SHELVING KE di luar layout",IF($I194="","CEK SERIES kosong",IF($D194="","Zona STOCK",IF($E194="","CEK SKU DESCRIPTION kosong",IF(COUNTIFS($I$2:$I$500,$I194,T$2:T$500,"&lt;&gt;"&amp;T194,T$2:T$500,"&lt;&gt;")&gt;0,"CEK jenis fixture beda dalam satu series","OK")))))))))</f>
        <v/>
      </c>
      <c r="X194" s="11" t="n"/>
      <c r="Y194" s="11" t="n"/>
      <c r="Z194" s="12" t="n"/>
      <c r="AA194" s="12" t="n"/>
      <c r="AB194" s="11" t="n"/>
      <c r="AC194" s="11" t="n"/>
      <c r="AD194" s="11" t="n"/>
      <c r="AE194" s="11" t="n"/>
      <c r="AF194" s="11" t="n"/>
      <c r="AG194" s="11" t="n"/>
      <c r="AH194" s="12" t="n"/>
      <c r="AI194" s="12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>
        <f>IF(OR(L195="",M195=""),"",IFERROR(INDEX(LAYOUT!$D$2:$D$80,MATCH(L195&amp;"|"&amp;M195,LAYOUT!$E$2:$E$80,0)),""))</f>
        <v/>
      </c>
      <c r="O195" s="12">
        <f>IF(AND(L195="",M195=""),IF(AND(P195="",Q195="",T195="",U195=""),IF(OR($D195&lt;&gt;"",$E195&lt;&gt;""),"Belum ditempatkan",""),""),IF(L195="","CEK JENIS FIXTURE kosong",IF(AND(LEFT(L195,7)&lt;&gt;"Gondola",LEFT(L195,6)&lt;&gt;"Endcap"),"CEK Fixture 1 hanya Gondola atau Endcap",IF(M195="","CEK SHELVING KE kosong",IF(ISNA(MATCH(L195&amp;"|"&amp;M195,LAYOUT!$E$2:$E$80,0)),"CEK SHELVING KE di luar layout",IF($I195="","CEK SERIES kosong",IF($D195="","Zona STOCK",IF($E195="","CEK SKU DESCRIPTION kosong",IF(COUNTIFS($I$2:$I$500,$I195,L$2:L$500,"&lt;&gt;"&amp;L195,L$2:L$500,"&lt;&gt;")&gt;0,"CEK jenis fixture beda dalam satu series","OK")))))))))</f>
        <v/>
      </c>
      <c r="P195" s="11" t="n"/>
      <c r="Q195" s="11" t="n"/>
      <c r="R195" s="11">
        <f>IF(OR(P195="",Q195=""),"",IFERROR(INDEX(LAYOUT!$D$2:$D$80,MATCH(P195&amp;"|"&amp;Q195,LAYOUT!$E$2:$E$80,0)),""))</f>
        <v/>
      </c>
      <c r="S195" s="12">
        <f>IF(AND(P195="",Q195=""),IF(AND(L195="",M195="",T195="",U195=""),IF(OR($D195&lt;&gt;"",$E195&lt;&gt;""),"Belum ditempatkan",""),""),IF(P195="","CEK JENIS FIXTURE kosong",IF(LEFT(P195,4)&lt;&gt;"Wall","CEK Fixture 2 hanya Wall",IF(Q195="","CEK SHELVING KE kosong",IF(ISNA(MATCH(P195&amp;"|"&amp;Q195,LAYOUT!$E$2:$E$80,0)),"CEK SHELVING KE di luar layout",IF($I195="","CEK SERIES kosong",IF($D195="","Zona STOCK",IF($E195="","CEK SKU DESCRIPTION kosong",IF(COUNTIFS($I$2:$I$500,$I195,P$2:P$500,"&lt;&gt;"&amp;P195,P$2:P$500,"&lt;&gt;")&gt;0,"CEK jenis fixture beda dalam satu series","OK")))))))))</f>
        <v/>
      </c>
      <c r="T195" s="11" t="n"/>
      <c r="U195" s="11" t="n"/>
      <c r="V195" s="11">
        <f>IF(OR(T195="",U195=""),"",IFERROR(INDEX(LAYOUT!$D$2:$D$80,MATCH(T195&amp;"|"&amp;U195,LAYOUT!$E$2:$E$80,0)),""))</f>
        <v/>
      </c>
      <c r="W195" s="12">
        <f>IF(AND(T195="",U195=""),IF(AND(L195="",M195="",P195="",Q195=""),IF(OR($D195&lt;&gt;"",$E195&lt;&gt;""),"Belum ditempatkan",""),""),IF(T195="","CEK JENIS FIXTURE kosong",IF(LEFT(T195,4)&lt;&gt;"Wall","CEK Fixture 3 hanya Wall",IF(U195="","CEK SHELVING KE kosong",IF(ISNA(MATCH(T195&amp;"|"&amp;U195,LAYOUT!$E$2:$E$80,0)),"CEK SHELVING KE di luar layout",IF($I195="","CEK SERIES kosong",IF($D195="","Zona STOCK",IF($E195="","CEK SKU DESCRIPTION kosong",IF(COUNTIFS($I$2:$I$500,$I195,T$2:T$500,"&lt;&gt;"&amp;T195,T$2:T$500,"&lt;&gt;")&gt;0,"CEK jenis fixture beda dalam satu series","OK")))))))))</f>
        <v/>
      </c>
      <c r="X195" s="11" t="n"/>
      <c r="Y195" s="11" t="n"/>
      <c r="Z195" s="12" t="n"/>
      <c r="AA195" s="12" t="n"/>
      <c r="AB195" s="11" t="n"/>
      <c r="AC195" s="11" t="n"/>
      <c r="AD195" s="11" t="n"/>
      <c r="AE195" s="11" t="n"/>
      <c r="AF195" s="11" t="n"/>
      <c r="AG195" s="11" t="n"/>
      <c r="AH195" s="12" t="n"/>
      <c r="AI195" s="12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>
        <f>IF(OR(L196="",M196=""),"",IFERROR(INDEX(LAYOUT!$D$2:$D$80,MATCH(L196&amp;"|"&amp;M196,LAYOUT!$E$2:$E$80,0)),""))</f>
        <v/>
      </c>
      <c r="O196" s="12">
        <f>IF(AND(L196="",M196=""),IF(AND(P196="",Q196="",T196="",U196=""),IF(OR($D196&lt;&gt;"",$E196&lt;&gt;""),"Belum ditempatkan",""),""),IF(L196="","CEK JENIS FIXTURE kosong",IF(AND(LEFT(L196,7)&lt;&gt;"Gondola",LEFT(L196,6)&lt;&gt;"Endcap"),"CEK Fixture 1 hanya Gondola atau Endcap",IF(M196="","CEK SHELVING KE kosong",IF(ISNA(MATCH(L196&amp;"|"&amp;M196,LAYOUT!$E$2:$E$80,0)),"CEK SHELVING KE di luar layout",IF($I196="","CEK SERIES kosong",IF($D196="","Zona STOCK",IF($E196="","CEK SKU DESCRIPTION kosong",IF(COUNTIFS($I$2:$I$500,$I196,L$2:L$500,"&lt;&gt;"&amp;L196,L$2:L$500,"&lt;&gt;")&gt;0,"CEK jenis fixture beda dalam satu series","OK")))))))))</f>
        <v/>
      </c>
      <c r="P196" s="11" t="n"/>
      <c r="Q196" s="11" t="n"/>
      <c r="R196" s="11">
        <f>IF(OR(P196="",Q196=""),"",IFERROR(INDEX(LAYOUT!$D$2:$D$80,MATCH(P196&amp;"|"&amp;Q196,LAYOUT!$E$2:$E$80,0)),""))</f>
        <v/>
      </c>
      <c r="S196" s="12">
        <f>IF(AND(P196="",Q196=""),IF(AND(L196="",M196="",T196="",U196=""),IF(OR($D196&lt;&gt;"",$E196&lt;&gt;""),"Belum ditempatkan",""),""),IF(P196="","CEK JENIS FIXTURE kosong",IF(LEFT(P196,4)&lt;&gt;"Wall","CEK Fixture 2 hanya Wall",IF(Q196="","CEK SHELVING KE kosong",IF(ISNA(MATCH(P196&amp;"|"&amp;Q196,LAYOUT!$E$2:$E$80,0)),"CEK SHELVING KE di luar layout",IF($I196="","CEK SERIES kosong",IF($D196="","Zona STOCK",IF($E196="","CEK SKU DESCRIPTION kosong",IF(COUNTIFS($I$2:$I$500,$I196,P$2:P$500,"&lt;&gt;"&amp;P196,P$2:P$500,"&lt;&gt;")&gt;0,"CEK jenis fixture beda dalam satu series","OK")))))))))</f>
        <v/>
      </c>
      <c r="T196" s="11" t="n"/>
      <c r="U196" s="11" t="n"/>
      <c r="V196" s="11">
        <f>IF(OR(T196="",U196=""),"",IFERROR(INDEX(LAYOUT!$D$2:$D$80,MATCH(T196&amp;"|"&amp;U196,LAYOUT!$E$2:$E$80,0)),""))</f>
        <v/>
      </c>
      <c r="W196" s="12">
        <f>IF(AND(T196="",U196=""),IF(AND(L196="",M196="",P196="",Q196=""),IF(OR($D196&lt;&gt;"",$E196&lt;&gt;""),"Belum ditempatkan",""),""),IF(T196="","CEK JENIS FIXTURE kosong",IF(LEFT(T196,4)&lt;&gt;"Wall","CEK Fixture 3 hanya Wall",IF(U196="","CEK SHELVING KE kosong",IF(ISNA(MATCH(T196&amp;"|"&amp;U196,LAYOUT!$E$2:$E$80,0)),"CEK SHELVING KE di luar layout",IF($I196="","CEK SERIES kosong",IF($D196="","Zona STOCK",IF($E196="","CEK SKU DESCRIPTION kosong",IF(COUNTIFS($I$2:$I$500,$I196,T$2:T$500,"&lt;&gt;"&amp;T196,T$2:T$500,"&lt;&gt;")&gt;0,"CEK jenis fixture beda dalam satu series","OK")))))))))</f>
        <v/>
      </c>
      <c r="X196" s="11" t="n"/>
      <c r="Y196" s="11" t="n"/>
      <c r="Z196" s="12" t="n"/>
      <c r="AA196" s="12" t="n"/>
      <c r="AB196" s="11" t="n"/>
      <c r="AC196" s="11" t="n"/>
      <c r="AD196" s="11" t="n"/>
      <c r="AE196" s="11" t="n"/>
      <c r="AF196" s="11" t="n"/>
      <c r="AG196" s="11" t="n"/>
      <c r="AH196" s="12" t="n"/>
      <c r="AI196" s="12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>
        <f>IF(OR(L197="",M197=""),"",IFERROR(INDEX(LAYOUT!$D$2:$D$80,MATCH(L197&amp;"|"&amp;M197,LAYOUT!$E$2:$E$80,0)),""))</f>
        <v/>
      </c>
      <c r="O197" s="12">
        <f>IF(AND(L197="",M197=""),IF(AND(P197="",Q197="",T197="",U197=""),IF(OR($D197&lt;&gt;"",$E197&lt;&gt;""),"Belum ditempatkan",""),""),IF(L197="","CEK JENIS FIXTURE kosong",IF(AND(LEFT(L197,7)&lt;&gt;"Gondola",LEFT(L197,6)&lt;&gt;"Endcap"),"CEK Fixture 1 hanya Gondola atau Endcap",IF(M197="","CEK SHELVING KE kosong",IF(ISNA(MATCH(L197&amp;"|"&amp;M197,LAYOUT!$E$2:$E$80,0)),"CEK SHELVING KE di luar layout",IF($I197="","CEK SERIES kosong",IF($D197="","Zona STOCK",IF($E197="","CEK SKU DESCRIPTION kosong",IF(COUNTIFS($I$2:$I$500,$I197,L$2:L$500,"&lt;&gt;"&amp;L197,L$2:L$500,"&lt;&gt;")&gt;0,"CEK jenis fixture beda dalam satu series","OK")))))))))</f>
        <v/>
      </c>
      <c r="P197" s="11" t="n"/>
      <c r="Q197" s="11" t="n"/>
      <c r="R197" s="11">
        <f>IF(OR(P197="",Q197=""),"",IFERROR(INDEX(LAYOUT!$D$2:$D$80,MATCH(P197&amp;"|"&amp;Q197,LAYOUT!$E$2:$E$80,0)),""))</f>
        <v/>
      </c>
      <c r="S197" s="12">
        <f>IF(AND(P197="",Q197=""),IF(AND(L197="",M197="",T197="",U197=""),IF(OR($D197&lt;&gt;"",$E197&lt;&gt;""),"Belum ditempatkan",""),""),IF(P197="","CEK JENIS FIXTURE kosong",IF(LEFT(P197,4)&lt;&gt;"Wall","CEK Fixture 2 hanya Wall",IF(Q197="","CEK SHELVING KE kosong",IF(ISNA(MATCH(P197&amp;"|"&amp;Q197,LAYOUT!$E$2:$E$80,0)),"CEK SHELVING KE di luar layout",IF($I197="","CEK SERIES kosong",IF($D197="","Zona STOCK",IF($E197="","CEK SKU DESCRIPTION kosong",IF(COUNTIFS($I$2:$I$500,$I197,P$2:P$500,"&lt;&gt;"&amp;P197,P$2:P$500,"&lt;&gt;")&gt;0,"CEK jenis fixture beda dalam satu series","OK")))))))))</f>
        <v/>
      </c>
      <c r="T197" s="11" t="n"/>
      <c r="U197" s="11" t="n"/>
      <c r="V197" s="11">
        <f>IF(OR(T197="",U197=""),"",IFERROR(INDEX(LAYOUT!$D$2:$D$80,MATCH(T197&amp;"|"&amp;U197,LAYOUT!$E$2:$E$80,0)),""))</f>
        <v/>
      </c>
      <c r="W197" s="12">
        <f>IF(AND(T197="",U197=""),IF(AND(L197="",M197="",P197="",Q197=""),IF(OR($D197&lt;&gt;"",$E197&lt;&gt;""),"Belum ditempatkan",""),""),IF(T197="","CEK JENIS FIXTURE kosong",IF(LEFT(T197,4)&lt;&gt;"Wall","CEK Fixture 3 hanya Wall",IF(U197="","CEK SHELVING KE kosong",IF(ISNA(MATCH(T197&amp;"|"&amp;U197,LAYOUT!$E$2:$E$80,0)),"CEK SHELVING KE di luar layout",IF($I197="","CEK SERIES kosong",IF($D197="","Zona STOCK",IF($E197="","CEK SKU DESCRIPTION kosong",IF(COUNTIFS($I$2:$I$500,$I197,T$2:T$500,"&lt;&gt;"&amp;T197,T$2:T$500,"&lt;&gt;")&gt;0,"CEK jenis fixture beda dalam satu series","OK")))))))))</f>
        <v/>
      </c>
      <c r="X197" s="11" t="n"/>
      <c r="Y197" s="11" t="n"/>
      <c r="Z197" s="12" t="n"/>
      <c r="AA197" s="12" t="n"/>
      <c r="AB197" s="11" t="n"/>
      <c r="AC197" s="11" t="n"/>
      <c r="AD197" s="11" t="n"/>
      <c r="AE197" s="11" t="n"/>
      <c r="AF197" s="11" t="n"/>
      <c r="AG197" s="11" t="n"/>
      <c r="AH197" s="12" t="n"/>
      <c r="AI197" s="12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>
        <f>IF(OR(L198="",M198=""),"",IFERROR(INDEX(LAYOUT!$D$2:$D$80,MATCH(L198&amp;"|"&amp;M198,LAYOUT!$E$2:$E$80,0)),""))</f>
        <v/>
      </c>
      <c r="O198" s="12">
        <f>IF(AND(L198="",M198=""),IF(AND(P198="",Q198="",T198="",U198=""),IF(OR($D198&lt;&gt;"",$E198&lt;&gt;""),"Belum ditempatkan",""),""),IF(L198="","CEK JENIS FIXTURE kosong",IF(AND(LEFT(L198,7)&lt;&gt;"Gondola",LEFT(L198,6)&lt;&gt;"Endcap"),"CEK Fixture 1 hanya Gondola atau Endcap",IF(M198="","CEK SHELVING KE kosong",IF(ISNA(MATCH(L198&amp;"|"&amp;M198,LAYOUT!$E$2:$E$80,0)),"CEK SHELVING KE di luar layout",IF($I198="","CEK SERIES kosong",IF($D198="","Zona STOCK",IF($E198="","CEK SKU DESCRIPTION kosong",IF(COUNTIFS($I$2:$I$500,$I198,L$2:L$500,"&lt;&gt;"&amp;L198,L$2:L$500,"&lt;&gt;")&gt;0,"CEK jenis fixture beda dalam satu series","OK")))))))))</f>
        <v/>
      </c>
      <c r="P198" s="11" t="n"/>
      <c r="Q198" s="11" t="n"/>
      <c r="R198" s="11">
        <f>IF(OR(P198="",Q198=""),"",IFERROR(INDEX(LAYOUT!$D$2:$D$80,MATCH(P198&amp;"|"&amp;Q198,LAYOUT!$E$2:$E$80,0)),""))</f>
        <v/>
      </c>
      <c r="S198" s="12">
        <f>IF(AND(P198="",Q198=""),IF(AND(L198="",M198="",T198="",U198=""),IF(OR($D198&lt;&gt;"",$E198&lt;&gt;""),"Belum ditempatkan",""),""),IF(P198="","CEK JENIS FIXTURE kosong",IF(LEFT(P198,4)&lt;&gt;"Wall","CEK Fixture 2 hanya Wall",IF(Q198="","CEK SHELVING KE kosong",IF(ISNA(MATCH(P198&amp;"|"&amp;Q198,LAYOUT!$E$2:$E$80,0)),"CEK SHELVING KE di luar layout",IF($I198="","CEK SERIES kosong",IF($D198="","Zona STOCK",IF($E198="","CEK SKU DESCRIPTION kosong",IF(COUNTIFS($I$2:$I$500,$I198,P$2:P$500,"&lt;&gt;"&amp;P198,P$2:P$500,"&lt;&gt;")&gt;0,"CEK jenis fixture beda dalam satu series","OK")))))))))</f>
        <v/>
      </c>
      <c r="T198" s="11" t="n"/>
      <c r="U198" s="11" t="n"/>
      <c r="V198" s="11">
        <f>IF(OR(T198="",U198=""),"",IFERROR(INDEX(LAYOUT!$D$2:$D$80,MATCH(T198&amp;"|"&amp;U198,LAYOUT!$E$2:$E$80,0)),""))</f>
        <v/>
      </c>
      <c r="W198" s="12">
        <f>IF(AND(T198="",U198=""),IF(AND(L198="",M198="",P198="",Q198=""),IF(OR($D198&lt;&gt;"",$E198&lt;&gt;""),"Belum ditempatkan",""),""),IF(T198="","CEK JENIS FIXTURE kosong",IF(LEFT(T198,4)&lt;&gt;"Wall","CEK Fixture 3 hanya Wall",IF(U198="","CEK SHELVING KE kosong",IF(ISNA(MATCH(T198&amp;"|"&amp;U198,LAYOUT!$E$2:$E$80,0)),"CEK SHELVING KE di luar layout",IF($I198="","CEK SERIES kosong",IF($D198="","Zona STOCK",IF($E198="","CEK SKU DESCRIPTION kosong",IF(COUNTIFS($I$2:$I$500,$I198,T$2:T$500,"&lt;&gt;"&amp;T198,T$2:T$500,"&lt;&gt;")&gt;0,"CEK jenis fixture beda dalam satu series","OK")))))))))</f>
        <v/>
      </c>
      <c r="X198" s="11" t="n"/>
      <c r="Y198" s="11" t="n"/>
      <c r="Z198" s="12" t="n"/>
      <c r="AA198" s="12" t="n"/>
      <c r="AB198" s="11" t="n"/>
      <c r="AC198" s="11" t="n"/>
      <c r="AD198" s="11" t="n"/>
      <c r="AE198" s="11" t="n"/>
      <c r="AF198" s="11" t="n"/>
      <c r="AG198" s="11" t="n"/>
      <c r="AH198" s="12" t="n"/>
      <c r="AI198" s="12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>
        <f>IF(OR(L199="",M199=""),"",IFERROR(INDEX(LAYOUT!$D$2:$D$80,MATCH(L199&amp;"|"&amp;M199,LAYOUT!$E$2:$E$80,0)),""))</f>
        <v/>
      </c>
      <c r="O199" s="12">
        <f>IF(AND(L199="",M199=""),IF(AND(P199="",Q199="",T199="",U199=""),IF(OR($D199&lt;&gt;"",$E199&lt;&gt;""),"Belum ditempatkan",""),""),IF(L199="","CEK JENIS FIXTURE kosong",IF(AND(LEFT(L199,7)&lt;&gt;"Gondola",LEFT(L199,6)&lt;&gt;"Endcap"),"CEK Fixture 1 hanya Gondola atau Endcap",IF(M199="","CEK SHELVING KE kosong",IF(ISNA(MATCH(L199&amp;"|"&amp;M199,LAYOUT!$E$2:$E$80,0)),"CEK SHELVING KE di luar layout",IF($I199="","CEK SERIES kosong",IF($D199="","Zona STOCK",IF($E199="","CEK SKU DESCRIPTION kosong",IF(COUNTIFS($I$2:$I$500,$I199,L$2:L$500,"&lt;&gt;"&amp;L199,L$2:L$500,"&lt;&gt;")&gt;0,"CEK jenis fixture beda dalam satu series","OK")))))))))</f>
        <v/>
      </c>
      <c r="P199" s="11" t="n"/>
      <c r="Q199" s="11" t="n"/>
      <c r="R199" s="11">
        <f>IF(OR(P199="",Q199=""),"",IFERROR(INDEX(LAYOUT!$D$2:$D$80,MATCH(P199&amp;"|"&amp;Q199,LAYOUT!$E$2:$E$80,0)),""))</f>
        <v/>
      </c>
      <c r="S199" s="12">
        <f>IF(AND(P199="",Q199=""),IF(AND(L199="",M199="",T199="",U199=""),IF(OR($D199&lt;&gt;"",$E199&lt;&gt;""),"Belum ditempatkan",""),""),IF(P199="","CEK JENIS FIXTURE kosong",IF(LEFT(P199,4)&lt;&gt;"Wall","CEK Fixture 2 hanya Wall",IF(Q199="","CEK SHELVING KE kosong",IF(ISNA(MATCH(P199&amp;"|"&amp;Q199,LAYOUT!$E$2:$E$80,0)),"CEK SHELVING KE di luar layout",IF($I199="","CEK SERIES kosong",IF($D199="","Zona STOCK",IF($E199="","CEK SKU DESCRIPTION kosong",IF(COUNTIFS($I$2:$I$500,$I199,P$2:P$500,"&lt;&gt;"&amp;P199,P$2:P$500,"&lt;&gt;")&gt;0,"CEK jenis fixture beda dalam satu series","OK")))))))))</f>
        <v/>
      </c>
      <c r="T199" s="11" t="n"/>
      <c r="U199" s="11" t="n"/>
      <c r="V199" s="11">
        <f>IF(OR(T199="",U199=""),"",IFERROR(INDEX(LAYOUT!$D$2:$D$80,MATCH(T199&amp;"|"&amp;U199,LAYOUT!$E$2:$E$80,0)),""))</f>
        <v/>
      </c>
      <c r="W199" s="12">
        <f>IF(AND(T199="",U199=""),IF(AND(L199="",M199="",P199="",Q199=""),IF(OR($D199&lt;&gt;"",$E199&lt;&gt;""),"Belum ditempatkan",""),""),IF(T199="","CEK JENIS FIXTURE kosong",IF(LEFT(T199,4)&lt;&gt;"Wall","CEK Fixture 3 hanya Wall",IF(U199="","CEK SHELVING KE kosong",IF(ISNA(MATCH(T199&amp;"|"&amp;U199,LAYOUT!$E$2:$E$80,0)),"CEK SHELVING KE di luar layout",IF($I199="","CEK SERIES kosong",IF($D199="","Zona STOCK",IF($E199="","CEK SKU DESCRIPTION kosong",IF(COUNTIFS($I$2:$I$500,$I199,T$2:T$500,"&lt;&gt;"&amp;T199,T$2:T$500,"&lt;&gt;")&gt;0,"CEK jenis fixture beda dalam satu series","OK")))))))))</f>
        <v/>
      </c>
      <c r="X199" s="11" t="n"/>
      <c r="Y199" s="11" t="n"/>
      <c r="Z199" s="12" t="n"/>
      <c r="AA199" s="12" t="n"/>
      <c r="AB199" s="11" t="n"/>
      <c r="AC199" s="11" t="n"/>
      <c r="AD199" s="11" t="n"/>
      <c r="AE199" s="11" t="n"/>
      <c r="AF199" s="11" t="n"/>
      <c r="AG199" s="11" t="n"/>
      <c r="AH199" s="12" t="n"/>
      <c r="AI199" s="12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>
        <f>IF(OR(L200="",M200=""),"",IFERROR(INDEX(LAYOUT!$D$2:$D$80,MATCH(L200&amp;"|"&amp;M200,LAYOUT!$E$2:$E$80,0)),""))</f>
        <v/>
      </c>
      <c r="O200" s="12">
        <f>IF(AND(L200="",M200=""),IF(AND(P200="",Q200="",T200="",U200=""),IF(OR($D200&lt;&gt;"",$E200&lt;&gt;""),"Belum ditempatkan",""),""),IF(L200="","CEK JENIS FIXTURE kosong",IF(AND(LEFT(L200,7)&lt;&gt;"Gondola",LEFT(L200,6)&lt;&gt;"Endcap"),"CEK Fixture 1 hanya Gondola atau Endcap",IF(M200="","CEK SHELVING KE kosong",IF(ISNA(MATCH(L200&amp;"|"&amp;M200,LAYOUT!$E$2:$E$80,0)),"CEK SHELVING KE di luar layout",IF($I200="","CEK SERIES kosong",IF($D200="","Zona STOCK",IF($E200="","CEK SKU DESCRIPTION kosong",IF(COUNTIFS($I$2:$I$500,$I200,L$2:L$500,"&lt;&gt;"&amp;L200,L$2:L$500,"&lt;&gt;")&gt;0,"CEK jenis fixture beda dalam satu series","OK")))))))))</f>
        <v/>
      </c>
      <c r="P200" s="11" t="n"/>
      <c r="Q200" s="11" t="n"/>
      <c r="R200" s="11">
        <f>IF(OR(P200="",Q200=""),"",IFERROR(INDEX(LAYOUT!$D$2:$D$80,MATCH(P200&amp;"|"&amp;Q200,LAYOUT!$E$2:$E$80,0)),""))</f>
        <v/>
      </c>
      <c r="S200" s="12">
        <f>IF(AND(P200="",Q200=""),IF(AND(L200="",M200="",T200="",U200=""),IF(OR($D200&lt;&gt;"",$E200&lt;&gt;""),"Belum ditempatkan",""),""),IF(P200="","CEK JENIS FIXTURE kosong",IF(LEFT(P200,4)&lt;&gt;"Wall","CEK Fixture 2 hanya Wall",IF(Q200="","CEK SHELVING KE kosong",IF(ISNA(MATCH(P200&amp;"|"&amp;Q200,LAYOUT!$E$2:$E$80,0)),"CEK SHELVING KE di luar layout",IF($I200="","CEK SERIES kosong",IF($D200="","Zona STOCK",IF($E200="","CEK SKU DESCRIPTION kosong",IF(COUNTIFS($I$2:$I$500,$I200,P$2:P$500,"&lt;&gt;"&amp;P200,P$2:P$500,"&lt;&gt;")&gt;0,"CEK jenis fixture beda dalam satu series","OK")))))))))</f>
        <v/>
      </c>
      <c r="T200" s="11" t="n"/>
      <c r="U200" s="11" t="n"/>
      <c r="V200" s="11">
        <f>IF(OR(T200="",U200=""),"",IFERROR(INDEX(LAYOUT!$D$2:$D$80,MATCH(T200&amp;"|"&amp;U200,LAYOUT!$E$2:$E$80,0)),""))</f>
        <v/>
      </c>
      <c r="W200" s="12">
        <f>IF(AND(T200="",U200=""),IF(AND(L200="",M200="",P200="",Q200=""),IF(OR($D200&lt;&gt;"",$E200&lt;&gt;""),"Belum ditempatkan",""),""),IF(T200="","CEK JENIS FIXTURE kosong",IF(LEFT(T200,4)&lt;&gt;"Wall","CEK Fixture 3 hanya Wall",IF(U200="","CEK SHELVING KE kosong",IF(ISNA(MATCH(T200&amp;"|"&amp;U200,LAYOUT!$E$2:$E$80,0)),"CEK SHELVING KE di luar layout",IF($I200="","CEK SERIES kosong",IF($D200="","Zona STOCK",IF($E200="","CEK SKU DESCRIPTION kosong",IF(COUNTIFS($I$2:$I$500,$I200,T$2:T$500,"&lt;&gt;"&amp;T200,T$2:T$500,"&lt;&gt;")&gt;0,"CEK jenis fixture beda dalam satu series","OK")))))))))</f>
        <v/>
      </c>
      <c r="X200" s="11" t="n"/>
      <c r="Y200" s="11" t="n"/>
      <c r="Z200" s="12" t="n"/>
      <c r="AA200" s="12" t="n"/>
      <c r="AB200" s="11" t="n"/>
      <c r="AC200" s="11" t="n"/>
      <c r="AD200" s="11" t="n"/>
      <c r="AE200" s="11" t="n"/>
      <c r="AF200" s="11" t="n"/>
      <c r="AG200" s="11" t="n"/>
      <c r="AH200" s="12" t="n"/>
      <c r="AI200" s="12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>
        <f>IF(OR(L201="",M201=""),"",IFERROR(INDEX(LAYOUT!$D$2:$D$80,MATCH(L201&amp;"|"&amp;M201,LAYOUT!$E$2:$E$80,0)),""))</f>
        <v/>
      </c>
      <c r="O201" s="12">
        <f>IF(AND(L201="",M201=""),IF(AND(P201="",Q201="",T201="",U201=""),IF(OR($D201&lt;&gt;"",$E201&lt;&gt;""),"Belum ditempatkan",""),""),IF(L201="","CEK JENIS FIXTURE kosong",IF(AND(LEFT(L201,7)&lt;&gt;"Gondola",LEFT(L201,6)&lt;&gt;"Endcap"),"CEK Fixture 1 hanya Gondola atau Endcap",IF(M201="","CEK SHELVING KE kosong",IF(ISNA(MATCH(L201&amp;"|"&amp;M201,LAYOUT!$E$2:$E$80,0)),"CEK SHELVING KE di luar layout",IF($I201="","CEK SERIES kosong",IF($D201="","Zona STOCK",IF($E201="","CEK SKU DESCRIPTION kosong",IF(COUNTIFS($I$2:$I$500,$I201,L$2:L$500,"&lt;&gt;"&amp;L201,L$2:L$500,"&lt;&gt;")&gt;0,"CEK jenis fixture beda dalam satu series","OK")))))))))</f>
        <v/>
      </c>
      <c r="P201" s="11" t="n"/>
      <c r="Q201" s="11" t="n"/>
      <c r="R201" s="11">
        <f>IF(OR(P201="",Q201=""),"",IFERROR(INDEX(LAYOUT!$D$2:$D$80,MATCH(P201&amp;"|"&amp;Q201,LAYOUT!$E$2:$E$80,0)),""))</f>
        <v/>
      </c>
      <c r="S201" s="12">
        <f>IF(AND(P201="",Q201=""),IF(AND(L201="",M201="",T201="",U201=""),IF(OR($D201&lt;&gt;"",$E201&lt;&gt;""),"Belum ditempatkan",""),""),IF(P201="","CEK JENIS FIXTURE kosong",IF(LEFT(P201,4)&lt;&gt;"Wall","CEK Fixture 2 hanya Wall",IF(Q201="","CEK SHELVING KE kosong",IF(ISNA(MATCH(P201&amp;"|"&amp;Q201,LAYOUT!$E$2:$E$80,0)),"CEK SHELVING KE di luar layout",IF($I201="","CEK SERIES kosong",IF($D201="","Zona STOCK",IF($E201="","CEK SKU DESCRIPTION kosong",IF(COUNTIFS($I$2:$I$500,$I201,P$2:P$500,"&lt;&gt;"&amp;P201,P$2:P$500,"&lt;&gt;")&gt;0,"CEK jenis fixture beda dalam satu series","OK")))))))))</f>
        <v/>
      </c>
      <c r="T201" s="11" t="n"/>
      <c r="U201" s="11" t="n"/>
      <c r="V201" s="11">
        <f>IF(OR(T201="",U201=""),"",IFERROR(INDEX(LAYOUT!$D$2:$D$80,MATCH(T201&amp;"|"&amp;U201,LAYOUT!$E$2:$E$80,0)),""))</f>
        <v/>
      </c>
      <c r="W201" s="12">
        <f>IF(AND(T201="",U201=""),IF(AND(L201="",M201="",P201="",Q201=""),IF(OR($D201&lt;&gt;"",$E201&lt;&gt;""),"Belum ditempatkan",""),""),IF(T201="","CEK JENIS FIXTURE kosong",IF(LEFT(T201,4)&lt;&gt;"Wall","CEK Fixture 3 hanya Wall",IF(U201="","CEK SHELVING KE kosong",IF(ISNA(MATCH(T201&amp;"|"&amp;U201,LAYOUT!$E$2:$E$80,0)),"CEK SHELVING KE di luar layout",IF($I201="","CEK SERIES kosong",IF($D201="","Zona STOCK",IF($E201="","CEK SKU DESCRIPTION kosong",IF(COUNTIFS($I$2:$I$500,$I201,T$2:T$500,"&lt;&gt;"&amp;T201,T$2:T$500,"&lt;&gt;")&gt;0,"CEK jenis fixture beda dalam satu series","OK")))))))))</f>
        <v/>
      </c>
      <c r="X201" s="11" t="n"/>
      <c r="Y201" s="11" t="n"/>
      <c r="Z201" s="12" t="n"/>
      <c r="AA201" s="12" t="n"/>
      <c r="AB201" s="11" t="n"/>
      <c r="AC201" s="11" t="n"/>
      <c r="AD201" s="11" t="n"/>
      <c r="AE201" s="11" t="n"/>
      <c r="AF201" s="11" t="n"/>
      <c r="AG201" s="11" t="n"/>
      <c r="AH201" s="12" t="n"/>
      <c r="AI201" s="12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>
        <f>IF(OR(L202="",M202=""),"",IFERROR(INDEX(LAYOUT!$D$2:$D$80,MATCH(L202&amp;"|"&amp;M202,LAYOUT!$E$2:$E$80,0)),""))</f>
        <v/>
      </c>
      <c r="O202" s="12">
        <f>IF(AND(L202="",M202=""),IF(AND(P202="",Q202="",T202="",U202=""),IF(OR($D202&lt;&gt;"",$E202&lt;&gt;""),"Belum ditempatkan",""),""),IF(L202="","CEK JENIS FIXTURE kosong",IF(AND(LEFT(L202,7)&lt;&gt;"Gondola",LEFT(L202,6)&lt;&gt;"Endcap"),"CEK Fixture 1 hanya Gondola atau Endcap",IF(M202="","CEK SHELVING KE kosong",IF(ISNA(MATCH(L202&amp;"|"&amp;M202,LAYOUT!$E$2:$E$80,0)),"CEK SHELVING KE di luar layout",IF($I202="","CEK SERIES kosong",IF($D202="","Zona STOCK",IF($E202="","CEK SKU DESCRIPTION kosong",IF(COUNTIFS($I$2:$I$500,$I202,L$2:L$500,"&lt;&gt;"&amp;L202,L$2:L$500,"&lt;&gt;")&gt;0,"CEK jenis fixture beda dalam satu series","OK")))))))))</f>
        <v/>
      </c>
      <c r="P202" s="11" t="n"/>
      <c r="Q202" s="11" t="n"/>
      <c r="R202" s="11">
        <f>IF(OR(P202="",Q202=""),"",IFERROR(INDEX(LAYOUT!$D$2:$D$80,MATCH(P202&amp;"|"&amp;Q202,LAYOUT!$E$2:$E$80,0)),""))</f>
        <v/>
      </c>
      <c r="S202" s="12">
        <f>IF(AND(P202="",Q202=""),IF(AND(L202="",M202="",T202="",U202=""),IF(OR($D202&lt;&gt;"",$E202&lt;&gt;""),"Belum ditempatkan",""),""),IF(P202="","CEK JENIS FIXTURE kosong",IF(LEFT(P202,4)&lt;&gt;"Wall","CEK Fixture 2 hanya Wall",IF(Q202="","CEK SHELVING KE kosong",IF(ISNA(MATCH(P202&amp;"|"&amp;Q202,LAYOUT!$E$2:$E$80,0)),"CEK SHELVING KE di luar layout",IF($I202="","CEK SERIES kosong",IF($D202="","Zona STOCK",IF($E202="","CEK SKU DESCRIPTION kosong",IF(COUNTIFS($I$2:$I$500,$I202,P$2:P$500,"&lt;&gt;"&amp;P202,P$2:P$500,"&lt;&gt;")&gt;0,"CEK jenis fixture beda dalam satu series","OK")))))))))</f>
        <v/>
      </c>
      <c r="T202" s="11" t="n"/>
      <c r="U202" s="11" t="n"/>
      <c r="V202" s="11">
        <f>IF(OR(T202="",U202=""),"",IFERROR(INDEX(LAYOUT!$D$2:$D$80,MATCH(T202&amp;"|"&amp;U202,LAYOUT!$E$2:$E$80,0)),""))</f>
        <v/>
      </c>
      <c r="W202" s="12">
        <f>IF(AND(T202="",U202=""),IF(AND(L202="",M202="",P202="",Q202=""),IF(OR($D202&lt;&gt;"",$E202&lt;&gt;""),"Belum ditempatkan",""),""),IF(T202="","CEK JENIS FIXTURE kosong",IF(LEFT(T202,4)&lt;&gt;"Wall","CEK Fixture 3 hanya Wall",IF(U202="","CEK SHELVING KE kosong",IF(ISNA(MATCH(T202&amp;"|"&amp;U202,LAYOUT!$E$2:$E$80,0)),"CEK SHELVING KE di luar layout",IF($I202="","CEK SERIES kosong",IF($D202="","Zona STOCK",IF($E202="","CEK SKU DESCRIPTION kosong",IF(COUNTIFS($I$2:$I$500,$I202,T$2:T$500,"&lt;&gt;"&amp;T202,T$2:T$500,"&lt;&gt;")&gt;0,"CEK jenis fixture beda dalam satu series","OK")))))))))</f>
        <v/>
      </c>
      <c r="X202" s="11" t="n"/>
      <c r="Y202" s="11" t="n"/>
      <c r="Z202" s="12" t="n"/>
      <c r="AA202" s="12" t="n"/>
      <c r="AB202" s="11" t="n"/>
      <c r="AC202" s="11" t="n"/>
      <c r="AD202" s="11" t="n"/>
      <c r="AE202" s="11" t="n"/>
      <c r="AF202" s="11" t="n"/>
      <c r="AG202" s="11" t="n"/>
      <c r="AH202" s="12" t="n"/>
      <c r="AI202" s="12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>
        <f>IF(OR(L203="",M203=""),"",IFERROR(INDEX(LAYOUT!$D$2:$D$80,MATCH(L203&amp;"|"&amp;M203,LAYOUT!$E$2:$E$80,0)),""))</f>
        <v/>
      </c>
      <c r="O203" s="12">
        <f>IF(AND(L203="",M203=""),IF(AND(P203="",Q203="",T203="",U203=""),IF(OR($D203&lt;&gt;"",$E203&lt;&gt;""),"Belum ditempatkan",""),""),IF(L203="","CEK JENIS FIXTURE kosong",IF(AND(LEFT(L203,7)&lt;&gt;"Gondola",LEFT(L203,6)&lt;&gt;"Endcap"),"CEK Fixture 1 hanya Gondola atau Endcap",IF(M203="","CEK SHELVING KE kosong",IF(ISNA(MATCH(L203&amp;"|"&amp;M203,LAYOUT!$E$2:$E$80,0)),"CEK SHELVING KE di luar layout",IF($I203="","CEK SERIES kosong",IF($D203="","Zona STOCK",IF($E203="","CEK SKU DESCRIPTION kosong",IF(COUNTIFS($I$2:$I$500,$I203,L$2:L$500,"&lt;&gt;"&amp;L203,L$2:L$500,"&lt;&gt;")&gt;0,"CEK jenis fixture beda dalam satu series","OK")))))))))</f>
        <v/>
      </c>
      <c r="P203" s="11" t="n"/>
      <c r="Q203" s="11" t="n"/>
      <c r="R203" s="11">
        <f>IF(OR(P203="",Q203=""),"",IFERROR(INDEX(LAYOUT!$D$2:$D$80,MATCH(P203&amp;"|"&amp;Q203,LAYOUT!$E$2:$E$80,0)),""))</f>
        <v/>
      </c>
      <c r="S203" s="12">
        <f>IF(AND(P203="",Q203=""),IF(AND(L203="",M203="",T203="",U203=""),IF(OR($D203&lt;&gt;"",$E203&lt;&gt;""),"Belum ditempatkan",""),""),IF(P203="","CEK JENIS FIXTURE kosong",IF(LEFT(P203,4)&lt;&gt;"Wall","CEK Fixture 2 hanya Wall",IF(Q203="","CEK SHELVING KE kosong",IF(ISNA(MATCH(P203&amp;"|"&amp;Q203,LAYOUT!$E$2:$E$80,0)),"CEK SHELVING KE di luar layout",IF($I203="","CEK SERIES kosong",IF($D203="","Zona STOCK",IF($E203="","CEK SKU DESCRIPTION kosong",IF(COUNTIFS($I$2:$I$500,$I203,P$2:P$500,"&lt;&gt;"&amp;P203,P$2:P$500,"&lt;&gt;")&gt;0,"CEK jenis fixture beda dalam satu series","OK")))))))))</f>
        <v/>
      </c>
      <c r="T203" s="11" t="n"/>
      <c r="U203" s="11" t="n"/>
      <c r="V203" s="11">
        <f>IF(OR(T203="",U203=""),"",IFERROR(INDEX(LAYOUT!$D$2:$D$80,MATCH(T203&amp;"|"&amp;U203,LAYOUT!$E$2:$E$80,0)),""))</f>
        <v/>
      </c>
      <c r="W203" s="12">
        <f>IF(AND(T203="",U203=""),IF(AND(L203="",M203="",P203="",Q203=""),IF(OR($D203&lt;&gt;"",$E203&lt;&gt;""),"Belum ditempatkan",""),""),IF(T203="","CEK JENIS FIXTURE kosong",IF(LEFT(T203,4)&lt;&gt;"Wall","CEK Fixture 3 hanya Wall",IF(U203="","CEK SHELVING KE kosong",IF(ISNA(MATCH(T203&amp;"|"&amp;U203,LAYOUT!$E$2:$E$80,0)),"CEK SHELVING KE di luar layout",IF($I203="","CEK SERIES kosong",IF($D203="","Zona STOCK",IF($E203="","CEK SKU DESCRIPTION kosong",IF(COUNTIFS($I$2:$I$500,$I203,T$2:T$500,"&lt;&gt;"&amp;T203,T$2:T$500,"&lt;&gt;")&gt;0,"CEK jenis fixture beda dalam satu series","OK")))))))))</f>
        <v/>
      </c>
      <c r="X203" s="11" t="n"/>
      <c r="Y203" s="11" t="n"/>
      <c r="Z203" s="12" t="n"/>
      <c r="AA203" s="12" t="n"/>
      <c r="AB203" s="11" t="n"/>
      <c r="AC203" s="11" t="n"/>
      <c r="AD203" s="11" t="n"/>
      <c r="AE203" s="11" t="n"/>
      <c r="AF203" s="11" t="n"/>
      <c r="AG203" s="11" t="n"/>
      <c r="AH203" s="12" t="n"/>
      <c r="AI203" s="12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>
        <f>IF(OR(L204="",M204=""),"",IFERROR(INDEX(LAYOUT!$D$2:$D$80,MATCH(L204&amp;"|"&amp;M204,LAYOUT!$E$2:$E$80,0)),""))</f>
        <v/>
      </c>
      <c r="O204" s="12">
        <f>IF(AND(L204="",M204=""),IF(AND(P204="",Q204="",T204="",U204=""),IF(OR($D204&lt;&gt;"",$E204&lt;&gt;""),"Belum ditempatkan",""),""),IF(L204="","CEK JENIS FIXTURE kosong",IF(AND(LEFT(L204,7)&lt;&gt;"Gondola",LEFT(L204,6)&lt;&gt;"Endcap"),"CEK Fixture 1 hanya Gondola atau Endcap",IF(M204="","CEK SHELVING KE kosong",IF(ISNA(MATCH(L204&amp;"|"&amp;M204,LAYOUT!$E$2:$E$80,0)),"CEK SHELVING KE di luar layout",IF($I204="","CEK SERIES kosong",IF($D204="","Zona STOCK",IF($E204="","CEK SKU DESCRIPTION kosong",IF(COUNTIFS($I$2:$I$500,$I204,L$2:L$500,"&lt;&gt;"&amp;L204,L$2:L$500,"&lt;&gt;")&gt;0,"CEK jenis fixture beda dalam satu series","OK")))))))))</f>
        <v/>
      </c>
      <c r="P204" s="11" t="n"/>
      <c r="Q204" s="11" t="n"/>
      <c r="R204" s="11">
        <f>IF(OR(P204="",Q204=""),"",IFERROR(INDEX(LAYOUT!$D$2:$D$80,MATCH(P204&amp;"|"&amp;Q204,LAYOUT!$E$2:$E$80,0)),""))</f>
        <v/>
      </c>
      <c r="S204" s="12">
        <f>IF(AND(P204="",Q204=""),IF(AND(L204="",M204="",T204="",U204=""),IF(OR($D204&lt;&gt;"",$E204&lt;&gt;""),"Belum ditempatkan",""),""),IF(P204="","CEK JENIS FIXTURE kosong",IF(LEFT(P204,4)&lt;&gt;"Wall","CEK Fixture 2 hanya Wall",IF(Q204="","CEK SHELVING KE kosong",IF(ISNA(MATCH(P204&amp;"|"&amp;Q204,LAYOUT!$E$2:$E$80,0)),"CEK SHELVING KE di luar layout",IF($I204="","CEK SERIES kosong",IF($D204="","Zona STOCK",IF($E204="","CEK SKU DESCRIPTION kosong",IF(COUNTIFS($I$2:$I$500,$I204,P$2:P$500,"&lt;&gt;"&amp;P204,P$2:P$500,"&lt;&gt;")&gt;0,"CEK jenis fixture beda dalam satu series","OK")))))))))</f>
        <v/>
      </c>
      <c r="T204" s="11" t="n"/>
      <c r="U204" s="11" t="n"/>
      <c r="V204" s="11">
        <f>IF(OR(T204="",U204=""),"",IFERROR(INDEX(LAYOUT!$D$2:$D$80,MATCH(T204&amp;"|"&amp;U204,LAYOUT!$E$2:$E$80,0)),""))</f>
        <v/>
      </c>
      <c r="W204" s="12">
        <f>IF(AND(T204="",U204=""),IF(AND(L204="",M204="",P204="",Q204=""),IF(OR($D204&lt;&gt;"",$E204&lt;&gt;""),"Belum ditempatkan",""),""),IF(T204="","CEK JENIS FIXTURE kosong",IF(LEFT(T204,4)&lt;&gt;"Wall","CEK Fixture 3 hanya Wall",IF(U204="","CEK SHELVING KE kosong",IF(ISNA(MATCH(T204&amp;"|"&amp;U204,LAYOUT!$E$2:$E$80,0)),"CEK SHELVING KE di luar layout",IF($I204="","CEK SERIES kosong",IF($D204="","Zona STOCK",IF($E204="","CEK SKU DESCRIPTION kosong",IF(COUNTIFS($I$2:$I$500,$I204,T$2:T$500,"&lt;&gt;"&amp;T204,T$2:T$500,"&lt;&gt;")&gt;0,"CEK jenis fixture beda dalam satu series","OK")))))))))</f>
        <v/>
      </c>
      <c r="X204" s="11" t="n"/>
      <c r="Y204" s="11" t="n"/>
      <c r="Z204" s="12" t="n"/>
      <c r="AA204" s="12" t="n"/>
      <c r="AB204" s="11" t="n"/>
      <c r="AC204" s="11" t="n"/>
      <c r="AD204" s="11" t="n"/>
      <c r="AE204" s="11" t="n"/>
      <c r="AF204" s="11" t="n"/>
      <c r="AG204" s="11" t="n"/>
      <c r="AH204" s="12" t="n"/>
      <c r="AI204" s="12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>
        <f>IF(OR(L205="",M205=""),"",IFERROR(INDEX(LAYOUT!$D$2:$D$80,MATCH(L205&amp;"|"&amp;M205,LAYOUT!$E$2:$E$80,0)),""))</f>
        <v/>
      </c>
      <c r="O205" s="12">
        <f>IF(AND(L205="",M205=""),IF(AND(P205="",Q205="",T205="",U205=""),IF(OR($D205&lt;&gt;"",$E205&lt;&gt;""),"Belum ditempatkan",""),""),IF(L205="","CEK JENIS FIXTURE kosong",IF(AND(LEFT(L205,7)&lt;&gt;"Gondola",LEFT(L205,6)&lt;&gt;"Endcap"),"CEK Fixture 1 hanya Gondola atau Endcap",IF(M205="","CEK SHELVING KE kosong",IF(ISNA(MATCH(L205&amp;"|"&amp;M205,LAYOUT!$E$2:$E$80,0)),"CEK SHELVING KE di luar layout",IF($I205="","CEK SERIES kosong",IF($D205="","Zona STOCK",IF($E205="","CEK SKU DESCRIPTION kosong",IF(COUNTIFS($I$2:$I$500,$I205,L$2:L$500,"&lt;&gt;"&amp;L205,L$2:L$500,"&lt;&gt;")&gt;0,"CEK jenis fixture beda dalam satu series","OK")))))))))</f>
        <v/>
      </c>
      <c r="P205" s="11" t="n"/>
      <c r="Q205" s="11" t="n"/>
      <c r="R205" s="11">
        <f>IF(OR(P205="",Q205=""),"",IFERROR(INDEX(LAYOUT!$D$2:$D$80,MATCH(P205&amp;"|"&amp;Q205,LAYOUT!$E$2:$E$80,0)),""))</f>
        <v/>
      </c>
      <c r="S205" s="12">
        <f>IF(AND(P205="",Q205=""),IF(AND(L205="",M205="",T205="",U205=""),IF(OR($D205&lt;&gt;"",$E205&lt;&gt;""),"Belum ditempatkan",""),""),IF(P205="","CEK JENIS FIXTURE kosong",IF(LEFT(P205,4)&lt;&gt;"Wall","CEK Fixture 2 hanya Wall",IF(Q205="","CEK SHELVING KE kosong",IF(ISNA(MATCH(P205&amp;"|"&amp;Q205,LAYOUT!$E$2:$E$80,0)),"CEK SHELVING KE di luar layout",IF($I205="","CEK SERIES kosong",IF($D205="","Zona STOCK",IF($E205="","CEK SKU DESCRIPTION kosong",IF(COUNTIFS($I$2:$I$500,$I205,P$2:P$500,"&lt;&gt;"&amp;P205,P$2:P$500,"&lt;&gt;")&gt;0,"CEK jenis fixture beda dalam satu series","OK")))))))))</f>
        <v/>
      </c>
      <c r="T205" s="11" t="n"/>
      <c r="U205" s="11" t="n"/>
      <c r="V205" s="11">
        <f>IF(OR(T205="",U205=""),"",IFERROR(INDEX(LAYOUT!$D$2:$D$80,MATCH(T205&amp;"|"&amp;U205,LAYOUT!$E$2:$E$80,0)),""))</f>
        <v/>
      </c>
      <c r="W205" s="12">
        <f>IF(AND(T205="",U205=""),IF(AND(L205="",M205="",P205="",Q205=""),IF(OR($D205&lt;&gt;"",$E205&lt;&gt;""),"Belum ditempatkan",""),""),IF(T205="","CEK JENIS FIXTURE kosong",IF(LEFT(T205,4)&lt;&gt;"Wall","CEK Fixture 3 hanya Wall",IF(U205="","CEK SHELVING KE kosong",IF(ISNA(MATCH(T205&amp;"|"&amp;U205,LAYOUT!$E$2:$E$80,0)),"CEK SHELVING KE di luar layout",IF($I205="","CEK SERIES kosong",IF($D205="","Zona STOCK",IF($E205="","CEK SKU DESCRIPTION kosong",IF(COUNTIFS($I$2:$I$500,$I205,T$2:T$500,"&lt;&gt;"&amp;T205,T$2:T$500,"&lt;&gt;")&gt;0,"CEK jenis fixture beda dalam satu series","OK")))))))))</f>
        <v/>
      </c>
      <c r="X205" s="11" t="n"/>
      <c r="Y205" s="11" t="n"/>
      <c r="Z205" s="12" t="n"/>
      <c r="AA205" s="12" t="n"/>
      <c r="AB205" s="11" t="n"/>
      <c r="AC205" s="11" t="n"/>
      <c r="AD205" s="11" t="n"/>
      <c r="AE205" s="11" t="n"/>
      <c r="AF205" s="11" t="n"/>
      <c r="AG205" s="11" t="n"/>
      <c r="AH205" s="12" t="n"/>
      <c r="AI205" s="12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>
        <f>IF(OR(L206="",M206=""),"",IFERROR(INDEX(LAYOUT!$D$2:$D$80,MATCH(L206&amp;"|"&amp;M206,LAYOUT!$E$2:$E$80,0)),""))</f>
        <v/>
      </c>
      <c r="O206" s="12">
        <f>IF(AND(L206="",M206=""),IF(AND(P206="",Q206="",T206="",U206=""),IF(OR($D206&lt;&gt;"",$E206&lt;&gt;""),"Belum ditempatkan",""),""),IF(L206="","CEK JENIS FIXTURE kosong",IF(AND(LEFT(L206,7)&lt;&gt;"Gondola",LEFT(L206,6)&lt;&gt;"Endcap"),"CEK Fixture 1 hanya Gondola atau Endcap",IF(M206="","CEK SHELVING KE kosong",IF(ISNA(MATCH(L206&amp;"|"&amp;M206,LAYOUT!$E$2:$E$80,0)),"CEK SHELVING KE di luar layout",IF($I206="","CEK SERIES kosong",IF($D206="","Zona STOCK",IF($E206="","CEK SKU DESCRIPTION kosong",IF(COUNTIFS($I$2:$I$500,$I206,L$2:L$500,"&lt;&gt;"&amp;L206,L$2:L$500,"&lt;&gt;")&gt;0,"CEK jenis fixture beda dalam satu series","OK")))))))))</f>
        <v/>
      </c>
      <c r="P206" s="11" t="n"/>
      <c r="Q206" s="11" t="n"/>
      <c r="R206" s="11">
        <f>IF(OR(P206="",Q206=""),"",IFERROR(INDEX(LAYOUT!$D$2:$D$80,MATCH(P206&amp;"|"&amp;Q206,LAYOUT!$E$2:$E$80,0)),""))</f>
        <v/>
      </c>
      <c r="S206" s="12">
        <f>IF(AND(P206="",Q206=""),IF(AND(L206="",M206="",T206="",U206=""),IF(OR($D206&lt;&gt;"",$E206&lt;&gt;""),"Belum ditempatkan",""),""),IF(P206="","CEK JENIS FIXTURE kosong",IF(LEFT(P206,4)&lt;&gt;"Wall","CEK Fixture 2 hanya Wall",IF(Q206="","CEK SHELVING KE kosong",IF(ISNA(MATCH(P206&amp;"|"&amp;Q206,LAYOUT!$E$2:$E$80,0)),"CEK SHELVING KE di luar layout",IF($I206="","CEK SERIES kosong",IF($D206="","Zona STOCK",IF($E206="","CEK SKU DESCRIPTION kosong",IF(COUNTIFS($I$2:$I$500,$I206,P$2:P$500,"&lt;&gt;"&amp;P206,P$2:P$500,"&lt;&gt;")&gt;0,"CEK jenis fixture beda dalam satu series","OK")))))))))</f>
        <v/>
      </c>
      <c r="T206" s="11" t="n"/>
      <c r="U206" s="11" t="n"/>
      <c r="V206" s="11">
        <f>IF(OR(T206="",U206=""),"",IFERROR(INDEX(LAYOUT!$D$2:$D$80,MATCH(T206&amp;"|"&amp;U206,LAYOUT!$E$2:$E$80,0)),""))</f>
        <v/>
      </c>
      <c r="W206" s="12">
        <f>IF(AND(T206="",U206=""),IF(AND(L206="",M206="",P206="",Q206=""),IF(OR($D206&lt;&gt;"",$E206&lt;&gt;""),"Belum ditempatkan",""),""),IF(T206="","CEK JENIS FIXTURE kosong",IF(LEFT(T206,4)&lt;&gt;"Wall","CEK Fixture 3 hanya Wall",IF(U206="","CEK SHELVING KE kosong",IF(ISNA(MATCH(T206&amp;"|"&amp;U206,LAYOUT!$E$2:$E$80,0)),"CEK SHELVING KE di luar layout",IF($I206="","CEK SERIES kosong",IF($D206="","Zona STOCK",IF($E206="","CEK SKU DESCRIPTION kosong",IF(COUNTIFS($I$2:$I$500,$I206,T$2:T$500,"&lt;&gt;"&amp;T206,T$2:T$500,"&lt;&gt;")&gt;0,"CEK jenis fixture beda dalam satu series","OK")))))))))</f>
        <v/>
      </c>
      <c r="X206" s="11" t="n"/>
      <c r="Y206" s="11" t="n"/>
      <c r="Z206" s="12" t="n"/>
      <c r="AA206" s="12" t="n"/>
      <c r="AB206" s="11" t="n"/>
      <c r="AC206" s="11" t="n"/>
      <c r="AD206" s="11" t="n"/>
      <c r="AE206" s="11" t="n"/>
      <c r="AF206" s="11" t="n"/>
      <c r="AG206" s="11" t="n"/>
      <c r="AH206" s="12" t="n"/>
      <c r="AI206" s="12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>
        <f>IF(OR(L207="",M207=""),"",IFERROR(INDEX(LAYOUT!$D$2:$D$80,MATCH(L207&amp;"|"&amp;M207,LAYOUT!$E$2:$E$80,0)),""))</f>
        <v/>
      </c>
      <c r="O207" s="12">
        <f>IF(AND(L207="",M207=""),IF(AND(P207="",Q207="",T207="",U207=""),IF(OR($D207&lt;&gt;"",$E207&lt;&gt;""),"Belum ditempatkan",""),""),IF(L207="","CEK JENIS FIXTURE kosong",IF(AND(LEFT(L207,7)&lt;&gt;"Gondola",LEFT(L207,6)&lt;&gt;"Endcap"),"CEK Fixture 1 hanya Gondola atau Endcap",IF(M207="","CEK SHELVING KE kosong",IF(ISNA(MATCH(L207&amp;"|"&amp;M207,LAYOUT!$E$2:$E$80,0)),"CEK SHELVING KE di luar layout",IF($I207="","CEK SERIES kosong",IF($D207="","Zona STOCK",IF($E207="","CEK SKU DESCRIPTION kosong",IF(COUNTIFS($I$2:$I$500,$I207,L$2:L$500,"&lt;&gt;"&amp;L207,L$2:L$500,"&lt;&gt;")&gt;0,"CEK jenis fixture beda dalam satu series","OK")))))))))</f>
        <v/>
      </c>
      <c r="P207" s="11" t="n"/>
      <c r="Q207" s="11" t="n"/>
      <c r="R207" s="11">
        <f>IF(OR(P207="",Q207=""),"",IFERROR(INDEX(LAYOUT!$D$2:$D$80,MATCH(P207&amp;"|"&amp;Q207,LAYOUT!$E$2:$E$80,0)),""))</f>
        <v/>
      </c>
      <c r="S207" s="12">
        <f>IF(AND(P207="",Q207=""),IF(AND(L207="",M207="",T207="",U207=""),IF(OR($D207&lt;&gt;"",$E207&lt;&gt;""),"Belum ditempatkan",""),""),IF(P207="","CEK JENIS FIXTURE kosong",IF(LEFT(P207,4)&lt;&gt;"Wall","CEK Fixture 2 hanya Wall",IF(Q207="","CEK SHELVING KE kosong",IF(ISNA(MATCH(P207&amp;"|"&amp;Q207,LAYOUT!$E$2:$E$80,0)),"CEK SHELVING KE di luar layout",IF($I207="","CEK SERIES kosong",IF($D207="","Zona STOCK",IF($E207="","CEK SKU DESCRIPTION kosong",IF(COUNTIFS($I$2:$I$500,$I207,P$2:P$500,"&lt;&gt;"&amp;P207,P$2:P$500,"&lt;&gt;")&gt;0,"CEK jenis fixture beda dalam satu series","OK")))))))))</f>
        <v/>
      </c>
      <c r="T207" s="11" t="n"/>
      <c r="U207" s="11" t="n"/>
      <c r="V207" s="11">
        <f>IF(OR(T207="",U207=""),"",IFERROR(INDEX(LAYOUT!$D$2:$D$80,MATCH(T207&amp;"|"&amp;U207,LAYOUT!$E$2:$E$80,0)),""))</f>
        <v/>
      </c>
      <c r="W207" s="12">
        <f>IF(AND(T207="",U207=""),IF(AND(L207="",M207="",P207="",Q207=""),IF(OR($D207&lt;&gt;"",$E207&lt;&gt;""),"Belum ditempatkan",""),""),IF(T207="","CEK JENIS FIXTURE kosong",IF(LEFT(T207,4)&lt;&gt;"Wall","CEK Fixture 3 hanya Wall",IF(U207="","CEK SHELVING KE kosong",IF(ISNA(MATCH(T207&amp;"|"&amp;U207,LAYOUT!$E$2:$E$80,0)),"CEK SHELVING KE di luar layout",IF($I207="","CEK SERIES kosong",IF($D207="","Zona STOCK",IF($E207="","CEK SKU DESCRIPTION kosong",IF(COUNTIFS($I$2:$I$500,$I207,T$2:T$500,"&lt;&gt;"&amp;T207,T$2:T$500,"&lt;&gt;")&gt;0,"CEK jenis fixture beda dalam satu series","OK")))))))))</f>
        <v/>
      </c>
      <c r="X207" s="11" t="n"/>
      <c r="Y207" s="11" t="n"/>
      <c r="Z207" s="12" t="n"/>
      <c r="AA207" s="12" t="n"/>
      <c r="AB207" s="11" t="n"/>
      <c r="AC207" s="11" t="n"/>
      <c r="AD207" s="11" t="n"/>
      <c r="AE207" s="11" t="n"/>
      <c r="AF207" s="11" t="n"/>
      <c r="AG207" s="11" t="n"/>
      <c r="AH207" s="12" t="n"/>
      <c r="AI207" s="12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>
        <f>IF(OR(L208="",M208=""),"",IFERROR(INDEX(LAYOUT!$D$2:$D$80,MATCH(L208&amp;"|"&amp;M208,LAYOUT!$E$2:$E$80,0)),""))</f>
        <v/>
      </c>
      <c r="O208" s="12">
        <f>IF(AND(L208="",M208=""),IF(AND(P208="",Q208="",T208="",U208=""),IF(OR($D208&lt;&gt;"",$E208&lt;&gt;""),"Belum ditempatkan",""),""),IF(L208="","CEK JENIS FIXTURE kosong",IF(AND(LEFT(L208,7)&lt;&gt;"Gondola",LEFT(L208,6)&lt;&gt;"Endcap"),"CEK Fixture 1 hanya Gondola atau Endcap",IF(M208="","CEK SHELVING KE kosong",IF(ISNA(MATCH(L208&amp;"|"&amp;M208,LAYOUT!$E$2:$E$80,0)),"CEK SHELVING KE di luar layout",IF($I208="","CEK SERIES kosong",IF($D208="","Zona STOCK",IF($E208="","CEK SKU DESCRIPTION kosong",IF(COUNTIFS($I$2:$I$500,$I208,L$2:L$500,"&lt;&gt;"&amp;L208,L$2:L$500,"&lt;&gt;")&gt;0,"CEK jenis fixture beda dalam satu series","OK")))))))))</f>
        <v/>
      </c>
      <c r="P208" s="11" t="n"/>
      <c r="Q208" s="11" t="n"/>
      <c r="R208" s="11">
        <f>IF(OR(P208="",Q208=""),"",IFERROR(INDEX(LAYOUT!$D$2:$D$80,MATCH(P208&amp;"|"&amp;Q208,LAYOUT!$E$2:$E$80,0)),""))</f>
        <v/>
      </c>
      <c r="S208" s="12">
        <f>IF(AND(P208="",Q208=""),IF(AND(L208="",M208="",T208="",U208=""),IF(OR($D208&lt;&gt;"",$E208&lt;&gt;""),"Belum ditempatkan",""),""),IF(P208="","CEK JENIS FIXTURE kosong",IF(LEFT(P208,4)&lt;&gt;"Wall","CEK Fixture 2 hanya Wall",IF(Q208="","CEK SHELVING KE kosong",IF(ISNA(MATCH(P208&amp;"|"&amp;Q208,LAYOUT!$E$2:$E$80,0)),"CEK SHELVING KE di luar layout",IF($I208="","CEK SERIES kosong",IF($D208="","Zona STOCK",IF($E208="","CEK SKU DESCRIPTION kosong",IF(COUNTIFS($I$2:$I$500,$I208,P$2:P$500,"&lt;&gt;"&amp;P208,P$2:P$500,"&lt;&gt;")&gt;0,"CEK jenis fixture beda dalam satu series","OK")))))))))</f>
        <v/>
      </c>
      <c r="T208" s="11" t="n"/>
      <c r="U208" s="11" t="n"/>
      <c r="V208" s="11">
        <f>IF(OR(T208="",U208=""),"",IFERROR(INDEX(LAYOUT!$D$2:$D$80,MATCH(T208&amp;"|"&amp;U208,LAYOUT!$E$2:$E$80,0)),""))</f>
        <v/>
      </c>
      <c r="W208" s="12">
        <f>IF(AND(T208="",U208=""),IF(AND(L208="",M208="",P208="",Q208=""),IF(OR($D208&lt;&gt;"",$E208&lt;&gt;""),"Belum ditempatkan",""),""),IF(T208="","CEK JENIS FIXTURE kosong",IF(LEFT(T208,4)&lt;&gt;"Wall","CEK Fixture 3 hanya Wall",IF(U208="","CEK SHELVING KE kosong",IF(ISNA(MATCH(T208&amp;"|"&amp;U208,LAYOUT!$E$2:$E$80,0)),"CEK SHELVING KE di luar layout",IF($I208="","CEK SERIES kosong",IF($D208="","Zona STOCK",IF($E208="","CEK SKU DESCRIPTION kosong",IF(COUNTIFS($I$2:$I$500,$I208,T$2:T$500,"&lt;&gt;"&amp;T208,T$2:T$500,"&lt;&gt;")&gt;0,"CEK jenis fixture beda dalam satu series","OK")))))))))</f>
        <v/>
      </c>
      <c r="X208" s="11" t="n"/>
      <c r="Y208" s="11" t="n"/>
      <c r="Z208" s="12" t="n"/>
      <c r="AA208" s="12" t="n"/>
      <c r="AB208" s="11" t="n"/>
      <c r="AC208" s="11" t="n"/>
      <c r="AD208" s="11" t="n"/>
      <c r="AE208" s="11" t="n"/>
      <c r="AF208" s="11" t="n"/>
      <c r="AG208" s="11" t="n"/>
      <c r="AH208" s="12" t="n"/>
      <c r="AI208" s="12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>
        <f>IF(OR(L209="",M209=""),"",IFERROR(INDEX(LAYOUT!$D$2:$D$80,MATCH(L209&amp;"|"&amp;M209,LAYOUT!$E$2:$E$80,0)),""))</f>
        <v/>
      </c>
      <c r="O209" s="12">
        <f>IF(AND(L209="",M209=""),IF(AND(P209="",Q209="",T209="",U209=""),IF(OR($D209&lt;&gt;"",$E209&lt;&gt;""),"Belum ditempatkan",""),""),IF(L209="","CEK JENIS FIXTURE kosong",IF(AND(LEFT(L209,7)&lt;&gt;"Gondola",LEFT(L209,6)&lt;&gt;"Endcap"),"CEK Fixture 1 hanya Gondola atau Endcap",IF(M209="","CEK SHELVING KE kosong",IF(ISNA(MATCH(L209&amp;"|"&amp;M209,LAYOUT!$E$2:$E$80,0)),"CEK SHELVING KE di luar layout",IF($I209="","CEK SERIES kosong",IF($D209="","Zona STOCK",IF($E209="","CEK SKU DESCRIPTION kosong",IF(COUNTIFS($I$2:$I$500,$I209,L$2:L$500,"&lt;&gt;"&amp;L209,L$2:L$500,"&lt;&gt;")&gt;0,"CEK jenis fixture beda dalam satu series","OK")))))))))</f>
        <v/>
      </c>
      <c r="P209" s="11" t="n"/>
      <c r="Q209" s="11" t="n"/>
      <c r="R209" s="11">
        <f>IF(OR(P209="",Q209=""),"",IFERROR(INDEX(LAYOUT!$D$2:$D$80,MATCH(P209&amp;"|"&amp;Q209,LAYOUT!$E$2:$E$80,0)),""))</f>
        <v/>
      </c>
      <c r="S209" s="12">
        <f>IF(AND(P209="",Q209=""),IF(AND(L209="",M209="",T209="",U209=""),IF(OR($D209&lt;&gt;"",$E209&lt;&gt;""),"Belum ditempatkan",""),""),IF(P209="","CEK JENIS FIXTURE kosong",IF(LEFT(P209,4)&lt;&gt;"Wall","CEK Fixture 2 hanya Wall",IF(Q209="","CEK SHELVING KE kosong",IF(ISNA(MATCH(P209&amp;"|"&amp;Q209,LAYOUT!$E$2:$E$80,0)),"CEK SHELVING KE di luar layout",IF($I209="","CEK SERIES kosong",IF($D209="","Zona STOCK",IF($E209="","CEK SKU DESCRIPTION kosong",IF(COUNTIFS($I$2:$I$500,$I209,P$2:P$500,"&lt;&gt;"&amp;P209,P$2:P$500,"&lt;&gt;")&gt;0,"CEK jenis fixture beda dalam satu series","OK")))))))))</f>
        <v/>
      </c>
      <c r="T209" s="11" t="n"/>
      <c r="U209" s="11" t="n"/>
      <c r="V209" s="11">
        <f>IF(OR(T209="",U209=""),"",IFERROR(INDEX(LAYOUT!$D$2:$D$80,MATCH(T209&amp;"|"&amp;U209,LAYOUT!$E$2:$E$80,0)),""))</f>
        <v/>
      </c>
      <c r="W209" s="12">
        <f>IF(AND(T209="",U209=""),IF(AND(L209="",M209="",P209="",Q209=""),IF(OR($D209&lt;&gt;"",$E209&lt;&gt;""),"Belum ditempatkan",""),""),IF(T209="","CEK JENIS FIXTURE kosong",IF(LEFT(T209,4)&lt;&gt;"Wall","CEK Fixture 3 hanya Wall",IF(U209="","CEK SHELVING KE kosong",IF(ISNA(MATCH(T209&amp;"|"&amp;U209,LAYOUT!$E$2:$E$80,0)),"CEK SHELVING KE di luar layout",IF($I209="","CEK SERIES kosong",IF($D209="","Zona STOCK",IF($E209="","CEK SKU DESCRIPTION kosong",IF(COUNTIFS($I$2:$I$500,$I209,T$2:T$500,"&lt;&gt;"&amp;T209,T$2:T$500,"&lt;&gt;")&gt;0,"CEK jenis fixture beda dalam satu series","OK")))))))))</f>
        <v/>
      </c>
      <c r="X209" s="11" t="n"/>
      <c r="Y209" s="11" t="n"/>
      <c r="Z209" s="12" t="n"/>
      <c r="AA209" s="12" t="n"/>
      <c r="AB209" s="11" t="n"/>
      <c r="AC209" s="11" t="n"/>
      <c r="AD209" s="11" t="n"/>
      <c r="AE209" s="11" t="n"/>
      <c r="AF209" s="11" t="n"/>
      <c r="AG209" s="11" t="n"/>
      <c r="AH209" s="12" t="n"/>
      <c r="AI209" s="12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>
        <f>IF(OR(L210="",M210=""),"",IFERROR(INDEX(LAYOUT!$D$2:$D$80,MATCH(L210&amp;"|"&amp;M210,LAYOUT!$E$2:$E$80,0)),""))</f>
        <v/>
      </c>
      <c r="O210" s="12">
        <f>IF(AND(L210="",M210=""),IF(AND(P210="",Q210="",T210="",U210=""),IF(OR($D210&lt;&gt;"",$E210&lt;&gt;""),"Belum ditempatkan",""),""),IF(L210="","CEK JENIS FIXTURE kosong",IF(AND(LEFT(L210,7)&lt;&gt;"Gondola",LEFT(L210,6)&lt;&gt;"Endcap"),"CEK Fixture 1 hanya Gondola atau Endcap",IF(M210="","CEK SHELVING KE kosong",IF(ISNA(MATCH(L210&amp;"|"&amp;M210,LAYOUT!$E$2:$E$80,0)),"CEK SHELVING KE di luar layout",IF($I210="","CEK SERIES kosong",IF($D210="","Zona STOCK",IF($E210="","CEK SKU DESCRIPTION kosong",IF(COUNTIFS($I$2:$I$500,$I210,L$2:L$500,"&lt;&gt;"&amp;L210,L$2:L$500,"&lt;&gt;")&gt;0,"CEK jenis fixture beda dalam satu series","OK")))))))))</f>
        <v/>
      </c>
      <c r="P210" s="11" t="n"/>
      <c r="Q210" s="11" t="n"/>
      <c r="R210" s="11">
        <f>IF(OR(P210="",Q210=""),"",IFERROR(INDEX(LAYOUT!$D$2:$D$80,MATCH(P210&amp;"|"&amp;Q210,LAYOUT!$E$2:$E$80,0)),""))</f>
        <v/>
      </c>
      <c r="S210" s="12">
        <f>IF(AND(P210="",Q210=""),IF(AND(L210="",M210="",T210="",U210=""),IF(OR($D210&lt;&gt;"",$E210&lt;&gt;""),"Belum ditempatkan",""),""),IF(P210="","CEK JENIS FIXTURE kosong",IF(LEFT(P210,4)&lt;&gt;"Wall","CEK Fixture 2 hanya Wall",IF(Q210="","CEK SHELVING KE kosong",IF(ISNA(MATCH(P210&amp;"|"&amp;Q210,LAYOUT!$E$2:$E$80,0)),"CEK SHELVING KE di luar layout",IF($I210="","CEK SERIES kosong",IF($D210="","Zona STOCK",IF($E210="","CEK SKU DESCRIPTION kosong",IF(COUNTIFS($I$2:$I$500,$I210,P$2:P$500,"&lt;&gt;"&amp;P210,P$2:P$500,"&lt;&gt;")&gt;0,"CEK jenis fixture beda dalam satu series","OK")))))))))</f>
        <v/>
      </c>
      <c r="T210" s="11" t="n"/>
      <c r="U210" s="11" t="n"/>
      <c r="V210" s="11">
        <f>IF(OR(T210="",U210=""),"",IFERROR(INDEX(LAYOUT!$D$2:$D$80,MATCH(T210&amp;"|"&amp;U210,LAYOUT!$E$2:$E$80,0)),""))</f>
        <v/>
      </c>
      <c r="W210" s="12">
        <f>IF(AND(T210="",U210=""),IF(AND(L210="",M210="",P210="",Q210=""),IF(OR($D210&lt;&gt;"",$E210&lt;&gt;""),"Belum ditempatkan",""),""),IF(T210="","CEK JENIS FIXTURE kosong",IF(LEFT(T210,4)&lt;&gt;"Wall","CEK Fixture 3 hanya Wall",IF(U210="","CEK SHELVING KE kosong",IF(ISNA(MATCH(T210&amp;"|"&amp;U210,LAYOUT!$E$2:$E$80,0)),"CEK SHELVING KE di luar layout",IF($I210="","CEK SERIES kosong",IF($D210="","Zona STOCK",IF($E210="","CEK SKU DESCRIPTION kosong",IF(COUNTIFS($I$2:$I$500,$I210,T$2:T$500,"&lt;&gt;"&amp;T210,T$2:T$500,"&lt;&gt;")&gt;0,"CEK jenis fixture beda dalam satu series","OK")))))))))</f>
        <v/>
      </c>
      <c r="X210" s="11" t="n"/>
      <c r="Y210" s="11" t="n"/>
      <c r="Z210" s="12" t="n"/>
      <c r="AA210" s="12" t="n"/>
      <c r="AB210" s="11" t="n"/>
      <c r="AC210" s="11" t="n"/>
      <c r="AD210" s="11" t="n"/>
      <c r="AE210" s="11" t="n"/>
      <c r="AF210" s="11" t="n"/>
      <c r="AG210" s="11" t="n"/>
      <c r="AH210" s="12" t="n"/>
      <c r="AI210" s="12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>
        <f>IF(OR(L211="",M211=""),"",IFERROR(INDEX(LAYOUT!$D$2:$D$80,MATCH(L211&amp;"|"&amp;M211,LAYOUT!$E$2:$E$80,0)),""))</f>
        <v/>
      </c>
      <c r="O211" s="12">
        <f>IF(AND(L211="",M211=""),IF(AND(P211="",Q211="",T211="",U211=""),IF(OR($D211&lt;&gt;"",$E211&lt;&gt;""),"Belum ditempatkan",""),""),IF(L211="","CEK JENIS FIXTURE kosong",IF(AND(LEFT(L211,7)&lt;&gt;"Gondola",LEFT(L211,6)&lt;&gt;"Endcap"),"CEK Fixture 1 hanya Gondola atau Endcap",IF(M211="","CEK SHELVING KE kosong",IF(ISNA(MATCH(L211&amp;"|"&amp;M211,LAYOUT!$E$2:$E$80,0)),"CEK SHELVING KE di luar layout",IF($I211="","CEK SERIES kosong",IF($D211="","Zona STOCK",IF($E211="","CEK SKU DESCRIPTION kosong",IF(COUNTIFS($I$2:$I$500,$I211,L$2:L$500,"&lt;&gt;"&amp;L211,L$2:L$500,"&lt;&gt;")&gt;0,"CEK jenis fixture beda dalam satu series","OK")))))))))</f>
        <v/>
      </c>
      <c r="P211" s="11" t="n"/>
      <c r="Q211" s="11" t="n"/>
      <c r="R211" s="11">
        <f>IF(OR(P211="",Q211=""),"",IFERROR(INDEX(LAYOUT!$D$2:$D$80,MATCH(P211&amp;"|"&amp;Q211,LAYOUT!$E$2:$E$80,0)),""))</f>
        <v/>
      </c>
      <c r="S211" s="12">
        <f>IF(AND(P211="",Q211=""),IF(AND(L211="",M211="",T211="",U211=""),IF(OR($D211&lt;&gt;"",$E211&lt;&gt;""),"Belum ditempatkan",""),""),IF(P211="","CEK JENIS FIXTURE kosong",IF(LEFT(P211,4)&lt;&gt;"Wall","CEK Fixture 2 hanya Wall",IF(Q211="","CEK SHELVING KE kosong",IF(ISNA(MATCH(P211&amp;"|"&amp;Q211,LAYOUT!$E$2:$E$80,0)),"CEK SHELVING KE di luar layout",IF($I211="","CEK SERIES kosong",IF($D211="","Zona STOCK",IF($E211="","CEK SKU DESCRIPTION kosong",IF(COUNTIFS($I$2:$I$500,$I211,P$2:P$500,"&lt;&gt;"&amp;P211,P$2:P$500,"&lt;&gt;")&gt;0,"CEK jenis fixture beda dalam satu series","OK")))))))))</f>
        <v/>
      </c>
      <c r="T211" s="11" t="n"/>
      <c r="U211" s="11" t="n"/>
      <c r="V211" s="11">
        <f>IF(OR(T211="",U211=""),"",IFERROR(INDEX(LAYOUT!$D$2:$D$80,MATCH(T211&amp;"|"&amp;U211,LAYOUT!$E$2:$E$80,0)),""))</f>
        <v/>
      </c>
      <c r="W211" s="12">
        <f>IF(AND(T211="",U211=""),IF(AND(L211="",M211="",P211="",Q211=""),IF(OR($D211&lt;&gt;"",$E211&lt;&gt;""),"Belum ditempatkan",""),""),IF(T211="","CEK JENIS FIXTURE kosong",IF(LEFT(T211,4)&lt;&gt;"Wall","CEK Fixture 3 hanya Wall",IF(U211="","CEK SHELVING KE kosong",IF(ISNA(MATCH(T211&amp;"|"&amp;U211,LAYOUT!$E$2:$E$80,0)),"CEK SHELVING KE di luar layout",IF($I211="","CEK SERIES kosong",IF($D211="","Zona STOCK",IF($E211="","CEK SKU DESCRIPTION kosong",IF(COUNTIFS($I$2:$I$500,$I211,T$2:T$500,"&lt;&gt;"&amp;T211,T$2:T$500,"&lt;&gt;")&gt;0,"CEK jenis fixture beda dalam satu series","OK")))))))))</f>
        <v/>
      </c>
      <c r="X211" s="11" t="n"/>
      <c r="Y211" s="11" t="n"/>
      <c r="Z211" s="12" t="n"/>
      <c r="AA211" s="12" t="n"/>
      <c r="AB211" s="11" t="n"/>
      <c r="AC211" s="11" t="n"/>
      <c r="AD211" s="11" t="n"/>
      <c r="AE211" s="11" t="n"/>
      <c r="AF211" s="11" t="n"/>
      <c r="AG211" s="11" t="n"/>
      <c r="AH211" s="12" t="n"/>
      <c r="AI211" s="12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>
        <f>IF(OR(L212="",M212=""),"",IFERROR(INDEX(LAYOUT!$D$2:$D$80,MATCH(L212&amp;"|"&amp;M212,LAYOUT!$E$2:$E$80,0)),""))</f>
        <v/>
      </c>
      <c r="O212" s="12">
        <f>IF(AND(L212="",M212=""),IF(AND(P212="",Q212="",T212="",U212=""),IF(OR($D212&lt;&gt;"",$E212&lt;&gt;""),"Belum ditempatkan",""),""),IF(L212="","CEK JENIS FIXTURE kosong",IF(AND(LEFT(L212,7)&lt;&gt;"Gondola",LEFT(L212,6)&lt;&gt;"Endcap"),"CEK Fixture 1 hanya Gondola atau Endcap",IF(M212="","CEK SHELVING KE kosong",IF(ISNA(MATCH(L212&amp;"|"&amp;M212,LAYOUT!$E$2:$E$80,0)),"CEK SHELVING KE di luar layout",IF($I212="","CEK SERIES kosong",IF($D212="","Zona STOCK",IF($E212="","CEK SKU DESCRIPTION kosong",IF(COUNTIFS($I$2:$I$500,$I212,L$2:L$500,"&lt;&gt;"&amp;L212,L$2:L$500,"&lt;&gt;")&gt;0,"CEK jenis fixture beda dalam satu series","OK")))))))))</f>
        <v/>
      </c>
      <c r="P212" s="11" t="n"/>
      <c r="Q212" s="11" t="n"/>
      <c r="R212" s="11">
        <f>IF(OR(P212="",Q212=""),"",IFERROR(INDEX(LAYOUT!$D$2:$D$80,MATCH(P212&amp;"|"&amp;Q212,LAYOUT!$E$2:$E$80,0)),""))</f>
        <v/>
      </c>
      <c r="S212" s="12">
        <f>IF(AND(P212="",Q212=""),IF(AND(L212="",M212="",T212="",U212=""),IF(OR($D212&lt;&gt;"",$E212&lt;&gt;""),"Belum ditempatkan",""),""),IF(P212="","CEK JENIS FIXTURE kosong",IF(LEFT(P212,4)&lt;&gt;"Wall","CEK Fixture 2 hanya Wall",IF(Q212="","CEK SHELVING KE kosong",IF(ISNA(MATCH(P212&amp;"|"&amp;Q212,LAYOUT!$E$2:$E$80,0)),"CEK SHELVING KE di luar layout",IF($I212="","CEK SERIES kosong",IF($D212="","Zona STOCK",IF($E212="","CEK SKU DESCRIPTION kosong",IF(COUNTIFS($I$2:$I$500,$I212,P$2:P$500,"&lt;&gt;"&amp;P212,P$2:P$500,"&lt;&gt;")&gt;0,"CEK jenis fixture beda dalam satu series","OK")))))))))</f>
        <v/>
      </c>
      <c r="T212" s="11" t="n"/>
      <c r="U212" s="11" t="n"/>
      <c r="V212" s="11">
        <f>IF(OR(T212="",U212=""),"",IFERROR(INDEX(LAYOUT!$D$2:$D$80,MATCH(T212&amp;"|"&amp;U212,LAYOUT!$E$2:$E$80,0)),""))</f>
        <v/>
      </c>
      <c r="W212" s="12">
        <f>IF(AND(T212="",U212=""),IF(AND(L212="",M212="",P212="",Q212=""),IF(OR($D212&lt;&gt;"",$E212&lt;&gt;""),"Belum ditempatkan",""),""),IF(T212="","CEK JENIS FIXTURE kosong",IF(LEFT(T212,4)&lt;&gt;"Wall","CEK Fixture 3 hanya Wall",IF(U212="","CEK SHELVING KE kosong",IF(ISNA(MATCH(T212&amp;"|"&amp;U212,LAYOUT!$E$2:$E$80,0)),"CEK SHELVING KE di luar layout",IF($I212="","CEK SERIES kosong",IF($D212="","Zona STOCK",IF($E212="","CEK SKU DESCRIPTION kosong",IF(COUNTIFS($I$2:$I$500,$I212,T$2:T$500,"&lt;&gt;"&amp;T212,T$2:T$500,"&lt;&gt;")&gt;0,"CEK jenis fixture beda dalam satu series","OK")))))))))</f>
        <v/>
      </c>
      <c r="X212" s="11" t="n"/>
      <c r="Y212" s="11" t="n"/>
      <c r="Z212" s="12" t="n"/>
      <c r="AA212" s="12" t="n"/>
      <c r="AB212" s="11" t="n"/>
      <c r="AC212" s="11" t="n"/>
      <c r="AD212" s="11" t="n"/>
      <c r="AE212" s="11" t="n"/>
      <c r="AF212" s="11" t="n"/>
      <c r="AG212" s="11" t="n"/>
      <c r="AH212" s="12" t="n"/>
      <c r="AI212" s="12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>
        <f>IF(OR(L213="",M213=""),"",IFERROR(INDEX(LAYOUT!$D$2:$D$80,MATCH(L213&amp;"|"&amp;M213,LAYOUT!$E$2:$E$80,0)),""))</f>
        <v/>
      </c>
      <c r="O213" s="12">
        <f>IF(AND(L213="",M213=""),IF(AND(P213="",Q213="",T213="",U213=""),IF(OR($D213&lt;&gt;"",$E213&lt;&gt;""),"Belum ditempatkan",""),""),IF(L213="","CEK JENIS FIXTURE kosong",IF(AND(LEFT(L213,7)&lt;&gt;"Gondola",LEFT(L213,6)&lt;&gt;"Endcap"),"CEK Fixture 1 hanya Gondola atau Endcap",IF(M213="","CEK SHELVING KE kosong",IF(ISNA(MATCH(L213&amp;"|"&amp;M213,LAYOUT!$E$2:$E$80,0)),"CEK SHELVING KE di luar layout",IF($I213="","CEK SERIES kosong",IF($D213="","Zona STOCK",IF($E213="","CEK SKU DESCRIPTION kosong",IF(COUNTIFS($I$2:$I$500,$I213,L$2:L$500,"&lt;&gt;"&amp;L213,L$2:L$500,"&lt;&gt;")&gt;0,"CEK jenis fixture beda dalam satu series","OK")))))))))</f>
        <v/>
      </c>
      <c r="P213" s="11" t="n"/>
      <c r="Q213" s="11" t="n"/>
      <c r="R213" s="11">
        <f>IF(OR(P213="",Q213=""),"",IFERROR(INDEX(LAYOUT!$D$2:$D$80,MATCH(P213&amp;"|"&amp;Q213,LAYOUT!$E$2:$E$80,0)),""))</f>
        <v/>
      </c>
      <c r="S213" s="12">
        <f>IF(AND(P213="",Q213=""),IF(AND(L213="",M213="",T213="",U213=""),IF(OR($D213&lt;&gt;"",$E213&lt;&gt;""),"Belum ditempatkan",""),""),IF(P213="","CEK JENIS FIXTURE kosong",IF(LEFT(P213,4)&lt;&gt;"Wall","CEK Fixture 2 hanya Wall",IF(Q213="","CEK SHELVING KE kosong",IF(ISNA(MATCH(P213&amp;"|"&amp;Q213,LAYOUT!$E$2:$E$80,0)),"CEK SHELVING KE di luar layout",IF($I213="","CEK SERIES kosong",IF($D213="","Zona STOCK",IF($E213="","CEK SKU DESCRIPTION kosong",IF(COUNTIFS($I$2:$I$500,$I213,P$2:P$500,"&lt;&gt;"&amp;P213,P$2:P$500,"&lt;&gt;")&gt;0,"CEK jenis fixture beda dalam satu series","OK")))))))))</f>
        <v/>
      </c>
      <c r="T213" s="11" t="n"/>
      <c r="U213" s="11" t="n"/>
      <c r="V213" s="11">
        <f>IF(OR(T213="",U213=""),"",IFERROR(INDEX(LAYOUT!$D$2:$D$80,MATCH(T213&amp;"|"&amp;U213,LAYOUT!$E$2:$E$80,0)),""))</f>
        <v/>
      </c>
      <c r="W213" s="12">
        <f>IF(AND(T213="",U213=""),IF(AND(L213="",M213="",P213="",Q213=""),IF(OR($D213&lt;&gt;"",$E213&lt;&gt;""),"Belum ditempatkan",""),""),IF(T213="","CEK JENIS FIXTURE kosong",IF(LEFT(T213,4)&lt;&gt;"Wall","CEK Fixture 3 hanya Wall",IF(U213="","CEK SHELVING KE kosong",IF(ISNA(MATCH(T213&amp;"|"&amp;U213,LAYOUT!$E$2:$E$80,0)),"CEK SHELVING KE di luar layout",IF($I213="","CEK SERIES kosong",IF($D213="","Zona STOCK",IF($E213="","CEK SKU DESCRIPTION kosong",IF(COUNTIFS($I$2:$I$500,$I213,T$2:T$500,"&lt;&gt;"&amp;T213,T$2:T$500,"&lt;&gt;")&gt;0,"CEK jenis fixture beda dalam satu series","OK")))))))))</f>
        <v/>
      </c>
      <c r="X213" s="11" t="n"/>
      <c r="Y213" s="11" t="n"/>
      <c r="Z213" s="12" t="n"/>
      <c r="AA213" s="12" t="n"/>
      <c r="AB213" s="11" t="n"/>
      <c r="AC213" s="11" t="n"/>
      <c r="AD213" s="11" t="n"/>
      <c r="AE213" s="11" t="n"/>
      <c r="AF213" s="11" t="n"/>
      <c r="AG213" s="11" t="n"/>
      <c r="AH213" s="12" t="n"/>
      <c r="AI213" s="12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>
        <f>IF(OR(L214="",M214=""),"",IFERROR(INDEX(LAYOUT!$D$2:$D$80,MATCH(L214&amp;"|"&amp;M214,LAYOUT!$E$2:$E$80,0)),""))</f>
        <v/>
      </c>
      <c r="O214" s="12">
        <f>IF(AND(L214="",M214=""),IF(AND(P214="",Q214="",T214="",U214=""),IF(OR($D214&lt;&gt;"",$E214&lt;&gt;""),"Belum ditempatkan",""),""),IF(L214="","CEK JENIS FIXTURE kosong",IF(AND(LEFT(L214,7)&lt;&gt;"Gondola",LEFT(L214,6)&lt;&gt;"Endcap"),"CEK Fixture 1 hanya Gondola atau Endcap",IF(M214="","CEK SHELVING KE kosong",IF(ISNA(MATCH(L214&amp;"|"&amp;M214,LAYOUT!$E$2:$E$80,0)),"CEK SHELVING KE di luar layout",IF($I214="","CEK SERIES kosong",IF($D214="","Zona STOCK",IF($E214="","CEK SKU DESCRIPTION kosong",IF(COUNTIFS($I$2:$I$500,$I214,L$2:L$500,"&lt;&gt;"&amp;L214,L$2:L$500,"&lt;&gt;")&gt;0,"CEK jenis fixture beda dalam satu series","OK")))))))))</f>
        <v/>
      </c>
      <c r="P214" s="11" t="n"/>
      <c r="Q214" s="11" t="n"/>
      <c r="R214" s="11">
        <f>IF(OR(P214="",Q214=""),"",IFERROR(INDEX(LAYOUT!$D$2:$D$80,MATCH(P214&amp;"|"&amp;Q214,LAYOUT!$E$2:$E$80,0)),""))</f>
        <v/>
      </c>
      <c r="S214" s="12">
        <f>IF(AND(P214="",Q214=""),IF(AND(L214="",M214="",T214="",U214=""),IF(OR($D214&lt;&gt;"",$E214&lt;&gt;""),"Belum ditempatkan",""),""),IF(P214="","CEK JENIS FIXTURE kosong",IF(LEFT(P214,4)&lt;&gt;"Wall","CEK Fixture 2 hanya Wall",IF(Q214="","CEK SHELVING KE kosong",IF(ISNA(MATCH(P214&amp;"|"&amp;Q214,LAYOUT!$E$2:$E$80,0)),"CEK SHELVING KE di luar layout",IF($I214="","CEK SERIES kosong",IF($D214="","Zona STOCK",IF($E214="","CEK SKU DESCRIPTION kosong",IF(COUNTIFS($I$2:$I$500,$I214,P$2:P$500,"&lt;&gt;"&amp;P214,P$2:P$500,"&lt;&gt;")&gt;0,"CEK jenis fixture beda dalam satu series","OK")))))))))</f>
        <v/>
      </c>
      <c r="T214" s="11" t="n"/>
      <c r="U214" s="11" t="n"/>
      <c r="V214" s="11">
        <f>IF(OR(T214="",U214=""),"",IFERROR(INDEX(LAYOUT!$D$2:$D$80,MATCH(T214&amp;"|"&amp;U214,LAYOUT!$E$2:$E$80,0)),""))</f>
        <v/>
      </c>
      <c r="W214" s="12">
        <f>IF(AND(T214="",U214=""),IF(AND(L214="",M214="",P214="",Q214=""),IF(OR($D214&lt;&gt;"",$E214&lt;&gt;""),"Belum ditempatkan",""),""),IF(T214="","CEK JENIS FIXTURE kosong",IF(LEFT(T214,4)&lt;&gt;"Wall","CEK Fixture 3 hanya Wall",IF(U214="","CEK SHELVING KE kosong",IF(ISNA(MATCH(T214&amp;"|"&amp;U214,LAYOUT!$E$2:$E$80,0)),"CEK SHELVING KE di luar layout",IF($I214="","CEK SERIES kosong",IF($D214="","Zona STOCK",IF($E214="","CEK SKU DESCRIPTION kosong",IF(COUNTIFS($I$2:$I$500,$I214,T$2:T$500,"&lt;&gt;"&amp;T214,T$2:T$500,"&lt;&gt;")&gt;0,"CEK jenis fixture beda dalam satu series","OK")))))))))</f>
        <v/>
      </c>
      <c r="X214" s="11" t="n"/>
      <c r="Y214" s="11" t="n"/>
      <c r="Z214" s="12" t="n"/>
      <c r="AA214" s="12" t="n"/>
      <c r="AB214" s="11" t="n"/>
      <c r="AC214" s="11" t="n"/>
      <c r="AD214" s="11" t="n"/>
      <c r="AE214" s="11" t="n"/>
      <c r="AF214" s="11" t="n"/>
      <c r="AG214" s="11" t="n"/>
      <c r="AH214" s="12" t="n"/>
      <c r="AI214" s="12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>
        <f>IF(OR(L215="",M215=""),"",IFERROR(INDEX(LAYOUT!$D$2:$D$80,MATCH(L215&amp;"|"&amp;M215,LAYOUT!$E$2:$E$80,0)),""))</f>
        <v/>
      </c>
      <c r="O215" s="12">
        <f>IF(AND(L215="",M215=""),IF(AND(P215="",Q215="",T215="",U215=""),IF(OR($D215&lt;&gt;"",$E215&lt;&gt;""),"Belum ditempatkan",""),""),IF(L215="","CEK JENIS FIXTURE kosong",IF(AND(LEFT(L215,7)&lt;&gt;"Gondola",LEFT(L215,6)&lt;&gt;"Endcap"),"CEK Fixture 1 hanya Gondola atau Endcap",IF(M215="","CEK SHELVING KE kosong",IF(ISNA(MATCH(L215&amp;"|"&amp;M215,LAYOUT!$E$2:$E$80,0)),"CEK SHELVING KE di luar layout",IF($I215="","CEK SERIES kosong",IF($D215="","Zona STOCK",IF($E215="","CEK SKU DESCRIPTION kosong",IF(COUNTIFS($I$2:$I$500,$I215,L$2:L$500,"&lt;&gt;"&amp;L215,L$2:L$500,"&lt;&gt;")&gt;0,"CEK jenis fixture beda dalam satu series","OK")))))))))</f>
        <v/>
      </c>
      <c r="P215" s="11" t="n"/>
      <c r="Q215" s="11" t="n"/>
      <c r="R215" s="11">
        <f>IF(OR(P215="",Q215=""),"",IFERROR(INDEX(LAYOUT!$D$2:$D$80,MATCH(P215&amp;"|"&amp;Q215,LAYOUT!$E$2:$E$80,0)),""))</f>
        <v/>
      </c>
      <c r="S215" s="12">
        <f>IF(AND(P215="",Q215=""),IF(AND(L215="",M215="",T215="",U215=""),IF(OR($D215&lt;&gt;"",$E215&lt;&gt;""),"Belum ditempatkan",""),""),IF(P215="","CEK JENIS FIXTURE kosong",IF(LEFT(P215,4)&lt;&gt;"Wall","CEK Fixture 2 hanya Wall",IF(Q215="","CEK SHELVING KE kosong",IF(ISNA(MATCH(P215&amp;"|"&amp;Q215,LAYOUT!$E$2:$E$80,0)),"CEK SHELVING KE di luar layout",IF($I215="","CEK SERIES kosong",IF($D215="","Zona STOCK",IF($E215="","CEK SKU DESCRIPTION kosong",IF(COUNTIFS($I$2:$I$500,$I215,P$2:P$500,"&lt;&gt;"&amp;P215,P$2:P$500,"&lt;&gt;")&gt;0,"CEK jenis fixture beda dalam satu series","OK")))))))))</f>
        <v/>
      </c>
      <c r="T215" s="11" t="n"/>
      <c r="U215" s="11" t="n"/>
      <c r="V215" s="11">
        <f>IF(OR(T215="",U215=""),"",IFERROR(INDEX(LAYOUT!$D$2:$D$80,MATCH(T215&amp;"|"&amp;U215,LAYOUT!$E$2:$E$80,0)),""))</f>
        <v/>
      </c>
      <c r="W215" s="12">
        <f>IF(AND(T215="",U215=""),IF(AND(L215="",M215="",P215="",Q215=""),IF(OR($D215&lt;&gt;"",$E215&lt;&gt;""),"Belum ditempatkan",""),""),IF(T215="","CEK JENIS FIXTURE kosong",IF(LEFT(T215,4)&lt;&gt;"Wall","CEK Fixture 3 hanya Wall",IF(U215="","CEK SHELVING KE kosong",IF(ISNA(MATCH(T215&amp;"|"&amp;U215,LAYOUT!$E$2:$E$80,0)),"CEK SHELVING KE di luar layout",IF($I215="","CEK SERIES kosong",IF($D215="","Zona STOCK",IF($E215="","CEK SKU DESCRIPTION kosong",IF(COUNTIFS($I$2:$I$500,$I215,T$2:T$500,"&lt;&gt;"&amp;T215,T$2:T$500,"&lt;&gt;")&gt;0,"CEK jenis fixture beda dalam satu series","OK")))))))))</f>
        <v/>
      </c>
      <c r="X215" s="11" t="n"/>
      <c r="Y215" s="11" t="n"/>
      <c r="Z215" s="12" t="n"/>
      <c r="AA215" s="12" t="n"/>
      <c r="AB215" s="11" t="n"/>
      <c r="AC215" s="11" t="n"/>
      <c r="AD215" s="11" t="n"/>
      <c r="AE215" s="11" t="n"/>
      <c r="AF215" s="11" t="n"/>
      <c r="AG215" s="11" t="n"/>
      <c r="AH215" s="12" t="n"/>
      <c r="AI215" s="12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>
        <f>IF(OR(L216="",M216=""),"",IFERROR(INDEX(LAYOUT!$D$2:$D$80,MATCH(L216&amp;"|"&amp;M216,LAYOUT!$E$2:$E$80,0)),""))</f>
        <v/>
      </c>
      <c r="O216" s="12">
        <f>IF(AND(L216="",M216=""),IF(AND(P216="",Q216="",T216="",U216=""),IF(OR($D216&lt;&gt;"",$E216&lt;&gt;""),"Belum ditempatkan",""),""),IF(L216="","CEK JENIS FIXTURE kosong",IF(AND(LEFT(L216,7)&lt;&gt;"Gondola",LEFT(L216,6)&lt;&gt;"Endcap"),"CEK Fixture 1 hanya Gondola atau Endcap",IF(M216="","CEK SHELVING KE kosong",IF(ISNA(MATCH(L216&amp;"|"&amp;M216,LAYOUT!$E$2:$E$80,0)),"CEK SHELVING KE di luar layout",IF($I216="","CEK SERIES kosong",IF($D216="","Zona STOCK",IF($E216="","CEK SKU DESCRIPTION kosong",IF(COUNTIFS($I$2:$I$500,$I216,L$2:L$500,"&lt;&gt;"&amp;L216,L$2:L$500,"&lt;&gt;")&gt;0,"CEK jenis fixture beda dalam satu series","OK")))))))))</f>
        <v/>
      </c>
      <c r="P216" s="11" t="n"/>
      <c r="Q216" s="11" t="n"/>
      <c r="R216" s="11">
        <f>IF(OR(P216="",Q216=""),"",IFERROR(INDEX(LAYOUT!$D$2:$D$80,MATCH(P216&amp;"|"&amp;Q216,LAYOUT!$E$2:$E$80,0)),""))</f>
        <v/>
      </c>
      <c r="S216" s="12">
        <f>IF(AND(P216="",Q216=""),IF(AND(L216="",M216="",T216="",U216=""),IF(OR($D216&lt;&gt;"",$E216&lt;&gt;""),"Belum ditempatkan",""),""),IF(P216="","CEK JENIS FIXTURE kosong",IF(LEFT(P216,4)&lt;&gt;"Wall","CEK Fixture 2 hanya Wall",IF(Q216="","CEK SHELVING KE kosong",IF(ISNA(MATCH(P216&amp;"|"&amp;Q216,LAYOUT!$E$2:$E$80,0)),"CEK SHELVING KE di luar layout",IF($I216="","CEK SERIES kosong",IF($D216="","Zona STOCK",IF($E216="","CEK SKU DESCRIPTION kosong",IF(COUNTIFS($I$2:$I$500,$I216,P$2:P$500,"&lt;&gt;"&amp;P216,P$2:P$500,"&lt;&gt;")&gt;0,"CEK jenis fixture beda dalam satu series","OK")))))))))</f>
        <v/>
      </c>
      <c r="T216" s="11" t="n"/>
      <c r="U216" s="11" t="n"/>
      <c r="V216" s="11">
        <f>IF(OR(T216="",U216=""),"",IFERROR(INDEX(LAYOUT!$D$2:$D$80,MATCH(T216&amp;"|"&amp;U216,LAYOUT!$E$2:$E$80,0)),""))</f>
        <v/>
      </c>
      <c r="W216" s="12">
        <f>IF(AND(T216="",U216=""),IF(AND(L216="",M216="",P216="",Q216=""),IF(OR($D216&lt;&gt;"",$E216&lt;&gt;""),"Belum ditempatkan",""),""),IF(T216="","CEK JENIS FIXTURE kosong",IF(LEFT(T216,4)&lt;&gt;"Wall","CEK Fixture 3 hanya Wall",IF(U216="","CEK SHELVING KE kosong",IF(ISNA(MATCH(T216&amp;"|"&amp;U216,LAYOUT!$E$2:$E$80,0)),"CEK SHELVING KE di luar layout",IF($I216="","CEK SERIES kosong",IF($D216="","Zona STOCK",IF($E216="","CEK SKU DESCRIPTION kosong",IF(COUNTIFS($I$2:$I$500,$I216,T$2:T$500,"&lt;&gt;"&amp;T216,T$2:T$500,"&lt;&gt;")&gt;0,"CEK jenis fixture beda dalam satu series","OK")))))))))</f>
        <v/>
      </c>
      <c r="X216" s="11" t="n"/>
      <c r="Y216" s="11" t="n"/>
      <c r="Z216" s="12" t="n"/>
      <c r="AA216" s="12" t="n"/>
      <c r="AB216" s="11" t="n"/>
      <c r="AC216" s="11" t="n"/>
      <c r="AD216" s="11" t="n"/>
      <c r="AE216" s="11" t="n"/>
      <c r="AF216" s="11" t="n"/>
      <c r="AG216" s="11" t="n"/>
      <c r="AH216" s="12" t="n"/>
      <c r="AI216" s="12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>
        <f>IF(OR(L217="",M217=""),"",IFERROR(INDEX(LAYOUT!$D$2:$D$80,MATCH(L217&amp;"|"&amp;M217,LAYOUT!$E$2:$E$80,0)),""))</f>
        <v/>
      </c>
      <c r="O217" s="12">
        <f>IF(AND(L217="",M217=""),IF(AND(P217="",Q217="",T217="",U217=""),IF(OR($D217&lt;&gt;"",$E217&lt;&gt;""),"Belum ditempatkan",""),""),IF(L217="","CEK JENIS FIXTURE kosong",IF(AND(LEFT(L217,7)&lt;&gt;"Gondola",LEFT(L217,6)&lt;&gt;"Endcap"),"CEK Fixture 1 hanya Gondola atau Endcap",IF(M217="","CEK SHELVING KE kosong",IF(ISNA(MATCH(L217&amp;"|"&amp;M217,LAYOUT!$E$2:$E$80,0)),"CEK SHELVING KE di luar layout",IF($I217="","CEK SERIES kosong",IF($D217="","Zona STOCK",IF($E217="","CEK SKU DESCRIPTION kosong",IF(COUNTIFS($I$2:$I$500,$I217,L$2:L$500,"&lt;&gt;"&amp;L217,L$2:L$500,"&lt;&gt;")&gt;0,"CEK jenis fixture beda dalam satu series","OK")))))))))</f>
        <v/>
      </c>
      <c r="P217" s="11" t="n"/>
      <c r="Q217" s="11" t="n"/>
      <c r="R217" s="11">
        <f>IF(OR(P217="",Q217=""),"",IFERROR(INDEX(LAYOUT!$D$2:$D$80,MATCH(P217&amp;"|"&amp;Q217,LAYOUT!$E$2:$E$80,0)),""))</f>
        <v/>
      </c>
      <c r="S217" s="12">
        <f>IF(AND(P217="",Q217=""),IF(AND(L217="",M217="",T217="",U217=""),IF(OR($D217&lt;&gt;"",$E217&lt;&gt;""),"Belum ditempatkan",""),""),IF(P217="","CEK JENIS FIXTURE kosong",IF(LEFT(P217,4)&lt;&gt;"Wall","CEK Fixture 2 hanya Wall",IF(Q217="","CEK SHELVING KE kosong",IF(ISNA(MATCH(P217&amp;"|"&amp;Q217,LAYOUT!$E$2:$E$80,0)),"CEK SHELVING KE di luar layout",IF($I217="","CEK SERIES kosong",IF($D217="","Zona STOCK",IF($E217="","CEK SKU DESCRIPTION kosong",IF(COUNTIFS($I$2:$I$500,$I217,P$2:P$500,"&lt;&gt;"&amp;P217,P$2:P$500,"&lt;&gt;")&gt;0,"CEK jenis fixture beda dalam satu series","OK")))))))))</f>
        <v/>
      </c>
      <c r="T217" s="11" t="n"/>
      <c r="U217" s="11" t="n"/>
      <c r="V217" s="11">
        <f>IF(OR(T217="",U217=""),"",IFERROR(INDEX(LAYOUT!$D$2:$D$80,MATCH(T217&amp;"|"&amp;U217,LAYOUT!$E$2:$E$80,0)),""))</f>
        <v/>
      </c>
      <c r="W217" s="12">
        <f>IF(AND(T217="",U217=""),IF(AND(L217="",M217="",P217="",Q217=""),IF(OR($D217&lt;&gt;"",$E217&lt;&gt;""),"Belum ditempatkan",""),""),IF(T217="","CEK JENIS FIXTURE kosong",IF(LEFT(T217,4)&lt;&gt;"Wall","CEK Fixture 3 hanya Wall",IF(U217="","CEK SHELVING KE kosong",IF(ISNA(MATCH(T217&amp;"|"&amp;U217,LAYOUT!$E$2:$E$80,0)),"CEK SHELVING KE di luar layout",IF($I217="","CEK SERIES kosong",IF($D217="","Zona STOCK",IF($E217="","CEK SKU DESCRIPTION kosong",IF(COUNTIFS($I$2:$I$500,$I217,T$2:T$500,"&lt;&gt;"&amp;T217,T$2:T$500,"&lt;&gt;")&gt;0,"CEK jenis fixture beda dalam satu series","OK")))))))))</f>
        <v/>
      </c>
      <c r="X217" s="11" t="n"/>
      <c r="Y217" s="11" t="n"/>
      <c r="Z217" s="12" t="n"/>
      <c r="AA217" s="12" t="n"/>
      <c r="AB217" s="11" t="n"/>
      <c r="AC217" s="11" t="n"/>
      <c r="AD217" s="11" t="n"/>
      <c r="AE217" s="11" t="n"/>
      <c r="AF217" s="11" t="n"/>
      <c r="AG217" s="11" t="n"/>
      <c r="AH217" s="12" t="n"/>
      <c r="AI217" s="12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>
        <f>IF(OR(L218="",M218=""),"",IFERROR(INDEX(LAYOUT!$D$2:$D$80,MATCH(L218&amp;"|"&amp;M218,LAYOUT!$E$2:$E$80,0)),""))</f>
        <v/>
      </c>
      <c r="O218" s="12">
        <f>IF(AND(L218="",M218=""),IF(AND(P218="",Q218="",T218="",U218=""),IF(OR($D218&lt;&gt;"",$E218&lt;&gt;""),"Belum ditempatkan",""),""),IF(L218="","CEK JENIS FIXTURE kosong",IF(AND(LEFT(L218,7)&lt;&gt;"Gondola",LEFT(L218,6)&lt;&gt;"Endcap"),"CEK Fixture 1 hanya Gondola atau Endcap",IF(M218="","CEK SHELVING KE kosong",IF(ISNA(MATCH(L218&amp;"|"&amp;M218,LAYOUT!$E$2:$E$80,0)),"CEK SHELVING KE di luar layout",IF($I218="","CEK SERIES kosong",IF($D218="","Zona STOCK",IF($E218="","CEK SKU DESCRIPTION kosong",IF(COUNTIFS($I$2:$I$500,$I218,L$2:L$500,"&lt;&gt;"&amp;L218,L$2:L$500,"&lt;&gt;")&gt;0,"CEK jenis fixture beda dalam satu series","OK")))))))))</f>
        <v/>
      </c>
      <c r="P218" s="11" t="n"/>
      <c r="Q218" s="11" t="n"/>
      <c r="R218" s="11">
        <f>IF(OR(P218="",Q218=""),"",IFERROR(INDEX(LAYOUT!$D$2:$D$80,MATCH(P218&amp;"|"&amp;Q218,LAYOUT!$E$2:$E$80,0)),""))</f>
        <v/>
      </c>
      <c r="S218" s="12">
        <f>IF(AND(P218="",Q218=""),IF(AND(L218="",M218="",T218="",U218=""),IF(OR($D218&lt;&gt;"",$E218&lt;&gt;""),"Belum ditempatkan",""),""),IF(P218="","CEK JENIS FIXTURE kosong",IF(LEFT(P218,4)&lt;&gt;"Wall","CEK Fixture 2 hanya Wall",IF(Q218="","CEK SHELVING KE kosong",IF(ISNA(MATCH(P218&amp;"|"&amp;Q218,LAYOUT!$E$2:$E$80,0)),"CEK SHELVING KE di luar layout",IF($I218="","CEK SERIES kosong",IF($D218="","Zona STOCK",IF($E218="","CEK SKU DESCRIPTION kosong",IF(COUNTIFS($I$2:$I$500,$I218,P$2:P$500,"&lt;&gt;"&amp;P218,P$2:P$500,"&lt;&gt;")&gt;0,"CEK jenis fixture beda dalam satu series","OK")))))))))</f>
        <v/>
      </c>
      <c r="T218" s="11" t="n"/>
      <c r="U218" s="11" t="n"/>
      <c r="V218" s="11">
        <f>IF(OR(T218="",U218=""),"",IFERROR(INDEX(LAYOUT!$D$2:$D$80,MATCH(T218&amp;"|"&amp;U218,LAYOUT!$E$2:$E$80,0)),""))</f>
        <v/>
      </c>
      <c r="W218" s="12">
        <f>IF(AND(T218="",U218=""),IF(AND(L218="",M218="",P218="",Q218=""),IF(OR($D218&lt;&gt;"",$E218&lt;&gt;""),"Belum ditempatkan",""),""),IF(T218="","CEK JENIS FIXTURE kosong",IF(LEFT(T218,4)&lt;&gt;"Wall","CEK Fixture 3 hanya Wall",IF(U218="","CEK SHELVING KE kosong",IF(ISNA(MATCH(T218&amp;"|"&amp;U218,LAYOUT!$E$2:$E$80,0)),"CEK SHELVING KE di luar layout",IF($I218="","CEK SERIES kosong",IF($D218="","Zona STOCK",IF($E218="","CEK SKU DESCRIPTION kosong",IF(COUNTIFS($I$2:$I$500,$I218,T$2:T$500,"&lt;&gt;"&amp;T218,T$2:T$500,"&lt;&gt;")&gt;0,"CEK jenis fixture beda dalam satu series","OK")))))))))</f>
        <v/>
      </c>
      <c r="X218" s="11" t="n"/>
      <c r="Y218" s="11" t="n"/>
      <c r="Z218" s="12" t="n"/>
      <c r="AA218" s="12" t="n"/>
      <c r="AB218" s="11" t="n"/>
      <c r="AC218" s="11" t="n"/>
      <c r="AD218" s="11" t="n"/>
      <c r="AE218" s="11" t="n"/>
      <c r="AF218" s="11" t="n"/>
      <c r="AG218" s="11" t="n"/>
      <c r="AH218" s="12" t="n"/>
      <c r="AI218" s="12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>
        <f>IF(OR(L219="",M219=""),"",IFERROR(INDEX(LAYOUT!$D$2:$D$80,MATCH(L219&amp;"|"&amp;M219,LAYOUT!$E$2:$E$80,0)),""))</f>
        <v/>
      </c>
      <c r="O219" s="12">
        <f>IF(AND(L219="",M219=""),IF(AND(P219="",Q219="",T219="",U219=""),IF(OR($D219&lt;&gt;"",$E219&lt;&gt;""),"Belum ditempatkan",""),""),IF(L219="","CEK JENIS FIXTURE kosong",IF(AND(LEFT(L219,7)&lt;&gt;"Gondola",LEFT(L219,6)&lt;&gt;"Endcap"),"CEK Fixture 1 hanya Gondola atau Endcap",IF(M219="","CEK SHELVING KE kosong",IF(ISNA(MATCH(L219&amp;"|"&amp;M219,LAYOUT!$E$2:$E$80,0)),"CEK SHELVING KE di luar layout",IF($I219="","CEK SERIES kosong",IF($D219="","Zona STOCK",IF($E219="","CEK SKU DESCRIPTION kosong",IF(COUNTIFS($I$2:$I$500,$I219,L$2:L$500,"&lt;&gt;"&amp;L219,L$2:L$500,"&lt;&gt;")&gt;0,"CEK jenis fixture beda dalam satu series","OK")))))))))</f>
        <v/>
      </c>
      <c r="P219" s="11" t="n"/>
      <c r="Q219" s="11" t="n"/>
      <c r="R219" s="11">
        <f>IF(OR(P219="",Q219=""),"",IFERROR(INDEX(LAYOUT!$D$2:$D$80,MATCH(P219&amp;"|"&amp;Q219,LAYOUT!$E$2:$E$80,0)),""))</f>
        <v/>
      </c>
      <c r="S219" s="12">
        <f>IF(AND(P219="",Q219=""),IF(AND(L219="",M219="",T219="",U219=""),IF(OR($D219&lt;&gt;"",$E219&lt;&gt;""),"Belum ditempatkan",""),""),IF(P219="","CEK JENIS FIXTURE kosong",IF(LEFT(P219,4)&lt;&gt;"Wall","CEK Fixture 2 hanya Wall",IF(Q219="","CEK SHELVING KE kosong",IF(ISNA(MATCH(P219&amp;"|"&amp;Q219,LAYOUT!$E$2:$E$80,0)),"CEK SHELVING KE di luar layout",IF($I219="","CEK SERIES kosong",IF($D219="","Zona STOCK",IF($E219="","CEK SKU DESCRIPTION kosong",IF(COUNTIFS($I$2:$I$500,$I219,P$2:P$500,"&lt;&gt;"&amp;P219,P$2:P$500,"&lt;&gt;")&gt;0,"CEK jenis fixture beda dalam satu series","OK")))))))))</f>
        <v/>
      </c>
      <c r="T219" s="11" t="n"/>
      <c r="U219" s="11" t="n"/>
      <c r="V219" s="11">
        <f>IF(OR(T219="",U219=""),"",IFERROR(INDEX(LAYOUT!$D$2:$D$80,MATCH(T219&amp;"|"&amp;U219,LAYOUT!$E$2:$E$80,0)),""))</f>
        <v/>
      </c>
      <c r="W219" s="12">
        <f>IF(AND(T219="",U219=""),IF(AND(L219="",M219="",P219="",Q219=""),IF(OR($D219&lt;&gt;"",$E219&lt;&gt;""),"Belum ditempatkan",""),""),IF(T219="","CEK JENIS FIXTURE kosong",IF(LEFT(T219,4)&lt;&gt;"Wall","CEK Fixture 3 hanya Wall",IF(U219="","CEK SHELVING KE kosong",IF(ISNA(MATCH(T219&amp;"|"&amp;U219,LAYOUT!$E$2:$E$80,0)),"CEK SHELVING KE di luar layout",IF($I219="","CEK SERIES kosong",IF($D219="","Zona STOCK",IF($E219="","CEK SKU DESCRIPTION kosong",IF(COUNTIFS($I$2:$I$500,$I219,T$2:T$500,"&lt;&gt;"&amp;T219,T$2:T$500,"&lt;&gt;")&gt;0,"CEK jenis fixture beda dalam satu series","OK")))))))))</f>
        <v/>
      </c>
      <c r="X219" s="11" t="n"/>
      <c r="Y219" s="11" t="n"/>
      <c r="Z219" s="12" t="n"/>
      <c r="AA219" s="12" t="n"/>
      <c r="AB219" s="11" t="n"/>
      <c r="AC219" s="11" t="n"/>
      <c r="AD219" s="11" t="n"/>
      <c r="AE219" s="11" t="n"/>
      <c r="AF219" s="11" t="n"/>
      <c r="AG219" s="11" t="n"/>
      <c r="AH219" s="12" t="n"/>
      <c r="AI219" s="12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>
        <f>IF(OR(L220="",M220=""),"",IFERROR(INDEX(LAYOUT!$D$2:$D$80,MATCH(L220&amp;"|"&amp;M220,LAYOUT!$E$2:$E$80,0)),""))</f>
        <v/>
      </c>
      <c r="O220" s="12">
        <f>IF(AND(L220="",M220=""),IF(AND(P220="",Q220="",T220="",U220=""),IF(OR($D220&lt;&gt;"",$E220&lt;&gt;""),"Belum ditempatkan",""),""),IF(L220="","CEK JENIS FIXTURE kosong",IF(AND(LEFT(L220,7)&lt;&gt;"Gondola",LEFT(L220,6)&lt;&gt;"Endcap"),"CEK Fixture 1 hanya Gondola atau Endcap",IF(M220="","CEK SHELVING KE kosong",IF(ISNA(MATCH(L220&amp;"|"&amp;M220,LAYOUT!$E$2:$E$80,0)),"CEK SHELVING KE di luar layout",IF($I220="","CEK SERIES kosong",IF($D220="","Zona STOCK",IF($E220="","CEK SKU DESCRIPTION kosong",IF(COUNTIFS($I$2:$I$500,$I220,L$2:L$500,"&lt;&gt;"&amp;L220,L$2:L$500,"&lt;&gt;")&gt;0,"CEK jenis fixture beda dalam satu series","OK")))))))))</f>
        <v/>
      </c>
      <c r="P220" s="11" t="n"/>
      <c r="Q220" s="11" t="n"/>
      <c r="R220" s="11">
        <f>IF(OR(P220="",Q220=""),"",IFERROR(INDEX(LAYOUT!$D$2:$D$80,MATCH(P220&amp;"|"&amp;Q220,LAYOUT!$E$2:$E$80,0)),""))</f>
        <v/>
      </c>
      <c r="S220" s="12">
        <f>IF(AND(P220="",Q220=""),IF(AND(L220="",M220="",T220="",U220=""),IF(OR($D220&lt;&gt;"",$E220&lt;&gt;""),"Belum ditempatkan",""),""),IF(P220="","CEK JENIS FIXTURE kosong",IF(LEFT(P220,4)&lt;&gt;"Wall","CEK Fixture 2 hanya Wall",IF(Q220="","CEK SHELVING KE kosong",IF(ISNA(MATCH(P220&amp;"|"&amp;Q220,LAYOUT!$E$2:$E$80,0)),"CEK SHELVING KE di luar layout",IF($I220="","CEK SERIES kosong",IF($D220="","Zona STOCK",IF($E220="","CEK SKU DESCRIPTION kosong",IF(COUNTIFS($I$2:$I$500,$I220,P$2:P$500,"&lt;&gt;"&amp;P220,P$2:P$500,"&lt;&gt;")&gt;0,"CEK jenis fixture beda dalam satu series","OK")))))))))</f>
        <v/>
      </c>
      <c r="T220" s="11" t="n"/>
      <c r="U220" s="11" t="n"/>
      <c r="V220" s="11">
        <f>IF(OR(T220="",U220=""),"",IFERROR(INDEX(LAYOUT!$D$2:$D$80,MATCH(T220&amp;"|"&amp;U220,LAYOUT!$E$2:$E$80,0)),""))</f>
        <v/>
      </c>
      <c r="W220" s="12">
        <f>IF(AND(T220="",U220=""),IF(AND(L220="",M220="",P220="",Q220=""),IF(OR($D220&lt;&gt;"",$E220&lt;&gt;""),"Belum ditempatkan",""),""),IF(T220="","CEK JENIS FIXTURE kosong",IF(LEFT(T220,4)&lt;&gt;"Wall","CEK Fixture 3 hanya Wall",IF(U220="","CEK SHELVING KE kosong",IF(ISNA(MATCH(T220&amp;"|"&amp;U220,LAYOUT!$E$2:$E$80,0)),"CEK SHELVING KE di luar layout",IF($I220="","CEK SERIES kosong",IF($D220="","Zona STOCK",IF($E220="","CEK SKU DESCRIPTION kosong",IF(COUNTIFS($I$2:$I$500,$I220,T$2:T$500,"&lt;&gt;"&amp;T220,T$2:T$500,"&lt;&gt;")&gt;0,"CEK jenis fixture beda dalam satu series","OK")))))))))</f>
        <v/>
      </c>
      <c r="X220" s="11" t="n"/>
      <c r="Y220" s="11" t="n"/>
      <c r="Z220" s="12" t="n"/>
      <c r="AA220" s="12" t="n"/>
      <c r="AB220" s="11" t="n"/>
      <c r="AC220" s="11" t="n"/>
      <c r="AD220" s="11" t="n"/>
      <c r="AE220" s="11" t="n"/>
      <c r="AF220" s="11" t="n"/>
      <c r="AG220" s="11" t="n"/>
      <c r="AH220" s="12" t="n"/>
      <c r="AI220" s="12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>
        <f>IF(OR(L221="",M221=""),"",IFERROR(INDEX(LAYOUT!$D$2:$D$80,MATCH(L221&amp;"|"&amp;M221,LAYOUT!$E$2:$E$80,0)),""))</f>
        <v/>
      </c>
      <c r="O221" s="12">
        <f>IF(AND(L221="",M221=""),IF(AND(P221="",Q221="",T221="",U221=""),IF(OR($D221&lt;&gt;"",$E221&lt;&gt;""),"Belum ditempatkan",""),""),IF(L221="","CEK JENIS FIXTURE kosong",IF(AND(LEFT(L221,7)&lt;&gt;"Gondola",LEFT(L221,6)&lt;&gt;"Endcap"),"CEK Fixture 1 hanya Gondola atau Endcap",IF(M221="","CEK SHELVING KE kosong",IF(ISNA(MATCH(L221&amp;"|"&amp;M221,LAYOUT!$E$2:$E$80,0)),"CEK SHELVING KE di luar layout",IF($I221="","CEK SERIES kosong",IF($D221="","Zona STOCK",IF($E221="","CEK SKU DESCRIPTION kosong",IF(COUNTIFS($I$2:$I$500,$I221,L$2:L$500,"&lt;&gt;"&amp;L221,L$2:L$500,"&lt;&gt;")&gt;0,"CEK jenis fixture beda dalam satu series","OK")))))))))</f>
        <v/>
      </c>
      <c r="P221" s="11" t="n"/>
      <c r="Q221" s="11" t="n"/>
      <c r="R221" s="11">
        <f>IF(OR(P221="",Q221=""),"",IFERROR(INDEX(LAYOUT!$D$2:$D$80,MATCH(P221&amp;"|"&amp;Q221,LAYOUT!$E$2:$E$80,0)),""))</f>
        <v/>
      </c>
      <c r="S221" s="12">
        <f>IF(AND(P221="",Q221=""),IF(AND(L221="",M221="",T221="",U221=""),IF(OR($D221&lt;&gt;"",$E221&lt;&gt;""),"Belum ditempatkan",""),""),IF(P221="","CEK JENIS FIXTURE kosong",IF(LEFT(P221,4)&lt;&gt;"Wall","CEK Fixture 2 hanya Wall",IF(Q221="","CEK SHELVING KE kosong",IF(ISNA(MATCH(P221&amp;"|"&amp;Q221,LAYOUT!$E$2:$E$80,0)),"CEK SHELVING KE di luar layout",IF($I221="","CEK SERIES kosong",IF($D221="","Zona STOCK",IF($E221="","CEK SKU DESCRIPTION kosong",IF(COUNTIFS($I$2:$I$500,$I221,P$2:P$500,"&lt;&gt;"&amp;P221,P$2:P$500,"&lt;&gt;")&gt;0,"CEK jenis fixture beda dalam satu series","OK")))))))))</f>
        <v/>
      </c>
      <c r="T221" s="11" t="n"/>
      <c r="U221" s="11" t="n"/>
      <c r="V221" s="11">
        <f>IF(OR(T221="",U221=""),"",IFERROR(INDEX(LAYOUT!$D$2:$D$80,MATCH(T221&amp;"|"&amp;U221,LAYOUT!$E$2:$E$80,0)),""))</f>
        <v/>
      </c>
      <c r="W221" s="12">
        <f>IF(AND(T221="",U221=""),IF(AND(L221="",M221="",P221="",Q221=""),IF(OR($D221&lt;&gt;"",$E221&lt;&gt;""),"Belum ditempatkan",""),""),IF(T221="","CEK JENIS FIXTURE kosong",IF(LEFT(T221,4)&lt;&gt;"Wall","CEK Fixture 3 hanya Wall",IF(U221="","CEK SHELVING KE kosong",IF(ISNA(MATCH(T221&amp;"|"&amp;U221,LAYOUT!$E$2:$E$80,0)),"CEK SHELVING KE di luar layout",IF($I221="","CEK SERIES kosong",IF($D221="","Zona STOCK",IF($E221="","CEK SKU DESCRIPTION kosong",IF(COUNTIFS($I$2:$I$500,$I221,T$2:T$500,"&lt;&gt;"&amp;T221,T$2:T$500,"&lt;&gt;")&gt;0,"CEK jenis fixture beda dalam satu series","OK")))))))))</f>
        <v/>
      </c>
      <c r="X221" s="11" t="n"/>
      <c r="Y221" s="11" t="n"/>
      <c r="Z221" s="12" t="n"/>
      <c r="AA221" s="12" t="n"/>
      <c r="AB221" s="11" t="n"/>
      <c r="AC221" s="11" t="n"/>
      <c r="AD221" s="11" t="n"/>
      <c r="AE221" s="11" t="n"/>
      <c r="AF221" s="11" t="n"/>
      <c r="AG221" s="11" t="n"/>
      <c r="AH221" s="12" t="n"/>
      <c r="AI221" s="12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>
        <f>IF(OR(L222="",M222=""),"",IFERROR(INDEX(LAYOUT!$D$2:$D$80,MATCH(L222&amp;"|"&amp;M222,LAYOUT!$E$2:$E$80,0)),""))</f>
        <v/>
      </c>
      <c r="O222" s="12">
        <f>IF(AND(L222="",M222=""),IF(AND(P222="",Q222="",T222="",U222=""),IF(OR($D222&lt;&gt;"",$E222&lt;&gt;""),"Belum ditempatkan",""),""),IF(L222="","CEK JENIS FIXTURE kosong",IF(AND(LEFT(L222,7)&lt;&gt;"Gondola",LEFT(L222,6)&lt;&gt;"Endcap"),"CEK Fixture 1 hanya Gondola atau Endcap",IF(M222="","CEK SHELVING KE kosong",IF(ISNA(MATCH(L222&amp;"|"&amp;M222,LAYOUT!$E$2:$E$80,0)),"CEK SHELVING KE di luar layout",IF($I222="","CEK SERIES kosong",IF($D222="","Zona STOCK",IF($E222="","CEK SKU DESCRIPTION kosong",IF(COUNTIFS($I$2:$I$500,$I222,L$2:L$500,"&lt;&gt;"&amp;L222,L$2:L$500,"&lt;&gt;")&gt;0,"CEK jenis fixture beda dalam satu series","OK")))))))))</f>
        <v/>
      </c>
      <c r="P222" s="11" t="n"/>
      <c r="Q222" s="11" t="n"/>
      <c r="R222" s="11">
        <f>IF(OR(P222="",Q222=""),"",IFERROR(INDEX(LAYOUT!$D$2:$D$80,MATCH(P222&amp;"|"&amp;Q222,LAYOUT!$E$2:$E$80,0)),""))</f>
        <v/>
      </c>
      <c r="S222" s="12">
        <f>IF(AND(P222="",Q222=""),IF(AND(L222="",M222="",T222="",U222=""),IF(OR($D222&lt;&gt;"",$E222&lt;&gt;""),"Belum ditempatkan",""),""),IF(P222="","CEK JENIS FIXTURE kosong",IF(LEFT(P222,4)&lt;&gt;"Wall","CEK Fixture 2 hanya Wall",IF(Q222="","CEK SHELVING KE kosong",IF(ISNA(MATCH(P222&amp;"|"&amp;Q222,LAYOUT!$E$2:$E$80,0)),"CEK SHELVING KE di luar layout",IF($I222="","CEK SERIES kosong",IF($D222="","Zona STOCK",IF($E222="","CEK SKU DESCRIPTION kosong",IF(COUNTIFS($I$2:$I$500,$I222,P$2:P$500,"&lt;&gt;"&amp;P222,P$2:P$500,"&lt;&gt;")&gt;0,"CEK jenis fixture beda dalam satu series","OK")))))))))</f>
        <v/>
      </c>
      <c r="T222" s="11" t="n"/>
      <c r="U222" s="11" t="n"/>
      <c r="V222" s="11">
        <f>IF(OR(T222="",U222=""),"",IFERROR(INDEX(LAYOUT!$D$2:$D$80,MATCH(T222&amp;"|"&amp;U222,LAYOUT!$E$2:$E$80,0)),""))</f>
        <v/>
      </c>
      <c r="W222" s="12">
        <f>IF(AND(T222="",U222=""),IF(AND(L222="",M222="",P222="",Q222=""),IF(OR($D222&lt;&gt;"",$E222&lt;&gt;""),"Belum ditempatkan",""),""),IF(T222="","CEK JENIS FIXTURE kosong",IF(LEFT(T222,4)&lt;&gt;"Wall","CEK Fixture 3 hanya Wall",IF(U222="","CEK SHELVING KE kosong",IF(ISNA(MATCH(T222&amp;"|"&amp;U222,LAYOUT!$E$2:$E$80,0)),"CEK SHELVING KE di luar layout",IF($I222="","CEK SERIES kosong",IF($D222="","Zona STOCK",IF($E222="","CEK SKU DESCRIPTION kosong",IF(COUNTIFS($I$2:$I$500,$I222,T$2:T$500,"&lt;&gt;"&amp;T222,T$2:T$500,"&lt;&gt;")&gt;0,"CEK jenis fixture beda dalam satu series","OK")))))))))</f>
        <v/>
      </c>
      <c r="X222" s="11" t="n"/>
      <c r="Y222" s="11" t="n"/>
      <c r="Z222" s="12" t="n"/>
      <c r="AA222" s="12" t="n"/>
      <c r="AB222" s="11" t="n"/>
      <c r="AC222" s="11" t="n"/>
      <c r="AD222" s="11" t="n"/>
      <c r="AE222" s="11" t="n"/>
      <c r="AF222" s="11" t="n"/>
      <c r="AG222" s="11" t="n"/>
      <c r="AH222" s="12" t="n"/>
      <c r="AI222" s="12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>
        <f>IF(OR(L223="",M223=""),"",IFERROR(INDEX(LAYOUT!$D$2:$D$80,MATCH(L223&amp;"|"&amp;M223,LAYOUT!$E$2:$E$80,0)),""))</f>
        <v/>
      </c>
      <c r="O223" s="12">
        <f>IF(AND(L223="",M223=""),IF(AND(P223="",Q223="",T223="",U223=""),IF(OR($D223&lt;&gt;"",$E223&lt;&gt;""),"Belum ditempatkan",""),""),IF(L223="","CEK JENIS FIXTURE kosong",IF(AND(LEFT(L223,7)&lt;&gt;"Gondola",LEFT(L223,6)&lt;&gt;"Endcap"),"CEK Fixture 1 hanya Gondola atau Endcap",IF(M223="","CEK SHELVING KE kosong",IF(ISNA(MATCH(L223&amp;"|"&amp;M223,LAYOUT!$E$2:$E$80,0)),"CEK SHELVING KE di luar layout",IF($I223="","CEK SERIES kosong",IF($D223="","Zona STOCK",IF($E223="","CEK SKU DESCRIPTION kosong",IF(COUNTIFS($I$2:$I$500,$I223,L$2:L$500,"&lt;&gt;"&amp;L223,L$2:L$500,"&lt;&gt;")&gt;0,"CEK jenis fixture beda dalam satu series","OK")))))))))</f>
        <v/>
      </c>
      <c r="P223" s="11" t="n"/>
      <c r="Q223" s="11" t="n"/>
      <c r="R223" s="11">
        <f>IF(OR(P223="",Q223=""),"",IFERROR(INDEX(LAYOUT!$D$2:$D$80,MATCH(P223&amp;"|"&amp;Q223,LAYOUT!$E$2:$E$80,0)),""))</f>
        <v/>
      </c>
      <c r="S223" s="12">
        <f>IF(AND(P223="",Q223=""),IF(AND(L223="",M223="",T223="",U223=""),IF(OR($D223&lt;&gt;"",$E223&lt;&gt;""),"Belum ditempatkan",""),""),IF(P223="","CEK JENIS FIXTURE kosong",IF(LEFT(P223,4)&lt;&gt;"Wall","CEK Fixture 2 hanya Wall",IF(Q223="","CEK SHELVING KE kosong",IF(ISNA(MATCH(P223&amp;"|"&amp;Q223,LAYOUT!$E$2:$E$80,0)),"CEK SHELVING KE di luar layout",IF($I223="","CEK SERIES kosong",IF($D223="","Zona STOCK",IF($E223="","CEK SKU DESCRIPTION kosong",IF(COUNTIFS($I$2:$I$500,$I223,P$2:P$500,"&lt;&gt;"&amp;P223,P$2:P$500,"&lt;&gt;")&gt;0,"CEK jenis fixture beda dalam satu series","OK")))))))))</f>
        <v/>
      </c>
      <c r="T223" s="11" t="n"/>
      <c r="U223" s="11" t="n"/>
      <c r="V223" s="11">
        <f>IF(OR(T223="",U223=""),"",IFERROR(INDEX(LAYOUT!$D$2:$D$80,MATCH(T223&amp;"|"&amp;U223,LAYOUT!$E$2:$E$80,0)),""))</f>
        <v/>
      </c>
      <c r="W223" s="12">
        <f>IF(AND(T223="",U223=""),IF(AND(L223="",M223="",P223="",Q223=""),IF(OR($D223&lt;&gt;"",$E223&lt;&gt;""),"Belum ditempatkan",""),""),IF(T223="","CEK JENIS FIXTURE kosong",IF(LEFT(T223,4)&lt;&gt;"Wall","CEK Fixture 3 hanya Wall",IF(U223="","CEK SHELVING KE kosong",IF(ISNA(MATCH(T223&amp;"|"&amp;U223,LAYOUT!$E$2:$E$80,0)),"CEK SHELVING KE di luar layout",IF($I223="","CEK SERIES kosong",IF($D223="","Zona STOCK",IF($E223="","CEK SKU DESCRIPTION kosong",IF(COUNTIFS($I$2:$I$500,$I223,T$2:T$500,"&lt;&gt;"&amp;T223,T$2:T$500,"&lt;&gt;")&gt;0,"CEK jenis fixture beda dalam satu series","OK")))))))))</f>
        <v/>
      </c>
      <c r="X223" s="11" t="n"/>
      <c r="Y223" s="11" t="n"/>
      <c r="Z223" s="12" t="n"/>
      <c r="AA223" s="12" t="n"/>
      <c r="AB223" s="11" t="n"/>
      <c r="AC223" s="11" t="n"/>
      <c r="AD223" s="11" t="n"/>
      <c r="AE223" s="11" t="n"/>
      <c r="AF223" s="11" t="n"/>
      <c r="AG223" s="11" t="n"/>
      <c r="AH223" s="12" t="n"/>
      <c r="AI223" s="12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>
        <f>IF(OR(L224="",M224=""),"",IFERROR(INDEX(LAYOUT!$D$2:$D$80,MATCH(L224&amp;"|"&amp;M224,LAYOUT!$E$2:$E$80,0)),""))</f>
        <v/>
      </c>
      <c r="O224" s="12">
        <f>IF(AND(L224="",M224=""),IF(AND(P224="",Q224="",T224="",U224=""),IF(OR($D224&lt;&gt;"",$E224&lt;&gt;""),"Belum ditempatkan",""),""),IF(L224="","CEK JENIS FIXTURE kosong",IF(AND(LEFT(L224,7)&lt;&gt;"Gondola",LEFT(L224,6)&lt;&gt;"Endcap"),"CEK Fixture 1 hanya Gondola atau Endcap",IF(M224="","CEK SHELVING KE kosong",IF(ISNA(MATCH(L224&amp;"|"&amp;M224,LAYOUT!$E$2:$E$80,0)),"CEK SHELVING KE di luar layout",IF($I224="","CEK SERIES kosong",IF($D224="","Zona STOCK",IF($E224="","CEK SKU DESCRIPTION kosong",IF(COUNTIFS($I$2:$I$500,$I224,L$2:L$500,"&lt;&gt;"&amp;L224,L$2:L$500,"&lt;&gt;")&gt;0,"CEK jenis fixture beda dalam satu series","OK")))))))))</f>
        <v/>
      </c>
      <c r="P224" s="11" t="n"/>
      <c r="Q224" s="11" t="n"/>
      <c r="R224" s="11">
        <f>IF(OR(P224="",Q224=""),"",IFERROR(INDEX(LAYOUT!$D$2:$D$80,MATCH(P224&amp;"|"&amp;Q224,LAYOUT!$E$2:$E$80,0)),""))</f>
        <v/>
      </c>
      <c r="S224" s="12">
        <f>IF(AND(P224="",Q224=""),IF(AND(L224="",M224="",T224="",U224=""),IF(OR($D224&lt;&gt;"",$E224&lt;&gt;""),"Belum ditempatkan",""),""),IF(P224="","CEK JENIS FIXTURE kosong",IF(LEFT(P224,4)&lt;&gt;"Wall","CEK Fixture 2 hanya Wall",IF(Q224="","CEK SHELVING KE kosong",IF(ISNA(MATCH(P224&amp;"|"&amp;Q224,LAYOUT!$E$2:$E$80,0)),"CEK SHELVING KE di luar layout",IF($I224="","CEK SERIES kosong",IF($D224="","Zona STOCK",IF($E224="","CEK SKU DESCRIPTION kosong",IF(COUNTIFS($I$2:$I$500,$I224,P$2:P$500,"&lt;&gt;"&amp;P224,P$2:P$500,"&lt;&gt;")&gt;0,"CEK jenis fixture beda dalam satu series","OK")))))))))</f>
        <v/>
      </c>
      <c r="T224" s="11" t="n"/>
      <c r="U224" s="11" t="n"/>
      <c r="V224" s="11">
        <f>IF(OR(T224="",U224=""),"",IFERROR(INDEX(LAYOUT!$D$2:$D$80,MATCH(T224&amp;"|"&amp;U224,LAYOUT!$E$2:$E$80,0)),""))</f>
        <v/>
      </c>
      <c r="W224" s="12">
        <f>IF(AND(T224="",U224=""),IF(AND(L224="",M224="",P224="",Q224=""),IF(OR($D224&lt;&gt;"",$E224&lt;&gt;""),"Belum ditempatkan",""),""),IF(T224="","CEK JENIS FIXTURE kosong",IF(LEFT(T224,4)&lt;&gt;"Wall","CEK Fixture 3 hanya Wall",IF(U224="","CEK SHELVING KE kosong",IF(ISNA(MATCH(T224&amp;"|"&amp;U224,LAYOUT!$E$2:$E$80,0)),"CEK SHELVING KE di luar layout",IF($I224="","CEK SERIES kosong",IF($D224="","Zona STOCK",IF($E224="","CEK SKU DESCRIPTION kosong",IF(COUNTIFS($I$2:$I$500,$I224,T$2:T$500,"&lt;&gt;"&amp;T224,T$2:T$500,"&lt;&gt;")&gt;0,"CEK jenis fixture beda dalam satu series","OK")))))))))</f>
        <v/>
      </c>
      <c r="X224" s="11" t="n"/>
      <c r="Y224" s="11" t="n"/>
      <c r="Z224" s="12" t="n"/>
      <c r="AA224" s="12" t="n"/>
      <c r="AB224" s="11" t="n"/>
      <c r="AC224" s="11" t="n"/>
      <c r="AD224" s="11" t="n"/>
      <c r="AE224" s="11" t="n"/>
      <c r="AF224" s="11" t="n"/>
      <c r="AG224" s="11" t="n"/>
      <c r="AH224" s="12" t="n"/>
      <c r="AI224" s="12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>
        <f>IF(OR(L225="",M225=""),"",IFERROR(INDEX(LAYOUT!$D$2:$D$80,MATCH(L225&amp;"|"&amp;M225,LAYOUT!$E$2:$E$80,0)),""))</f>
        <v/>
      </c>
      <c r="O225" s="12">
        <f>IF(AND(L225="",M225=""),IF(AND(P225="",Q225="",T225="",U225=""),IF(OR($D225&lt;&gt;"",$E225&lt;&gt;""),"Belum ditempatkan",""),""),IF(L225="","CEK JENIS FIXTURE kosong",IF(AND(LEFT(L225,7)&lt;&gt;"Gondola",LEFT(L225,6)&lt;&gt;"Endcap"),"CEK Fixture 1 hanya Gondola atau Endcap",IF(M225="","CEK SHELVING KE kosong",IF(ISNA(MATCH(L225&amp;"|"&amp;M225,LAYOUT!$E$2:$E$80,0)),"CEK SHELVING KE di luar layout",IF($I225="","CEK SERIES kosong",IF($D225="","Zona STOCK",IF($E225="","CEK SKU DESCRIPTION kosong",IF(COUNTIFS($I$2:$I$500,$I225,L$2:L$500,"&lt;&gt;"&amp;L225,L$2:L$500,"&lt;&gt;")&gt;0,"CEK jenis fixture beda dalam satu series","OK")))))))))</f>
        <v/>
      </c>
      <c r="P225" s="11" t="n"/>
      <c r="Q225" s="11" t="n"/>
      <c r="R225" s="11">
        <f>IF(OR(P225="",Q225=""),"",IFERROR(INDEX(LAYOUT!$D$2:$D$80,MATCH(P225&amp;"|"&amp;Q225,LAYOUT!$E$2:$E$80,0)),""))</f>
        <v/>
      </c>
      <c r="S225" s="12">
        <f>IF(AND(P225="",Q225=""),IF(AND(L225="",M225="",T225="",U225=""),IF(OR($D225&lt;&gt;"",$E225&lt;&gt;""),"Belum ditempatkan",""),""),IF(P225="","CEK JENIS FIXTURE kosong",IF(LEFT(P225,4)&lt;&gt;"Wall","CEK Fixture 2 hanya Wall",IF(Q225="","CEK SHELVING KE kosong",IF(ISNA(MATCH(P225&amp;"|"&amp;Q225,LAYOUT!$E$2:$E$80,0)),"CEK SHELVING KE di luar layout",IF($I225="","CEK SERIES kosong",IF($D225="","Zona STOCK",IF($E225="","CEK SKU DESCRIPTION kosong",IF(COUNTIFS($I$2:$I$500,$I225,P$2:P$500,"&lt;&gt;"&amp;P225,P$2:P$500,"&lt;&gt;")&gt;0,"CEK jenis fixture beda dalam satu series","OK")))))))))</f>
        <v/>
      </c>
      <c r="T225" s="11" t="n"/>
      <c r="U225" s="11" t="n"/>
      <c r="V225" s="11">
        <f>IF(OR(T225="",U225=""),"",IFERROR(INDEX(LAYOUT!$D$2:$D$80,MATCH(T225&amp;"|"&amp;U225,LAYOUT!$E$2:$E$80,0)),""))</f>
        <v/>
      </c>
      <c r="W225" s="12">
        <f>IF(AND(T225="",U225=""),IF(AND(L225="",M225="",P225="",Q225=""),IF(OR($D225&lt;&gt;"",$E225&lt;&gt;""),"Belum ditempatkan",""),""),IF(T225="","CEK JENIS FIXTURE kosong",IF(LEFT(T225,4)&lt;&gt;"Wall","CEK Fixture 3 hanya Wall",IF(U225="","CEK SHELVING KE kosong",IF(ISNA(MATCH(T225&amp;"|"&amp;U225,LAYOUT!$E$2:$E$80,0)),"CEK SHELVING KE di luar layout",IF($I225="","CEK SERIES kosong",IF($D225="","Zona STOCK",IF($E225="","CEK SKU DESCRIPTION kosong",IF(COUNTIFS($I$2:$I$500,$I225,T$2:T$500,"&lt;&gt;"&amp;T225,T$2:T$500,"&lt;&gt;")&gt;0,"CEK jenis fixture beda dalam satu series","OK")))))))))</f>
        <v/>
      </c>
      <c r="X225" s="11" t="n"/>
      <c r="Y225" s="11" t="n"/>
      <c r="Z225" s="12" t="n"/>
      <c r="AA225" s="12" t="n"/>
      <c r="AB225" s="11" t="n"/>
      <c r="AC225" s="11" t="n"/>
      <c r="AD225" s="11" t="n"/>
      <c r="AE225" s="11" t="n"/>
      <c r="AF225" s="11" t="n"/>
      <c r="AG225" s="11" t="n"/>
      <c r="AH225" s="12" t="n"/>
      <c r="AI225" s="12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>
        <f>IF(OR(L226="",M226=""),"",IFERROR(INDEX(LAYOUT!$D$2:$D$80,MATCH(L226&amp;"|"&amp;M226,LAYOUT!$E$2:$E$80,0)),""))</f>
        <v/>
      </c>
      <c r="O226" s="12">
        <f>IF(AND(L226="",M226=""),IF(AND(P226="",Q226="",T226="",U226=""),IF(OR($D226&lt;&gt;"",$E226&lt;&gt;""),"Belum ditempatkan",""),""),IF(L226="","CEK JENIS FIXTURE kosong",IF(AND(LEFT(L226,7)&lt;&gt;"Gondola",LEFT(L226,6)&lt;&gt;"Endcap"),"CEK Fixture 1 hanya Gondola atau Endcap",IF(M226="","CEK SHELVING KE kosong",IF(ISNA(MATCH(L226&amp;"|"&amp;M226,LAYOUT!$E$2:$E$80,0)),"CEK SHELVING KE di luar layout",IF($I226="","CEK SERIES kosong",IF($D226="","Zona STOCK",IF($E226="","CEK SKU DESCRIPTION kosong",IF(COUNTIFS($I$2:$I$500,$I226,L$2:L$500,"&lt;&gt;"&amp;L226,L$2:L$500,"&lt;&gt;")&gt;0,"CEK jenis fixture beda dalam satu series","OK")))))))))</f>
        <v/>
      </c>
      <c r="P226" s="11" t="n"/>
      <c r="Q226" s="11" t="n"/>
      <c r="R226" s="11">
        <f>IF(OR(P226="",Q226=""),"",IFERROR(INDEX(LAYOUT!$D$2:$D$80,MATCH(P226&amp;"|"&amp;Q226,LAYOUT!$E$2:$E$80,0)),""))</f>
        <v/>
      </c>
      <c r="S226" s="12">
        <f>IF(AND(P226="",Q226=""),IF(AND(L226="",M226="",T226="",U226=""),IF(OR($D226&lt;&gt;"",$E226&lt;&gt;""),"Belum ditempatkan",""),""),IF(P226="","CEK JENIS FIXTURE kosong",IF(LEFT(P226,4)&lt;&gt;"Wall","CEK Fixture 2 hanya Wall",IF(Q226="","CEK SHELVING KE kosong",IF(ISNA(MATCH(P226&amp;"|"&amp;Q226,LAYOUT!$E$2:$E$80,0)),"CEK SHELVING KE di luar layout",IF($I226="","CEK SERIES kosong",IF($D226="","Zona STOCK",IF($E226="","CEK SKU DESCRIPTION kosong",IF(COUNTIFS($I$2:$I$500,$I226,P$2:P$500,"&lt;&gt;"&amp;P226,P$2:P$500,"&lt;&gt;")&gt;0,"CEK jenis fixture beda dalam satu series","OK")))))))))</f>
        <v/>
      </c>
      <c r="T226" s="11" t="n"/>
      <c r="U226" s="11" t="n"/>
      <c r="V226" s="11">
        <f>IF(OR(T226="",U226=""),"",IFERROR(INDEX(LAYOUT!$D$2:$D$80,MATCH(T226&amp;"|"&amp;U226,LAYOUT!$E$2:$E$80,0)),""))</f>
        <v/>
      </c>
      <c r="W226" s="12">
        <f>IF(AND(T226="",U226=""),IF(AND(L226="",M226="",P226="",Q226=""),IF(OR($D226&lt;&gt;"",$E226&lt;&gt;""),"Belum ditempatkan",""),""),IF(T226="","CEK JENIS FIXTURE kosong",IF(LEFT(T226,4)&lt;&gt;"Wall","CEK Fixture 3 hanya Wall",IF(U226="","CEK SHELVING KE kosong",IF(ISNA(MATCH(T226&amp;"|"&amp;U226,LAYOUT!$E$2:$E$80,0)),"CEK SHELVING KE di luar layout",IF($I226="","CEK SERIES kosong",IF($D226="","Zona STOCK",IF($E226="","CEK SKU DESCRIPTION kosong",IF(COUNTIFS($I$2:$I$500,$I226,T$2:T$500,"&lt;&gt;"&amp;T226,T$2:T$500,"&lt;&gt;")&gt;0,"CEK jenis fixture beda dalam satu series","OK")))))))))</f>
        <v/>
      </c>
      <c r="X226" s="11" t="n"/>
      <c r="Y226" s="11" t="n"/>
      <c r="Z226" s="12" t="n"/>
      <c r="AA226" s="12" t="n"/>
      <c r="AB226" s="11" t="n"/>
      <c r="AC226" s="11" t="n"/>
      <c r="AD226" s="11" t="n"/>
      <c r="AE226" s="11" t="n"/>
      <c r="AF226" s="11" t="n"/>
      <c r="AG226" s="11" t="n"/>
      <c r="AH226" s="12" t="n"/>
      <c r="AI226" s="12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>
        <f>IF(OR(L227="",M227=""),"",IFERROR(INDEX(LAYOUT!$D$2:$D$80,MATCH(L227&amp;"|"&amp;M227,LAYOUT!$E$2:$E$80,0)),""))</f>
        <v/>
      </c>
      <c r="O227" s="12">
        <f>IF(AND(L227="",M227=""),IF(AND(P227="",Q227="",T227="",U227=""),IF(OR($D227&lt;&gt;"",$E227&lt;&gt;""),"Belum ditempatkan",""),""),IF(L227="","CEK JENIS FIXTURE kosong",IF(AND(LEFT(L227,7)&lt;&gt;"Gondola",LEFT(L227,6)&lt;&gt;"Endcap"),"CEK Fixture 1 hanya Gondola atau Endcap",IF(M227="","CEK SHELVING KE kosong",IF(ISNA(MATCH(L227&amp;"|"&amp;M227,LAYOUT!$E$2:$E$80,0)),"CEK SHELVING KE di luar layout",IF($I227="","CEK SERIES kosong",IF($D227="","Zona STOCK",IF($E227="","CEK SKU DESCRIPTION kosong",IF(COUNTIFS($I$2:$I$500,$I227,L$2:L$500,"&lt;&gt;"&amp;L227,L$2:L$500,"&lt;&gt;")&gt;0,"CEK jenis fixture beda dalam satu series","OK")))))))))</f>
        <v/>
      </c>
      <c r="P227" s="11" t="n"/>
      <c r="Q227" s="11" t="n"/>
      <c r="R227" s="11">
        <f>IF(OR(P227="",Q227=""),"",IFERROR(INDEX(LAYOUT!$D$2:$D$80,MATCH(P227&amp;"|"&amp;Q227,LAYOUT!$E$2:$E$80,0)),""))</f>
        <v/>
      </c>
      <c r="S227" s="12">
        <f>IF(AND(P227="",Q227=""),IF(AND(L227="",M227="",T227="",U227=""),IF(OR($D227&lt;&gt;"",$E227&lt;&gt;""),"Belum ditempatkan",""),""),IF(P227="","CEK JENIS FIXTURE kosong",IF(LEFT(P227,4)&lt;&gt;"Wall","CEK Fixture 2 hanya Wall",IF(Q227="","CEK SHELVING KE kosong",IF(ISNA(MATCH(P227&amp;"|"&amp;Q227,LAYOUT!$E$2:$E$80,0)),"CEK SHELVING KE di luar layout",IF($I227="","CEK SERIES kosong",IF($D227="","Zona STOCK",IF($E227="","CEK SKU DESCRIPTION kosong",IF(COUNTIFS($I$2:$I$500,$I227,P$2:P$500,"&lt;&gt;"&amp;P227,P$2:P$500,"&lt;&gt;")&gt;0,"CEK jenis fixture beda dalam satu series","OK")))))))))</f>
        <v/>
      </c>
      <c r="T227" s="11" t="n"/>
      <c r="U227" s="11" t="n"/>
      <c r="V227" s="11">
        <f>IF(OR(T227="",U227=""),"",IFERROR(INDEX(LAYOUT!$D$2:$D$80,MATCH(T227&amp;"|"&amp;U227,LAYOUT!$E$2:$E$80,0)),""))</f>
        <v/>
      </c>
      <c r="W227" s="12">
        <f>IF(AND(T227="",U227=""),IF(AND(L227="",M227="",P227="",Q227=""),IF(OR($D227&lt;&gt;"",$E227&lt;&gt;""),"Belum ditempatkan",""),""),IF(T227="","CEK JENIS FIXTURE kosong",IF(LEFT(T227,4)&lt;&gt;"Wall","CEK Fixture 3 hanya Wall",IF(U227="","CEK SHELVING KE kosong",IF(ISNA(MATCH(T227&amp;"|"&amp;U227,LAYOUT!$E$2:$E$80,0)),"CEK SHELVING KE di luar layout",IF($I227="","CEK SERIES kosong",IF($D227="","Zona STOCK",IF($E227="","CEK SKU DESCRIPTION kosong",IF(COUNTIFS($I$2:$I$500,$I227,T$2:T$500,"&lt;&gt;"&amp;T227,T$2:T$500,"&lt;&gt;")&gt;0,"CEK jenis fixture beda dalam satu series","OK")))))))))</f>
        <v/>
      </c>
      <c r="X227" s="11" t="n"/>
      <c r="Y227" s="11" t="n"/>
      <c r="Z227" s="12" t="n"/>
      <c r="AA227" s="12" t="n"/>
      <c r="AB227" s="11" t="n"/>
      <c r="AC227" s="11" t="n"/>
      <c r="AD227" s="11" t="n"/>
      <c r="AE227" s="11" t="n"/>
      <c r="AF227" s="11" t="n"/>
      <c r="AG227" s="11" t="n"/>
      <c r="AH227" s="12" t="n"/>
      <c r="AI227" s="12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>
        <f>IF(OR(L228="",M228=""),"",IFERROR(INDEX(LAYOUT!$D$2:$D$80,MATCH(L228&amp;"|"&amp;M228,LAYOUT!$E$2:$E$80,0)),""))</f>
        <v/>
      </c>
      <c r="O228" s="12">
        <f>IF(AND(L228="",M228=""),IF(AND(P228="",Q228="",T228="",U228=""),IF(OR($D228&lt;&gt;"",$E228&lt;&gt;""),"Belum ditempatkan",""),""),IF(L228="","CEK JENIS FIXTURE kosong",IF(AND(LEFT(L228,7)&lt;&gt;"Gondola",LEFT(L228,6)&lt;&gt;"Endcap"),"CEK Fixture 1 hanya Gondola atau Endcap",IF(M228="","CEK SHELVING KE kosong",IF(ISNA(MATCH(L228&amp;"|"&amp;M228,LAYOUT!$E$2:$E$80,0)),"CEK SHELVING KE di luar layout",IF($I228="","CEK SERIES kosong",IF($D228="","Zona STOCK",IF($E228="","CEK SKU DESCRIPTION kosong",IF(COUNTIFS($I$2:$I$500,$I228,L$2:L$500,"&lt;&gt;"&amp;L228,L$2:L$500,"&lt;&gt;")&gt;0,"CEK jenis fixture beda dalam satu series","OK")))))))))</f>
        <v/>
      </c>
      <c r="P228" s="11" t="n"/>
      <c r="Q228" s="11" t="n"/>
      <c r="R228" s="11">
        <f>IF(OR(P228="",Q228=""),"",IFERROR(INDEX(LAYOUT!$D$2:$D$80,MATCH(P228&amp;"|"&amp;Q228,LAYOUT!$E$2:$E$80,0)),""))</f>
        <v/>
      </c>
      <c r="S228" s="12">
        <f>IF(AND(P228="",Q228=""),IF(AND(L228="",M228="",T228="",U228=""),IF(OR($D228&lt;&gt;"",$E228&lt;&gt;""),"Belum ditempatkan",""),""),IF(P228="","CEK JENIS FIXTURE kosong",IF(LEFT(P228,4)&lt;&gt;"Wall","CEK Fixture 2 hanya Wall",IF(Q228="","CEK SHELVING KE kosong",IF(ISNA(MATCH(P228&amp;"|"&amp;Q228,LAYOUT!$E$2:$E$80,0)),"CEK SHELVING KE di luar layout",IF($I228="","CEK SERIES kosong",IF($D228="","Zona STOCK",IF($E228="","CEK SKU DESCRIPTION kosong",IF(COUNTIFS($I$2:$I$500,$I228,P$2:P$500,"&lt;&gt;"&amp;P228,P$2:P$500,"&lt;&gt;")&gt;0,"CEK jenis fixture beda dalam satu series","OK")))))))))</f>
        <v/>
      </c>
      <c r="T228" s="11" t="n"/>
      <c r="U228" s="11" t="n"/>
      <c r="V228" s="11">
        <f>IF(OR(T228="",U228=""),"",IFERROR(INDEX(LAYOUT!$D$2:$D$80,MATCH(T228&amp;"|"&amp;U228,LAYOUT!$E$2:$E$80,0)),""))</f>
        <v/>
      </c>
      <c r="W228" s="12">
        <f>IF(AND(T228="",U228=""),IF(AND(L228="",M228="",P228="",Q228=""),IF(OR($D228&lt;&gt;"",$E228&lt;&gt;""),"Belum ditempatkan",""),""),IF(T228="","CEK JENIS FIXTURE kosong",IF(LEFT(T228,4)&lt;&gt;"Wall","CEK Fixture 3 hanya Wall",IF(U228="","CEK SHELVING KE kosong",IF(ISNA(MATCH(T228&amp;"|"&amp;U228,LAYOUT!$E$2:$E$80,0)),"CEK SHELVING KE di luar layout",IF($I228="","CEK SERIES kosong",IF($D228="","Zona STOCK",IF($E228="","CEK SKU DESCRIPTION kosong",IF(COUNTIFS($I$2:$I$500,$I228,T$2:T$500,"&lt;&gt;"&amp;T228,T$2:T$500,"&lt;&gt;")&gt;0,"CEK jenis fixture beda dalam satu series","OK")))))))))</f>
        <v/>
      </c>
      <c r="X228" s="11" t="n"/>
      <c r="Y228" s="11" t="n"/>
      <c r="Z228" s="12" t="n"/>
      <c r="AA228" s="12" t="n"/>
      <c r="AB228" s="11" t="n"/>
      <c r="AC228" s="11" t="n"/>
      <c r="AD228" s="11" t="n"/>
      <c r="AE228" s="11" t="n"/>
      <c r="AF228" s="11" t="n"/>
      <c r="AG228" s="11" t="n"/>
      <c r="AH228" s="12" t="n"/>
      <c r="AI228" s="12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>
        <f>IF(OR(L229="",M229=""),"",IFERROR(INDEX(LAYOUT!$D$2:$D$80,MATCH(L229&amp;"|"&amp;M229,LAYOUT!$E$2:$E$80,0)),""))</f>
        <v/>
      </c>
      <c r="O229" s="12">
        <f>IF(AND(L229="",M229=""),IF(AND(P229="",Q229="",T229="",U229=""),IF(OR($D229&lt;&gt;"",$E229&lt;&gt;""),"Belum ditempatkan",""),""),IF(L229="","CEK JENIS FIXTURE kosong",IF(AND(LEFT(L229,7)&lt;&gt;"Gondola",LEFT(L229,6)&lt;&gt;"Endcap"),"CEK Fixture 1 hanya Gondola atau Endcap",IF(M229="","CEK SHELVING KE kosong",IF(ISNA(MATCH(L229&amp;"|"&amp;M229,LAYOUT!$E$2:$E$80,0)),"CEK SHELVING KE di luar layout",IF($I229="","CEK SERIES kosong",IF($D229="","Zona STOCK",IF($E229="","CEK SKU DESCRIPTION kosong",IF(COUNTIFS($I$2:$I$500,$I229,L$2:L$500,"&lt;&gt;"&amp;L229,L$2:L$500,"&lt;&gt;")&gt;0,"CEK jenis fixture beda dalam satu series","OK")))))))))</f>
        <v/>
      </c>
      <c r="P229" s="11" t="n"/>
      <c r="Q229" s="11" t="n"/>
      <c r="R229" s="11">
        <f>IF(OR(P229="",Q229=""),"",IFERROR(INDEX(LAYOUT!$D$2:$D$80,MATCH(P229&amp;"|"&amp;Q229,LAYOUT!$E$2:$E$80,0)),""))</f>
        <v/>
      </c>
      <c r="S229" s="12">
        <f>IF(AND(P229="",Q229=""),IF(AND(L229="",M229="",T229="",U229=""),IF(OR($D229&lt;&gt;"",$E229&lt;&gt;""),"Belum ditempatkan",""),""),IF(P229="","CEK JENIS FIXTURE kosong",IF(LEFT(P229,4)&lt;&gt;"Wall","CEK Fixture 2 hanya Wall",IF(Q229="","CEK SHELVING KE kosong",IF(ISNA(MATCH(P229&amp;"|"&amp;Q229,LAYOUT!$E$2:$E$80,0)),"CEK SHELVING KE di luar layout",IF($I229="","CEK SERIES kosong",IF($D229="","Zona STOCK",IF($E229="","CEK SKU DESCRIPTION kosong",IF(COUNTIFS($I$2:$I$500,$I229,P$2:P$500,"&lt;&gt;"&amp;P229,P$2:P$500,"&lt;&gt;")&gt;0,"CEK jenis fixture beda dalam satu series","OK")))))))))</f>
        <v/>
      </c>
      <c r="T229" s="11" t="n"/>
      <c r="U229" s="11" t="n"/>
      <c r="V229" s="11">
        <f>IF(OR(T229="",U229=""),"",IFERROR(INDEX(LAYOUT!$D$2:$D$80,MATCH(T229&amp;"|"&amp;U229,LAYOUT!$E$2:$E$80,0)),""))</f>
        <v/>
      </c>
      <c r="W229" s="12">
        <f>IF(AND(T229="",U229=""),IF(AND(L229="",M229="",P229="",Q229=""),IF(OR($D229&lt;&gt;"",$E229&lt;&gt;""),"Belum ditempatkan",""),""),IF(T229="","CEK JENIS FIXTURE kosong",IF(LEFT(T229,4)&lt;&gt;"Wall","CEK Fixture 3 hanya Wall",IF(U229="","CEK SHELVING KE kosong",IF(ISNA(MATCH(T229&amp;"|"&amp;U229,LAYOUT!$E$2:$E$80,0)),"CEK SHELVING KE di luar layout",IF($I229="","CEK SERIES kosong",IF($D229="","Zona STOCK",IF($E229="","CEK SKU DESCRIPTION kosong",IF(COUNTIFS($I$2:$I$500,$I229,T$2:T$500,"&lt;&gt;"&amp;T229,T$2:T$500,"&lt;&gt;")&gt;0,"CEK jenis fixture beda dalam satu series","OK")))))))))</f>
        <v/>
      </c>
      <c r="X229" s="11" t="n"/>
      <c r="Y229" s="11" t="n"/>
      <c r="Z229" s="12" t="n"/>
      <c r="AA229" s="12" t="n"/>
      <c r="AB229" s="11" t="n"/>
      <c r="AC229" s="11" t="n"/>
      <c r="AD229" s="11" t="n"/>
      <c r="AE229" s="11" t="n"/>
      <c r="AF229" s="11" t="n"/>
      <c r="AG229" s="11" t="n"/>
      <c r="AH229" s="12" t="n"/>
      <c r="AI229" s="12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>
        <f>IF(OR(L230="",M230=""),"",IFERROR(INDEX(LAYOUT!$D$2:$D$80,MATCH(L230&amp;"|"&amp;M230,LAYOUT!$E$2:$E$80,0)),""))</f>
        <v/>
      </c>
      <c r="O230" s="12">
        <f>IF(AND(L230="",M230=""),IF(AND(P230="",Q230="",T230="",U230=""),IF(OR($D230&lt;&gt;"",$E230&lt;&gt;""),"Belum ditempatkan",""),""),IF(L230="","CEK JENIS FIXTURE kosong",IF(AND(LEFT(L230,7)&lt;&gt;"Gondola",LEFT(L230,6)&lt;&gt;"Endcap"),"CEK Fixture 1 hanya Gondola atau Endcap",IF(M230="","CEK SHELVING KE kosong",IF(ISNA(MATCH(L230&amp;"|"&amp;M230,LAYOUT!$E$2:$E$80,0)),"CEK SHELVING KE di luar layout",IF($I230="","CEK SERIES kosong",IF($D230="","Zona STOCK",IF($E230="","CEK SKU DESCRIPTION kosong",IF(COUNTIFS($I$2:$I$500,$I230,L$2:L$500,"&lt;&gt;"&amp;L230,L$2:L$500,"&lt;&gt;")&gt;0,"CEK jenis fixture beda dalam satu series","OK")))))))))</f>
        <v/>
      </c>
      <c r="P230" s="11" t="n"/>
      <c r="Q230" s="11" t="n"/>
      <c r="R230" s="11">
        <f>IF(OR(P230="",Q230=""),"",IFERROR(INDEX(LAYOUT!$D$2:$D$80,MATCH(P230&amp;"|"&amp;Q230,LAYOUT!$E$2:$E$80,0)),""))</f>
        <v/>
      </c>
      <c r="S230" s="12">
        <f>IF(AND(P230="",Q230=""),IF(AND(L230="",M230="",T230="",U230=""),IF(OR($D230&lt;&gt;"",$E230&lt;&gt;""),"Belum ditempatkan",""),""),IF(P230="","CEK JENIS FIXTURE kosong",IF(LEFT(P230,4)&lt;&gt;"Wall","CEK Fixture 2 hanya Wall",IF(Q230="","CEK SHELVING KE kosong",IF(ISNA(MATCH(P230&amp;"|"&amp;Q230,LAYOUT!$E$2:$E$80,0)),"CEK SHELVING KE di luar layout",IF($I230="","CEK SERIES kosong",IF($D230="","Zona STOCK",IF($E230="","CEK SKU DESCRIPTION kosong",IF(COUNTIFS($I$2:$I$500,$I230,P$2:P$500,"&lt;&gt;"&amp;P230,P$2:P$500,"&lt;&gt;")&gt;0,"CEK jenis fixture beda dalam satu series","OK")))))))))</f>
        <v/>
      </c>
      <c r="T230" s="11" t="n"/>
      <c r="U230" s="11" t="n"/>
      <c r="V230" s="11">
        <f>IF(OR(T230="",U230=""),"",IFERROR(INDEX(LAYOUT!$D$2:$D$80,MATCH(T230&amp;"|"&amp;U230,LAYOUT!$E$2:$E$80,0)),""))</f>
        <v/>
      </c>
      <c r="W230" s="12">
        <f>IF(AND(T230="",U230=""),IF(AND(L230="",M230="",P230="",Q230=""),IF(OR($D230&lt;&gt;"",$E230&lt;&gt;""),"Belum ditempatkan",""),""),IF(T230="","CEK JENIS FIXTURE kosong",IF(LEFT(T230,4)&lt;&gt;"Wall","CEK Fixture 3 hanya Wall",IF(U230="","CEK SHELVING KE kosong",IF(ISNA(MATCH(T230&amp;"|"&amp;U230,LAYOUT!$E$2:$E$80,0)),"CEK SHELVING KE di luar layout",IF($I230="","CEK SERIES kosong",IF($D230="","Zona STOCK",IF($E230="","CEK SKU DESCRIPTION kosong",IF(COUNTIFS($I$2:$I$500,$I230,T$2:T$500,"&lt;&gt;"&amp;T230,T$2:T$500,"&lt;&gt;")&gt;0,"CEK jenis fixture beda dalam satu series","OK")))))))))</f>
        <v/>
      </c>
      <c r="X230" s="11" t="n"/>
      <c r="Y230" s="11" t="n"/>
      <c r="Z230" s="12" t="n"/>
      <c r="AA230" s="12" t="n"/>
      <c r="AB230" s="11" t="n"/>
      <c r="AC230" s="11" t="n"/>
      <c r="AD230" s="11" t="n"/>
      <c r="AE230" s="11" t="n"/>
      <c r="AF230" s="11" t="n"/>
      <c r="AG230" s="11" t="n"/>
      <c r="AH230" s="12" t="n"/>
      <c r="AI230" s="12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>
        <f>IF(OR(L231="",M231=""),"",IFERROR(INDEX(LAYOUT!$D$2:$D$80,MATCH(L231&amp;"|"&amp;M231,LAYOUT!$E$2:$E$80,0)),""))</f>
        <v/>
      </c>
      <c r="O231" s="12">
        <f>IF(AND(L231="",M231=""),IF(AND(P231="",Q231="",T231="",U231=""),IF(OR($D231&lt;&gt;"",$E231&lt;&gt;""),"Belum ditempatkan",""),""),IF(L231="","CEK JENIS FIXTURE kosong",IF(AND(LEFT(L231,7)&lt;&gt;"Gondola",LEFT(L231,6)&lt;&gt;"Endcap"),"CEK Fixture 1 hanya Gondola atau Endcap",IF(M231="","CEK SHELVING KE kosong",IF(ISNA(MATCH(L231&amp;"|"&amp;M231,LAYOUT!$E$2:$E$80,0)),"CEK SHELVING KE di luar layout",IF($I231="","CEK SERIES kosong",IF($D231="","Zona STOCK",IF($E231="","CEK SKU DESCRIPTION kosong",IF(COUNTIFS($I$2:$I$500,$I231,L$2:L$500,"&lt;&gt;"&amp;L231,L$2:L$500,"&lt;&gt;")&gt;0,"CEK jenis fixture beda dalam satu series","OK")))))))))</f>
        <v/>
      </c>
      <c r="P231" s="11" t="n"/>
      <c r="Q231" s="11" t="n"/>
      <c r="R231" s="11">
        <f>IF(OR(P231="",Q231=""),"",IFERROR(INDEX(LAYOUT!$D$2:$D$80,MATCH(P231&amp;"|"&amp;Q231,LAYOUT!$E$2:$E$80,0)),""))</f>
        <v/>
      </c>
      <c r="S231" s="12">
        <f>IF(AND(P231="",Q231=""),IF(AND(L231="",M231="",T231="",U231=""),IF(OR($D231&lt;&gt;"",$E231&lt;&gt;""),"Belum ditempatkan",""),""),IF(P231="","CEK JENIS FIXTURE kosong",IF(LEFT(P231,4)&lt;&gt;"Wall","CEK Fixture 2 hanya Wall",IF(Q231="","CEK SHELVING KE kosong",IF(ISNA(MATCH(P231&amp;"|"&amp;Q231,LAYOUT!$E$2:$E$80,0)),"CEK SHELVING KE di luar layout",IF($I231="","CEK SERIES kosong",IF($D231="","Zona STOCK",IF($E231="","CEK SKU DESCRIPTION kosong",IF(COUNTIFS($I$2:$I$500,$I231,P$2:P$500,"&lt;&gt;"&amp;P231,P$2:P$500,"&lt;&gt;")&gt;0,"CEK jenis fixture beda dalam satu series","OK")))))))))</f>
        <v/>
      </c>
      <c r="T231" s="11" t="n"/>
      <c r="U231" s="11" t="n"/>
      <c r="V231" s="11">
        <f>IF(OR(T231="",U231=""),"",IFERROR(INDEX(LAYOUT!$D$2:$D$80,MATCH(T231&amp;"|"&amp;U231,LAYOUT!$E$2:$E$80,0)),""))</f>
        <v/>
      </c>
      <c r="W231" s="12">
        <f>IF(AND(T231="",U231=""),IF(AND(L231="",M231="",P231="",Q231=""),IF(OR($D231&lt;&gt;"",$E231&lt;&gt;""),"Belum ditempatkan",""),""),IF(T231="","CEK JENIS FIXTURE kosong",IF(LEFT(T231,4)&lt;&gt;"Wall","CEK Fixture 3 hanya Wall",IF(U231="","CEK SHELVING KE kosong",IF(ISNA(MATCH(T231&amp;"|"&amp;U231,LAYOUT!$E$2:$E$80,0)),"CEK SHELVING KE di luar layout",IF($I231="","CEK SERIES kosong",IF($D231="","Zona STOCK",IF($E231="","CEK SKU DESCRIPTION kosong",IF(COUNTIFS($I$2:$I$500,$I231,T$2:T$500,"&lt;&gt;"&amp;T231,T$2:T$500,"&lt;&gt;")&gt;0,"CEK jenis fixture beda dalam satu series","OK")))))))))</f>
        <v/>
      </c>
      <c r="X231" s="11" t="n"/>
      <c r="Y231" s="11" t="n"/>
      <c r="Z231" s="12" t="n"/>
      <c r="AA231" s="12" t="n"/>
      <c r="AB231" s="11" t="n"/>
      <c r="AC231" s="11" t="n"/>
      <c r="AD231" s="11" t="n"/>
      <c r="AE231" s="11" t="n"/>
      <c r="AF231" s="11" t="n"/>
      <c r="AG231" s="11" t="n"/>
      <c r="AH231" s="12" t="n"/>
      <c r="AI231" s="12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>
        <f>IF(OR(L232="",M232=""),"",IFERROR(INDEX(LAYOUT!$D$2:$D$80,MATCH(L232&amp;"|"&amp;M232,LAYOUT!$E$2:$E$80,0)),""))</f>
        <v/>
      </c>
      <c r="O232" s="12">
        <f>IF(AND(L232="",M232=""),IF(AND(P232="",Q232="",T232="",U232=""),IF(OR($D232&lt;&gt;"",$E232&lt;&gt;""),"Belum ditempatkan",""),""),IF(L232="","CEK JENIS FIXTURE kosong",IF(AND(LEFT(L232,7)&lt;&gt;"Gondola",LEFT(L232,6)&lt;&gt;"Endcap"),"CEK Fixture 1 hanya Gondola atau Endcap",IF(M232="","CEK SHELVING KE kosong",IF(ISNA(MATCH(L232&amp;"|"&amp;M232,LAYOUT!$E$2:$E$80,0)),"CEK SHELVING KE di luar layout",IF($I232="","CEK SERIES kosong",IF($D232="","Zona STOCK",IF($E232="","CEK SKU DESCRIPTION kosong",IF(COUNTIFS($I$2:$I$500,$I232,L$2:L$500,"&lt;&gt;"&amp;L232,L$2:L$500,"&lt;&gt;")&gt;0,"CEK jenis fixture beda dalam satu series","OK")))))))))</f>
        <v/>
      </c>
      <c r="P232" s="11" t="n"/>
      <c r="Q232" s="11" t="n"/>
      <c r="R232" s="11">
        <f>IF(OR(P232="",Q232=""),"",IFERROR(INDEX(LAYOUT!$D$2:$D$80,MATCH(P232&amp;"|"&amp;Q232,LAYOUT!$E$2:$E$80,0)),""))</f>
        <v/>
      </c>
      <c r="S232" s="12">
        <f>IF(AND(P232="",Q232=""),IF(AND(L232="",M232="",T232="",U232=""),IF(OR($D232&lt;&gt;"",$E232&lt;&gt;""),"Belum ditempatkan",""),""),IF(P232="","CEK JENIS FIXTURE kosong",IF(LEFT(P232,4)&lt;&gt;"Wall","CEK Fixture 2 hanya Wall",IF(Q232="","CEK SHELVING KE kosong",IF(ISNA(MATCH(P232&amp;"|"&amp;Q232,LAYOUT!$E$2:$E$80,0)),"CEK SHELVING KE di luar layout",IF($I232="","CEK SERIES kosong",IF($D232="","Zona STOCK",IF($E232="","CEK SKU DESCRIPTION kosong",IF(COUNTIFS($I$2:$I$500,$I232,P$2:P$500,"&lt;&gt;"&amp;P232,P$2:P$500,"&lt;&gt;")&gt;0,"CEK jenis fixture beda dalam satu series","OK")))))))))</f>
        <v/>
      </c>
      <c r="T232" s="11" t="n"/>
      <c r="U232" s="11" t="n"/>
      <c r="V232" s="11">
        <f>IF(OR(T232="",U232=""),"",IFERROR(INDEX(LAYOUT!$D$2:$D$80,MATCH(T232&amp;"|"&amp;U232,LAYOUT!$E$2:$E$80,0)),""))</f>
        <v/>
      </c>
      <c r="W232" s="12">
        <f>IF(AND(T232="",U232=""),IF(AND(L232="",M232="",P232="",Q232=""),IF(OR($D232&lt;&gt;"",$E232&lt;&gt;""),"Belum ditempatkan",""),""),IF(T232="","CEK JENIS FIXTURE kosong",IF(LEFT(T232,4)&lt;&gt;"Wall","CEK Fixture 3 hanya Wall",IF(U232="","CEK SHELVING KE kosong",IF(ISNA(MATCH(T232&amp;"|"&amp;U232,LAYOUT!$E$2:$E$80,0)),"CEK SHELVING KE di luar layout",IF($I232="","CEK SERIES kosong",IF($D232="","Zona STOCK",IF($E232="","CEK SKU DESCRIPTION kosong",IF(COUNTIFS($I$2:$I$500,$I232,T$2:T$500,"&lt;&gt;"&amp;T232,T$2:T$500,"&lt;&gt;")&gt;0,"CEK jenis fixture beda dalam satu series","OK")))))))))</f>
        <v/>
      </c>
      <c r="X232" s="11" t="n"/>
      <c r="Y232" s="11" t="n"/>
      <c r="Z232" s="12" t="n"/>
      <c r="AA232" s="12" t="n"/>
      <c r="AB232" s="11" t="n"/>
      <c r="AC232" s="11" t="n"/>
      <c r="AD232" s="11" t="n"/>
      <c r="AE232" s="11" t="n"/>
      <c r="AF232" s="11" t="n"/>
      <c r="AG232" s="11" t="n"/>
      <c r="AH232" s="12" t="n"/>
      <c r="AI232" s="12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>
        <f>IF(OR(L233="",M233=""),"",IFERROR(INDEX(LAYOUT!$D$2:$D$80,MATCH(L233&amp;"|"&amp;M233,LAYOUT!$E$2:$E$80,0)),""))</f>
        <v/>
      </c>
      <c r="O233" s="12">
        <f>IF(AND(L233="",M233=""),IF(AND(P233="",Q233="",T233="",U233=""),IF(OR($D233&lt;&gt;"",$E233&lt;&gt;""),"Belum ditempatkan",""),""),IF(L233="","CEK JENIS FIXTURE kosong",IF(AND(LEFT(L233,7)&lt;&gt;"Gondola",LEFT(L233,6)&lt;&gt;"Endcap"),"CEK Fixture 1 hanya Gondola atau Endcap",IF(M233="","CEK SHELVING KE kosong",IF(ISNA(MATCH(L233&amp;"|"&amp;M233,LAYOUT!$E$2:$E$80,0)),"CEK SHELVING KE di luar layout",IF($I233="","CEK SERIES kosong",IF($D233="","Zona STOCK",IF($E233="","CEK SKU DESCRIPTION kosong",IF(COUNTIFS($I$2:$I$500,$I233,L$2:L$500,"&lt;&gt;"&amp;L233,L$2:L$500,"&lt;&gt;")&gt;0,"CEK jenis fixture beda dalam satu series","OK")))))))))</f>
        <v/>
      </c>
      <c r="P233" s="11" t="n"/>
      <c r="Q233" s="11" t="n"/>
      <c r="R233" s="11">
        <f>IF(OR(P233="",Q233=""),"",IFERROR(INDEX(LAYOUT!$D$2:$D$80,MATCH(P233&amp;"|"&amp;Q233,LAYOUT!$E$2:$E$80,0)),""))</f>
        <v/>
      </c>
      <c r="S233" s="12">
        <f>IF(AND(P233="",Q233=""),IF(AND(L233="",M233="",T233="",U233=""),IF(OR($D233&lt;&gt;"",$E233&lt;&gt;""),"Belum ditempatkan",""),""),IF(P233="","CEK JENIS FIXTURE kosong",IF(LEFT(P233,4)&lt;&gt;"Wall","CEK Fixture 2 hanya Wall",IF(Q233="","CEK SHELVING KE kosong",IF(ISNA(MATCH(P233&amp;"|"&amp;Q233,LAYOUT!$E$2:$E$80,0)),"CEK SHELVING KE di luar layout",IF($I233="","CEK SERIES kosong",IF($D233="","Zona STOCK",IF($E233="","CEK SKU DESCRIPTION kosong",IF(COUNTIFS($I$2:$I$500,$I233,P$2:P$500,"&lt;&gt;"&amp;P233,P$2:P$500,"&lt;&gt;")&gt;0,"CEK jenis fixture beda dalam satu series","OK")))))))))</f>
        <v/>
      </c>
      <c r="T233" s="11" t="n"/>
      <c r="U233" s="11" t="n"/>
      <c r="V233" s="11">
        <f>IF(OR(T233="",U233=""),"",IFERROR(INDEX(LAYOUT!$D$2:$D$80,MATCH(T233&amp;"|"&amp;U233,LAYOUT!$E$2:$E$80,0)),""))</f>
        <v/>
      </c>
      <c r="W233" s="12">
        <f>IF(AND(T233="",U233=""),IF(AND(L233="",M233="",P233="",Q233=""),IF(OR($D233&lt;&gt;"",$E233&lt;&gt;""),"Belum ditempatkan",""),""),IF(T233="","CEK JENIS FIXTURE kosong",IF(LEFT(T233,4)&lt;&gt;"Wall","CEK Fixture 3 hanya Wall",IF(U233="","CEK SHELVING KE kosong",IF(ISNA(MATCH(T233&amp;"|"&amp;U233,LAYOUT!$E$2:$E$80,0)),"CEK SHELVING KE di luar layout",IF($I233="","CEK SERIES kosong",IF($D233="","Zona STOCK",IF($E233="","CEK SKU DESCRIPTION kosong",IF(COUNTIFS($I$2:$I$500,$I233,T$2:T$500,"&lt;&gt;"&amp;T233,T$2:T$500,"&lt;&gt;")&gt;0,"CEK jenis fixture beda dalam satu series","OK")))))))))</f>
        <v/>
      </c>
      <c r="X233" s="11" t="n"/>
      <c r="Y233" s="11" t="n"/>
      <c r="Z233" s="12" t="n"/>
      <c r="AA233" s="12" t="n"/>
      <c r="AB233" s="11" t="n"/>
      <c r="AC233" s="11" t="n"/>
      <c r="AD233" s="11" t="n"/>
      <c r="AE233" s="11" t="n"/>
      <c r="AF233" s="11" t="n"/>
      <c r="AG233" s="11" t="n"/>
      <c r="AH233" s="12" t="n"/>
      <c r="AI233" s="12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>
        <f>IF(OR(L234="",M234=""),"",IFERROR(INDEX(LAYOUT!$D$2:$D$80,MATCH(L234&amp;"|"&amp;M234,LAYOUT!$E$2:$E$80,0)),""))</f>
        <v/>
      </c>
      <c r="O234" s="12">
        <f>IF(AND(L234="",M234=""),IF(AND(P234="",Q234="",T234="",U234=""),IF(OR($D234&lt;&gt;"",$E234&lt;&gt;""),"Belum ditempatkan",""),""),IF(L234="","CEK JENIS FIXTURE kosong",IF(AND(LEFT(L234,7)&lt;&gt;"Gondola",LEFT(L234,6)&lt;&gt;"Endcap"),"CEK Fixture 1 hanya Gondola atau Endcap",IF(M234="","CEK SHELVING KE kosong",IF(ISNA(MATCH(L234&amp;"|"&amp;M234,LAYOUT!$E$2:$E$80,0)),"CEK SHELVING KE di luar layout",IF($I234="","CEK SERIES kosong",IF($D234="","Zona STOCK",IF($E234="","CEK SKU DESCRIPTION kosong",IF(COUNTIFS($I$2:$I$500,$I234,L$2:L$500,"&lt;&gt;"&amp;L234,L$2:L$500,"&lt;&gt;")&gt;0,"CEK jenis fixture beda dalam satu series","OK")))))))))</f>
        <v/>
      </c>
      <c r="P234" s="11" t="n"/>
      <c r="Q234" s="11" t="n"/>
      <c r="R234" s="11">
        <f>IF(OR(P234="",Q234=""),"",IFERROR(INDEX(LAYOUT!$D$2:$D$80,MATCH(P234&amp;"|"&amp;Q234,LAYOUT!$E$2:$E$80,0)),""))</f>
        <v/>
      </c>
      <c r="S234" s="12">
        <f>IF(AND(P234="",Q234=""),IF(AND(L234="",M234="",T234="",U234=""),IF(OR($D234&lt;&gt;"",$E234&lt;&gt;""),"Belum ditempatkan",""),""),IF(P234="","CEK JENIS FIXTURE kosong",IF(LEFT(P234,4)&lt;&gt;"Wall","CEK Fixture 2 hanya Wall",IF(Q234="","CEK SHELVING KE kosong",IF(ISNA(MATCH(P234&amp;"|"&amp;Q234,LAYOUT!$E$2:$E$80,0)),"CEK SHELVING KE di luar layout",IF($I234="","CEK SERIES kosong",IF($D234="","Zona STOCK",IF($E234="","CEK SKU DESCRIPTION kosong",IF(COUNTIFS($I$2:$I$500,$I234,P$2:P$500,"&lt;&gt;"&amp;P234,P$2:P$500,"&lt;&gt;")&gt;0,"CEK jenis fixture beda dalam satu series","OK")))))))))</f>
        <v/>
      </c>
      <c r="T234" s="11" t="n"/>
      <c r="U234" s="11" t="n"/>
      <c r="V234" s="11">
        <f>IF(OR(T234="",U234=""),"",IFERROR(INDEX(LAYOUT!$D$2:$D$80,MATCH(T234&amp;"|"&amp;U234,LAYOUT!$E$2:$E$80,0)),""))</f>
        <v/>
      </c>
      <c r="W234" s="12">
        <f>IF(AND(T234="",U234=""),IF(AND(L234="",M234="",P234="",Q234=""),IF(OR($D234&lt;&gt;"",$E234&lt;&gt;""),"Belum ditempatkan",""),""),IF(T234="","CEK JENIS FIXTURE kosong",IF(LEFT(T234,4)&lt;&gt;"Wall","CEK Fixture 3 hanya Wall",IF(U234="","CEK SHELVING KE kosong",IF(ISNA(MATCH(T234&amp;"|"&amp;U234,LAYOUT!$E$2:$E$80,0)),"CEK SHELVING KE di luar layout",IF($I234="","CEK SERIES kosong",IF($D234="","Zona STOCK",IF($E234="","CEK SKU DESCRIPTION kosong",IF(COUNTIFS($I$2:$I$500,$I234,T$2:T$500,"&lt;&gt;"&amp;T234,T$2:T$500,"&lt;&gt;")&gt;0,"CEK jenis fixture beda dalam satu series","OK")))))))))</f>
        <v/>
      </c>
      <c r="X234" s="11" t="n"/>
      <c r="Y234" s="11" t="n"/>
      <c r="Z234" s="12" t="n"/>
      <c r="AA234" s="12" t="n"/>
      <c r="AB234" s="11" t="n"/>
      <c r="AC234" s="11" t="n"/>
      <c r="AD234" s="11" t="n"/>
      <c r="AE234" s="11" t="n"/>
      <c r="AF234" s="11" t="n"/>
      <c r="AG234" s="11" t="n"/>
      <c r="AH234" s="12" t="n"/>
      <c r="AI234" s="12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>
        <f>IF(OR(L235="",M235=""),"",IFERROR(INDEX(LAYOUT!$D$2:$D$80,MATCH(L235&amp;"|"&amp;M235,LAYOUT!$E$2:$E$80,0)),""))</f>
        <v/>
      </c>
      <c r="O235" s="12">
        <f>IF(AND(L235="",M235=""),IF(AND(P235="",Q235="",T235="",U235=""),IF(OR($D235&lt;&gt;"",$E235&lt;&gt;""),"Belum ditempatkan",""),""),IF(L235="","CEK JENIS FIXTURE kosong",IF(AND(LEFT(L235,7)&lt;&gt;"Gondola",LEFT(L235,6)&lt;&gt;"Endcap"),"CEK Fixture 1 hanya Gondola atau Endcap",IF(M235="","CEK SHELVING KE kosong",IF(ISNA(MATCH(L235&amp;"|"&amp;M235,LAYOUT!$E$2:$E$80,0)),"CEK SHELVING KE di luar layout",IF($I235="","CEK SERIES kosong",IF($D235="","Zona STOCK",IF($E235="","CEK SKU DESCRIPTION kosong",IF(COUNTIFS($I$2:$I$500,$I235,L$2:L$500,"&lt;&gt;"&amp;L235,L$2:L$500,"&lt;&gt;")&gt;0,"CEK jenis fixture beda dalam satu series","OK")))))))))</f>
        <v/>
      </c>
      <c r="P235" s="11" t="n"/>
      <c r="Q235" s="11" t="n"/>
      <c r="R235" s="11">
        <f>IF(OR(P235="",Q235=""),"",IFERROR(INDEX(LAYOUT!$D$2:$D$80,MATCH(P235&amp;"|"&amp;Q235,LAYOUT!$E$2:$E$80,0)),""))</f>
        <v/>
      </c>
      <c r="S235" s="12">
        <f>IF(AND(P235="",Q235=""),IF(AND(L235="",M235="",T235="",U235=""),IF(OR($D235&lt;&gt;"",$E235&lt;&gt;""),"Belum ditempatkan",""),""),IF(P235="","CEK JENIS FIXTURE kosong",IF(LEFT(P235,4)&lt;&gt;"Wall","CEK Fixture 2 hanya Wall",IF(Q235="","CEK SHELVING KE kosong",IF(ISNA(MATCH(P235&amp;"|"&amp;Q235,LAYOUT!$E$2:$E$80,0)),"CEK SHELVING KE di luar layout",IF($I235="","CEK SERIES kosong",IF($D235="","Zona STOCK",IF($E235="","CEK SKU DESCRIPTION kosong",IF(COUNTIFS($I$2:$I$500,$I235,P$2:P$500,"&lt;&gt;"&amp;P235,P$2:P$500,"&lt;&gt;")&gt;0,"CEK jenis fixture beda dalam satu series","OK")))))))))</f>
        <v/>
      </c>
      <c r="T235" s="11" t="n"/>
      <c r="U235" s="11" t="n"/>
      <c r="V235" s="11">
        <f>IF(OR(T235="",U235=""),"",IFERROR(INDEX(LAYOUT!$D$2:$D$80,MATCH(T235&amp;"|"&amp;U235,LAYOUT!$E$2:$E$80,0)),""))</f>
        <v/>
      </c>
      <c r="W235" s="12">
        <f>IF(AND(T235="",U235=""),IF(AND(L235="",M235="",P235="",Q235=""),IF(OR($D235&lt;&gt;"",$E235&lt;&gt;""),"Belum ditempatkan",""),""),IF(T235="","CEK JENIS FIXTURE kosong",IF(LEFT(T235,4)&lt;&gt;"Wall","CEK Fixture 3 hanya Wall",IF(U235="","CEK SHELVING KE kosong",IF(ISNA(MATCH(T235&amp;"|"&amp;U235,LAYOUT!$E$2:$E$80,0)),"CEK SHELVING KE di luar layout",IF($I235="","CEK SERIES kosong",IF($D235="","Zona STOCK",IF($E235="","CEK SKU DESCRIPTION kosong",IF(COUNTIFS($I$2:$I$500,$I235,T$2:T$500,"&lt;&gt;"&amp;T235,T$2:T$500,"&lt;&gt;")&gt;0,"CEK jenis fixture beda dalam satu series","OK")))))))))</f>
        <v/>
      </c>
      <c r="X235" s="11" t="n"/>
      <c r="Y235" s="11" t="n"/>
      <c r="Z235" s="12" t="n"/>
      <c r="AA235" s="12" t="n"/>
      <c r="AB235" s="11" t="n"/>
      <c r="AC235" s="11" t="n"/>
      <c r="AD235" s="11" t="n"/>
      <c r="AE235" s="11" t="n"/>
      <c r="AF235" s="11" t="n"/>
      <c r="AG235" s="11" t="n"/>
      <c r="AH235" s="12" t="n"/>
      <c r="AI235" s="12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>
        <f>IF(OR(L236="",M236=""),"",IFERROR(INDEX(LAYOUT!$D$2:$D$80,MATCH(L236&amp;"|"&amp;M236,LAYOUT!$E$2:$E$80,0)),""))</f>
        <v/>
      </c>
      <c r="O236" s="12">
        <f>IF(AND(L236="",M236=""),IF(AND(P236="",Q236="",T236="",U236=""),IF(OR($D236&lt;&gt;"",$E236&lt;&gt;""),"Belum ditempatkan",""),""),IF(L236="","CEK JENIS FIXTURE kosong",IF(AND(LEFT(L236,7)&lt;&gt;"Gondola",LEFT(L236,6)&lt;&gt;"Endcap"),"CEK Fixture 1 hanya Gondola atau Endcap",IF(M236="","CEK SHELVING KE kosong",IF(ISNA(MATCH(L236&amp;"|"&amp;M236,LAYOUT!$E$2:$E$80,0)),"CEK SHELVING KE di luar layout",IF($I236="","CEK SERIES kosong",IF($D236="","Zona STOCK",IF($E236="","CEK SKU DESCRIPTION kosong",IF(COUNTIFS($I$2:$I$500,$I236,L$2:L$500,"&lt;&gt;"&amp;L236,L$2:L$500,"&lt;&gt;")&gt;0,"CEK jenis fixture beda dalam satu series","OK")))))))))</f>
        <v/>
      </c>
      <c r="P236" s="11" t="n"/>
      <c r="Q236" s="11" t="n"/>
      <c r="R236" s="11">
        <f>IF(OR(P236="",Q236=""),"",IFERROR(INDEX(LAYOUT!$D$2:$D$80,MATCH(P236&amp;"|"&amp;Q236,LAYOUT!$E$2:$E$80,0)),""))</f>
        <v/>
      </c>
      <c r="S236" s="12">
        <f>IF(AND(P236="",Q236=""),IF(AND(L236="",M236="",T236="",U236=""),IF(OR($D236&lt;&gt;"",$E236&lt;&gt;""),"Belum ditempatkan",""),""),IF(P236="","CEK JENIS FIXTURE kosong",IF(LEFT(P236,4)&lt;&gt;"Wall","CEK Fixture 2 hanya Wall",IF(Q236="","CEK SHELVING KE kosong",IF(ISNA(MATCH(P236&amp;"|"&amp;Q236,LAYOUT!$E$2:$E$80,0)),"CEK SHELVING KE di luar layout",IF($I236="","CEK SERIES kosong",IF($D236="","Zona STOCK",IF($E236="","CEK SKU DESCRIPTION kosong",IF(COUNTIFS($I$2:$I$500,$I236,P$2:P$500,"&lt;&gt;"&amp;P236,P$2:P$500,"&lt;&gt;")&gt;0,"CEK jenis fixture beda dalam satu series","OK")))))))))</f>
        <v/>
      </c>
      <c r="T236" s="11" t="n"/>
      <c r="U236" s="11" t="n"/>
      <c r="V236" s="11">
        <f>IF(OR(T236="",U236=""),"",IFERROR(INDEX(LAYOUT!$D$2:$D$80,MATCH(T236&amp;"|"&amp;U236,LAYOUT!$E$2:$E$80,0)),""))</f>
        <v/>
      </c>
      <c r="W236" s="12">
        <f>IF(AND(T236="",U236=""),IF(AND(L236="",M236="",P236="",Q236=""),IF(OR($D236&lt;&gt;"",$E236&lt;&gt;""),"Belum ditempatkan",""),""),IF(T236="","CEK JENIS FIXTURE kosong",IF(LEFT(T236,4)&lt;&gt;"Wall","CEK Fixture 3 hanya Wall",IF(U236="","CEK SHELVING KE kosong",IF(ISNA(MATCH(T236&amp;"|"&amp;U236,LAYOUT!$E$2:$E$80,0)),"CEK SHELVING KE di luar layout",IF($I236="","CEK SERIES kosong",IF($D236="","Zona STOCK",IF($E236="","CEK SKU DESCRIPTION kosong",IF(COUNTIFS($I$2:$I$500,$I236,T$2:T$500,"&lt;&gt;"&amp;T236,T$2:T$500,"&lt;&gt;")&gt;0,"CEK jenis fixture beda dalam satu series","OK")))))))))</f>
        <v/>
      </c>
      <c r="X236" s="11" t="n"/>
      <c r="Y236" s="11" t="n"/>
      <c r="Z236" s="12" t="n"/>
      <c r="AA236" s="12" t="n"/>
      <c r="AB236" s="11" t="n"/>
      <c r="AC236" s="11" t="n"/>
      <c r="AD236" s="11" t="n"/>
      <c r="AE236" s="11" t="n"/>
      <c r="AF236" s="11" t="n"/>
      <c r="AG236" s="11" t="n"/>
      <c r="AH236" s="12" t="n"/>
      <c r="AI236" s="12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>
        <f>IF(OR(L237="",M237=""),"",IFERROR(INDEX(LAYOUT!$D$2:$D$80,MATCH(L237&amp;"|"&amp;M237,LAYOUT!$E$2:$E$80,0)),""))</f>
        <v/>
      </c>
      <c r="O237" s="12">
        <f>IF(AND(L237="",M237=""),IF(AND(P237="",Q237="",T237="",U237=""),IF(OR($D237&lt;&gt;"",$E237&lt;&gt;""),"Belum ditempatkan",""),""),IF(L237="","CEK JENIS FIXTURE kosong",IF(AND(LEFT(L237,7)&lt;&gt;"Gondola",LEFT(L237,6)&lt;&gt;"Endcap"),"CEK Fixture 1 hanya Gondola atau Endcap",IF(M237="","CEK SHELVING KE kosong",IF(ISNA(MATCH(L237&amp;"|"&amp;M237,LAYOUT!$E$2:$E$80,0)),"CEK SHELVING KE di luar layout",IF($I237="","CEK SERIES kosong",IF($D237="","Zona STOCK",IF($E237="","CEK SKU DESCRIPTION kosong",IF(COUNTIFS($I$2:$I$500,$I237,L$2:L$500,"&lt;&gt;"&amp;L237,L$2:L$500,"&lt;&gt;")&gt;0,"CEK jenis fixture beda dalam satu series","OK")))))))))</f>
        <v/>
      </c>
      <c r="P237" s="11" t="n"/>
      <c r="Q237" s="11" t="n"/>
      <c r="R237" s="11">
        <f>IF(OR(P237="",Q237=""),"",IFERROR(INDEX(LAYOUT!$D$2:$D$80,MATCH(P237&amp;"|"&amp;Q237,LAYOUT!$E$2:$E$80,0)),""))</f>
        <v/>
      </c>
      <c r="S237" s="12">
        <f>IF(AND(P237="",Q237=""),IF(AND(L237="",M237="",T237="",U237=""),IF(OR($D237&lt;&gt;"",$E237&lt;&gt;""),"Belum ditempatkan",""),""),IF(P237="","CEK JENIS FIXTURE kosong",IF(LEFT(P237,4)&lt;&gt;"Wall","CEK Fixture 2 hanya Wall",IF(Q237="","CEK SHELVING KE kosong",IF(ISNA(MATCH(P237&amp;"|"&amp;Q237,LAYOUT!$E$2:$E$80,0)),"CEK SHELVING KE di luar layout",IF($I237="","CEK SERIES kosong",IF($D237="","Zona STOCK",IF($E237="","CEK SKU DESCRIPTION kosong",IF(COUNTIFS($I$2:$I$500,$I237,P$2:P$500,"&lt;&gt;"&amp;P237,P$2:P$500,"&lt;&gt;")&gt;0,"CEK jenis fixture beda dalam satu series","OK")))))))))</f>
        <v/>
      </c>
      <c r="T237" s="11" t="n"/>
      <c r="U237" s="11" t="n"/>
      <c r="V237" s="11">
        <f>IF(OR(T237="",U237=""),"",IFERROR(INDEX(LAYOUT!$D$2:$D$80,MATCH(T237&amp;"|"&amp;U237,LAYOUT!$E$2:$E$80,0)),""))</f>
        <v/>
      </c>
      <c r="W237" s="12">
        <f>IF(AND(T237="",U237=""),IF(AND(L237="",M237="",P237="",Q237=""),IF(OR($D237&lt;&gt;"",$E237&lt;&gt;""),"Belum ditempatkan",""),""),IF(T237="","CEK JENIS FIXTURE kosong",IF(LEFT(T237,4)&lt;&gt;"Wall","CEK Fixture 3 hanya Wall",IF(U237="","CEK SHELVING KE kosong",IF(ISNA(MATCH(T237&amp;"|"&amp;U237,LAYOUT!$E$2:$E$80,0)),"CEK SHELVING KE di luar layout",IF($I237="","CEK SERIES kosong",IF($D237="","Zona STOCK",IF($E237="","CEK SKU DESCRIPTION kosong",IF(COUNTIFS($I$2:$I$500,$I237,T$2:T$500,"&lt;&gt;"&amp;T237,T$2:T$500,"&lt;&gt;")&gt;0,"CEK jenis fixture beda dalam satu series","OK")))))))))</f>
        <v/>
      </c>
      <c r="X237" s="11" t="n"/>
      <c r="Y237" s="11" t="n"/>
      <c r="Z237" s="12" t="n"/>
      <c r="AA237" s="12" t="n"/>
      <c r="AB237" s="11" t="n"/>
      <c r="AC237" s="11" t="n"/>
      <c r="AD237" s="11" t="n"/>
      <c r="AE237" s="11" t="n"/>
      <c r="AF237" s="11" t="n"/>
      <c r="AG237" s="11" t="n"/>
      <c r="AH237" s="12" t="n"/>
      <c r="AI237" s="12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>
        <f>IF(OR(L238="",M238=""),"",IFERROR(INDEX(LAYOUT!$D$2:$D$80,MATCH(L238&amp;"|"&amp;M238,LAYOUT!$E$2:$E$80,0)),""))</f>
        <v/>
      </c>
      <c r="O238" s="12">
        <f>IF(AND(L238="",M238=""),IF(AND(P238="",Q238="",T238="",U238=""),IF(OR($D238&lt;&gt;"",$E238&lt;&gt;""),"Belum ditempatkan",""),""),IF(L238="","CEK JENIS FIXTURE kosong",IF(AND(LEFT(L238,7)&lt;&gt;"Gondola",LEFT(L238,6)&lt;&gt;"Endcap"),"CEK Fixture 1 hanya Gondola atau Endcap",IF(M238="","CEK SHELVING KE kosong",IF(ISNA(MATCH(L238&amp;"|"&amp;M238,LAYOUT!$E$2:$E$80,0)),"CEK SHELVING KE di luar layout",IF($I238="","CEK SERIES kosong",IF($D238="","Zona STOCK",IF($E238="","CEK SKU DESCRIPTION kosong",IF(COUNTIFS($I$2:$I$500,$I238,L$2:L$500,"&lt;&gt;"&amp;L238,L$2:L$500,"&lt;&gt;")&gt;0,"CEK jenis fixture beda dalam satu series","OK")))))))))</f>
        <v/>
      </c>
      <c r="P238" s="11" t="n"/>
      <c r="Q238" s="11" t="n"/>
      <c r="R238" s="11">
        <f>IF(OR(P238="",Q238=""),"",IFERROR(INDEX(LAYOUT!$D$2:$D$80,MATCH(P238&amp;"|"&amp;Q238,LAYOUT!$E$2:$E$80,0)),""))</f>
        <v/>
      </c>
      <c r="S238" s="12">
        <f>IF(AND(P238="",Q238=""),IF(AND(L238="",M238="",T238="",U238=""),IF(OR($D238&lt;&gt;"",$E238&lt;&gt;""),"Belum ditempatkan",""),""),IF(P238="","CEK JENIS FIXTURE kosong",IF(LEFT(P238,4)&lt;&gt;"Wall","CEK Fixture 2 hanya Wall",IF(Q238="","CEK SHELVING KE kosong",IF(ISNA(MATCH(P238&amp;"|"&amp;Q238,LAYOUT!$E$2:$E$80,0)),"CEK SHELVING KE di luar layout",IF($I238="","CEK SERIES kosong",IF($D238="","Zona STOCK",IF($E238="","CEK SKU DESCRIPTION kosong",IF(COUNTIFS($I$2:$I$500,$I238,P$2:P$500,"&lt;&gt;"&amp;P238,P$2:P$500,"&lt;&gt;")&gt;0,"CEK jenis fixture beda dalam satu series","OK")))))))))</f>
        <v/>
      </c>
      <c r="T238" s="11" t="n"/>
      <c r="U238" s="11" t="n"/>
      <c r="V238" s="11">
        <f>IF(OR(T238="",U238=""),"",IFERROR(INDEX(LAYOUT!$D$2:$D$80,MATCH(T238&amp;"|"&amp;U238,LAYOUT!$E$2:$E$80,0)),""))</f>
        <v/>
      </c>
      <c r="W238" s="12">
        <f>IF(AND(T238="",U238=""),IF(AND(L238="",M238="",P238="",Q238=""),IF(OR($D238&lt;&gt;"",$E238&lt;&gt;""),"Belum ditempatkan",""),""),IF(T238="","CEK JENIS FIXTURE kosong",IF(LEFT(T238,4)&lt;&gt;"Wall","CEK Fixture 3 hanya Wall",IF(U238="","CEK SHELVING KE kosong",IF(ISNA(MATCH(T238&amp;"|"&amp;U238,LAYOUT!$E$2:$E$80,0)),"CEK SHELVING KE di luar layout",IF($I238="","CEK SERIES kosong",IF($D238="","Zona STOCK",IF($E238="","CEK SKU DESCRIPTION kosong",IF(COUNTIFS($I$2:$I$500,$I238,T$2:T$500,"&lt;&gt;"&amp;T238,T$2:T$500,"&lt;&gt;")&gt;0,"CEK jenis fixture beda dalam satu series","OK")))))))))</f>
        <v/>
      </c>
      <c r="X238" s="11" t="n"/>
      <c r="Y238" s="11" t="n"/>
      <c r="Z238" s="12" t="n"/>
      <c r="AA238" s="12" t="n"/>
      <c r="AB238" s="11" t="n"/>
      <c r="AC238" s="11" t="n"/>
      <c r="AD238" s="11" t="n"/>
      <c r="AE238" s="11" t="n"/>
      <c r="AF238" s="11" t="n"/>
      <c r="AG238" s="11" t="n"/>
      <c r="AH238" s="12" t="n"/>
      <c r="AI238" s="12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>
        <f>IF(OR(L239="",M239=""),"",IFERROR(INDEX(LAYOUT!$D$2:$D$80,MATCH(L239&amp;"|"&amp;M239,LAYOUT!$E$2:$E$80,0)),""))</f>
        <v/>
      </c>
      <c r="O239" s="12">
        <f>IF(AND(L239="",M239=""),IF(AND(P239="",Q239="",T239="",U239=""),IF(OR($D239&lt;&gt;"",$E239&lt;&gt;""),"Belum ditempatkan",""),""),IF(L239="","CEK JENIS FIXTURE kosong",IF(AND(LEFT(L239,7)&lt;&gt;"Gondola",LEFT(L239,6)&lt;&gt;"Endcap"),"CEK Fixture 1 hanya Gondola atau Endcap",IF(M239="","CEK SHELVING KE kosong",IF(ISNA(MATCH(L239&amp;"|"&amp;M239,LAYOUT!$E$2:$E$80,0)),"CEK SHELVING KE di luar layout",IF($I239="","CEK SERIES kosong",IF($D239="","Zona STOCK",IF($E239="","CEK SKU DESCRIPTION kosong",IF(COUNTIFS($I$2:$I$500,$I239,L$2:L$500,"&lt;&gt;"&amp;L239,L$2:L$500,"&lt;&gt;")&gt;0,"CEK jenis fixture beda dalam satu series","OK")))))))))</f>
        <v/>
      </c>
      <c r="P239" s="11" t="n"/>
      <c r="Q239" s="11" t="n"/>
      <c r="R239" s="11">
        <f>IF(OR(P239="",Q239=""),"",IFERROR(INDEX(LAYOUT!$D$2:$D$80,MATCH(P239&amp;"|"&amp;Q239,LAYOUT!$E$2:$E$80,0)),""))</f>
        <v/>
      </c>
      <c r="S239" s="12">
        <f>IF(AND(P239="",Q239=""),IF(AND(L239="",M239="",T239="",U239=""),IF(OR($D239&lt;&gt;"",$E239&lt;&gt;""),"Belum ditempatkan",""),""),IF(P239="","CEK JENIS FIXTURE kosong",IF(LEFT(P239,4)&lt;&gt;"Wall","CEK Fixture 2 hanya Wall",IF(Q239="","CEK SHELVING KE kosong",IF(ISNA(MATCH(P239&amp;"|"&amp;Q239,LAYOUT!$E$2:$E$80,0)),"CEK SHELVING KE di luar layout",IF($I239="","CEK SERIES kosong",IF($D239="","Zona STOCK",IF($E239="","CEK SKU DESCRIPTION kosong",IF(COUNTIFS($I$2:$I$500,$I239,P$2:P$500,"&lt;&gt;"&amp;P239,P$2:P$500,"&lt;&gt;")&gt;0,"CEK jenis fixture beda dalam satu series","OK")))))))))</f>
        <v/>
      </c>
      <c r="T239" s="11" t="n"/>
      <c r="U239" s="11" t="n"/>
      <c r="V239" s="11">
        <f>IF(OR(T239="",U239=""),"",IFERROR(INDEX(LAYOUT!$D$2:$D$80,MATCH(T239&amp;"|"&amp;U239,LAYOUT!$E$2:$E$80,0)),""))</f>
        <v/>
      </c>
      <c r="W239" s="12">
        <f>IF(AND(T239="",U239=""),IF(AND(L239="",M239="",P239="",Q239=""),IF(OR($D239&lt;&gt;"",$E239&lt;&gt;""),"Belum ditempatkan",""),""),IF(T239="","CEK JENIS FIXTURE kosong",IF(LEFT(T239,4)&lt;&gt;"Wall","CEK Fixture 3 hanya Wall",IF(U239="","CEK SHELVING KE kosong",IF(ISNA(MATCH(T239&amp;"|"&amp;U239,LAYOUT!$E$2:$E$80,0)),"CEK SHELVING KE di luar layout",IF($I239="","CEK SERIES kosong",IF($D239="","Zona STOCK",IF($E239="","CEK SKU DESCRIPTION kosong",IF(COUNTIFS($I$2:$I$500,$I239,T$2:T$500,"&lt;&gt;"&amp;T239,T$2:T$500,"&lt;&gt;")&gt;0,"CEK jenis fixture beda dalam satu series","OK")))))))))</f>
        <v/>
      </c>
      <c r="X239" s="11" t="n"/>
      <c r="Y239" s="11" t="n"/>
      <c r="Z239" s="12" t="n"/>
      <c r="AA239" s="12" t="n"/>
      <c r="AB239" s="11" t="n"/>
      <c r="AC239" s="11" t="n"/>
      <c r="AD239" s="11" t="n"/>
      <c r="AE239" s="11" t="n"/>
      <c r="AF239" s="11" t="n"/>
      <c r="AG239" s="11" t="n"/>
      <c r="AH239" s="12" t="n"/>
      <c r="AI239" s="12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>
        <f>IF(OR(L240="",M240=""),"",IFERROR(INDEX(LAYOUT!$D$2:$D$80,MATCH(L240&amp;"|"&amp;M240,LAYOUT!$E$2:$E$80,0)),""))</f>
        <v/>
      </c>
      <c r="O240" s="12">
        <f>IF(AND(L240="",M240=""),IF(AND(P240="",Q240="",T240="",U240=""),IF(OR($D240&lt;&gt;"",$E240&lt;&gt;""),"Belum ditempatkan",""),""),IF(L240="","CEK JENIS FIXTURE kosong",IF(AND(LEFT(L240,7)&lt;&gt;"Gondola",LEFT(L240,6)&lt;&gt;"Endcap"),"CEK Fixture 1 hanya Gondola atau Endcap",IF(M240="","CEK SHELVING KE kosong",IF(ISNA(MATCH(L240&amp;"|"&amp;M240,LAYOUT!$E$2:$E$80,0)),"CEK SHELVING KE di luar layout",IF($I240="","CEK SERIES kosong",IF($D240="","Zona STOCK",IF($E240="","CEK SKU DESCRIPTION kosong",IF(COUNTIFS($I$2:$I$500,$I240,L$2:L$500,"&lt;&gt;"&amp;L240,L$2:L$500,"&lt;&gt;")&gt;0,"CEK jenis fixture beda dalam satu series","OK")))))))))</f>
        <v/>
      </c>
      <c r="P240" s="11" t="n"/>
      <c r="Q240" s="11" t="n"/>
      <c r="R240" s="11">
        <f>IF(OR(P240="",Q240=""),"",IFERROR(INDEX(LAYOUT!$D$2:$D$80,MATCH(P240&amp;"|"&amp;Q240,LAYOUT!$E$2:$E$80,0)),""))</f>
        <v/>
      </c>
      <c r="S240" s="12">
        <f>IF(AND(P240="",Q240=""),IF(AND(L240="",M240="",T240="",U240=""),IF(OR($D240&lt;&gt;"",$E240&lt;&gt;""),"Belum ditempatkan",""),""),IF(P240="","CEK JENIS FIXTURE kosong",IF(LEFT(P240,4)&lt;&gt;"Wall","CEK Fixture 2 hanya Wall",IF(Q240="","CEK SHELVING KE kosong",IF(ISNA(MATCH(P240&amp;"|"&amp;Q240,LAYOUT!$E$2:$E$80,0)),"CEK SHELVING KE di luar layout",IF($I240="","CEK SERIES kosong",IF($D240="","Zona STOCK",IF($E240="","CEK SKU DESCRIPTION kosong",IF(COUNTIFS($I$2:$I$500,$I240,P$2:P$500,"&lt;&gt;"&amp;P240,P$2:P$500,"&lt;&gt;")&gt;0,"CEK jenis fixture beda dalam satu series","OK")))))))))</f>
        <v/>
      </c>
      <c r="T240" s="11" t="n"/>
      <c r="U240" s="11" t="n"/>
      <c r="V240" s="11">
        <f>IF(OR(T240="",U240=""),"",IFERROR(INDEX(LAYOUT!$D$2:$D$80,MATCH(T240&amp;"|"&amp;U240,LAYOUT!$E$2:$E$80,0)),""))</f>
        <v/>
      </c>
      <c r="W240" s="12">
        <f>IF(AND(T240="",U240=""),IF(AND(L240="",M240="",P240="",Q240=""),IF(OR($D240&lt;&gt;"",$E240&lt;&gt;""),"Belum ditempatkan",""),""),IF(T240="","CEK JENIS FIXTURE kosong",IF(LEFT(T240,4)&lt;&gt;"Wall","CEK Fixture 3 hanya Wall",IF(U240="","CEK SHELVING KE kosong",IF(ISNA(MATCH(T240&amp;"|"&amp;U240,LAYOUT!$E$2:$E$80,0)),"CEK SHELVING KE di luar layout",IF($I240="","CEK SERIES kosong",IF($D240="","Zona STOCK",IF($E240="","CEK SKU DESCRIPTION kosong",IF(COUNTIFS($I$2:$I$500,$I240,T$2:T$500,"&lt;&gt;"&amp;T240,T$2:T$500,"&lt;&gt;")&gt;0,"CEK jenis fixture beda dalam satu series","OK")))))))))</f>
        <v/>
      </c>
      <c r="X240" s="11" t="n"/>
      <c r="Y240" s="11" t="n"/>
      <c r="Z240" s="12" t="n"/>
      <c r="AA240" s="12" t="n"/>
      <c r="AB240" s="11" t="n"/>
      <c r="AC240" s="11" t="n"/>
      <c r="AD240" s="11" t="n"/>
      <c r="AE240" s="11" t="n"/>
      <c r="AF240" s="11" t="n"/>
      <c r="AG240" s="11" t="n"/>
      <c r="AH240" s="12" t="n"/>
      <c r="AI240" s="12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>
        <f>IF(OR(L241="",M241=""),"",IFERROR(INDEX(LAYOUT!$D$2:$D$80,MATCH(L241&amp;"|"&amp;M241,LAYOUT!$E$2:$E$80,0)),""))</f>
        <v/>
      </c>
      <c r="O241" s="12">
        <f>IF(AND(L241="",M241=""),IF(AND(P241="",Q241="",T241="",U241=""),IF(OR($D241&lt;&gt;"",$E241&lt;&gt;""),"Belum ditempatkan",""),""),IF(L241="","CEK JENIS FIXTURE kosong",IF(AND(LEFT(L241,7)&lt;&gt;"Gondola",LEFT(L241,6)&lt;&gt;"Endcap"),"CEK Fixture 1 hanya Gondola atau Endcap",IF(M241="","CEK SHELVING KE kosong",IF(ISNA(MATCH(L241&amp;"|"&amp;M241,LAYOUT!$E$2:$E$80,0)),"CEK SHELVING KE di luar layout",IF($I241="","CEK SERIES kosong",IF($D241="","Zona STOCK",IF($E241="","CEK SKU DESCRIPTION kosong",IF(COUNTIFS($I$2:$I$500,$I241,L$2:L$500,"&lt;&gt;"&amp;L241,L$2:L$500,"&lt;&gt;")&gt;0,"CEK jenis fixture beda dalam satu series","OK")))))))))</f>
        <v/>
      </c>
      <c r="P241" s="11" t="n"/>
      <c r="Q241" s="11" t="n"/>
      <c r="R241" s="11">
        <f>IF(OR(P241="",Q241=""),"",IFERROR(INDEX(LAYOUT!$D$2:$D$80,MATCH(P241&amp;"|"&amp;Q241,LAYOUT!$E$2:$E$80,0)),""))</f>
        <v/>
      </c>
      <c r="S241" s="12">
        <f>IF(AND(P241="",Q241=""),IF(AND(L241="",M241="",T241="",U241=""),IF(OR($D241&lt;&gt;"",$E241&lt;&gt;""),"Belum ditempatkan",""),""),IF(P241="","CEK JENIS FIXTURE kosong",IF(LEFT(P241,4)&lt;&gt;"Wall","CEK Fixture 2 hanya Wall",IF(Q241="","CEK SHELVING KE kosong",IF(ISNA(MATCH(P241&amp;"|"&amp;Q241,LAYOUT!$E$2:$E$80,0)),"CEK SHELVING KE di luar layout",IF($I241="","CEK SERIES kosong",IF($D241="","Zona STOCK",IF($E241="","CEK SKU DESCRIPTION kosong",IF(COUNTIFS($I$2:$I$500,$I241,P$2:P$500,"&lt;&gt;"&amp;P241,P$2:P$500,"&lt;&gt;")&gt;0,"CEK jenis fixture beda dalam satu series","OK")))))))))</f>
        <v/>
      </c>
      <c r="T241" s="11" t="n"/>
      <c r="U241" s="11" t="n"/>
      <c r="V241" s="11">
        <f>IF(OR(T241="",U241=""),"",IFERROR(INDEX(LAYOUT!$D$2:$D$80,MATCH(T241&amp;"|"&amp;U241,LAYOUT!$E$2:$E$80,0)),""))</f>
        <v/>
      </c>
      <c r="W241" s="12">
        <f>IF(AND(T241="",U241=""),IF(AND(L241="",M241="",P241="",Q241=""),IF(OR($D241&lt;&gt;"",$E241&lt;&gt;""),"Belum ditempatkan",""),""),IF(T241="","CEK JENIS FIXTURE kosong",IF(LEFT(T241,4)&lt;&gt;"Wall","CEK Fixture 3 hanya Wall",IF(U241="","CEK SHELVING KE kosong",IF(ISNA(MATCH(T241&amp;"|"&amp;U241,LAYOUT!$E$2:$E$80,0)),"CEK SHELVING KE di luar layout",IF($I241="","CEK SERIES kosong",IF($D241="","Zona STOCK",IF($E241="","CEK SKU DESCRIPTION kosong",IF(COUNTIFS($I$2:$I$500,$I241,T$2:T$500,"&lt;&gt;"&amp;T241,T$2:T$500,"&lt;&gt;")&gt;0,"CEK jenis fixture beda dalam satu series","OK")))))))))</f>
        <v/>
      </c>
      <c r="X241" s="11" t="n"/>
      <c r="Y241" s="11" t="n"/>
      <c r="Z241" s="12" t="n"/>
      <c r="AA241" s="12" t="n"/>
      <c r="AB241" s="11" t="n"/>
      <c r="AC241" s="11" t="n"/>
      <c r="AD241" s="11" t="n"/>
      <c r="AE241" s="11" t="n"/>
      <c r="AF241" s="11" t="n"/>
      <c r="AG241" s="11" t="n"/>
      <c r="AH241" s="12" t="n"/>
      <c r="AI241" s="12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>
        <f>IF(OR(L242="",M242=""),"",IFERROR(INDEX(LAYOUT!$D$2:$D$80,MATCH(L242&amp;"|"&amp;M242,LAYOUT!$E$2:$E$80,0)),""))</f>
        <v/>
      </c>
      <c r="O242" s="12">
        <f>IF(AND(L242="",M242=""),IF(AND(P242="",Q242="",T242="",U242=""),IF(OR($D242&lt;&gt;"",$E242&lt;&gt;""),"Belum ditempatkan",""),""),IF(L242="","CEK JENIS FIXTURE kosong",IF(AND(LEFT(L242,7)&lt;&gt;"Gondola",LEFT(L242,6)&lt;&gt;"Endcap"),"CEK Fixture 1 hanya Gondola atau Endcap",IF(M242="","CEK SHELVING KE kosong",IF(ISNA(MATCH(L242&amp;"|"&amp;M242,LAYOUT!$E$2:$E$80,0)),"CEK SHELVING KE di luar layout",IF($I242="","CEK SERIES kosong",IF($D242="","Zona STOCK",IF($E242="","CEK SKU DESCRIPTION kosong",IF(COUNTIFS($I$2:$I$500,$I242,L$2:L$500,"&lt;&gt;"&amp;L242,L$2:L$500,"&lt;&gt;")&gt;0,"CEK jenis fixture beda dalam satu series","OK")))))))))</f>
        <v/>
      </c>
      <c r="P242" s="11" t="n"/>
      <c r="Q242" s="11" t="n"/>
      <c r="R242" s="11">
        <f>IF(OR(P242="",Q242=""),"",IFERROR(INDEX(LAYOUT!$D$2:$D$80,MATCH(P242&amp;"|"&amp;Q242,LAYOUT!$E$2:$E$80,0)),""))</f>
        <v/>
      </c>
      <c r="S242" s="12">
        <f>IF(AND(P242="",Q242=""),IF(AND(L242="",M242="",T242="",U242=""),IF(OR($D242&lt;&gt;"",$E242&lt;&gt;""),"Belum ditempatkan",""),""),IF(P242="","CEK JENIS FIXTURE kosong",IF(LEFT(P242,4)&lt;&gt;"Wall","CEK Fixture 2 hanya Wall",IF(Q242="","CEK SHELVING KE kosong",IF(ISNA(MATCH(P242&amp;"|"&amp;Q242,LAYOUT!$E$2:$E$80,0)),"CEK SHELVING KE di luar layout",IF($I242="","CEK SERIES kosong",IF($D242="","Zona STOCK",IF($E242="","CEK SKU DESCRIPTION kosong",IF(COUNTIFS($I$2:$I$500,$I242,P$2:P$500,"&lt;&gt;"&amp;P242,P$2:P$500,"&lt;&gt;")&gt;0,"CEK jenis fixture beda dalam satu series","OK")))))))))</f>
        <v/>
      </c>
      <c r="T242" s="11" t="n"/>
      <c r="U242" s="11" t="n"/>
      <c r="V242" s="11">
        <f>IF(OR(T242="",U242=""),"",IFERROR(INDEX(LAYOUT!$D$2:$D$80,MATCH(T242&amp;"|"&amp;U242,LAYOUT!$E$2:$E$80,0)),""))</f>
        <v/>
      </c>
      <c r="W242" s="12">
        <f>IF(AND(T242="",U242=""),IF(AND(L242="",M242="",P242="",Q242=""),IF(OR($D242&lt;&gt;"",$E242&lt;&gt;""),"Belum ditempatkan",""),""),IF(T242="","CEK JENIS FIXTURE kosong",IF(LEFT(T242,4)&lt;&gt;"Wall","CEK Fixture 3 hanya Wall",IF(U242="","CEK SHELVING KE kosong",IF(ISNA(MATCH(T242&amp;"|"&amp;U242,LAYOUT!$E$2:$E$80,0)),"CEK SHELVING KE di luar layout",IF($I242="","CEK SERIES kosong",IF($D242="","Zona STOCK",IF($E242="","CEK SKU DESCRIPTION kosong",IF(COUNTIFS($I$2:$I$500,$I242,T$2:T$500,"&lt;&gt;"&amp;T242,T$2:T$500,"&lt;&gt;")&gt;0,"CEK jenis fixture beda dalam satu series","OK")))))))))</f>
        <v/>
      </c>
      <c r="X242" s="11" t="n"/>
      <c r="Y242" s="11" t="n"/>
      <c r="Z242" s="12" t="n"/>
      <c r="AA242" s="12" t="n"/>
      <c r="AB242" s="11" t="n"/>
      <c r="AC242" s="11" t="n"/>
      <c r="AD242" s="11" t="n"/>
      <c r="AE242" s="11" t="n"/>
      <c r="AF242" s="11" t="n"/>
      <c r="AG242" s="11" t="n"/>
      <c r="AH242" s="12" t="n"/>
      <c r="AI242" s="12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>
        <f>IF(OR(L243="",M243=""),"",IFERROR(INDEX(LAYOUT!$D$2:$D$80,MATCH(L243&amp;"|"&amp;M243,LAYOUT!$E$2:$E$80,0)),""))</f>
        <v/>
      </c>
      <c r="O243" s="12">
        <f>IF(AND(L243="",M243=""),IF(AND(P243="",Q243="",T243="",U243=""),IF(OR($D243&lt;&gt;"",$E243&lt;&gt;""),"Belum ditempatkan",""),""),IF(L243="","CEK JENIS FIXTURE kosong",IF(AND(LEFT(L243,7)&lt;&gt;"Gondola",LEFT(L243,6)&lt;&gt;"Endcap"),"CEK Fixture 1 hanya Gondola atau Endcap",IF(M243="","CEK SHELVING KE kosong",IF(ISNA(MATCH(L243&amp;"|"&amp;M243,LAYOUT!$E$2:$E$80,0)),"CEK SHELVING KE di luar layout",IF($I243="","CEK SERIES kosong",IF($D243="","Zona STOCK",IF($E243="","CEK SKU DESCRIPTION kosong",IF(COUNTIFS($I$2:$I$500,$I243,L$2:L$500,"&lt;&gt;"&amp;L243,L$2:L$500,"&lt;&gt;")&gt;0,"CEK jenis fixture beda dalam satu series","OK")))))))))</f>
        <v/>
      </c>
      <c r="P243" s="11" t="n"/>
      <c r="Q243" s="11" t="n"/>
      <c r="R243" s="11">
        <f>IF(OR(P243="",Q243=""),"",IFERROR(INDEX(LAYOUT!$D$2:$D$80,MATCH(P243&amp;"|"&amp;Q243,LAYOUT!$E$2:$E$80,0)),""))</f>
        <v/>
      </c>
      <c r="S243" s="12">
        <f>IF(AND(P243="",Q243=""),IF(AND(L243="",M243="",T243="",U243=""),IF(OR($D243&lt;&gt;"",$E243&lt;&gt;""),"Belum ditempatkan",""),""),IF(P243="","CEK JENIS FIXTURE kosong",IF(LEFT(P243,4)&lt;&gt;"Wall","CEK Fixture 2 hanya Wall",IF(Q243="","CEK SHELVING KE kosong",IF(ISNA(MATCH(P243&amp;"|"&amp;Q243,LAYOUT!$E$2:$E$80,0)),"CEK SHELVING KE di luar layout",IF($I243="","CEK SERIES kosong",IF($D243="","Zona STOCK",IF($E243="","CEK SKU DESCRIPTION kosong",IF(COUNTIFS($I$2:$I$500,$I243,P$2:P$500,"&lt;&gt;"&amp;P243,P$2:P$500,"&lt;&gt;")&gt;0,"CEK jenis fixture beda dalam satu series","OK")))))))))</f>
        <v/>
      </c>
      <c r="T243" s="11" t="n"/>
      <c r="U243" s="11" t="n"/>
      <c r="V243" s="11">
        <f>IF(OR(T243="",U243=""),"",IFERROR(INDEX(LAYOUT!$D$2:$D$80,MATCH(T243&amp;"|"&amp;U243,LAYOUT!$E$2:$E$80,0)),""))</f>
        <v/>
      </c>
      <c r="W243" s="12">
        <f>IF(AND(T243="",U243=""),IF(AND(L243="",M243="",P243="",Q243=""),IF(OR($D243&lt;&gt;"",$E243&lt;&gt;""),"Belum ditempatkan",""),""),IF(T243="","CEK JENIS FIXTURE kosong",IF(LEFT(T243,4)&lt;&gt;"Wall","CEK Fixture 3 hanya Wall",IF(U243="","CEK SHELVING KE kosong",IF(ISNA(MATCH(T243&amp;"|"&amp;U243,LAYOUT!$E$2:$E$80,0)),"CEK SHELVING KE di luar layout",IF($I243="","CEK SERIES kosong",IF($D243="","Zona STOCK",IF($E243="","CEK SKU DESCRIPTION kosong",IF(COUNTIFS($I$2:$I$500,$I243,T$2:T$500,"&lt;&gt;"&amp;T243,T$2:T$500,"&lt;&gt;")&gt;0,"CEK jenis fixture beda dalam satu series","OK")))))))))</f>
        <v/>
      </c>
      <c r="X243" s="11" t="n"/>
      <c r="Y243" s="11" t="n"/>
      <c r="Z243" s="12" t="n"/>
      <c r="AA243" s="12" t="n"/>
      <c r="AB243" s="11" t="n"/>
      <c r="AC243" s="11" t="n"/>
      <c r="AD243" s="11" t="n"/>
      <c r="AE243" s="11" t="n"/>
      <c r="AF243" s="11" t="n"/>
      <c r="AG243" s="11" t="n"/>
      <c r="AH243" s="12" t="n"/>
      <c r="AI243" s="12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>
        <f>IF(OR(L244="",M244=""),"",IFERROR(INDEX(LAYOUT!$D$2:$D$80,MATCH(L244&amp;"|"&amp;M244,LAYOUT!$E$2:$E$80,0)),""))</f>
        <v/>
      </c>
      <c r="O244" s="12">
        <f>IF(AND(L244="",M244=""),IF(AND(P244="",Q244="",T244="",U244=""),IF(OR($D244&lt;&gt;"",$E244&lt;&gt;""),"Belum ditempatkan",""),""),IF(L244="","CEK JENIS FIXTURE kosong",IF(AND(LEFT(L244,7)&lt;&gt;"Gondola",LEFT(L244,6)&lt;&gt;"Endcap"),"CEK Fixture 1 hanya Gondola atau Endcap",IF(M244="","CEK SHELVING KE kosong",IF(ISNA(MATCH(L244&amp;"|"&amp;M244,LAYOUT!$E$2:$E$80,0)),"CEK SHELVING KE di luar layout",IF($I244="","CEK SERIES kosong",IF($D244="","Zona STOCK",IF($E244="","CEK SKU DESCRIPTION kosong",IF(COUNTIFS($I$2:$I$500,$I244,L$2:L$500,"&lt;&gt;"&amp;L244,L$2:L$500,"&lt;&gt;")&gt;0,"CEK jenis fixture beda dalam satu series","OK")))))))))</f>
        <v/>
      </c>
      <c r="P244" s="11" t="n"/>
      <c r="Q244" s="11" t="n"/>
      <c r="R244" s="11">
        <f>IF(OR(P244="",Q244=""),"",IFERROR(INDEX(LAYOUT!$D$2:$D$80,MATCH(P244&amp;"|"&amp;Q244,LAYOUT!$E$2:$E$80,0)),""))</f>
        <v/>
      </c>
      <c r="S244" s="12">
        <f>IF(AND(P244="",Q244=""),IF(AND(L244="",M244="",T244="",U244=""),IF(OR($D244&lt;&gt;"",$E244&lt;&gt;""),"Belum ditempatkan",""),""),IF(P244="","CEK JENIS FIXTURE kosong",IF(LEFT(P244,4)&lt;&gt;"Wall","CEK Fixture 2 hanya Wall",IF(Q244="","CEK SHELVING KE kosong",IF(ISNA(MATCH(P244&amp;"|"&amp;Q244,LAYOUT!$E$2:$E$80,0)),"CEK SHELVING KE di luar layout",IF($I244="","CEK SERIES kosong",IF($D244="","Zona STOCK",IF($E244="","CEK SKU DESCRIPTION kosong",IF(COUNTIFS($I$2:$I$500,$I244,P$2:P$500,"&lt;&gt;"&amp;P244,P$2:P$500,"&lt;&gt;")&gt;0,"CEK jenis fixture beda dalam satu series","OK")))))))))</f>
        <v/>
      </c>
      <c r="T244" s="11" t="n"/>
      <c r="U244" s="11" t="n"/>
      <c r="V244" s="11">
        <f>IF(OR(T244="",U244=""),"",IFERROR(INDEX(LAYOUT!$D$2:$D$80,MATCH(T244&amp;"|"&amp;U244,LAYOUT!$E$2:$E$80,0)),""))</f>
        <v/>
      </c>
      <c r="W244" s="12">
        <f>IF(AND(T244="",U244=""),IF(AND(L244="",M244="",P244="",Q244=""),IF(OR($D244&lt;&gt;"",$E244&lt;&gt;""),"Belum ditempatkan",""),""),IF(T244="","CEK JENIS FIXTURE kosong",IF(LEFT(T244,4)&lt;&gt;"Wall","CEK Fixture 3 hanya Wall",IF(U244="","CEK SHELVING KE kosong",IF(ISNA(MATCH(T244&amp;"|"&amp;U244,LAYOUT!$E$2:$E$80,0)),"CEK SHELVING KE di luar layout",IF($I244="","CEK SERIES kosong",IF($D244="","Zona STOCK",IF($E244="","CEK SKU DESCRIPTION kosong",IF(COUNTIFS($I$2:$I$500,$I244,T$2:T$500,"&lt;&gt;"&amp;T244,T$2:T$500,"&lt;&gt;")&gt;0,"CEK jenis fixture beda dalam satu series","OK")))))))))</f>
        <v/>
      </c>
      <c r="X244" s="11" t="n"/>
      <c r="Y244" s="11" t="n"/>
      <c r="Z244" s="12" t="n"/>
      <c r="AA244" s="12" t="n"/>
      <c r="AB244" s="11" t="n"/>
      <c r="AC244" s="11" t="n"/>
      <c r="AD244" s="11" t="n"/>
      <c r="AE244" s="11" t="n"/>
      <c r="AF244" s="11" t="n"/>
      <c r="AG244" s="11" t="n"/>
      <c r="AH244" s="12" t="n"/>
      <c r="AI244" s="12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>
        <f>IF(OR(L245="",M245=""),"",IFERROR(INDEX(LAYOUT!$D$2:$D$80,MATCH(L245&amp;"|"&amp;M245,LAYOUT!$E$2:$E$80,0)),""))</f>
        <v/>
      </c>
      <c r="O245" s="12">
        <f>IF(AND(L245="",M245=""),IF(AND(P245="",Q245="",T245="",U245=""),IF(OR($D245&lt;&gt;"",$E245&lt;&gt;""),"Belum ditempatkan",""),""),IF(L245="","CEK JENIS FIXTURE kosong",IF(AND(LEFT(L245,7)&lt;&gt;"Gondola",LEFT(L245,6)&lt;&gt;"Endcap"),"CEK Fixture 1 hanya Gondola atau Endcap",IF(M245="","CEK SHELVING KE kosong",IF(ISNA(MATCH(L245&amp;"|"&amp;M245,LAYOUT!$E$2:$E$80,0)),"CEK SHELVING KE di luar layout",IF($I245="","CEK SERIES kosong",IF($D245="","Zona STOCK",IF($E245="","CEK SKU DESCRIPTION kosong",IF(COUNTIFS($I$2:$I$500,$I245,L$2:L$500,"&lt;&gt;"&amp;L245,L$2:L$500,"&lt;&gt;")&gt;0,"CEK jenis fixture beda dalam satu series","OK")))))))))</f>
        <v/>
      </c>
      <c r="P245" s="11" t="n"/>
      <c r="Q245" s="11" t="n"/>
      <c r="R245" s="11">
        <f>IF(OR(P245="",Q245=""),"",IFERROR(INDEX(LAYOUT!$D$2:$D$80,MATCH(P245&amp;"|"&amp;Q245,LAYOUT!$E$2:$E$80,0)),""))</f>
        <v/>
      </c>
      <c r="S245" s="12">
        <f>IF(AND(P245="",Q245=""),IF(AND(L245="",M245="",T245="",U245=""),IF(OR($D245&lt;&gt;"",$E245&lt;&gt;""),"Belum ditempatkan",""),""),IF(P245="","CEK JENIS FIXTURE kosong",IF(LEFT(P245,4)&lt;&gt;"Wall","CEK Fixture 2 hanya Wall",IF(Q245="","CEK SHELVING KE kosong",IF(ISNA(MATCH(P245&amp;"|"&amp;Q245,LAYOUT!$E$2:$E$80,0)),"CEK SHELVING KE di luar layout",IF($I245="","CEK SERIES kosong",IF($D245="","Zona STOCK",IF($E245="","CEK SKU DESCRIPTION kosong",IF(COUNTIFS($I$2:$I$500,$I245,P$2:P$500,"&lt;&gt;"&amp;P245,P$2:P$500,"&lt;&gt;")&gt;0,"CEK jenis fixture beda dalam satu series","OK")))))))))</f>
        <v/>
      </c>
      <c r="T245" s="11" t="n"/>
      <c r="U245" s="11" t="n"/>
      <c r="V245" s="11">
        <f>IF(OR(T245="",U245=""),"",IFERROR(INDEX(LAYOUT!$D$2:$D$80,MATCH(T245&amp;"|"&amp;U245,LAYOUT!$E$2:$E$80,0)),""))</f>
        <v/>
      </c>
      <c r="W245" s="12">
        <f>IF(AND(T245="",U245=""),IF(AND(L245="",M245="",P245="",Q245=""),IF(OR($D245&lt;&gt;"",$E245&lt;&gt;""),"Belum ditempatkan",""),""),IF(T245="","CEK JENIS FIXTURE kosong",IF(LEFT(T245,4)&lt;&gt;"Wall","CEK Fixture 3 hanya Wall",IF(U245="","CEK SHELVING KE kosong",IF(ISNA(MATCH(T245&amp;"|"&amp;U245,LAYOUT!$E$2:$E$80,0)),"CEK SHELVING KE di luar layout",IF($I245="","CEK SERIES kosong",IF($D245="","Zona STOCK",IF($E245="","CEK SKU DESCRIPTION kosong",IF(COUNTIFS($I$2:$I$500,$I245,T$2:T$500,"&lt;&gt;"&amp;T245,T$2:T$500,"&lt;&gt;")&gt;0,"CEK jenis fixture beda dalam satu series","OK")))))))))</f>
        <v/>
      </c>
      <c r="X245" s="11" t="n"/>
      <c r="Y245" s="11" t="n"/>
      <c r="Z245" s="12" t="n"/>
      <c r="AA245" s="12" t="n"/>
      <c r="AB245" s="11" t="n"/>
      <c r="AC245" s="11" t="n"/>
      <c r="AD245" s="11" t="n"/>
      <c r="AE245" s="11" t="n"/>
      <c r="AF245" s="11" t="n"/>
      <c r="AG245" s="11" t="n"/>
      <c r="AH245" s="12" t="n"/>
      <c r="AI245" s="12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>
        <f>IF(OR(L246="",M246=""),"",IFERROR(INDEX(LAYOUT!$D$2:$D$80,MATCH(L246&amp;"|"&amp;M246,LAYOUT!$E$2:$E$80,0)),""))</f>
        <v/>
      </c>
      <c r="O246" s="12">
        <f>IF(AND(L246="",M246=""),IF(AND(P246="",Q246="",T246="",U246=""),IF(OR($D246&lt;&gt;"",$E246&lt;&gt;""),"Belum ditempatkan",""),""),IF(L246="","CEK JENIS FIXTURE kosong",IF(AND(LEFT(L246,7)&lt;&gt;"Gondola",LEFT(L246,6)&lt;&gt;"Endcap"),"CEK Fixture 1 hanya Gondola atau Endcap",IF(M246="","CEK SHELVING KE kosong",IF(ISNA(MATCH(L246&amp;"|"&amp;M246,LAYOUT!$E$2:$E$80,0)),"CEK SHELVING KE di luar layout",IF($I246="","CEK SERIES kosong",IF($D246="","Zona STOCK",IF($E246="","CEK SKU DESCRIPTION kosong",IF(COUNTIFS($I$2:$I$500,$I246,L$2:L$500,"&lt;&gt;"&amp;L246,L$2:L$500,"&lt;&gt;")&gt;0,"CEK jenis fixture beda dalam satu series","OK")))))))))</f>
        <v/>
      </c>
      <c r="P246" s="11" t="n"/>
      <c r="Q246" s="11" t="n"/>
      <c r="R246" s="11">
        <f>IF(OR(P246="",Q246=""),"",IFERROR(INDEX(LAYOUT!$D$2:$D$80,MATCH(P246&amp;"|"&amp;Q246,LAYOUT!$E$2:$E$80,0)),""))</f>
        <v/>
      </c>
      <c r="S246" s="12">
        <f>IF(AND(P246="",Q246=""),IF(AND(L246="",M246="",T246="",U246=""),IF(OR($D246&lt;&gt;"",$E246&lt;&gt;""),"Belum ditempatkan",""),""),IF(P246="","CEK JENIS FIXTURE kosong",IF(LEFT(P246,4)&lt;&gt;"Wall","CEK Fixture 2 hanya Wall",IF(Q246="","CEK SHELVING KE kosong",IF(ISNA(MATCH(P246&amp;"|"&amp;Q246,LAYOUT!$E$2:$E$80,0)),"CEK SHELVING KE di luar layout",IF($I246="","CEK SERIES kosong",IF($D246="","Zona STOCK",IF($E246="","CEK SKU DESCRIPTION kosong",IF(COUNTIFS($I$2:$I$500,$I246,P$2:P$500,"&lt;&gt;"&amp;P246,P$2:P$500,"&lt;&gt;")&gt;0,"CEK jenis fixture beda dalam satu series","OK")))))))))</f>
        <v/>
      </c>
      <c r="T246" s="11" t="n"/>
      <c r="U246" s="11" t="n"/>
      <c r="V246" s="11">
        <f>IF(OR(T246="",U246=""),"",IFERROR(INDEX(LAYOUT!$D$2:$D$80,MATCH(T246&amp;"|"&amp;U246,LAYOUT!$E$2:$E$80,0)),""))</f>
        <v/>
      </c>
      <c r="W246" s="12">
        <f>IF(AND(T246="",U246=""),IF(AND(L246="",M246="",P246="",Q246=""),IF(OR($D246&lt;&gt;"",$E246&lt;&gt;""),"Belum ditempatkan",""),""),IF(T246="","CEK JENIS FIXTURE kosong",IF(LEFT(T246,4)&lt;&gt;"Wall","CEK Fixture 3 hanya Wall",IF(U246="","CEK SHELVING KE kosong",IF(ISNA(MATCH(T246&amp;"|"&amp;U246,LAYOUT!$E$2:$E$80,0)),"CEK SHELVING KE di luar layout",IF($I246="","CEK SERIES kosong",IF($D246="","Zona STOCK",IF($E246="","CEK SKU DESCRIPTION kosong",IF(COUNTIFS($I$2:$I$500,$I246,T$2:T$500,"&lt;&gt;"&amp;T246,T$2:T$500,"&lt;&gt;")&gt;0,"CEK jenis fixture beda dalam satu series","OK")))))))))</f>
        <v/>
      </c>
      <c r="X246" s="11" t="n"/>
      <c r="Y246" s="11" t="n"/>
      <c r="Z246" s="12" t="n"/>
      <c r="AA246" s="12" t="n"/>
      <c r="AB246" s="11" t="n"/>
      <c r="AC246" s="11" t="n"/>
      <c r="AD246" s="11" t="n"/>
      <c r="AE246" s="11" t="n"/>
      <c r="AF246" s="11" t="n"/>
      <c r="AG246" s="11" t="n"/>
      <c r="AH246" s="12" t="n"/>
      <c r="AI246" s="12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>
        <f>IF(OR(L247="",M247=""),"",IFERROR(INDEX(LAYOUT!$D$2:$D$80,MATCH(L247&amp;"|"&amp;M247,LAYOUT!$E$2:$E$80,0)),""))</f>
        <v/>
      </c>
      <c r="O247" s="12">
        <f>IF(AND(L247="",M247=""),IF(AND(P247="",Q247="",T247="",U247=""),IF(OR($D247&lt;&gt;"",$E247&lt;&gt;""),"Belum ditempatkan",""),""),IF(L247="","CEK JENIS FIXTURE kosong",IF(AND(LEFT(L247,7)&lt;&gt;"Gondola",LEFT(L247,6)&lt;&gt;"Endcap"),"CEK Fixture 1 hanya Gondola atau Endcap",IF(M247="","CEK SHELVING KE kosong",IF(ISNA(MATCH(L247&amp;"|"&amp;M247,LAYOUT!$E$2:$E$80,0)),"CEK SHELVING KE di luar layout",IF($I247="","CEK SERIES kosong",IF($D247="","Zona STOCK",IF($E247="","CEK SKU DESCRIPTION kosong",IF(COUNTIFS($I$2:$I$500,$I247,L$2:L$500,"&lt;&gt;"&amp;L247,L$2:L$500,"&lt;&gt;")&gt;0,"CEK jenis fixture beda dalam satu series","OK")))))))))</f>
        <v/>
      </c>
      <c r="P247" s="11" t="n"/>
      <c r="Q247" s="11" t="n"/>
      <c r="R247" s="11">
        <f>IF(OR(P247="",Q247=""),"",IFERROR(INDEX(LAYOUT!$D$2:$D$80,MATCH(P247&amp;"|"&amp;Q247,LAYOUT!$E$2:$E$80,0)),""))</f>
        <v/>
      </c>
      <c r="S247" s="12">
        <f>IF(AND(P247="",Q247=""),IF(AND(L247="",M247="",T247="",U247=""),IF(OR($D247&lt;&gt;"",$E247&lt;&gt;""),"Belum ditempatkan",""),""),IF(P247="","CEK JENIS FIXTURE kosong",IF(LEFT(P247,4)&lt;&gt;"Wall","CEK Fixture 2 hanya Wall",IF(Q247="","CEK SHELVING KE kosong",IF(ISNA(MATCH(P247&amp;"|"&amp;Q247,LAYOUT!$E$2:$E$80,0)),"CEK SHELVING KE di luar layout",IF($I247="","CEK SERIES kosong",IF($D247="","Zona STOCK",IF($E247="","CEK SKU DESCRIPTION kosong",IF(COUNTIFS($I$2:$I$500,$I247,P$2:P$500,"&lt;&gt;"&amp;P247,P$2:P$500,"&lt;&gt;")&gt;0,"CEK jenis fixture beda dalam satu series","OK")))))))))</f>
        <v/>
      </c>
      <c r="T247" s="11" t="n"/>
      <c r="U247" s="11" t="n"/>
      <c r="V247" s="11">
        <f>IF(OR(T247="",U247=""),"",IFERROR(INDEX(LAYOUT!$D$2:$D$80,MATCH(T247&amp;"|"&amp;U247,LAYOUT!$E$2:$E$80,0)),""))</f>
        <v/>
      </c>
      <c r="W247" s="12">
        <f>IF(AND(T247="",U247=""),IF(AND(L247="",M247="",P247="",Q247=""),IF(OR($D247&lt;&gt;"",$E247&lt;&gt;""),"Belum ditempatkan",""),""),IF(T247="","CEK JENIS FIXTURE kosong",IF(LEFT(T247,4)&lt;&gt;"Wall","CEK Fixture 3 hanya Wall",IF(U247="","CEK SHELVING KE kosong",IF(ISNA(MATCH(T247&amp;"|"&amp;U247,LAYOUT!$E$2:$E$80,0)),"CEK SHELVING KE di luar layout",IF($I247="","CEK SERIES kosong",IF($D247="","Zona STOCK",IF($E247="","CEK SKU DESCRIPTION kosong",IF(COUNTIFS($I$2:$I$500,$I247,T$2:T$500,"&lt;&gt;"&amp;T247,T$2:T$500,"&lt;&gt;")&gt;0,"CEK jenis fixture beda dalam satu series","OK")))))))))</f>
        <v/>
      </c>
      <c r="X247" s="11" t="n"/>
      <c r="Y247" s="11" t="n"/>
      <c r="Z247" s="12" t="n"/>
      <c r="AA247" s="12" t="n"/>
      <c r="AB247" s="11" t="n"/>
      <c r="AC247" s="11" t="n"/>
      <c r="AD247" s="11" t="n"/>
      <c r="AE247" s="11" t="n"/>
      <c r="AF247" s="11" t="n"/>
      <c r="AG247" s="11" t="n"/>
      <c r="AH247" s="12" t="n"/>
      <c r="AI247" s="12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>
        <f>IF(OR(L248="",M248=""),"",IFERROR(INDEX(LAYOUT!$D$2:$D$80,MATCH(L248&amp;"|"&amp;M248,LAYOUT!$E$2:$E$80,0)),""))</f>
        <v/>
      </c>
      <c r="O248" s="12">
        <f>IF(AND(L248="",M248=""),IF(AND(P248="",Q248="",T248="",U248=""),IF(OR($D248&lt;&gt;"",$E248&lt;&gt;""),"Belum ditempatkan",""),""),IF(L248="","CEK JENIS FIXTURE kosong",IF(AND(LEFT(L248,7)&lt;&gt;"Gondola",LEFT(L248,6)&lt;&gt;"Endcap"),"CEK Fixture 1 hanya Gondola atau Endcap",IF(M248="","CEK SHELVING KE kosong",IF(ISNA(MATCH(L248&amp;"|"&amp;M248,LAYOUT!$E$2:$E$80,0)),"CEK SHELVING KE di luar layout",IF($I248="","CEK SERIES kosong",IF($D248="","Zona STOCK",IF($E248="","CEK SKU DESCRIPTION kosong",IF(COUNTIFS($I$2:$I$500,$I248,L$2:L$500,"&lt;&gt;"&amp;L248,L$2:L$500,"&lt;&gt;")&gt;0,"CEK jenis fixture beda dalam satu series","OK")))))))))</f>
        <v/>
      </c>
      <c r="P248" s="11" t="n"/>
      <c r="Q248" s="11" t="n"/>
      <c r="R248" s="11">
        <f>IF(OR(P248="",Q248=""),"",IFERROR(INDEX(LAYOUT!$D$2:$D$80,MATCH(P248&amp;"|"&amp;Q248,LAYOUT!$E$2:$E$80,0)),""))</f>
        <v/>
      </c>
      <c r="S248" s="12">
        <f>IF(AND(P248="",Q248=""),IF(AND(L248="",M248="",T248="",U248=""),IF(OR($D248&lt;&gt;"",$E248&lt;&gt;""),"Belum ditempatkan",""),""),IF(P248="","CEK JENIS FIXTURE kosong",IF(LEFT(P248,4)&lt;&gt;"Wall","CEK Fixture 2 hanya Wall",IF(Q248="","CEK SHELVING KE kosong",IF(ISNA(MATCH(P248&amp;"|"&amp;Q248,LAYOUT!$E$2:$E$80,0)),"CEK SHELVING KE di luar layout",IF($I248="","CEK SERIES kosong",IF($D248="","Zona STOCK",IF($E248="","CEK SKU DESCRIPTION kosong",IF(COUNTIFS($I$2:$I$500,$I248,P$2:P$500,"&lt;&gt;"&amp;P248,P$2:P$500,"&lt;&gt;")&gt;0,"CEK jenis fixture beda dalam satu series","OK")))))))))</f>
        <v/>
      </c>
      <c r="T248" s="11" t="n"/>
      <c r="U248" s="11" t="n"/>
      <c r="V248" s="11">
        <f>IF(OR(T248="",U248=""),"",IFERROR(INDEX(LAYOUT!$D$2:$D$80,MATCH(T248&amp;"|"&amp;U248,LAYOUT!$E$2:$E$80,0)),""))</f>
        <v/>
      </c>
      <c r="W248" s="12">
        <f>IF(AND(T248="",U248=""),IF(AND(L248="",M248="",P248="",Q248=""),IF(OR($D248&lt;&gt;"",$E248&lt;&gt;""),"Belum ditempatkan",""),""),IF(T248="","CEK JENIS FIXTURE kosong",IF(LEFT(T248,4)&lt;&gt;"Wall","CEK Fixture 3 hanya Wall",IF(U248="","CEK SHELVING KE kosong",IF(ISNA(MATCH(T248&amp;"|"&amp;U248,LAYOUT!$E$2:$E$80,0)),"CEK SHELVING KE di luar layout",IF($I248="","CEK SERIES kosong",IF($D248="","Zona STOCK",IF($E248="","CEK SKU DESCRIPTION kosong",IF(COUNTIFS($I$2:$I$500,$I248,T$2:T$500,"&lt;&gt;"&amp;T248,T$2:T$500,"&lt;&gt;")&gt;0,"CEK jenis fixture beda dalam satu series","OK")))))))))</f>
        <v/>
      </c>
      <c r="X248" s="11" t="n"/>
      <c r="Y248" s="11" t="n"/>
      <c r="Z248" s="12" t="n"/>
      <c r="AA248" s="12" t="n"/>
      <c r="AB248" s="11" t="n"/>
      <c r="AC248" s="11" t="n"/>
      <c r="AD248" s="11" t="n"/>
      <c r="AE248" s="11" t="n"/>
      <c r="AF248" s="11" t="n"/>
      <c r="AG248" s="11" t="n"/>
      <c r="AH248" s="12" t="n"/>
      <c r="AI248" s="12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>
        <f>IF(OR(L249="",M249=""),"",IFERROR(INDEX(LAYOUT!$D$2:$D$80,MATCH(L249&amp;"|"&amp;M249,LAYOUT!$E$2:$E$80,0)),""))</f>
        <v/>
      </c>
      <c r="O249" s="12">
        <f>IF(AND(L249="",M249=""),IF(AND(P249="",Q249="",T249="",U249=""),IF(OR($D249&lt;&gt;"",$E249&lt;&gt;""),"Belum ditempatkan",""),""),IF(L249="","CEK JENIS FIXTURE kosong",IF(AND(LEFT(L249,7)&lt;&gt;"Gondola",LEFT(L249,6)&lt;&gt;"Endcap"),"CEK Fixture 1 hanya Gondola atau Endcap",IF(M249="","CEK SHELVING KE kosong",IF(ISNA(MATCH(L249&amp;"|"&amp;M249,LAYOUT!$E$2:$E$80,0)),"CEK SHELVING KE di luar layout",IF($I249="","CEK SERIES kosong",IF($D249="","Zona STOCK",IF($E249="","CEK SKU DESCRIPTION kosong",IF(COUNTIFS($I$2:$I$500,$I249,L$2:L$500,"&lt;&gt;"&amp;L249,L$2:L$500,"&lt;&gt;")&gt;0,"CEK jenis fixture beda dalam satu series","OK")))))))))</f>
        <v/>
      </c>
      <c r="P249" s="11" t="n"/>
      <c r="Q249" s="11" t="n"/>
      <c r="R249" s="11">
        <f>IF(OR(P249="",Q249=""),"",IFERROR(INDEX(LAYOUT!$D$2:$D$80,MATCH(P249&amp;"|"&amp;Q249,LAYOUT!$E$2:$E$80,0)),""))</f>
        <v/>
      </c>
      <c r="S249" s="12">
        <f>IF(AND(P249="",Q249=""),IF(AND(L249="",M249="",T249="",U249=""),IF(OR($D249&lt;&gt;"",$E249&lt;&gt;""),"Belum ditempatkan",""),""),IF(P249="","CEK JENIS FIXTURE kosong",IF(LEFT(P249,4)&lt;&gt;"Wall","CEK Fixture 2 hanya Wall",IF(Q249="","CEK SHELVING KE kosong",IF(ISNA(MATCH(P249&amp;"|"&amp;Q249,LAYOUT!$E$2:$E$80,0)),"CEK SHELVING KE di luar layout",IF($I249="","CEK SERIES kosong",IF($D249="","Zona STOCK",IF($E249="","CEK SKU DESCRIPTION kosong",IF(COUNTIFS($I$2:$I$500,$I249,P$2:P$500,"&lt;&gt;"&amp;P249,P$2:P$500,"&lt;&gt;")&gt;0,"CEK jenis fixture beda dalam satu series","OK")))))))))</f>
        <v/>
      </c>
      <c r="T249" s="11" t="n"/>
      <c r="U249" s="11" t="n"/>
      <c r="V249" s="11">
        <f>IF(OR(T249="",U249=""),"",IFERROR(INDEX(LAYOUT!$D$2:$D$80,MATCH(T249&amp;"|"&amp;U249,LAYOUT!$E$2:$E$80,0)),""))</f>
        <v/>
      </c>
      <c r="W249" s="12">
        <f>IF(AND(T249="",U249=""),IF(AND(L249="",M249="",P249="",Q249=""),IF(OR($D249&lt;&gt;"",$E249&lt;&gt;""),"Belum ditempatkan",""),""),IF(T249="","CEK JENIS FIXTURE kosong",IF(LEFT(T249,4)&lt;&gt;"Wall","CEK Fixture 3 hanya Wall",IF(U249="","CEK SHELVING KE kosong",IF(ISNA(MATCH(T249&amp;"|"&amp;U249,LAYOUT!$E$2:$E$80,0)),"CEK SHELVING KE di luar layout",IF($I249="","CEK SERIES kosong",IF($D249="","Zona STOCK",IF($E249="","CEK SKU DESCRIPTION kosong",IF(COUNTIFS($I$2:$I$500,$I249,T$2:T$500,"&lt;&gt;"&amp;T249,T$2:T$500,"&lt;&gt;")&gt;0,"CEK jenis fixture beda dalam satu series","OK")))))))))</f>
        <v/>
      </c>
      <c r="X249" s="11" t="n"/>
      <c r="Y249" s="11" t="n"/>
      <c r="Z249" s="12" t="n"/>
      <c r="AA249" s="12" t="n"/>
      <c r="AB249" s="11" t="n"/>
      <c r="AC249" s="11" t="n"/>
      <c r="AD249" s="11" t="n"/>
      <c r="AE249" s="11" t="n"/>
      <c r="AF249" s="11" t="n"/>
      <c r="AG249" s="11" t="n"/>
      <c r="AH249" s="12" t="n"/>
      <c r="AI249" s="12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>
        <f>IF(OR(L250="",M250=""),"",IFERROR(INDEX(LAYOUT!$D$2:$D$80,MATCH(L250&amp;"|"&amp;M250,LAYOUT!$E$2:$E$80,0)),""))</f>
        <v/>
      </c>
      <c r="O250" s="12">
        <f>IF(AND(L250="",M250=""),IF(AND(P250="",Q250="",T250="",U250=""),IF(OR($D250&lt;&gt;"",$E250&lt;&gt;""),"Belum ditempatkan",""),""),IF(L250="","CEK JENIS FIXTURE kosong",IF(AND(LEFT(L250,7)&lt;&gt;"Gondola",LEFT(L250,6)&lt;&gt;"Endcap"),"CEK Fixture 1 hanya Gondola atau Endcap",IF(M250="","CEK SHELVING KE kosong",IF(ISNA(MATCH(L250&amp;"|"&amp;M250,LAYOUT!$E$2:$E$80,0)),"CEK SHELVING KE di luar layout",IF($I250="","CEK SERIES kosong",IF($D250="","Zona STOCK",IF($E250="","CEK SKU DESCRIPTION kosong",IF(COUNTIFS($I$2:$I$500,$I250,L$2:L$500,"&lt;&gt;"&amp;L250,L$2:L$500,"&lt;&gt;")&gt;0,"CEK jenis fixture beda dalam satu series","OK")))))))))</f>
        <v/>
      </c>
      <c r="P250" s="11" t="n"/>
      <c r="Q250" s="11" t="n"/>
      <c r="R250" s="11">
        <f>IF(OR(P250="",Q250=""),"",IFERROR(INDEX(LAYOUT!$D$2:$D$80,MATCH(P250&amp;"|"&amp;Q250,LAYOUT!$E$2:$E$80,0)),""))</f>
        <v/>
      </c>
      <c r="S250" s="12">
        <f>IF(AND(P250="",Q250=""),IF(AND(L250="",M250="",T250="",U250=""),IF(OR($D250&lt;&gt;"",$E250&lt;&gt;""),"Belum ditempatkan",""),""),IF(P250="","CEK JENIS FIXTURE kosong",IF(LEFT(P250,4)&lt;&gt;"Wall","CEK Fixture 2 hanya Wall",IF(Q250="","CEK SHELVING KE kosong",IF(ISNA(MATCH(P250&amp;"|"&amp;Q250,LAYOUT!$E$2:$E$80,0)),"CEK SHELVING KE di luar layout",IF($I250="","CEK SERIES kosong",IF($D250="","Zona STOCK",IF($E250="","CEK SKU DESCRIPTION kosong",IF(COUNTIFS($I$2:$I$500,$I250,P$2:P$500,"&lt;&gt;"&amp;P250,P$2:P$500,"&lt;&gt;")&gt;0,"CEK jenis fixture beda dalam satu series","OK")))))))))</f>
        <v/>
      </c>
      <c r="T250" s="11" t="n"/>
      <c r="U250" s="11" t="n"/>
      <c r="V250" s="11">
        <f>IF(OR(T250="",U250=""),"",IFERROR(INDEX(LAYOUT!$D$2:$D$80,MATCH(T250&amp;"|"&amp;U250,LAYOUT!$E$2:$E$80,0)),""))</f>
        <v/>
      </c>
      <c r="W250" s="12">
        <f>IF(AND(T250="",U250=""),IF(AND(L250="",M250="",P250="",Q250=""),IF(OR($D250&lt;&gt;"",$E250&lt;&gt;""),"Belum ditempatkan",""),""),IF(T250="","CEK JENIS FIXTURE kosong",IF(LEFT(T250,4)&lt;&gt;"Wall","CEK Fixture 3 hanya Wall",IF(U250="","CEK SHELVING KE kosong",IF(ISNA(MATCH(T250&amp;"|"&amp;U250,LAYOUT!$E$2:$E$80,0)),"CEK SHELVING KE di luar layout",IF($I250="","CEK SERIES kosong",IF($D250="","Zona STOCK",IF($E250="","CEK SKU DESCRIPTION kosong",IF(COUNTIFS($I$2:$I$500,$I250,T$2:T$500,"&lt;&gt;"&amp;T250,T$2:T$500,"&lt;&gt;")&gt;0,"CEK jenis fixture beda dalam satu series","OK")))))))))</f>
        <v/>
      </c>
      <c r="X250" s="11" t="n"/>
      <c r="Y250" s="11" t="n"/>
      <c r="Z250" s="12" t="n"/>
      <c r="AA250" s="12" t="n"/>
      <c r="AB250" s="11" t="n"/>
      <c r="AC250" s="11" t="n"/>
      <c r="AD250" s="11" t="n"/>
      <c r="AE250" s="11" t="n"/>
      <c r="AF250" s="11" t="n"/>
      <c r="AG250" s="11" t="n"/>
      <c r="AH250" s="12" t="n"/>
      <c r="AI250" s="12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>
        <f>IF(OR(L251="",M251=""),"",IFERROR(INDEX(LAYOUT!$D$2:$D$80,MATCH(L251&amp;"|"&amp;M251,LAYOUT!$E$2:$E$80,0)),""))</f>
        <v/>
      </c>
      <c r="O251" s="12">
        <f>IF(AND(L251="",M251=""),IF(AND(P251="",Q251="",T251="",U251=""),IF(OR($D251&lt;&gt;"",$E251&lt;&gt;""),"Belum ditempatkan",""),""),IF(L251="","CEK JENIS FIXTURE kosong",IF(AND(LEFT(L251,7)&lt;&gt;"Gondola",LEFT(L251,6)&lt;&gt;"Endcap"),"CEK Fixture 1 hanya Gondola atau Endcap",IF(M251="","CEK SHELVING KE kosong",IF(ISNA(MATCH(L251&amp;"|"&amp;M251,LAYOUT!$E$2:$E$80,0)),"CEK SHELVING KE di luar layout",IF($I251="","CEK SERIES kosong",IF($D251="","Zona STOCK",IF($E251="","CEK SKU DESCRIPTION kosong",IF(COUNTIFS($I$2:$I$500,$I251,L$2:L$500,"&lt;&gt;"&amp;L251,L$2:L$500,"&lt;&gt;")&gt;0,"CEK jenis fixture beda dalam satu series","OK")))))))))</f>
        <v/>
      </c>
      <c r="P251" s="11" t="n"/>
      <c r="Q251" s="11" t="n"/>
      <c r="R251" s="11">
        <f>IF(OR(P251="",Q251=""),"",IFERROR(INDEX(LAYOUT!$D$2:$D$80,MATCH(P251&amp;"|"&amp;Q251,LAYOUT!$E$2:$E$80,0)),""))</f>
        <v/>
      </c>
      <c r="S251" s="12">
        <f>IF(AND(P251="",Q251=""),IF(AND(L251="",M251="",T251="",U251=""),IF(OR($D251&lt;&gt;"",$E251&lt;&gt;""),"Belum ditempatkan",""),""),IF(P251="","CEK JENIS FIXTURE kosong",IF(LEFT(P251,4)&lt;&gt;"Wall","CEK Fixture 2 hanya Wall",IF(Q251="","CEK SHELVING KE kosong",IF(ISNA(MATCH(P251&amp;"|"&amp;Q251,LAYOUT!$E$2:$E$80,0)),"CEK SHELVING KE di luar layout",IF($I251="","CEK SERIES kosong",IF($D251="","Zona STOCK",IF($E251="","CEK SKU DESCRIPTION kosong",IF(COUNTIFS($I$2:$I$500,$I251,P$2:P$500,"&lt;&gt;"&amp;P251,P$2:P$500,"&lt;&gt;")&gt;0,"CEK jenis fixture beda dalam satu series","OK")))))))))</f>
        <v/>
      </c>
      <c r="T251" s="11" t="n"/>
      <c r="U251" s="11" t="n"/>
      <c r="V251" s="11">
        <f>IF(OR(T251="",U251=""),"",IFERROR(INDEX(LAYOUT!$D$2:$D$80,MATCH(T251&amp;"|"&amp;U251,LAYOUT!$E$2:$E$80,0)),""))</f>
        <v/>
      </c>
      <c r="W251" s="12">
        <f>IF(AND(T251="",U251=""),IF(AND(L251="",M251="",P251="",Q251=""),IF(OR($D251&lt;&gt;"",$E251&lt;&gt;""),"Belum ditempatkan",""),""),IF(T251="","CEK JENIS FIXTURE kosong",IF(LEFT(T251,4)&lt;&gt;"Wall","CEK Fixture 3 hanya Wall",IF(U251="","CEK SHELVING KE kosong",IF(ISNA(MATCH(T251&amp;"|"&amp;U251,LAYOUT!$E$2:$E$80,0)),"CEK SHELVING KE di luar layout",IF($I251="","CEK SERIES kosong",IF($D251="","Zona STOCK",IF($E251="","CEK SKU DESCRIPTION kosong",IF(COUNTIFS($I$2:$I$500,$I251,T$2:T$500,"&lt;&gt;"&amp;T251,T$2:T$500,"&lt;&gt;")&gt;0,"CEK jenis fixture beda dalam satu series","OK")))))))))</f>
        <v/>
      </c>
      <c r="X251" s="11" t="n"/>
      <c r="Y251" s="11" t="n"/>
      <c r="Z251" s="12" t="n"/>
      <c r="AA251" s="12" t="n"/>
      <c r="AB251" s="11" t="n"/>
      <c r="AC251" s="11" t="n"/>
      <c r="AD251" s="11" t="n"/>
      <c r="AE251" s="11" t="n"/>
      <c r="AF251" s="11" t="n"/>
      <c r="AG251" s="11" t="n"/>
      <c r="AH251" s="12" t="n"/>
      <c r="AI251" s="12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>
        <f>IF(OR(L252="",M252=""),"",IFERROR(INDEX(LAYOUT!$D$2:$D$80,MATCH(L252&amp;"|"&amp;M252,LAYOUT!$E$2:$E$80,0)),""))</f>
        <v/>
      </c>
      <c r="O252" s="12">
        <f>IF(AND(L252="",M252=""),IF(AND(P252="",Q252="",T252="",U252=""),IF(OR($D252&lt;&gt;"",$E252&lt;&gt;""),"Belum ditempatkan",""),""),IF(L252="","CEK JENIS FIXTURE kosong",IF(AND(LEFT(L252,7)&lt;&gt;"Gondola",LEFT(L252,6)&lt;&gt;"Endcap"),"CEK Fixture 1 hanya Gondola atau Endcap",IF(M252="","CEK SHELVING KE kosong",IF(ISNA(MATCH(L252&amp;"|"&amp;M252,LAYOUT!$E$2:$E$80,0)),"CEK SHELVING KE di luar layout",IF($I252="","CEK SERIES kosong",IF($D252="","Zona STOCK",IF($E252="","CEK SKU DESCRIPTION kosong",IF(COUNTIFS($I$2:$I$500,$I252,L$2:L$500,"&lt;&gt;"&amp;L252,L$2:L$500,"&lt;&gt;")&gt;0,"CEK jenis fixture beda dalam satu series","OK")))))))))</f>
        <v/>
      </c>
      <c r="P252" s="11" t="n"/>
      <c r="Q252" s="11" t="n"/>
      <c r="R252" s="11">
        <f>IF(OR(P252="",Q252=""),"",IFERROR(INDEX(LAYOUT!$D$2:$D$80,MATCH(P252&amp;"|"&amp;Q252,LAYOUT!$E$2:$E$80,0)),""))</f>
        <v/>
      </c>
      <c r="S252" s="12">
        <f>IF(AND(P252="",Q252=""),IF(AND(L252="",M252="",T252="",U252=""),IF(OR($D252&lt;&gt;"",$E252&lt;&gt;""),"Belum ditempatkan",""),""),IF(P252="","CEK JENIS FIXTURE kosong",IF(LEFT(P252,4)&lt;&gt;"Wall","CEK Fixture 2 hanya Wall",IF(Q252="","CEK SHELVING KE kosong",IF(ISNA(MATCH(P252&amp;"|"&amp;Q252,LAYOUT!$E$2:$E$80,0)),"CEK SHELVING KE di luar layout",IF($I252="","CEK SERIES kosong",IF($D252="","Zona STOCK",IF($E252="","CEK SKU DESCRIPTION kosong",IF(COUNTIFS($I$2:$I$500,$I252,P$2:P$500,"&lt;&gt;"&amp;P252,P$2:P$500,"&lt;&gt;")&gt;0,"CEK jenis fixture beda dalam satu series","OK")))))))))</f>
        <v/>
      </c>
      <c r="T252" s="11" t="n"/>
      <c r="U252" s="11" t="n"/>
      <c r="V252" s="11">
        <f>IF(OR(T252="",U252=""),"",IFERROR(INDEX(LAYOUT!$D$2:$D$80,MATCH(T252&amp;"|"&amp;U252,LAYOUT!$E$2:$E$80,0)),""))</f>
        <v/>
      </c>
      <c r="W252" s="12">
        <f>IF(AND(T252="",U252=""),IF(AND(L252="",M252="",P252="",Q252=""),IF(OR($D252&lt;&gt;"",$E252&lt;&gt;""),"Belum ditempatkan",""),""),IF(T252="","CEK JENIS FIXTURE kosong",IF(LEFT(T252,4)&lt;&gt;"Wall","CEK Fixture 3 hanya Wall",IF(U252="","CEK SHELVING KE kosong",IF(ISNA(MATCH(T252&amp;"|"&amp;U252,LAYOUT!$E$2:$E$80,0)),"CEK SHELVING KE di luar layout",IF($I252="","CEK SERIES kosong",IF($D252="","Zona STOCK",IF($E252="","CEK SKU DESCRIPTION kosong",IF(COUNTIFS($I$2:$I$500,$I252,T$2:T$500,"&lt;&gt;"&amp;T252,T$2:T$500,"&lt;&gt;")&gt;0,"CEK jenis fixture beda dalam satu series","OK")))))))))</f>
        <v/>
      </c>
      <c r="X252" s="11" t="n"/>
      <c r="Y252" s="11" t="n"/>
      <c r="Z252" s="12" t="n"/>
      <c r="AA252" s="12" t="n"/>
      <c r="AB252" s="11" t="n"/>
      <c r="AC252" s="11" t="n"/>
      <c r="AD252" s="11" t="n"/>
      <c r="AE252" s="11" t="n"/>
      <c r="AF252" s="11" t="n"/>
      <c r="AG252" s="11" t="n"/>
      <c r="AH252" s="12" t="n"/>
      <c r="AI252" s="12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>
        <f>IF(OR(L253="",M253=""),"",IFERROR(INDEX(LAYOUT!$D$2:$D$80,MATCH(L253&amp;"|"&amp;M253,LAYOUT!$E$2:$E$80,0)),""))</f>
        <v/>
      </c>
      <c r="O253" s="12">
        <f>IF(AND(L253="",M253=""),IF(AND(P253="",Q253="",T253="",U253=""),IF(OR($D253&lt;&gt;"",$E253&lt;&gt;""),"Belum ditempatkan",""),""),IF(L253="","CEK JENIS FIXTURE kosong",IF(AND(LEFT(L253,7)&lt;&gt;"Gondola",LEFT(L253,6)&lt;&gt;"Endcap"),"CEK Fixture 1 hanya Gondola atau Endcap",IF(M253="","CEK SHELVING KE kosong",IF(ISNA(MATCH(L253&amp;"|"&amp;M253,LAYOUT!$E$2:$E$80,0)),"CEK SHELVING KE di luar layout",IF($I253="","CEK SERIES kosong",IF($D253="","Zona STOCK",IF($E253="","CEK SKU DESCRIPTION kosong",IF(COUNTIFS($I$2:$I$500,$I253,L$2:L$500,"&lt;&gt;"&amp;L253,L$2:L$500,"&lt;&gt;")&gt;0,"CEK jenis fixture beda dalam satu series","OK")))))))))</f>
        <v/>
      </c>
      <c r="P253" s="11" t="n"/>
      <c r="Q253" s="11" t="n"/>
      <c r="R253" s="11">
        <f>IF(OR(P253="",Q253=""),"",IFERROR(INDEX(LAYOUT!$D$2:$D$80,MATCH(P253&amp;"|"&amp;Q253,LAYOUT!$E$2:$E$80,0)),""))</f>
        <v/>
      </c>
      <c r="S253" s="12">
        <f>IF(AND(P253="",Q253=""),IF(AND(L253="",M253="",T253="",U253=""),IF(OR($D253&lt;&gt;"",$E253&lt;&gt;""),"Belum ditempatkan",""),""),IF(P253="","CEK JENIS FIXTURE kosong",IF(LEFT(P253,4)&lt;&gt;"Wall","CEK Fixture 2 hanya Wall",IF(Q253="","CEK SHELVING KE kosong",IF(ISNA(MATCH(P253&amp;"|"&amp;Q253,LAYOUT!$E$2:$E$80,0)),"CEK SHELVING KE di luar layout",IF($I253="","CEK SERIES kosong",IF($D253="","Zona STOCK",IF($E253="","CEK SKU DESCRIPTION kosong",IF(COUNTIFS($I$2:$I$500,$I253,P$2:P$500,"&lt;&gt;"&amp;P253,P$2:P$500,"&lt;&gt;")&gt;0,"CEK jenis fixture beda dalam satu series","OK")))))))))</f>
        <v/>
      </c>
      <c r="T253" s="11" t="n"/>
      <c r="U253" s="11" t="n"/>
      <c r="V253" s="11">
        <f>IF(OR(T253="",U253=""),"",IFERROR(INDEX(LAYOUT!$D$2:$D$80,MATCH(T253&amp;"|"&amp;U253,LAYOUT!$E$2:$E$80,0)),""))</f>
        <v/>
      </c>
      <c r="W253" s="12">
        <f>IF(AND(T253="",U253=""),IF(AND(L253="",M253="",P253="",Q253=""),IF(OR($D253&lt;&gt;"",$E253&lt;&gt;""),"Belum ditempatkan",""),""),IF(T253="","CEK JENIS FIXTURE kosong",IF(LEFT(T253,4)&lt;&gt;"Wall","CEK Fixture 3 hanya Wall",IF(U253="","CEK SHELVING KE kosong",IF(ISNA(MATCH(T253&amp;"|"&amp;U253,LAYOUT!$E$2:$E$80,0)),"CEK SHELVING KE di luar layout",IF($I253="","CEK SERIES kosong",IF($D253="","Zona STOCK",IF($E253="","CEK SKU DESCRIPTION kosong",IF(COUNTIFS($I$2:$I$500,$I253,T$2:T$500,"&lt;&gt;"&amp;T253,T$2:T$500,"&lt;&gt;")&gt;0,"CEK jenis fixture beda dalam satu series","OK")))))))))</f>
        <v/>
      </c>
      <c r="X253" s="11" t="n"/>
      <c r="Y253" s="11" t="n"/>
      <c r="Z253" s="12" t="n"/>
      <c r="AA253" s="12" t="n"/>
      <c r="AB253" s="11" t="n"/>
      <c r="AC253" s="11" t="n"/>
      <c r="AD253" s="11" t="n"/>
      <c r="AE253" s="11" t="n"/>
      <c r="AF253" s="11" t="n"/>
      <c r="AG253" s="11" t="n"/>
      <c r="AH253" s="12" t="n"/>
      <c r="AI253" s="12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>
        <f>IF(OR(L254="",M254=""),"",IFERROR(INDEX(LAYOUT!$D$2:$D$80,MATCH(L254&amp;"|"&amp;M254,LAYOUT!$E$2:$E$80,0)),""))</f>
        <v/>
      </c>
      <c r="O254" s="12">
        <f>IF(AND(L254="",M254=""),IF(AND(P254="",Q254="",T254="",U254=""),IF(OR($D254&lt;&gt;"",$E254&lt;&gt;""),"Belum ditempatkan",""),""),IF(L254="","CEK JENIS FIXTURE kosong",IF(AND(LEFT(L254,7)&lt;&gt;"Gondola",LEFT(L254,6)&lt;&gt;"Endcap"),"CEK Fixture 1 hanya Gondola atau Endcap",IF(M254="","CEK SHELVING KE kosong",IF(ISNA(MATCH(L254&amp;"|"&amp;M254,LAYOUT!$E$2:$E$80,0)),"CEK SHELVING KE di luar layout",IF($I254="","CEK SERIES kosong",IF($D254="","Zona STOCK",IF($E254="","CEK SKU DESCRIPTION kosong",IF(COUNTIFS($I$2:$I$500,$I254,L$2:L$500,"&lt;&gt;"&amp;L254,L$2:L$500,"&lt;&gt;")&gt;0,"CEK jenis fixture beda dalam satu series","OK")))))))))</f>
        <v/>
      </c>
      <c r="P254" s="11" t="n"/>
      <c r="Q254" s="11" t="n"/>
      <c r="R254" s="11">
        <f>IF(OR(P254="",Q254=""),"",IFERROR(INDEX(LAYOUT!$D$2:$D$80,MATCH(P254&amp;"|"&amp;Q254,LAYOUT!$E$2:$E$80,0)),""))</f>
        <v/>
      </c>
      <c r="S254" s="12">
        <f>IF(AND(P254="",Q254=""),IF(AND(L254="",M254="",T254="",U254=""),IF(OR($D254&lt;&gt;"",$E254&lt;&gt;""),"Belum ditempatkan",""),""),IF(P254="","CEK JENIS FIXTURE kosong",IF(LEFT(P254,4)&lt;&gt;"Wall","CEK Fixture 2 hanya Wall",IF(Q254="","CEK SHELVING KE kosong",IF(ISNA(MATCH(P254&amp;"|"&amp;Q254,LAYOUT!$E$2:$E$80,0)),"CEK SHELVING KE di luar layout",IF($I254="","CEK SERIES kosong",IF($D254="","Zona STOCK",IF($E254="","CEK SKU DESCRIPTION kosong",IF(COUNTIFS($I$2:$I$500,$I254,P$2:P$500,"&lt;&gt;"&amp;P254,P$2:P$500,"&lt;&gt;")&gt;0,"CEK jenis fixture beda dalam satu series","OK")))))))))</f>
        <v/>
      </c>
      <c r="T254" s="11" t="n"/>
      <c r="U254" s="11" t="n"/>
      <c r="V254" s="11">
        <f>IF(OR(T254="",U254=""),"",IFERROR(INDEX(LAYOUT!$D$2:$D$80,MATCH(T254&amp;"|"&amp;U254,LAYOUT!$E$2:$E$80,0)),""))</f>
        <v/>
      </c>
      <c r="W254" s="12">
        <f>IF(AND(T254="",U254=""),IF(AND(L254="",M254="",P254="",Q254=""),IF(OR($D254&lt;&gt;"",$E254&lt;&gt;""),"Belum ditempatkan",""),""),IF(T254="","CEK JENIS FIXTURE kosong",IF(LEFT(T254,4)&lt;&gt;"Wall","CEK Fixture 3 hanya Wall",IF(U254="","CEK SHELVING KE kosong",IF(ISNA(MATCH(T254&amp;"|"&amp;U254,LAYOUT!$E$2:$E$80,0)),"CEK SHELVING KE di luar layout",IF($I254="","CEK SERIES kosong",IF($D254="","Zona STOCK",IF($E254="","CEK SKU DESCRIPTION kosong",IF(COUNTIFS($I$2:$I$500,$I254,T$2:T$500,"&lt;&gt;"&amp;T254,T$2:T$500,"&lt;&gt;")&gt;0,"CEK jenis fixture beda dalam satu series","OK")))))))))</f>
        <v/>
      </c>
      <c r="X254" s="11" t="n"/>
      <c r="Y254" s="11" t="n"/>
      <c r="Z254" s="12" t="n"/>
      <c r="AA254" s="12" t="n"/>
      <c r="AB254" s="11" t="n"/>
      <c r="AC254" s="11" t="n"/>
      <c r="AD254" s="11" t="n"/>
      <c r="AE254" s="11" t="n"/>
      <c r="AF254" s="11" t="n"/>
      <c r="AG254" s="11" t="n"/>
      <c r="AH254" s="12" t="n"/>
      <c r="AI254" s="12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>
        <f>IF(OR(L255="",M255=""),"",IFERROR(INDEX(LAYOUT!$D$2:$D$80,MATCH(L255&amp;"|"&amp;M255,LAYOUT!$E$2:$E$80,0)),""))</f>
        <v/>
      </c>
      <c r="O255" s="12">
        <f>IF(AND(L255="",M255=""),IF(AND(P255="",Q255="",T255="",U255=""),IF(OR($D255&lt;&gt;"",$E255&lt;&gt;""),"Belum ditempatkan",""),""),IF(L255="","CEK JENIS FIXTURE kosong",IF(AND(LEFT(L255,7)&lt;&gt;"Gondola",LEFT(L255,6)&lt;&gt;"Endcap"),"CEK Fixture 1 hanya Gondola atau Endcap",IF(M255="","CEK SHELVING KE kosong",IF(ISNA(MATCH(L255&amp;"|"&amp;M255,LAYOUT!$E$2:$E$80,0)),"CEK SHELVING KE di luar layout",IF($I255="","CEK SERIES kosong",IF($D255="","Zona STOCK",IF($E255="","CEK SKU DESCRIPTION kosong",IF(COUNTIFS($I$2:$I$500,$I255,L$2:L$500,"&lt;&gt;"&amp;L255,L$2:L$500,"&lt;&gt;")&gt;0,"CEK jenis fixture beda dalam satu series","OK")))))))))</f>
        <v/>
      </c>
      <c r="P255" s="11" t="n"/>
      <c r="Q255" s="11" t="n"/>
      <c r="R255" s="11">
        <f>IF(OR(P255="",Q255=""),"",IFERROR(INDEX(LAYOUT!$D$2:$D$80,MATCH(P255&amp;"|"&amp;Q255,LAYOUT!$E$2:$E$80,0)),""))</f>
        <v/>
      </c>
      <c r="S255" s="12">
        <f>IF(AND(P255="",Q255=""),IF(AND(L255="",M255="",T255="",U255=""),IF(OR($D255&lt;&gt;"",$E255&lt;&gt;""),"Belum ditempatkan",""),""),IF(P255="","CEK JENIS FIXTURE kosong",IF(LEFT(P255,4)&lt;&gt;"Wall","CEK Fixture 2 hanya Wall",IF(Q255="","CEK SHELVING KE kosong",IF(ISNA(MATCH(P255&amp;"|"&amp;Q255,LAYOUT!$E$2:$E$80,0)),"CEK SHELVING KE di luar layout",IF($I255="","CEK SERIES kosong",IF($D255="","Zona STOCK",IF($E255="","CEK SKU DESCRIPTION kosong",IF(COUNTIFS($I$2:$I$500,$I255,P$2:P$500,"&lt;&gt;"&amp;P255,P$2:P$500,"&lt;&gt;")&gt;0,"CEK jenis fixture beda dalam satu series","OK")))))))))</f>
        <v/>
      </c>
      <c r="T255" s="11" t="n"/>
      <c r="U255" s="11" t="n"/>
      <c r="V255" s="11">
        <f>IF(OR(T255="",U255=""),"",IFERROR(INDEX(LAYOUT!$D$2:$D$80,MATCH(T255&amp;"|"&amp;U255,LAYOUT!$E$2:$E$80,0)),""))</f>
        <v/>
      </c>
      <c r="W255" s="12">
        <f>IF(AND(T255="",U255=""),IF(AND(L255="",M255="",P255="",Q255=""),IF(OR($D255&lt;&gt;"",$E255&lt;&gt;""),"Belum ditempatkan",""),""),IF(T255="","CEK JENIS FIXTURE kosong",IF(LEFT(T255,4)&lt;&gt;"Wall","CEK Fixture 3 hanya Wall",IF(U255="","CEK SHELVING KE kosong",IF(ISNA(MATCH(T255&amp;"|"&amp;U255,LAYOUT!$E$2:$E$80,0)),"CEK SHELVING KE di luar layout",IF($I255="","CEK SERIES kosong",IF($D255="","Zona STOCK",IF($E255="","CEK SKU DESCRIPTION kosong",IF(COUNTIFS($I$2:$I$500,$I255,T$2:T$500,"&lt;&gt;"&amp;T255,T$2:T$500,"&lt;&gt;")&gt;0,"CEK jenis fixture beda dalam satu series","OK")))))))))</f>
        <v/>
      </c>
      <c r="X255" s="11" t="n"/>
      <c r="Y255" s="11" t="n"/>
      <c r="Z255" s="12" t="n"/>
      <c r="AA255" s="12" t="n"/>
      <c r="AB255" s="11" t="n"/>
      <c r="AC255" s="11" t="n"/>
      <c r="AD255" s="11" t="n"/>
      <c r="AE255" s="11" t="n"/>
      <c r="AF255" s="11" t="n"/>
      <c r="AG255" s="11" t="n"/>
      <c r="AH255" s="12" t="n"/>
      <c r="AI255" s="12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>
        <f>IF(OR(L256="",M256=""),"",IFERROR(INDEX(LAYOUT!$D$2:$D$80,MATCH(L256&amp;"|"&amp;M256,LAYOUT!$E$2:$E$80,0)),""))</f>
        <v/>
      </c>
      <c r="O256" s="12">
        <f>IF(AND(L256="",M256=""),IF(AND(P256="",Q256="",T256="",U256=""),IF(OR($D256&lt;&gt;"",$E256&lt;&gt;""),"Belum ditempatkan",""),""),IF(L256="","CEK JENIS FIXTURE kosong",IF(AND(LEFT(L256,7)&lt;&gt;"Gondola",LEFT(L256,6)&lt;&gt;"Endcap"),"CEK Fixture 1 hanya Gondola atau Endcap",IF(M256="","CEK SHELVING KE kosong",IF(ISNA(MATCH(L256&amp;"|"&amp;M256,LAYOUT!$E$2:$E$80,0)),"CEK SHELVING KE di luar layout",IF($I256="","CEK SERIES kosong",IF($D256="","Zona STOCK",IF($E256="","CEK SKU DESCRIPTION kosong",IF(COUNTIFS($I$2:$I$500,$I256,L$2:L$500,"&lt;&gt;"&amp;L256,L$2:L$500,"&lt;&gt;")&gt;0,"CEK jenis fixture beda dalam satu series","OK")))))))))</f>
        <v/>
      </c>
      <c r="P256" s="11" t="n"/>
      <c r="Q256" s="11" t="n"/>
      <c r="R256" s="11">
        <f>IF(OR(P256="",Q256=""),"",IFERROR(INDEX(LAYOUT!$D$2:$D$80,MATCH(P256&amp;"|"&amp;Q256,LAYOUT!$E$2:$E$80,0)),""))</f>
        <v/>
      </c>
      <c r="S256" s="12">
        <f>IF(AND(P256="",Q256=""),IF(AND(L256="",M256="",T256="",U256=""),IF(OR($D256&lt;&gt;"",$E256&lt;&gt;""),"Belum ditempatkan",""),""),IF(P256="","CEK JENIS FIXTURE kosong",IF(LEFT(P256,4)&lt;&gt;"Wall","CEK Fixture 2 hanya Wall",IF(Q256="","CEK SHELVING KE kosong",IF(ISNA(MATCH(P256&amp;"|"&amp;Q256,LAYOUT!$E$2:$E$80,0)),"CEK SHELVING KE di luar layout",IF($I256="","CEK SERIES kosong",IF($D256="","Zona STOCK",IF($E256="","CEK SKU DESCRIPTION kosong",IF(COUNTIFS($I$2:$I$500,$I256,P$2:P$500,"&lt;&gt;"&amp;P256,P$2:P$500,"&lt;&gt;")&gt;0,"CEK jenis fixture beda dalam satu series","OK")))))))))</f>
        <v/>
      </c>
      <c r="T256" s="11" t="n"/>
      <c r="U256" s="11" t="n"/>
      <c r="V256" s="11">
        <f>IF(OR(T256="",U256=""),"",IFERROR(INDEX(LAYOUT!$D$2:$D$80,MATCH(T256&amp;"|"&amp;U256,LAYOUT!$E$2:$E$80,0)),""))</f>
        <v/>
      </c>
      <c r="W256" s="12">
        <f>IF(AND(T256="",U256=""),IF(AND(L256="",M256="",P256="",Q256=""),IF(OR($D256&lt;&gt;"",$E256&lt;&gt;""),"Belum ditempatkan",""),""),IF(T256="","CEK JENIS FIXTURE kosong",IF(LEFT(T256,4)&lt;&gt;"Wall","CEK Fixture 3 hanya Wall",IF(U256="","CEK SHELVING KE kosong",IF(ISNA(MATCH(T256&amp;"|"&amp;U256,LAYOUT!$E$2:$E$80,0)),"CEK SHELVING KE di luar layout",IF($I256="","CEK SERIES kosong",IF($D256="","Zona STOCK",IF($E256="","CEK SKU DESCRIPTION kosong",IF(COUNTIFS($I$2:$I$500,$I256,T$2:T$500,"&lt;&gt;"&amp;T256,T$2:T$500,"&lt;&gt;")&gt;0,"CEK jenis fixture beda dalam satu series","OK")))))))))</f>
        <v/>
      </c>
      <c r="X256" s="11" t="n"/>
      <c r="Y256" s="11" t="n"/>
      <c r="Z256" s="12" t="n"/>
      <c r="AA256" s="12" t="n"/>
      <c r="AB256" s="11" t="n"/>
      <c r="AC256" s="11" t="n"/>
      <c r="AD256" s="11" t="n"/>
      <c r="AE256" s="11" t="n"/>
      <c r="AF256" s="11" t="n"/>
      <c r="AG256" s="11" t="n"/>
      <c r="AH256" s="12" t="n"/>
      <c r="AI256" s="12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>
        <f>IF(OR(L257="",M257=""),"",IFERROR(INDEX(LAYOUT!$D$2:$D$80,MATCH(L257&amp;"|"&amp;M257,LAYOUT!$E$2:$E$80,0)),""))</f>
        <v/>
      </c>
      <c r="O257" s="12">
        <f>IF(AND(L257="",M257=""),IF(AND(P257="",Q257="",T257="",U257=""),IF(OR($D257&lt;&gt;"",$E257&lt;&gt;""),"Belum ditempatkan",""),""),IF(L257="","CEK JENIS FIXTURE kosong",IF(AND(LEFT(L257,7)&lt;&gt;"Gondola",LEFT(L257,6)&lt;&gt;"Endcap"),"CEK Fixture 1 hanya Gondola atau Endcap",IF(M257="","CEK SHELVING KE kosong",IF(ISNA(MATCH(L257&amp;"|"&amp;M257,LAYOUT!$E$2:$E$80,0)),"CEK SHELVING KE di luar layout",IF($I257="","CEK SERIES kosong",IF($D257="","Zona STOCK",IF($E257="","CEK SKU DESCRIPTION kosong",IF(COUNTIFS($I$2:$I$500,$I257,L$2:L$500,"&lt;&gt;"&amp;L257,L$2:L$500,"&lt;&gt;")&gt;0,"CEK jenis fixture beda dalam satu series","OK")))))))))</f>
        <v/>
      </c>
      <c r="P257" s="11" t="n"/>
      <c r="Q257" s="11" t="n"/>
      <c r="R257" s="11">
        <f>IF(OR(P257="",Q257=""),"",IFERROR(INDEX(LAYOUT!$D$2:$D$80,MATCH(P257&amp;"|"&amp;Q257,LAYOUT!$E$2:$E$80,0)),""))</f>
        <v/>
      </c>
      <c r="S257" s="12">
        <f>IF(AND(P257="",Q257=""),IF(AND(L257="",M257="",T257="",U257=""),IF(OR($D257&lt;&gt;"",$E257&lt;&gt;""),"Belum ditempatkan",""),""),IF(P257="","CEK JENIS FIXTURE kosong",IF(LEFT(P257,4)&lt;&gt;"Wall","CEK Fixture 2 hanya Wall",IF(Q257="","CEK SHELVING KE kosong",IF(ISNA(MATCH(P257&amp;"|"&amp;Q257,LAYOUT!$E$2:$E$80,0)),"CEK SHELVING KE di luar layout",IF($I257="","CEK SERIES kosong",IF($D257="","Zona STOCK",IF($E257="","CEK SKU DESCRIPTION kosong",IF(COUNTIFS($I$2:$I$500,$I257,P$2:P$500,"&lt;&gt;"&amp;P257,P$2:P$500,"&lt;&gt;")&gt;0,"CEK jenis fixture beda dalam satu series","OK")))))))))</f>
        <v/>
      </c>
      <c r="T257" s="11" t="n"/>
      <c r="U257" s="11" t="n"/>
      <c r="V257" s="11">
        <f>IF(OR(T257="",U257=""),"",IFERROR(INDEX(LAYOUT!$D$2:$D$80,MATCH(T257&amp;"|"&amp;U257,LAYOUT!$E$2:$E$80,0)),""))</f>
        <v/>
      </c>
      <c r="W257" s="12">
        <f>IF(AND(T257="",U257=""),IF(AND(L257="",M257="",P257="",Q257=""),IF(OR($D257&lt;&gt;"",$E257&lt;&gt;""),"Belum ditempatkan",""),""),IF(T257="","CEK JENIS FIXTURE kosong",IF(LEFT(T257,4)&lt;&gt;"Wall","CEK Fixture 3 hanya Wall",IF(U257="","CEK SHELVING KE kosong",IF(ISNA(MATCH(T257&amp;"|"&amp;U257,LAYOUT!$E$2:$E$80,0)),"CEK SHELVING KE di luar layout",IF($I257="","CEK SERIES kosong",IF($D257="","Zona STOCK",IF($E257="","CEK SKU DESCRIPTION kosong",IF(COUNTIFS($I$2:$I$500,$I257,T$2:T$500,"&lt;&gt;"&amp;T257,T$2:T$500,"&lt;&gt;")&gt;0,"CEK jenis fixture beda dalam satu series","OK")))))))))</f>
        <v/>
      </c>
      <c r="X257" s="11" t="n"/>
      <c r="Y257" s="11" t="n"/>
      <c r="Z257" s="12" t="n"/>
      <c r="AA257" s="12" t="n"/>
      <c r="AB257" s="11" t="n"/>
      <c r="AC257" s="11" t="n"/>
      <c r="AD257" s="11" t="n"/>
      <c r="AE257" s="11" t="n"/>
      <c r="AF257" s="11" t="n"/>
      <c r="AG257" s="11" t="n"/>
      <c r="AH257" s="12" t="n"/>
      <c r="AI257" s="12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>
        <f>IF(OR(L258="",M258=""),"",IFERROR(INDEX(LAYOUT!$D$2:$D$80,MATCH(L258&amp;"|"&amp;M258,LAYOUT!$E$2:$E$80,0)),""))</f>
        <v/>
      </c>
      <c r="O258" s="12">
        <f>IF(AND(L258="",M258=""),IF(AND(P258="",Q258="",T258="",U258=""),IF(OR($D258&lt;&gt;"",$E258&lt;&gt;""),"Belum ditempatkan",""),""),IF(L258="","CEK JENIS FIXTURE kosong",IF(AND(LEFT(L258,7)&lt;&gt;"Gondola",LEFT(L258,6)&lt;&gt;"Endcap"),"CEK Fixture 1 hanya Gondola atau Endcap",IF(M258="","CEK SHELVING KE kosong",IF(ISNA(MATCH(L258&amp;"|"&amp;M258,LAYOUT!$E$2:$E$80,0)),"CEK SHELVING KE di luar layout",IF($I258="","CEK SERIES kosong",IF($D258="","Zona STOCK",IF($E258="","CEK SKU DESCRIPTION kosong",IF(COUNTIFS($I$2:$I$500,$I258,L$2:L$500,"&lt;&gt;"&amp;L258,L$2:L$500,"&lt;&gt;")&gt;0,"CEK jenis fixture beda dalam satu series","OK")))))))))</f>
        <v/>
      </c>
      <c r="P258" s="11" t="n"/>
      <c r="Q258" s="11" t="n"/>
      <c r="R258" s="11">
        <f>IF(OR(P258="",Q258=""),"",IFERROR(INDEX(LAYOUT!$D$2:$D$80,MATCH(P258&amp;"|"&amp;Q258,LAYOUT!$E$2:$E$80,0)),""))</f>
        <v/>
      </c>
      <c r="S258" s="12">
        <f>IF(AND(P258="",Q258=""),IF(AND(L258="",M258="",T258="",U258=""),IF(OR($D258&lt;&gt;"",$E258&lt;&gt;""),"Belum ditempatkan",""),""),IF(P258="","CEK JENIS FIXTURE kosong",IF(LEFT(P258,4)&lt;&gt;"Wall","CEK Fixture 2 hanya Wall",IF(Q258="","CEK SHELVING KE kosong",IF(ISNA(MATCH(P258&amp;"|"&amp;Q258,LAYOUT!$E$2:$E$80,0)),"CEK SHELVING KE di luar layout",IF($I258="","CEK SERIES kosong",IF($D258="","Zona STOCK",IF($E258="","CEK SKU DESCRIPTION kosong",IF(COUNTIFS($I$2:$I$500,$I258,P$2:P$500,"&lt;&gt;"&amp;P258,P$2:P$500,"&lt;&gt;")&gt;0,"CEK jenis fixture beda dalam satu series","OK")))))))))</f>
        <v/>
      </c>
      <c r="T258" s="11" t="n"/>
      <c r="U258" s="11" t="n"/>
      <c r="V258" s="11">
        <f>IF(OR(T258="",U258=""),"",IFERROR(INDEX(LAYOUT!$D$2:$D$80,MATCH(T258&amp;"|"&amp;U258,LAYOUT!$E$2:$E$80,0)),""))</f>
        <v/>
      </c>
      <c r="W258" s="12">
        <f>IF(AND(T258="",U258=""),IF(AND(L258="",M258="",P258="",Q258=""),IF(OR($D258&lt;&gt;"",$E258&lt;&gt;""),"Belum ditempatkan",""),""),IF(T258="","CEK JENIS FIXTURE kosong",IF(LEFT(T258,4)&lt;&gt;"Wall","CEK Fixture 3 hanya Wall",IF(U258="","CEK SHELVING KE kosong",IF(ISNA(MATCH(T258&amp;"|"&amp;U258,LAYOUT!$E$2:$E$80,0)),"CEK SHELVING KE di luar layout",IF($I258="","CEK SERIES kosong",IF($D258="","Zona STOCK",IF($E258="","CEK SKU DESCRIPTION kosong",IF(COUNTIFS($I$2:$I$500,$I258,T$2:T$500,"&lt;&gt;"&amp;T258,T$2:T$500,"&lt;&gt;")&gt;0,"CEK jenis fixture beda dalam satu series","OK")))))))))</f>
        <v/>
      </c>
      <c r="X258" s="11" t="n"/>
      <c r="Y258" s="11" t="n"/>
      <c r="Z258" s="12" t="n"/>
      <c r="AA258" s="12" t="n"/>
      <c r="AB258" s="11" t="n"/>
      <c r="AC258" s="11" t="n"/>
      <c r="AD258" s="11" t="n"/>
      <c r="AE258" s="11" t="n"/>
      <c r="AF258" s="11" t="n"/>
      <c r="AG258" s="11" t="n"/>
      <c r="AH258" s="12" t="n"/>
      <c r="AI258" s="12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>
        <f>IF(OR(L259="",M259=""),"",IFERROR(INDEX(LAYOUT!$D$2:$D$80,MATCH(L259&amp;"|"&amp;M259,LAYOUT!$E$2:$E$80,0)),""))</f>
        <v/>
      </c>
      <c r="O259" s="12">
        <f>IF(AND(L259="",M259=""),IF(AND(P259="",Q259="",T259="",U259=""),IF(OR($D259&lt;&gt;"",$E259&lt;&gt;""),"Belum ditempatkan",""),""),IF(L259="","CEK JENIS FIXTURE kosong",IF(AND(LEFT(L259,7)&lt;&gt;"Gondola",LEFT(L259,6)&lt;&gt;"Endcap"),"CEK Fixture 1 hanya Gondola atau Endcap",IF(M259="","CEK SHELVING KE kosong",IF(ISNA(MATCH(L259&amp;"|"&amp;M259,LAYOUT!$E$2:$E$80,0)),"CEK SHELVING KE di luar layout",IF($I259="","CEK SERIES kosong",IF($D259="","Zona STOCK",IF($E259="","CEK SKU DESCRIPTION kosong",IF(COUNTIFS($I$2:$I$500,$I259,L$2:L$500,"&lt;&gt;"&amp;L259,L$2:L$500,"&lt;&gt;")&gt;0,"CEK jenis fixture beda dalam satu series","OK")))))))))</f>
        <v/>
      </c>
      <c r="P259" s="11" t="n"/>
      <c r="Q259" s="11" t="n"/>
      <c r="R259" s="11">
        <f>IF(OR(P259="",Q259=""),"",IFERROR(INDEX(LAYOUT!$D$2:$D$80,MATCH(P259&amp;"|"&amp;Q259,LAYOUT!$E$2:$E$80,0)),""))</f>
        <v/>
      </c>
      <c r="S259" s="12">
        <f>IF(AND(P259="",Q259=""),IF(AND(L259="",M259="",T259="",U259=""),IF(OR($D259&lt;&gt;"",$E259&lt;&gt;""),"Belum ditempatkan",""),""),IF(P259="","CEK JENIS FIXTURE kosong",IF(LEFT(P259,4)&lt;&gt;"Wall","CEK Fixture 2 hanya Wall",IF(Q259="","CEK SHELVING KE kosong",IF(ISNA(MATCH(P259&amp;"|"&amp;Q259,LAYOUT!$E$2:$E$80,0)),"CEK SHELVING KE di luar layout",IF($I259="","CEK SERIES kosong",IF($D259="","Zona STOCK",IF($E259="","CEK SKU DESCRIPTION kosong",IF(COUNTIFS($I$2:$I$500,$I259,P$2:P$500,"&lt;&gt;"&amp;P259,P$2:P$500,"&lt;&gt;")&gt;0,"CEK jenis fixture beda dalam satu series","OK")))))))))</f>
        <v/>
      </c>
      <c r="T259" s="11" t="n"/>
      <c r="U259" s="11" t="n"/>
      <c r="V259" s="11">
        <f>IF(OR(T259="",U259=""),"",IFERROR(INDEX(LAYOUT!$D$2:$D$80,MATCH(T259&amp;"|"&amp;U259,LAYOUT!$E$2:$E$80,0)),""))</f>
        <v/>
      </c>
      <c r="W259" s="12">
        <f>IF(AND(T259="",U259=""),IF(AND(L259="",M259="",P259="",Q259=""),IF(OR($D259&lt;&gt;"",$E259&lt;&gt;""),"Belum ditempatkan",""),""),IF(T259="","CEK JENIS FIXTURE kosong",IF(LEFT(T259,4)&lt;&gt;"Wall","CEK Fixture 3 hanya Wall",IF(U259="","CEK SHELVING KE kosong",IF(ISNA(MATCH(T259&amp;"|"&amp;U259,LAYOUT!$E$2:$E$80,0)),"CEK SHELVING KE di luar layout",IF($I259="","CEK SERIES kosong",IF($D259="","Zona STOCK",IF($E259="","CEK SKU DESCRIPTION kosong",IF(COUNTIFS($I$2:$I$500,$I259,T$2:T$500,"&lt;&gt;"&amp;T259,T$2:T$500,"&lt;&gt;")&gt;0,"CEK jenis fixture beda dalam satu series","OK")))))))))</f>
        <v/>
      </c>
      <c r="X259" s="11" t="n"/>
      <c r="Y259" s="11" t="n"/>
      <c r="Z259" s="12" t="n"/>
      <c r="AA259" s="12" t="n"/>
      <c r="AB259" s="11" t="n"/>
      <c r="AC259" s="11" t="n"/>
      <c r="AD259" s="11" t="n"/>
      <c r="AE259" s="11" t="n"/>
      <c r="AF259" s="11" t="n"/>
      <c r="AG259" s="11" t="n"/>
      <c r="AH259" s="12" t="n"/>
      <c r="AI259" s="12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>
        <f>IF(OR(L260="",M260=""),"",IFERROR(INDEX(LAYOUT!$D$2:$D$80,MATCH(L260&amp;"|"&amp;M260,LAYOUT!$E$2:$E$80,0)),""))</f>
        <v/>
      </c>
      <c r="O260" s="12">
        <f>IF(AND(L260="",M260=""),IF(AND(P260="",Q260="",T260="",U260=""),IF(OR($D260&lt;&gt;"",$E260&lt;&gt;""),"Belum ditempatkan",""),""),IF(L260="","CEK JENIS FIXTURE kosong",IF(AND(LEFT(L260,7)&lt;&gt;"Gondola",LEFT(L260,6)&lt;&gt;"Endcap"),"CEK Fixture 1 hanya Gondola atau Endcap",IF(M260="","CEK SHELVING KE kosong",IF(ISNA(MATCH(L260&amp;"|"&amp;M260,LAYOUT!$E$2:$E$80,0)),"CEK SHELVING KE di luar layout",IF($I260="","CEK SERIES kosong",IF($D260="","Zona STOCK",IF($E260="","CEK SKU DESCRIPTION kosong",IF(COUNTIFS($I$2:$I$500,$I260,L$2:L$500,"&lt;&gt;"&amp;L260,L$2:L$500,"&lt;&gt;")&gt;0,"CEK jenis fixture beda dalam satu series","OK")))))))))</f>
        <v/>
      </c>
      <c r="P260" s="11" t="n"/>
      <c r="Q260" s="11" t="n"/>
      <c r="R260" s="11">
        <f>IF(OR(P260="",Q260=""),"",IFERROR(INDEX(LAYOUT!$D$2:$D$80,MATCH(P260&amp;"|"&amp;Q260,LAYOUT!$E$2:$E$80,0)),""))</f>
        <v/>
      </c>
      <c r="S260" s="12">
        <f>IF(AND(P260="",Q260=""),IF(AND(L260="",M260="",T260="",U260=""),IF(OR($D260&lt;&gt;"",$E260&lt;&gt;""),"Belum ditempatkan",""),""),IF(P260="","CEK JENIS FIXTURE kosong",IF(LEFT(P260,4)&lt;&gt;"Wall","CEK Fixture 2 hanya Wall",IF(Q260="","CEK SHELVING KE kosong",IF(ISNA(MATCH(P260&amp;"|"&amp;Q260,LAYOUT!$E$2:$E$80,0)),"CEK SHELVING KE di luar layout",IF($I260="","CEK SERIES kosong",IF($D260="","Zona STOCK",IF($E260="","CEK SKU DESCRIPTION kosong",IF(COUNTIFS($I$2:$I$500,$I260,P$2:P$500,"&lt;&gt;"&amp;P260,P$2:P$500,"&lt;&gt;")&gt;0,"CEK jenis fixture beda dalam satu series","OK")))))))))</f>
        <v/>
      </c>
      <c r="T260" s="11" t="n"/>
      <c r="U260" s="11" t="n"/>
      <c r="V260" s="11">
        <f>IF(OR(T260="",U260=""),"",IFERROR(INDEX(LAYOUT!$D$2:$D$80,MATCH(T260&amp;"|"&amp;U260,LAYOUT!$E$2:$E$80,0)),""))</f>
        <v/>
      </c>
      <c r="W260" s="12">
        <f>IF(AND(T260="",U260=""),IF(AND(L260="",M260="",P260="",Q260=""),IF(OR($D260&lt;&gt;"",$E260&lt;&gt;""),"Belum ditempatkan",""),""),IF(T260="","CEK JENIS FIXTURE kosong",IF(LEFT(T260,4)&lt;&gt;"Wall","CEK Fixture 3 hanya Wall",IF(U260="","CEK SHELVING KE kosong",IF(ISNA(MATCH(T260&amp;"|"&amp;U260,LAYOUT!$E$2:$E$80,0)),"CEK SHELVING KE di luar layout",IF($I260="","CEK SERIES kosong",IF($D260="","Zona STOCK",IF($E260="","CEK SKU DESCRIPTION kosong",IF(COUNTIFS($I$2:$I$500,$I260,T$2:T$500,"&lt;&gt;"&amp;T260,T$2:T$500,"&lt;&gt;")&gt;0,"CEK jenis fixture beda dalam satu series","OK")))))))))</f>
        <v/>
      </c>
      <c r="X260" s="11" t="n"/>
      <c r="Y260" s="11" t="n"/>
      <c r="Z260" s="12" t="n"/>
      <c r="AA260" s="12" t="n"/>
      <c r="AB260" s="11" t="n"/>
      <c r="AC260" s="11" t="n"/>
      <c r="AD260" s="11" t="n"/>
      <c r="AE260" s="11" t="n"/>
      <c r="AF260" s="11" t="n"/>
      <c r="AG260" s="11" t="n"/>
      <c r="AH260" s="12" t="n"/>
      <c r="AI260" s="12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>
        <f>IF(OR(L261="",M261=""),"",IFERROR(INDEX(LAYOUT!$D$2:$D$80,MATCH(L261&amp;"|"&amp;M261,LAYOUT!$E$2:$E$80,0)),""))</f>
        <v/>
      </c>
      <c r="O261" s="12">
        <f>IF(AND(L261="",M261=""),IF(AND(P261="",Q261="",T261="",U261=""),IF(OR($D261&lt;&gt;"",$E261&lt;&gt;""),"Belum ditempatkan",""),""),IF(L261="","CEK JENIS FIXTURE kosong",IF(AND(LEFT(L261,7)&lt;&gt;"Gondola",LEFT(L261,6)&lt;&gt;"Endcap"),"CEK Fixture 1 hanya Gondola atau Endcap",IF(M261="","CEK SHELVING KE kosong",IF(ISNA(MATCH(L261&amp;"|"&amp;M261,LAYOUT!$E$2:$E$80,0)),"CEK SHELVING KE di luar layout",IF($I261="","CEK SERIES kosong",IF($D261="","Zona STOCK",IF($E261="","CEK SKU DESCRIPTION kosong",IF(COUNTIFS($I$2:$I$500,$I261,L$2:L$500,"&lt;&gt;"&amp;L261,L$2:L$500,"&lt;&gt;")&gt;0,"CEK jenis fixture beda dalam satu series","OK")))))))))</f>
        <v/>
      </c>
      <c r="P261" s="11" t="n"/>
      <c r="Q261" s="11" t="n"/>
      <c r="R261" s="11">
        <f>IF(OR(P261="",Q261=""),"",IFERROR(INDEX(LAYOUT!$D$2:$D$80,MATCH(P261&amp;"|"&amp;Q261,LAYOUT!$E$2:$E$80,0)),""))</f>
        <v/>
      </c>
      <c r="S261" s="12">
        <f>IF(AND(P261="",Q261=""),IF(AND(L261="",M261="",T261="",U261=""),IF(OR($D261&lt;&gt;"",$E261&lt;&gt;""),"Belum ditempatkan",""),""),IF(P261="","CEK JENIS FIXTURE kosong",IF(LEFT(P261,4)&lt;&gt;"Wall","CEK Fixture 2 hanya Wall",IF(Q261="","CEK SHELVING KE kosong",IF(ISNA(MATCH(P261&amp;"|"&amp;Q261,LAYOUT!$E$2:$E$80,0)),"CEK SHELVING KE di luar layout",IF($I261="","CEK SERIES kosong",IF($D261="","Zona STOCK",IF($E261="","CEK SKU DESCRIPTION kosong",IF(COUNTIFS($I$2:$I$500,$I261,P$2:P$500,"&lt;&gt;"&amp;P261,P$2:P$500,"&lt;&gt;")&gt;0,"CEK jenis fixture beda dalam satu series","OK")))))))))</f>
        <v/>
      </c>
      <c r="T261" s="11" t="n"/>
      <c r="U261" s="11" t="n"/>
      <c r="V261" s="11">
        <f>IF(OR(T261="",U261=""),"",IFERROR(INDEX(LAYOUT!$D$2:$D$80,MATCH(T261&amp;"|"&amp;U261,LAYOUT!$E$2:$E$80,0)),""))</f>
        <v/>
      </c>
      <c r="W261" s="12">
        <f>IF(AND(T261="",U261=""),IF(AND(L261="",M261="",P261="",Q261=""),IF(OR($D261&lt;&gt;"",$E261&lt;&gt;""),"Belum ditempatkan",""),""),IF(T261="","CEK JENIS FIXTURE kosong",IF(LEFT(T261,4)&lt;&gt;"Wall","CEK Fixture 3 hanya Wall",IF(U261="","CEK SHELVING KE kosong",IF(ISNA(MATCH(T261&amp;"|"&amp;U261,LAYOUT!$E$2:$E$80,0)),"CEK SHELVING KE di luar layout",IF($I261="","CEK SERIES kosong",IF($D261="","Zona STOCK",IF($E261="","CEK SKU DESCRIPTION kosong",IF(COUNTIFS($I$2:$I$500,$I261,T$2:T$500,"&lt;&gt;"&amp;T261,T$2:T$500,"&lt;&gt;")&gt;0,"CEK jenis fixture beda dalam satu series","OK")))))))))</f>
        <v/>
      </c>
      <c r="X261" s="11" t="n"/>
      <c r="Y261" s="11" t="n"/>
      <c r="Z261" s="12" t="n"/>
      <c r="AA261" s="12" t="n"/>
      <c r="AB261" s="11" t="n"/>
      <c r="AC261" s="11" t="n"/>
      <c r="AD261" s="11" t="n"/>
      <c r="AE261" s="11" t="n"/>
      <c r="AF261" s="11" t="n"/>
      <c r="AG261" s="11" t="n"/>
      <c r="AH261" s="12" t="n"/>
      <c r="AI261" s="12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>
        <f>IF(OR(L262="",M262=""),"",IFERROR(INDEX(LAYOUT!$D$2:$D$80,MATCH(L262&amp;"|"&amp;M262,LAYOUT!$E$2:$E$80,0)),""))</f>
        <v/>
      </c>
      <c r="O262" s="12">
        <f>IF(AND(L262="",M262=""),IF(AND(P262="",Q262="",T262="",U262=""),IF(OR($D262&lt;&gt;"",$E262&lt;&gt;""),"Belum ditempatkan",""),""),IF(L262="","CEK JENIS FIXTURE kosong",IF(AND(LEFT(L262,7)&lt;&gt;"Gondola",LEFT(L262,6)&lt;&gt;"Endcap"),"CEK Fixture 1 hanya Gondola atau Endcap",IF(M262="","CEK SHELVING KE kosong",IF(ISNA(MATCH(L262&amp;"|"&amp;M262,LAYOUT!$E$2:$E$80,0)),"CEK SHELVING KE di luar layout",IF($I262="","CEK SERIES kosong",IF($D262="","Zona STOCK",IF($E262="","CEK SKU DESCRIPTION kosong",IF(COUNTIFS($I$2:$I$500,$I262,L$2:L$500,"&lt;&gt;"&amp;L262,L$2:L$500,"&lt;&gt;")&gt;0,"CEK jenis fixture beda dalam satu series","OK")))))))))</f>
        <v/>
      </c>
      <c r="P262" s="11" t="n"/>
      <c r="Q262" s="11" t="n"/>
      <c r="R262" s="11">
        <f>IF(OR(P262="",Q262=""),"",IFERROR(INDEX(LAYOUT!$D$2:$D$80,MATCH(P262&amp;"|"&amp;Q262,LAYOUT!$E$2:$E$80,0)),""))</f>
        <v/>
      </c>
      <c r="S262" s="12">
        <f>IF(AND(P262="",Q262=""),IF(AND(L262="",M262="",T262="",U262=""),IF(OR($D262&lt;&gt;"",$E262&lt;&gt;""),"Belum ditempatkan",""),""),IF(P262="","CEK JENIS FIXTURE kosong",IF(LEFT(P262,4)&lt;&gt;"Wall","CEK Fixture 2 hanya Wall",IF(Q262="","CEK SHELVING KE kosong",IF(ISNA(MATCH(P262&amp;"|"&amp;Q262,LAYOUT!$E$2:$E$80,0)),"CEK SHELVING KE di luar layout",IF($I262="","CEK SERIES kosong",IF($D262="","Zona STOCK",IF($E262="","CEK SKU DESCRIPTION kosong",IF(COUNTIFS($I$2:$I$500,$I262,P$2:P$500,"&lt;&gt;"&amp;P262,P$2:P$500,"&lt;&gt;")&gt;0,"CEK jenis fixture beda dalam satu series","OK")))))))))</f>
        <v/>
      </c>
      <c r="T262" s="11" t="n"/>
      <c r="U262" s="11" t="n"/>
      <c r="V262" s="11">
        <f>IF(OR(T262="",U262=""),"",IFERROR(INDEX(LAYOUT!$D$2:$D$80,MATCH(T262&amp;"|"&amp;U262,LAYOUT!$E$2:$E$80,0)),""))</f>
        <v/>
      </c>
      <c r="W262" s="12">
        <f>IF(AND(T262="",U262=""),IF(AND(L262="",M262="",P262="",Q262=""),IF(OR($D262&lt;&gt;"",$E262&lt;&gt;""),"Belum ditempatkan",""),""),IF(T262="","CEK JENIS FIXTURE kosong",IF(LEFT(T262,4)&lt;&gt;"Wall","CEK Fixture 3 hanya Wall",IF(U262="","CEK SHELVING KE kosong",IF(ISNA(MATCH(T262&amp;"|"&amp;U262,LAYOUT!$E$2:$E$80,0)),"CEK SHELVING KE di luar layout",IF($I262="","CEK SERIES kosong",IF($D262="","Zona STOCK",IF($E262="","CEK SKU DESCRIPTION kosong",IF(COUNTIFS($I$2:$I$500,$I262,T$2:T$500,"&lt;&gt;"&amp;T262,T$2:T$500,"&lt;&gt;")&gt;0,"CEK jenis fixture beda dalam satu series","OK")))))))))</f>
        <v/>
      </c>
      <c r="X262" s="11" t="n"/>
      <c r="Y262" s="11" t="n"/>
      <c r="Z262" s="12" t="n"/>
      <c r="AA262" s="12" t="n"/>
      <c r="AB262" s="11" t="n"/>
      <c r="AC262" s="11" t="n"/>
      <c r="AD262" s="11" t="n"/>
      <c r="AE262" s="11" t="n"/>
      <c r="AF262" s="11" t="n"/>
      <c r="AG262" s="11" t="n"/>
      <c r="AH262" s="12" t="n"/>
      <c r="AI262" s="12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>
        <f>IF(OR(L263="",M263=""),"",IFERROR(INDEX(LAYOUT!$D$2:$D$80,MATCH(L263&amp;"|"&amp;M263,LAYOUT!$E$2:$E$80,0)),""))</f>
        <v/>
      </c>
      <c r="O263" s="12">
        <f>IF(AND(L263="",M263=""),IF(AND(P263="",Q263="",T263="",U263=""),IF(OR($D263&lt;&gt;"",$E263&lt;&gt;""),"Belum ditempatkan",""),""),IF(L263="","CEK JENIS FIXTURE kosong",IF(AND(LEFT(L263,7)&lt;&gt;"Gondola",LEFT(L263,6)&lt;&gt;"Endcap"),"CEK Fixture 1 hanya Gondola atau Endcap",IF(M263="","CEK SHELVING KE kosong",IF(ISNA(MATCH(L263&amp;"|"&amp;M263,LAYOUT!$E$2:$E$80,0)),"CEK SHELVING KE di luar layout",IF($I263="","CEK SERIES kosong",IF($D263="","Zona STOCK",IF($E263="","CEK SKU DESCRIPTION kosong",IF(COUNTIFS($I$2:$I$500,$I263,L$2:L$500,"&lt;&gt;"&amp;L263,L$2:L$500,"&lt;&gt;")&gt;0,"CEK jenis fixture beda dalam satu series","OK")))))))))</f>
        <v/>
      </c>
      <c r="P263" s="11" t="n"/>
      <c r="Q263" s="11" t="n"/>
      <c r="R263" s="11">
        <f>IF(OR(P263="",Q263=""),"",IFERROR(INDEX(LAYOUT!$D$2:$D$80,MATCH(P263&amp;"|"&amp;Q263,LAYOUT!$E$2:$E$80,0)),""))</f>
        <v/>
      </c>
      <c r="S263" s="12">
        <f>IF(AND(P263="",Q263=""),IF(AND(L263="",M263="",T263="",U263=""),IF(OR($D263&lt;&gt;"",$E263&lt;&gt;""),"Belum ditempatkan",""),""),IF(P263="","CEK JENIS FIXTURE kosong",IF(LEFT(P263,4)&lt;&gt;"Wall","CEK Fixture 2 hanya Wall",IF(Q263="","CEK SHELVING KE kosong",IF(ISNA(MATCH(P263&amp;"|"&amp;Q263,LAYOUT!$E$2:$E$80,0)),"CEK SHELVING KE di luar layout",IF($I263="","CEK SERIES kosong",IF($D263="","Zona STOCK",IF($E263="","CEK SKU DESCRIPTION kosong",IF(COUNTIFS($I$2:$I$500,$I263,P$2:P$500,"&lt;&gt;"&amp;P263,P$2:P$500,"&lt;&gt;")&gt;0,"CEK jenis fixture beda dalam satu series","OK")))))))))</f>
        <v/>
      </c>
      <c r="T263" s="11" t="n"/>
      <c r="U263" s="11" t="n"/>
      <c r="V263" s="11">
        <f>IF(OR(T263="",U263=""),"",IFERROR(INDEX(LAYOUT!$D$2:$D$80,MATCH(T263&amp;"|"&amp;U263,LAYOUT!$E$2:$E$80,0)),""))</f>
        <v/>
      </c>
      <c r="W263" s="12">
        <f>IF(AND(T263="",U263=""),IF(AND(L263="",M263="",P263="",Q263=""),IF(OR($D263&lt;&gt;"",$E263&lt;&gt;""),"Belum ditempatkan",""),""),IF(T263="","CEK JENIS FIXTURE kosong",IF(LEFT(T263,4)&lt;&gt;"Wall","CEK Fixture 3 hanya Wall",IF(U263="","CEK SHELVING KE kosong",IF(ISNA(MATCH(T263&amp;"|"&amp;U263,LAYOUT!$E$2:$E$80,0)),"CEK SHELVING KE di luar layout",IF($I263="","CEK SERIES kosong",IF($D263="","Zona STOCK",IF($E263="","CEK SKU DESCRIPTION kosong",IF(COUNTIFS($I$2:$I$500,$I263,T$2:T$500,"&lt;&gt;"&amp;T263,T$2:T$500,"&lt;&gt;")&gt;0,"CEK jenis fixture beda dalam satu series","OK")))))))))</f>
        <v/>
      </c>
      <c r="X263" s="11" t="n"/>
      <c r="Y263" s="11" t="n"/>
      <c r="Z263" s="12" t="n"/>
      <c r="AA263" s="12" t="n"/>
      <c r="AB263" s="11" t="n"/>
      <c r="AC263" s="11" t="n"/>
      <c r="AD263" s="11" t="n"/>
      <c r="AE263" s="11" t="n"/>
      <c r="AF263" s="11" t="n"/>
      <c r="AG263" s="11" t="n"/>
      <c r="AH263" s="12" t="n"/>
      <c r="AI263" s="12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>
        <f>IF(OR(L264="",M264=""),"",IFERROR(INDEX(LAYOUT!$D$2:$D$80,MATCH(L264&amp;"|"&amp;M264,LAYOUT!$E$2:$E$80,0)),""))</f>
        <v/>
      </c>
      <c r="O264" s="12">
        <f>IF(AND(L264="",M264=""),IF(AND(P264="",Q264="",T264="",U264=""),IF(OR($D264&lt;&gt;"",$E264&lt;&gt;""),"Belum ditempatkan",""),""),IF(L264="","CEK JENIS FIXTURE kosong",IF(AND(LEFT(L264,7)&lt;&gt;"Gondola",LEFT(L264,6)&lt;&gt;"Endcap"),"CEK Fixture 1 hanya Gondola atau Endcap",IF(M264="","CEK SHELVING KE kosong",IF(ISNA(MATCH(L264&amp;"|"&amp;M264,LAYOUT!$E$2:$E$80,0)),"CEK SHELVING KE di luar layout",IF($I264="","CEK SERIES kosong",IF($D264="","Zona STOCK",IF($E264="","CEK SKU DESCRIPTION kosong",IF(COUNTIFS($I$2:$I$500,$I264,L$2:L$500,"&lt;&gt;"&amp;L264,L$2:L$500,"&lt;&gt;")&gt;0,"CEK jenis fixture beda dalam satu series","OK")))))))))</f>
        <v/>
      </c>
      <c r="P264" s="11" t="n"/>
      <c r="Q264" s="11" t="n"/>
      <c r="R264" s="11">
        <f>IF(OR(P264="",Q264=""),"",IFERROR(INDEX(LAYOUT!$D$2:$D$80,MATCH(P264&amp;"|"&amp;Q264,LAYOUT!$E$2:$E$80,0)),""))</f>
        <v/>
      </c>
      <c r="S264" s="12">
        <f>IF(AND(P264="",Q264=""),IF(AND(L264="",M264="",T264="",U264=""),IF(OR($D264&lt;&gt;"",$E264&lt;&gt;""),"Belum ditempatkan",""),""),IF(P264="","CEK JENIS FIXTURE kosong",IF(LEFT(P264,4)&lt;&gt;"Wall","CEK Fixture 2 hanya Wall",IF(Q264="","CEK SHELVING KE kosong",IF(ISNA(MATCH(P264&amp;"|"&amp;Q264,LAYOUT!$E$2:$E$80,0)),"CEK SHELVING KE di luar layout",IF($I264="","CEK SERIES kosong",IF($D264="","Zona STOCK",IF($E264="","CEK SKU DESCRIPTION kosong",IF(COUNTIFS($I$2:$I$500,$I264,P$2:P$500,"&lt;&gt;"&amp;P264,P$2:P$500,"&lt;&gt;")&gt;0,"CEK jenis fixture beda dalam satu series","OK")))))))))</f>
        <v/>
      </c>
      <c r="T264" s="11" t="n"/>
      <c r="U264" s="11" t="n"/>
      <c r="V264" s="11">
        <f>IF(OR(T264="",U264=""),"",IFERROR(INDEX(LAYOUT!$D$2:$D$80,MATCH(T264&amp;"|"&amp;U264,LAYOUT!$E$2:$E$80,0)),""))</f>
        <v/>
      </c>
      <c r="W264" s="12">
        <f>IF(AND(T264="",U264=""),IF(AND(L264="",M264="",P264="",Q264=""),IF(OR($D264&lt;&gt;"",$E264&lt;&gt;""),"Belum ditempatkan",""),""),IF(T264="","CEK JENIS FIXTURE kosong",IF(LEFT(T264,4)&lt;&gt;"Wall","CEK Fixture 3 hanya Wall",IF(U264="","CEK SHELVING KE kosong",IF(ISNA(MATCH(T264&amp;"|"&amp;U264,LAYOUT!$E$2:$E$80,0)),"CEK SHELVING KE di luar layout",IF($I264="","CEK SERIES kosong",IF($D264="","Zona STOCK",IF($E264="","CEK SKU DESCRIPTION kosong",IF(COUNTIFS($I$2:$I$500,$I264,T$2:T$500,"&lt;&gt;"&amp;T264,T$2:T$500,"&lt;&gt;")&gt;0,"CEK jenis fixture beda dalam satu series","OK")))))))))</f>
        <v/>
      </c>
      <c r="X264" s="11" t="n"/>
      <c r="Y264" s="11" t="n"/>
      <c r="Z264" s="12" t="n"/>
      <c r="AA264" s="12" t="n"/>
      <c r="AB264" s="11" t="n"/>
      <c r="AC264" s="11" t="n"/>
      <c r="AD264" s="11" t="n"/>
      <c r="AE264" s="11" t="n"/>
      <c r="AF264" s="11" t="n"/>
      <c r="AG264" s="11" t="n"/>
      <c r="AH264" s="12" t="n"/>
      <c r="AI264" s="12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>
        <f>IF(OR(L265="",M265=""),"",IFERROR(INDEX(LAYOUT!$D$2:$D$80,MATCH(L265&amp;"|"&amp;M265,LAYOUT!$E$2:$E$80,0)),""))</f>
        <v/>
      </c>
      <c r="O265" s="12">
        <f>IF(AND(L265="",M265=""),IF(AND(P265="",Q265="",T265="",U265=""),IF(OR($D265&lt;&gt;"",$E265&lt;&gt;""),"Belum ditempatkan",""),""),IF(L265="","CEK JENIS FIXTURE kosong",IF(AND(LEFT(L265,7)&lt;&gt;"Gondola",LEFT(L265,6)&lt;&gt;"Endcap"),"CEK Fixture 1 hanya Gondola atau Endcap",IF(M265="","CEK SHELVING KE kosong",IF(ISNA(MATCH(L265&amp;"|"&amp;M265,LAYOUT!$E$2:$E$80,0)),"CEK SHELVING KE di luar layout",IF($I265="","CEK SERIES kosong",IF($D265="","Zona STOCK",IF($E265="","CEK SKU DESCRIPTION kosong",IF(COUNTIFS($I$2:$I$500,$I265,L$2:L$500,"&lt;&gt;"&amp;L265,L$2:L$500,"&lt;&gt;")&gt;0,"CEK jenis fixture beda dalam satu series","OK")))))))))</f>
        <v/>
      </c>
      <c r="P265" s="11" t="n"/>
      <c r="Q265" s="11" t="n"/>
      <c r="R265" s="11">
        <f>IF(OR(P265="",Q265=""),"",IFERROR(INDEX(LAYOUT!$D$2:$D$80,MATCH(P265&amp;"|"&amp;Q265,LAYOUT!$E$2:$E$80,0)),""))</f>
        <v/>
      </c>
      <c r="S265" s="12">
        <f>IF(AND(P265="",Q265=""),IF(AND(L265="",M265="",T265="",U265=""),IF(OR($D265&lt;&gt;"",$E265&lt;&gt;""),"Belum ditempatkan",""),""),IF(P265="","CEK JENIS FIXTURE kosong",IF(LEFT(P265,4)&lt;&gt;"Wall","CEK Fixture 2 hanya Wall",IF(Q265="","CEK SHELVING KE kosong",IF(ISNA(MATCH(P265&amp;"|"&amp;Q265,LAYOUT!$E$2:$E$80,0)),"CEK SHELVING KE di luar layout",IF($I265="","CEK SERIES kosong",IF($D265="","Zona STOCK",IF($E265="","CEK SKU DESCRIPTION kosong",IF(COUNTIFS($I$2:$I$500,$I265,P$2:P$500,"&lt;&gt;"&amp;P265,P$2:P$500,"&lt;&gt;")&gt;0,"CEK jenis fixture beda dalam satu series","OK")))))))))</f>
        <v/>
      </c>
      <c r="T265" s="11" t="n"/>
      <c r="U265" s="11" t="n"/>
      <c r="V265" s="11">
        <f>IF(OR(T265="",U265=""),"",IFERROR(INDEX(LAYOUT!$D$2:$D$80,MATCH(T265&amp;"|"&amp;U265,LAYOUT!$E$2:$E$80,0)),""))</f>
        <v/>
      </c>
      <c r="W265" s="12">
        <f>IF(AND(T265="",U265=""),IF(AND(L265="",M265="",P265="",Q265=""),IF(OR($D265&lt;&gt;"",$E265&lt;&gt;""),"Belum ditempatkan",""),""),IF(T265="","CEK JENIS FIXTURE kosong",IF(LEFT(T265,4)&lt;&gt;"Wall","CEK Fixture 3 hanya Wall",IF(U265="","CEK SHELVING KE kosong",IF(ISNA(MATCH(T265&amp;"|"&amp;U265,LAYOUT!$E$2:$E$80,0)),"CEK SHELVING KE di luar layout",IF($I265="","CEK SERIES kosong",IF($D265="","Zona STOCK",IF($E265="","CEK SKU DESCRIPTION kosong",IF(COUNTIFS($I$2:$I$500,$I265,T$2:T$500,"&lt;&gt;"&amp;T265,T$2:T$500,"&lt;&gt;")&gt;0,"CEK jenis fixture beda dalam satu series","OK")))))))))</f>
        <v/>
      </c>
      <c r="X265" s="11" t="n"/>
      <c r="Y265" s="11" t="n"/>
      <c r="Z265" s="12" t="n"/>
      <c r="AA265" s="12" t="n"/>
      <c r="AB265" s="11" t="n"/>
      <c r="AC265" s="11" t="n"/>
      <c r="AD265" s="11" t="n"/>
      <c r="AE265" s="11" t="n"/>
      <c r="AF265" s="11" t="n"/>
      <c r="AG265" s="11" t="n"/>
      <c r="AH265" s="12" t="n"/>
      <c r="AI265" s="12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>
        <f>IF(OR(L266="",M266=""),"",IFERROR(INDEX(LAYOUT!$D$2:$D$80,MATCH(L266&amp;"|"&amp;M266,LAYOUT!$E$2:$E$80,0)),""))</f>
        <v/>
      </c>
      <c r="O266" s="12">
        <f>IF(AND(L266="",M266=""),IF(AND(P266="",Q266="",T266="",U266=""),IF(OR($D266&lt;&gt;"",$E266&lt;&gt;""),"Belum ditempatkan",""),""),IF(L266="","CEK JENIS FIXTURE kosong",IF(AND(LEFT(L266,7)&lt;&gt;"Gondola",LEFT(L266,6)&lt;&gt;"Endcap"),"CEK Fixture 1 hanya Gondola atau Endcap",IF(M266="","CEK SHELVING KE kosong",IF(ISNA(MATCH(L266&amp;"|"&amp;M266,LAYOUT!$E$2:$E$80,0)),"CEK SHELVING KE di luar layout",IF($I266="","CEK SERIES kosong",IF($D266="","Zona STOCK",IF($E266="","CEK SKU DESCRIPTION kosong",IF(COUNTIFS($I$2:$I$500,$I266,L$2:L$500,"&lt;&gt;"&amp;L266,L$2:L$500,"&lt;&gt;")&gt;0,"CEK jenis fixture beda dalam satu series","OK")))))))))</f>
        <v/>
      </c>
      <c r="P266" s="11" t="n"/>
      <c r="Q266" s="11" t="n"/>
      <c r="R266" s="11">
        <f>IF(OR(P266="",Q266=""),"",IFERROR(INDEX(LAYOUT!$D$2:$D$80,MATCH(P266&amp;"|"&amp;Q266,LAYOUT!$E$2:$E$80,0)),""))</f>
        <v/>
      </c>
      <c r="S266" s="12">
        <f>IF(AND(P266="",Q266=""),IF(AND(L266="",M266="",T266="",U266=""),IF(OR($D266&lt;&gt;"",$E266&lt;&gt;""),"Belum ditempatkan",""),""),IF(P266="","CEK JENIS FIXTURE kosong",IF(LEFT(P266,4)&lt;&gt;"Wall","CEK Fixture 2 hanya Wall",IF(Q266="","CEK SHELVING KE kosong",IF(ISNA(MATCH(P266&amp;"|"&amp;Q266,LAYOUT!$E$2:$E$80,0)),"CEK SHELVING KE di luar layout",IF($I266="","CEK SERIES kosong",IF($D266="","Zona STOCK",IF($E266="","CEK SKU DESCRIPTION kosong",IF(COUNTIFS($I$2:$I$500,$I266,P$2:P$500,"&lt;&gt;"&amp;P266,P$2:P$500,"&lt;&gt;")&gt;0,"CEK jenis fixture beda dalam satu series","OK")))))))))</f>
        <v/>
      </c>
      <c r="T266" s="11" t="n"/>
      <c r="U266" s="11" t="n"/>
      <c r="V266" s="11">
        <f>IF(OR(T266="",U266=""),"",IFERROR(INDEX(LAYOUT!$D$2:$D$80,MATCH(T266&amp;"|"&amp;U266,LAYOUT!$E$2:$E$80,0)),""))</f>
        <v/>
      </c>
      <c r="W266" s="12">
        <f>IF(AND(T266="",U266=""),IF(AND(L266="",M266="",P266="",Q266=""),IF(OR($D266&lt;&gt;"",$E266&lt;&gt;""),"Belum ditempatkan",""),""),IF(T266="","CEK JENIS FIXTURE kosong",IF(LEFT(T266,4)&lt;&gt;"Wall","CEK Fixture 3 hanya Wall",IF(U266="","CEK SHELVING KE kosong",IF(ISNA(MATCH(T266&amp;"|"&amp;U266,LAYOUT!$E$2:$E$80,0)),"CEK SHELVING KE di luar layout",IF($I266="","CEK SERIES kosong",IF($D266="","Zona STOCK",IF($E266="","CEK SKU DESCRIPTION kosong",IF(COUNTIFS($I$2:$I$500,$I266,T$2:T$500,"&lt;&gt;"&amp;T266,T$2:T$500,"&lt;&gt;")&gt;0,"CEK jenis fixture beda dalam satu series","OK")))))))))</f>
        <v/>
      </c>
      <c r="X266" s="11" t="n"/>
      <c r="Y266" s="11" t="n"/>
      <c r="Z266" s="12" t="n"/>
      <c r="AA266" s="12" t="n"/>
      <c r="AB266" s="11" t="n"/>
      <c r="AC266" s="11" t="n"/>
      <c r="AD266" s="11" t="n"/>
      <c r="AE266" s="11" t="n"/>
      <c r="AF266" s="11" t="n"/>
      <c r="AG266" s="11" t="n"/>
      <c r="AH266" s="12" t="n"/>
      <c r="AI266" s="12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>
        <f>IF(OR(L267="",M267=""),"",IFERROR(INDEX(LAYOUT!$D$2:$D$80,MATCH(L267&amp;"|"&amp;M267,LAYOUT!$E$2:$E$80,0)),""))</f>
        <v/>
      </c>
      <c r="O267" s="12">
        <f>IF(AND(L267="",M267=""),IF(AND(P267="",Q267="",T267="",U267=""),IF(OR($D267&lt;&gt;"",$E267&lt;&gt;""),"Belum ditempatkan",""),""),IF(L267="","CEK JENIS FIXTURE kosong",IF(AND(LEFT(L267,7)&lt;&gt;"Gondola",LEFT(L267,6)&lt;&gt;"Endcap"),"CEK Fixture 1 hanya Gondola atau Endcap",IF(M267="","CEK SHELVING KE kosong",IF(ISNA(MATCH(L267&amp;"|"&amp;M267,LAYOUT!$E$2:$E$80,0)),"CEK SHELVING KE di luar layout",IF($I267="","CEK SERIES kosong",IF($D267="","Zona STOCK",IF($E267="","CEK SKU DESCRIPTION kosong",IF(COUNTIFS($I$2:$I$500,$I267,L$2:L$500,"&lt;&gt;"&amp;L267,L$2:L$500,"&lt;&gt;")&gt;0,"CEK jenis fixture beda dalam satu series","OK")))))))))</f>
        <v/>
      </c>
      <c r="P267" s="11" t="n"/>
      <c r="Q267" s="11" t="n"/>
      <c r="R267" s="11">
        <f>IF(OR(P267="",Q267=""),"",IFERROR(INDEX(LAYOUT!$D$2:$D$80,MATCH(P267&amp;"|"&amp;Q267,LAYOUT!$E$2:$E$80,0)),""))</f>
        <v/>
      </c>
      <c r="S267" s="12">
        <f>IF(AND(P267="",Q267=""),IF(AND(L267="",M267="",T267="",U267=""),IF(OR($D267&lt;&gt;"",$E267&lt;&gt;""),"Belum ditempatkan",""),""),IF(P267="","CEK JENIS FIXTURE kosong",IF(LEFT(P267,4)&lt;&gt;"Wall","CEK Fixture 2 hanya Wall",IF(Q267="","CEK SHELVING KE kosong",IF(ISNA(MATCH(P267&amp;"|"&amp;Q267,LAYOUT!$E$2:$E$80,0)),"CEK SHELVING KE di luar layout",IF($I267="","CEK SERIES kosong",IF($D267="","Zona STOCK",IF($E267="","CEK SKU DESCRIPTION kosong",IF(COUNTIFS($I$2:$I$500,$I267,P$2:P$500,"&lt;&gt;"&amp;P267,P$2:P$500,"&lt;&gt;")&gt;0,"CEK jenis fixture beda dalam satu series","OK")))))))))</f>
        <v/>
      </c>
      <c r="T267" s="11" t="n"/>
      <c r="U267" s="11" t="n"/>
      <c r="V267" s="11">
        <f>IF(OR(T267="",U267=""),"",IFERROR(INDEX(LAYOUT!$D$2:$D$80,MATCH(T267&amp;"|"&amp;U267,LAYOUT!$E$2:$E$80,0)),""))</f>
        <v/>
      </c>
      <c r="W267" s="12">
        <f>IF(AND(T267="",U267=""),IF(AND(L267="",M267="",P267="",Q267=""),IF(OR($D267&lt;&gt;"",$E267&lt;&gt;""),"Belum ditempatkan",""),""),IF(T267="","CEK JENIS FIXTURE kosong",IF(LEFT(T267,4)&lt;&gt;"Wall","CEK Fixture 3 hanya Wall",IF(U267="","CEK SHELVING KE kosong",IF(ISNA(MATCH(T267&amp;"|"&amp;U267,LAYOUT!$E$2:$E$80,0)),"CEK SHELVING KE di luar layout",IF($I267="","CEK SERIES kosong",IF($D267="","Zona STOCK",IF($E267="","CEK SKU DESCRIPTION kosong",IF(COUNTIFS($I$2:$I$500,$I267,T$2:T$500,"&lt;&gt;"&amp;T267,T$2:T$500,"&lt;&gt;")&gt;0,"CEK jenis fixture beda dalam satu series","OK")))))))))</f>
        <v/>
      </c>
      <c r="X267" s="11" t="n"/>
      <c r="Y267" s="11" t="n"/>
      <c r="Z267" s="12" t="n"/>
      <c r="AA267" s="12" t="n"/>
      <c r="AB267" s="11" t="n"/>
      <c r="AC267" s="11" t="n"/>
      <c r="AD267" s="11" t="n"/>
      <c r="AE267" s="11" t="n"/>
      <c r="AF267" s="11" t="n"/>
      <c r="AG267" s="11" t="n"/>
      <c r="AH267" s="12" t="n"/>
      <c r="AI267" s="12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>
        <f>IF(OR(L268="",M268=""),"",IFERROR(INDEX(LAYOUT!$D$2:$D$80,MATCH(L268&amp;"|"&amp;M268,LAYOUT!$E$2:$E$80,0)),""))</f>
        <v/>
      </c>
      <c r="O268" s="12">
        <f>IF(AND(L268="",M268=""),IF(AND(P268="",Q268="",T268="",U268=""),IF(OR($D268&lt;&gt;"",$E268&lt;&gt;""),"Belum ditempatkan",""),""),IF(L268="","CEK JENIS FIXTURE kosong",IF(AND(LEFT(L268,7)&lt;&gt;"Gondola",LEFT(L268,6)&lt;&gt;"Endcap"),"CEK Fixture 1 hanya Gondola atau Endcap",IF(M268="","CEK SHELVING KE kosong",IF(ISNA(MATCH(L268&amp;"|"&amp;M268,LAYOUT!$E$2:$E$80,0)),"CEK SHELVING KE di luar layout",IF($I268="","CEK SERIES kosong",IF($D268="","Zona STOCK",IF($E268="","CEK SKU DESCRIPTION kosong",IF(COUNTIFS($I$2:$I$500,$I268,L$2:L$500,"&lt;&gt;"&amp;L268,L$2:L$500,"&lt;&gt;")&gt;0,"CEK jenis fixture beda dalam satu series","OK")))))))))</f>
        <v/>
      </c>
      <c r="P268" s="11" t="n"/>
      <c r="Q268" s="11" t="n"/>
      <c r="R268" s="11">
        <f>IF(OR(P268="",Q268=""),"",IFERROR(INDEX(LAYOUT!$D$2:$D$80,MATCH(P268&amp;"|"&amp;Q268,LAYOUT!$E$2:$E$80,0)),""))</f>
        <v/>
      </c>
      <c r="S268" s="12">
        <f>IF(AND(P268="",Q268=""),IF(AND(L268="",M268="",T268="",U268=""),IF(OR($D268&lt;&gt;"",$E268&lt;&gt;""),"Belum ditempatkan",""),""),IF(P268="","CEK JENIS FIXTURE kosong",IF(LEFT(P268,4)&lt;&gt;"Wall","CEK Fixture 2 hanya Wall",IF(Q268="","CEK SHELVING KE kosong",IF(ISNA(MATCH(P268&amp;"|"&amp;Q268,LAYOUT!$E$2:$E$80,0)),"CEK SHELVING KE di luar layout",IF($I268="","CEK SERIES kosong",IF($D268="","Zona STOCK",IF($E268="","CEK SKU DESCRIPTION kosong",IF(COUNTIFS($I$2:$I$500,$I268,P$2:P$500,"&lt;&gt;"&amp;P268,P$2:P$500,"&lt;&gt;")&gt;0,"CEK jenis fixture beda dalam satu series","OK")))))))))</f>
        <v/>
      </c>
      <c r="T268" s="11" t="n"/>
      <c r="U268" s="11" t="n"/>
      <c r="V268" s="11">
        <f>IF(OR(T268="",U268=""),"",IFERROR(INDEX(LAYOUT!$D$2:$D$80,MATCH(T268&amp;"|"&amp;U268,LAYOUT!$E$2:$E$80,0)),""))</f>
        <v/>
      </c>
      <c r="W268" s="12">
        <f>IF(AND(T268="",U268=""),IF(AND(L268="",M268="",P268="",Q268=""),IF(OR($D268&lt;&gt;"",$E268&lt;&gt;""),"Belum ditempatkan",""),""),IF(T268="","CEK JENIS FIXTURE kosong",IF(LEFT(T268,4)&lt;&gt;"Wall","CEK Fixture 3 hanya Wall",IF(U268="","CEK SHELVING KE kosong",IF(ISNA(MATCH(T268&amp;"|"&amp;U268,LAYOUT!$E$2:$E$80,0)),"CEK SHELVING KE di luar layout",IF($I268="","CEK SERIES kosong",IF($D268="","Zona STOCK",IF($E268="","CEK SKU DESCRIPTION kosong",IF(COUNTIFS($I$2:$I$500,$I268,T$2:T$500,"&lt;&gt;"&amp;T268,T$2:T$500,"&lt;&gt;")&gt;0,"CEK jenis fixture beda dalam satu series","OK")))))))))</f>
        <v/>
      </c>
      <c r="X268" s="11" t="n"/>
      <c r="Y268" s="11" t="n"/>
      <c r="Z268" s="12" t="n"/>
      <c r="AA268" s="12" t="n"/>
      <c r="AB268" s="11" t="n"/>
      <c r="AC268" s="11" t="n"/>
      <c r="AD268" s="11" t="n"/>
      <c r="AE268" s="11" t="n"/>
      <c r="AF268" s="11" t="n"/>
      <c r="AG268" s="11" t="n"/>
      <c r="AH268" s="12" t="n"/>
      <c r="AI268" s="12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>
        <f>IF(OR(L269="",M269=""),"",IFERROR(INDEX(LAYOUT!$D$2:$D$80,MATCH(L269&amp;"|"&amp;M269,LAYOUT!$E$2:$E$80,0)),""))</f>
        <v/>
      </c>
      <c r="O269" s="12">
        <f>IF(AND(L269="",M269=""),IF(AND(P269="",Q269="",T269="",U269=""),IF(OR($D269&lt;&gt;"",$E269&lt;&gt;""),"Belum ditempatkan",""),""),IF(L269="","CEK JENIS FIXTURE kosong",IF(AND(LEFT(L269,7)&lt;&gt;"Gondola",LEFT(L269,6)&lt;&gt;"Endcap"),"CEK Fixture 1 hanya Gondola atau Endcap",IF(M269="","CEK SHELVING KE kosong",IF(ISNA(MATCH(L269&amp;"|"&amp;M269,LAYOUT!$E$2:$E$80,0)),"CEK SHELVING KE di luar layout",IF($I269="","CEK SERIES kosong",IF($D269="","Zona STOCK",IF($E269="","CEK SKU DESCRIPTION kosong",IF(COUNTIFS($I$2:$I$500,$I269,L$2:L$500,"&lt;&gt;"&amp;L269,L$2:L$500,"&lt;&gt;")&gt;0,"CEK jenis fixture beda dalam satu series","OK")))))))))</f>
        <v/>
      </c>
      <c r="P269" s="11" t="n"/>
      <c r="Q269" s="11" t="n"/>
      <c r="R269" s="11">
        <f>IF(OR(P269="",Q269=""),"",IFERROR(INDEX(LAYOUT!$D$2:$D$80,MATCH(P269&amp;"|"&amp;Q269,LAYOUT!$E$2:$E$80,0)),""))</f>
        <v/>
      </c>
      <c r="S269" s="12">
        <f>IF(AND(P269="",Q269=""),IF(AND(L269="",M269="",T269="",U269=""),IF(OR($D269&lt;&gt;"",$E269&lt;&gt;""),"Belum ditempatkan",""),""),IF(P269="","CEK JENIS FIXTURE kosong",IF(LEFT(P269,4)&lt;&gt;"Wall","CEK Fixture 2 hanya Wall",IF(Q269="","CEK SHELVING KE kosong",IF(ISNA(MATCH(P269&amp;"|"&amp;Q269,LAYOUT!$E$2:$E$80,0)),"CEK SHELVING KE di luar layout",IF($I269="","CEK SERIES kosong",IF($D269="","Zona STOCK",IF($E269="","CEK SKU DESCRIPTION kosong",IF(COUNTIFS($I$2:$I$500,$I269,P$2:P$500,"&lt;&gt;"&amp;P269,P$2:P$500,"&lt;&gt;")&gt;0,"CEK jenis fixture beda dalam satu series","OK")))))))))</f>
        <v/>
      </c>
      <c r="T269" s="11" t="n"/>
      <c r="U269" s="11" t="n"/>
      <c r="V269" s="11">
        <f>IF(OR(T269="",U269=""),"",IFERROR(INDEX(LAYOUT!$D$2:$D$80,MATCH(T269&amp;"|"&amp;U269,LAYOUT!$E$2:$E$80,0)),""))</f>
        <v/>
      </c>
      <c r="W269" s="12">
        <f>IF(AND(T269="",U269=""),IF(AND(L269="",M269="",P269="",Q269=""),IF(OR($D269&lt;&gt;"",$E269&lt;&gt;""),"Belum ditempatkan",""),""),IF(T269="","CEK JENIS FIXTURE kosong",IF(LEFT(T269,4)&lt;&gt;"Wall","CEK Fixture 3 hanya Wall",IF(U269="","CEK SHELVING KE kosong",IF(ISNA(MATCH(T269&amp;"|"&amp;U269,LAYOUT!$E$2:$E$80,0)),"CEK SHELVING KE di luar layout",IF($I269="","CEK SERIES kosong",IF($D269="","Zona STOCK",IF($E269="","CEK SKU DESCRIPTION kosong",IF(COUNTIFS($I$2:$I$500,$I269,T$2:T$500,"&lt;&gt;"&amp;T269,T$2:T$500,"&lt;&gt;")&gt;0,"CEK jenis fixture beda dalam satu series","OK")))))))))</f>
        <v/>
      </c>
      <c r="X269" s="11" t="n"/>
      <c r="Y269" s="11" t="n"/>
      <c r="Z269" s="12" t="n"/>
      <c r="AA269" s="12" t="n"/>
      <c r="AB269" s="11" t="n"/>
      <c r="AC269" s="11" t="n"/>
      <c r="AD269" s="11" t="n"/>
      <c r="AE269" s="11" t="n"/>
      <c r="AF269" s="11" t="n"/>
      <c r="AG269" s="11" t="n"/>
      <c r="AH269" s="12" t="n"/>
      <c r="AI269" s="12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>
        <f>IF(OR(L270="",M270=""),"",IFERROR(INDEX(LAYOUT!$D$2:$D$80,MATCH(L270&amp;"|"&amp;M270,LAYOUT!$E$2:$E$80,0)),""))</f>
        <v/>
      </c>
      <c r="O270" s="12">
        <f>IF(AND(L270="",M270=""),IF(AND(P270="",Q270="",T270="",U270=""),IF(OR($D270&lt;&gt;"",$E270&lt;&gt;""),"Belum ditempatkan",""),""),IF(L270="","CEK JENIS FIXTURE kosong",IF(AND(LEFT(L270,7)&lt;&gt;"Gondola",LEFT(L270,6)&lt;&gt;"Endcap"),"CEK Fixture 1 hanya Gondola atau Endcap",IF(M270="","CEK SHELVING KE kosong",IF(ISNA(MATCH(L270&amp;"|"&amp;M270,LAYOUT!$E$2:$E$80,0)),"CEK SHELVING KE di luar layout",IF($I270="","CEK SERIES kosong",IF($D270="","Zona STOCK",IF($E270="","CEK SKU DESCRIPTION kosong",IF(COUNTIFS($I$2:$I$500,$I270,L$2:L$500,"&lt;&gt;"&amp;L270,L$2:L$500,"&lt;&gt;")&gt;0,"CEK jenis fixture beda dalam satu series","OK")))))))))</f>
        <v/>
      </c>
      <c r="P270" s="11" t="n"/>
      <c r="Q270" s="11" t="n"/>
      <c r="R270" s="11">
        <f>IF(OR(P270="",Q270=""),"",IFERROR(INDEX(LAYOUT!$D$2:$D$80,MATCH(P270&amp;"|"&amp;Q270,LAYOUT!$E$2:$E$80,0)),""))</f>
        <v/>
      </c>
      <c r="S270" s="12">
        <f>IF(AND(P270="",Q270=""),IF(AND(L270="",M270="",T270="",U270=""),IF(OR($D270&lt;&gt;"",$E270&lt;&gt;""),"Belum ditempatkan",""),""),IF(P270="","CEK JENIS FIXTURE kosong",IF(LEFT(P270,4)&lt;&gt;"Wall","CEK Fixture 2 hanya Wall",IF(Q270="","CEK SHELVING KE kosong",IF(ISNA(MATCH(P270&amp;"|"&amp;Q270,LAYOUT!$E$2:$E$80,0)),"CEK SHELVING KE di luar layout",IF($I270="","CEK SERIES kosong",IF($D270="","Zona STOCK",IF($E270="","CEK SKU DESCRIPTION kosong",IF(COUNTIFS($I$2:$I$500,$I270,P$2:P$500,"&lt;&gt;"&amp;P270,P$2:P$500,"&lt;&gt;")&gt;0,"CEK jenis fixture beda dalam satu series","OK")))))))))</f>
        <v/>
      </c>
      <c r="T270" s="11" t="n"/>
      <c r="U270" s="11" t="n"/>
      <c r="V270" s="11">
        <f>IF(OR(T270="",U270=""),"",IFERROR(INDEX(LAYOUT!$D$2:$D$80,MATCH(T270&amp;"|"&amp;U270,LAYOUT!$E$2:$E$80,0)),""))</f>
        <v/>
      </c>
      <c r="W270" s="12">
        <f>IF(AND(T270="",U270=""),IF(AND(L270="",M270="",P270="",Q270=""),IF(OR($D270&lt;&gt;"",$E270&lt;&gt;""),"Belum ditempatkan",""),""),IF(T270="","CEK JENIS FIXTURE kosong",IF(LEFT(T270,4)&lt;&gt;"Wall","CEK Fixture 3 hanya Wall",IF(U270="","CEK SHELVING KE kosong",IF(ISNA(MATCH(T270&amp;"|"&amp;U270,LAYOUT!$E$2:$E$80,0)),"CEK SHELVING KE di luar layout",IF($I270="","CEK SERIES kosong",IF($D270="","Zona STOCK",IF($E270="","CEK SKU DESCRIPTION kosong",IF(COUNTIFS($I$2:$I$500,$I270,T$2:T$500,"&lt;&gt;"&amp;T270,T$2:T$500,"&lt;&gt;")&gt;0,"CEK jenis fixture beda dalam satu series","OK")))))))))</f>
        <v/>
      </c>
      <c r="X270" s="11" t="n"/>
      <c r="Y270" s="11" t="n"/>
      <c r="Z270" s="12" t="n"/>
      <c r="AA270" s="12" t="n"/>
      <c r="AB270" s="11" t="n"/>
      <c r="AC270" s="11" t="n"/>
      <c r="AD270" s="11" t="n"/>
      <c r="AE270" s="11" t="n"/>
      <c r="AF270" s="11" t="n"/>
      <c r="AG270" s="11" t="n"/>
      <c r="AH270" s="12" t="n"/>
      <c r="AI270" s="12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>
        <f>IF(OR(L271="",M271=""),"",IFERROR(INDEX(LAYOUT!$D$2:$D$80,MATCH(L271&amp;"|"&amp;M271,LAYOUT!$E$2:$E$80,0)),""))</f>
        <v/>
      </c>
      <c r="O271" s="12">
        <f>IF(AND(L271="",M271=""),IF(AND(P271="",Q271="",T271="",U271=""),IF(OR($D271&lt;&gt;"",$E271&lt;&gt;""),"Belum ditempatkan",""),""),IF(L271="","CEK JENIS FIXTURE kosong",IF(AND(LEFT(L271,7)&lt;&gt;"Gondola",LEFT(L271,6)&lt;&gt;"Endcap"),"CEK Fixture 1 hanya Gondola atau Endcap",IF(M271="","CEK SHELVING KE kosong",IF(ISNA(MATCH(L271&amp;"|"&amp;M271,LAYOUT!$E$2:$E$80,0)),"CEK SHELVING KE di luar layout",IF($I271="","CEK SERIES kosong",IF($D271="","Zona STOCK",IF($E271="","CEK SKU DESCRIPTION kosong",IF(COUNTIFS($I$2:$I$500,$I271,L$2:L$500,"&lt;&gt;"&amp;L271,L$2:L$500,"&lt;&gt;")&gt;0,"CEK jenis fixture beda dalam satu series","OK")))))))))</f>
        <v/>
      </c>
      <c r="P271" s="11" t="n"/>
      <c r="Q271" s="11" t="n"/>
      <c r="R271" s="11">
        <f>IF(OR(P271="",Q271=""),"",IFERROR(INDEX(LAYOUT!$D$2:$D$80,MATCH(P271&amp;"|"&amp;Q271,LAYOUT!$E$2:$E$80,0)),""))</f>
        <v/>
      </c>
      <c r="S271" s="12">
        <f>IF(AND(P271="",Q271=""),IF(AND(L271="",M271="",T271="",U271=""),IF(OR($D271&lt;&gt;"",$E271&lt;&gt;""),"Belum ditempatkan",""),""),IF(P271="","CEK JENIS FIXTURE kosong",IF(LEFT(P271,4)&lt;&gt;"Wall","CEK Fixture 2 hanya Wall",IF(Q271="","CEK SHELVING KE kosong",IF(ISNA(MATCH(P271&amp;"|"&amp;Q271,LAYOUT!$E$2:$E$80,0)),"CEK SHELVING KE di luar layout",IF($I271="","CEK SERIES kosong",IF($D271="","Zona STOCK",IF($E271="","CEK SKU DESCRIPTION kosong",IF(COUNTIFS($I$2:$I$500,$I271,P$2:P$500,"&lt;&gt;"&amp;P271,P$2:P$500,"&lt;&gt;")&gt;0,"CEK jenis fixture beda dalam satu series","OK")))))))))</f>
        <v/>
      </c>
      <c r="T271" s="11" t="n"/>
      <c r="U271" s="11" t="n"/>
      <c r="V271" s="11">
        <f>IF(OR(T271="",U271=""),"",IFERROR(INDEX(LAYOUT!$D$2:$D$80,MATCH(T271&amp;"|"&amp;U271,LAYOUT!$E$2:$E$80,0)),""))</f>
        <v/>
      </c>
      <c r="W271" s="12">
        <f>IF(AND(T271="",U271=""),IF(AND(L271="",M271="",P271="",Q271=""),IF(OR($D271&lt;&gt;"",$E271&lt;&gt;""),"Belum ditempatkan",""),""),IF(T271="","CEK JENIS FIXTURE kosong",IF(LEFT(T271,4)&lt;&gt;"Wall","CEK Fixture 3 hanya Wall",IF(U271="","CEK SHELVING KE kosong",IF(ISNA(MATCH(T271&amp;"|"&amp;U271,LAYOUT!$E$2:$E$80,0)),"CEK SHELVING KE di luar layout",IF($I271="","CEK SERIES kosong",IF($D271="","Zona STOCK",IF($E271="","CEK SKU DESCRIPTION kosong",IF(COUNTIFS($I$2:$I$500,$I271,T$2:T$500,"&lt;&gt;"&amp;T271,T$2:T$500,"&lt;&gt;")&gt;0,"CEK jenis fixture beda dalam satu series","OK")))))))))</f>
        <v/>
      </c>
      <c r="X271" s="11" t="n"/>
      <c r="Y271" s="11" t="n"/>
      <c r="Z271" s="12" t="n"/>
      <c r="AA271" s="12" t="n"/>
      <c r="AB271" s="11" t="n"/>
      <c r="AC271" s="11" t="n"/>
      <c r="AD271" s="11" t="n"/>
      <c r="AE271" s="11" t="n"/>
      <c r="AF271" s="11" t="n"/>
      <c r="AG271" s="11" t="n"/>
      <c r="AH271" s="12" t="n"/>
      <c r="AI271" s="12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>
        <f>IF(OR(L272="",M272=""),"",IFERROR(INDEX(LAYOUT!$D$2:$D$80,MATCH(L272&amp;"|"&amp;M272,LAYOUT!$E$2:$E$80,0)),""))</f>
        <v/>
      </c>
      <c r="O272" s="12">
        <f>IF(AND(L272="",M272=""),IF(AND(P272="",Q272="",T272="",U272=""),IF(OR($D272&lt;&gt;"",$E272&lt;&gt;""),"Belum ditempatkan",""),""),IF(L272="","CEK JENIS FIXTURE kosong",IF(AND(LEFT(L272,7)&lt;&gt;"Gondola",LEFT(L272,6)&lt;&gt;"Endcap"),"CEK Fixture 1 hanya Gondola atau Endcap",IF(M272="","CEK SHELVING KE kosong",IF(ISNA(MATCH(L272&amp;"|"&amp;M272,LAYOUT!$E$2:$E$80,0)),"CEK SHELVING KE di luar layout",IF($I272="","CEK SERIES kosong",IF($D272="","Zona STOCK",IF($E272="","CEK SKU DESCRIPTION kosong",IF(COUNTIFS($I$2:$I$500,$I272,L$2:L$500,"&lt;&gt;"&amp;L272,L$2:L$500,"&lt;&gt;")&gt;0,"CEK jenis fixture beda dalam satu series","OK")))))))))</f>
        <v/>
      </c>
      <c r="P272" s="11" t="n"/>
      <c r="Q272" s="11" t="n"/>
      <c r="R272" s="11">
        <f>IF(OR(P272="",Q272=""),"",IFERROR(INDEX(LAYOUT!$D$2:$D$80,MATCH(P272&amp;"|"&amp;Q272,LAYOUT!$E$2:$E$80,0)),""))</f>
        <v/>
      </c>
      <c r="S272" s="12">
        <f>IF(AND(P272="",Q272=""),IF(AND(L272="",M272="",T272="",U272=""),IF(OR($D272&lt;&gt;"",$E272&lt;&gt;""),"Belum ditempatkan",""),""),IF(P272="","CEK JENIS FIXTURE kosong",IF(LEFT(P272,4)&lt;&gt;"Wall","CEK Fixture 2 hanya Wall",IF(Q272="","CEK SHELVING KE kosong",IF(ISNA(MATCH(P272&amp;"|"&amp;Q272,LAYOUT!$E$2:$E$80,0)),"CEK SHELVING KE di luar layout",IF($I272="","CEK SERIES kosong",IF($D272="","Zona STOCK",IF($E272="","CEK SKU DESCRIPTION kosong",IF(COUNTIFS($I$2:$I$500,$I272,P$2:P$500,"&lt;&gt;"&amp;P272,P$2:P$500,"&lt;&gt;")&gt;0,"CEK jenis fixture beda dalam satu series","OK")))))))))</f>
        <v/>
      </c>
      <c r="T272" s="11" t="n"/>
      <c r="U272" s="11" t="n"/>
      <c r="V272" s="11">
        <f>IF(OR(T272="",U272=""),"",IFERROR(INDEX(LAYOUT!$D$2:$D$80,MATCH(T272&amp;"|"&amp;U272,LAYOUT!$E$2:$E$80,0)),""))</f>
        <v/>
      </c>
      <c r="W272" s="12">
        <f>IF(AND(T272="",U272=""),IF(AND(L272="",M272="",P272="",Q272=""),IF(OR($D272&lt;&gt;"",$E272&lt;&gt;""),"Belum ditempatkan",""),""),IF(T272="","CEK JENIS FIXTURE kosong",IF(LEFT(T272,4)&lt;&gt;"Wall","CEK Fixture 3 hanya Wall",IF(U272="","CEK SHELVING KE kosong",IF(ISNA(MATCH(T272&amp;"|"&amp;U272,LAYOUT!$E$2:$E$80,0)),"CEK SHELVING KE di luar layout",IF($I272="","CEK SERIES kosong",IF($D272="","Zona STOCK",IF($E272="","CEK SKU DESCRIPTION kosong",IF(COUNTIFS($I$2:$I$500,$I272,T$2:T$500,"&lt;&gt;"&amp;T272,T$2:T$500,"&lt;&gt;")&gt;0,"CEK jenis fixture beda dalam satu series","OK")))))))))</f>
        <v/>
      </c>
      <c r="X272" s="11" t="n"/>
      <c r="Y272" s="11" t="n"/>
      <c r="Z272" s="12" t="n"/>
      <c r="AA272" s="12" t="n"/>
      <c r="AB272" s="11" t="n"/>
      <c r="AC272" s="11" t="n"/>
      <c r="AD272" s="11" t="n"/>
      <c r="AE272" s="11" t="n"/>
      <c r="AF272" s="11" t="n"/>
      <c r="AG272" s="11" t="n"/>
      <c r="AH272" s="12" t="n"/>
      <c r="AI272" s="12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>
        <f>IF(OR(L273="",M273=""),"",IFERROR(INDEX(LAYOUT!$D$2:$D$80,MATCH(L273&amp;"|"&amp;M273,LAYOUT!$E$2:$E$80,0)),""))</f>
        <v/>
      </c>
      <c r="O273" s="12">
        <f>IF(AND(L273="",M273=""),IF(AND(P273="",Q273="",T273="",U273=""),IF(OR($D273&lt;&gt;"",$E273&lt;&gt;""),"Belum ditempatkan",""),""),IF(L273="","CEK JENIS FIXTURE kosong",IF(AND(LEFT(L273,7)&lt;&gt;"Gondola",LEFT(L273,6)&lt;&gt;"Endcap"),"CEK Fixture 1 hanya Gondola atau Endcap",IF(M273="","CEK SHELVING KE kosong",IF(ISNA(MATCH(L273&amp;"|"&amp;M273,LAYOUT!$E$2:$E$80,0)),"CEK SHELVING KE di luar layout",IF($I273="","CEK SERIES kosong",IF($D273="","Zona STOCK",IF($E273="","CEK SKU DESCRIPTION kosong",IF(COUNTIFS($I$2:$I$500,$I273,L$2:L$500,"&lt;&gt;"&amp;L273,L$2:L$500,"&lt;&gt;")&gt;0,"CEK jenis fixture beda dalam satu series","OK")))))))))</f>
        <v/>
      </c>
      <c r="P273" s="11" t="n"/>
      <c r="Q273" s="11" t="n"/>
      <c r="R273" s="11">
        <f>IF(OR(P273="",Q273=""),"",IFERROR(INDEX(LAYOUT!$D$2:$D$80,MATCH(P273&amp;"|"&amp;Q273,LAYOUT!$E$2:$E$80,0)),""))</f>
        <v/>
      </c>
      <c r="S273" s="12">
        <f>IF(AND(P273="",Q273=""),IF(AND(L273="",M273="",T273="",U273=""),IF(OR($D273&lt;&gt;"",$E273&lt;&gt;""),"Belum ditempatkan",""),""),IF(P273="","CEK JENIS FIXTURE kosong",IF(LEFT(P273,4)&lt;&gt;"Wall","CEK Fixture 2 hanya Wall",IF(Q273="","CEK SHELVING KE kosong",IF(ISNA(MATCH(P273&amp;"|"&amp;Q273,LAYOUT!$E$2:$E$80,0)),"CEK SHELVING KE di luar layout",IF($I273="","CEK SERIES kosong",IF($D273="","Zona STOCK",IF($E273="","CEK SKU DESCRIPTION kosong",IF(COUNTIFS($I$2:$I$500,$I273,P$2:P$500,"&lt;&gt;"&amp;P273,P$2:P$500,"&lt;&gt;")&gt;0,"CEK jenis fixture beda dalam satu series","OK")))))))))</f>
        <v/>
      </c>
      <c r="T273" s="11" t="n"/>
      <c r="U273" s="11" t="n"/>
      <c r="V273" s="11">
        <f>IF(OR(T273="",U273=""),"",IFERROR(INDEX(LAYOUT!$D$2:$D$80,MATCH(T273&amp;"|"&amp;U273,LAYOUT!$E$2:$E$80,0)),""))</f>
        <v/>
      </c>
      <c r="W273" s="12">
        <f>IF(AND(T273="",U273=""),IF(AND(L273="",M273="",P273="",Q273=""),IF(OR($D273&lt;&gt;"",$E273&lt;&gt;""),"Belum ditempatkan",""),""),IF(T273="","CEK JENIS FIXTURE kosong",IF(LEFT(T273,4)&lt;&gt;"Wall","CEK Fixture 3 hanya Wall",IF(U273="","CEK SHELVING KE kosong",IF(ISNA(MATCH(T273&amp;"|"&amp;U273,LAYOUT!$E$2:$E$80,0)),"CEK SHELVING KE di luar layout",IF($I273="","CEK SERIES kosong",IF($D273="","Zona STOCK",IF($E273="","CEK SKU DESCRIPTION kosong",IF(COUNTIFS($I$2:$I$500,$I273,T$2:T$500,"&lt;&gt;"&amp;T273,T$2:T$500,"&lt;&gt;")&gt;0,"CEK jenis fixture beda dalam satu series","OK")))))))))</f>
        <v/>
      </c>
      <c r="X273" s="11" t="n"/>
      <c r="Y273" s="11" t="n"/>
      <c r="Z273" s="12" t="n"/>
      <c r="AA273" s="12" t="n"/>
      <c r="AB273" s="11" t="n"/>
      <c r="AC273" s="11" t="n"/>
      <c r="AD273" s="11" t="n"/>
      <c r="AE273" s="11" t="n"/>
      <c r="AF273" s="11" t="n"/>
      <c r="AG273" s="11" t="n"/>
      <c r="AH273" s="12" t="n"/>
      <c r="AI273" s="12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>
        <f>IF(OR(L274="",M274=""),"",IFERROR(INDEX(LAYOUT!$D$2:$D$80,MATCH(L274&amp;"|"&amp;M274,LAYOUT!$E$2:$E$80,0)),""))</f>
        <v/>
      </c>
      <c r="O274" s="12">
        <f>IF(AND(L274="",M274=""),IF(AND(P274="",Q274="",T274="",U274=""),IF(OR($D274&lt;&gt;"",$E274&lt;&gt;""),"Belum ditempatkan",""),""),IF(L274="","CEK JENIS FIXTURE kosong",IF(AND(LEFT(L274,7)&lt;&gt;"Gondola",LEFT(L274,6)&lt;&gt;"Endcap"),"CEK Fixture 1 hanya Gondola atau Endcap",IF(M274="","CEK SHELVING KE kosong",IF(ISNA(MATCH(L274&amp;"|"&amp;M274,LAYOUT!$E$2:$E$80,0)),"CEK SHELVING KE di luar layout",IF($I274="","CEK SERIES kosong",IF($D274="","Zona STOCK",IF($E274="","CEK SKU DESCRIPTION kosong",IF(COUNTIFS($I$2:$I$500,$I274,L$2:L$500,"&lt;&gt;"&amp;L274,L$2:L$500,"&lt;&gt;")&gt;0,"CEK jenis fixture beda dalam satu series","OK")))))))))</f>
        <v/>
      </c>
      <c r="P274" s="11" t="n"/>
      <c r="Q274" s="11" t="n"/>
      <c r="R274" s="11">
        <f>IF(OR(P274="",Q274=""),"",IFERROR(INDEX(LAYOUT!$D$2:$D$80,MATCH(P274&amp;"|"&amp;Q274,LAYOUT!$E$2:$E$80,0)),""))</f>
        <v/>
      </c>
      <c r="S274" s="12">
        <f>IF(AND(P274="",Q274=""),IF(AND(L274="",M274="",T274="",U274=""),IF(OR($D274&lt;&gt;"",$E274&lt;&gt;""),"Belum ditempatkan",""),""),IF(P274="","CEK JENIS FIXTURE kosong",IF(LEFT(P274,4)&lt;&gt;"Wall","CEK Fixture 2 hanya Wall",IF(Q274="","CEK SHELVING KE kosong",IF(ISNA(MATCH(P274&amp;"|"&amp;Q274,LAYOUT!$E$2:$E$80,0)),"CEK SHELVING KE di luar layout",IF($I274="","CEK SERIES kosong",IF($D274="","Zona STOCK",IF($E274="","CEK SKU DESCRIPTION kosong",IF(COUNTIFS($I$2:$I$500,$I274,P$2:P$500,"&lt;&gt;"&amp;P274,P$2:P$500,"&lt;&gt;")&gt;0,"CEK jenis fixture beda dalam satu series","OK")))))))))</f>
        <v/>
      </c>
      <c r="T274" s="11" t="n"/>
      <c r="U274" s="11" t="n"/>
      <c r="V274" s="11">
        <f>IF(OR(T274="",U274=""),"",IFERROR(INDEX(LAYOUT!$D$2:$D$80,MATCH(T274&amp;"|"&amp;U274,LAYOUT!$E$2:$E$80,0)),""))</f>
        <v/>
      </c>
      <c r="W274" s="12">
        <f>IF(AND(T274="",U274=""),IF(AND(L274="",M274="",P274="",Q274=""),IF(OR($D274&lt;&gt;"",$E274&lt;&gt;""),"Belum ditempatkan",""),""),IF(T274="","CEK JENIS FIXTURE kosong",IF(LEFT(T274,4)&lt;&gt;"Wall","CEK Fixture 3 hanya Wall",IF(U274="","CEK SHELVING KE kosong",IF(ISNA(MATCH(T274&amp;"|"&amp;U274,LAYOUT!$E$2:$E$80,0)),"CEK SHELVING KE di luar layout",IF($I274="","CEK SERIES kosong",IF($D274="","Zona STOCK",IF($E274="","CEK SKU DESCRIPTION kosong",IF(COUNTIFS($I$2:$I$500,$I274,T$2:T$500,"&lt;&gt;"&amp;T274,T$2:T$500,"&lt;&gt;")&gt;0,"CEK jenis fixture beda dalam satu series","OK")))))))))</f>
        <v/>
      </c>
      <c r="X274" s="11" t="n"/>
      <c r="Y274" s="11" t="n"/>
      <c r="Z274" s="12" t="n"/>
      <c r="AA274" s="12" t="n"/>
      <c r="AB274" s="11" t="n"/>
      <c r="AC274" s="11" t="n"/>
      <c r="AD274" s="11" t="n"/>
      <c r="AE274" s="11" t="n"/>
      <c r="AF274" s="11" t="n"/>
      <c r="AG274" s="11" t="n"/>
      <c r="AH274" s="12" t="n"/>
      <c r="AI274" s="12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>
        <f>IF(OR(L275="",M275=""),"",IFERROR(INDEX(LAYOUT!$D$2:$D$80,MATCH(L275&amp;"|"&amp;M275,LAYOUT!$E$2:$E$80,0)),""))</f>
        <v/>
      </c>
      <c r="O275" s="12">
        <f>IF(AND(L275="",M275=""),IF(AND(P275="",Q275="",T275="",U275=""),IF(OR($D275&lt;&gt;"",$E275&lt;&gt;""),"Belum ditempatkan",""),""),IF(L275="","CEK JENIS FIXTURE kosong",IF(AND(LEFT(L275,7)&lt;&gt;"Gondola",LEFT(L275,6)&lt;&gt;"Endcap"),"CEK Fixture 1 hanya Gondola atau Endcap",IF(M275="","CEK SHELVING KE kosong",IF(ISNA(MATCH(L275&amp;"|"&amp;M275,LAYOUT!$E$2:$E$80,0)),"CEK SHELVING KE di luar layout",IF($I275="","CEK SERIES kosong",IF($D275="","Zona STOCK",IF($E275="","CEK SKU DESCRIPTION kosong",IF(COUNTIFS($I$2:$I$500,$I275,L$2:L$500,"&lt;&gt;"&amp;L275,L$2:L$500,"&lt;&gt;")&gt;0,"CEK jenis fixture beda dalam satu series","OK")))))))))</f>
        <v/>
      </c>
      <c r="P275" s="11" t="n"/>
      <c r="Q275" s="11" t="n"/>
      <c r="R275" s="11">
        <f>IF(OR(P275="",Q275=""),"",IFERROR(INDEX(LAYOUT!$D$2:$D$80,MATCH(P275&amp;"|"&amp;Q275,LAYOUT!$E$2:$E$80,0)),""))</f>
        <v/>
      </c>
      <c r="S275" s="12">
        <f>IF(AND(P275="",Q275=""),IF(AND(L275="",M275="",T275="",U275=""),IF(OR($D275&lt;&gt;"",$E275&lt;&gt;""),"Belum ditempatkan",""),""),IF(P275="","CEK JENIS FIXTURE kosong",IF(LEFT(P275,4)&lt;&gt;"Wall","CEK Fixture 2 hanya Wall",IF(Q275="","CEK SHELVING KE kosong",IF(ISNA(MATCH(P275&amp;"|"&amp;Q275,LAYOUT!$E$2:$E$80,0)),"CEK SHELVING KE di luar layout",IF($I275="","CEK SERIES kosong",IF($D275="","Zona STOCK",IF($E275="","CEK SKU DESCRIPTION kosong",IF(COUNTIFS($I$2:$I$500,$I275,P$2:P$500,"&lt;&gt;"&amp;P275,P$2:P$500,"&lt;&gt;")&gt;0,"CEK jenis fixture beda dalam satu series","OK")))))))))</f>
        <v/>
      </c>
      <c r="T275" s="11" t="n"/>
      <c r="U275" s="11" t="n"/>
      <c r="V275" s="11">
        <f>IF(OR(T275="",U275=""),"",IFERROR(INDEX(LAYOUT!$D$2:$D$80,MATCH(T275&amp;"|"&amp;U275,LAYOUT!$E$2:$E$80,0)),""))</f>
        <v/>
      </c>
      <c r="W275" s="12">
        <f>IF(AND(T275="",U275=""),IF(AND(L275="",M275="",P275="",Q275=""),IF(OR($D275&lt;&gt;"",$E275&lt;&gt;""),"Belum ditempatkan",""),""),IF(T275="","CEK JENIS FIXTURE kosong",IF(LEFT(T275,4)&lt;&gt;"Wall","CEK Fixture 3 hanya Wall",IF(U275="","CEK SHELVING KE kosong",IF(ISNA(MATCH(T275&amp;"|"&amp;U275,LAYOUT!$E$2:$E$80,0)),"CEK SHELVING KE di luar layout",IF($I275="","CEK SERIES kosong",IF($D275="","Zona STOCK",IF($E275="","CEK SKU DESCRIPTION kosong",IF(COUNTIFS($I$2:$I$500,$I275,T$2:T$500,"&lt;&gt;"&amp;T275,T$2:T$500,"&lt;&gt;")&gt;0,"CEK jenis fixture beda dalam satu series","OK")))))))))</f>
        <v/>
      </c>
      <c r="X275" s="11" t="n"/>
      <c r="Y275" s="11" t="n"/>
      <c r="Z275" s="12" t="n"/>
      <c r="AA275" s="12" t="n"/>
      <c r="AB275" s="11" t="n"/>
      <c r="AC275" s="11" t="n"/>
      <c r="AD275" s="11" t="n"/>
      <c r="AE275" s="11" t="n"/>
      <c r="AF275" s="11" t="n"/>
      <c r="AG275" s="11" t="n"/>
      <c r="AH275" s="12" t="n"/>
      <c r="AI275" s="12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>
        <f>IF(OR(L276="",M276=""),"",IFERROR(INDEX(LAYOUT!$D$2:$D$80,MATCH(L276&amp;"|"&amp;M276,LAYOUT!$E$2:$E$80,0)),""))</f>
        <v/>
      </c>
      <c r="O276" s="12">
        <f>IF(AND(L276="",M276=""),IF(AND(P276="",Q276="",T276="",U276=""),IF(OR($D276&lt;&gt;"",$E276&lt;&gt;""),"Belum ditempatkan",""),""),IF(L276="","CEK JENIS FIXTURE kosong",IF(AND(LEFT(L276,7)&lt;&gt;"Gondola",LEFT(L276,6)&lt;&gt;"Endcap"),"CEK Fixture 1 hanya Gondola atau Endcap",IF(M276="","CEK SHELVING KE kosong",IF(ISNA(MATCH(L276&amp;"|"&amp;M276,LAYOUT!$E$2:$E$80,0)),"CEK SHELVING KE di luar layout",IF($I276="","CEK SERIES kosong",IF($D276="","Zona STOCK",IF($E276="","CEK SKU DESCRIPTION kosong",IF(COUNTIFS($I$2:$I$500,$I276,L$2:L$500,"&lt;&gt;"&amp;L276,L$2:L$500,"&lt;&gt;")&gt;0,"CEK jenis fixture beda dalam satu series","OK")))))))))</f>
        <v/>
      </c>
      <c r="P276" s="11" t="n"/>
      <c r="Q276" s="11" t="n"/>
      <c r="R276" s="11">
        <f>IF(OR(P276="",Q276=""),"",IFERROR(INDEX(LAYOUT!$D$2:$D$80,MATCH(P276&amp;"|"&amp;Q276,LAYOUT!$E$2:$E$80,0)),""))</f>
        <v/>
      </c>
      <c r="S276" s="12">
        <f>IF(AND(P276="",Q276=""),IF(AND(L276="",M276="",T276="",U276=""),IF(OR($D276&lt;&gt;"",$E276&lt;&gt;""),"Belum ditempatkan",""),""),IF(P276="","CEK JENIS FIXTURE kosong",IF(LEFT(P276,4)&lt;&gt;"Wall","CEK Fixture 2 hanya Wall",IF(Q276="","CEK SHELVING KE kosong",IF(ISNA(MATCH(P276&amp;"|"&amp;Q276,LAYOUT!$E$2:$E$80,0)),"CEK SHELVING KE di luar layout",IF($I276="","CEK SERIES kosong",IF($D276="","Zona STOCK",IF($E276="","CEK SKU DESCRIPTION kosong",IF(COUNTIFS($I$2:$I$500,$I276,P$2:P$500,"&lt;&gt;"&amp;P276,P$2:P$500,"&lt;&gt;")&gt;0,"CEK jenis fixture beda dalam satu series","OK")))))))))</f>
        <v/>
      </c>
      <c r="T276" s="11" t="n"/>
      <c r="U276" s="11" t="n"/>
      <c r="V276" s="11">
        <f>IF(OR(T276="",U276=""),"",IFERROR(INDEX(LAYOUT!$D$2:$D$80,MATCH(T276&amp;"|"&amp;U276,LAYOUT!$E$2:$E$80,0)),""))</f>
        <v/>
      </c>
      <c r="W276" s="12">
        <f>IF(AND(T276="",U276=""),IF(AND(L276="",M276="",P276="",Q276=""),IF(OR($D276&lt;&gt;"",$E276&lt;&gt;""),"Belum ditempatkan",""),""),IF(T276="","CEK JENIS FIXTURE kosong",IF(LEFT(T276,4)&lt;&gt;"Wall","CEK Fixture 3 hanya Wall",IF(U276="","CEK SHELVING KE kosong",IF(ISNA(MATCH(T276&amp;"|"&amp;U276,LAYOUT!$E$2:$E$80,0)),"CEK SHELVING KE di luar layout",IF($I276="","CEK SERIES kosong",IF($D276="","Zona STOCK",IF($E276="","CEK SKU DESCRIPTION kosong",IF(COUNTIFS($I$2:$I$500,$I276,T$2:T$500,"&lt;&gt;"&amp;T276,T$2:T$500,"&lt;&gt;")&gt;0,"CEK jenis fixture beda dalam satu series","OK")))))))))</f>
        <v/>
      </c>
      <c r="X276" s="11" t="n"/>
      <c r="Y276" s="11" t="n"/>
      <c r="Z276" s="12" t="n"/>
      <c r="AA276" s="12" t="n"/>
      <c r="AB276" s="11" t="n"/>
      <c r="AC276" s="11" t="n"/>
      <c r="AD276" s="11" t="n"/>
      <c r="AE276" s="11" t="n"/>
      <c r="AF276" s="11" t="n"/>
      <c r="AG276" s="11" t="n"/>
      <c r="AH276" s="12" t="n"/>
      <c r="AI276" s="12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>
        <f>IF(OR(L277="",M277=""),"",IFERROR(INDEX(LAYOUT!$D$2:$D$80,MATCH(L277&amp;"|"&amp;M277,LAYOUT!$E$2:$E$80,0)),""))</f>
        <v/>
      </c>
      <c r="O277" s="12">
        <f>IF(AND(L277="",M277=""),IF(AND(P277="",Q277="",T277="",U277=""),IF(OR($D277&lt;&gt;"",$E277&lt;&gt;""),"Belum ditempatkan",""),""),IF(L277="","CEK JENIS FIXTURE kosong",IF(AND(LEFT(L277,7)&lt;&gt;"Gondola",LEFT(L277,6)&lt;&gt;"Endcap"),"CEK Fixture 1 hanya Gondola atau Endcap",IF(M277="","CEK SHELVING KE kosong",IF(ISNA(MATCH(L277&amp;"|"&amp;M277,LAYOUT!$E$2:$E$80,0)),"CEK SHELVING KE di luar layout",IF($I277="","CEK SERIES kosong",IF($D277="","Zona STOCK",IF($E277="","CEK SKU DESCRIPTION kosong",IF(COUNTIFS($I$2:$I$500,$I277,L$2:L$500,"&lt;&gt;"&amp;L277,L$2:L$500,"&lt;&gt;")&gt;0,"CEK jenis fixture beda dalam satu series","OK")))))))))</f>
        <v/>
      </c>
      <c r="P277" s="11" t="n"/>
      <c r="Q277" s="11" t="n"/>
      <c r="R277" s="11">
        <f>IF(OR(P277="",Q277=""),"",IFERROR(INDEX(LAYOUT!$D$2:$D$80,MATCH(P277&amp;"|"&amp;Q277,LAYOUT!$E$2:$E$80,0)),""))</f>
        <v/>
      </c>
      <c r="S277" s="12">
        <f>IF(AND(P277="",Q277=""),IF(AND(L277="",M277="",T277="",U277=""),IF(OR($D277&lt;&gt;"",$E277&lt;&gt;""),"Belum ditempatkan",""),""),IF(P277="","CEK JENIS FIXTURE kosong",IF(LEFT(P277,4)&lt;&gt;"Wall","CEK Fixture 2 hanya Wall",IF(Q277="","CEK SHELVING KE kosong",IF(ISNA(MATCH(P277&amp;"|"&amp;Q277,LAYOUT!$E$2:$E$80,0)),"CEK SHELVING KE di luar layout",IF($I277="","CEK SERIES kosong",IF($D277="","Zona STOCK",IF($E277="","CEK SKU DESCRIPTION kosong",IF(COUNTIFS($I$2:$I$500,$I277,P$2:P$500,"&lt;&gt;"&amp;P277,P$2:P$500,"&lt;&gt;")&gt;0,"CEK jenis fixture beda dalam satu series","OK")))))))))</f>
        <v/>
      </c>
      <c r="T277" s="11" t="n"/>
      <c r="U277" s="11" t="n"/>
      <c r="V277" s="11">
        <f>IF(OR(T277="",U277=""),"",IFERROR(INDEX(LAYOUT!$D$2:$D$80,MATCH(T277&amp;"|"&amp;U277,LAYOUT!$E$2:$E$80,0)),""))</f>
        <v/>
      </c>
      <c r="W277" s="12">
        <f>IF(AND(T277="",U277=""),IF(AND(L277="",M277="",P277="",Q277=""),IF(OR($D277&lt;&gt;"",$E277&lt;&gt;""),"Belum ditempatkan",""),""),IF(T277="","CEK JENIS FIXTURE kosong",IF(LEFT(T277,4)&lt;&gt;"Wall","CEK Fixture 3 hanya Wall",IF(U277="","CEK SHELVING KE kosong",IF(ISNA(MATCH(T277&amp;"|"&amp;U277,LAYOUT!$E$2:$E$80,0)),"CEK SHELVING KE di luar layout",IF($I277="","CEK SERIES kosong",IF($D277="","Zona STOCK",IF($E277="","CEK SKU DESCRIPTION kosong",IF(COUNTIFS($I$2:$I$500,$I277,T$2:T$500,"&lt;&gt;"&amp;T277,T$2:T$500,"&lt;&gt;")&gt;0,"CEK jenis fixture beda dalam satu series","OK")))))))))</f>
        <v/>
      </c>
      <c r="X277" s="11" t="n"/>
      <c r="Y277" s="11" t="n"/>
      <c r="Z277" s="12" t="n"/>
      <c r="AA277" s="12" t="n"/>
      <c r="AB277" s="11" t="n"/>
      <c r="AC277" s="11" t="n"/>
      <c r="AD277" s="11" t="n"/>
      <c r="AE277" s="11" t="n"/>
      <c r="AF277" s="11" t="n"/>
      <c r="AG277" s="11" t="n"/>
      <c r="AH277" s="12" t="n"/>
      <c r="AI277" s="12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>
        <f>IF(OR(L278="",M278=""),"",IFERROR(INDEX(LAYOUT!$D$2:$D$80,MATCH(L278&amp;"|"&amp;M278,LAYOUT!$E$2:$E$80,0)),""))</f>
        <v/>
      </c>
      <c r="O278" s="12">
        <f>IF(AND(L278="",M278=""),IF(AND(P278="",Q278="",T278="",U278=""),IF(OR($D278&lt;&gt;"",$E278&lt;&gt;""),"Belum ditempatkan",""),""),IF(L278="","CEK JENIS FIXTURE kosong",IF(AND(LEFT(L278,7)&lt;&gt;"Gondola",LEFT(L278,6)&lt;&gt;"Endcap"),"CEK Fixture 1 hanya Gondola atau Endcap",IF(M278="","CEK SHELVING KE kosong",IF(ISNA(MATCH(L278&amp;"|"&amp;M278,LAYOUT!$E$2:$E$80,0)),"CEK SHELVING KE di luar layout",IF($I278="","CEK SERIES kosong",IF($D278="","Zona STOCK",IF($E278="","CEK SKU DESCRIPTION kosong",IF(COUNTIFS($I$2:$I$500,$I278,L$2:L$500,"&lt;&gt;"&amp;L278,L$2:L$500,"&lt;&gt;")&gt;0,"CEK jenis fixture beda dalam satu series","OK")))))))))</f>
        <v/>
      </c>
      <c r="P278" s="11" t="n"/>
      <c r="Q278" s="11" t="n"/>
      <c r="R278" s="11">
        <f>IF(OR(P278="",Q278=""),"",IFERROR(INDEX(LAYOUT!$D$2:$D$80,MATCH(P278&amp;"|"&amp;Q278,LAYOUT!$E$2:$E$80,0)),""))</f>
        <v/>
      </c>
      <c r="S278" s="12">
        <f>IF(AND(P278="",Q278=""),IF(AND(L278="",M278="",T278="",U278=""),IF(OR($D278&lt;&gt;"",$E278&lt;&gt;""),"Belum ditempatkan",""),""),IF(P278="","CEK JENIS FIXTURE kosong",IF(LEFT(P278,4)&lt;&gt;"Wall","CEK Fixture 2 hanya Wall",IF(Q278="","CEK SHELVING KE kosong",IF(ISNA(MATCH(P278&amp;"|"&amp;Q278,LAYOUT!$E$2:$E$80,0)),"CEK SHELVING KE di luar layout",IF($I278="","CEK SERIES kosong",IF($D278="","Zona STOCK",IF($E278="","CEK SKU DESCRIPTION kosong",IF(COUNTIFS($I$2:$I$500,$I278,P$2:P$500,"&lt;&gt;"&amp;P278,P$2:P$500,"&lt;&gt;")&gt;0,"CEK jenis fixture beda dalam satu series","OK")))))))))</f>
        <v/>
      </c>
      <c r="T278" s="11" t="n"/>
      <c r="U278" s="11" t="n"/>
      <c r="V278" s="11">
        <f>IF(OR(T278="",U278=""),"",IFERROR(INDEX(LAYOUT!$D$2:$D$80,MATCH(T278&amp;"|"&amp;U278,LAYOUT!$E$2:$E$80,0)),""))</f>
        <v/>
      </c>
      <c r="W278" s="12">
        <f>IF(AND(T278="",U278=""),IF(AND(L278="",M278="",P278="",Q278=""),IF(OR($D278&lt;&gt;"",$E278&lt;&gt;""),"Belum ditempatkan",""),""),IF(T278="","CEK JENIS FIXTURE kosong",IF(LEFT(T278,4)&lt;&gt;"Wall","CEK Fixture 3 hanya Wall",IF(U278="","CEK SHELVING KE kosong",IF(ISNA(MATCH(T278&amp;"|"&amp;U278,LAYOUT!$E$2:$E$80,0)),"CEK SHELVING KE di luar layout",IF($I278="","CEK SERIES kosong",IF($D278="","Zona STOCK",IF($E278="","CEK SKU DESCRIPTION kosong",IF(COUNTIFS($I$2:$I$500,$I278,T$2:T$500,"&lt;&gt;"&amp;T278,T$2:T$500,"&lt;&gt;")&gt;0,"CEK jenis fixture beda dalam satu series","OK")))))))))</f>
        <v/>
      </c>
      <c r="X278" s="11" t="n"/>
      <c r="Y278" s="11" t="n"/>
      <c r="Z278" s="12" t="n"/>
      <c r="AA278" s="12" t="n"/>
      <c r="AB278" s="11" t="n"/>
      <c r="AC278" s="11" t="n"/>
      <c r="AD278" s="11" t="n"/>
      <c r="AE278" s="11" t="n"/>
      <c r="AF278" s="11" t="n"/>
      <c r="AG278" s="11" t="n"/>
      <c r="AH278" s="12" t="n"/>
      <c r="AI278" s="12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>
        <f>IF(OR(L279="",M279=""),"",IFERROR(INDEX(LAYOUT!$D$2:$D$80,MATCH(L279&amp;"|"&amp;M279,LAYOUT!$E$2:$E$80,0)),""))</f>
        <v/>
      </c>
      <c r="O279" s="12">
        <f>IF(AND(L279="",M279=""),IF(AND(P279="",Q279="",T279="",U279=""),IF(OR($D279&lt;&gt;"",$E279&lt;&gt;""),"Belum ditempatkan",""),""),IF(L279="","CEK JENIS FIXTURE kosong",IF(AND(LEFT(L279,7)&lt;&gt;"Gondola",LEFT(L279,6)&lt;&gt;"Endcap"),"CEK Fixture 1 hanya Gondola atau Endcap",IF(M279="","CEK SHELVING KE kosong",IF(ISNA(MATCH(L279&amp;"|"&amp;M279,LAYOUT!$E$2:$E$80,0)),"CEK SHELVING KE di luar layout",IF($I279="","CEK SERIES kosong",IF($D279="","Zona STOCK",IF($E279="","CEK SKU DESCRIPTION kosong",IF(COUNTIFS($I$2:$I$500,$I279,L$2:L$500,"&lt;&gt;"&amp;L279,L$2:L$500,"&lt;&gt;")&gt;0,"CEK jenis fixture beda dalam satu series","OK")))))))))</f>
        <v/>
      </c>
      <c r="P279" s="11" t="n"/>
      <c r="Q279" s="11" t="n"/>
      <c r="R279" s="11">
        <f>IF(OR(P279="",Q279=""),"",IFERROR(INDEX(LAYOUT!$D$2:$D$80,MATCH(P279&amp;"|"&amp;Q279,LAYOUT!$E$2:$E$80,0)),""))</f>
        <v/>
      </c>
      <c r="S279" s="12">
        <f>IF(AND(P279="",Q279=""),IF(AND(L279="",M279="",T279="",U279=""),IF(OR($D279&lt;&gt;"",$E279&lt;&gt;""),"Belum ditempatkan",""),""),IF(P279="","CEK JENIS FIXTURE kosong",IF(LEFT(P279,4)&lt;&gt;"Wall","CEK Fixture 2 hanya Wall",IF(Q279="","CEK SHELVING KE kosong",IF(ISNA(MATCH(P279&amp;"|"&amp;Q279,LAYOUT!$E$2:$E$80,0)),"CEK SHELVING KE di luar layout",IF($I279="","CEK SERIES kosong",IF($D279="","Zona STOCK",IF($E279="","CEK SKU DESCRIPTION kosong",IF(COUNTIFS($I$2:$I$500,$I279,P$2:P$500,"&lt;&gt;"&amp;P279,P$2:P$500,"&lt;&gt;")&gt;0,"CEK jenis fixture beda dalam satu series","OK")))))))))</f>
        <v/>
      </c>
      <c r="T279" s="11" t="n"/>
      <c r="U279" s="11" t="n"/>
      <c r="V279" s="11">
        <f>IF(OR(T279="",U279=""),"",IFERROR(INDEX(LAYOUT!$D$2:$D$80,MATCH(T279&amp;"|"&amp;U279,LAYOUT!$E$2:$E$80,0)),""))</f>
        <v/>
      </c>
      <c r="W279" s="12">
        <f>IF(AND(T279="",U279=""),IF(AND(L279="",M279="",P279="",Q279=""),IF(OR($D279&lt;&gt;"",$E279&lt;&gt;""),"Belum ditempatkan",""),""),IF(T279="","CEK JENIS FIXTURE kosong",IF(LEFT(T279,4)&lt;&gt;"Wall","CEK Fixture 3 hanya Wall",IF(U279="","CEK SHELVING KE kosong",IF(ISNA(MATCH(T279&amp;"|"&amp;U279,LAYOUT!$E$2:$E$80,0)),"CEK SHELVING KE di luar layout",IF($I279="","CEK SERIES kosong",IF($D279="","Zona STOCK",IF($E279="","CEK SKU DESCRIPTION kosong",IF(COUNTIFS($I$2:$I$500,$I279,T$2:T$500,"&lt;&gt;"&amp;T279,T$2:T$500,"&lt;&gt;")&gt;0,"CEK jenis fixture beda dalam satu series","OK")))))))))</f>
        <v/>
      </c>
      <c r="X279" s="11" t="n"/>
      <c r="Y279" s="11" t="n"/>
      <c r="Z279" s="12" t="n"/>
      <c r="AA279" s="12" t="n"/>
      <c r="AB279" s="11" t="n"/>
      <c r="AC279" s="11" t="n"/>
      <c r="AD279" s="11" t="n"/>
      <c r="AE279" s="11" t="n"/>
      <c r="AF279" s="11" t="n"/>
      <c r="AG279" s="11" t="n"/>
      <c r="AH279" s="12" t="n"/>
      <c r="AI279" s="12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>
        <f>IF(OR(L280="",M280=""),"",IFERROR(INDEX(LAYOUT!$D$2:$D$80,MATCH(L280&amp;"|"&amp;M280,LAYOUT!$E$2:$E$80,0)),""))</f>
        <v/>
      </c>
      <c r="O280" s="12">
        <f>IF(AND(L280="",M280=""),IF(AND(P280="",Q280="",T280="",U280=""),IF(OR($D280&lt;&gt;"",$E280&lt;&gt;""),"Belum ditempatkan",""),""),IF(L280="","CEK JENIS FIXTURE kosong",IF(AND(LEFT(L280,7)&lt;&gt;"Gondola",LEFT(L280,6)&lt;&gt;"Endcap"),"CEK Fixture 1 hanya Gondola atau Endcap",IF(M280="","CEK SHELVING KE kosong",IF(ISNA(MATCH(L280&amp;"|"&amp;M280,LAYOUT!$E$2:$E$80,0)),"CEK SHELVING KE di luar layout",IF($I280="","CEK SERIES kosong",IF($D280="","Zona STOCK",IF($E280="","CEK SKU DESCRIPTION kosong",IF(COUNTIFS($I$2:$I$500,$I280,L$2:L$500,"&lt;&gt;"&amp;L280,L$2:L$500,"&lt;&gt;")&gt;0,"CEK jenis fixture beda dalam satu series","OK")))))))))</f>
        <v/>
      </c>
      <c r="P280" s="11" t="n"/>
      <c r="Q280" s="11" t="n"/>
      <c r="R280" s="11">
        <f>IF(OR(P280="",Q280=""),"",IFERROR(INDEX(LAYOUT!$D$2:$D$80,MATCH(P280&amp;"|"&amp;Q280,LAYOUT!$E$2:$E$80,0)),""))</f>
        <v/>
      </c>
      <c r="S280" s="12">
        <f>IF(AND(P280="",Q280=""),IF(AND(L280="",M280="",T280="",U280=""),IF(OR($D280&lt;&gt;"",$E280&lt;&gt;""),"Belum ditempatkan",""),""),IF(P280="","CEK JENIS FIXTURE kosong",IF(LEFT(P280,4)&lt;&gt;"Wall","CEK Fixture 2 hanya Wall",IF(Q280="","CEK SHELVING KE kosong",IF(ISNA(MATCH(P280&amp;"|"&amp;Q280,LAYOUT!$E$2:$E$80,0)),"CEK SHELVING KE di luar layout",IF($I280="","CEK SERIES kosong",IF($D280="","Zona STOCK",IF($E280="","CEK SKU DESCRIPTION kosong",IF(COUNTIFS($I$2:$I$500,$I280,P$2:P$500,"&lt;&gt;"&amp;P280,P$2:P$500,"&lt;&gt;")&gt;0,"CEK jenis fixture beda dalam satu series","OK")))))))))</f>
        <v/>
      </c>
      <c r="T280" s="11" t="n"/>
      <c r="U280" s="11" t="n"/>
      <c r="V280" s="11">
        <f>IF(OR(T280="",U280=""),"",IFERROR(INDEX(LAYOUT!$D$2:$D$80,MATCH(T280&amp;"|"&amp;U280,LAYOUT!$E$2:$E$80,0)),""))</f>
        <v/>
      </c>
      <c r="W280" s="12">
        <f>IF(AND(T280="",U280=""),IF(AND(L280="",M280="",P280="",Q280=""),IF(OR($D280&lt;&gt;"",$E280&lt;&gt;""),"Belum ditempatkan",""),""),IF(T280="","CEK JENIS FIXTURE kosong",IF(LEFT(T280,4)&lt;&gt;"Wall","CEK Fixture 3 hanya Wall",IF(U280="","CEK SHELVING KE kosong",IF(ISNA(MATCH(T280&amp;"|"&amp;U280,LAYOUT!$E$2:$E$80,0)),"CEK SHELVING KE di luar layout",IF($I280="","CEK SERIES kosong",IF($D280="","Zona STOCK",IF($E280="","CEK SKU DESCRIPTION kosong",IF(COUNTIFS($I$2:$I$500,$I280,T$2:T$500,"&lt;&gt;"&amp;T280,T$2:T$500,"&lt;&gt;")&gt;0,"CEK jenis fixture beda dalam satu series","OK")))))))))</f>
        <v/>
      </c>
      <c r="X280" s="11" t="n"/>
      <c r="Y280" s="11" t="n"/>
      <c r="Z280" s="12" t="n"/>
      <c r="AA280" s="12" t="n"/>
      <c r="AB280" s="11" t="n"/>
      <c r="AC280" s="11" t="n"/>
      <c r="AD280" s="11" t="n"/>
      <c r="AE280" s="11" t="n"/>
      <c r="AF280" s="11" t="n"/>
      <c r="AG280" s="11" t="n"/>
      <c r="AH280" s="12" t="n"/>
      <c r="AI280" s="12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>
        <f>IF(OR(L281="",M281=""),"",IFERROR(INDEX(LAYOUT!$D$2:$D$80,MATCH(L281&amp;"|"&amp;M281,LAYOUT!$E$2:$E$80,0)),""))</f>
        <v/>
      </c>
      <c r="O281" s="12">
        <f>IF(AND(L281="",M281=""),IF(AND(P281="",Q281="",T281="",U281=""),IF(OR($D281&lt;&gt;"",$E281&lt;&gt;""),"Belum ditempatkan",""),""),IF(L281="","CEK JENIS FIXTURE kosong",IF(AND(LEFT(L281,7)&lt;&gt;"Gondola",LEFT(L281,6)&lt;&gt;"Endcap"),"CEK Fixture 1 hanya Gondola atau Endcap",IF(M281="","CEK SHELVING KE kosong",IF(ISNA(MATCH(L281&amp;"|"&amp;M281,LAYOUT!$E$2:$E$80,0)),"CEK SHELVING KE di luar layout",IF($I281="","CEK SERIES kosong",IF($D281="","Zona STOCK",IF($E281="","CEK SKU DESCRIPTION kosong",IF(COUNTIFS($I$2:$I$500,$I281,L$2:L$500,"&lt;&gt;"&amp;L281,L$2:L$500,"&lt;&gt;")&gt;0,"CEK jenis fixture beda dalam satu series","OK")))))))))</f>
        <v/>
      </c>
      <c r="P281" s="11" t="n"/>
      <c r="Q281" s="11" t="n"/>
      <c r="R281" s="11">
        <f>IF(OR(P281="",Q281=""),"",IFERROR(INDEX(LAYOUT!$D$2:$D$80,MATCH(P281&amp;"|"&amp;Q281,LAYOUT!$E$2:$E$80,0)),""))</f>
        <v/>
      </c>
      <c r="S281" s="12">
        <f>IF(AND(P281="",Q281=""),IF(AND(L281="",M281="",T281="",U281=""),IF(OR($D281&lt;&gt;"",$E281&lt;&gt;""),"Belum ditempatkan",""),""),IF(P281="","CEK JENIS FIXTURE kosong",IF(LEFT(P281,4)&lt;&gt;"Wall","CEK Fixture 2 hanya Wall",IF(Q281="","CEK SHELVING KE kosong",IF(ISNA(MATCH(P281&amp;"|"&amp;Q281,LAYOUT!$E$2:$E$80,0)),"CEK SHELVING KE di luar layout",IF($I281="","CEK SERIES kosong",IF($D281="","Zona STOCK",IF($E281="","CEK SKU DESCRIPTION kosong",IF(COUNTIFS($I$2:$I$500,$I281,P$2:P$500,"&lt;&gt;"&amp;P281,P$2:P$500,"&lt;&gt;")&gt;0,"CEK jenis fixture beda dalam satu series","OK")))))))))</f>
        <v/>
      </c>
      <c r="T281" s="11" t="n"/>
      <c r="U281" s="11" t="n"/>
      <c r="V281" s="11">
        <f>IF(OR(T281="",U281=""),"",IFERROR(INDEX(LAYOUT!$D$2:$D$80,MATCH(T281&amp;"|"&amp;U281,LAYOUT!$E$2:$E$80,0)),""))</f>
        <v/>
      </c>
      <c r="W281" s="12">
        <f>IF(AND(T281="",U281=""),IF(AND(L281="",M281="",P281="",Q281=""),IF(OR($D281&lt;&gt;"",$E281&lt;&gt;""),"Belum ditempatkan",""),""),IF(T281="","CEK JENIS FIXTURE kosong",IF(LEFT(T281,4)&lt;&gt;"Wall","CEK Fixture 3 hanya Wall",IF(U281="","CEK SHELVING KE kosong",IF(ISNA(MATCH(T281&amp;"|"&amp;U281,LAYOUT!$E$2:$E$80,0)),"CEK SHELVING KE di luar layout",IF($I281="","CEK SERIES kosong",IF($D281="","Zona STOCK",IF($E281="","CEK SKU DESCRIPTION kosong",IF(COUNTIFS($I$2:$I$500,$I281,T$2:T$500,"&lt;&gt;"&amp;T281,T$2:T$500,"&lt;&gt;")&gt;0,"CEK jenis fixture beda dalam satu series","OK")))))))))</f>
        <v/>
      </c>
      <c r="X281" s="11" t="n"/>
      <c r="Y281" s="11" t="n"/>
      <c r="Z281" s="12" t="n"/>
      <c r="AA281" s="12" t="n"/>
      <c r="AB281" s="11" t="n"/>
      <c r="AC281" s="11" t="n"/>
      <c r="AD281" s="11" t="n"/>
      <c r="AE281" s="11" t="n"/>
      <c r="AF281" s="11" t="n"/>
      <c r="AG281" s="11" t="n"/>
      <c r="AH281" s="12" t="n"/>
      <c r="AI281" s="12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>
        <f>IF(OR(L282="",M282=""),"",IFERROR(INDEX(LAYOUT!$D$2:$D$80,MATCH(L282&amp;"|"&amp;M282,LAYOUT!$E$2:$E$80,0)),""))</f>
        <v/>
      </c>
      <c r="O282" s="12">
        <f>IF(AND(L282="",M282=""),IF(AND(P282="",Q282="",T282="",U282=""),IF(OR($D282&lt;&gt;"",$E282&lt;&gt;""),"Belum ditempatkan",""),""),IF(L282="","CEK JENIS FIXTURE kosong",IF(AND(LEFT(L282,7)&lt;&gt;"Gondola",LEFT(L282,6)&lt;&gt;"Endcap"),"CEK Fixture 1 hanya Gondola atau Endcap",IF(M282="","CEK SHELVING KE kosong",IF(ISNA(MATCH(L282&amp;"|"&amp;M282,LAYOUT!$E$2:$E$80,0)),"CEK SHELVING KE di luar layout",IF($I282="","CEK SERIES kosong",IF($D282="","Zona STOCK",IF($E282="","CEK SKU DESCRIPTION kosong",IF(COUNTIFS($I$2:$I$500,$I282,L$2:L$500,"&lt;&gt;"&amp;L282,L$2:L$500,"&lt;&gt;")&gt;0,"CEK jenis fixture beda dalam satu series","OK")))))))))</f>
        <v/>
      </c>
      <c r="P282" s="11" t="n"/>
      <c r="Q282" s="11" t="n"/>
      <c r="R282" s="11">
        <f>IF(OR(P282="",Q282=""),"",IFERROR(INDEX(LAYOUT!$D$2:$D$80,MATCH(P282&amp;"|"&amp;Q282,LAYOUT!$E$2:$E$80,0)),""))</f>
        <v/>
      </c>
      <c r="S282" s="12">
        <f>IF(AND(P282="",Q282=""),IF(AND(L282="",M282="",T282="",U282=""),IF(OR($D282&lt;&gt;"",$E282&lt;&gt;""),"Belum ditempatkan",""),""),IF(P282="","CEK JENIS FIXTURE kosong",IF(LEFT(P282,4)&lt;&gt;"Wall","CEK Fixture 2 hanya Wall",IF(Q282="","CEK SHELVING KE kosong",IF(ISNA(MATCH(P282&amp;"|"&amp;Q282,LAYOUT!$E$2:$E$80,0)),"CEK SHELVING KE di luar layout",IF($I282="","CEK SERIES kosong",IF($D282="","Zona STOCK",IF($E282="","CEK SKU DESCRIPTION kosong",IF(COUNTIFS($I$2:$I$500,$I282,P$2:P$500,"&lt;&gt;"&amp;P282,P$2:P$500,"&lt;&gt;")&gt;0,"CEK jenis fixture beda dalam satu series","OK")))))))))</f>
        <v/>
      </c>
      <c r="T282" s="11" t="n"/>
      <c r="U282" s="11" t="n"/>
      <c r="V282" s="11">
        <f>IF(OR(T282="",U282=""),"",IFERROR(INDEX(LAYOUT!$D$2:$D$80,MATCH(T282&amp;"|"&amp;U282,LAYOUT!$E$2:$E$80,0)),""))</f>
        <v/>
      </c>
      <c r="W282" s="12">
        <f>IF(AND(T282="",U282=""),IF(AND(L282="",M282="",P282="",Q282=""),IF(OR($D282&lt;&gt;"",$E282&lt;&gt;""),"Belum ditempatkan",""),""),IF(T282="","CEK JENIS FIXTURE kosong",IF(LEFT(T282,4)&lt;&gt;"Wall","CEK Fixture 3 hanya Wall",IF(U282="","CEK SHELVING KE kosong",IF(ISNA(MATCH(T282&amp;"|"&amp;U282,LAYOUT!$E$2:$E$80,0)),"CEK SHELVING KE di luar layout",IF($I282="","CEK SERIES kosong",IF($D282="","Zona STOCK",IF($E282="","CEK SKU DESCRIPTION kosong",IF(COUNTIFS($I$2:$I$500,$I282,T$2:T$500,"&lt;&gt;"&amp;T282,T$2:T$500,"&lt;&gt;")&gt;0,"CEK jenis fixture beda dalam satu series","OK")))))))))</f>
        <v/>
      </c>
      <c r="X282" s="11" t="n"/>
      <c r="Y282" s="11" t="n"/>
      <c r="Z282" s="12" t="n"/>
      <c r="AA282" s="12" t="n"/>
      <c r="AB282" s="11" t="n"/>
      <c r="AC282" s="11" t="n"/>
      <c r="AD282" s="11" t="n"/>
      <c r="AE282" s="11" t="n"/>
      <c r="AF282" s="11" t="n"/>
      <c r="AG282" s="11" t="n"/>
      <c r="AH282" s="12" t="n"/>
      <c r="AI282" s="12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>
        <f>IF(OR(L283="",M283=""),"",IFERROR(INDEX(LAYOUT!$D$2:$D$80,MATCH(L283&amp;"|"&amp;M283,LAYOUT!$E$2:$E$80,0)),""))</f>
        <v/>
      </c>
      <c r="O283" s="12">
        <f>IF(AND(L283="",M283=""),IF(AND(P283="",Q283="",T283="",U283=""),IF(OR($D283&lt;&gt;"",$E283&lt;&gt;""),"Belum ditempatkan",""),""),IF(L283="","CEK JENIS FIXTURE kosong",IF(AND(LEFT(L283,7)&lt;&gt;"Gondola",LEFT(L283,6)&lt;&gt;"Endcap"),"CEK Fixture 1 hanya Gondola atau Endcap",IF(M283="","CEK SHELVING KE kosong",IF(ISNA(MATCH(L283&amp;"|"&amp;M283,LAYOUT!$E$2:$E$80,0)),"CEK SHELVING KE di luar layout",IF($I283="","CEK SERIES kosong",IF($D283="","Zona STOCK",IF($E283="","CEK SKU DESCRIPTION kosong",IF(COUNTIFS($I$2:$I$500,$I283,L$2:L$500,"&lt;&gt;"&amp;L283,L$2:L$500,"&lt;&gt;")&gt;0,"CEK jenis fixture beda dalam satu series","OK")))))))))</f>
        <v/>
      </c>
      <c r="P283" s="11" t="n"/>
      <c r="Q283" s="11" t="n"/>
      <c r="R283" s="11">
        <f>IF(OR(P283="",Q283=""),"",IFERROR(INDEX(LAYOUT!$D$2:$D$80,MATCH(P283&amp;"|"&amp;Q283,LAYOUT!$E$2:$E$80,0)),""))</f>
        <v/>
      </c>
      <c r="S283" s="12">
        <f>IF(AND(P283="",Q283=""),IF(AND(L283="",M283="",T283="",U283=""),IF(OR($D283&lt;&gt;"",$E283&lt;&gt;""),"Belum ditempatkan",""),""),IF(P283="","CEK JENIS FIXTURE kosong",IF(LEFT(P283,4)&lt;&gt;"Wall","CEK Fixture 2 hanya Wall",IF(Q283="","CEK SHELVING KE kosong",IF(ISNA(MATCH(P283&amp;"|"&amp;Q283,LAYOUT!$E$2:$E$80,0)),"CEK SHELVING KE di luar layout",IF($I283="","CEK SERIES kosong",IF($D283="","Zona STOCK",IF($E283="","CEK SKU DESCRIPTION kosong",IF(COUNTIFS($I$2:$I$500,$I283,P$2:P$500,"&lt;&gt;"&amp;P283,P$2:P$500,"&lt;&gt;")&gt;0,"CEK jenis fixture beda dalam satu series","OK")))))))))</f>
        <v/>
      </c>
      <c r="T283" s="11" t="n"/>
      <c r="U283" s="11" t="n"/>
      <c r="V283" s="11">
        <f>IF(OR(T283="",U283=""),"",IFERROR(INDEX(LAYOUT!$D$2:$D$80,MATCH(T283&amp;"|"&amp;U283,LAYOUT!$E$2:$E$80,0)),""))</f>
        <v/>
      </c>
      <c r="W283" s="12">
        <f>IF(AND(T283="",U283=""),IF(AND(L283="",M283="",P283="",Q283=""),IF(OR($D283&lt;&gt;"",$E283&lt;&gt;""),"Belum ditempatkan",""),""),IF(T283="","CEK JENIS FIXTURE kosong",IF(LEFT(T283,4)&lt;&gt;"Wall","CEK Fixture 3 hanya Wall",IF(U283="","CEK SHELVING KE kosong",IF(ISNA(MATCH(T283&amp;"|"&amp;U283,LAYOUT!$E$2:$E$80,0)),"CEK SHELVING KE di luar layout",IF($I283="","CEK SERIES kosong",IF($D283="","Zona STOCK",IF($E283="","CEK SKU DESCRIPTION kosong",IF(COUNTIFS($I$2:$I$500,$I283,T$2:T$500,"&lt;&gt;"&amp;T283,T$2:T$500,"&lt;&gt;")&gt;0,"CEK jenis fixture beda dalam satu series","OK")))))))))</f>
        <v/>
      </c>
      <c r="X283" s="11" t="n"/>
      <c r="Y283" s="11" t="n"/>
      <c r="Z283" s="12" t="n"/>
      <c r="AA283" s="12" t="n"/>
      <c r="AB283" s="11" t="n"/>
      <c r="AC283" s="11" t="n"/>
      <c r="AD283" s="11" t="n"/>
      <c r="AE283" s="11" t="n"/>
      <c r="AF283" s="11" t="n"/>
      <c r="AG283" s="11" t="n"/>
      <c r="AH283" s="12" t="n"/>
      <c r="AI283" s="12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>
        <f>IF(OR(L284="",M284=""),"",IFERROR(INDEX(LAYOUT!$D$2:$D$80,MATCH(L284&amp;"|"&amp;M284,LAYOUT!$E$2:$E$80,0)),""))</f>
        <v/>
      </c>
      <c r="O284" s="12">
        <f>IF(AND(L284="",M284=""),IF(AND(P284="",Q284="",T284="",U284=""),IF(OR($D284&lt;&gt;"",$E284&lt;&gt;""),"Belum ditempatkan",""),""),IF(L284="","CEK JENIS FIXTURE kosong",IF(AND(LEFT(L284,7)&lt;&gt;"Gondola",LEFT(L284,6)&lt;&gt;"Endcap"),"CEK Fixture 1 hanya Gondola atau Endcap",IF(M284="","CEK SHELVING KE kosong",IF(ISNA(MATCH(L284&amp;"|"&amp;M284,LAYOUT!$E$2:$E$80,0)),"CEK SHELVING KE di luar layout",IF($I284="","CEK SERIES kosong",IF($D284="","Zona STOCK",IF($E284="","CEK SKU DESCRIPTION kosong",IF(COUNTIFS($I$2:$I$500,$I284,L$2:L$500,"&lt;&gt;"&amp;L284,L$2:L$500,"&lt;&gt;")&gt;0,"CEK jenis fixture beda dalam satu series","OK")))))))))</f>
        <v/>
      </c>
      <c r="P284" s="11" t="n"/>
      <c r="Q284" s="11" t="n"/>
      <c r="R284" s="11">
        <f>IF(OR(P284="",Q284=""),"",IFERROR(INDEX(LAYOUT!$D$2:$D$80,MATCH(P284&amp;"|"&amp;Q284,LAYOUT!$E$2:$E$80,0)),""))</f>
        <v/>
      </c>
      <c r="S284" s="12">
        <f>IF(AND(P284="",Q284=""),IF(AND(L284="",M284="",T284="",U284=""),IF(OR($D284&lt;&gt;"",$E284&lt;&gt;""),"Belum ditempatkan",""),""),IF(P284="","CEK JENIS FIXTURE kosong",IF(LEFT(P284,4)&lt;&gt;"Wall","CEK Fixture 2 hanya Wall",IF(Q284="","CEK SHELVING KE kosong",IF(ISNA(MATCH(P284&amp;"|"&amp;Q284,LAYOUT!$E$2:$E$80,0)),"CEK SHELVING KE di luar layout",IF($I284="","CEK SERIES kosong",IF($D284="","Zona STOCK",IF($E284="","CEK SKU DESCRIPTION kosong",IF(COUNTIFS($I$2:$I$500,$I284,P$2:P$500,"&lt;&gt;"&amp;P284,P$2:P$500,"&lt;&gt;")&gt;0,"CEK jenis fixture beda dalam satu series","OK")))))))))</f>
        <v/>
      </c>
      <c r="T284" s="11" t="n"/>
      <c r="U284" s="11" t="n"/>
      <c r="V284" s="11">
        <f>IF(OR(T284="",U284=""),"",IFERROR(INDEX(LAYOUT!$D$2:$D$80,MATCH(T284&amp;"|"&amp;U284,LAYOUT!$E$2:$E$80,0)),""))</f>
        <v/>
      </c>
      <c r="W284" s="12">
        <f>IF(AND(T284="",U284=""),IF(AND(L284="",M284="",P284="",Q284=""),IF(OR($D284&lt;&gt;"",$E284&lt;&gt;""),"Belum ditempatkan",""),""),IF(T284="","CEK JENIS FIXTURE kosong",IF(LEFT(T284,4)&lt;&gt;"Wall","CEK Fixture 3 hanya Wall",IF(U284="","CEK SHELVING KE kosong",IF(ISNA(MATCH(T284&amp;"|"&amp;U284,LAYOUT!$E$2:$E$80,0)),"CEK SHELVING KE di luar layout",IF($I284="","CEK SERIES kosong",IF($D284="","Zona STOCK",IF($E284="","CEK SKU DESCRIPTION kosong",IF(COUNTIFS($I$2:$I$500,$I284,T$2:T$500,"&lt;&gt;"&amp;T284,T$2:T$500,"&lt;&gt;")&gt;0,"CEK jenis fixture beda dalam satu series","OK")))))))))</f>
        <v/>
      </c>
      <c r="X284" s="11" t="n"/>
      <c r="Y284" s="11" t="n"/>
      <c r="Z284" s="12" t="n"/>
      <c r="AA284" s="12" t="n"/>
      <c r="AB284" s="11" t="n"/>
      <c r="AC284" s="11" t="n"/>
      <c r="AD284" s="11" t="n"/>
      <c r="AE284" s="11" t="n"/>
      <c r="AF284" s="11" t="n"/>
      <c r="AG284" s="11" t="n"/>
      <c r="AH284" s="12" t="n"/>
      <c r="AI284" s="12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>
        <f>IF(OR(L285="",M285=""),"",IFERROR(INDEX(LAYOUT!$D$2:$D$80,MATCH(L285&amp;"|"&amp;M285,LAYOUT!$E$2:$E$80,0)),""))</f>
        <v/>
      </c>
      <c r="O285" s="12">
        <f>IF(AND(L285="",M285=""),IF(AND(P285="",Q285="",T285="",U285=""),IF(OR($D285&lt;&gt;"",$E285&lt;&gt;""),"Belum ditempatkan",""),""),IF(L285="","CEK JENIS FIXTURE kosong",IF(AND(LEFT(L285,7)&lt;&gt;"Gondola",LEFT(L285,6)&lt;&gt;"Endcap"),"CEK Fixture 1 hanya Gondola atau Endcap",IF(M285="","CEK SHELVING KE kosong",IF(ISNA(MATCH(L285&amp;"|"&amp;M285,LAYOUT!$E$2:$E$80,0)),"CEK SHELVING KE di luar layout",IF($I285="","CEK SERIES kosong",IF($D285="","Zona STOCK",IF($E285="","CEK SKU DESCRIPTION kosong",IF(COUNTIFS($I$2:$I$500,$I285,L$2:L$500,"&lt;&gt;"&amp;L285,L$2:L$500,"&lt;&gt;")&gt;0,"CEK jenis fixture beda dalam satu series","OK")))))))))</f>
        <v/>
      </c>
      <c r="P285" s="11" t="n"/>
      <c r="Q285" s="11" t="n"/>
      <c r="R285" s="11">
        <f>IF(OR(P285="",Q285=""),"",IFERROR(INDEX(LAYOUT!$D$2:$D$80,MATCH(P285&amp;"|"&amp;Q285,LAYOUT!$E$2:$E$80,0)),""))</f>
        <v/>
      </c>
      <c r="S285" s="12">
        <f>IF(AND(P285="",Q285=""),IF(AND(L285="",M285="",T285="",U285=""),IF(OR($D285&lt;&gt;"",$E285&lt;&gt;""),"Belum ditempatkan",""),""),IF(P285="","CEK JENIS FIXTURE kosong",IF(LEFT(P285,4)&lt;&gt;"Wall","CEK Fixture 2 hanya Wall",IF(Q285="","CEK SHELVING KE kosong",IF(ISNA(MATCH(P285&amp;"|"&amp;Q285,LAYOUT!$E$2:$E$80,0)),"CEK SHELVING KE di luar layout",IF($I285="","CEK SERIES kosong",IF($D285="","Zona STOCK",IF($E285="","CEK SKU DESCRIPTION kosong",IF(COUNTIFS($I$2:$I$500,$I285,P$2:P$500,"&lt;&gt;"&amp;P285,P$2:P$500,"&lt;&gt;")&gt;0,"CEK jenis fixture beda dalam satu series","OK")))))))))</f>
        <v/>
      </c>
      <c r="T285" s="11" t="n"/>
      <c r="U285" s="11" t="n"/>
      <c r="V285" s="11">
        <f>IF(OR(T285="",U285=""),"",IFERROR(INDEX(LAYOUT!$D$2:$D$80,MATCH(T285&amp;"|"&amp;U285,LAYOUT!$E$2:$E$80,0)),""))</f>
        <v/>
      </c>
      <c r="W285" s="12">
        <f>IF(AND(T285="",U285=""),IF(AND(L285="",M285="",P285="",Q285=""),IF(OR($D285&lt;&gt;"",$E285&lt;&gt;""),"Belum ditempatkan",""),""),IF(T285="","CEK JENIS FIXTURE kosong",IF(LEFT(T285,4)&lt;&gt;"Wall","CEK Fixture 3 hanya Wall",IF(U285="","CEK SHELVING KE kosong",IF(ISNA(MATCH(T285&amp;"|"&amp;U285,LAYOUT!$E$2:$E$80,0)),"CEK SHELVING KE di luar layout",IF($I285="","CEK SERIES kosong",IF($D285="","Zona STOCK",IF($E285="","CEK SKU DESCRIPTION kosong",IF(COUNTIFS($I$2:$I$500,$I285,T$2:T$500,"&lt;&gt;"&amp;T285,T$2:T$500,"&lt;&gt;")&gt;0,"CEK jenis fixture beda dalam satu series","OK")))))))))</f>
        <v/>
      </c>
      <c r="X285" s="11" t="n"/>
      <c r="Y285" s="11" t="n"/>
      <c r="Z285" s="12" t="n"/>
      <c r="AA285" s="12" t="n"/>
      <c r="AB285" s="11" t="n"/>
      <c r="AC285" s="11" t="n"/>
      <c r="AD285" s="11" t="n"/>
      <c r="AE285" s="11" t="n"/>
      <c r="AF285" s="11" t="n"/>
      <c r="AG285" s="11" t="n"/>
      <c r="AH285" s="12" t="n"/>
      <c r="AI285" s="12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>
        <f>IF(OR(L286="",M286=""),"",IFERROR(INDEX(LAYOUT!$D$2:$D$80,MATCH(L286&amp;"|"&amp;M286,LAYOUT!$E$2:$E$80,0)),""))</f>
        <v/>
      </c>
      <c r="O286" s="12">
        <f>IF(AND(L286="",M286=""),IF(AND(P286="",Q286="",T286="",U286=""),IF(OR($D286&lt;&gt;"",$E286&lt;&gt;""),"Belum ditempatkan",""),""),IF(L286="","CEK JENIS FIXTURE kosong",IF(AND(LEFT(L286,7)&lt;&gt;"Gondola",LEFT(L286,6)&lt;&gt;"Endcap"),"CEK Fixture 1 hanya Gondola atau Endcap",IF(M286="","CEK SHELVING KE kosong",IF(ISNA(MATCH(L286&amp;"|"&amp;M286,LAYOUT!$E$2:$E$80,0)),"CEK SHELVING KE di luar layout",IF($I286="","CEK SERIES kosong",IF($D286="","Zona STOCK",IF($E286="","CEK SKU DESCRIPTION kosong",IF(COUNTIFS($I$2:$I$500,$I286,L$2:L$500,"&lt;&gt;"&amp;L286,L$2:L$500,"&lt;&gt;")&gt;0,"CEK jenis fixture beda dalam satu series","OK")))))))))</f>
        <v/>
      </c>
      <c r="P286" s="11" t="n"/>
      <c r="Q286" s="11" t="n"/>
      <c r="R286" s="11">
        <f>IF(OR(P286="",Q286=""),"",IFERROR(INDEX(LAYOUT!$D$2:$D$80,MATCH(P286&amp;"|"&amp;Q286,LAYOUT!$E$2:$E$80,0)),""))</f>
        <v/>
      </c>
      <c r="S286" s="12">
        <f>IF(AND(P286="",Q286=""),IF(AND(L286="",M286="",T286="",U286=""),IF(OR($D286&lt;&gt;"",$E286&lt;&gt;""),"Belum ditempatkan",""),""),IF(P286="","CEK JENIS FIXTURE kosong",IF(LEFT(P286,4)&lt;&gt;"Wall","CEK Fixture 2 hanya Wall",IF(Q286="","CEK SHELVING KE kosong",IF(ISNA(MATCH(P286&amp;"|"&amp;Q286,LAYOUT!$E$2:$E$80,0)),"CEK SHELVING KE di luar layout",IF($I286="","CEK SERIES kosong",IF($D286="","Zona STOCK",IF($E286="","CEK SKU DESCRIPTION kosong",IF(COUNTIFS($I$2:$I$500,$I286,P$2:P$500,"&lt;&gt;"&amp;P286,P$2:P$500,"&lt;&gt;")&gt;0,"CEK jenis fixture beda dalam satu series","OK")))))))))</f>
        <v/>
      </c>
      <c r="T286" s="11" t="n"/>
      <c r="U286" s="11" t="n"/>
      <c r="V286" s="11">
        <f>IF(OR(T286="",U286=""),"",IFERROR(INDEX(LAYOUT!$D$2:$D$80,MATCH(T286&amp;"|"&amp;U286,LAYOUT!$E$2:$E$80,0)),""))</f>
        <v/>
      </c>
      <c r="W286" s="12">
        <f>IF(AND(T286="",U286=""),IF(AND(L286="",M286="",P286="",Q286=""),IF(OR($D286&lt;&gt;"",$E286&lt;&gt;""),"Belum ditempatkan",""),""),IF(T286="","CEK JENIS FIXTURE kosong",IF(LEFT(T286,4)&lt;&gt;"Wall","CEK Fixture 3 hanya Wall",IF(U286="","CEK SHELVING KE kosong",IF(ISNA(MATCH(T286&amp;"|"&amp;U286,LAYOUT!$E$2:$E$80,0)),"CEK SHELVING KE di luar layout",IF($I286="","CEK SERIES kosong",IF($D286="","Zona STOCK",IF($E286="","CEK SKU DESCRIPTION kosong",IF(COUNTIFS($I$2:$I$500,$I286,T$2:T$500,"&lt;&gt;"&amp;T286,T$2:T$500,"&lt;&gt;")&gt;0,"CEK jenis fixture beda dalam satu series","OK")))))))))</f>
        <v/>
      </c>
      <c r="X286" s="11" t="n"/>
      <c r="Y286" s="11" t="n"/>
      <c r="Z286" s="12" t="n"/>
      <c r="AA286" s="12" t="n"/>
      <c r="AB286" s="11" t="n"/>
      <c r="AC286" s="11" t="n"/>
      <c r="AD286" s="11" t="n"/>
      <c r="AE286" s="11" t="n"/>
      <c r="AF286" s="11" t="n"/>
      <c r="AG286" s="11" t="n"/>
      <c r="AH286" s="12" t="n"/>
      <c r="AI286" s="12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>
        <f>IF(OR(L287="",M287=""),"",IFERROR(INDEX(LAYOUT!$D$2:$D$80,MATCH(L287&amp;"|"&amp;M287,LAYOUT!$E$2:$E$80,0)),""))</f>
        <v/>
      </c>
      <c r="O287" s="12">
        <f>IF(AND(L287="",M287=""),IF(AND(P287="",Q287="",T287="",U287=""),IF(OR($D287&lt;&gt;"",$E287&lt;&gt;""),"Belum ditempatkan",""),""),IF(L287="","CEK JENIS FIXTURE kosong",IF(AND(LEFT(L287,7)&lt;&gt;"Gondola",LEFT(L287,6)&lt;&gt;"Endcap"),"CEK Fixture 1 hanya Gondola atau Endcap",IF(M287="","CEK SHELVING KE kosong",IF(ISNA(MATCH(L287&amp;"|"&amp;M287,LAYOUT!$E$2:$E$80,0)),"CEK SHELVING KE di luar layout",IF($I287="","CEK SERIES kosong",IF($D287="","Zona STOCK",IF($E287="","CEK SKU DESCRIPTION kosong",IF(COUNTIFS($I$2:$I$500,$I287,L$2:L$500,"&lt;&gt;"&amp;L287,L$2:L$500,"&lt;&gt;")&gt;0,"CEK jenis fixture beda dalam satu series","OK")))))))))</f>
        <v/>
      </c>
      <c r="P287" s="11" t="n"/>
      <c r="Q287" s="11" t="n"/>
      <c r="R287" s="11">
        <f>IF(OR(P287="",Q287=""),"",IFERROR(INDEX(LAYOUT!$D$2:$D$80,MATCH(P287&amp;"|"&amp;Q287,LAYOUT!$E$2:$E$80,0)),""))</f>
        <v/>
      </c>
      <c r="S287" s="12">
        <f>IF(AND(P287="",Q287=""),IF(AND(L287="",M287="",T287="",U287=""),IF(OR($D287&lt;&gt;"",$E287&lt;&gt;""),"Belum ditempatkan",""),""),IF(P287="","CEK JENIS FIXTURE kosong",IF(LEFT(P287,4)&lt;&gt;"Wall","CEK Fixture 2 hanya Wall",IF(Q287="","CEK SHELVING KE kosong",IF(ISNA(MATCH(P287&amp;"|"&amp;Q287,LAYOUT!$E$2:$E$80,0)),"CEK SHELVING KE di luar layout",IF($I287="","CEK SERIES kosong",IF($D287="","Zona STOCK",IF($E287="","CEK SKU DESCRIPTION kosong",IF(COUNTIFS($I$2:$I$500,$I287,P$2:P$500,"&lt;&gt;"&amp;P287,P$2:P$500,"&lt;&gt;")&gt;0,"CEK jenis fixture beda dalam satu series","OK")))))))))</f>
        <v/>
      </c>
      <c r="T287" s="11" t="n"/>
      <c r="U287" s="11" t="n"/>
      <c r="V287" s="11">
        <f>IF(OR(T287="",U287=""),"",IFERROR(INDEX(LAYOUT!$D$2:$D$80,MATCH(T287&amp;"|"&amp;U287,LAYOUT!$E$2:$E$80,0)),""))</f>
        <v/>
      </c>
      <c r="W287" s="12">
        <f>IF(AND(T287="",U287=""),IF(AND(L287="",M287="",P287="",Q287=""),IF(OR($D287&lt;&gt;"",$E287&lt;&gt;""),"Belum ditempatkan",""),""),IF(T287="","CEK JENIS FIXTURE kosong",IF(LEFT(T287,4)&lt;&gt;"Wall","CEK Fixture 3 hanya Wall",IF(U287="","CEK SHELVING KE kosong",IF(ISNA(MATCH(T287&amp;"|"&amp;U287,LAYOUT!$E$2:$E$80,0)),"CEK SHELVING KE di luar layout",IF($I287="","CEK SERIES kosong",IF($D287="","Zona STOCK",IF($E287="","CEK SKU DESCRIPTION kosong",IF(COUNTIFS($I$2:$I$500,$I287,T$2:T$500,"&lt;&gt;"&amp;T287,T$2:T$500,"&lt;&gt;")&gt;0,"CEK jenis fixture beda dalam satu series","OK")))))))))</f>
        <v/>
      </c>
      <c r="X287" s="11" t="n"/>
      <c r="Y287" s="11" t="n"/>
      <c r="Z287" s="12" t="n"/>
      <c r="AA287" s="12" t="n"/>
      <c r="AB287" s="11" t="n"/>
      <c r="AC287" s="11" t="n"/>
      <c r="AD287" s="11" t="n"/>
      <c r="AE287" s="11" t="n"/>
      <c r="AF287" s="11" t="n"/>
      <c r="AG287" s="11" t="n"/>
      <c r="AH287" s="12" t="n"/>
      <c r="AI287" s="12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>
        <f>IF(OR(L288="",M288=""),"",IFERROR(INDEX(LAYOUT!$D$2:$D$80,MATCH(L288&amp;"|"&amp;M288,LAYOUT!$E$2:$E$80,0)),""))</f>
        <v/>
      </c>
      <c r="O288" s="12">
        <f>IF(AND(L288="",M288=""),IF(AND(P288="",Q288="",T288="",U288=""),IF(OR($D288&lt;&gt;"",$E288&lt;&gt;""),"Belum ditempatkan",""),""),IF(L288="","CEK JENIS FIXTURE kosong",IF(AND(LEFT(L288,7)&lt;&gt;"Gondola",LEFT(L288,6)&lt;&gt;"Endcap"),"CEK Fixture 1 hanya Gondola atau Endcap",IF(M288="","CEK SHELVING KE kosong",IF(ISNA(MATCH(L288&amp;"|"&amp;M288,LAYOUT!$E$2:$E$80,0)),"CEK SHELVING KE di luar layout",IF($I288="","CEK SERIES kosong",IF($D288="","Zona STOCK",IF($E288="","CEK SKU DESCRIPTION kosong",IF(COUNTIFS($I$2:$I$500,$I288,L$2:L$500,"&lt;&gt;"&amp;L288,L$2:L$500,"&lt;&gt;")&gt;0,"CEK jenis fixture beda dalam satu series","OK")))))))))</f>
        <v/>
      </c>
      <c r="P288" s="11" t="n"/>
      <c r="Q288" s="11" t="n"/>
      <c r="R288" s="11">
        <f>IF(OR(P288="",Q288=""),"",IFERROR(INDEX(LAYOUT!$D$2:$D$80,MATCH(P288&amp;"|"&amp;Q288,LAYOUT!$E$2:$E$80,0)),""))</f>
        <v/>
      </c>
      <c r="S288" s="12">
        <f>IF(AND(P288="",Q288=""),IF(AND(L288="",M288="",T288="",U288=""),IF(OR($D288&lt;&gt;"",$E288&lt;&gt;""),"Belum ditempatkan",""),""),IF(P288="","CEK JENIS FIXTURE kosong",IF(LEFT(P288,4)&lt;&gt;"Wall","CEK Fixture 2 hanya Wall",IF(Q288="","CEK SHELVING KE kosong",IF(ISNA(MATCH(P288&amp;"|"&amp;Q288,LAYOUT!$E$2:$E$80,0)),"CEK SHELVING KE di luar layout",IF($I288="","CEK SERIES kosong",IF($D288="","Zona STOCK",IF($E288="","CEK SKU DESCRIPTION kosong",IF(COUNTIFS($I$2:$I$500,$I288,P$2:P$500,"&lt;&gt;"&amp;P288,P$2:P$500,"&lt;&gt;")&gt;0,"CEK jenis fixture beda dalam satu series","OK")))))))))</f>
        <v/>
      </c>
      <c r="T288" s="11" t="n"/>
      <c r="U288" s="11" t="n"/>
      <c r="V288" s="11">
        <f>IF(OR(T288="",U288=""),"",IFERROR(INDEX(LAYOUT!$D$2:$D$80,MATCH(T288&amp;"|"&amp;U288,LAYOUT!$E$2:$E$80,0)),""))</f>
        <v/>
      </c>
      <c r="W288" s="12">
        <f>IF(AND(T288="",U288=""),IF(AND(L288="",M288="",P288="",Q288=""),IF(OR($D288&lt;&gt;"",$E288&lt;&gt;""),"Belum ditempatkan",""),""),IF(T288="","CEK JENIS FIXTURE kosong",IF(LEFT(T288,4)&lt;&gt;"Wall","CEK Fixture 3 hanya Wall",IF(U288="","CEK SHELVING KE kosong",IF(ISNA(MATCH(T288&amp;"|"&amp;U288,LAYOUT!$E$2:$E$80,0)),"CEK SHELVING KE di luar layout",IF($I288="","CEK SERIES kosong",IF($D288="","Zona STOCK",IF($E288="","CEK SKU DESCRIPTION kosong",IF(COUNTIFS($I$2:$I$500,$I288,T$2:T$500,"&lt;&gt;"&amp;T288,T$2:T$500,"&lt;&gt;")&gt;0,"CEK jenis fixture beda dalam satu series","OK")))))))))</f>
        <v/>
      </c>
      <c r="X288" s="11" t="n"/>
      <c r="Y288" s="11" t="n"/>
      <c r="Z288" s="12" t="n"/>
      <c r="AA288" s="12" t="n"/>
      <c r="AB288" s="11" t="n"/>
      <c r="AC288" s="11" t="n"/>
      <c r="AD288" s="11" t="n"/>
      <c r="AE288" s="11" t="n"/>
      <c r="AF288" s="11" t="n"/>
      <c r="AG288" s="11" t="n"/>
      <c r="AH288" s="12" t="n"/>
      <c r="AI288" s="12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>
        <f>IF(OR(L289="",M289=""),"",IFERROR(INDEX(LAYOUT!$D$2:$D$80,MATCH(L289&amp;"|"&amp;M289,LAYOUT!$E$2:$E$80,0)),""))</f>
        <v/>
      </c>
      <c r="O289" s="12">
        <f>IF(AND(L289="",M289=""),IF(AND(P289="",Q289="",T289="",U289=""),IF(OR($D289&lt;&gt;"",$E289&lt;&gt;""),"Belum ditempatkan",""),""),IF(L289="","CEK JENIS FIXTURE kosong",IF(AND(LEFT(L289,7)&lt;&gt;"Gondola",LEFT(L289,6)&lt;&gt;"Endcap"),"CEK Fixture 1 hanya Gondola atau Endcap",IF(M289="","CEK SHELVING KE kosong",IF(ISNA(MATCH(L289&amp;"|"&amp;M289,LAYOUT!$E$2:$E$80,0)),"CEK SHELVING KE di luar layout",IF($I289="","CEK SERIES kosong",IF($D289="","Zona STOCK",IF($E289="","CEK SKU DESCRIPTION kosong",IF(COUNTIFS($I$2:$I$500,$I289,L$2:L$500,"&lt;&gt;"&amp;L289,L$2:L$500,"&lt;&gt;")&gt;0,"CEK jenis fixture beda dalam satu series","OK")))))))))</f>
        <v/>
      </c>
      <c r="P289" s="11" t="n"/>
      <c r="Q289" s="11" t="n"/>
      <c r="R289" s="11">
        <f>IF(OR(P289="",Q289=""),"",IFERROR(INDEX(LAYOUT!$D$2:$D$80,MATCH(P289&amp;"|"&amp;Q289,LAYOUT!$E$2:$E$80,0)),""))</f>
        <v/>
      </c>
      <c r="S289" s="12">
        <f>IF(AND(P289="",Q289=""),IF(AND(L289="",M289="",T289="",U289=""),IF(OR($D289&lt;&gt;"",$E289&lt;&gt;""),"Belum ditempatkan",""),""),IF(P289="","CEK JENIS FIXTURE kosong",IF(LEFT(P289,4)&lt;&gt;"Wall","CEK Fixture 2 hanya Wall",IF(Q289="","CEK SHELVING KE kosong",IF(ISNA(MATCH(P289&amp;"|"&amp;Q289,LAYOUT!$E$2:$E$80,0)),"CEK SHELVING KE di luar layout",IF($I289="","CEK SERIES kosong",IF($D289="","Zona STOCK",IF($E289="","CEK SKU DESCRIPTION kosong",IF(COUNTIFS($I$2:$I$500,$I289,P$2:P$500,"&lt;&gt;"&amp;P289,P$2:P$500,"&lt;&gt;")&gt;0,"CEK jenis fixture beda dalam satu series","OK")))))))))</f>
        <v/>
      </c>
      <c r="T289" s="11" t="n"/>
      <c r="U289" s="11" t="n"/>
      <c r="V289" s="11">
        <f>IF(OR(T289="",U289=""),"",IFERROR(INDEX(LAYOUT!$D$2:$D$80,MATCH(T289&amp;"|"&amp;U289,LAYOUT!$E$2:$E$80,0)),""))</f>
        <v/>
      </c>
      <c r="W289" s="12">
        <f>IF(AND(T289="",U289=""),IF(AND(L289="",M289="",P289="",Q289=""),IF(OR($D289&lt;&gt;"",$E289&lt;&gt;""),"Belum ditempatkan",""),""),IF(T289="","CEK JENIS FIXTURE kosong",IF(LEFT(T289,4)&lt;&gt;"Wall","CEK Fixture 3 hanya Wall",IF(U289="","CEK SHELVING KE kosong",IF(ISNA(MATCH(T289&amp;"|"&amp;U289,LAYOUT!$E$2:$E$80,0)),"CEK SHELVING KE di luar layout",IF($I289="","CEK SERIES kosong",IF($D289="","Zona STOCK",IF($E289="","CEK SKU DESCRIPTION kosong",IF(COUNTIFS($I$2:$I$500,$I289,T$2:T$500,"&lt;&gt;"&amp;T289,T$2:T$500,"&lt;&gt;")&gt;0,"CEK jenis fixture beda dalam satu series","OK")))))))))</f>
        <v/>
      </c>
      <c r="X289" s="11" t="n"/>
      <c r="Y289" s="11" t="n"/>
      <c r="Z289" s="12" t="n"/>
      <c r="AA289" s="12" t="n"/>
      <c r="AB289" s="11" t="n"/>
      <c r="AC289" s="11" t="n"/>
      <c r="AD289" s="11" t="n"/>
      <c r="AE289" s="11" t="n"/>
      <c r="AF289" s="11" t="n"/>
      <c r="AG289" s="11" t="n"/>
      <c r="AH289" s="12" t="n"/>
      <c r="AI289" s="12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>
        <f>IF(OR(L290="",M290=""),"",IFERROR(INDEX(LAYOUT!$D$2:$D$80,MATCH(L290&amp;"|"&amp;M290,LAYOUT!$E$2:$E$80,0)),""))</f>
        <v/>
      </c>
      <c r="O290" s="12">
        <f>IF(AND(L290="",M290=""),IF(AND(P290="",Q290="",T290="",U290=""),IF(OR($D290&lt;&gt;"",$E290&lt;&gt;""),"Belum ditempatkan",""),""),IF(L290="","CEK JENIS FIXTURE kosong",IF(AND(LEFT(L290,7)&lt;&gt;"Gondola",LEFT(L290,6)&lt;&gt;"Endcap"),"CEK Fixture 1 hanya Gondola atau Endcap",IF(M290="","CEK SHELVING KE kosong",IF(ISNA(MATCH(L290&amp;"|"&amp;M290,LAYOUT!$E$2:$E$80,0)),"CEK SHELVING KE di luar layout",IF($I290="","CEK SERIES kosong",IF($D290="","Zona STOCK",IF($E290="","CEK SKU DESCRIPTION kosong",IF(COUNTIFS($I$2:$I$500,$I290,L$2:L$500,"&lt;&gt;"&amp;L290,L$2:L$500,"&lt;&gt;")&gt;0,"CEK jenis fixture beda dalam satu series","OK")))))))))</f>
        <v/>
      </c>
      <c r="P290" s="11" t="n"/>
      <c r="Q290" s="11" t="n"/>
      <c r="R290" s="11">
        <f>IF(OR(P290="",Q290=""),"",IFERROR(INDEX(LAYOUT!$D$2:$D$80,MATCH(P290&amp;"|"&amp;Q290,LAYOUT!$E$2:$E$80,0)),""))</f>
        <v/>
      </c>
      <c r="S290" s="12">
        <f>IF(AND(P290="",Q290=""),IF(AND(L290="",M290="",T290="",U290=""),IF(OR($D290&lt;&gt;"",$E290&lt;&gt;""),"Belum ditempatkan",""),""),IF(P290="","CEK JENIS FIXTURE kosong",IF(LEFT(P290,4)&lt;&gt;"Wall","CEK Fixture 2 hanya Wall",IF(Q290="","CEK SHELVING KE kosong",IF(ISNA(MATCH(P290&amp;"|"&amp;Q290,LAYOUT!$E$2:$E$80,0)),"CEK SHELVING KE di luar layout",IF($I290="","CEK SERIES kosong",IF($D290="","Zona STOCK",IF($E290="","CEK SKU DESCRIPTION kosong",IF(COUNTIFS($I$2:$I$500,$I290,P$2:P$500,"&lt;&gt;"&amp;P290,P$2:P$500,"&lt;&gt;")&gt;0,"CEK jenis fixture beda dalam satu series","OK")))))))))</f>
        <v/>
      </c>
      <c r="T290" s="11" t="n"/>
      <c r="U290" s="11" t="n"/>
      <c r="V290" s="11">
        <f>IF(OR(T290="",U290=""),"",IFERROR(INDEX(LAYOUT!$D$2:$D$80,MATCH(T290&amp;"|"&amp;U290,LAYOUT!$E$2:$E$80,0)),""))</f>
        <v/>
      </c>
      <c r="W290" s="12">
        <f>IF(AND(T290="",U290=""),IF(AND(L290="",M290="",P290="",Q290=""),IF(OR($D290&lt;&gt;"",$E290&lt;&gt;""),"Belum ditempatkan",""),""),IF(T290="","CEK JENIS FIXTURE kosong",IF(LEFT(T290,4)&lt;&gt;"Wall","CEK Fixture 3 hanya Wall",IF(U290="","CEK SHELVING KE kosong",IF(ISNA(MATCH(T290&amp;"|"&amp;U290,LAYOUT!$E$2:$E$80,0)),"CEK SHELVING KE di luar layout",IF($I290="","CEK SERIES kosong",IF($D290="","Zona STOCK",IF($E290="","CEK SKU DESCRIPTION kosong",IF(COUNTIFS($I$2:$I$500,$I290,T$2:T$500,"&lt;&gt;"&amp;T290,T$2:T$500,"&lt;&gt;")&gt;0,"CEK jenis fixture beda dalam satu series","OK")))))))))</f>
        <v/>
      </c>
      <c r="X290" s="11" t="n"/>
      <c r="Y290" s="11" t="n"/>
      <c r="Z290" s="12" t="n"/>
      <c r="AA290" s="12" t="n"/>
      <c r="AB290" s="11" t="n"/>
      <c r="AC290" s="11" t="n"/>
      <c r="AD290" s="11" t="n"/>
      <c r="AE290" s="11" t="n"/>
      <c r="AF290" s="11" t="n"/>
      <c r="AG290" s="11" t="n"/>
      <c r="AH290" s="12" t="n"/>
      <c r="AI290" s="12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>
        <f>IF(OR(L291="",M291=""),"",IFERROR(INDEX(LAYOUT!$D$2:$D$80,MATCH(L291&amp;"|"&amp;M291,LAYOUT!$E$2:$E$80,0)),""))</f>
        <v/>
      </c>
      <c r="O291" s="12">
        <f>IF(AND(L291="",M291=""),IF(AND(P291="",Q291="",T291="",U291=""),IF(OR($D291&lt;&gt;"",$E291&lt;&gt;""),"Belum ditempatkan",""),""),IF(L291="","CEK JENIS FIXTURE kosong",IF(AND(LEFT(L291,7)&lt;&gt;"Gondola",LEFT(L291,6)&lt;&gt;"Endcap"),"CEK Fixture 1 hanya Gondola atau Endcap",IF(M291="","CEK SHELVING KE kosong",IF(ISNA(MATCH(L291&amp;"|"&amp;M291,LAYOUT!$E$2:$E$80,0)),"CEK SHELVING KE di luar layout",IF($I291="","CEK SERIES kosong",IF($D291="","Zona STOCK",IF($E291="","CEK SKU DESCRIPTION kosong",IF(COUNTIFS($I$2:$I$500,$I291,L$2:L$500,"&lt;&gt;"&amp;L291,L$2:L$500,"&lt;&gt;")&gt;0,"CEK jenis fixture beda dalam satu series","OK")))))))))</f>
        <v/>
      </c>
      <c r="P291" s="11" t="n"/>
      <c r="Q291" s="11" t="n"/>
      <c r="R291" s="11">
        <f>IF(OR(P291="",Q291=""),"",IFERROR(INDEX(LAYOUT!$D$2:$D$80,MATCH(P291&amp;"|"&amp;Q291,LAYOUT!$E$2:$E$80,0)),""))</f>
        <v/>
      </c>
      <c r="S291" s="12">
        <f>IF(AND(P291="",Q291=""),IF(AND(L291="",M291="",T291="",U291=""),IF(OR($D291&lt;&gt;"",$E291&lt;&gt;""),"Belum ditempatkan",""),""),IF(P291="","CEK JENIS FIXTURE kosong",IF(LEFT(P291,4)&lt;&gt;"Wall","CEK Fixture 2 hanya Wall",IF(Q291="","CEK SHELVING KE kosong",IF(ISNA(MATCH(P291&amp;"|"&amp;Q291,LAYOUT!$E$2:$E$80,0)),"CEK SHELVING KE di luar layout",IF($I291="","CEK SERIES kosong",IF($D291="","Zona STOCK",IF($E291="","CEK SKU DESCRIPTION kosong",IF(COUNTIFS($I$2:$I$500,$I291,P$2:P$500,"&lt;&gt;"&amp;P291,P$2:P$500,"&lt;&gt;")&gt;0,"CEK jenis fixture beda dalam satu series","OK")))))))))</f>
        <v/>
      </c>
      <c r="T291" s="11" t="n"/>
      <c r="U291" s="11" t="n"/>
      <c r="V291" s="11">
        <f>IF(OR(T291="",U291=""),"",IFERROR(INDEX(LAYOUT!$D$2:$D$80,MATCH(T291&amp;"|"&amp;U291,LAYOUT!$E$2:$E$80,0)),""))</f>
        <v/>
      </c>
      <c r="W291" s="12">
        <f>IF(AND(T291="",U291=""),IF(AND(L291="",M291="",P291="",Q291=""),IF(OR($D291&lt;&gt;"",$E291&lt;&gt;""),"Belum ditempatkan",""),""),IF(T291="","CEK JENIS FIXTURE kosong",IF(LEFT(T291,4)&lt;&gt;"Wall","CEK Fixture 3 hanya Wall",IF(U291="","CEK SHELVING KE kosong",IF(ISNA(MATCH(T291&amp;"|"&amp;U291,LAYOUT!$E$2:$E$80,0)),"CEK SHELVING KE di luar layout",IF($I291="","CEK SERIES kosong",IF($D291="","Zona STOCK",IF($E291="","CEK SKU DESCRIPTION kosong",IF(COUNTIFS($I$2:$I$500,$I291,T$2:T$500,"&lt;&gt;"&amp;T291,T$2:T$500,"&lt;&gt;")&gt;0,"CEK jenis fixture beda dalam satu series","OK")))))))))</f>
        <v/>
      </c>
      <c r="X291" s="11" t="n"/>
      <c r="Y291" s="11" t="n"/>
      <c r="Z291" s="12" t="n"/>
      <c r="AA291" s="12" t="n"/>
      <c r="AB291" s="11" t="n"/>
      <c r="AC291" s="11" t="n"/>
      <c r="AD291" s="11" t="n"/>
      <c r="AE291" s="11" t="n"/>
      <c r="AF291" s="11" t="n"/>
      <c r="AG291" s="11" t="n"/>
      <c r="AH291" s="12" t="n"/>
      <c r="AI291" s="12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>
        <f>IF(OR(L292="",M292=""),"",IFERROR(INDEX(LAYOUT!$D$2:$D$80,MATCH(L292&amp;"|"&amp;M292,LAYOUT!$E$2:$E$80,0)),""))</f>
        <v/>
      </c>
      <c r="O292" s="12">
        <f>IF(AND(L292="",M292=""),IF(AND(P292="",Q292="",T292="",U292=""),IF(OR($D292&lt;&gt;"",$E292&lt;&gt;""),"Belum ditempatkan",""),""),IF(L292="","CEK JENIS FIXTURE kosong",IF(AND(LEFT(L292,7)&lt;&gt;"Gondola",LEFT(L292,6)&lt;&gt;"Endcap"),"CEK Fixture 1 hanya Gondola atau Endcap",IF(M292="","CEK SHELVING KE kosong",IF(ISNA(MATCH(L292&amp;"|"&amp;M292,LAYOUT!$E$2:$E$80,0)),"CEK SHELVING KE di luar layout",IF($I292="","CEK SERIES kosong",IF($D292="","Zona STOCK",IF($E292="","CEK SKU DESCRIPTION kosong",IF(COUNTIFS($I$2:$I$500,$I292,L$2:L$500,"&lt;&gt;"&amp;L292,L$2:L$500,"&lt;&gt;")&gt;0,"CEK jenis fixture beda dalam satu series","OK")))))))))</f>
        <v/>
      </c>
      <c r="P292" s="11" t="n"/>
      <c r="Q292" s="11" t="n"/>
      <c r="R292" s="11">
        <f>IF(OR(P292="",Q292=""),"",IFERROR(INDEX(LAYOUT!$D$2:$D$80,MATCH(P292&amp;"|"&amp;Q292,LAYOUT!$E$2:$E$80,0)),""))</f>
        <v/>
      </c>
      <c r="S292" s="12">
        <f>IF(AND(P292="",Q292=""),IF(AND(L292="",M292="",T292="",U292=""),IF(OR($D292&lt;&gt;"",$E292&lt;&gt;""),"Belum ditempatkan",""),""),IF(P292="","CEK JENIS FIXTURE kosong",IF(LEFT(P292,4)&lt;&gt;"Wall","CEK Fixture 2 hanya Wall",IF(Q292="","CEK SHELVING KE kosong",IF(ISNA(MATCH(P292&amp;"|"&amp;Q292,LAYOUT!$E$2:$E$80,0)),"CEK SHELVING KE di luar layout",IF($I292="","CEK SERIES kosong",IF($D292="","Zona STOCK",IF($E292="","CEK SKU DESCRIPTION kosong",IF(COUNTIFS($I$2:$I$500,$I292,P$2:P$500,"&lt;&gt;"&amp;P292,P$2:P$500,"&lt;&gt;")&gt;0,"CEK jenis fixture beda dalam satu series","OK")))))))))</f>
        <v/>
      </c>
      <c r="T292" s="11" t="n"/>
      <c r="U292" s="11" t="n"/>
      <c r="V292" s="11">
        <f>IF(OR(T292="",U292=""),"",IFERROR(INDEX(LAYOUT!$D$2:$D$80,MATCH(T292&amp;"|"&amp;U292,LAYOUT!$E$2:$E$80,0)),""))</f>
        <v/>
      </c>
      <c r="W292" s="12">
        <f>IF(AND(T292="",U292=""),IF(AND(L292="",M292="",P292="",Q292=""),IF(OR($D292&lt;&gt;"",$E292&lt;&gt;""),"Belum ditempatkan",""),""),IF(T292="","CEK JENIS FIXTURE kosong",IF(LEFT(T292,4)&lt;&gt;"Wall","CEK Fixture 3 hanya Wall",IF(U292="","CEK SHELVING KE kosong",IF(ISNA(MATCH(T292&amp;"|"&amp;U292,LAYOUT!$E$2:$E$80,0)),"CEK SHELVING KE di luar layout",IF($I292="","CEK SERIES kosong",IF($D292="","Zona STOCK",IF($E292="","CEK SKU DESCRIPTION kosong",IF(COUNTIFS($I$2:$I$500,$I292,T$2:T$500,"&lt;&gt;"&amp;T292,T$2:T$500,"&lt;&gt;")&gt;0,"CEK jenis fixture beda dalam satu series","OK")))))))))</f>
        <v/>
      </c>
      <c r="X292" s="11" t="n"/>
      <c r="Y292" s="11" t="n"/>
      <c r="Z292" s="12" t="n"/>
      <c r="AA292" s="12" t="n"/>
      <c r="AB292" s="11" t="n"/>
      <c r="AC292" s="11" t="n"/>
      <c r="AD292" s="11" t="n"/>
      <c r="AE292" s="11" t="n"/>
      <c r="AF292" s="11" t="n"/>
      <c r="AG292" s="11" t="n"/>
      <c r="AH292" s="12" t="n"/>
      <c r="AI292" s="12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>
        <f>IF(OR(L293="",M293=""),"",IFERROR(INDEX(LAYOUT!$D$2:$D$80,MATCH(L293&amp;"|"&amp;M293,LAYOUT!$E$2:$E$80,0)),""))</f>
        <v/>
      </c>
      <c r="O293" s="12">
        <f>IF(AND(L293="",M293=""),IF(AND(P293="",Q293="",T293="",U293=""),IF(OR($D293&lt;&gt;"",$E293&lt;&gt;""),"Belum ditempatkan",""),""),IF(L293="","CEK JENIS FIXTURE kosong",IF(AND(LEFT(L293,7)&lt;&gt;"Gondola",LEFT(L293,6)&lt;&gt;"Endcap"),"CEK Fixture 1 hanya Gondola atau Endcap",IF(M293="","CEK SHELVING KE kosong",IF(ISNA(MATCH(L293&amp;"|"&amp;M293,LAYOUT!$E$2:$E$80,0)),"CEK SHELVING KE di luar layout",IF($I293="","CEK SERIES kosong",IF($D293="","Zona STOCK",IF($E293="","CEK SKU DESCRIPTION kosong",IF(COUNTIFS($I$2:$I$500,$I293,L$2:L$500,"&lt;&gt;"&amp;L293,L$2:L$500,"&lt;&gt;")&gt;0,"CEK jenis fixture beda dalam satu series","OK")))))))))</f>
        <v/>
      </c>
      <c r="P293" s="11" t="n"/>
      <c r="Q293" s="11" t="n"/>
      <c r="R293" s="11">
        <f>IF(OR(P293="",Q293=""),"",IFERROR(INDEX(LAYOUT!$D$2:$D$80,MATCH(P293&amp;"|"&amp;Q293,LAYOUT!$E$2:$E$80,0)),""))</f>
        <v/>
      </c>
      <c r="S293" s="12">
        <f>IF(AND(P293="",Q293=""),IF(AND(L293="",M293="",T293="",U293=""),IF(OR($D293&lt;&gt;"",$E293&lt;&gt;""),"Belum ditempatkan",""),""),IF(P293="","CEK JENIS FIXTURE kosong",IF(LEFT(P293,4)&lt;&gt;"Wall","CEK Fixture 2 hanya Wall",IF(Q293="","CEK SHELVING KE kosong",IF(ISNA(MATCH(P293&amp;"|"&amp;Q293,LAYOUT!$E$2:$E$80,0)),"CEK SHELVING KE di luar layout",IF($I293="","CEK SERIES kosong",IF($D293="","Zona STOCK",IF($E293="","CEK SKU DESCRIPTION kosong",IF(COUNTIFS($I$2:$I$500,$I293,P$2:P$500,"&lt;&gt;"&amp;P293,P$2:P$500,"&lt;&gt;")&gt;0,"CEK jenis fixture beda dalam satu series","OK")))))))))</f>
        <v/>
      </c>
      <c r="T293" s="11" t="n"/>
      <c r="U293" s="11" t="n"/>
      <c r="V293" s="11">
        <f>IF(OR(T293="",U293=""),"",IFERROR(INDEX(LAYOUT!$D$2:$D$80,MATCH(T293&amp;"|"&amp;U293,LAYOUT!$E$2:$E$80,0)),""))</f>
        <v/>
      </c>
      <c r="W293" s="12">
        <f>IF(AND(T293="",U293=""),IF(AND(L293="",M293="",P293="",Q293=""),IF(OR($D293&lt;&gt;"",$E293&lt;&gt;""),"Belum ditempatkan",""),""),IF(T293="","CEK JENIS FIXTURE kosong",IF(LEFT(T293,4)&lt;&gt;"Wall","CEK Fixture 3 hanya Wall",IF(U293="","CEK SHELVING KE kosong",IF(ISNA(MATCH(T293&amp;"|"&amp;U293,LAYOUT!$E$2:$E$80,0)),"CEK SHELVING KE di luar layout",IF($I293="","CEK SERIES kosong",IF($D293="","Zona STOCK",IF($E293="","CEK SKU DESCRIPTION kosong",IF(COUNTIFS($I$2:$I$500,$I293,T$2:T$500,"&lt;&gt;"&amp;T293,T$2:T$500,"&lt;&gt;")&gt;0,"CEK jenis fixture beda dalam satu series","OK")))))))))</f>
        <v/>
      </c>
      <c r="X293" s="11" t="n"/>
      <c r="Y293" s="11" t="n"/>
      <c r="Z293" s="12" t="n"/>
      <c r="AA293" s="12" t="n"/>
      <c r="AB293" s="11" t="n"/>
      <c r="AC293" s="11" t="n"/>
      <c r="AD293" s="11" t="n"/>
      <c r="AE293" s="11" t="n"/>
      <c r="AF293" s="11" t="n"/>
      <c r="AG293" s="11" t="n"/>
      <c r="AH293" s="12" t="n"/>
      <c r="AI293" s="12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>
        <f>IF(OR(L294="",M294=""),"",IFERROR(INDEX(LAYOUT!$D$2:$D$80,MATCH(L294&amp;"|"&amp;M294,LAYOUT!$E$2:$E$80,0)),""))</f>
        <v/>
      </c>
      <c r="O294" s="12">
        <f>IF(AND(L294="",M294=""),IF(AND(P294="",Q294="",T294="",U294=""),IF(OR($D294&lt;&gt;"",$E294&lt;&gt;""),"Belum ditempatkan",""),""),IF(L294="","CEK JENIS FIXTURE kosong",IF(AND(LEFT(L294,7)&lt;&gt;"Gondola",LEFT(L294,6)&lt;&gt;"Endcap"),"CEK Fixture 1 hanya Gondola atau Endcap",IF(M294="","CEK SHELVING KE kosong",IF(ISNA(MATCH(L294&amp;"|"&amp;M294,LAYOUT!$E$2:$E$80,0)),"CEK SHELVING KE di luar layout",IF($I294="","CEK SERIES kosong",IF($D294="","Zona STOCK",IF($E294="","CEK SKU DESCRIPTION kosong",IF(COUNTIFS($I$2:$I$500,$I294,L$2:L$500,"&lt;&gt;"&amp;L294,L$2:L$500,"&lt;&gt;")&gt;0,"CEK jenis fixture beda dalam satu series","OK")))))))))</f>
        <v/>
      </c>
      <c r="P294" s="11" t="n"/>
      <c r="Q294" s="11" t="n"/>
      <c r="R294" s="11">
        <f>IF(OR(P294="",Q294=""),"",IFERROR(INDEX(LAYOUT!$D$2:$D$80,MATCH(P294&amp;"|"&amp;Q294,LAYOUT!$E$2:$E$80,0)),""))</f>
        <v/>
      </c>
      <c r="S294" s="12">
        <f>IF(AND(P294="",Q294=""),IF(AND(L294="",M294="",T294="",U294=""),IF(OR($D294&lt;&gt;"",$E294&lt;&gt;""),"Belum ditempatkan",""),""),IF(P294="","CEK JENIS FIXTURE kosong",IF(LEFT(P294,4)&lt;&gt;"Wall","CEK Fixture 2 hanya Wall",IF(Q294="","CEK SHELVING KE kosong",IF(ISNA(MATCH(P294&amp;"|"&amp;Q294,LAYOUT!$E$2:$E$80,0)),"CEK SHELVING KE di luar layout",IF($I294="","CEK SERIES kosong",IF($D294="","Zona STOCK",IF($E294="","CEK SKU DESCRIPTION kosong",IF(COUNTIFS($I$2:$I$500,$I294,P$2:P$500,"&lt;&gt;"&amp;P294,P$2:P$500,"&lt;&gt;")&gt;0,"CEK jenis fixture beda dalam satu series","OK")))))))))</f>
        <v/>
      </c>
      <c r="T294" s="11" t="n"/>
      <c r="U294" s="11" t="n"/>
      <c r="V294" s="11">
        <f>IF(OR(T294="",U294=""),"",IFERROR(INDEX(LAYOUT!$D$2:$D$80,MATCH(T294&amp;"|"&amp;U294,LAYOUT!$E$2:$E$80,0)),""))</f>
        <v/>
      </c>
      <c r="W294" s="12">
        <f>IF(AND(T294="",U294=""),IF(AND(L294="",M294="",P294="",Q294=""),IF(OR($D294&lt;&gt;"",$E294&lt;&gt;""),"Belum ditempatkan",""),""),IF(T294="","CEK JENIS FIXTURE kosong",IF(LEFT(T294,4)&lt;&gt;"Wall","CEK Fixture 3 hanya Wall",IF(U294="","CEK SHELVING KE kosong",IF(ISNA(MATCH(T294&amp;"|"&amp;U294,LAYOUT!$E$2:$E$80,0)),"CEK SHELVING KE di luar layout",IF($I294="","CEK SERIES kosong",IF($D294="","Zona STOCK",IF($E294="","CEK SKU DESCRIPTION kosong",IF(COUNTIFS($I$2:$I$500,$I294,T$2:T$500,"&lt;&gt;"&amp;T294,T$2:T$500,"&lt;&gt;")&gt;0,"CEK jenis fixture beda dalam satu series","OK")))))))))</f>
        <v/>
      </c>
      <c r="X294" s="11" t="n"/>
      <c r="Y294" s="11" t="n"/>
      <c r="Z294" s="12" t="n"/>
      <c r="AA294" s="12" t="n"/>
      <c r="AB294" s="11" t="n"/>
      <c r="AC294" s="11" t="n"/>
      <c r="AD294" s="11" t="n"/>
      <c r="AE294" s="11" t="n"/>
      <c r="AF294" s="11" t="n"/>
      <c r="AG294" s="11" t="n"/>
      <c r="AH294" s="12" t="n"/>
      <c r="AI294" s="12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>
        <f>IF(OR(L295="",M295=""),"",IFERROR(INDEX(LAYOUT!$D$2:$D$80,MATCH(L295&amp;"|"&amp;M295,LAYOUT!$E$2:$E$80,0)),""))</f>
        <v/>
      </c>
      <c r="O295" s="12">
        <f>IF(AND(L295="",M295=""),IF(AND(P295="",Q295="",T295="",U295=""),IF(OR($D295&lt;&gt;"",$E295&lt;&gt;""),"Belum ditempatkan",""),""),IF(L295="","CEK JENIS FIXTURE kosong",IF(AND(LEFT(L295,7)&lt;&gt;"Gondola",LEFT(L295,6)&lt;&gt;"Endcap"),"CEK Fixture 1 hanya Gondola atau Endcap",IF(M295="","CEK SHELVING KE kosong",IF(ISNA(MATCH(L295&amp;"|"&amp;M295,LAYOUT!$E$2:$E$80,0)),"CEK SHELVING KE di luar layout",IF($I295="","CEK SERIES kosong",IF($D295="","Zona STOCK",IF($E295="","CEK SKU DESCRIPTION kosong",IF(COUNTIFS($I$2:$I$500,$I295,L$2:L$500,"&lt;&gt;"&amp;L295,L$2:L$500,"&lt;&gt;")&gt;0,"CEK jenis fixture beda dalam satu series","OK")))))))))</f>
        <v/>
      </c>
      <c r="P295" s="11" t="n"/>
      <c r="Q295" s="11" t="n"/>
      <c r="R295" s="11">
        <f>IF(OR(P295="",Q295=""),"",IFERROR(INDEX(LAYOUT!$D$2:$D$80,MATCH(P295&amp;"|"&amp;Q295,LAYOUT!$E$2:$E$80,0)),""))</f>
        <v/>
      </c>
      <c r="S295" s="12">
        <f>IF(AND(P295="",Q295=""),IF(AND(L295="",M295="",T295="",U295=""),IF(OR($D295&lt;&gt;"",$E295&lt;&gt;""),"Belum ditempatkan",""),""),IF(P295="","CEK JENIS FIXTURE kosong",IF(LEFT(P295,4)&lt;&gt;"Wall","CEK Fixture 2 hanya Wall",IF(Q295="","CEK SHELVING KE kosong",IF(ISNA(MATCH(P295&amp;"|"&amp;Q295,LAYOUT!$E$2:$E$80,0)),"CEK SHELVING KE di luar layout",IF($I295="","CEK SERIES kosong",IF($D295="","Zona STOCK",IF($E295="","CEK SKU DESCRIPTION kosong",IF(COUNTIFS($I$2:$I$500,$I295,P$2:P$500,"&lt;&gt;"&amp;P295,P$2:P$500,"&lt;&gt;")&gt;0,"CEK jenis fixture beda dalam satu series","OK")))))))))</f>
        <v/>
      </c>
      <c r="T295" s="11" t="n"/>
      <c r="U295" s="11" t="n"/>
      <c r="V295" s="11">
        <f>IF(OR(T295="",U295=""),"",IFERROR(INDEX(LAYOUT!$D$2:$D$80,MATCH(T295&amp;"|"&amp;U295,LAYOUT!$E$2:$E$80,0)),""))</f>
        <v/>
      </c>
      <c r="W295" s="12">
        <f>IF(AND(T295="",U295=""),IF(AND(L295="",M295="",P295="",Q295=""),IF(OR($D295&lt;&gt;"",$E295&lt;&gt;""),"Belum ditempatkan",""),""),IF(T295="","CEK JENIS FIXTURE kosong",IF(LEFT(T295,4)&lt;&gt;"Wall","CEK Fixture 3 hanya Wall",IF(U295="","CEK SHELVING KE kosong",IF(ISNA(MATCH(T295&amp;"|"&amp;U295,LAYOUT!$E$2:$E$80,0)),"CEK SHELVING KE di luar layout",IF($I295="","CEK SERIES kosong",IF($D295="","Zona STOCK",IF($E295="","CEK SKU DESCRIPTION kosong",IF(COUNTIFS($I$2:$I$500,$I295,T$2:T$500,"&lt;&gt;"&amp;T295,T$2:T$500,"&lt;&gt;")&gt;0,"CEK jenis fixture beda dalam satu series","OK")))))))))</f>
        <v/>
      </c>
      <c r="X295" s="11" t="n"/>
      <c r="Y295" s="11" t="n"/>
      <c r="Z295" s="12" t="n"/>
      <c r="AA295" s="12" t="n"/>
      <c r="AB295" s="11" t="n"/>
      <c r="AC295" s="11" t="n"/>
      <c r="AD295" s="11" t="n"/>
      <c r="AE295" s="11" t="n"/>
      <c r="AF295" s="11" t="n"/>
      <c r="AG295" s="11" t="n"/>
      <c r="AH295" s="12" t="n"/>
      <c r="AI295" s="12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>
        <f>IF(OR(L296="",M296=""),"",IFERROR(INDEX(LAYOUT!$D$2:$D$80,MATCH(L296&amp;"|"&amp;M296,LAYOUT!$E$2:$E$80,0)),""))</f>
        <v/>
      </c>
      <c r="O296" s="12">
        <f>IF(AND(L296="",M296=""),IF(AND(P296="",Q296="",T296="",U296=""),IF(OR($D296&lt;&gt;"",$E296&lt;&gt;""),"Belum ditempatkan",""),""),IF(L296="","CEK JENIS FIXTURE kosong",IF(AND(LEFT(L296,7)&lt;&gt;"Gondola",LEFT(L296,6)&lt;&gt;"Endcap"),"CEK Fixture 1 hanya Gondola atau Endcap",IF(M296="","CEK SHELVING KE kosong",IF(ISNA(MATCH(L296&amp;"|"&amp;M296,LAYOUT!$E$2:$E$80,0)),"CEK SHELVING KE di luar layout",IF($I296="","CEK SERIES kosong",IF($D296="","Zona STOCK",IF($E296="","CEK SKU DESCRIPTION kosong",IF(COUNTIFS($I$2:$I$500,$I296,L$2:L$500,"&lt;&gt;"&amp;L296,L$2:L$500,"&lt;&gt;")&gt;0,"CEK jenis fixture beda dalam satu series","OK")))))))))</f>
        <v/>
      </c>
      <c r="P296" s="11" t="n"/>
      <c r="Q296" s="11" t="n"/>
      <c r="R296" s="11">
        <f>IF(OR(P296="",Q296=""),"",IFERROR(INDEX(LAYOUT!$D$2:$D$80,MATCH(P296&amp;"|"&amp;Q296,LAYOUT!$E$2:$E$80,0)),""))</f>
        <v/>
      </c>
      <c r="S296" s="12">
        <f>IF(AND(P296="",Q296=""),IF(AND(L296="",M296="",T296="",U296=""),IF(OR($D296&lt;&gt;"",$E296&lt;&gt;""),"Belum ditempatkan",""),""),IF(P296="","CEK JENIS FIXTURE kosong",IF(LEFT(P296,4)&lt;&gt;"Wall","CEK Fixture 2 hanya Wall",IF(Q296="","CEK SHELVING KE kosong",IF(ISNA(MATCH(P296&amp;"|"&amp;Q296,LAYOUT!$E$2:$E$80,0)),"CEK SHELVING KE di luar layout",IF($I296="","CEK SERIES kosong",IF($D296="","Zona STOCK",IF($E296="","CEK SKU DESCRIPTION kosong",IF(COUNTIFS($I$2:$I$500,$I296,P$2:P$500,"&lt;&gt;"&amp;P296,P$2:P$500,"&lt;&gt;")&gt;0,"CEK jenis fixture beda dalam satu series","OK")))))))))</f>
        <v/>
      </c>
      <c r="T296" s="11" t="n"/>
      <c r="U296" s="11" t="n"/>
      <c r="V296" s="11">
        <f>IF(OR(T296="",U296=""),"",IFERROR(INDEX(LAYOUT!$D$2:$D$80,MATCH(T296&amp;"|"&amp;U296,LAYOUT!$E$2:$E$80,0)),""))</f>
        <v/>
      </c>
      <c r="W296" s="12">
        <f>IF(AND(T296="",U296=""),IF(AND(L296="",M296="",P296="",Q296=""),IF(OR($D296&lt;&gt;"",$E296&lt;&gt;""),"Belum ditempatkan",""),""),IF(T296="","CEK JENIS FIXTURE kosong",IF(LEFT(T296,4)&lt;&gt;"Wall","CEK Fixture 3 hanya Wall",IF(U296="","CEK SHELVING KE kosong",IF(ISNA(MATCH(T296&amp;"|"&amp;U296,LAYOUT!$E$2:$E$80,0)),"CEK SHELVING KE di luar layout",IF($I296="","CEK SERIES kosong",IF($D296="","Zona STOCK",IF($E296="","CEK SKU DESCRIPTION kosong",IF(COUNTIFS($I$2:$I$500,$I296,T$2:T$500,"&lt;&gt;"&amp;T296,T$2:T$500,"&lt;&gt;")&gt;0,"CEK jenis fixture beda dalam satu series","OK")))))))))</f>
        <v/>
      </c>
      <c r="X296" s="11" t="n"/>
      <c r="Y296" s="11" t="n"/>
      <c r="Z296" s="12" t="n"/>
      <c r="AA296" s="12" t="n"/>
      <c r="AB296" s="11" t="n"/>
      <c r="AC296" s="11" t="n"/>
      <c r="AD296" s="11" t="n"/>
      <c r="AE296" s="11" t="n"/>
      <c r="AF296" s="11" t="n"/>
      <c r="AG296" s="11" t="n"/>
      <c r="AH296" s="12" t="n"/>
      <c r="AI296" s="12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>
        <f>IF(OR(L297="",M297=""),"",IFERROR(INDEX(LAYOUT!$D$2:$D$80,MATCH(L297&amp;"|"&amp;M297,LAYOUT!$E$2:$E$80,0)),""))</f>
        <v/>
      </c>
      <c r="O297" s="12">
        <f>IF(AND(L297="",M297=""),IF(AND(P297="",Q297="",T297="",U297=""),IF(OR($D297&lt;&gt;"",$E297&lt;&gt;""),"Belum ditempatkan",""),""),IF(L297="","CEK JENIS FIXTURE kosong",IF(AND(LEFT(L297,7)&lt;&gt;"Gondola",LEFT(L297,6)&lt;&gt;"Endcap"),"CEK Fixture 1 hanya Gondola atau Endcap",IF(M297="","CEK SHELVING KE kosong",IF(ISNA(MATCH(L297&amp;"|"&amp;M297,LAYOUT!$E$2:$E$80,0)),"CEK SHELVING KE di luar layout",IF($I297="","CEK SERIES kosong",IF($D297="","Zona STOCK",IF($E297="","CEK SKU DESCRIPTION kosong",IF(COUNTIFS($I$2:$I$500,$I297,L$2:L$500,"&lt;&gt;"&amp;L297,L$2:L$500,"&lt;&gt;")&gt;0,"CEK jenis fixture beda dalam satu series","OK")))))))))</f>
        <v/>
      </c>
      <c r="P297" s="11" t="n"/>
      <c r="Q297" s="11" t="n"/>
      <c r="R297" s="11">
        <f>IF(OR(P297="",Q297=""),"",IFERROR(INDEX(LAYOUT!$D$2:$D$80,MATCH(P297&amp;"|"&amp;Q297,LAYOUT!$E$2:$E$80,0)),""))</f>
        <v/>
      </c>
      <c r="S297" s="12">
        <f>IF(AND(P297="",Q297=""),IF(AND(L297="",M297="",T297="",U297=""),IF(OR($D297&lt;&gt;"",$E297&lt;&gt;""),"Belum ditempatkan",""),""),IF(P297="","CEK JENIS FIXTURE kosong",IF(LEFT(P297,4)&lt;&gt;"Wall","CEK Fixture 2 hanya Wall",IF(Q297="","CEK SHELVING KE kosong",IF(ISNA(MATCH(P297&amp;"|"&amp;Q297,LAYOUT!$E$2:$E$80,0)),"CEK SHELVING KE di luar layout",IF($I297="","CEK SERIES kosong",IF($D297="","Zona STOCK",IF($E297="","CEK SKU DESCRIPTION kosong",IF(COUNTIFS($I$2:$I$500,$I297,P$2:P$500,"&lt;&gt;"&amp;P297,P$2:P$500,"&lt;&gt;")&gt;0,"CEK jenis fixture beda dalam satu series","OK")))))))))</f>
        <v/>
      </c>
      <c r="T297" s="11" t="n"/>
      <c r="U297" s="11" t="n"/>
      <c r="V297" s="11">
        <f>IF(OR(T297="",U297=""),"",IFERROR(INDEX(LAYOUT!$D$2:$D$80,MATCH(T297&amp;"|"&amp;U297,LAYOUT!$E$2:$E$80,0)),""))</f>
        <v/>
      </c>
      <c r="W297" s="12">
        <f>IF(AND(T297="",U297=""),IF(AND(L297="",M297="",P297="",Q297=""),IF(OR($D297&lt;&gt;"",$E297&lt;&gt;""),"Belum ditempatkan",""),""),IF(T297="","CEK JENIS FIXTURE kosong",IF(LEFT(T297,4)&lt;&gt;"Wall","CEK Fixture 3 hanya Wall",IF(U297="","CEK SHELVING KE kosong",IF(ISNA(MATCH(T297&amp;"|"&amp;U297,LAYOUT!$E$2:$E$80,0)),"CEK SHELVING KE di luar layout",IF($I297="","CEK SERIES kosong",IF($D297="","Zona STOCK",IF($E297="","CEK SKU DESCRIPTION kosong",IF(COUNTIFS($I$2:$I$500,$I297,T$2:T$500,"&lt;&gt;"&amp;T297,T$2:T$500,"&lt;&gt;")&gt;0,"CEK jenis fixture beda dalam satu series","OK")))))))))</f>
        <v/>
      </c>
      <c r="X297" s="11" t="n"/>
      <c r="Y297" s="11" t="n"/>
      <c r="Z297" s="12" t="n"/>
      <c r="AA297" s="12" t="n"/>
      <c r="AB297" s="11" t="n"/>
      <c r="AC297" s="11" t="n"/>
      <c r="AD297" s="11" t="n"/>
      <c r="AE297" s="11" t="n"/>
      <c r="AF297" s="11" t="n"/>
      <c r="AG297" s="11" t="n"/>
      <c r="AH297" s="12" t="n"/>
      <c r="AI297" s="12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>
        <f>IF(OR(L298="",M298=""),"",IFERROR(INDEX(LAYOUT!$D$2:$D$80,MATCH(L298&amp;"|"&amp;M298,LAYOUT!$E$2:$E$80,0)),""))</f>
        <v/>
      </c>
      <c r="O298" s="12">
        <f>IF(AND(L298="",M298=""),IF(AND(P298="",Q298="",T298="",U298=""),IF(OR($D298&lt;&gt;"",$E298&lt;&gt;""),"Belum ditempatkan",""),""),IF(L298="","CEK JENIS FIXTURE kosong",IF(AND(LEFT(L298,7)&lt;&gt;"Gondola",LEFT(L298,6)&lt;&gt;"Endcap"),"CEK Fixture 1 hanya Gondola atau Endcap",IF(M298="","CEK SHELVING KE kosong",IF(ISNA(MATCH(L298&amp;"|"&amp;M298,LAYOUT!$E$2:$E$80,0)),"CEK SHELVING KE di luar layout",IF($I298="","CEK SERIES kosong",IF($D298="","Zona STOCK",IF($E298="","CEK SKU DESCRIPTION kosong",IF(COUNTIFS($I$2:$I$500,$I298,L$2:L$500,"&lt;&gt;"&amp;L298,L$2:L$500,"&lt;&gt;")&gt;0,"CEK jenis fixture beda dalam satu series","OK")))))))))</f>
        <v/>
      </c>
      <c r="P298" s="11" t="n"/>
      <c r="Q298" s="11" t="n"/>
      <c r="R298" s="11">
        <f>IF(OR(P298="",Q298=""),"",IFERROR(INDEX(LAYOUT!$D$2:$D$80,MATCH(P298&amp;"|"&amp;Q298,LAYOUT!$E$2:$E$80,0)),""))</f>
        <v/>
      </c>
      <c r="S298" s="12">
        <f>IF(AND(P298="",Q298=""),IF(AND(L298="",M298="",T298="",U298=""),IF(OR($D298&lt;&gt;"",$E298&lt;&gt;""),"Belum ditempatkan",""),""),IF(P298="","CEK JENIS FIXTURE kosong",IF(LEFT(P298,4)&lt;&gt;"Wall","CEK Fixture 2 hanya Wall",IF(Q298="","CEK SHELVING KE kosong",IF(ISNA(MATCH(P298&amp;"|"&amp;Q298,LAYOUT!$E$2:$E$80,0)),"CEK SHELVING KE di luar layout",IF($I298="","CEK SERIES kosong",IF($D298="","Zona STOCK",IF($E298="","CEK SKU DESCRIPTION kosong",IF(COUNTIFS($I$2:$I$500,$I298,P$2:P$500,"&lt;&gt;"&amp;P298,P$2:P$500,"&lt;&gt;")&gt;0,"CEK jenis fixture beda dalam satu series","OK")))))))))</f>
        <v/>
      </c>
      <c r="T298" s="11" t="n"/>
      <c r="U298" s="11" t="n"/>
      <c r="V298" s="11">
        <f>IF(OR(T298="",U298=""),"",IFERROR(INDEX(LAYOUT!$D$2:$D$80,MATCH(T298&amp;"|"&amp;U298,LAYOUT!$E$2:$E$80,0)),""))</f>
        <v/>
      </c>
      <c r="W298" s="12">
        <f>IF(AND(T298="",U298=""),IF(AND(L298="",M298="",P298="",Q298=""),IF(OR($D298&lt;&gt;"",$E298&lt;&gt;""),"Belum ditempatkan",""),""),IF(T298="","CEK JENIS FIXTURE kosong",IF(LEFT(T298,4)&lt;&gt;"Wall","CEK Fixture 3 hanya Wall",IF(U298="","CEK SHELVING KE kosong",IF(ISNA(MATCH(T298&amp;"|"&amp;U298,LAYOUT!$E$2:$E$80,0)),"CEK SHELVING KE di luar layout",IF($I298="","CEK SERIES kosong",IF($D298="","Zona STOCK",IF($E298="","CEK SKU DESCRIPTION kosong",IF(COUNTIFS($I$2:$I$500,$I298,T$2:T$500,"&lt;&gt;"&amp;T298,T$2:T$500,"&lt;&gt;")&gt;0,"CEK jenis fixture beda dalam satu series","OK")))))))))</f>
        <v/>
      </c>
      <c r="X298" s="11" t="n"/>
      <c r="Y298" s="11" t="n"/>
      <c r="Z298" s="12" t="n"/>
      <c r="AA298" s="12" t="n"/>
      <c r="AB298" s="11" t="n"/>
      <c r="AC298" s="11" t="n"/>
      <c r="AD298" s="11" t="n"/>
      <c r="AE298" s="11" t="n"/>
      <c r="AF298" s="11" t="n"/>
      <c r="AG298" s="11" t="n"/>
      <c r="AH298" s="12" t="n"/>
      <c r="AI298" s="12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>
        <f>IF(OR(L299="",M299=""),"",IFERROR(INDEX(LAYOUT!$D$2:$D$80,MATCH(L299&amp;"|"&amp;M299,LAYOUT!$E$2:$E$80,0)),""))</f>
        <v/>
      </c>
      <c r="O299" s="12">
        <f>IF(AND(L299="",M299=""),IF(AND(P299="",Q299="",T299="",U299=""),IF(OR($D299&lt;&gt;"",$E299&lt;&gt;""),"Belum ditempatkan",""),""),IF(L299="","CEK JENIS FIXTURE kosong",IF(AND(LEFT(L299,7)&lt;&gt;"Gondola",LEFT(L299,6)&lt;&gt;"Endcap"),"CEK Fixture 1 hanya Gondola atau Endcap",IF(M299="","CEK SHELVING KE kosong",IF(ISNA(MATCH(L299&amp;"|"&amp;M299,LAYOUT!$E$2:$E$80,0)),"CEK SHELVING KE di luar layout",IF($I299="","CEK SERIES kosong",IF($D299="","Zona STOCK",IF($E299="","CEK SKU DESCRIPTION kosong",IF(COUNTIFS($I$2:$I$500,$I299,L$2:L$500,"&lt;&gt;"&amp;L299,L$2:L$500,"&lt;&gt;")&gt;0,"CEK jenis fixture beda dalam satu series","OK")))))))))</f>
        <v/>
      </c>
      <c r="P299" s="11" t="n"/>
      <c r="Q299" s="11" t="n"/>
      <c r="R299" s="11">
        <f>IF(OR(P299="",Q299=""),"",IFERROR(INDEX(LAYOUT!$D$2:$D$80,MATCH(P299&amp;"|"&amp;Q299,LAYOUT!$E$2:$E$80,0)),""))</f>
        <v/>
      </c>
      <c r="S299" s="12">
        <f>IF(AND(P299="",Q299=""),IF(AND(L299="",M299="",T299="",U299=""),IF(OR($D299&lt;&gt;"",$E299&lt;&gt;""),"Belum ditempatkan",""),""),IF(P299="","CEK JENIS FIXTURE kosong",IF(LEFT(P299,4)&lt;&gt;"Wall","CEK Fixture 2 hanya Wall",IF(Q299="","CEK SHELVING KE kosong",IF(ISNA(MATCH(P299&amp;"|"&amp;Q299,LAYOUT!$E$2:$E$80,0)),"CEK SHELVING KE di luar layout",IF($I299="","CEK SERIES kosong",IF($D299="","Zona STOCK",IF($E299="","CEK SKU DESCRIPTION kosong",IF(COUNTIFS($I$2:$I$500,$I299,P$2:P$500,"&lt;&gt;"&amp;P299,P$2:P$500,"&lt;&gt;")&gt;0,"CEK jenis fixture beda dalam satu series","OK")))))))))</f>
        <v/>
      </c>
      <c r="T299" s="11" t="n"/>
      <c r="U299" s="11" t="n"/>
      <c r="V299" s="11">
        <f>IF(OR(T299="",U299=""),"",IFERROR(INDEX(LAYOUT!$D$2:$D$80,MATCH(T299&amp;"|"&amp;U299,LAYOUT!$E$2:$E$80,0)),""))</f>
        <v/>
      </c>
      <c r="W299" s="12">
        <f>IF(AND(T299="",U299=""),IF(AND(L299="",M299="",P299="",Q299=""),IF(OR($D299&lt;&gt;"",$E299&lt;&gt;""),"Belum ditempatkan",""),""),IF(T299="","CEK JENIS FIXTURE kosong",IF(LEFT(T299,4)&lt;&gt;"Wall","CEK Fixture 3 hanya Wall",IF(U299="","CEK SHELVING KE kosong",IF(ISNA(MATCH(T299&amp;"|"&amp;U299,LAYOUT!$E$2:$E$80,0)),"CEK SHELVING KE di luar layout",IF($I299="","CEK SERIES kosong",IF($D299="","Zona STOCK",IF($E299="","CEK SKU DESCRIPTION kosong",IF(COUNTIFS($I$2:$I$500,$I299,T$2:T$500,"&lt;&gt;"&amp;T299,T$2:T$500,"&lt;&gt;")&gt;0,"CEK jenis fixture beda dalam satu series","OK")))))))))</f>
        <v/>
      </c>
      <c r="X299" s="11" t="n"/>
      <c r="Y299" s="11" t="n"/>
      <c r="Z299" s="12" t="n"/>
      <c r="AA299" s="12" t="n"/>
      <c r="AB299" s="11" t="n"/>
      <c r="AC299" s="11" t="n"/>
      <c r="AD299" s="11" t="n"/>
      <c r="AE299" s="11" t="n"/>
      <c r="AF299" s="11" t="n"/>
      <c r="AG299" s="11" t="n"/>
      <c r="AH299" s="12" t="n"/>
      <c r="AI299" s="12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>
        <f>IF(OR(L300="",M300=""),"",IFERROR(INDEX(LAYOUT!$D$2:$D$80,MATCH(L300&amp;"|"&amp;M300,LAYOUT!$E$2:$E$80,0)),""))</f>
        <v/>
      </c>
      <c r="O300" s="12">
        <f>IF(AND(L300="",M300=""),IF(AND(P300="",Q300="",T300="",U300=""),IF(OR($D300&lt;&gt;"",$E300&lt;&gt;""),"Belum ditempatkan",""),""),IF(L300="","CEK JENIS FIXTURE kosong",IF(AND(LEFT(L300,7)&lt;&gt;"Gondola",LEFT(L300,6)&lt;&gt;"Endcap"),"CEK Fixture 1 hanya Gondola atau Endcap",IF(M300="","CEK SHELVING KE kosong",IF(ISNA(MATCH(L300&amp;"|"&amp;M300,LAYOUT!$E$2:$E$80,0)),"CEK SHELVING KE di luar layout",IF($I300="","CEK SERIES kosong",IF($D300="","Zona STOCK",IF($E300="","CEK SKU DESCRIPTION kosong",IF(COUNTIFS($I$2:$I$500,$I300,L$2:L$500,"&lt;&gt;"&amp;L300,L$2:L$500,"&lt;&gt;")&gt;0,"CEK jenis fixture beda dalam satu series","OK")))))))))</f>
        <v/>
      </c>
      <c r="P300" s="11" t="n"/>
      <c r="Q300" s="11" t="n"/>
      <c r="R300" s="11">
        <f>IF(OR(P300="",Q300=""),"",IFERROR(INDEX(LAYOUT!$D$2:$D$80,MATCH(P300&amp;"|"&amp;Q300,LAYOUT!$E$2:$E$80,0)),""))</f>
        <v/>
      </c>
      <c r="S300" s="12">
        <f>IF(AND(P300="",Q300=""),IF(AND(L300="",M300="",T300="",U300=""),IF(OR($D300&lt;&gt;"",$E300&lt;&gt;""),"Belum ditempatkan",""),""),IF(P300="","CEK JENIS FIXTURE kosong",IF(LEFT(P300,4)&lt;&gt;"Wall","CEK Fixture 2 hanya Wall",IF(Q300="","CEK SHELVING KE kosong",IF(ISNA(MATCH(P300&amp;"|"&amp;Q300,LAYOUT!$E$2:$E$80,0)),"CEK SHELVING KE di luar layout",IF($I300="","CEK SERIES kosong",IF($D300="","Zona STOCK",IF($E300="","CEK SKU DESCRIPTION kosong",IF(COUNTIFS($I$2:$I$500,$I300,P$2:P$500,"&lt;&gt;"&amp;P300,P$2:P$500,"&lt;&gt;")&gt;0,"CEK jenis fixture beda dalam satu series","OK")))))))))</f>
        <v/>
      </c>
      <c r="T300" s="11" t="n"/>
      <c r="U300" s="11" t="n"/>
      <c r="V300" s="11">
        <f>IF(OR(T300="",U300=""),"",IFERROR(INDEX(LAYOUT!$D$2:$D$80,MATCH(T300&amp;"|"&amp;U300,LAYOUT!$E$2:$E$80,0)),""))</f>
        <v/>
      </c>
      <c r="W300" s="12">
        <f>IF(AND(T300="",U300=""),IF(AND(L300="",M300="",P300="",Q300=""),IF(OR($D300&lt;&gt;"",$E300&lt;&gt;""),"Belum ditempatkan",""),""),IF(T300="","CEK JENIS FIXTURE kosong",IF(LEFT(T300,4)&lt;&gt;"Wall","CEK Fixture 3 hanya Wall",IF(U300="","CEK SHELVING KE kosong",IF(ISNA(MATCH(T300&amp;"|"&amp;U300,LAYOUT!$E$2:$E$80,0)),"CEK SHELVING KE di luar layout",IF($I300="","CEK SERIES kosong",IF($D300="","Zona STOCK",IF($E300="","CEK SKU DESCRIPTION kosong",IF(COUNTIFS($I$2:$I$500,$I300,T$2:T$500,"&lt;&gt;"&amp;T300,T$2:T$500,"&lt;&gt;")&gt;0,"CEK jenis fixture beda dalam satu series","OK")))))))))</f>
        <v/>
      </c>
      <c r="X300" s="11" t="n"/>
      <c r="Y300" s="11" t="n"/>
      <c r="Z300" s="12" t="n"/>
      <c r="AA300" s="12" t="n"/>
      <c r="AB300" s="11" t="n"/>
      <c r="AC300" s="11" t="n"/>
      <c r="AD300" s="11" t="n"/>
      <c r="AE300" s="11" t="n"/>
      <c r="AF300" s="11" t="n"/>
      <c r="AG300" s="11" t="n"/>
      <c r="AH300" s="12" t="n"/>
      <c r="AI300" s="12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>
        <f>IF(OR(L301="",M301=""),"",IFERROR(INDEX(LAYOUT!$D$2:$D$80,MATCH(L301&amp;"|"&amp;M301,LAYOUT!$E$2:$E$80,0)),""))</f>
        <v/>
      </c>
      <c r="O301" s="12">
        <f>IF(AND(L301="",M301=""),IF(AND(P301="",Q301="",T301="",U301=""),IF(OR($D301&lt;&gt;"",$E301&lt;&gt;""),"Belum ditempatkan",""),""),IF(L301="","CEK JENIS FIXTURE kosong",IF(AND(LEFT(L301,7)&lt;&gt;"Gondola",LEFT(L301,6)&lt;&gt;"Endcap"),"CEK Fixture 1 hanya Gondola atau Endcap",IF(M301="","CEK SHELVING KE kosong",IF(ISNA(MATCH(L301&amp;"|"&amp;M301,LAYOUT!$E$2:$E$80,0)),"CEK SHELVING KE di luar layout",IF($I301="","CEK SERIES kosong",IF($D301="","Zona STOCK",IF($E301="","CEK SKU DESCRIPTION kosong",IF(COUNTIFS($I$2:$I$500,$I301,L$2:L$500,"&lt;&gt;"&amp;L301,L$2:L$500,"&lt;&gt;")&gt;0,"CEK jenis fixture beda dalam satu series","OK")))))))))</f>
        <v/>
      </c>
      <c r="P301" s="11" t="n"/>
      <c r="Q301" s="11" t="n"/>
      <c r="R301" s="11">
        <f>IF(OR(P301="",Q301=""),"",IFERROR(INDEX(LAYOUT!$D$2:$D$80,MATCH(P301&amp;"|"&amp;Q301,LAYOUT!$E$2:$E$80,0)),""))</f>
        <v/>
      </c>
      <c r="S301" s="12">
        <f>IF(AND(P301="",Q301=""),IF(AND(L301="",M301="",T301="",U301=""),IF(OR($D301&lt;&gt;"",$E301&lt;&gt;""),"Belum ditempatkan",""),""),IF(P301="","CEK JENIS FIXTURE kosong",IF(LEFT(P301,4)&lt;&gt;"Wall","CEK Fixture 2 hanya Wall",IF(Q301="","CEK SHELVING KE kosong",IF(ISNA(MATCH(P301&amp;"|"&amp;Q301,LAYOUT!$E$2:$E$80,0)),"CEK SHELVING KE di luar layout",IF($I301="","CEK SERIES kosong",IF($D301="","Zona STOCK",IF($E301="","CEK SKU DESCRIPTION kosong",IF(COUNTIFS($I$2:$I$500,$I301,P$2:P$500,"&lt;&gt;"&amp;P301,P$2:P$500,"&lt;&gt;")&gt;0,"CEK jenis fixture beda dalam satu series","OK")))))))))</f>
        <v/>
      </c>
      <c r="T301" s="11" t="n"/>
      <c r="U301" s="11" t="n"/>
      <c r="V301" s="11">
        <f>IF(OR(T301="",U301=""),"",IFERROR(INDEX(LAYOUT!$D$2:$D$80,MATCH(T301&amp;"|"&amp;U301,LAYOUT!$E$2:$E$80,0)),""))</f>
        <v/>
      </c>
      <c r="W301" s="12">
        <f>IF(AND(T301="",U301=""),IF(AND(L301="",M301="",P301="",Q301=""),IF(OR($D301&lt;&gt;"",$E301&lt;&gt;""),"Belum ditempatkan",""),""),IF(T301="","CEK JENIS FIXTURE kosong",IF(LEFT(T301,4)&lt;&gt;"Wall","CEK Fixture 3 hanya Wall",IF(U301="","CEK SHELVING KE kosong",IF(ISNA(MATCH(T301&amp;"|"&amp;U301,LAYOUT!$E$2:$E$80,0)),"CEK SHELVING KE di luar layout",IF($I301="","CEK SERIES kosong",IF($D301="","Zona STOCK",IF($E301="","CEK SKU DESCRIPTION kosong",IF(COUNTIFS($I$2:$I$500,$I301,T$2:T$500,"&lt;&gt;"&amp;T301,T$2:T$500,"&lt;&gt;")&gt;0,"CEK jenis fixture beda dalam satu series","OK")))))))))</f>
        <v/>
      </c>
      <c r="X301" s="11" t="n"/>
      <c r="Y301" s="11" t="n"/>
      <c r="Z301" s="12" t="n"/>
      <c r="AA301" s="12" t="n"/>
      <c r="AB301" s="11" t="n"/>
      <c r="AC301" s="11" t="n"/>
      <c r="AD301" s="11" t="n"/>
      <c r="AE301" s="11" t="n"/>
      <c r="AF301" s="11" t="n"/>
      <c r="AG301" s="11" t="n"/>
      <c r="AH301" s="12" t="n"/>
      <c r="AI301" s="12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>
        <f>IF(OR(L302="",M302=""),"",IFERROR(INDEX(LAYOUT!$D$2:$D$80,MATCH(L302&amp;"|"&amp;M302,LAYOUT!$E$2:$E$80,0)),""))</f>
        <v/>
      </c>
      <c r="O302" s="12">
        <f>IF(AND(L302="",M302=""),IF(AND(P302="",Q302="",T302="",U302=""),IF(OR($D302&lt;&gt;"",$E302&lt;&gt;""),"Belum ditempatkan",""),""),IF(L302="","CEK JENIS FIXTURE kosong",IF(AND(LEFT(L302,7)&lt;&gt;"Gondola",LEFT(L302,6)&lt;&gt;"Endcap"),"CEK Fixture 1 hanya Gondola atau Endcap",IF(M302="","CEK SHELVING KE kosong",IF(ISNA(MATCH(L302&amp;"|"&amp;M302,LAYOUT!$E$2:$E$80,0)),"CEK SHELVING KE di luar layout",IF($I302="","CEK SERIES kosong",IF($D302="","Zona STOCK",IF($E302="","CEK SKU DESCRIPTION kosong",IF(COUNTIFS($I$2:$I$500,$I302,L$2:L$500,"&lt;&gt;"&amp;L302,L$2:L$500,"&lt;&gt;")&gt;0,"CEK jenis fixture beda dalam satu series","OK")))))))))</f>
        <v/>
      </c>
      <c r="P302" s="11" t="n"/>
      <c r="Q302" s="11" t="n"/>
      <c r="R302" s="11">
        <f>IF(OR(P302="",Q302=""),"",IFERROR(INDEX(LAYOUT!$D$2:$D$80,MATCH(P302&amp;"|"&amp;Q302,LAYOUT!$E$2:$E$80,0)),""))</f>
        <v/>
      </c>
      <c r="S302" s="12">
        <f>IF(AND(P302="",Q302=""),IF(AND(L302="",M302="",T302="",U302=""),IF(OR($D302&lt;&gt;"",$E302&lt;&gt;""),"Belum ditempatkan",""),""),IF(P302="","CEK JENIS FIXTURE kosong",IF(LEFT(P302,4)&lt;&gt;"Wall","CEK Fixture 2 hanya Wall",IF(Q302="","CEK SHELVING KE kosong",IF(ISNA(MATCH(P302&amp;"|"&amp;Q302,LAYOUT!$E$2:$E$80,0)),"CEK SHELVING KE di luar layout",IF($I302="","CEK SERIES kosong",IF($D302="","Zona STOCK",IF($E302="","CEK SKU DESCRIPTION kosong",IF(COUNTIFS($I$2:$I$500,$I302,P$2:P$500,"&lt;&gt;"&amp;P302,P$2:P$500,"&lt;&gt;")&gt;0,"CEK jenis fixture beda dalam satu series","OK")))))))))</f>
        <v/>
      </c>
      <c r="T302" s="11" t="n"/>
      <c r="U302" s="11" t="n"/>
      <c r="V302" s="11">
        <f>IF(OR(T302="",U302=""),"",IFERROR(INDEX(LAYOUT!$D$2:$D$80,MATCH(T302&amp;"|"&amp;U302,LAYOUT!$E$2:$E$80,0)),""))</f>
        <v/>
      </c>
      <c r="W302" s="12">
        <f>IF(AND(T302="",U302=""),IF(AND(L302="",M302="",P302="",Q302=""),IF(OR($D302&lt;&gt;"",$E302&lt;&gt;""),"Belum ditempatkan",""),""),IF(T302="","CEK JENIS FIXTURE kosong",IF(LEFT(T302,4)&lt;&gt;"Wall","CEK Fixture 3 hanya Wall",IF(U302="","CEK SHELVING KE kosong",IF(ISNA(MATCH(T302&amp;"|"&amp;U302,LAYOUT!$E$2:$E$80,0)),"CEK SHELVING KE di luar layout",IF($I302="","CEK SERIES kosong",IF($D302="","Zona STOCK",IF($E302="","CEK SKU DESCRIPTION kosong",IF(COUNTIFS($I$2:$I$500,$I302,T$2:T$500,"&lt;&gt;"&amp;T302,T$2:T$500,"&lt;&gt;")&gt;0,"CEK jenis fixture beda dalam satu series","OK")))))))))</f>
        <v/>
      </c>
      <c r="X302" s="11" t="n"/>
      <c r="Y302" s="11" t="n"/>
      <c r="Z302" s="12" t="n"/>
      <c r="AA302" s="12" t="n"/>
      <c r="AB302" s="11" t="n"/>
      <c r="AC302" s="11" t="n"/>
      <c r="AD302" s="11" t="n"/>
      <c r="AE302" s="11" t="n"/>
      <c r="AF302" s="11" t="n"/>
      <c r="AG302" s="11" t="n"/>
      <c r="AH302" s="12" t="n"/>
      <c r="AI302" s="12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>
        <f>IF(OR(L303="",M303=""),"",IFERROR(INDEX(LAYOUT!$D$2:$D$80,MATCH(L303&amp;"|"&amp;M303,LAYOUT!$E$2:$E$80,0)),""))</f>
        <v/>
      </c>
      <c r="O303" s="12">
        <f>IF(AND(L303="",M303=""),IF(AND(P303="",Q303="",T303="",U303=""),IF(OR($D303&lt;&gt;"",$E303&lt;&gt;""),"Belum ditempatkan",""),""),IF(L303="","CEK JENIS FIXTURE kosong",IF(AND(LEFT(L303,7)&lt;&gt;"Gondola",LEFT(L303,6)&lt;&gt;"Endcap"),"CEK Fixture 1 hanya Gondola atau Endcap",IF(M303="","CEK SHELVING KE kosong",IF(ISNA(MATCH(L303&amp;"|"&amp;M303,LAYOUT!$E$2:$E$80,0)),"CEK SHELVING KE di luar layout",IF($I303="","CEK SERIES kosong",IF($D303="","Zona STOCK",IF($E303="","CEK SKU DESCRIPTION kosong",IF(COUNTIFS($I$2:$I$500,$I303,L$2:L$500,"&lt;&gt;"&amp;L303,L$2:L$500,"&lt;&gt;")&gt;0,"CEK jenis fixture beda dalam satu series","OK")))))))))</f>
        <v/>
      </c>
      <c r="P303" s="11" t="n"/>
      <c r="Q303" s="11" t="n"/>
      <c r="R303" s="11">
        <f>IF(OR(P303="",Q303=""),"",IFERROR(INDEX(LAYOUT!$D$2:$D$80,MATCH(P303&amp;"|"&amp;Q303,LAYOUT!$E$2:$E$80,0)),""))</f>
        <v/>
      </c>
      <c r="S303" s="12">
        <f>IF(AND(P303="",Q303=""),IF(AND(L303="",M303="",T303="",U303=""),IF(OR($D303&lt;&gt;"",$E303&lt;&gt;""),"Belum ditempatkan",""),""),IF(P303="","CEK JENIS FIXTURE kosong",IF(LEFT(P303,4)&lt;&gt;"Wall","CEK Fixture 2 hanya Wall",IF(Q303="","CEK SHELVING KE kosong",IF(ISNA(MATCH(P303&amp;"|"&amp;Q303,LAYOUT!$E$2:$E$80,0)),"CEK SHELVING KE di luar layout",IF($I303="","CEK SERIES kosong",IF($D303="","Zona STOCK",IF($E303="","CEK SKU DESCRIPTION kosong",IF(COUNTIFS($I$2:$I$500,$I303,P$2:P$500,"&lt;&gt;"&amp;P303,P$2:P$500,"&lt;&gt;")&gt;0,"CEK jenis fixture beda dalam satu series","OK")))))))))</f>
        <v/>
      </c>
      <c r="T303" s="11" t="n"/>
      <c r="U303" s="11" t="n"/>
      <c r="V303" s="11">
        <f>IF(OR(T303="",U303=""),"",IFERROR(INDEX(LAYOUT!$D$2:$D$80,MATCH(T303&amp;"|"&amp;U303,LAYOUT!$E$2:$E$80,0)),""))</f>
        <v/>
      </c>
      <c r="W303" s="12">
        <f>IF(AND(T303="",U303=""),IF(AND(L303="",M303="",P303="",Q303=""),IF(OR($D303&lt;&gt;"",$E303&lt;&gt;""),"Belum ditempatkan",""),""),IF(T303="","CEK JENIS FIXTURE kosong",IF(LEFT(T303,4)&lt;&gt;"Wall","CEK Fixture 3 hanya Wall",IF(U303="","CEK SHELVING KE kosong",IF(ISNA(MATCH(T303&amp;"|"&amp;U303,LAYOUT!$E$2:$E$80,0)),"CEK SHELVING KE di luar layout",IF($I303="","CEK SERIES kosong",IF($D303="","Zona STOCK",IF($E303="","CEK SKU DESCRIPTION kosong",IF(COUNTIFS($I$2:$I$500,$I303,T$2:T$500,"&lt;&gt;"&amp;T303,T$2:T$500,"&lt;&gt;")&gt;0,"CEK jenis fixture beda dalam satu series","OK")))))))))</f>
        <v/>
      </c>
      <c r="X303" s="11" t="n"/>
      <c r="Y303" s="11" t="n"/>
      <c r="Z303" s="12" t="n"/>
      <c r="AA303" s="12" t="n"/>
      <c r="AB303" s="11" t="n"/>
      <c r="AC303" s="11" t="n"/>
      <c r="AD303" s="11" t="n"/>
      <c r="AE303" s="11" t="n"/>
      <c r="AF303" s="11" t="n"/>
      <c r="AG303" s="11" t="n"/>
      <c r="AH303" s="12" t="n"/>
      <c r="AI303" s="12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>
        <f>IF(OR(L304="",M304=""),"",IFERROR(INDEX(LAYOUT!$D$2:$D$80,MATCH(L304&amp;"|"&amp;M304,LAYOUT!$E$2:$E$80,0)),""))</f>
        <v/>
      </c>
      <c r="O304" s="12">
        <f>IF(AND(L304="",M304=""),IF(AND(P304="",Q304="",T304="",U304=""),IF(OR($D304&lt;&gt;"",$E304&lt;&gt;""),"Belum ditempatkan",""),""),IF(L304="","CEK JENIS FIXTURE kosong",IF(AND(LEFT(L304,7)&lt;&gt;"Gondola",LEFT(L304,6)&lt;&gt;"Endcap"),"CEK Fixture 1 hanya Gondola atau Endcap",IF(M304="","CEK SHELVING KE kosong",IF(ISNA(MATCH(L304&amp;"|"&amp;M304,LAYOUT!$E$2:$E$80,0)),"CEK SHELVING KE di luar layout",IF($I304="","CEK SERIES kosong",IF($D304="","Zona STOCK",IF($E304="","CEK SKU DESCRIPTION kosong",IF(COUNTIFS($I$2:$I$500,$I304,L$2:L$500,"&lt;&gt;"&amp;L304,L$2:L$500,"&lt;&gt;")&gt;0,"CEK jenis fixture beda dalam satu series","OK")))))))))</f>
        <v/>
      </c>
      <c r="P304" s="11" t="n"/>
      <c r="Q304" s="11" t="n"/>
      <c r="R304" s="11">
        <f>IF(OR(P304="",Q304=""),"",IFERROR(INDEX(LAYOUT!$D$2:$D$80,MATCH(P304&amp;"|"&amp;Q304,LAYOUT!$E$2:$E$80,0)),""))</f>
        <v/>
      </c>
      <c r="S304" s="12">
        <f>IF(AND(P304="",Q304=""),IF(AND(L304="",M304="",T304="",U304=""),IF(OR($D304&lt;&gt;"",$E304&lt;&gt;""),"Belum ditempatkan",""),""),IF(P304="","CEK JENIS FIXTURE kosong",IF(LEFT(P304,4)&lt;&gt;"Wall","CEK Fixture 2 hanya Wall",IF(Q304="","CEK SHELVING KE kosong",IF(ISNA(MATCH(P304&amp;"|"&amp;Q304,LAYOUT!$E$2:$E$80,0)),"CEK SHELVING KE di luar layout",IF($I304="","CEK SERIES kosong",IF($D304="","Zona STOCK",IF($E304="","CEK SKU DESCRIPTION kosong",IF(COUNTIFS($I$2:$I$500,$I304,P$2:P$500,"&lt;&gt;"&amp;P304,P$2:P$500,"&lt;&gt;")&gt;0,"CEK jenis fixture beda dalam satu series","OK")))))))))</f>
        <v/>
      </c>
      <c r="T304" s="11" t="n"/>
      <c r="U304" s="11" t="n"/>
      <c r="V304" s="11">
        <f>IF(OR(T304="",U304=""),"",IFERROR(INDEX(LAYOUT!$D$2:$D$80,MATCH(T304&amp;"|"&amp;U304,LAYOUT!$E$2:$E$80,0)),""))</f>
        <v/>
      </c>
      <c r="W304" s="12">
        <f>IF(AND(T304="",U304=""),IF(AND(L304="",M304="",P304="",Q304=""),IF(OR($D304&lt;&gt;"",$E304&lt;&gt;""),"Belum ditempatkan",""),""),IF(T304="","CEK JENIS FIXTURE kosong",IF(LEFT(T304,4)&lt;&gt;"Wall","CEK Fixture 3 hanya Wall",IF(U304="","CEK SHELVING KE kosong",IF(ISNA(MATCH(T304&amp;"|"&amp;U304,LAYOUT!$E$2:$E$80,0)),"CEK SHELVING KE di luar layout",IF($I304="","CEK SERIES kosong",IF($D304="","Zona STOCK",IF($E304="","CEK SKU DESCRIPTION kosong",IF(COUNTIFS($I$2:$I$500,$I304,T$2:T$500,"&lt;&gt;"&amp;T304,T$2:T$500,"&lt;&gt;")&gt;0,"CEK jenis fixture beda dalam satu series","OK")))))))))</f>
        <v/>
      </c>
      <c r="X304" s="11" t="n"/>
      <c r="Y304" s="11" t="n"/>
      <c r="Z304" s="12" t="n"/>
      <c r="AA304" s="12" t="n"/>
      <c r="AB304" s="11" t="n"/>
      <c r="AC304" s="11" t="n"/>
      <c r="AD304" s="11" t="n"/>
      <c r="AE304" s="11" t="n"/>
      <c r="AF304" s="11" t="n"/>
      <c r="AG304" s="11" t="n"/>
      <c r="AH304" s="12" t="n"/>
      <c r="AI304" s="12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>
        <f>IF(OR(L305="",M305=""),"",IFERROR(INDEX(LAYOUT!$D$2:$D$80,MATCH(L305&amp;"|"&amp;M305,LAYOUT!$E$2:$E$80,0)),""))</f>
        <v/>
      </c>
      <c r="O305" s="12">
        <f>IF(AND(L305="",M305=""),IF(AND(P305="",Q305="",T305="",U305=""),IF(OR($D305&lt;&gt;"",$E305&lt;&gt;""),"Belum ditempatkan",""),""),IF(L305="","CEK JENIS FIXTURE kosong",IF(AND(LEFT(L305,7)&lt;&gt;"Gondola",LEFT(L305,6)&lt;&gt;"Endcap"),"CEK Fixture 1 hanya Gondola atau Endcap",IF(M305="","CEK SHELVING KE kosong",IF(ISNA(MATCH(L305&amp;"|"&amp;M305,LAYOUT!$E$2:$E$80,0)),"CEK SHELVING KE di luar layout",IF($I305="","CEK SERIES kosong",IF($D305="","Zona STOCK",IF($E305="","CEK SKU DESCRIPTION kosong",IF(COUNTIFS($I$2:$I$500,$I305,L$2:L$500,"&lt;&gt;"&amp;L305,L$2:L$500,"&lt;&gt;")&gt;0,"CEK jenis fixture beda dalam satu series","OK")))))))))</f>
        <v/>
      </c>
      <c r="P305" s="11" t="n"/>
      <c r="Q305" s="11" t="n"/>
      <c r="R305" s="11">
        <f>IF(OR(P305="",Q305=""),"",IFERROR(INDEX(LAYOUT!$D$2:$D$80,MATCH(P305&amp;"|"&amp;Q305,LAYOUT!$E$2:$E$80,0)),""))</f>
        <v/>
      </c>
      <c r="S305" s="12">
        <f>IF(AND(P305="",Q305=""),IF(AND(L305="",M305="",T305="",U305=""),IF(OR($D305&lt;&gt;"",$E305&lt;&gt;""),"Belum ditempatkan",""),""),IF(P305="","CEK JENIS FIXTURE kosong",IF(LEFT(P305,4)&lt;&gt;"Wall","CEK Fixture 2 hanya Wall",IF(Q305="","CEK SHELVING KE kosong",IF(ISNA(MATCH(P305&amp;"|"&amp;Q305,LAYOUT!$E$2:$E$80,0)),"CEK SHELVING KE di luar layout",IF($I305="","CEK SERIES kosong",IF($D305="","Zona STOCK",IF($E305="","CEK SKU DESCRIPTION kosong",IF(COUNTIFS($I$2:$I$500,$I305,P$2:P$500,"&lt;&gt;"&amp;P305,P$2:P$500,"&lt;&gt;")&gt;0,"CEK jenis fixture beda dalam satu series","OK")))))))))</f>
        <v/>
      </c>
      <c r="T305" s="11" t="n"/>
      <c r="U305" s="11" t="n"/>
      <c r="V305" s="11">
        <f>IF(OR(T305="",U305=""),"",IFERROR(INDEX(LAYOUT!$D$2:$D$80,MATCH(T305&amp;"|"&amp;U305,LAYOUT!$E$2:$E$80,0)),""))</f>
        <v/>
      </c>
      <c r="W305" s="12">
        <f>IF(AND(T305="",U305=""),IF(AND(L305="",M305="",P305="",Q305=""),IF(OR($D305&lt;&gt;"",$E305&lt;&gt;""),"Belum ditempatkan",""),""),IF(T305="","CEK JENIS FIXTURE kosong",IF(LEFT(T305,4)&lt;&gt;"Wall","CEK Fixture 3 hanya Wall",IF(U305="","CEK SHELVING KE kosong",IF(ISNA(MATCH(T305&amp;"|"&amp;U305,LAYOUT!$E$2:$E$80,0)),"CEK SHELVING KE di luar layout",IF($I305="","CEK SERIES kosong",IF($D305="","Zona STOCK",IF($E305="","CEK SKU DESCRIPTION kosong",IF(COUNTIFS($I$2:$I$500,$I305,T$2:T$500,"&lt;&gt;"&amp;T305,T$2:T$500,"&lt;&gt;")&gt;0,"CEK jenis fixture beda dalam satu series","OK")))))))))</f>
        <v/>
      </c>
      <c r="X305" s="11" t="n"/>
      <c r="Y305" s="11" t="n"/>
      <c r="Z305" s="12" t="n"/>
      <c r="AA305" s="12" t="n"/>
      <c r="AB305" s="11" t="n"/>
      <c r="AC305" s="11" t="n"/>
      <c r="AD305" s="11" t="n"/>
      <c r="AE305" s="11" t="n"/>
      <c r="AF305" s="11" t="n"/>
      <c r="AG305" s="11" t="n"/>
      <c r="AH305" s="12" t="n"/>
      <c r="AI305" s="12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>
        <f>IF(OR(L306="",M306=""),"",IFERROR(INDEX(LAYOUT!$D$2:$D$80,MATCH(L306&amp;"|"&amp;M306,LAYOUT!$E$2:$E$80,0)),""))</f>
        <v/>
      </c>
      <c r="O306" s="12">
        <f>IF(AND(L306="",M306=""),IF(AND(P306="",Q306="",T306="",U306=""),IF(OR($D306&lt;&gt;"",$E306&lt;&gt;""),"Belum ditempatkan",""),""),IF(L306="","CEK JENIS FIXTURE kosong",IF(AND(LEFT(L306,7)&lt;&gt;"Gondola",LEFT(L306,6)&lt;&gt;"Endcap"),"CEK Fixture 1 hanya Gondola atau Endcap",IF(M306="","CEK SHELVING KE kosong",IF(ISNA(MATCH(L306&amp;"|"&amp;M306,LAYOUT!$E$2:$E$80,0)),"CEK SHELVING KE di luar layout",IF($I306="","CEK SERIES kosong",IF($D306="","Zona STOCK",IF($E306="","CEK SKU DESCRIPTION kosong",IF(COUNTIFS($I$2:$I$500,$I306,L$2:L$500,"&lt;&gt;"&amp;L306,L$2:L$500,"&lt;&gt;")&gt;0,"CEK jenis fixture beda dalam satu series","OK")))))))))</f>
        <v/>
      </c>
      <c r="P306" s="11" t="n"/>
      <c r="Q306" s="11" t="n"/>
      <c r="R306" s="11">
        <f>IF(OR(P306="",Q306=""),"",IFERROR(INDEX(LAYOUT!$D$2:$D$80,MATCH(P306&amp;"|"&amp;Q306,LAYOUT!$E$2:$E$80,0)),""))</f>
        <v/>
      </c>
      <c r="S306" s="12">
        <f>IF(AND(P306="",Q306=""),IF(AND(L306="",M306="",T306="",U306=""),IF(OR($D306&lt;&gt;"",$E306&lt;&gt;""),"Belum ditempatkan",""),""),IF(P306="","CEK JENIS FIXTURE kosong",IF(LEFT(P306,4)&lt;&gt;"Wall","CEK Fixture 2 hanya Wall",IF(Q306="","CEK SHELVING KE kosong",IF(ISNA(MATCH(P306&amp;"|"&amp;Q306,LAYOUT!$E$2:$E$80,0)),"CEK SHELVING KE di luar layout",IF($I306="","CEK SERIES kosong",IF($D306="","Zona STOCK",IF($E306="","CEK SKU DESCRIPTION kosong",IF(COUNTIFS($I$2:$I$500,$I306,P$2:P$500,"&lt;&gt;"&amp;P306,P$2:P$500,"&lt;&gt;")&gt;0,"CEK jenis fixture beda dalam satu series","OK")))))))))</f>
        <v/>
      </c>
      <c r="T306" s="11" t="n"/>
      <c r="U306" s="11" t="n"/>
      <c r="V306" s="11">
        <f>IF(OR(T306="",U306=""),"",IFERROR(INDEX(LAYOUT!$D$2:$D$80,MATCH(T306&amp;"|"&amp;U306,LAYOUT!$E$2:$E$80,0)),""))</f>
        <v/>
      </c>
      <c r="W306" s="12">
        <f>IF(AND(T306="",U306=""),IF(AND(L306="",M306="",P306="",Q306=""),IF(OR($D306&lt;&gt;"",$E306&lt;&gt;""),"Belum ditempatkan",""),""),IF(T306="","CEK JENIS FIXTURE kosong",IF(LEFT(T306,4)&lt;&gt;"Wall","CEK Fixture 3 hanya Wall",IF(U306="","CEK SHELVING KE kosong",IF(ISNA(MATCH(T306&amp;"|"&amp;U306,LAYOUT!$E$2:$E$80,0)),"CEK SHELVING KE di luar layout",IF($I306="","CEK SERIES kosong",IF($D306="","Zona STOCK",IF($E306="","CEK SKU DESCRIPTION kosong",IF(COUNTIFS($I$2:$I$500,$I306,T$2:T$500,"&lt;&gt;"&amp;T306,T$2:T$500,"&lt;&gt;")&gt;0,"CEK jenis fixture beda dalam satu series","OK")))))))))</f>
        <v/>
      </c>
      <c r="X306" s="11" t="n"/>
      <c r="Y306" s="11" t="n"/>
      <c r="Z306" s="12" t="n"/>
      <c r="AA306" s="12" t="n"/>
      <c r="AB306" s="11" t="n"/>
      <c r="AC306" s="11" t="n"/>
      <c r="AD306" s="11" t="n"/>
      <c r="AE306" s="11" t="n"/>
      <c r="AF306" s="11" t="n"/>
      <c r="AG306" s="11" t="n"/>
      <c r="AH306" s="12" t="n"/>
      <c r="AI306" s="12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>
        <f>IF(OR(L307="",M307=""),"",IFERROR(INDEX(LAYOUT!$D$2:$D$80,MATCH(L307&amp;"|"&amp;M307,LAYOUT!$E$2:$E$80,0)),""))</f>
        <v/>
      </c>
      <c r="O307" s="12">
        <f>IF(AND(L307="",M307=""),IF(AND(P307="",Q307="",T307="",U307=""),IF(OR($D307&lt;&gt;"",$E307&lt;&gt;""),"Belum ditempatkan",""),""),IF(L307="","CEK JENIS FIXTURE kosong",IF(AND(LEFT(L307,7)&lt;&gt;"Gondola",LEFT(L307,6)&lt;&gt;"Endcap"),"CEK Fixture 1 hanya Gondola atau Endcap",IF(M307="","CEK SHELVING KE kosong",IF(ISNA(MATCH(L307&amp;"|"&amp;M307,LAYOUT!$E$2:$E$80,0)),"CEK SHELVING KE di luar layout",IF($I307="","CEK SERIES kosong",IF($D307="","Zona STOCK",IF($E307="","CEK SKU DESCRIPTION kosong",IF(COUNTIFS($I$2:$I$500,$I307,L$2:L$500,"&lt;&gt;"&amp;L307,L$2:L$500,"&lt;&gt;")&gt;0,"CEK jenis fixture beda dalam satu series","OK")))))))))</f>
        <v/>
      </c>
      <c r="P307" s="11" t="n"/>
      <c r="Q307" s="11" t="n"/>
      <c r="R307" s="11">
        <f>IF(OR(P307="",Q307=""),"",IFERROR(INDEX(LAYOUT!$D$2:$D$80,MATCH(P307&amp;"|"&amp;Q307,LAYOUT!$E$2:$E$80,0)),""))</f>
        <v/>
      </c>
      <c r="S307" s="12">
        <f>IF(AND(P307="",Q307=""),IF(AND(L307="",M307="",T307="",U307=""),IF(OR($D307&lt;&gt;"",$E307&lt;&gt;""),"Belum ditempatkan",""),""),IF(P307="","CEK JENIS FIXTURE kosong",IF(LEFT(P307,4)&lt;&gt;"Wall","CEK Fixture 2 hanya Wall",IF(Q307="","CEK SHELVING KE kosong",IF(ISNA(MATCH(P307&amp;"|"&amp;Q307,LAYOUT!$E$2:$E$80,0)),"CEK SHELVING KE di luar layout",IF($I307="","CEK SERIES kosong",IF($D307="","Zona STOCK",IF($E307="","CEK SKU DESCRIPTION kosong",IF(COUNTIFS($I$2:$I$500,$I307,P$2:P$500,"&lt;&gt;"&amp;P307,P$2:P$500,"&lt;&gt;")&gt;0,"CEK jenis fixture beda dalam satu series","OK")))))))))</f>
        <v/>
      </c>
      <c r="T307" s="11" t="n"/>
      <c r="U307" s="11" t="n"/>
      <c r="V307" s="11">
        <f>IF(OR(T307="",U307=""),"",IFERROR(INDEX(LAYOUT!$D$2:$D$80,MATCH(T307&amp;"|"&amp;U307,LAYOUT!$E$2:$E$80,0)),""))</f>
        <v/>
      </c>
      <c r="W307" s="12">
        <f>IF(AND(T307="",U307=""),IF(AND(L307="",M307="",P307="",Q307=""),IF(OR($D307&lt;&gt;"",$E307&lt;&gt;""),"Belum ditempatkan",""),""),IF(T307="","CEK JENIS FIXTURE kosong",IF(LEFT(T307,4)&lt;&gt;"Wall","CEK Fixture 3 hanya Wall",IF(U307="","CEK SHELVING KE kosong",IF(ISNA(MATCH(T307&amp;"|"&amp;U307,LAYOUT!$E$2:$E$80,0)),"CEK SHELVING KE di luar layout",IF($I307="","CEK SERIES kosong",IF($D307="","Zona STOCK",IF($E307="","CEK SKU DESCRIPTION kosong",IF(COUNTIFS($I$2:$I$500,$I307,T$2:T$500,"&lt;&gt;"&amp;T307,T$2:T$500,"&lt;&gt;")&gt;0,"CEK jenis fixture beda dalam satu series","OK")))))))))</f>
        <v/>
      </c>
      <c r="X307" s="11" t="n"/>
      <c r="Y307" s="11" t="n"/>
      <c r="Z307" s="12" t="n"/>
      <c r="AA307" s="12" t="n"/>
      <c r="AB307" s="11" t="n"/>
      <c r="AC307" s="11" t="n"/>
      <c r="AD307" s="11" t="n"/>
      <c r="AE307" s="11" t="n"/>
      <c r="AF307" s="11" t="n"/>
      <c r="AG307" s="11" t="n"/>
      <c r="AH307" s="12" t="n"/>
      <c r="AI307" s="12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>
        <f>IF(OR(L308="",M308=""),"",IFERROR(INDEX(LAYOUT!$D$2:$D$80,MATCH(L308&amp;"|"&amp;M308,LAYOUT!$E$2:$E$80,0)),""))</f>
        <v/>
      </c>
      <c r="O308" s="12">
        <f>IF(AND(L308="",M308=""),IF(AND(P308="",Q308="",T308="",U308=""),IF(OR($D308&lt;&gt;"",$E308&lt;&gt;""),"Belum ditempatkan",""),""),IF(L308="","CEK JENIS FIXTURE kosong",IF(AND(LEFT(L308,7)&lt;&gt;"Gondola",LEFT(L308,6)&lt;&gt;"Endcap"),"CEK Fixture 1 hanya Gondola atau Endcap",IF(M308="","CEK SHELVING KE kosong",IF(ISNA(MATCH(L308&amp;"|"&amp;M308,LAYOUT!$E$2:$E$80,0)),"CEK SHELVING KE di luar layout",IF($I308="","CEK SERIES kosong",IF($D308="","Zona STOCK",IF($E308="","CEK SKU DESCRIPTION kosong",IF(COUNTIFS($I$2:$I$500,$I308,L$2:L$500,"&lt;&gt;"&amp;L308,L$2:L$500,"&lt;&gt;")&gt;0,"CEK jenis fixture beda dalam satu series","OK")))))))))</f>
        <v/>
      </c>
      <c r="P308" s="11" t="n"/>
      <c r="Q308" s="11" t="n"/>
      <c r="R308" s="11">
        <f>IF(OR(P308="",Q308=""),"",IFERROR(INDEX(LAYOUT!$D$2:$D$80,MATCH(P308&amp;"|"&amp;Q308,LAYOUT!$E$2:$E$80,0)),""))</f>
        <v/>
      </c>
      <c r="S308" s="12">
        <f>IF(AND(P308="",Q308=""),IF(AND(L308="",M308="",T308="",U308=""),IF(OR($D308&lt;&gt;"",$E308&lt;&gt;""),"Belum ditempatkan",""),""),IF(P308="","CEK JENIS FIXTURE kosong",IF(LEFT(P308,4)&lt;&gt;"Wall","CEK Fixture 2 hanya Wall",IF(Q308="","CEK SHELVING KE kosong",IF(ISNA(MATCH(P308&amp;"|"&amp;Q308,LAYOUT!$E$2:$E$80,0)),"CEK SHELVING KE di luar layout",IF($I308="","CEK SERIES kosong",IF($D308="","Zona STOCK",IF($E308="","CEK SKU DESCRIPTION kosong",IF(COUNTIFS($I$2:$I$500,$I308,P$2:P$500,"&lt;&gt;"&amp;P308,P$2:P$500,"&lt;&gt;")&gt;0,"CEK jenis fixture beda dalam satu series","OK")))))))))</f>
        <v/>
      </c>
      <c r="T308" s="11" t="n"/>
      <c r="U308" s="11" t="n"/>
      <c r="V308" s="11">
        <f>IF(OR(T308="",U308=""),"",IFERROR(INDEX(LAYOUT!$D$2:$D$80,MATCH(T308&amp;"|"&amp;U308,LAYOUT!$E$2:$E$80,0)),""))</f>
        <v/>
      </c>
      <c r="W308" s="12">
        <f>IF(AND(T308="",U308=""),IF(AND(L308="",M308="",P308="",Q308=""),IF(OR($D308&lt;&gt;"",$E308&lt;&gt;""),"Belum ditempatkan",""),""),IF(T308="","CEK JENIS FIXTURE kosong",IF(LEFT(T308,4)&lt;&gt;"Wall","CEK Fixture 3 hanya Wall",IF(U308="","CEK SHELVING KE kosong",IF(ISNA(MATCH(T308&amp;"|"&amp;U308,LAYOUT!$E$2:$E$80,0)),"CEK SHELVING KE di luar layout",IF($I308="","CEK SERIES kosong",IF($D308="","Zona STOCK",IF($E308="","CEK SKU DESCRIPTION kosong",IF(COUNTIFS($I$2:$I$500,$I308,T$2:T$500,"&lt;&gt;"&amp;T308,T$2:T$500,"&lt;&gt;")&gt;0,"CEK jenis fixture beda dalam satu series","OK")))))))))</f>
        <v/>
      </c>
      <c r="X308" s="11" t="n"/>
      <c r="Y308" s="11" t="n"/>
      <c r="Z308" s="12" t="n"/>
      <c r="AA308" s="12" t="n"/>
      <c r="AB308" s="11" t="n"/>
      <c r="AC308" s="11" t="n"/>
      <c r="AD308" s="11" t="n"/>
      <c r="AE308" s="11" t="n"/>
      <c r="AF308" s="11" t="n"/>
      <c r="AG308" s="11" t="n"/>
      <c r="AH308" s="12" t="n"/>
      <c r="AI308" s="12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>
        <f>IF(OR(L309="",M309=""),"",IFERROR(INDEX(LAYOUT!$D$2:$D$80,MATCH(L309&amp;"|"&amp;M309,LAYOUT!$E$2:$E$80,0)),""))</f>
        <v/>
      </c>
      <c r="O309" s="12">
        <f>IF(AND(L309="",M309=""),IF(AND(P309="",Q309="",T309="",U309=""),IF(OR($D309&lt;&gt;"",$E309&lt;&gt;""),"Belum ditempatkan",""),""),IF(L309="","CEK JENIS FIXTURE kosong",IF(AND(LEFT(L309,7)&lt;&gt;"Gondola",LEFT(L309,6)&lt;&gt;"Endcap"),"CEK Fixture 1 hanya Gondola atau Endcap",IF(M309="","CEK SHELVING KE kosong",IF(ISNA(MATCH(L309&amp;"|"&amp;M309,LAYOUT!$E$2:$E$80,0)),"CEK SHELVING KE di luar layout",IF($I309="","CEK SERIES kosong",IF($D309="","Zona STOCK",IF($E309="","CEK SKU DESCRIPTION kosong",IF(COUNTIFS($I$2:$I$500,$I309,L$2:L$500,"&lt;&gt;"&amp;L309,L$2:L$500,"&lt;&gt;")&gt;0,"CEK jenis fixture beda dalam satu series","OK")))))))))</f>
        <v/>
      </c>
      <c r="P309" s="11" t="n"/>
      <c r="Q309" s="11" t="n"/>
      <c r="R309" s="11">
        <f>IF(OR(P309="",Q309=""),"",IFERROR(INDEX(LAYOUT!$D$2:$D$80,MATCH(P309&amp;"|"&amp;Q309,LAYOUT!$E$2:$E$80,0)),""))</f>
        <v/>
      </c>
      <c r="S309" s="12">
        <f>IF(AND(P309="",Q309=""),IF(AND(L309="",M309="",T309="",U309=""),IF(OR($D309&lt;&gt;"",$E309&lt;&gt;""),"Belum ditempatkan",""),""),IF(P309="","CEK JENIS FIXTURE kosong",IF(LEFT(P309,4)&lt;&gt;"Wall","CEK Fixture 2 hanya Wall",IF(Q309="","CEK SHELVING KE kosong",IF(ISNA(MATCH(P309&amp;"|"&amp;Q309,LAYOUT!$E$2:$E$80,0)),"CEK SHELVING KE di luar layout",IF($I309="","CEK SERIES kosong",IF($D309="","Zona STOCK",IF($E309="","CEK SKU DESCRIPTION kosong",IF(COUNTIFS($I$2:$I$500,$I309,P$2:P$500,"&lt;&gt;"&amp;P309,P$2:P$500,"&lt;&gt;")&gt;0,"CEK jenis fixture beda dalam satu series","OK")))))))))</f>
        <v/>
      </c>
      <c r="T309" s="11" t="n"/>
      <c r="U309" s="11" t="n"/>
      <c r="V309" s="11">
        <f>IF(OR(T309="",U309=""),"",IFERROR(INDEX(LAYOUT!$D$2:$D$80,MATCH(T309&amp;"|"&amp;U309,LAYOUT!$E$2:$E$80,0)),""))</f>
        <v/>
      </c>
      <c r="W309" s="12">
        <f>IF(AND(T309="",U309=""),IF(AND(L309="",M309="",P309="",Q309=""),IF(OR($D309&lt;&gt;"",$E309&lt;&gt;""),"Belum ditempatkan",""),""),IF(T309="","CEK JENIS FIXTURE kosong",IF(LEFT(T309,4)&lt;&gt;"Wall","CEK Fixture 3 hanya Wall",IF(U309="","CEK SHELVING KE kosong",IF(ISNA(MATCH(T309&amp;"|"&amp;U309,LAYOUT!$E$2:$E$80,0)),"CEK SHELVING KE di luar layout",IF($I309="","CEK SERIES kosong",IF($D309="","Zona STOCK",IF($E309="","CEK SKU DESCRIPTION kosong",IF(COUNTIFS($I$2:$I$500,$I309,T$2:T$500,"&lt;&gt;"&amp;T309,T$2:T$500,"&lt;&gt;")&gt;0,"CEK jenis fixture beda dalam satu series","OK")))))))))</f>
        <v/>
      </c>
      <c r="X309" s="11" t="n"/>
      <c r="Y309" s="11" t="n"/>
      <c r="Z309" s="12" t="n"/>
      <c r="AA309" s="12" t="n"/>
      <c r="AB309" s="11" t="n"/>
      <c r="AC309" s="11" t="n"/>
      <c r="AD309" s="11" t="n"/>
      <c r="AE309" s="11" t="n"/>
      <c r="AF309" s="11" t="n"/>
      <c r="AG309" s="11" t="n"/>
      <c r="AH309" s="12" t="n"/>
      <c r="AI309" s="12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>
        <f>IF(OR(L310="",M310=""),"",IFERROR(INDEX(LAYOUT!$D$2:$D$80,MATCH(L310&amp;"|"&amp;M310,LAYOUT!$E$2:$E$80,0)),""))</f>
        <v/>
      </c>
      <c r="O310" s="12">
        <f>IF(AND(L310="",M310=""),IF(AND(P310="",Q310="",T310="",U310=""),IF(OR($D310&lt;&gt;"",$E310&lt;&gt;""),"Belum ditempatkan",""),""),IF(L310="","CEK JENIS FIXTURE kosong",IF(AND(LEFT(L310,7)&lt;&gt;"Gondola",LEFT(L310,6)&lt;&gt;"Endcap"),"CEK Fixture 1 hanya Gondola atau Endcap",IF(M310="","CEK SHELVING KE kosong",IF(ISNA(MATCH(L310&amp;"|"&amp;M310,LAYOUT!$E$2:$E$80,0)),"CEK SHELVING KE di luar layout",IF($I310="","CEK SERIES kosong",IF($D310="","Zona STOCK",IF($E310="","CEK SKU DESCRIPTION kosong",IF(COUNTIFS($I$2:$I$500,$I310,L$2:L$500,"&lt;&gt;"&amp;L310,L$2:L$500,"&lt;&gt;")&gt;0,"CEK jenis fixture beda dalam satu series","OK")))))))))</f>
        <v/>
      </c>
      <c r="P310" s="11" t="n"/>
      <c r="Q310" s="11" t="n"/>
      <c r="R310" s="11">
        <f>IF(OR(P310="",Q310=""),"",IFERROR(INDEX(LAYOUT!$D$2:$D$80,MATCH(P310&amp;"|"&amp;Q310,LAYOUT!$E$2:$E$80,0)),""))</f>
        <v/>
      </c>
      <c r="S310" s="12">
        <f>IF(AND(P310="",Q310=""),IF(AND(L310="",M310="",T310="",U310=""),IF(OR($D310&lt;&gt;"",$E310&lt;&gt;""),"Belum ditempatkan",""),""),IF(P310="","CEK JENIS FIXTURE kosong",IF(LEFT(P310,4)&lt;&gt;"Wall","CEK Fixture 2 hanya Wall",IF(Q310="","CEK SHELVING KE kosong",IF(ISNA(MATCH(P310&amp;"|"&amp;Q310,LAYOUT!$E$2:$E$80,0)),"CEK SHELVING KE di luar layout",IF($I310="","CEK SERIES kosong",IF($D310="","Zona STOCK",IF($E310="","CEK SKU DESCRIPTION kosong",IF(COUNTIFS($I$2:$I$500,$I310,P$2:P$500,"&lt;&gt;"&amp;P310,P$2:P$500,"&lt;&gt;")&gt;0,"CEK jenis fixture beda dalam satu series","OK")))))))))</f>
        <v/>
      </c>
      <c r="T310" s="11" t="n"/>
      <c r="U310" s="11" t="n"/>
      <c r="V310" s="11">
        <f>IF(OR(T310="",U310=""),"",IFERROR(INDEX(LAYOUT!$D$2:$D$80,MATCH(T310&amp;"|"&amp;U310,LAYOUT!$E$2:$E$80,0)),""))</f>
        <v/>
      </c>
      <c r="W310" s="12">
        <f>IF(AND(T310="",U310=""),IF(AND(L310="",M310="",P310="",Q310=""),IF(OR($D310&lt;&gt;"",$E310&lt;&gt;""),"Belum ditempatkan",""),""),IF(T310="","CEK JENIS FIXTURE kosong",IF(LEFT(T310,4)&lt;&gt;"Wall","CEK Fixture 3 hanya Wall",IF(U310="","CEK SHELVING KE kosong",IF(ISNA(MATCH(T310&amp;"|"&amp;U310,LAYOUT!$E$2:$E$80,0)),"CEK SHELVING KE di luar layout",IF($I310="","CEK SERIES kosong",IF($D310="","Zona STOCK",IF($E310="","CEK SKU DESCRIPTION kosong",IF(COUNTIFS($I$2:$I$500,$I310,T$2:T$500,"&lt;&gt;"&amp;T310,T$2:T$500,"&lt;&gt;")&gt;0,"CEK jenis fixture beda dalam satu series","OK")))))))))</f>
        <v/>
      </c>
      <c r="X310" s="11" t="n"/>
      <c r="Y310" s="11" t="n"/>
      <c r="Z310" s="12" t="n"/>
      <c r="AA310" s="12" t="n"/>
      <c r="AB310" s="11" t="n"/>
      <c r="AC310" s="11" t="n"/>
      <c r="AD310" s="11" t="n"/>
      <c r="AE310" s="11" t="n"/>
      <c r="AF310" s="11" t="n"/>
      <c r="AG310" s="11" t="n"/>
      <c r="AH310" s="12" t="n"/>
      <c r="AI310" s="12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>
        <f>IF(OR(L311="",M311=""),"",IFERROR(INDEX(LAYOUT!$D$2:$D$80,MATCH(L311&amp;"|"&amp;M311,LAYOUT!$E$2:$E$80,0)),""))</f>
        <v/>
      </c>
      <c r="O311" s="12">
        <f>IF(AND(L311="",M311=""),IF(AND(P311="",Q311="",T311="",U311=""),IF(OR($D311&lt;&gt;"",$E311&lt;&gt;""),"Belum ditempatkan",""),""),IF(L311="","CEK JENIS FIXTURE kosong",IF(AND(LEFT(L311,7)&lt;&gt;"Gondola",LEFT(L311,6)&lt;&gt;"Endcap"),"CEK Fixture 1 hanya Gondola atau Endcap",IF(M311="","CEK SHELVING KE kosong",IF(ISNA(MATCH(L311&amp;"|"&amp;M311,LAYOUT!$E$2:$E$80,0)),"CEK SHELVING KE di luar layout",IF($I311="","CEK SERIES kosong",IF($D311="","Zona STOCK",IF($E311="","CEK SKU DESCRIPTION kosong",IF(COUNTIFS($I$2:$I$500,$I311,L$2:L$500,"&lt;&gt;"&amp;L311,L$2:L$500,"&lt;&gt;")&gt;0,"CEK jenis fixture beda dalam satu series","OK")))))))))</f>
        <v/>
      </c>
      <c r="P311" s="11" t="n"/>
      <c r="Q311" s="11" t="n"/>
      <c r="R311" s="11">
        <f>IF(OR(P311="",Q311=""),"",IFERROR(INDEX(LAYOUT!$D$2:$D$80,MATCH(P311&amp;"|"&amp;Q311,LAYOUT!$E$2:$E$80,0)),""))</f>
        <v/>
      </c>
      <c r="S311" s="12">
        <f>IF(AND(P311="",Q311=""),IF(AND(L311="",M311="",T311="",U311=""),IF(OR($D311&lt;&gt;"",$E311&lt;&gt;""),"Belum ditempatkan",""),""),IF(P311="","CEK JENIS FIXTURE kosong",IF(LEFT(P311,4)&lt;&gt;"Wall","CEK Fixture 2 hanya Wall",IF(Q311="","CEK SHELVING KE kosong",IF(ISNA(MATCH(P311&amp;"|"&amp;Q311,LAYOUT!$E$2:$E$80,0)),"CEK SHELVING KE di luar layout",IF($I311="","CEK SERIES kosong",IF($D311="","Zona STOCK",IF($E311="","CEK SKU DESCRIPTION kosong",IF(COUNTIFS($I$2:$I$500,$I311,P$2:P$500,"&lt;&gt;"&amp;P311,P$2:P$500,"&lt;&gt;")&gt;0,"CEK jenis fixture beda dalam satu series","OK")))))))))</f>
        <v/>
      </c>
      <c r="T311" s="11" t="n"/>
      <c r="U311" s="11" t="n"/>
      <c r="V311" s="11">
        <f>IF(OR(T311="",U311=""),"",IFERROR(INDEX(LAYOUT!$D$2:$D$80,MATCH(T311&amp;"|"&amp;U311,LAYOUT!$E$2:$E$80,0)),""))</f>
        <v/>
      </c>
      <c r="W311" s="12">
        <f>IF(AND(T311="",U311=""),IF(AND(L311="",M311="",P311="",Q311=""),IF(OR($D311&lt;&gt;"",$E311&lt;&gt;""),"Belum ditempatkan",""),""),IF(T311="","CEK JENIS FIXTURE kosong",IF(LEFT(T311,4)&lt;&gt;"Wall","CEK Fixture 3 hanya Wall",IF(U311="","CEK SHELVING KE kosong",IF(ISNA(MATCH(T311&amp;"|"&amp;U311,LAYOUT!$E$2:$E$80,0)),"CEK SHELVING KE di luar layout",IF($I311="","CEK SERIES kosong",IF($D311="","Zona STOCK",IF($E311="","CEK SKU DESCRIPTION kosong",IF(COUNTIFS($I$2:$I$500,$I311,T$2:T$500,"&lt;&gt;"&amp;T311,T$2:T$500,"&lt;&gt;")&gt;0,"CEK jenis fixture beda dalam satu series","OK")))))))))</f>
        <v/>
      </c>
      <c r="X311" s="11" t="n"/>
      <c r="Y311" s="11" t="n"/>
      <c r="Z311" s="12" t="n"/>
      <c r="AA311" s="12" t="n"/>
      <c r="AB311" s="11" t="n"/>
      <c r="AC311" s="11" t="n"/>
      <c r="AD311" s="11" t="n"/>
      <c r="AE311" s="11" t="n"/>
      <c r="AF311" s="11" t="n"/>
      <c r="AG311" s="11" t="n"/>
      <c r="AH311" s="12" t="n"/>
      <c r="AI311" s="12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>
        <f>IF(OR(L312="",M312=""),"",IFERROR(INDEX(LAYOUT!$D$2:$D$80,MATCH(L312&amp;"|"&amp;M312,LAYOUT!$E$2:$E$80,0)),""))</f>
        <v/>
      </c>
      <c r="O312" s="12">
        <f>IF(AND(L312="",M312=""),IF(AND(P312="",Q312="",T312="",U312=""),IF(OR($D312&lt;&gt;"",$E312&lt;&gt;""),"Belum ditempatkan",""),""),IF(L312="","CEK JENIS FIXTURE kosong",IF(AND(LEFT(L312,7)&lt;&gt;"Gondola",LEFT(L312,6)&lt;&gt;"Endcap"),"CEK Fixture 1 hanya Gondola atau Endcap",IF(M312="","CEK SHELVING KE kosong",IF(ISNA(MATCH(L312&amp;"|"&amp;M312,LAYOUT!$E$2:$E$80,0)),"CEK SHELVING KE di luar layout",IF($I312="","CEK SERIES kosong",IF($D312="","Zona STOCK",IF($E312="","CEK SKU DESCRIPTION kosong",IF(COUNTIFS($I$2:$I$500,$I312,L$2:L$500,"&lt;&gt;"&amp;L312,L$2:L$500,"&lt;&gt;")&gt;0,"CEK jenis fixture beda dalam satu series","OK")))))))))</f>
        <v/>
      </c>
      <c r="P312" s="11" t="n"/>
      <c r="Q312" s="11" t="n"/>
      <c r="R312" s="11">
        <f>IF(OR(P312="",Q312=""),"",IFERROR(INDEX(LAYOUT!$D$2:$D$80,MATCH(P312&amp;"|"&amp;Q312,LAYOUT!$E$2:$E$80,0)),""))</f>
        <v/>
      </c>
      <c r="S312" s="12">
        <f>IF(AND(P312="",Q312=""),IF(AND(L312="",M312="",T312="",U312=""),IF(OR($D312&lt;&gt;"",$E312&lt;&gt;""),"Belum ditempatkan",""),""),IF(P312="","CEK JENIS FIXTURE kosong",IF(LEFT(P312,4)&lt;&gt;"Wall","CEK Fixture 2 hanya Wall",IF(Q312="","CEK SHELVING KE kosong",IF(ISNA(MATCH(P312&amp;"|"&amp;Q312,LAYOUT!$E$2:$E$80,0)),"CEK SHELVING KE di luar layout",IF($I312="","CEK SERIES kosong",IF($D312="","Zona STOCK",IF($E312="","CEK SKU DESCRIPTION kosong",IF(COUNTIFS($I$2:$I$500,$I312,P$2:P$500,"&lt;&gt;"&amp;P312,P$2:P$500,"&lt;&gt;")&gt;0,"CEK jenis fixture beda dalam satu series","OK")))))))))</f>
        <v/>
      </c>
      <c r="T312" s="11" t="n"/>
      <c r="U312" s="11" t="n"/>
      <c r="V312" s="11">
        <f>IF(OR(T312="",U312=""),"",IFERROR(INDEX(LAYOUT!$D$2:$D$80,MATCH(T312&amp;"|"&amp;U312,LAYOUT!$E$2:$E$80,0)),""))</f>
        <v/>
      </c>
      <c r="W312" s="12">
        <f>IF(AND(T312="",U312=""),IF(AND(L312="",M312="",P312="",Q312=""),IF(OR($D312&lt;&gt;"",$E312&lt;&gt;""),"Belum ditempatkan",""),""),IF(T312="","CEK JENIS FIXTURE kosong",IF(LEFT(T312,4)&lt;&gt;"Wall","CEK Fixture 3 hanya Wall",IF(U312="","CEK SHELVING KE kosong",IF(ISNA(MATCH(T312&amp;"|"&amp;U312,LAYOUT!$E$2:$E$80,0)),"CEK SHELVING KE di luar layout",IF($I312="","CEK SERIES kosong",IF($D312="","Zona STOCK",IF($E312="","CEK SKU DESCRIPTION kosong",IF(COUNTIFS($I$2:$I$500,$I312,T$2:T$500,"&lt;&gt;"&amp;T312,T$2:T$500,"&lt;&gt;")&gt;0,"CEK jenis fixture beda dalam satu series","OK")))))))))</f>
        <v/>
      </c>
      <c r="X312" s="11" t="n"/>
      <c r="Y312" s="11" t="n"/>
      <c r="Z312" s="12" t="n"/>
      <c r="AA312" s="12" t="n"/>
      <c r="AB312" s="11" t="n"/>
      <c r="AC312" s="11" t="n"/>
      <c r="AD312" s="11" t="n"/>
      <c r="AE312" s="11" t="n"/>
      <c r="AF312" s="11" t="n"/>
      <c r="AG312" s="11" t="n"/>
      <c r="AH312" s="12" t="n"/>
      <c r="AI312" s="12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>
        <f>IF(OR(L313="",M313=""),"",IFERROR(INDEX(LAYOUT!$D$2:$D$80,MATCH(L313&amp;"|"&amp;M313,LAYOUT!$E$2:$E$80,0)),""))</f>
        <v/>
      </c>
      <c r="O313" s="12">
        <f>IF(AND(L313="",M313=""),IF(AND(P313="",Q313="",T313="",U313=""),IF(OR($D313&lt;&gt;"",$E313&lt;&gt;""),"Belum ditempatkan",""),""),IF(L313="","CEK JENIS FIXTURE kosong",IF(AND(LEFT(L313,7)&lt;&gt;"Gondola",LEFT(L313,6)&lt;&gt;"Endcap"),"CEK Fixture 1 hanya Gondola atau Endcap",IF(M313="","CEK SHELVING KE kosong",IF(ISNA(MATCH(L313&amp;"|"&amp;M313,LAYOUT!$E$2:$E$80,0)),"CEK SHELVING KE di luar layout",IF($I313="","CEK SERIES kosong",IF($D313="","Zona STOCK",IF($E313="","CEK SKU DESCRIPTION kosong",IF(COUNTIFS($I$2:$I$500,$I313,L$2:L$500,"&lt;&gt;"&amp;L313,L$2:L$500,"&lt;&gt;")&gt;0,"CEK jenis fixture beda dalam satu series","OK")))))))))</f>
        <v/>
      </c>
      <c r="P313" s="11" t="n"/>
      <c r="Q313" s="11" t="n"/>
      <c r="R313" s="11">
        <f>IF(OR(P313="",Q313=""),"",IFERROR(INDEX(LAYOUT!$D$2:$D$80,MATCH(P313&amp;"|"&amp;Q313,LAYOUT!$E$2:$E$80,0)),""))</f>
        <v/>
      </c>
      <c r="S313" s="12">
        <f>IF(AND(P313="",Q313=""),IF(AND(L313="",M313="",T313="",U313=""),IF(OR($D313&lt;&gt;"",$E313&lt;&gt;""),"Belum ditempatkan",""),""),IF(P313="","CEK JENIS FIXTURE kosong",IF(LEFT(P313,4)&lt;&gt;"Wall","CEK Fixture 2 hanya Wall",IF(Q313="","CEK SHELVING KE kosong",IF(ISNA(MATCH(P313&amp;"|"&amp;Q313,LAYOUT!$E$2:$E$80,0)),"CEK SHELVING KE di luar layout",IF($I313="","CEK SERIES kosong",IF($D313="","Zona STOCK",IF($E313="","CEK SKU DESCRIPTION kosong",IF(COUNTIFS($I$2:$I$500,$I313,P$2:P$500,"&lt;&gt;"&amp;P313,P$2:P$500,"&lt;&gt;")&gt;0,"CEK jenis fixture beda dalam satu series","OK")))))))))</f>
        <v/>
      </c>
      <c r="T313" s="11" t="n"/>
      <c r="U313" s="11" t="n"/>
      <c r="V313" s="11">
        <f>IF(OR(T313="",U313=""),"",IFERROR(INDEX(LAYOUT!$D$2:$D$80,MATCH(T313&amp;"|"&amp;U313,LAYOUT!$E$2:$E$80,0)),""))</f>
        <v/>
      </c>
      <c r="W313" s="12">
        <f>IF(AND(T313="",U313=""),IF(AND(L313="",M313="",P313="",Q313=""),IF(OR($D313&lt;&gt;"",$E313&lt;&gt;""),"Belum ditempatkan",""),""),IF(T313="","CEK JENIS FIXTURE kosong",IF(LEFT(T313,4)&lt;&gt;"Wall","CEK Fixture 3 hanya Wall",IF(U313="","CEK SHELVING KE kosong",IF(ISNA(MATCH(T313&amp;"|"&amp;U313,LAYOUT!$E$2:$E$80,0)),"CEK SHELVING KE di luar layout",IF($I313="","CEK SERIES kosong",IF($D313="","Zona STOCK",IF($E313="","CEK SKU DESCRIPTION kosong",IF(COUNTIFS($I$2:$I$500,$I313,T$2:T$500,"&lt;&gt;"&amp;T313,T$2:T$500,"&lt;&gt;")&gt;0,"CEK jenis fixture beda dalam satu series","OK")))))))))</f>
        <v/>
      </c>
      <c r="X313" s="11" t="n"/>
      <c r="Y313" s="11" t="n"/>
      <c r="Z313" s="12" t="n"/>
      <c r="AA313" s="12" t="n"/>
      <c r="AB313" s="11" t="n"/>
      <c r="AC313" s="11" t="n"/>
      <c r="AD313" s="11" t="n"/>
      <c r="AE313" s="11" t="n"/>
      <c r="AF313" s="11" t="n"/>
      <c r="AG313" s="11" t="n"/>
      <c r="AH313" s="12" t="n"/>
      <c r="AI313" s="12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>
        <f>IF(OR(L314="",M314=""),"",IFERROR(INDEX(LAYOUT!$D$2:$D$80,MATCH(L314&amp;"|"&amp;M314,LAYOUT!$E$2:$E$80,0)),""))</f>
        <v/>
      </c>
      <c r="O314" s="12">
        <f>IF(AND(L314="",M314=""),IF(AND(P314="",Q314="",T314="",U314=""),IF(OR($D314&lt;&gt;"",$E314&lt;&gt;""),"Belum ditempatkan",""),""),IF(L314="","CEK JENIS FIXTURE kosong",IF(AND(LEFT(L314,7)&lt;&gt;"Gondola",LEFT(L314,6)&lt;&gt;"Endcap"),"CEK Fixture 1 hanya Gondola atau Endcap",IF(M314="","CEK SHELVING KE kosong",IF(ISNA(MATCH(L314&amp;"|"&amp;M314,LAYOUT!$E$2:$E$80,0)),"CEK SHELVING KE di luar layout",IF($I314="","CEK SERIES kosong",IF($D314="","Zona STOCK",IF($E314="","CEK SKU DESCRIPTION kosong",IF(COUNTIFS($I$2:$I$500,$I314,L$2:L$500,"&lt;&gt;"&amp;L314,L$2:L$500,"&lt;&gt;")&gt;0,"CEK jenis fixture beda dalam satu series","OK")))))))))</f>
        <v/>
      </c>
      <c r="P314" s="11" t="n"/>
      <c r="Q314" s="11" t="n"/>
      <c r="R314" s="11">
        <f>IF(OR(P314="",Q314=""),"",IFERROR(INDEX(LAYOUT!$D$2:$D$80,MATCH(P314&amp;"|"&amp;Q314,LAYOUT!$E$2:$E$80,0)),""))</f>
        <v/>
      </c>
      <c r="S314" s="12">
        <f>IF(AND(P314="",Q314=""),IF(AND(L314="",M314="",T314="",U314=""),IF(OR($D314&lt;&gt;"",$E314&lt;&gt;""),"Belum ditempatkan",""),""),IF(P314="","CEK JENIS FIXTURE kosong",IF(LEFT(P314,4)&lt;&gt;"Wall","CEK Fixture 2 hanya Wall",IF(Q314="","CEK SHELVING KE kosong",IF(ISNA(MATCH(P314&amp;"|"&amp;Q314,LAYOUT!$E$2:$E$80,0)),"CEK SHELVING KE di luar layout",IF($I314="","CEK SERIES kosong",IF($D314="","Zona STOCK",IF($E314="","CEK SKU DESCRIPTION kosong",IF(COUNTIFS($I$2:$I$500,$I314,P$2:P$500,"&lt;&gt;"&amp;P314,P$2:P$500,"&lt;&gt;")&gt;0,"CEK jenis fixture beda dalam satu series","OK")))))))))</f>
        <v/>
      </c>
      <c r="T314" s="11" t="n"/>
      <c r="U314" s="11" t="n"/>
      <c r="V314" s="11">
        <f>IF(OR(T314="",U314=""),"",IFERROR(INDEX(LAYOUT!$D$2:$D$80,MATCH(T314&amp;"|"&amp;U314,LAYOUT!$E$2:$E$80,0)),""))</f>
        <v/>
      </c>
      <c r="W314" s="12">
        <f>IF(AND(T314="",U314=""),IF(AND(L314="",M314="",P314="",Q314=""),IF(OR($D314&lt;&gt;"",$E314&lt;&gt;""),"Belum ditempatkan",""),""),IF(T314="","CEK JENIS FIXTURE kosong",IF(LEFT(T314,4)&lt;&gt;"Wall","CEK Fixture 3 hanya Wall",IF(U314="","CEK SHELVING KE kosong",IF(ISNA(MATCH(T314&amp;"|"&amp;U314,LAYOUT!$E$2:$E$80,0)),"CEK SHELVING KE di luar layout",IF($I314="","CEK SERIES kosong",IF($D314="","Zona STOCK",IF($E314="","CEK SKU DESCRIPTION kosong",IF(COUNTIFS($I$2:$I$500,$I314,T$2:T$500,"&lt;&gt;"&amp;T314,T$2:T$500,"&lt;&gt;")&gt;0,"CEK jenis fixture beda dalam satu series","OK")))))))))</f>
        <v/>
      </c>
      <c r="X314" s="11" t="n"/>
      <c r="Y314" s="11" t="n"/>
      <c r="Z314" s="12" t="n"/>
      <c r="AA314" s="12" t="n"/>
      <c r="AB314" s="11" t="n"/>
      <c r="AC314" s="11" t="n"/>
      <c r="AD314" s="11" t="n"/>
      <c r="AE314" s="11" t="n"/>
      <c r="AF314" s="11" t="n"/>
      <c r="AG314" s="11" t="n"/>
      <c r="AH314" s="12" t="n"/>
      <c r="AI314" s="12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>
        <f>IF(OR(L315="",M315=""),"",IFERROR(INDEX(LAYOUT!$D$2:$D$80,MATCH(L315&amp;"|"&amp;M315,LAYOUT!$E$2:$E$80,0)),""))</f>
        <v/>
      </c>
      <c r="O315" s="12">
        <f>IF(AND(L315="",M315=""),IF(AND(P315="",Q315="",T315="",U315=""),IF(OR($D315&lt;&gt;"",$E315&lt;&gt;""),"Belum ditempatkan",""),""),IF(L315="","CEK JENIS FIXTURE kosong",IF(AND(LEFT(L315,7)&lt;&gt;"Gondola",LEFT(L315,6)&lt;&gt;"Endcap"),"CEK Fixture 1 hanya Gondola atau Endcap",IF(M315="","CEK SHELVING KE kosong",IF(ISNA(MATCH(L315&amp;"|"&amp;M315,LAYOUT!$E$2:$E$80,0)),"CEK SHELVING KE di luar layout",IF($I315="","CEK SERIES kosong",IF($D315="","Zona STOCK",IF($E315="","CEK SKU DESCRIPTION kosong",IF(COUNTIFS($I$2:$I$500,$I315,L$2:L$500,"&lt;&gt;"&amp;L315,L$2:L$500,"&lt;&gt;")&gt;0,"CEK jenis fixture beda dalam satu series","OK")))))))))</f>
        <v/>
      </c>
      <c r="P315" s="11" t="n"/>
      <c r="Q315" s="11" t="n"/>
      <c r="R315" s="11">
        <f>IF(OR(P315="",Q315=""),"",IFERROR(INDEX(LAYOUT!$D$2:$D$80,MATCH(P315&amp;"|"&amp;Q315,LAYOUT!$E$2:$E$80,0)),""))</f>
        <v/>
      </c>
      <c r="S315" s="12">
        <f>IF(AND(P315="",Q315=""),IF(AND(L315="",M315="",T315="",U315=""),IF(OR($D315&lt;&gt;"",$E315&lt;&gt;""),"Belum ditempatkan",""),""),IF(P315="","CEK JENIS FIXTURE kosong",IF(LEFT(P315,4)&lt;&gt;"Wall","CEK Fixture 2 hanya Wall",IF(Q315="","CEK SHELVING KE kosong",IF(ISNA(MATCH(P315&amp;"|"&amp;Q315,LAYOUT!$E$2:$E$80,0)),"CEK SHELVING KE di luar layout",IF($I315="","CEK SERIES kosong",IF($D315="","Zona STOCK",IF($E315="","CEK SKU DESCRIPTION kosong",IF(COUNTIFS($I$2:$I$500,$I315,P$2:P$500,"&lt;&gt;"&amp;P315,P$2:P$500,"&lt;&gt;")&gt;0,"CEK jenis fixture beda dalam satu series","OK")))))))))</f>
        <v/>
      </c>
      <c r="T315" s="11" t="n"/>
      <c r="U315" s="11" t="n"/>
      <c r="V315" s="11">
        <f>IF(OR(T315="",U315=""),"",IFERROR(INDEX(LAYOUT!$D$2:$D$80,MATCH(T315&amp;"|"&amp;U315,LAYOUT!$E$2:$E$80,0)),""))</f>
        <v/>
      </c>
      <c r="W315" s="12">
        <f>IF(AND(T315="",U315=""),IF(AND(L315="",M315="",P315="",Q315=""),IF(OR($D315&lt;&gt;"",$E315&lt;&gt;""),"Belum ditempatkan",""),""),IF(T315="","CEK JENIS FIXTURE kosong",IF(LEFT(T315,4)&lt;&gt;"Wall","CEK Fixture 3 hanya Wall",IF(U315="","CEK SHELVING KE kosong",IF(ISNA(MATCH(T315&amp;"|"&amp;U315,LAYOUT!$E$2:$E$80,0)),"CEK SHELVING KE di luar layout",IF($I315="","CEK SERIES kosong",IF($D315="","Zona STOCK",IF($E315="","CEK SKU DESCRIPTION kosong",IF(COUNTIFS($I$2:$I$500,$I315,T$2:T$500,"&lt;&gt;"&amp;T315,T$2:T$500,"&lt;&gt;")&gt;0,"CEK jenis fixture beda dalam satu series","OK")))))))))</f>
        <v/>
      </c>
      <c r="X315" s="11" t="n"/>
      <c r="Y315" s="11" t="n"/>
      <c r="Z315" s="12" t="n"/>
      <c r="AA315" s="12" t="n"/>
      <c r="AB315" s="11" t="n"/>
      <c r="AC315" s="11" t="n"/>
      <c r="AD315" s="11" t="n"/>
      <c r="AE315" s="11" t="n"/>
      <c r="AF315" s="11" t="n"/>
      <c r="AG315" s="11" t="n"/>
      <c r="AH315" s="12" t="n"/>
      <c r="AI315" s="12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>
        <f>IF(OR(L316="",M316=""),"",IFERROR(INDEX(LAYOUT!$D$2:$D$80,MATCH(L316&amp;"|"&amp;M316,LAYOUT!$E$2:$E$80,0)),""))</f>
        <v/>
      </c>
      <c r="O316" s="12">
        <f>IF(AND(L316="",M316=""),IF(AND(P316="",Q316="",T316="",U316=""),IF(OR($D316&lt;&gt;"",$E316&lt;&gt;""),"Belum ditempatkan",""),""),IF(L316="","CEK JENIS FIXTURE kosong",IF(AND(LEFT(L316,7)&lt;&gt;"Gondola",LEFT(L316,6)&lt;&gt;"Endcap"),"CEK Fixture 1 hanya Gondola atau Endcap",IF(M316="","CEK SHELVING KE kosong",IF(ISNA(MATCH(L316&amp;"|"&amp;M316,LAYOUT!$E$2:$E$80,0)),"CEK SHELVING KE di luar layout",IF($I316="","CEK SERIES kosong",IF($D316="","Zona STOCK",IF($E316="","CEK SKU DESCRIPTION kosong",IF(COUNTIFS($I$2:$I$500,$I316,L$2:L$500,"&lt;&gt;"&amp;L316,L$2:L$500,"&lt;&gt;")&gt;0,"CEK jenis fixture beda dalam satu series","OK")))))))))</f>
        <v/>
      </c>
      <c r="P316" s="11" t="n"/>
      <c r="Q316" s="11" t="n"/>
      <c r="R316" s="11">
        <f>IF(OR(P316="",Q316=""),"",IFERROR(INDEX(LAYOUT!$D$2:$D$80,MATCH(P316&amp;"|"&amp;Q316,LAYOUT!$E$2:$E$80,0)),""))</f>
        <v/>
      </c>
      <c r="S316" s="12">
        <f>IF(AND(P316="",Q316=""),IF(AND(L316="",M316="",T316="",U316=""),IF(OR($D316&lt;&gt;"",$E316&lt;&gt;""),"Belum ditempatkan",""),""),IF(P316="","CEK JENIS FIXTURE kosong",IF(LEFT(P316,4)&lt;&gt;"Wall","CEK Fixture 2 hanya Wall",IF(Q316="","CEK SHELVING KE kosong",IF(ISNA(MATCH(P316&amp;"|"&amp;Q316,LAYOUT!$E$2:$E$80,0)),"CEK SHELVING KE di luar layout",IF($I316="","CEK SERIES kosong",IF($D316="","Zona STOCK",IF($E316="","CEK SKU DESCRIPTION kosong",IF(COUNTIFS($I$2:$I$500,$I316,P$2:P$500,"&lt;&gt;"&amp;P316,P$2:P$500,"&lt;&gt;")&gt;0,"CEK jenis fixture beda dalam satu series","OK")))))))))</f>
        <v/>
      </c>
      <c r="T316" s="11" t="n"/>
      <c r="U316" s="11" t="n"/>
      <c r="V316" s="11">
        <f>IF(OR(T316="",U316=""),"",IFERROR(INDEX(LAYOUT!$D$2:$D$80,MATCH(T316&amp;"|"&amp;U316,LAYOUT!$E$2:$E$80,0)),""))</f>
        <v/>
      </c>
      <c r="W316" s="12">
        <f>IF(AND(T316="",U316=""),IF(AND(L316="",M316="",P316="",Q316=""),IF(OR($D316&lt;&gt;"",$E316&lt;&gt;""),"Belum ditempatkan",""),""),IF(T316="","CEK JENIS FIXTURE kosong",IF(LEFT(T316,4)&lt;&gt;"Wall","CEK Fixture 3 hanya Wall",IF(U316="","CEK SHELVING KE kosong",IF(ISNA(MATCH(T316&amp;"|"&amp;U316,LAYOUT!$E$2:$E$80,0)),"CEK SHELVING KE di luar layout",IF($I316="","CEK SERIES kosong",IF($D316="","Zona STOCK",IF($E316="","CEK SKU DESCRIPTION kosong",IF(COUNTIFS($I$2:$I$500,$I316,T$2:T$500,"&lt;&gt;"&amp;T316,T$2:T$500,"&lt;&gt;")&gt;0,"CEK jenis fixture beda dalam satu series","OK")))))))))</f>
        <v/>
      </c>
      <c r="X316" s="11" t="n"/>
      <c r="Y316" s="11" t="n"/>
      <c r="Z316" s="12" t="n"/>
      <c r="AA316" s="12" t="n"/>
      <c r="AB316" s="11" t="n"/>
      <c r="AC316" s="11" t="n"/>
      <c r="AD316" s="11" t="n"/>
      <c r="AE316" s="11" t="n"/>
      <c r="AF316" s="11" t="n"/>
      <c r="AG316" s="11" t="n"/>
      <c r="AH316" s="12" t="n"/>
      <c r="AI316" s="12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>
        <f>IF(OR(L317="",M317=""),"",IFERROR(INDEX(LAYOUT!$D$2:$D$80,MATCH(L317&amp;"|"&amp;M317,LAYOUT!$E$2:$E$80,0)),""))</f>
        <v/>
      </c>
      <c r="O317" s="12">
        <f>IF(AND(L317="",M317=""),IF(AND(P317="",Q317="",T317="",U317=""),IF(OR($D317&lt;&gt;"",$E317&lt;&gt;""),"Belum ditempatkan",""),""),IF(L317="","CEK JENIS FIXTURE kosong",IF(AND(LEFT(L317,7)&lt;&gt;"Gondola",LEFT(L317,6)&lt;&gt;"Endcap"),"CEK Fixture 1 hanya Gondola atau Endcap",IF(M317="","CEK SHELVING KE kosong",IF(ISNA(MATCH(L317&amp;"|"&amp;M317,LAYOUT!$E$2:$E$80,0)),"CEK SHELVING KE di luar layout",IF($I317="","CEK SERIES kosong",IF($D317="","Zona STOCK",IF($E317="","CEK SKU DESCRIPTION kosong",IF(COUNTIFS($I$2:$I$500,$I317,L$2:L$500,"&lt;&gt;"&amp;L317,L$2:L$500,"&lt;&gt;")&gt;0,"CEK jenis fixture beda dalam satu series","OK")))))))))</f>
        <v/>
      </c>
      <c r="P317" s="11" t="n"/>
      <c r="Q317" s="11" t="n"/>
      <c r="R317" s="11">
        <f>IF(OR(P317="",Q317=""),"",IFERROR(INDEX(LAYOUT!$D$2:$D$80,MATCH(P317&amp;"|"&amp;Q317,LAYOUT!$E$2:$E$80,0)),""))</f>
        <v/>
      </c>
      <c r="S317" s="12">
        <f>IF(AND(P317="",Q317=""),IF(AND(L317="",M317="",T317="",U317=""),IF(OR($D317&lt;&gt;"",$E317&lt;&gt;""),"Belum ditempatkan",""),""),IF(P317="","CEK JENIS FIXTURE kosong",IF(LEFT(P317,4)&lt;&gt;"Wall","CEK Fixture 2 hanya Wall",IF(Q317="","CEK SHELVING KE kosong",IF(ISNA(MATCH(P317&amp;"|"&amp;Q317,LAYOUT!$E$2:$E$80,0)),"CEK SHELVING KE di luar layout",IF($I317="","CEK SERIES kosong",IF($D317="","Zona STOCK",IF($E317="","CEK SKU DESCRIPTION kosong",IF(COUNTIFS($I$2:$I$500,$I317,P$2:P$500,"&lt;&gt;"&amp;P317,P$2:P$500,"&lt;&gt;")&gt;0,"CEK jenis fixture beda dalam satu series","OK")))))))))</f>
        <v/>
      </c>
      <c r="T317" s="11" t="n"/>
      <c r="U317" s="11" t="n"/>
      <c r="V317" s="11">
        <f>IF(OR(T317="",U317=""),"",IFERROR(INDEX(LAYOUT!$D$2:$D$80,MATCH(T317&amp;"|"&amp;U317,LAYOUT!$E$2:$E$80,0)),""))</f>
        <v/>
      </c>
      <c r="W317" s="12">
        <f>IF(AND(T317="",U317=""),IF(AND(L317="",M317="",P317="",Q317=""),IF(OR($D317&lt;&gt;"",$E317&lt;&gt;""),"Belum ditempatkan",""),""),IF(T317="","CEK JENIS FIXTURE kosong",IF(LEFT(T317,4)&lt;&gt;"Wall","CEK Fixture 3 hanya Wall",IF(U317="","CEK SHELVING KE kosong",IF(ISNA(MATCH(T317&amp;"|"&amp;U317,LAYOUT!$E$2:$E$80,0)),"CEK SHELVING KE di luar layout",IF($I317="","CEK SERIES kosong",IF($D317="","Zona STOCK",IF($E317="","CEK SKU DESCRIPTION kosong",IF(COUNTIFS($I$2:$I$500,$I317,T$2:T$500,"&lt;&gt;"&amp;T317,T$2:T$500,"&lt;&gt;")&gt;0,"CEK jenis fixture beda dalam satu series","OK")))))))))</f>
        <v/>
      </c>
      <c r="X317" s="11" t="n"/>
      <c r="Y317" s="11" t="n"/>
      <c r="Z317" s="12" t="n"/>
      <c r="AA317" s="12" t="n"/>
      <c r="AB317" s="11" t="n"/>
      <c r="AC317" s="11" t="n"/>
      <c r="AD317" s="11" t="n"/>
      <c r="AE317" s="11" t="n"/>
      <c r="AF317" s="11" t="n"/>
      <c r="AG317" s="11" t="n"/>
      <c r="AH317" s="12" t="n"/>
      <c r="AI317" s="12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>
        <f>IF(OR(L318="",M318=""),"",IFERROR(INDEX(LAYOUT!$D$2:$D$80,MATCH(L318&amp;"|"&amp;M318,LAYOUT!$E$2:$E$80,0)),""))</f>
        <v/>
      </c>
      <c r="O318" s="12">
        <f>IF(AND(L318="",M318=""),IF(AND(P318="",Q318="",T318="",U318=""),IF(OR($D318&lt;&gt;"",$E318&lt;&gt;""),"Belum ditempatkan",""),""),IF(L318="","CEK JENIS FIXTURE kosong",IF(AND(LEFT(L318,7)&lt;&gt;"Gondola",LEFT(L318,6)&lt;&gt;"Endcap"),"CEK Fixture 1 hanya Gondola atau Endcap",IF(M318="","CEK SHELVING KE kosong",IF(ISNA(MATCH(L318&amp;"|"&amp;M318,LAYOUT!$E$2:$E$80,0)),"CEK SHELVING KE di luar layout",IF($I318="","CEK SERIES kosong",IF($D318="","Zona STOCK",IF($E318="","CEK SKU DESCRIPTION kosong",IF(COUNTIFS($I$2:$I$500,$I318,L$2:L$500,"&lt;&gt;"&amp;L318,L$2:L$500,"&lt;&gt;")&gt;0,"CEK jenis fixture beda dalam satu series","OK")))))))))</f>
        <v/>
      </c>
      <c r="P318" s="11" t="n"/>
      <c r="Q318" s="11" t="n"/>
      <c r="R318" s="11">
        <f>IF(OR(P318="",Q318=""),"",IFERROR(INDEX(LAYOUT!$D$2:$D$80,MATCH(P318&amp;"|"&amp;Q318,LAYOUT!$E$2:$E$80,0)),""))</f>
        <v/>
      </c>
      <c r="S318" s="12">
        <f>IF(AND(P318="",Q318=""),IF(AND(L318="",M318="",T318="",U318=""),IF(OR($D318&lt;&gt;"",$E318&lt;&gt;""),"Belum ditempatkan",""),""),IF(P318="","CEK JENIS FIXTURE kosong",IF(LEFT(P318,4)&lt;&gt;"Wall","CEK Fixture 2 hanya Wall",IF(Q318="","CEK SHELVING KE kosong",IF(ISNA(MATCH(P318&amp;"|"&amp;Q318,LAYOUT!$E$2:$E$80,0)),"CEK SHELVING KE di luar layout",IF($I318="","CEK SERIES kosong",IF($D318="","Zona STOCK",IF($E318="","CEK SKU DESCRIPTION kosong",IF(COUNTIFS($I$2:$I$500,$I318,P$2:P$500,"&lt;&gt;"&amp;P318,P$2:P$500,"&lt;&gt;")&gt;0,"CEK jenis fixture beda dalam satu series","OK")))))))))</f>
        <v/>
      </c>
      <c r="T318" s="11" t="n"/>
      <c r="U318" s="11" t="n"/>
      <c r="V318" s="11">
        <f>IF(OR(T318="",U318=""),"",IFERROR(INDEX(LAYOUT!$D$2:$D$80,MATCH(T318&amp;"|"&amp;U318,LAYOUT!$E$2:$E$80,0)),""))</f>
        <v/>
      </c>
      <c r="W318" s="12">
        <f>IF(AND(T318="",U318=""),IF(AND(L318="",M318="",P318="",Q318=""),IF(OR($D318&lt;&gt;"",$E318&lt;&gt;""),"Belum ditempatkan",""),""),IF(T318="","CEK JENIS FIXTURE kosong",IF(LEFT(T318,4)&lt;&gt;"Wall","CEK Fixture 3 hanya Wall",IF(U318="","CEK SHELVING KE kosong",IF(ISNA(MATCH(T318&amp;"|"&amp;U318,LAYOUT!$E$2:$E$80,0)),"CEK SHELVING KE di luar layout",IF($I318="","CEK SERIES kosong",IF($D318="","Zona STOCK",IF($E318="","CEK SKU DESCRIPTION kosong",IF(COUNTIFS($I$2:$I$500,$I318,T$2:T$500,"&lt;&gt;"&amp;T318,T$2:T$500,"&lt;&gt;")&gt;0,"CEK jenis fixture beda dalam satu series","OK")))))))))</f>
        <v/>
      </c>
      <c r="X318" s="11" t="n"/>
      <c r="Y318" s="11" t="n"/>
      <c r="Z318" s="12" t="n"/>
      <c r="AA318" s="12" t="n"/>
      <c r="AB318" s="11" t="n"/>
      <c r="AC318" s="11" t="n"/>
      <c r="AD318" s="11" t="n"/>
      <c r="AE318" s="11" t="n"/>
      <c r="AF318" s="11" t="n"/>
      <c r="AG318" s="11" t="n"/>
      <c r="AH318" s="12" t="n"/>
      <c r="AI318" s="12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>
        <f>IF(OR(L319="",M319=""),"",IFERROR(INDEX(LAYOUT!$D$2:$D$80,MATCH(L319&amp;"|"&amp;M319,LAYOUT!$E$2:$E$80,0)),""))</f>
        <v/>
      </c>
      <c r="O319" s="12">
        <f>IF(AND(L319="",M319=""),IF(AND(P319="",Q319="",T319="",U319=""),IF(OR($D319&lt;&gt;"",$E319&lt;&gt;""),"Belum ditempatkan",""),""),IF(L319="","CEK JENIS FIXTURE kosong",IF(AND(LEFT(L319,7)&lt;&gt;"Gondola",LEFT(L319,6)&lt;&gt;"Endcap"),"CEK Fixture 1 hanya Gondola atau Endcap",IF(M319="","CEK SHELVING KE kosong",IF(ISNA(MATCH(L319&amp;"|"&amp;M319,LAYOUT!$E$2:$E$80,0)),"CEK SHELVING KE di luar layout",IF($I319="","CEK SERIES kosong",IF($D319="","Zona STOCK",IF($E319="","CEK SKU DESCRIPTION kosong",IF(COUNTIFS($I$2:$I$500,$I319,L$2:L$500,"&lt;&gt;"&amp;L319,L$2:L$500,"&lt;&gt;")&gt;0,"CEK jenis fixture beda dalam satu series","OK")))))))))</f>
        <v/>
      </c>
      <c r="P319" s="11" t="n"/>
      <c r="Q319" s="11" t="n"/>
      <c r="R319" s="11">
        <f>IF(OR(P319="",Q319=""),"",IFERROR(INDEX(LAYOUT!$D$2:$D$80,MATCH(P319&amp;"|"&amp;Q319,LAYOUT!$E$2:$E$80,0)),""))</f>
        <v/>
      </c>
      <c r="S319" s="12">
        <f>IF(AND(P319="",Q319=""),IF(AND(L319="",M319="",T319="",U319=""),IF(OR($D319&lt;&gt;"",$E319&lt;&gt;""),"Belum ditempatkan",""),""),IF(P319="","CEK JENIS FIXTURE kosong",IF(LEFT(P319,4)&lt;&gt;"Wall","CEK Fixture 2 hanya Wall",IF(Q319="","CEK SHELVING KE kosong",IF(ISNA(MATCH(P319&amp;"|"&amp;Q319,LAYOUT!$E$2:$E$80,0)),"CEK SHELVING KE di luar layout",IF($I319="","CEK SERIES kosong",IF($D319="","Zona STOCK",IF($E319="","CEK SKU DESCRIPTION kosong",IF(COUNTIFS($I$2:$I$500,$I319,P$2:P$500,"&lt;&gt;"&amp;P319,P$2:P$500,"&lt;&gt;")&gt;0,"CEK jenis fixture beda dalam satu series","OK")))))))))</f>
        <v/>
      </c>
      <c r="T319" s="11" t="n"/>
      <c r="U319" s="11" t="n"/>
      <c r="V319" s="11">
        <f>IF(OR(T319="",U319=""),"",IFERROR(INDEX(LAYOUT!$D$2:$D$80,MATCH(T319&amp;"|"&amp;U319,LAYOUT!$E$2:$E$80,0)),""))</f>
        <v/>
      </c>
      <c r="W319" s="12">
        <f>IF(AND(T319="",U319=""),IF(AND(L319="",M319="",P319="",Q319=""),IF(OR($D319&lt;&gt;"",$E319&lt;&gt;""),"Belum ditempatkan",""),""),IF(T319="","CEK JENIS FIXTURE kosong",IF(LEFT(T319,4)&lt;&gt;"Wall","CEK Fixture 3 hanya Wall",IF(U319="","CEK SHELVING KE kosong",IF(ISNA(MATCH(T319&amp;"|"&amp;U319,LAYOUT!$E$2:$E$80,0)),"CEK SHELVING KE di luar layout",IF($I319="","CEK SERIES kosong",IF($D319="","Zona STOCK",IF($E319="","CEK SKU DESCRIPTION kosong",IF(COUNTIFS($I$2:$I$500,$I319,T$2:T$500,"&lt;&gt;"&amp;T319,T$2:T$500,"&lt;&gt;")&gt;0,"CEK jenis fixture beda dalam satu series","OK")))))))))</f>
        <v/>
      </c>
      <c r="X319" s="11" t="n"/>
      <c r="Y319" s="11" t="n"/>
      <c r="Z319" s="12" t="n"/>
      <c r="AA319" s="12" t="n"/>
      <c r="AB319" s="11" t="n"/>
      <c r="AC319" s="11" t="n"/>
      <c r="AD319" s="11" t="n"/>
      <c r="AE319" s="11" t="n"/>
      <c r="AF319" s="11" t="n"/>
      <c r="AG319" s="11" t="n"/>
      <c r="AH319" s="12" t="n"/>
      <c r="AI319" s="12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>
        <f>IF(OR(L320="",M320=""),"",IFERROR(INDEX(LAYOUT!$D$2:$D$80,MATCH(L320&amp;"|"&amp;M320,LAYOUT!$E$2:$E$80,0)),""))</f>
        <v/>
      </c>
      <c r="O320" s="12">
        <f>IF(AND(L320="",M320=""),IF(AND(P320="",Q320="",T320="",U320=""),IF(OR($D320&lt;&gt;"",$E320&lt;&gt;""),"Belum ditempatkan",""),""),IF(L320="","CEK JENIS FIXTURE kosong",IF(AND(LEFT(L320,7)&lt;&gt;"Gondola",LEFT(L320,6)&lt;&gt;"Endcap"),"CEK Fixture 1 hanya Gondola atau Endcap",IF(M320="","CEK SHELVING KE kosong",IF(ISNA(MATCH(L320&amp;"|"&amp;M320,LAYOUT!$E$2:$E$80,0)),"CEK SHELVING KE di luar layout",IF($I320="","CEK SERIES kosong",IF($D320="","Zona STOCK",IF($E320="","CEK SKU DESCRIPTION kosong",IF(COUNTIFS($I$2:$I$500,$I320,L$2:L$500,"&lt;&gt;"&amp;L320,L$2:L$500,"&lt;&gt;")&gt;0,"CEK jenis fixture beda dalam satu series","OK")))))))))</f>
        <v/>
      </c>
      <c r="P320" s="11" t="n"/>
      <c r="Q320" s="11" t="n"/>
      <c r="R320" s="11">
        <f>IF(OR(P320="",Q320=""),"",IFERROR(INDEX(LAYOUT!$D$2:$D$80,MATCH(P320&amp;"|"&amp;Q320,LAYOUT!$E$2:$E$80,0)),""))</f>
        <v/>
      </c>
      <c r="S320" s="12">
        <f>IF(AND(P320="",Q320=""),IF(AND(L320="",M320="",T320="",U320=""),IF(OR($D320&lt;&gt;"",$E320&lt;&gt;""),"Belum ditempatkan",""),""),IF(P320="","CEK JENIS FIXTURE kosong",IF(LEFT(P320,4)&lt;&gt;"Wall","CEK Fixture 2 hanya Wall",IF(Q320="","CEK SHELVING KE kosong",IF(ISNA(MATCH(P320&amp;"|"&amp;Q320,LAYOUT!$E$2:$E$80,0)),"CEK SHELVING KE di luar layout",IF($I320="","CEK SERIES kosong",IF($D320="","Zona STOCK",IF($E320="","CEK SKU DESCRIPTION kosong",IF(COUNTIFS($I$2:$I$500,$I320,P$2:P$500,"&lt;&gt;"&amp;P320,P$2:P$500,"&lt;&gt;")&gt;0,"CEK jenis fixture beda dalam satu series","OK")))))))))</f>
        <v/>
      </c>
      <c r="T320" s="11" t="n"/>
      <c r="U320" s="11" t="n"/>
      <c r="V320" s="11">
        <f>IF(OR(T320="",U320=""),"",IFERROR(INDEX(LAYOUT!$D$2:$D$80,MATCH(T320&amp;"|"&amp;U320,LAYOUT!$E$2:$E$80,0)),""))</f>
        <v/>
      </c>
      <c r="W320" s="12">
        <f>IF(AND(T320="",U320=""),IF(AND(L320="",M320="",P320="",Q320=""),IF(OR($D320&lt;&gt;"",$E320&lt;&gt;""),"Belum ditempatkan",""),""),IF(T320="","CEK JENIS FIXTURE kosong",IF(LEFT(T320,4)&lt;&gt;"Wall","CEK Fixture 3 hanya Wall",IF(U320="","CEK SHELVING KE kosong",IF(ISNA(MATCH(T320&amp;"|"&amp;U320,LAYOUT!$E$2:$E$80,0)),"CEK SHELVING KE di luar layout",IF($I320="","CEK SERIES kosong",IF($D320="","Zona STOCK",IF($E320="","CEK SKU DESCRIPTION kosong",IF(COUNTIFS($I$2:$I$500,$I320,T$2:T$500,"&lt;&gt;"&amp;T320,T$2:T$500,"&lt;&gt;")&gt;0,"CEK jenis fixture beda dalam satu series","OK")))))))))</f>
        <v/>
      </c>
      <c r="X320" s="11" t="n"/>
      <c r="Y320" s="11" t="n"/>
      <c r="Z320" s="12" t="n"/>
      <c r="AA320" s="12" t="n"/>
      <c r="AB320" s="11" t="n"/>
      <c r="AC320" s="11" t="n"/>
      <c r="AD320" s="11" t="n"/>
      <c r="AE320" s="11" t="n"/>
      <c r="AF320" s="11" t="n"/>
      <c r="AG320" s="11" t="n"/>
      <c r="AH320" s="12" t="n"/>
      <c r="AI320" s="12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>
        <f>IF(OR(L321="",M321=""),"",IFERROR(INDEX(LAYOUT!$D$2:$D$80,MATCH(L321&amp;"|"&amp;M321,LAYOUT!$E$2:$E$80,0)),""))</f>
        <v/>
      </c>
      <c r="O321" s="12">
        <f>IF(AND(L321="",M321=""),IF(AND(P321="",Q321="",T321="",U321=""),IF(OR($D321&lt;&gt;"",$E321&lt;&gt;""),"Belum ditempatkan",""),""),IF(L321="","CEK JENIS FIXTURE kosong",IF(AND(LEFT(L321,7)&lt;&gt;"Gondola",LEFT(L321,6)&lt;&gt;"Endcap"),"CEK Fixture 1 hanya Gondola atau Endcap",IF(M321="","CEK SHELVING KE kosong",IF(ISNA(MATCH(L321&amp;"|"&amp;M321,LAYOUT!$E$2:$E$80,0)),"CEK SHELVING KE di luar layout",IF($I321="","CEK SERIES kosong",IF($D321="","Zona STOCK",IF($E321="","CEK SKU DESCRIPTION kosong",IF(COUNTIFS($I$2:$I$500,$I321,L$2:L$500,"&lt;&gt;"&amp;L321,L$2:L$500,"&lt;&gt;")&gt;0,"CEK jenis fixture beda dalam satu series","OK")))))))))</f>
        <v/>
      </c>
      <c r="P321" s="11" t="n"/>
      <c r="Q321" s="11" t="n"/>
      <c r="R321" s="11">
        <f>IF(OR(P321="",Q321=""),"",IFERROR(INDEX(LAYOUT!$D$2:$D$80,MATCH(P321&amp;"|"&amp;Q321,LAYOUT!$E$2:$E$80,0)),""))</f>
        <v/>
      </c>
      <c r="S321" s="12">
        <f>IF(AND(P321="",Q321=""),IF(AND(L321="",M321="",T321="",U321=""),IF(OR($D321&lt;&gt;"",$E321&lt;&gt;""),"Belum ditempatkan",""),""),IF(P321="","CEK JENIS FIXTURE kosong",IF(LEFT(P321,4)&lt;&gt;"Wall","CEK Fixture 2 hanya Wall",IF(Q321="","CEK SHELVING KE kosong",IF(ISNA(MATCH(P321&amp;"|"&amp;Q321,LAYOUT!$E$2:$E$80,0)),"CEK SHELVING KE di luar layout",IF($I321="","CEK SERIES kosong",IF($D321="","Zona STOCK",IF($E321="","CEK SKU DESCRIPTION kosong",IF(COUNTIFS($I$2:$I$500,$I321,P$2:P$500,"&lt;&gt;"&amp;P321,P$2:P$500,"&lt;&gt;")&gt;0,"CEK jenis fixture beda dalam satu series","OK")))))))))</f>
        <v/>
      </c>
      <c r="T321" s="11" t="n"/>
      <c r="U321" s="11" t="n"/>
      <c r="V321" s="11">
        <f>IF(OR(T321="",U321=""),"",IFERROR(INDEX(LAYOUT!$D$2:$D$80,MATCH(T321&amp;"|"&amp;U321,LAYOUT!$E$2:$E$80,0)),""))</f>
        <v/>
      </c>
      <c r="W321" s="12">
        <f>IF(AND(T321="",U321=""),IF(AND(L321="",M321="",P321="",Q321=""),IF(OR($D321&lt;&gt;"",$E321&lt;&gt;""),"Belum ditempatkan",""),""),IF(T321="","CEK JENIS FIXTURE kosong",IF(LEFT(T321,4)&lt;&gt;"Wall","CEK Fixture 3 hanya Wall",IF(U321="","CEK SHELVING KE kosong",IF(ISNA(MATCH(T321&amp;"|"&amp;U321,LAYOUT!$E$2:$E$80,0)),"CEK SHELVING KE di luar layout",IF($I321="","CEK SERIES kosong",IF($D321="","Zona STOCK",IF($E321="","CEK SKU DESCRIPTION kosong",IF(COUNTIFS($I$2:$I$500,$I321,T$2:T$500,"&lt;&gt;"&amp;T321,T$2:T$500,"&lt;&gt;")&gt;0,"CEK jenis fixture beda dalam satu series","OK")))))))))</f>
        <v/>
      </c>
      <c r="X321" s="11" t="n"/>
      <c r="Y321" s="11" t="n"/>
      <c r="Z321" s="12" t="n"/>
      <c r="AA321" s="12" t="n"/>
      <c r="AB321" s="11" t="n"/>
      <c r="AC321" s="11" t="n"/>
      <c r="AD321" s="11" t="n"/>
      <c r="AE321" s="11" t="n"/>
      <c r="AF321" s="11" t="n"/>
      <c r="AG321" s="11" t="n"/>
      <c r="AH321" s="12" t="n"/>
      <c r="AI321" s="12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>
        <f>IF(OR(L322="",M322=""),"",IFERROR(INDEX(LAYOUT!$D$2:$D$80,MATCH(L322&amp;"|"&amp;M322,LAYOUT!$E$2:$E$80,0)),""))</f>
        <v/>
      </c>
      <c r="O322" s="12">
        <f>IF(AND(L322="",M322=""),IF(AND(P322="",Q322="",T322="",U322=""),IF(OR($D322&lt;&gt;"",$E322&lt;&gt;""),"Belum ditempatkan",""),""),IF(L322="","CEK JENIS FIXTURE kosong",IF(AND(LEFT(L322,7)&lt;&gt;"Gondola",LEFT(L322,6)&lt;&gt;"Endcap"),"CEK Fixture 1 hanya Gondola atau Endcap",IF(M322="","CEK SHELVING KE kosong",IF(ISNA(MATCH(L322&amp;"|"&amp;M322,LAYOUT!$E$2:$E$80,0)),"CEK SHELVING KE di luar layout",IF($I322="","CEK SERIES kosong",IF($D322="","Zona STOCK",IF($E322="","CEK SKU DESCRIPTION kosong",IF(COUNTIFS($I$2:$I$500,$I322,L$2:L$500,"&lt;&gt;"&amp;L322,L$2:L$500,"&lt;&gt;")&gt;0,"CEK jenis fixture beda dalam satu series","OK")))))))))</f>
        <v/>
      </c>
      <c r="P322" s="11" t="n"/>
      <c r="Q322" s="11" t="n"/>
      <c r="R322" s="11">
        <f>IF(OR(P322="",Q322=""),"",IFERROR(INDEX(LAYOUT!$D$2:$D$80,MATCH(P322&amp;"|"&amp;Q322,LAYOUT!$E$2:$E$80,0)),""))</f>
        <v/>
      </c>
      <c r="S322" s="12">
        <f>IF(AND(P322="",Q322=""),IF(AND(L322="",M322="",T322="",U322=""),IF(OR($D322&lt;&gt;"",$E322&lt;&gt;""),"Belum ditempatkan",""),""),IF(P322="","CEK JENIS FIXTURE kosong",IF(LEFT(P322,4)&lt;&gt;"Wall","CEK Fixture 2 hanya Wall",IF(Q322="","CEK SHELVING KE kosong",IF(ISNA(MATCH(P322&amp;"|"&amp;Q322,LAYOUT!$E$2:$E$80,0)),"CEK SHELVING KE di luar layout",IF($I322="","CEK SERIES kosong",IF($D322="","Zona STOCK",IF($E322="","CEK SKU DESCRIPTION kosong",IF(COUNTIFS($I$2:$I$500,$I322,P$2:P$500,"&lt;&gt;"&amp;P322,P$2:P$500,"&lt;&gt;")&gt;0,"CEK jenis fixture beda dalam satu series","OK")))))))))</f>
        <v/>
      </c>
      <c r="T322" s="11" t="n"/>
      <c r="U322" s="11" t="n"/>
      <c r="V322" s="11">
        <f>IF(OR(T322="",U322=""),"",IFERROR(INDEX(LAYOUT!$D$2:$D$80,MATCH(T322&amp;"|"&amp;U322,LAYOUT!$E$2:$E$80,0)),""))</f>
        <v/>
      </c>
      <c r="W322" s="12">
        <f>IF(AND(T322="",U322=""),IF(AND(L322="",M322="",P322="",Q322=""),IF(OR($D322&lt;&gt;"",$E322&lt;&gt;""),"Belum ditempatkan",""),""),IF(T322="","CEK JENIS FIXTURE kosong",IF(LEFT(T322,4)&lt;&gt;"Wall","CEK Fixture 3 hanya Wall",IF(U322="","CEK SHELVING KE kosong",IF(ISNA(MATCH(T322&amp;"|"&amp;U322,LAYOUT!$E$2:$E$80,0)),"CEK SHELVING KE di luar layout",IF($I322="","CEK SERIES kosong",IF($D322="","Zona STOCK",IF($E322="","CEK SKU DESCRIPTION kosong",IF(COUNTIFS($I$2:$I$500,$I322,T$2:T$500,"&lt;&gt;"&amp;T322,T$2:T$500,"&lt;&gt;")&gt;0,"CEK jenis fixture beda dalam satu series","OK")))))))))</f>
        <v/>
      </c>
      <c r="X322" s="11" t="n"/>
      <c r="Y322" s="11" t="n"/>
      <c r="Z322" s="12" t="n"/>
      <c r="AA322" s="12" t="n"/>
      <c r="AB322" s="11" t="n"/>
      <c r="AC322" s="11" t="n"/>
      <c r="AD322" s="11" t="n"/>
      <c r="AE322" s="11" t="n"/>
      <c r="AF322" s="11" t="n"/>
      <c r="AG322" s="11" t="n"/>
      <c r="AH322" s="12" t="n"/>
      <c r="AI322" s="12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>
        <f>IF(OR(L323="",M323=""),"",IFERROR(INDEX(LAYOUT!$D$2:$D$80,MATCH(L323&amp;"|"&amp;M323,LAYOUT!$E$2:$E$80,0)),""))</f>
        <v/>
      </c>
      <c r="O323" s="12">
        <f>IF(AND(L323="",M323=""),IF(AND(P323="",Q323="",T323="",U323=""),IF(OR($D323&lt;&gt;"",$E323&lt;&gt;""),"Belum ditempatkan",""),""),IF(L323="","CEK JENIS FIXTURE kosong",IF(AND(LEFT(L323,7)&lt;&gt;"Gondola",LEFT(L323,6)&lt;&gt;"Endcap"),"CEK Fixture 1 hanya Gondola atau Endcap",IF(M323="","CEK SHELVING KE kosong",IF(ISNA(MATCH(L323&amp;"|"&amp;M323,LAYOUT!$E$2:$E$80,0)),"CEK SHELVING KE di luar layout",IF($I323="","CEK SERIES kosong",IF($D323="","Zona STOCK",IF($E323="","CEK SKU DESCRIPTION kosong",IF(COUNTIFS($I$2:$I$500,$I323,L$2:L$500,"&lt;&gt;"&amp;L323,L$2:L$500,"&lt;&gt;")&gt;0,"CEK jenis fixture beda dalam satu series","OK")))))))))</f>
        <v/>
      </c>
      <c r="P323" s="11" t="n"/>
      <c r="Q323" s="11" t="n"/>
      <c r="R323" s="11">
        <f>IF(OR(P323="",Q323=""),"",IFERROR(INDEX(LAYOUT!$D$2:$D$80,MATCH(P323&amp;"|"&amp;Q323,LAYOUT!$E$2:$E$80,0)),""))</f>
        <v/>
      </c>
      <c r="S323" s="12">
        <f>IF(AND(P323="",Q323=""),IF(AND(L323="",M323="",T323="",U323=""),IF(OR($D323&lt;&gt;"",$E323&lt;&gt;""),"Belum ditempatkan",""),""),IF(P323="","CEK JENIS FIXTURE kosong",IF(LEFT(P323,4)&lt;&gt;"Wall","CEK Fixture 2 hanya Wall",IF(Q323="","CEK SHELVING KE kosong",IF(ISNA(MATCH(P323&amp;"|"&amp;Q323,LAYOUT!$E$2:$E$80,0)),"CEK SHELVING KE di luar layout",IF($I323="","CEK SERIES kosong",IF($D323="","Zona STOCK",IF($E323="","CEK SKU DESCRIPTION kosong",IF(COUNTIFS($I$2:$I$500,$I323,P$2:P$500,"&lt;&gt;"&amp;P323,P$2:P$500,"&lt;&gt;")&gt;0,"CEK jenis fixture beda dalam satu series","OK")))))))))</f>
        <v/>
      </c>
      <c r="T323" s="11" t="n"/>
      <c r="U323" s="11" t="n"/>
      <c r="V323" s="11">
        <f>IF(OR(T323="",U323=""),"",IFERROR(INDEX(LAYOUT!$D$2:$D$80,MATCH(T323&amp;"|"&amp;U323,LAYOUT!$E$2:$E$80,0)),""))</f>
        <v/>
      </c>
      <c r="W323" s="12">
        <f>IF(AND(T323="",U323=""),IF(AND(L323="",M323="",P323="",Q323=""),IF(OR($D323&lt;&gt;"",$E323&lt;&gt;""),"Belum ditempatkan",""),""),IF(T323="","CEK JENIS FIXTURE kosong",IF(LEFT(T323,4)&lt;&gt;"Wall","CEK Fixture 3 hanya Wall",IF(U323="","CEK SHELVING KE kosong",IF(ISNA(MATCH(T323&amp;"|"&amp;U323,LAYOUT!$E$2:$E$80,0)),"CEK SHELVING KE di luar layout",IF($I323="","CEK SERIES kosong",IF($D323="","Zona STOCK",IF($E323="","CEK SKU DESCRIPTION kosong",IF(COUNTIFS($I$2:$I$500,$I323,T$2:T$500,"&lt;&gt;"&amp;T323,T$2:T$500,"&lt;&gt;")&gt;0,"CEK jenis fixture beda dalam satu series","OK")))))))))</f>
        <v/>
      </c>
      <c r="X323" s="11" t="n"/>
      <c r="Y323" s="11" t="n"/>
      <c r="Z323" s="12" t="n"/>
      <c r="AA323" s="12" t="n"/>
      <c r="AB323" s="11" t="n"/>
      <c r="AC323" s="11" t="n"/>
      <c r="AD323" s="11" t="n"/>
      <c r="AE323" s="11" t="n"/>
      <c r="AF323" s="11" t="n"/>
      <c r="AG323" s="11" t="n"/>
      <c r="AH323" s="12" t="n"/>
      <c r="AI323" s="12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>
        <f>IF(OR(L324="",M324=""),"",IFERROR(INDEX(LAYOUT!$D$2:$D$80,MATCH(L324&amp;"|"&amp;M324,LAYOUT!$E$2:$E$80,0)),""))</f>
        <v/>
      </c>
      <c r="O324" s="12">
        <f>IF(AND(L324="",M324=""),IF(AND(P324="",Q324="",T324="",U324=""),IF(OR($D324&lt;&gt;"",$E324&lt;&gt;""),"Belum ditempatkan",""),""),IF(L324="","CEK JENIS FIXTURE kosong",IF(AND(LEFT(L324,7)&lt;&gt;"Gondola",LEFT(L324,6)&lt;&gt;"Endcap"),"CEK Fixture 1 hanya Gondola atau Endcap",IF(M324="","CEK SHELVING KE kosong",IF(ISNA(MATCH(L324&amp;"|"&amp;M324,LAYOUT!$E$2:$E$80,0)),"CEK SHELVING KE di luar layout",IF($I324="","CEK SERIES kosong",IF($D324="","Zona STOCK",IF($E324="","CEK SKU DESCRIPTION kosong",IF(COUNTIFS($I$2:$I$500,$I324,L$2:L$500,"&lt;&gt;"&amp;L324,L$2:L$500,"&lt;&gt;")&gt;0,"CEK jenis fixture beda dalam satu series","OK")))))))))</f>
        <v/>
      </c>
      <c r="P324" s="11" t="n"/>
      <c r="Q324" s="11" t="n"/>
      <c r="R324" s="11">
        <f>IF(OR(P324="",Q324=""),"",IFERROR(INDEX(LAYOUT!$D$2:$D$80,MATCH(P324&amp;"|"&amp;Q324,LAYOUT!$E$2:$E$80,0)),""))</f>
        <v/>
      </c>
      <c r="S324" s="12">
        <f>IF(AND(P324="",Q324=""),IF(AND(L324="",M324="",T324="",U324=""),IF(OR($D324&lt;&gt;"",$E324&lt;&gt;""),"Belum ditempatkan",""),""),IF(P324="","CEK JENIS FIXTURE kosong",IF(LEFT(P324,4)&lt;&gt;"Wall","CEK Fixture 2 hanya Wall",IF(Q324="","CEK SHELVING KE kosong",IF(ISNA(MATCH(P324&amp;"|"&amp;Q324,LAYOUT!$E$2:$E$80,0)),"CEK SHELVING KE di luar layout",IF($I324="","CEK SERIES kosong",IF($D324="","Zona STOCK",IF($E324="","CEK SKU DESCRIPTION kosong",IF(COUNTIFS($I$2:$I$500,$I324,P$2:P$500,"&lt;&gt;"&amp;P324,P$2:P$500,"&lt;&gt;")&gt;0,"CEK jenis fixture beda dalam satu series","OK")))))))))</f>
        <v/>
      </c>
      <c r="T324" s="11" t="n"/>
      <c r="U324" s="11" t="n"/>
      <c r="V324" s="11">
        <f>IF(OR(T324="",U324=""),"",IFERROR(INDEX(LAYOUT!$D$2:$D$80,MATCH(T324&amp;"|"&amp;U324,LAYOUT!$E$2:$E$80,0)),""))</f>
        <v/>
      </c>
      <c r="W324" s="12">
        <f>IF(AND(T324="",U324=""),IF(AND(L324="",M324="",P324="",Q324=""),IF(OR($D324&lt;&gt;"",$E324&lt;&gt;""),"Belum ditempatkan",""),""),IF(T324="","CEK JENIS FIXTURE kosong",IF(LEFT(T324,4)&lt;&gt;"Wall","CEK Fixture 3 hanya Wall",IF(U324="","CEK SHELVING KE kosong",IF(ISNA(MATCH(T324&amp;"|"&amp;U324,LAYOUT!$E$2:$E$80,0)),"CEK SHELVING KE di luar layout",IF($I324="","CEK SERIES kosong",IF($D324="","Zona STOCK",IF($E324="","CEK SKU DESCRIPTION kosong",IF(COUNTIFS($I$2:$I$500,$I324,T$2:T$500,"&lt;&gt;"&amp;T324,T$2:T$500,"&lt;&gt;")&gt;0,"CEK jenis fixture beda dalam satu series","OK")))))))))</f>
        <v/>
      </c>
      <c r="X324" s="11" t="n"/>
      <c r="Y324" s="11" t="n"/>
      <c r="Z324" s="12" t="n"/>
      <c r="AA324" s="12" t="n"/>
      <c r="AB324" s="11" t="n"/>
      <c r="AC324" s="11" t="n"/>
      <c r="AD324" s="11" t="n"/>
      <c r="AE324" s="11" t="n"/>
      <c r="AF324" s="11" t="n"/>
      <c r="AG324" s="11" t="n"/>
      <c r="AH324" s="12" t="n"/>
      <c r="AI324" s="12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>
        <f>IF(OR(L325="",M325=""),"",IFERROR(INDEX(LAYOUT!$D$2:$D$80,MATCH(L325&amp;"|"&amp;M325,LAYOUT!$E$2:$E$80,0)),""))</f>
        <v/>
      </c>
      <c r="O325" s="12">
        <f>IF(AND(L325="",M325=""),IF(AND(P325="",Q325="",T325="",U325=""),IF(OR($D325&lt;&gt;"",$E325&lt;&gt;""),"Belum ditempatkan",""),""),IF(L325="","CEK JENIS FIXTURE kosong",IF(AND(LEFT(L325,7)&lt;&gt;"Gondola",LEFT(L325,6)&lt;&gt;"Endcap"),"CEK Fixture 1 hanya Gondola atau Endcap",IF(M325="","CEK SHELVING KE kosong",IF(ISNA(MATCH(L325&amp;"|"&amp;M325,LAYOUT!$E$2:$E$80,0)),"CEK SHELVING KE di luar layout",IF($I325="","CEK SERIES kosong",IF($D325="","Zona STOCK",IF($E325="","CEK SKU DESCRIPTION kosong",IF(COUNTIFS($I$2:$I$500,$I325,L$2:L$500,"&lt;&gt;"&amp;L325,L$2:L$500,"&lt;&gt;")&gt;0,"CEK jenis fixture beda dalam satu series","OK")))))))))</f>
        <v/>
      </c>
      <c r="P325" s="11" t="n"/>
      <c r="Q325" s="11" t="n"/>
      <c r="R325" s="11">
        <f>IF(OR(P325="",Q325=""),"",IFERROR(INDEX(LAYOUT!$D$2:$D$80,MATCH(P325&amp;"|"&amp;Q325,LAYOUT!$E$2:$E$80,0)),""))</f>
        <v/>
      </c>
      <c r="S325" s="12">
        <f>IF(AND(P325="",Q325=""),IF(AND(L325="",M325="",T325="",U325=""),IF(OR($D325&lt;&gt;"",$E325&lt;&gt;""),"Belum ditempatkan",""),""),IF(P325="","CEK JENIS FIXTURE kosong",IF(LEFT(P325,4)&lt;&gt;"Wall","CEK Fixture 2 hanya Wall",IF(Q325="","CEK SHELVING KE kosong",IF(ISNA(MATCH(P325&amp;"|"&amp;Q325,LAYOUT!$E$2:$E$80,0)),"CEK SHELVING KE di luar layout",IF($I325="","CEK SERIES kosong",IF($D325="","Zona STOCK",IF($E325="","CEK SKU DESCRIPTION kosong",IF(COUNTIFS($I$2:$I$500,$I325,P$2:P$500,"&lt;&gt;"&amp;P325,P$2:P$500,"&lt;&gt;")&gt;0,"CEK jenis fixture beda dalam satu series","OK")))))))))</f>
        <v/>
      </c>
      <c r="T325" s="11" t="n"/>
      <c r="U325" s="11" t="n"/>
      <c r="V325" s="11">
        <f>IF(OR(T325="",U325=""),"",IFERROR(INDEX(LAYOUT!$D$2:$D$80,MATCH(T325&amp;"|"&amp;U325,LAYOUT!$E$2:$E$80,0)),""))</f>
        <v/>
      </c>
      <c r="W325" s="12">
        <f>IF(AND(T325="",U325=""),IF(AND(L325="",M325="",P325="",Q325=""),IF(OR($D325&lt;&gt;"",$E325&lt;&gt;""),"Belum ditempatkan",""),""),IF(T325="","CEK JENIS FIXTURE kosong",IF(LEFT(T325,4)&lt;&gt;"Wall","CEK Fixture 3 hanya Wall",IF(U325="","CEK SHELVING KE kosong",IF(ISNA(MATCH(T325&amp;"|"&amp;U325,LAYOUT!$E$2:$E$80,0)),"CEK SHELVING KE di luar layout",IF($I325="","CEK SERIES kosong",IF($D325="","Zona STOCK",IF($E325="","CEK SKU DESCRIPTION kosong",IF(COUNTIFS($I$2:$I$500,$I325,T$2:T$500,"&lt;&gt;"&amp;T325,T$2:T$500,"&lt;&gt;")&gt;0,"CEK jenis fixture beda dalam satu series","OK")))))))))</f>
        <v/>
      </c>
      <c r="X325" s="11" t="n"/>
      <c r="Y325" s="11" t="n"/>
      <c r="Z325" s="12" t="n"/>
      <c r="AA325" s="12" t="n"/>
      <c r="AB325" s="11" t="n"/>
      <c r="AC325" s="11" t="n"/>
      <c r="AD325" s="11" t="n"/>
      <c r="AE325" s="11" t="n"/>
      <c r="AF325" s="11" t="n"/>
      <c r="AG325" s="11" t="n"/>
      <c r="AH325" s="12" t="n"/>
      <c r="AI325" s="12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>
        <f>IF(OR(L326="",M326=""),"",IFERROR(INDEX(LAYOUT!$D$2:$D$80,MATCH(L326&amp;"|"&amp;M326,LAYOUT!$E$2:$E$80,0)),""))</f>
        <v/>
      </c>
      <c r="O326" s="12">
        <f>IF(AND(L326="",M326=""),IF(AND(P326="",Q326="",T326="",U326=""),IF(OR($D326&lt;&gt;"",$E326&lt;&gt;""),"Belum ditempatkan",""),""),IF(L326="","CEK JENIS FIXTURE kosong",IF(AND(LEFT(L326,7)&lt;&gt;"Gondola",LEFT(L326,6)&lt;&gt;"Endcap"),"CEK Fixture 1 hanya Gondola atau Endcap",IF(M326="","CEK SHELVING KE kosong",IF(ISNA(MATCH(L326&amp;"|"&amp;M326,LAYOUT!$E$2:$E$80,0)),"CEK SHELVING KE di luar layout",IF($I326="","CEK SERIES kosong",IF($D326="","Zona STOCK",IF($E326="","CEK SKU DESCRIPTION kosong",IF(COUNTIFS($I$2:$I$500,$I326,L$2:L$500,"&lt;&gt;"&amp;L326,L$2:L$500,"&lt;&gt;")&gt;0,"CEK jenis fixture beda dalam satu series","OK")))))))))</f>
        <v/>
      </c>
      <c r="P326" s="11" t="n"/>
      <c r="Q326" s="11" t="n"/>
      <c r="R326" s="11">
        <f>IF(OR(P326="",Q326=""),"",IFERROR(INDEX(LAYOUT!$D$2:$D$80,MATCH(P326&amp;"|"&amp;Q326,LAYOUT!$E$2:$E$80,0)),""))</f>
        <v/>
      </c>
      <c r="S326" s="12">
        <f>IF(AND(P326="",Q326=""),IF(AND(L326="",M326="",T326="",U326=""),IF(OR($D326&lt;&gt;"",$E326&lt;&gt;""),"Belum ditempatkan",""),""),IF(P326="","CEK JENIS FIXTURE kosong",IF(LEFT(P326,4)&lt;&gt;"Wall","CEK Fixture 2 hanya Wall",IF(Q326="","CEK SHELVING KE kosong",IF(ISNA(MATCH(P326&amp;"|"&amp;Q326,LAYOUT!$E$2:$E$80,0)),"CEK SHELVING KE di luar layout",IF($I326="","CEK SERIES kosong",IF($D326="","Zona STOCK",IF($E326="","CEK SKU DESCRIPTION kosong",IF(COUNTIFS($I$2:$I$500,$I326,P$2:P$500,"&lt;&gt;"&amp;P326,P$2:P$500,"&lt;&gt;")&gt;0,"CEK jenis fixture beda dalam satu series","OK")))))))))</f>
        <v/>
      </c>
      <c r="T326" s="11" t="n"/>
      <c r="U326" s="11" t="n"/>
      <c r="V326" s="11">
        <f>IF(OR(T326="",U326=""),"",IFERROR(INDEX(LAYOUT!$D$2:$D$80,MATCH(T326&amp;"|"&amp;U326,LAYOUT!$E$2:$E$80,0)),""))</f>
        <v/>
      </c>
      <c r="W326" s="12">
        <f>IF(AND(T326="",U326=""),IF(AND(L326="",M326="",P326="",Q326=""),IF(OR($D326&lt;&gt;"",$E326&lt;&gt;""),"Belum ditempatkan",""),""),IF(T326="","CEK JENIS FIXTURE kosong",IF(LEFT(T326,4)&lt;&gt;"Wall","CEK Fixture 3 hanya Wall",IF(U326="","CEK SHELVING KE kosong",IF(ISNA(MATCH(T326&amp;"|"&amp;U326,LAYOUT!$E$2:$E$80,0)),"CEK SHELVING KE di luar layout",IF($I326="","CEK SERIES kosong",IF($D326="","Zona STOCK",IF($E326="","CEK SKU DESCRIPTION kosong",IF(COUNTIFS($I$2:$I$500,$I326,T$2:T$500,"&lt;&gt;"&amp;T326,T$2:T$500,"&lt;&gt;")&gt;0,"CEK jenis fixture beda dalam satu series","OK")))))))))</f>
        <v/>
      </c>
      <c r="X326" s="11" t="n"/>
      <c r="Y326" s="11" t="n"/>
      <c r="Z326" s="12" t="n"/>
      <c r="AA326" s="12" t="n"/>
      <c r="AB326" s="11" t="n"/>
      <c r="AC326" s="11" t="n"/>
      <c r="AD326" s="11" t="n"/>
      <c r="AE326" s="11" t="n"/>
      <c r="AF326" s="11" t="n"/>
      <c r="AG326" s="11" t="n"/>
      <c r="AH326" s="12" t="n"/>
      <c r="AI326" s="12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>
        <f>IF(OR(L327="",M327=""),"",IFERROR(INDEX(LAYOUT!$D$2:$D$80,MATCH(L327&amp;"|"&amp;M327,LAYOUT!$E$2:$E$80,0)),""))</f>
        <v/>
      </c>
      <c r="O327" s="12">
        <f>IF(AND(L327="",M327=""),IF(AND(P327="",Q327="",T327="",U327=""),IF(OR($D327&lt;&gt;"",$E327&lt;&gt;""),"Belum ditempatkan",""),""),IF(L327="","CEK JENIS FIXTURE kosong",IF(AND(LEFT(L327,7)&lt;&gt;"Gondola",LEFT(L327,6)&lt;&gt;"Endcap"),"CEK Fixture 1 hanya Gondola atau Endcap",IF(M327="","CEK SHELVING KE kosong",IF(ISNA(MATCH(L327&amp;"|"&amp;M327,LAYOUT!$E$2:$E$80,0)),"CEK SHELVING KE di luar layout",IF($I327="","CEK SERIES kosong",IF($D327="","Zona STOCK",IF($E327="","CEK SKU DESCRIPTION kosong",IF(COUNTIFS($I$2:$I$500,$I327,L$2:L$500,"&lt;&gt;"&amp;L327,L$2:L$500,"&lt;&gt;")&gt;0,"CEK jenis fixture beda dalam satu series","OK")))))))))</f>
        <v/>
      </c>
      <c r="P327" s="11" t="n"/>
      <c r="Q327" s="11" t="n"/>
      <c r="R327" s="11">
        <f>IF(OR(P327="",Q327=""),"",IFERROR(INDEX(LAYOUT!$D$2:$D$80,MATCH(P327&amp;"|"&amp;Q327,LAYOUT!$E$2:$E$80,0)),""))</f>
        <v/>
      </c>
      <c r="S327" s="12">
        <f>IF(AND(P327="",Q327=""),IF(AND(L327="",M327="",T327="",U327=""),IF(OR($D327&lt;&gt;"",$E327&lt;&gt;""),"Belum ditempatkan",""),""),IF(P327="","CEK JENIS FIXTURE kosong",IF(LEFT(P327,4)&lt;&gt;"Wall","CEK Fixture 2 hanya Wall",IF(Q327="","CEK SHELVING KE kosong",IF(ISNA(MATCH(P327&amp;"|"&amp;Q327,LAYOUT!$E$2:$E$80,0)),"CEK SHELVING KE di luar layout",IF($I327="","CEK SERIES kosong",IF($D327="","Zona STOCK",IF($E327="","CEK SKU DESCRIPTION kosong",IF(COUNTIFS($I$2:$I$500,$I327,P$2:P$500,"&lt;&gt;"&amp;P327,P$2:P$500,"&lt;&gt;")&gt;0,"CEK jenis fixture beda dalam satu series","OK")))))))))</f>
        <v/>
      </c>
      <c r="T327" s="11" t="n"/>
      <c r="U327" s="11" t="n"/>
      <c r="V327" s="11">
        <f>IF(OR(T327="",U327=""),"",IFERROR(INDEX(LAYOUT!$D$2:$D$80,MATCH(T327&amp;"|"&amp;U327,LAYOUT!$E$2:$E$80,0)),""))</f>
        <v/>
      </c>
      <c r="W327" s="12">
        <f>IF(AND(T327="",U327=""),IF(AND(L327="",M327="",P327="",Q327=""),IF(OR($D327&lt;&gt;"",$E327&lt;&gt;""),"Belum ditempatkan",""),""),IF(T327="","CEK JENIS FIXTURE kosong",IF(LEFT(T327,4)&lt;&gt;"Wall","CEK Fixture 3 hanya Wall",IF(U327="","CEK SHELVING KE kosong",IF(ISNA(MATCH(T327&amp;"|"&amp;U327,LAYOUT!$E$2:$E$80,0)),"CEK SHELVING KE di luar layout",IF($I327="","CEK SERIES kosong",IF($D327="","Zona STOCK",IF($E327="","CEK SKU DESCRIPTION kosong",IF(COUNTIFS($I$2:$I$500,$I327,T$2:T$500,"&lt;&gt;"&amp;T327,T$2:T$500,"&lt;&gt;")&gt;0,"CEK jenis fixture beda dalam satu series","OK")))))))))</f>
        <v/>
      </c>
      <c r="X327" s="11" t="n"/>
      <c r="Y327" s="11" t="n"/>
      <c r="Z327" s="12" t="n"/>
      <c r="AA327" s="12" t="n"/>
      <c r="AB327" s="11" t="n"/>
      <c r="AC327" s="11" t="n"/>
      <c r="AD327" s="11" t="n"/>
      <c r="AE327" s="11" t="n"/>
      <c r="AF327" s="11" t="n"/>
      <c r="AG327" s="11" t="n"/>
      <c r="AH327" s="12" t="n"/>
      <c r="AI327" s="12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>
        <f>IF(OR(L328="",M328=""),"",IFERROR(INDEX(LAYOUT!$D$2:$D$80,MATCH(L328&amp;"|"&amp;M328,LAYOUT!$E$2:$E$80,0)),""))</f>
        <v/>
      </c>
      <c r="O328" s="12">
        <f>IF(AND(L328="",M328=""),IF(AND(P328="",Q328="",T328="",U328=""),IF(OR($D328&lt;&gt;"",$E328&lt;&gt;""),"Belum ditempatkan",""),""),IF(L328="","CEK JENIS FIXTURE kosong",IF(AND(LEFT(L328,7)&lt;&gt;"Gondola",LEFT(L328,6)&lt;&gt;"Endcap"),"CEK Fixture 1 hanya Gondola atau Endcap",IF(M328="","CEK SHELVING KE kosong",IF(ISNA(MATCH(L328&amp;"|"&amp;M328,LAYOUT!$E$2:$E$80,0)),"CEK SHELVING KE di luar layout",IF($I328="","CEK SERIES kosong",IF($D328="","Zona STOCK",IF($E328="","CEK SKU DESCRIPTION kosong",IF(COUNTIFS($I$2:$I$500,$I328,L$2:L$500,"&lt;&gt;"&amp;L328,L$2:L$500,"&lt;&gt;")&gt;0,"CEK jenis fixture beda dalam satu series","OK")))))))))</f>
        <v/>
      </c>
      <c r="P328" s="11" t="n"/>
      <c r="Q328" s="11" t="n"/>
      <c r="R328" s="11">
        <f>IF(OR(P328="",Q328=""),"",IFERROR(INDEX(LAYOUT!$D$2:$D$80,MATCH(P328&amp;"|"&amp;Q328,LAYOUT!$E$2:$E$80,0)),""))</f>
        <v/>
      </c>
      <c r="S328" s="12">
        <f>IF(AND(P328="",Q328=""),IF(AND(L328="",M328="",T328="",U328=""),IF(OR($D328&lt;&gt;"",$E328&lt;&gt;""),"Belum ditempatkan",""),""),IF(P328="","CEK JENIS FIXTURE kosong",IF(LEFT(P328,4)&lt;&gt;"Wall","CEK Fixture 2 hanya Wall",IF(Q328="","CEK SHELVING KE kosong",IF(ISNA(MATCH(P328&amp;"|"&amp;Q328,LAYOUT!$E$2:$E$80,0)),"CEK SHELVING KE di luar layout",IF($I328="","CEK SERIES kosong",IF($D328="","Zona STOCK",IF($E328="","CEK SKU DESCRIPTION kosong",IF(COUNTIFS($I$2:$I$500,$I328,P$2:P$500,"&lt;&gt;"&amp;P328,P$2:P$500,"&lt;&gt;")&gt;0,"CEK jenis fixture beda dalam satu series","OK")))))))))</f>
        <v/>
      </c>
      <c r="T328" s="11" t="n"/>
      <c r="U328" s="11" t="n"/>
      <c r="V328" s="11">
        <f>IF(OR(T328="",U328=""),"",IFERROR(INDEX(LAYOUT!$D$2:$D$80,MATCH(T328&amp;"|"&amp;U328,LAYOUT!$E$2:$E$80,0)),""))</f>
        <v/>
      </c>
      <c r="W328" s="12">
        <f>IF(AND(T328="",U328=""),IF(AND(L328="",M328="",P328="",Q328=""),IF(OR($D328&lt;&gt;"",$E328&lt;&gt;""),"Belum ditempatkan",""),""),IF(T328="","CEK JENIS FIXTURE kosong",IF(LEFT(T328,4)&lt;&gt;"Wall","CEK Fixture 3 hanya Wall",IF(U328="","CEK SHELVING KE kosong",IF(ISNA(MATCH(T328&amp;"|"&amp;U328,LAYOUT!$E$2:$E$80,0)),"CEK SHELVING KE di luar layout",IF($I328="","CEK SERIES kosong",IF($D328="","Zona STOCK",IF($E328="","CEK SKU DESCRIPTION kosong",IF(COUNTIFS($I$2:$I$500,$I328,T$2:T$500,"&lt;&gt;"&amp;T328,T$2:T$500,"&lt;&gt;")&gt;0,"CEK jenis fixture beda dalam satu series","OK")))))))))</f>
        <v/>
      </c>
      <c r="X328" s="11" t="n"/>
      <c r="Y328" s="11" t="n"/>
      <c r="Z328" s="12" t="n"/>
      <c r="AA328" s="12" t="n"/>
      <c r="AB328" s="11" t="n"/>
      <c r="AC328" s="11" t="n"/>
      <c r="AD328" s="11" t="n"/>
      <c r="AE328" s="11" t="n"/>
      <c r="AF328" s="11" t="n"/>
      <c r="AG328" s="11" t="n"/>
      <c r="AH328" s="12" t="n"/>
      <c r="AI328" s="12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>
        <f>IF(OR(L329="",M329=""),"",IFERROR(INDEX(LAYOUT!$D$2:$D$80,MATCH(L329&amp;"|"&amp;M329,LAYOUT!$E$2:$E$80,0)),""))</f>
        <v/>
      </c>
      <c r="O329" s="12">
        <f>IF(AND(L329="",M329=""),IF(AND(P329="",Q329="",T329="",U329=""),IF(OR($D329&lt;&gt;"",$E329&lt;&gt;""),"Belum ditempatkan",""),""),IF(L329="","CEK JENIS FIXTURE kosong",IF(AND(LEFT(L329,7)&lt;&gt;"Gondola",LEFT(L329,6)&lt;&gt;"Endcap"),"CEK Fixture 1 hanya Gondola atau Endcap",IF(M329="","CEK SHELVING KE kosong",IF(ISNA(MATCH(L329&amp;"|"&amp;M329,LAYOUT!$E$2:$E$80,0)),"CEK SHELVING KE di luar layout",IF($I329="","CEK SERIES kosong",IF($D329="","Zona STOCK",IF($E329="","CEK SKU DESCRIPTION kosong",IF(COUNTIFS($I$2:$I$500,$I329,L$2:L$500,"&lt;&gt;"&amp;L329,L$2:L$500,"&lt;&gt;")&gt;0,"CEK jenis fixture beda dalam satu series","OK")))))))))</f>
        <v/>
      </c>
      <c r="P329" s="11" t="n"/>
      <c r="Q329" s="11" t="n"/>
      <c r="R329" s="11">
        <f>IF(OR(P329="",Q329=""),"",IFERROR(INDEX(LAYOUT!$D$2:$D$80,MATCH(P329&amp;"|"&amp;Q329,LAYOUT!$E$2:$E$80,0)),""))</f>
        <v/>
      </c>
      <c r="S329" s="12">
        <f>IF(AND(P329="",Q329=""),IF(AND(L329="",M329="",T329="",U329=""),IF(OR($D329&lt;&gt;"",$E329&lt;&gt;""),"Belum ditempatkan",""),""),IF(P329="","CEK JENIS FIXTURE kosong",IF(LEFT(P329,4)&lt;&gt;"Wall","CEK Fixture 2 hanya Wall",IF(Q329="","CEK SHELVING KE kosong",IF(ISNA(MATCH(P329&amp;"|"&amp;Q329,LAYOUT!$E$2:$E$80,0)),"CEK SHELVING KE di luar layout",IF($I329="","CEK SERIES kosong",IF($D329="","Zona STOCK",IF($E329="","CEK SKU DESCRIPTION kosong",IF(COUNTIFS($I$2:$I$500,$I329,P$2:P$500,"&lt;&gt;"&amp;P329,P$2:P$500,"&lt;&gt;")&gt;0,"CEK jenis fixture beda dalam satu series","OK")))))))))</f>
        <v/>
      </c>
      <c r="T329" s="11" t="n"/>
      <c r="U329" s="11" t="n"/>
      <c r="V329" s="11">
        <f>IF(OR(T329="",U329=""),"",IFERROR(INDEX(LAYOUT!$D$2:$D$80,MATCH(T329&amp;"|"&amp;U329,LAYOUT!$E$2:$E$80,0)),""))</f>
        <v/>
      </c>
      <c r="W329" s="12">
        <f>IF(AND(T329="",U329=""),IF(AND(L329="",M329="",P329="",Q329=""),IF(OR($D329&lt;&gt;"",$E329&lt;&gt;""),"Belum ditempatkan",""),""),IF(T329="","CEK JENIS FIXTURE kosong",IF(LEFT(T329,4)&lt;&gt;"Wall","CEK Fixture 3 hanya Wall",IF(U329="","CEK SHELVING KE kosong",IF(ISNA(MATCH(T329&amp;"|"&amp;U329,LAYOUT!$E$2:$E$80,0)),"CEK SHELVING KE di luar layout",IF($I329="","CEK SERIES kosong",IF($D329="","Zona STOCK",IF($E329="","CEK SKU DESCRIPTION kosong",IF(COUNTIFS($I$2:$I$500,$I329,T$2:T$500,"&lt;&gt;"&amp;T329,T$2:T$500,"&lt;&gt;")&gt;0,"CEK jenis fixture beda dalam satu series","OK")))))))))</f>
        <v/>
      </c>
      <c r="X329" s="11" t="n"/>
      <c r="Y329" s="11" t="n"/>
      <c r="Z329" s="12" t="n"/>
      <c r="AA329" s="12" t="n"/>
      <c r="AB329" s="11" t="n"/>
      <c r="AC329" s="11" t="n"/>
      <c r="AD329" s="11" t="n"/>
      <c r="AE329" s="11" t="n"/>
      <c r="AF329" s="11" t="n"/>
      <c r="AG329" s="11" t="n"/>
      <c r="AH329" s="12" t="n"/>
      <c r="AI329" s="12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>
        <f>IF(OR(L330="",M330=""),"",IFERROR(INDEX(LAYOUT!$D$2:$D$80,MATCH(L330&amp;"|"&amp;M330,LAYOUT!$E$2:$E$80,0)),""))</f>
        <v/>
      </c>
      <c r="O330" s="12">
        <f>IF(AND(L330="",M330=""),IF(AND(P330="",Q330="",T330="",U330=""),IF(OR($D330&lt;&gt;"",$E330&lt;&gt;""),"Belum ditempatkan",""),""),IF(L330="","CEK JENIS FIXTURE kosong",IF(AND(LEFT(L330,7)&lt;&gt;"Gondola",LEFT(L330,6)&lt;&gt;"Endcap"),"CEK Fixture 1 hanya Gondola atau Endcap",IF(M330="","CEK SHELVING KE kosong",IF(ISNA(MATCH(L330&amp;"|"&amp;M330,LAYOUT!$E$2:$E$80,0)),"CEK SHELVING KE di luar layout",IF($I330="","CEK SERIES kosong",IF($D330="","Zona STOCK",IF($E330="","CEK SKU DESCRIPTION kosong",IF(COUNTIFS($I$2:$I$500,$I330,L$2:L$500,"&lt;&gt;"&amp;L330,L$2:L$500,"&lt;&gt;")&gt;0,"CEK jenis fixture beda dalam satu series","OK")))))))))</f>
        <v/>
      </c>
      <c r="P330" s="11" t="n"/>
      <c r="Q330" s="11" t="n"/>
      <c r="R330" s="11">
        <f>IF(OR(P330="",Q330=""),"",IFERROR(INDEX(LAYOUT!$D$2:$D$80,MATCH(P330&amp;"|"&amp;Q330,LAYOUT!$E$2:$E$80,0)),""))</f>
        <v/>
      </c>
      <c r="S330" s="12">
        <f>IF(AND(P330="",Q330=""),IF(AND(L330="",M330="",T330="",U330=""),IF(OR($D330&lt;&gt;"",$E330&lt;&gt;""),"Belum ditempatkan",""),""),IF(P330="","CEK JENIS FIXTURE kosong",IF(LEFT(P330,4)&lt;&gt;"Wall","CEK Fixture 2 hanya Wall",IF(Q330="","CEK SHELVING KE kosong",IF(ISNA(MATCH(P330&amp;"|"&amp;Q330,LAYOUT!$E$2:$E$80,0)),"CEK SHELVING KE di luar layout",IF($I330="","CEK SERIES kosong",IF($D330="","Zona STOCK",IF($E330="","CEK SKU DESCRIPTION kosong",IF(COUNTIFS($I$2:$I$500,$I330,P$2:P$500,"&lt;&gt;"&amp;P330,P$2:P$500,"&lt;&gt;")&gt;0,"CEK jenis fixture beda dalam satu series","OK")))))))))</f>
        <v/>
      </c>
      <c r="T330" s="11" t="n"/>
      <c r="U330" s="11" t="n"/>
      <c r="V330" s="11">
        <f>IF(OR(T330="",U330=""),"",IFERROR(INDEX(LAYOUT!$D$2:$D$80,MATCH(T330&amp;"|"&amp;U330,LAYOUT!$E$2:$E$80,0)),""))</f>
        <v/>
      </c>
      <c r="W330" s="12">
        <f>IF(AND(T330="",U330=""),IF(AND(L330="",M330="",P330="",Q330=""),IF(OR($D330&lt;&gt;"",$E330&lt;&gt;""),"Belum ditempatkan",""),""),IF(T330="","CEK JENIS FIXTURE kosong",IF(LEFT(T330,4)&lt;&gt;"Wall","CEK Fixture 3 hanya Wall",IF(U330="","CEK SHELVING KE kosong",IF(ISNA(MATCH(T330&amp;"|"&amp;U330,LAYOUT!$E$2:$E$80,0)),"CEK SHELVING KE di luar layout",IF($I330="","CEK SERIES kosong",IF($D330="","Zona STOCK",IF($E330="","CEK SKU DESCRIPTION kosong",IF(COUNTIFS($I$2:$I$500,$I330,T$2:T$500,"&lt;&gt;"&amp;T330,T$2:T$500,"&lt;&gt;")&gt;0,"CEK jenis fixture beda dalam satu series","OK")))))))))</f>
        <v/>
      </c>
      <c r="X330" s="11" t="n"/>
      <c r="Y330" s="11" t="n"/>
      <c r="Z330" s="12" t="n"/>
      <c r="AA330" s="12" t="n"/>
      <c r="AB330" s="11" t="n"/>
      <c r="AC330" s="11" t="n"/>
      <c r="AD330" s="11" t="n"/>
      <c r="AE330" s="11" t="n"/>
      <c r="AF330" s="11" t="n"/>
      <c r="AG330" s="11" t="n"/>
      <c r="AH330" s="12" t="n"/>
      <c r="AI330" s="12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>
        <f>IF(OR(L331="",M331=""),"",IFERROR(INDEX(LAYOUT!$D$2:$D$80,MATCH(L331&amp;"|"&amp;M331,LAYOUT!$E$2:$E$80,0)),""))</f>
        <v/>
      </c>
      <c r="O331" s="12">
        <f>IF(AND(L331="",M331=""),IF(AND(P331="",Q331="",T331="",U331=""),IF(OR($D331&lt;&gt;"",$E331&lt;&gt;""),"Belum ditempatkan",""),""),IF(L331="","CEK JENIS FIXTURE kosong",IF(AND(LEFT(L331,7)&lt;&gt;"Gondola",LEFT(L331,6)&lt;&gt;"Endcap"),"CEK Fixture 1 hanya Gondola atau Endcap",IF(M331="","CEK SHELVING KE kosong",IF(ISNA(MATCH(L331&amp;"|"&amp;M331,LAYOUT!$E$2:$E$80,0)),"CEK SHELVING KE di luar layout",IF($I331="","CEK SERIES kosong",IF($D331="","Zona STOCK",IF($E331="","CEK SKU DESCRIPTION kosong",IF(COUNTIFS($I$2:$I$500,$I331,L$2:L$500,"&lt;&gt;"&amp;L331,L$2:L$500,"&lt;&gt;")&gt;0,"CEK jenis fixture beda dalam satu series","OK")))))))))</f>
        <v/>
      </c>
      <c r="P331" s="11" t="n"/>
      <c r="Q331" s="11" t="n"/>
      <c r="R331" s="11">
        <f>IF(OR(P331="",Q331=""),"",IFERROR(INDEX(LAYOUT!$D$2:$D$80,MATCH(P331&amp;"|"&amp;Q331,LAYOUT!$E$2:$E$80,0)),""))</f>
        <v/>
      </c>
      <c r="S331" s="12">
        <f>IF(AND(P331="",Q331=""),IF(AND(L331="",M331="",T331="",U331=""),IF(OR($D331&lt;&gt;"",$E331&lt;&gt;""),"Belum ditempatkan",""),""),IF(P331="","CEK JENIS FIXTURE kosong",IF(LEFT(P331,4)&lt;&gt;"Wall","CEK Fixture 2 hanya Wall",IF(Q331="","CEK SHELVING KE kosong",IF(ISNA(MATCH(P331&amp;"|"&amp;Q331,LAYOUT!$E$2:$E$80,0)),"CEK SHELVING KE di luar layout",IF($I331="","CEK SERIES kosong",IF($D331="","Zona STOCK",IF($E331="","CEK SKU DESCRIPTION kosong",IF(COUNTIFS($I$2:$I$500,$I331,P$2:P$500,"&lt;&gt;"&amp;P331,P$2:P$500,"&lt;&gt;")&gt;0,"CEK jenis fixture beda dalam satu series","OK")))))))))</f>
        <v/>
      </c>
      <c r="T331" s="11" t="n"/>
      <c r="U331" s="11" t="n"/>
      <c r="V331" s="11">
        <f>IF(OR(T331="",U331=""),"",IFERROR(INDEX(LAYOUT!$D$2:$D$80,MATCH(T331&amp;"|"&amp;U331,LAYOUT!$E$2:$E$80,0)),""))</f>
        <v/>
      </c>
      <c r="W331" s="12">
        <f>IF(AND(T331="",U331=""),IF(AND(L331="",M331="",P331="",Q331=""),IF(OR($D331&lt;&gt;"",$E331&lt;&gt;""),"Belum ditempatkan",""),""),IF(T331="","CEK JENIS FIXTURE kosong",IF(LEFT(T331,4)&lt;&gt;"Wall","CEK Fixture 3 hanya Wall",IF(U331="","CEK SHELVING KE kosong",IF(ISNA(MATCH(T331&amp;"|"&amp;U331,LAYOUT!$E$2:$E$80,0)),"CEK SHELVING KE di luar layout",IF($I331="","CEK SERIES kosong",IF($D331="","Zona STOCK",IF($E331="","CEK SKU DESCRIPTION kosong",IF(COUNTIFS($I$2:$I$500,$I331,T$2:T$500,"&lt;&gt;"&amp;T331,T$2:T$500,"&lt;&gt;")&gt;0,"CEK jenis fixture beda dalam satu series","OK")))))))))</f>
        <v/>
      </c>
      <c r="X331" s="11" t="n"/>
      <c r="Y331" s="11" t="n"/>
      <c r="Z331" s="12" t="n"/>
      <c r="AA331" s="12" t="n"/>
      <c r="AB331" s="11" t="n"/>
      <c r="AC331" s="11" t="n"/>
      <c r="AD331" s="11" t="n"/>
      <c r="AE331" s="11" t="n"/>
      <c r="AF331" s="11" t="n"/>
      <c r="AG331" s="11" t="n"/>
      <c r="AH331" s="12" t="n"/>
      <c r="AI331" s="12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>
        <f>IF(OR(L332="",M332=""),"",IFERROR(INDEX(LAYOUT!$D$2:$D$80,MATCH(L332&amp;"|"&amp;M332,LAYOUT!$E$2:$E$80,0)),""))</f>
        <v/>
      </c>
      <c r="O332" s="12">
        <f>IF(AND(L332="",M332=""),IF(AND(P332="",Q332="",T332="",U332=""),IF(OR($D332&lt;&gt;"",$E332&lt;&gt;""),"Belum ditempatkan",""),""),IF(L332="","CEK JENIS FIXTURE kosong",IF(AND(LEFT(L332,7)&lt;&gt;"Gondola",LEFT(L332,6)&lt;&gt;"Endcap"),"CEK Fixture 1 hanya Gondola atau Endcap",IF(M332="","CEK SHELVING KE kosong",IF(ISNA(MATCH(L332&amp;"|"&amp;M332,LAYOUT!$E$2:$E$80,0)),"CEK SHELVING KE di luar layout",IF($I332="","CEK SERIES kosong",IF($D332="","Zona STOCK",IF($E332="","CEK SKU DESCRIPTION kosong",IF(COUNTIFS($I$2:$I$500,$I332,L$2:L$500,"&lt;&gt;"&amp;L332,L$2:L$500,"&lt;&gt;")&gt;0,"CEK jenis fixture beda dalam satu series","OK")))))))))</f>
        <v/>
      </c>
      <c r="P332" s="11" t="n"/>
      <c r="Q332" s="11" t="n"/>
      <c r="R332" s="11">
        <f>IF(OR(P332="",Q332=""),"",IFERROR(INDEX(LAYOUT!$D$2:$D$80,MATCH(P332&amp;"|"&amp;Q332,LAYOUT!$E$2:$E$80,0)),""))</f>
        <v/>
      </c>
      <c r="S332" s="12">
        <f>IF(AND(P332="",Q332=""),IF(AND(L332="",M332="",T332="",U332=""),IF(OR($D332&lt;&gt;"",$E332&lt;&gt;""),"Belum ditempatkan",""),""),IF(P332="","CEK JENIS FIXTURE kosong",IF(LEFT(P332,4)&lt;&gt;"Wall","CEK Fixture 2 hanya Wall",IF(Q332="","CEK SHELVING KE kosong",IF(ISNA(MATCH(P332&amp;"|"&amp;Q332,LAYOUT!$E$2:$E$80,0)),"CEK SHELVING KE di luar layout",IF($I332="","CEK SERIES kosong",IF($D332="","Zona STOCK",IF($E332="","CEK SKU DESCRIPTION kosong",IF(COUNTIFS($I$2:$I$500,$I332,P$2:P$500,"&lt;&gt;"&amp;P332,P$2:P$500,"&lt;&gt;")&gt;0,"CEK jenis fixture beda dalam satu series","OK")))))))))</f>
        <v/>
      </c>
      <c r="T332" s="11" t="n"/>
      <c r="U332" s="11" t="n"/>
      <c r="V332" s="11">
        <f>IF(OR(T332="",U332=""),"",IFERROR(INDEX(LAYOUT!$D$2:$D$80,MATCH(T332&amp;"|"&amp;U332,LAYOUT!$E$2:$E$80,0)),""))</f>
        <v/>
      </c>
      <c r="W332" s="12">
        <f>IF(AND(T332="",U332=""),IF(AND(L332="",M332="",P332="",Q332=""),IF(OR($D332&lt;&gt;"",$E332&lt;&gt;""),"Belum ditempatkan",""),""),IF(T332="","CEK JENIS FIXTURE kosong",IF(LEFT(T332,4)&lt;&gt;"Wall","CEK Fixture 3 hanya Wall",IF(U332="","CEK SHELVING KE kosong",IF(ISNA(MATCH(T332&amp;"|"&amp;U332,LAYOUT!$E$2:$E$80,0)),"CEK SHELVING KE di luar layout",IF($I332="","CEK SERIES kosong",IF($D332="","Zona STOCK",IF($E332="","CEK SKU DESCRIPTION kosong",IF(COUNTIFS($I$2:$I$500,$I332,T$2:T$500,"&lt;&gt;"&amp;T332,T$2:T$500,"&lt;&gt;")&gt;0,"CEK jenis fixture beda dalam satu series","OK")))))))))</f>
        <v/>
      </c>
      <c r="X332" s="11" t="n"/>
      <c r="Y332" s="11" t="n"/>
      <c r="Z332" s="12" t="n"/>
      <c r="AA332" s="12" t="n"/>
      <c r="AB332" s="11" t="n"/>
      <c r="AC332" s="11" t="n"/>
      <c r="AD332" s="11" t="n"/>
      <c r="AE332" s="11" t="n"/>
      <c r="AF332" s="11" t="n"/>
      <c r="AG332" s="11" t="n"/>
      <c r="AH332" s="12" t="n"/>
      <c r="AI332" s="12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>
        <f>IF(OR(L333="",M333=""),"",IFERROR(INDEX(LAYOUT!$D$2:$D$80,MATCH(L333&amp;"|"&amp;M333,LAYOUT!$E$2:$E$80,0)),""))</f>
        <v/>
      </c>
      <c r="O333" s="12">
        <f>IF(AND(L333="",M333=""),IF(AND(P333="",Q333="",T333="",U333=""),IF(OR($D333&lt;&gt;"",$E333&lt;&gt;""),"Belum ditempatkan",""),""),IF(L333="","CEK JENIS FIXTURE kosong",IF(AND(LEFT(L333,7)&lt;&gt;"Gondola",LEFT(L333,6)&lt;&gt;"Endcap"),"CEK Fixture 1 hanya Gondola atau Endcap",IF(M333="","CEK SHELVING KE kosong",IF(ISNA(MATCH(L333&amp;"|"&amp;M333,LAYOUT!$E$2:$E$80,0)),"CEK SHELVING KE di luar layout",IF($I333="","CEK SERIES kosong",IF($D333="","Zona STOCK",IF($E333="","CEK SKU DESCRIPTION kosong",IF(COUNTIFS($I$2:$I$500,$I333,L$2:L$500,"&lt;&gt;"&amp;L333,L$2:L$500,"&lt;&gt;")&gt;0,"CEK jenis fixture beda dalam satu series","OK")))))))))</f>
        <v/>
      </c>
      <c r="P333" s="11" t="n"/>
      <c r="Q333" s="11" t="n"/>
      <c r="R333" s="11">
        <f>IF(OR(P333="",Q333=""),"",IFERROR(INDEX(LAYOUT!$D$2:$D$80,MATCH(P333&amp;"|"&amp;Q333,LAYOUT!$E$2:$E$80,0)),""))</f>
        <v/>
      </c>
      <c r="S333" s="12">
        <f>IF(AND(P333="",Q333=""),IF(AND(L333="",M333="",T333="",U333=""),IF(OR($D333&lt;&gt;"",$E333&lt;&gt;""),"Belum ditempatkan",""),""),IF(P333="","CEK JENIS FIXTURE kosong",IF(LEFT(P333,4)&lt;&gt;"Wall","CEK Fixture 2 hanya Wall",IF(Q333="","CEK SHELVING KE kosong",IF(ISNA(MATCH(P333&amp;"|"&amp;Q333,LAYOUT!$E$2:$E$80,0)),"CEK SHELVING KE di luar layout",IF($I333="","CEK SERIES kosong",IF($D333="","Zona STOCK",IF($E333="","CEK SKU DESCRIPTION kosong",IF(COUNTIFS($I$2:$I$500,$I333,P$2:P$500,"&lt;&gt;"&amp;P333,P$2:P$500,"&lt;&gt;")&gt;0,"CEK jenis fixture beda dalam satu series","OK")))))))))</f>
        <v/>
      </c>
      <c r="T333" s="11" t="n"/>
      <c r="U333" s="11" t="n"/>
      <c r="V333" s="11">
        <f>IF(OR(T333="",U333=""),"",IFERROR(INDEX(LAYOUT!$D$2:$D$80,MATCH(T333&amp;"|"&amp;U333,LAYOUT!$E$2:$E$80,0)),""))</f>
        <v/>
      </c>
      <c r="W333" s="12">
        <f>IF(AND(T333="",U333=""),IF(AND(L333="",M333="",P333="",Q333=""),IF(OR($D333&lt;&gt;"",$E333&lt;&gt;""),"Belum ditempatkan",""),""),IF(T333="","CEK JENIS FIXTURE kosong",IF(LEFT(T333,4)&lt;&gt;"Wall","CEK Fixture 3 hanya Wall",IF(U333="","CEK SHELVING KE kosong",IF(ISNA(MATCH(T333&amp;"|"&amp;U333,LAYOUT!$E$2:$E$80,0)),"CEK SHELVING KE di luar layout",IF($I333="","CEK SERIES kosong",IF($D333="","Zona STOCK",IF($E333="","CEK SKU DESCRIPTION kosong",IF(COUNTIFS($I$2:$I$500,$I333,T$2:T$500,"&lt;&gt;"&amp;T333,T$2:T$500,"&lt;&gt;")&gt;0,"CEK jenis fixture beda dalam satu series","OK")))))))))</f>
        <v/>
      </c>
      <c r="X333" s="11" t="n"/>
      <c r="Y333" s="11" t="n"/>
      <c r="Z333" s="12" t="n"/>
      <c r="AA333" s="12" t="n"/>
      <c r="AB333" s="11" t="n"/>
      <c r="AC333" s="11" t="n"/>
      <c r="AD333" s="11" t="n"/>
      <c r="AE333" s="11" t="n"/>
      <c r="AF333" s="11" t="n"/>
      <c r="AG333" s="11" t="n"/>
      <c r="AH333" s="12" t="n"/>
      <c r="AI333" s="12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>
        <f>IF(OR(L334="",M334=""),"",IFERROR(INDEX(LAYOUT!$D$2:$D$80,MATCH(L334&amp;"|"&amp;M334,LAYOUT!$E$2:$E$80,0)),""))</f>
        <v/>
      </c>
      <c r="O334" s="12">
        <f>IF(AND(L334="",M334=""),IF(AND(P334="",Q334="",T334="",U334=""),IF(OR($D334&lt;&gt;"",$E334&lt;&gt;""),"Belum ditempatkan",""),""),IF(L334="","CEK JENIS FIXTURE kosong",IF(AND(LEFT(L334,7)&lt;&gt;"Gondola",LEFT(L334,6)&lt;&gt;"Endcap"),"CEK Fixture 1 hanya Gondola atau Endcap",IF(M334="","CEK SHELVING KE kosong",IF(ISNA(MATCH(L334&amp;"|"&amp;M334,LAYOUT!$E$2:$E$80,0)),"CEK SHELVING KE di luar layout",IF($I334="","CEK SERIES kosong",IF($D334="","Zona STOCK",IF($E334="","CEK SKU DESCRIPTION kosong",IF(COUNTIFS($I$2:$I$500,$I334,L$2:L$500,"&lt;&gt;"&amp;L334,L$2:L$500,"&lt;&gt;")&gt;0,"CEK jenis fixture beda dalam satu series","OK")))))))))</f>
        <v/>
      </c>
      <c r="P334" s="11" t="n"/>
      <c r="Q334" s="11" t="n"/>
      <c r="R334" s="11">
        <f>IF(OR(P334="",Q334=""),"",IFERROR(INDEX(LAYOUT!$D$2:$D$80,MATCH(P334&amp;"|"&amp;Q334,LAYOUT!$E$2:$E$80,0)),""))</f>
        <v/>
      </c>
      <c r="S334" s="12">
        <f>IF(AND(P334="",Q334=""),IF(AND(L334="",M334="",T334="",U334=""),IF(OR($D334&lt;&gt;"",$E334&lt;&gt;""),"Belum ditempatkan",""),""),IF(P334="","CEK JENIS FIXTURE kosong",IF(LEFT(P334,4)&lt;&gt;"Wall","CEK Fixture 2 hanya Wall",IF(Q334="","CEK SHELVING KE kosong",IF(ISNA(MATCH(P334&amp;"|"&amp;Q334,LAYOUT!$E$2:$E$80,0)),"CEK SHELVING KE di luar layout",IF($I334="","CEK SERIES kosong",IF($D334="","Zona STOCK",IF($E334="","CEK SKU DESCRIPTION kosong",IF(COUNTIFS($I$2:$I$500,$I334,P$2:P$500,"&lt;&gt;"&amp;P334,P$2:P$500,"&lt;&gt;")&gt;0,"CEK jenis fixture beda dalam satu series","OK")))))))))</f>
        <v/>
      </c>
      <c r="T334" s="11" t="n"/>
      <c r="U334" s="11" t="n"/>
      <c r="V334" s="11">
        <f>IF(OR(T334="",U334=""),"",IFERROR(INDEX(LAYOUT!$D$2:$D$80,MATCH(T334&amp;"|"&amp;U334,LAYOUT!$E$2:$E$80,0)),""))</f>
        <v/>
      </c>
      <c r="W334" s="12">
        <f>IF(AND(T334="",U334=""),IF(AND(L334="",M334="",P334="",Q334=""),IF(OR($D334&lt;&gt;"",$E334&lt;&gt;""),"Belum ditempatkan",""),""),IF(T334="","CEK JENIS FIXTURE kosong",IF(LEFT(T334,4)&lt;&gt;"Wall","CEK Fixture 3 hanya Wall",IF(U334="","CEK SHELVING KE kosong",IF(ISNA(MATCH(T334&amp;"|"&amp;U334,LAYOUT!$E$2:$E$80,0)),"CEK SHELVING KE di luar layout",IF($I334="","CEK SERIES kosong",IF($D334="","Zona STOCK",IF($E334="","CEK SKU DESCRIPTION kosong",IF(COUNTIFS($I$2:$I$500,$I334,T$2:T$500,"&lt;&gt;"&amp;T334,T$2:T$500,"&lt;&gt;")&gt;0,"CEK jenis fixture beda dalam satu series","OK")))))))))</f>
        <v/>
      </c>
      <c r="X334" s="11" t="n"/>
      <c r="Y334" s="11" t="n"/>
      <c r="Z334" s="12" t="n"/>
      <c r="AA334" s="12" t="n"/>
      <c r="AB334" s="11" t="n"/>
      <c r="AC334" s="11" t="n"/>
      <c r="AD334" s="11" t="n"/>
      <c r="AE334" s="11" t="n"/>
      <c r="AF334" s="11" t="n"/>
      <c r="AG334" s="11" t="n"/>
      <c r="AH334" s="12" t="n"/>
      <c r="AI334" s="12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>
        <f>IF(OR(L335="",M335=""),"",IFERROR(INDEX(LAYOUT!$D$2:$D$80,MATCH(L335&amp;"|"&amp;M335,LAYOUT!$E$2:$E$80,0)),""))</f>
        <v/>
      </c>
      <c r="O335" s="12">
        <f>IF(AND(L335="",M335=""),IF(AND(P335="",Q335="",T335="",U335=""),IF(OR($D335&lt;&gt;"",$E335&lt;&gt;""),"Belum ditempatkan",""),""),IF(L335="","CEK JENIS FIXTURE kosong",IF(AND(LEFT(L335,7)&lt;&gt;"Gondola",LEFT(L335,6)&lt;&gt;"Endcap"),"CEK Fixture 1 hanya Gondola atau Endcap",IF(M335="","CEK SHELVING KE kosong",IF(ISNA(MATCH(L335&amp;"|"&amp;M335,LAYOUT!$E$2:$E$80,0)),"CEK SHELVING KE di luar layout",IF($I335="","CEK SERIES kosong",IF($D335="","Zona STOCK",IF($E335="","CEK SKU DESCRIPTION kosong",IF(COUNTIFS($I$2:$I$500,$I335,L$2:L$500,"&lt;&gt;"&amp;L335,L$2:L$500,"&lt;&gt;")&gt;0,"CEK jenis fixture beda dalam satu series","OK")))))))))</f>
        <v/>
      </c>
      <c r="P335" s="11" t="n"/>
      <c r="Q335" s="11" t="n"/>
      <c r="R335" s="11">
        <f>IF(OR(P335="",Q335=""),"",IFERROR(INDEX(LAYOUT!$D$2:$D$80,MATCH(P335&amp;"|"&amp;Q335,LAYOUT!$E$2:$E$80,0)),""))</f>
        <v/>
      </c>
      <c r="S335" s="12">
        <f>IF(AND(P335="",Q335=""),IF(AND(L335="",M335="",T335="",U335=""),IF(OR($D335&lt;&gt;"",$E335&lt;&gt;""),"Belum ditempatkan",""),""),IF(P335="","CEK JENIS FIXTURE kosong",IF(LEFT(P335,4)&lt;&gt;"Wall","CEK Fixture 2 hanya Wall",IF(Q335="","CEK SHELVING KE kosong",IF(ISNA(MATCH(P335&amp;"|"&amp;Q335,LAYOUT!$E$2:$E$80,0)),"CEK SHELVING KE di luar layout",IF($I335="","CEK SERIES kosong",IF($D335="","Zona STOCK",IF($E335="","CEK SKU DESCRIPTION kosong",IF(COUNTIFS($I$2:$I$500,$I335,P$2:P$500,"&lt;&gt;"&amp;P335,P$2:P$500,"&lt;&gt;")&gt;0,"CEK jenis fixture beda dalam satu series","OK")))))))))</f>
        <v/>
      </c>
      <c r="T335" s="11" t="n"/>
      <c r="U335" s="11" t="n"/>
      <c r="V335" s="11">
        <f>IF(OR(T335="",U335=""),"",IFERROR(INDEX(LAYOUT!$D$2:$D$80,MATCH(T335&amp;"|"&amp;U335,LAYOUT!$E$2:$E$80,0)),""))</f>
        <v/>
      </c>
      <c r="W335" s="12">
        <f>IF(AND(T335="",U335=""),IF(AND(L335="",M335="",P335="",Q335=""),IF(OR($D335&lt;&gt;"",$E335&lt;&gt;""),"Belum ditempatkan",""),""),IF(T335="","CEK JENIS FIXTURE kosong",IF(LEFT(T335,4)&lt;&gt;"Wall","CEK Fixture 3 hanya Wall",IF(U335="","CEK SHELVING KE kosong",IF(ISNA(MATCH(T335&amp;"|"&amp;U335,LAYOUT!$E$2:$E$80,0)),"CEK SHELVING KE di luar layout",IF($I335="","CEK SERIES kosong",IF($D335="","Zona STOCK",IF($E335="","CEK SKU DESCRIPTION kosong",IF(COUNTIFS($I$2:$I$500,$I335,T$2:T$500,"&lt;&gt;"&amp;T335,T$2:T$500,"&lt;&gt;")&gt;0,"CEK jenis fixture beda dalam satu series","OK")))))))))</f>
        <v/>
      </c>
      <c r="X335" s="11" t="n"/>
      <c r="Y335" s="11" t="n"/>
      <c r="Z335" s="12" t="n"/>
      <c r="AA335" s="12" t="n"/>
      <c r="AB335" s="11" t="n"/>
      <c r="AC335" s="11" t="n"/>
      <c r="AD335" s="11" t="n"/>
      <c r="AE335" s="11" t="n"/>
      <c r="AF335" s="11" t="n"/>
      <c r="AG335" s="11" t="n"/>
      <c r="AH335" s="12" t="n"/>
      <c r="AI335" s="12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>
        <f>IF(OR(L336="",M336=""),"",IFERROR(INDEX(LAYOUT!$D$2:$D$80,MATCH(L336&amp;"|"&amp;M336,LAYOUT!$E$2:$E$80,0)),""))</f>
        <v/>
      </c>
      <c r="O336" s="12">
        <f>IF(AND(L336="",M336=""),IF(AND(P336="",Q336="",T336="",U336=""),IF(OR($D336&lt;&gt;"",$E336&lt;&gt;""),"Belum ditempatkan",""),""),IF(L336="","CEK JENIS FIXTURE kosong",IF(AND(LEFT(L336,7)&lt;&gt;"Gondola",LEFT(L336,6)&lt;&gt;"Endcap"),"CEK Fixture 1 hanya Gondola atau Endcap",IF(M336="","CEK SHELVING KE kosong",IF(ISNA(MATCH(L336&amp;"|"&amp;M336,LAYOUT!$E$2:$E$80,0)),"CEK SHELVING KE di luar layout",IF($I336="","CEK SERIES kosong",IF($D336="","Zona STOCK",IF($E336="","CEK SKU DESCRIPTION kosong",IF(COUNTIFS($I$2:$I$500,$I336,L$2:L$500,"&lt;&gt;"&amp;L336,L$2:L$500,"&lt;&gt;")&gt;0,"CEK jenis fixture beda dalam satu series","OK")))))))))</f>
        <v/>
      </c>
      <c r="P336" s="11" t="n"/>
      <c r="Q336" s="11" t="n"/>
      <c r="R336" s="11">
        <f>IF(OR(P336="",Q336=""),"",IFERROR(INDEX(LAYOUT!$D$2:$D$80,MATCH(P336&amp;"|"&amp;Q336,LAYOUT!$E$2:$E$80,0)),""))</f>
        <v/>
      </c>
      <c r="S336" s="12">
        <f>IF(AND(P336="",Q336=""),IF(AND(L336="",M336="",T336="",U336=""),IF(OR($D336&lt;&gt;"",$E336&lt;&gt;""),"Belum ditempatkan",""),""),IF(P336="","CEK JENIS FIXTURE kosong",IF(LEFT(P336,4)&lt;&gt;"Wall","CEK Fixture 2 hanya Wall",IF(Q336="","CEK SHELVING KE kosong",IF(ISNA(MATCH(P336&amp;"|"&amp;Q336,LAYOUT!$E$2:$E$80,0)),"CEK SHELVING KE di luar layout",IF($I336="","CEK SERIES kosong",IF($D336="","Zona STOCK",IF($E336="","CEK SKU DESCRIPTION kosong",IF(COUNTIFS($I$2:$I$500,$I336,P$2:P$500,"&lt;&gt;"&amp;P336,P$2:P$500,"&lt;&gt;")&gt;0,"CEK jenis fixture beda dalam satu series","OK")))))))))</f>
        <v/>
      </c>
      <c r="T336" s="11" t="n"/>
      <c r="U336" s="11" t="n"/>
      <c r="V336" s="11">
        <f>IF(OR(T336="",U336=""),"",IFERROR(INDEX(LAYOUT!$D$2:$D$80,MATCH(T336&amp;"|"&amp;U336,LAYOUT!$E$2:$E$80,0)),""))</f>
        <v/>
      </c>
      <c r="W336" s="12">
        <f>IF(AND(T336="",U336=""),IF(AND(L336="",M336="",P336="",Q336=""),IF(OR($D336&lt;&gt;"",$E336&lt;&gt;""),"Belum ditempatkan",""),""),IF(T336="","CEK JENIS FIXTURE kosong",IF(LEFT(T336,4)&lt;&gt;"Wall","CEK Fixture 3 hanya Wall",IF(U336="","CEK SHELVING KE kosong",IF(ISNA(MATCH(T336&amp;"|"&amp;U336,LAYOUT!$E$2:$E$80,0)),"CEK SHELVING KE di luar layout",IF($I336="","CEK SERIES kosong",IF($D336="","Zona STOCK",IF($E336="","CEK SKU DESCRIPTION kosong",IF(COUNTIFS($I$2:$I$500,$I336,T$2:T$500,"&lt;&gt;"&amp;T336,T$2:T$500,"&lt;&gt;")&gt;0,"CEK jenis fixture beda dalam satu series","OK")))))))))</f>
        <v/>
      </c>
      <c r="X336" s="11" t="n"/>
      <c r="Y336" s="11" t="n"/>
      <c r="Z336" s="12" t="n"/>
      <c r="AA336" s="12" t="n"/>
      <c r="AB336" s="11" t="n"/>
      <c r="AC336" s="11" t="n"/>
      <c r="AD336" s="11" t="n"/>
      <c r="AE336" s="11" t="n"/>
      <c r="AF336" s="11" t="n"/>
      <c r="AG336" s="11" t="n"/>
      <c r="AH336" s="12" t="n"/>
      <c r="AI336" s="12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>
        <f>IF(OR(L337="",M337=""),"",IFERROR(INDEX(LAYOUT!$D$2:$D$80,MATCH(L337&amp;"|"&amp;M337,LAYOUT!$E$2:$E$80,0)),""))</f>
        <v/>
      </c>
      <c r="O337" s="12">
        <f>IF(AND(L337="",M337=""),IF(AND(P337="",Q337="",T337="",U337=""),IF(OR($D337&lt;&gt;"",$E337&lt;&gt;""),"Belum ditempatkan",""),""),IF(L337="","CEK JENIS FIXTURE kosong",IF(AND(LEFT(L337,7)&lt;&gt;"Gondola",LEFT(L337,6)&lt;&gt;"Endcap"),"CEK Fixture 1 hanya Gondola atau Endcap",IF(M337="","CEK SHELVING KE kosong",IF(ISNA(MATCH(L337&amp;"|"&amp;M337,LAYOUT!$E$2:$E$80,0)),"CEK SHELVING KE di luar layout",IF($I337="","CEK SERIES kosong",IF($D337="","Zona STOCK",IF($E337="","CEK SKU DESCRIPTION kosong",IF(COUNTIFS($I$2:$I$500,$I337,L$2:L$500,"&lt;&gt;"&amp;L337,L$2:L$500,"&lt;&gt;")&gt;0,"CEK jenis fixture beda dalam satu series","OK")))))))))</f>
        <v/>
      </c>
      <c r="P337" s="11" t="n"/>
      <c r="Q337" s="11" t="n"/>
      <c r="R337" s="11">
        <f>IF(OR(P337="",Q337=""),"",IFERROR(INDEX(LAYOUT!$D$2:$D$80,MATCH(P337&amp;"|"&amp;Q337,LAYOUT!$E$2:$E$80,0)),""))</f>
        <v/>
      </c>
      <c r="S337" s="12">
        <f>IF(AND(P337="",Q337=""),IF(AND(L337="",M337="",T337="",U337=""),IF(OR($D337&lt;&gt;"",$E337&lt;&gt;""),"Belum ditempatkan",""),""),IF(P337="","CEK JENIS FIXTURE kosong",IF(LEFT(P337,4)&lt;&gt;"Wall","CEK Fixture 2 hanya Wall",IF(Q337="","CEK SHELVING KE kosong",IF(ISNA(MATCH(P337&amp;"|"&amp;Q337,LAYOUT!$E$2:$E$80,0)),"CEK SHELVING KE di luar layout",IF($I337="","CEK SERIES kosong",IF($D337="","Zona STOCK",IF($E337="","CEK SKU DESCRIPTION kosong",IF(COUNTIFS($I$2:$I$500,$I337,P$2:P$500,"&lt;&gt;"&amp;P337,P$2:P$500,"&lt;&gt;")&gt;0,"CEK jenis fixture beda dalam satu series","OK")))))))))</f>
        <v/>
      </c>
      <c r="T337" s="11" t="n"/>
      <c r="U337" s="11" t="n"/>
      <c r="V337" s="11">
        <f>IF(OR(T337="",U337=""),"",IFERROR(INDEX(LAYOUT!$D$2:$D$80,MATCH(T337&amp;"|"&amp;U337,LAYOUT!$E$2:$E$80,0)),""))</f>
        <v/>
      </c>
      <c r="W337" s="12">
        <f>IF(AND(T337="",U337=""),IF(AND(L337="",M337="",P337="",Q337=""),IF(OR($D337&lt;&gt;"",$E337&lt;&gt;""),"Belum ditempatkan",""),""),IF(T337="","CEK JENIS FIXTURE kosong",IF(LEFT(T337,4)&lt;&gt;"Wall","CEK Fixture 3 hanya Wall",IF(U337="","CEK SHELVING KE kosong",IF(ISNA(MATCH(T337&amp;"|"&amp;U337,LAYOUT!$E$2:$E$80,0)),"CEK SHELVING KE di luar layout",IF($I337="","CEK SERIES kosong",IF($D337="","Zona STOCK",IF($E337="","CEK SKU DESCRIPTION kosong",IF(COUNTIFS($I$2:$I$500,$I337,T$2:T$500,"&lt;&gt;"&amp;T337,T$2:T$500,"&lt;&gt;")&gt;0,"CEK jenis fixture beda dalam satu series","OK")))))))))</f>
        <v/>
      </c>
      <c r="X337" s="11" t="n"/>
      <c r="Y337" s="11" t="n"/>
      <c r="Z337" s="12" t="n"/>
      <c r="AA337" s="12" t="n"/>
      <c r="AB337" s="11" t="n"/>
      <c r="AC337" s="11" t="n"/>
      <c r="AD337" s="11" t="n"/>
      <c r="AE337" s="11" t="n"/>
      <c r="AF337" s="11" t="n"/>
      <c r="AG337" s="11" t="n"/>
      <c r="AH337" s="12" t="n"/>
      <c r="AI337" s="12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>
        <f>IF(OR(L338="",M338=""),"",IFERROR(INDEX(LAYOUT!$D$2:$D$80,MATCH(L338&amp;"|"&amp;M338,LAYOUT!$E$2:$E$80,0)),""))</f>
        <v/>
      </c>
      <c r="O338" s="12">
        <f>IF(AND(L338="",M338=""),IF(AND(P338="",Q338="",T338="",U338=""),IF(OR($D338&lt;&gt;"",$E338&lt;&gt;""),"Belum ditempatkan",""),""),IF(L338="","CEK JENIS FIXTURE kosong",IF(AND(LEFT(L338,7)&lt;&gt;"Gondola",LEFT(L338,6)&lt;&gt;"Endcap"),"CEK Fixture 1 hanya Gondola atau Endcap",IF(M338="","CEK SHELVING KE kosong",IF(ISNA(MATCH(L338&amp;"|"&amp;M338,LAYOUT!$E$2:$E$80,0)),"CEK SHELVING KE di luar layout",IF($I338="","CEK SERIES kosong",IF($D338="","Zona STOCK",IF($E338="","CEK SKU DESCRIPTION kosong",IF(COUNTIFS($I$2:$I$500,$I338,L$2:L$500,"&lt;&gt;"&amp;L338,L$2:L$500,"&lt;&gt;")&gt;0,"CEK jenis fixture beda dalam satu series","OK")))))))))</f>
        <v/>
      </c>
      <c r="P338" s="11" t="n"/>
      <c r="Q338" s="11" t="n"/>
      <c r="R338" s="11">
        <f>IF(OR(P338="",Q338=""),"",IFERROR(INDEX(LAYOUT!$D$2:$D$80,MATCH(P338&amp;"|"&amp;Q338,LAYOUT!$E$2:$E$80,0)),""))</f>
        <v/>
      </c>
      <c r="S338" s="12">
        <f>IF(AND(P338="",Q338=""),IF(AND(L338="",M338="",T338="",U338=""),IF(OR($D338&lt;&gt;"",$E338&lt;&gt;""),"Belum ditempatkan",""),""),IF(P338="","CEK JENIS FIXTURE kosong",IF(LEFT(P338,4)&lt;&gt;"Wall","CEK Fixture 2 hanya Wall",IF(Q338="","CEK SHELVING KE kosong",IF(ISNA(MATCH(P338&amp;"|"&amp;Q338,LAYOUT!$E$2:$E$80,0)),"CEK SHELVING KE di luar layout",IF($I338="","CEK SERIES kosong",IF($D338="","Zona STOCK",IF($E338="","CEK SKU DESCRIPTION kosong",IF(COUNTIFS($I$2:$I$500,$I338,P$2:P$500,"&lt;&gt;"&amp;P338,P$2:P$500,"&lt;&gt;")&gt;0,"CEK jenis fixture beda dalam satu series","OK")))))))))</f>
        <v/>
      </c>
      <c r="T338" s="11" t="n"/>
      <c r="U338" s="11" t="n"/>
      <c r="V338" s="11">
        <f>IF(OR(T338="",U338=""),"",IFERROR(INDEX(LAYOUT!$D$2:$D$80,MATCH(T338&amp;"|"&amp;U338,LAYOUT!$E$2:$E$80,0)),""))</f>
        <v/>
      </c>
      <c r="W338" s="12">
        <f>IF(AND(T338="",U338=""),IF(AND(L338="",M338="",P338="",Q338=""),IF(OR($D338&lt;&gt;"",$E338&lt;&gt;""),"Belum ditempatkan",""),""),IF(T338="","CEK JENIS FIXTURE kosong",IF(LEFT(T338,4)&lt;&gt;"Wall","CEK Fixture 3 hanya Wall",IF(U338="","CEK SHELVING KE kosong",IF(ISNA(MATCH(T338&amp;"|"&amp;U338,LAYOUT!$E$2:$E$80,0)),"CEK SHELVING KE di luar layout",IF($I338="","CEK SERIES kosong",IF($D338="","Zona STOCK",IF($E338="","CEK SKU DESCRIPTION kosong",IF(COUNTIFS($I$2:$I$500,$I338,T$2:T$500,"&lt;&gt;"&amp;T338,T$2:T$500,"&lt;&gt;")&gt;0,"CEK jenis fixture beda dalam satu series","OK")))))))))</f>
        <v/>
      </c>
      <c r="X338" s="11" t="n"/>
      <c r="Y338" s="11" t="n"/>
      <c r="Z338" s="12" t="n"/>
      <c r="AA338" s="12" t="n"/>
      <c r="AB338" s="11" t="n"/>
      <c r="AC338" s="11" t="n"/>
      <c r="AD338" s="11" t="n"/>
      <c r="AE338" s="11" t="n"/>
      <c r="AF338" s="11" t="n"/>
      <c r="AG338" s="11" t="n"/>
      <c r="AH338" s="12" t="n"/>
      <c r="AI338" s="12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>
        <f>IF(OR(L339="",M339=""),"",IFERROR(INDEX(LAYOUT!$D$2:$D$80,MATCH(L339&amp;"|"&amp;M339,LAYOUT!$E$2:$E$80,0)),""))</f>
        <v/>
      </c>
      <c r="O339" s="12">
        <f>IF(AND(L339="",M339=""),IF(AND(P339="",Q339="",T339="",U339=""),IF(OR($D339&lt;&gt;"",$E339&lt;&gt;""),"Belum ditempatkan",""),""),IF(L339="","CEK JENIS FIXTURE kosong",IF(AND(LEFT(L339,7)&lt;&gt;"Gondola",LEFT(L339,6)&lt;&gt;"Endcap"),"CEK Fixture 1 hanya Gondola atau Endcap",IF(M339="","CEK SHELVING KE kosong",IF(ISNA(MATCH(L339&amp;"|"&amp;M339,LAYOUT!$E$2:$E$80,0)),"CEK SHELVING KE di luar layout",IF($I339="","CEK SERIES kosong",IF($D339="","Zona STOCK",IF($E339="","CEK SKU DESCRIPTION kosong",IF(COUNTIFS($I$2:$I$500,$I339,L$2:L$500,"&lt;&gt;"&amp;L339,L$2:L$500,"&lt;&gt;")&gt;0,"CEK jenis fixture beda dalam satu series","OK")))))))))</f>
        <v/>
      </c>
      <c r="P339" s="11" t="n"/>
      <c r="Q339" s="11" t="n"/>
      <c r="R339" s="11">
        <f>IF(OR(P339="",Q339=""),"",IFERROR(INDEX(LAYOUT!$D$2:$D$80,MATCH(P339&amp;"|"&amp;Q339,LAYOUT!$E$2:$E$80,0)),""))</f>
        <v/>
      </c>
      <c r="S339" s="12">
        <f>IF(AND(P339="",Q339=""),IF(AND(L339="",M339="",T339="",U339=""),IF(OR($D339&lt;&gt;"",$E339&lt;&gt;""),"Belum ditempatkan",""),""),IF(P339="","CEK JENIS FIXTURE kosong",IF(LEFT(P339,4)&lt;&gt;"Wall","CEK Fixture 2 hanya Wall",IF(Q339="","CEK SHELVING KE kosong",IF(ISNA(MATCH(P339&amp;"|"&amp;Q339,LAYOUT!$E$2:$E$80,0)),"CEK SHELVING KE di luar layout",IF($I339="","CEK SERIES kosong",IF($D339="","Zona STOCK",IF($E339="","CEK SKU DESCRIPTION kosong",IF(COUNTIFS($I$2:$I$500,$I339,P$2:P$500,"&lt;&gt;"&amp;P339,P$2:P$500,"&lt;&gt;")&gt;0,"CEK jenis fixture beda dalam satu series","OK")))))))))</f>
        <v/>
      </c>
      <c r="T339" s="11" t="n"/>
      <c r="U339" s="11" t="n"/>
      <c r="V339" s="11">
        <f>IF(OR(T339="",U339=""),"",IFERROR(INDEX(LAYOUT!$D$2:$D$80,MATCH(T339&amp;"|"&amp;U339,LAYOUT!$E$2:$E$80,0)),""))</f>
        <v/>
      </c>
      <c r="W339" s="12">
        <f>IF(AND(T339="",U339=""),IF(AND(L339="",M339="",P339="",Q339=""),IF(OR($D339&lt;&gt;"",$E339&lt;&gt;""),"Belum ditempatkan",""),""),IF(T339="","CEK JENIS FIXTURE kosong",IF(LEFT(T339,4)&lt;&gt;"Wall","CEK Fixture 3 hanya Wall",IF(U339="","CEK SHELVING KE kosong",IF(ISNA(MATCH(T339&amp;"|"&amp;U339,LAYOUT!$E$2:$E$80,0)),"CEK SHELVING KE di luar layout",IF($I339="","CEK SERIES kosong",IF($D339="","Zona STOCK",IF($E339="","CEK SKU DESCRIPTION kosong",IF(COUNTIFS($I$2:$I$500,$I339,T$2:T$500,"&lt;&gt;"&amp;T339,T$2:T$500,"&lt;&gt;")&gt;0,"CEK jenis fixture beda dalam satu series","OK")))))))))</f>
        <v/>
      </c>
      <c r="X339" s="11" t="n"/>
      <c r="Y339" s="11" t="n"/>
      <c r="Z339" s="12" t="n"/>
      <c r="AA339" s="12" t="n"/>
      <c r="AB339" s="11" t="n"/>
      <c r="AC339" s="11" t="n"/>
      <c r="AD339" s="11" t="n"/>
      <c r="AE339" s="11" t="n"/>
      <c r="AF339" s="11" t="n"/>
      <c r="AG339" s="11" t="n"/>
      <c r="AH339" s="12" t="n"/>
      <c r="AI339" s="12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>
        <f>IF(OR(L340="",M340=""),"",IFERROR(INDEX(LAYOUT!$D$2:$D$80,MATCH(L340&amp;"|"&amp;M340,LAYOUT!$E$2:$E$80,0)),""))</f>
        <v/>
      </c>
      <c r="O340" s="12">
        <f>IF(AND(L340="",M340=""),IF(AND(P340="",Q340="",T340="",U340=""),IF(OR($D340&lt;&gt;"",$E340&lt;&gt;""),"Belum ditempatkan",""),""),IF(L340="","CEK JENIS FIXTURE kosong",IF(AND(LEFT(L340,7)&lt;&gt;"Gondola",LEFT(L340,6)&lt;&gt;"Endcap"),"CEK Fixture 1 hanya Gondola atau Endcap",IF(M340="","CEK SHELVING KE kosong",IF(ISNA(MATCH(L340&amp;"|"&amp;M340,LAYOUT!$E$2:$E$80,0)),"CEK SHELVING KE di luar layout",IF($I340="","CEK SERIES kosong",IF($D340="","Zona STOCK",IF($E340="","CEK SKU DESCRIPTION kosong",IF(COUNTIFS($I$2:$I$500,$I340,L$2:L$500,"&lt;&gt;"&amp;L340,L$2:L$500,"&lt;&gt;")&gt;0,"CEK jenis fixture beda dalam satu series","OK")))))))))</f>
        <v/>
      </c>
      <c r="P340" s="11" t="n"/>
      <c r="Q340" s="11" t="n"/>
      <c r="R340" s="11">
        <f>IF(OR(P340="",Q340=""),"",IFERROR(INDEX(LAYOUT!$D$2:$D$80,MATCH(P340&amp;"|"&amp;Q340,LAYOUT!$E$2:$E$80,0)),""))</f>
        <v/>
      </c>
      <c r="S340" s="12">
        <f>IF(AND(P340="",Q340=""),IF(AND(L340="",M340="",T340="",U340=""),IF(OR($D340&lt;&gt;"",$E340&lt;&gt;""),"Belum ditempatkan",""),""),IF(P340="","CEK JENIS FIXTURE kosong",IF(LEFT(P340,4)&lt;&gt;"Wall","CEK Fixture 2 hanya Wall",IF(Q340="","CEK SHELVING KE kosong",IF(ISNA(MATCH(P340&amp;"|"&amp;Q340,LAYOUT!$E$2:$E$80,0)),"CEK SHELVING KE di luar layout",IF($I340="","CEK SERIES kosong",IF($D340="","Zona STOCK",IF($E340="","CEK SKU DESCRIPTION kosong",IF(COUNTIFS($I$2:$I$500,$I340,P$2:P$500,"&lt;&gt;"&amp;P340,P$2:P$500,"&lt;&gt;")&gt;0,"CEK jenis fixture beda dalam satu series","OK")))))))))</f>
        <v/>
      </c>
      <c r="T340" s="11" t="n"/>
      <c r="U340" s="11" t="n"/>
      <c r="V340" s="11">
        <f>IF(OR(T340="",U340=""),"",IFERROR(INDEX(LAYOUT!$D$2:$D$80,MATCH(T340&amp;"|"&amp;U340,LAYOUT!$E$2:$E$80,0)),""))</f>
        <v/>
      </c>
      <c r="W340" s="12">
        <f>IF(AND(T340="",U340=""),IF(AND(L340="",M340="",P340="",Q340=""),IF(OR($D340&lt;&gt;"",$E340&lt;&gt;""),"Belum ditempatkan",""),""),IF(T340="","CEK JENIS FIXTURE kosong",IF(LEFT(T340,4)&lt;&gt;"Wall","CEK Fixture 3 hanya Wall",IF(U340="","CEK SHELVING KE kosong",IF(ISNA(MATCH(T340&amp;"|"&amp;U340,LAYOUT!$E$2:$E$80,0)),"CEK SHELVING KE di luar layout",IF($I340="","CEK SERIES kosong",IF($D340="","Zona STOCK",IF($E340="","CEK SKU DESCRIPTION kosong",IF(COUNTIFS($I$2:$I$500,$I340,T$2:T$500,"&lt;&gt;"&amp;T340,T$2:T$500,"&lt;&gt;")&gt;0,"CEK jenis fixture beda dalam satu series","OK")))))))))</f>
        <v/>
      </c>
      <c r="X340" s="11" t="n"/>
      <c r="Y340" s="11" t="n"/>
      <c r="Z340" s="12" t="n"/>
      <c r="AA340" s="12" t="n"/>
      <c r="AB340" s="11" t="n"/>
      <c r="AC340" s="11" t="n"/>
      <c r="AD340" s="11" t="n"/>
      <c r="AE340" s="11" t="n"/>
      <c r="AF340" s="11" t="n"/>
      <c r="AG340" s="11" t="n"/>
      <c r="AH340" s="12" t="n"/>
      <c r="AI340" s="12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>
        <f>IF(OR(L341="",M341=""),"",IFERROR(INDEX(LAYOUT!$D$2:$D$80,MATCH(L341&amp;"|"&amp;M341,LAYOUT!$E$2:$E$80,0)),""))</f>
        <v/>
      </c>
      <c r="O341" s="12">
        <f>IF(AND(L341="",M341=""),IF(AND(P341="",Q341="",T341="",U341=""),IF(OR($D341&lt;&gt;"",$E341&lt;&gt;""),"Belum ditempatkan",""),""),IF(L341="","CEK JENIS FIXTURE kosong",IF(AND(LEFT(L341,7)&lt;&gt;"Gondola",LEFT(L341,6)&lt;&gt;"Endcap"),"CEK Fixture 1 hanya Gondola atau Endcap",IF(M341="","CEK SHELVING KE kosong",IF(ISNA(MATCH(L341&amp;"|"&amp;M341,LAYOUT!$E$2:$E$80,0)),"CEK SHELVING KE di luar layout",IF($I341="","CEK SERIES kosong",IF($D341="","Zona STOCK",IF($E341="","CEK SKU DESCRIPTION kosong",IF(COUNTIFS($I$2:$I$500,$I341,L$2:L$500,"&lt;&gt;"&amp;L341,L$2:L$500,"&lt;&gt;")&gt;0,"CEK jenis fixture beda dalam satu series","OK")))))))))</f>
        <v/>
      </c>
      <c r="P341" s="11" t="n"/>
      <c r="Q341" s="11" t="n"/>
      <c r="R341" s="11">
        <f>IF(OR(P341="",Q341=""),"",IFERROR(INDEX(LAYOUT!$D$2:$D$80,MATCH(P341&amp;"|"&amp;Q341,LAYOUT!$E$2:$E$80,0)),""))</f>
        <v/>
      </c>
      <c r="S341" s="12">
        <f>IF(AND(P341="",Q341=""),IF(AND(L341="",M341="",T341="",U341=""),IF(OR($D341&lt;&gt;"",$E341&lt;&gt;""),"Belum ditempatkan",""),""),IF(P341="","CEK JENIS FIXTURE kosong",IF(LEFT(P341,4)&lt;&gt;"Wall","CEK Fixture 2 hanya Wall",IF(Q341="","CEK SHELVING KE kosong",IF(ISNA(MATCH(P341&amp;"|"&amp;Q341,LAYOUT!$E$2:$E$80,0)),"CEK SHELVING KE di luar layout",IF($I341="","CEK SERIES kosong",IF($D341="","Zona STOCK",IF($E341="","CEK SKU DESCRIPTION kosong",IF(COUNTIFS($I$2:$I$500,$I341,P$2:P$500,"&lt;&gt;"&amp;P341,P$2:P$500,"&lt;&gt;")&gt;0,"CEK jenis fixture beda dalam satu series","OK")))))))))</f>
        <v/>
      </c>
      <c r="T341" s="11" t="n"/>
      <c r="U341" s="11" t="n"/>
      <c r="V341" s="11">
        <f>IF(OR(T341="",U341=""),"",IFERROR(INDEX(LAYOUT!$D$2:$D$80,MATCH(T341&amp;"|"&amp;U341,LAYOUT!$E$2:$E$80,0)),""))</f>
        <v/>
      </c>
      <c r="W341" s="12">
        <f>IF(AND(T341="",U341=""),IF(AND(L341="",M341="",P341="",Q341=""),IF(OR($D341&lt;&gt;"",$E341&lt;&gt;""),"Belum ditempatkan",""),""),IF(T341="","CEK JENIS FIXTURE kosong",IF(LEFT(T341,4)&lt;&gt;"Wall","CEK Fixture 3 hanya Wall",IF(U341="","CEK SHELVING KE kosong",IF(ISNA(MATCH(T341&amp;"|"&amp;U341,LAYOUT!$E$2:$E$80,0)),"CEK SHELVING KE di luar layout",IF($I341="","CEK SERIES kosong",IF($D341="","Zona STOCK",IF($E341="","CEK SKU DESCRIPTION kosong",IF(COUNTIFS($I$2:$I$500,$I341,T$2:T$500,"&lt;&gt;"&amp;T341,T$2:T$500,"&lt;&gt;")&gt;0,"CEK jenis fixture beda dalam satu series","OK")))))))))</f>
        <v/>
      </c>
      <c r="X341" s="11" t="n"/>
      <c r="Y341" s="11" t="n"/>
      <c r="Z341" s="12" t="n"/>
      <c r="AA341" s="12" t="n"/>
      <c r="AB341" s="11" t="n"/>
      <c r="AC341" s="11" t="n"/>
      <c r="AD341" s="11" t="n"/>
      <c r="AE341" s="11" t="n"/>
      <c r="AF341" s="11" t="n"/>
      <c r="AG341" s="11" t="n"/>
      <c r="AH341" s="12" t="n"/>
      <c r="AI341" s="12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>
        <f>IF(OR(L342="",M342=""),"",IFERROR(INDEX(LAYOUT!$D$2:$D$80,MATCH(L342&amp;"|"&amp;M342,LAYOUT!$E$2:$E$80,0)),""))</f>
        <v/>
      </c>
      <c r="O342" s="12">
        <f>IF(AND(L342="",M342=""),IF(AND(P342="",Q342="",T342="",U342=""),IF(OR($D342&lt;&gt;"",$E342&lt;&gt;""),"Belum ditempatkan",""),""),IF(L342="","CEK JENIS FIXTURE kosong",IF(AND(LEFT(L342,7)&lt;&gt;"Gondola",LEFT(L342,6)&lt;&gt;"Endcap"),"CEK Fixture 1 hanya Gondola atau Endcap",IF(M342="","CEK SHELVING KE kosong",IF(ISNA(MATCH(L342&amp;"|"&amp;M342,LAYOUT!$E$2:$E$80,0)),"CEK SHELVING KE di luar layout",IF($I342="","CEK SERIES kosong",IF($D342="","Zona STOCK",IF($E342="","CEK SKU DESCRIPTION kosong",IF(COUNTIFS($I$2:$I$500,$I342,L$2:L$500,"&lt;&gt;"&amp;L342,L$2:L$500,"&lt;&gt;")&gt;0,"CEK jenis fixture beda dalam satu series","OK")))))))))</f>
        <v/>
      </c>
      <c r="P342" s="11" t="n"/>
      <c r="Q342" s="11" t="n"/>
      <c r="R342" s="11">
        <f>IF(OR(P342="",Q342=""),"",IFERROR(INDEX(LAYOUT!$D$2:$D$80,MATCH(P342&amp;"|"&amp;Q342,LAYOUT!$E$2:$E$80,0)),""))</f>
        <v/>
      </c>
      <c r="S342" s="12">
        <f>IF(AND(P342="",Q342=""),IF(AND(L342="",M342="",T342="",U342=""),IF(OR($D342&lt;&gt;"",$E342&lt;&gt;""),"Belum ditempatkan",""),""),IF(P342="","CEK JENIS FIXTURE kosong",IF(LEFT(P342,4)&lt;&gt;"Wall","CEK Fixture 2 hanya Wall",IF(Q342="","CEK SHELVING KE kosong",IF(ISNA(MATCH(P342&amp;"|"&amp;Q342,LAYOUT!$E$2:$E$80,0)),"CEK SHELVING KE di luar layout",IF($I342="","CEK SERIES kosong",IF($D342="","Zona STOCK",IF($E342="","CEK SKU DESCRIPTION kosong",IF(COUNTIFS($I$2:$I$500,$I342,P$2:P$500,"&lt;&gt;"&amp;P342,P$2:P$500,"&lt;&gt;")&gt;0,"CEK jenis fixture beda dalam satu series","OK")))))))))</f>
        <v/>
      </c>
      <c r="T342" s="11" t="n"/>
      <c r="U342" s="11" t="n"/>
      <c r="V342" s="11">
        <f>IF(OR(T342="",U342=""),"",IFERROR(INDEX(LAYOUT!$D$2:$D$80,MATCH(T342&amp;"|"&amp;U342,LAYOUT!$E$2:$E$80,0)),""))</f>
        <v/>
      </c>
      <c r="W342" s="12">
        <f>IF(AND(T342="",U342=""),IF(AND(L342="",M342="",P342="",Q342=""),IF(OR($D342&lt;&gt;"",$E342&lt;&gt;""),"Belum ditempatkan",""),""),IF(T342="","CEK JENIS FIXTURE kosong",IF(LEFT(T342,4)&lt;&gt;"Wall","CEK Fixture 3 hanya Wall",IF(U342="","CEK SHELVING KE kosong",IF(ISNA(MATCH(T342&amp;"|"&amp;U342,LAYOUT!$E$2:$E$80,0)),"CEK SHELVING KE di luar layout",IF($I342="","CEK SERIES kosong",IF($D342="","Zona STOCK",IF($E342="","CEK SKU DESCRIPTION kosong",IF(COUNTIFS($I$2:$I$500,$I342,T$2:T$500,"&lt;&gt;"&amp;T342,T$2:T$500,"&lt;&gt;")&gt;0,"CEK jenis fixture beda dalam satu series","OK")))))))))</f>
        <v/>
      </c>
      <c r="X342" s="11" t="n"/>
      <c r="Y342" s="11" t="n"/>
      <c r="Z342" s="12" t="n"/>
      <c r="AA342" s="12" t="n"/>
      <c r="AB342" s="11" t="n"/>
      <c r="AC342" s="11" t="n"/>
      <c r="AD342" s="11" t="n"/>
      <c r="AE342" s="11" t="n"/>
      <c r="AF342" s="11" t="n"/>
      <c r="AG342" s="11" t="n"/>
      <c r="AH342" s="12" t="n"/>
      <c r="AI342" s="12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>
        <f>IF(OR(L343="",M343=""),"",IFERROR(INDEX(LAYOUT!$D$2:$D$80,MATCH(L343&amp;"|"&amp;M343,LAYOUT!$E$2:$E$80,0)),""))</f>
        <v/>
      </c>
      <c r="O343" s="12">
        <f>IF(AND(L343="",M343=""),IF(AND(P343="",Q343="",T343="",U343=""),IF(OR($D343&lt;&gt;"",$E343&lt;&gt;""),"Belum ditempatkan",""),""),IF(L343="","CEK JENIS FIXTURE kosong",IF(AND(LEFT(L343,7)&lt;&gt;"Gondola",LEFT(L343,6)&lt;&gt;"Endcap"),"CEK Fixture 1 hanya Gondola atau Endcap",IF(M343="","CEK SHELVING KE kosong",IF(ISNA(MATCH(L343&amp;"|"&amp;M343,LAYOUT!$E$2:$E$80,0)),"CEK SHELVING KE di luar layout",IF($I343="","CEK SERIES kosong",IF($D343="","Zona STOCK",IF($E343="","CEK SKU DESCRIPTION kosong",IF(COUNTIFS($I$2:$I$500,$I343,L$2:L$500,"&lt;&gt;"&amp;L343,L$2:L$500,"&lt;&gt;")&gt;0,"CEK jenis fixture beda dalam satu series","OK")))))))))</f>
        <v/>
      </c>
      <c r="P343" s="11" t="n"/>
      <c r="Q343" s="11" t="n"/>
      <c r="R343" s="11">
        <f>IF(OR(P343="",Q343=""),"",IFERROR(INDEX(LAYOUT!$D$2:$D$80,MATCH(P343&amp;"|"&amp;Q343,LAYOUT!$E$2:$E$80,0)),""))</f>
        <v/>
      </c>
      <c r="S343" s="12">
        <f>IF(AND(P343="",Q343=""),IF(AND(L343="",M343="",T343="",U343=""),IF(OR($D343&lt;&gt;"",$E343&lt;&gt;""),"Belum ditempatkan",""),""),IF(P343="","CEK JENIS FIXTURE kosong",IF(LEFT(P343,4)&lt;&gt;"Wall","CEK Fixture 2 hanya Wall",IF(Q343="","CEK SHELVING KE kosong",IF(ISNA(MATCH(P343&amp;"|"&amp;Q343,LAYOUT!$E$2:$E$80,0)),"CEK SHELVING KE di luar layout",IF($I343="","CEK SERIES kosong",IF($D343="","Zona STOCK",IF($E343="","CEK SKU DESCRIPTION kosong",IF(COUNTIFS($I$2:$I$500,$I343,P$2:P$500,"&lt;&gt;"&amp;P343,P$2:P$500,"&lt;&gt;")&gt;0,"CEK jenis fixture beda dalam satu series","OK")))))))))</f>
        <v/>
      </c>
      <c r="T343" s="11" t="n"/>
      <c r="U343" s="11" t="n"/>
      <c r="V343" s="11">
        <f>IF(OR(T343="",U343=""),"",IFERROR(INDEX(LAYOUT!$D$2:$D$80,MATCH(T343&amp;"|"&amp;U343,LAYOUT!$E$2:$E$80,0)),""))</f>
        <v/>
      </c>
      <c r="W343" s="12">
        <f>IF(AND(T343="",U343=""),IF(AND(L343="",M343="",P343="",Q343=""),IF(OR($D343&lt;&gt;"",$E343&lt;&gt;""),"Belum ditempatkan",""),""),IF(T343="","CEK JENIS FIXTURE kosong",IF(LEFT(T343,4)&lt;&gt;"Wall","CEK Fixture 3 hanya Wall",IF(U343="","CEK SHELVING KE kosong",IF(ISNA(MATCH(T343&amp;"|"&amp;U343,LAYOUT!$E$2:$E$80,0)),"CEK SHELVING KE di luar layout",IF($I343="","CEK SERIES kosong",IF($D343="","Zona STOCK",IF($E343="","CEK SKU DESCRIPTION kosong",IF(COUNTIFS($I$2:$I$500,$I343,T$2:T$500,"&lt;&gt;"&amp;T343,T$2:T$500,"&lt;&gt;")&gt;0,"CEK jenis fixture beda dalam satu series","OK")))))))))</f>
        <v/>
      </c>
      <c r="X343" s="11" t="n"/>
      <c r="Y343" s="11" t="n"/>
      <c r="Z343" s="12" t="n"/>
      <c r="AA343" s="12" t="n"/>
      <c r="AB343" s="11" t="n"/>
      <c r="AC343" s="11" t="n"/>
      <c r="AD343" s="11" t="n"/>
      <c r="AE343" s="11" t="n"/>
      <c r="AF343" s="11" t="n"/>
      <c r="AG343" s="11" t="n"/>
      <c r="AH343" s="12" t="n"/>
      <c r="AI343" s="12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>
        <f>IF(OR(L344="",M344=""),"",IFERROR(INDEX(LAYOUT!$D$2:$D$80,MATCH(L344&amp;"|"&amp;M344,LAYOUT!$E$2:$E$80,0)),""))</f>
        <v/>
      </c>
      <c r="O344" s="12">
        <f>IF(AND(L344="",M344=""),IF(AND(P344="",Q344="",T344="",U344=""),IF(OR($D344&lt;&gt;"",$E344&lt;&gt;""),"Belum ditempatkan",""),""),IF(L344="","CEK JENIS FIXTURE kosong",IF(AND(LEFT(L344,7)&lt;&gt;"Gondola",LEFT(L344,6)&lt;&gt;"Endcap"),"CEK Fixture 1 hanya Gondola atau Endcap",IF(M344="","CEK SHELVING KE kosong",IF(ISNA(MATCH(L344&amp;"|"&amp;M344,LAYOUT!$E$2:$E$80,0)),"CEK SHELVING KE di luar layout",IF($I344="","CEK SERIES kosong",IF($D344="","Zona STOCK",IF($E344="","CEK SKU DESCRIPTION kosong",IF(COUNTIFS($I$2:$I$500,$I344,L$2:L$500,"&lt;&gt;"&amp;L344,L$2:L$500,"&lt;&gt;")&gt;0,"CEK jenis fixture beda dalam satu series","OK")))))))))</f>
        <v/>
      </c>
      <c r="P344" s="11" t="n"/>
      <c r="Q344" s="11" t="n"/>
      <c r="R344" s="11">
        <f>IF(OR(P344="",Q344=""),"",IFERROR(INDEX(LAYOUT!$D$2:$D$80,MATCH(P344&amp;"|"&amp;Q344,LAYOUT!$E$2:$E$80,0)),""))</f>
        <v/>
      </c>
      <c r="S344" s="12">
        <f>IF(AND(P344="",Q344=""),IF(AND(L344="",M344="",T344="",U344=""),IF(OR($D344&lt;&gt;"",$E344&lt;&gt;""),"Belum ditempatkan",""),""),IF(P344="","CEK JENIS FIXTURE kosong",IF(LEFT(P344,4)&lt;&gt;"Wall","CEK Fixture 2 hanya Wall",IF(Q344="","CEK SHELVING KE kosong",IF(ISNA(MATCH(P344&amp;"|"&amp;Q344,LAYOUT!$E$2:$E$80,0)),"CEK SHELVING KE di luar layout",IF($I344="","CEK SERIES kosong",IF($D344="","Zona STOCK",IF($E344="","CEK SKU DESCRIPTION kosong",IF(COUNTIFS($I$2:$I$500,$I344,P$2:P$500,"&lt;&gt;"&amp;P344,P$2:P$500,"&lt;&gt;")&gt;0,"CEK jenis fixture beda dalam satu series","OK")))))))))</f>
        <v/>
      </c>
      <c r="T344" s="11" t="n"/>
      <c r="U344" s="11" t="n"/>
      <c r="V344" s="11">
        <f>IF(OR(T344="",U344=""),"",IFERROR(INDEX(LAYOUT!$D$2:$D$80,MATCH(T344&amp;"|"&amp;U344,LAYOUT!$E$2:$E$80,0)),""))</f>
        <v/>
      </c>
      <c r="W344" s="12">
        <f>IF(AND(T344="",U344=""),IF(AND(L344="",M344="",P344="",Q344=""),IF(OR($D344&lt;&gt;"",$E344&lt;&gt;""),"Belum ditempatkan",""),""),IF(T344="","CEK JENIS FIXTURE kosong",IF(LEFT(T344,4)&lt;&gt;"Wall","CEK Fixture 3 hanya Wall",IF(U344="","CEK SHELVING KE kosong",IF(ISNA(MATCH(T344&amp;"|"&amp;U344,LAYOUT!$E$2:$E$80,0)),"CEK SHELVING KE di luar layout",IF($I344="","CEK SERIES kosong",IF($D344="","Zona STOCK",IF($E344="","CEK SKU DESCRIPTION kosong",IF(COUNTIFS($I$2:$I$500,$I344,T$2:T$500,"&lt;&gt;"&amp;T344,T$2:T$500,"&lt;&gt;")&gt;0,"CEK jenis fixture beda dalam satu series","OK")))))))))</f>
        <v/>
      </c>
      <c r="X344" s="11" t="n"/>
      <c r="Y344" s="11" t="n"/>
      <c r="Z344" s="12" t="n"/>
      <c r="AA344" s="12" t="n"/>
      <c r="AB344" s="11" t="n"/>
      <c r="AC344" s="11" t="n"/>
      <c r="AD344" s="11" t="n"/>
      <c r="AE344" s="11" t="n"/>
      <c r="AF344" s="11" t="n"/>
      <c r="AG344" s="11" t="n"/>
      <c r="AH344" s="12" t="n"/>
      <c r="AI344" s="12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>
        <f>IF(OR(L345="",M345=""),"",IFERROR(INDEX(LAYOUT!$D$2:$D$80,MATCH(L345&amp;"|"&amp;M345,LAYOUT!$E$2:$E$80,0)),""))</f>
        <v/>
      </c>
      <c r="O345" s="12">
        <f>IF(AND(L345="",M345=""),IF(AND(P345="",Q345="",T345="",U345=""),IF(OR($D345&lt;&gt;"",$E345&lt;&gt;""),"Belum ditempatkan",""),""),IF(L345="","CEK JENIS FIXTURE kosong",IF(AND(LEFT(L345,7)&lt;&gt;"Gondola",LEFT(L345,6)&lt;&gt;"Endcap"),"CEK Fixture 1 hanya Gondola atau Endcap",IF(M345="","CEK SHELVING KE kosong",IF(ISNA(MATCH(L345&amp;"|"&amp;M345,LAYOUT!$E$2:$E$80,0)),"CEK SHELVING KE di luar layout",IF($I345="","CEK SERIES kosong",IF($D345="","Zona STOCK",IF($E345="","CEK SKU DESCRIPTION kosong",IF(COUNTIFS($I$2:$I$500,$I345,L$2:L$500,"&lt;&gt;"&amp;L345,L$2:L$500,"&lt;&gt;")&gt;0,"CEK jenis fixture beda dalam satu series","OK")))))))))</f>
        <v/>
      </c>
      <c r="P345" s="11" t="n"/>
      <c r="Q345" s="11" t="n"/>
      <c r="R345" s="11">
        <f>IF(OR(P345="",Q345=""),"",IFERROR(INDEX(LAYOUT!$D$2:$D$80,MATCH(P345&amp;"|"&amp;Q345,LAYOUT!$E$2:$E$80,0)),""))</f>
        <v/>
      </c>
      <c r="S345" s="12">
        <f>IF(AND(P345="",Q345=""),IF(AND(L345="",M345="",T345="",U345=""),IF(OR($D345&lt;&gt;"",$E345&lt;&gt;""),"Belum ditempatkan",""),""),IF(P345="","CEK JENIS FIXTURE kosong",IF(LEFT(P345,4)&lt;&gt;"Wall","CEK Fixture 2 hanya Wall",IF(Q345="","CEK SHELVING KE kosong",IF(ISNA(MATCH(P345&amp;"|"&amp;Q345,LAYOUT!$E$2:$E$80,0)),"CEK SHELVING KE di luar layout",IF($I345="","CEK SERIES kosong",IF($D345="","Zona STOCK",IF($E345="","CEK SKU DESCRIPTION kosong",IF(COUNTIFS($I$2:$I$500,$I345,P$2:P$500,"&lt;&gt;"&amp;P345,P$2:P$500,"&lt;&gt;")&gt;0,"CEK jenis fixture beda dalam satu series","OK")))))))))</f>
        <v/>
      </c>
      <c r="T345" s="11" t="n"/>
      <c r="U345" s="11" t="n"/>
      <c r="V345" s="11">
        <f>IF(OR(T345="",U345=""),"",IFERROR(INDEX(LAYOUT!$D$2:$D$80,MATCH(T345&amp;"|"&amp;U345,LAYOUT!$E$2:$E$80,0)),""))</f>
        <v/>
      </c>
      <c r="W345" s="12">
        <f>IF(AND(T345="",U345=""),IF(AND(L345="",M345="",P345="",Q345=""),IF(OR($D345&lt;&gt;"",$E345&lt;&gt;""),"Belum ditempatkan",""),""),IF(T345="","CEK JENIS FIXTURE kosong",IF(LEFT(T345,4)&lt;&gt;"Wall","CEK Fixture 3 hanya Wall",IF(U345="","CEK SHELVING KE kosong",IF(ISNA(MATCH(T345&amp;"|"&amp;U345,LAYOUT!$E$2:$E$80,0)),"CEK SHELVING KE di luar layout",IF($I345="","CEK SERIES kosong",IF($D345="","Zona STOCK",IF($E345="","CEK SKU DESCRIPTION kosong",IF(COUNTIFS($I$2:$I$500,$I345,T$2:T$500,"&lt;&gt;"&amp;T345,T$2:T$500,"&lt;&gt;")&gt;0,"CEK jenis fixture beda dalam satu series","OK")))))))))</f>
        <v/>
      </c>
      <c r="X345" s="11" t="n"/>
      <c r="Y345" s="11" t="n"/>
      <c r="Z345" s="12" t="n"/>
      <c r="AA345" s="12" t="n"/>
      <c r="AB345" s="11" t="n"/>
      <c r="AC345" s="11" t="n"/>
      <c r="AD345" s="11" t="n"/>
      <c r="AE345" s="11" t="n"/>
      <c r="AF345" s="11" t="n"/>
      <c r="AG345" s="11" t="n"/>
      <c r="AH345" s="12" t="n"/>
      <c r="AI345" s="12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>
        <f>IF(OR(L346="",M346=""),"",IFERROR(INDEX(LAYOUT!$D$2:$D$80,MATCH(L346&amp;"|"&amp;M346,LAYOUT!$E$2:$E$80,0)),""))</f>
        <v/>
      </c>
      <c r="O346" s="12">
        <f>IF(AND(L346="",M346=""),IF(AND(P346="",Q346="",T346="",U346=""),IF(OR($D346&lt;&gt;"",$E346&lt;&gt;""),"Belum ditempatkan",""),""),IF(L346="","CEK JENIS FIXTURE kosong",IF(AND(LEFT(L346,7)&lt;&gt;"Gondola",LEFT(L346,6)&lt;&gt;"Endcap"),"CEK Fixture 1 hanya Gondola atau Endcap",IF(M346="","CEK SHELVING KE kosong",IF(ISNA(MATCH(L346&amp;"|"&amp;M346,LAYOUT!$E$2:$E$80,0)),"CEK SHELVING KE di luar layout",IF($I346="","CEK SERIES kosong",IF($D346="","Zona STOCK",IF($E346="","CEK SKU DESCRIPTION kosong",IF(COUNTIFS($I$2:$I$500,$I346,L$2:L$500,"&lt;&gt;"&amp;L346,L$2:L$500,"&lt;&gt;")&gt;0,"CEK jenis fixture beda dalam satu series","OK")))))))))</f>
        <v/>
      </c>
      <c r="P346" s="11" t="n"/>
      <c r="Q346" s="11" t="n"/>
      <c r="R346" s="11">
        <f>IF(OR(P346="",Q346=""),"",IFERROR(INDEX(LAYOUT!$D$2:$D$80,MATCH(P346&amp;"|"&amp;Q346,LAYOUT!$E$2:$E$80,0)),""))</f>
        <v/>
      </c>
      <c r="S346" s="12">
        <f>IF(AND(P346="",Q346=""),IF(AND(L346="",M346="",T346="",U346=""),IF(OR($D346&lt;&gt;"",$E346&lt;&gt;""),"Belum ditempatkan",""),""),IF(P346="","CEK JENIS FIXTURE kosong",IF(LEFT(P346,4)&lt;&gt;"Wall","CEK Fixture 2 hanya Wall",IF(Q346="","CEK SHELVING KE kosong",IF(ISNA(MATCH(P346&amp;"|"&amp;Q346,LAYOUT!$E$2:$E$80,0)),"CEK SHELVING KE di luar layout",IF($I346="","CEK SERIES kosong",IF($D346="","Zona STOCK",IF($E346="","CEK SKU DESCRIPTION kosong",IF(COUNTIFS($I$2:$I$500,$I346,P$2:P$500,"&lt;&gt;"&amp;P346,P$2:P$500,"&lt;&gt;")&gt;0,"CEK jenis fixture beda dalam satu series","OK")))))))))</f>
        <v/>
      </c>
      <c r="T346" s="11" t="n"/>
      <c r="U346" s="11" t="n"/>
      <c r="V346" s="11">
        <f>IF(OR(T346="",U346=""),"",IFERROR(INDEX(LAYOUT!$D$2:$D$80,MATCH(T346&amp;"|"&amp;U346,LAYOUT!$E$2:$E$80,0)),""))</f>
        <v/>
      </c>
      <c r="W346" s="12">
        <f>IF(AND(T346="",U346=""),IF(AND(L346="",M346="",P346="",Q346=""),IF(OR($D346&lt;&gt;"",$E346&lt;&gt;""),"Belum ditempatkan",""),""),IF(T346="","CEK JENIS FIXTURE kosong",IF(LEFT(T346,4)&lt;&gt;"Wall","CEK Fixture 3 hanya Wall",IF(U346="","CEK SHELVING KE kosong",IF(ISNA(MATCH(T346&amp;"|"&amp;U346,LAYOUT!$E$2:$E$80,0)),"CEK SHELVING KE di luar layout",IF($I346="","CEK SERIES kosong",IF($D346="","Zona STOCK",IF($E346="","CEK SKU DESCRIPTION kosong",IF(COUNTIFS($I$2:$I$500,$I346,T$2:T$500,"&lt;&gt;"&amp;T346,T$2:T$500,"&lt;&gt;")&gt;0,"CEK jenis fixture beda dalam satu series","OK")))))))))</f>
        <v/>
      </c>
      <c r="X346" s="11" t="n"/>
      <c r="Y346" s="11" t="n"/>
      <c r="Z346" s="12" t="n"/>
      <c r="AA346" s="12" t="n"/>
      <c r="AB346" s="11" t="n"/>
      <c r="AC346" s="11" t="n"/>
      <c r="AD346" s="11" t="n"/>
      <c r="AE346" s="11" t="n"/>
      <c r="AF346" s="11" t="n"/>
      <c r="AG346" s="11" t="n"/>
      <c r="AH346" s="12" t="n"/>
      <c r="AI346" s="12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>
        <f>IF(OR(L347="",M347=""),"",IFERROR(INDEX(LAYOUT!$D$2:$D$80,MATCH(L347&amp;"|"&amp;M347,LAYOUT!$E$2:$E$80,0)),""))</f>
        <v/>
      </c>
      <c r="O347" s="12">
        <f>IF(AND(L347="",M347=""),IF(AND(P347="",Q347="",T347="",U347=""),IF(OR($D347&lt;&gt;"",$E347&lt;&gt;""),"Belum ditempatkan",""),""),IF(L347="","CEK JENIS FIXTURE kosong",IF(AND(LEFT(L347,7)&lt;&gt;"Gondola",LEFT(L347,6)&lt;&gt;"Endcap"),"CEK Fixture 1 hanya Gondola atau Endcap",IF(M347="","CEK SHELVING KE kosong",IF(ISNA(MATCH(L347&amp;"|"&amp;M347,LAYOUT!$E$2:$E$80,0)),"CEK SHELVING KE di luar layout",IF($I347="","CEK SERIES kosong",IF($D347="","Zona STOCK",IF($E347="","CEK SKU DESCRIPTION kosong",IF(COUNTIFS($I$2:$I$500,$I347,L$2:L$500,"&lt;&gt;"&amp;L347,L$2:L$500,"&lt;&gt;")&gt;0,"CEK jenis fixture beda dalam satu series","OK")))))))))</f>
        <v/>
      </c>
      <c r="P347" s="11" t="n"/>
      <c r="Q347" s="11" t="n"/>
      <c r="R347" s="11">
        <f>IF(OR(P347="",Q347=""),"",IFERROR(INDEX(LAYOUT!$D$2:$D$80,MATCH(P347&amp;"|"&amp;Q347,LAYOUT!$E$2:$E$80,0)),""))</f>
        <v/>
      </c>
      <c r="S347" s="12">
        <f>IF(AND(P347="",Q347=""),IF(AND(L347="",M347="",T347="",U347=""),IF(OR($D347&lt;&gt;"",$E347&lt;&gt;""),"Belum ditempatkan",""),""),IF(P347="","CEK JENIS FIXTURE kosong",IF(LEFT(P347,4)&lt;&gt;"Wall","CEK Fixture 2 hanya Wall",IF(Q347="","CEK SHELVING KE kosong",IF(ISNA(MATCH(P347&amp;"|"&amp;Q347,LAYOUT!$E$2:$E$80,0)),"CEK SHELVING KE di luar layout",IF($I347="","CEK SERIES kosong",IF($D347="","Zona STOCK",IF($E347="","CEK SKU DESCRIPTION kosong",IF(COUNTIFS($I$2:$I$500,$I347,P$2:P$500,"&lt;&gt;"&amp;P347,P$2:P$500,"&lt;&gt;")&gt;0,"CEK jenis fixture beda dalam satu series","OK")))))))))</f>
        <v/>
      </c>
      <c r="T347" s="11" t="n"/>
      <c r="U347" s="11" t="n"/>
      <c r="V347" s="11">
        <f>IF(OR(T347="",U347=""),"",IFERROR(INDEX(LAYOUT!$D$2:$D$80,MATCH(T347&amp;"|"&amp;U347,LAYOUT!$E$2:$E$80,0)),""))</f>
        <v/>
      </c>
      <c r="W347" s="12">
        <f>IF(AND(T347="",U347=""),IF(AND(L347="",M347="",P347="",Q347=""),IF(OR($D347&lt;&gt;"",$E347&lt;&gt;""),"Belum ditempatkan",""),""),IF(T347="","CEK JENIS FIXTURE kosong",IF(LEFT(T347,4)&lt;&gt;"Wall","CEK Fixture 3 hanya Wall",IF(U347="","CEK SHELVING KE kosong",IF(ISNA(MATCH(T347&amp;"|"&amp;U347,LAYOUT!$E$2:$E$80,0)),"CEK SHELVING KE di luar layout",IF($I347="","CEK SERIES kosong",IF($D347="","Zona STOCK",IF($E347="","CEK SKU DESCRIPTION kosong",IF(COUNTIFS($I$2:$I$500,$I347,T$2:T$500,"&lt;&gt;"&amp;T347,T$2:T$500,"&lt;&gt;")&gt;0,"CEK jenis fixture beda dalam satu series","OK")))))))))</f>
        <v/>
      </c>
      <c r="X347" s="11" t="n"/>
      <c r="Y347" s="11" t="n"/>
      <c r="Z347" s="12" t="n"/>
      <c r="AA347" s="12" t="n"/>
      <c r="AB347" s="11" t="n"/>
      <c r="AC347" s="11" t="n"/>
      <c r="AD347" s="11" t="n"/>
      <c r="AE347" s="11" t="n"/>
      <c r="AF347" s="11" t="n"/>
      <c r="AG347" s="11" t="n"/>
      <c r="AH347" s="12" t="n"/>
      <c r="AI347" s="12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>
        <f>IF(OR(L348="",M348=""),"",IFERROR(INDEX(LAYOUT!$D$2:$D$80,MATCH(L348&amp;"|"&amp;M348,LAYOUT!$E$2:$E$80,0)),""))</f>
        <v/>
      </c>
      <c r="O348" s="12">
        <f>IF(AND(L348="",M348=""),IF(AND(P348="",Q348="",T348="",U348=""),IF(OR($D348&lt;&gt;"",$E348&lt;&gt;""),"Belum ditempatkan",""),""),IF(L348="","CEK JENIS FIXTURE kosong",IF(AND(LEFT(L348,7)&lt;&gt;"Gondola",LEFT(L348,6)&lt;&gt;"Endcap"),"CEK Fixture 1 hanya Gondola atau Endcap",IF(M348="","CEK SHELVING KE kosong",IF(ISNA(MATCH(L348&amp;"|"&amp;M348,LAYOUT!$E$2:$E$80,0)),"CEK SHELVING KE di luar layout",IF($I348="","CEK SERIES kosong",IF($D348="","Zona STOCK",IF($E348="","CEK SKU DESCRIPTION kosong",IF(COUNTIFS($I$2:$I$500,$I348,L$2:L$500,"&lt;&gt;"&amp;L348,L$2:L$500,"&lt;&gt;")&gt;0,"CEK jenis fixture beda dalam satu series","OK")))))))))</f>
        <v/>
      </c>
      <c r="P348" s="11" t="n"/>
      <c r="Q348" s="11" t="n"/>
      <c r="R348" s="11">
        <f>IF(OR(P348="",Q348=""),"",IFERROR(INDEX(LAYOUT!$D$2:$D$80,MATCH(P348&amp;"|"&amp;Q348,LAYOUT!$E$2:$E$80,0)),""))</f>
        <v/>
      </c>
      <c r="S348" s="12">
        <f>IF(AND(P348="",Q348=""),IF(AND(L348="",M348="",T348="",U348=""),IF(OR($D348&lt;&gt;"",$E348&lt;&gt;""),"Belum ditempatkan",""),""),IF(P348="","CEK JENIS FIXTURE kosong",IF(LEFT(P348,4)&lt;&gt;"Wall","CEK Fixture 2 hanya Wall",IF(Q348="","CEK SHELVING KE kosong",IF(ISNA(MATCH(P348&amp;"|"&amp;Q348,LAYOUT!$E$2:$E$80,0)),"CEK SHELVING KE di luar layout",IF($I348="","CEK SERIES kosong",IF($D348="","Zona STOCK",IF($E348="","CEK SKU DESCRIPTION kosong",IF(COUNTIFS($I$2:$I$500,$I348,P$2:P$500,"&lt;&gt;"&amp;P348,P$2:P$500,"&lt;&gt;")&gt;0,"CEK jenis fixture beda dalam satu series","OK")))))))))</f>
        <v/>
      </c>
      <c r="T348" s="11" t="n"/>
      <c r="U348" s="11" t="n"/>
      <c r="V348" s="11">
        <f>IF(OR(T348="",U348=""),"",IFERROR(INDEX(LAYOUT!$D$2:$D$80,MATCH(T348&amp;"|"&amp;U348,LAYOUT!$E$2:$E$80,0)),""))</f>
        <v/>
      </c>
      <c r="W348" s="12">
        <f>IF(AND(T348="",U348=""),IF(AND(L348="",M348="",P348="",Q348=""),IF(OR($D348&lt;&gt;"",$E348&lt;&gt;""),"Belum ditempatkan",""),""),IF(T348="","CEK JENIS FIXTURE kosong",IF(LEFT(T348,4)&lt;&gt;"Wall","CEK Fixture 3 hanya Wall",IF(U348="","CEK SHELVING KE kosong",IF(ISNA(MATCH(T348&amp;"|"&amp;U348,LAYOUT!$E$2:$E$80,0)),"CEK SHELVING KE di luar layout",IF($I348="","CEK SERIES kosong",IF($D348="","Zona STOCK",IF($E348="","CEK SKU DESCRIPTION kosong",IF(COUNTIFS($I$2:$I$500,$I348,T$2:T$500,"&lt;&gt;"&amp;T348,T$2:T$500,"&lt;&gt;")&gt;0,"CEK jenis fixture beda dalam satu series","OK")))))))))</f>
        <v/>
      </c>
      <c r="X348" s="11" t="n"/>
      <c r="Y348" s="11" t="n"/>
      <c r="Z348" s="12" t="n"/>
      <c r="AA348" s="12" t="n"/>
      <c r="AB348" s="11" t="n"/>
      <c r="AC348" s="11" t="n"/>
      <c r="AD348" s="11" t="n"/>
      <c r="AE348" s="11" t="n"/>
      <c r="AF348" s="11" t="n"/>
      <c r="AG348" s="11" t="n"/>
      <c r="AH348" s="12" t="n"/>
      <c r="AI348" s="12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>
        <f>IF(OR(L349="",M349=""),"",IFERROR(INDEX(LAYOUT!$D$2:$D$80,MATCH(L349&amp;"|"&amp;M349,LAYOUT!$E$2:$E$80,0)),""))</f>
        <v/>
      </c>
      <c r="O349" s="12">
        <f>IF(AND(L349="",M349=""),IF(AND(P349="",Q349="",T349="",U349=""),IF(OR($D349&lt;&gt;"",$E349&lt;&gt;""),"Belum ditempatkan",""),""),IF(L349="","CEK JENIS FIXTURE kosong",IF(AND(LEFT(L349,7)&lt;&gt;"Gondola",LEFT(L349,6)&lt;&gt;"Endcap"),"CEK Fixture 1 hanya Gondola atau Endcap",IF(M349="","CEK SHELVING KE kosong",IF(ISNA(MATCH(L349&amp;"|"&amp;M349,LAYOUT!$E$2:$E$80,0)),"CEK SHELVING KE di luar layout",IF($I349="","CEK SERIES kosong",IF($D349="","Zona STOCK",IF($E349="","CEK SKU DESCRIPTION kosong",IF(COUNTIFS($I$2:$I$500,$I349,L$2:L$500,"&lt;&gt;"&amp;L349,L$2:L$500,"&lt;&gt;")&gt;0,"CEK jenis fixture beda dalam satu series","OK")))))))))</f>
        <v/>
      </c>
      <c r="P349" s="11" t="n"/>
      <c r="Q349" s="11" t="n"/>
      <c r="R349" s="11">
        <f>IF(OR(P349="",Q349=""),"",IFERROR(INDEX(LAYOUT!$D$2:$D$80,MATCH(P349&amp;"|"&amp;Q349,LAYOUT!$E$2:$E$80,0)),""))</f>
        <v/>
      </c>
      <c r="S349" s="12">
        <f>IF(AND(P349="",Q349=""),IF(AND(L349="",M349="",T349="",U349=""),IF(OR($D349&lt;&gt;"",$E349&lt;&gt;""),"Belum ditempatkan",""),""),IF(P349="","CEK JENIS FIXTURE kosong",IF(LEFT(P349,4)&lt;&gt;"Wall","CEK Fixture 2 hanya Wall",IF(Q349="","CEK SHELVING KE kosong",IF(ISNA(MATCH(P349&amp;"|"&amp;Q349,LAYOUT!$E$2:$E$80,0)),"CEK SHELVING KE di luar layout",IF($I349="","CEK SERIES kosong",IF($D349="","Zona STOCK",IF($E349="","CEK SKU DESCRIPTION kosong",IF(COUNTIFS($I$2:$I$500,$I349,P$2:P$500,"&lt;&gt;"&amp;P349,P$2:P$500,"&lt;&gt;")&gt;0,"CEK jenis fixture beda dalam satu series","OK")))))))))</f>
        <v/>
      </c>
      <c r="T349" s="11" t="n"/>
      <c r="U349" s="11" t="n"/>
      <c r="V349" s="11">
        <f>IF(OR(T349="",U349=""),"",IFERROR(INDEX(LAYOUT!$D$2:$D$80,MATCH(T349&amp;"|"&amp;U349,LAYOUT!$E$2:$E$80,0)),""))</f>
        <v/>
      </c>
      <c r="W349" s="12">
        <f>IF(AND(T349="",U349=""),IF(AND(L349="",M349="",P349="",Q349=""),IF(OR($D349&lt;&gt;"",$E349&lt;&gt;""),"Belum ditempatkan",""),""),IF(T349="","CEK JENIS FIXTURE kosong",IF(LEFT(T349,4)&lt;&gt;"Wall","CEK Fixture 3 hanya Wall",IF(U349="","CEK SHELVING KE kosong",IF(ISNA(MATCH(T349&amp;"|"&amp;U349,LAYOUT!$E$2:$E$80,0)),"CEK SHELVING KE di luar layout",IF($I349="","CEK SERIES kosong",IF($D349="","Zona STOCK",IF($E349="","CEK SKU DESCRIPTION kosong",IF(COUNTIFS($I$2:$I$500,$I349,T$2:T$500,"&lt;&gt;"&amp;T349,T$2:T$500,"&lt;&gt;")&gt;0,"CEK jenis fixture beda dalam satu series","OK")))))))))</f>
        <v/>
      </c>
      <c r="X349" s="11" t="n"/>
      <c r="Y349" s="11" t="n"/>
      <c r="Z349" s="12" t="n"/>
      <c r="AA349" s="12" t="n"/>
      <c r="AB349" s="11" t="n"/>
      <c r="AC349" s="11" t="n"/>
      <c r="AD349" s="11" t="n"/>
      <c r="AE349" s="11" t="n"/>
      <c r="AF349" s="11" t="n"/>
      <c r="AG349" s="11" t="n"/>
      <c r="AH349" s="12" t="n"/>
      <c r="AI349" s="12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>
        <f>IF(OR(L350="",M350=""),"",IFERROR(INDEX(LAYOUT!$D$2:$D$80,MATCH(L350&amp;"|"&amp;M350,LAYOUT!$E$2:$E$80,0)),""))</f>
        <v/>
      </c>
      <c r="O350" s="12">
        <f>IF(AND(L350="",M350=""),IF(AND(P350="",Q350="",T350="",U350=""),IF(OR($D350&lt;&gt;"",$E350&lt;&gt;""),"Belum ditempatkan",""),""),IF(L350="","CEK JENIS FIXTURE kosong",IF(AND(LEFT(L350,7)&lt;&gt;"Gondola",LEFT(L350,6)&lt;&gt;"Endcap"),"CEK Fixture 1 hanya Gondola atau Endcap",IF(M350="","CEK SHELVING KE kosong",IF(ISNA(MATCH(L350&amp;"|"&amp;M350,LAYOUT!$E$2:$E$80,0)),"CEK SHELVING KE di luar layout",IF($I350="","CEK SERIES kosong",IF($D350="","Zona STOCK",IF($E350="","CEK SKU DESCRIPTION kosong",IF(COUNTIFS($I$2:$I$500,$I350,L$2:L$500,"&lt;&gt;"&amp;L350,L$2:L$500,"&lt;&gt;")&gt;0,"CEK jenis fixture beda dalam satu series","OK")))))))))</f>
        <v/>
      </c>
      <c r="P350" s="11" t="n"/>
      <c r="Q350" s="11" t="n"/>
      <c r="R350" s="11">
        <f>IF(OR(P350="",Q350=""),"",IFERROR(INDEX(LAYOUT!$D$2:$D$80,MATCH(P350&amp;"|"&amp;Q350,LAYOUT!$E$2:$E$80,0)),""))</f>
        <v/>
      </c>
      <c r="S350" s="12">
        <f>IF(AND(P350="",Q350=""),IF(AND(L350="",M350="",T350="",U350=""),IF(OR($D350&lt;&gt;"",$E350&lt;&gt;""),"Belum ditempatkan",""),""),IF(P350="","CEK JENIS FIXTURE kosong",IF(LEFT(P350,4)&lt;&gt;"Wall","CEK Fixture 2 hanya Wall",IF(Q350="","CEK SHELVING KE kosong",IF(ISNA(MATCH(P350&amp;"|"&amp;Q350,LAYOUT!$E$2:$E$80,0)),"CEK SHELVING KE di luar layout",IF($I350="","CEK SERIES kosong",IF($D350="","Zona STOCK",IF($E350="","CEK SKU DESCRIPTION kosong",IF(COUNTIFS($I$2:$I$500,$I350,P$2:P$500,"&lt;&gt;"&amp;P350,P$2:P$500,"&lt;&gt;")&gt;0,"CEK jenis fixture beda dalam satu series","OK")))))))))</f>
        <v/>
      </c>
      <c r="T350" s="11" t="n"/>
      <c r="U350" s="11" t="n"/>
      <c r="V350" s="11">
        <f>IF(OR(T350="",U350=""),"",IFERROR(INDEX(LAYOUT!$D$2:$D$80,MATCH(T350&amp;"|"&amp;U350,LAYOUT!$E$2:$E$80,0)),""))</f>
        <v/>
      </c>
      <c r="W350" s="12">
        <f>IF(AND(T350="",U350=""),IF(AND(L350="",M350="",P350="",Q350=""),IF(OR($D350&lt;&gt;"",$E350&lt;&gt;""),"Belum ditempatkan",""),""),IF(T350="","CEK JENIS FIXTURE kosong",IF(LEFT(T350,4)&lt;&gt;"Wall","CEK Fixture 3 hanya Wall",IF(U350="","CEK SHELVING KE kosong",IF(ISNA(MATCH(T350&amp;"|"&amp;U350,LAYOUT!$E$2:$E$80,0)),"CEK SHELVING KE di luar layout",IF($I350="","CEK SERIES kosong",IF($D350="","Zona STOCK",IF($E350="","CEK SKU DESCRIPTION kosong",IF(COUNTIFS($I$2:$I$500,$I350,T$2:T$500,"&lt;&gt;"&amp;T350,T$2:T$500,"&lt;&gt;")&gt;0,"CEK jenis fixture beda dalam satu series","OK")))))))))</f>
        <v/>
      </c>
      <c r="X350" s="11" t="n"/>
      <c r="Y350" s="11" t="n"/>
      <c r="Z350" s="12" t="n"/>
      <c r="AA350" s="12" t="n"/>
      <c r="AB350" s="11" t="n"/>
      <c r="AC350" s="11" t="n"/>
      <c r="AD350" s="11" t="n"/>
      <c r="AE350" s="11" t="n"/>
      <c r="AF350" s="11" t="n"/>
      <c r="AG350" s="11" t="n"/>
      <c r="AH350" s="12" t="n"/>
      <c r="AI350" s="12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>
        <f>IF(OR(L351="",M351=""),"",IFERROR(INDEX(LAYOUT!$D$2:$D$80,MATCH(L351&amp;"|"&amp;M351,LAYOUT!$E$2:$E$80,0)),""))</f>
        <v/>
      </c>
      <c r="O351" s="12">
        <f>IF(AND(L351="",M351=""),IF(AND(P351="",Q351="",T351="",U351=""),IF(OR($D351&lt;&gt;"",$E351&lt;&gt;""),"Belum ditempatkan",""),""),IF(L351="","CEK JENIS FIXTURE kosong",IF(AND(LEFT(L351,7)&lt;&gt;"Gondola",LEFT(L351,6)&lt;&gt;"Endcap"),"CEK Fixture 1 hanya Gondola atau Endcap",IF(M351="","CEK SHELVING KE kosong",IF(ISNA(MATCH(L351&amp;"|"&amp;M351,LAYOUT!$E$2:$E$80,0)),"CEK SHELVING KE di luar layout",IF($I351="","CEK SERIES kosong",IF($D351="","Zona STOCK",IF($E351="","CEK SKU DESCRIPTION kosong",IF(COUNTIFS($I$2:$I$500,$I351,L$2:L$500,"&lt;&gt;"&amp;L351,L$2:L$500,"&lt;&gt;")&gt;0,"CEK jenis fixture beda dalam satu series","OK")))))))))</f>
        <v/>
      </c>
      <c r="P351" s="11" t="n"/>
      <c r="Q351" s="11" t="n"/>
      <c r="R351" s="11">
        <f>IF(OR(P351="",Q351=""),"",IFERROR(INDEX(LAYOUT!$D$2:$D$80,MATCH(P351&amp;"|"&amp;Q351,LAYOUT!$E$2:$E$80,0)),""))</f>
        <v/>
      </c>
      <c r="S351" s="12">
        <f>IF(AND(P351="",Q351=""),IF(AND(L351="",M351="",T351="",U351=""),IF(OR($D351&lt;&gt;"",$E351&lt;&gt;""),"Belum ditempatkan",""),""),IF(P351="","CEK JENIS FIXTURE kosong",IF(LEFT(P351,4)&lt;&gt;"Wall","CEK Fixture 2 hanya Wall",IF(Q351="","CEK SHELVING KE kosong",IF(ISNA(MATCH(P351&amp;"|"&amp;Q351,LAYOUT!$E$2:$E$80,0)),"CEK SHELVING KE di luar layout",IF($I351="","CEK SERIES kosong",IF($D351="","Zona STOCK",IF($E351="","CEK SKU DESCRIPTION kosong",IF(COUNTIFS($I$2:$I$500,$I351,P$2:P$500,"&lt;&gt;"&amp;P351,P$2:P$500,"&lt;&gt;")&gt;0,"CEK jenis fixture beda dalam satu series","OK")))))))))</f>
        <v/>
      </c>
      <c r="T351" s="11" t="n"/>
      <c r="U351" s="11" t="n"/>
      <c r="V351" s="11">
        <f>IF(OR(T351="",U351=""),"",IFERROR(INDEX(LAYOUT!$D$2:$D$80,MATCH(T351&amp;"|"&amp;U351,LAYOUT!$E$2:$E$80,0)),""))</f>
        <v/>
      </c>
      <c r="W351" s="12">
        <f>IF(AND(T351="",U351=""),IF(AND(L351="",M351="",P351="",Q351=""),IF(OR($D351&lt;&gt;"",$E351&lt;&gt;""),"Belum ditempatkan",""),""),IF(T351="","CEK JENIS FIXTURE kosong",IF(LEFT(T351,4)&lt;&gt;"Wall","CEK Fixture 3 hanya Wall",IF(U351="","CEK SHELVING KE kosong",IF(ISNA(MATCH(T351&amp;"|"&amp;U351,LAYOUT!$E$2:$E$80,0)),"CEK SHELVING KE di luar layout",IF($I351="","CEK SERIES kosong",IF($D351="","Zona STOCK",IF($E351="","CEK SKU DESCRIPTION kosong",IF(COUNTIFS($I$2:$I$500,$I351,T$2:T$500,"&lt;&gt;"&amp;T351,T$2:T$500,"&lt;&gt;")&gt;0,"CEK jenis fixture beda dalam satu series","OK")))))))))</f>
        <v/>
      </c>
      <c r="X351" s="11" t="n"/>
      <c r="Y351" s="11" t="n"/>
      <c r="Z351" s="12" t="n"/>
      <c r="AA351" s="12" t="n"/>
      <c r="AB351" s="11" t="n"/>
      <c r="AC351" s="11" t="n"/>
      <c r="AD351" s="11" t="n"/>
      <c r="AE351" s="11" t="n"/>
      <c r="AF351" s="11" t="n"/>
      <c r="AG351" s="11" t="n"/>
      <c r="AH351" s="12" t="n"/>
      <c r="AI351" s="12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>
        <f>IF(OR(L352="",M352=""),"",IFERROR(INDEX(LAYOUT!$D$2:$D$80,MATCH(L352&amp;"|"&amp;M352,LAYOUT!$E$2:$E$80,0)),""))</f>
        <v/>
      </c>
      <c r="O352" s="12">
        <f>IF(AND(L352="",M352=""),IF(AND(P352="",Q352="",T352="",U352=""),IF(OR($D352&lt;&gt;"",$E352&lt;&gt;""),"Belum ditempatkan",""),""),IF(L352="","CEK JENIS FIXTURE kosong",IF(AND(LEFT(L352,7)&lt;&gt;"Gondola",LEFT(L352,6)&lt;&gt;"Endcap"),"CEK Fixture 1 hanya Gondola atau Endcap",IF(M352="","CEK SHELVING KE kosong",IF(ISNA(MATCH(L352&amp;"|"&amp;M352,LAYOUT!$E$2:$E$80,0)),"CEK SHELVING KE di luar layout",IF($I352="","CEK SERIES kosong",IF($D352="","Zona STOCK",IF($E352="","CEK SKU DESCRIPTION kosong",IF(COUNTIFS($I$2:$I$500,$I352,L$2:L$500,"&lt;&gt;"&amp;L352,L$2:L$500,"&lt;&gt;")&gt;0,"CEK jenis fixture beda dalam satu series","OK")))))))))</f>
        <v/>
      </c>
      <c r="P352" s="11" t="n"/>
      <c r="Q352" s="11" t="n"/>
      <c r="R352" s="11">
        <f>IF(OR(P352="",Q352=""),"",IFERROR(INDEX(LAYOUT!$D$2:$D$80,MATCH(P352&amp;"|"&amp;Q352,LAYOUT!$E$2:$E$80,0)),""))</f>
        <v/>
      </c>
      <c r="S352" s="12">
        <f>IF(AND(P352="",Q352=""),IF(AND(L352="",M352="",T352="",U352=""),IF(OR($D352&lt;&gt;"",$E352&lt;&gt;""),"Belum ditempatkan",""),""),IF(P352="","CEK JENIS FIXTURE kosong",IF(LEFT(P352,4)&lt;&gt;"Wall","CEK Fixture 2 hanya Wall",IF(Q352="","CEK SHELVING KE kosong",IF(ISNA(MATCH(P352&amp;"|"&amp;Q352,LAYOUT!$E$2:$E$80,0)),"CEK SHELVING KE di luar layout",IF($I352="","CEK SERIES kosong",IF($D352="","Zona STOCK",IF($E352="","CEK SKU DESCRIPTION kosong",IF(COUNTIFS($I$2:$I$500,$I352,P$2:P$500,"&lt;&gt;"&amp;P352,P$2:P$500,"&lt;&gt;")&gt;0,"CEK jenis fixture beda dalam satu series","OK")))))))))</f>
        <v/>
      </c>
      <c r="T352" s="11" t="n"/>
      <c r="U352" s="11" t="n"/>
      <c r="V352" s="11">
        <f>IF(OR(T352="",U352=""),"",IFERROR(INDEX(LAYOUT!$D$2:$D$80,MATCH(T352&amp;"|"&amp;U352,LAYOUT!$E$2:$E$80,0)),""))</f>
        <v/>
      </c>
      <c r="W352" s="12">
        <f>IF(AND(T352="",U352=""),IF(AND(L352="",M352="",P352="",Q352=""),IF(OR($D352&lt;&gt;"",$E352&lt;&gt;""),"Belum ditempatkan",""),""),IF(T352="","CEK JENIS FIXTURE kosong",IF(LEFT(T352,4)&lt;&gt;"Wall","CEK Fixture 3 hanya Wall",IF(U352="","CEK SHELVING KE kosong",IF(ISNA(MATCH(T352&amp;"|"&amp;U352,LAYOUT!$E$2:$E$80,0)),"CEK SHELVING KE di luar layout",IF($I352="","CEK SERIES kosong",IF($D352="","Zona STOCK",IF($E352="","CEK SKU DESCRIPTION kosong",IF(COUNTIFS($I$2:$I$500,$I352,T$2:T$500,"&lt;&gt;"&amp;T352,T$2:T$500,"&lt;&gt;")&gt;0,"CEK jenis fixture beda dalam satu series","OK")))))))))</f>
        <v/>
      </c>
      <c r="X352" s="11" t="n"/>
      <c r="Y352" s="11" t="n"/>
      <c r="Z352" s="12" t="n"/>
      <c r="AA352" s="12" t="n"/>
      <c r="AB352" s="11" t="n"/>
      <c r="AC352" s="11" t="n"/>
      <c r="AD352" s="11" t="n"/>
      <c r="AE352" s="11" t="n"/>
      <c r="AF352" s="11" t="n"/>
      <c r="AG352" s="11" t="n"/>
      <c r="AH352" s="12" t="n"/>
      <c r="AI352" s="12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>
        <f>IF(OR(L353="",M353=""),"",IFERROR(INDEX(LAYOUT!$D$2:$D$80,MATCH(L353&amp;"|"&amp;M353,LAYOUT!$E$2:$E$80,0)),""))</f>
        <v/>
      </c>
      <c r="O353" s="12">
        <f>IF(AND(L353="",M353=""),IF(AND(P353="",Q353="",T353="",U353=""),IF(OR($D353&lt;&gt;"",$E353&lt;&gt;""),"Belum ditempatkan",""),""),IF(L353="","CEK JENIS FIXTURE kosong",IF(AND(LEFT(L353,7)&lt;&gt;"Gondola",LEFT(L353,6)&lt;&gt;"Endcap"),"CEK Fixture 1 hanya Gondola atau Endcap",IF(M353="","CEK SHELVING KE kosong",IF(ISNA(MATCH(L353&amp;"|"&amp;M353,LAYOUT!$E$2:$E$80,0)),"CEK SHELVING KE di luar layout",IF($I353="","CEK SERIES kosong",IF($D353="","Zona STOCK",IF($E353="","CEK SKU DESCRIPTION kosong",IF(COUNTIFS($I$2:$I$500,$I353,L$2:L$500,"&lt;&gt;"&amp;L353,L$2:L$500,"&lt;&gt;")&gt;0,"CEK jenis fixture beda dalam satu series","OK")))))))))</f>
        <v/>
      </c>
      <c r="P353" s="11" t="n"/>
      <c r="Q353" s="11" t="n"/>
      <c r="R353" s="11">
        <f>IF(OR(P353="",Q353=""),"",IFERROR(INDEX(LAYOUT!$D$2:$D$80,MATCH(P353&amp;"|"&amp;Q353,LAYOUT!$E$2:$E$80,0)),""))</f>
        <v/>
      </c>
      <c r="S353" s="12">
        <f>IF(AND(P353="",Q353=""),IF(AND(L353="",M353="",T353="",U353=""),IF(OR($D353&lt;&gt;"",$E353&lt;&gt;""),"Belum ditempatkan",""),""),IF(P353="","CEK JENIS FIXTURE kosong",IF(LEFT(P353,4)&lt;&gt;"Wall","CEK Fixture 2 hanya Wall",IF(Q353="","CEK SHELVING KE kosong",IF(ISNA(MATCH(P353&amp;"|"&amp;Q353,LAYOUT!$E$2:$E$80,0)),"CEK SHELVING KE di luar layout",IF($I353="","CEK SERIES kosong",IF($D353="","Zona STOCK",IF($E353="","CEK SKU DESCRIPTION kosong",IF(COUNTIFS($I$2:$I$500,$I353,P$2:P$500,"&lt;&gt;"&amp;P353,P$2:P$500,"&lt;&gt;")&gt;0,"CEK jenis fixture beda dalam satu series","OK")))))))))</f>
        <v/>
      </c>
      <c r="T353" s="11" t="n"/>
      <c r="U353" s="11" t="n"/>
      <c r="V353" s="11">
        <f>IF(OR(T353="",U353=""),"",IFERROR(INDEX(LAYOUT!$D$2:$D$80,MATCH(T353&amp;"|"&amp;U353,LAYOUT!$E$2:$E$80,0)),""))</f>
        <v/>
      </c>
      <c r="W353" s="12">
        <f>IF(AND(T353="",U353=""),IF(AND(L353="",M353="",P353="",Q353=""),IF(OR($D353&lt;&gt;"",$E353&lt;&gt;""),"Belum ditempatkan",""),""),IF(T353="","CEK JENIS FIXTURE kosong",IF(LEFT(T353,4)&lt;&gt;"Wall","CEK Fixture 3 hanya Wall",IF(U353="","CEK SHELVING KE kosong",IF(ISNA(MATCH(T353&amp;"|"&amp;U353,LAYOUT!$E$2:$E$80,0)),"CEK SHELVING KE di luar layout",IF($I353="","CEK SERIES kosong",IF($D353="","Zona STOCK",IF($E353="","CEK SKU DESCRIPTION kosong",IF(COUNTIFS($I$2:$I$500,$I353,T$2:T$500,"&lt;&gt;"&amp;T353,T$2:T$500,"&lt;&gt;")&gt;0,"CEK jenis fixture beda dalam satu series","OK")))))))))</f>
        <v/>
      </c>
      <c r="X353" s="11" t="n"/>
      <c r="Y353" s="11" t="n"/>
      <c r="Z353" s="12" t="n"/>
      <c r="AA353" s="12" t="n"/>
      <c r="AB353" s="11" t="n"/>
      <c r="AC353" s="11" t="n"/>
      <c r="AD353" s="11" t="n"/>
      <c r="AE353" s="11" t="n"/>
      <c r="AF353" s="11" t="n"/>
      <c r="AG353" s="11" t="n"/>
      <c r="AH353" s="12" t="n"/>
      <c r="AI353" s="12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>
        <f>IF(OR(L354="",M354=""),"",IFERROR(INDEX(LAYOUT!$D$2:$D$80,MATCH(L354&amp;"|"&amp;M354,LAYOUT!$E$2:$E$80,0)),""))</f>
        <v/>
      </c>
      <c r="O354" s="12">
        <f>IF(AND(L354="",M354=""),IF(AND(P354="",Q354="",T354="",U354=""),IF(OR($D354&lt;&gt;"",$E354&lt;&gt;""),"Belum ditempatkan",""),""),IF(L354="","CEK JENIS FIXTURE kosong",IF(AND(LEFT(L354,7)&lt;&gt;"Gondola",LEFT(L354,6)&lt;&gt;"Endcap"),"CEK Fixture 1 hanya Gondola atau Endcap",IF(M354="","CEK SHELVING KE kosong",IF(ISNA(MATCH(L354&amp;"|"&amp;M354,LAYOUT!$E$2:$E$80,0)),"CEK SHELVING KE di luar layout",IF($I354="","CEK SERIES kosong",IF($D354="","Zona STOCK",IF($E354="","CEK SKU DESCRIPTION kosong",IF(COUNTIFS($I$2:$I$500,$I354,L$2:L$500,"&lt;&gt;"&amp;L354,L$2:L$500,"&lt;&gt;")&gt;0,"CEK jenis fixture beda dalam satu series","OK")))))))))</f>
        <v/>
      </c>
      <c r="P354" s="11" t="n"/>
      <c r="Q354" s="11" t="n"/>
      <c r="R354" s="11">
        <f>IF(OR(P354="",Q354=""),"",IFERROR(INDEX(LAYOUT!$D$2:$D$80,MATCH(P354&amp;"|"&amp;Q354,LAYOUT!$E$2:$E$80,0)),""))</f>
        <v/>
      </c>
      <c r="S354" s="12">
        <f>IF(AND(P354="",Q354=""),IF(AND(L354="",M354="",T354="",U354=""),IF(OR($D354&lt;&gt;"",$E354&lt;&gt;""),"Belum ditempatkan",""),""),IF(P354="","CEK JENIS FIXTURE kosong",IF(LEFT(P354,4)&lt;&gt;"Wall","CEK Fixture 2 hanya Wall",IF(Q354="","CEK SHELVING KE kosong",IF(ISNA(MATCH(P354&amp;"|"&amp;Q354,LAYOUT!$E$2:$E$80,0)),"CEK SHELVING KE di luar layout",IF($I354="","CEK SERIES kosong",IF($D354="","Zona STOCK",IF($E354="","CEK SKU DESCRIPTION kosong",IF(COUNTIFS($I$2:$I$500,$I354,P$2:P$500,"&lt;&gt;"&amp;P354,P$2:P$500,"&lt;&gt;")&gt;0,"CEK jenis fixture beda dalam satu series","OK")))))))))</f>
        <v/>
      </c>
      <c r="T354" s="11" t="n"/>
      <c r="U354" s="11" t="n"/>
      <c r="V354" s="11">
        <f>IF(OR(T354="",U354=""),"",IFERROR(INDEX(LAYOUT!$D$2:$D$80,MATCH(T354&amp;"|"&amp;U354,LAYOUT!$E$2:$E$80,0)),""))</f>
        <v/>
      </c>
      <c r="W354" s="12">
        <f>IF(AND(T354="",U354=""),IF(AND(L354="",M354="",P354="",Q354=""),IF(OR($D354&lt;&gt;"",$E354&lt;&gt;""),"Belum ditempatkan",""),""),IF(T354="","CEK JENIS FIXTURE kosong",IF(LEFT(T354,4)&lt;&gt;"Wall","CEK Fixture 3 hanya Wall",IF(U354="","CEK SHELVING KE kosong",IF(ISNA(MATCH(T354&amp;"|"&amp;U354,LAYOUT!$E$2:$E$80,0)),"CEK SHELVING KE di luar layout",IF($I354="","CEK SERIES kosong",IF($D354="","Zona STOCK",IF($E354="","CEK SKU DESCRIPTION kosong",IF(COUNTIFS($I$2:$I$500,$I354,T$2:T$500,"&lt;&gt;"&amp;T354,T$2:T$500,"&lt;&gt;")&gt;0,"CEK jenis fixture beda dalam satu series","OK")))))))))</f>
        <v/>
      </c>
      <c r="X354" s="11" t="n"/>
      <c r="Y354" s="11" t="n"/>
      <c r="Z354" s="12" t="n"/>
      <c r="AA354" s="12" t="n"/>
      <c r="AB354" s="11" t="n"/>
      <c r="AC354" s="11" t="n"/>
      <c r="AD354" s="11" t="n"/>
      <c r="AE354" s="11" t="n"/>
      <c r="AF354" s="11" t="n"/>
      <c r="AG354" s="11" t="n"/>
      <c r="AH354" s="12" t="n"/>
      <c r="AI354" s="12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>
        <f>IF(OR(L355="",M355=""),"",IFERROR(INDEX(LAYOUT!$D$2:$D$80,MATCH(L355&amp;"|"&amp;M355,LAYOUT!$E$2:$E$80,0)),""))</f>
        <v/>
      </c>
      <c r="O355" s="12">
        <f>IF(AND(L355="",M355=""),IF(AND(P355="",Q355="",T355="",U355=""),IF(OR($D355&lt;&gt;"",$E355&lt;&gt;""),"Belum ditempatkan",""),""),IF(L355="","CEK JENIS FIXTURE kosong",IF(AND(LEFT(L355,7)&lt;&gt;"Gondola",LEFT(L355,6)&lt;&gt;"Endcap"),"CEK Fixture 1 hanya Gondola atau Endcap",IF(M355="","CEK SHELVING KE kosong",IF(ISNA(MATCH(L355&amp;"|"&amp;M355,LAYOUT!$E$2:$E$80,0)),"CEK SHELVING KE di luar layout",IF($I355="","CEK SERIES kosong",IF($D355="","Zona STOCK",IF($E355="","CEK SKU DESCRIPTION kosong",IF(COUNTIFS($I$2:$I$500,$I355,L$2:L$500,"&lt;&gt;"&amp;L355,L$2:L$500,"&lt;&gt;")&gt;0,"CEK jenis fixture beda dalam satu series","OK")))))))))</f>
        <v/>
      </c>
      <c r="P355" s="11" t="n"/>
      <c r="Q355" s="11" t="n"/>
      <c r="R355" s="11">
        <f>IF(OR(P355="",Q355=""),"",IFERROR(INDEX(LAYOUT!$D$2:$D$80,MATCH(P355&amp;"|"&amp;Q355,LAYOUT!$E$2:$E$80,0)),""))</f>
        <v/>
      </c>
      <c r="S355" s="12">
        <f>IF(AND(P355="",Q355=""),IF(AND(L355="",M355="",T355="",U355=""),IF(OR($D355&lt;&gt;"",$E355&lt;&gt;""),"Belum ditempatkan",""),""),IF(P355="","CEK JENIS FIXTURE kosong",IF(LEFT(P355,4)&lt;&gt;"Wall","CEK Fixture 2 hanya Wall",IF(Q355="","CEK SHELVING KE kosong",IF(ISNA(MATCH(P355&amp;"|"&amp;Q355,LAYOUT!$E$2:$E$80,0)),"CEK SHELVING KE di luar layout",IF($I355="","CEK SERIES kosong",IF($D355="","Zona STOCK",IF($E355="","CEK SKU DESCRIPTION kosong",IF(COUNTIFS($I$2:$I$500,$I355,P$2:P$500,"&lt;&gt;"&amp;P355,P$2:P$500,"&lt;&gt;")&gt;0,"CEK jenis fixture beda dalam satu series","OK")))))))))</f>
        <v/>
      </c>
      <c r="T355" s="11" t="n"/>
      <c r="U355" s="11" t="n"/>
      <c r="V355" s="11">
        <f>IF(OR(T355="",U355=""),"",IFERROR(INDEX(LAYOUT!$D$2:$D$80,MATCH(T355&amp;"|"&amp;U355,LAYOUT!$E$2:$E$80,0)),""))</f>
        <v/>
      </c>
      <c r="W355" s="12">
        <f>IF(AND(T355="",U355=""),IF(AND(L355="",M355="",P355="",Q355=""),IF(OR($D355&lt;&gt;"",$E355&lt;&gt;""),"Belum ditempatkan",""),""),IF(T355="","CEK JENIS FIXTURE kosong",IF(LEFT(T355,4)&lt;&gt;"Wall","CEK Fixture 3 hanya Wall",IF(U355="","CEK SHELVING KE kosong",IF(ISNA(MATCH(T355&amp;"|"&amp;U355,LAYOUT!$E$2:$E$80,0)),"CEK SHELVING KE di luar layout",IF($I355="","CEK SERIES kosong",IF($D355="","Zona STOCK",IF($E355="","CEK SKU DESCRIPTION kosong",IF(COUNTIFS($I$2:$I$500,$I355,T$2:T$500,"&lt;&gt;"&amp;T355,T$2:T$500,"&lt;&gt;")&gt;0,"CEK jenis fixture beda dalam satu series","OK")))))))))</f>
        <v/>
      </c>
      <c r="X355" s="11" t="n"/>
      <c r="Y355" s="11" t="n"/>
      <c r="Z355" s="12" t="n"/>
      <c r="AA355" s="12" t="n"/>
      <c r="AB355" s="11" t="n"/>
      <c r="AC355" s="11" t="n"/>
      <c r="AD355" s="11" t="n"/>
      <c r="AE355" s="11" t="n"/>
      <c r="AF355" s="11" t="n"/>
      <c r="AG355" s="11" t="n"/>
      <c r="AH355" s="12" t="n"/>
      <c r="AI355" s="12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>
        <f>IF(OR(L356="",M356=""),"",IFERROR(INDEX(LAYOUT!$D$2:$D$80,MATCH(L356&amp;"|"&amp;M356,LAYOUT!$E$2:$E$80,0)),""))</f>
        <v/>
      </c>
      <c r="O356" s="12">
        <f>IF(AND(L356="",M356=""),IF(AND(P356="",Q356="",T356="",U356=""),IF(OR($D356&lt;&gt;"",$E356&lt;&gt;""),"Belum ditempatkan",""),""),IF(L356="","CEK JENIS FIXTURE kosong",IF(AND(LEFT(L356,7)&lt;&gt;"Gondola",LEFT(L356,6)&lt;&gt;"Endcap"),"CEK Fixture 1 hanya Gondola atau Endcap",IF(M356="","CEK SHELVING KE kosong",IF(ISNA(MATCH(L356&amp;"|"&amp;M356,LAYOUT!$E$2:$E$80,0)),"CEK SHELVING KE di luar layout",IF($I356="","CEK SERIES kosong",IF($D356="","Zona STOCK",IF($E356="","CEK SKU DESCRIPTION kosong",IF(COUNTIFS($I$2:$I$500,$I356,L$2:L$500,"&lt;&gt;"&amp;L356,L$2:L$500,"&lt;&gt;")&gt;0,"CEK jenis fixture beda dalam satu series","OK")))))))))</f>
        <v/>
      </c>
      <c r="P356" s="11" t="n"/>
      <c r="Q356" s="11" t="n"/>
      <c r="R356" s="11">
        <f>IF(OR(P356="",Q356=""),"",IFERROR(INDEX(LAYOUT!$D$2:$D$80,MATCH(P356&amp;"|"&amp;Q356,LAYOUT!$E$2:$E$80,0)),""))</f>
        <v/>
      </c>
      <c r="S356" s="12">
        <f>IF(AND(P356="",Q356=""),IF(AND(L356="",M356="",T356="",U356=""),IF(OR($D356&lt;&gt;"",$E356&lt;&gt;""),"Belum ditempatkan",""),""),IF(P356="","CEK JENIS FIXTURE kosong",IF(LEFT(P356,4)&lt;&gt;"Wall","CEK Fixture 2 hanya Wall",IF(Q356="","CEK SHELVING KE kosong",IF(ISNA(MATCH(P356&amp;"|"&amp;Q356,LAYOUT!$E$2:$E$80,0)),"CEK SHELVING KE di luar layout",IF($I356="","CEK SERIES kosong",IF($D356="","Zona STOCK",IF($E356="","CEK SKU DESCRIPTION kosong",IF(COUNTIFS($I$2:$I$500,$I356,P$2:P$500,"&lt;&gt;"&amp;P356,P$2:P$500,"&lt;&gt;")&gt;0,"CEK jenis fixture beda dalam satu series","OK")))))))))</f>
        <v/>
      </c>
      <c r="T356" s="11" t="n"/>
      <c r="U356" s="11" t="n"/>
      <c r="V356" s="11">
        <f>IF(OR(T356="",U356=""),"",IFERROR(INDEX(LAYOUT!$D$2:$D$80,MATCH(T356&amp;"|"&amp;U356,LAYOUT!$E$2:$E$80,0)),""))</f>
        <v/>
      </c>
      <c r="W356" s="12">
        <f>IF(AND(T356="",U356=""),IF(AND(L356="",M356="",P356="",Q356=""),IF(OR($D356&lt;&gt;"",$E356&lt;&gt;""),"Belum ditempatkan",""),""),IF(T356="","CEK JENIS FIXTURE kosong",IF(LEFT(T356,4)&lt;&gt;"Wall","CEK Fixture 3 hanya Wall",IF(U356="","CEK SHELVING KE kosong",IF(ISNA(MATCH(T356&amp;"|"&amp;U356,LAYOUT!$E$2:$E$80,0)),"CEK SHELVING KE di luar layout",IF($I356="","CEK SERIES kosong",IF($D356="","Zona STOCK",IF($E356="","CEK SKU DESCRIPTION kosong",IF(COUNTIFS($I$2:$I$500,$I356,T$2:T$500,"&lt;&gt;"&amp;T356,T$2:T$500,"&lt;&gt;")&gt;0,"CEK jenis fixture beda dalam satu series","OK")))))))))</f>
        <v/>
      </c>
      <c r="X356" s="11" t="n"/>
      <c r="Y356" s="11" t="n"/>
      <c r="Z356" s="12" t="n"/>
      <c r="AA356" s="12" t="n"/>
      <c r="AB356" s="11" t="n"/>
      <c r="AC356" s="11" t="n"/>
      <c r="AD356" s="11" t="n"/>
      <c r="AE356" s="11" t="n"/>
      <c r="AF356" s="11" t="n"/>
      <c r="AG356" s="11" t="n"/>
      <c r="AH356" s="12" t="n"/>
      <c r="AI356" s="12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>
        <f>IF(OR(L357="",M357=""),"",IFERROR(INDEX(LAYOUT!$D$2:$D$80,MATCH(L357&amp;"|"&amp;M357,LAYOUT!$E$2:$E$80,0)),""))</f>
        <v/>
      </c>
      <c r="O357" s="12">
        <f>IF(AND(L357="",M357=""),IF(AND(P357="",Q357="",T357="",U357=""),IF(OR($D357&lt;&gt;"",$E357&lt;&gt;""),"Belum ditempatkan",""),""),IF(L357="","CEK JENIS FIXTURE kosong",IF(AND(LEFT(L357,7)&lt;&gt;"Gondola",LEFT(L357,6)&lt;&gt;"Endcap"),"CEK Fixture 1 hanya Gondola atau Endcap",IF(M357="","CEK SHELVING KE kosong",IF(ISNA(MATCH(L357&amp;"|"&amp;M357,LAYOUT!$E$2:$E$80,0)),"CEK SHELVING KE di luar layout",IF($I357="","CEK SERIES kosong",IF($D357="","Zona STOCK",IF($E357="","CEK SKU DESCRIPTION kosong",IF(COUNTIFS($I$2:$I$500,$I357,L$2:L$500,"&lt;&gt;"&amp;L357,L$2:L$500,"&lt;&gt;")&gt;0,"CEK jenis fixture beda dalam satu series","OK")))))))))</f>
        <v/>
      </c>
      <c r="P357" s="11" t="n"/>
      <c r="Q357" s="11" t="n"/>
      <c r="R357" s="11">
        <f>IF(OR(P357="",Q357=""),"",IFERROR(INDEX(LAYOUT!$D$2:$D$80,MATCH(P357&amp;"|"&amp;Q357,LAYOUT!$E$2:$E$80,0)),""))</f>
        <v/>
      </c>
      <c r="S357" s="12">
        <f>IF(AND(P357="",Q357=""),IF(AND(L357="",M357="",T357="",U357=""),IF(OR($D357&lt;&gt;"",$E357&lt;&gt;""),"Belum ditempatkan",""),""),IF(P357="","CEK JENIS FIXTURE kosong",IF(LEFT(P357,4)&lt;&gt;"Wall","CEK Fixture 2 hanya Wall",IF(Q357="","CEK SHELVING KE kosong",IF(ISNA(MATCH(P357&amp;"|"&amp;Q357,LAYOUT!$E$2:$E$80,0)),"CEK SHELVING KE di luar layout",IF($I357="","CEK SERIES kosong",IF($D357="","Zona STOCK",IF($E357="","CEK SKU DESCRIPTION kosong",IF(COUNTIFS($I$2:$I$500,$I357,P$2:P$500,"&lt;&gt;"&amp;P357,P$2:P$500,"&lt;&gt;")&gt;0,"CEK jenis fixture beda dalam satu series","OK")))))))))</f>
        <v/>
      </c>
      <c r="T357" s="11" t="n"/>
      <c r="U357" s="11" t="n"/>
      <c r="V357" s="11">
        <f>IF(OR(T357="",U357=""),"",IFERROR(INDEX(LAYOUT!$D$2:$D$80,MATCH(T357&amp;"|"&amp;U357,LAYOUT!$E$2:$E$80,0)),""))</f>
        <v/>
      </c>
      <c r="W357" s="12">
        <f>IF(AND(T357="",U357=""),IF(AND(L357="",M357="",P357="",Q357=""),IF(OR($D357&lt;&gt;"",$E357&lt;&gt;""),"Belum ditempatkan",""),""),IF(T357="","CEK JENIS FIXTURE kosong",IF(LEFT(T357,4)&lt;&gt;"Wall","CEK Fixture 3 hanya Wall",IF(U357="","CEK SHELVING KE kosong",IF(ISNA(MATCH(T357&amp;"|"&amp;U357,LAYOUT!$E$2:$E$80,0)),"CEK SHELVING KE di luar layout",IF($I357="","CEK SERIES kosong",IF($D357="","Zona STOCK",IF($E357="","CEK SKU DESCRIPTION kosong",IF(COUNTIFS($I$2:$I$500,$I357,T$2:T$500,"&lt;&gt;"&amp;T357,T$2:T$500,"&lt;&gt;")&gt;0,"CEK jenis fixture beda dalam satu series","OK")))))))))</f>
        <v/>
      </c>
      <c r="X357" s="11" t="n"/>
      <c r="Y357" s="11" t="n"/>
      <c r="Z357" s="12" t="n"/>
      <c r="AA357" s="12" t="n"/>
      <c r="AB357" s="11" t="n"/>
      <c r="AC357" s="11" t="n"/>
      <c r="AD357" s="11" t="n"/>
      <c r="AE357" s="11" t="n"/>
      <c r="AF357" s="11" t="n"/>
      <c r="AG357" s="11" t="n"/>
      <c r="AH357" s="12" t="n"/>
      <c r="AI357" s="12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>
        <f>IF(OR(L358="",M358=""),"",IFERROR(INDEX(LAYOUT!$D$2:$D$80,MATCH(L358&amp;"|"&amp;M358,LAYOUT!$E$2:$E$80,0)),""))</f>
        <v/>
      </c>
      <c r="O358" s="12">
        <f>IF(AND(L358="",M358=""),IF(AND(P358="",Q358="",T358="",U358=""),IF(OR($D358&lt;&gt;"",$E358&lt;&gt;""),"Belum ditempatkan",""),""),IF(L358="","CEK JENIS FIXTURE kosong",IF(AND(LEFT(L358,7)&lt;&gt;"Gondola",LEFT(L358,6)&lt;&gt;"Endcap"),"CEK Fixture 1 hanya Gondola atau Endcap",IF(M358="","CEK SHELVING KE kosong",IF(ISNA(MATCH(L358&amp;"|"&amp;M358,LAYOUT!$E$2:$E$80,0)),"CEK SHELVING KE di luar layout",IF($I358="","CEK SERIES kosong",IF($D358="","Zona STOCK",IF($E358="","CEK SKU DESCRIPTION kosong",IF(COUNTIFS($I$2:$I$500,$I358,L$2:L$500,"&lt;&gt;"&amp;L358,L$2:L$500,"&lt;&gt;")&gt;0,"CEK jenis fixture beda dalam satu series","OK")))))))))</f>
        <v/>
      </c>
      <c r="P358" s="11" t="n"/>
      <c r="Q358" s="11" t="n"/>
      <c r="R358" s="11">
        <f>IF(OR(P358="",Q358=""),"",IFERROR(INDEX(LAYOUT!$D$2:$D$80,MATCH(P358&amp;"|"&amp;Q358,LAYOUT!$E$2:$E$80,0)),""))</f>
        <v/>
      </c>
      <c r="S358" s="12">
        <f>IF(AND(P358="",Q358=""),IF(AND(L358="",M358="",T358="",U358=""),IF(OR($D358&lt;&gt;"",$E358&lt;&gt;""),"Belum ditempatkan",""),""),IF(P358="","CEK JENIS FIXTURE kosong",IF(LEFT(P358,4)&lt;&gt;"Wall","CEK Fixture 2 hanya Wall",IF(Q358="","CEK SHELVING KE kosong",IF(ISNA(MATCH(P358&amp;"|"&amp;Q358,LAYOUT!$E$2:$E$80,0)),"CEK SHELVING KE di luar layout",IF($I358="","CEK SERIES kosong",IF($D358="","Zona STOCK",IF($E358="","CEK SKU DESCRIPTION kosong",IF(COUNTIFS($I$2:$I$500,$I358,P$2:P$500,"&lt;&gt;"&amp;P358,P$2:P$500,"&lt;&gt;")&gt;0,"CEK jenis fixture beda dalam satu series","OK")))))))))</f>
        <v/>
      </c>
      <c r="T358" s="11" t="n"/>
      <c r="U358" s="11" t="n"/>
      <c r="V358" s="11">
        <f>IF(OR(T358="",U358=""),"",IFERROR(INDEX(LAYOUT!$D$2:$D$80,MATCH(T358&amp;"|"&amp;U358,LAYOUT!$E$2:$E$80,0)),""))</f>
        <v/>
      </c>
      <c r="W358" s="12">
        <f>IF(AND(T358="",U358=""),IF(AND(L358="",M358="",P358="",Q358=""),IF(OR($D358&lt;&gt;"",$E358&lt;&gt;""),"Belum ditempatkan",""),""),IF(T358="","CEK JENIS FIXTURE kosong",IF(LEFT(T358,4)&lt;&gt;"Wall","CEK Fixture 3 hanya Wall",IF(U358="","CEK SHELVING KE kosong",IF(ISNA(MATCH(T358&amp;"|"&amp;U358,LAYOUT!$E$2:$E$80,0)),"CEK SHELVING KE di luar layout",IF($I358="","CEK SERIES kosong",IF($D358="","Zona STOCK",IF($E358="","CEK SKU DESCRIPTION kosong",IF(COUNTIFS($I$2:$I$500,$I358,T$2:T$500,"&lt;&gt;"&amp;T358,T$2:T$500,"&lt;&gt;")&gt;0,"CEK jenis fixture beda dalam satu series","OK")))))))))</f>
        <v/>
      </c>
      <c r="X358" s="11" t="n"/>
      <c r="Y358" s="11" t="n"/>
      <c r="Z358" s="12" t="n"/>
      <c r="AA358" s="12" t="n"/>
      <c r="AB358" s="11" t="n"/>
      <c r="AC358" s="11" t="n"/>
      <c r="AD358" s="11" t="n"/>
      <c r="AE358" s="11" t="n"/>
      <c r="AF358" s="11" t="n"/>
      <c r="AG358" s="11" t="n"/>
      <c r="AH358" s="12" t="n"/>
      <c r="AI358" s="12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>
        <f>IF(OR(L359="",M359=""),"",IFERROR(INDEX(LAYOUT!$D$2:$D$80,MATCH(L359&amp;"|"&amp;M359,LAYOUT!$E$2:$E$80,0)),""))</f>
        <v/>
      </c>
      <c r="O359" s="12">
        <f>IF(AND(L359="",M359=""),IF(AND(P359="",Q359="",T359="",U359=""),IF(OR($D359&lt;&gt;"",$E359&lt;&gt;""),"Belum ditempatkan",""),""),IF(L359="","CEK JENIS FIXTURE kosong",IF(AND(LEFT(L359,7)&lt;&gt;"Gondola",LEFT(L359,6)&lt;&gt;"Endcap"),"CEK Fixture 1 hanya Gondola atau Endcap",IF(M359="","CEK SHELVING KE kosong",IF(ISNA(MATCH(L359&amp;"|"&amp;M359,LAYOUT!$E$2:$E$80,0)),"CEK SHELVING KE di luar layout",IF($I359="","CEK SERIES kosong",IF($D359="","Zona STOCK",IF($E359="","CEK SKU DESCRIPTION kosong",IF(COUNTIFS($I$2:$I$500,$I359,L$2:L$500,"&lt;&gt;"&amp;L359,L$2:L$500,"&lt;&gt;")&gt;0,"CEK jenis fixture beda dalam satu series","OK")))))))))</f>
        <v/>
      </c>
      <c r="P359" s="11" t="n"/>
      <c r="Q359" s="11" t="n"/>
      <c r="R359" s="11">
        <f>IF(OR(P359="",Q359=""),"",IFERROR(INDEX(LAYOUT!$D$2:$D$80,MATCH(P359&amp;"|"&amp;Q359,LAYOUT!$E$2:$E$80,0)),""))</f>
        <v/>
      </c>
      <c r="S359" s="12">
        <f>IF(AND(P359="",Q359=""),IF(AND(L359="",M359="",T359="",U359=""),IF(OR($D359&lt;&gt;"",$E359&lt;&gt;""),"Belum ditempatkan",""),""),IF(P359="","CEK JENIS FIXTURE kosong",IF(LEFT(P359,4)&lt;&gt;"Wall","CEK Fixture 2 hanya Wall",IF(Q359="","CEK SHELVING KE kosong",IF(ISNA(MATCH(P359&amp;"|"&amp;Q359,LAYOUT!$E$2:$E$80,0)),"CEK SHELVING KE di luar layout",IF($I359="","CEK SERIES kosong",IF($D359="","Zona STOCK",IF($E359="","CEK SKU DESCRIPTION kosong",IF(COUNTIFS($I$2:$I$500,$I359,P$2:P$500,"&lt;&gt;"&amp;P359,P$2:P$500,"&lt;&gt;")&gt;0,"CEK jenis fixture beda dalam satu series","OK")))))))))</f>
        <v/>
      </c>
      <c r="T359" s="11" t="n"/>
      <c r="U359" s="11" t="n"/>
      <c r="V359" s="11">
        <f>IF(OR(T359="",U359=""),"",IFERROR(INDEX(LAYOUT!$D$2:$D$80,MATCH(T359&amp;"|"&amp;U359,LAYOUT!$E$2:$E$80,0)),""))</f>
        <v/>
      </c>
      <c r="W359" s="12">
        <f>IF(AND(T359="",U359=""),IF(AND(L359="",M359="",P359="",Q359=""),IF(OR($D359&lt;&gt;"",$E359&lt;&gt;""),"Belum ditempatkan",""),""),IF(T359="","CEK JENIS FIXTURE kosong",IF(LEFT(T359,4)&lt;&gt;"Wall","CEK Fixture 3 hanya Wall",IF(U359="","CEK SHELVING KE kosong",IF(ISNA(MATCH(T359&amp;"|"&amp;U359,LAYOUT!$E$2:$E$80,0)),"CEK SHELVING KE di luar layout",IF($I359="","CEK SERIES kosong",IF($D359="","Zona STOCK",IF($E359="","CEK SKU DESCRIPTION kosong",IF(COUNTIFS($I$2:$I$500,$I359,T$2:T$500,"&lt;&gt;"&amp;T359,T$2:T$500,"&lt;&gt;")&gt;0,"CEK jenis fixture beda dalam satu series","OK")))))))))</f>
        <v/>
      </c>
      <c r="X359" s="11" t="n"/>
      <c r="Y359" s="11" t="n"/>
      <c r="Z359" s="12" t="n"/>
      <c r="AA359" s="12" t="n"/>
      <c r="AB359" s="11" t="n"/>
      <c r="AC359" s="11" t="n"/>
      <c r="AD359" s="11" t="n"/>
      <c r="AE359" s="11" t="n"/>
      <c r="AF359" s="11" t="n"/>
      <c r="AG359" s="11" t="n"/>
      <c r="AH359" s="12" t="n"/>
      <c r="AI359" s="12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>
        <f>IF(OR(L360="",M360=""),"",IFERROR(INDEX(LAYOUT!$D$2:$D$80,MATCH(L360&amp;"|"&amp;M360,LAYOUT!$E$2:$E$80,0)),""))</f>
        <v/>
      </c>
      <c r="O360" s="12">
        <f>IF(AND(L360="",M360=""),IF(AND(P360="",Q360="",T360="",U360=""),IF(OR($D360&lt;&gt;"",$E360&lt;&gt;""),"Belum ditempatkan",""),""),IF(L360="","CEK JENIS FIXTURE kosong",IF(AND(LEFT(L360,7)&lt;&gt;"Gondola",LEFT(L360,6)&lt;&gt;"Endcap"),"CEK Fixture 1 hanya Gondola atau Endcap",IF(M360="","CEK SHELVING KE kosong",IF(ISNA(MATCH(L360&amp;"|"&amp;M360,LAYOUT!$E$2:$E$80,0)),"CEK SHELVING KE di luar layout",IF($I360="","CEK SERIES kosong",IF($D360="","Zona STOCK",IF($E360="","CEK SKU DESCRIPTION kosong",IF(COUNTIFS($I$2:$I$500,$I360,L$2:L$500,"&lt;&gt;"&amp;L360,L$2:L$500,"&lt;&gt;")&gt;0,"CEK jenis fixture beda dalam satu series","OK")))))))))</f>
        <v/>
      </c>
      <c r="P360" s="11" t="n"/>
      <c r="Q360" s="11" t="n"/>
      <c r="R360" s="11">
        <f>IF(OR(P360="",Q360=""),"",IFERROR(INDEX(LAYOUT!$D$2:$D$80,MATCH(P360&amp;"|"&amp;Q360,LAYOUT!$E$2:$E$80,0)),""))</f>
        <v/>
      </c>
      <c r="S360" s="12">
        <f>IF(AND(P360="",Q360=""),IF(AND(L360="",M360="",T360="",U360=""),IF(OR($D360&lt;&gt;"",$E360&lt;&gt;""),"Belum ditempatkan",""),""),IF(P360="","CEK JENIS FIXTURE kosong",IF(LEFT(P360,4)&lt;&gt;"Wall","CEK Fixture 2 hanya Wall",IF(Q360="","CEK SHELVING KE kosong",IF(ISNA(MATCH(P360&amp;"|"&amp;Q360,LAYOUT!$E$2:$E$80,0)),"CEK SHELVING KE di luar layout",IF($I360="","CEK SERIES kosong",IF($D360="","Zona STOCK",IF($E360="","CEK SKU DESCRIPTION kosong",IF(COUNTIFS($I$2:$I$500,$I360,P$2:P$500,"&lt;&gt;"&amp;P360,P$2:P$500,"&lt;&gt;")&gt;0,"CEK jenis fixture beda dalam satu series","OK")))))))))</f>
        <v/>
      </c>
      <c r="T360" s="11" t="n"/>
      <c r="U360" s="11" t="n"/>
      <c r="V360" s="11">
        <f>IF(OR(T360="",U360=""),"",IFERROR(INDEX(LAYOUT!$D$2:$D$80,MATCH(T360&amp;"|"&amp;U360,LAYOUT!$E$2:$E$80,0)),""))</f>
        <v/>
      </c>
      <c r="W360" s="12">
        <f>IF(AND(T360="",U360=""),IF(AND(L360="",M360="",P360="",Q360=""),IF(OR($D360&lt;&gt;"",$E360&lt;&gt;""),"Belum ditempatkan",""),""),IF(T360="","CEK JENIS FIXTURE kosong",IF(LEFT(T360,4)&lt;&gt;"Wall","CEK Fixture 3 hanya Wall",IF(U360="","CEK SHELVING KE kosong",IF(ISNA(MATCH(T360&amp;"|"&amp;U360,LAYOUT!$E$2:$E$80,0)),"CEK SHELVING KE di luar layout",IF($I360="","CEK SERIES kosong",IF($D360="","Zona STOCK",IF($E360="","CEK SKU DESCRIPTION kosong",IF(COUNTIFS($I$2:$I$500,$I360,T$2:T$500,"&lt;&gt;"&amp;T360,T$2:T$500,"&lt;&gt;")&gt;0,"CEK jenis fixture beda dalam satu series","OK")))))))))</f>
        <v/>
      </c>
      <c r="X360" s="11" t="n"/>
      <c r="Y360" s="11" t="n"/>
      <c r="Z360" s="12" t="n"/>
      <c r="AA360" s="12" t="n"/>
      <c r="AB360" s="11" t="n"/>
      <c r="AC360" s="11" t="n"/>
      <c r="AD360" s="11" t="n"/>
      <c r="AE360" s="11" t="n"/>
      <c r="AF360" s="11" t="n"/>
      <c r="AG360" s="11" t="n"/>
      <c r="AH360" s="12" t="n"/>
      <c r="AI360" s="12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>
        <f>IF(OR(L361="",M361=""),"",IFERROR(INDEX(LAYOUT!$D$2:$D$80,MATCH(L361&amp;"|"&amp;M361,LAYOUT!$E$2:$E$80,0)),""))</f>
        <v/>
      </c>
      <c r="O361" s="12">
        <f>IF(AND(L361="",M361=""),IF(AND(P361="",Q361="",T361="",U361=""),IF(OR($D361&lt;&gt;"",$E361&lt;&gt;""),"Belum ditempatkan",""),""),IF(L361="","CEK JENIS FIXTURE kosong",IF(AND(LEFT(L361,7)&lt;&gt;"Gondola",LEFT(L361,6)&lt;&gt;"Endcap"),"CEK Fixture 1 hanya Gondola atau Endcap",IF(M361="","CEK SHELVING KE kosong",IF(ISNA(MATCH(L361&amp;"|"&amp;M361,LAYOUT!$E$2:$E$80,0)),"CEK SHELVING KE di luar layout",IF($I361="","CEK SERIES kosong",IF($D361="","Zona STOCK",IF($E361="","CEK SKU DESCRIPTION kosong",IF(COUNTIFS($I$2:$I$500,$I361,L$2:L$500,"&lt;&gt;"&amp;L361,L$2:L$500,"&lt;&gt;")&gt;0,"CEK jenis fixture beda dalam satu series","OK")))))))))</f>
        <v/>
      </c>
      <c r="P361" s="11" t="n"/>
      <c r="Q361" s="11" t="n"/>
      <c r="R361" s="11">
        <f>IF(OR(P361="",Q361=""),"",IFERROR(INDEX(LAYOUT!$D$2:$D$80,MATCH(P361&amp;"|"&amp;Q361,LAYOUT!$E$2:$E$80,0)),""))</f>
        <v/>
      </c>
      <c r="S361" s="12">
        <f>IF(AND(P361="",Q361=""),IF(AND(L361="",M361="",T361="",U361=""),IF(OR($D361&lt;&gt;"",$E361&lt;&gt;""),"Belum ditempatkan",""),""),IF(P361="","CEK JENIS FIXTURE kosong",IF(LEFT(P361,4)&lt;&gt;"Wall","CEK Fixture 2 hanya Wall",IF(Q361="","CEK SHELVING KE kosong",IF(ISNA(MATCH(P361&amp;"|"&amp;Q361,LAYOUT!$E$2:$E$80,0)),"CEK SHELVING KE di luar layout",IF($I361="","CEK SERIES kosong",IF($D361="","Zona STOCK",IF($E361="","CEK SKU DESCRIPTION kosong",IF(COUNTIFS($I$2:$I$500,$I361,P$2:P$500,"&lt;&gt;"&amp;P361,P$2:P$500,"&lt;&gt;")&gt;0,"CEK jenis fixture beda dalam satu series","OK")))))))))</f>
        <v/>
      </c>
      <c r="T361" s="11" t="n"/>
      <c r="U361" s="11" t="n"/>
      <c r="V361" s="11">
        <f>IF(OR(T361="",U361=""),"",IFERROR(INDEX(LAYOUT!$D$2:$D$80,MATCH(T361&amp;"|"&amp;U361,LAYOUT!$E$2:$E$80,0)),""))</f>
        <v/>
      </c>
      <c r="W361" s="12">
        <f>IF(AND(T361="",U361=""),IF(AND(L361="",M361="",P361="",Q361=""),IF(OR($D361&lt;&gt;"",$E361&lt;&gt;""),"Belum ditempatkan",""),""),IF(T361="","CEK JENIS FIXTURE kosong",IF(LEFT(T361,4)&lt;&gt;"Wall","CEK Fixture 3 hanya Wall",IF(U361="","CEK SHELVING KE kosong",IF(ISNA(MATCH(T361&amp;"|"&amp;U361,LAYOUT!$E$2:$E$80,0)),"CEK SHELVING KE di luar layout",IF($I361="","CEK SERIES kosong",IF($D361="","Zona STOCK",IF($E361="","CEK SKU DESCRIPTION kosong",IF(COUNTIFS($I$2:$I$500,$I361,T$2:T$500,"&lt;&gt;"&amp;T361,T$2:T$500,"&lt;&gt;")&gt;0,"CEK jenis fixture beda dalam satu series","OK")))))))))</f>
        <v/>
      </c>
      <c r="X361" s="11" t="n"/>
      <c r="Y361" s="11" t="n"/>
      <c r="Z361" s="12" t="n"/>
      <c r="AA361" s="12" t="n"/>
      <c r="AB361" s="11" t="n"/>
      <c r="AC361" s="11" t="n"/>
      <c r="AD361" s="11" t="n"/>
      <c r="AE361" s="11" t="n"/>
      <c r="AF361" s="11" t="n"/>
      <c r="AG361" s="11" t="n"/>
      <c r="AH361" s="12" t="n"/>
      <c r="AI361" s="12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>
        <f>IF(OR(L362="",M362=""),"",IFERROR(INDEX(LAYOUT!$D$2:$D$80,MATCH(L362&amp;"|"&amp;M362,LAYOUT!$E$2:$E$80,0)),""))</f>
        <v/>
      </c>
      <c r="O362" s="12">
        <f>IF(AND(L362="",M362=""),IF(AND(P362="",Q362="",T362="",U362=""),IF(OR($D362&lt;&gt;"",$E362&lt;&gt;""),"Belum ditempatkan",""),""),IF(L362="","CEK JENIS FIXTURE kosong",IF(AND(LEFT(L362,7)&lt;&gt;"Gondola",LEFT(L362,6)&lt;&gt;"Endcap"),"CEK Fixture 1 hanya Gondola atau Endcap",IF(M362="","CEK SHELVING KE kosong",IF(ISNA(MATCH(L362&amp;"|"&amp;M362,LAYOUT!$E$2:$E$80,0)),"CEK SHELVING KE di luar layout",IF($I362="","CEK SERIES kosong",IF($D362="","Zona STOCK",IF($E362="","CEK SKU DESCRIPTION kosong",IF(COUNTIFS($I$2:$I$500,$I362,L$2:L$500,"&lt;&gt;"&amp;L362,L$2:L$500,"&lt;&gt;")&gt;0,"CEK jenis fixture beda dalam satu series","OK")))))))))</f>
        <v/>
      </c>
      <c r="P362" s="11" t="n"/>
      <c r="Q362" s="11" t="n"/>
      <c r="R362" s="11">
        <f>IF(OR(P362="",Q362=""),"",IFERROR(INDEX(LAYOUT!$D$2:$D$80,MATCH(P362&amp;"|"&amp;Q362,LAYOUT!$E$2:$E$80,0)),""))</f>
        <v/>
      </c>
      <c r="S362" s="12">
        <f>IF(AND(P362="",Q362=""),IF(AND(L362="",M362="",T362="",U362=""),IF(OR($D362&lt;&gt;"",$E362&lt;&gt;""),"Belum ditempatkan",""),""),IF(P362="","CEK JENIS FIXTURE kosong",IF(LEFT(P362,4)&lt;&gt;"Wall","CEK Fixture 2 hanya Wall",IF(Q362="","CEK SHELVING KE kosong",IF(ISNA(MATCH(P362&amp;"|"&amp;Q362,LAYOUT!$E$2:$E$80,0)),"CEK SHELVING KE di luar layout",IF($I362="","CEK SERIES kosong",IF($D362="","Zona STOCK",IF($E362="","CEK SKU DESCRIPTION kosong",IF(COUNTIFS($I$2:$I$500,$I362,P$2:P$500,"&lt;&gt;"&amp;P362,P$2:P$500,"&lt;&gt;")&gt;0,"CEK jenis fixture beda dalam satu series","OK")))))))))</f>
        <v/>
      </c>
      <c r="T362" s="11" t="n"/>
      <c r="U362" s="11" t="n"/>
      <c r="V362" s="11">
        <f>IF(OR(T362="",U362=""),"",IFERROR(INDEX(LAYOUT!$D$2:$D$80,MATCH(T362&amp;"|"&amp;U362,LAYOUT!$E$2:$E$80,0)),""))</f>
        <v/>
      </c>
      <c r="W362" s="12">
        <f>IF(AND(T362="",U362=""),IF(AND(L362="",M362="",P362="",Q362=""),IF(OR($D362&lt;&gt;"",$E362&lt;&gt;""),"Belum ditempatkan",""),""),IF(T362="","CEK JENIS FIXTURE kosong",IF(LEFT(T362,4)&lt;&gt;"Wall","CEK Fixture 3 hanya Wall",IF(U362="","CEK SHELVING KE kosong",IF(ISNA(MATCH(T362&amp;"|"&amp;U362,LAYOUT!$E$2:$E$80,0)),"CEK SHELVING KE di luar layout",IF($I362="","CEK SERIES kosong",IF($D362="","Zona STOCK",IF($E362="","CEK SKU DESCRIPTION kosong",IF(COUNTIFS($I$2:$I$500,$I362,T$2:T$500,"&lt;&gt;"&amp;T362,T$2:T$500,"&lt;&gt;")&gt;0,"CEK jenis fixture beda dalam satu series","OK")))))))))</f>
        <v/>
      </c>
      <c r="X362" s="11" t="n"/>
      <c r="Y362" s="11" t="n"/>
      <c r="Z362" s="12" t="n"/>
      <c r="AA362" s="12" t="n"/>
      <c r="AB362" s="11" t="n"/>
      <c r="AC362" s="11" t="n"/>
      <c r="AD362" s="11" t="n"/>
      <c r="AE362" s="11" t="n"/>
      <c r="AF362" s="11" t="n"/>
      <c r="AG362" s="11" t="n"/>
      <c r="AH362" s="12" t="n"/>
      <c r="AI362" s="12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>
        <f>IF(OR(L363="",M363=""),"",IFERROR(INDEX(LAYOUT!$D$2:$D$80,MATCH(L363&amp;"|"&amp;M363,LAYOUT!$E$2:$E$80,0)),""))</f>
        <v/>
      </c>
      <c r="O363" s="12">
        <f>IF(AND(L363="",M363=""),IF(AND(P363="",Q363="",T363="",U363=""),IF(OR($D363&lt;&gt;"",$E363&lt;&gt;""),"Belum ditempatkan",""),""),IF(L363="","CEK JENIS FIXTURE kosong",IF(AND(LEFT(L363,7)&lt;&gt;"Gondola",LEFT(L363,6)&lt;&gt;"Endcap"),"CEK Fixture 1 hanya Gondola atau Endcap",IF(M363="","CEK SHELVING KE kosong",IF(ISNA(MATCH(L363&amp;"|"&amp;M363,LAYOUT!$E$2:$E$80,0)),"CEK SHELVING KE di luar layout",IF($I363="","CEK SERIES kosong",IF($D363="","Zona STOCK",IF($E363="","CEK SKU DESCRIPTION kosong",IF(COUNTIFS($I$2:$I$500,$I363,L$2:L$500,"&lt;&gt;"&amp;L363,L$2:L$500,"&lt;&gt;")&gt;0,"CEK jenis fixture beda dalam satu series","OK")))))))))</f>
        <v/>
      </c>
      <c r="P363" s="11" t="n"/>
      <c r="Q363" s="11" t="n"/>
      <c r="R363" s="11">
        <f>IF(OR(P363="",Q363=""),"",IFERROR(INDEX(LAYOUT!$D$2:$D$80,MATCH(P363&amp;"|"&amp;Q363,LAYOUT!$E$2:$E$80,0)),""))</f>
        <v/>
      </c>
      <c r="S363" s="12">
        <f>IF(AND(P363="",Q363=""),IF(AND(L363="",M363="",T363="",U363=""),IF(OR($D363&lt;&gt;"",$E363&lt;&gt;""),"Belum ditempatkan",""),""),IF(P363="","CEK JENIS FIXTURE kosong",IF(LEFT(P363,4)&lt;&gt;"Wall","CEK Fixture 2 hanya Wall",IF(Q363="","CEK SHELVING KE kosong",IF(ISNA(MATCH(P363&amp;"|"&amp;Q363,LAYOUT!$E$2:$E$80,0)),"CEK SHELVING KE di luar layout",IF($I363="","CEK SERIES kosong",IF($D363="","Zona STOCK",IF($E363="","CEK SKU DESCRIPTION kosong",IF(COUNTIFS($I$2:$I$500,$I363,P$2:P$500,"&lt;&gt;"&amp;P363,P$2:P$500,"&lt;&gt;")&gt;0,"CEK jenis fixture beda dalam satu series","OK")))))))))</f>
        <v/>
      </c>
      <c r="T363" s="11" t="n"/>
      <c r="U363" s="11" t="n"/>
      <c r="V363" s="11">
        <f>IF(OR(T363="",U363=""),"",IFERROR(INDEX(LAYOUT!$D$2:$D$80,MATCH(T363&amp;"|"&amp;U363,LAYOUT!$E$2:$E$80,0)),""))</f>
        <v/>
      </c>
      <c r="W363" s="12">
        <f>IF(AND(T363="",U363=""),IF(AND(L363="",M363="",P363="",Q363=""),IF(OR($D363&lt;&gt;"",$E363&lt;&gt;""),"Belum ditempatkan",""),""),IF(T363="","CEK JENIS FIXTURE kosong",IF(LEFT(T363,4)&lt;&gt;"Wall","CEK Fixture 3 hanya Wall",IF(U363="","CEK SHELVING KE kosong",IF(ISNA(MATCH(T363&amp;"|"&amp;U363,LAYOUT!$E$2:$E$80,0)),"CEK SHELVING KE di luar layout",IF($I363="","CEK SERIES kosong",IF($D363="","Zona STOCK",IF($E363="","CEK SKU DESCRIPTION kosong",IF(COUNTIFS($I$2:$I$500,$I363,T$2:T$500,"&lt;&gt;"&amp;T363,T$2:T$500,"&lt;&gt;")&gt;0,"CEK jenis fixture beda dalam satu series","OK")))))))))</f>
        <v/>
      </c>
      <c r="X363" s="11" t="n"/>
      <c r="Y363" s="11" t="n"/>
      <c r="Z363" s="12" t="n"/>
      <c r="AA363" s="12" t="n"/>
      <c r="AB363" s="11" t="n"/>
      <c r="AC363" s="11" t="n"/>
      <c r="AD363" s="11" t="n"/>
      <c r="AE363" s="11" t="n"/>
      <c r="AF363" s="11" t="n"/>
      <c r="AG363" s="11" t="n"/>
      <c r="AH363" s="12" t="n"/>
      <c r="AI363" s="12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>
        <f>IF(OR(L364="",M364=""),"",IFERROR(INDEX(LAYOUT!$D$2:$D$80,MATCH(L364&amp;"|"&amp;M364,LAYOUT!$E$2:$E$80,0)),""))</f>
        <v/>
      </c>
      <c r="O364" s="12">
        <f>IF(AND(L364="",M364=""),IF(AND(P364="",Q364="",T364="",U364=""),IF(OR($D364&lt;&gt;"",$E364&lt;&gt;""),"Belum ditempatkan",""),""),IF(L364="","CEK JENIS FIXTURE kosong",IF(AND(LEFT(L364,7)&lt;&gt;"Gondola",LEFT(L364,6)&lt;&gt;"Endcap"),"CEK Fixture 1 hanya Gondola atau Endcap",IF(M364="","CEK SHELVING KE kosong",IF(ISNA(MATCH(L364&amp;"|"&amp;M364,LAYOUT!$E$2:$E$80,0)),"CEK SHELVING KE di luar layout",IF($I364="","CEK SERIES kosong",IF($D364="","Zona STOCK",IF($E364="","CEK SKU DESCRIPTION kosong",IF(COUNTIFS($I$2:$I$500,$I364,L$2:L$500,"&lt;&gt;"&amp;L364,L$2:L$500,"&lt;&gt;")&gt;0,"CEK jenis fixture beda dalam satu series","OK")))))))))</f>
        <v/>
      </c>
      <c r="P364" s="11" t="n"/>
      <c r="Q364" s="11" t="n"/>
      <c r="R364" s="11">
        <f>IF(OR(P364="",Q364=""),"",IFERROR(INDEX(LAYOUT!$D$2:$D$80,MATCH(P364&amp;"|"&amp;Q364,LAYOUT!$E$2:$E$80,0)),""))</f>
        <v/>
      </c>
      <c r="S364" s="12">
        <f>IF(AND(P364="",Q364=""),IF(AND(L364="",M364="",T364="",U364=""),IF(OR($D364&lt;&gt;"",$E364&lt;&gt;""),"Belum ditempatkan",""),""),IF(P364="","CEK JENIS FIXTURE kosong",IF(LEFT(P364,4)&lt;&gt;"Wall","CEK Fixture 2 hanya Wall",IF(Q364="","CEK SHELVING KE kosong",IF(ISNA(MATCH(P364&amp;"|"&amp;Q364,LAYOUT!$E$2:$E$80,0)),"CEK SHELVING KE di luar layout",IF($I364="","CEK SERIES kosong",IF($D364="","Zona STOCK",IF($E364="","CEK SKU DESCRIPTION kosong",IF(COUNTIFS($I$2:$I$500,$I364,P$2:P$500,"&lt;&gt;"&amp;P364,P$2:P$500,"&lt;&gt;")&gt;0,"CEK jenis fixture beda dalam satu series","OK")))))))))</f>
        <v/>
      </c>
      <c r="T364" s="11" t="n"/>
      <c r="U364" s="11" t="n"/>
      <c r="V364" s="11">
        <f>IF(OR(T364="",U364=""),"",IFERROR(INDEX(LAYOUT!$D$2:$D$80,MATCH(T364&amp;"|"&amp;U364,LAYOUT!$E$2:$E$80,0)),""))</f>
        <v/>
      </c>
      <c r="W364" s="12">
        <f>IF(AND(T364="",U364=""),IF(AND(L364="",M364="",P364="",Q364=""),IF(OR($D364&lt;&gt;"",$E364&lt;&gt;""),"Belum ditempatkan",""),""),IF(T364="","CEK JENIS FIXTURE kosong",IF(LEFT(T364,4)&lt;&gt;"Wall","CEK Fixture 3 hanya Wall",IF(U364="","CEK SHELVING KE kosong",IF(ISNA(MATCH(T364&amp;"|"&amp;U364,LAYOUT!$E$2:$E$80,0)),"CEK SHELVING KE di luar layout",IF($I364="","CEK SERIES kosong",IF($D364="","Zona STOCK",IF($E364="","CEK SKU DESCRIPTION kosong",IF(COUNTIFS($I$2:$I$500,$I364,T$2:T$500,"&lt;&gt;"&amp;T364,T$2:T$500,"&lt;&gt;")&gt;0,"CEK jenis fixture beda dalam satu series","OK")))))))))</f>
        <v/>
      </c>
      <c r="X364" s="11" t="n"/>
      <c r="Y364" s="11" t="n"/>
      <c r="Z364" s="12" t="n"/>
      <c r="AA364" s="12" t="n"/>
      <c r="AB364" s="11" t="n"/>
      <c r="AC364" s="11" t="n"/>
      <c r="AD364" s="11" t="n"/>
      <c r="AE364" s="11" t="n"/>
      <c r="AF364" s="11" t="n"/>
      <c r="AG364" s="11" t="n"/>
      <c r="AH364" s="12" t="n"/>
      <c r="AI364" s="12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>
        <f>IF(OR(L365="",M365=""),"",IFERROR(INDEX(LAYOUT!$D$2:$D$80,MATCH(L365&amp;"|"&amp;M365,LAYOUT!$E$2:$E$80,0)),""))</f>
        <v/>
      </c>
      <c r="O365" s="12">
        <f>IF(AND(L365="",M365=""),IF(AND(P365="",Q365="",T365="",U365=""),IF(OR($D365&lt;&gt;"",$E365&lt;&gt;""),"Belum ditempatkan",""),""),IF(L365="","CEK JENIS FIXTURE kosong",IF(AND(LEFT(L365,7)&lt;&gt;"Gondola",LEFT(L365,6)&lt;&gt;"Endcap"),"CEK Fixture 1 hanya Gondola atau Endcap",IF(M365="","CEK SHELVING KE kosong",IF(ISNA(MATCH(L365&amp;"|"&amp;M365,LAYOUT!$E$2:$E$80,0)),"CEK SHELVING KE di luar layout",IF($I365="","CEK SERIES kosong",IF($D365="","Zona STOCK",IF($E365="","CEK SKU DESCRIPTION kosong",IF(COUNTIFS($I$2:$I$500,$I365,L$2:L$500,"&lt;&gt;"&amp;L365,L$2:L$500,"&lt;&gt;")&gt;0,"CEK jenis fixture beda dalam satu series","OK")))))))))</f>
        <v/>
      </c>
      <c r="P365" s="11" t="n"/>
      <c r="Q365" s="11" t="n"/>
      <c r="R365" s="11">
        <f>IF(OR(P365="",Q365=""),"",IFERROR(INDEX(LAYOUT!$D$2:$D$80,MATCH(P365&amp;"|"&amp;Q365,LAYOUT!$E$2:$E$80,0)),""))</f>
        <v/>
      </c>
      <c r="S365" s="12">
        <f>IF(AND(P365="",Q365=""),IF(AND(L365="",M365="",T365="",U365=""),IF(OR($D365&lt;&gt;"",$E365&lt;&gt;""),"Belum ditempatkan",""),""),IF(P365="","CEK JENIS FIXTURE kosong",IF(LEFT(P365,4)&lt;&gt;"Wall","CEK Fixture 2 hanya Wall",IF(Q365="","CEK SHELVING KE kosong",IF(ISNA(MATCH(P365&amp;"|"&amp;Q365,LAYOUT!$E$2:$E$80,0)),"CEK SHELVING KE di luar layout",IF($I365="","CEK SERIES kosong",IF($D365="","Zona STOCK",IF($E365="","CEK SKU DESCRIPTION kosong",IF(COUNTIFS($I$2:$I$500,$I365,P$2:P$500,"&lt;&gt;"&amp;P365,P$2:P$500,"&lt;&gt;")&gt;0,"CEK jenis fixture beda dalam satu series","OK")))))))))</f>
        <v/>
      </c>
      <c r="T365" s="11" t="n"/>
      <c r="U365" s="11" t="n"/>
      <c r="V365" s="11">
        <f>IF(OR(T365="",U365=""),"",IFERROR(INDEX(LAYOUT!$D$2:$D$80,MATCH(T365&amp;"|"&amp;U365,LAYOUT!$E$2:$E$80,0)),""))</f>
        <v/>
      </c>
      <c r="W365" s="12">
        <f>IF(AND(T365="",U365=""),IF(AND(L365="",M365="",P365="",Q365=""),IF(OR($D365&lt;&gt;"",$E365&lt;&gt;""),"Belum ditempatkan",""),""),IF(T365="","CEK JENIS FIXTURE kosong",IF(LEFT(T365,4)&lt;&gt;"Wall","CEK Fixture 3 hanya Wall",IF(U365="","CEK SHELVING KE kosong",IF(ISNA(MATCH(T365&amp;"|"&amp;U365,LAYOUT!$E$2:$E$80,0)),"CEK SHELVING KE di luar layout",IF($I365="","CEK SERIES kosong",IF($D365="","Zona STOCK",IF($E365="","CEK SKU DESCRIPTION kosong",IF(COUNTIFS($I$2:$I$500,$I365,T$2:T$500,"&lt;&gt;"&amp;T365,T$2:T$500,"&lt;&gt;")&gt;0,"CEK jenis fixture beda dalam satu series","OK")))))))))</f>
        <v/>
      </c>
      <c r="X365" s="11" t="n"/>
      <c r="Y365" s="11" t="n"/>
      <c r="Z365" s="12" t="n"/>
      <c r="AA365" s="12" t="n"/>
      <c r="AB365" s="11" t="n"/>
      <c r="AC365" s="11" t="n"/>
      <c r="AD365" s="11" t="n"/>
      <c r="AE365" s="11" t="n"/>
      <c r="AF365" s="11" t="n"/>
      <c r="AG365" s="11" t="n"/>
      <c r="AH365" s="12" t="n"/>
      <c r="AI365" s="12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>
        <f>IF(OR(L366="",M366=""),"",IFERROR(INDEX(LAYOUT!$D$2:$D$80,MATCH(L366&amp;"|"&amp;M366,LAYOUT!$E$2:$E$80,0)),""))</f>
        <v/>
      </c>
      <c r="O366" s="12">
        <f>IF(AND(L366="",M366=""),IF(AND(P366="",Q366="",T366="",U366=""),IF(OR($D366&lt;&gt;"",$E366&lt;&gt;""),"Belum ditempatkan",""),""),IF(L366="","CEK JENIS FIXTURE kosong",IF(AND(LEFT(L366,7)&lt;&gt;"Gondola",LEFT(L366,6)&lt;&gt;"Endcap"),"CEK Fixture 1 hanya Gondola atau Endcap",IF(M366="","CEK SHELVING KE kosong",IF(ISNA(MATCH(L366&amp;"|"&amp;M366,LAYOUT!$E$2:$E$80,0)),"CEK SHELVING KE di luar layout",IF($I366="","CEK SERIES kosong",IF($D366="","Zona STOCK",IF($E366="","CEK SKU DESCRIPTION kosong",IF(COUNTIFS($I$2:$I$500,$I366,L$2:L$500,"&lt;&gt;"&amp;L366,L$2:L$500,"&lt;&gt;")&gt;0,"CEK jenis fixture beda dalam satu series","OK")))))))))</f>
        <v/>
      </c>
      <c r="P366" s="11" t="n"/>
      <c r="Q366" s="11" t="n"/>
      <c r="R366" s="11">
        <f>IF(OR(P366="",Q366=""),"",IFERROR(INDEX(LAYOUT!$D$2:$D$80,MATCH(P366&amp;"|"&amp;Q366,LAYOUT!$E$2:$E$80,0)),""))</f>
        <v/>
      </c>
      <c r="S366" s="12">
        <f>IF(AND(P366="",Q366=""),IF(AND(L366="",M366="",T366="",U366=""),IF(OR($D366&lt;&gt;"",$E366&lt;&gt;""),"Belum ditempatkan",""),""),IF(P366="","CEK JENIS FIXTURE kosong",IF(LEFT(P366,4)&lt;&gt;"Wall","CEK Fixture 2 hanya Wall",IF(Q366="","CEK SHELVING KE kosong",IF(ISNA(MATCH(P366&amp;"|"&amp;Q366,LAYOUT!$E$2:$E$80,0)),"CEK SHELVING KE di luar layout",IF($I366="","CEK SERIES kosong",IF($D366="","Zona STOCK",IF($E366="","CEK SKU DESCRIPTION kosong",IF(COUNTIFS($I$2:$I$500,$I366,P$2:P$500,"&lt;&gt;"&amp;P366,P$2:P$500,"&lt;&gt;")&gt;0,"CEK jenis fixture beda dalam satu series","OK")))))))))</f>
        <v/>
      </c>
      <c r="T366" s="11" t="n"/>
      <c r="U366" s="11" t="n"/>
      <c r="V366" s="11">
        <f>IF(OR(T366="",U366=""),"",IFERROR(INDEX(LAYOUT!$D$2:$D$80,MATCH(T366&amp;"|"&amp;U366,LAYOUT!$E$2:$E$80,0)),""))</f>
        <v/>
      </c>
      <c r="W366" s="12">
        <f>IF(AND(T366="",U366=""),IF(AND(L366="",M366="",P366="",Q366=""),IF(OR($D366&lt;&gt;"",$E366&lt;&gt;""),"Belum ditempatkan",""),""),IF(T366="","CEK JENIS FIXTURE kosong",IF(LEFT(T366,4)&lt;&gt;"Wall","CEK Fixture 3 hanya Wall",IF(U366="","CEK SHELVING KE kosong",IF(ISNA(MATCH(T366&amp;"|"&amp;U366,LAYOUT!$E$2:$E$80,0)),"CEK SHELVING KE di luar layout",IF($I366="","CEK SERIES kosong",IF($D366="","Zona STOCK",IF($E366="","CEK SKU DESCRIPTION kosong",IF(COUNTIFS($I$2:$I$500,$I366,T$2:T$500,"&lt;&gt;"&amp;T366,T$2:T$500,"&lt;&gt;")&gt;0,"CEK jenis fixture beda dalam satu series","OK")))))))))</f>
        <v/>
      </c>
      <c r="X366" s="11" t="n"/>
      <c r="Y366" s="11" t="n"/>
      <c r="Z366" s="12" t="n"/>
      <c r="AA366" s="12" t="n"/>
      <c r="AB366" s="11" t="n"/>
      <c r="AC366" s="11" t="n"/>
      <c r="AD366" s="11" t="n"/>
      <c r="AE366" s="11" t="n"/>
      <c r="AF366" s="11" t="n"/>
      <c r="AG366" s="11" t="n"/>
      <c r="AH366" s="12" t="n"/>
      <c r="AI366" s="12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>
        <f>IF(OR(L367="",M367=""),"",IFERROR(INDEX(LAYOUT!$D$2:$D$80,MATCH(L367&amp;"|"&amp;M367,LAYOUT!$E$2:$E$80,0)),""))</f>
        <v/>
      </c>
      <c r="O367" s="12">
        <f>IF(AND(L367="",M367=""),IF(AND(P367="",Q367="",T367="",U367=""),IF(OR($D367&lt;&gt;"",$E367&lt;&gt;""),"Belum ditempatkan",""),""),IF(L367="","CEK JENIS FIXTURE kosong",IF(AND(LEFT(L367,7)&lt;&gt;"Gondola",LEFT(L367,6)&lt;&gt;"Endcap"),"CEK Fixture 1 hanya Gondola atau Endcap",IF(M367="","CEK SHELVING KE kosong",IF(ISNA(MATCH(L367&amp;"|"&amp;M367,LAYOUT!$E$2:$E$80,0)),"CEK SHELVING KE di luar layout",IF($I367="","CEK SERIES kosong",IF($D367="","Zona STOCK",IF($E367="","CEK SKU DESCRIPTION kosong",IF(COUNTIFS($I$2:$I$500,$I367,L$2:L$500,"&lt;&gt;"&amp;L367,L$2:L$500,"&lt;&gt;")&gt;0,"CEK jenis fixture beda dalam satu series","OK")))))))))</f>
        <v/>
      </c>
      <c r="P367" s="11" t="n"/>
      <c r="Q367" s="11" t="n"/>
      <c r="R367" s="11">
        <f>IF(OR(P367="",Q367=""),"",IFERROR(INDEX(LAYOUT!$D$2:$D$80,MATCH(P367&amp;"|"&amp;Q367,LAYOUT!$E$2:$E$80,0)),""))</f>
        <v/>
      </c>
      <c r="S367" s="12">
        <f>IF(AND(P367="",Q367=""),IF(AND(L367="",M367="",T367="",U367=""),IF(OR($D367&lt;&gt;"",$E367&lt;&gt;""),"Belum ditempatkan",""),""),IF(P367="","CEK JENIS FIXTURE kosong",IF(LEFT(P367,4)&lt;&gt;"Wall","CEK Fixture 2 hanya Wall",IF(Q367="","CEK SHELVING KE kosong",IF(ISNA(MATCH(P367&amp;"|"&amp;Q367,LAYOUT!$E$2:$E$80,0)),"CEK SHELVING KE di luar layout",IF($I367="","CEK SERIES kosong",IF($D367="","Zona STOCK",IF($E367="","CEK SKU DESCRIPTION kosong",IF(COUNTIFS($I$2:$I$500,$I367,P$2:P$500,"&lt;&gt;"&amp;P367,P$2:P$500,"&lt;&gt;")&gt;0,"CEK jenis fixture beda dalam satu series","OK")))))))))</f>
        <v/>
      </c>
      <c r="T367" s="11" t="n"/>
      <c r="U367" s="11" t="n"/>
      <c r="V367" s="11">
        <f>IF(OR(T367="",U367=""),"",IFERROR(INDEX(LAYOUT!$D$2:$D$80,MATCH(T367&amp;"|"&amp;U367,LAYOUT!$E$2:$E$80,0)),""))</f>
        <v/>
      </c>
      <c r="W367" s="12">
        <f>IF(AND(T367="",U367=""),IF(AND(L367="",M367="",P367="",Q367=""),IF(OR($D367&lt;&gt;"",$E367&lt;&gt;""),"Belum ditempatkan",""),""),IF(T367="","CEK JENIS FIXTURE kosong",IF(LEFT(T367,4)&lt;&gt;"Wall","CEK Fixture 3 hanya Wall",IF(U367="","CEK SHELVING KE kosong",IF(ISNA(MATCH(T367&amp;"|"&amp;U367,LAYOUT!$E$2:$E$80,0)),"CEK SHELVING KE di luar layout",IF($I367="","CEK SERIES kosong",IF($D367="","Zona STOCK",IF($E367="","CEK SKU DESCRIPTION kosong",IF(COUNTIFS($I$2:$I$500,$I367,T$2:T$500,"&lt;&gt;"&amp;T367,T$2:T$500,"&lt;&gt;")&gt;0,"CEK jenis fixture beda dalam satu series","OK")))))))))</f>
        <v/>
      </c>
      <c r="X367" s="11" t="n"/>
      <c r="Y367" s="11" t="n"/>
      <c r="Z367" s="12" t="n"/>
      <c r="AA367" s="12" t="n"/>
      <c r="AB367" s="11" t="n"/>
      <c r="AC367" s="11" t="n"/>
      <c r="AD367" s="11" t="n"/>
      <c r="AE367" s="11" t="n"/>
      <c r="AF367" s="11" t="n"/>
      <c r="AG367" s="11" t="n"/>
      <c r="AH367" s="12" t="n"/>
      <c r="AI367" s="12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>
        <f>IF(OR(L368="",M368=""),"",IFERROR(INDEX(LAYOUT!$D$2:$D$80,MATCH(L368&amp;"|"&amp;M368,LAYOUT!$E$2:$E$80,0)),""))</f>
        <v/>
      </c>
      <c r="O368" s="12">
        <f>IF(AND(L368="",M368=""),IF(AND(P368="",Q368="",T368="",U368=""),IF(OR($D368&lt;&gt;"",$E368&lt;&gt;""),"Belum ditempatkan",""),""),IF(L368="","CEK JENIS FIXTURE kosong",IF(AND(LEFT(L368,7)&lt;&gt;"Gondola",LEFT(L368,6)&lt;&gt;"Endcap"),"CEK Fixture 1 hanya Gondola atau Endcap",IF(M368="","CEK SHELVING KE kosong",IF(ISNA(MATCH(L368&amp;"|"&amp;M368,LAYOUT!$E$2:$E$80,0)),"CEK SHELVING KE di luar layout",IF($I368="","CEK SERIES kosong",IF($D368="","Zona STOCK",IF($E368="","CEK SKU DESCRIPTION kosong",IF(COUNTIFS($I$2:$I$500,$I368,L$2:L$500,"&lt;&gt;"&amp;L368,L$2:L$500,"&lt;&gt;")&gt;0,"CEK jenis fixture beda dalam satu series","OK")))))))))</f>
        <v/>
      </c>
      <c r="P368" s="11" t="n"/>
      <c r="Q368" s="11" t="n"/>
      <c r="R368" s="11">
        <f>IF(OR(P368="",Q368=""),"",IFERROR(INDEX(LAYOUT!$D$2:$D$80,MATCH(P368&amp;"|"&amp;Q368,LAYOUT!$E$2:$E$80,0)),""))</f>
        <v/>
      </c>
      <c r="S368" s="12">
        <f>IF(AND(P368="",Q368=""),IF(AND(L368="",M368="",T368="",U368=""),IF(OR($D368&lt;&gt;"",$E368&lt;&gt;""),"Belum ditempatkan",""),""),IF(P368="","CEK JENIS FIXTURE kosong",IF(LEFT(P368,4)&lt;&gt;"Wall","CEK Fixture 2 hanya Wall",IF(Q368="","CEK SHELVING KE kosong",IF(ISNA(MATCH(P368&amp;"|"&amp;Q368,LAYOUT!$E$2:$E$80,0)),"CEK SHELVING KE di luar layout",IF($I368="","CEK SERIES kosong",IF($D368="","Zona STOCK",IF($E368="","CEK SKU DESCRIPTION kosong",IF(COUNTIFS($I$2:$I$500,$I368,P$2:P$500,"&lt;&gt;"&amp;P368,P$2:P$500,"&lt;&gt;")&gt;0,"CEK jenis fixture beda dalam satu series","OK")))))))))</f>
        <v/>
      </c>
      <c r="T368" s="11" t="n"/>
      <c r="U368" s="11" t="n"/>
      <c r="V368" s="11">
        <f>IF(OR(T368="",U368=""),"",IFERROR(INDEX(LAYOUT!$D$2:$D$80,MATCH(T368&amp;"|"&amp;U368,LAYOUT!$E$2:$E$80,0)),""))</f>
        <v/>
      </c>
      <c r="W368" s="12">
        <f>IF(AND(T368="",U368=""),IF(AND(L368="",M368="",P368="",Q368=""),IF(OR($D368&lt;&gt;"",$E368&lt;&gt;""),"Belum ditempatkan",""),""),IF(T368="","CEK JENIS FIXTURE kosong",IF(LEFT(T368,4)&lt;&gt;"Wall","CEK Fixture 3 hanya Wall",IF(U368="","CEK SHELVING KE kosong",IF(ISNA(MATCH(T368&amp;"|"&amp;U368,LAYOUT!$E$2:$E$80,0)),"CEK SHELVING KE di luar layout",IF($I368="","CEK SERIES kosong",IF($D368="","Zona STOCK",IF($E368="","CEK SKU DESCRIPTION kosong",IF(COUNTIFS($I$2:$I$500,$I368,T$2:T$500,"&lt;&gt;"&amp;T368,T$2:T$500,"&lt;&gt;")&gt;0,"CEK jenis fixture beda dalam satu series","OK")))))))))</f>
        <v/>
      </c>
      <c r="X368" s="11" t="n"/>
      <c r="Y368" s="11" t="n"/>
      <c r="Z368" s="12" t="n"/>
      <c r="AA368" s="12" t="n"/>
      <c r="AB368" s="11" t="n"/>
      <c r="AC368" s="11" t="n"/>
      <c r="AD368" s="11" t="n"/>
      <c r="AE368" s="11" t="n"/>
      <c r="AF368" s="11" t="n"/>
      <c r="AG368" s="11" t="n"/>
      <c r="AH368" s="12" t="n"/>
      <c r="AI368" s="12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>
        <f>IF(OR(L369="",M369=""),"",IFERROR(INDEX(LAYOUT!$D$2:$D$80,MATCH(L369&amp;"|"&amp;M369,LAYOUT!$E$2:$E$80,0)),""))</f>
        <v/>
      </c>
      <c r="O369" s="12">
        <f>IF(AND(L369="",M369=""),IF(AND(P369="",Q369="",T369="",U369=""),IF(OR($D369&lt;&gt;"",$E369&lt;&gt;""),"Belum ditempatkan",""),""),IF(L369="","CEK JENIS FIXTURE kosong",IF(AND(LEFT(L369,7)&lt;&gt;"Gondola",LEFT(L369,6)&lt;&gt;"Endcap"),"CEK Fixture 1 hanya Gondola atau Endcap",IF(M369="","CEK SHELVING KE kosong",IF(ISNA(MATCH(L369&amp;"|"&amp;M369,LAYOUT!$E$2:$E$80,0)),"CEK SHELVING KE di luar layout",IF($I369="","CEK SERIES kosong",IF($D369="","Zona STOCK",IF($E369="","CEK SKU DESCRIPTION kosong",IF(COUNTIFS($I$2:$I$500,$I369,L$2:L$500,"&lt;&gt;"&amp;L369,L$2:L$500,"&lt;&gt;")&gt;0,"CEK jenis fixture beda dalam satu series","OK")))))))))</f>
        <v/>
      </c>
      <c r="P369" s="11" t="n"/>
      <c r="Q369" s="11" t="n"/>
      <c r="R369" s="11">
        <f>IF(OR(P369="",Q369=""),"",IFERROR(INDEX(LAYOUT!$D$2:$D$80,MATCH(P369&amp;"|"&amp;Q369,LAYOUT!$E$2:$E$80,0)),""))</f>
        <v/>
      </c>
      <c r="S369" s="12">
        <f>IF(AND(P369="",Q369=""),IF(AND(L369="",M369="",T369="",U369=""),IF(OR($D369&lt;&gt;"",$E369&lt;&gt;""),"Belum ditempatkan",""),""),IF(P369="","CEK JENIS FIXTURE kosong",IF(LEFT(P369,4)&lt;&gt;"Wall","CEK Fixture 2 hanya Wall",IF(Q369="","CEK SHELVING KE kosong",IF(ISNA(MATCH(P369&amp;"|"&amp;Q369,LAYOUT!$E$2:$E$80,0)),"CEK SHELVING KE di luar layout",IF($I369="","CEK SERIES kosong",IF($D369="","Zona STOCK",IF($E369="","CEK SKU DESCRIPTION kosong",IF(COUNTIFS($I$2:$I$500,$I369,P$2:P$500,"&lt;&gt;"&amp;P369,P$2:P$500,"&lt;&gt;")&gt;0,"CEK jenis fixture beda dalam satu series","OK")))))))))</f>
        <v/>
      </c>
      <c r="T369" s="11" t="n"/>
      <c r="U369" s="11" t="n"/>
      <c r="V369" s="11">
        <f>IF(OR(T369="",U369=""),"",IFERROR(INDEX(LAYOUT!$D$2:$D$80,MATCH(T369&amp;"|"&amp;U369,LAYOUT!$E$2:$E$80,0)),""))</f>
        <v/>
      </c>
      <c r="W369" s="12">
        <f>IF(AND(T369="",U369=""),IF(AND(L369="",M369="",P369="",Q369=""),IF(OR($D369&lt;&gt;"",$E369&lt;&gt;""),"Belum ditempatkan",""),""),IF(T369="","CEK JENIS FIXTURE kosong",IF(LEFT(T369,4)&lt;&gt;"Wall","CEK Fixture 3 hanya Wall",IF(U369="","CEK SHELVING KE kosong",IF(ISNA(MATCH(T369&amp;"|"&amp;U369,LAYOUT!$E$2:$E$80,0)),"CEK SHELVING KE di luar layout",IF($I369="","CEK SERIES kosong",IF($D369="","Zona STOCK",IF($E369="","CEK SKU DESCRIPTION kosong",IF(COUNTIFS($I$2:$I$500,$I369,T$2:T$500,"&lt;&gt;"&amp;T369,T$2:T$500,"&lt;&gt;")&gt;0,"CEK jenis fixture beda dalam satu series","OK")))))))))</f>
        <v/>
      </c>
      <c r="X369" s="11" t="n"/>
      <c r="Y369" s="11" t="n"/>
      <c r="Z369" s="12" t="n"/>
      <c r="AA369" s="12" t="n"/>
      <c r="AB369" s="11" t="n"/>
      <c r="AC369" s="11" t="n"/>
      <c r="AD369" s="11" t="n"/>
      <c r="AE369" s="11" t="n"/>
      <c r="AF369" s="11" t="n"/>
      <c r="AG369" s="11" t="n"/>
      <c r="AH369" s="12" t="n"/>
      <c r="AI369" s="12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>
        <f>IF(OR(L370="",M370=""),"",IFERROR(INDEX(LAYOUT!$D$2:$D$80,MATCH(L370&amp;"|"&amp;M370,LAYOUT!$E$2:$E$80,0)),""))</f>
        <v/>
      </c>
      <c r="O370" s="12">
        <f>IF(AND(L370="",M370=""),IF(AND(P370="",Q370="",T370="",U370=""),IF(OR($D370&lt;&gt;"",$E370&lt;&gt;""),"Belum ditempatkan",""),""),IF(L370="","CEK JENIS FIXTURE kosong",IF(AND(LEFT(L370,7)&lt;&gt;"Gondola",LEFT(L370,6)&lt;&gt;"Endcap"),"CEK Fixture 1 hanya Gondola atau Endcap",IF(M370="","CEK SHELVING KE kosong",IF(ISNA(MATCH(L370&amp;"|"&amp;M370,LAYOUT!$E$2:$E$80,0)),"CEK SHELVING KE di luar layout",IF($I370="","CEK SERIES kosong",IF($D370="","Zona STOCK",IF($E370="","CEK SKU DESCRIPTION kosong",IF(COUNTIFS($I$2:$I$500,$I370,L$2:L$500,"&lt;&gt;"&amp;L370,L$2:L$500,"&lt;&gt;")&gt;0,"CEK jenis fixture beda dalam satu series","OK")))))))))</f>
        <v/>
      </c>
      <c r="P370" s="11" t="n"/>
      <c r="Q370" s="11" t="n"/>
      <c r="R370" s="11">
        <f>IF(OR(P370="",Q370=""),"",IFERROR(INDEX(LAYOUT!$D$2:$D$80,MATCH(P370&amp;"|"&amp;Q370,LAYOUT!$E$2:$E$80,0)),""))</f>
        <v/>
      </c>
      <c r="S370" s="12">
        <f>IF(AND(P370="",Q370=""),IF(AND(L370="",M370="",T370="",U370=""),IF(OR($D370&lt;&gt;"",$E370&lt;&gt;""),"Belum ditempatkan",""),""),IF(P370="","CEK JENIS FIXTURE kosong",IF(LEFT(P370,4)&lt;&gt;"Wall","CEK Fixture 2 hanya Wall",IF(Q370="","CEK SHELVING KE kosong",IF(ISNA(MATCH(P370&amp;"|"&amp;Q370,LAYOUT!$E$2:$E$80,0)),"CEK SHELVING KE di luar layout",IF($I370="","CEK SERIES kosong",IF($D370="","Zona STOCK",IF($E370="","CEK SKU DESCRIPTION kosong",IF(COUNTIFS($I$2:$I$500,$I370,P$2:P$500,"&lt;&gt;"&amp;P370,P$2:P$500,"&lt;&gt;")&gt;0,"CEK jenis fixture beda dalam satu series","OK")))))))))</f>
        <v/>
      </c>
      <c r="T370" s="11" t="n"/>
      <c r="U370" s="11" t="n"/>
      <c r="V370" s="11">
        <f>IF(OR(T370="",U370=""),"",IFERROR(INDEX(LAYOUT!$D$2:$D$80,MATCH(T370&amp;"|"&amp;U370,LAYOUT!$E$2:$E$80,0)),""))</f>
        <v/>
      </c>
      <c r="W370" s="12">
        <f>IF(AND(T370="",U370=""),IF(AND(L370="",M370="",P370="",Q370=""),IF(OR($D370&lt;&gt;"",$E370&lt;&gt;""),"Belum ditempatkan",""),""),IF(T370="","CEK JENIS FIXTURE kosong",IF(LEFT(T370,4)&lt;&gt;"Wall","CEK Fixture 3 hanya Wall",IF(U370="","CEK SHELVING KE kosong",IF(ISNA(MATCH(T370&amp;"|"&amp;U370,LAYOUT!$E$2:$E$80,0)),"CEK SHELVING KE di luar layout",IF($I370="","CEK SERIES kosong",IF($D370="","Zona STOCK",IF($E370="","CEK SKU DESCRIPTION kosong",IF(COUNTIFS($I$2:$I$500,$I370,T$2:T$500,"&lt;&gt;"&amp;T370,T$2:T$500,"&lt;&gt;")&gt;0,"CEK jenis fixture beda dalam satu series","OK")))))))))</f>
        <v/>
      </c>
      <c r="X370" s="11" t="n"/>
      <c r="Y370" s="11" t="n"/>
      <c r="Z370" s="12" t="n"/>
      <c r="AA370" s="12" t="n"/>
      <c r="AB370" s="11" t="n"/>
      <c r="AC370" s="11" t="n"/>
      <c r="AD370" s="11" t="n"/>
      <c r="AE370" s="11" t="n"/>
      <c r="AF370" s="11" t="n"/>
      <c r="AG370" s="11" t="n"/>
      <c r="AH370" s="12" t="n"/>
      <c r="AI370" s="12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>
        <f>IF(OR(L371="",M371=""),"",IFERROR(INDEX(LAYOUT!$D$2:$D$80,MATCH(L371&amp;"|"&amp;M371,LAYOUT!$E$2:$E$80,0)),""))</f>
        <v/>
      </c>
      <c r="O371" s="12">
        <f>IF(AND(L371="",M371=""),IF(AND(P371="",Q371="",T371="",U371=""),IF(OR($D371&lt;&gt;"",$E371&lt;&gt;""),"Belum ditempatkan",""),""),IF(L371="","CEK JENIS FIXTURE kosong",IF(AND(LEFT(L371,7)&lt;&gt;"Gondola",LEFT(L371,6)&lt;&gt;"Endcap"),"CEK Fixture 1 hanya Gondola atau Endcap",IF(M371="","CEK SHELVING KE kosong",IF(ISNA(MATCH(L371&amp;"|"&amp;M371,LAYOUT!$E$2:$E$80,0)),"CEK SHELVING KE di luar layout",IF($I371="","CEK SERIES kosong",IF($D371="","Zona STOCK",IF($E371="","CEK SKU DESCRIPTION kosong",IF(COUNTIFS($I$2:$I$500,$I371,L$2:L$500,"&lt;&gt;"&amp;L371,L$2:L$500,"&lt;&gt;")&gt;0,"CEK jenis fixture beda dalam satu series","OK")))))))))</f>
        <v/>
      </c>
      <c r="P371" s="11" t="n"/>
      <c r="Q371" s="11" t="n"/>
      <c r="R371" s="11">
        <f>IF(OR(P371="",Q371=""),"",IFERROR(INDEX(LAYOUT!$D$2:$D$80,MATCH(P371&amp;"|"&amp;Q371,LAYOUT!$E$2:$E$80,0)),""))</f>
        <v/>
      </c>
      <c r="S371" s="12">
        <f>IF(AND(P371="",Q371=""),IF(AND(L371="",M371="",T371="",U371=""),IF(OR($D371&lt;&gt;"",$E371&lt;&gt;""),"Belum ditempatkan",""),""),IF(P371="","CEK JENIS FIXTURE kosong",IF(LEFT(P371,4)&lt;&gt;"Wall","CEK Fixture 2 hanya Wall",IF(Q371="","CEK SHELVING KE kosong",IF(ISNA(MATCH(P371&amp;"|"&amp;Q371,LAYOUT!$E$2:$E$80,0)),"CEK SHELVING KE di luar layout",IF($I371="","CEK SERIES kosong",IF($D371="","Zona STOCK",IF($E371="","CEK SKU DESCRIPTION kosong",IF(COUNTIFS($I$2:$I$500,$I371,P$2:P$500,"&lt;&gt;"&amp;P371,P$2:P$500,"&lt;&gt;")&gt;0,"CEK jenis fixture beda dalam satu series","OK")))))))))</f>
        <v/>
      </c>
      <c r="T371" s="11" t="n"/>
      <c r="U371" s="11" t="n"/>
      <c r="V371" s="11">
        <f>IF(OR(T371="",U371=""),"",IFERROR(INDEX(LAYOUT!$D$2:$D$80,MATCH(T371&amp;"|"&amp;U371,LAYOUT!$E$2:$E$80,0)),""))</f>
        <v/>
      </c>
      <c r="W371" s="12">
        <f>IF(AND(T371="",U371=""),IF(AND(L371="",M371="",P371="",Q371=""),IF(OR($D371&lt;&gt;"",$E371&lt;&gt;""),"Belum ditempatkan",""),""),IF(T371="","CEK JENIS FIXTURE kosong",IF(LEFT(T371,4)&lt;&gt;"Wall","CEK Fixture 3 hanya Wall",IF(U371="","CEK SHELVING KE kosong",IF(ISNA(MATCH(T371&amp;"|"&amp;U371,LAYOUT!$E$2:$E$80,0)),"CEK SHELVING KE di luar layout",IF($I371="","CEK SERIES kosong",IF($D371="","Zona STOCK",IF($E371="","CEK SKU DESCRIPTION kosong",IF(COUNTIFS($I$2:$I$500,$I371,T$2:T$500,"&lt;&gt;"&amp;T371,T$2:T$500,"&lt;&gt;")&gt;0,"CEK jenis fixture beda dalam satu series","OK")))))))))</f>
        <v/>
      </c>
      <c r="X371" s="11" t="n"/>
      <c r="Y371" s="11" t="n"/>
      <c r="Z371" s="12" t="n"/>
      <c r="AA371" s="12" t="n"/>
      <c r="AB371" s="11" t="n"/>
      <c r="AC371" s="11" t="n"/>
      <c r="AD371" s="11" t="n"/>
      <c r="AE371" s="11" t="n"/>
      <c r="AF371" s="11" t="n"/>
      <c r="AG371" s="11" t="n"/>
      <c r="AH371" s="12" t="n"/>
      <c r="AI371" s="12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>
        <f>IF(OR(L372="",M372=""),"",IFERROR(INDEX(LAYOUT!$D$2:$D$80,MATCH(L372&amp;"|"&amp;M372,LAYOUT!$E$2:$E$80,0)),""))</f>
        <v/>
      </c>
      <c r="O372" s="12">
        <f>IF(AND(L372="",M372=""),IF(AND(P372="",Q372="",T372="",U372=""),IF(OR($D372&lt;&gt;"",$E372&lt;&gt;""),"Belum ditempatkan",""),""),IF(L372="","CEK JENIS FIXTURE kosong",IF(AND(LEFT(L372,7)&lt;&gt;"Gondola",LEFT(L372,6)&lt;&gt;"Endcap"),"CEK Fixture 1 hanya Gondola atau Endcap",IF(M372="","CEK SHELVING KE kosong",IF(ISNA(MATCH(L372&amp;"|"&amp;M372,LAYOUT!$E$2:$E$80,0)),"CEK SHELVING KE di luar layout",IF($I372="","CEK SERIES kosong",IF($D372="","Zona STOCK",IF($E372="","CEK SKU DESCRIPTION kosong",IF(COUNTIFS($I$2:$I$500,$I372,L$2:L$500,"&lt;&gt;"&amp;L372,L$2:L$500,"&lt;&gt;")&gt;0,"CEK jenis fixture beda dalam satu series","OK")))))))))</f>
        <v/>
      </c>
      <c r="P372" s="11" t="n"/>
      <c r="Q372" s="11" t="n"/>
      <c r="R372" s="11">
        <f>IF(OR(P372="",Q372=""),"",IFERROR(INDEX(LAYOUT!$D$2:$D$80,MATCH(P372&amp;"|"&amp;Q372,LAYOUT!$E$2:$E$80,0)),""))</f>
        <v/>
      </c>
      <c r="S372" s="12">
        <f>IF(AND(P372="",Q372=""),IF(AND(L372="",M372="",T372="",U372=""),IF(OR($D372&lt;&gt;"",$E372&lt;&gt;""),"Belum ditempatkan",""),""),IF(P372="","CEK JENIS FIXTURE kosong",IF(LEFT(P372,4)&lt;&gt;"Wall","CEK Fixture 2 hanya Wall",IF(Q372="","CEK SHELVING KE kosong",IF(ISNA(MATCH(P372&amp;"|"&amp;Q372,LAYOUT!$E$2:$E$80,0)),"CEK SHELVING KE di luar layout",IF($I372="","CEK SERIES kosong",IF($D372="","Zona STOCK",IF($E372="","CEK SKU DESCRIPTION kosong",IF(COUNTIFS($I$2:$I$500,$I372,P$2:P$500,"&lt;&gt;"&amp;P372,P$2:P$500,"&lt;&gt;")&gt;0,"CEK jenis fixture beda dalam satu series","OK")))))))))</f>
        <v/>
      </c>
      <c r="T372" s="11" t="n"/>
      <c r="U372" s="11" t="n"/>
      <c r="V372" s="11">
        <f>IF(OR(T372="",U372=""),"",IFERROR(INDEX(LAYOUT!$D$2:$D$80,MATCH(T372&amp;"|"&amp;U372,LAYOUT!$E$2:$E$80,0)),""))</f>
        <v/>
      </c>
      <c r="W372" s="12">
        <f>IF(AND(T372="",U372=""),IF(AND(L372="",M372="",P372="",Q372=""),IF(OR($D372&lt;&gt;"",$E372&lt;&gt;""),"Belum ditempatkan",""),""),IF(T372="","CEK JENIS FIXTURE kosong",IF(LEFT(T372,4)&lt;&gt;"Wall","CEK Fixture 3 hanya Wall",IF(U372="","CEK SHELVING KE kosong",IF(ISNA(MATCH(T372&amp;"|"&amp;U372,LAYOUT!$E$2:$E$80,0)),"CEK SHELVING KE di luar layout",IF($I372="","CEK SERIES kosong",IF($D372="","Zona STOCK",IF($E372="","CEK SKU DESCRIPTION kosong",IF(COUNTIFS($I$2:$I$500,$I372,T$2:T$500,"&lt;&gt;"&amp;T372,T$2:T$500,"&lt;&gt;")&gt;0,"CEK jenis fixture beda dalam satu series","OK")))))))))</f>
        <v/>
      </c>
      <c r="X372" s="11" t="n"/>
      <c r="Y372" s="11" t="n"/>
      <c r="Z372" s="12" t="n"/>
      <c r="AA372" s="12" t="n"/>
      <c r="AB372" s="11" t="n"/>
      <c r="AC372" s="11" t="n"/>
      <c r="AD372" s="11" t="n"/>
      <c r="AE372" s="11" t="n"/>
      <c r="AF372" s="11" t="n"/>
      <c r="AG372" s="11" t="n"/>
      <c r="AH372" s="12" t="n"/>
      <c r="AI372" s="12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>
        <f>IF(OR(L373="",M373=""),"",IFERROR(INDEX(LAYOUT!$D$2:$D$80,MATCH(L373&amp;"|"&amp;M373,LAYOUT!$E$2:$E$80,0)),""))</f>
        <v/>
      </c>
      <c r="O373" s="12">
        <f>IF(AND(L373="",M373=""),IF(AND(P373="",Q373="",T373="",U373=""),IF(OR($D373&lt;&gt;"",$E373&lt;&gt;""),"Belum ditempatkan",""),""),IF(L373="","CEK JENIS FIXTURE kosong",IF(AND(LEFT(L373,7)&lt;&gt;"Gondola",LEFT(L373,6)&lt;&gt;"Endcap"),"CEK Fixture 1 hanya Gondola atau Endcap",IF(M373="","CEK SHELVING KE kosong",IF(ISNA(MATCH(L373&amp;"|"&amp;M373,LAYOUT!$E$2:$E$80,0)),"CEK SHELVING KE di luar layout",IF($I373="","CEK SERIES kosong",IF($D373="","Zona STOCK",IF($E373="","CEK SKU DESCRIPTION kosong",IF(COUNTIFS($I$2:$I$500,$I373,L$2:L$500,"&lt;&gt;"&amp;L373,L$2:L$500,"&lt;&gt;")&gt;0,"CEK jenis fixture beda dalam satu series","OK")))))))))</f>
        <v/>
      </c>
      <c r="P373" s="11" t="n"/>
      <c r="Q373" s="11" t="n"/>
      <c r="R373" s="11">
        <f>IF(OR(P373="",Q373=""),"",IFERROR(INDEX(LAYOUT!$D$2:$D$80,MATCH(P373&amp;"|"&amp;Q373,LAYOUT!$E$2:$E$80,0)),""))</f>
        <v/>
      </c>
      <c r="S373" s="12">
        <f>IF(AND(P373="",Q373=""),IF(AND(L373="",M373="",T373="",U373=""),IF(OR($D373&lt;&gt;"",$E373&lt;&gt;""),"Belum ditempatkan",""),""),IF(P373="","CEK JENIS FIXTURE kosong",IF(LEFT(P373,4)&lt;&gt;"Wall","CEK Fixture 2 hanya Wall",IF(Q373="","CEK SHELVING KE kosong",IF(ISNA(MATCH(P373&amp;"|"&amp;Q373,LAYOUT!$E$2:$E$80,0)),"CEK SHELVING KE di luar layout",IF($I373="","CEK SERIES kosong",IF($D373="","Zona STOCK",IF($E373="","CEK SKU DESCRIPTION kosong",IF(COUNTIFS($I$2:$I$500,$I373,P$2:P$500,"&lt;&gt;"&amp;P373,P$2:P$500,"&lt;&gt;")&gt;0,"CEK jenis fixture beda dalam satu series","OK")))))))))</f>
        <v/>
      </c>
      <c r="T373" s="11" t="n"/>
      <c r="U373" s="11" t="n"/>
      <c r="V373" s="11">
        <f>IF(OR(T373="",U373=""),"",IFERROR(INDEX(LAYOUT!$D$2:$D$80,MATCH(T373&amp;"|"&amp;U373,LAYOUT!$E$2:$E$80,0)),""))</f>
        <v/>
      </c>
      <c r="W373" s="12">
        <f>IF(AND(T373="",U373=""),IF(AND(L373="",M373="",P373="",Q373=""),IF(OR($D373&lt;&gt;"",$E373&lt;&gt;""),"Belum ditempatkan",""),""),IF(T373="","CEK JENIS FIXTURE kosong",IF(LEFT(T373,4)&lt;&gt;"Wall","CEK Fixture 3 hanya Wall",IF(U373="","CEK SHELVING KE kosong",IF(ISNA(MATCH(T373&amp;"|"&amp;U373,LAYOUT!$E$2:$E$80,0)),"CEK SHELVING KE di luar layout",IF($I373="","CEK SERIES kosong",IF($D373="","Zona STOCK",IF($E373="","CEK SKU DESCRIPTION kosong",IF(COUNTIFS($I$2:$I$500,$I373,T$2:T$500,"&lt;&gt;"&amp;T373,T$2:T$500,"&lt;&gt;")&gt;0,"CEK jenis fixture beda dalam satu series","OK")))))))))</f>
        <v/>
      </c>
      <c r="X373" s="11" t="n"/>
      <c r="Y373" s="11" t="n"/>
      <c r="Z373" s="12" t="n"/>
      <c r="AA373" s="12" t="n"/>
      <c r="AB373" s="11" t="n"/>
      <c r="AC373" s="11" t="n"/>
      <c r="AD373" s="11" t="n"/>
      <c r="AE373" s="11" t="n"/>
      <c r="AF373" s="11" t="n"/>
      <c r="AG373" s="11" t="n"/>
      <c r="AH373" s="12" t="n"/>
      <c r="AI373" s="12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>
        <f>IF(OR(L374="",M374=""),"",IFERROR(INDEX(LAYOUT!$D$2:$D$80,MATCH(L374&amp;"|"&amp;M374,LAYOUT!$E$2:$E$80,0)),""))</f>
        <v/>
      </c>
      <c r="O374" s="12">
        <f>IF(AND(L374="",M374=""),IF(AND(P374="",Q374="",T374="",U374=""),IF(OR($D374&lt;&gt;"",$E374&lt;&gt;""),"Belum ditempatkan",""),""),IF(L374="","CEK JENIS FIXTURE kosong",IF(AND(LEFT(L374,7)&lt;&gt;"Gondola",LEFT(L374,6)&lt;&gt;"Endcap"),"CEK Fixture 1 hanya Gondola atau Endcap",IF(M374="","CEK SHELVING KE kosong",IF(ISNA(MATCH(L374&amp;"|"&amp;M374,LAYOUT!$E$2:$E$80,0)),"CEK SHELVING KE di luar layout",IF($I374="","CEK SERIES kosong",IF($D374="","Zona STOCK",IF($E374="","CEK SKU DESCRIPTION kosong",IF(COUNTIFS($I$2:$I$500,$I374,L$2:L$500,"&lt;&gt;"&amp;L374,L$2:L$500,"&lt;&gt;")&gt;0,"CEK jenis fixture beda dalam satu series","OK")))))))))</f>
        <v/>
      </c>
      <c r="P374" s="11" t="n"/>
      <c r="Q374" s="11" t="n"/>
      <c r="R374" s="11">
        <f>IF(OR(P374="",Q374=""),"",IFERROR(INDEX(LAYOUT!$D$2:$D$80,MATCH(P374&amp;"|"&amp;Q374,LAYOUT!$E$2:$E$80,0)),""))</f>
        <v/>
      </c>
      <c r="S374" s="12">
        <f>IF(AND(P374="",Q374=""),IF(AND(L374="",M374="",T374="",U374=""),IF(OR($D374&lt;&gt;"",$E374&lt;&gt;""),"Belum ditempatkan",""),""),IF(P374="","CEK JENIS FIXTURE kosong",IF(LEFT(P374,4)&lt;&gt;"Wall","CEK Fixture 2 hanya Wall",IF(Q374="","CEK SHELVING KE kosong",IF(ISNA(MATCH(P374&amp;"|"&amp;Q374,LAYOUT!$E$2:$E$80,0)),"CEK SHELVING KE di luar layout",IF($I374="","CEK SERIES kosong",IF($D374="","Zona STOCK",IF($E374="","CEK SKU DESCRIPTION kosong",IF(COUNTIFS($I$2:$I$500,$I374,P$2:P$500,"&lt;&gt;"&amp;P374,P$2:P$500,"&lt;&gt;")&gt;0,"CEK jenis fixture beda dalam satu series","OK")))))))))</f>
        <v/>
      </c>
      <c r="T374" s="11" t="n"/>
      <c r="U374" s="11" t="n"/>
      <c r="V374" s="11">
        <f>IF(OR(T374="",U374=""),"",IFERROR(INDEX(LAYOUT!$D$2:$D$80,MATCH(T374&amp;"|"&amp;U374,LAYOUT!$E$2:$E$80,0)),""))</f>
        <v/>
      </c>
      <c r="W374" s="12">
        <f>IF(AND(T374="",U374=""),IF(AND(L374="",M374="",P374="",Q374=""),IF(OR($D374&lt;&gt;"",$E374&lt;&gt;""),"Belum ditempatkan",""),""),IF(T374="","CEK JENIS FIXTURE kosong",IF(LEFT(T374,4)&lt;&gt;"Wall","CEK Fixture 3 hanya Wall",IF(U374="","CEK SHELVING KE kosong",IF(ISNA(MATCH(T374&amp;"|"&amp;U374,LAYOUT!$E$2:$E$80,0)),"CEK SHELVING KE di luar layout",IF($I374="","CEK SERIES kosong",IF($D374="","Zona STOCK",IF($E374="","CEK SKU DESCRIPTION kosong",IF(COUNTIFS($I$2:$I$500,$I374,T$2:T$500,"&lt;&gt;"&amp;T374,T$2:T$500,"&lt;&gt;")&gt;0,"CEK jenis fixture beda dalam satu series","OK")))))))))</f>
        <v/>
      </c>
      <c r="X374" s="11" t="n"/>
      <c r="Y374" s="11" t="n"/>
      <c r="Z374" s="12" t="n"/>
      <c r="AA374" s="12" t="n"/>
      <c r="AB374" s="11" t="n"/>
      <c r="AC374" s="11" t="n"/>
      <c r="AD374" s="11" t="n"/>
      <c r="AE374" s="11" t="n"/>
      <c r="AF374" s="11" t="n"/>
      <c r="AG374" s="11" t="n"/>
      <c r="AH374" s="12" t="n"/>
      <c r="AI374" s="12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>
        <f>IF(OR(L375="",M375=""),"",IFERROR(INDEX(LAYOUT!$D$2:$D$80,MATCH(L375&amp;"|"&amp;M375,LAYOUT!$E$2:$E$80,0)),""))</f>
        <v/>
      </c>
      <c r="O375" s="12">
        <f>IF(AND(L375="",M375=""),IF(AND(P375="",Q375="",T375="",U375=""),IF(OR($D375&lt;&gt;"",$E375&lt;&gt;""),"Belum ditempatkan",""),""),IF(L375="","CEK JENIS FIXTURE kosong",IF(AND(LEFT(L375,7)&lt;&gt;"Gondola",LEFT(L375,6)&lt;&gt;"Endcap"),"CEK Fixture 1 hanya Gondola atau Endcap",IF(M375="","CEK SHELVING KE kosong",IF(ISNA(MATCH(L375&amp;"|"&amp;M375,LAYOUT!$E$2:$E$80,0)),"CEK SHELVING KE di luar layout",IF($I375="","CEK SERIES kosong",IF($D375="","Zona STOCK",IF($E375="","CEK SKU DESCRIPTION kosong",IF(COUNTIFS($I$2:$I$500,$I375,L$2:L$500,"&lt;&gt;"&amp;L375,L$2:L$500,"&lt;&gt;")&gt;0,"CEK jenis fixture beda dalam satu series","OK")))))))))</f>
        <v/>
      </c>
      <c r="P375" s="11" t="n"/>
      <c r="Q375" s="11" t="n"/>
      <c r="R375" s="11">
        <f>IF(OR(P375="",Q375=""),"",IFERROR(INDEX(LAYOUT!$D$2:$D$80,MATCH(P375&amp;"|"&amp;Q375,LAYOUT!$E$2:$E$80,0)),""))</f>
        <v/>
      </c>
      <c r="S375" s="12">
        <f>IF(AND(P375="",Q375=""),IF(AND(L375="",M375="",T375="",U375=""),IF(OR($D375&lt;&gt;"",$E375&lt;&gt;""),"Belum ditempatkan",""),""),IF(P375="","CEK JENIS FIXTURE kosong",IF(LEFT(P375,4)&lt;&gt;"Wall","CEK Fixture 2 hanya Wall",IF(Q375="","CEK SHELVING KE kosong",IF(ISNA(MATCH(P375&amp;"|"&amp;Q375,LAYOUT!$E$2:$E$80,0)),"CEK SHELVING KE di luar layout",IF($I375="","CEK SERIES kosong",IF($D375="","Zona STOCK",IF($E375="","CEK SKU DESCRIPTION kosong",IF(COUNTIFS($I$2:$I$500,$I375,P$2:P$500,"&lt;&gt;"&amp;P375,P$2:P$500,"&lt;&gt;")&gt;0,"CEK jenis fixture beda dalam satu series","OK")))))))))</f>
        <v/>
      </c>
      <c r="T375" s="11" t="n"/>
      <c r="U375" s="11" t="n"/>
      <c r="V375" s="11">
        <f>IF(OR(T375="",U375=""),"",IFERROR(INDEX(LAYOUT!$D$2:$D$80,MATCH(T375&amp;"|"&amp;U375,LAYOUT!$E$2:$E$80,0)),""))</f>
        <v/>
      </c>
      <c r="W375" s="12">
        <f>IF(AND(T375="",U375=""),IF(AND(L375="",M375="",P375="",Q375=""),IF(OR($D375&lt;&gt;"",$E375&lt;&gt;""),"Belum ditempatkan",""),""),IF(T375="","CEK JENIS FIXTURE kosong",IF(LEFT(T375,4)&lt;&gt;"Wall","CEK Fixture 3 hanya Wall",IF(U375="","CEK SHELVING KE kosong",IF(ISNA(MATCH(T375&amp;"|"&amp;U375,LAYOUT!$E$2:$E$80,0)),"CEK SHELVING KE di luar layout",IF($I375="","CEK SERIES kosong",IF($D375="","Zona STOCK",IF($E375="","CEK SKU DESCRIPTION kosong",IF(COUNTIFS($I$2:$I$500,$I375,T$2:T$500,"&lt;&gt;"&amp;T375,T$2:T$500,"&lt;&gt;")&gt;0,"CEK jenis fixture beda dalam satu series","OK")))))))))</f>
        <v/>
      </c>
      <c r="X375" s="11" t="n"/>
      <c r="Y375" s="11" t="n"/>
      <c r="Z375" s="12" t="n"/>
      <c r="AA375" s="12" t="n"/>
      <c r="AB375" s="11" t="n"/>
      <c r="AC375" s="11" t="n"/>
      <c r="AD375" s="11" t="n"/>
      <c r="AE375" s="11" t="n"/>
      <c r="AF375" s="11" t="n"/>
      <c r="AG375" s="11" t="n"/>
      <c r="AH375" s="12" t="n"/>
      <c r="AI375" s="12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>
        <f>IF(OR(L376="",M376=""),"",IFERROR(INDEX(LAYOUT!$D$2:$D$80,MATCH(L376&amp;"|"&amp;M376,LAYOUT!$E$2:$E$80,0)),""))</f>
        <v/>
      </c>
      <c r="O376" s="12">
        <f>IF(AND(L376="",M376=""),IF(AND(P376="",Q376="",T376="",U376=""),IF(OR($D376&lt;&gt;"",$E376&lt;&gt;""),"Belum ditempatkan",""),""),IF(L376="","CEK JENIS FIXTURE kosong",IF(AND(LEFT(L376,7)&lt;&gt;"Gondola",LEFT(L376,6)&lt;&gt;"Endcap"),"CEK Fixture 1 hanya Gondola atau Endcap",IF(M376="","CEK SHELVING KE kosong",IF(ISNA(MATCH(L376&amp;"|"&amp;M376,LAYOUT!$E$2:$E$80,0)),"CEK SHELVING KE di luar layout",IF($I376="","CEK SERIES kosong",IF($D376="","Zona STOCK",IF($E376="","CEK SKU DESCRIPTION kosong",IF(COUNTIFS($I$2:$I$500,$I376,L$2:L$500,"&lt;&gt;"&amp;L376,L$2:L$500,"&lt;&gt;")&gt;0,"CEK jenis fixture beda dalam satu series","OK")))))))))</f>
        <v/>
      </c>
      <c r="P376" s="11" t="n"/>
      <c r="Q376" s="11" t="n"/>
      <c r="R376" s="11">
        <f>IF(OR(P376="",Q376=""),"",IFERROR(INDEX(LAYOUT!$D$2:$D$80,MATCH(P376&amp;"|"&amp;Q376,LAYOUT!$E$2:$E$80,0)),""))</f>
        <v/>
      </c>
      <c r="S376" s="12">
        <f>IF(AND(P376="",Q376=""),IF(AND(L376="",M376="",T376="",U376=""),IF(OR($D376&lt;&gt;"",$E376&lt;&gt;""),"Belum ditempatkan",""),""),IF(P376="","CEK JENIS FIXTURE kosong",IF(LEFT(P376,4)&lt;&gt;"Wall","CEK Fixture 2 hanya Wall",IF(Q376="","CEK SHELVING KE kosong",IF(ISNA(MATCH(P376&amp;"|"&amp;Q376,LAYOUT!$E$2:$E$80,0)),"CEK SHELVING KE di luar layout",IF($I376="","CEK SERIES kosong",IF($D376="","Zona STOCK",IF($E376="","CEK SKU DESCRIPTION kosong",IF(COUNTIFS($I$2:$I$500,$I376,P$2:P$500,"&lt;&gt;"&amp;P376,P$2:P$500,"&lt;&gt;")&gt;0,"CEK jenis fixture beda dalam satu series","OK")))))))))</f>
        <v/>
      </c>
      <c r="T376" s="11" t="n"/>
      <c r="U376" s="11" t="n"/>
      <c r="V376" s="11">
        <f>IF(OR(T376="",U376=""),"",IFERROR(INDEX(LAYOUT!$D$2:$D$80,MATCH(T376&amp;"|"&amp;U376,LAYOUT!$E$2:$E$80,0)),""))</f>
        <v/>
      </c>
      <c r="W376" s="12">
        <f>IF(AND(T376="",U376=""),IF(AND(L376="",M376="",P376="",Q376=""),IF(OR($D376&lt;&gt;"",$E376&lt;&gt;""),"Belum ditempatkan",""),""),IF(T376="","CEK JENIS FIXTURE kosong",IF(LEFT(T376,4)&lt;&gt;"Wall","CEK Fixture 3 hanya Wall",IF(U376="","CEK SHELVING KE kosong",IF(ISNA(MATCH(T376&amp;"|"&amp;U376,LAYOUT!$E$2:$E$80,0)),"CEK SHELVING KE di luar layout",IF($I376="","CEK SERIES kosong",IF($D376="","Zona STOCK",IF($E376="","CEK SKU DESCRIPTION kosong",IF(COUNTIFS($I$2:$I$500,$I376,T$2:T$500,"&lt;&gt;"&amp;T376,T$2:T$500,"&lt;&gt;")&gt;0,"CEK jenis fixture beda dalam satu series","OK")))))))))</f>
        <v/>
      </c>
      <c r="X376" s="11" t="n"/>
      <c r="Y376" s="11" t="n"/>
      <c r="Z376" s="12" t="n"/>
      <c r="AA376" s="12" t="n"/>
      <c r="AB376" s="11" t="n"/>
      <c r="AC376" s="11" t="n"/>
      <c r="AD376" s="11" t="n"/>
      <c r="AE376" s="11" t="n"/>
      <c r="AF376" s="11" t="n"/>
      <c r="AG376" s="11" t="n"/>
      <c r="AH376" s="12" t="n"/>
      <c r="AI376" s="12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>
        <f>IF(OR(L377="",M377=""),"",IFERROR(INDEX(LAYOUT!$D$2:$D$80,MATCH(L377&amp;"|"&amp;M377,LAYOUT!$E$2:$E$80,0)),""))</f>
        <v/>
      </c>
      <c r="O377" s="12">
        <f>IF(AND(L377="",M377=""),IF(AND(P377="",Q377="",T377="",U377=""),IF(OR($D377&lt;&gt;"",$E377&lt;&gt;""),"Belum ditempatkan",""),""),IF(L377="","CEK JENIS FIXTURE kosong",IF(AND(LEFT(L377,7)&lt;&gt;"Gondola",LEFT(L377,6)&lt;&gt;"Endcap"),"CEK Fixture 1 hanya Gondola atau Endcap",IF(M377="","CEK SHELVING KE kosong",IF(ISNA(MATCH(L377&amp;"|"&amp;M377,LAYOUT!$E$2:$E$80,0)),"CEK SHELVING KE di luar layout",IF($I377="","CEK SERIES kosong",IF($D377="","Zona STOCK",IF($E377="","CEK SKU DESCRIPTION kosong",IF(COUNTIFS($I$2:$I$500,$I377,L$2:L$500,"&lt;&gt;"&amp;L377,L$2:L$500,"&lt;&gt;")&gt;0,"CEK jenis fixture beda dalam satu series","OK")))))))))</f>
        <v/>
      </c>
      <c r="P377" s="11" t="n"/>
      <c r="Q377" s="11" t="n"/>
      <c r="R377" s="11">
        <f>IF(OR(P377="",Q377=""),"",IFERROR(INDEX(LAYOUT!$D$2:$D$80,MATCH(P377&amp;"|"&amp;Q377,LAYOUT!$E$2:$E$80,0)),""))</f>
        <v/>
      </c>
      <c r="S377" s="12">
        <f>IF(AND(P377="",Q377=""),IF(AND(L377="",M377="",T377="",U377=""),IF(OR($D377&lt;&gt;"",$E377&lt;&gt;""),"Belum ditempatkan",""),""),IF(P377="","CEK JENIS FIXTURE kosong",IF(LEFT(P377,4)&lt;&gt;"Wall","CEK Fixture 2 hanya Wall",IF(Q377="","CEK SHELVING KE kosong",IF(ISNA(MATCH(P377&amp;"|"&amp;Q377,LAYOUT!$E$2:$E$80,0)),"CEK SHELVING KE di luar layout",IF($I377="","CEK SERIES kosong",IF($D377="","Zona STOCK",IF($E377="","CEK SKU DESCRIPTION kosong",IF(COUNTIFS($I$2:$I$500,$I377,P$2:P$500,"&lt;&gt;"&amp;P377,P$2:P$500,"&lt;&gt;")&gt;0,"CEK jenis fixture beda dalam satu series","OK")))))))))</f>
        <v/>
      </c>
      <c r="T377" s="11" t="n"/>
      <c r="U377" s="11" t="n"/>
      <c r="V377" s="11">
        <f>IF(OR(T377="",U377=""),"",IFERROR(INDEX(LAYOUT!$D$2:$D$80,MATCH(T377&amp;"|"&amp;U377,LAYOUT!$E$2:$E$80,0)),""))</f>
        <v/>
      </c>
      <c r="W377" s="12">
        <f>IF(AND(T377="",U377=""),IF(AND(L377="",M377="",P377="",Q377=""),IF(OR($D377&lt;&gt;"",$E377&lt;&gt;""),"Belum ditempatkan",""),""),IF(T377="","CEK JENIS FIXTURE kosong",IF(LEFT(T377,4)&lt;&gt;"Wall","CEK Fixture 3 hanya Wall",IF(U377="","CEK SHELVING KE kosong",IF(ISNA(MATCH(T377&amp;"|"&amp;U377,LAYOUT!$E$2:$E$80,0)),"CEK SHELVING KE di luar layout",IF($I377="","CEK SERIES kosong",IF($D377="","Zona STOCK",IF($E377="","CEK SKU DESCRIPTION kosong",IF(COUNTIFS($I$2:$I$500,$I377,T$2:T$500,"&lt;&gt;"&amp;T377,T$2:T$500,"&lt;&gt;")&gt;0,"CEK jenis fixture beda dalam satu series","OK")))))))))</f>
        <v/>
      </c>
      <c r="X377" s="11" t="n"/>
      <c r="Y377" s="11" t="n"/>
      <c r="Z377" s="12" t="n"/>
      <c r="AA377" s="12" t="n"/>
      <c r="AB377" s="11" t="n"/>
      <c r="AC377" s="11" t="n"/>
      <c r="AD377" s="11" t="n"/>
      <c r="AE377" s="11" t="n"/>
      <c r="AF377" s="11" t="n"/>
      <c r="AG377" s="11" t="n"/>
      <c r="AH377" s="12" t="n"/>
      <c r="AI377" s="12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>
        <f>IF(OR(L378="",M378=""),"",IFERROR(INDEX(LAYOUT!$D$2:$D$80,MATCH(L378&amp;"|"&amp;M378,LAYOUT!$E$2:$E$80,0)),""))</f>
        <v/>
      </c>
      <c r="O378" s="12">
        <f>IF(AND(L378="",M378=""),IF(AND(P378="",Q378="",T378="",U378=""),IF(OR($D378&lt;&gt;"",$E378&lt;&gt;""),"Belum ditempatkan",""),""),IF(L378="","CEK JENIS FIXTURE kosong",IF(AND(LEFT(L378,7)&lt;&gt;"Gondola",LEFT(L378,6)&lt;&gt;"Endcap"),"CEK Fixture 1 hanya Gondola atau Endcap",IF(M378="","CEK SHELVING KE kosong",IF(ISNA(MATCH(L378&amp;"|"&amp;M378,LAYOUT!$E$2:$E$80,0)),"CEK SHELVING KE di luar layout",IF($I378="","CEK SERIES kosong",IF($D378="","Zona STOCK",IF($E378="","CEK SKU DESCRIPTION kosong",IF(COUNTIFS($I$2:$I$500,$I378,L$2:L$500,"&lt;&gt;"&amp;L378,L$2:L$500,"&lt;&gt;")&gt;0,"CEK jenis fixture beda dalam satu series","OK")))))))))</f>
        <v/>
      </c>
      <c r="P378" s="11" t="n"/>
      <c r="Q378" s="11" t="n"/>
      <c r="R378" s="11">
        <f>IF(OR(P378="",Q378=""),"",IFERROR(INDEX(LAYOUT!$D$2:$D$80,MATCH(P378&amp;"|"&amp;Q378,LAYOUT!$E$2:$E$80,0)),""))</f>
        <v/>
      </c>
      <c r="S378" s="12">
        <f>IF(AND(P378="",Q378=""),IF(AND(L378="",M378="",T378="",U378=""),IF(OR($D378&lt;&gt;"",$E378&lt;&gt;""),"Belum ditempatkan",""),""),IF(P378="","CEK JENIS FIXTURE kosong",IF(LEFT(P378,4)&lt;&gt;"Wall","CEK Fixture 2 hanya Wall",IF(Q378="","CEK SHELVING KE kosong",IF(ISNA(MATCH(P378&amp;"|"&amp;Q378,LAYOUT!$E$2:$E$80,0)),"CEK SHELVING KE di luar layout",IF($I378="","CEK SERIES kosong",IF($D378="","Zona STOCK",IF($E378="","CEK SKU DESCRIPTION kosong",IF(COUNTIFS($I$2:$I$500,$I378,P$2:P$500,"&lt;&gt;"&amp;P378,P$2:P$500,"&lt;&gt;")&gt;0,"CEK jenis fixture beda dalam satu series","OK")))))))))</f>
        <v/>
      </c>
      <c r="T378" s="11" t="n"/>
      <c r="U378" s="11" t="n"/>
      <c r="V378" s="11">
        <f>IF(OR(T378="",U378=""),"",IFERROR(INDEX(LAYOUT!$D$2:$D$80,MATCH(T378&amp;"|"&amp;U378,LAYOUT!$E$2:$E$80,0)),""))</f>
        <v/>
      </c>
      <c r="W378" s="12">
        <f>IF(AND(T378="",U378=""),IF(AND(L378="",M378="",P378="",Q378=""),IF(OR($D378&lt;&gt;"",$E378&lt;&gt;""),"Belum ditempatkan",""),""),IF(T378="","CEK JENIS FIXTURE kosong",IF(LEFT(T378,4)&lt;&gt;"Wall","CEK Fixture 3 hanya Wall",IF(U378="","CEK SHELVING KE kosong",IF(ISNA(MATCH(T378&amp;"|"&amp;U378,LAYOUT!$E$2:$E$80,0)),"CEK SHELVING KE di luar layout",IF($I378="","CEK SERIES kosong",IF($D378="","Zona STOCK",IF($E378="","CEK SKU DESCRIPTION kosong",IF(COUNTIFS($I$2:$I$500,$I378,T$2:T$500,"&lt;&gt;"&amp;T378,T$2:T$500,"&lt;&gt;")&gt;0,"CEK jenis fixture beda dalam satu series","OK")))))))))</f>
        <v/>
      </c>
      <c r="X378" s="11" t="n"/>
      <c r="Y378" s="11" t="n"/>
      <c r="Z378" s="12" t="n"/>
      <c r="AA378" s="12" t="n"/>
      <c r="AB378" s="11" t="n"/>
      <c r="AC378" s="11" t="n"/>
      <c r="AD378" s="11" t="n"/>
      <c r="AE378" s="11" t="n"/>
      <c r="AF378" s="11" t="n"/>
      <c r="AG378" s="11" t="n"/>
      <c r="AH378" s="12" t="n"/>
      <c r="AI378" s="12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>
        <f>IF(OR(L379="",M379=""),"",IFERROR(INDEX(LAYOUT!$D$2:$D$80,MATCH(L379&amp;"|"&amp;M379,LAYOUT!$E$2:$E$80,0)),""))</f>
        <v/>
      </c>
      <c r="O379" s="12">
        <f>IF(AND(L379="",M379=""),IF(AND(P379="",Q379="",T379="",U379=""),IF(OR($D379&lt;&gt;"",$E379&lt;&gt;""),"Belum ditempatkan",""),""),IF(L379="","CEK JENIS FIXTURE kosong",IF(AND(LEFT(L379,7)&lt;&gt;"Gondola",LEFT(L379,6)&lt;&gt;"Endcap"),"CEK Fixture 1 hanya Gondola atau Endcap",IF(M379="","CEK SHELVING KE kosong",IF(ISNA(MATCH(L379&amp;"|"&amp;M379,LAYOUT!$E$2:$E$80,0)),"CEK SHELVING KE di luar layout",IF($I379="","CEK SERIES kosong",IF($D379="","Zona STOCK",IF($E379="","CEK SKU DESCRIPTION kosong",IF(COUNTIFS($I$2:$I$500,$I379,L$2:L$500,"&lt;&gt;"&amp;L379,L$2:L$500,"&lt;&gt;")&gt;0,"CEK jenis fixture beda dalam satu series","OK")))))))))</f>
        <v/>
      </c>
      <c r="P379" s="11" t="n"/>
      <c r="Q379" s="11" t="n"/>
      <c r="R379" s="11">
        <f>IF(OR(P379="",Q379=""),"",IFERROR(INDEX(LAYOUT!$D$2:$D$80,MATCH(P379&amp;"|"&amp;Q379,LAYOUT!$E$2:$E$80,0)),""))</f>
        <v/>
      </c>
      <c r="S379" s="12">
        <f>IF(AND(P379="",Q379=""),IF(AND(L379="",M379="",T379="",U379=""),IF(OR($D379&lt;&gt;"",$E379&lt;&gt;""),"Belum ditempatkan",""),""),IF(P379="","CEK JENIS FIXTURE kosong",IF(LEFT(P379,4)&lt;&gt;"Wall","CEK Fixture 2 hanya Wall",IF(Q379="","CEK SHELVING KE kosong",IF(ISNA(MATCH(P379&amp;"|"&amp;Q379,LAYOUT!$E$2:$E$80,0)),"CEK SHELVING KE di luar layout",IF($I379="","CEK SERIES kosong",IF($D379="","Zona STOCK",IF($E379="","CEK SKU DESCRIPTION kosong",IF(COUNTIFS($I$2:$I$500,$I379,P$2:P$500,"&lt;&gt;"&amp;P379,P$2:P$500,"&lt;&gt;")&gt;0,"CEK jenis fixture beda dalam satu series","OK")))))))))</f>
        <v/>
      </c>
      <c r="T379" s="11" t="n"/>
      <c r="U379" s="11" t="n"/>
      <c r="V379" s="11">
        <f>IF(OR(T379="",U379=""),"",IFERROR(INDEX(LAYOUT!$D$2:$D$80,MATCH(T379&amp;"|"&amp;U379,LAYOUT!$E$2:$E$80,0)),""))</f>
        <v/>
      </c>
      <c r="W379" s="12">
        <f>IF(AND(T379="",U379=""),IF(AND(L379="",M379="",P379="",Q379=""),IF(OR($D379&lt;&gt;"",$E379&lt;&gt;""),"Belum ditempatkan",""),""),IF(T379="","CEK JENIS FIXTURE kosong",IF(LEFT(T379,4)&lt;&gt;"Wall","CEK Fixture 3 hanya Wall",IF(U379="","CEK SHELVING KE kosong",IF(ISNA(MATCH(T379&amp;"|"&amp;U379,LAYOUT!$E$2:$E$80,0)),"CEK SHELVING KE di luar layout",IF($I379="","CEK SERIES kosong",IF($D379="","Zona STOCK",IF($E379="","CEK SKU DESCRIPTION kosong",IF(COUNTIFS($I$2:$I$500,$I379,T$2:T$500,"&lt;&gt;"&amp;T379,T$2:T$500,"&lt;&gt;")&gt;0,"CEK jenis fixture beda dalam satu series","OK")))))))))</f>
        <v/>
      </c>
      <c r="X379" s="11" t="n"/>
      <c r="Y379" s="11" t="n"/>
      <c r="Z379" s="12" t="n"/>
      <c r="AA379" s="12" t="n"/>
      <c r="AB379" s="11" t="n"/>
      <c r="AC379" s="11" t="n"/>
      <c r="AD379" s="11" t="n"/>
      <c r="AE379" s="11" t="n"/>
      <c r="AF379" s="11" t="n"/>
      <c r="AG379" s="11" t="n"/>
      <c r="AH379" s="12" t="n"/>
      <c r="AI379" s="12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>
        <f>IF(OR(L380="",M380=""),"",IFERROR(INDEX(LAYOUT!$D$2:$D$80,MATCH(L380&amp;"|"&amp;M380,LAYOUT!$E$2:$E$80,0)),""))</f>
        <v/>
      </c>
      <c r="O380" s="12">
        <f>IF(AND(L380="",M380=""),IF(AND(P380="",Q380="",T380="",U380=""),IF(OR($D380&lt;&gt;"",$E380&lt;&gt;""),"Belum ditempatkan",""),""),IF(L380="","CEK JENIS FIXTURE kosong",IF(AND(LEFT(L380,7)&lt;&gt;"Gondola",LEFT(L380,6)&lt;&gt;"Endcap"),"CEK Fixture 1 hanya Gondola atau Endcap",IF(M380="","CEK SHELVING KE kosong",IF(ISNA(MATCH(L380&amp;"|"&amp;M380,LAYOUT!$E$2:$E$80,0)),"CEK SHELVING KE di luar layout",IF($I380="","CEK SERIES kosong",IF($D380="","Zona STOCK",IF($E380="","CEK SKU DESCRIPTION kosong",IF(COUNTIFS($I$2:$I$500,$I380,L$2:L$500,"&lt;&gt;"&amp;L380,L$2:L$500,"&lt;&gt;")&gt;0,"CEK jenis fixture beda dalam satu series","OK")))))))))</f>
        <v/>
      </c>
      <c r="P380" s="11" t="n"/>
      <c r="Q380" s="11" t="n"/>
      <c r="R380" s="11">
        <f>IF(OR(P380="",Q380=""),"",IFERROR(INDEX(LAYOUT!$D$2:$D$80,MATCH(P380&amp;"|"&amp;Q380,LAYOUT!$E$2:$E$80,0)),""))</f>
        <v/>
      </c>
      <c r="S380" s="12">
        <f>IF(AND(P380="",Q380=""),IF(AND(L380="",M380="",T380="",U380=""),IF(OR($D380&lt;&gt;"",$E380&lt;&gt;""),"Belum ditempatkan",""),""),IF(P380="","CEK JENIS FIXTURE kosong",IF(LEFT(P380,4)&lt;&gt;"Wall","CEK Fixture 2 hanya Wall",IF(Q380="","CEK SHELVING KE kosong",IF(ISNA(MATCH(P380&amp;"|"&amp;Q380,LAYOUT!$E$2:$E$80,0)),"CEK SHELVING KE di luar layout",IF($I380="","CEK SERIES kosong",IF($D380="","Zona STOCK",IF($E380="","CEK SKU DESCRIPTION kosong",IF(COUNTIFS($I$2:$I$500,$I380,P$2:P$500,"&lt;&gt;"&amp;P380,P$2:P$500,"&lt;&gt;")&gt;0,"CEK jenis fixture beda dalam satu series","OK")))))))))</f>
        <v/>
      </c>
      <c r="T380" s="11" t="n"/>
      <c r="U380" s="11" t="n"/>
      <c r="V380" s="11">
        <f>IF(OR(T380="",U380=""),"",IFERROR(INDEX(LAYOUT!$D$2:$D$80,MATCH(T380&amp;"|"&amp;U380,LAYOUT!$E$2:$E$80,0)),""))</f>
        <v/>
      </c>
      <c r="W380" s="12">
        <f>IF(AND(T380="",U380=""),IF(AND(L380="",M380="",P380="",Q380=""),IF(OR($D380&lt;&gt;"",$E380&lt;&gt;""),"Belum ditempatkan",""),""),IF(T380="","CEK JENIS FIXTURE kosong",IF(LEFT(T380,4)&lt;&gt;"Wall","CEK Fixture 3 hanya Wall",IF(U380="","CEK SHELVING KE kosong",IF(ISNA(MATCH(T380&amp;"|"&amp;U380,LAYOUT!$E$2:$E$80,0)),"CEK SHELVING KE di luar layout",IF($I380="","CEK SERIES kosong",IF($D380="","Zona STOCK",IF($E380="","CEK SKU DESCRIPTION kosong",IF(COUNTIFS($I$2:$I$500,$I380,T$2:T$500,"&lt;&gt;"&amp;T380,T$2:T$500,"&lt;&gt;")&gt;0,"CEK jenis fixture beda dalam satu series","OK")))))))))</f>
        <v/>
      </c>
      <c r="X380" s="11" t="n"/>
      <c r="Y380" s="11" t="n"/>
      <c r="Z380" s="12" t="n"/>
      <c r="AA380" s="12" t="n"/>
      <c r="AB380" s="11" t="n"/>
      <c r="AC380" s="11" t="n"/>
      <c r="AD380" s="11" t="n"/>
      <c r="AE380" s="11" t="n"/>
      <c r="AF380" s="11" t="n"/>
      <c r="AG380" s="11" t="n"/>
      <c r="AH380" s="12" t="n"/>
      <c r="AI380" s="12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>
        <f>IF(OR(L381="",M381=""),"",IFERROR(INDEX(LAYOUT!$D$2:$D$80,MATCH(L381&amp;"|"&amp;M381,LAYOUT!$E$2:$E$80,0)),""))</f>
        <v/>
      </c>
      <c r="O381" s="12">
        <f>IF(AND(L381="",M381=""),IF(AND(P381="",Q381="",T381="",U381=""),IF(OR($D381&lt;&gt;"",$E381&lt;&gt;""),"Belum ditempatkan",""),""),IF(L381="","CEK JENIS FIXTURE kosong",IF(AND(LEFT(L381,7)&lt;&gt;"Gondola",LEFT(L381,6)&lt;&gt;"Endcap"),"CEK Fixture 1 hanya Gondola atau Endcap",IF(M381="","CEK SHELVING KE kosong",IF(ISNA(MATCH(L381&amp;"|"&amp;M381,LAYOUT!$E$2:$E$80,0)),"CEK SHELVING KE di luar layout",IF($I381="","CEK SERIES kosong",IF($D381="","Zona STOCK",IF($E381="","CEK SKU DESCRIPTION kosong",IF(COUNTIFS($I$2:$I$500,$I381,L$2:L$500,"&lt;&gt;"&amp;L381,L$2:L$500,"&lt;&gt;")&gt;0,"CEK jenis fixture beda dalam satu series","OK")))))))))</f>
        <v/>
      </c>
      <c r="P381" s="11" t="n"/>
      <c r="Q381" s="11" t="n"/>
      <c r="R381" s="11">
        <f>IF(OR(P381="",Q381=""),"",IFERROR(INDEX(LAYOUT!$D$2:$D$80,MATCH(P381&amp;"|"&amp;Q381,LAYOUT!$E$2:$E$80,0)),""))</f>
        <v/>
      </c>
      <c r="S381" s="12">
        <f>IF(AND(P381="",Q381=""),IF(AND(L381="",M381="",T381="",U381=""),IF(OR($D381&lt;&gt;"",$E381&lt;&gt;""),"Belum ditempatkan",""),""),IF(P381="","CEK JENIS FIXTURE kosong",IF(LEFT(P381,4)&lt;&gt;"Wall","CEK Fixture 2 hanya Wall",IF(Q381="","CEK SHELVING KE kosong",IF(ISNA(MATCH(P381&amp;"|"&amp;Q381,LAYOUT!$E$2:$E$80,0)),"CEK SHELVING KE di luar layout",IF($I381="","CEK SERIES kosong",IF($D381="","Zona STOCK",IF($E381="","CEK SKU DESCRIPTION kosong",IF(COUNTIFS($I$2:$I$500,$I381,P$2:P$500,"&lt;&gt;"&amp;P381,P$2:P$500,"&lt;&gt;")&gt;0,"CEK jenis fixture beda dalam satu series","OK")))))))))</f>
        <v/>
      </c>
      <c r="T381" s="11" t="n"/>
      <c r="U381" s="11" t="n"/>
      <c r="V381" s="11">
        <f>IF(OR(T381="",U381=""),"",IFERROR(INDEX(LAYOUT!$D$2:$D$80,MATCH(T381&amp;"|"&amp;U381,LAYOUT!$E$2:$E$80,0)),""))</f>
        <v/>
      </c>
      <c r="W381" s="12">
        <f>IF(AND(T381="",U381=""),IF(AND(L381="",M381="",P381="",Q381=""),IF(OR($D381&lt;&gt;"",$E381&lt;&gt;""),"Belum ditempatkan",""),""),IF(T381="","CEK JENIS FIXTURE kosong",IF(LEFT(T381,4)&lt;&gt;"Wall","CEK Fixture 3 hanya Wall",IF(U381="","CEK SHELVING KE kosong",IF(ISNA(MATCH(T381&amp;"|"&amp;U381,LAYOUT!$E$2:$E$80,0)),"CEK SHELVING KE di luar layout",IF($I381="","CEK SERIES kosong",IF($D381="","Zona STOCK",IF($E381="","CEK SKU DESCRIPTION kosong",IF(COUNTIFS($I$2:$I$500,$I381,T$2:T$500,"&lt;&gt;"&amp;T381,T$2:T$500,"&lt;&gt;")&gt;0,"CEK jenis fixture beda dalam satu series","OK")))))))))</f>
        <v/>
      </c>
      <c r="X381" s="11" t="n"/>
      <c r="Y381" s="11" t="n"/>
      <c r="Z381" s="12" t="n"/>
      <c r="AA381" s="12" t="n"/>
      <c r="AB381" s="11" t="n"/>
      <c r="AC381" s="11" t="n"/>
      <c r="AD381" s="11" t="n"/>
      <c r="AE381" s="11" t="n"/>
      <c r="AF381" s="11" t="n"/>
      <c r="AG381" s="11" t="n"/>
      <c r="AH381" s="12" t="n"/>
      <c r="AI381" s="12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>
        <f>IF(OR(L382="",M382=""),"",IFERROR(INDEX(LAYOUT!$D$2:$D$80,MATCH(L382&amp;"|"&amp;M382,LAYOUT!$E$2:$E$80,0)),""))</f>
        <v/>
      </c>
      <c r="O382" s="12">
        <f>IF(AND(L382="",M382=""),IF(AND(P382="",Q382="",T382="",U382=""),IF(OR($D382&lt;&gt;"",$E382&lt;&gt;""),"Belum ditempatkan",""),""),IF(L382="","CEK JENIS FIXTURE kosong",IF(AND(LEFT(L382,7)&lt;&gt;"Gondola",LEFT(L382,6)&lt;&gt;"Endcap"),"CEK Fixture 1 hanya Gondola atau Endcap",IF(M382="","CEK SHELVING KE kosong",IF(ISNA(MATCH(L382&amp;"|"&amp;M382,LAYOUT!$E$2:$E$80,0)),"CEK SHELVING KE di luar layout",IF($I382="","CEK SERIES kosong",IF($D382="","Zona STOCK",IF($E382="","CEK SKU DESCRIPTION kosong",IF(COUNTIFS($I$2:$I$500,$I382,L$2:L$500,"&lt;&gt;"&amp;L382,L$2:L$500,"&lt;&gt;")&gt;0,"CEK jenis fixture beda dalam satu series","OK")))))))))</f>
        <v/>
      </c>
      <c r="P382" s="11" t="n"/>
      <c r="Q382" s="11" t="n"/>
      <c r="R382" s="11">
        <f>IF(OR(P382="",Q382=""),"",IFERROR(INDEX(LAYOUT!$D$2:$D$80,MATCH(P382&amp;"|"&amp;Q382,LAYOUT!$E$2:$E$80,0)),""))</f>
        <v/>
      </c>
      <c r="S382" s="12">
        <f>IF(AND(P382="",Q382=""),IF(AND(L382="",M382="",T382="",U382=""),IF(OR($D382&lt;&gt;"",$E382&lt;&gt;""),"Belum ditempatkan",""),""),IF(P382="","CEK JENIS FIXTURE kosong",IF(LEFT(P382,4)&lt;&gt;"Wall","CEK Fixture 2 hanya Wall",IF(Q382="","CEK SHELVING KE kosong",IF(ISNA(MATCH(P382&amp;"|"&amp;Q382,LAYOUT!$E$2:$E$80,0)),"CEK SHELVING KE di luar layout",IF($I382="","CEK SERIES kosong",IF($D382="","Zona STOCK",IF($E382="","CEK SKU DESCRIPTION kosong",IF(COUNTIFS($I$2:$I$500,$I382,P$2:P$500,"&lt;&gt;"&amp;P382,P$2:P$500,"&lt;&gt;")&gt;0,"CEK jenis fixture beda dalam satu series","OK")))))))))</f>
        <v/>
      </c>
      <c r="T382" s="11" t="n"/>
      <c r="U382" s="11" t="n"/>
      <c r="V382" s="11">
        <f>IF(OR(T382="",U382=""),"",IFERROR(INDEX(LAYOUT!$D$2:$D$80,MATCH(T382&amp;"|"&amp;U382,LAYOUT!$E$2:$E$80,0)),""))</f>
        <v/>
      </c>
      <c r="W382" s="12">
        <f>IF(AND(T382="",U382=""),IF(AND(L382="",M382="",P382="",Q382=""),IF(OR($D382&lt;&gt;"",$E382&lt;&gt;""),"Belum ditempatkan",""),""),IF(T382="","CEK JENIS FIXTURE kosong",IF(LEFT(T382,4)&lt;&gt;"Wall","CEK Fixture 3 hanya Wall",IF(U382="","CEK SHELVING KE kosong",IF(ISNA(MATCH(T382&amp;"|"&amp;U382,LAYOUT!$E$2:$E$80,0)),"CEK SHELVING KE di luar layout",IF($I382="","CEK SERIES kosong",IF($D382="","Zona STOCK",IF($E382="","CEK SKU DESCRIPTION kosong",IF(COUNTIFS($I$2:$I$500,$I382,T$2:T$500,"&lt;&gt;"&amp;T382,T$2:T$500,"&lt;&gt;")&gt;0,"CEK jenis fixture beda dalam satu series","OK")))))))))</f>
        <v/>
      </c>
      <c r="X382" s="11" t="n"/>
      <c r="Y382" s="11" t="n"/>
      <c r="Z382" s="12" t="n"/>
      <c r="AA382" s="12" t="n"/>
      <c r="AB382" s="11" t="n"/>
      <c r="AC382" s="11" t="n"/>
      <c r="AD382" s="11" t="n"/>
      <c r="AE382" s="11" t="n"/>
      <c r="AF382" s="11" t="n"/>
      <c r="AG382" s="11" t="n"/>
      <c r="AH382" s="12" t="n"/>
      <c r="AI382" s="12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>
        <f>IF(OR(L383="",M383=""),"",IFERROR(INDEX(LAYOUT!$D$2:$D$80,MATCH(L383&amp;"|"&amp;M383,LAYOUT!$E$2:$E$80,0)),""))</f>
        <v/>
      </c>
      <c r="O383" s="12">
        <f>IF(AND(L383="",M383=""),IF(AND(P383="",Q383="",T383="",U383=""),IF(OR($D383&lt;&gt;"",$E383&lt;&gt;""),"Belum ditempatkan",""),""),IF(L383="","CEK JENIS FIXTURE kosong",IF(AND(LEFT(L383,7)&lt;&gt;"Gondola",LEFT(L383,6)&lt;&gt;"Endcap"),"CEK Fixture 1 hanya Gondola atau Endcap",IF(M383="","CEK SHELVING KE kosong",IF(ISNA(MATCH(L383&amp;"|"&amp;M383,LAYOUT!$E$2:$E$80,0)),"CEK SHELVING KE di luar layout",IF($I383="","CEK SERIES kosong",IF($D383="","Zona STOCK",IF($E383="","CEK SKU DESCRIPTION kosong",IF(COUNTIFS($I$2:$I$500,$I383,L$2:L$500,"&lt;&gt;"&amp;L383,L$2:L$500,"&lt;&gt;")&gt;0,"CEK jenis fixture beda dalam satu series","OK")))))))))</f>
        <v/>
      </c>
      <c r="P383" s="11" t="n"/>
      <c r="Q383" s="11" t="n"/>
      <c r="R383" s="11">
        <f>IF(OR(P383="",Q383=""),"",IFERROR(INDEX(LAYOUT!$D$2:$D$80,MATCH(P383&amp;"|"&amp;Q383,LAYOUT!$E$2:$E$80,0)),""))</f>
        <v/>
      </c>
      <c r="S383" s="12">
        <f>IF(AND(P383="",Q383=""),IF(AND(L383="",M383="",T383="",U383=""),IF(OR($D383&lt;&gt;"",$E383&lt;&gt;""),"Belum ditempatkan",""),""),IF(P383="","CEK JENIS FIXTURE kosong",IF(LEFT(P383,4)&lt;&gt;"Wall","CEK Fixture 2 hanya Wall",IF(Q383="","CEK SHELVING KE kosong",IF(ISNA(MATCH(P383&amp;"|"&amp;Q383,LAYOUT!$E$2:$E$80,0)),"CEK SHELVING KE di luar layout",IF($I383="","CEK SERIES kosong",IF($D383="","Zona STOCK",IF($E383="","CEK SKU DESCRIPTION kosong",IF(COUNTIFS($I$2:$I$500,$I383,P$2:P$500,"&lt;&gt;"&amp;P383,P$2:P$500,"&lt;&gt;")&gt;0,"CEK jenis fixture beda dalam satu series","OK")))))))))</f>
        <v/>
      </c>
      <c r="T383" s="11" t="n"/>
      <c r="U383" s="11" t="n"/>
      <c r="V383" s="11">
        <f>IF(OR(T383="",U383=""),"",IFERROR(INDEX(LAYOUT!$D$2:$D$80,MATCH(T383&amp;"|"&amp;U383,LAYOUT!$E$2:$E$80,0)),""))</f>
        <v/>
      </c>
      <c r="W383" s="12">
        <f>IF(AND(T383="",U383=""),IF(AND(L383="",M383="",P383="",Q383=""),IF(OR($D383&lt;&gt;"",$E383&lt;&gt;""),"Belum ditempatkan",""),""),IF(T383="","CEK JENIS FIXTURE kosong",IF(LEFT(T383,4)&lt;&gt;"Wall","CEK Fixture 3 hanya Wall",IF(U383="","CEK SHELVING KE kosong",IF(ISNA(MATCH(T383&amp;"|"&amp;U383,LAYOUT!$E$2:$E$80,0)),"CEK SHELVING KE di luar layout",IF($I383="","CEK SERIES kosong",IF($D383="","Zona STOCK",IF($E383="","CEK SKU DESCRIPTION kosong",IF(COUNTIFS($I$2:$I$500,$I383,T$2:T$500,"&lt;&gt;"&amp;T383,T$2:T$500,"&lt;&gt;")&gt;0,"CEK jenis fixture beda dalam satu series","OK")))))))))</f>
        <v/>
      </c>
      <c r="X383" s="11" t="n"/>
      <c r="Y383" s="11" t="n"/>
      <c r="Z383" s="12" t="n"/>
      <c r="AA383" s="12" t="n"/>
      <c r="AB383" s="11" t="n"/>
      <c r="AC383" s="11" t="n"/>
      <c r="AD383" s="11" t="n"/>
      <c r="AE383" s="11" t="n"/>
      <c r="AF383" s="11" t="n"/>
      <c r="AG383" s="11" t="n"/>
      <c r="AH383" s="12" t="n"/>
      <c r="AI383" s="12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>
        <f>IF(OR(L384="",M384=""),"",IFERROR(INDEX(LAYOUT!$D$2:$D$80,MATCH(L384&amp;"|"&amp;M384,LAYOUT!$E$2:$E$80,0)),""))</f>
        <v/>
      </c>
      <c r="O384" s="12">
        <f>IF(AND(L384="",M384=""),IF(AND(P384="",Q384="",T384="",U384=""),IF(OR($D384&lt;&gt;"",$E384&lt;&gt;""),"Belum ditempatkan",""),""),IF(L384="","CEK JENIS FIXTURE kosong",IF(AND(LEFT(L384,7)&lt;&gt;"Gondola",LEFT(L384,6)&lt;&gt;"Endcap"),"CEK Fixture 1 hanya Gondola atau Endcap",IF(M384="","CEK SHELVING KE kosong",IF(ISNA(MATCH(L384&amp;"|"&amp;M384,LAYOUT!$E$2:$E$80,0)),"CEK SHELVING KE di luar layout",IF($I384="","CEK SERIES kosong",IF($D384="","Zona STOCK",IF($E384="","CEK SKU DESCRIPTION kosong",IF(COUNTIFS($I$2:$I$500,$I384,L$2:L$500,"&lt;&gt;"&amp;L384,L$2:L$500,"&lt;&gt;")&gt;0,"CEK jenis fixture beda dalam satu series","OK")))))))))</f>
        <v/>
      </c>
      <c r="P384" s="11" t="n"/>
      <c r="Q384" s="11" t="n"/>
      <c r="R384" s="11">
        <f>IF(OR(P384="",Q384=""),"",IFERROR(INDEX(LAYOUT!$D$2:$D$80,MATCH(P384&amp;"|"&amp;Q384,LAYOUT!$E$2:$E$80,0)),""))</f>
        <v/>
      </c>
      <c r="S384" s="12">
        <f>IF(AND(P384="",Q384=""),IF(AND(L384="",M384="",T384="",U384=""),IF(OR($D384&lt;&gt;"",$E384&lt;&gt;""),"Belum ditempatkan",""),""),IF(P384="","CEK JENIS FIXTURE kosong",IF(LEFT(P384,4)&lt;&gt;"Wall","CEK Fixture 2 hanya Wall",IF(Q384="","CEK SHELVING KE kosong",IF(ISNA(MATCH(P384&amp;"|"&amp;Q384,LAYOUT!$E$2:$E$80,0)),"CEK SHELVING KE di luar layout",IF($I384="","CEK SERIES kosong",IF($D384="","Zona STOCK",IF($E384="","CEK SKU DESCRIPTION kosong",IF(COUNTIFS($I$2:$I$500,$I384,P$2:P$500,"&lt;&gt;"&amp;P384,P$2:P$500,"&lt;&gt;")&gt;0,"CEK jenis fixture beda dalam satu series","OK")))))))))</f>
        <v/>
      </c>
      <c r="T384" s="11" t="n"/>
      <c r="U384" s="11" t="n"/>
      <c r="V384" s="11">
        <f>IF(OR(T384="",U384=""),"",IFERROR(INDEX(LAYOUT!$D$2:$D$80,MATCH(T384&amp;"|"&amp;U384,LAYOUT!$E$2:$E$80,0)),""))</f>
        <v/>
      </c>
      <c r="W384" s="12">
        <f>IF(AND(T384="",U384=""),IF(AND(L384="",M384="",P384="",Q384=""),IF(OR($D384&lt;&gt;"",$E384&lt;&gt;""),"Belum ditempatkan",""),""),IF(T384="","CEK JENIS FIXTURE kosong",IF(LEFT(T384,4)&lt;&gt;"Wall","CEK Fixture 3 hanya Wall",IF(U384="","CEK SHELVING KE kosong",IF(ISNA(MATCH(T384&amp;"|"&amp;U384,LAYOUT!$E$2:$E$80,0)),"CEK SHELVING KE di luar layout",IF($I384="","CEK SERIES kosong",IF($D384="","Zona STOCK",IF($E384="","CEK SKU DESCRIPTION kosong",IF(COUNTIFS($I$2:$I$500,$I384,T$2:T$500,"&lt;&gt;"&amp;T384,T$2:T$500,"&lt;&gt;")&gt;0,"CEK jenis fixture beda dalam satu series","OK")))))))))</f>
        <v/>
      </c>
      <c r="X384" s="11" t="n"/>
      <c r="Y384" s="11" t="n"/>
      <c r="Z384" s="12" t="n"/>
      <c r="AA384" s="12" t="n"/>
      <c r="AB384" s="11" t="n"/>
      <c r="AC384" s="11" t="n"/>
      <c r="AD384" s="11" t="n"/>
      <c r="AE384" s="11" t="n"/>
      <c r="AF384" s="11" t="n"/>
      <c r="AG384" s="11" t="n"/>
      <c r="AH384" s="12" t="n"/>
      <c r="AI384" s="12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>
        <f>IF(OR(L385="",M385=""),"",IFERROR(INDEX(LAYOUT!$D$2:$D$80,MATCH(L385&amp;"|"&amp;M385,LAYOUT!$E$2:$E$80,0)),""))</f>
        <v/>
      </c>
      <c r="O385" s="12">
        <f>IF(AND(L385="",M385=""),IF(AND(P385="",Q385="",T385="",U385=""),IF(OR($D385&lt;&gt;"",$E385&lt;&gt;""),"Belum ditempatkan",""),""),IF(L385="","CEK JENIS FIXTURE kosong",IF(AND(LEFT(L385,7)&lt;&gt;"Gondola",LEFT(L385,6)&lt;&gt;"Endcap"),"CEK Fixture 1 hanya Gondola atau Endcap",IF(M385="","CEK SHELVING KE kosong",IF(ISNA(MATCH(L385&amp;"|"&amp;M385,LAYOUT!$E$2:$E$80,0)),"CEK SHELVING KE di luar layout",IF($I385="","CEK SERIES kosong",IF($D385="","Zona STOCK",IF($E385="","CEK SKU DESCRIPTION kosong",IF(COUNTIFS($I$2:$I$500,$I385,L$2:L$500,"&lt;&gt;"&amp;L385,L$2:L$500,"&lt;&gt;")&gt;0,"CEK jenis fixture beda dalam satu series","OK")))))))))</f>
        <v/>
      </c>
      <c r="P385" s="11" t="n"/>
      <c r="Q385" s="11" t="n"/>
      <c r="R385" s="11">
        <f>IF(OR(P385="",Q385=""),"",IFERROR(INDEX(LAYOUT!$D$2:$D$80,MATCH(P385&amp;"|"&amp;Q385,LAYOUT!$E$2:$E$80,0)),""))</f>
        <v/>
      </c>
      <c r="S385" s="12">
        <f>IF(AND(P385="",Q385=""),IF(AND(L385="",M385="",T385="",U385=""),IF(OR($D385&lt;&gt;"",$E385&lt;&gt;""),"Belum ditempatkan",""),""),IF(P385="","CEK JENIS FIXTURE kosong",IF(LEFT(P385,4)&lt;&gt;"Wall","CEK Fixture 2 hanya Wall",IF(Q385="","CEK SHELVING KE kosong",IF(ISNA(MATCH(P385&amp;"|"&amp;Q385,LAYOUT!$E$2:$E$80,0)),"CEK SHELVING KE di luar layout",IF($I385="","CEK SERIES kosong",IF($D385="","Zona STOCK",IF($E385="","CEK SKU DESCRIPTION kosong",IF(COUNTIFS($I$2:$I$500,$I385,P$2:P$500,"&lt;&gt;"&amp;P385,P$2:P$500,"&lt;&gt;")&gt;0,"CEK jenis fixture beda dalam satu series","OK")))))))))</f>
        <v/>
      </c>
      <c r="T385" s="11" t="n"/>
      <c r="U385" s="11" t="n"/>
      <c r="V385" s="11">
        <f>IF(OR(T385="",U385=""),"",IFERROR(INDEX(LAYOUT!$D$2:$D$80,MATCH(T385&amp;"|"&amp;U385,LAYOUT!$E$2:$E$80,0)),""))</f>
        <v/>
      </c>
      <c r="W385" s="12">
        <f>IF(AND(T385="",U385=""),IF(AND(L385="",M385="",P385="",Q385=""),IF(OR($D385&lt;&gt;"",$E385&lt;&gt;""),"Belum ditempatkan",""),""),IF(T385="","CEK JENIS FIXTURE kosong",IF(LEFT(T385,4)&lt;&gt;"Wall","CEK Fixture 3 hanya Wall",IF(U385="","CEK SHELVING KE kosong",IF(ISNA(MATCH(T385&amp;"|"&amp;U385,LAYOUT!$E$2:$E$80,0)),"CEK SHELVING KE di luar layout",IF($I385="","CEK SERIES kosong",IF($D385="","Zona STOCK",IF($E385="","CEK SKU DESCRIPTION kosong",IF(COUNTIFS($I$2:$I$500,$I385,T$2:T$500,"&lt;&gt;"&amp;T385,T$2:T$500,"&lt;&gt;")&gt;0,"CEK jenis fixture beda dalam satu series","OK")))))))))</f>
        <v/>
      </c>
      <c r="X385" s="11" t="n"/>
      <c r="Y385" s="11" t="n"/>
      <c r="Z385" s="12" t="n"/>
      <c r="AA385" s="12" t="n"/>
      <c r="AB385" s="11" t="n"/>
      <c r="AC385" s="11" t="n"/>
      <c r="AD385" s="11" t="n"/>
      <c r="AE385" s="11" t="n"/>
      <c r="AF385" s="11" t="n"/>
      <c r="AG385" s="11" t="n"/>
      <c r="AH385" s="12" t="n"/>
      <c r="AI385" s="12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>
        <f>IF(OR(L386="",M386=""),"",IFERROR(INDEX(LAYOUT!$D$2:$D$80,MATCH(L386&amp;"|"&amp;M386,LAYOUT!$E$2:$E$80,0)),""))</f>
        <v/>
      </c>
      <c r="O386" s="12">
        <f>IF(AND(L386="",M386=""),IF(AND(P386="",Q386="",T386="",U386=""),IF(OR($D386&lt;&gt;"",$E386&lt;&gt;""),"Belum ditempatkan",""),""),IF(L386="","CEK JENIS FIXTURE kosong",IF(AND(LEFT(L386,7)&lt;&gt;"Gondola",LEFT(L386,6)&lt;&gt;"Endcap"),"CEK Fixture 1 hanya Gondola atau Endcap",IF(M386="","CEK SHELVING KE kosong",IF(ISNA(MATCH(L386&amp;"|"&amp;M386,LAYOUT!$E$2:$E$80,0)),"CEK SHELVING KE di luar layout",IF($I386="","CEK SERIES kosong",IF($D386="","Zona STOCK",IF($E386="","CEK SKU DESCRIPTION kosong",IF(COUNTIFS($I$2:$I$500,$I386,L$2:L$500,"&lt;&gt;"&amp;L386,L$2:L$500,"&lt;&gt;")&gt;0,"CEK jenis fixture beda dalam satu series","OK")))))))))</f>
        <v/>
      </c>
      <c r="P386" s="11" t="n"/>
      <c r="Q386" s="11" t="n"/>
      <c r="R386" s="11">
        <f>IF(OR(P386="",Q386=""),"",IFERROR(INDEX(LAYOUT!$D$2:$D$80,MATCH(P386&amp;"|"&amp;Q386,LAYOUT!$E$2:$E$80,0)),""))</f>
        <v/>
      </c>
      <c r="S386" s="12">
        <f>IF(AND(P386="",Q386=""),IF(AND(L386="",M386="",T386="",U386=""),IF(OR($D386&lt;&gt;"",$E386&lt;&gt;""),"Belum ditempatkan",""),""),IF(P386="","CEK JENIS FIXTURE kosong",IF(LEFT(P386,4)&lt;&gt;"Wall","CEK Fixture 2 hanya Wall",IF(Q386="","CEK SHELVING KE kosong",IF(ISNA(MATCH(P386&amp;"|"&amp;Q386,LAYOUT!$E$2:$E$80,0)),"CEK SHELVING KE di luar layout",IF($I386="","CEK SERIES kosong",IF($D386="","Zona STOCK",IF($E386="","CEK SKU DESCRIPTION kosong",IF(COUNTIFS($I$2:$I$500,$I386,P$2:P$500,"&lt;&gt;"&amp;P386,P$2:P$500,"&lt;&gt;")&gt;0,"CEK jenis fixture beda dalam satu series","OK")))))))))</f>
        <v/>
      </c>
      <c r="T386" s="11" t="n"/>
      <c r="U386" s="11" t="n"/>
      <c r="V386" s="11">
        <f>IF(OR(T386="",U386=""),"",IFERROR(INDEX(LAYOUT!$D$2:$D$80,MATCH(T386&amp;"|"&amp;U386,LAYOUT!$E$2:$E$80,0)),""))</f>
        <v/>
      </c>
      <c r="W386" s="12">
        <f>IF(AND(T386="",U386=""),IF(AND(L386="",M386="",P386="",Q386=""),IF(OR($D386&lt;&gt;"",$E386&lt;&gt;""),"Belum ditempatkan",""),""),IF(T386="","CEK JENIS FIXTURE kosong",IF(LEFT(T386,4)&lt;&gt;"Wall","CEK Fixture 3 hanya Wall",IF(U386="","CEK SHELVING KE kosong",IF(ISNA(MATCH(T386&amp;"|"&amp;U386,LAYOUT!$E$2:$E$80,0)),"CEK SHELVING KE di luar layout",IF($I386="","CEK SERIES kosong",IF($D386="","Zona STOCK",IF($E386="","CEK SKU DESCRIPTION kosong",IF(COUNTIFS($I$2:$I$500,$I386,T$2:T$500,"&lt;&gt;"&amp;T386,T$2:T$500,"&lt;&gt;")&gt;0,"CEK jenis fixture beda dalam satu series","OK")))))))))</f>
        <v/>
      </c>
      <c r="X386" s="11" t="n"/>
      <c r="Y386" s="11" t="n"/>
      <c r="Z386" s="12" t="n"/>
      <c r="AA386" s="12" t="n"/>
      <c r="AB386" s="11" t="n"/>
      <c r="AC386" s="11" t="n"/>
      <c r="AD386" s="11" t="n"/>
      <c r="AE386" s="11" t="n"/>
      <c r="AF386" s="11" t="n"/>
      <c r="AG386" s="11" t="n"/>
      <c r="AH386" s="12" t="n"/>
      <c r="AI386" s="12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>
        <f>IF(OR(L387="",M387=""),"",IFERROR(INDEX(LAYOUT!$D$2:$D$80,MATCH(L387&amp;"|"&amp;M387,LAYOUT!$E$2:$E$80,0)),""))</f>
        <v/>
      </c>
      <c r="O387" s="12">
        <f>IF(AND(L387="",M387=""),IF(AND(P387="",Q387="",T387="",U387=""),IF(OR($D387&lt;&gt;"",$E387&lt;&gt;""),"Belum ditempatkan",""),""),IF(L387="","CEK JENIS FIXTURE kosong",IF(AND(LEFT(L387,7)&lt;&gt;"Gondola",LEFT(L387,6)&lt;&gt;"Endcap"),"CEK Fixture 1 hanya Gondola atau Endcap",IF(M387="","CEK SHELVING KE kosong",IF(ISNA(MATCH(L387&amp;"|"&amp;M387,LAYOUT!$E$2:$E$80,0)),"CEK SHELVING KE di luar layout",IF($I387="","CEK SERIES kosong",IF($D387="","Zona STOCK",IF($E387="","CEK SKU DESCRIPTION kosong",IF(COUNTIFS($I$2:$I$500,$I387,L$2:L$500,"&lt;&gt;"&amp;L387,L$2:L$500,"&lt;&gt;")&gt;0,"CEK jenis fixture beda dalam satu series","OK")))))))))</f>
        <v/>
      </c>
      <c r="P387" s="11" t="n"/>
      <c r="Q387" s="11" t="n"/>
      <c r="R387" s="11">
        <f>IF(OR(P387="",Q387=""),"",IFERROR(INDEX(LAYOUT!$D$2:$D$80,MATCH(P387&amp;"|"&amp;Q387,LAYOUT!$E$2:$E$80,0)),""))</f>
        <v/>
      </c>
      <c r="S387" s="12">
        <f>IF(AND(P387="",Q387=""),IF(AND(L387="",M387="",T387="",U387=""),IF(OR($D387&lt;&gt;"",$E387&lt;&gt;""),"Belum ditempatkan",""),""),IF(P387="","CEK JENIS FIXTURE kosong",IF(LEFT(P387,4)&lt;&gt;"Wall","CEK Fixture 2 hanya Wall",IF(Q387="","CEK SHELVING KE kosong",IF(ISNA(MATCH(P387&amp;"|"&amp;Q387,LAYOUT!$E$2:$E$80,0)),"CEK SHELVING KE di luar layout",IF($I387="","CEK SERIES kosong",IF($D387="","Zona STOCK",IF($E387="","CEK SKU DESCRIPTION kosong",IF(COUNTIFS($I$2:$I$500,$I387,P$2:P$500,"&lt;&gt;"&amp;P387,P$2:P$500,"&lt;&gt;")&gt;0,"CEK jenis fixture beda dalam satu series","OK")))))))))</f>
        <v/>
      </c>
      <c r="T387" s="11" t="n"/>
      <c r="U387" s="11" t="n"/>
      <c r="V387" s="11">
        <f>IF(OR(T387="",U387=""),"",IFERROR(INDEX(LAYOUT!$D$2:$D$80,MATCH(T387&amp;"|"&amp;U387,LAYOUT!$E$2:$E$80,0)),""))</f>
        <v/>
      </c>
      <c r="W387" s="12">
        <f>IF(AND(T387="",U387=""),IF(AND(L387="",M387="",P387="",Q387=""),IF(OR($D387&lt;&gt;"",$E387&lt;&gt;""),"Belum ditempatkan",""),""),IF(T387="","CEK JENIS FIXTURE kosong",IF(LEFT(T387,4)&lt;&gt;"Wall","CEK Fixture 3 hanya Wall",IF(U387="","CEK SHELVING KE kosong",IF(ISNA(MATCH(T387&amp;"|"&amp;U387,LAYOUT!$E$2:$E$80,0)),"CEK SHELVING KE di luar layout",IF($I387="","CEK SERIES kosong",IF($D387="","Zona STOCK",IF($E387="","CEK SKU DESCRIPTION kosong",IF(COUNTIFS($I$2:$I$500,$I387,T$2:T$500,"&lt;&gt;"&amp;T387,T$2:T$500,"&lt;&gt;")&gt;0,"CEK jenis fixture beda dalam satu series","OK")))))))))</f>
        <v/>
      </c>
      <c r="X387" s="11" t="n"/>
      <c r="Y387" s="11" t="n"/>
      <c r="Z387" s="12" t="n"/>
      <c r="AA387" s="12" t="n"/>
      <c r="AB387" s="11" t="n"/>
      <c r="AC387" s="11" t="n"/>
      <c r="AD387" s="11" t="n"/>
      <c r="AE387" s="11" t="n"/>
      <c r="AF387" s="11" t="n"/>
      <c r="AG387" s="11" t="n"/>
      <c r="AH387" s="12" t="n"/>
      <c r="AI387" s="12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>
        <f>IF(OR(L388="",M388=""),"",IFERROR(INDEX(LAYOUT!$D$2:$D$80,MATCH(L388&amp;"|"&amp;M388,LAYOUT!$E$2:$E$80,0)),""))</f>
        <v/>
      </c>
      <c r="O388" s="12">
        <f>IF(AND(L388="",M388=""),IF(AND(P388="",Q388="",T388="",U388=""),IF(OR($D388&lt;&gt;"",$E388&lt;&gt;""),"Belum ditempatkan",""),""),IF(L388="","CEK JENIS FIXTURE kosong",IF(AND(LEFT(L388,7)&lt;&gt;"Gondola",LEFT(L388,6)&lt;&gt;"Endcap"),"CEK Fixture 1 hanya Gondola atau Endcap",IF(M388="","CEK SHELVING KE kosong",IF(ISNA(MATCH(L388&amp;"|"&amp;M388,LAYOUT!$E$2:$E$80,0)),"CEK SHELVING KE di luar layout",IF($I388="","CEK SERIES kosong",IF($D388="","Zona STOCK",IF($E388="","CEK SKU DESCRIPTION kosong",IF(COUNTIFS($I$2:$I$500,$I388,L$2:L$500,"&lt;&gt;"&amp;L388,L$2:L$500,"&lt;&gt;")&gt;0,"CEK jenis fixture beda dalam satu series","OK")))))))))</f>
        <v/>
      </c>
      <c r="P388" s="11" t="n"/>
      <c r="Q388" s="11" t="n"/>
      <c r="R388" s="11">
        <f>IF(OR(P388="",Q388=""),"",IFERROR(INDEX(LAYOUT!$D$2:$D$80,MATCH(P388&amp;"|"&amp;Q388,LAYOUT!$E$2:$E$80,0)),""))</f>
        <v/>
      </c>
      <c r="S388" s="12">
        <f>IF(AND(P388="",Q388=""),IF(AND(L388="",M388="",T388="",U388=""),IF(OR($D388&lt;&gt;"",$E388&lt;&gt;""),"Belum ditempatkan",""),""),IF(P388="","CEK JENIS FIXTURE kosong",IF(LEFT(P388,4)&lt;&gt;"Wall","CEK Fixture 2 hanya Wall",IF(Q388="","CEK SHELVING KE kosong",IF(ISNA(MATCH(P388&amp;"|"&amp;Q388,LAYOUT!$E$2:$E$80,0)),"CEK SHELVING KE di luar layout",IF($I388="","CEK SERIES kosong",IF($D388="","Zona STOCK",IF($E388="","CEK SKU DESCRIPTION kosong",IF(COUNTIFS($I$2:$I$500,$I388,P$2:P$500,"&lt;&gt;"&amp;P388,P$2:P$500,"&lt;&gt;")&gt;0,"CEK jenis fixture beda dalam satu series","OK")))))))))</f>
        <v/>
      </c>
      <c r="T388" s="11" t="n"/>
      <c r="U388" s="11" t="n"/>
      <c r="V388" s="11">
        <f>IF(OR(T388="",U388=""),"",IFERROR(INDEX(LAYOUT!$D$2:$D$80,MATCH(T388&amp;"|"&amp;U388,LAYOUT!$E$2:$E$80,0)),""))</f>
        <v/>
      </c>
      <c r="W388" s="12">
        <f>IF(AND(T388="",U388=""),IF(AND(L388="",M388="",P388="",Q388=""),IF(OR($D388&lt;&gt;"",$E388&lt;&gt;""),"Belum ditempatkan",""),""),IF(T388="","CEK JENIS FIXTURE kosong",IF(LEFT(T388,4)&lt;&gt;"Wall","CEK Fixture 3 hanya Wall",IF(U388="","CEK SHELVING KE kosong",IF(ISNA(MATCH(T388&amp;"|"&amp;U388,LAYOUT!$E$2:$E$80,0)),"CEK SHELVING KE di luar layout",IF($I388="","CEK SERIES kosong",IF($D388="","Zona STOCK",IF($E388="","CEK SKU DESCRIPTION kosong",IF(COUNTIFS($I$2:$I$500,$I388,T$2:T$500,"&lt;&gt;"&amp;T388,T$2:T$500,"&lt;&gt;")&gt;0,"CEK jenis fixture beda dalam satu series","OK")))))))))</f>
        <v/>
      </c>
      <c r="X388" s="11" t="n"/>
      <c r="Y388" s="11" t="n"/>
      <c r="Z388" s="12" t="n"/>
      <c r="AA388" s="12" t="n"/>
      <c r="AB388" s="11" t="n"/>
      <c r="AC388" s="11" t="n"/>
      <c r="AD388" s="11" t="n"/>
      <c r="AE388" s="11" t="n"/>
      <c r="AF388" s="11" t="n"/>
      <c r="AG388" s="11" t="n"/>
      <c r="AH388" s="12" t="n"/>
      <c r="AI388" s="12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>
        <f>IF(OR(L389="",M389=""),"",IFERROR(INDEX(LAYOUT!$D$2:$D$80,MATCH(L389&amp;"|"&amp;M389,LAYOUT!$E$2:$E$80,0)),""))</f>
        <v/>
      </c>
      <c r="O389" s="12">
        <f>IF(AND(L389="",M389=""),IF(AND(P389="",Q389="",T389="",U389=""),IF(OR($D389&lt;&gt;"",$E389&lt;&gt;""),"Belum ditempatkan",""),""),IF(L389="","CEK JENIS FIXTURE kosong",IF(AND(LEFT(L389,7)&lt;&gt;"Gondola",LEFT(L389,6)&lt;&gt;"Endcap"),"CEK Fixture 1 hanya Gondola atau Endcap",IF(M389="","CEK SHELVING KE kosong",IF(ISNA(MATCH(L389&amp;"|"&amp;M389,LAYOUT!$E$2:$E$80,0)),"CEK SHELVING KE di luar layout",IF($I389="","CEK SERIES kosong",IF($D389="","Zona STOCK",IF($E389="","CEK SKU DESCRIPTION kosong",IF(COUNTIFS($I$2:$I$500,$I389,L$2:L$500,"&lt;&gt;"&amp;L389,L$2:L$500,"&lt;&gt;")&gt;0,"CEK jenis fixture beda dalam satu series","OK")))))))))</f>
        <v/>
      </c>
      <c r="P389" s="11" t="n"/>
      <c r="Q389" s="11" t="n"/>
      <c r="R389" s="11">
        <f>IF(OR(P389="",Q389=""),"",IFERROR(INDEX(LAYOUT!$D$2:$D$80,MATCH(P389&amp;"|"&amp;Q389,LAYOUT!$E$2:$E$80,0)),""))</f>
        <v/>
      </c>
      <c r="S389" s="12">
        <f>IF(AND(P389="",Q389=""),IF(AND(L389="",M389="",T389="",U389=""),IF(OR($D389&lt;&gt;"",$E389&lt;&gt;""),"Belum ditempatkan",""),""),IF(P389="","CEK JENIS FIXTURE kosong",IF(LEFT(P389,4)&lt;&gt;"Wall","CEK Fixture 2 hanya Wall",IF(Q389="","CEK SHELVING KE kosong",IF(ISNA(MATCH(P389&amp;"|"&amp;Q389,LAYOUT!$E$2:$E$80,0)),"CEK SHELVING KE di luar layout",IF($I389="","CEK SERIES kosong",IF($D389="","Zona STOCK",IF($E389="","CEK SKU DESCRIPTION kosong",IF(COUNTIFS($I$2:$I$500,$I389,P$2:P$500,"&lt;&gt;"&amp;P389,P$2:P$500,"&lt;&gt;")&gt;0,"CEK jenis fixture beda dalam satu series","OK")))))))))</f>
        <v/>
      </c>
      <c r="T389" s="11" t="n"/>
      <c r="U389" s="11" t="n"/>
      <c r="V389" s="11">
        <f>IF(OR(T389="",U389=""),"",IFERROR(INDEX(LAYOUT!$D$2:$D$80,MATCH(T389&amp;"|"&amp;U389,LAYOUT!$E$2:$E$80,0)),""))</f>
        <v/>
      </c>
      <c r="W389" s="12">
        <f>IF(AND(T389="",U389=""),IF(AND(L389="",M389="",P389="",Q389=""),IF(OR($D389&lt;&gt;"",$E389&lt;&gt;""),"Belum ditempatkan",""),""),IF(T389="","CEK JENIS FIXTURE kosong",IF(LEFT(T389,4)&lt;&gt;"Wall","CEK Fixture 3 hanya Wall",IF(U389="","CEK SHELVING KE kosong",IF(ISNA(MATCH(T389&amp;"|"&amp;U389,LAYOUT!$E$2:$E$80,0)),"CEK SHELVING KE di luar layout",IF($I389="","CEK SERIES kosong",IF($D389="","Zona STOCK",IF($E389="","CEK SKU DESCRIPTION kosong",IF(COUNTIFS($I$2:$I$500,$I389,T$2:T$500,"&lt;&gt;"&amp;T389,T$2:T$500,"&lt;&gt;")&gt;0,"CEK jenis fixture beda dalam satu series","OK")))))))))</f>
        <v/>
      </c>
      <c r="X389" s="11" t="n"/>
      <c r="Y389" s="11" t="n"/>
      <c r="Z389" s="12" t="n"/>
      <c r="AA389" s="12" t="n"/>
      <c r="AB389" s="11" t="n"/>
      <c r="AC389" s="11" t="n"/>
      <c r="AD389" s="11" t="n"/>
      <c r="AE389" s="11" t="n"/>
      <c r="AF389" s="11" t="n"/>
      <c r="AG389" s="11" t="n"/>
      <c r="AH389" s="12" t="n"/>
      <c r="AI389" s="12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>
        <f>IF(OR(L390="",M390=""),"",IFERROR(INDEX(LAYOUT!$D$2:$D$80,MATCH(L390&amp;"|"&amp;M390,LAYOUT!$E$2:$E$80,0)),""))</f>
        <v/>
      </c>
      <c r="O390" s="12">
        <f>IF(AND(L390="",M390=""),IF(AND(P390="",Q390="",T390="",U390=""),IF(OR($D390&lt;&gt;"",$E390&lt;&gt;""),"Belum ditempatkan",""),""),IF(L390="","CEK JENIS FIXTURE kosong",IF(AND(LEFT(L390,7)&lt;&gt;"Gondola",LEFT(L390,6)&lt;&gt;"Endcap"),"CEK Fixture 1 hanya Gondola atau Endcap",IF(M390="","CEK SHELVING KE kosong",IF(ISNA(MATCH(L390&amp;"|"&amp;M390,LAYOUT!$E$2:$E$80,0)),"CEK SHELVING KE di luar layout",IF($I390="","CEK SERIES kosong",IF($D390="","Zona STOCK",IF($E390="","CEK SKU DESCRIPTION kosong",IF(COUNTIFS($I$2:$I$500,$I390,L$2:L$500,"&lt;&gt;"&amp;L390,L$2:L$500,"&lt;&gt;")&gt;0,"CEK jenis fixture beda dalam satu series","OK")))))))))</f>
        <v/>
      </c>
      <c r="P390" s="11" t="n"/>
      <c r="Q390" s="11" t="n"/>
      <c r="R390" s="11">
        <f>IF(OR(P390="",Q390=""),"",IFERROR(INDEX(LAYOUT!$D$2:$D$80,MATCH(P390&amp;"|"&amp;Q390,LAYOUT!$E$2:$E$80,0)),""))</f>
        <v/>
      </c>
      <c r="S390" s="12">
        <f>IF(AND(P390="",Q390=""),IF(AND(L390="",M390="",T390="",U390=""),IF(OR($D390&lt;&gt;"",$E390&lt;&gt;""),"Belum ditempatkan",""),""),IF(P390="","CEK JENIS FIXTURE kosong",IF(LEFT(P390,4)&lt;&gt;"Wall","CEK Fixture 2 hanya Wall",IF(Q390="","CEK SHELVING KE kosong",IF(ISNA(MATCH(P390&amp;"|"&amp;Q390,LAYOUT!$E$2:$E$80,0)),"CEK SHELVING KE di luar layout",IF($I390="","CEK SERIES kosong",IF($D390="","Zona STOCK",IF($E390="","CEK SKU DESCRIPTION kosong",IF(COUNTIFS($I$2:$I$500,$I390,P$2:P$500,"&lt;&gt;"&amp;P390,P$2:P$500,"&lt;&gt;")&gt;0,"CEK jenis fixture beda dalam satu series","OK")))))))))</f>
        <v/>
      </c>
      <c r="T390" s="11" t="n"/>
      <c r="U390" s="11" t="n"/>
      <c r="V390" s="11">
        <f>IF(OR(T390="",U390=""),"",IFERROR(INDEX(LAYOUT!$D$2:$D$80,MATCH(T390&amp;"|"&amp;U390,LAYOUT!$E$2:$E$80,0)),""))</f>
        <v/>
      </c>
      <c r="W390" s="12">
        <f>IF(AND(T390="",U390=""),IF(AND(L390="",M390="",P390="",Q390=""),IF(OR($D390&lt;&gt;"",$E390&lt;&gt;""),"Belum ditempatkan",""),""),IF(T390="","CEK JENIS FIXTURE kosong",IF(LEFT(T390,4)&lt;&gt;"Wall","CEK Fixture 3 hanya Wall",IF(U390="","CEK SHELVING KE kosong",IF(ISNA(MATCH(T390&amp;"|"&amp;U390,LAYOUT!$E$2:$E$80,0)),"CEK SHELVING KE di luar layout",IF($I390="","CEK SERIES kosong",IF($D390="","Zona STOCK",IF($E390="","CEK SKU DESCRIPTION kosong",IF(COUNTIFS($I$2:$I$500,$I390,T$2:T$500,"&lt;&gt;"&amp;T390,T$2:T$500,"&lt;&gt;")&gt;0,"CEK jenis fixture beda dalam satu series","OK")))))))))</f>
        <v/>
      </c>
      <c r="X390" s="11" t="n"/>
      <c r="Y390" s="11" t="n"/>
      <c r="Z390" s="12" t="n"/>
      <c r="AA390" s="12" t="n"/>
      <c r="AB390" s="11" t="n"/>
      <c r="AC390" s="11" t="n"/>
      <c r="AD390" s="11" t="n"/>
      <c r="AE390" s="11" t="n"/>
      <c r="AF390" s="11" t="n"/>
      <c r="AG390" s="11" t="n"/>
      <c r="AH390" s="12" t="n"/>
      <c r="AI390" s="12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>
        <f>IF(OR(L391="",M391=""),"",IFERROR(INDEX(LAYOUT!$D$2:$D$80,MATCH(L391&amp;"|"&amp;M391,LAYOUT!$E$2:$E$80,0)),""))</f>
        <v/>
      </c>
      <c r="O391" s="12">
        <f>IF(AND(L391="",M391=""),IF(AND(P391="",Q391="",T391="",U391=""),IF(OR($D391&lt;&gt;"",$E391&lt;&gt;""),"Belum ditempatkan",""),""),IF(L391="","CEK JENIS FIXTURE kosong",IF(AND(LEFT(L391,7)&lt;&gt;"Gondola",LEFT(L391,6)&lt;&gt;"Endcap"),"CEK Fixture 1 hanya Gondola atau Endcap",IF(M391="","CEK SHELVING KE kosong",IF(ISNA(MATCH(L391&amp;"|"&amp;M391,LAYOUT!$E$2:$E$80,0)),"CEK SHELVING KE di luar layout",IF($I391="","CEK SERIES kosong",IF($D391="","Zona STOCK",IF($E391="","CEK SKU DESCRIPTION kosong",IF(COUNTIFS($I$2:$I$500,$I391,L$2:L$500,"&lt;&gt;"&amp;L391,L$2:L$500,"&lt;&gt;")&gt;0,"CEK jenis fixture beda dalam satu series","OK")))))))))</f>
        <v/>
      </c>
      <c r="P391" s="11" t="n"/>
      <c r="Q391" s="11" t="n"/>
      <c r="R391" s="11">
        <f>IF(OR(P391="",Q391=""),"",IFERROR(INDEX(LAYOUT!$D$2:$D$80,MATCH(P391&amp;"|"&amp;Q391,LAYOUT!$E$2:$E$80,0)),""))</f>
        <v/>
      </c>
      <c r="S391" s="12">
        <f>IF(AND(P391="",Q391=""),IF(AND(L391="",M391="",T391="",U391=""),IF(OR($D391&lt;&gt;"",$E391&lt;&gt;""),"Belum ditempatkan",""),""),IF(P391="","CEK JENIS FIXTURE kosong",IF(LEFT(P391,4)&lt;&gt;"Wall","CEK Fixture 2 hanya Wall",IF(Q391="","CEK SHELVING KE kosong",IF(ISNA(MATCH(P391&amp;"|"&amp;Q391,LAYOUT!$E$2:$E$80,0)),"CEK SHELVING KE di luar layout",IF($I391="","CEK SERIES kosong",IF($D391="","Zona STOCK",IF($E391="","CEK SKU DESCRIPTION kosong",IF(COUNTIFS($I$2:$I$500,$I391,P$2:P$500,"&lt;&gt;"&amp;P391,P$2:P$500,"&lt;&gt;")&gt;0,"CEK jenis fixture beda dalam satu series","OK")))))))))</f>
        <v/>
      </c>
      <c r="T391" s="11" t="n"/>
      <c r="U391" s="11" t="n"/>
      <c r="V391" s="11">
        <f>IF(OR(T391="",U391=""),"",IFERROR(INDEX(LAYOUT!$D$2:$D$80,MATCH(T391&amp;"|"&amp;U391,LAYOUT!$E$2:$E$80,0)),""))</f>
        <v/>
      </c>
      <c r="W391" s="12">
        <f>IF(AND(T391="",U391=""),IF(AND(L391="",M391="",P391="",Q391=""),IF(OR($D391&lt;&gt;"",$E391&lt;&gt;""),"Belum ditempatkan",""),""),IF(T391="","CEK JENIS FIXTURE kosong",IF(LEFT(T391,4)&lt;&gt;"Wall","CEK Fixture 3 hanya Wall",IF(U391="","CEK SHELVING KE kosong",IF(ISNA(MATCH(T391&amp;"|"&amp;U391,LAYOUT!$E$2:$E$80,0)),"CEK SHELVING KE di luar layout",IF($I391="","CEK SERIES kosong",IF($D391="","Zona STOCK",IF($E391="","CEK SKU DESCRIPTION kosong",IF(COUNTIFS($I$2:$I$500,$I391,T$2:T$500,"&lt;&gt;"&amp;T391,T$2:T$500,"&lt;&gt;")&gt;0,"CEK jenis fixture beda dalam satu series","OK")))))))))</f>
        <v/>
      </c>
      <c r="X391" s="11" t="n"/>
      <c r="Y391" s="11" t="n"/>
      <c r="Z391" s="12" t="n"/>
      <c r="AA391" s="12" t="n"/>
      <c r="AB391" s="11" t="n"/>
      <c r="AC391" s="11" t="n"/>
      <c r="AD391" s="11" t="n"/>
      <c r="AE391" s="11" t="n"/>
      <c r="AF391" s="11" t="n"/>
      <c r="AG391" s="11" t="n"/>
      <c r="AH391" s="12" t="n"/>
      <c r="AI391" s="12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>
        <f>IF(OR(L392="",M392=""),"",IFERROR(INDEX(LAYOUT!$D$2:$D$80,MATCH(L392&amp;"|"&amp;M392,LAYOUT!$E$2:$E$80,0)),""))</f>
        <v/>
      </c>
      <c r="O392" s="12">
        <f>IF(AND(L392="",M392=""),IF(AND(P392="",Q392="",T392="",U392=""),IF(OR($D392&lt;&gt;"",$E392&lt;&gt;""),"Belum ditempatkan",""),""),IF(L392="","CEK JENIS FIXTURE kosong",IF(AND(LEFT(L392,7)&lt;&gt;"Gondola",LEFT(L392,6)&lt;&gt;"Endcap"),"CEK Fixture 1 hanya Gondola atau Endcap",IF(M392="","CEK SHELVING KE kosong",IF(ISNA(MATCH(L392&amp;"|"&amp;M392,LAYOUT!$E$2:$E$80,0)),"CEK SHELVING KE di luar layout",IF($I392="","CEK SERIES kosong",IF($D392="","Zona STOCK",IF($E392="","CEK SKU DESCRIPTION kosong",IF(COUNTIFS($I$2:$I$500,$I392,L$2:L$500,"&lt;&gt;"&amp;L392,L$2:L$500,"&lt;&gt;")&gt;0,"CEK jenis fixture beda dalam satu series","OK")))))))))</f>
        <v/>
      </c>
      <c r="P392" s="11" t="n"/>
      <c r="Q392" s="11" t="n"/>
      <c r="R392" s="11">
        <f>IF(OR(P392="",Q392=""),"",IFERROR(INDEX(LAYOUT!$D$2:$D$80,MATCH(P392&amp;"|"&amp;Q392,LAYOUT!$E$2:$E$80,0)),""))</f>
        <v/>
      </c>
      <c r="S392" s="12">
        <f>IF(AND(P392="",Q392=""),IF(AND(L392="",M392="",T392="",U392=""),IF(OR($D392&lt;&gt;"",$E392&lt;&gt;""),"Belum ditempatkan",""),""),IF(P392="","CEK JENIS FIXTURE kosong",IF(LEFT(P392,4)&lt;&gt;"Wall","CEK Fixture 2 hanya Wall",IF(Q392="","CEK SHELVING KE kosong",IF(ISNA(MATCH(P392&amp;"|"&amp;Q392,LAYOUT!$E$2:$E$80,0)),"CEK SHELVING KE di luar layout",IF($I392="","CEK SERIES kosong",IF($D392="","Zona STOCK",IF($E392="","CEK SKU DESCRIPTION kosong",IF(COUNTIFS($I$2:$I$500,$I392,P$2:P$500,"&lt;&gt;"&amp;P392,P$2:P$500,"&lt;&gt;")&gt;0,"CEK jenis fixture beda dalam satu series","OK")))))))))</f>
        <v/>
      </c>
      <c r="T392" s="11" t="n"/>
      <c r="U392" s="11" t="n"/>
      <c r="V392" s="11">
        <f>IF(OR(T392="",U392=""),"",IFERROR(INDEX(LAYOUT!$D$2:$D$80,MATCH(T392&amp;"|"&amp;U392,LAYOUT!$E$2:$E$80,0)),""))</f>
        <v/>
      </c>
      <c r="W392" s="12">
        <f>IF(AND(T392="",U392=""),IF(AND(L392="",M392="",P392="",Q392=""),IF(OR($D392&lt;&gt;"",$E392&lt;&gt;""),"Belum ditempatkan",""),""),IF(T392="","CEK JENIS FIXTURE kosong",IF(LEFT(T392,4)&lt;&gt;"Wall","CEK Fixture 3 hanya Wall",IF(U392="","CEK SHELVING KE kosong",IF(ISNA(MATCH(T392&amp;"|"&amp;U392,LAYOUT!$E$2:$E$80,0)),"CEK SHELVING KE di luar layout",IF($I392="","CEK SERIES kosong",IF($D392="","Zona STOCK",IF($E392="","CEK SKU DESCRIPTION kosong",IF(COUNTIFS($I$2:$I$500,$I392,T$2:T$500,"&lt;&gt;"&amp;T392,T$2:T$500,"&lt;&gt;")&gt;0,"CEK jenis fixture beda dalam satu series","OK")))))))))</f>
        <v/>
      </c>
      <c r="X392" s="11" t="n"/>
      <c r="Y392" s="11" t="n"/>
      <c r="Z392" s="12" t="n"/>
      <c r="AA392" s="12" t="n"/>
      <c r="AB392" s="11" t="n"/>
      <c r="AC392" s="11" t="n"/>
      <c r="AD392" s="11" t="n"/>
      <c r="AE392" s="11" t="n"/>
      <c r="AF392" s="11" t="n"/>
      <c r="AG392" s="11" t="n"/>
      <c r="AH392" s="12" t="n"/>
      <c r="AI392" s="12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>
        <f>IF(OR(L393="",M393=""),"",IFERROR(INDEX(LAYOUT!$D$2:$D$80,MATCH(L393&amp;"|"&amp;M393,LAYOUT!$E$2:$E$80,0)),""))</f>
        <v/>
      </c>
      <c r="O393" s="12">
        <f>IF(AND(L393="",M393=""),IF(AND(P393="",Q393="",T393="",U393=""),IF(OR($D393&lt;&gt;"",$E393&lt;&gt;""),"Belum ditempatkan",""),""),IF(L393="","CEK JENIS FIXTURE kosong",IF(AND(LEFT(L393,7)&lt;&gt;"Gondola",LEFT(L393,6)&lt;&gt;"Endcap"),"CEK Fixture 1 hanya Gondola atau Endcap",IF(M393="","CEK SHELVING KE kosong",IF(ISNA(MATCH(L393&amp;"|"&amp;M393,LAYOUT!$E$2:$E$80,0)),"CEK SHELVING KE di luar layout",IF($I393="","CEK SERIES kosong",IF($D393="","Zona STOCK",IF($E393="","CEK SKU DESCRIPTION kosong",IF(COUNTIFS($I$2:$I$500,$I393,L$2:L$500,"&lt;&gt;"&amp;L393,L$2:L$500,"&lt;&gt;")&gt;0,"CEK jenis fixture beda dalam satu series","OK")))))))))</f>
        <v/>
      </c>
      <c r="P393" s="11" t="n"/>
      <c r="Q393" s="11" t="n"/>
      <c r="R393" s="11">
        <f>IF(OR(P393="",Q393=""),"",IFERROR(INDEX(LAYOUT!$D$2:$D$80,MATCH(P393&amp;"|"&amp;Q393,LAYOUT!$E$2:$E$80,0)),""))</f>
        <v/>
      </c>
      <c r="S393" s="12">
        <f>IF(AND(P393="",Q393=""),IF(AND(L393="",M393="",T393="",U393=""),IF(OR($D393&lt;&gt;"",$E393&lt;&gt;""),"Belum ditempatkan",""),""),IF(P393="","CEK JENIS FIXTURE kosong",IF(LEFT(P393,4)&lt;&gt;"Wall","CEK Fixture 2 hanya Wall",IF(Q393="","CEK SHELVING KE kosong",IF(ISNA(MATCH(P393&amp;"|"&amp;Q393,LAYOUT!$E$2:$E$80,0)),"CEK SHELVING KE di luar layout",IF($I393="","CEK SERIES kosong",IF($D393="","Zona STOCK",IF($E393="","CEK SKU DESCRIPTION kosong",IF(COUNTIFS($I$2:$I$500,$I393,P$2:P$500,"&lt;&gt;"&amp;P393,P$2:P$500,"&lt;&gt;")&gt;0,"CEK jenis fixture beda dalam satu series","OK")))))))))</f>
        <v/>
      </c>
      <c r="T393" s="11" t="n"/>
      <c r="U393" s="11" t="n"/>
      <c r="V393" s="11">
        <f>IF(OR(T393="",U393=""),"",IFERROR(INDEX(LAYOUT!$D$2:$D$80,MATCH(T393&amp;"|"&amp;U393,LAYOUT!$E$2:$E$80,0)),""))</f>
        <v/>
      </c>
      <c r="W393" s="12">
        <f>IF(AND(T393="",U393=""),IF(AND(L393="",M393="",P393="",Q393=""),IF(OR($D393&lt;&gt;"",$E393&lt;&gt;""),"Belum ditempatkan",""),""),IF(T393="","CEK JENIS FIXTURE kosong",IF(LEFT(T393,4)&lt;&gt;"Wall","CEK Fixture 3 hanya Wall",IF(U393="","CEK SHELVING KE kosong",IF(ISNA(MATCH(T393&amp;"|"&amp;U393,LAYOUT!$E$2:$E$80,0)),"CEK SHELVING KE di luar layout",IF($I393="","CEK SERIES kosong",IF($D393="","Zona STOCK",IF($E393="","CEK SKU DESCRIPTION kosong",IF(COUNTIFS($I$2:$I$500,$I393,T$2:T$500,"&lt;&gt;"&amp;T393,T$2:T$500,"&lt;&gt;")&gt;0,"CEK jenis fixture beda dalam satu series","OK")))))))))</f>
        <v/>
      </c>
      <c r="X393" s="11" t="n"/>
      <c r="Y393" s="11" t="n"/>
      <c r="Z393" s="12" t="n"/>
      <c r="AA393" s="12" t="n"/>
      <c r="AB393" s="11" t="n"/>
      <c r="AC393" s="11" t="n"/>
      <c r="AD393" s="11" t="n"/>
      <c r="AE393" s="11" t="n"/>
      <c r="AF393" s="11" t="n"/>
      <c r="AG393" s="11" t="n"/>
      <c r="AH393" s="12" t="n"/>
      <c r="AI393" s="12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>
        <f>IF(OR(L394="",M394=""),"",IFERROR(INDEX(LAYOUT!$D$2:$D$80,MATCH(L394&amp;"|"&amp;M394,LAYOUT!$E$2:$E$80,0)),""))</f>
        <v/>
      </c>
      <c r="O394" s="12">
        <f>IF(AND(L394="",M394=""),IF(AND(P394="",Q394="",T394="",U394=""),IF(OR($D394&lt;&gt;"",$E394&lt;&gt;""),"Belum ditempatkan",""),""),IF(L394="","CEK JENIS FIXTURE kosong",IF(AND(LEFT(L394,7)&lt;&gt;"Gondola",LEFT(L394,6)&lt;&gt;"Endcap"),"CEK Fixture 1 hanya Gondola atau Endcap",IF(M394="","CEK SHELVING KE kosong",IF(ISNA(MATCH(L394&amp;"|"&amp;M394,LAYOUT!$E$2:$E$80,0)),"CEK SHELVING KE di luar layout",IF($I394="","CEK SERIES kosong",IF($D394="","Zona STOCK",IF($E394="","CEK SKU DESCRIPTION kosong",IF(COUNTIFS($I$2:$I$500,$I394,L$2:L$500,"&lt;&gt;"&amp;L394,L$2:L$500,"&lt;&gt;")&gt;0,"CEK jenis fixture beda dalam satu series","OK")))))))))</f>
        <v/>
      </c>
      <c r="P394" s="11" t="n"/>
      <c r="Q394" s="11" t="n"/>
      <c r="R394" s="11">
        <f>IF(OR(P394="",Q394=""),"",IFERROR(INDEX(LAYOUT!$D$2:$D$80,MATCH(P394&amp;"|"&amp;Q394,LAYOUT!$E$2:$E$80,0)),""))</f>
        <v/>
      </c>
      <c r="S394" s="12">
        <f>IF(AND(P394="",Q394=""),IF(AND(L394="",M394="",T394="",U394=""),IF(OR($D394&lt;&gt;"",$E394&lt;&gt;""),"Belum ditempatkan",""),""),IF(P394="","CEK JENIS FIXTURE kosong",IF(LEFT(P394,4)&lt;&gt;"Wall","CEK Fixture 2 hanya Wall",IF(Q394="","CEK SHELVING KE kosong",IF(ISNA(MATCH(P394&amp;"|"&amp;Q394,LAYOUT!$E$2:$E$80,0)),"CEK SHELVING KE di luar layout",IF($I394="","CEK SERIES kosong",IF($D394="","Zona STOCK",IF($E394="","CEK SKU DESCRIPTION kosong",IF(COUNTIFS($I$2:$I$500,$I394,P$2:P$500,"&lt;&gt;"&amp;P394,P$2:P$500,"&lt;&gt;")&gt;0,"CEK jenis fixture beda dalam satu series","OK")))))))))</f>
        <v/>
      </c>
      <c r="T394" s="11" t="n"/>
      <c r="U394" s="11" t="n"/>
      <c r="V394" s="11">
        <f>IF(OR(T394="",U394=""),"",IFERROR(INDEX(LAYOUT!$D$2:$D$80,MATCH(T394&amp;"|"&amp;U394,LAYOUT!$E$2:$E$80,0)),""))</f>
        <v/>
      </c>
      <c r="W394" s="12">
        <f>IF(AND(T394="",U394=""),IF(AND(L394="",M394="",P394="",Q394=""),IF(OR($D394&lt;&gt;"",$E394&lt;&gt;""),"Belum ditempatkan",""),""),IF(T394="","CEK JENIS FIXTURE kosong",IF(LEFT(T394,4)&lt;&gt;"Wall","CEK Fixture 3 hanya Wall",IF(U394="","CEK SHELVING KE kosong",IF(ISNA(MATCH(T394&amp;"|"&amp;U394,LAYOUT!$E$2:$E$80,0)),"CEK SHELVING KE di luar layout",IF($I394="","CEK SERIES kosong",IF($D394="","Zona STOCK",IF($E394="","CEK SKU DESCRIPTION kosong",IF(COUNTIFS($I$2:$I$500,$I394,T$2:T$500,"&lt;&gt;"&amp;T394,T$2:T$500,"&lt;&gt;")&gt;0,"CEK jenis fixture beda dalam satu series","OK")))))))))</f>
        <v/>
      </c>
      <c r="X394" s="11" t="n"/>
      <c r="Y394" s="11" t="n"/>
      <c r="Z394" s="12" t="n"/>
      <c r="AA394" s="12" t="n"/>
      <c r="AB394" s="11" t="n"/>
      <c r="AC394" s="11" t="n"/>
      <c r="AD394" s="11" t="n"/>
      <c r="AE394" s="11" t="n"/>
      <c r="AF394" s="11" t="n"/>
      <c r="AG394" s="11" t="n"/>
      <c r="AH394" s="12" t="n"/>
      <c r="AI394" s="12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>
        <f>IF(OR(L395="",M395=""),"",IFERROR(INDEX(LAYOUT!$D$2:$D$80,MATCH(L395&amp;"|"&amp;M395,LAYOUT!$E$2:$E$80,0)),""))</f>
        <v/>
      </c>
      <c r="O395" s="12">
        <f>IF(AND(L395="",M395=""),IF(AND(P395="",Q395="",T395="",U395=""),IF(OR($D395&lt;&gt;"",$E395&lt;&gt;""),"Belum ditempatkan",""),""),IF(L395="","CEK JENIS FIXTURE kosong",IF(AND(LEFT(L395,7)&lt;&gt;"Gondola",LEFT(L395,6)&lt;&gt;"Endcap"),"CEK Fixture 1 hanya Gondola atau Endcap",IF(M395="","CEK SHELVING KE kosong",IF(ISNA(MATCH(L395&amp;"|"&amp;M395,LAYOUT!$E$2:$E$80,0)),"CEK SHELVING KE di luar layout",IF($I395="","CEK SERIES kosong",IF($D395="","Zona STOCK",IF($E395="","CEK SKU DESCRIPTION kosong",IF(COUNTIFS($I$2:$I$500,$I395,L$2:L$500,"&lt;&gt;"&amp;L395,L$2:L$500,"&lt;&gt;")&gt;0,"CEK jenis fixture beda dalam satu series","OK")))))))))</f>
        <v/>
      </c>
      <c r="P395" s="11" t="n"/>
      <c r="Q395" s="11" t="n"/>
      <c r="R395" s="11">
        <f>IF(OR(P395="",Q395=""),"",IFERROR(INDEX(LAYOUT!$D$2:$D$80,MATCH(P395&amp;"|"&amp;Q395,LAYOUT!$E$2:$E$80,0)),""))</f>
        <v/>
      </c>
      <c r="S395" s="12">
        <f>IF(AND(P395="",Q395=""),IF(AND(L395="",M395="",T395="",U395=""),IF(OR($D395&lt;&gt;"",$E395&lt;&gt;""),"Belum ditempatkan",""),""),IF(P395="","CEK JENIS FIXTURE kosong",IF(LEFT(P395,4)&lt;&gt;"Wall","CEK Fixture 2 hanya Wall",IF(Q395="","CEK SHELVING KE kosong",IF(ISNA(MATCH(P395&amp;"|"&amp;Q395,LAYOUT!$E$2:$E$80,0)),"CEK SHELVING KE di luar layout",IF($I395="","CEK SERIES kosong",IF($D395="","Zona STOCK",IF($E395="","CEK SKU DESCRIPTION kosong",IF(COUNTIFS($I$2:$I$500,$I395,P$2:P$500,"&lt;&gt;"&amp;P395,P$2:P$500,"&lt;&gt;")&gt;0,"CEK jenis fixture beda dalam satu series","OK")))))))))</f>
        <v/>
      </c>
      <c r="T395" s="11" t="n"/>
      <c r="U395" s="11" t="n"/>
      <c r="V395" s="11">
        <f>IF(OR(T395="",U395=""),"",IFERROR(INDEX(LAYOUT!$D$2:$D$80,MATCH(T395&amp;"|"&amp;U395,LAYOUT!$E$2:$E$80,0)),""))</f>
        <v/>
      </c>
      <c r="W395" s="12">
        <f>IF(AND(T395="",U395=""),IF(AND(L395="",M395="",P395="",Q395=""),IF(OR($D395&lt;&gt;"",$E395&lt;&gt;""),"Belum ditempatkan",""),""),IF(T395="","CEK JENIS FIXTURE kosong",IF(LEFT(T395,4)&lt;&gt;"Wall","CEK Fixture 3 hanya Wall",IF(U395="","CEK SHELVING KE kosong",IF(ISNA(MATCH(T395&amp;"|"&amp;U395,LAYOUT!$E$2:$E$80,0)),"CEK SHELVING KE di luar layout",IF($I395="","CEK SERIES kosong",IF($D395="","Zona STOCK",IF($E395="","CEK SKU DESCRIPTION kosong",IF(COUNTIFS($I$2:$I$500,$I395,T$2:T$500,"&lt;&gt;"&amp;T395,T$2:T$500,"&lt;&gt;")&gt;0,"CEK jenis fixture beda dalam satu series","OK")))))))))</f>
        <v/>
      </c>
      <c r="X395" s="11" t="n"/>
      <c r="Y395" s="11" t="n"/>
      <c r="Z395" s="12" t="n"/>
      <c r="AA395" s="12" t="n"/>
      <c r="AB395" s="11" t="n"/>
      <c r="AC395" s="11" t="n"/>
      <c r="AD395" s="11" t="n"/>
      <c r="AE395" s="11" t="n"/>
      <c r="AF395" s="11" t="n"/>
      <c r="AG395" s="11" t="n"/>
      <c r="AH395" s="12" t="n"/>
      <c r="AI395" s="12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>
        <f>IF(OR(L396="",M396=""),"",IFERROR(INDEX(LAYOUT!$D$2:$D$80,MATCH(L396&amp;"|"&amp;M396,LAYOUT!$E$2:$E$80,0)),""))</f>
        <v/>
      </c>
      <c r="O396" s="12">
        <f>IF(AND(L396="",M396=""),IF(AND(P396="",Q396="",T396="",U396=""),IF(OR($D396&lt;&gt;"",$E396&lt;&gt;""),"Belum ditempatkan",""),""),IF(L396="","CEK JENIS FIXTURE kosong",IF(AND(LEFT(L396,7)&lt;&gt;"Gondola",LEFT(L396,6)&lt;&gt;"Endcap"),"CEK Fixture 1 hanya Gondola atau Endcap",IF(M396="","CEK SHELVING KE kosong",IF(ISNA(MATCH(L396&amp;"|"&amp;M396,LAYOUT!$E$2:$E$80,0)),"CEK SHELVING KE di luar layout",IF($I396="","CEK SERIES kosong",IF($D396="","Zona STOCK",IF($E396="","CEK SKU DESCRIPTION kosong",IF(COUNTIFS($I$2:$I$500,$I396,L$2:L$500,"&lt;&gt;"&amp;L396,L$2:L$500,"&lt;&gt;")&gt;0,"CEK jenis fixture beda dalam satu series","OK")))))))))</f>
        <v/>
      </c>
      <c r="P396" s="11" t="n"/>
      <c r="Q396" s="11" t="n"/>
      <c r="R396" s="11">
        <f>IF(OR(P396="",Q396=""),"",IFERROR(INDEX(LAYOUT!$D$2:$D$80,MATCH(P396&amp;"|"&amp;Q396,LAYOUT!$E$2:$E$80,0)),""))</f>
        <v/>
      </c>
      <c r="S396" s="12">
        <f>IF(AND(P396="",Q396=""),IF(AND(L396="",M396="",T396="",U396=""),IF(OR($D396&lt;&gt;"",$E396&lt;&gt;""),"Belum ditempatkan",""),""),IF(P396="","CEK JENIS FIXTURE kosong",IF(LEFT(P396,4)&lt;&gt;"Wall","CEK Fixture 2 hanya Wall",IF(Q396="","CEK SHELVING KE kosong",IF(ISNA(MATCH(P396&amp;"|"&amp;Q396,LAYOUT!$E$2:$E$80,0)),"CEK SHELVING KE di luar layout",IF($I396="","CEK SERIES kosong",IF($D396="","Zona STOCK",IF($E396="","CEK SKU DESCRIPTION kosong",IF(COUNTIFS($I$2:$I$500,$I396,P$2:P$500,"&lt;&gt;"&amp;P396,P$2:P$500,"&lt;&gt;")&gt;0,"CEK jenis fixture beda dalam satu series","OK")))))))))</f>
        <v/>
      </c>
      <c r="T396" s="11" t="n"/>
      <c r="U396" s="11" t="n"/>
      <c r="V396" s="11">
        <f>IF(OR(T396="",U396=""),"",IFERROR(INDEX(LAYOUT!$D$2:$D$80,MATCH(T396&amp;"|"&amp;U396,LAYOUT!$E$2:$E$80,0)),""))</f>
        <v/>
      </c>
      <c r="W396" s="12">
        <f>IF(AND(T396="",U396=""),IF(AND(L396="",M396="",P396="",Q396=""),IF(OR($D396&lt;&gt;"",$E396&lt;&gt;""),"Belum ditempatkan",""),""),IF(T396="","CEK JENIS FIXTURE kosong",IF(LEFT(T396,4)&lt;&gt;"Wall","CEK Fixture 3 hanya Wall",IF(U396="","CEK SHELVING KE kosong",IF(ISNA(MATCH(T396&amp;"|"&amp;U396,LAYOUT!$E$2:$E$80,0)),"CEK SHELVING KE di luar layout",IF($I396="","CEK SERIES kosong",IF($D396="","Zona STOCK",IF($E396="","CEK SKU DESCRIPTION kosong",IF(COUNTIFS($I$2:$I$500,$I396,T$2:T$500,"&lt;&gt;"&amp;T396,T$2:T$500,"&lt;&gt;")&gt;0,"CEK jenis fixture beda dalam satu series","OK")))))))))</f>
        <v/>
      </c>
      <c r="X396" s="11" t="n"/>
      <c r="Y396" s="11" t="n"/>
      <c r="Z396" s="12" t="n"/>
      <c r="AA396" s="12" t="n"/>
      <c r="AB396" s="11" t="n"/>
      <c r="AC396" s="11" t="n"/>
      <c r="AD396" s="11" t="n"/>
      <c r="AE396" s="11" t="n"/>
      <c r="AF396" s="11" t="n"/>
      <c r="AG396" s="11" t="n"/>
      <c r="AH396" s="12" t="n"/>
      <c r="AI396" s="12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>
        <f>IF(OR(L397="",M397=""),"",IFERROR(INDEX(LAYOUT!$D$2:$D$80,MATCH(L397&amp;"|"&amp;M397,LAYOUT!$E$2:$E$80,0)),""))</f>
        <v/>
      </c>
      <c r="O397" s="12">
        <f>IF(AND(L397="",M397=""),IF(AND(P397="",Q397="",T397="",U397=""),IF(OR($D397&lt;&gt;"",$E397&lt;&gt;""),"Belum ditempatkan",""),""),IF(L397="","CEK JENIS FIXTURE kosong",IF(AND(LEFT(L397,7)&lt;&gt;"Gondola",LEFT(L397,6)&lt;&gt;"Endcap"),"CEK Fixture 1 hanya Gondola atau Endcap",IF(M397="","CEK SHELVING KE kosong",IF(ISNA(MATCH(L397&amp;"|"&amp;M397,LAYOUT!$E$2:$E$80,0)),"CEK SHELVING KE di luar layout",IF($I397="","CEK SERIES kosong",IF($D397="","Zona STOCK",IF($E397="","CEK SKU DESCRIPTION kosong",IF(COUNTIFS($I$2:$I$500,$I397,L$2:L$500,"&lt;&gt;"&amp;L397,L$2:L$500,"&lt;&gt;")&gt;0,"CEK jenis fixture beda dalam satu series","OK")))))))))</f>
        <v/>
      </c>
      <c r="P397" s="11" t="n"/>
      <c r="Q397" s="11" t="n"/>
      <c r="R397" s="11">
        <f>IF(OR(P397="",Q397=""),"",IFERROR(INDEX(LAYOUT!$D$2:$D$80,MATCH(P397&amp;"|"&amp;Q397,LAYOUT!$E$2:$E$80,0)),""))</f>
        <v/>
      </c>
      <c r="S397" s="12">
        <f>IF(AND(P397="",Q397=""),IF(AND(L397="",M397="",T397="",U397=""),IF(OR($D397&lt;&gt;"",$E397&lt;&gt;""),"Belum ditempatkan",""),""),IF(P397="","CEK JENIS FIXTURE kosong",IF(LEFT(P397,4)&lt;&gt;"Wall","CEK Fixture 2 hanya Wall",IF(Q397="","CEK SHELVING KE kosong",IF(ISNA(MATCH(P397&amp;"|"&amp;Q397,LAYOUT!$E$2:$E$80,0)),"CEK SHELVING KE di luar layout",IF($I397="","CEK SERIES kosong",IF($D397="","Zona STOCK",IF($E397="","CEK SKU DESCRIPTION kosong",IF(COUNTIFS($I$2:$I$500,$I397,P$2:P$500,"&lt;&gt;"&amp;P397,P$2:P$500,"&lt;&gt;")&gt;0,"CEK jenis fixture beda dalam satu series","OK")))))))))</f>
        <v/>
      </c>
      <c r="T397" s="11" t="n"/>
      <c r="U397" s="11" t="n"/>
      <c r="V397" s="11">
        <f>IF(OR(T397="",U397=""),"",IFERROR(INDEX(LAYOUT!$D$2:$D$80,MATCH(T397&amp;"|"&amp;U397,LAYOUT!$E$2:$E$80,0)),""))</f>
        <v/>
      </c>
      <c r="W397" s="12">
        <f>IF(AND(T397="",U397=""),IF(AND(L397="",M397="",P397="",Q397=""),IF(OR($D397&lt;&gt;"",$E397&lt;&gt;""),"Belum ditempatkan",""),""),IF(T397="","CEK JENIS FIXTURE kosong",IF(LEFT(T397,4)&lt;&gt;"Wall","CEK Fixture 3 hanya Wall",IF(U397="","CEK SHELVING KE kosong",IF(ISNA(MATCH(T397&amp;"|"&amp;U397,LAYOUT!$E$2:$E$80,0)),"CEK SHELVING KE di luar layout",IF($I397="","CEK SERIES kosong",IF($D397="","Zona STOCK",IF($E397="","CEK SKU DESCRIPTION kosong",IF(COUNTIFS($I$2:$I$500,$I397,T$2:T$500,"&lt;&gt;"&amp;T397,T$2:T$500,"&lt;&gt;")&gt;0,"CEK jenis fixture beda dalam satu series","OK")))))))))</f>
        <v/>
      </c>
      <c r="X397" s="11" t="n"/>
      <c r="Y397" s="11" t="n"/>
      <c r="Z397" s="12" t="n"/>
      <c r="AA397" s="12" t="n"/>
      <c r="AB397" s="11" t="n"/>
      <c r="AC397" s="11" t="n"/>
      <c r="AD397" s="11" t="n"/>
      <c r="AE397" s="11" t="n"/>
      <c r="AF397" s="11" t="n"/>
      <c r="AG397" s="11" t="n"/>
      <c r="AH397" s="12" t="n"/>
      <c r="AI397" s="12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>
        <f>IF(OR(L398="",M398=""),"",IFERROR(INDEX(LAYOUT!$D$2:$D$80,MATCH(L398&amp;"|"&amp;M398,LAYOUT!$E$2:$E$80,0)),""))</f>
        <v/>
      </c>
      <c r="O398" s="12">
        <f>IF(AND(L398="",M398=""),IF(AND(P398="",Q398="",T398="",U398=""),IF(OR($D398&lt;&gt;"",$E398&lt;&gt;""),"Belum ditempatkan",""),""),IF(L398="","CEK JENIS FIXTURE kosong",IF(AND(LEFT(L398,7)&lt;&gt;"Gondola",LEFT(L398,6)&lt;&gt;"Endcap"),"CEK Fixture 1 hanya Gondola atau Endcap",IF(M398="","CEK SHELVING KE kosong",IF(ISNA(MATCH(L398&amp;"|"&amp;M398,LAYOUT!$E$2:$E$80,0)),"CEK SHELVING KE di luar layout",IF($I398="","CEK SERIES kosong",IF($D398="","Zona STOCK",IF($E398="","CEK SKU DESCRIPTION kosong",IF(COUNTIFS($I$2:$I$500,$I398,L$2:L$500,"&lt;&gt;"&amp;L398,L$2:L$500,"&lt;&gt;")&gt;0,"CEK jenis fixture beda dalam satu series","OK")))))))))</f>
        <v/>
      </c>
      <c r="P398" s="11" t="n"/>
      <c r="Q398" s="11" t="n"/>
      <c r="R398" s="11">
        <f>IF(OR(P398="",Q398=""),"",IFERROR(INDEX(LAYOUT!$D$2:$D$80,MATCH(P398&amp;"|"&amp;Q398,LAYOUT!$E$2:$E$80,0)),""))</f>
        <v/>
      </c>
      <c r="S398" s="12">
        <f>IF(AND(P398="",Q398=""),IF(AND(L398="",M398="",T398="",U398=""),IF(OR($D398&lt;&gt;"",$E398&lt;&gt;""),"Belum ditempatkan",""),""),IF(P398="","CEK JENIS FIXTURE kosong",IF(LEFT(P398,4)&lt;&gt;"Wall","CEK Fixture 2 hanya Wall",IF(Q398="","CEK SHELVING KE kosong",IF(ISNA(MATCH(P398&amp;"|"&amp;Q398,LAYOUT!$E$2:$E$80,0)),"CEK SHELVING KE di luar layout",IF($I398="","CEK SERIES kosong",IF($D398="","Zona STOCK",IF($E398="","CEK SKU DESCRIPTION kosong",IF(COUNTIFS($I$2:$I$500,$I398,P$2:P$500,"&lt;&gt;"&amp;P398,P$2:P$500,"&lt;&gt;")&gt;0,"CEK jenis fixture beda dalam satu series","OK")))))))))</f>
        <v/>
      </c>
      <c r="T398" s="11" t="n"/>
      <c r="U398" s="11" t="n"/>
      <c r="V398" s="11">
        <f>IF(OR(T398="",U398=""),"",IFERROR(INDEX(LAYOUT!$D$2:$D$80,MATCH(T398&amp;"|"&amp;U398,LAYOUT!$E$2:$E$80,0)),""))</f>
        <v/>
      </c>
      <c r="W398" s="12">
        <f>IF(AND(T398="",U398=""),IF(AND(L398="",M398="",P398="",Q398=""),IF(OR($D398&lt;&gt;"",$E398&lt;&gt;""),"Belum ditempatkan",""),""),IF(T398="","CEK JENIS FIXTURE kosong",IF(LEFT(T398,4)&lt;&gt;"Wall","CEK Fixture 3 hanya Wall",IF(U398="","CEK SHELVING KE kosong",IF(ISNA(MATCH(T398&amp;"|"&amp;U398,LAYOUT!$E$2:$E$80,0)),"CEK SHELVING KE di luar layout",IF($I398="","CEK SERIES kosong",IF($D398="","Zona STOCK",IF($E398="","CEK SKU DESCRIPTION kosong",IF(COUNTIFS($I$2:$I$500,$I398,T$2:T$500,"&lt;&gt;"&amp;T398,T$2:T$500,"&lt;&gt;")&gt;0,"CEK jenis fixture beda dalam satu series","OK")))))))))</f>
        <v/>
      </c>
      <c r="X398" s="11" t="n"/>
      <c r="Y398" s="11" t="n"/>
      <c r="Z398" s="12" t="n"/>
      <c r="AA398" s="12" t="n"/>
      <c r="AB398" s="11" t="n"/>
      <c r="AC398" s="11" t="n"/>
      <c r="AD398" s="11" t="n"/>
      <c r="AE398" s="11" t="n"/>
      <c r="AF398" s="11" t="n"/>
      <c r="AG398" s="11" t="n"/>
      <c r="AH398" s="12" t="n"/>
      <c r="AI398" s="12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>
        <f>IF(OR(L399="",M399=""),"",IFERROR(INDEX(LAYOUT!$D$2:$D$80,MATCH(L399&amp;"|"&amp;M399,LAYOUT!$E$2:$E$80,0)),""))</f>
        <v/>
      </c>
      <c r="O399" s="12">
        <f>IF(AND(L399="",M399=""),IF(AND(P399="",Q399="",T399="",U399=""),IF(OR($D399&lt;&gt;"",$E399&lt;&gt;""),"Belum ditempatkan",""),""),IF(L399="","CEK JENIS FIXTURE kosong",IF(AND(LEFT(L399,7)&lt;&gt;"Gondola",LEFT(L399,6)&lt;&gt;"Endcap"),"CEK Fixture 1 hanya Gondola atau Endcap",IF(M399="","CEK SHELVING KE kosong",IF(ISNA(MATCH(L399&amp;"|"&amp;M399,LAYOUT!$E$2:$E$80,0)),"CEK SHELVING KE di luar layout",IF($I399="","CEK SERIES kosong",IF($D399="","Zona STOCK",IF($E399="","CEK SKU DESCRIPTION kosong",IF(COUNTIFS($I$2:$I$500,$I399,L$2:L$500,"&lt;&gt;"&amp;L399,L$2:L$500,"&lt;&gt;")&gt;0,"CEK jenis fixture beda dalam satu series","OK")))))))))</f>
        <v/>
      </c>
      <c r="P399" s="11" t="n"/>
      <c r="Q399" s="11" t="n"/>
      <c r="R399" s="11">
        <f>IF(OR(P399="",Q399=""),"",IFERROR(INDEX(LAYOUT!$D$2:$D$80,MATCH(P399&amp;"|"&amp;Q399,LAYOUT!$E$2:$E$80,0)),""))</f>
        <v/>
      </c>
      <c r="S399" s="12">
        <f>IF(AND(P399="",Q399=""),IF(AND(L399="",M399="",T399="",U399=""),IF(OR($D399&lt;&gt;"",$E399&lt;&gt;""),"Belum ditempatkan",""),""),IF(P399="","CEK JENIS FIXTURE kosong",IF(LEFT(P399,4)&lt;&gt;"Wall","CEK Fixture 2 hanya Wall",IF(Q399="","CEK SHELVING KE kosong",IF(ISNA(MATCH(P399&amp;"|"&amp;Q399,LAYOUT!$E$2:$E$80,0)),"CEK SHELVING KE di luar layout",IF($I399="","CEK SERIES kosong",IF($D399="","Zona STOCK",IF($E399="","CEK SKU DESCRIPTION kosong",IF(COUNTIFS($I$2:$I$500,$I399,P$2:P$500,"&lt;&gt;"&amp;P399,P$2:P$500,"&lt;&gt;")&gt;0,"CEK jenis fixture beda dalam satu series","OK")))))))))</f>
        <v/>
      </c>
      <c r="T399" s="11" t="n"/>
      <c r="U399" s="11" t="n"/>
      <c r="V399" s="11">
        <f>IF(OR(T399="",U399=""),"",IFERROR(INDEX(LAYOUT!$D$2:$D$80,MATCH(T399&amp;"|"&amp;U399,LAYOUT!$E$2:$E$80,0)),""))</f>
        <v/>
      </c>
      <c r="W399" s="12">
        <f>IF(AND(T399="",U399=""),IF(AND(L399="",M399="",P399="",Q399=""),IF(OR($D399&lt;&gt;"",$E399&lt;&gt;""),"Belum ditempatkan",""),""),IF(T399="","CEK JENIS FIXTURE kosong",IF(LEFT(T399,4)&lt;&gt;"Wall","CEK Fixture 3 hanya Wall",IF(U399="","CEK SHELVING KE kosong",IF(ISNA(MATCH(T399&amp;"|"&amp;U399,LAYOUT!$E$2:$E$80,0)),"CEK SHELVING KE di luar layout",IF($I399="","CEK SERIES kosong",IF($D399="","Zona STOCK",IF($E399="","CEK SKU DESCRIPTION kosong",IF(COUNTIFS($I$2:$I$500,$I399,T$2:T$500,"&lt;&gt;"&amp;T399,T$2:T$500,"&lt;&gt;")&gt;0,"CEK jenis fixture beda dalam satu series","OK")))))))))</f>
        <v/>
      </c>
      <c r="X399" s="11" t="n"/>
      <c r="Y399" s="11" t="n"/>
      <c r="Z399" s="12" t="n"/>
      <c r="AA399" s="12" t="n"/>
      <c r="AB399" s="11" t="n"/>
      <c r="AC399" s="11" t="n"/>
      <c r="AD399" s="11" t="n"/>
      <c r="AE399" s="11" t="n"/>
      <c r="AF399" s="11" t="n"/>
      <c r="AG399" s="11" t="n"/>
      <c r="AH399" s="12" t="n"/>
      <c r="AI399" s="12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>
        <f>IF(OR(L400="",M400=""),"",IFERROR(INDEX(LAYOUT!$D$2:$D$80,MATCH(L400&amp;"|"&amp;M400,LAYOUT!$E$2:$E$80,0)),""))</f>
        <v/>
      </c>
      <c r="O400" s="12">
        <f>IF(AND(L400="",M400=""),IF(AND(P400="",Q400="",T400="",U400=""),IF(OR($D400&lt;&gt;"",$E400&lt;&gt;""),"Belum ditempatkan",""),""),IF(L400="","CEK JENIS FIXTURE kosong",IF(AND(LEFT(L400,7)&lt;&gt;"Gondola",LEFT(L400,6)&lt;&gt;"Endcap"),"CEK Fixture 1 hanya Gondola atau Endcap",IF(M400="","CEK SHELVING KE kosong",IF(ISNA(MATCH(L400&amp;"|"&amp;M400,LAYOUT!$E$2:$E$80,0)),"CEK SHELVING KE di luar layout",IF($I400="","CEK SERIES kosong",IF($D400="","Zona STOCK",IF($E400="","CEK SKU DESCRIPTION kosong",IF(COUNTIFS($I$2:$I$500,$I400,L$2:L$500,"&lt;&gt;"&amp;L400,L$2:L$500,"&lt;&gt;")&gt;0,"CEK jenis fixture beda dalam satu series","OK")))))))))</f>
        <v/>
      </c>
      <c r="P400" s="11" t="n"/>
      <c r="Q400" s="11" t="n"/>
      <c r="R400" s="11">
        <f>IF(OR(P400="",Q400=""),"",IFERROR(INDEX(LAYOUT!$D$2:$D$80,MATCH(P400&amp;"|"&amp;Q400,LAYOUT!$E$2:$E$80,0)),""))</f>
        <v/>
      </c>
      <c r="S400" s="12">
        <f>IF(AND(P400="",Q400=""),IF(AND(L400="",M400="",T400="",U400=""),IF(OR($D400&lt;&gt;"",$E400&lt;&gt;""),"Belum ditempatkan",""),""),IF(P400="","CEK JENIS FIXTURE kosong",IF(LEFT(P400,4)&lt;&gt;"Wall","CEK Fixture 2 hanya Wall",IF(Q400="","CEK SHELVING KE kosong",IF(ISNA(MATCH(P400&amp;"|"&amp;Q400,LAYOUT!$E$2:$E$80,0)),"CEK SHELVING KE di luar layout",IF($I400="","CEK SERIES kosong",IF($D400="","Zona STOCK",IF($E400="","CEK SKU DESCRIPTION kosong",IF(COUNTIFS($I$2:$I$500,$I400,P$2:P$500,"&lt;&gt;"&amp;P400,P$2:P$500,"&lt;&gt;")&gt;0,"CEK jenis fixture beda dalam satu series","OK")))))))))</f>
        <v/>
      </c>
      <c r="T400" s="11" t="n"/>
      <c r="U400" s="11" t="n"/>
      <c r="V400" s="11">
        <f>IF(OR(T400="",U400=""),"",IFERROR(INDEX(LAYOUT!$D$2:$D$80,MATCH(T400&amp;"|"&amp;U400,LAYOUT!$E$2:$E$80,0)),""))</f>
        <v/>
      </c>
      <c r="W400" s="12">
        <f>IF(AND(T400="",U400=""),IF(AND(L400="",M400="",P400="",Q400=""),IF(OR($D400&lt;&gt;"",$E400&lt;&gt;""),"Belum ditempatkan",""),""),IF(T400="","CEK JENIS FIXTURE kosong",IF(LEFT(T400,4)&lt;&gt;"Wall","CEK Fixture 3 hanya Wall",IF(U400="","CEK SHELVING KE kosong",IF(ISNA(MATCH(T400&amp;"|"&amp;U400,LAYOUT!$E$2:$E$80,0)),"CEK SHELVING KE di luar layout",IF($I400="","CEK SERIES kosong",IF($D400="","Zona STOCK",IF($E400="","CEK SKU DESCRIPTION kosong",IF(COUNTIFS($I$2:$I$500,$I400,T$2:T$500,"&lt;&gt;"&amp;T400,T$2:T$500,"&lt;&gt;")&gt;0,"CEK jenis fixture beda dalam satu series","OK")))))))))</f>
        <v/>
      </c>
      <c r="X400" s="11" t="n"/>
      <c r="Y400" s="11" t="n"/>
      <c r="Z400" s="12" t="n"/>
      <c r="AA400" s="12" t="n"/>
      <c r="AB400" s="11" t="n"/>
      <c r="AC400" s="11" t="n"/>
      <c r="AD400" s="11" t="n"/>
      <c r="AE400" s="11" t="n"/>
      <c r="AF400" s="11" t="n"/>
      <c r="AG400" s="11" t="n"/>
      <c r="AH400" s="12" t="n"/>
      <c r="AI400" s="12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>
        <f>IF(OR(L401="",M401=""),"",IFERROR(INDEX(LAYOUT!$D$2:$D$80,MATCH(L401&amp;"|"&amp;M401,LAYOUT!$E$2:$E$80,0)),""))</f>
        <v/>
      </c>
      <c r="O401" s="12">
        <f>IF(AND(L401="",M401=""),IF(AND(P401="",Q401="",T401="",U401=""),IF(OR($D401&lt;&gt;"",$E401&lt;&gt;""),"Belum ditempatkan",""),""),IF(L401="","CEK JENIS FIXTURE kosong",IF(AND(LEFT(L401,7)&lt;&gt;"Gondola",LEFT(L401,6)&lt;&gt;"Endcap"),"CEK Fixture 1 hanya Gondola atau Endcap",IF(M401="","CEK SHELVING KE kosong",IF(ISNA(MATCH(L401&amp;"|"&amp;M401,LAYOUT!$E$2:$E$80,0)),"CEK SHELVING KE di luar layout",IF($I401="","CEK SERIES kosong",IF($D401="","Zona STOCK",IF($E401="","CEK SKU DESCRIPTION kosong",IF(COUNTIFS($I$2:$I$500,$I401,L$2:L$500,"&lt;&gt;"&amp;L401,L$2:L$500,"&lt;&gt;")&gt;0,"CEK jenis fixture beda dalam satu series","OK")))))))))</f>
        <v/>
      </c>
      <c r="P401" s="11" t="n"/>
      <c r="Q401" s="11" t="n"/>
      <c r="R401" s="11">
        <f>IF(OR(P401="",Q401=""),"",IFERROR(INDEX(LAYOUT!$D$2:$D$80,MATCH(P401&amp;"|"&amp;Q401,LAYOUT!$E$2:$E$80,0)),""))</f>
        <v/>
      </c>
      <c r="S401" s="12">
        <f>IF(AND(P401="",Q401=""),IF(AND(L401="",M401="",T401="",U401=""),IF(OR($D401&lt;&gt;"",$E401&lt;&gt;""),"Belum ditempatkan",""),""),IF(P401="","CEK JENIS FIXTURE kosong",IF(LEFT(P401,4)&lt;&gt;"Wall","CEK Fixture 2 hanya Wall",IF(Q401="","CEK SHELVING KE kosong",IF(ISNA(MATCH(P401&amp;"|"&amp;Q401,LAYOUT!$E$2:$E$80,0)),"CEK SHELVING KE di luar layout",IF($I401="","CEK SERIES kosong",IF($D401="","Zona STOCK",IF($E401="","CEK SKU DESCRIPTION kosong",IF(COUNTIFS($I$2:$I$500,$I401,P$2:P$500,"&lt;&gt;"&amp;P401,P$2:P$500,"&lt;&gt;")&gt;0,"CEK jenis fixture beda dalam satu series","OK")))))))))</f>
        <v/>
      </c>
      <c r="T401" s="11" t="n"/>
      <c r="U401" s="11" t="n"/>
      <c r="V401" s="11">
        <f>IF(OR(T401="",U401=""),"",IFERROR(INDEX(LAYOUT!$D$2:$D$80,MATCH(T401&amp;"|"&amp;U401,LAYOUT!$E$2:$E$80,0)),""))</f>
        <v/>
      </c>
      <c r="W401" s="12">
        <f>IF(AND(T401="",U401=""),IF(AND(L401="",M401="",P401="",Q401=""),IF(OR($D401&lt;&gt;"",$E401&lt;&gt;""),"Belum ditempatkan",""),""),IF(T401="","CEK JENIS FIXTURE kosong",IF(LEFT(T401,4)&lt;&gt;"Wall","CEK Fixture 3 hanya Wall",IF(U401="","CEK SHELVING KE kosong",IF(ISNA(MATCH(T401&amp;"|"&amp;U401,LAYOUT!$E$2:$E$80,0)),"CEK SHELVING KE di luar layout",IF($I401="","CEK SERIES kosong",IF($D401="","Zona STOCK",IF($E401="","CEK SKU DESCRIPTION kosong",IF(COUNTIFS($I$2:$I$500,$I401,T$2:T$500,"&lt;&gt;"&amp;T401,T$2:T$500,"&lt;&gt;")&gt;0,"CEK jenis fixture beda dalam satu series","OK")))))))))</f>
        <v/>
      </c>
      <c r="X401" s="11" t="n"/>
      <c r="Y401" s="11" t="n"/>
      <c r="Z401" s="12" t="n"/>
      <c r="AA401" s="12" t="n"/>
      <c r="AB401" s="11" t="n"/>
      <c r="AC401" s="11" t="n"/>
      <c r="AD401" s="11" t="n"/>
      <c r="AE401" s="11" t="n"/>
      <c r="AF401" s="11" t="n"/>
      <c r="AG401" s="11" t="n"/>
      <c r="AH401" s="12" t="n"/>
      <c r="AI401" s="12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>
        <f>IF(OR(L402="",M402=""),"",IFERROR(INDEX(LAYOUT!$D$2:$D$80,MATCH(L402&amp;"|"&amp;M402,LAYOUT!$E$2:$E$80,0)),""))</f>
        <v/>
      </c>
      <c r="O402" s="12">
        <f>IF(AND(L402="",M402=""),IF(AND(P402="",Q402="",T402="",U402=""),IF(OR($D402&lt;&gt;"",$E402&lt;&gt;""),"Belum ditempatkan",""),""),IF(L402="","CEK JENIS FIXTURE kosong",IF(AND(LEFT(L402,7)&lt;&gt;"Gondola",LEFT(L402,6)&lt;&gt;"Endcap"),"CEK Fixture 1 hanya Gondola atau Endcap",IF(M402="","CEK SHELVING KE kosong",IF(ISNA(MATCH(L402&amp;"|"&amp;M402,LAYOUT!$E$2:$E$80,0)),"CEK SHELVING KE di luar layout",IF($I402="","CEK SERIES kosong",IF($D402="","Zona STOCK",IF($E402="","CEK SKU DESCRIPTION kosong",IF(COUNTIFS($I$2:$I$500,$I402,L$2:L$500,"&lt;&gt;"&amp;L402,L$2:L$500,"&lt;&gt;")&gt;0,"CEK jenis fixture beda dalam satu series","OK")))))))))</f>
        <v/>
      </c>
      <c r="P402" s="11" t="n"/>
      <c r="Q402" s="11" t="n"/>
      <c r="R402" s="11">
        <f>IF(OR(P402="",Q402=""),"",IFERROR(INDEX(LAYOUT!$D$2:$D$80,MATCH(P402&amp;"|"&amp;Q402,LAYOUT!$E$2:$E$80,0)),""))</f>
        <v/>
      </c>
      <c r="S402" s="12">
        <f>IF(AND(P402="",Q402=""),IF(AND(L402="",M402="",T402="",U402=""),IF(OR($D402&lt;&gt;"",$E402&lt;&gt;""),"Belum ditempatkan",""),""),IF(P402="","CEK JENIS FIXTURE kosong",IF(LEFT(P402,4)&lt;&gt;"Wall","CEK Fixture 2 hanya Wall",IF(Q402="","CEK SHELVING KE kosong",IF(ISNA(MATCH(P402&amp;"|"&amp;Q402,LAYOUT!$E$2:$E$80,0)),"CEK SHELVING KE di luar layout",IF($I402="","CEK SERIES kosong",IF($D402="","Zona STOCK",IF($E402="","CEK SKU DESCRIPTION kosong",IF(COUNTIFS($I$2:$I$500,$I402,P$2:P$500,"&lt;&gt;"&amp;P402,P$2:P$500,"&lt;&gt;")&gt;0,"CEK jenis fixture beda dalam satu series","OK")))))))))</f>
        <v/>
      </c>
      <c r="T402" s="11" t="n"/>
      <c r="U402" s="11" t="n"/>
      <c r="V402" s="11">
        <f>IF(OR(T402="",U402=""),"",IFERROR(INDEX(LAYOUT!$D$2:$D$80,MATCH(T402&amp;"|"&amp;U402,LAYOUT!$E$2:$E$80,0)),""))</f>
        <v/>
      </c>
      <c r="W402" s="12">
        <f>IF(AND(T402="",U402=""),IF(AND(L402="",M402="",P402="",Q402=""),IF(OR($D402&lt;&gt;"",$E402&lt;&gt;""),"Belum ditempatkan",""),""),IF(T402="","CEK JENIS FIXTURE kosong",IF(LEFT(T402,4)&lt;&gt;"Wall","CEK Fixture 3 hanya Wall",IF(U402="","CEK SHELVING KE kosong",IF(ISNA(MATCH(T402&amp;"|"&amp;U402,LAYOUT!$E$2:$E$80,0)),"CEK SHELVING KE di luar layout",IF($I402="","CEK SERIES kosong",IF($D402="","Zona STOCK",IF($E402="","CEK SKU DESCRIPTION kosong",IF(COUNTIFS($I$2:$I$500,$I402,T$2:T$500,"&lt;&gt;"&amp;T402,T$2:T$500,"&lt;&gt;")&gt;0,"CEK jenis fixture beda dalam satu series","OK")))))))))</f>
        <v/>
      </c>
      <c r="X402" s="11" t="n"/>
      <c r="Y402" s="11" t="n"/>
      <c r="Z402" s="12" t="n"/>
      <c r="AA402" s="12" t="n"/>
      <c r="AB402" s="11" t="n"/>
      <c r="AC402" s="11" t="n"/>
      <c r="AD402" s="11" t="n"/>
      <c r="AE402" s="11" t="n"/>
      <c r="AF402" s="11" t="n"/>
      <c r="AG402" s="11" t="n"/>
      <c r="AH402" s="12" t="n"/>
      <c r="AI402" s="12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>
        <f>IF(OR(L403="",M403=""),"",IFERROR(INDEX(LAYOUT!$D$2:$D$80,MATCH(L403&amp;"|"&amp;M403,LAYOUT!$E$2:$E$80,0)),""))</f>
        <v/>
      </c>
      <c r="O403" s="12">
        <f>IF(AND(L403="",M403=""),IF(AND(P403="",Q403="",T403="",U403=""),IF(OR($D403&lt;&gt;"",$E403&lt;&gt;""),"Belum ditempatkan",""),""),IF(L403="","CEK JENIS FIXTURE kosong",IF(AND(LEFT(L403,7)&lt;&gt;"Gondola",LEFT(L403,6)&lt;&gt;"Endcap"),"CEK Fixture 1 hanya Gondola atau Endcap",IF(M403="","CEK SHELVING KE kosong",IF(ISNA(MATCH(L403&amp;"|"&amp;M403,LAYOUT!$E$2:$E$80,0)),"CEK SHELVING KE di luar layout",IF($I403="","CEK SERIES kosong",IF($D403="","Zona STOCK",IF($E403="","CEK SKU DESCRIPTION kosong",IF(COUNTIFS($I$2:$I$500,$I403,L$2:L$500,"&lt;&gt;"&amp;L403,L$2:L$500,"&lt;&gt;")&gt;0,"CEK jenis fixture beda dalam satu series","OK")))))))))</f>
        <v/>
      </c>
      <c r="P403" s="11" t="n"/>
      <c r="Q403" s="11" t="n"/>
      <c r="R403" s="11">
        <f>IF(OR(P403="",Q403=""),"",IFERROR(INDEX(LAYOUT!$D$2:$D$80,MATCH(P403&amp;"|"&amp;Q403,LAYOUT!$E$2:$E$80,0)),""))</f>
        <v/>
      </c>
      <c r="S403" s="12">
        <f>IF(AND(P403="",Q403=""),IF(AND(L403="",M403="",T403="",U403=""),IF(OR($D403&lt;&gt;"",$E403&lt;&gt;""),"Belum ditempatkan",""),""),IF(P403="","CEK JENIS FIXTURE kosong",IF(LEFT(P403,4)&lt;&gt;"Wall","CEK Fixture 2 hanya Wall",IF(Q403="","CEK SHELVING KE kosong",IF(ISNA(MATCH(P403&amp;"|"&amp;Q403,LAYOUT!$E$2:$E$80,0)),"CEK SHELVING KE di luar layout",IF($I403="","CEK SERIES kosong",IF($D403="","Zona STOCK",IF($E403="","CEK SKU DESCRIPTION kosong",IF(COUNTIFS($I$2:$I$500,$I403,P$2:P$500,"&lt;&gt;"&amp;P403,P$2:P$500,"&lt;&gt;")&gt;0,"CEK jenis fixture beda dalam satu series","OK")))))))))</f>
        <v/>
      </c>
      <c r="T403" s="11" t="n"/>
      <c r="U403" s="11" t="n"/>
      <c r="V403" s="11">
        <f>IF(OR(T403="",U403=""),"",IFERROR(INDEX(LAYOUT!$D$2:$D$80,MATCH(T403&amp;"|"&amp;U403,LAYOUT!$E$2:$E$80,0)),""))</f>
        <v/>
      </c>
      <c r="W403" s="12">
        <f>IF(AND(T403="",U403=""),IF(AND(L403="",M403="",P403="",Q403=""),IF(OR($D403&lt;&gt;"",$E403&lt;&gt;""),"Belum ditempatkan",""),""),IF(T403="","CEK JENIS FIXTURE kosong",IF(LEFT(T403,4)&lt;&gt;"Wall","CEK Fixture 3 hanya Wall",IF(U403="","CEK SHELVING KE kosong",IF(ISNA(MATCH(T403&amp;"|"&amp;U403,LAYOUT!$E$2:$E$80,0)),"CEK SHELVING KE di luar layout",IF($I403="","CEK SERIES kosong",IF($D403="","Zona STOCK",IF($E403="","CEK SKU DESCRIPTION kosong",IF(COUNTIFS($I$2:$I$500,$I403,T$2:T$500,"&lt;&gt;"&amp;T403,T$2:T$500,"&lt;&gt;")&gt;0,"CEK jenis fixture beda dalam satu series","OK")))))))))</f>
        <v/>
      </c>
      <c r="X403" s="11" t="n"/>
      <c r="Y403" s="11" t="n"/>
      <c r="Z403" s="12" t="n"/>
      <c r="AA403" s="12" t="n"/>
      <c r="AB403" s="11" t="n"/>
      <c r="AC403" s="11" t="n"/>
      <c r="AD403" s="11" t="n"/>
      <c r="AE403" s="11" t="n"/>
      <c r="AF403" s="11" t="n"/>
      <c r="AG403" s="11" t="n"/>
      <c r="AH403" s="12" t="n"/>
      <c r="AI403" s="12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>
        <f>IF(OR(L404="",M404=""),"",IFERROR(INDEX(LAYOUT!$D$2:$D$80,MATCH(L404&amp;"|"&amp;M404,LAYOUT!$E$2:$E$80,0)),""))</f>
        <v/>
      </c>
      <c r="O404" s="12">
        <f>IF(AND(L404="",M404=""),IF(AND(P404="",Q404="",T404="",U404=""),IF(OR($D404&lt;&gt;"",$E404&lt;&gt;""),"Belum ditempatkan",""),""),IF(L404="","CEK JENIS FIXTURE kosong",IF(AND(LEFT(L404,7)&lt;&gt;"Gondola",LEFT(L404,6)&lt;&gt;"Endcap"),"CEK Fixture 1 hanya Gondola atau Endcap",IF(M404="","CEK SHELVING KE kosong",IF(ISNA(MATCH(L404&amp;"|"&amp;M404,LAYOUT!$E$2:$E$80,0)),"CEK SHELVING KE di luar layout",IF($I404="","CEK SERIES kosong",IF($D404="","Zona STOCK",IF($E404="","CEK SKU DESCRIPTION kosong",IF(COUNTIFS($I$2:$I$500,$I404,L$2:L$500,"&lt;&gt;"&amp;L404,L$2:L$500,"&lt;&gt;")&gt;0,"CEK jenis fixture beda dalam satu series","OK")))))))))</f>
        <v/>
      </c>
      <c r="P404" s="11" t="n"/>
      <c r="Q404" s="11" t="n"/>
      <c r="R404" s="11">
        <f>IF(OR(P404="",Q404=""),"",IFERROR(INDEX(LAYOUT!$D$2:$D$80,MATCH(P404&amp;"|"&amp;Q404,LAYOUT!$E$2:$E$80,0)),""))</f>
        <v/>
      </c>
      <c r="S404" s="12">
        <f>IF(AND(P404="",Q404=""),IF(AND(L404="",M404="",T404="",U404=""),IF(OR($D404&lt;&gt;"",$E404&lt;&gt;""),"Belum ditempatkan",""),""),IF(P404="","CEK JENIS FIXTURE kosong",IF(LEFT(P404,4)&lt;&gt;"Wall","CEK Fixture 2 hanya Wall",IF(Q404="","CEK SHELVING KE kosong",IF(ISNA(MATCH(P404&amp;"|"&amp;Q404,LAYOUT!$E$2:$E$80,0)),"CEK SHELVING KE di luar layout",IF($I404="","CEK SERIES kosong",IF($D404="","Zona STOCK",IF($E404="","CEK SKU DESCRIPTION kosong",IF(COUNTIFS($I$2:$I$500,$I404,P$2:P$500,"&lt;&gt;"&amp;P404,P$2:P$500,"&lt;&gt;")&gt;0,"CEK jenis fixture beda dalam satu series","OK")))))))))</f>
        <v/>
      </c>
      <c r="T404" s="11" t="n"/>
      <c r="U404" s="11" t="n"/>
      <c r="V404" s="11">
        <f>IF(OR(T404="",U404=""),"",IFERROR(INDEX(LAYOUT!$D$2:$D$80,MATCH(T404&amp;"|"&amp;U404,LAYOUT!$E$2:$E$80,0)),""))</f>
        <v/>
      </c>
      <c r="W404" s="12">
        <f>IF(AND(T404="",U404=""),IF(AND(L404="",M404="",P404="",Q404=""),IF(OR($D404&lt;&gt;"",$E404&lt;&gt;""),"Belum ditempatkan",""),""),IF(T404="","CEK JENIS FIXTURE kosong",IF(LEFT(T404,4)&lt;&gt;"Wall","CEK Fixture 3 hanya Wall",IF(U404="","CEK SHELVING KE kosong",IF(ISNA(MATCH(T404&amp;"|"&amp;U404,LAYOUT!$E$2:$E$80,0)),"CEK SHELVING KE di luar layout",IF($I404="","CEK SERIES kosong",IF($D404="","Zona STOCK",IF($E404="","CEK SKU DESCRIPTION kosong",IF(COUNTIFS($I$2:$I$500,$I404,T$2:T$500,"&lt;&gt;"&amp;T404,T$2:T$500,"&lt;&gt;")&gt;0,"CEK jenis fixture beda dalam satu series","OK")))))))))</f>
        <v/>
      </c>
      <c r="X404" s="11" t="n"/>
      <c r="Y404" s="11" t="n"/>
      <c r="Z404" s="12" t="n"/>
      <c r="AA404" s="12" t="n"/>
      <c r="AB404" s="11" t="n"/>
      <c r="AC404" s="11" t="n"/>
      <c r="AD404" s="11" t="n"/>
      <c r="AE404" s="11" t="n"/>
      <c r="AF404" s="11" t="n"/>
      <c r="AG404" s="11" t="n"/>
      <c r="AH404" s="12" t="n"/>
      <c r="AI404" s="12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>
        <f>IF(OR(L405="",M405=""),"",IFERROR(INDEX(LAYOUT!$D$2:$D$80,MATCH(L405&amp;"|"&amp;M405,LAYOUT!$E$2:$E$80,0)),""))</f>
        <v/>
      </c>
      <c r="O405" s="12">
        <f>IF(AND(L405="",M405=""),IF(AND(P405="",Q405="",T405="",U405=""),IF(OR($D405&lt;&gt;"",$E405&lt;&gt;""),"Belum ditempatkan",""),""),IF(L405="","CEK JENIS FIXTURE kosong",IF(AND(LEFT(L405,7)&lt;&gt;"Gondola",LEFT(L405,6)&lt;&gt;"Endcap"),"CEK Fixture 1 hanya Gondola atau Endcap",IF(M405="","CEK SHELVING KE kosong",IF(ISNA(MATCH(L405&amp;"|"&amp;M405,LAYOUT!$E$2:$E$80,0)),"CEK SHELVING KE di luar layout",IF($I405="","CEK SERIES kosong",IF($D405="","Zona STOCK",IF($E405="","CEK SKU DESCRIPTION kosong",IF(COUNTIFS($I$2:$I$500,$I405,L$2:L$500,"&lt;&gt;"&amp;L405,L$2:L$500,"&lt;&gt;")&gt;0,"CEK jenis fixture beda dalam satu series","OK")))))))))</f>
        <v/>
      </c>
      <c r="P405" s="11" t="n"/>
      <c r="Q405" s="11" t="n"/>
      <c r="R405" s="11">
        <f>IF(OR(P405="",Q405=""),"",IFERROR(INDEX(LAYOUT!$D$2:$D$80,MATCH(P405&amp;"|"&amp;Q405,LAYOUT!$E$2:$E$80,0)),""))</f>
        <v/>
      </c>
      <c r="S405" s="12">
        <f>IF(AND(P405="",Q405=""),IF(AND(L405="",M405="",T405="",U405=""),IF(OR($D405&lt;&gt;"",$E405&lt;&gt;""),"Belum ditempatkan",""),""),IF(P405="","CEK JENIS FIXTURE kosong",IF(LEFT(P405,4)&lt;&gt;"Wall","CEK Fixture 2 hanya Wall",IF(Q405="","CEK SHELVING KE kosong",IF(ISNA(MATCH(P405&amp;"|"&amp;Q405,LAYOUT!$E$2:$E$80,0)),"CEK SHELVING KE di luar layout",IF($I405="","CEK SERIES kosong",IF($D405="","Zona STOCK",IF($E405="","CEK SKU DESCRIPTION kosong",IF(COUNTIFS($I$2:$I$500,$I405,P$2:P$500,"&lt;&gt;"&amp;P405,P$2:P$500,"&lt;&gt;")&gt;0,"CEK jenis fixture beda dalam satu series","OK")))))))))</f>
        <v/>
      </c>
      <c r="T405" s="11" t="n"/>
      <c r="U405" s="11" t="n"/>
      <c r="V405" s="11">
        <f>IF(OR(T405="",U405=""),"",IFERROR(INDEX(LAYOUT!$D$2:$D$80,MATCH(T405&amp;"|"&amp;U405,LAYOUT!$E$2:$E$80,0)),""))</f>
        <v/>
      </c>
      <c r="W405" s="12">
        <f>IF(AND(T405="",U405=""),IF(AND(L405="",M405="",P405="",Q405=""),IF(OR($D405&lt;&gt;"",$E405&lt;&gt;""),"Belum ditempatkan",""),""),IF(T405="","CEK JENIS FIXTURE kosong",IF(LEFT(T405,4)&lt;&gt;"Wall","CEK Fixture 3 hanya Wall",IF(U405="","CEK SHELVING KE kosong",IF(ISNA(MATCH(T405&amp;"|"&amp;U405,LAYOUT!$E$2:$E$80,0)),"CEK SHELVING KE di luar layout",IF($I405="","CEK SERIES kosong",IF($D405="","Zona STOCK",IF($E405="","CEK SKU DESCRIPTION kosong",IF(COUNTIFS($I$2:$I$500,$I405,T$2:T$500,"&lt;&gt;"&amp;T405,T$2:T$500,"&lt;&gt;")&gt;0,"CEK jenis fixture beda dalam satu series","OK")))))))))</f>
        <v/>
      </c>
      <c r="X405" s="11" t="n"/>
      <c r="Y405" s="11" t="n"/>
      <c r="Z405" s="12" t="n"/>
      <c r="AA405" s="12" t="n"/>
      <c r="AB405" s="11" t="n"/>
      <c r="AC405" s="11" t="n"/>
      <c r="AD405" s="11" t="n"/>
      <c r="AE405" s="11" t="n"/>
      <c r="AF405" s="11" t="n"/>
      <c r="AG405" s="11" t="n"/>
      <c r="AH405" s="12" t="n"/>
      <c r="AI405" s="12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>
        <f>IF(OR(L406="",M406=""),"",IFERROR(INDEX(LAYOUT!$D$2:$D$80,MATCH(L406&amp;"|"&amp;M406,LAYOUT!$E$2:$E$80,0)),""))</f>
        <v/>
      </c>
      <c r="O406" s="12">
        <f>IF(AND(L406="",M406=""),IF(AND(P406="",Q406="",T406="",U406=""),IF(OR($D406&lt;&gt;"",$E406&lt;&gt;""),"Belum ditempatkan",""),""),IF(L406="","CEK JENIS FIXTURE kosong",IF(AND(LEFT(L406,7)&lt;&gt;"Gondola",LEFT(L406,6)&lt;&gt;"Endcap"),"CEK Fixture 1 hanya Gondola atau Endcap",IF(M406="","CEK SHELVING KE kosong",IF(ISNA(MATCH(L406&amp;"|"&amp;M406,LAYOUT!$E$2:$E$80,0)),"CEK SHELVING KE di luar layout",IF($I406="","CEK SERIES kosong",IF($D406="","Zona STOCK",IF($E406="","CEK SKU DESCRIPTION kosong",IF(COUNTIFS($I$2:$I$500,$I406,L$2:L$500,"&lt;&gt;"&amp;L406,L$2:L$500,"&lt;&gt;")&gt;0,"CEK jenis fixture beda dalam satu series","OK")))))))))</f>
        <v/>
      </c>
      <c r="P406" s="11" t="n"/>
      <c r="Q406" s="11" t="n"/>
      <c r="R406" s="11">
        <f>IF(OR(P406="",Q406=""),"",IFERROR(INDEX(LAYOUT!$D$2:$D$80,MATCH(P406&amp;"|"&amp;Q406,LAYOUT!$E$2:$E$80,0)),""))</f>
        <v/>
      </c>
      <c r="S406" s="12">
        <f>IF(AND(P406="",Q406=""),IF(AND(L406="",M406="",T406="",U406=""),IF(OR($D406&lt;&gt;"",$E406&lt;&gt;""),"Belum ditempatkan",""),""),IF(P406="","CEK JENIS FIXTURE kosong",IF(LEFT(P406,4)&lt;&gt;"Wall","CEK Fixture 2 hanya Wall",IF(Q406="","CEK SHELVING KE kosong",IF(ISNA(MATCH(P406&amp;"|"&amp;Q406,LAYOUT!$E$2:$E$80,0)),"CEK SHELVING KE di luar layout",IF($I406="","CEK SERIES kosong",IF($D406="","Zona STOCK",IF($E406="","CEK SKU DESCRIPTION kosong",IF(COUNTIFS($I$2:$I$500,$I406,P$2:P$500,"&lt;&gt;"&amp;P406,P$2:P$500,"&lt;&gt;")&gt;0,"CEK jenis fixture beda dalam satu series","OK")))))))))</f>
        <v/>
      </c>
      <c r="T406" s="11" t="n"/>
      <c r="U406" s="11" t="n"/>
      <c r="V406" s="11">
        <f>IF(OR(T406="",U406=""),"",IFERROR(INDEX(LAYOUT!$D$2:$D$80,MATCH(T406&amp;"|"&amp;U406,LAYOUT!$E$2:$E$80,0)),""))</f>
        <v/>
      </c>
      <c r="W406" s="12">
        <f>IF(AND(T406="",U406=""),IF(AND(L406="",M406="",P406="",Q406=""),IF(OR($D406&lt;&gt;"",$E406&lt;&gt;""),"Belum ditempatkan",""),""),IF(T406="","CEK JENIS FIXTURE kosong",IF(LEFT(T406,4)&lt;&gt;"Wall","CEK Fixture 3 hanya Wall",IF(U406="","CEK SHELVING KE kosong",IF(ISNA(MATCH(T406&amp;"|"&amp;U406,LAYOUT!$E$2:$E$80,0)),"CEK SHELVING KE di luar layout",IF($I406="","CEK SERIES kosong",IF($D406="","Zona STOCK",IF($E406="","CEK SKU DESCRIPTION kosong",IF(COUNTIFS($I$2:$I$500,$I406,T$2:T$500,"&lt;&gt;"&amp;T406,T$2:T$500,"&lt;&gt;")&gt;0,"CEK jenis fixture beda dalam satu series","OK")))))))))</f>
        <v/>
      </c>
      <c r="X406" s="11" t="n"/>
      <c r="Y406" s="11" t="n"/>
      <c r="Z406" s="12" t="n"/>
      <c r="AA406" s="12" t="n"/>
      <c r="AB406" s="11" t="n"/>
      <c r="AC406" s="11" t="n"/>
      <c r="AD406" s="11" t="n"/>
      <c r="AE406" s="11" t="n"/>
      <c r="AF406" s="11" t="n"/>
      <c r="AG406" s="11" t="n"/>
      <c r="AH406" s="12" t="n"/>
      <c r="AI406" s="12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>
        <f>IF(OR(L407="",M407=""),"",IFERROR(INDEX(LAYOUT!$D$2:$D$80,MATCH(L407&amp;"|"&amp;M407,LAYOUT!$E$2:$E$80,0)),""))</f>
        <v/>
      </c>
      <c r="O407" s="12">
        <f>IF(AND(L407="",M407=""),IF(AND(P407="",Q407="",T407="",U407=""),IF(OR($D407&lt;&gt;"",$E407&lt;&gt;""),"Belum ditempatkan",""),""),IF(L407="","CEK JENIS FIXTURE kosong",IF(AND(LEFT(L407,7)&lt;&gt;"Gondola",LEFT(L407,6)&lt;&gt;"Endcap"),"CEK Fixture 1 hanya Gondola atau Endcap",IF(M407="","CEK SHELVING KE kosong",IF(ISNA(MATCH(L407&amp;"|"&amp;M407,LAYOUT!$E$2:$E$80,0)),"CEK SHELVING KE di luar layout",IF($I407="","CEK SERIES kosong",IF($D407="","Zona STOCK",IF($E407="","CEK SKU DESCRIPTION kosong",IF(COUNTIFS($I$2:$I$500,$I407,L$2:L$500,"&lt;&gt;"&amp;L407,L$2:L$500,"&lt;&gt;")&gt;0,"CEK jenis fixture beda dalam satu series","OK")))))))))</f>
        <v/>
      </c>
      <c r="P407" s="11" t="n"/>
      <c r="Q407" s="11" t="n"/>
      <c r="R407" s="11">
        <f>IF(OR(P407="",Q407=""),"",IFERROR(INDEX(LAYOUT!$D$2:$D$80,MATCH(P407&amp;"|"&amp;Q407,LAYOUT!$E$2:$E$80,0)),""))</f>
        <v/>
      </c>
      <c r="S407" s="12">
        <f>IF(AND(P407="",Q407=""),IF(AND(L407="",M407="",T407="",U407=""),IF(OR($D407&lt;&gt;"",$E407&lt;&gt;""),"Belum ditempatkan",""),""),IF(P407="","CEK JENIS FIXTURE kosong",IF(LEFT(P407,4)&lt;&gt;"Wall","CEK Fixture 2 hanya Wall",IF(Q407="","CEK SHELVING KE kosong",IF(ISNA(MATCH(P407&amp;"|"&amp;Q407,LAYOUT!$E$2:$E$80,0)),"CEK SHELVING KE di luar layout",IF($I407="","CEK SERIES kosong",IF($D407="","Zona STOCK",IF($E407="","CEK SKU DESCRIPTION kosong",IF(COUNTIFS($I$2:$I$500,$I407,P$2:P$500,"&lt;&gt;"&amp;P407,P$2:P$500,"&lt;&gt;")&gt;0,"CEK jenis fixture beda dalam satu series","OK")))))))))</f>
        <v/>
      </c>
      <c r="T407" s="11" t="n"/>
      <c r="U407" s="11" t="n"/>
      <c r="V407" s="11">
        <f>IF(OR(T407="",U407=""),"",IFERROR(INDEX(LAYOUT!$D$2:$D$80,MATCH(T407&amp;"|"&amp;U407,LAYOUT!$E$2:$E$80,0)),""))</f>
        <v/>
      </c>
      <c r="W407" s="12">
        <f>IF(AND(T407="",U407=""),IF(AND(L407="",M407="",P407="",Q407=""),IF(OR($D407&lt;&gt;"",$E407&lt;&gt;""),"Belum ditempatkan",""),""),IF(T407="","CEK JENIS FIXTURE kosong",IF(LEFT(T407,4)&lt;&gt;"Wall","CEK Fixture 3 hanya Wall",IF(U407="","CEK SHELVING KE kosong",IF(ISNA(MATCH(T407&amp;"|"&amp;U407,LAYOUT!$E$2:$E$80,0)),"CEK SHELVING KE di luar layout",IF($I407="","CEK SERIES kosong",IF($D407="","Zona STOCK",IF($E407="","CEK SKU DESCRIPTION kosong",IF(COUNTIFS($I$2:$I$500,$I407,T$2:T$500,"&lt;&gt;"&amp;T407,T$2:T$500,"&lt;&gt;")&gt;0,"CEK jenis fixture beda dalam satu series","OK")))))))))</f>
        <v/>
      </c>
      <c r="X407" s="11" t="n"/>
      <c r="Y407" s="11" t="n"/>
      <c r="Z407" s="12" t="n"/>
      <c r="AA407" s="12" t="n"/>
      <c r="AB407" s="11" t="n"/>
      <c r="AC407" s="11" t="n"/>
      <c r="AD407" s="11" t="n"/>
      <c r="AE407" s="11" t="n"/>
      <c r="AF407" s="11" t="n"/>
      <c r="AG407" s="11" t="n"/>
      <c r="AH407" s="12" t="n"/>
      <c r="AI407" s="12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>
        <f>IF(OR(L408="",M408=""),"",IFERROR(INDEX(LAYOUT!$D$2:$D$80,MATCH(L408&amp;"|"&amp;M408,LAYOUT!$E$2:$E$80,0)),""))</f>
        <v/>
      </c>
      <c r="O408" s="12">
        <f>IF(AND(L408="",M408=""),IF(AND(P408="",Q408="",T408="",U408=""),IF(OR($D408&lt;&gt;"",$E408&lt;&gt;""),"Belum ditempatkan",""),""),IF(L408="","CEK JENIS FIXTURE kosong",IF(AND(LEFT(L408,7)&lt;&gt;"Gondola",LEFT(L408,6)&lt;&gt;"Endcap"),"CEK Fixture 1 hanya Gondola atau Endcap",IF(M408="","CEK SHELVING KE kosong",IF(ISNA(MATCH(L408&amp;"|"&amp;M408,LAYOUT!$E$2:$E$80,0)),"CEK SHELVING KE di luar layout",IF($I408="","CEK SERIES kosong",IF($D408="","Zona STOCK",IF($E408="","CEK SKU DESCRIPTION kosong",IF(COUNTIFS($I$2:$I$500,$I408,L$2:L$500,"&lt;&gt;"&amp;L408,L$2:L$500,"&lt;&gt;")&gt;0,"CEK jenis fixture beda dalam satu series","OK")))))))))</f>
        <v/>
      </c>
      <c r="P408" s="11" t="n"/>
      <c r="Q408" s="11" t="n"/>
      <c r="R408" s="11">
        <f>IF(OR(P408="",Q408=""),"",IFERROR(INDEX(LAYOUT!$D$2:$D$80,MATCH(P408&amp;"|"&amp;Q408,LAYOUT!$E$2:$E$80,0)),""))</f>
        <v/>
      </c>
      <c r="S408" s="12">
        <f>IF(AND(P408="",Q408=""),IF(AND(L408="",M408="",T408="",U408=""),IF(OR($D408&lt;&gt;"",$E408&lt;&gt;""),"Belum ditempatkan",""),""),IF(P408="","CEK JENIS FIXTURE kosong",IF(LEFT(P408,4)&lt;&gt;"Wall","CEK Fixture 2 hanya Wall",IF(Q408="","CEK SHELVING KE kosong",IF(ISNA(MATCH(P408&amp;"|"&amp;Q408,LAYOUT!$E$2:$E$80,0)),"CEK SHELVING KE di luar layout",IF($I408="","CEK SERIES kosong",IF($D408="","Zona STOCK",IF($E408="","CEK SKU DESCRIPTION kosong",IF(COUNTIFS($I$2:$I$500,$I408,P$2:P$500,"&lt;&gt;"&amp;P408,P$2:P$500,"&lt;&gt;")&gt;0,"CEK jenis fixture beda dalam satu series","OK")))))))))</f>
        <v/>
      </c>
      <c r="T408" s="11" t="n"/>
      <c r="U408" s="11" t="n"/>
      <c r="V408" s="11">
        <f>IF(OR(T408="",U408=""),"",IFERROR(INDEX(LAYOUT!$D$2:$D$80,MATCH(T408&amp;"|"&amp;U408,LAYOUT!$E$2:$E$80,0)),""))</f>
        <v/>
      </c>
      <c r="W408" s="12">
        <f>IF(AND(T408="",U408=""),IF(AND(L408="",M408="",P408="",Q408=""),IF(OR($D408&lt;&gt;"",$E408&lt;&gt;""),"Belum ditempatkan",""),""),IF(T408="","CEK JENIS FIXTURE kosong",IF(LEFT(T408,4)&lt;&gt;"Wall","CEK Fixture 3 hanya Wall",IF(U408="","CEK SHELVING KE kosong",IF(ISNA(MATCH(T408&amp;"|"&amp;U408,LAYOUT!$E$2:$E$80,0)),"CEK SHELVING KE di luar layout",IF($I408="","CEK SERIES kosong",IF($D408="","Zona STOCK",IF($E408="","CEK SKU DESCRIPTION kosong",IF(COUNTIFS($I$2:$I$500,$I408,T$2:T$500,"&lt;&gt;"&amp;T408,T$2:T$500,"&lt;&gt;")&gt;0,"CEK jenis fixture beda dalam satu series","OK")))))))))</f>
        <v/>
      </c>
      <c r="X408" s="11" t="n"/>
      <c r="Y408" s="11" t="n"/>
      <c r="Z408" s="12" t="n"/>
      <c r="AA408" s="12" t="n"/>
      <c r="AB408" s="11" t="n"/>
      <c r="AC408" s="11" t="n"/>
      <c r="AD408" s="11" t="n"/>
      <c r="AE408" s="11" t="n"/>
      <c r="AF408" s="11" t="n"/>
      <c r="AG408" s="11" t="n"/>
      <c r="AH408" s="12" t="n"/>
      <c r="AI408" s="12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>
        <f>IF(OR(L409="",M409=""),"",IFERROR(INDEX(LAYOUT!$D$2:$D$80,MATCH(L409&amp;"|"&amp;M409,LAYOUT!$E$2:$E$80,0)),""))</f>
        <v/>
      </c>
      <c r="O409" s="12">
        <f>IF(AND(L409="",M409=""),IF(AND(P409="",Q409="",T409="",U409=""),IF(OR($D409&lt;&gt;"",$E409&lt;&gt;""),"Belum ditempatkan",""),""),IF(L409="","CEK JENIS FIXTURE kosong",IF(AND(LEFT(L409,7)&lt;&gt;"Gondola",LEFT(L409,6)&lt;&gt;"Endcap"),"CEK Fixture 1 hanya Gondola atau Endcap",IF(M409="","CEK SHELVING KE kosong",IF(ISNA(MATCH(L409&amp;"|"&amp;M409,LAYOUT!$E$2:$E$80,0)),"CEK SHELVING KE di luar layout",IF($I409="","CEK SERIES kosong",IF($D409="","Zona STOCK",IF($E409="","CEK SKU DESCRIPTION kosong",IF(COUNTIFS($I$2:$I$500,$I409,L$2:L$500,"&lt;&gt;"&amp;L409,L$2:L$500,"&lt;&gt;")&gt;0,"CEK jenis fixture beda dalam satu series","OK")))))))))</f>
        <v/>
      </c>
      <c r="P409" s="11" t="n"/>
      <c r="Q409" s="11" t="n"/>
      <c r="R409" s="11">
        <f>IF(OR(P409="",Q409=""),"",IFERROR(INDEX(LAYOUT!$D$2:$D$80,MATCH(P409&amp;"|"&amp;Q409,LAYOUT!$E$2:$E$80,0)),""))</f>
        <v/>
      </c>
      <c r="S409" s="12">
        <f>IF(AND(P409="",Q409=""),IF(AND(L409="",M409="",T409="",U409=""),IF(OR($D409&lt;&gt;"",$E409&lt;&gt;""),"Belum ditempatkan",""),""),IF(P409="","CEK JENIS FIXTURE kosong",IF(LEFT(P409,4)&lt;&gt;"Wall","CEK Fixture 2 hanya Wall",IF(Q409="","CEK SHELVING KE kosong",IF(ISNA(MATCH(P409&amp;"|"&amp;Q409,LAYOUT!$E$2:$E$80,0)),"CEK SHELVING KE di luar layout",IF($I409="","CEK SERIES kosong",IF($D409="","Zona STOCK",IF($E409="","CEK SKU DESCRIPTION kosong",IF(COUNTIFS($I$2:$I$500,$I409,P$2:P$500,"&lt;&gt;"&amp;P409,P$2:P$500,"&lt;&gt;")&gt;0,"CEK jenis fixture beda dalam satu series","OK")))))))))</f>
        <v/>
      </c>
      <c r="T409" s="11" t="n"/>
      <c r="U409" s="11" t="n"/>
      <c r="V409" s="11">
        <f>IF(OR(T409="",U409=""),"",IFERROR(INDEX(LAYOUT!$D$2:$D$80,MATCH(T409&amp;"|"&amp;U409,LAYOUT!$E$2:$E$80,0)),""))</f>
        <v/>
      </c>
      <c r="W409" s="12">
        <f>IF(AND(T409="",U409=""),IF(AND(L409="",M409="",P409="",Q409=""),IF(OR($D409&lt;&gt;"",$E409&lt;&gt;""),"Belum ditempatkan",""),""),IF(T409="","CEK JENIS FIXTURE kosong",IF(LEFT(T409,4)&lt;&gt;"Wall","CEK Fixture 3 hanya Wall",IF(U409="","CEK SHELVING KE kosong",IF(ISNA(MATCH(T409&amp;"|"&amp;U409,LAYOUT!$E$2:$E$80,0)),"CEK SHELVING KE di luar layout",IF($I409="","CEK SERIES kosong",IF($D409="","Zona STOCK",IF($E409="","CEK SKU DESCRIPTION kosong",IF(COUNTIFS($I$2:$I$500,$I409,T$2:T$500,"&lt;&gt;"&amp;T409,T$2:T$500,"&lt;&gt;")&gt;0,"CEK jenis fixture beda dalam satu series","OK")))))))))</f>
        <v/>
      </c>
      <c r="X409" s="11" t="n"/>
      <c r="Y409" s="11" t="n"/>
      <c r="Z409" s="12" t="n"/>
      <c r="AA409" s="12" t="n"/>
      <c r="AB409" s="11" t="n"/>
      <c r="AC409" s="11" t="n"/>
      <c r="AD409" s="11" t="n"/>
      <c r="AE409" s="11" t="n"/>
      <c r="AF409" s="11" t="n"/>
      <c r="AG409" s="11" t="n"/>
      <c r="AH409" s="12" t="n"/>
      <c r="AI409" s="12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>
        <f>IF(OR(L410="",M410=""),"",IFERROR(INDEX(LAYOUT!$D$2:$D$80,MATCH(L410&amp;"|"&amp;M410,LAYOUT!$E$2:$E$80,0)),""))</f>
        <v/>
      </c>
      <c r="O410" s="12">
        <f>IF(AND(L410="",M410=""),IF(AND(P410="",Q410="",T410="",U410=""),IF(OR($D410&lt;&gt;"",$E410&lt;&gt;""),"Belum ditempatkan",""),""),IF(L410="","CEK JENIS FIXTURE kosong",IF(AND(LEFT(L410,7)&lt;&gt;"Gondola",LEFT(L410,6)&lt;&gt;"Endcap"),"CEK Fixture 1 hanya Gondola atau Endcap",IF(M410="","CEK SHELVING KE kosong",IF(ISNA(MATCH(L410&amp;"|"&amp;M410,LAYOUT!$E$2:$E$80,0)),"CEK SHELVING KE di luar layout",IF($I410="","CEK SERIES kosong",IF($D410="","Zona STOCK",IF($E410="","CEK SKU DESCRIPTION kosong",IF(COUNTIFS($I$2:$I$500,$I410,L$2:L$500,"&lt;&gt;"&amp;L410,L$2:L$500,"&lt;&gt;")&gt;0,"CEK jenis fixture beda dalam satu series","OK")))))))))</f>
        <v/>
      </c>
      <c r="P410" s="11" t="n"/>
      <c r="Q410" s="11" t="n"/>
      <c r="R410" s="11">
        <f>IF(OR(P410="",Q410=""),"",IFERROR(INDEX(LAYOUT!$D$2:$D$80,MATCH(P410&amp;"|"&amp;Q410,LAYOUT!$E$2:$E$80,0)),""))</f>
        <v/>
      </c>
      <c r="S410" s="12">
        <f>IF(AND(P410="",Q410=""),IF(AND(L410="",M410="",T410="",U410=""),IF(OR($D410&lt;&gt;"",$E410&lt;&gt;""),"Belum ditempatkan",""),""),IF(P410="","CEK JENIS FIXTURE kosong",IF(LEFT(P410,4)&lt;&gt;"Wall","CEK Fixture 2 hanya Wall",IF(Q410="","CEK SHELVING KE kosong",IF(ISNA(MATCH(P410&amp;"|"&amp;Q410,LAYOUT!$E$2:$E$80,0)),"CEK SHELVING KE di luar layout",IF($I410="","CEK SERIES kosong",IF($D410="","Zona STOCK",IF($E410="","CEK SKU DESCRIPTION kosong",IF(COUNTIFS($I$2:$I$500,$I410,P$2:P$500,"&lt;&gt;"&amp;P410,P$2:P$500,"&lt;&gt;")&gt;0,"CEK jenis fixture beda dalam satu series","OK")))))))))</f>
        <v/>
      </c>
      <c r="T410" s="11" t="n"/>
      <c r="U410" s="11" t="n"/>
      <c r="V410" s="11">
        <f>IF(OR(T410="",U410=""),"",IFERROR(INDEX(LAYOUT!$D$2:$D$80,MATCH(T410&amp;"|"&amp;U410,LAYOUT!$E$2:$E$80,0)),""))</f>
        <v/>
      </c>
      <c r="W410" s="12">
        <f>IF(AND(T410="",U410=""),IF(AND(L410="",M410="",P410="",Q410=""),IF(OR($D410&lt;&gt;"",$E410&lt;&gt;""),"Belum ditempatkan",""),""),IF(T410="","CEK JENIS FIXTURE kosong",IF(LEFT(T410,4)&lt;&gt;"Wall","CEK Fixture 3 hanya Wall",IF(U410="","CEK SHELVING KE kosong",IF(ISNA(MATCH(T410&amp;"|"&amp;U410,LAYOUT!$E$2:$E$80,0)),"CEK SHELVING KE di luar layout",IF($I410="","CEK SERIES kosong",IF($D410="","Zona STOCK",IF($E410="","CEK SKU DESCRIPTION kosong",IF(COUNTIFS($I$2:$I$500,$I410,T$2:T$500,"&lt;&gt;"&amp;T410,T$2:T$500,"&lt;&gt;")&gt;0,"CEK jenis fixture beda dalam satu series","OK")))))))))</f>
        <v/>
      </c>
      <c r="X410" s="11" t="n"/>
      <c r="Y410" s="11" t="n"/>
      <c r="Z410" s="12" t="n"/>
      <c r="AA410" s="12" t="n"/>
      <c r="AB410" s="11" t="n"/>
      <c r="AC410" s="11" t="n"/>
      <c r="AD410" s="11" t="n"/>
      <c r="AE410" s="11" t="n"/>
      <c r="AF410" s="11" t="n"/>
      <c r="AG410" s="11" t="n"/>
      <c r="AH410" s="12" t="n"/>
      <c r="AI410" s="12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>
        <f>IF(OR(L411="",M411=""),"",IFERROR(INDEX(LAYOUT!$D$2:$D$80,MATCH(L411&amp;"|"&amp;M411,LAYOUT!$E$2:$E$80,0)),""))</f>
        <v/>
      </c>
      <c r="O411" s="12">
        <f>IF(AND(L411="",M411=""),IF(AND(P411="",Q411="",T411="",U411=""),IF(OR($D411&lt;&gt;"",$E411&lt;&gt;""),"Belum ditempatkan",""),""),IF(L411="","CEK JENIS FIXTURE kosong",IF(AND(LEFT(L411,7)&lt;&gt;"Gondola",LEFT(L411,6)&lt;&gt;"Endcap"),"CEK Fixture 1 hanya Gondola atau Endcap",IF(M411="","CEK SHELVING KE kosong",IF(ISNA(MATCH(L411&amp;"|"&amp;M411,LAYOUT!$E$2:$E$80,0)),"CEK SHELVING KE di luar layout",IF($I411="","CEK SERIES kosong",IF($D411="","Zona STOCK",IF($E411="","CEK SKU DESCRIPTION kosong",IF(COUNTIFS($I$2:$I$500,$I411,L$2:L$500,"&lt;&gt;"&amp;L411,L$2:L$500,"&lt;&gt;")&gt;0,"CEK jenis fixture beda dalam satu series","OK")))))))))</f>
        <v/>
      </c>
      <c r="P411" s="11" t="n"/>
      <c r="Q411" s="11" t="n"/>
      <c r="R411" s="11">
        <f>IF(OR(P411="",Q411=""),"",IFERROR(INDEX(LAYOUT!$D$2:$D$80,MATCH(P411&amp;"|"&amp;Q411,LAYOUT!$E$2:$E$80,0)),""))</f>
        <v/>
      </c>
      <c r="S411" s="12">
        <f>IF(AND(P411="",Q411=""),IF(AND(L411="",M411="",T411="",U411=""),IF(OR($D411&lt;&gt;"",$E411&lt;&gt;""),"Belum ditempatkan",""),""),IF(P411="","CEK JENIS FIXTURE kosong",IF(LEFT(P411,4)&lt;&gt;"Wall","CEK Fixture 2 hanya Wall",IF(Q411="","CEK SHELVING KE kosong",IF(ISNA(MATCH(P411&amp;"|"&amp;Q411,LAYOUT!$E$2:$E$80,0)),"CEK SHELVING KE di luar layout",IF($I411="","CEK SERIES kosong",IF($D411="","Zona STOCK",IF($E411="","CEK SKU DESCRIPTION kosong",IF(COUNTIFS($I$2:$I$500,$I411,P$2:P$500,"&lt;&gt;"&amp;P411,P$2:P$500,"&lt;&gt;")&gt;0,"CEK jenis fixture beda dalam satu series","OK")))))))))</f>
        <v/>
      </c>
      <c r="T411" s="11" t="n"/>
      <c r="U411" s="11" t="n"/>
      <c r="V411" s="11">
        <f>IF(OR(T411="",U411=""),"",IFERROR(INDEX(LAYOUT!$D$2:$D$80,MATCH(T411&amp;"|"&amp;U411,LAYOUT!$E$2:$E$80,0)),""))</f>
        <v/>
      </c>
      <c r="W411" s="12">
        <f>IF(AND(T411="",U411=""),IF(AND(L411="",M411="",P411="",Q411=""),IF(OR($D411&lt;&gt;"",$E411&lt;&gt;""),"Belum ditempatkan",""),""),IF(T411="","CEK JENIS FIXTURE kosong",IF(LEFT(T411,4)&lt;&gt;"Wall","CEK Fixture 3 hanya Wall",IF(U411="","CEK SHELVING KE kosong",IF(ISNA(MATCH(T411&amp;"|"&amp;U411,LAYOUT!$E$2:$E$80,0)),"CEK SHELVING KE di luar layout",IF($I411="","CEK SERIES kosong",IF($D411="","Zona STOCK",IF($E411="","CEK SKU DESCRIPTION kosong",IF(COUNTIFS($I$2:$I$500,$I411,T$2:T$500,"&lt;&gt;"&amp;T411,T$2:T$500,"&lt;&gt;")&gt;0,"CEK jenis fixture beda dalam satu series","OK")))))))))</f>
        <v/>
      </c>
      <c r="X411" s="11" t="n"/>
      <c r="Y411" s="11" t="n"/>
      <c r="Z411" s="12" t="n"/>
      <c r="AA411" s="12" t="n"/>
      <c r="AB411" s="11" t="n"/>
      <c r="AC411" s="11" t="n"/>
      <c r="AD411" s="11" t="n"/>
      <c r="AE411" s="11" t="n"/>
      <c r="AF411" s="11" t="n"/>
      <c r="AG411" s="11" t="n"/>
      <c r="AH411" s="12" t="n"/>
      <c r="AI411" s="12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>
        <f>IF(OR(L412="",M412=""),"",IFERROR(INDEX(LAYOUT!$D$2:$D$80,MATCH(L412&amp;"|"&amp;M412,LAYOUT!$E$2:$E$80,0)),""))</f>
        <v/>
      </c>
      <c r="O412" s="12">
        <f>IF(AND(L412="",M412=""),IF(AND(P412="",Q412="",T412="",U412=""),IF(OR($D412&lt;&gt;"",$E412&lt;&gt;""),"Belum ditempatkan",""),""),IF(L412="","CEK JENIS FIXTURE kosong",IF(AND(LEFT(L412,7)&lt;&gt;"Gondola",LEFT(L412,6)&lt;&gt;"Endcap"),"CEK Fixture 1 hanya Gondola atau Endcap",IF(M412="","CEK SHELVING KE kosong",IF(ISNA(MATCH(L412&amp;"|"&amp;M412,LAYOUT!$E$2:$E$80,0)),"CEK SHELVING KE di luar layout",IF($I412="","CEK SERIES kosong",IF($D412="","Zona STOCK",IF($E412="","CEK SKU DESCRIPTION kosong",IF(COUNTIFS($I$2:$I$500,$I412,L$2:L$500,"&lt;&gt;"&amp;L412,L$2:L$500,"&lt;&gt;")&gt;0,"CEK jenis fixture beda dalam satu series","OK")))))))))</f>
        <v/>
      </c>
      <c r="P412" s="11" t="n"/>
      <c r="Q412" s="11" t="n"/>
      <c r="R412" s="11">
        <f>IF(OR(P412="",Q412=""),"",IFERROR(INDEX(LAYOUT!$D$2:$D$80,MATCH(P412&amp;"|"&amp;Q412,LAYOUT!$E$2:$E$80,0)),""))</f>
        <v/>
      </c>
      <c r="S412" s="12">
        <f>IF(AND(P412="",Q412=""),IF(AND(L412="",M412="",T412="",U412=""),IF(OR($D412&lt;&gt;"",$E412&lt;&gt;""),"Belum ditempatkan",""),""),IF(P412="","CEK JENIS FIXTURE kosong",IF(LEFT(P412,4)&lt;&gt;"Wall","CEK Fixture 2 hanya Wall",IF(Q412="","CEK SHELVING KE kosong",IF(ISNA(MATCH(P412&amp;"|"&amp;Q412,LAYOUT!$E$2:$E$80,0)),"CEK SHELVING KE di luar layout",IF($I412="","CEK SERIES kosong",IF($D412="","Zona STOCK",IF($E412="","CEK SKU DESCRIPTION kosong",IF(COUNTIFS($I$2:$I$500,$I412,P$2:P$500,"&lt;&gt;"&amp;P412,P$2:P$500,"&lt;&gt;")&gt;0,"CEK jenis fixture beda dalam satu series","OK")))))))))</f>
        <v/>
      </c>
      <c r="T412" s="11" t="n"/>
      <c r="U412" s="11" t="n"/>
      <c r="V412" s="11">
        <f>IF(OR(T412="",U412=""),"",IFERROR(INDEX(LAYOUT!$D$2:$D$80,MATCH(T412&amp;"|"&amp;U412,LAYOUT!$E$2:$E$80,0)),""))</f>
        <v/>
      </c>
      <c r="W412" s="12">
        <f>IF(AND(T412="",U412=""),IF(AND(L412="",M412="",P412="",Q412=""),IF(OR($D412&lt;&gt;"",$E412&lt;&gt;""),"Belum ditempatkan",""),""),IF(T412="","CEK JENIS FIXTURE kosong",IF(LEFT(T412,4)&lt;&gt;"Wall","CEK Fixture 3 hanya Wall",IF(U412="","CEK SHELVING KE kosong",IF(ISNA(MATCH(T412&amp;"|"&amp;U412,LAYOUT!$E$2:$E$80,0)),"CEK SHELVING KE di luar layout",IF($I412="","CEK SERIES kosong",IF($D412="","Zona STOCK",IF($E412="","CEK SKU DESCRIPTION kosong",IF(COUNTIFS($I$2:$I$500,$I412,T$2:T$500,"&lt;&gt;"&amp;T412,T$2:T$500,"&lt;&gt;")&gt;0,"CEK jenis fixture beda dalam satu series","OK")))))))))</f>
        <v/>
      </c>
      <c r="X412" s="11" t="n"/>
      <c r="Y412" s="11" t="n"/>
      <c r="Z412" s="12" t="n"/>
      <c r="AA412" s="12" t="n"/>
      <c r="AB412" s="11" t="n"/>
      <c r="AC412" s="11" t="n"/>
      <c r="AD412" s="11" t="n"/>
      <c r="AE412" s="11" t="n"/>
      <c r="AF412" s="11" t="n"/>
      <c r="AG412" s="11" t="n"/>
      <c r="AH412" s="12" t="n"/>
      <c r="AI412" s="12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>
        <f>IF(OR(L413="",M413=""),"",IFERROR(INDEX(LAYOUT!$D$2:$D$80,MATCH(L413&amp;"|"&amp;M413,LAYOUT!$E$2:$E$80,0)),""))</f>
        <v/>
      </c>
      <c r="O413" s="12">
        <f>IF(AND(L413="",M413=""),IF(AND(P413="",Q413="",T413="",U413=""),IF(OR($D413&lt;&gt;"",$E413&lt;&gt;""),"Belum ditempatkan",""),""),IF(L413="","CEK JENIS FIXTURE kosong",IF(AND(LEFT(L413,7)&lt;&gt;"Gondola",LEFT(L413,6)&lt;&gt;"Endcap"),"CEK Fixture 1 hanya Gondola atau Endcap",IF(M413="","CEK SHELVING KE kosong",IF(ISNA(MATCH(L413&amp;"|"&amp;M413,LAYOUT!$E$2:$E$80,0)),"CEK SHELVING KE di luar layout",IF($I413="","CEK SERIES kosong",IF($D413="","Zona STOCK",IF($E413="","CEK SKU DESCRIPTION kosong",IF(COUNTIFS($I$2:$I$500,$I413,L$2:L$500,"&lt;&gt;"&amp;L413,L$2:L$500,"&lt;&gt;")&gt;0,"CEK jenis fixture beda dalam satu series","OK")))))))))</f>
        <v/>
      </c>
      <c r="P413" s="11" t="n"/>
      <c r="Q413" s="11" t="n"/>
      <c r="R413" s="11">
        <f>IF(OR(P413="",Q413=""),"",IFERROR(INDEX(LAYOUT!$D$2:$D$80,MATCH(P413&amp;"|"&amp;Q413,LAYOUT!$E$2:$E$80,0)),""))</f>
        <v/>
      </c>
      <c r="S413" s="12">
        <f>IF(AND(P413="",Q413=""),IF(AND(L413="",M413="",T413="",U413=""),IF(OR($D413&lt;&gt;"",$E413&lt;&gt;""),"Belum ditempatkan",""),""),IF(P413="","CEK JENIS FIXTURE kosong",IF(LEFT(P413,4)&lt;&gt;"Wall","CEK Fixture 2 hanya Wall",IF(Q413="","CEK SHELVING KE kosong",IF(ISNA(MATCH(P413&amp;"|"&amp;Q413,LAYOUT!$E$2:$E$80,0)),"CEK SHELVING KE di luar layout",IF($I413="","CEK SERIES kosong",IF($D413="","Zona STOCK",IF($E413="","CEK SKU DESCRIPTION kosong",IF(COUNTIFS($I$2:$I$500,$I413,P$2:P$500,"&lt;&gt;"&amp;P413,P$2:P$500,"&lt;&gt;")&gt;0,"CEK jenis fixture beda dalam satu series","OK")))))))))</f>
        <v/>
      </c>
      <c r="T413" s="11" t="n"/>
      <c r="U413" s="11" t="n"/>
      <c r="V413" s="11">
        <f>IF(OR(T413="",U413=""),"",IFERROR(INDEX(LAYOUT!$D$2:$D$80,MATCH(T413&amp;"|"&amp;U413,LAYOUT!$E$2:$E$80,0)),""))</f>
        <v/>
      </c>
      <c r="W413" s="12">
        <f>IF(AND(T413="",U413=""),IF(AND(L413="",M413="",P413="",Q413=""),IF(OR($D413&lt;&gt;"",$E413&lt;&gt;""),"Belum ditempatkan",""),""),IF(T413="","CEK JENIS FIXTURE kosong",IF(LEFT(T413,4)&lt;&gt;"Wall","CEK Fixture 3 hanya Wall",IF(U413="","CEK SHELVING KE kosong",IF(ISNA(MATCH(T413&amp;"|"&amp;U413,LAYOUT!$E$2:$E$80,0)),"CEK SHELVING KE di luar layout",IF($I413="","CEK SERIES kosong",IF($D413="","Zona STOCK",IF($E413="","CEK SKU DESCRIPTION kosong",IF(COUNTIFS($I$2:$I$500,$I413,T$2:T$500,"&lt;&gt;"&amp;T413,T$2:T$500,"&lt;&gt;")&gt;0,"CEK jenis fixture beda dalam satu series","OK")))))))))</f>
        <v/>
      </c>
      <c r="X413" s="11" t="n"/>
      <c r="Y413" s="11" t="n"/>
      <c r="Z413" s="12" t="n"/>
      <c r="AA413" s="12" t="n"/>
      <c r="AB413" s="11" t="n"/>
      <c r="AC413" s="11" t="n"/>
      <c r="AD413" s="11" t="n"/>
      <c r="AE413" s="11" t="n"/>
      <c r="AF413" s="11" t="n"/>
      <c r="AG413" s="11" t="n"/>
      <c r="AH413" s="12" t="n"/>
      <c r="AI413" s="12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>
        <f>IF(OR(L414="",M414=""),"",IFERROR(INDEX(LAYOUT!$D$2:$D$80,MATCH(L414&amp;"|"&amp;M414,LAYOUT!$E$2:$E$80,0)),""))</f>
        <v/>
      </c>
      <c r="O414" s="12">
        <f>IF(AND(L414="",M414=""),IF(AND(P414="",Q414="",T414="",U414=""),IF(OR($D414&lt;&gt;"",$E414&lt;&gt;""),"Belum ditempatkan",""),""),IF(L414="","CEK JENIS FIXTURE kosong",IF(AND(LEFT(L414,7)&lt;&gt;"Gondola",LEFT(L414,6)&lt;&gt;"Endcap"),"CEK Fixture 1 hanya Gondola atau Endcap",IF(M414="","CEK SHELVING KE kosong",IF(ISNA(MATCH(L414&amp;"|"&amp;M414,LAYOUT!$E$2:$E$80,0)),"CEK SHELVING KE di luar layout",IF($I414="","CEK SERIES kosong",IF($D414="","Zona STOCK",IF($E414="","CEK SKU DESCRIPTION kosong",IF(COUNTIFS($I$2:$I$500,$I414,L$2:L$500,"&lt;&gt;"&amp;L414,L$2:L$500,"&lt;&gt;")&gt;0,"CEK jenis fixture beda dalam satu series","OK")))))))))</f>
        <v/>
      </c>
      <c r="P414" s="11" t="n"/>
      <c r="Q414" s="11" t="n"/>
      <c r="R414" s="11">
        <f>IF(OR(P414="",Q414=""),"",IFERROR(INDEX(LAYOUT!$D$2:$D$80,MATCH(P414&amp;"|"&amp;Q414,LAYOUT!$E$2:$E$80,0)),""))</f>
        <v/>
      </c>
      <c r="S414" s="12">
        <f>IF(AND(P414="",Q414=""),IF(AND(L414="",M414="",T414="",U414=""),IF(OR($D414&lt;&gt;"",$E414&lt;&gt;""),"Belum ditempatkan",""),""),IF(P414="","CEK JENIS FIXTURE kosong",IF(LEFT(P414,4)&lt;&gt;"Wall","CEK Fixture 2 hanya Wall",IF(Q414="","CEK SHELVING KE kosong",IF(ISNA(MATCH(P414&amp;"|"&amp;Q414,LAYOUT!$E$2:$E$80,0)),"CEK SHELVING KE di luar layout",IF($I414="","CEK SERIES kosong",IF($D414="","Zona STOCK",IF($E414="","CEK SKU DESCRIPTION kosong",IF(COUNTIFS($I$2:$I$500,$I414,P$2:P$500,"&lt;&gt;"&amp;P414,P$2:P$500,"&lt;&gt;")&gt;0,"CEK jenis fixture beda dalam satu series","OK")))))))))</f>
        <v/>
      </c>
      <c r="T414" s="11" t="n"/>
      <c r="U414" s="11" t="n"/>
      <c r="V414" s="11">
        <f>IF(OR(T414="",U414=""),"",IFERROR(INDEX(LAYOUT!$D$2:$D$80,MATCH(T414&amp;"|"&amp;U414,LAYOUT!$E$2:$E$80,0)),""))</f>
        <v/>
      </c>
      <c r="W414" s="12">
        <f>IF(AND(T414="",U414=""),IF(AND(L414="",M414="",P414="",Q414=""),IF(OR($D414&lt;&gt;"",$E414&lt;&gt;""),"Belum ditempatkan",""),""),IF(T414="","CEK JENIS FIXTURE kosong",IF(LEFT(T414,4)&lt;&gt;"Wall","CEK Fixture 3 hanya Wall",IF(U414="","CEK SHELVING KE kosong",IF(ISNA(MATCH(T414&amp;"|"&amp;U414,LAYOUT!$E$2:$E$80,0)),"CEK SHELVING KE di luar layout",IF($I414="","CEK SERIES kosong",IF($D414="","Zona STOCK",IF($E414="","CEK SKU DESCRIPTION kosong",IF(COUNTIFS($I$2:$I$500,$I414,T$2:T$500,"&lt;&gt;"&amp;T414,T$2:T$500,"&lt;&gt;")&gt;0,"CEK jenis fixture beda dalam satu series","OK")))))))))</f>
        <v/>
      </c>
      <c r="X414" s="11" t="n"/>
      <c r="Y414" s="11" t="n"/>
      <c r="Z414" s="12" t="n"/>
      <c r="AA414" s="12" t="n"/>
      <c r="AB414" s="11" t="n"/>
      <c r="AC414" s="11" t="n"/>
      <c r="AD414" s="11" t="n"/>
      <c r="AE414" s="11" t="n"/>
      <c r="AF414" s="11" t="n"/>
      <c r="AG414" s="11" t="n"/>
      <c r="AH414" s="12" t="n"/>
      <c r="AI414" s="12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>
        <f>IF(OR(L415="",M415=""),"",IFERROR(INDEX(LAYOUT!$D$2:$D$80,MATCH(L415&amp;"|"&amp;M415,LAYOUT!$E$2:$E$80,0)),""))</f>
        <v/>
      </c>
      <c r="O415" s="12">
        <f>IF(AND(L415="",M415=""),IF(AND(P415="",Q415="",T415="",U415=""),IF(OR($D415&lt;&gt;"",$E415&lt;&gt;""),"Belum ditempatkan",""),""),IF(L415="","CEK JENIS FIXTURE kosong",IF(AND(LEFT(L415,7)&lt;&gt;"Gondola",LEFT(L415,6)&lt;&gt;"Endcap"),"CEK Fixture 1 hanya Gondola atau Endcap",IF(M415="","CEK SHELVING KE kosong",IF(ISNA(MATCH(L415&amp;"|"&amp;M415,LAYOUT!$E$2:$E$80,0)),"CEK SHELVING KE di luar layout",IF($I415="","CEK SERIES kosong",IF($D415="","Zona STOCK",IF($E415="","CEK SKU DESCRIPTION kosong",IF(COUNTIFS($I$2:$I$500,$I415,L$2:L$500,"&lt;&gt;"&amp;L415,L$2:L$500,"&lt;&gt;")&gt;0,"CEK jenis fixture beda dalam satu series","OK")))))))))</f>
        <v/>
      </c>
      <c r="P415" s="11" t="n"/>
      <c r="Q415" s="11" t="n"/>
      <c r="R415" s="11">
        <f>IF(OR(P415="",Q415=""),"",IFERROR(INDEX(LAYOUT!$D$2:$D$80,MATCH(P415&amp;"|"&amp;Q415,LAYOUT!$E$2:$E$80,0)),""))</f>
        <v/>
      </c>
      <c r="S415" s="12">
        <f>IF(AND(P415="",Q415=""),IF(AND(L415="",M415="",T415="",U415=""),IF(OR($D415&lt;&gt;"",$E415&lt;&gt;""),"Belum ditempatkan",""),""),IF(P415="","CEK JENIS FIXTURE kosong",IF(LEFT(P415,4)&lt;&gt;"Wall","CEK Fixture 2 hanya Wall",IF(Q415="","CEK SHELVING KE kosong",IF(ISNA(MATCH(P415&amp;"|"&amp;Q415,LAYOUT!$E$2:$E$80,0)),"CEK SHELVING KE di luar layout",IF($I415="","CEK SERIES kosong",IF($D415="","Zona STOCK",IF($E415="","CEK SKU DESCRIPTION kosong",IF(COUNTIFS($I$2:$I$500,$I415,P$2:P$500,"&lt;&gt;"&amp;P415,P$2:P$500,"&lt;&gt;")&gt;0,"CEK jenis fixture beda dalam satu series","OK")))))))))</f>
        <v/>
      </c>
      <c r="T415" s="11" t="n"/>
      <c r="U415" s="11" t="n"/>
      <c r="V415" s="11">
        <f>IF(OR(T415="",U415=""),"",IFERROR(INDEX(LAYOUT!$D$2:$D$80,MATCH(T415&amp;"|"&amp;U415,LAYOUT!$E$2:$E$80,0)),""))</f>
        <v/>
      </c>
      <c r="W415" s="12">
        <f>IF(AND(T415="",U415=""),IF(AND(L415="",M415="",P415="",Q415=""),IF(OR($D415&lt;&gt;"",$E415&lt;&gt;""),"Belum ditempatkan",""),""),IF(T415="","CEK JENIS FIXTURE kosong",IF(LEFT(T415,4)&lt;&gt;"Wall","CEK Fixture 3 hanya Wall",IF(U415="","CEK SHELVING KE kosong",IF(ISNA(MATCH(T415&amp;"|"&amp;U415,LAYOUT!$E$2:$E$80,0)),"CEK SHELVING KE di luar layout",IF($I415="","CEK SERIES kosong",IF($D415="","Zona STOCK",IF($E415="","CEK SKU DESCRIPTION kosong",IF(COUNTIFS($I$2:$I$500,$I415,T$2:T$500,"&lt;&gt;"&amp;T415,T$2:T$500,"&lt;&gt;")&gt;0,"CEK jenis fixture beda dalam satu series","OK")))))))))</f>
        <v/>
      </c>
      <c r="X415" s="11" t="n"/>
      <c r="Y415" s="11" t="n"/>
      <c r="Z415" s="12" t="n"/>
      <c r="AA415" s="12" t="n"/>
      <c r="AB415" s="11" t="n"/>
      <c r="AC415" s="11" t="n"/>
      <c r="AD415" s="11" t="n"/>
      <c r="AE415" s="11" t="n"/>
      <c r="AF415" s="11" t="n"/>
      <c r="AG415" s="11" t="n"/>
      <c r="AH415" s="12" t="n"/>
      <c r="AI415" s="12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>
        <f>IF(OR(L416="",M416=""),"",IFERROR(INDEX(LAYOUT!$D$2:$D$80,MATCH(L416&amp;"|"&amp;M416,LAYOUT!$E$2:$E$80,0)),""))</f>
        <v/>
      </c>
      <c r="O416" s="12">
        <f>IF(AND(L416="",M416=""),IF(AND(P416="",Q416="",T416="",U416=""),IF(OR($D416&lt;&gt;"",$E416&lt;&gt;""),"Belum ditempatkan",""),""),IF(L416="","CEK JENIS FIXTURE kosong",IF(AND(LEFT(L416,7)&lt;&gt;"Gondola",LEFT(L416,6)&lt;&gt;"Endcap"),"CEK Fixture 1 hanya Gondola atau Endcap",IF(M416="","CEK SHELVING KE kosong",IF(ISNA(MATCH(L416&amp;"|"&amp;M416,LAYOUT!$E$2:$E$80,0)),"CEK SHELVING KE di luar layout",IF($I416="","CEK SERIES kosong",IF($D416="","Zona STOCK",IF($E416="","CEK SKU DESCRIPTION kosong",IF(COUNTIFS($I$2:$I$500,$I416,L$2:L$500,"&lt;&gt;"&amp;L416,L$2:L$500,"&lt;&gt;")&gt;0,"CEK jenis fixture beda dalam satu series","OK")))))))))</f>
        <v/>
      </c>
      <c r="P416" s="11" t="n"/>
      <c r="Q416" s="11" t="n"/>
      <c r="R416" s="11">
        <f>IF(OR(P416="",Q416=""),"",IFERROR(INDEX(LAYOUT!$D$2:$D$80,MATCH(P416&amp;"|"&amp;Q416,LAYOUT!$E$2:$E$80,0)),""))</f>
        <v/>
      </c>
      <c r="S416" s="12">
        <f>IF(AND(P416="",Q416=""),IF(AND(L416="",M416="",T416="",U416=""),IF(OR($D416&lt;&gt;"",$E416&lt;&gt;""),"Belum ditempatkan",""),""),IF(P416="","CEK JENIS FIXTURE kosong",IF(LEFT(P416,4)&lt;&gt;"Wall","CEK Fixture 2 hanya Wall",IF(Q416="","CEK SHELVING KE kosong",IF(ISNA(MATCH(P416&amp;"|"&amp;Q416,LAYOUT!$E$2:$E$80,0)),"CEK SHELVING KE di luar layout",IF($I416="","CEK SERIES kosong",IF($D416="","Zona STOCK",IF($E416="","CEK SKU DESCRIPTION kosong",IF(COUNTIFS($I$2:$I$500,$I416,P$2:P$500,"&lt;&gt;"&amp;P416,P$2:P$500,"&lt;&gt;")&gt;0,"CEK jenis fixture beda dalam satu series","OK")))))))))</f>
        <v/>
      </c>
      <c r="T416" s="11" t="n"/>
      <c r="U416" s="11" t="n"/>
      <c r="V416" s="11">
        <f>IF(OR(T416="",U416=""),"",IFERROR(INDEX(LAYOUT!$D$2:$D$80,MATCH(T416&amp;"|"&amp;U416,LAYOUT!$E$2:$E$80,0)),""))</f>
        <v/>
      </c>
      <c r="W416" s="12">
        <f>IF(AND(T416="",U416=""),IF(AND(L416="",M416="",P416="",Q416=""),IF(OR($D416&lt;&gt;"",$E416&lt;&gt;""),"Belum ditempatkan",""),""),IF(T416="","CEK JENIS FIXTURE kosong",IF(LEFT(T416,4)&lt;&gt;"Wall","CEK Fixture 3 hanya Wall",IF(U416="","CEK SHELVING KE kosong",IF(ISNA(MATCH(T416&amp;"|"&amp;U416,LAYOUT!$E$2:$E$80,0)),"CEK SHELVING KE di luar layout",IF($I416="","CEK SERIES kosong",IF($D416="","Zona STOCK",IF($E416="","CEK SKU DESCRIPTION kosong",IF(COUNTIFS($I$2:$I$500,$I416,T$2:T$500,"&lt;&gt;"&amp;T416,T$2:T$500,"&lt;&gt;")&gt;0,"CEK jenis fixture beda dalam satu series","OK")))))))))</f>
        <v/>
      </c>
      <c r="X416" s="11" t="n"/>
      <c r="Y416" s="11" t="n"/>
      <c r="Z416" s="12" t="n"/>
      <c r="AA416" s="12" t="n"/>
      <c r="AB416" s="11" t="n"/>
      <c r="AC416" s="11" t="n"/>
      <c r="AD416" s="11" t="n"/>
      <c r="AE416" s="11" t="n"/>
      <c r="AF416" s="11" t="n"/>
      <c r="AG416" s="11" t="n"/>
      <c r="AH416" s="12" t="n"/>
      <c r="AI416" s="12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>
        <f>IF(OR(L417="",M417=""),"",IFERROR(INDEX(LAYOUT!$D$2:$D$80,MATCH(L417&amp;"|"&amp;M417,LAYOUT!$E$2:$E$80,0)),""))</f>
        <v/>
      </c>
      <c r="O417" s="12">
        <f>IF(AND(L417="",M417=""),IF(AND(P417="",Q417="",T417="",U417=""),IF(OR($D417&lt;&gt;"",$E417&lt;&gt;""),"Belum ditempatkan",""),""),IF(L417="","CEK JENIS FIXTURE kosong",IF(AND(LEFT(L417,7)&lt;&gt;"Gondola",LEFT(L417,6)&lt;&gt;"Endcap"),"CEK Fixture 1 hanya Gondola atau Endcap",IF(M417="","CEK SHELVING KE kosong",IF(ISNA(MATCH(L417&amp;"|"&amp;M417,LAYOUT!$E$2:$E$80,0)),"CEK SHELVING KE di luar layout",IF($I417="","CEK SERIES kosong",IF($D417="","Zona STOCK",IF($E417="","CEK SKU DESCRIPTION kosong",IF(COUNTIFS($I$2:$I$500,$I417,L$2:L$500,"&lt;&gt;"&amp;L417,L$2:L$500,"&lt;&gt;")&gt;0,"CEK jenis fixture beda dalam satu series","OK")))))))))</f>
        <v/>
      </c>
      <c r="P417" s="11" t="n"/>
      <c r="Q417" s="11" t="n"/>
      <c r="R417" s="11">
        <f>IF(OR(P417="",Q417=""),"",IFERROR(INDEX(LAYOUT!$D$2:$D$80,MATCH(P417&amp;"|"&amp;Q417,LAYOUT!$E$2:$E$80,0)),""))</f>
        <v/>
      </c>
      <c r="S417" s="12">
        <f>IF(AND(P417="",Q417=""),IF(AND(L417="",M417="",T417="",U417=""),IF(OR($D417&lt;&gt;"",$E417&lt;&gt;""),"Belum ditempatkan",""),""),IF(P417="","CEK JENIS FIXTURE kosong",IF(LEFT(P417,4)&lt;&gt;"Wall","CEK Fixture 2 hanya Wall",IF(Q417="","CEK SHELVING KE kosong",IF(ISNA(MATCH(P417&amp;"|"&amp;Q417,LAYOUT!$E$2:$E$80,0)),"CEK SHELVING KE di luar layout",IF($I417="","CEK SERIES kosong",IF($D417="","Zona STOCK",IF($E417="","CEK SKU DESCRIPTION kosong",IF(COUNTIFS($I$2:$I$500,$I417,P$2:P$500,"&lt;&gt;"&amp;P417,P$2:P$500,"&lt;&gt;")&gt;0,"CEK jenis fixture beda dalam satu series","OK")))))))))</f>
        <v/>
      </c>
      <c r="T417" s="11" t="n"/>
      <c r="U417" s="11" t="n"/>
      <c r="V417" s="11">
        <f>IF(OR(T417="",U417=""),"",IFERROR(INDEX(LAYOUT!$D$2:$D$80,MATCH(T417&amp;"|"&amp;U417,LAYOUT!$E$2:$E$80,0)),""))</f>
        <v/>
      </c>
      <c r="W417" s="12">
        <f>IF(AND(T417="",U417=""),IF(AND(L417="",M417="",P417="",Q417=""),IF(OR($D417&lt;&gt;"",$E417&lt;&gt;""),"Belum ditempatkan",""),""),IF(T417="","CEK JENIS FIXTURE kosong",IF(LEFT(T417,4)&lt;&gt;"Wall","CEK Fixture 3 hanya Wall",IF(U417="","CEK SHELVING KE kosong",IF(ISNA(MATCH(T417&amp;"|"&amp;U417,LAYOUT!$E$2:$E$80,0)),"CEK SHELVING KE di luar layout",IF($I417="","CEK SERIES kosong",IF($D417="","Zona STOCK",IF($E417="","CEK SKU DESCRIPTION kosong",IF(COUNTIFS($I$2:$I$500,$I417,T$2:T$500,"&lt;&gt;"&amp;T417,T$2:T$500,"&lt;&gt;")&gt;0,"CEK jenis fixture beda dalam satu series","OK")))))))))</f>
        <v/>
      </c>
      <c r="X417" s="11" t="n"/>
      <c r="Y417" s="11" t="n"/>
      <c r="Z417" s="12" t="n"/>
      <c r="AA417" s="12" t="n"/>
      <c r="AB417" s="11" t="n"/>
      <c r="AC417" s="11" t="n"/>
      <c r="AD417" s="11" t="n"/>
      <c r="AE417" s="11" t="n"/>
      <c r="AF417" s="11" t="n"/>
      <c r="AG417" s="11" t="n"/>
      <c r="AH417" s="12" t="n"/>
      <c r="AI417" s="12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>
        <f>IF(OR(L418="",M418=""),"",IFERROR(INDEX(LAYOUT!$D$2:$D$80,MATCH(L418&amp;"|"&amp;M418,LAYOUT!$E$2:$E$80,0)),""))</f>
        <v/>
      </c>
      <c r="O418" s="12">
        <f>IF(AND(L418="",M418=""),IF(AND(P418="",Q418="",T418="",U418=""),IF(OR($D418&lt;&gt;"",$E418&lt;&gt;""),"Belum ditempatkan",""),""),IF(L418="","CEK JENIS FIXTURE kosong",IF(AND(LEFT(L418,7)&lt;&gt;"Gondola",LEFT(L418,6)&lt;&gt;"Endcap"),"CEK Fixture 1 hanya Gondola atau Endcap",IF(M418="","CEK SHELVING KE kosong",IF(ISNA(MATCH(L418&amp;"|"&amp;M418,LAYOUT!$E$2:$E$80,0)),"CEK SHELVING KE di luar layout",IF($I418="","CEK SERIES kosong",IF($D418="","Zona STOCK",IF($E418="","CEK SKU DESCRIPTION kosong",IF(COUNTIFS($I$2:$I$500,$I418,L$2:L$500,"&lt;&gt;"&amp;L418,L$2:L$500,"&lt;&gt;")&gt;0,"CEK jenis fixture beda dalam satu series","OK")))))))))</f>
        <v/>
      </c>
      <c r="P418" s="11" t="n"/>
      <c r="Q418" s="11" t="n"/>
      <c r="R418" s="11">
        <f>IF(OR(P418="",Q418=""),"",IFERROR(INDEX(LAYOUT!$D$2:$D$80,MATCH(P418&amp;"|"&amp;Q418,LAYOUT!$E$2:$E$80,0)),""))</f>
        <v/>
      </c>
      <c r="S418" s="12">
        <f>IF(AND(P418="",Q418=""),IF(AND(L418="",M418="",T418="",U418=""),IF(OR($D418&lt;&gt;"",$E418&lt;&gt;""),"Belum ditempatkan",""),""),IF(P418="","CEK JENIS FIXTURE kosong",IF(LEFT(P418,4)&lt;&gt;"Wall","CEK Fixture 2 hanya Wall",IF(Q418="","CEK SHELVING KE kosong",IF(ISNA(MATCH(P418&amp;"|"&amp;Q418,LAYOUT!$E$2:$E$80,0)),"CEK SHELVING KE di luar layout",IF($I418="","CEK SERIES kosong",IF($D418="","Zona STOCK",IF($E418="","CEK SKU DESCRIPTION kosong",IF(COUNTIFS($I$2:$I$500,$I418,P$2:P$500,"&lt;&gt;"&amp;P418,P$2:P$500,"&lt;&gt;")&gt;0,"CEK jenis fixture beda dalam satu series","OK")))))))))</f>
        <v/>
      </c>
      <c r="T418" s="11" t="n"/>
      <c r="U418" s="11" t="n"/>
      <c r="V418" s="11">
        <f>IF(OR(T418="",U418=""),"",IFERROR(INDEX(LAYOUT!$D$2:$D$80,MATCH(T418&amp;"|"&amp;U418,LAYOUT!$E$2:$E$80,0)),""))</f>
        <v/>
      </c>
      <c r="W418" s="12">
        <f>IF(AND(T418="",U418=""),IF(AND(L418="",M418="",P418="",Q418=""),IF(OR($D418&lt;&gt;"",$E418&lt;&gt;""),"Belum ditempatkan",""),""),IF(T418="","CEK JENIS FIXTURE kosong",IF(LEFT(T418,4)&lt;&gt;"Wall","CEK Fixture 3 hanya Wall",IF(U418="","CEK SHELVING KE kosong",IF(ISNA(MATCH(T418&amp;"|"&amp;U418,LAYOUT!$E$2:$E$80,0)),"CEK SHELVING KE di luar layout",IF($I418="","CEK SERIES kosong",IF($D418="","Zona STOCK",IF($E418="","CEK SKU DESCRIPTION kosong",IF(COUNTIFS($I$2:$I$500,$I418,T$2:T$500,"&lt;&gt;"&amp;T418,T$2:T$500,"&lt;&gt;")&gt;0,"CEK jenis fixture beda dalam satu series","OK")))))))))</f>
        <v/>
      </c>
      <c r="X418" s="11" t="n"/>
      <c r="Y418" s="11" t="n"/>
      <c r="Z418" s="12" t="n"/>
      <c r="AA418" s="12" t="n"/>
      <c r="AB418" s="11" t="n"/>
      <c r="AC418" s="11" t="n"/>
      <c r="AD418" s="11" t="n"/>
      <c r="AE418" s="11" t="n"/>
      <c r="AF418" s="11" t="n"/>
      <c r="AG418" s="11" t="n"/>
      <c r="AH418" s="12" t="n"/>
      <c r="AI418" s="12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>
        <f>IF(OR(L419="",M419=""),"",IFERROR(INDEX(LAYOUT!$D$2:$D$80,MATCH(L419&amp;"|"&amp;M419,LAYOUT!$E$2:$E$80,0)),""))</f>
        <v/>
      </c>
      <c r="O419" s="12">
        <f>IF(AND(L419="",M419=""),IF(AND(P419="",Q419="",T419="",U419=""),IF(OR($D419&lt;&gt;"",$E419&lt;&gt;""),"Belum ditempatkan",""),""),IF(L419="","CEK JENIS FIXTURE kosong",IF(AND(LEFT(L419,7)&lt;&gt;"Gondola",LEFT(L419,6)&lt;&gt;"Endcap"),"CEK Fixture 1 hanya Gondola atau Endcap",IF(M419="","CEK SHELVING KE kosong",IF(ISNA(MATCH(L419&amp;"|"&amp;M419,LAYOUT!$E$2:$E$80,0)),"CEK SHELVING KE di luar layout",IF($I419="","CEK SERIES kosong",IF($D419="","Zona STOCK",IF($E419="","CEK SKU DESCRIPTION kosong",IF(COUNTIFS($I$2:$I$500,$I419,L$2:L$500,"&lt;&gt;"&amp;L419,L$2:L$500,"&lt;&gt;")&gt;0,"CEK jenis fixture beda dalam satu series","OK")))))))))</f>
        <v/>
      </c>
      <c r="P419" s="11" t="n"/>
      <c r="Q419" s="11" t="n"/>
      <c r="R419" s="11">
        <f>IF(OR(P419="",Q419=""),"",IFERROR(INDEX(LAYOUT!$D$2:$D$80,MATCH(P419&amp;"|"&amp;Q419,LAYOUT!$E$2:$E$80,0)),""))</f>
        <v/>
      </c>
      <c r="S419" s="12">
        <f>IF(AND(P419="",Q419=""),IF(AND(L419="",M419="",T419="",U419=""),IF(OR($D419&lt;&gt;"",$E419&lt;&gt;""),"Belum ditempatkan",""),""),IF(P419="","CEK JENIS FIXTURE kosong",IF(LEFT(P419,4)&lt;&gt;"Wall","CEK Fixture 2 hanya Wall",IF(Q419="","CEK SHELVING KE kosong",IF(ISNA(MATCH(P419&amp;"|"&amp;Q419,LAYOUT!$E$2:$E$80,0)),"CEK SHELVING KE di luar layout",IF($I419="","CEK SERIES kosong",IF($D419="","Zona STOCK",IF($E419="","CEK SKU DESCRIPTION kosong",IF(COUNTIFS($I$2:$I$500,$I419,P$2:P$500,"&lt;&gt;"&amp;P419,P$2:P$500,"&lt;&gt;")&gt;0,"CEK jenis fixture beda dalam satu series","OK")))))))))</f>
        <v/>
      </c>
      <c r="T419" s="11" t="n"/>
      <c r="U419" s="11" t="n"/>
      <c r="V419" s="11">
        <f>IF(OR(T419="",U419=""),"",IFERROR(INDEX(LAYOUT!$D$2:$D$80,MATCH(T419&amp;"|"&amp;U419,LAYOUT!$E$2:$E$80,0)),""))</f>
        <v/>
      </c>
      <c r="W419" s="12">
        <f>IF(AND(T419="",U419=""),IF(AND(L419="",M419="",P419="",Q419=""),IF(OR($D419&lt;&gt;"",$E419&lt;&gt;""),"Belum ditempatkan",""),""),IF(T419="","CEK JENIS FIXTURE kosong",IF(LEFT(T419,4)&lt;&gt;"Wall","CEK Fixture 3 hanya Wall",IF(U419="","CEK SHELVING KE kosong",IF(ISNA(MATCH(T419&amp;"|"&amp;U419,LAYOUT!$E$2:$E$80,0)),"CEK SHELVING KE di luar layout",IF($I419="","CEK SERIES kosong",IF($D419="","Zona STOCK",IF($E419="","CEK SKU DESCRIPTION kosong",IF(COUNTIFS($I$2:$I$500,$I419,T$2:T$500,"&lt;&gt;"&amp;T419,T$2:T$500,"&lt;&gt;")&gt;0,"CEK jenis fixture beda dalam satu series","OK")))))))))</f>
        <v/>
      </c>
      <c r="X419" s="11" t="n"/>
      <c r="Y419" s="11" t="n"/>
      <c r="Z419" s="12" t="n"/>
      <c r="AA419" s="12" t="n"/>
      <c r="AB419" s="11" t="n"/>
      <c r="AC419" s="11" t="n"/>
      <c r="AD419" s="11" t="n"/>
      <c r="AE419" s="11" t="n"/>
      <c r="AF419" s="11" t="n"/>
      <c r="AG419" s="11" t="n"/>
      <c r="AH419" s="12" t="n"/>
      <c r="AI419" s="12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>
        <f>IF(OR(L420="",M420=""),"",IFERROR(INDEX(LAYOUT!$D$2:$D$80,MATCH(L420&amp;"|"&amp;M420,LAYOUT!$E$2:$E$80,0)),""))</f>
        <v/>
      </c>
      <c r="O420" s="12">
        <f>IF(AND(L420="",M420=""),IF(AND(P420="",Q420="",T420="",U420=""),IF(OR($D420&lt;&gt;"",$E420&lt;&gt;""),"Belum ditempatkan",""),""),IF(L420="","CEK JENIS FIXTURE kosong",IF(AND(LEFT(L420,7)&lt;&gt;"Gondola",LEFT(L420,6)&lt;&gt;"Endcap"),"CEK Fixture 1 hanya Gondola atau Endcap",IF(M420="","CEK SHELVING KE kosong",IF(ISNA(MATCH(L420&amp;"|"&amp;M420,LAYOUT!$E$2:$E$80,0)),"CEK SHELVING KE di luar layout",IF($I420="","CEK SERIES kosong",IF($D420="","Zona STOCK",IF($E420="","CEK SKU DESCRIPTION kosong",IF(COUNTIFS($I$2:$I$500,$I420,L$2:L$500,"&lt;&gt;"&amp;L420,L$2:L$500,"&lt;&gt;")&gt;0,"CEK jenis fixture beda dalam satu series","OK")))))))))</f>
        <v/>
      </c>
      <c r="P420" s="11" t="n"/>
      <c r="Q420" s="11" t="n"/>
      <c r="R420" s="11">
        <f>IF(OR(P420="",Q420=""),"",IFERROR(INDEX(LAYOUT!$D$2:$D$80,MATCH(P420&amp;"|"&amp;Q420,LAYOUT!$E$2:$E$80,0)),""))</f>
        <v/>
      </c>
      <c r="S420" s="12">
        <f>IF(AND(P420="",Q420=""),IF(AND(L420="",M420="",T420="",U420=""),IF(OR($D420&lt;&gt;"",$E420&lt;&gt;""),"Belum ditempatkan",""),""),IF(P420="","CEK JENIS FIXTURE kosong",IF(LEFT(P420,4)&lt;&gt;"Wall","CEK Fixture 2 hanya Wall",IF(Q420="","CEK SHELVING KE kosong",IF(ISNA(MATCH(P420&amp;"|"&amp;Q420,LAYOUT!$E$2:$E$80,0)),"CEK SHELVING KE di luar layout",IF($I420="","CEK SERIES kosong",IF($D420="","Zona STOCK",IF($E420="","CEK SKU DESCRIPTION kosong",IF(COUNTIFS($I$2:$I$500,$I420,P$2:P$500,"&lt;&gt;"&amp;P420,P$2:P$500,"&lt;&gt;")&gt;0,"CEK jenis fixture beda dalam satu series","OK")))))))))</f>
        <v/>
      </c>
      <c r="T420" s="11" t="n"/>
      <c r="U420" s="11" t="n"/>
      <c r="V420" s="11">
        <f>IF(OR(T420="",U420=""),"",IFERROR(INDEX(LAYOUT!$D$2:$D$80,MATCH(T420&amp;"|"&amp;U420,LAYOUT!$E$2:$E$80,0)),""))</f>
        <v/>
      </c>
      <c r="W420" s="12">
        <f>IF(AND(T420="",U420=""),IF(AND(L420="",M420="",P420="",Q420=""),IF(OR($D420&lt;&gt;"",$E420&lt;&gt;""),"Belum ditempatkan",""),""),IF(T420="","CEK JENIS FIXTURE kosong",IF(LEFT(T420,4)&lt;&gt;"Wall","CEK Fixture 3 hanya Wall",IF(U420="","CEK SHELVING KE kosong",IF(ISNA(MATCH(T420&amp;"|"&amp;U420,LAYOUT!$E$2:$E$80,0)),"CEK SHELVING KE di luar layout",IF($I420="","CEK SERIES kosong",IF($D420="","Zona STOCK",IF($E420="","CEK SKU DESCRIPTION kosong",IF(COUNTIFS($I$2:$I$500,$I420,T$2:T$500,"&lt;&gt;"&amp;T420,T$2:T$500,"&lt;&gt;")&gt;0,"CEK jenis fixture beda dalam satu series","OK")))))))))</f>
        <v/>
      </c>
      <c r="X420" s="11" t="n"/>
      <c r="Y420" s="11" t="n"/>
      <c r="Z420" s="12" t="n"/>
      <c r="AA420" s="12" t="n"/>
      <c r="AB420" s="11" t="n"/>
      <c r="AC420" s="11" t="n"/>
      <c r="AD420" s="11" t="n"/>
      <c r="AE420" s="11" t="n"/>
      <c r="AF420" s="11" t="n"/>
      <c r="AG420" s="11" t="n"/>
      <c r="AH420" s="12" t="n"/>
      <c r="AI420" s="12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>
        <f>IF(OR(L421="",M421=""),"",IFERROR(INDEX(LAYOUT!$D$2:$D$80,MATCH(L421&amp;"|"&amp;M421,LAYOUT!$E$2:$E$80,0)),""))</f>
        <v/>
      </c>
      <c r="O421" s="12">
        <f>IF(AND(L421="",M421=""),IF(AND(P421="",Q421="",T421="",U421=""),IF(OR($D421&lt;&gt;"",$E421&lt;&gt;""),"Belum ditempatkan",""),""),IF(L421="","CEK JENIS FIXTURE kosong",IF(AND(LEFT(L421,7)&lt;&gt;"Gondola",LEFT(L421,6)&lt;&gt;"Endcap"),"CEK Fixture 1 hanya Gondola atau Endcap",IF(M421="","CEK SHELVING KE kosong",IF(ISNA(MATCH(L421&amp;"|"&amp;M421,LAYOUT!$E$2:$E$80,0)),"CEK SHELVING KE di luar layout",IF($I421="","CEK SERIES kosong",IF($D421="","Zona STOCK",IF($E421="","CEK SKU DESCRIPTION kosong",IF(COUNTIFS($I$2:$I$500,$I421,L$2:L$500,"&lt;&gt;"&amp;L421,L$2:L$500,"&lt;&gt;")&gt;0,"CEK jenis fixture beda dalam satu series","OK")))))))))</f>
        <v/>
      </c>
      <c r="P421" s="11" t="n"/>
      <c r="Q421" s="11" t="n"/>
      <c r="R421" s="11">
        <f>IF(OR(P421="",Q421=""),"",IFERROR(INDEX(LAYOUT!$D$2:$D$80,MATCH(P421&amp;"|"&amp;Q421,LAYOUT!$E$2:$E$80,0)),""))</f>
        <v/>
      </c>
      <c r="S421" s="12">
        <f>IF(AND(P421="",Q421=""),IF(AND(L421="",M421="",T421="",U421=""),IF(OR($D421&lt;&gt;"",$E421&lt;&gt;""),"Belum ditempatkan",""),""),IF(P421="","CEK JENIS FIXTURE kosong",IF(LEFT(P421,4)&lt;&gt;"Wall","CEK Fixture 2 hanya Wall",IF(Q421="","CEK SHELVING KE kosong",IF(ISNA(MATCH(P421&amp;"|"&amp;Q421,LAYOUT!$E$2:$E$80,0)),"CEK SHELVING KE di luar layout",IF($I421="","CEK SERIES kosong",IF($D421="","Zona STOCK",IF($E421="","CEK SKU DESCRIPTION kosong",IF(COUNTIFS($I$2:$I$500,$I421,P$2:P$500,"&lt;&gt;"&amp;P421,P$2:P$500,"&lt;&gt;")&gt;0,"CEK jenis fixture beda dalam satu series","OK")))))))))</f>
        <v/>
      </c>
      <c r="T421" s="11" t="n"/>
      <c r="U421" s="11" t="n"/>
      <c r="V421" s="11">
        <f>IF(OR(T421="",U421=""),"",IFERROR(INDEX(LAYOUT!$D$2:$D$80,MATCH(T421&amp;"|"&amp;U421,LAYOUT!$E$2:$E$80,0)),""))</f>
        <v/>
      </c>
      <c r="W421" s="12">
        <f>IF(AND(T421="",U421=""),IF(AND(L421="",M421="",P421="",Q421=""),IF(OR($D421&lt;&gt;"",$E421&lt;&gt;""),"Belum ditempatkan",""),""),IF(T421="","CEK JENIS FIXTURE kosong",IF(LEFT(T421,4)&lt;&gt;"Wall","CEK Fixture 3 hanya Wall",IF(U421="","CEK SHELVING KE kosong",IF(ISNA(MATCH(T421&amp;"|"&amp;U421,LAYOUT!$E$2:$E$80,0)),"CEK SHELVING KE di luar layout",IF($I421="","CEK SERIES kosong",IF($D421="","Zona STOCK",IF($E421="","CEK SKU DESCRIPTION kosong",IF(COUNTIFS($I$2:$I$500,$I421,T$2:T$500,"&lt;&gt;"&amp;T421,T$2:T$500,"&lt;&gt;")&gt;0,"CEK jenis fixture beda dalam satu series","OK")))))))))</f>
        <v/>
      </c>
      <c r="X421" s="11" t="n"/>
      <c r="Y421" s="11" t="n"/>
      <c r="Z421" s="12" t="n"/>
      <c r="AA421" s="12" t="n"/>
      <c r="AB421" s="11" t="n"/>
      <c r="AC421" s="11" t="n"/>
      <c r="AD421" s="11" t="n"/>
      <c r="AE421" s="11" t="n"/>
      <c r="AF421" s="11" t="n"/>
      <c r="AG421" s="11" t="n"/>
      <c r="AH421" s="12" t="n"/>
      <c r="AI421" s="12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>
        <f>IF(OR(L422="",M422=""),"",IFERROR(INDEX(LAYOUT!$D$2:$D$80,MATCH(L422&amp;"|"&amp;M422,LAYOUT!$E$2:$E$80,0)),""))</f>
        <v/>
      </c>
      <c r="O422" s="12">
        <f>IF(AND(L422="",M422=""),IF(AND(P422="",Q422="",T422="",U422=""),IF(OR($D422&lt;&gt;"",$E422&lt;&gt;""),"Belum ditempatkan",""),""),IF(L422="","CEK JENIS FIXTURE kosong",IF(AND(LEFT(L422,7)&lt;&gt;"Gondola",LEFT(L422,6)&lt;&gt;"Endcap"),"CEK Fixture 1 hanya Gondola atau Endcap",IF(M422="","CEK SHELVING KE kosong",IF(ISNA(MATCH(L422&amp;"|"&amp;M422,LAYOUT!$E$2:$E$80,0)),"CEK SHELVING KE di luar layout",IF($I422="","CEK SERIES kosong",IF($D422="","Zona STOCK",IF($E422="","CEK SKU DESCRIPTION kosong",IF(COUNTIFS($I$2:$I$500,$I422,L$2:L$500,"&lt;&gt;"&amp;L422,L$2:L$500,"&lt;&gt;")&gt;0,"CEK jenis fixture beda dalam satu series","OK")))))))))</f>
        <v/>
      </c>
      <c r="P422" s="11" t="n"/>
      <c r="Q422" s="11" t="n"/>
      <c r="R422" s="11">
        <f>IF(OR(P422="",Q422=""),"",IFERROR(INDEX(LAYOUT!$D$2:$D$80,MATCH(P422&amp;"|"&amp;Q422,LAYOUT!$E$2:$E$80,0)),""))</f>
        <v/>
      </c>
      <c r="S422" s="12">
        <f>IF(AND(P422="",Q422=""),IF(AND(L422="",M422="",T422="",U422=""),IF(OR($D422&lt;&gt;"",$E422&lt;&gt;""),"Belum ditempatkan",""),""),IF(P422="","CEK JENIS FIXTURE kosong",IF(LEFT(P422,4)&lt;&gt;"Wall","CEK Fixture 2 hanya Wall",IF(Q422="","CEK SHELVING KE kosong",IF(ISNA(MATCH(P422&amp;"|"&amp;Q422,LAYOUT!$E$2:$E$80,0)),"CEK SHELVING KE di luar layout",IF($I422="","CEK SERIES kosong",IF($D422="","Zona STOCK",IF($E422="","CEK SKU DESCRIPTION kosong",IF(COUNTIFS($I$2:$I$500,$I422,P$2:P$500,"&lt;&gt;"&amp;P422,P$2:P$500,"&lt;&gt;")&gt;0,"CEK jenis fixture beda dalam satu series","OK")))))))))</f>
        <v/>
      </c>
      <c r="T422" s="11" t="n"/>
      <c r="U422" s="11" t="n"/>
      <c r="V422" s="11">
        <f>IF(OR(T422="",U422=""),"",IFERROR(INDEX(LAYOUT!$D$2:$D$80,MATCH(T422&amp;"|"&amp;U422,LAYOUT!$E$2:$E$80,0)),""))</f>
        <v/>
      </c>
      <c r="W422" s="12">
        <f>IF(AND(T422="",U422=""),IF(AND(L422="",M422="",P422="",Q422=""),IF(OR($D422&lt;&gt;"",$E422&lt;&gt;""),"Belum ditempatkan",""),""),IF(T422="","CEK JENIS FIXTURE kosong",IF(LEFT(T422,4)&lt;&gt;"Wall","CEK Fixture 3 hanya Wall",IF(U422="","CEK SHELVING KE kosong",IF(ISNA(MATCH(T422&amp;"|"&amp;U422,LAYOUT!$E$2:$E$80,0)),"CEK SHELVING KE di luar layout",IF($I422="","CEK SERIES kosong",IF($D422="","Zona STOCK",IF($E422="","CEK SKU DESCRIPTION kosong",IF(COUNTIFS($I$2:$I$500,$I422,T$2:T$500,"&lt;&gt;"&amp;T422,T$2:T$500,"&lt;&gt;")&gt;0,"CEK jenis fixture beda dalam satu series","OK")))))))))</f>
        <v/>
      </c>
      <c r="X422" s="11" t="n"/>
      <c r="Y422" s="11" t="n"/>
      <c r="Z422" s="12" t="n"/>
      <c r="AA422" s="12" t="n"/>
      <c r="AB422" s="11" t="n"/>
      <c r="AC422" s="11" t="n"/>
      <c r="AD422" s="11" t="n"/>
      <c r="AE422" s="11" t="n"/>
      <c r="AF422" s="11" t="n"/>
      <c r="AG422" s="11" t="n"/>
      <c r="AH422" s="12" t="n"/>
      <c r="AI422" s="12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>
        <f>IF(OR(L423="",M423=""),"",IFERROR(INDEX(LAYOUT!$D$2:$D$80,MATCH(L423&amp;"|"&amp;M423,LAYOUT!$E$2:$E$80,0)),""))</f>
        <v/>
      </c>
      <c r="O423" s="12">
        <f>IF(AND(L423="",M423=""),IF(AND(P423="",Q423="",T423="",U423=""),IF(OR($D423&lt;&gt;"",$E423&lt;&gt;""),"Belum ditempatkan",""),""),IF(L423="","CEK JENIS FIXTURE kosong",IF(AND(LEFT(L423,7)&lt;&gt;"Gondola",LEFT(L423,6)&lt;&gt;"Endcap"),"CEK Fixture 1 hanya Gondola atau Endcap",IF(M423="","CEK SHELVING KE kosong",IF(ISNA(MATCH(L423&amp;"|"&amp;M423,LAYOUT!$E$2:$E$80,0)),"CEK SHELVING KE di luar layout",IF($I423="","CEK SERIES kosong",IF($D423="","Zona STOCK",IF($E423="","CEK SKU DESCRIPTION kosong",IF(COUNTIFS($I$2:$I$500,$I423,L$2:L$500,"&lt;&gt;"&amp;L423,L$2:L$500,"&lt;&gt;")&gt;0,"CEK jenis fixture beda dalam satu series","OK")))))))))</f>
        <v/>
      </c>
      <c r="P423" s="11" t="n"/>
      <c r="Q423" s="11" t="n"/>
      <c r="R423" s="11">
        <f>IF(OR(P423="",Q423=""),"",IFERROR(INDEX(LAYOUT!$D$2:$D$80,MATCH(P423&amp;"|"&amp;Q423,LAYOUT!$E$2:$E$80,0)),""))</f>
        <v/>
      </c>
      <c r="S423" s="12">
        <f>IF(AND(P423="",Q423=""),IF(AND(L423="",M423="",T423="",U423=""),IF(OR($D423&lt;&gt;"",$E423&lt;&gt;""),"Belum ditempatkan",""),""),IF(P423="","CEK JENIS FIXTURE kosong",IF(LEFT(P423,4)&lt;&gt;"Wall","CEK Fixture 2 hanya Wall",IF(Q423="","CEK SHELVING KE kosong",IF(ISNA(MATCH(P423&amp;"|"&amp;Q423,LAYOUT!$E$2:$E$80,0)),"CEK SHELVING KE di luar layout",IF($I423="","CEK SERIES kosong",IF($D423="","Zona STOCK",IF($E423="","CEK SKU DESCRIPTION kosong",IF(COUNTIFS($I$2:$I$500,$I423,P$2:P$500,"&lt;&gt;"&amp;P423,P$2:P$500,"&lt;&gt;")&gt;0,"CEK jenis fixture beda dalam satu series","OK")))))))))</f>
        <v/>
      </c>
      <c r="T423" s="11" t="n"/>
      <c r="U423" s="11" t="n"/>
      <c r="V423" s="11">
        <f>IF(OR(T423="",U423=""),"",IFERROR(INDEX(LAYOUT!$D$2:$D$80,MATCH(T423&amp;"|"&amp;U423,LAYOUT!$E$2:$E$80,0)),""))</f>
        <v/>
      </c>
      <c r="W423" s="12">
        <f>IF(AND(T423="",U423=""),IF(AND(L423="",M423="",P423="",Q423=""),IF(OR($D423&lt;&gt;"",$E423&lt;&gt;""),"Belum ditempatkan",""),""),IF(T423="","CEK JENIS FIXTURE kosong",IF(LEFT(T423,4)&lt;&gt;"Wall","CEK Fixture 3 hanya Wall",IF(U423="","CEK SHELVING KE kosong",IF(ISNA(MATCH(T423&amp;"|"&amp;U423,LAYOUT!$E$2:$E$80,0)),"CEK SHELVING KE di luar layout",IF($I423="","CEK SERIES kosong",IF($D423="","Zona STOCK",IF($E423="","CEK SKU DESCRIPTION kosong",IF(COUNTIFS($I$2:$I$500,$I423,T$2:T$500,"&lt;&gt;"&amp;T423,T$2:T$500,"&lt;&gt;")&gt;0,"CEK jenis fixture beda dalam satu series","OK")))))))))</f>
        <v/>
      </c>
      <c r="X423" s="11" t="n"/>
      <c r="Y423" s="11" t="n"/>
      <c r="Z423" s="12" t="n"/>
      <c r="AA423" s="12" t="n"/>
      <c r="AB423" s="11" t="n"/>
      <c r="AC423" s="11" t="n"/>
      <c r="AD423" s="11" t="n"/>
      <c r="AE423" s="11" t="n"/>
      <c r="AF423" s="11" t="n"/>
      <c r="AG423" s="11" t="n"/>
      <c r="AH423" s="12" t="n"/>
      <c r="AI423" s="12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>
        <f>IF(OR(L424="",M424=""),"",IFERROR(INDEX(LAYOUT!$D$2:$D$80,MATCH(L424&amp;"|"&amp;M424,LAYOUT!$E$2:$E$80,0)),""))</f>
        <v/>
      </c>
      <c r="O424" s="12">
        <f>IF(AND(L424="",M424=""),IF(AND(P424="",Q424="",T424="",U424=""),IF(OR($D424&lt;&gt;"",$E424&lt;&gt;""),"Belum ditempatkan",""),""),IF(L424="","CEK JENIS FIXTURE kosong",IF(AND(LEFT(L424,7)&lt;&gt;"Gondola",LEFT(L424,6)&lt;&gt;"Endcap"),"CEK Fixture 1 hanya Gondola atau Endcap",IF(M424="","CEK SHELVING KE kosong",IF(ISNA(MATCH(L424&amp;"|"&amp;M424,LAYOUT!$E$2:$E$80,0)),"CEK SHELVING KE di luar layout",IF($I424="","CEK SERIES kosong",IF($D424="","Zona STOCK",IF($E424="","CEK SKU DESCRIPTION kosong",IF(COUNTIFS($I$2:$I$500,$I424,L$2:L$500,"&lt;&gt;"&amp;L424,L$2:L$500,"&lt;&gt;")&gt;0,"CEK jenis fixture beda dalam satu series","OK")))))))))</f>
        <v/>
      </c>
      <c r="P424" s="11" t="n"/>
      <c r="Q424" s="11" t="n"/>
      <c r="R424" s="11">
        <f>IF(OR(P424="",Q424=""),"",IFERROR(INDEX(LAYOUT!$D$2:$D$80,MATCH(P424&amp;"|"&amp;Q424,LAYOUT!$E$2:$E$80,0)),""))</f>
        <v/>
      </c>
      <c r="S424" s="12">
        <f>IF(AND(P424="",Q424=""),IF(AND(L424="",M424="",T424="",U424=""),IF(OR($D424&lt;&gt;"",$E424&lt;&gt;""),"Belum ditempatkan",""),""),IF(P424="","CEK JENIS FIXTURE kosong",IF(LEFT(P424,4)&lt;&gt;"Wall","CEK Fixture 2 hanya Wall",IF(Q424="","CEK SHELVING KE kosong",IF(ISNA(MATCH(P424&amp;"|"&amp;Q424,LAYOUT!$E$2:$E$80,0)),"CEK SHELVING KE di luar layout",IF($I424="","CEK SERIES kosong",IF($D424="","Zona STOCK",IF($E424="","CEK SKU DESCRIPTION kosong",IF(COUNTIFS($I$2:$I$500,$I424,P$2:P$500,"&lt;&gt;"&amp;P424,P$2:P$500,"&lt;&gt;")&gt;0,"CEK jenis fixture beda dalam satu series","OK")))))))))</f>
        <v/>
      </c>
      <c r="T424" s="11" t="n"/>
      <c r="U424" s="11" t="n"/>
      <c r="V424" s="11">
        <f>IF(OR(T424="",U424=""),"",IFERROR(INDEX(LAYOUT!$D$2:$D$80,MATCH(T424&amp;"|"&amp;U424,LAYOUT!$E$2:$E$80,0)),""))</f>
        <v/>
      </c>
      <c r="W424" s="12">
        <f>IF(AND(T424="",U424=""),IF(AND(L424="",M424="",P424="",Q424=""),IF(OR($D424&lt;&gt;"",$E424&lt;&gt;""),"Belum ditempatkan",""),""),IF(T424="","CEK JENIS FIXTURE kosong",IF(LEFT(T424,4)&lt;&gt;"Wall","CEK Fixture 3 hanya Wall",IF(U424="","CEK SHELVING KE kosong",IF(ISNA(MATCH(T424&amp;"|"&amp;U424,LAYOUT!$E$2:$E$80,0)),"CEK SHELVING KE di luar layout",IF($I424="","CEK SERIES kosong",IF($D424="","Zona STOCK",IF($E424="","CEK SKU DESCRIPTION kosong",IF(COUNTIFS($I$2:$I$500,$I424,T$2:T$500,"&lt;&gt;"&amp;T424,T$2:T$500,"&lt;&gt;")&gt;0,"CEK jenis fixture beda dalam satu series","OK")))))))))</f>
        <v/>
      </c>
      <c r="X424" s="11" t="n"/>
      <c r="Y424" s="11" t="n"/>
      <c r="Z424" s="12" t="n"/>
      <c r="AA424" s="12" t="n"/>
      <c r="AB424" s="11" t="n"/>
      <c r="AC424" s="11" t="n"/>
      <c r="AD424" s="11" t="n"/>
      <c r="AE424" s="11" t="n"/>
      <c r="AF424" s="11" t="n"/>
      <c r="AG424" s="11" t="n"/>
      <c r="AH424" s="12" t="n"/>
      <c r="AI424" s="12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>
        <f>IF(OR(L425="",M425=""),"",IFERROR(INDEX(LAYOUT!$D$2:$D$80,MATCH(L425&amp;"|"&amp;M425,LAYOUT!$E$2:$E$80,0)),""))</f>
        <v/>
      </c>
      <c r="O425" s="12">
        <f>IF(AND(L425="",M425=""),IF(AND(P425="",Q425="",T425="",U425=""),IF(OR($D425&lt;&gt;"",$E425&lt;&gt;""),"Belum ditempatkan",""),""),IF(L425="","CEK JENIS FIXTURE kosong",IF(AND(LEFT(L425,7)&lt;&gt;"Gondola",LEFT(L425,6)&lt;&gt;"Endcap"),"CEK Fixture 1 hanya Gondola atau Endcap",IF(M425="","CEK SHELVING KE kosong",IF(ISNA(MATCH(L425&amp;"|"&amp;M425,LAYOUT!$E$2:$E$80,0)),"CEK SHELVING KE di luar layout",IF($I425="","CEK SERIES kosong",IF($D425="","Zona STOCK",IF($E425="","CEK SKU DESCRIPTION kosong",IF(COUNTIFS($I$2:$I$500,$I425,L$2:L$500,"&lt;&gt;"&amp;L425,L$2:L$500,"&lt;&gt;")&gt;0,"CEK jenis fixture beda dalam satu series","OK")))))))))</f>
        <v/>
      </c>
      <c r="P425" s="11" t="n"/>
      <c r="Q425" s="11" t="n"/>
      <c r="R425" s="11">
        <f>IF(OR(P425="",Q425=""),"",IFERROR(INDEX(LAYOUT!$D$2:$D$80,MATCH(P425&amp;"|"&amp;Q425,LAYOUT!$E$2:$E$80,0)),""))</f>
        <v/>
      </c>
      <c r="S425" s="12">
        <f>IF(AND(P425="",Q425=""),IF(AND(L425="",M425="",T425="",U425=""),IF(OR($D425&lt;&gt;"",$E425&lt;&gt;""),"Belum ditempatkan",""),""),IF(P425="","CEK JENIS FIXTURE kosong",IF(LEFT(P425,4)&lt;&gt;"Wall","CEK Fixture 2 hanya Wall",IF(Q425="","CEK SHELVING KE kosong",IF(ISNA(MATCH(P425&amp;"|"&amp;Q425,LAYOUT!$E$2:$E$80,0)),"CEK SHELVING KE di luar layout",IF($I425="","CEK SERIES kosong",IF($D425="","Zona STOCK",IF($E425="","CEK SKU DESCRIPTION kosong",IF(COUNTIFS($I$2:$I$500,$I425,P$2:P$500,"&lt;&gt;"&amp;P425,P$2:P$500,"&lt;&gt;")&gt;0,"CEK jenis fixture beda dalam satu series","OK")))))))))</f>
        <v/>
      </c>
      <c r="T425" s="11" t="n"/>
      <c r="U425" s="11" t="n"/>
      <c r="V425" s="11">
        <f>IF(OR(T425="",U425=""),"",IFERROR(INDEX(LAYOUT!$D$2:$D$80,MATCH(T425&amp;"|"&amp;U425,LAYOUT!$E$2:$E$80,0)),""))</f>
        <v/>
      </c>
      <c r="W425" s="12">
        <f>IF(AND(T425="",U425=""),IF(AND(L425="",M425="",P425="",Q425=""),IF(OR($D425&lt;&gt;"",$E425&lt;&gt;""),"Belum ditempatkan",""),""),IF(T425="","CEK JENIS FIXTURE kosong",IF(LEFT(T425,4)&lt;&gt;"Wall","CEK Fixture 3 hanya Wall",IF(U425="","CEK SHELVING KE kosong",IF(ISNA(MATCH(T425&amp;"|"&amp;U425,LAYOUT!$E$2:$E$80,0)),"CEK SHELVING KE di luar layout",IF($I425="","CEK SERIES kosong",IF($D425="","Zona STOCK",IF($E425="","CEK SKU DESCRIPTION kosong",IF(COUNTIFS($I$2:$I$500,$I425,T$2:T$500,"&lt;&gt;"&amp;T425,T$2:T$500,"&lt;&gt;")&gt;0,"CEK jenis fixture beda dalam satu series","OK")))))))))</f>
        <v/>
      </c>
      <c r="X425" s="11" t="n"/>
      <c r="Y425" s="11" t="n"/>
      <c r="Z425" s="12" t="n"/>
      <c r="AA425" s="12" t="n"/>
      <c r="AB425" s="11" t="n"/>
      <c r="AC425" s="11" t="n"/>
      <c r="AD425" s="11" t="n"/>
      <c r="AE425" s="11" t="n"/>
      <c r="AF425" s="11" t="n"/>
      <c r="AG425" s="11" t="n"/>
      <c r="AH425" s="12" t="n"/>
      <c r="AI425" s="12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>
        <f>IF(OR(L426="",M426=""),"",IFERROR(INDEX(LAYOUT!$D$2:$D$80,MATCH(L426&amp;"|"&amp;M426,LAYOUT!$E$2:$E$80,0)),""))</f>
        <v/>
      </c>
      <c r="O426" s="12">
        <f>IF(AND(L426="",M426=""),IF(AND(P426="",Q426="",T426="",U426=""),IF(OR($D426&lt;&gt;"",$E426&lt;&gt;""),"Belum ditempatkan",""),""),IF(L426="","CEK JENIS FIXTURE kosong",IF(AND(LEFT(L426,7)&lt;&gt;"Gondola",LEFT(L426,6)&lt;&gt;"Endcap"),"CEK Fixture 1 hanya Gondola atau Endcap",IF(M426="","CEK SHELVING KE kosong",IF(ISNA(MATCH(L426&amp;"|"&amp;M426,LAYOUT!$E$2:$E$80,0)),"CEK SHELVING KE di luar layout",IF($I426="","CEK SERIES kosong",IF($D426="","Zona STOCK",IF($E426="","CEK SKU DESCRIPTION kosong",IF(COUNTIFS($I$2:$I$500,$I426,L$2:L$500,"&lt;&gt;"&amp;L426,L$2:L$500,"&lt;&gt;")&gt;0,"CEK jenis fixture beda dalam satu series","OK")))))))))</f>
        <v/>
      </c>
      <c r="P426" s="11" t="n"/>
      <c r="Q426" s="11" t="n"/>
      <c r="R426" s="11">
        <f>IF(OR(P426="",Q426=""),"",IFERROR(INDEX(LAYOUT!$D$2:$D$80,MATCH(P426&amp;"|"&amp;Q426,LAYOUT!$E$2:$E$80,0)),""))</f>
        <v/>
      </c>
      <c r="S426" s="12">
        <f>IF(AND(P426="",Q426=""),IF(AND(L426="",M426="",T426="",U426=""),IF(OR($D426&lt;&gt;"",$E426&lt;&gt;""),"Belum ditempatkan",""),""),IF(P426="","CEK JENIS FIXTURE kosong",IF(LEFT(P426,4)&lt;&gt;"Wall","CEK Fixture 2 hanya Wall",IF(Q426="","CEK SHELVING KE kosong",IF(ISNA(MATCH(P426&amp;"|"&amp;Q426,LAYOUT!$E$2:$E$80,0)),"CEK SHELVING KE di luar layout",IF($I426="","CEK SERIES kosong",IF($D426="","Zona STOCK",IF($E426="","CEK SKU DESCRIPTION kosong",IF(COUNTIFS($I$2:$I$500,$I426,P$2:P$500,"&lt;&gt;"&amp;P426,P$2:P$500,"&lt;&gt;")&gt;0,"CEK jenis fixture beda dalam satu series","OK")))))))))</f>
        <v/>
      </c>
      <c r="T426" s="11" t="n"/>
      <c r="U426" s="11" t="n"/>
      <c r="V426" s="11">
        <f>IF(OR(T426="",U426=""),"",IFERROR(INDEX(LAYOUT!$D$2:$D$80,MATCH(T426&amp;"|"&amp;U426,LAYOUT!$E$2:$E$80,0)),""))</f>
        <v/>
      </c>
      <c r="W426" s="12">
        <f>IF(AND(T426="",U426=""),IF(AND(L426="",M426="",P426="",Q426=""),IF(OR($D426&lt;&gt;"",$E426&lt;&gt;""),"Belum ditempatkan",""),""),IF(T426="","CEK JENIS FIXTURE kosong",IF(LEFT(T426,4)&lt;&gt;"Wall","CEK Fixture 3 hanya Wall",IF(U426="","CEK SHELVING KE kosong",IF(ISNA(MATCH(T426&amp;"|"&amp;U426,LAYOUT!$E$2:$E$80,0)),"CEK SHELVING KE di luar layout",IF($I426="","CEK SERIES kosong",IF($D426="","Zona STOCK",IF($E426="","CEK SKU DESCRIPTION kosong",IF(COUNTIFS($I$2:$I$500,$I426,T$2:T$500,"&lt;&gt;"&amp;T426,T$2:T$500,"&lt;&gt;")&gt;0,"CEK jenis fixture beda dalam satu series","OK")))))))))</f>
        <v/>
      </c>
      <c r="X426" s="11" t="n"/>
      <c r="Y426" s="11" t="n"/>
      <c r="Z426" s="12" t="n"/>
      <c r="AA426" s="12" t="n"/>
      <c r="AB426" s="11" t="n"/>
      <c r="AC426" s="11" t="n"/>
      <c r="AD426" s="11" t="n"/>
      <c r="AE426" s="11" t="n"/>
      <c r="AF426" s="11" t="n"/>
      <c r="AG426" s="11" t="n"/>
      <c r="AH426" s="12" t="n"/>
      <c r="AI426" s="12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>
        <f>IF(OR(L427="",M427=""),"",IFERROR(INDEX(LAYOUT!$D$2:$D$80,MATCH(L427&amp;"|"&amp;M427,LAYOUT!$E$2:$E$80,0)),""))</f>
        <v/>
      </c>
      <c r="O427" s="12">
        <f>IF(AND(L427="",M427=""),IF(AND(P427="",Q427="",T427="",U427=""),IF(OR($D427&lt;&gt;"",$E427&lt;&gt;""),"Belum ditempatkan",""),""),IF(L427="","CEK JENIS FIXTURE kosong",IF(AND(LEFT(L427,7)&lt;&gt;"Gondola",LEFT(L427,6)&lt;&gt;"Endcap"),"CEK Fixture 1 hanya Gondola atau Endcap",IF(M427="","CEK SHELVING KE kosong",IF(ISNA(MATCH(L427&amp;"|"&amp;M427,LAYOUT!$E$2:$E$80,0)),"CEK SHELVING KE di luar layout",IF($I427="","CEK SERIES kosong",IF($D427="","Zona STOCK",IF($E427="","CEK SKU DESCRIPTION kosong",IF(COUNTIFS($I$2:$I$500,$I427,L$2:L$500,"&lt;&gt;"&amp;L427,L$2:L$500,"&lt;&gt;")&gt;0,"CEK jenis fixture beda dalam satu series","OK")))))))))</f>
        <v/>
      </c>
      <c r="P427" s="11" t="n"/>
      <c r="Q427" s="11" t="n"/>
      <c r="R427" s="11">
        <f>IF(OR(P427="",Q427=""),"",IFERROR(INDEX(LAYOUT!$D$2:$D$80,MATCH(P427&amp;"|"&amp;Q427,LAYOUT!$E$2:$E$80,0)),""))</f>
        <v/>
      </c>
      <c r="S427" s="12">
        <f>IF(AND(P427="",Q427=""),IF(AND(L427="",M427="",T427="",U427=""),IF(OR($D427&lt;&gt;"",$E427&lt;&gt;""),"Belum ditempatkan",""),""),IF(P427="","CEK JENIS FIXTURE kosong",IF(LEFT(P427,4)&lt;&gt;"Wall","CEK Fixture 2 hanya Wall",IF(Q427="","CEK SHELVING KE kosong",IF(ISNA(MATCH(P427&amp;"|"&amp;Q427,LAYOUT!$E$2:$E$80,0)),"CEK SHELVING KE di luar layout",IF($I427="","CEK SERIES kosong",IF($D427="","Zona STOCK",IF($E427="","CEK SKU DESCRIPTION kosong",IF(COUNTIFS($I$2:$I$500,$I427,P$2:P$500,"&lt;&gt;"&amp;P427,P$2:P$500,"&lt;&gt;")&gt;0,"CEK jenis fixture beda dalam satu series","OK")))))))))</f>
        <v/>
      </c>
      <c r="T427" s="11" t="n"/>
      <c r="U427" s="11" t="n"/>
      <c r="V427" s="11">
        <f>IF(OR(T427="",U427=""),"",IFERROR(INDEX(LAYOUT!$D$2:$D$80,MATCH(T427&amp;"|"&amp;U427,LAYOUT!$E$2:$E$80,0)),""))</f>
        <v/>
      </c>
      <c r="W427" s="12">
        <f>IF(AND(T427="",U427=""),IF(AND(L427="",M427="",P427="",Q427=""),IF(OR($D427&lt;&gt;"",$E427&lt;&gt;""),"Belum ditempatkan",""),""),IF(T427="","CEK JENIS FIXTURE kosong",IF(LEFT(T427,4)&lt;&gt;"Wall","CEK Fixture 3 hanya Wall",IF(U427="","CEK SHELVING KE kosong",IF(ISNA(MATCH(T427&amp;"|"&amp;U427,LAYOUT!$E$2:$E$80,0)),"CEK SHELVING KE di luar layout",IF($I427="","CEK SERIES kosong",IF($D427="","Zona STOCK",IF($E427="","CEK SKU DESCRIPTION kosong",IF(COUNTIFS($I$2:$I$500,$I427,T$2:T$500,"&lt;&gt;"&amp;T427,T$2:T$500,"&lt;&gt;")&gt;0,"CEK jenis fixture beda dalam satu series","OK")))))))))</f>
        <v/>
      </c>
      <c r="X427" s="11" t="n"/>
      <c r="Y427" s="11" t="n"/>
      <c r="Z427" s="12" t="n"/>
      <c r="AA427" s="12" t="n"/>
      <c r="AB427" s="11" t="n"/>
      <c r="AC427" s="11" t="n"/>
      <c r="AD427" s="11" t="n"/>
      <c r="AE427" s="11" t="n"/>
      <c r="AF427" s="11" t="n"/>
      <c r="AG427" s="11" t="n"/>
      <c r="AH427" s="12" t="n"/>
      <c r="AI427" s="12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>
        <f>IF(OR(L428="",M428=""),"",IFERROR(INDEX(LAYOUT!$D$2:$D$80,MATCH(L428&amp;"|"&amp;M428,LAYOUT!$E$2:$E$80,0)),""))</f>
        <v/>
      </c>
      <c r="O428" s="12">
        <f>IF(AND(L428="",M428=""),IF(AND(P428="",Q428="",T428="",U428=""),IF(OR($D428&lt;&gt;"",$E428&lt;&gt;""),"Belum ditempatkan",""),""),IF(L428="","CEK JENIS FIXTURE kosong",IF(AND(LEFT(L428,7)&lt;&gt;"Gondola",LEFT(L428,6)&lt;&gt;"Endcap"),"CEK Fixture 1 hanya Gondola atau Endcap",IF(M428="","CEK SHELVING KE kosong",IF(ISNA(MATCH(L428&amp;"|"&amp;M428,LAYOUT!$E$2:$E$80,0)),"CEK SHELVING KE di luar layout",IF($I428="","CEK SERIES kosong",IF($D428="","Zona STOCK",IF($E428="","CEK SKU DESCRIPTION kosong",IF(COUNTIFS($I$2:$I$500,$I428,L$2:L$500,"&lt;&gt;"&amp;L428,L$2:L$500,"&lt;&gt;")&gt;0,"CEK jenis fixture beda dalam satu series","OK")))))))))</f>
        <v/>
      </c>
      <c r="P428" s="11" t="n"/>
      <c r="Q428" s="11" t="n"/>
      <c r="R428" s="11">
        <f>IF(OR(P428="",Q428=""),"",IFERROR(INDEX(LAYOUT!$D$2:$D$80,MATCH(P428&amp;"|"&amp;Q428,LAYOUT!$E$2:$E$80,0)),""))</f>
        <v/>
      </c>
      <c r="S428" s="12">
        <f>IF(AND(P428="",Q428=""),IF(AND(L428="",M428="",T428="",U428=""),IF(OR($D428&lt;&gt;"",$E428&lt;&gt;""),"Belum ditempatkan",""),""),IF(P428="","CEK JENIS FIXTURE kosong",IF(LEFT(P428,4)&lt;&gt;"Wall","CEK Fixture 2 hanya Wall",IF(Q428="","CEK SHELVING KE kosong",IF(ISNA(MATCH(P428&amp;"|"&amp;Q428,LAYOUT!$E$2:$E$80,0)),"CEK SHELVING KE di luar layout",IF($I428="","CEK SERIES kosong",IF($D428="","Zona STOCK",IF($E428="","CEK SKU DESCRIPTION kosong",IF(COUNTIFS($I$2:$I$500,$I428,P$2:P$500,"&lt;&gt;"&amp;P428,P$2:P$500,"&lt;&gt;")&gt;0,"CEK jenis fixture beda dalam satu series","OK")))))))))</f>
        <v/>
      </c>
      <c r="T428" s="11" t="n"/>
      <c r="U428" s="11" t="n"/>
      <c r="V428" s="11">
        <f>IF(OR(T428="",U428=""),"",IFERROR(INDEX(LAYOUT!$D$2:$D$80,MATCH(T428&amp;"|"&amp;U428,LAYOUT!$E$2:$E$80,0)),""))</f>
        <v/>
      </c>
      <c r="W428" s="12">
        <f>IF(AND(T428="",U428=""),IF(AND(L428="",M428="",P428="",Q428=""),IF(OR($D428&lt;&gt;"",$E428&lt;&gt;""),"Belum ditempatkan",""),""),IF(T428="","CEK JENIS FIXTURE kosong",IF(LEFT(T428,4)&lt;&gt;"Wall","CEK Fixture 3 hanya Wall",IF(U428="","CEK SHELVING KE kosong",IF(ISNA(MATCH(T428&amp;"|"&amp;U428,LAYOUT!$E$2:$E$80,0)),"CEK SHELVING KE di luar layout",IF($I428="","CEK SERIES kosong",IF($D428="","Zona STOCK",IF($E428="","CEK SKU DESCRIPTION kosong",IF(COUNTIFS($I$2:$I$500,$I428,T$2:T$500,"&lt;&gt;"&amp;T428,T$2:T$500,"&lt;&gt;")&gt;0,"CEK jenis fixture beda dalam satu series","OK")))))))))</f>
        <v/>
      </c>
      <c r="X428" s="11" t="n"/>
      <c r="Y428" s="11" t="n"/>
      <c r="Z428" s="12" t="n"/>
      <c r="AA428" s="12" t="n"/>
      <c r="AB428" s="11" t="n"/>
      <c r="AC428" s="11" t="n"/>
      <c r="AD428" s="11" t="n"/>
      <c r="AE428" s="11" t="n"/>
      <c r="AF428" s="11" t="n"/>
      <c r="AG428" s="11" t="n"/>
      <c r="AH428" s="12" t="n"/>
      <c r="AI428" s="12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>
        <f>IF(OR(L429="",M429=""),"",IFERROR(INDEX(LAYOUT!$D$2:$D$80,MATCH(L429&amp;"|"&amp;M429,LAYOUT!$E$2:$E$80,0)),""))</f>
        <v/>
      </c>
      <c r="O429" s="12">
        <f>IF(AND(L429="",M429=""),IF(AND(P429="",Q429="",T429="",U429=""),IF(OR($D429&lt;&gt;"",$E429&lt;&gt;""),"Belum ditempatkan",""),""),IF(L429="","CEK JENIS FIXTURE kosong",IF(AND(LEFT(L429,7)&lt;&gt;"Gondola",LEFT(L429,6)&lt;&gt;"Endcap"),"CEK Fixture 1 hanya Gondola atau Endcap",IF(M429="","CEK SHELVING KE kosong",IF(ISNA(MATCH(L429&amp;"|"&amp;M429,LAYOUT!$E$2:$E$80,0)),"CEK SHELVING KE di luar layout",IF($I429="","CEK SERIES kosong",IF($D429="","Zona STOCK",IF($E429="","CEK SKU DESCRIPTION kosong",IF(COUNTIFS($I$2:$I$500,$I429,L$2:L$500,"&lt;&gt;"&amp;L429,L$2:L$500,"&lt;&gt;")&gt;0,"CEK jenis fixture beda dalam satu series","OK")))))))))</f>
        <v/>
      </c>
      <c r="P429" s="11" t="n"/>
      <c r="Q429" s="11" t="n"/>
      <c r="R429" s="11">
        <f>IF(OR(P429="",Q429=""),"",IFERROR(INDEX(LAYOUT!$D$2:$D$80,MATCH(P429&amp;"|"&amp;Q429,LAYOUT!$E$2:$E$80,0)),""))</f>
        <v/>
      </c>
      <c r="S429" s="12">
        <f>IF(AND(P429="",Q429=""),IF(AND(L429="",M429="",T429="",U429=""),IF(OR($D429&lt;&gt;"",$E429&lt;&gt;""),"Belum ditempatkan",""),""),IF(P429="","CEK JENIS FIXTURE kosong",IF(LEFT(P429,4)&lt;&gt;"Wall","CEK Fixture 2 hanya Wall",IF(Q429="","CEK SHELVING KE kosong",IF(ISNA(MATCH(P429&amp;"|"&amp;Q429,LAYOUT!$E$2:$E$80,0)),"CEK SHELVING KE di luar layout",IF($I429="","CEK SERIES kosong",IF($D429="","Zona STOCK",IF($E429="","CEK SKU DESCRIPTION kosong",IF(COUNTIFS($I$2:$I$500,$I429,P$2:P$500,"&lt;&gt;"&amp;P429,P$2:P$500,"&lt;&gt;")&gt;0,"CEK jenis fixture beda dalam satu series","OK")))))))))</f>
        <v/>
      </c>
      <c r="T429" s="11" t="n"/>
      <c r="U429" s="11" t="n"/>
      <c r="V429" s="11">
        <f>IF(OR(T429="",U429=""),"",IFERROR(INDEX(LAYOUT!$D$2:$D$80,MATCH(T429&amp;"|"&amp;U429,LAYOUT!$E$2:$E$80,0)),""))</f>
        <v/>
      </c>
      <c r="W429" s="12">
        <f>IF(AND(T429="",U429=""),IF(AND(L429="",M429="",P429="",Q429=""),IF(OR($D429&lt;&gt;"",$E429&lt;&gt;""),"Belum ditempatkan",""),""),IF(T429="","CEK JENIS FIXTURE kosong",IF(LEFT(T429,4)&lt;&gt;"Wall","CEK Fixture 3 hanya Wall",IF(U429="","CEK SHELVING KE kosong",IF(ISNA(MATCH(T429&amp;"|"&amp;U429,LAYOUT!$E$2:$E$80,0)),"CEK SHELVING KE di luar layout",IF($I429="","CEK SERIES kosong",IF($D429="","Zona STOCK",IF($E429="","CEK SKU DESCRIPTION kosong",IF(COUNTIFS($I$2:$I$500,$I429,T$2:T$500,"&lt;&gt;"&amp;T429,T$2:T$500,"&lt;&gt;")&gt;0,"CEK jenis fixture beda dalam satu series","OK")))))))))</f>
        <v/>
      </c>
      <c r="X429" s="11" t="n"/>
      <c r="Y429" s="11" t="n"/>
      <c r="Z429" s="12" t="n"/>
      <c r="AA429" s="12" t="n"/>
      <c r="AB429" s="11" t="n"/>
      <c r="AC429" s="11" t="n"/>
      <c r="AD429" s="11" t="n"/>
      <c r="AE429" s="11" t="n"/>
      <c r="AF429" s="11" t="n"/>
      <c r="AG429" s="11" t="n"/>
      <c r="AH429" s="12" t="n"/>
      <c r="AI429" s="12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>
        <f>IF(OR(L430="",M430=""),"",IFERROR(INDEX(LAYOUT!$D$2:$D$80,MATCH(L430&amp;"|"&amp;M430,LAYOUT!$E$2:$E$80,0)),""))</f>
        <v/>
      </c>
      <c r="O430" s="12">
        <f>IF(AND(L430="",M430=""),IF(AND(P430="",Q430="",T430="",U430=""),IF(OR($D430&lt;&gt;"",$E430&lt;&gt;""),"Belum ditempatkan",""),""),IF(L430="","CEK JENIS FIXTURE kosong",IF(AND(LEFT(L430,7)&lt;&gt;"Gondola",LEFT(L430,6)&lt;&gt;"Endcap"),"CEK Fixture 1 hanya Gondola atau Endcap",IF(M430="","CEK SHELVING KE kosong",IF(ISNA(MATCH(L430&amp;"|"&amp;M430,LAYOUT!$E$2:$E$80,0)),"CEK SHELVING KE di luar layout",IF($I430="","CEK SERIES kosong",IF($D430="","Zona STOCK",IF($E430="","CEK SKU DESCRIPTION kosong",IF(COUNTIFS($I$2:$I$500,$I430,L$2:L$500,"&lt;&gt;"&amp;L430,L$2:L$500,"&lt;&gt;")&gt;0,"CEK jenis fixture beda dalam satu series","OK")))))))))</f>
        <v/>
      </c>
      <c r="P430" s="11" t="n"/>
      <c r="Q430" s="11" t="n"/>
      <c r="R430" s="11">
        <f>IF(OR(P430="",Q430=""),"",IFERROR(INDEX(LAYOUT!$D$2:$D$80,MATCH(P430&amp;"|"&amp;Q430,LAYOUT!$E$2:$E$80,0)),""))</f>
        <v/>
      </c>
      <c r="S430" s="12">
        <f>IF(AND(P430="",Q430=""),IF(AND(L430="",M430="",T430="",U430=""),IF(OR($D430&lt;&gt;"",$E430&lt;&gt;""),"Belum ditempatkan",""),""),IF(P430="","CEK JENIS FIXTURE kosong",IF(LEFT(P430,4)&lt;&gt;"Wall","CEK Fixture 2 hanya Wall",IF(Q430="","CEK SHELVING KE kosong",IF(ISNA(MATCH(P430&amp;"|"&amp;Q430,LAYOUT!$E$2:$E$80,0)),"CEK SHELVING KE di luar layout",IF($I430="","CEK SERIES kosong",IF($D430="","Zona STOCK",IF($E430="","CEK SKU DESCRIPTION kosong",IF(COUNTIFS($I$2:$I$500,$I430,P$2:P$500,"&lt;&gt;"&amp;P430,P$2:P$500,"&lt;&gt;")&gt;0,"CEK jenis fixture beda dalam satu series","OK")))))))))</f>
        <v/>
      </c>
      <c r="T430" s="11" t="n"/>
      <c r="U430" s="11" t="n"/>
      <c r="V430" s="11">
        <f>IF(OR(T430="",U430=""),"",IFERROR(INDEX(LAYOUT!$D$2:$D$80,MATCH(T430&amp;"|"&amp;U430,LAYOUT!$E$2:$E$80,0)),""))</f>
        <v/>
      </c>
      <c r="W430" s="12">
        <f>IF(AND(T430="",U430=""),IF(AND(L430="",M430="",P430="",Q430=""),IF(OR($D430&lt;&gt;"",$E430&lt;&gt;""),"Belum ditempatkan",""),""),IF(T430="","CEK JENIS FIXTURE kosong",IF(LEFT(T430,4)&lt;&gt;"Wall","CEK Fixture 3 hanya Wall",IF(U430="","CEK SHELVING KE kosong",IF(ISNA(MATCH(T430&amp;"|"&amp;U430,LAYOUT!$E$2:$E$80,0)),"CEK SHELVING KE di luar layout",IF($I430="","CEK SERIES kosong",IF($D430="","Zona STOCK",IF($E430="","CEK SKU DESCRIPTION kosong",IF(COUNTIFS($I$2:$I$500,$I430,T$2:T$500,"&lt;&gt;"&amp;T430,T$2:T$500,"&lt;&gt;")&gt;0,"CEK jenis fixture beda dalam satu series","OK")))))))))</f>
        <v/>
      </c>
      <c r="X430" s="11" t="n"/>
      <c r="Y430" s="11" t="n"/>
      <c r="Z430" s="12" t="n"/>
      <c r="AA430" s="12" t="n"/>
      <c r="AB430" s="11" t="n"/>
      <c r="AC430" s="11" t="n"/>
      <c r="AD430" s="11" t="n"/>
      <c r="AE430" s="11" t="n"/>
      <c r="AF430" s="11" t="n"/>
      <c r="AG430" s="11" t="n"/>
      <c r="AH430" s="12" t="n"/>
      <c r="AI430" s="12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>
        <f>IF(OR(L431="",M431=""),"",IFERROR(INDEX(LAYOUT!$D$2:$D$80,MATCH(L431&amp;"|"&amp;M431,LAYOUT!$E$2:$E$80,0)),""))</f>
        <v/>
      </c>
      <c r="O431" s="12">
        <f>IF(AND(L431="",M431=""),IF(AND(P431="",Q431="",T431="",U431=""),IF(OR($D431&lt;&gt;"",$E431&lt;&gt;""),"Belum ditempatkan",""),""),IF(L431="","CEK JENIS FIXTURE kosong",IF(AND(LEFT(L431,7)&lt;&gt;"Gondola",LEFT(L431,6)&lt;&gt;"Endcap"),"CEK Fixture 1 hanya Gondola atau Endcap",IF(M431="","CEK SHELVING KE kosong",IF(ISNA(MATCH(L431&amp;"|"&amp;M431,LAYOUT!$E$2:$E$80,0)),"CEK SHELVING KE di luar layout",IF($I431="","CEK SERIES kosong",IF($D431="","Zona STOCK",IF($E431="","CEK SKU DESCRIPTION kosong",IF(COUNTIFS($I$2:$I$500,$I431,L$2:L$500,"&lt;&gt;"&amp;L431,L$2:L$500,"&lt;&gt;")&gt;0,"CEK jenis fixture beda dalam satu series","OK")))))))))</f>
        <v/>
      </c>
      <c r="P431" s="11" t="n"/>
      <c r="Q431" s="11" t="n"/>
      <c r="R431" s="11">
        <f>IF(OR(P431="",Q431=""),"",IFERROR(INDEX(LAYOUT!$D$2:$D$80,MATCH(P431&amp;"|"&amp;Q431,LAYOUT!$E$2:$E$80,0)),""))</f>
        <v/>
      </c>
      <c r="S431" s="12">
        <f>IF(AND(P431="",Q431=""),IF(AND(L431="",M431="",T431="",U431=""),IF(OR($D431&lt;&gt;"",$E431&lt;&gt;""),"Belum ditempatkan",""),""),IF(P431="","CEK JENIS FIXTURE kosong",IF(LEFT(P431,4)&lt;&gt;"Wall","CEK Fixture 2 hanya Wall",IF(Q431="","CEK SHELVING KE kosong",IF(ISNA(MATCH(P431&amp;"|"&amp;Q431,LAYOUT!$E$2:$E$80,0)),"CEK SHELVING KE di luar layout",IF($I431="","CEK SERIES kosong",IF($D431="","Zona STOCK",IF($E431="","CEK SKU DESCRIPTION kosong",IF(COUNTIFS($I$2:$I$500,$I431,P$2:P$500,"&lt;&gt;"&amp;P431,P$2:P$500,"&lt;&gt;")&gt;0,"CEK jenis fixture beda dalam satu series","OK")))))))))</f>
        <v/>
      </c>
      <c r="T431" s="11" t="n"/>
      <c r="U431" s="11" t="n"/>
      <c r="V431" s="11">
        <f>IF(OR(T431="",U431=""),"",IFERROR(INDEX(LAYOUT!$D$2:$D$80,MATCH(T431&amp;"|"&amp;U431,LAYOUT!$E$2:$E$80,0)),""))</f>
        <v/>
      </c>
      <c r="W431" s="12">
        <f>IF(AND(T431="",U431=""),IF(AND(L431="",M431="",P431="",Q431=""),IF(OR($D431&lt;&gt;"",$E431&lt;&gt;""),"Belum ditempatkan",""),""),IF(T431="","CEK JENIS FIXTURE kosong",IF(LEFT(T431,4)&lt;&gt;"Wall","CEK Fixture 3 hanya Wall",IF(U431="","CEK SHELVING KE kosong",IF(ISNA(MATCH(T431&amp;"|"&amp;U431,LAYOUT!$E$2:$E$80,0)),"CEK SHELVING KE di luar layout",IF($I431="","CEK SERIES kosong",IF($D431="","Zona STOCK",IF($E431="","CEK SKU DESCRIPTION kosong",IF(COUNTIFS($I$2:$I$500,$I431,T$2:T$500,"&lt;&gt;"&amp;T431,T$2:T$500,"&lt;&gt;")&gt;0,"CEK jenis fixture beda dalam satu series","OK")))))))))</f>
        <v/>
      </c>
      <c r="X431" s="11" t="n"/>
      <c r="Y431" s="11" t="n"/>
      <c r="Z431" s="12" t="n"/>
      <c r="AA431" s="12" t="n"/>
      <c r="AB431" s="11" t="n"/>
      <c r="AC431" s="11" t="n"/>
      <c r="AD431" s="11" t="n"/>
      <c r="AE431" s="11" t="n"/>
      <c r="AF431" s="11" t="n"/>
      <c r="AG431" s="11" t="n"/>
      <c r="AH431" s="12" t="n"/>
      <c r="AI431" s="12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>
        <f>IF(OR(L432="",M432=""),"",IFERROR(INDEX(LAYOUT!$D$2:$D$80,MATCH(L432&amp;"|"&amp;M432,LAYOUT!$E$2:$E$80,0)),""))</f>
        <v/>
      </c>
      <c r="O432" s="12">
        <f>IF(AND(L432="",M432=""),IF(AND(P432="",Q432="",T432="",U432=""),IF(OR($D432&lt;&gt;"",$E432&lt;&gt;""),"Belum ditempatkan",""),""),IF(L432="","CEK JENIS FIXTURE kosong",IF(AND(LEFT(L432,7)&lt;&gt;"Gondola",LEFT(L432,6)&lt;&gt;"Endcap"),"CEK Fixture 1 hanya Gondola atau Endcap",IF(M432="","CEK SHELVING KE kosong",IF(ISNA(MATCH(L432&amp;"|"&amp;M432,LAYOUT!$E$2:$E$80,0)),"CEK SHELVING KE di luar layout",IF($I432="","CEK SERIES kosong",IF($D432="","Zona STOCK",IF($E432="","CEK SKU DESCRIPTION kosong",IF(COUNTIFS($I$2:$I$500,$I432,L$2:L$500,"&lt;&gt;"&amp;L432,L$2:L$500,"&lt;&gt;")&gt;0,"CEK jenis fixture beda dalam satu series","OK")))))))))</f>
        <v/>
      </c>
      <c r="P432" s="11" t="n"/>
      <c r="Q432" s="11" t="n"/>
      <c r="R432" s="11">
        <f>IF(OR(P432="",Q432=""),"",IFERROR(INDEX(LAYOUT!$D$2:$D$80,MATCH(P432&amp;"|"&amp;Q432,LAYOUT!$E$2:$E$80,0)),""))</f>
        <v/>
      </c>
      <c r="S432" s="12">
        <f>IF(AND(P432="",Q432=""),IF(AND(L432="",M432="",T432="",U432=""),IF(OR($D432&lt;&gt;"",$E432&lt;&gt;""),"Belum ditempatkan",""),""),IF(P432="","CEK JENIS FIXTURE kosong",IF(LEFT(P432,4)&lt;&gt;"Wall","CEK Fixture 2 hanya Wall",IF(Q432="","CEK SHELVING KE kosong",IF(ISNA(MATCH(P432&amp;"|"&amp;Q432,LAYOUT!$E$2:$E$80,0)),"CEK SHELVING KE di luar layout",IF($I432="","CEK SERIES kosong",IF($D432="","Zona STOCK",IF($E432="","CEK SKU DESCRIPTION kosong",IF(COUNTIFS($I$2:$I$500,$I432,P$2:P$500,"&lt;&gt;"&amp;P432,P$2:P$500,"&lt;&gt;")&gt;0,"CEK jenis fixture beda dalam satu series","OK")))))))))</f>
        <v/>
      </c>
      <c r="T432" s="11" t="n"/>
      <c r="U432" s="11" t="n"/>
      <c r="V432" s="11">
        <f>IF(OR(T432="",U432=""),"",IFERROR(INDEX(LAYOUT!$D$2:$D$80,MATCH(T432&amp;"|"&amp;U432,LAYOUT!$E$2:$E$80,0)),""))</f>
        <v/>
      </c>
      <c r="W432" s="12">
        <f>IF(AND(T432="",U432=""),IF(AND(L432="",M432="",P432="",Q432=""),IF(OR($D432&lt;&gt;"",$E432&lt;&gt;""),"Belum ditempatkan",""),""),IF(T432="","CEK JENIS FIXTURE kosong",IF(LEFT(T432,4)&lt;&gt;"Wall","CEK Fixture 3 hanya Wall",IF(U432="","CEK SHELVING KE kosong",IF(ISNA(MATCH(T432&amp;"|"&amp;U432,LAYOUT!$E$2:$E$80,0)),"CEK SHELVING KE di luar layout",IF($I432="","CEK SERIES kosong",IF($D432="","Zona STOCK",IF($E432="","CEK SKU DESCRIPTION kosong",IF(COUNTIFS($I$2:$I$500,$I432,T$2:T$500,"&lt;&gt;"&amp;T432,T$2:T$500,"&lt;&gt;")&gt;0,"CEK jenis fixture beda dalam satu series","OK")))))))))</f>
        <v/>
      </c>
      <c r="X432" s="11" t="n"/>
      <c r="Y432" s="11" t="n"/>
      <c r="Z432" s="12" t="n"/>
      <c r="AA432" s="12" t="n"/>
      <c r="AB432" s="11" t="n"/>
      <c r="AC432" s="11" t="n"/>
      <c r="AD432" s="11" t="n"/>
      <c r="AE432" s="11" t="n"/>
      <c r="AF432" s="11" t="n"/>
      <c r="AG432" s="11" t="n"/>
      <c r="AH432" s="12" t="n"/>
      <c r="AI432" s="12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>
        <f>IF(OR(L433="",M433=""),"",IFERROR(INDEX(LAYOUT!$D$2:$D$80,MATCH(L433&amp;"|"&amp;M433,LAYOUT!$E$2:$E$80,0)),""))</f>
        <v/>
      </c>
      <c r="O433" s="12">
        <f>IF(AND(L433="",M433=""),IF(AND(P433="",Q433="",T433="",U433=""),IF(OR($D433&lt;&gt;"",$E433&lt;&gt;""),"Belum ditempatkan",""),""),IF(L433="","CEK JENIS FIXTURE kosong",IF(AND(LEFT(L433,7)&lt;&gt;"Gondola",LEFT(L433,6)&lt;&gt;"Endcap"),"CEK Fixture 1 hanya Gondola atau Endcap",IF(M433="","CEK SHELVING KE kosong",IF(ISNA(MATCH(L433&amp;"|"&amp;M433,LAYOUT!$E$2:$E$80,0)),"CEK SHELVING KE di luar layout",IF($I433="","CEK SERIES kosong",IF($D433="","Zona STOCK",IF($E433="","CEK SKU DESCRIPTION kosong",IF(COUNTIFS($I$2:$I$500,$I433,L$2:L$500,"&lt;&gt;"&amp;L433,L$2:L$500,"&lt;&gt;")&gt;0,"CEK jenis fixture beda dalam satu series","OK")))))))))</f>
        <v/>
      </c>
      <c r="P433" s="11" t="n"/>
      <c r="Q433" s="11" t="n"/>
      <c r="R433" s="11">
        <f>IF(OR(P433="",Q433=""),"",IFERROR(INDEX(LAYOUT!$D$2:$D$80,MATCH(P433&amp;"|"&amp;Q433,LAYOUT!$E$2:$E$80,0)),""))</f>
        <v/>
      </c>
      <c r="S433" s="12">
        <f>IF(AND(P433="",Q433=""),IF(AND(L433="",M433="",T433="",U433=""),IF(OR($D433&lt;&gt;"",$E433&lt;&gt;""),"Belum ditempatkan",""),""),IF(P433="","CEK JENIS FIXTURE kosong",IF(LEFT(P433,4)&lt;&gt;"Wall","CEK Fixture 2 hanya Wall",IF(Q433="","CEK SHELVING KE kosong",IF(ISNA(MATCH(P433&amp;"|"&amp;Q433,LAYOUT!$E$2:$E$80,0)),"CEK SHELVING KE di luar layout",IF($I433="","CEK SERIES kosong",IF($D433="","Zona STOCK",IF($E433="","CEK SKU DESCRIPTION kosong",IF(COUNTIFS($I$2:$I$500,$I433,P$2:P$500,"&lt;&gt;"&amp;P433,P$2:P$500,"&lt;&gt;")&gt;0,"CEK jenis fixture beda dalam satu series","OK")))))))))</f>
        <v/>
      </c>
      <c r="T433" s="11" t="n"/>
      <c r="U433" s="11" t="n"/>
      <c r="V433" s="11">
        <f>IF(OR(T433="",U433=""),"",IFERROR(INDEX(LAYOUT!$D$2:$D$80,MATCH(T433&amp;"|"&amp;U433,LAYOUT!$E$2:$E$80,0)),""))</f>
        <v/>
      </c>
      <c r="W433" s="12">
        <f>IF(AND(T433="",U433=""),IF(AND(L433="",M433="",P433="",Q433=""),IF(OR($D433&lt;&gt;"",$E433&lt;&gt;""),"Belum ditempatkan",""),""),IF(T433="","CEK JENIS FIXTURE kosong",IF(LEFT(T433,4)&lt;&gt;"Wall","CEK Fixture 3 hanya Wall",IF(U433="","CEK SHELVING KE kosong",IF(ISNA(MATCH(T433&amp;"|"&amp;U433,LAYOUT!$E$2:$E$80,0)),"CEK SHELVING KE di luar layout",IF($I433="","CEK SERIES kosong",IF($D433="","Zona STOCK",IF($E433="","CEK SKU DESCRIPTION kosong",IF(COUNTIFS($I$2:$I$500,$I433,T$2:T$500,"&lt;&gt;"&amp;T433,T$2:T$500,"&lt;&gt;")&gt;0,"CEK jenis fixture beda dalam satu series","OK")))))))))</f>
        <v/>
      </c>
      <c r="X433" s="11" t="n"/>
      <c r="Y433" s="11" t="n"/>
      <c r="Z433" s="12" t="n"/>
      <c r="AA433" s="12" t="n"/>
      <c r="AB433" s="11" t="n"/>
      <c r="AC433" s="11" t="n"/>
      <c r="AD433" s="11" t="n"/>
      <c r="AE433" s="11" t="n"/>
      <c r="AF433" s="11" t="n"/>
      <c r="AG433" s="11" t="n"/>
      <c r="AH433" s="12" t="n"/>
      <c r="AI433" s="12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>
        <f>IF(OR(L434="",M434=""),"",IFERROR(INDEX(LAYOUT!$D$2:$D$80,MATCH(L434&amp;"|"&amp;M434,LAYOUT!$E$2:$E$80,0)),""))</f>
        <v/>
      </c>
      <c r="O434" s="12">
        <f>IF(AND(L434="",M434=""),IF(AND(P434="",Q434="",T434="",U434=""),IF(OR($D434&lt;&gt;"",$E434&lt;&gt;""),"Belum ditempatkan",""),""),IF(L434="","CEK JENIS FIXTURE kosong",IF(AND(LEFT(L434,7)&lt;&gt;"Gondola",LEFT(L434,6)&lt;&gt;"Endcap"),"CEK Fixture 1 hanya Gondola atau Endcap",IF(M434="","CEK SHELVING KE kosong",IF(ISNA(MATCH(L434&amp;"|"&amp;M434,LAYOUT!$E$2:$E$80,0)),"CEK SHELVING KE di luar layout",IF($I434="","CEK SERIES kosong",IF($D434="","Zona STOCK",IF($E434="","CEK SKU DESCRIPTION kosong",IF(COUNTIFS($I$2:$I$500,$I434,L$2:L$500,"&lt;&gt;"&amp;L434,L$2:L$500,"&lt;&gt;")&gt;0,"CEK jenis fixture beda dalam satu series","OK")))))))))</f>
        <v/>
      </c>
      <c r="P434" s="11" t="n"/>
      <c r="Q434" s="11" t="n"/>
      <c r="R434" s="11">
        <f>IF(OR(P434="",Q434=""),"",IFERROR(INDEX(LAYOUT!$D$2:$D$80,MATCH(P434&amp;"|"&amp;Q434,LAYOUT!$E$2:$E$80,0)),""))</f>
        <v/>
      </c>
      <c r="S434" s="12">
        <f>IF(AND(P434="",Q434=""),IF(AND(L434="",M434="",T434="",U434=""),IF(OR($D434&lt;&gt;"",$E434&lt;&gt;""),"Belum ditempatkan",""),""),IF(P434="","CEK JENIS FIXTURE kosong",IF(LEFT(P434,4)&lt;&gt;"Wall","CEK Fixture 2 hanya Wall",IF(Q434="","CEK SHELVING KE kosong",IF(ISNA(MATCH(P434&amp;"|"&amp;Q434,LAYOUT!$E$2:$E$80,0)),"CEK SHELVING KE di luar layout",IF($I434="","CEK SERIES kosong",IF($D434="","Zona STOCK",IF($E434="","CEK SKU DESCRIPTION kosong",IF(COUNTIFS($I$2:$I$500,$I434,P$2:P$500,"&lt;&gt;"&amp;P434,P$2:P$500,"&lt;&gt;")&gt;0,"CEK jenis fixture beda dalam satu series","OK")))))))))</f>
        <v/>
      </c>
      <c r="T434" s="11" t="n"/>
      <c r="U434" s="11" t="n"/>
      <c r="V434" s="11">
        <f>IF(OR(T434="",U434=""),"",IFERROR(INDEX(LAYOUT!$D$2:$D$80,MATCH(T434&amp;"|"&amp;U434,LAYOUT!$E$2:$E$80,0)),""))</f>
        <v/>
      </c>
      <c r="W434" s="12">
        <f>IF(AND(T434="",U434=""),IF(AND(L434="",M434="",P434="",Q434=""),IF(OR($D434&lt;&gt;"",$E434&lt;&gt;""),"Belum ditempatkan",""),""),IF(T434="","CEK JENIS FIXTURE kosong",IF(LEFT(T434,4)&lt;&gt;"Wall","CEK Fixture 3 hanya Wall",IF(U434="","CEK SHELVING KE kosong",IF(ISNA(MATCH(T434&amp;"|"&amp;U434,LAYOUT!$E$2:$E$80,0)),"CEK SHELVING KE di luar layout",IF($I434="","CEK SERIES kosong",IF($D434="","Zona STOCK",IF($E434="","CEK SKU DESCRIPTION kosong",IF(COUNTIFS($I$2:$I$500,$I434,T$2:T$500,"&lt;&gt;"&amp;T434,T$2:T$500,"&lt;&gt;")&gt;0,"CEK jenis fixture beda dalam satu series","OK")))))))))</f>
        <v/>
      </c>
      <c r="X434" s="11" t="n"/>
      <c r="Y434" s="11" t="n"/>
      <c r="Z434" s="12" t="n"/>
      <c r="AA434" s="12" t="n"/>
      <c r="AB434" s="11" t="n"/>
      <c r="AC434" s="11" t="n"/>
      <c r="AD434" s="11" t="n"/>
      <c r="AE434" s="11" t="n"/>
      <c r="AF434" s="11" t="n"/>
      <c r="AG434" s="11" t="n"/>
      <c r="AH434" s="12" t="n"/>
      <c r="AI434" s="12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>
        <f>IF(OR(L435="",M435=""),"",IFERROR(INDEX(LAYOUT!$D$2:$D$80,MATCH(L435&amp;"|"&amp;M435,LAYOUT!$E$2:$E$80,0)),""))</f>
        <v/>
      </c>
      <c r="O435" s="12">
        <f>IF(AND(L435="",M435=""),IF(AND(P435="",Q435="",T435="",U435=""),IF(OR($D435&lt;&gt;"",$E435&lt;&gt;""),"Belum ditempatkan",""),""),IF(L435="","CEK JENIS FIXTURE kosong",IF(AND(LEFT(L435,7)&lt;&gt;"Gondola",LEFT(L435,6)&lt;&gt;"Endcap"),"CEK Fixture 1 hanya Gondola atau Endcap",IF(M435="","CEK SHELVING KE kosong",IF(ISNA(MATCH(L435&amp;"|"&amp;M435,LAYOUT!$E$2:$E$80,0)),"CEK SHELVING KE di luar layout",IF($I435="","CEK SERIES kosong",IF($D435="","Zona STOCK",IF($E435="","CEK SKU DESCRIPTION kosong",IF(COUNTIFS($I$2:$I$500,$I435,L$2:L$500,"&lt;&gt;"&amp;L435,L$2:L$500,"&lt;&gt;")&gt;0,"CEK jenis fixture beda dalam satu series","OK")))))))))</f>
        <v/>
      </c>
      <c r="P435" s="11" t="n"/>
      <c r="Q435" s="11" t="n"/>
      <c r="R435" s="11">
        <f>IF(OR(P435="",Q435=""),"",IFERROR(INDEX(LAYOUT!$D$2:$D$80,MATCH(P435&amp;"|"&amp;Q435,LAYOUT!$E$2:$E$80,0)),""))</f>
        <v/>
      </c>
      <c r="S435" s="12">
        <f>IF(AND(P435="",Q435=""),IF(AND(L435="",M435="",T435="",U435=""),IF(OR($D435&lt;&gt;"",$E435&lt;&gt;""),"Belum ditempatkan",""),""),IF(P435="","CEK JENIS FIXTURE kosong",IF(LEFT(P435,4)&lt;&gt;"Wall","CEK Fixture 2 hanya Wall",IF(Q435="","CEK SHELVING KE kosong",IF(ISNA(MATCH(P435&amp;"|"&amp;Q435,LAYOUT!$E$2:$E$80,0)),"CEK SHELVING KE di luar layout",IF($I435="","CEK SERIES kosong",IF($D435="","Zona STOCK",IF($E435="","CEK SKU DESCRIPTION kosong",IF(COUNTIFS($I$2:$I$500,$I435,P$2:P$500,"&lt;&gt;"&amp;P435,P$2:P$500,"&lt;&gt;")&gt;0,"CEK jenis fixture beda dalam satu series","OK")))))))))</f>
        <v/>
      </c>
      <c r="T435" s="11" t="n"/>
      <c r="U435" s="11" t="n"/>
      <c r="V435" s="11">
        <f>IF(OR(T435="",U435=""),"",IFERROR(INDEX(LAYOUT!$D$2:$D$80,MATCH(T435&amp;"|"&amp;U435,LAYOUT!$E$2:$E$80,0)),""))</f>
        <v/>
      </c>
      <c r="W435" s="12">
        <f>IF(AND(T435="",U435=""),IF(AND(L435="",M435="",P435="",Q435=""),IF(OR($D435&lt;&gt;"",$E435&lt;&gt;""),"Belum ditempatkan",""),""),IF(T435="","CEK JENIS FIXTURE kosong",IF(LEFT(T435,4)&lt;&gt;"Wall","CEK Fixture 3 hanya Wall",IF(U435="","CEK SHELVING KE kosong",IF(ISNA(MATCH(T435&amp;"|"&amp;U435,LAYOUT!$E$2:$E$80,0)),"CEK SHELVING KE di luar layout",IF($I435="","CEK SERIES kosong",IF($D435="","Zona STOCK",IF($E435="","CEK SKU DESCRIPTION kosong",IF(COUNTIFS($I$2:$I$500,$I435,T$2:T$500,"&lt;&gt;"&amp;T435,T$2:T$500,"&lt;&gt;")&gt;0,"CEK jenis fixture beda dalam satu series","OK")))))))))</f>
        <v/>
      </c>
      <c r="X435" s="11" t="n"/>
      <c r="Y435" s="11" t="n"/>
      <c r="Z435" s="12" t="n"/>
      <c r="AA435" s="12" t="n"/>
      <c r="AB435" s="11" t="n"/>
      <c r="AC435" s="11" t="n"/>
      <c r="AD435" s="11" t="n"/>
      <c r="AE435" s="11" t="n"/>
      <c r="AF435" s="11" t="n"/>
      <c r="AG435" s="11" t="n"/>
      <c r="AH435" s="12" t="n"/>
      <c r="AI435" s="12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>
        <f>IF(OR(L436="",M436=""),"",IFERROR(INDEX(LAYOUT!$D$2:$D$80,MATCH(L436&amp;"|"&amp;M436,LAYOUT!$E$2:$E$80,0)),""))</f>
        <v/>
      </c>
      <c r="O436" s="12">
        <f>IF(AND(L436="",M436=""),IF(AND(P436="",Q436="",T436="",U436=""),IF(OR($D436&lt;&gt;"",$E436&lt;&gt;""),"Belum ditempatkan",""),""),IF(L436="","CEK JENIS FIXTURE kosong",IF(AND(LEFT(L436,7)&lt;&gt;"Gondola",LEFT(L436,6)&lt;&gt;"Endcap"),"CEK Fixture 1 hanya Gondola atau Endcap",IF(M436="","CEK SHELVING KE kosong",IF(ISNA(MATCH(L436&amp;"|"&amp;M436,LAYOUT!$E$2:$E$80,0)),"CEK SHELVING KE di luar layout",IF($I436="","CEK SERIES kosong",IF($D436="","Zona STOCK",IF($E436="","CEK SKU DESCRIPTION kosong",IF(COUNTIFS($I$2:$I$500,$I436,L$2:L$500,"&lt;&gt;"&amp;L436,L$2:L$500,"&lt;&gt;")&gt;0,"CEK jenis fixture beda dalam satu series","OK")))))))))</f>
        <v/>
      </c>
      <c r="P436" s="11" t="n"/>
      <c r="Q436" s="11" t="n"/>
      <c r="R436" s="11">
        <f>IF(OR(P436="",Q436=""),"",IFERROR(INDEX(LAYOUT!$D$2:$D$80,MATCH(P436&amp;"|"&amp;Q436,LAYOUT!$E$2:$E$80,0)),""))</f>
        <v/>
      </c>
      <c r="S436" s="12">
        <f>IF(AND(P436="",Q436=""),IF(AND(L436="",M436="",T436="",U436=""),IF(OR($D436&lt;&gt;"",$E436&lt;&gt;""),"Belum ditempatkan",""),""),IF(P436="","CEK JENIS FIXTURE kosong",IF(LEFT(P436,4)&lt;&gt;"Wall","CEK Fixture 2 hanya Wall",IF(Q436="","CEK SHELVING KE kosong",IF(ISNA(MATCH(P436&amp;"|"&amp;Q436,LAYOUT!$E$2:$E$80,0)),"CEK SHELVING KE di luar layout",IF($I436="","CEK SERIES kosong",IF($D436="","Zona STOCK",IF($E436="","CEK SKU DESCRIPTION kosong",IF(COUNTIFS($I$2:$I$500,$I436,P$2:P$500,"&lt;&gt;"&amp;P436,P$2:P$500,"&lt;&gt;")&gt;0,"CEK jenis fixture beda dalam satu series","OK")))))))))</f>
        <v/>
      </c>
      <c r="T436" s="11" t="n"/>
      <c r="U436" s="11" t="n"/>
      <c r="V436" s="11">
        <f>IF(OR(T436="",U436=""),"",IFERROR(INDEX(LAYOUT!$D$2:$D$80,MATCH(T436&amp;"|"&amp;U436,LAYOUT!$E$2:$E$80,0)),""))</f>
        <v/>
      </c>
      <c r="W436" s="12">
        <f>IF(AND(T436="",U436=""),IF(AND(L436="",M436="",P436="",Q436=""),IF(OR($D436&lt;&gt;"",$E436&lt;&gt;""),"Belum ditempatkan",""),""),IF(T436="","CEK JENIS FIXTURE kosong",IF(LEFT(T436,4)&lt;&gt;"Wall","CEK Fixture 3 hanya Wall",IF(U436="","CEK SHELVING KE kosong",IF(ISNA(MATCH(T436&amp;"|"&amp;U436,LAYOUT!$E$2:$E$80,0)),"CEK SHELVING KE di luar layout",IF($I436="","CEK SERIES kosong",IF($D436="","Zona STOCK",IF($E436="","CEK SKU DESCRIPTION kosong",IF(COUNTIFS($I$2:$I$500,$I436,T$2:T$500,"&lt;&gt;"&amp;T436,T$2:T$500,"&lt;&gt;")&gt;0,"CEK jenis fixture beda dalam satu series","OK")))))))))</f>
        <v/>
      </c>
      <c r="X436" s="11" t="n"/>
      <c r="Y436" s="11" t="n"/>
      <c r="Z436" s="12" t="n"/>
      <c r="AA436" s="12" t="n"/>
      <c r="AB436" s="11" t="n"/>
      <c r="AC436" s="11" t="n"/>
      <c r="AD436" s="11" t="n"/>
      <c r="AE436" s="11" t="n"/>
      <c r="AF436" s="11" t="n"/>
      <c r="AG436" s="11" t="n"/>
      <c r="AH436" s="12" t="n"/>
      <c r="AI436" s="12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>
        <f>IF(OR(L437="",M437=""),"",IFERROR(INDEX(LAYOUT!$D$2:$D$80,MATCH(L437&amp;"|"&amp;M437,LAYOUT!$E$2:$E$80,0)),""))</f>
        <v/>
      </c>
      <c r="O437" s="12">
        <f>IF(AND(L437="",M437=""),IF(AND(P437="",Q437="",T437="",U437=""),IF(OR($D437&lt;&gt;"",$E437&lt;&gt;""),"Belum ditempatkan",""),""),IF(L437="","CEK JENIS FIXTURE kosong",IF(AND(LEFT(L437,7)&lt;&gt;"Gondola",LEFT(L437,6)&lt;&gt;"Endcap"),"CEK Fixture 1 hanya Gondola atau Endcap",IF(M437="","CEK SHELVING KE kosong",IF(ISNA(MATCH(L437&amp;"|"&amp;M437,LAYOUT!$E$2:$E$80,0)),"CEK SHELVING KE di luar layout",IF($I437="","CEK SERIES kosong",IF($D437="","Zona STOCK",IF($E437="","CEK SKU DESCRIPTION kosong",IF(COUNTIFS($I$2:$I$500,$I437,L$2:L$500,"&lt;&gt;"&amp;L437,L$2:L$500,"&lt;&gt;")&gt;0,"CEK jenis fixture beda dalam satu series","OK")))))))))</f>
        <v/>
      </c>
      <c r="P437" s="11" t="n"/>
      <c r="Q437" s="11" t="n"/>
      <c r="R437" s="11">
        <f>IF(OR(P437="",Q437=""),"",IFERROR(INDEX(LAYOUT!$D$2:$D$80,MATCH(P437&amp;"|"&amp;Q437,LAYOUT!$E$2:$E$80,0)),""))</f>
        <v/>
      </c>
      <c r="S437" s="12">
        <f>IF(AND(P437="",Q437=""),IF(AND(L437="",M437="",T437="",U437=""),IF(OR($D437&lt;&gt;"",$E437&lt;&gt;""),"Belum ditempatkan",""),""),IF(P437="","CEK JENIS FIXTURE kosong",IF(LEFT(P437,4)&lt;&gt;"Wall","CEK Fixture 2 hanya Wall",IF(Q437="","CEK SHELVING KE kosong",IF(ISNA(MATCH(P437&amp;"|"&amp;Q437,LAYOUT!$E$2:$E$80,0)),"CEK SHELVING KE di luar layout",IF($I437="","CEK SERIES kosong",IF($D437="","Zona STOCK",IF($E437="","CEK SKU DESCRIPTION kosong",IF(COUNTIFS($I$2:$I$500,$I437,P$2:P$500,"&lt;&gt;"&amp;P437,P$2:P$500,"&lt;&gt;")&gt;0,"CEK jenis fixture beda dalam satu series","OK")))))))))</f>
        <v/>
      </c>
      <c r="T437" s="11" t="n"/>
      <c r="U437" s="11" t="n"/>
      <c r="V437" s="11">
        <f>IF(OR(T437="",U437=""),"",IFERROR(INDEX(LAYOUT!$D$2:$D$80,MATCH(T437&amp;"|"&amp;U437,LAYOUT!$E$2:$E$80,0)),""))</f>
        <v/>
      </c>
      <c r="W437" s="12">
        <f>IF(AND(T437="",U437=""),IF(AND(L437="",M437="",P437="",Q437=""),IF(OR($D437&lt;&gt;"",$E437&lt;&gt;""),"Belum ditempatkan",""),""),IF(T437="","CEK JENIS FIXTURE kosong",IF(LEFT(T437,4)&lt;&gt;"Wall","CEK Fixture 3 hanya Wall",IF(U437="","CEK SHELVING KE kosong",IF(ISNA(MATCH(T437&amp;"|"&amp;U437,LAYOUT!$E$2:$E$80,0)),"CEK SHELVING KE di luar layout",IF($I437="","CEK SERIES kosong",IF($D437="","Zona STOCK",IF($E437="","CEK SKU DESCRIPTION kosong",IF(COUNTIFS($I$2:$I$500,$I437,T$2:T$500,"&lt;&gt;"&amp;T437,T$2:T$500,"&lt;&gt;")&gt;0,"CEK jenis fixture beda dalam satu series","OK")))))))))</f>
        <v/>
      </c>
      <c r="X437" s="11" t="n"/>
      <c r="Y437" s="11" t="n"/>
      <c r="Z437" s="12" t="n"/>
      <c r="AA437" s="12" t="n"/>
      <c r="AB437" s="11" t="n"/>
      <c r="AC437" s="11" t="n"/>
      <c r="AD437" s="11" t="n"/>
      <c r="AE437" s="11" t="n"/>
      <c r="AF437" s="11" t="n"/>
      <c r="AG437" s="11" t="n"/>
      <c r="AH437" s="12" t="n"/>
      <c r="AI437" s="12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>
        <f>IF(OR(L438="",M438=""),"",IFERROR(INDEX(LAYOUT!$D$2:$D$80,MATCH(L438&amp;"|"&amp;M438,LAYOUT!$E$2:$E$80,0)),""))</f>
        <v/>
      </c>
      <c r="O438" s="12">
        <f>IF(AND(L438="",M438=""),IF(AND(P438="",Q438="",T438="",U438=""),IF(OR($D438&lt;&gt;"",$E438&lt;&gt;""),"Belum ditempatkan",""),""),IF(L438="","CEK JENIS FIXTURE kosong",IF(AND(LEFT(L438,7)&lt;&gt;"Gondola",LEFT(L438,6)&lt;&gt;"Endcap"),"CEK Fixture 1 hanya Gondola atau Endcap",IF(M438="","CEK SHELVING KE kosong",IF(ISNA(MATCH(L438&amp;"|"&amp;M438,LAYOUT!$E$2:$E$80,0)),"CEK SHELVING KE di luar layout",IF($I438="","CEK SERIES kosong",IF($D438="","Zona STOCK",IF($E438="","CEK SKU DESCRIPTION kosong",IF(COUNTIFS($I$2:$I$500,$I438,L$2:L$500,"&lt;&gt;"&amp;L438,L$2:L$500,"&lt;&gt;")&gt;0,"CEK jenis fixture beda dalam satu series","OK")))))))))</f>
        <v/>
      </c>
      <c r="P438" s="11" t="n"/>
      <c r="Q438" s="11" t="n"/>
      <c r="R438" s="11">
        <f>IF(OR(P438="",Q438=""),"",IFERROR(INDEX(LAYOUT!$D$2:$D$80,MATCH(P438&amp;"|"&amp;Q438,LAYOUT!$E$2:$E$80,0)),""))</f>
        <v/>
      </c>
      <c r="S438" s="12">
        <f>IF(AND(P438="",Q438=""),IF(AND(L438="",M438="",T438="",U438=""),IF(OR($D438&lt;&gt;"",$E438&lt;&gt;""),"Belum ditempatkan",""),""),IF(P438="","CEK JENIS FIXTURE kosong",IF(LEFT(P438,4)&lt;&gt;"Wall","CEK Fixture 2 hanya Wall",IF(Q438="","CEK SHELVING KE kosong",IF(ISNA(MATCH(P438&amp;"|"&amp;Q438,LAYOUT!$E$2:$E$80,0)),"CEK SHELVING KE di luar layout",IF($I438="","CEK SERIES kosong",IF($D438="","Zona STOCK",IF($E438="","CEK SKU DESCRIPTION kosong",IF(COUNTIFS($I$2:$I$500,$I438,P$2:P$500,"&lt;&gt;"&amp;P438,P$2:P$500,"&lt;&gt;")&gt;0,"CEK jenis fixture beda dalam satu series","OK")))))))))</f>
        <v/>
      </c>
      <c r="T438" s="11" t="n"/>
      <c r="U438" s="11" t="n"/>
      <c r="V438" s="11">
        <f>IF(OR(T438="",U438=""),"",IFERROR(INDEX(LAYOUT!$D$2:$D$80,MATCH(T438&amp;"|"&amp;U438,LAYOUT!$E$2:$E$80,0)),""))</f>
        <v/>
      </c>
      <c r="W438" s="12">
        <f>IF(AND(T438="",U438=""),IF(AND(L438="",M438="",P438="",Q438=""),IF(OR($D438&lt;&gt;"",$E438&lt;&gt;""),"Belum ditempatkan",""),""),IF(T438="","CEK JENIS FIXTURE kosong",IF(LEFT(T438,4)&lt;&gt;"Wall","CEK Fixture 3 hanya Wall",IF(U438="","CEK SHELVING KE kosong",IF(ISNA(MATCH(T438&amp;"|"&amp;U438,LAYOUT!$E$2:$E$80,0)),"CEK SHELVING KE di luar layout",IF($I438="","CEK SERIES kosong",IF($D438="","Zona STOCK",IF($E438="","CEK SKU DESCRIPTION kosong",IF(COUNTIFS($I$2:$I$500,$I438,T$2:T$500,"&lt;&gt;"&amp;T438,T$2:T$500,"&lt;&gt;")&gt;0,"CEK jenis fixture beda dalam satu series","OK")))))))))</f>
        <v/>
      </c>
      <c r="X438" s="11" t="n"/>
      <c r="Y438" s="11" t="n"/>
      <c r="Z438" s="12" t="n"/>
      <c r="AA438" s="12" t="n"/>
      <c r="AB438" s="11" t="n"/>
      <c r="AC438" s="11" t="n"/>
      <c r="AD438" s="11" t="n"/>
      <c r="AE438" s="11" t="n"/>
      <c r="AF438" s="11" t="n"/>
      <c r="AG438" s="11" t="n"/>
      <c r="AH438" s="12" t="n"/>
      <c r="AI438" s="12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>
        <f>IF(OR(L439="",M439=""),"",IFERROR(INDEX(LAYOUT!$D$2:$D$80,MATCH(L439&amp;"|"&amp;M439,LAYOUT!$E$2:$E$80,0)),""))</f>
        <v/>
      </c>
      <c r="O439" s="12">
        <f>IF(AND(L439="",M439=""),IF(AND(P439="",Q439="",T439="",U439=""),IF(OR($D439&lt;&gt;"",$E439&lt;&gt;""),"Belum ditempatkan",""),""),IF(L439="","CEK JENIS FIXTURE kosong",IF(AND(LEFT(L439,7)&lt;&gt;"Gondola",LEFT(L439,6)&lt;&gt;"Endcap"),"CEK Fixture 1 hanya Gondola atau Endcap",IF(M439="","CEK SHELVING KE kosong",IF(ISNA(MATCH(L439&amp;"|"&amp;M439,LAYOUT!$E$2:$E$80,0)),"CEK SHELVING KE di luar layout",IF($I439="","CEK SERIES kosong",IF($D439="","Zona STOCK",IF($E439="","CEK SKU DESCRIPTION kosong",IF(COUNTIFS($I$2:$I$500,$I439,L$2:L$500,"&lt;&gt;"&amp;L439,L$2:L$500,"&lt;&gt;")&gt;0,"CEK jenis fixture beda dalam satu series","OK")))))))))</f>
        <v/>
      </c>
      <c r="P439" s="11" t="n"/>
      <c r="Q439" s="11" t="n"/>
      <c r="R439" s="11">
        <f>IF(OR(P439="",Q439=""),"",IFERROR(INDEX(LAYOUT!$D$2:$D$80,MATCH(P439&amp;"|"&amp;Q439,LAYOUT!$E$2:$E$80,0)),""))</f>
        <v/>
      </c>
      <c r="S439" s="12">
        <f>IF(AND(P439="",Q439=""),IF(AND(L439="",M439="",T439="",U439=""),IF(OR($D439&lt;&gt;"",$E439&lt;&gt;""),"Belum ditempatkan",""),""),IF(P439="","CEK JENIS FIXTURE kosong",IF(LEFT(P439,4)&lt;&gt;"Wall","CEK Fixture 2 hanya Wall",IF(Q439="","CEK SHELVING KE kosong",IF(ISNA(MATCH(P439&amp;"|"&amp;Q439,LAYOUT!$E$2:$E$80,0)),"CEK SHELVING KE di luar layout",IF($I439="","CEK SERIES kosong",IF($D439="","Zona STOCK",IF($E439="","CEK SKU DESCRIPTION kosong",IF(COUNTIFS($I$2:$I$500,$I439,P$2:P$500,"&lt;&gt;"&amp;P439,P$2:P$500,"&lt;&gt;")&gt;0,"CEK jenis fixture beda dalam satu series","OK")))))))))</f>
        <v/>
      </c>
      <c r="T439" s="11" t="n"/>
      <c r="U439" s="11" t="n"/>
      <c r="V439" s="11">
        <f>IF(OR(T439="",U439=""),"",IFERROR(INDEX(LAYOUT!$D$2:$D$80,MATCH(T439&amp;"|"&amp;U439,LAYOUT!$E$2:$E$80,0)),""))</f>
        <v/>
      </c>
      <c r="W439" s="12">
        <f>IF(AND(T439="",U439=""),IF(AND(L439="",M439="",P439="",Q439=""),IF(OR($D439&lt;&gt;"",$E439&lt;&gt;""),"Belum ditempatkan",""),""),IF(T439="","CEK JENIS FIXTURE kosong",IF(LEFT(T439,4)&lt;&gt;"Wall","CEK Fixture 3 hanya Wall",IF(U439="","CEK SHELVING KE kosong",IF(ISNA(MATCH(T439&amp;"|"&amp;U439,LAYOUT!$E$2:$E$80,0)),"CEK SHELVING KE di luar layout",IF($I439="","CEK SERIES kosong",IF($D439="","Zona STOCK",IF($E439="","CEK SKU DESCRIPTION kosong",IF(COUNTIFS($I$2:$I$500,$I439,T$2:T$500,"&lt;&gt;"&amp;T439,T$2:T$500,"&lt;&gt;")&gt;0,"CEK jenis fixture beda dalam satu series","OK")))))))))</f>
        <v/>
      </c>
      <c r="X439" s="11" t="n"/>
      <c r="Y439" s="11" t="n"/>
      <c r="Z439" s="12" t="n"/>
      <c r="AA439" s="12" t="n"/>
      <c r="AB439" s="11" t="n"/>
      <c r="AC439" s="11" t="n"/>
      <c r="AD439" s="11" t="n"/>
      <c r="AE439" s="11" t="n"/>
      <c r="AF439" s="11" t="n"/>
      <c r="AG439" s="11" t="n"/>
      <c r="AH439" s="12" t="n"/>
      <c r="AI439" s="12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>
        <f>IF(OR(L440="",M440=""),"",IFERROR(INDEX(LAYOUT!$D$2:$D$80,MATCH(L440&amp;"|"&amp;M440,LAYOUT!$E$2:$E$80,0)),""))</f>
        <v/>
      </c>
      <c r="O440" s="12">
        <f>IF(AND(L440="",M440=""),IF(AND(P440="",Q440="",T440="",U440=""),IF(OR($D440&lt;&gt;"",$E440&lt;&gt;""),"Belum ditempatkan",""),""),IF(L440="","CEK JENIS FIXTURE kosong",IF(AND(LEFT(L440,7)&lt;&gt;"Gondola",LEFT(L440,6)&lt;&gt;"Endcap"),"CEK Fixture 1 hanya Gondola atau Endcap",IF(M440="","CEK SHELVING KE kosong",IF(ISNA(MATCH(L440&amp;"|"&amp;M440,LAYOUT!$E$2:$E$80,0)),"CEK SHELVING KE di luar layout",IF($I440="","CEK SERIES kosong",IF($D440="","Zona STOCK",IF($E440="","CEK SKU DESCRIPTION kosong",IF(COUNTIFS($I$2:$I$500,$I440,L$2:L$500,"&lt;&gt;"&amp;L440,L$2:L$500,"&lt;&gt;")&gt;0,"CEK jenis fixture beda dalam satu series","OK")))))))))</f>
        <v/>
      </c>
      <c r="P440" s="11" t="n"/>
      <c r="Q440" s="11" t="n"/>
      <c r="R440" s="11">
        <f>IF(OR(P440="",Q440=""),"",IFERROR(INDEX(LAYOUT!$D$2:$D$80,MATCH(P440&amp;"|"&amp;Q440,LAYOUT!$E$2:$E$80,0)),""))</f>
        <v/>
      </c>
      <c r="S440" s="12">
        <f>IF(AND(P440="",Q440=""),IF(AND(L440="",M440="",T440="",U440=""),IF(OR($D440&lt;&gt;"",$E440&lt;&gt;""),"Belum ditempatkan",""),""),IF(P440="","CEK JENIS FIXTURE kosong",IF(LEFT(P440,4)&lt;&gt;"Wall","CEK Fixture 2 hanya Wall",IF(Q440="","CEK SHELVING KE kosong",IF(ISNA(MATCH(P440&amp;"|"&amp;Q440,LAYOUT!$E$2:$E$80,0)),"CEK SHELVING KE di luar layout",IF($I440="","CEK SERIES kosong",IF($D440="","Zona STOCK",IF($E440="","CEK SKU DESCRIPTION kosong",IF(COUNTIFS($I$2:$I$500,$I440,P$2:P$500,"&lt;&gt;"&amp;P440,P$2:P$500,"&lt;&gt;")&gt;0,"CEK jenis fixture beda dalam satu series","OK")))))))))</f>
        <v/>
      </c>
      <c r="T440" s="11" t="n"/>
      <c r="U440" s="11" t="n"/>
      <c r="V440" s="11">
        <f>IF(OR(T440="",U440=""),"",IFERROR(INDEX(LAYOUT!$D$2:$D$80,MATCH(T440&amp;"|"&amp;U440,LAYOUT!$E$2:$E$80,0)),""))</f>
        <v/>
      </c>
      <c r="W440" s="12">
        <f>IF(AND(T440="",U440=""),IF(AND(L440="",M440="",P440="",Q440=""),IF(OR($D440&lt;&gt;"",$E440&lt;&gt;""),"Belum ditempatkan",""),""),IF(T440="","CEK JENIS FIXTURE kosong",IF(LEFT(T440,4)&lt;&gt;"Wall","CEK Fixture 3 hanya Wall",IF(U440="","CEK SHELVING KE kosong",IF(ISNA(MATCH(T440&amp;"|"&amp;U440,LAYOUT!$E$2:$E$80,0)),"CEK SHELVING KE di luar layout",IF($I440="","CEK SERIES kosong",IF($D440="","Zona STOCK",IF($E440="","CEK SKU DESCRIPTION kosong",IF(COUNTIFS($I$2:$I$500,$I440,T$2:T$500,"&lt;&gt;"&amp;T440,T$2:T$500,"&lt;&gt;")&gt;0,"CEK jenis fixture beda dalam satu series","OK")))))))))</f>
        <v/>
      </c>
      <c r="X440" s="11" t="n"/>
      <c r="Y440" s="11" t="n"/>
      <c r="Z440" s="12" t="n"/>
      <c r="AA440" s="12" t="n"/>
      <c r="AB440" s="11" t="n"/>
      <c r="AC440" s="11" t="n"/>
      <c r="AD440" s="11" t="n"/>
      <c r="AE440" s="11" t="n"/>
      <c r="AF440" s="11" t="n"/>
      <c r="AG440" s="11" t="n"/>
      <c r="AH440" s="12" t="n"/>
      <c r="AI440" s="12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>
        <f>IF(OR(L441="",M441=""),"",IFERROR(INDEX(LAYOUT!$D$2:$D$80,MATCH(L441&amp;"|"&amp;M441,LAYOUT!$E$2:$E$80,0)),""))</f>
        <v/>
      </c>
      <c r="O441" s="12">
        <f>IF(AND(L441="",M441=""),IF(AND(P441="",Q441="",T441="",U441=""),IF(OR($D441&lt;&gt;"",$E441&lt;&gt;""),"Belum ditempatkan",""),""),IF(L441="","CEK JENIS FIXTURE kosong",IF(AND(LEFT(L441,7)&lt;&gt;"Gondola",LEFT(L441,6)&lt;&gt;"Endcap"),"CEK Fixture 1 hanya Gondola atau Endcap",IF(M441="","CEK SHELVING KE kosong",IF(ISNA(MATCH(L441&amp;"|"&amp;M441,LAYOUT!$E$2:$E$80,0)),"CEK SHELVING KE di luar layout",IF($I441="","CEK SERIES kosong",IF($D441="","Zona STOCK",IF($E441="","CEK SKU DESCRIPTION kosong",IF(COUNTIFS($I$2:$I$500,$I441,L$2:L$500,"&lt;&gt;"&amp;L441,L$2:L$500,"&lt;&gt;")&gt;0,"CEK jenis fixture beda dalam satu series","OK")))))))))</f>
        <v/>
      </c>
      <c r="P441" s="11" t="n"/>
      <c r="Q441" s="11" t="n"/>
      <c r="R441" s="11">
        <f>IF(OR(P441="",Q441=""),"",IFERROR(INDEX(LAYOUT!$D$2:$D$80,MATCH(P441&amp;"|"&amp;Q441,LAYOUT!$E$2:$E$80,0)),""))</f>
        <v/>
      </c>
      <c r="S441" s="12">
        <f>IF(AND(P441="",Q441=""),IF(AND(L441="",M441="",T441="",U441=""),IF(OR($D441&lt;&gt;"",$E441&lt;&gt;""),"Belum ditempatkan",""),""),IF(P441="","CEK JENIS FIXTURE kosong",IF(LEFT(P441,4)&lt;&gt;"Wall","CEK Fixture 2 hanya Wall",IF(Q441="","CEK SHELVING KE kosong",IF(ISNA(MATCH(P441&amp;"|"&amp;Q441,LAYOUT!$E$2:$E$80,0)),"CEK SHELVING KE di luar layout",IF($I441="","CEK SERIES kosong",IF($D441="","Zona STOCK",IF($E441="","CEK SKU DESCRIPTION kosong",IF(COUNTIFS($I$2:$I$500,$I441,P$2:P$500,"&lt;&gt;"&amp;P441,P$2:P$500,"&lt;&gt;")&gt;0,"CEK jenis fixture beda dalam satu series","OK")))))))))</f>
        <v/>
      </c>
      <c r="T441" s="11" t="n"/>
      <c r="U441" s="11" t="n"/>
      <c r="V441" s="11">
        <f>IF(OR(T441="",U441=""),"",IFERROR(INDEX(LAYOUT!$D$2:$D$80,MATCH(T441&amp;"|"&amp;U441,LAYOUT!$E$2:$E$80,0)),""))</f>
        <v/>
      </c>
      <c r="W441" s="12">
        <f>IF(AND(T441="",U441=""),IF(AND(L441="",M441="",P441="",Q441=""),IF(OR($D441&lt;&gt;"",$E441&lt;&gt;""),"Belum ditempatkan",""),""),IF(T441="","CEK JENIS FIXTURE kosong",IF(LEFT(T441,4)&lt;&gt;"Wall","CEK Fixture 3 hanya Wall",IF(U441="","CEK SHELVING KE kosong",IF(ISNA(MATCH(T441&amp;"|"&amp;U441,LAYOUT!$E$2:$E$80,0)),"CEK SHELVING KE di luar layout",IF($I441="","CEK SERIES kosong",IF($D441="","Zona STOCK",IF($E441="","CEK SKU DESCRIPTION kosong",IF(COUNTIFS($I$2:$I$500,$I441,T$2:T$500,"&lt;&gt;"&amp;T441,T$2:T$500,"&lt;&gt;")&gt;0,"CEK jenis fixture beda dalam satu series","OK")))))))))</f>
        <v/>
      </c>
      <c r="X441" s="11" t="n"/>
      <c r="Y441" s="11" t="n"/>
      <c r="Z441" s="12" t="n"/>
      <c r="AA441" s="12" t="n"/>
      <c r="AB441" s="11" t="n"/>
      <c r="AC441" s="11" t="n"/>
      <c r="AD441" s="11" t="n"/>
      <c r="AE441" s="11" t="n"/>
      <c r="AF441" s="11" t="n"/>
      <c r="AG441" s="11" t="n"/>
      <c r="AH441" s="12" t="n"/>
      <c r="AI441" s="12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>
        <f>IF(OR(L442="",M442=""),"",IFERROR(INDEX(LAYOUT!$D$2:$D$80,MATCH(L442&amp;"|"&amp;M442,LAYOUT!$E$2:$E$80,0)),""))</f>
        <v/>
      </c>
      <c r="O442" s="12">
        <f>IF(AND(L442="",M442=""),IF(AND(P442="",Q442="",T442="",U442=""),IF(OR($D442&lt;&gt;"",$E442&lt;&gt;""),"Belum ditempatkan",""),""),IF(L442="","CEK JENIS FIXTURE kosong",IF(AND(LEFT(L442,7)&lt;&gt;"Gondola",LEFT(L442,6)&lt;&gt;"Endcap"),"CEK Fixture 1 hanya Gondola atau Endcap",IF(M442="","CEK SHELVING KE kosong",IF(ISNA(MATCH(L442&amp;"|"&amp;M442,LAYOUT!$E$2:$E$80,0)),"CEK SHELVING KE di luar layout",IF($I442="","CEK SERIES kosong",IF($D442="","Zona STOCK",IF($E442="","CEK SKU DESCRIPTION kosong",IF(COUNTIFS($I$2:$I$500,$I442,L$2:L$500,"&lt;&gt;"&amp;L442,L$2:L$500,"&lt;&gt;")&gt;0,"CEK jenis fixture beda dalam satu series","OK")))))))))</f>
        <v/>
      </c>
      <c r="P442" s="11" t="n"/>
      <c r="Q442" s="11" t="n"/>
      <c r="R442" s="11">
        <f>IF(OR(P442="",Q442=""),"",IFERROR(INDEX(LAYOUT!$D$2:$D$80,MATCH(P442&amp;"|"&amp;Q442,LAYOUT!$E$2:$E$80,0)),""))</f>
        <v/>
      </c>
      <c r="S442" s="12">
        <f>IF(AND(P442="",Q442=""),IF(AND(L442="",M442="",T442="",U442=""),IF(OR($D442&lt;&gt;"",$E442&lt;&gt;""),"Belum ditempatkan",""),""),IF(P442="","CEK JENIS FIXTURE kosong",IF(LEFT(P442,4)&lt;&gt;"Wall","CEK Fixture 2 hanya Wall",IF(Q442="","CEK SHELVING KE kosong",IF(ISNA(MATCH(P442&amp;"|"&amp;Q442,LAYOUT!$E$2:$E$80,0)),"CEK SHELVING KE di luar layout",IF($I442="","CEK SERIES kosong",IF($D442="","Zona STOCK",IF($E442="","CEK SKU DESCRIPTION kosong",IF(COUNTIFS($I$2:$I$500,$I442,P$2:P$500,"&lt;&gt;"&amp;P442,P$2:P$500,"&lt;&gt;")&gt;0,"CEK jenis fixture beda dalam satu series","OK")))))))))</f>
        <v/>
      </c>
      <c r="T442" s="11" t="n"/>
      <c r="U442" s="11" t="n"/>
      <c r="V442" s="11">
        <f>IF(OR(T442="",U442=""),"",IFERROR(INDEX(LAYOUT!$D$2:$D$80,MATCH(T442&amp;"|"&amp;U442,LAYOUT!$E$2:$E$80,0)),""))</f>
        <v/>
      </c>
      <c r="W442" s="12">
        <f>IF(AND(T442="",U442=""),IF(AND(L442="",M442="",P442="",Q442=""),IF(OR($D442&lt;&gt;"",$E442&lt;&gt;""),"Belum ditempatkan",""),""),IF(T442="","CEK JENIS FIXTURE kosong",IF(LEFT(T442,4)&lt;&gt;"Wall","CEK Fixture 3 hanya Wall",IF(U442="","CEK SHELVING KE kosong",IF(ISNA(MATCH(T442&amp;"|"&amp;U442,LAYOUT!$E$2:$E$80,0)),"CEK SHELVING KE di luar layout",IF($I442="","CEK SERIES kosong",IF($D442="","Zona STOCK",IF($E442="","CEK SKU DESCRIPTION kosong",IF(COUNTIFS($I$2:$I$500,$I442,T$2:T$500,"&lt;&gt;"&amp;T442,T$2:T$500,"&lt;&gt;")&gt;0,"CEK jenis fixture beda dalam satu series","OK")))))))))</f>
        <v/>
      </c>
      <c r="X442" s="11" t="n"/>
      <c r="Y442" s="11" t="n"/>
      <c r="Z442" s="12" t="n"/>
      <c r="AA442" s="12" t="n"/>
      <c r="AB442" s="11" t="n"/>
      <c r="AC442" s="11" t="n"/>
      <c r="AD442" s="11" t="n"/>
      <c r="AE442" s="11" t="n"/>
      <c r="AF442" s="11" t="n"/>
      <c r="AG442" s="11" t="n"/>
      <c r="AH442" s="12" t="n"/>
      <c r="AI442" s="12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>
        <f>IF(OR(L443="",M443=""),"",IFERROR(INDEX(LAYOUT!$D$2:$D$80,MATCH(L443&amp;"|"&amp;M443,LAYOUT!$E$2:$E$80,0)),""))</f>
        <v/>
      </c>
      <c r="O443" s="12">
        <f>IF(AND(L443="",M443=""),IF(AND(P443="",Q443="",T443="",U443=""),IF(OR($D443&lt;&gt;"",$E443&lt;&gt;""),"Belum ditempatkan",""),""),IF(L443="","CEK JENIS FIXTURE kosong",IF(AND(LEFT(L443,7)&lt;&gt;"Gondola",LEFT(L443,6)&lt;&gt;"Endcap"),"CEK Fixture 1 hanya Gondola atau Endcap",IF(M443="","CEK SHELVING KE kosong",IF(ISNA(MATCH(L443&amp;"|"&amp;M443,LAYOUT!$E$2:$E$80,0)),"CEK SHELVING KE di luar layout",IF($I443="","CEK SERIES kosong",IF($D443="","Zona STOCK",IF($E443="","CEK SKU DESCRIPTION kosong",IF(COUNTIFS($I$2:$I$500,$I443,L$2:L$500,"&lt;&gt;"&amp;L443,L$2:L$500,"&lt;&gt;")&gt;0,"CEK jenis fixture beda dalam satu series","OK")))))))))</f>
        <v/>
      </c>
      <c r="P443" s="11" t="n"/>
      <c r="Q443" s="11" t="n"/>
      <c r="R443" s="11">
        <f>IF(OR(P443="",Q443=""),"",IFERROR(INDEX(LAYOUT!$D$2:$D$80,MATCH(P443&amp;"|"&amp;Q443,LAYOUT!$E$2:$E$80,0)),""))</f>
        <v/>
      </c>
      <c r="S443" s="12">
        <f>IF(AND(P443="",Q443=""),IF(AND(L443="",M443="",T443="",U443=""),IF(OR($D443&lt;&gt;"",$E443&lt;&gt;""),"Belum ditempatkan",""),""),IF(P443="","CEK JENIS FIXTURE kosong",IF(LEFT(P443,4)&lt;&gt;"Wall","CEK Fixture 2 hanya Wall",IF(Q443="","CEK SHELVING KE kosong",IF(ISNA(MATCH(P443&amp;"|"&amp;Q443,LAYOUT!$E$2:$E$80,0)),"CEK SHELVING KE di luar layout",IF($I443="","CEK SERIES kosong",IF($D443="","Zona STOCK",IF($E443="","CEK SKU DESCRIPTION kosong",IF(COUNTIFS($I$2:$I$500,$I443,P$2:P$500,"&lt;&gt;"&amp;P443,P$2:P$500,"&lt;&gt;")&gt;0,"CEK jenis fixture beda dalam satu series","OK")))))))))</f>
        <v/>
      </c>
      <c r="T443" s="11" t="n"/>
      <c r="U443" s="11" t="n"/>
      <c r="V443" s="11">
        <f>IF(OR(T443="",U443=""),"",IFERROR(INDEX(LAYOUT!$D$2:$D$80,MATCH(T443&amp;"|"&amp;U443,LAYOUT!$E$2:$E$80,0)),""))</f>
        <v/>
      </c>
      <c r="W443" s="12">
        <f>IF(AND(T443="",U443=""),IF(AND(L443="",M443="",P443="",Q443=""),IF(OR($D443&lt;&gt;"",$E443&lt;&gt;""),"Belum ditempatkan",""),""),IF(T443="","CEK JENIS FIXTURE kosong",IF(LEFT(T443,4)&lt;&gt;"Wall","CEK Fixture 3 hanya Wall",IF(U443="","CEK SHELVING KE kosong",IF(ISNA(MATCH(T443&amp;"|"&amp;U443,LAYOUT!$E$2:$E$80,0)),"CEK SHELVING KE di luar layout",IF($I443="","CEK SERIES kosong",IF($D443="","Zona STOCK",IF($E443="","CEK SKU DESCRIPTION kosong",IF(COUNTIFS($I$2:$I$500,$I443,T$2:T$500,"&lt;&gt;"&amp;T443,T$2:T$500,"&lt;&gt;")&gt;0,"CEK jenis fixture beda dalam satu series","OK")))))))))</f>
        <v/>
      </c>
      <c r="X443" s="11" t="n"/>
      <c r="Y443" s="11" t="n"/>
      <c r="Z443" s="12" t="n"/>
      <c r="AA443" s="12" t="n"/>
      <c r="AB443" s="11" t="n"/>
      <c r="AC443" s="11" t="n"/>
      <c r="AD443" s="11" t="n"/>
      <c r="AE443" s="11" t="n"/>
      <c r="AF443" s="11" t="n"/>
      <c r="AG443" s="11" t="n"/>
      <c r="AH443" s="12" t="n"/>
      <c r="AI443" s="12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>
        <f>IF(OR(L444="",M444=""),"",IFERROR(INDEX(LAYOUT!$D$2:$D$80,MATCH(L444&amp;"|"&amp;M444,LAYOUT!$E$2:$E$80,0)),""))</f>
        <v/>
      </c>
      <c r="O444" s="12">
        <f>IF(AND(L444="",M444=""),IF(AND(P444="",Q444="",T444="",U444=""),IF(OR($D444&lt;&gt;"",$E444&lt;&gt;""),"Belum ditempatkan",""),""),IF(L444="","CEK JENIS FIXTURE kosong",IF(AND(LEFT(L444,7)&lt;&gt;"Gondola",LEFT(L444,6)&lt;&gt;"Endcap"),"CEK Fixture 1 hanya Gondola atau Endcap",IF(M444="","CEK SHELVING KE kosong",IF(ISNA(MATCH(L444&amp;"|"&amp;M444,LAYOUT!$E$2:$E$80,0)),"CEK SHELVING KE di luar layout",IF($I444="","CEK SERIES kosong",IF($D444="","Zona STOCK",IF($E444="","CEK SKU DESCRIPTION kosong",IF(COUNTIFS($I$2:$I$500,$I444,L$2:L$500,"&lt;&gt;"&amp;L444,L$2:L$500,"&lt;&gt;")&gt;0,"CEK jenis fixture beda dalam satu series","OK")))))))))</f>
        <v/>
      </c>
      <c r="P444" s="11" t="n"/>
      <c r="Q444" s="11" t="n"/>
      <c r="R444" s="11">
        <f>IF(OR(P444="",Q444=""),"",IFERROR(INDEX(LAYOUT!$D$2:$D$80,MATCH(P444&amp;"|"&amp;Q444,LAYOUT!$E$2:$E$80,0)),""))</f>
        <v/>
      </c>
      <c r="S444" s="12">
        <f>IF(AND(P444="",Q444=""),IF(AND(L444="",M444="",T444="",U444=""),IF(OR($D444&lt;&gt;"",$E444&lt;&gt;""),"Belum ditempatkan",""),""),IF(P444="","CEK JENIS FIXTURE kosong",IF(LEFT(P444,4)&lt;&gt;"Wall","CEK Fixture 2 hanya Wall",IF(Q444="","CEK SHELVING KE kosong",IF(ISNA(MATCH(P444&amp;"|"&amp;Q444,LAYOUT!$E$2:$E$80,0)),"CEK SHELVING KE di luar layout",IF($I444="","CEK SERIES kosong",IF($D444="","Zona STOCK",IF($E444="","CEK SKU DESCRIPTION kosong",IF(COUNTIFS($I$2:$I$500,$I444,P$2:P$500,"&lt;&gt;"&amp;P444,P$2:P$500,"&lt;&gt;")&gt;0,"CEK jenis fixture beda dalam satu series","OK")))))))))</f>
        <v/>
      </c>
      <c r="T444" s="11" t="n"/>
      <c r="U444" s="11" t="n"/>
      <c r="V444" s="11">
        <f>IF(OR(T444="",U444=""),"",IFERROR(INDEX(LAYOUT!$D$2:$D$80,MATCH(T444&amp;"|"&amp;U444,LAYOUT!$E$2:$E$80,0)),""))</f>
        <v/>
      </c>
      <c r="W444" s="12">
        <f>IF(AND(T444="",U444=""),IF(AND(L444="",M444="",P444="",Q444=""),IF(OR($D444&lt;&gt;"",$E444&lt;&gt;""),"Belum ditempatkan",""),""),IF(T444="","CEK JENIS FIXTURE kosong",IF(LEFT(T444,4)&lt;&gt;"Wall","CEK Fixture 3 hanya Wall",IF(U444="","CEK SHELVING KE kosong",IF(ISNA(MATCH(T444&amp;"|"&amp;U444,LAYOUT!$E$2:$E$80,0)),"CEK SHELVING KE di luar layout",IF($I444="","CEK SERIES kosong",IF($D444="","Zona STOCK",IF($E444="","CEK SKU DESCRIPTION kosong",IF(COUNTIFS($I$2:$I$500,$I444,T$2:T$500,"&lt;&gt;"&amp;T444,T$2:T$500,"&lt;&gt;")&gt;0,"CEK jenis fixture beda dalam satu series","OK")))))))))</f>
        <v/>
      </c>
      <c r="X444" s="11" t="n"/>
      <c r="Y444" s="11" t="n"/>
      <c r="Z444" s="12" t="n"/>
      <c r="AA444" s="12" t="n"/>
      <c r="AB444" s="11" t="n"/>
      <c r="AC444" s="11" t="n"/>
      <c r="AD444" s="11" t="n"/>
      <c r="AE444" s="11" t="n"/>
      <c r="AF444" s="11" t="n"/>
      <c r="AG444" s="11" t="n"/>
      <c r="AH444" s="12" t="n"/>
      <c r="AI444" s="12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>
        <f>IF(OR(L445="",M445=""),"",IFERROR(INDEX(LAYOUT!$D$2:$D$80,MATCH(L445&amp;"|"&amp;M445,LAYOUT!$E$2:$E$80,0)),""))</f>
        <v/>
      </c>
      <c r="O445" s="12">
        <f>IF(AND(L445="",M445=""),IF(AND(P445="",Q445="",T445="",U445=""),IF(OR($D445&lt;&gt;"",$E445&lt;&gt;""),"Belum ditempatkan",""),""),IF(L445="","CEK JENIS FIXTURE kosong",IF(AND(LEFT(L445,7)&lt;&gt;"Gondola",LEFT(L445,6)&lt;&gt;"Endcap"),"CEK Fixture 1 hanya Gondola atau Endcap",IF(M445="","CEK SHELVING KE kosong",IF(ISNA(MATCH(L445&amp;"|"&amp;M445,LAYOUT!$E$2:$E$80,0)),"CEK SHELVING KE di luar layout",IF($I445="","CEK SERIES kosong",IF($D445="","Zona STOCK",IF($E445="","CEK SKU DESCRIPTION kosong",IF(COUNTIFS($I$2:$I$500,$I445,L$2:L$500,"&lt;&gt;"&amp;L445,L$2:L$500,"&lt;&gt;")&gt;0,"CEK jenis fixture beda dalam satu series","OK")))))))))</f>
        <v/>
      </c>
      <c r="P445" s="11" t="n"/>
      <c r="Q445" s="11" t="n"/>
      <c r="R445" s="11">
        <f>IF(OR(P445="",Q445=""),"",IFERROR(INDEX(LAYOUT!$D$2:$D$80,MATCH(P445&amp;"|"&amp;Q445,LAYOUT!$E$2:$E$80,0)),""))</f>
        <v/>
      </c>
      <c r="S445" s="12">
        <f>IF(AND(P445="",Q445=""),IF(AND(L445="",M445="",T445="",U445=""),IF(OR($D445&lt;&gt;"",$E445&lt;&gt;""),"Belum ditempatkan",""),""),IF(P445="","CEK JENIS FIXTURE kosong",IF(LEFT(P445,4)&lt;&gt;"Wall","CEK Fixture 2 hanya Wall",IF(Q445="","CEK SHELVING KE kosong",IF(ISNA(MATCH(P445&amp;"|"&amp;Q445,LAYOUT!$E$2:$E$80,0)),"CEK SHELVING KE di luar layout",IF($I445="","CEK SERIES kosong",IF($D445="","Zona STOCK",IF($E445="","CEK SKU DESCRIPTION kosong",IF(COUNTIFS($I$2:$I$500,$I445,P$2:P$500,"&lt;&gt;"&amp;P445,P$2:P$500,"&lt;&gt;")&gt;0,"CEK jenis fixture beda dalam satu series","OK")))))))))</f>
        <v/>
      </c>
      <c r="T445" s="11" t="n"/>
      <c r="U445" s="11" t="n"/>
      <c r="V445" s="11">
        <f>IF(OR(T445="",U445=""),"",IFERROR(INDEX(LAYOUT!$D$2:$D$80,MATCH(T445&amp;"|"&amp;U445,LAYOUT!$E$2:$E$80,0)),""))</f>
        <v/>
      </c>
      <c r="W445" s="12">
        <f>IF(AND(T445="",U445=""),IF(AND(L445="",M445="",P445="",Q445=""),IF(OR($D445&lt;&gt;"",$E445&lt;&gt;""),"Belum ditempatkan",""),""),IF(T445="","CEK JENIS FIXTURE kosong",IF(LEFT(T445,4)&lt;&gt;"Wall","CEK Fixture 3 hanya Wall",IF(U445="","CEK SHELVING KE kosong",IF(ISNA(MATCH(T445&amp;"|"&amp;U445,LAYOUT!$E$2:$E$80,0)),"CEK SHELVING KE di luar layout",IF($I445="","CEK SERIES kosong",IF($D445="","Zona STOCK",IF($E445="","CEK SKU DESCRIPTION kosong",IF(COUNTIFS($I$2:$I$500,$I445,T$2:T$500,"&lt;&gt;"&amp;T445,T$2:T$500,"&lt;&gt;")&gt;0,"CEK jenis fixture beda dalam satu series","OK")))))))))</f>
        <v/>
      </c>
      <c r="X445" s="11" t="n"/>
      <c r="Y445" s="11" t="n"/>
      <c r="Z445" s="12" t="n"/>
      <c r="AA445" s="12" t="n"/>
      <c r="AB445" s="11" t="n"/>
      <c r="AC445" s="11" t="n"/>
      <c r="AD445" s="11" t="n"/>
      <c r="AE445" s="11" t="n"/>
      <c r="AF445" s="11" t="n"/>
      <c r="AG445" s="11" t="n"/>
      <c r="AH445" s="12" t="n"/>
      <c r="AI445" s="12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>
        <f>IF(OR(L446="",M446=""),"",IFERROR(INDEX(LAYOUT!$D$2:$D$80,MATCH(L446&amp;"|"&amp;M446,LAYOUT!$E$2:$E$80,0)),""))</f>
        <v/>
      </c>
      <c r="O446" s="12">
        <f>IF(AND(L446="",M446=""),IF(AND(P446="",Q446="",T446="",U446=""),IF(OR($D446&lt;&gt;"",$E446&lt;&gt;""),"Belum ditempatkan",""),""),IF(L446="","CEK JENIS FIXTURE kosong",IF(AND(LEFT(L446,7)&lt;&gt;"Gondola",LEFT(L446,6)&lt;&gt;"Endcap"),"CEK Fixture 1 hanya Gondola atau Endcap",IF(M446="","CEK SHELVING KE kosong",IF(ISNA(MATCH(L446&amp;"|"&amp;M446,LAYOUT!$E$2:$E$80,0)),"CEK SHELVING KE di luar layout",IF($I446="","CEK SERIES kosong",IF($D446="","Zona STOCK",IF($E446="","CEK SKU DESCRIPTION kosong",IF(COUNTIFS($I$2:$I$500,$I446,L$2:L$500,"&lt;&gt;"&amp;L446,L$2:L$500,"&lt;&gt;")&gt;0,"CEK jenis fixture beda dalam satu series","OK")))))))))</f>
        <v/>
      </c>
      <c r="P446" s="11" t="n"/>
      <c r="Q446" s="11" t="n"/>
      <c r="R446" s="11">
        <f>IF(OR(P446="",Q446=""),"",IFERROR(INDEX(LAYOUT!$D$2:$D$80,MATCH(P446&amp;"|"&amp;Q446,LAYOUT!$E$2:$E$80,0)),""))</f>
        <v/>
      </c>
      <c r="S446" s="12">
        <f>IF(AND(P446="",Q446=""),IF(AND(L446="",M446="",T446="",U446=""),IF(OR($D446&lt;&gt;"",$E446&lt;&gt;""),"Belum ditempatkan",""),""),IF(P446="","CEK JENIS FIXTURE kosong",IF(LEFT(P446,4)&lt;&gt;"Wall","CEK Fixture 2 hanya Wall",IF(Q446="","CEK SHELVING KE kosong",IF(ISNA(MATCH(P446&amp;"|"&amp;Q446,LAYOUT!$E$2:$E$80,0)),"CEK SHELVING KE di luar layout",IF($I446="","CEK SERIES kosong",IF($D446="","Zona STOCK",IF($E446="","CEK SKU DESCRIPTION kosong",IF(COUNTIFS($I$2:$I$500,$I446,P$2:P$500,"&lt;&gt;"&amp;P446,P$2:P$500,"&lt;&gt;")&gt;0,"CEK jenis fixture beda dalam satu series","OK")))))))))</f>
        <v/>
      </c>
      <c r="T446" s="11" t="n"/>
      <c r="U446" s="11" t="n"/>
      <c r="V446" s="11">
        <f>IF(OR(T446="",U446=""),"",IFERROR(INDEX(LAYOUT!$D$2:$D$80,MATCH(T446&amp;"|"&amp;U446,LAYOUT!$E$2:$E$80,0)),""))</f>
        <v/>
      </c>
      <c r="W446" s="12">
        <f>IF(AND(T446="",U446=""),IF(AND(L446="",M446="",P446="",Q446=""),IF(OR($D446&lt;&gt;"",$E446&lt;&gt;""),"Belum ditempatkan",""),""),IF(T446="","CEK JENIS FIXTURE kosong",IF(LEFT(T446,4)&lt;&gt;"Wall","CEK Fixture 3 hanya Wall",IF(U446="","CEK SHELVING KE kosong",IF(ISNA(MATCH(T446&amp;"|"&amp;U446,LAYOUT!$E$2:$E$80,0)),"CEK SHELVING KE di luar layout",IF($I446="","CEK SERIES kosong",IF($D446="","Zona STOCK",IF($E446="","CEK SKU DESCRIPTION kosong",IF(COUNTIFS($I$2:$I$500,$I446,T$2:T$500,"&lt;&gt;"&amp;T446,T$2:T$500,"&lt;&gt;")&gt;0,"CEK jenis fixture beda dalam satu series","OK")))))))))</f>
        <v/>
      </c>
      <c r="X446" s="11" t="n"/>
      <c r="Y446" s="11" t="n"/>
      <c r="Z446" s="12" t="n"/>
      <c r="AA446" s="12" t="n"/>
      <c r="AB446" s="11" t="n"/>
      <c r="AC446" s="11" t="n"/>
      <c r="AD446" s="11" t="n"/>
      <c r="AE446" s="11" t="n"/>
      <c r="AF446" s="11" t="n"/>
      <c r="AG446" s="11" t="n"/>
      <c r="AH446" s="12" t="n"/>
      <c r="AI446" s="12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>
        <f>IF(OR(L447="",M447=""),"",IFERROR(INDEX(LAYOUT!$D$2:$D$80,MATCH(L447&amp;"|"&amp;M447,LAYOUT!$E$2:$E$80,0)),""))</f>
        <v/>
      </c>
      <c r="O447" s="12">
        <f>IF(AND(L447="",M447=""),IF(AND(P447="",Q447="",T447="",U447=""),IF(OR($D447&lt;&gt;"",$E447&lt;&gt;""),"Belum ditempatkan",""),""),IF(L447="","CEK JENIS FIXTURE kosong",IF(AND(LEFT(L447,7)&lt;&gt;"Gondola",LEFT(L447,6)&lt;&gt;"Endcap"),"CEK Fixture 1 hanya Gondola atau Endcap",IF(M447="","CEK SHELVING KE kosong",IF(ISNA(MATCH(L447&amp;"|"&amp;M447,LAYOUT!$E$2:$E$80,0)),"CEK SHELVING KE di luar layout",IF($I447="","CEK SERIES kosong",IF($D447="","Zona STOCK",IF($E447="","CEK SKU DESCRIPTION kosong",IF(COUNTIFS($I$2:$I$500,$I447,L$2:L$500,"&lt;&gt;"&amp;L447,L$2:L$500,"&lt;&gt;")&gt;0,"CEK jenis fixture beda dalam satu series","OK")))))))))</f>
        <v/>
      </c>
      <c r="P447" s="11" t="n"/>
      <c r="Q447" s="11" t="n"/>
      <c r="R447" s="11">
        <f>IF(OR(P447="",Q447=""),"",IFERROR(INDEX(LAYOUT!$D$2:$D$80,MATCH(P447&amp;"|"&amp;Q447,LAYOUT!$E$2:$E$80,0)),""))</f>
        <v/>
      </c>
      <c r="S447" s="12">
        <f>IF(AND(P447="",Q447=""),IF(AND(L447="",M447="",T447="",U447=""),IF(OR($D447&lt;&gt;"",$E447&lt;&gt;""),"Belum ditempatkan",""),""),IF(P447="","CEK JENIS FIXTURE kosong",IF(LEFT(P447,4)&lt;&gt;"Wall","CEK Fixture 2 hanya Wall",IF(Q447="","CEK SHELVING KE kosong",IF(ISNA(MATCH(P447&amp;"|"&amp;Q447,LAYOUT!$E$2:$E$80,0)),"CEK SHELVING KE di luar layout",IF($I447="","CEK SERIES kosong",IF($D447="","Zona STOCK",IF($E447="","CEK SKU DESCRIPTION kosong",IF(COUNTIFS($I$2:$I$500,$I447,P$2:P$500,"&lt;&gt;"&amp;P447,P$2:P$500,"&lt;&gt;")&gt;0,"CEK jenis fixture beda dalam satu series","OK")))))))))</f>
        <v/>
      </c>
      <c r="T447" s="11" t="n"/>
      <c r="U447" s="11" t="n"/>
      <c r="V447" s="11">
        <f>IF(OR(T447="",U447=""),"",IFERROR(INDEX(LAYOUT!$D$2:$D$80,MATCH(T447&amp;"|"&amp;U447,LAYOUT!$E$2:$E$80,0)),""))</f>
        <v/>
      </c>
      <c r="W447" s="12">
        <f>IF(AND(T447="",U447=""),IF(AND(L447="",M447="",P447="",Q447=""),IF(OR($D447&lt;&gt;"",$E447&lt;&gt;""),"Belum ditempatkan",""),""),IF(T447="","CEK JENIS FIXTURE kosong",IF(LEFT(T447,4)&lt;&gt;"Wall","CEK Fixture 3 hanya Wall",IF(U447="","CEK SHELVING KE kosong",IF(ISNA(MATCH(T447&amp;"|"&amp;U447,LAYOUT!$E$2:$E$80,0)),"CEK SHELVING KE di luar layout",IF($I447="","CEK SERIES kosong",IF($D447="","Zona STOCK",IF($E447="","CEK SKU DESCRIPTION kosong",IF(COUNTIFS($I$2:$I$500,$I447,T$2:T$500,"&lt;&gt;"&amp;T447,T$2:T$500,"&lt;&gt;")&gt;0,"CEK jenis fixture beda dalam satu series","OK")))))))))</f>
        <v/>
      </c>
      <c r="X447" s="11" t="n"/>
      <c r="Y447" s="11" t="n"/>
      <c r="Z447" s="12" t="n"/>
      <c r="AA447" s="12" t="n"/>
      <c r="AB447" s="11" t="n"/>
      <c r="AC447" s="11" t="n"/>
      <c r="AD447" s="11" t="n"/>
      <c r="AE447" s="11" t="n"/>
      <c r="AF447" s="11" t="n"/>
      <c r="AG447" s="11" t="n"/>
      <c r="AH447" s="12" t="n"/>
      <c r="AI447" s="12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>
        <f>IF(OR(L448="",M448=""),"",IFERROR(INDEX(LAYOUT!$D$2:$D$80,MATCH(L448&amp;"|"&amp;M448,LAYOUT!$E$2:$E$80,0)),""))</f>
        <v/>
      </c>
      <c r="O448" s="12">
        <f>IF(AND(L448="",M448=""),IF(AND(P448="",Q448="",T448="",U448=""),IF(OR($D448&lt;&gt;"",$E448&lt;&gt;""),"Belum ditempatkan",""),""),IF(L448="","CEK JENIS FIXTURE kosong",IF(AND(LEFT(L448,7)&lt;&gt;"Gondola",LEFT(L448,6)&lt;&gt;"Endcap"),"CEK Fixture 1 hanya Gondola atau Endcap",IF(M448="","CEK SHELVING KE kosong",IF(ISNA(MATCH(L448&amp;"|"&amp;M448,LAYOUT!$E$2:$E$80,0)),"CEK SHELVING KE di luar layout",IF($I448="","CEK SERIES kosong",IF($D448="","Zona STOCK",IF($E448="","CEK SKU DESCRIPTION kosong",IF(COUNTIFS($I$2:$I$500,$I448,L$2:L$500,"&lt;&gt;"&amp;L448,L$2:L$500,"&lt;&gt;")&gt;0,"CEK jenis fixture beda dalam satu series","OK")))))))))</f>
        <v/>
      </c>
      <c r="P448" s="11" t="n"/>
      <c r="Q448" s="11" t="n"/>
      <c r="R448" s="11">
        <f>IF(OR(P448="",Q448=""),"",IFERROR(INDEX(LAYOUT!$D$2:$D$80,MATCH(P448&amp;"|"&amp;Q448,LAYOUT!$E$2:$E$80,0)),""))</f>
        <v/>
      </c>
      <c r="S448" s="12">
        <f>IF(AND(P448="",Q448=""),IF(AND(L448="",M448="",T448="",U448=""),IF(OR($D448&lt;&gt;"",$E448&lt;&gt;""),"Belum ditempatkan",""),""),IF(P448="","CEK JENIS FIXTURE kosong",IF(LEFT(P448,4)&lt;&gt;"Wall","CEK Fixture 2 hanya Wall",IF(Q448="","CEK SHELVING KE kosong",IF(ISNA(MATCH(P448&amp;"|"&amp;Q448,LAYOUT!$E$2:$E$80,0)),"CEK SHELVING KE di luar layout",IF($I448="","CEK SERIES kosong",IF($D448="","Zona STOCK",IF($E448="","CEK SKU DESCRIPTION kosong",IF(COUNTIFS($I$2:$I$500,$I448,P$2:P$500,"&lt;&gt;"&amp;P448,P$2:P$500,"&lt;&gt;")&gt;0,"CEK jenis fixture beda dalam satu series","OK")))))))))</f>
        <v/>
      </c>
      <c r="T448" s="11" t="n"/>
      <c r="U448" s="11" t="n"/>
      <c r="V448" s="11">
        <f>IF(OR(T448="",U448=""),"",IFERROR(INDEX(LAYOUT!$D$2:$D$80,MATCH(T448&amp;"|"&amp;U448,LAYOUT!$E$2:$E$80,0)),""))</f>
        <v/>
      </c>
      <c r="W448" s="12">
        <f>IF(AND(T448="",U448=""),IF(AND(L448="",M448="",P448="",Q448=""),IF(OR($D448&lt;&gt;"",$E448&lt;&gt;""),"Belum ditempatkan",""),""),IF(T448="","CEK JENIS FIXTURE kosong",IF(LEFT(T448,4)&lt;&gt;"Wall","CEK Fixture 3 hanya Wall",IF(U448="","CEK SHELVING KE kosong",IF(ISNA(MATCH(T448&amp;"|"&amp;U448,LAYOUT!$E$2:$E$80,0)),"CEK SHELVING KE di luar layout",IF($I448="","CEK SERIES kosong",IF($D448="","Zona STOCK",IF($E448="","CEK SKU DESCRIPTION kosong",IF(COUNTIFS($I$2:$I$500,$I448,T$2:T$500,"&lt;&gt;"&amp;T448,T$2:T$500,"&lt;&gt;")&gt;0,"CEK jenis fixture beda dalam satu series","OK")))))))))</f>
        <v/>
      </c>
      <c r="X448" s="11" t="n"/>
      <c r="Y448" s="11" t="n"/>
      <c r="Z448" s="12" t="n"/>
      <c r="AA448" s="12" t="n"/>
      <c r="AB448" s="11" t="n"/>
      <c r="AC448" s="11" t="n"/>
      <c r="AD448" s="11" t="n"/>
      <c r="AE448" s="11" t="n"/>
      <c r="AF448" s="11" t="n"/>
      <c r="AG448" s="11" t="n"/>
      <c r="AH448" s="12" t="n"/>
      <c r="AI448" s="12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>
        <f>IF(OR(L449="",M449=""),"",IFERROR(INDEX(LAYOUT!$D$2:$D$80,MATCH(L449&amp;"|"&amp;M449,LAYOUT!$E$2:$E$80,0)),""))</f>
        <v/>
      </c>
      <c r="O449" s="12">
        <f>IF(AND(L449="",M449=""),IF(AND(P449="",Q449="",T449="",U449=""),IF(OR($D449&lt;&gt;"",$E449&lt;&gt;""),"Belum ditempatkan",""),""),IF(L449="","CEK JENIS FIXTURE kosong",IF(AND(LEFT(L449,7)&lt;&gt;"Gondola",LEFT(L449,6)&lt;&gt;"Endcap"),"CEK Fixture 1 hanya Gondola atau Endcap",IF(M449="","CEK SHELVING KE kosong",IF(ISNA(MATCH(L449&amp;"|"&amp;M449,LAYOUT!$E$2:$E$80,0)),"CEK SHELVING KE di luar layout",IF($I449="","CEK SERIES kosong",IF($D449="","Zona STOCK",IF($E449="","CEK SKU DESCRIPTION kosong",IF(COUNTIFS($I$2:$I$500,$I449,L$2:L$500,"&lt;&gt;"&amp;L449,L$2:L$500,"&lt;&gt;")&gt;0,"CEK jenis fixture beda dalam satu series","OK")))))))))</f>
        <v/>
      </c>
      <c r="P449" s="11" t="n"/>
      <c r="Q449" s="11" t="n"/>
      <c r="R449" s="11">
        <f>IF(OR(P449="",Q449=""),"",IFERROR(INDEX(LAYOUT!$D$2:$D$80,MATCH(P449&amp;"|"&amp;Q449,LAYOUT!$E$2:$E$80,0)),""))</f>
        <v/>
      </c>
      <c r="S449" s="12">
        <f>IF(AND(P449="",Q449=""),IF(AND(L449="",M449="",T449="",U449=""),IF(OR($D449&lt;&gt;"",$E449&lt;&gt;""),"Belum ditempatkan",""),""),IF(P449="","CEK JENIS FIXTURE kosong",IF(LEFT(P449,4)&lt;&gt;"Wall","CEK Fixture 2 hanya Wall",IF(Q449="","CEK SHELVING KE kosong",IF(ISNA(MATCH(P449&amp;"|"&amp;Q449,LAYOUT!$E$2:$E$80,0)),"CEK SHELVING KE di luar layout",IF($I449="","CEK SERIES kosong",IF($D449="","Zona STOCK",IF($E449="","CEK SKU DESCRIPTION kosong",IF(COUNTIFS($I$2:$I$500,$I449,P$2:P$500,"&lt;&gt;"&amp;P449,P$2:P$500,"&lt;&gt;")&gt;0,"CEK jenis fixture beda dalam satu series","OK")))))))))</f>
        <v/>
      </c>
      <c r="T449" s="11" t="n"/>
      <c r="U449" s="11" t="n"/>
      <c r="V449" s="11">
        <f>IF(OR(T449="",U449=""),"",IFERROR(INDEX(LAYOUT!$D$2:$D$80,MATCH(T449&amp;"|"&amp;U449,LAYOUT!$E$2:$E$80,0)),""))</f>
        <v/>
      </c>
      <c r="W449" s="12">
        <f>IF(AND(T449="",U449=""),IF(AND(L449="",M449="",P449="",Q449=""),IF(OR($D449&lt;&gt;"",$E449&lt;&gt;""),"Belum ditempatkan",""),""),IF(T449="","CEK JENIS FIXTURE kosong",IF(LEFT(T449,4)&lt;&gt;"Wall","CEK Fixture 3 hanya Wall",IF(U449="","CEK SHELVING KE kosong",IF(ISNA(MATCH(T449&amp;"|"&amp;U449,LAYOUT!$E$2:$E$80,0)),"CEK SHELVING KE di luar layout",IF($I449="","CEK SERIES kosong",IF($D449="","Zona STOCK",IF($E449="","CEK SKU DESCRIPTION kosong",IF(COUNTIFS($I$2:$I$500,$I449,T$2:T$500,"&lt;&gt;"&amp;T449,T$2:T$500,"&lt;&gt;")&gt;0,"CEK jenis fixture beda dalam satu series","OK")))))))))</f>
        <v/>
      </c>
      <c r="X449" s="11" t="n"/>
      <c r="Y449" s="11" t="n"/>
      <c r="Z449" s="12" t="n"/>
      <c r="AA449" s="12" t="n"/>
      <c r="AB449" s="11" t="n"/>
      <c r="AC449" s="11" t="n"/>
      <c r="AD449" s="11" t="n"/>
      <c r="AE449" s="11" t="n"/>
      <c r="AF449" s="11" t="n"/>
      <c r="AG449" s="11" t="n"/>
      <c r="AH449" s="12" t="n"/>
      <c r="AI449" s="12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>
        <f>IF(OR(L450="",M450=""),"",IFERROR(INDEX(LAYOUT!$D$2:$D$80,MATCH(L450&amp;"|"&amp;M450,LAYOUT!$E$2:$E$80,0)),""))</f>
        <v/>
      </c>
      <c r="O450" s="12">
        <f>IF(AND(L450="",M450=""),IF(AND(P450="",Q450="",T450="",U450=""),IF(OR($D450&lt;&gt;"",$E450&lt;&gt;""),"Belum ditempatkan",""),""),IF(L450="","CEK JENIS FIXTURE kosong",IF(AND(LEFT(L450,7)&lt;&gt;"Gondola",LEFT(L450,6)&lt;&gt;"Endcap"),"CEK Fixture 1 hanya Gondola atau Endcap",IF(M450="","CEK SHELVING KE kosong",IF(ISNA(MATCH(L450&amp;"|"&amp;M450,LAYOUT!$E$2:$E$80,0)),"CEK SHELVING KE di luar layout",IF($I450="","CEK SERIES kosong",IF($D450="","Zona STOCK",IF($E450="","CEK SKU DESCRIPTION kosong",IF(COUNTIFS($I$2:$I$500,$I450,L$2:L$500,"&lt;&gt;"&amp;L450,L$2:L$500,"&lt;&gt;")&gt;0,"CEK jenis fixture beda dalam satu series","OK")))))))))</f>
        <v/>
      </c>
      <c r="P450" s="11" t="n"/>
      <c r="Q450" s="11" t="n"/>
      <c r="R450" s="11">
        <f>IF(OR(P450="",Q450=""),"",IFERROR(INDEX(LAYOUT!$D$2:$D$80,MATCH(P450&amp;"|"&amp;Q450,LAYOUT!$E$2:$E$80,0)),""))</f>
        <v/>
      </c>
      <c r="S450" s="12">
        <f>IF(AND(P450="",Q450=""),IF(AND(L450="",M450="",T450="",U450=""),IF(OR($D450&lt;&gt;"",$E450&lt;&gt;""),"Belum ditempatkan",""),""),IF(P450="","CEK JENIS FIXTURE kosong",IF(LEFT(P450,4)&lt;&gt;"Wall","CEK Fixture 2 hanya Wall",IF(Q450="","CEK SHELVING KE kosong",IF(ISNA(MATCH(P450&amp;"|"&amp;Q450,LAYOUT!$E$2:$E$80,0)),"CEK SHELVING KE di luar layout",IF($I450="","CEK SERIES kosong",IF($D450="","Zona STOCK",IF($E450="","CEK SKU DESCRIPTION kosong",IF(COUNTIFS($I$2:$I$500,$I450,P$2:P$500,"&lt;&gt;"&amp;P450,P$2:P$500,"&lt;&gt;")&gt;0,"CEK jenis fixture beda dalam satu series","OK")))))))))</f>
        <v/>
      </c>
      <c r="T450" s="11" t="n"/>
      <c r="U450" s="11" t="n"/>
      <c r="V450" s="11">
        <f>IF(OR(T450="",U450=""),"",IFERROR(INDEX(LAYOUT!$D$2:$D$80,MATCH(T450&amp;"|"&amp;U450,LAYOUT!$E$2:$E$80,0)),""))</f>
        <v/>
      </c>
      <c r="W450" s="12">
        <f>IF(AND(T450="",U450=""),IF(AND(L450="",M450="",P450="",Q450=""),IF(OR($D450&lt;&gt;"",$E450&lt;&gt;""),"Belum ditempatkan",""),""),IF(T450="","CEK JENIS FIXTURE kosong",IF(LEFT(T450,4)&lt;&gt;"Wall","CEK Fixture 3 hanya Wall",IF(U450="","CEK SHELVING KE kosong",IF(ISNA(MATCH(T450&amp;"|"&amp;U450,LAYOUT!$E$2:$E$80,0)),"CEK SHELVING KE di luar layout",IF($I450="","CEK SERIES kosong",IF($D450="","Zona STOCK",IF($E450="","CEK SKU DESCRIPTION kosong",IF(COUNTIFS($I$2:$I$500,$I450,T$2:T$500,"&lt;&gt;"&amp;T450,T$2:T$500,"&lt;&gt;")&gt;0,"CEK jenis fixture beda dalam satu series","OK")))))))))</f>
        <v/>
      </c>
      <c r="X450" s="11" t="n"/>
      <c r="Y450" s="11" t="n"/>
      <c r="Z450" s="12" t="n"/>
      <c r="AA450" s="12" t="n"/>
      <c r="AB450" s="11" t="n"/>
      <c r="AC450" s="11" t="n"/>
      <c r="AD450" s="11" t="n"/>
      <c r="AE450" s="11" t="n"/>
      <c r="AF450" s="11" t="n"/>
      <c r="AG450" s="11" t="n"/>
      <c r="AH450" s="12" t="n"/>
      <c r="AI450" s="12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>
        <f>IF(OR(L451="",M451=""),"",IFERROR(INDEX(LAYOUT!$D$2:$D$80,MATCH(L451&amp;"|"&amp;M451,LAYOUT!$E$2:$E$80,0)),""))</f>
        <v/>
      </c>
      <c r="O451" s="12">
        <f>IF(AND(L451="",M451=""),IF(AND(P451="",Q451="",T451="",U451=""),IF(OR($D451&lt;&gt;"",$E451&lt;&gt;""),"Belum ditempatkan",""),""),IF(L451="","CEK JENIS FIXTURE kosong",IF(AND(LEFT(L451,7)&lt;&gt;"Gondola",LEFT(L451,6)&lt;&gt;"Endcap"),"CEK Fixture 1 hanya Gondola atau Endcap",IF(M451="","CEK SHELVING KE kosong",IF(ISNA(MATCH(L451&amp;"|"&amp;M451,LAYOUT!$E$2:$E$80,0)),"CEK SHELVING KE di luar layout",IF($I451="","CEK SERIES kosong",IF($D451="","Zona STOCK",IF($E451="","CEK SKU DESCRIPTION kosong",IF(COUNTIFS($I$2:$I$500,$I451,L$2:L$500,"&lt;&gt;"&amp;L451,L$2:L$500,"&lt;&gt;")&gt;0,"CEK jenis fixture beda dalam satu series","OK")))))))))</f>
        <v/>
      </c>
      <c r="P451" s="11" t="n"/>
      <c r="Q451" s="11" t="n"/>
      <c r="R451" s="11">
        <f>IF(OR(P451="",Q451=""),"",IFERROR(INDEX(LAYOUT!$D$2:$D$80,MATCH(P451&amp;"|"&amp;Q451,LAYOUT!$E$2:$E$80,0)),""))</f>
        <v/>
      </c>
      <c r="S451" s="12">
        <f>IF(AND(P451="",Q451=""),IF(AND(L451="",M451="",T451="",U451=""),IF(OR($D451&lt;&gt;"",$E451&lt;&gt;""),"Belum ditempatkan",""),""),IF(P451="","CEK JENIS FIXTURE kosong",IF(LEFT(P451,4)&lt;&gt;"Wall","CEK Fixture 2 hanya Wall",IF(Q451="","CEK SHELVING KE kosong",IF(ISNA(MATCH(P451&amp;"|"&amp;Q451,LAYOUT!$E$2:$E$80,0)),"CEK SHELVING KE di luar layout",IF($I451="","CEK SERIES kosong",IF($D451="","Zona STOCK",IF($E451="","CEK SKU DESCRIPTION kosong",IF(COUNTIFS($I$2:$I$500,$I451,P$2:P$500,"&lt;&gt;"&amp;P451,P$2:P$500,"&lt;&gt;")&gt;0,"CEK jenis fixture beda dalam satu series","OK")))))))))</f>
        <v/>
      </c>
      <c r="T451" s="11" t="n"/>
      <c r="U451" s="11" t="n"/>
      <c r="V451" s="11">
        <f>IF(OR(T451="",U451=""),"",IFERROR(INDEX(LAYOUT!$D$2:$D$80,MATCH(T451&amp;"|"&amp;U451,LAYOUT!$E$2:$E$80,0)),""))</f>
        <v/>
      </c>
      <c r="W451" s="12">
        <f>IF(AND(T451="",U451=""),IF(AND(L451="",M451="",P451="",Q451=""),IF(OR($D451&lt;&gt;"",$E451&lt;&gt;""),"Belum ditempatkan",""),""),IF(T451="","CEK JENIS FIXTURE kosong",IF(LEFT(T451,4)&lt;&gt;"Wall","CEK Fixture 3 hanya Wall",IF(U451="","CEK SHELVING KE kosong",IF(ISNA(MATCH(T451&amp;"|"&amp;U451,LAYOUT!$E$2:$E$80,0)),"CEK SHELVING KE di luar layout",IF($I451="","CEK SERIES kosong",IF($D451="","Zona STOCK",IF($E451="","CEK SKU DESCRIPTION kosong",IF(COUNTIFS($I$2:$I$500,$I451,T$2:T$500,"&lt;&gt;"&amp;T451,T$2:T$500,"&lt;&gt;")&gt;0,"CEK jenis fixture beda dalam satu series","OK")))))))))</f>
        <v/>
      </c>
      <c r="X451" s="11" t="n"/>
      <c r="Y451" s="11" t="n"/>
      <c r="Z451" s="12" t="n"/>
      <c r="AA451" s="12" t="n"/>
      <c r="AB451" s="11" t="n"/>
      <c r="AC451" s="11" t="n"/>
      <c r="AD451" s="11" t="n"/>
      <c r="AE451" s="11" t="n"/>
      <c r="AF451" s="11" t="n"/>
      <c r="AG451" s="11" t="n"/>
      <c r="AH451" s="12" t="n"/>
      <c r="AI451" s="12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>
        <f>IF(OR(L452="",M452=""),"",IFERROR(INDEX(LAYOUT!$D$2:$D$80,MATCH(L452&amp;"|"&amp;M452,LAYOUT!$E$2:$E$80,0)),""))</f>
        <v/>
      </c>
      <c r="O452" s="12">
        <f>IF(AND(L452="",M452=""),IF(AND(P452="",Q452="",T452="",U452=""),IF(OR($D452&lt;&gt;"",$E452&lt;&gt;""),"Belum ditempatkan",""),""),IF(L452="","CEK JENIS FIXTURE kosong",IF(AND(LEFT(L452,7)&lt;&gt;"Gondola",LEFT(L452,6)&lt;&gt;"Endcap"),"CEK Fixture 1 hanya Gondola atau Endcap",IF(M452="","CEK SHELVING KE kosong",IF(ISNA(MATCH(L452&amp;"|"&amp;M452,LAYOUT!$E$2:$E$80,0)),"CEK SHELVING KE di luar layout",IF($I452="","CEK SERIES kosong",IF($D452="","Zona STOCK",IF($E452="","CEK SKU DESCRIPTION kosong",IF(COUNTIFS($I$2:$I$500,$I452,L$2:L$500,"&lt;&gt;"&amp;L452,L$2:L$500,"&lt;&gt;")&gt;0,"CEK jenis fixture beda dalam satu series","OK")))))))))</f>
        <v/>
      </c>
      <c r="P452" s="11" t="n"/>
      <c r="Q452" s="11" t="n"/>
      <c r="R452" s="11">
        <f>IF(OR(P452="",Q452=""),"",IFERROR(INDEX(LAYOUT!$D$2:$D$80,MATCH(P452&amp;"|"&amp;Q452,LAYOUT!$E$2:$E$80,0)),""))</f>
        <v/>
      </c>
      <c r="S452" s="12">
        <f>IF(AND(P452="",Q452=""),IF(AND(L452="",M452="",T452="",U452=""),IF(OR($D452&lt;&gt;"",$E452&lt;&gt;""),"Belum ditempatkan",""),""),IF(P452="","CEK JENIS FIXTURE kosong",IF(LEFT(P452,4)&lt;&gt;"Wall","CEK Fixture 2 hanya Wall",IF(Q452="","CEK SHELVING KE kosong",IF(ISNA(MATCH(P452&amp;"|"&amp;Q452,LAYOUT!$E$2:$E$80,0)),"CEK SHELVING KE di luar layout",IF($I452="","CEK SERIES kosong",IF($D452="","Zona STOCK",IF($E452="","CEK SKU DESCRIPTION kosong",IF(COUNTIFS($I$2:$I$500,$I452,P$2:P$500,"&lt;&gt;"&amp;P452,P$2:P$500,"&lt;&gt;")&gt;0,"CEK jenis fixture beda dalam satu series","OK")))))))))</f>
        <v/>
      </c>
      <c r="T452" s="11" t="n"/>
      <c r="U452" s="11" t="n"/>
      <c r="V452" s="11">
        <f>IF(OR(T452="",U452=""),"",IFERROR(INDEX(LAYOUT!$D$2:$D$80,MATCH(T452&amp;"|"&amp;U452,LAYOUT!$E$2:$E$80,0)),""))</f>
        <v/>
      </c>
      <c r="W452" s="12">
        <f>IF(AND(T452="",U452=""),IF(AND(L452="",M452="",P452="",Q452=""),IF(OR($D452&lt;&gt;"",$E452&lt;&gt;""),"Belum ditempatkan",""),""),IF(T452="","CEK JENIS FIXTURE kosong",IF(LEFT(T452,4)&lt;&gt;"Wall","CEK Fixture 3 hanya Wall",IF(U452="","CEK SHELVING KE kosong",IF(ISNA(MATCH(T452&amp;"|"&amp;U452,LAYOUT!$E$2:$E$80,0)),"CEK SHELVING KE di luar layout",IF($I452="","CEK SERIES kosong",IF($D452="","Zona STOCK",IF($E452="","CEK SKU DESCRIPTION kosong",IF(COUNTIFS($I$2:$I$500,$I452,T$2:T$500,"&lt;&gt;"&amp;T452,T$2:T$500,"&lt;&gt;")&gt;0,"CEK jenis fixture beda dalam satu series","OK")))))))))</f>
        <v/>
      </c>
      <c r="X452" s="11" t="n"/>
      <c r="Y452" s="11" t="n"/>
      <c r="Z452" s="12" t="n"/>
      <c r="AA452" s="12" t="n"/>
      <c r="AB452" s="11" t="n"/>
      <c r="AC452" s="11" t="n"/>
      <c r="AD452" s="11" t="n"/>
      <c r="AE452" s="11" t="n"/>
      <c r="AF452" s="11" t="n"/>
      <c r="AG452" s="11" t="n"/>
      <c r="AH452" s="12" t="n"/>
      <c r="AI452" s="12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>
        <f>IF(OR(L453="",M453=""),"",IFERROR(INDEX(LAYOUT!$D$2:$D$80,MATCH(L453&amp;"|"&amp;M453,LAYOUT!$E$2:$E$80,0)),""))</f>
        <v/>
      </c>
      <c r="O453" s="12">
        <f>IF(AND(L453="",M453=""),IF(AND(P453="",Q453="",T453="",U453=""),IF(OR($D453&lt;&gt;"",$E453&lt;&gt;""),"Belum ditempatkan",""),""),IF(L453="","CEK JENIS FIXTURE kosong",IF(AND(LEFT(L453,7)&lt;&gt;"Gondola",LEFT(L453,6)&lt;&gt;"Endcap"),"CEK Fixture 1 hanya Gondola atau Endcap",IF(M453="","CEK SHELVING KE kosong",IF(ISNA(MATCH(L453&amp;"|"&amp;M453,LAYOUT!$E$2:$E$80,0)),"CEK SHELVING KE di luar layout",IF($I453="","CEK SERIES kosong",IF($D453="","Zona STOCK",IF($E453="","CEK SKU DESCRIPTION kosong",IF(COUNTIFS($I$2:$I$500,$I453,L$2:L$500,"&lt;&gt;"&amp;L453,L$2:L$500,"&lt;&gt;")&gt;0,"CEK jenis fixture beda dalam satu series","OK")))))))))</f>
        <v/>
      </c>
      <c r="P453" s="11" t="n"/>
      <c r="Q453" s="11" t="n"/>
      <c r="R453" s="11">
        <f>IF(OR(P453="",Q453=""),"",IFERROR(INDEX(LAYOUT!$D$2:$D$80,MATCH(P453&amp;"|"&amp;Q453,LAYOUT!$E$2:$E$80,0)),""))</f>
        <v/>
      </c>
      <c r="S453" s="12">
        <f>IF(AND(P453="",Q453=""),IF(AND(L453="",M453="",T453="",U453=""),IF(OR($D453&lt;&gt;"",$E453&lt;&gt;""),"Belum ditempatkan",""),""),IF(P453="","CEK JENIS FIXTURE kosong",IF(LEFT(P453,4)&lt;&gt;"Wall","CEK Fixture 2 hanya Wall",IF(Q453="","CEK SHELVING KE kosong",IF(ISNA(MATCH(P453&amp;"|"&amp;Q453,LAYOUT!$E$2:$E$80,0)),"CEK SHELVING KE di luar layout",IF($I453="","CEK SERIES kosong",IF($D453="","Zona STOCK",IF($E453="","CEK SKU DESCRIPTION kosong",IF(COUNTIFS($I$2:$I$500,$I453,P$2:P$500,"&lt;&gt;"&amp;P453,P$2:P$500,"&lt;&gt;")&gt;0,"CEK jenis fixture beda dalam satu series","OK")))))))))</f>
        <v/>
      </c>
      <c r="T453" s="11" t="n"/>
      <c r="U453" s="11" t="n"/>
      <c r="V453" s="11">
        <f>IF(OR(T453="",U453=""),"",IFERROR(INDEX(LAYOUT!$D$2:$D$80,MATCH(T453&amp;"|"&amp;U453,LAYOUT!$E$2:$E$80,0)),""))</f>
        <v/>
      </c>
      <c r="W453" s="12">
        <f>IF(AND(T453="",U453=""),IF(AND(L453="",M453="",P453="",Q453=""),IF(OR($D453&lt;&gt;"",$E453&lt;&gt;""),"Belum ditempatkan",""),""),IF(T453="","CEK JENIS FIXTURE kosong",IF(LEFT(T453,4)&lt;&gt;"Wall","CEK Fixture 3 hanya Wall",IF(U453="","CEK SHELVING KE kosong",IF(ISNA(MATCH(T453&amp;"|"&amp;U453,LAYOUT!$E$2:$E$80,0)),"CEK SHELVING KE di luar layout",IF($I453="","CEK SERIES kosong",IF($D453="","Zona STOCK",IF($E453="","CEK SKU DESCRIPTION kosong",IF(COUNTIFS($I$2:$I$500,$I453,T$2:T$500,"&lt;&gt;"&amp;T453,T$2:T$500,"&lt;&gt;")&gt;0,"CEK jenis fixture beda dalam satu series","OK")))))))))</f>
        <v/>
      </c>
      <c r="X453" s="11" t="n"/>
      <c r="Y453" s="11" t="n"/>
      <c r="Z453" s="12" t="n"/>
      <c r="AA453" s="12" t="n"/>
      <c r="AB453" s="11" t="n"/>
      <c r="AC453" s="11" t="n"/>
      <c r="AD453" s="11" t="n"/>
      <c r="AE453" s="11" t="n"/>
      <c r="AF453" s="11" t="n"/>
      <c r="AG453" s="11" t="n"/>
      <c r="AH453" s="12" t="n"/>
      <c r="AI453" s="12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>
        <f>IF(OR(L454="",M454=""),"",IFERROR(INDEX(LAYOUT!$D$2:$D$80,MATCH(L454&amp;"|"&amp;M454,LAYOUT!$E$2:$E$80,0)),""))</f>
        <v/>
      </c>
      <c r="O454" s="12">
        <f>IF(AND(L454="",M454=""),IF(AND(P454="",Q454="",T454="",U454=""),IF(OR($D454&lt;&gt;"",$E454&lt;&gt;""),"Belum ditempatkan",""),""),IF(L454="","CEK JENIS FIXTURE kosong",IF(AND(LEFT(L454,7)&lt;&gt;"Gondola",LEFT(L454,6)&lt;&gt;"Endcap"),"CEK Fixture 1 hanya Gondola atau Endcap",IF(M454="","CEK SHELVING KE kosong",IF(ISNA(MATCH(L454&amp;"|"&amp;M454,LAYOUT!$E$2:$E$80,0)),"CEK SHELVING KE di luar layout",IF($I454="","CEK SERIES kosong",IF($D454="","Zona STOCK",IF($E454="","CEK SKU DESCRIPTION kosong",IF(COUNTIFS($I$2:$I$500,$I454,L$2:L$500,"&lt;&gt;"&amp;L454,L$2:L$500,"&lt;&gt;")&gt;0,"CEK jenis fixture beda dalam satu series","OK")))))))))</f>
        <v/>
      </c>
      <c r="P454" s="11" t="n"/>
      <c r="Q454" s="11" t="n"/>
      <c r="R454" s="11">
        <f>IF(OR(P454="",Q454=""),"",IFERROR(INDEX(LAYOUT!$D$2:$D$80,MATCH(P454&amp;"|"&amp;Q454,LAYOUT!$E$2:$E$80,0)),""))</f>
        <v/>
      </c>
      <c r="S454" s="12">
        <f>IF(AND(P454="",Q454=""),IF(AND(L454="",M454="",T454="",U454=""),IF(OR($D454&lt;&gt;"",$E454&lt;&gt;""),"Belum ditempatkan",""),""),IF(P454="","CEK JENIS FIXTURE kosong",IF(LEFT(P454,4)&lt;&gt;"Wall","CEK Fixture 2 hanya Wall",IF(Q454="","CEK SHELVING KE kosong",IF(ISNA(MATCH(P454&amp;"|"&amp;Q454,LAYOUT!$E$2:$E$80,0)),"CEK SHELVING KE di luar layout",IF($I454="","CEK SERIES kosong",IF($D454="","Zona STOCK",IF($E454="","CEK SKU DESCRIPTION kosong",IF(COUNTIFS($I$2:$I$500,$I454,P$2:P$500,"&lt;&gt;"&amp;P454,P$2:P$500,"&lt;&gt;")&gt;0,"CEK jenis fixture beda dalam satu series","OK")))))))))</f>
        <v/>
      </c>
      <c r="T454" s="11" t="n"/>
      <c r="U454" s="11" t="n"/>
      <c r="V454" s="11">
        <f>IF(OR(T454="",U454=""),"",IFERROR(INDEX(LAYOUT!$D$2:$D$80,MATCH(T454&amp;"|"&amp;U454,LAYOUT!$E$2:$E$80,0)),""))</f>
        <v/>
      </c>
      <c r="W454" s="12">
        <f>IF(AND(T454="",U454=""),IF(AND(L454="",M454="",P454="",Q454=""),IF(OR($D454&lt;&gt;"",$E454&lt;&gt;""),"Belum ditempatkan",""),""),IF(T454="","CEK JENIS FIXTURE kosong",IF(LEFT(T454,4)&lt;&gt;"Wall","CEK Fixture 3 hanya Wall",IF(U454="","CEK SHELVING KE kosong",IF(ISNA(MATCH(T454&amp;"|"&amp;U454,LAYOUT!$E$2:$E$80,0)),"CEK SHELVING KE di luar layout",IF($I454="","CEK SERIES kosong",IF($D454="","Zona STOCK",IF($E454="","CEK SKU DESCRIPTION kosong",IF(COUNTIFS($I$2:$I$500,$I454,T$2:T$500,"&lt;&gt;"&amp;T454,T$2:T$500,"&lt;&gt;")&gt;0,"CEK jenis fixture beda dalam satu series","OK")))))))))</f>
        <v/>
      </c>
      <c r="X454" s="11" t="n"/>
      <c r="Y454" s="11" t="n"/>
      <c r="Z454" s="12" t="n"/>
      <c r="AA454" s="12" t="n"/>
      <c r="AB454" s="11" t="n"/>
      <c r="AC454" s="11" t="n"/>
      <c r="AD454" s="11" t="n"/>
      <c r="AE454" s="11" t="n"/>
      <c r="AF454" s="11" t="n"/>
      <c r="AG454" s="11" t="n"/>
      <c r="AH454" s="12" t="n"/>
      <c r="AI454" s="12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>
        <f>IF(OR(L455="",M455=""),"",IFERROR(INDEX(LAYOUT!$D$2:$D$80,MATCH(L455&amp;"|"&amp;M455,LAYOUT!$E$2:$E$80,0)),""))</f>
        <v/>
      </c>
      <c r="O455" s="12">
        <f>IF(AND(L455="",M455=""),IF(AND(P455="",Q455="",T455="",U455=""),IF(OR($D455&lt;&gt;"",$E455&lt;&gt;""),"Belum ditempatkan",""),""),IF(L455="","CEK JENIS FIXTURE kosong",IF(AND(LEFT(L455,7)&lt;&gt;"Gondola",LEFT(L455,6)&lt;&gt;"Endcap"),"CEK Fixture 1 hanya Gondola atau Endcap",IF(M455="","CEK SHELVING KE kosong",IF(ISNA(MATCH(L455&amp;"|"&amp;M455,LAYOUT!$E$2:$E$80,0)),"CEK SHELVING KE di luar layout",IF($I455="","CEK SERIES kosong",IF($D455="","Zona STOCK",IF($E455="","CEK SKU DESCRIPTION kosong",IF(COUNTIFS($I$2:$I$500,$I455,L$2:L$500,"&lt;&gt;"&amp;L455,L$2:L$500,"&lt;&gt;")&gt;0,"CEK jenis fixture beda dalam satu series","OK")))))))))</f>
        <v/>
      </c>
      <c r="P455" s="11" t="n"/>
      <c r="Q455" s="11" t="n"/>
      <c r="R455" s="11">
        <f>IF(OR(P455="",Q455=""),"",IFERROR(INDEX(LAYOUT!$D$2:$D$80,MATCH(P455&amp;"|"&amp;Q455,LAYOUT!$E$2:$E$80,0)),""))</f>
        <v/>
      </c>
      <c r="S455" s="12">
        <f>IF(AND(P455="",Q455=""),IF(AND(L455="",M455="",T455="",U455=""),IF(OR($D455&lt;&gt;"",$E455&lt;&gt;""),"Belum ditempatkan",""),""),IF(P455="","CEK JENIS FIXTURE kosong",IF(LEFT(P455,4)&lt;&gt;"Wall","CEK Fixture 2 hanya Wall",IF(Q455="","CEK SHELVING KE kosong",IF(ISNA(MATCH(P455&amp;"|"&amp;Q455,LAYOUT!$E$2:$E$80,0)),"CEK SHELVING KE di luar layout",IF($I455="","CEK SERIES kosong",IF($D455="","Zona STOCK",IF($E455="","CEK SKU DESCRIPTION kosong",IF(COUNTIFS($I$2:$I$500,$I455,P$2:P$500,"&lt;&gt;"&amp;P455,P$2:P$500,"&lt;&gt;")&gt;0,"CEK jenis fixture beda dalam satu series","OK")))))))))</f>
        <v/>
      </c>
      <c r="T455" s="11" t="n"/>
      <c r="U455" s="11" t="n"/>
      <c r="V455" s="11">
        <f>IF(OR(T455="",U455=""),"",IFERROR(INDEX(LAYOUT!$D$2:$D$80,MATCH(T455&amp;"|"&amp;U455,LAYOUT!$E$2:$E$80,0)),""))</f>
        <v/>
      </c>
      <c r="W455" s="12">
        <f>IF(AND(T455="",U455=""),IF(AND(L455="",M455="",P455="",Q455=""),IF(OR($D455&lt;&gt;"",$E455&lt;&gt;""),"Belum ditempatkan",""),""),IF(T455="","CEK JENIS FIXTURE kosong",IF(LEFT(T455,4)&lt;&gt;"Wall","CEK Fixture 3 hanya Wall",IF(U455="","CEK SHELVING KE kosong",IF(ISNA(MATCH(T455&amp;"|"&amp;U455,LAYOUT!$E$2:$E$80,0)),"CEK SHELVING KE di luar layout",IF($I455="","CEK SERIES kosong",IF($D455="","Zona STOCK",IF($E455="","CEK SKU DESCRIPTION kosong",IF(COUNTIFS($I$2:$I$500,$I455,T$2:T$500,"&lt;&gt;"&amp;T455,T$2:T$500,"&lt;&gt;")&gt;0,"CEK jenis fixture beda dalam satu series","OK")))))))))</f>
        <v/>
      </c>
      <c r="X455" s="11" t="n"/>
      <c r="Y455" s="11" t="n"/>
      <c r="Z455" s="12" t="n"/>
      <c r="AA455" s="12" t="n"/>
      <c r="AB455" s="11" t="n"/>
      <c r="AC455" s="11" t="n"/>
      <c r="AD455" s="11" t="n"/>
      <c r="AE455" s="11" t="n"/>
      <c r="AF455" s="11" t="n"/>
      <c r="AG455" s="11" t="n"/>
      <c r="AH455" s="12" t="n"/>
      <c r="AI455" s="12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>
        <f>IF(OR(L456="",M456=""),"",IFERROR(INDEX(LAYOUT!$D$2:$D$80,MATCH(L456&amp;"|"&amp;M456,LAYOUT!$E$2:$E$80,0)),""))</f>
        <v/>
      </c>
      <c r="O456" s="12">
        <f>IF(AND(L456="",M456=""),IF(AND(P456="",Q456="",T456="",U456=""),IF(OR($D456&lt;&gt;"",$E456&lt;&gt;""),"Belum ditempatkan",""),""),IF(L456="","CEK JENIS FIXTURE kosong",IF(AND(LEFT(L456,7)&lt;&gt;"Gondola",LEFT(L456,6)&lt;&gt;"Endcap"),"CEK Fixture 1 hanya Gondola atau Endcap",IF(M456="","CEK SHELVING KE kosong",IF(ISNA(MATCH(L456&amp;"|"&amp;M456,LAYOUT!$E$2:$E$80,0)),"CEK SHELVING KE di luar layout",IF($I456="","CEK SERIES kosong",IF($D456="","Zona STOCK",IF($E456="","CEK SKU DESCRIPTION kosong",IF(COUNTIFS($I$2:$I$500,$I456,L$2:L$500,"&lt;&gt;"&amp;L456,L$2:L$500,"&lt;&gt;")&gt;0,"CEK jenis fixture beda dalam satu series","OK")))))))))</f>
        <v/>
      </c>
      <c r="P456" s="11" t="n"/>
      <c r="Q456" s="11" t="n"/>
      <c r="R456" s="11">
        <f>IF(OR(P456="",Q456=""),"",IFERROR(INDEX(LAYOUT!$D$2:$D$80,MATCH(P456&amp;"|"&amp;Q456,LAYOUT!$E$2:$E$80,0)),""))</f>
        <v/>
      </c>
      <c r="S456" s="12">
        <f>IF(AND(P456="",Q456=""),IF(AND(L456="",M456="",T456="",U456=""),IF(OR($D456&lt;&gt;"",$E456&lt;&gt;""),"Belum ditempatkan",""),""),IF(P456="","CEK JENIS FIXTURE kosong",IF(LEFT(P456,4)&lt;&gt;"Wall","CEK Fixture 2 hanya Wall",IF(Q456="","CEK SHELVING KE kosong",IF(ISNA(MATCH(P456&amp;"|"&amp;Q456,LAYOUT!$E$2:$E$80,0)),"CEK SHELVING KE di luar layout",IF($I456="","CEK SERIES kosong",IF($D456="","Zona STOCK",IF($E456="","CEK SKU DESCRIPTION kosong",IF(COUNTIFS($I$2:$I$500,$I456,P$2:P$500,"&lt;&gt;"&amp;P456,P$2:P$500,"&lt;&gt;")&gt;0,"CEK jenis fixture beda dalam satu series","OK")))))))))</f>
        <v/>
      </c>
      <c r="T456" s="11" t="n"/>
      <c r="U456" s="11" t="n"/>
      <c r="V456" s="11">
        <f>IF(OR(T456="",U456=""),"",IFERROR(INDEX(LAYOUT!$D$2:$D$80,MATCH(T456&amp;"|"&amp;U456,LAYOUT!$E$2:$E$80,0)),""))</f>
        <v/>
      </c>
      <c r="W456" s="12">
        <f>IF(AND(T456="",U456=""),IF(AND(L456="",M456="",P456="",Q456=""),IF(OR($D456&lt;&gt;"",$E456&lt;&gt;""),"Belum ditempatkan",""),""),IF(T456="","CEK JENIS FIXTURE kosong",IF(LEFT(T456,4)&lt;&gt;"Wall","CEK Fixture 3 hanya Wall",IF(U456="","CEK SHELVING KE kosong",IF(ISNA(MATCH(T456&amp;"|"&amp;U456,LAYOUT!$E$2:$E$80,0)),"CEK SHELVING KE di luar layout",IF($I456="","CEK SERIES kosong",IF($D456="","Zona STOCK",IF($E456="","CEK SKU DESCRIPTION kosong",IF(COUNTIFS($I$2:$I$500,$I456,T$2:T$500,"&lt;&gt;"&amp;T456,T$2:T$500,"&lt;&gt;")&gt;0,"CEK jenis fixture beda dalam satu series","OK")))))))))</f>
        <v/>
      </c>
      <c r="X456" s="11" t="n"/>
      <c r="Y456" s="11" t="n"/>
      <c r="Z456" s="12" t="n"/>
      <c r="AA456" s="12" t="n"/>
      <c r="AB456" s="11" t="n"/>
      <c r="AC456" s="11" t="n"/>
      <c r="AD456" s="11" t="n"/>
      <c r="AE456" s="11" t="n"/>
      <c r="AF456" s="11" t="n"/>
      <c r="AG456" s="11" t="n"/>
      <c r="AH456" s="12" t="n"/>
      <c r="AI456" s="12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>
        <f>IF(OR(L457="",M457=""),"",IFERROR(INDEX(LAYOUT!$D$2:$D$80,MATCH(L457&amp;"|"&amp;M457,LAYOUT!$E$2:$E$80,0)),""))</f>
        <v/>
      </c>
      <c r="O457" s="12">
        <f>IF(AND(L457="",M457=""),IF(AND(P457="",Q457="",T457="",U457=""),IF(OR($D457&lt;&gt;"",$E457&lt;&gt;""),"Belum ditempatkan",""),""),IF(L457="","CEK JENIS FIXTURE kosong",IF(AND(LEFT(L457,7)&lt;&gt;"Gondola",LEFT(L457,6)&lt;&gt;"Endcap"),"CEK Fixture 1 hanya Gondola atau Endcap",IF(M457="","CEK SHELVING KE kosong",IF(ISNA(MATCH(L457&amp;"|"&amp;M457,LAYOUT!$E$2:$E$80,0)),"CEK SHELVING KE di luar layout",IF($I457="","CEK SERIES kosong",IF($D457="","Zona STOCK",IF($E457="","CEK SKU DESCRIPTION kosong",IF(COUNTIFS($I$2:$I$500,$I457,L$2:L$500,"&lt;&gt;"&amp;L457,L$2:L$500,"&lt;&gt;")&gt;0,"CEK jenis fixture beda dalam satu series","OK")))))))))</f>
        <v/>
      </c>
      <c r="P457" s="11" t="n"/>
      <c r="Q457" s="11" t="n"/>
      <c r="R457" s="11">
        <f>IF(OR(P457="",Q457=""),"",IFERROR(INDEX(LAYOUT!$D$2:$D$80,MATCH(P457&amp;"|"&amp;Q457,LAYOUT!$E$2:$E$80,0)),""))</f>
        <v/>
      </c>
      <c r="S457" s="12">
        <f>IF(AND(P457="",Q457=""),IF(AND(L457="",M457="",T457="",U457=""),IF(OR($D457&lt;&gt;"",$E457&lt;&gt;""),"Belum ditempatkan",""),""),IF(P457="","CEK JENIS FIXTURE kosong",IF(LEFT(P457,4)&lt;&gt;"Wall","CEK Fixture 2 hanya Wall",IF(Q457="","CEK SHELVING KE kosong",IF(ISNA(MATCH(P457&amp;"|"&amp;Q457,LAYOUT!$E$2:$E$80,0)),"CEK SHELVING KE di luar layout",IF($I457="","CEK SERIES kosong",IF($D457="","Zona STOCK",IF($E457="","CEK SKU DESCRIPTION kosong",IF(COUNTIFS($I$2:$I$500,$I457,P$2:P$500,"&lt;&gt;"&amp;P457,P$2:P$500,"&lt;&gt;")&gt;0,"CEK jenis fixture beda dalam satu series","OK")))))))))</f>
        <v/>
      </c>
      <c r="T457" s="11" t="n"/>
      <c r="U457" s="11" t="n"/>
      <c r="V457" s="11">
        <f>IF(OR(T457="",U457=""),"",IFERROR(INDEX(LAYOUT!$D$2:$D$80,MATCH(T457&amp;"|"&amp;U457,LAYOUT!$E$2:$E$80,0)),""))</f>
        <v/>
      </c>
      <c r="W457" s="12">
        <f>IF(AND(T457="",U457=""),IF(AND(L457="",M457="",P457="",Q457=""),IF(OR($D457&lt;&gt;"",$E457&lt;&gt;""),"Belum ditempatkan",""),""),IF(T457="","CEK JENIS FIXTURE kosong",IF(LEFT(T457,4)&lt;&gt;"Wall","CEK Fixture 3 hanya Wall",IF(U457="","CEK SHELVING KE kosong",IF(ISNA(MATCH(T457&amp;"|"&amp;U457,LAYOUT!$E$2:$E$80,0)),"CEK SHELVING KE di luar layout",IF($I457="","CEK SERIES kosong",IF($D457="","Zona STOCK",IF($E457="","CEK SKU DESCRIPTION kosong",IF(COUNTIFS($I$2:$I$500,$I457,T$2:T$500,"&lt;&gt;"&amp;T457,T$2:T$500,"&lt;&gt;")&gt;0,"CEK jenis fixture beda dalam satu series","OK")))))))))</f>
        <v/>
      </c>
      <c r="X457" s="11" t="n"/>
      <c r="Y457" s="11" t="n"/>
      <c r="Z457" s="12" t="n"/>
      <c r="AA457" s="12" t="n"/>
      <c r="AB457" s="11" t="n"/>
      <c r="AC457" s="11" t="n"/>
      <c r="AD457" s="11" t="n"/>
      <c r="AE457" s="11" t="n"/>
      <c r="AF457" s="11" t="n"/>
      <c r="AG457" s="11" t="n"/>
      <c r="AH457" s="12" t="n"/>
      <c r="AI457" s="12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>
        <f>IF(OR(L458="",M458=""),"",IFERROR(INDEX(LAYOUT!$D$2:$D$80,MATCH(L458&amp;"|"&amp;M458,LAYOUT!$E$2:$E$80,0)),""))</f>
        <v/>
      </c>
      <c r="O458" s="12">
        <f>IF(AND(L458="",M458=""),IF(AND(P458="",Q458="",T458="",U458=""),IF(OR($D458&lt;&gt;"",$E458&lt;&gt;""),"Belum ditempatkan",""),""),IF(L458="","CEK JENIS FIXTURE kosong",IF(AND(LEFT(L458,7)&lt;&gt;"Gondola",LEFT(L458,6)&lt;&gt;"Endcap"),"CEK Fixture 1 hanya Gondola atau Endcap",IF(M458="","CEK SHELVING KE kosong",IF(ISNA(MATCH(L458&amp;"|"&amp;M458,LAYOUT!$E$2:$E$80,0)),"CEK SHELVING KE di luar layout",IF($I458="","CEK SERIES kosong",IF($D458="","Zona STOCK",IF($E458="","CEK SKU DESCRIPTION kosong",IF(COUNTIFS($I$2:$I$500,$I458,L$2:L$500,"&lt;&gt;"&amp;L458,L$2:L$500,"&lt;&gt;")&gt;0,"CEK jenis fixture beda dalam satu series","OK")))))))))</f>
        <v/>
      </c>
      <c r="P458" s="11" t="n"/>
      <c r="Q458" s="11" t="n"/>
      <c r="R458" s="11">
        <f>IF(OR(P458="",Q458=""),"",IFERROR(INDEX(LAYOUT!$D$2:$D$80,MATCH(P458&amp;"|"&amp;Q458,LAYOUT!$E$2:$E$80,0)),""))</f>
        <v/>
      </c>
      <c r="S458" s="12">
        <f>IF(AND(P458="",Q458=""),IF(AND(L458="",M458="",T458="",U458=""),IF(OR($D458&lt;&gt;"",$E458&lt;&gt;""),"Belum ditempatkan",""),""),IF(P458="","CEK JENIS FIXTURE kosong",IF(LEFT(P458,4)&lt;&gt;"Wall","CEK Fixture 2 hanya Wall",IF(Q458="","CEK SHELVING KE kosong",IF(ISNA(MATCH(P458&amp;"|"&amp;Q458,LAYOUT!$E$2:$E$80,0)),"CEK SHELVING KE di luar layout",IF($I458="","CEK SERIES kosong",IF($D458="","Zona STOCK",IF($E458="","CEK SKU DESCRIPTION kosong",IF(COUNTIFS($I$2:$I$500,$I458,P$2:P$500,"&lt;&gt;"&amp;P458,P$2:P$500,"&lt;&gt;")&gt;0,"CEK jenis fixture beda dalam satu series","OK")))))))))</f>
        <v/>
      </c>
      <c r="T458" s="11" t="n"/>
      <c r="U458" s="11" t="n"/>
      <c r="V458" s="11">
        <f>IF(OR(T458="",U458=""),"",IFERROR(INDEX(LAYOUT!$D$2:$D$80,MATCH(T458&amp;"|"&amp;U458,LAYOUT!$E$2:$E$80,0)),""))</f>
        <v/>
      </c>
      <c r="W458" s="12">
        <f>IF(AND(T458="",U458=""),IF(AND(L458="",M458="",P458="",Q458=""),IF(OR($D458&lt;&gt;"",$E458&lt;&gt;""),"Belum ditempatkan",""),""),IF(T458="","CEK JENIS FIXTURE kosong",IF(LEFT(T458,4)&lt;&gt;"Wall","CEK Fixture 3 hanya Wall",IF(U458="","CEK SHELVING KE kosong",IF(ISNA(MATCH(T458&amp;"|"&amp;U458,LAYOUT!$E$2:$E$80,0)),"CEK SHELVING KE di luar layout",IF($I458="","CEK SERIES kosong",IF($D458="","Zona STOCK",IF($E458="","CEK SKU DESCRIPTION kosong",IF(COUNTIFS($I$2:$I$500,$I458,T$2:T$500,"&lt;&gt;"&amp;T458,T$2:T$500,"&lt;&gt;")&gt;0,"CEK jenis fixture beda dalam satu series","OK")))))))))</f>
        <v/>
      </c>
      <c r="X458" s="11" t="n"/>
      <c r="Y458" s="11" t="n"/>
      <c r="Z458" s="12" t="n"/>
      <c r="AA458" s="12" t="n"/>
      <c r="AB458" s="11" t="n"/>
      <c r="AC458" s="11" t="n"/>
      <c r="AD458" s="11" t="n"/>
      <c r="AE458" s="11" t="n"/>
      <c r="AF458" s="11" t="n"/>
      <c r="AG458" s="11" t="n"/>
      <c r="AH458" s="12" t="n"/>
      <c r="AI458" s="12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>
        <f>IF(OR(L459="",M459=""),"",IFERROR(INDEX(LAYOUT!$D$2:$D$80,MATCH(L459&amp;"|"&amp;M459,LAYOUT!$E$2:$E$80,0)),""))</f>
        <v/>
      </c>
      <c r="O459" s="12">
        <f>IF(AND(L459="",M459=""),IF(AND(P459="",Q459="",T459="",U459=""),IF(OR($D459&lt;&gt;"",$E459&lt;&gt;""),"Belum ditempatkan",""),""),IF(L459="","CEK JENIS FIXTURE kosong",IF(AND(LEFT(L459,7)&lt;&gt;"Gondola",LEFT(L459,6)&lt;&gt;"Endcap"),"CEK Fixture 1 hanya Gondola atau Endcap",IF(M459="","CEK SHELVING KE kosong",IF(ISNA(MATCH(L459&amp;"|"&amp;M459,LAYOUT!$E$2:$E$80,0)),"CEK SHELVING KE di luar layout",IF($I459="","CEK SERIES kosong",IF($D459="","Zona STOCK",IF($E459="","CEK SKU DESCRIPTION kosong",IF(COUNTIFS($I$2:$I$500,$I459,L$2:L$500,"&lt;&gt;"&amp;L459,L$2:L$500,"&lt;&gt;")&gt;0,"CEK jenis fixture beda dalam satu series","OK")))))))))</f>
        <v/>
      </c>
      <c r="P459" s="11" t="n"/>
      <c r="Q459" s="11" t="n"/>
      <c r="R459" s="11">
        <f>IF(OR(P459="",Q459=""),"",IFERROR(INDEX(LAYOUT!$D$2:$D$80,MATCH(P459&amp;"|"&amp;Q459,LAYOUT!$E$2:$E$80,0)),""))</f>
        <v/>
      </c>
      <c r="S459" s="12">
        <f>IF(AND(P459="",Q459=""),IF(AND(L459="",M459="",T459="",U459=""),IF(OR($D459&lt;&gt;"",$E459&lt;&gt;""),"Belum ditempatkan",""),""),IF(P459="","CEK JENIS FIXTURE kosong",IF(LEFT(P459,4)&lt;&gt;"Wall","CEK Fixture 2 hanya Wall",IF(Q459="","CEK SHELVING KE kosong",IF(ISNA(MATCH(P459&amp;"|"&amp;Q459,LAYOUT!$E$2:$E$80,0)),"CEK SHELVING KE di luar layout",IF($I459="","CEK SERIES kosong",IF($D459="","Zona STOCK",IF($E459="","CEK SKU DESCRIPTION kosong",IF(COUNTIFS($I$2:$I$500,$I459,P$2:P$500,"&lt;&gt;"&amp;P459,P$2:P$500,"&lt;&gt;")&gt;0,"CEK jenis fixture beda dalam satu series","OK")))))))))</f>
        <v/>
      </c>
      <c r="T459" s="11" t="n"/>
      <c r="U459" s="11" t="n"/>
      <c r="V459" s="11">
        <f>IF(OR(T459="",U459=""),"",IFERROR(INDEX(LAYOUT!$D$2:$D$80,MATCH(T459&amp;"|"&amp;U459,LAYOUT!$E$2:$E$80,0)),""))</f>
        <v/>
      </c>
      <c r="W459" s="12">
        <f>IF(AND(T459="",U459=""),IF(AND(L459="",M459="",P459="",Q459=""),IF(OR($D459&lt;&gt;"",$E459&lt;&gt;""),"Belum ditempatkan",""),""),IF(T459="","CEK JENIS FIXTURE kosong",IF(LEFT(T459,4)&lt;&gt;"Wall","CEK Fixture 3 hanya Wall",IF(U459="","CEK SHELVING KE kosong",IF(ISNA(MATCH(T459&amp;"|"&amp;U459,LAYOUT!$E$2:$E$80,0)),"CEK SHELVING KE di luar layout",IF($I459="","CEK SERIES kosong",IF($D459="","Zona STOCK",IF($E459="","CEK SKU DESCRIPTION kosong",IF(COUNTIFS($I$2:$I$500,$I459,T$2:T$500,"&lt;&gt;"&amp;T459,T$2:T$500,"&lt;&gt;")&gt;0,"CEK jenis fixture beda dalam satu series","OK")))))))))</f>
        <v/>
      </c>
      <c r="X459" s="11" t="n"/>
      <c r="Y459" s="11" t="n"/>
      <c r="Z459" s="12" t="n"/>
      <c r="AA459" s="12" t="n"/>
      <c r="AB459" s="11" t="n"/>
      <c r="AC459" s="11" t="n"/>
      <c r="AD459" s="11" t="n"/>
      <c r="AE459" s="11" t="n"/>
      <c r="AF459" s="11" t="n"/>
      <c r="AG459" s="11" t="n"/>
      <c r="AH459" s="12" t="n"/>
      <c r="AI459" s="12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>
        <f>IF(OR(L460="",M460=""),"",IFERROR(INDEX(LAYOUT!$D$2:$D$80,MATCH(L460&amp;"|"&amp;M460,LAYOUT!$E$2:$E$80,0)),""))</f>
        <v/>
      </c>
      <c r="O460" s="12">
        <f>IF(AND(L460="",M460=""),IF(AND(P460="",Q460="",T460="",U460=""),IF(OR($D460&lt;&gt;"",$E460&lt;&gt;""),"Belum ditempatkan",""),""),IF(L460="","CEK JENIS FIXTURE kosong",IF(AND(LEFT(L460,7)&lt;&gt;"Gondola",LEFT(L460,6)&lt;&gt;"Endcap"),"CEK Fixture 1 hanya Gondola atau Endcap",IF(M460="","CEK SHELVING KE kosong",IF(ISNA(MATCH(L460&amp;"|"&amp;M460,LAYOUT!$E$2:$E$80,0)),"CEK SHELVING KE di luar layout",IF($I460="","CEK SERIES kosong",IF($D460="","Zona STOCK",IF($E460="","CEK SKU DESCRIPTION kosong",IF(COUNTIFS($I$2:$I$500,$I460,L$2:L$500,"&lt;&gt;"&amp;L460,L$2:L$500,"&lt;&gt;")&gt;0,"CEK jenis fixture beda dalam satu series","OK")))))))))</f>
        <v/>
      </c>
      <c r="P460" s="11" t="n"/>
      <c r="Q460" s="11" t="n"/>
      <c r="R460" s="11">
        <f>IF(OR(P460="",Q460=""),"",IFERROR(INDEX(LAYOUT!$D$2:$D$80,MATCH(P460&amp;"|"&amp;Q460,LAYOUT!$E$2:$E$80,0)),""))</f>
        <v/>
      </c>
      <c r="S460" s="12">
        <f>IF(AND(P460="",Q460=""),IF(AND(L460="",M460="",T460="",U460=""),IF(OR($D460&lt;&gt;"",$E460&lt;&gt;""),"Belum ditempatkan",""),""),IF(P460="","CEK JENIS FIXTURE kosong",IF(LEFT(P460,4)&lt;&gt;"Wall","CEK Fixture 2 hanya Wall",IF(Q460="","CEK SHELVING KE kosong",IF(ISNA(MATCH(P460&amp;"|"&amp;Q460,LAYOUT!$E$2:$E$80,0)),"CEK SHELVING KE di luar layout",IF($I460="","CEK SERIES kosong",IF($D460="","Zona STOCK",IF($E460="","CEK SKU DESCRIPTION kosong",IF(COUNTIFS($I$2:$I$500,$I460,P$2:P$500,"&lt;&gt;"&amp;P460,P$2:P$500,"&lt;&gt;")&gt;0,"CEK jenis fixture beda dalam satu series","OK")))))))))</f>
        <v/>
      </c>
      <c r="T460" s="11" t="n"/>
      <c r="U460" s="11" t="n"/>
      <c r="V460" s="11">
        <f>IF(OR(T460="",U460=""),"",IFERROR(INDEX(LAYOUT!$D$2:$D$80,MATCH(T460&amp;"|"&amp;U460,LAYOUT!$E$2:$E$80,0)),""))</f>
        <v/>
      </c>
      <c r="W460" s="12">
        <f>IF(AND(T460="",U460=""),IF(AND(L460="",M460="",P460="",Q460=""),IF(OR($D460&lt;&gt;"",$E460&lt;&gt;""),"Belum ditempatkan",""),""),IF(T460="","CEK JENIS FIXTURE kosong",IF(LEFT(T460,4)&lt;&gt;"Wall","CEK Fixture 3 hanya Wall",IF(U460="","CEK SHELVING KE kosong",IF(ISNA(MATCH(T460&amp;"|"&amp;U460,LAYOUT!$E$2:$E$80,0)),"CEK SHELVING KE di luar layout",IF($I460="","CEK SERIES kosong",IF($D460="","Zona STOCK",IF($E460="","CEK SKU DESCRIPTION kosong",IF(COUNTIFS($I$2:$I$500,$I460,T$2:T$500,"&lt;&gt;"&amp;T460,T$2:T$500,"&lt;&gt;")&gt;0,"CEK jenis fixture beda dalam satu series","OK")))))))))</f>
        <v/>
      </c>
      <c r="X460" s="11" t="n"/>
      <c r="Y460" s="11" t="n"/>
      <c r="Z460" s="12" t="n"/>
      <c r="AA460" s="12" t="n"/>
      <c r="AB460" s="11" t="n"/>
      <c r="AC460" s="11" t="n"/>
      <c r="AD460" s="11" t="n"/>
      <c r="AE460" s="11" t="n"/>
      <c r="AF460" s="11" t="n"/>
      <c r="AG460" s="11" t="n"/>
      <c r="AH460" s="12" t="n"/>
      <c r="AI460" s="12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>
        <f>IF(OR(L461="",M461=""),"",IFERROR(INDEX(LAYOUT!$D$2:$D$80,MATCH(L461&amp;"|"&amp;M461,LAYOUT!$E$2:$E$80,0)),""))</f>
        <v/>
      </c>
      <c r="O461" s="12">
        <f>IF(AND(L461="",M461=""),IF(AND(P461="",Q461="",T461="",U461=""),IF(OR($D461&lt;&gt;"",$E461&lt;&gt;""),"Belum ditempatkan",""),""),IF(L461="","CEK JENIS FIXTURE kosong",IF(AND(LEFT(L461,7)&lt;&gt;"Gondola",LEFT(L461,6)&lt;&gt;"Endcap"),"CEK Fixture 1 hanya Gondola atau Endcap",IF(M461="","CEK SHELVING KE kosong",IF(ISNA(MATCH(L461&amp;"|"&amp;M461,LAYOUT!$E$2:$E$80,0)),"CEK SHELVING KE di luar layout",IF($I461="","CEK SERIES kosong",IF($D461="","Zona STOCK",IF($E461="","CEK SKU DESCRIPTION kosong",IF(COUNTIFS($I$2:$I$500,$I461,L$2:L$500,"&lt;&gt;"&amp;L461,L$2:L$500,"&lt;&gt;")&gt;0,"CEK jenis fixture beda dalam satu series","OK")))))))))</f>
        <v/>
      </c>
      <c r="P461" s="11" t="n"/>
      <c r="Q461" s="11" t="n"/>
      <c r="R461" s="11">
        <f>IF(OR(P461="",Q461=""),"",IFERROR(INDEX(LAYOUT!$D$2:$D$80,MATCH(P461&amp;"|"&amp;Q461,LAYOUT!$E$2:$E$80,0)),""))</f>
        <v/>
      </c>
      <c r="S461" s="12">
        <f>IF(AND(P461="",Q461=""),IF(AND(L461="",M461="",T461="",U461=""),IF(OR($D461&lt;&gt;"",$E461&lt;&gt;""),"Belum ditempatkan",""),""),IF(P461="","CEK JENIS FIXTURE kosong",IF(LEFT(P461,4)&lt;&gt;"Wall","CEK Fixture 2 hanya Wall",IF(Q461="","CEK SHELVING KE kosong",IF(ISNA(MATCH(P461&amp;"|"&amp;Q461,LAYOUT!$E$2:$E$80,0)),"CEK SHELVING KE di luar layout",IF($I461="","CEK SERIES kosong",IF($D461="","Zona STOCK",IF($E461="","CEK SKU DESCRIPTION kosong",IF(COUNTIFS($I$2:$I$500,$I461,P$2:P$500,"&lt;&gt;"&amp;P461,P$2:P$500,"&lt;&gt;")&gt;0,"CEK jenis fixture beda dalam satu series","OK")))))))))</f>
        <v/>
      </c>
      <c r="T461" s="11" t="n"/>
      <c r="U461" s="11" t="n"/>
      <c r="V461" s="11">
        <f>IF(OR(T461="",U461=""),"",IFERROR(INDEX(LAYOUT!$D$2:$D$80,MATCH(T461&amp;"|"&amp;U461,LAYOUT!$E$2:$E$80,0)),""))</f>
        <v/>
      </c>
      <c r="W461" s="12">
        <f>IF(AND(T461="",U461=""),IF(AND(L461="",M461="",P461="",Q461=""),IF(OR($D461&lt;&gt;"",$E461&lt;&gt;""),"Belum ditempatkan",""),""),IF(T461="","CEK JENIS FIXTURE kosong",IF(LEFT(T461,4)&lt;&gt;"Wall","CEK Fixture 3 hanya Wall",IF(U461="","CEK SHELVING KE kosong",IF(ISNA(MATCH(T461&amp;"|"&amp;U461,LAYOUT!$E$2:$E$80,0)),"CEK SHELVING KE di luar layout",IF($I461="","CEK SERIES kosong",IF($D461="","Zona STOCK",IF($E461="","CEK SKU DESCRIPTION kosong",IF(COUNTIFS($I$2:$I$500,$I461,T$2:T$500,"&lt;&gt;"&amp;T461,T$2:T$500,"&lt;&gt;")&gt;0,"CEK jenis fixture beda dalam satu series","OK")))))))))</f>
        <v/>
      </c>
      <c r="X461" s="11" t="n"/>
      <c r="Y461" s="11" t="n"/>
      <c r="Z461" s="12" t="n"/>
      <c r="AA461" s="12" t="n"/>
      <c r="AB461" s="11" t="n"/>
      <c r="AC461" s="11" t="n"/>
      <c r="AD461" s="11" t="n"/>
      <c r="AE461" s="11" t="n"/>
      <c r="AF461" s="11" t="n"/>
      <c r="AG461" s="11" t="n"/>
      <c r="AH461" s="12" t="n"/>
      <c r="AI461" s="12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>
        <f>IF(OR(L462="",M462=""),"",IFERROR(INDEX(LAYOUT!$D$2:$D$80,MATCH(L462&amp;"|"&amp;M462,LAYOUT!$E$2:$E$80,0)),""))</f>
        <v/>
      </c>
      <c r="O462" s="12">
        <f>IF(AND(L462="",M462=""),IF(AND(P462="",Q462="",T462="",U462=""),IF(OR($D462&lt;&gt;"",$E462&lt;&gt;""),"Belum ditempatkan",""),""),IF(L462="","CEK JENIS FIXTURE kosong",IF(AND(LEFT(L462,7)&lt;&gt;"Gondola",LEFT(L462,6)&lt;&gt;"Endcap"),"CEK Fixture 1 hanya Gondola atau Endcap",IF(M462="","CEK SHELVING KE kosong",IF(ISNA(MATCH(L462&amp;"|"&amp;M462,LAYOUT!$E$2:$E$80,0)),"CEK SHELVING KE di luar layout",IF($I462="","CEK SERIES kosong",IF($D462="","Zona STOCK",IF($E462="","CEK SKU DESCRIPTION kosong",IF(COUNTIFS($I$2:$I$500,$I462,L$2:L$500,"&lt;&gt;"&amp;L462,L$2:L$500,"&lt;&gt;")&gt;0,"CEK jenis fixture beda dalam satu series","OK")))))))))</f>
        <v/>
      </c>
      <c r="P462" s="11" t="n"/>
      <c r="Q462" s="11" t="n"/>
      <c r="R462" s="11">
        <f>IF(OR(P462="",Q462=""),"",IFERROR(INDEX(LAYOUT!$D$2:$D$80,MATCH(P462&amp;"|"&amp;Q462,LAYOUT!$E$2:$E$80,0)),""))</f>
        <v/>
      </c>
      <c r="S462" s="12">
        <f>IF(AND(P462="",Q462=""),IF(AND(L462="",M462="",T462="",U462=""),IF(OR($D462&lt;&gt;"",$E462&lt;&gt;""),"Belum ditempatkan",""),""),IF(P462="","CEK JENIS FIXTURE kosong",IF(LEFT(P462,4)&lt;&gt;"Wall","CEK Fixture 2 hanya Wall",IF(Q462="","CEK SHELVING KE kosong",IF(ISNA(MATCH(P462&amp;"|"&amp;Q462,LAYOUT!$E$2:$E$80,0)),"CEK SHELVING KE di luar layout",IF($I462="","CEK SERIES kosong",IF($D462="","Zona STOCK",IF($E462="","CEK SKU DESCRIPTION kosong",IF(COUNTIFS($I$2:$I$500,$I462,P$2:P$500,"&lt;&gt;"&amp;P462,P$2:P$500,"&lt;&gt;")&gt;0,"CEK jenis fixture beda dalam satu series","OK")))))))))</f>
        <v/>
      </c>
      <c r="T462" s="11" t="n"/>
      <c r="U462" s="11" t="n"/>
      <c r="V462" s="11">
        <f>IF(OR(T462="",U462=""),"",IFERROR(INDEX(LAYOUT!$D$2:$D$80,MATCH(T462&amp;"|"&amp;U462,LAYOUT!$E$2:$E$80,0)),""))</f>
        <v/>
      </c>
      <c r="W462" s="12">
        <f>IF(AND(T462="",U462=""),IF(AND(L462="",M462="",P462="",Q462=""),IF(OR($D462&lt;&gt;"",$E462&lt;&gt;""),"Belum ditempatkan",""),""),IF(T462="","CEK JENIS FIXTURE kosong",IF(LEFT(T462,4)&lt;&gt;"Wall","CEK Fixture 3 hanya Wall",IF(U462="","CEK SHELVING KE kosong",IF(ISNA(MATCH(T462&amp;"|"&amp;U462,LAYOUT!$E$2:$E$80,0)),"CEK SHELVING KE di luar layout",IF($I462="","CEK SERIES kosong",IF($D462="","Zona STOCK",IF($E462="","CEK SKU DESCRIPTION kosong",IF(COUNTIFS($I$2:$I$500,$I462,T$2:T$500,"&lt;&gt;"&amp;T462,T$2:T$500,"&lt;&gt;")&gt;0,"CEK jenis fixture beda dalam satu series","OK")))))))))</f>
        <v/>
      </c>
      <c r="X462" s="11" t="n"/>
      <c r="Y462" s="11" t="n"/>
      <c r="Z462" s="12" t="n"/>
      <c r="AA462" s="12" t="n"/>
      <c r="AB462" s="11" t="n"/>
      <c r="AC462" s="11" t="n"/>
      <c r="AD462" s="11" t="n"/>
      <c r="AE462" s="11" t="n"/>
      <c r="AF462" s="11" t="n"/>
      <c r="AG462" s="11" t="n"/>
      <c r="AH462" s="12" t="n"/>
      <c r="AI462" s="12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>
        <f>IF(OR(L463="",M463=""),"",IFERROR(INDEX(LAYOUT!$D$2:$D$80,MATCH(L463&amp;"|"&amp;M463,LAYOUT!$E$2:$E$80,0)),""))</f>
        <v/>
      </c>
      <c r="O463" s="12">
        <f>IF(AND(L463="",M463=""),IF(AND(P463="",Q463="",T463="",U463=""),IF(OR($D463&lt;&gt;"",$E463&lt;&gt;""),"Belum ditempatkan",""),""),IF(L463="","CEK JENIS FIXTURE kosong",IF(AND(LEFT(L463,7)&lt;&gt;"Gondola",LEFT(L463,6)&lt;&gt;"Endcap"),"CEK Fixture 1 hanya Gondola atau Endcap",IF(M463="","CEK SHELVING KE kosong",IF(ISNA(MATCH(L463&amp;"|"&amp;M463,LAYOUT!$E$2:$E$80,0)),"CEK SHELVING KE di luar layout",IF($I463="","CEK SERIES kosong",IF($D463="","Zona STOCK",IF($E463="","CEK SKU DESCRIPTION kosong",IF(COUNTIFS($I$2:$I$500,$I463,L$2:L$500,"&lt;&gt;"&amp;L463,L$2:L$500,"&lt;&gt;")&gt;0,"CEK jenis fixture beda dalam satu series","OK")))))))))</f>
        <v/>
      </c>
      <c r="P463" s="11" t="n"/>
      <c r="Q463" s="11" t="n"/>
      <c r="R463" s="11">
        <f>IF(OR(P463="",Q463=""),"",IFERROR(INDEX(LAYOUT!$D$2:$D$80,MATCH(P463&amp;"|"&amp;Q463,LAYOUT!$E$2:$E$80,0)),""))</f>
        <v/>
      </c>
      <c r="S463" s="12">
        <f>IF(AND(P463="",Q463=""),IF(AND(L463="",M463="",T463="",U463=""),IF(OR($D463&lt;&gt;"",$E463&lt;&gt;""),"Belum ditempatkan",""),""),IF(P463="","CEK JENIS FIXTURE kosong",IF(LEFT(P463,4)&lt;&gt;"Wall","CEK Fixture 2 hanya Wall",IF(Q463="","CEK SHELVING KE kosong",IF(ISNA(MATCH(P463&amp;"|"&amp;Q463,LAYOUT!$E$2:$E$80,0)),"CEK SHELVING KE di luar layout",IF($I463="","CEK SERIES kosong",IF($D463="","Zona STOCK",IF($E463="","CEK SKU DESCRIPTION kosong",IF(COUNTIFS($I$2:$I$500,$I463,P$2:P$500,"&lt;&gt;"&amp;P463,P$2:P$500,"&lt;&gt;")&gt;0,"CEK jenis fixture beda dalam satu series","OK")))))))))</f>
        <v/>
      </c>
      <c r="T463" s="11" t="n"/>
      <c r="U463" s="11" t="n"/>
      <c r="V463" s="11">
        <f>IF(OR(T463="",U463=""),"",IFERROR(INDEX(LAYOUT!$D$2:$D$80,MATCH(T463&amp;"|"&amp;U463,LAYOUT!$E$2:$E$80,0)),""))</f>
        <v/>
      </c>
      <c r="W463" s="12">
        <f>IF(AND(T463="",U463=""),IF(AND(L463="",M463="",P463="",Q463=""),IF(OR($D463&lt;&gt;"",$E463&lt;&gt;""),"Belum ditempatkan",""),""),IF(T463="","CEK JENIS FIXTURE kosong",IF(LEFT(T463,4)&lt;&gt;"Wall","CEK Fixture 3 hanya Wall",IF(U463="","CEK SHELVING KE kosong",IF(ISNA(MATCH(T463&amp;"|"&amp;U463,LAYOUT!$E$2:$E$80,0)),"CEK SHELVING KE di luar layout",IF($I463="","CEK SERIES kosong",IF($D463="","Zona STOCK",IF($E463="","CEK SKU DESCRIPTION kosong",IF(COUNTIFS($I$2:$I$500,$I463,T$2:T$500,"&lt;&gt;"&amp;T463,T$2:T$500,"&lt;&gt;")&gt;0,"CEK jenis fixture beda dalam satu series","OK")))))))))</f>
        <v/>
      </c>
      <c r="X463" s="11" t="n"/>
      <c r="Y463" s="11" t="n"/>
      <c r="Z463" s="12" t="n"/>
      <c r="AA463" s="12" t="n"/>
      <c r="AB463" s="11" t="n"/>
      <c r="AC463" s="11" t="n"/>
      <c r="AD463" s="11" t="n"/>
      <c r="AE463" s="11" t="n"/>
      <c r="AF463" s="11" t="n"/>
      <c r="AG463" s="11" t="n"/>
      <c r="AH463" s="12" t="n"/>
      <c r="AI463" s="12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>
        <f>IF(OR(L464="",M464=""),"",IFERROR(INDEX(LAYOUT!$D$2:$D$80,MATCH(L464&amp;"|"&amp;M464,LAYOUT!$E$2:$E$80,0)),""))</f>
        <v/>
      </c>
      <c r="O464" s="12">
        <f>IF(AND(L464="",M464=""),IF(AND(P464="",Q464="",T464="",U464=""),IF(OR($D464&lt;&gt;"",$E464&lt;&gt;""),"Belum ditempatkan",""),""),IF(L464="","CEK JENIS FIXTURE kosong",IF(AND(LEFT(L464,7)&lt;&gt;"Gondola",LEFT(L464,6)&lt;&gt;"Endcap"),"CEK Fixture 1 hanya Gondola atau Endcap",IF(M464="","CEK SHELVING KE kosong",IF(ISNA(MATCH(L464&amp;"|"&amp;M464,LAYOUT!$E$2:$E$80,0)),"CEK SHELVING KE di luar layout",IF($I464="","CEK SERIES kosong",IF($D464="","Zona STOCK",IF($E464="","CEK SKU DESCRIPTION kosong",IF(COUNTIFS($I$2:$I$500,$I464,L$2:L$500,"&lt;&gt;"&amp;L464,L$2:L$500,"&lt;&gt;")&gt;0,"CEK jenis fixture beda dalam satu series","OK")))))))))</f>
        <v/>
      </c>
      <c r="P464" s="11" t="n"/>
      <c r="Q464" s="11" t="n"/>
      <c r="R464" s="11">
        <f>IF(OR(P464="",Q464=""),"",IFERROR(INDEX(LAYOUT!$D$2:$D$80,MATCH(P464&amp;"|"&amp;Q464,LAYOUT!$E$2:$E$80,0)),""))</f>
        <v/>
      </c>
      <c r="S464" s="12">
        <f>IF(AND(P464="",Q464=""),IF(AND(L464="",M464="",T464="",U464=""),IF(OR($D464&lt;&gt;"",$E464&lt;&gt;""),"Belum ditempatkan",""),""),IF(P464="","CEK JENIS FIXTURE kosong",IF(LEFT(P464,4)&lt;&gt;"Wall","CEK Fixture 2 hanya Wall",IF(Q464="","CEK SHELVING KE kosong",IF(ISNA(MATCH(P464&amp;"|"&amp;Q464,LAYOUT!$E$2:$E$80,0)),"CEK SHELVING KE di luar layout",IF($I464="","CEK SERIES kosong",IF($D464="","Zona STOCK",IF($E464="","CEK SKU DESCRIPTION kosong",IF(COUNTIFS($I$2:$I$500,$I464,P$2:P$500,"&lt;&gt;"&amp;P464,P$2:P$500,"&lt;&gt;")&gt;0,"CEK jenis fixture beda dalam satu series","OK")))))))))</f>
        <v/>
      </c>
      <c r="T464" s="11" t="n"/>
      <c r="U464" s="11" t="n"/>
      <c r="V464" s="11">
        <f>IF(OR(T464="",U464=""),"",IFERROR(INDEX(LAYOUT!$D$2:$D$80,MATCH(T464&amp;"|"&amp;U464,LAYOUT!$E$2:$E$80,0)),""))</f>
        <v/>
      </c>
      <c r="W464" s="12">
        <f>IF(AND(T464="",U464=""),IF(AND(L464="",M464="",P464="",Q464=""),IF(OR($D464&lt;&gt;"",$E464&lt;&gt;""),"Belum ditempatkan",""),""),IF(T464="","CEK JENIS FIXTURE kosong",IF(LEFT(T464,4)&lt;&gt;"Wall","CEK Fixture 3 hanya Wall",IF(U464="","CEK SHELVING KE kosong",IF(ISNA(MATCH(T464&amp;"|"&amp;U464,LAYOUT!$E$2:$E$80,0)),"CEK SHELVING KE di luar layout",IF($I464="","CEK SERIES kosong",IF($D464="","Zona STOCK",IF($E464="","CEK SKU DESCRIPTION kosong",IF(COUNTIFS($I$2:$I$500,$I464,T$2:T$500,"&lt;&gt;"&amp;T464,T$2:T$500,"&lt;&gt;")&gt;0,"CEK jenis fixture beda dalam satu series","OK")))))))))</f>
        <v/>
      </c>
      <c r="X464" s="11" t="n"/>
      <c r="Y464" s="11" t="n"/>
      <c r="Z464" s="12" t="n"/>
      <c r="AA464" s="12" t="n"/>
      <c r="AB464" s="11" t="n"/>
      <c r="AC464" s="11" t="n"/>
      <c r="AD464" s="11" t="n"/>
      <c r="AE464" s="11" t="n"/>
      <c r="AF464" s="11" t="n"/>
      <c r="AG464" s="11" t="n"/>
      <c r="AH464" s="12" t="n"/>
      <c r="AI464" s="12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>
        <f>IF(OR(L465="",M465=""),"",IFERROR(INDEX(LAYOUT!$D$2:$D$80,MATCH(L465&amp;"|"&amp;M465,LAYOUT!$E$2:$E$80,0)),""))</f>
        <v/>
      </c>
      <c r="O465" s="12">
        <f>IF(AND(L465="",M465=""),IF(AND(P465="",Q465="",T465="",U465=""),IF(OR($D465&lt;&gt;"",$E465&lt;&gt;""),"Belum ditempatkan",""),""),IF(L465="","CEK JENIS FIXTURE kosong",IF(AND(LEFT(L465,7)&lt;&gt;"Gondola",LEFT(L465,6)&lt;&gt;"Endcap"),"CEK Fixture 1 hanya Gondola atau Endcap",IF(M465="","CEK SHELVING KE kosong",IF(ISNA(MATCH(L465&amp;"|"&amp;M465,LAYOUT!$E$2:$E$80,0)),"CEK SHELVING KE di luar layout",IF($I465="","CEK SERIES kosong",IF($D465="","Zona STOCK",IF($E465="","CEK SKU DESCRIPTION kosong",IF(COUNTIFS($I$2:$I$500,$I465,L$2:L$500,"&lt;&gt;"&amp;L465,L$2:L$500,"&lt;&gt;")&gt;0,"CEK jenis fixture beda dalam satu series","OK")))))))))</f>
        <v/>
      </c>
      <c r="P465" s="11" t="n"/>
      <c r="Q465" s="11" t="n"/>
      <c r="R465" s="11">
        <f>IF(OR(P465="",Q465=""),"",IFERROR(INDEX(LAYOUT!$D$2:$D$80,MATCH(P465&amp;"|"&amp;Q465,LAYOUT!$E$2:$E$80,0)),""))</f>
        <v/>
      </c>
      <c r="S465" s="12">
        <f>IF(AND(P465="",Q465=""),IF(AND(L465="",M465="",T465="",U465=""),IF(OR($D465&lt;&gt;"",$E465&lt;&gt;""),"Belum ditempatkan",""),""),IF(P465="","CEK JENIS FIXTURE kosong",IF(LEFT(P465,4)&lt;&gt;"Wall","CEK Fixture 2 hanya Wall",IF(Q465="","CEK SHELVING KE kosong",IF(ISNA(MATCH(P465&amp;"|"&amp;Q465,LAYOUT!$E$2:$E$80,0)),"CEK SHELVING KE di luar layout",IF($I465="","CEK SERIES kosong",IF($D465="","Zona STOCK",IF($E465="","CEK SKU DESCRIPTION kosong",IF(COUNTIFS($I$2:$I$500,$I465,P$2:P$500,"&lt;&gt;"&amp;P465,P$2:P$500,"&lt;&gt;")&gt;0,"CEK jenis fixture beda dalam satu series","OK")))))))))</f>
        <v/>
      </c>
      <c r="T465" s="11" t="n"/>
      <c r="U465" s="11" t="n"/>
      <c r="V465" s="11">
        <f>IF(OR(T465="",U465=""),"",IFERROR(INDEX(LAYOUT!$D$2:$D$80,MATCH(T465&amp;"|"&amp;U465,LAYOUT!$E$2:$E$80,0)),""))</f>
        <v/>
      </c>
      <c r="W465" s="12">
        <f>IF(AND(T465="",U465=""),IF(AND(L465="",M465="",P465="",Q465=""),IF(OR($D465&lt;&gt;"",$E465&lt;&gt;""),"Belum ditempatkan",""),""),IF(T465="","CEK JENIS FIXTURE kosong",IF(LEFT(T465,4)&lt;&gt;"Wall","CEK Fixture 3 hanya Wall",IF(U465="","CEK SHELVING KE kosong",IF(ISNA(MATCH(T465&amp;"|"&amp;U465,LAYOUT!$E$2:$E$80,0)),"CEK SHELVING KE di luar layout",IF($I465="","CEK SERIES kosong",IF($D465="","Zona STOCK",IF($E465="","CEK SKU DESCRIPTION kosong",IF(COUNTIFS($I$2:$I$500,$I465,T$2:T$500,"&lt;&gt;"&amp;T465,T$2:T$500,"&lt;&gt;")&gt;0,"CEK jenis fixture beda dalam satu series","OK")))))))))</f>
        <v/>
      </c>
      <c r="X465" s="11" t="n"/>
      <c r="Y465" s="11" t="n"/>
      <c r="Z465" s="12" t="n"/>
      <c r="AA465" s="12" t="n"/>
      <c r="AB465" s="11" t="n"/>
      <c r="AC465" s="11" t="n"/>
      <c r="AD465" s="11" t="n"/>
      <c r="AE465" s="11" t="n"/>
      <c r="AF465" s="11" t="n"/>
      <c r="AG465" s="11" t="n"/>
      <c r="AH465" s="12" t="n"/>
      <c r="AI465" s="12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>
        <f>IF(OR(L466="",M466=""),"",IFERROR(INDEX(LAYOUT!$D$2:$D$80,MATCH(L466&amp;"|"&amp;M466,LAYOUT!$E$2:$E$80,0)),""))</f>
        <v/>
      </c>
      <c r="O466" s="12">
        <f>IF(AND(L466="",M466=""),IF(AND(P466="",Q466="",T466="",U466=""),IF(OR($D466&lt;&gt;"",$E466&lt;&gt;""),"Belum ditempatkan",""),""),IF(L466="","CEK JENIS FIXTURE kosong",IF(AND(LEFT(L466,7)&lt;&gt;"Gondola",LEFT(L466,6)&lt;&gt;"Endcap"),"CEK Fixture 1 hanya Gondola atau Endcap",IF(M466="","CEK SHELVING KE kosong",IF(ISNA(MATCH(L466&amp;"|"&amp;M466,LAYOUT!$E$2:$E$80,0)),"CEK SHELVING KE di luar layout",IF($I466="","CEK SERIES kosong",IF($D466="","Zona STOCK",IF($E466="","CEK SKU DESCRIPTION kosong",IF(COUNTIFS($I$2:$I$500,$I466,L$2:L$500,"&lt;&gt;"&amp;L466,L$2:L$500,"&lt;&gt;")&gt;0,"CEK jenis fixture beda dalam satu series","OK")))))))))</f>
        <v/>
      </c>
      <c r="P466" s="11" t="n"/>
      <c r="Q466" s="11" t="n"/>
      <c r="R466" s="11">
        <f>IF(OR(P466="",Q466=""),"",IFERROR(INDEX(LAYOUT!$D$2:$D$80,MATCH(P466&amp;"|"&amp;Q466,LAYOUT!$E$2:$E$80,0)),""))</f>
        <v/>
      </c>
      <c r="S466" s="12">
        <f>IF(AND(P466="",Q466=""),IF(AND(L466="",M466="",T466="",U466=""),IF(OR($D466&lt;&gt;"",$E466&lt;&gt;""),"Belum ditempatkan",""),""),IF(P466="","CEK JENIS FIXTURE kosong",IF(LEFT(P466,4)&lt;&gt;"Wall","CEK Fixture 2 hanya Wall",IF(Q466="","CEK SHELVING KE kosong",IF(ISNA(MATCH(P466&amp;"|"&amp;Q466,LAYOUT!$E$2:$E$80,0)),"CEK SHELVING KE di luar layout",IF($I466="","CEK SERIES kosong",IF($D466="","Zona STOCK",IF($E466="","CEK SKU DESCRIPTION kosong",IF(COUNTIFS($I$2:$I$500,$I466,P$2:P$500,"&lt;&gt;"&amp;P466,P$2:P$500,"&lt;&gt;")&gt;0,"CEK jenis fixture beda dalam satu series","OK")))))))))</f>
        <v/>
      </c>
      <c r="T466" s="11" t="n"/>
      <c r="U466" s="11" t="n"/>
      <c r="V466" s="11">
        <f>IF(OR(T466="",U466=""),"",IFERROR(INDEX(LAYOUT!$D$2:$D$80,MATCH(T466&amp;"|"&amp;U466,LAYOUT!$E$2:$E$80,0)),""))</f>
        <v/>
      </c>
      <c r="W466" s="12">
        <f>IF(AND(T466="",U466=""),IF(AND(L466="",M466="",P466="",Q466=""),IF(OR($D466&lt;&gt;"",$E466&lt;&gt;""),"Belum ditempatkan",""),""),IF(T466="","CEK JENIS FIXTURE kosong",IF(LEFT(T466,4)&lt;&gt;"Wall","CEK Fixture 3 hanya Wall",IF(U466="","CEK SHELVING KE kosong",IF(ISNA(MATCH(T466&amp;"|"&amp;U466,LAYOUT!$E$2:$E$80,0)),"CEK SHELVING KE di luar layout",IF($I466="","CEK SERIES kosong",IF($D466="","Zona STOCK",IF($E466="","CEK SKU DESCRIPTION kosong",IF(COUNTIFS($I$2:$I$500,$I466,T$2:T$500,"&lt;&gt;"&amp;T466,T$2:T$500,"&lt;&gt;")&gt;0,"CEK jenis fixture beda dalam satu series","OK")))))))))</f>
        <v/>
      </c>
      <c r="X466" s="11" t="n"/>
      <c r="Y466" s="11" t="n"/>
      <c r="Z466" s="12" t="n"/>
      <c r="AA466" s="12" t="n"/>
      <c r="AB466" s="11" t="n"/>
      <c r="AC466" s="11" t="n"/>
      <c r="AD466" s="11" t="n"/>
      <c r="AE466" s="11" t="n"/>
      <c r="AF466" s="11" t="n"/>
      <c r="AG466" s="11" t="n"/>
      <c r="AH466" s="12" t="n"/>
      <c r="AI466" s="12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>
        <f>IF(OR(L467="",M467=""),"",IFERROR(INDEX(LAYOUT!$D$2:$D$80,MATCH(L467&amp;"|"&amp;M467,LAYOUT!$E$2:$E$80,0)),""))</f>
        <v/>
      </c>
      <c r="O467" s="12">
        <f>IF(AND(L467="",M467=""),IF(AND(P467="",Q467="",T467="",U467=""),IF(OR($D467&lt;&gt;"",$E467&lt;&gt;""),"Belum ditempatkan",""),""),IF(L467="","CEK JENIS FIXTURE kosong",IF(AND(LEFT(L467,7)&lt;&gt;"Gondola",LEFT(L467,6)&lt;&gt;"Endcap"),"CEK Fixture 1 hanya Gondola atau Endcap",IF(M467="","CEK SHELVING KE kosong",IF(ISNA(MATCH(L467&amp;"|"&amp;M467,LAYOUT!$E$2:$E$80,0)),"CEK SHELVING KE di luar layout",IF($I467="","CEK SERIES kosong",IF($D467="","Zona STOCK",IF($E467="","CEK SKU DESCRIPTION kosong",IF(COUNTIFS($I$2:$I$500,$I467,L$2:L$500,"&lt;&gt;"&amp;L467,L$2:L$500,"&lt;&gt;")&gt;0,"CEK jenis fixture beda dalam satu series","OK")))))))))</f>
        <v/>
      </c>
      <c r="P467" s="11" t="n"/>
      <c r="Q467" s="11" t="n"/>
      <c r="R467" s="11">
        <f>IF(OR(P467="",Q467=""),"",IFERROR(INDEX(LAYOUT!$D$2:$D$80,MATCH(P467&amp;"|"&amp;Q467,LAYOUT!$E$2:$E$80,0)),""))</f>
        <v/>
      </c>
      <c r="S467" s="12">
        <f>IF(AND(P467="",Q467=""),IF(AND(L467="",M467="",T467="",U467=""),IF(OR($D467&lt;&gt;"",$E467&lt;&gt;""),"Belum ditempatkan",""),""),IF(P467="","CEK JENIS FIXTURE kosong",IF(LEFT(P467,4)&lt;&gt;"Wall","CEK Fixture 2 hanya Wall",IF(Q467="","CEK SHELVING KE kosong",IF(ISNA(MATCH(P467&amp;"|"&amp;Q467,LAYOUT!$E$2:$E$80,0)),"CEK SHELVING KE di luar layout",IF($I467="","CEK SERIES kosong",IF($D467="","Zona STOCK",IF($E467="","CEK SKU DESCRIPTION kosong",IF(COUNTIFS($I$2:$I$500,$I467,P$2:P$500,"&lt;&gt;"&amp;P467,P$2:P$500,"&lt;&gt;")&gt;0,"CEK jenis fixture beda dalam satu series","OK")))))))))</f>
        <v/>
      </c>
      <c r="T467" s="11" t="n"/>
      <c r="U467" s="11" t="n"/>
      <c r="V467" s="11">
        <f>IF(OR(T467="",U467=""),"",IFERROR(INDEX(LAYOUT!$D$2:$D$80,MATCH(T467&amp;"|"&amp;U467,LAYOUT!$E$2:$E$80,0)),""))</f>
        <v/>
      </c>
      <c r="W467" s="12">
        <f>IF(AND(T467="",U467=""),IF(AND(L467="",M467="",P467="",Q467=""),IF(OR($D467&lt;&gt;"",$E467&lt;&gt;""),"Belum ditempatkan",""),""),IF(T467="","CEK JENIS FIXTURE kosong",IF(LEFT(T467,4)&lt;&gt;"Wall","CEK Fixture 3 hanya Wall",IF(U467="","CEK SHELVING KE kosong",IF(ISNA(MATCH(T467&amp;"|"&amp;U467,LAYOUT!$E$2:$E$80,0)),"CEK SHELVING KE di luar layout",IF($I467="","CEK SERIES kosong",IF($D467="","Zona STOCK",IF($E467="","CEK SKU DESCRIPTION kosong",IF(COUNTIFS($I$2:$I$500,$I467,T$2:T$500,"&lt;&gt;"&amp;T467,T$2:T$500,"&lt;&gt;")&gt;0,"CEK jenis fixture beda dalam satu series","OK")))))))))</f>
        <v/>
      </c>
      <c r="X467" s="11" t="n"/>
      <c r="Y467" s="11" t="n"/>
      <c r="Z467" s="12" t="n"/>
      <c r="AA467" s="12" t="n"/>
      <c r="AB467" s="11" t="n"/>
      <c r="AC467" s="11" t="n"/>
      <c r="AD467" s="11" t="n"/>
      <c r="AE467" s="11" t="n"/>
      <c r="AF467" s="11" t="n"/>
      <c r="AG467" s="11" t="n"/>
      <c r="AH467" s="12" t="n"/>
      <c r="AI467" s="12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>
        <f>IF(OR(L468="",M468=""),"",IFERROR(INDEX(LAYOUT!$D$2:$D$80,MATCH(L468&amp;"|"&amp;M468,LAYOUT!$E$2:$E$80,0)),""))</f>
        <v/>
      </c>
      <c r="O468" s="12">
        <f>IF(AND(L468="",M468=""),IF(AND(P468="",Q468="",T468="",U468=""),IF(OR($D468&lt;&gt;"",$E468&lt;&gt;""),"Belum ditempatkan",""),""),IF(L468="","CEK JENIS FIXTURE kosong",IF(AND(LEFT(L468,7)&lt;&gt;"Gondola",LEFT(L468,6)&lt;&gt;"Endcap"),"CEK Fixture 1 hanya Gondola atau Endcap",IF(M468="","CEK SHELVING KE kosong",IF(ISNA(MATCH(L468&amp;"|"&amp;M468,LAYOUT!$E$2:$E$80,0)),"CEK SHELVING KE di luar layout",IF($I468="","CEK SERIES kosong",IF($D468="","Zona STOCK",IF($E468="","CEK SKU DESCRIPTION kosong",IF(COUNTIFS($I$2:$I$500,$I468,L$2:L$500,"&lt;&gt;"&amp;L468,L$2:L$500,"&lt;&gt;")&gt;0,"CEK jenis fixture beda dalam satu series","OK")))))))))</f>
        <v/>
      </c>
      <c r="P468" s="11" t="n"/>
      <c r="Q468" s="11" t="n"/>
      <c r="R468" s="11">
        <f>IF(OR(P468="",Q468=""),"",IFERROR(INDEX(LAYOUT!$D$2:$D$80,MATCH(P468&amp;"|"&amp;Q468,LAYOUT!$E$2:$E$80,0)),""))</f>
        <v/>
      </c>
      <c r="S468" s="12">
        <f>IF(AND(P468="",Q468=""),IF(AND(L468="",M468="",T468="",U468=""),IF(OR($D468&lt;&gt;"",$E468&lt;&gt;""),"Belum ditempatkan",""),""),IF(P468="","CEK JENIS FIXTURE kosong",IF(LEFT(P468,4)&lt;&gt;"Wall","CEK Fixture 2 hanya Wall",IF(Q468="","CEK SHELVING KE kosong",IF(ISNA(MATCH(P468&amp;"|"&amp;Q468,LAYOUT!$E$2:$E$80,0)),"CEK SHELVING KE di luar layout",IF($I468="","CEK SERIES kosong",IF($D468="","Zona STOCK",IF($E468="","CEK SKU DESCRIPTION kosong",IF(COUNTIFS($I$2:$I$500,$I468,P$2:P$500,"&lt;&gt;"&amp;P468,P$2:P$500,"&lt;&gt;")&gt;0,"CEK jenis fixture beda dalam satu series","OK")))))))))</f>
        <v/>
      </c>
      <c r="T468" s="11" t="n"/>
      <c r="U468" s="11" t="n"/>
      <c r="V468" s="11">
        <f>IF(OR(T468="",U468=""),"",IFERROR(INDEX(LAYOUT!$D$2:$D$80,MATCH(T468&amp;"|"&amp;U468,LAYOUT!$E$2:$E$80,0)),""))</f>
        <v/>
      </c>
      <c r="W468" s="12">
        <f>IF(AND(T468="",U468=""),IF(AND(L468="",M468="",P468="",Q468=""),IF(OR($D468&lt;&gt;"",$E468&lt;&gt;""),"Belum ditempatkan",""),""),IF(T468="","CEK JENIS FIXTURE kosong",IF(LEFT(T468,4)&lt;&gt;"Wall","CEK Fixture 3 hanya Wall",IF(U468="","CEK SHELVING KE kosong",IF(ISNA(MATCH(T468&amp;"|"&amp;U468,LAYOUT!$E$2:$E$80,0)),"CEK SHELVING KE di luar layout",IF($I468="","CEK SERIES kosong",IF($D468="","Zona STOCK",IF($E468="","CEK SKU DESCRIPTION kosong",IF(COUNTIFS($I$2:$I$500,$I468,T$2:T$500,"&lt;&gt;"&amp;T468,T$2:T$500,"&lt;&gt;")&gt;0,"CEK jenis fixture beda dalam satu series","OK")))))))))</f>
        <v/>
      </c>
      <c r="X468" s="11" t="n"/>
      <c r="Y468" s="11" t="n"/>
      <c r="Z468" s="12" t="n"/>
      <c r="AA468" s="12" t="n"/>
      <c r="AB468" s="11" t="n"/>
      <c r="AC468" s="11" t="n"/>
      <c r="AD468" s="11" t="n"/>
      <c r="AE468" s="11" t="n"/>
      <c r="AF468" s="11" t="n"/>
      <c r="AG468" s="11" t="n"/>
      <c r="AH468" s="12" t="n"/>
      <c r="AI468" s="12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>
        <f>IF(OR(L469="",M469=""),"",IFERROR(INDEX(LAYOUT!$D$2:$D$80,MATCH(L469&amp;"|"&amp;M469,LAYOUT!$E$2:$E$80,0)),""))</f>
        <v/>
      </c>
      <c r="O469" s="12">
        <f>IF(AND(L469="",M469=""),IF(AND(P469="",Q469="",T469="",U469=""),IF(OR($D469&lt;&gt;"",$E469&lt;&gt;""),"Belum ditempatkan",""),""),IF(L469="","CEK JENIS FIXTURE kosong",IF(AND(LEFT(L469,7)&lt;&gt;"Gondola",LEFT(L469,6)&lt;&gt;"Endcap"),"CEK Fixture 1 hanya Gondola atau Endcap",IF(M469="","CEK SHELVING KE kosong",IF(ISNA(MATCH(L469&amp;"|"&amp;M469,LAYOUT!$E$2:$E$80,0)),"CEK SHELVING KE di luar layout",IF($I469="","CEK SERIES kosong",IF($D469="","Zona STOCK",IF($E469="","CEK SKU DESCRIPTION kosong",IF(COUNTIFS($I$2:$I$500,$I469,L$2:L$500,"&lt;&gt;"&amp;L469,L$2:L$500,"&lt;&gt;")&gt;0,"CEK jenis fixture beda dalam satu series","OK")))))))))</f>
        <v/>
      </c>
      <c r="P469" s="11" t="n"/>
      <c r="Q469" s="11" t="n"/>
      <c r="R469" s="11">
        <f>IF(OR(P469="",Q469=""),"",IFERROR(INDEX(LAYOUT!$D$2:$D$80,MATCH(P469&amp;"|"&amp;Q469,LAYOUT!$E$2:$E$80,0)),""))</f>
        <v/>
      </c>
      <c r="S469" s="12">
        <f>IF(AND(P469="",Q469=""),IF(AND(L469="",M469="",T469="",U469=""),IF(OR($D469&lt;&gt;"",$E469&lt;&gt;""),"Belum ditempatkan",""),""),IF(P469="","CEK JENIS FIXTURE kosong",IF(LEFT(P469,4)&lt;&gt;"Wall","CEK Fixture 2 hanya Wall",IF(Q469="","CEK SHELVING KE kosong",IF(ISNA(MATCH(P469&amp;"|"&amp;Q469,LAYOUT!$E$2:$E$80,0)),"CEK SHELVING KE di luar layout",IF($I469="","CEK SERIES kosong",IF($D469="","Zona STOCK",IF($E469="","CEK SKU DESCRIPTION kosong",IF(COUNTIFS($I$2:$I$500,$I469,P$2:P$500,"&lt;&gt;"&amp;P469,P$2:P$500,"&lt;&gt;")&gt;0,"CEK jenis fixture beda dalam satu series","OK")))))))))</f>
        <v/>
      </c>
      <c r="T469" s="11" t="n"/>
      <c r="U469" s="11" t="n"/>
      <c r="V469" s="11">
        <f>IF(OR(T469="",U469=""),"",IFERROR(INDEX(LAYOUT!$D$2:$D$80,MATCH(T469&amp;"|"&amp;U469,LAYOUT!$E$2:$E$80,0)),""))</f>
        <v/>
      </c>
      <c r="W469" s="12">
        <f>IF(AND(T469="",U469=""),IF(AND(L469="",M469="",P469="",Q469=""),IF(OR($D469&lt;&gt;"",$E469&lt;&gt;""),"Belum ditempatkan",""),""),IF(T469="","CEK JENIS FIXTURE kosong",IF(LEFT(T469,4)&lt;&gt;"Wall","CEK Fixture 3 hanya Wall",IF(U469="","CEK SHELVING KE kosong",IF(ISNA(MATCH(T469&amp;"|"&amp;U469,LAYOUT!$E$2:$E$80,0)),"CEK SHELVING KE di luar layout",IF($I469="","CEK SERIES kosong",IF($D469="","Zona STOCK",IF($E469="","CEK SKU DESCRIPTION kosong",IF(COUNTIFS($I$2:$I$500,$I469,T$2:T$500,"&lt;&gt;"&amp;T469,T$2:T$500,"&lt;&gt;")&gt;0,"CEK jenis fixture beda dalam satu series","OK")))))))))</f>
        <v/>
      </c>
      <c r="X469" s="11" t="n"/>
      <c r="Y469" s="11" t="n"/>
      <c r="Z469" s="12" t="n"/>
      <c r="AA469" s="12" t="n"/>
      <c r="AB469" s="11" t="n"/>
      <c r="AC469" s="11" t="n"/>
      <c r="AD469" s="11" t="n"/>
      <c r="AE469" s="11" t="n"/>
      <c r="AF469" s="11" t="n"/>
      <c r="AG469" s="11" t="n"/>
      <c r="AH469" s="12" t="n"/>
      <c r="AI469" s="12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>
        <f>IF(OR(L470="",M470=""),"",IFERROR(INDEX(LAYOUT!$D$2:$D$80,MATCH(L470&amp;"|"&amp;M470,LAYOUT!$E$2:$E$80,0)),""))</f>
        <v/>
      </c>
      <c r="O470" s="12">
        <f>IF(AND(L470="",M470=""),IF(AND(P470="",Q470="",T470="",U470=""),IF(OR($D470&lt;&gt;"",$E470&lt;&gt;""),"Belum ditempatkan",""),""),IF(L470="","CEK JENIS FIXTURE kosong",IF(AND(LEFT(L470,7)&lt;&gt;"Gondola",LEFT(L470,6)&lt;&gt;"Endcap"),"CEK Fixture 1 hanya Gondola atau Endcap",IF(M470="","CEK SHELVING KE kosong",IF(ISNA(MATCH(L470&amp;"|"&amp;M470,LAYOUT!$E$2:$E$80,0)),"CEK SHELVING KE di luar layout",IF($I470="","CEK SERIES kosong",IF($D470="","Zona STOCK",IF($E470="","CEK SKU DESCRIPTION kosong",IF(COUNTIFS($I$2:$I$500,$I470,L$2:L$500,"&lt;&gt;"&amp;L470,L$2:L$500,"&lt;&gt;")&gt;0,"CEK jenis fixture beda dalam satu series","OK")))))))))</f>
        <v/>
      </c>
      <c r="P470" s="11" t="n"/>
      <c r="Q470" s="11" t="n"/>
      <c r="R470" s="11">
        <f>IF(OR(P470="",Q470=""),"",IFERROR(INDEX(LAYOUT!$D$2:$D$80,MATCH(P470&amp;"|"&amp;Q470,LAYOUT!$E$2:$E$80,0)),""))</f>
        <v/>
      </c>
      <c r="S470" s="12">
        <f>IF(AND(P470="",Q470=""),IF(AND(L470="",M470="",T470="",U470=""),IF(OR($D470&lt;&gt;"",$E470&lt;&gt;""),"Belum ditempatkan",""),""),IF(P470="","CEK JENIS FIXTURE kosong",IF(LEFT(P470,4)&lt;&gt;"Wall","CEK Fixture 2 hanya Wall",IF(Q470="","CEK SHELVING KE kosong",IF(ISNA(MATCH(P470&amp;"|"&amp;Q470,LAYOUT!$E$2:$E$80,0)),"CEK SHELVING KE di luar layout",IF($I470="","CEK SERIES kosong",IF($D470="","Zona STOCK",IF($E470="","CEK SKU DESCRIPTION kosong",IF(COUNTIFS($I$2:$I$500,$I470,P$2:P$500,"&lt;&gt;"&amp;P470,P$2:P$500,"&lt;&gt;")&gt;0,"CEK jenis fixture beda dalam satu series","OK")))))))))</f>
        <v/>
      </c>
      <c r="T470" s="11" t="n"/>
      <c r="U470" s="11" t="n"/>
      <c r="V470" s="11">
        <f>IF(OR(T470="",U470=""),"",IFERROR(INDEX(LAYOUT!$D$2:$D$80,MATCH(T470&amp;"|"&amp;U470,LAYOUT!$E$2:$E$80,0)),""))</f>
        <v/>
      </c>
      <c r="W470" s="12">
        <f>IF(AND(T470="",U470=""),IF(AND(L470="",M470="",P470="",Q470=""),IF(OR($D470&lt;&gt;"",$E470&lt;&gt;""),"Belum ditempatkan",""),""),IF(T470="","CEK JENIS FIXTURE kosong",IF(LEFT(T470,4)&lt;&gt;"Wall","CEK Fixture 3 hanya Wall",IF(U470="","CEK SHELVING KE kosong",IF(ISNA(MATCH(T470&amp;"|"&amp;U470,LAYOUT!$E$2:$E$80,0)),"CEK SHELVING KE di luar layout",IF($I470="","CEK SERIES kosong",IF($D470="","Zona STOCK",IF($E470="","CEK SKU DESCRIPTION kosong",IF(COUNTIFS($I$2:$I$500,$I470,T$2:T$500,"&lt;&gt;"&amp;T470,T$2:T$500,"&lt;&gt;")&gt;0,"CEK jenis fixture beda dalam satu series","OK")))))))))</f>
        <v/>
      </c>
      <c r="X470" s="11" t="n"/>
      <c r="Y470" s="11" t="n"/>
      <c r="Z470" s="12" t="n"/>
      <c r="AA470" s="12" t="n"/>
      <c r="AB470" s="11" t="n"/>
      <c r="AC470" s="11" t="n"/>
      <c r="AD470" s="11" t="n"/>
      <c r="AE470" s="11" t="n"/>
      <c r="AF470" s="11" t="n"/>
      <c r="AG470" s="11" t="n"/>
      <c r="AH470" s="12" t="n"/>
      <c r="AI470" s="12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>
        <f>IF(OR(L471="",M471=""),"",IFERROR(INDEX(LAYOUT!$D$2:$D$80,MATCH(L471&amp;"|"&amp;M471,LAYOUT!$E$2:$E$80,0)),""))</f>
        <v/>
      </c>
      <c r="O471" s="12">
        <f>IF(AND(L471="",M471=""),IF(AND(P471="",Q471="",T471="",U471=""),IF(OR($D471&lt;&gt;"",$E471&lt;&gt;""),"Belum ditempatkan",""),""),IF(L471="","CEK JENIS FIXTURE kosong",IF(AND(LEFT(L471,7)&lt;&gt;"Gondola",LEFT(L471,6)&lt;&gt;"Endcap"),"CEK Fixture 1 hanya Gondola atau Endcap",IF(M471="","CEK SHELVING KE kosong",IF(ISNA(MATCH(L471&amp;"|"&amp;M471,LAYOUT!$E$2:$E$80,0)),"CEK SHELVING KE di luar layout",IF($I471="","CEK SERIES kosong",IF($D471="","Zona STOCK",IF($E471="","CEK SKU DESCRIPTION kosong",IF(COUNTIFS($I$2:$I$500,$I471,L$2:L$500,"&lt;&gt;"&amp;L471,L$2:L$500,"&lt;&gt;")&gt;0,"CEK jenis fixture beda dalam satu series","OK")))))))))</f>
        <v/>
      </c>
      <c r="P471" s="11" t="n"/>
      <c r="Q471" s="11" t="n"/>
      <c r="R471" s="11">
        <f>IF(OR(P471="",Q471=""),"",IFERROR(INDEX(LAYOUT!$D$2:$D$80,MATCH(P471&amp;"|"&amp;Q471,LAYOUT!$E$2:$E$80,0)),""))</f>
        <v/>
      </c>
      <c r="S471" s="12">
        <f>IF(AND(P471="",Q471=""),IF(AND(L471="",M471="",T471="",U471=""),IF(OR($D471&lt;&gt;"",$E471&lt;&gt;""),"Belum ditempatkan",""),""),IF(P471="","CEK JENIS FIXTURE kosong",IF(LEFT(P471,4)&lt;&gt;"Wall","CEK Fixture 2 hanya Wall",IF(Q471="","CEK SHELVING KE kosong",IF(ISNA(MATCH(P471&amp;"|"&amp;Q471,LAYOUT!$E$2:$E$80,0)),"CEK SHELVING KE di luar layout",IF($I471="","CEK SERIES kosong",IF($D471="","Zona STOCK",IF($E471="","CEK SKU DESCRIPTION kosong",IF(COUNTIFS($I$2:$I$500,$I471,P$2:P$500,"&lt;&gt;"&amp;P471,P$2:P$500,"&lt;&gt;")&gt;0,"CEK jenis fixture beda dalam satu series","OK")))))))))</f>
        <v/>
      </c>
      <c r="T471" s="11" t="n"/>
      <c r="U471" s="11" t="n"/>
      <c r="V471" s="11">
        <f>IF(OR(T471="",U471=""),"",IFERROR(INDEX(LAYOUT!$D$2:$D$80,MATCH(T471&amp;"|"&amp;U471,LAYOUT!$E$2:$E$80,0)),""))</f>
        <v/>
      </c>
      <c r="W471" s="12">
        <f>IF(AND(T471="",U471=""),IF(AND(L471="",M471="",P471="",Q471=""),IF(OR($D471&lt;&gt;"",$E471&lt;&gt;""),"Belum ditempatkan",""),""),IF(T471="","CEK JENIS FIXTURE kosong",IF(LEFT(T471,4)&lt;&gt;"Wall","CEK Fixture 3 hanya Wall",IF(U471="","CEK SHELVING KE kosong",IF(ISNA(MATCH(T471&amp;"|"&amp;U471,LAYOUT!$E$2:$E$80,0)),"CEK SHELVING KE di luar layout",IF($I471="","CEK SERIES kosong",IF($D471="","Zona STOCK",IF($E471="","CEK SKU DESCRIPTION kosong",IF(COUNTIFS($I$2:$I$500,$I471,T$2:T$500,"&lt;&gt;"&amp;T471,T$2:T$500,"&lt;&gt;")&gt;0,"CEK jenis fixture beda dalam satu series","OK")))))))))</f>
        <v/>
      </c>
      <c r="X471" s="11" t="n"/>
      <c r="Y471" s="11" t="n"/>
      <c r="Z471" s="12" t="n"/>
      <c r="AA471" s="12" t="n"/>
      <c r="AB471" s="11" t="n"/>
      <c r="AC471" s="11" t="n"/>
      <c r="AD471" s="11" t="n"/>
      <c r="AE471" s="11" t="n"/>
      <c r="AF471" s="11" t="n"/>
      <c r="AG471" s="11" t="n"/>
      <c r="AH471" s="12" t="n"/>
      <c r="AI471" s="12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>
        <f>IF(OR(L472="",M472=""),"",IFERROR(INDEX(LAYOUT!$D$2:$D$80,MATCH(L472&amp;"|"&amp;M472,LAYOUT!$E$2:$E$80,0)),""))</f>
        <v/>
      </c>
      <c r="O472" s="12">
        <f>IF(AND(L472="",M472=""),IF(AND(P472="",Q472="",T472="",U472=""),IF(OR($D472&lt;&gt;"",$E472&lt;&gt;""),"Belum ditempatkan",""),""),IF(L472="","CEK JENIS FIXTURE kosong",IF(AND(LEFT(L472,7)&lt;&gt;"Gondola",LEFT(L472,6)&lt;&gt;"Endcap"),"CEK Fixture 1 hanya Gondola atau Endcap",IF(M472="","CEK SHELVING KE kosong",IF(ISNA(MATCH(L472&amp;"|"&amp;M472,LAYOUT!$E$2:$E$80,0)),"CEK SHELVING KE di luar layout",IF($I472="","CEK SERIES kosong",IF($D472="","Zona STOCK",IF($E472="","CEK SKU DESCRIPTION kosong",IF(COUNTIFS($I$2:$I$500,$I472,L$2:L$500,"&lt;&gt;"&amp;L472,L$2:L$500,"&lt;&gt;")&gt;0,"CEK jenis fixture beda dalam satu series","OK")))))))))</f>
        <v/>
      </c>
      <c r="P472" s="11" t="n"/>
      <c r="Q472" s="11" t="n"/>
      <c r="R472" s="11">
        <f>IF(OR(P472="",Q472=""),"",IFERROR(INDEX(LAYOUT!$D$2:$D$80,MATCH(P472&amp;"|"&amp;Q472,LAYOUT!$E$2:$E$80,0)),""))</f>
        <v/>
      </c>
      <c r="S472" s="12">
        <f>IF(AND(P472="",Q472=""),IF(AND(L472="",M472="",T472="",U472=""),IF(OR($D472&lt;&gt;"",$E472&lt;&gt;""),"Belum ditempatkan",""),""),IF(P472="","CEK JENIS FIXTURE kosong",IF(LEFT(P472,4)&lt;&gt;"Wall","CEK Fixture 2 hanya Wall",IF(Q472="","CEK SHELVING KE kosong",IF(ISNA(MATCH(P472&amp;"|"&amp;Q472,LAYOUT!$E$2:$E$80,0)),"CEK SHELVING KE di luar layout",IF($I472="","CEK SERIES kosong",IF($D472="","Zona STOCK",IF($E472="","CEK SKU DESCRIPTION kosong",IF(COUNTIFS($I$2:$I$500,$I472,P$2:P$500,"&lt;&gt;"&amp;P472,P$2:P$500,"&lt;&gt;")&gt;0,"CEK jenis fixture beda dalam satu series","OK")))))))))</f>
        <v/>
      </c>
      <c r="T472" s="11" t="n"/>
      <c r="U472" s="11" t="n"/>
      <c r="V472" s="11">
        <f>IF(OR(T472="",U472=""),"",IFERROR(INDEX(LAYOUT!$D$2:$D$80,MATCH(T472&amp;"|"&amp;U472,LAYOUT!$E$2:$E$80,0)),""))</f>
        <v/>
      </c>
      <c r="W472" s="12">
        <f>IF(AND(T472="",U472=""),IF(AND(L472="",M472="",P472="",Q472=""),IF(OR($D472&lt;&gt;"",$E472&lt;&gt;""),"Belum ditempatkan",""),""),IF(T472="","CEK JENIS FIXTURE kosong",IF(LEFT(T472,4)&lt;&gt;"Wall","CEK Fixture 3 hanya Wall",IF(U472="","CEK SHELVING KE kosong",IF(ISNA(MATCH(T472&amp;"|"&amp;U472,LAYOUT!$E$2:$E$80,0)),"CEK SHELVING KE di luar layout",IF($I472="","CEK SERIES kosong",IF($D472="","Zona STOCK",IF($E472="","CEK SKU DESCRIPTION kosong",IF(COUNTIFS($I$2:$I$500,$I472,T$2:T$500,"&lt;&gt;"&amp;T472,T$2:T$500,"&lt;&gt;")&gt;0,"CEK jenis fixture beda dalam satu series","OK")))))))))</f>
        <v/>
      </c>
      <c r="X472" s="11" t="n"/>
      <c r="Y472" s="11" t="n"/>
      <c r="Z472" s="12" t="n"/>
      <c r="AA472" s="12" t="n"/>
      <c r="AB472" s="11" t="n"/>
      <c r="AC472" s="11" t="n"/>
      <c r="AD472" s="11" t="n"/>
      <c r="AE472" s="11" t="n"/>
      <c r="AF472" s="11" t="n"/>
      <c r="AG472" s="11" t="n"/>
      <c r="AH472" s="12" t="n"/>
      <c r="AI472" s="12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>
        <f>IF(OR(L473="",M473=""),"",IFERROR(INDEX(LAYOUT!$D$2:$D$80,MATCH(L473&amp;"|"&amp;M473,LAYOUT!$E$2:$E$80,0)),""))</f>
        <v/>
      </c>
      <c r="O473" s="12">
        <f>IF(AND(L473="",M473=""),IF(AND(P473="",Q473="",T473="",U473=""),IF(OR($D473&lt;&gt;"",$E473&lt;&gt;""),"Belum ditempatkan",""),""),IF(L473="","CEK JENIS FIXTURE kosong",IF(AND(LEFT(L473,7)&lt;&gt;"Gondola",LEFT(L473,6)&lt;&gt;"Endcap"),"CEK Fixture 1 hanya Gondola atau Endcap",IF(M473="","CEK SHELVING KE kosong",IF(ISNA(MATCH(L473&amp;"|"&amp;M473,LAYOUT!$E$2:$E$80,0)),"CEK SHELVING KE di luar layout",IF($I473="","CEK SERIES kosong",IF($D473="","Zona STOCK",IF($E473="","CEK SKU DESCRIPTION kosong",IF(COUNTIFS($I$2:$I$500,$I473,L$2:L$500,"&lt;&gt;"&amp;L473,L$2:L$500,"&lt;&gt;")&gt;0,"CEK jenis fixture beda dalam satu series","OK")))))))))</f>
        <v/>
      </c>
      <c r="P473" s="11" t="n"/>
      <c r="Q473" s="11" t="n"/>
      <c r="R473" s="11">
        <f>IF(OR(P473="",Q473=""),"",IFERROR(INDEX(LAYOUT!$D$2:$D$80,MATCH(P473&amp;"|"&amp;Q473,LAYOUT!$E$2:$E$80,0)),""))</f>
        <v/>
      </c>
      <c r="S473" s="12">
        <f>IF(AND(P473="",Q473=""),IF(AND(L473="",M473="",T473="",U473=""),IF(OR($D473&lt;&gt;"",$E473&lt;&gt;""),"Belum ditempatkan",""),""),IF(P473="","CEK JENIS FIXTURE kosong",IF(LEFT(P473,4)&lt;&gt;"Wall","CEK Fixture 2 hanya Wall",IF(Q473="","CEK SHELVING KE kosong",IF(ISNA(MATCH(P473&amp;"|"&amp;Q473,LAYOUT!$E$2:$E$80,0)),"CEK SHELVING KE di luar layout",IF($I473="","CEK SERIES kosong",IF($D473="","Zona STOCK",IF($E473="","CEK SKU DESCRIPTION kosong",IF(COUNTIFS($I$2:$I$500,$I473,P$2:P$500,"&lt;&gt;"&amp;P473,P$2:P$500,"&lt;&gt;")&gt;0,"CEK jenis fixture beda dalam satu series","OK")))))))))</f>
        <v/>
      </c>
      <c r="T473" s="11" t="n"/>
      <c r="U473" s="11" t="n"/>
      <c r="V473" s="11">
        <f>IF(OR(T473="",U473=""),"",IFERROR(INDEX(LAYOUT!$D$2:$D$80,MATCH(T473&amp;"|"&amp;U473,LAYOUT!$E$2:$E$80,0)),""))</f>
        <v/>
      </c>
      <c r="W473" s="12">
        <f>IF(AND(T473="",U473=""),IF(AND(L473="",M473="",P473="",Q473=""),IF(OR($D473&lt;&gt;"",$E473&lt;&gt;""),"Belum ditempatkan",""),""),IF(T473="","CEK JENIS FIXTURE kosong",IF(LEFT(T473,4)&lt;&gt;"Wall","CEK Fixture 3 hanya Wall",IF(U473="","CEK SHELVING KE kosong",IF(ISNA(MATCH(T473&amp;"|"&amp;U473,LAYOUT!$E$2:$E$80,0)),"CEK SHELVING KE di luar layout",IF($I473="","CEK SERIES kosong",IF($D473="","Zona STOCK",IF($E473="","CEK SKU DESCRIPTION kosong",IF(COUNTIFS($I$2:$I$500,$I473,T$2:T$500,"&lt;&gt;"&amp;T473,T$2:T$500,"&lt;&gt;")&gt;0,"CEK jenis fixture beda dalam satu series","OK")))))))))</f>
        <v/>
      </c>
      <c r="X473" s="11" t="n"/>
      <c r="Y473" s="11" t="n"/>
      <c r="Z473" s="12" t="n"/>
      <c r="AA473" s="12" t="n"/>
      <c r="AB473" s="11" t="n"/>
      <c r="AC473" s="11" t="n"/>
      <c r="AD473" s="11" t="n"/>
      <c r="AE473" s="11" t="n"/>
      <c r="AF473" s="11" t="n"/>
      <c r="AG473" s="11" t="n"/>
      <c r="AH473" s="12" t="n"/>
      <c r="AI473" s="12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>
        <f>IF(OR(L474="",M474=""),"",IFERROR(INDEX(LAYOUT!$D$2:$D$80,MATCH(L474&amp;"|"&amp;M474,LAYOUT!$E$2:$E$80,0)),""))</f>
        <v/>
      </c>
      <c r="O474" s="12">
        <f>IF(AND(L474="",M474=""),IF(AND(P474="",Q474="",T474="",U474=""),IF(OR($D474&lt;&gt;"",$E474&lt;&gt;""),"Belum ditempatkan",""),""),IF(L474="","CEK JENIS FIXTURE kosong",IF(AND(LEFT(L474,7)&lt;&gt;"Gondola",LEFT(L474,6)&lt;&gt;"Endcap"),"CEK Fixture 1 hanya Gondola atau Endcap",IF(M474="","CEK SHELVING KE kosong",IF(ISNA(MATCH(L474&amp;"|"&amp;M474,LAYOUT!$E$2:$E$80,0)),"CEK SHELVING KE di luar layout",IF($I474="","CEK SERIES kosong",IF($D474="","Zona STOCK",IF($E474="","CEK SKU DESCRIPTION kosong",IF(COUNTIFS($I$2:$I$500,$I474,L$2:L$500,"&lt;&gt;"&amp;L474,L$2:L$500,"&lt;&gt;")&gt;0,"CEK jenis fixture beda dalam satu series","OK")))))))))</f>
        <v/>
      </c>
      <c r="P474" s="11" t="n"/>
      <c r="Q474" s="11" t="n"/>
      <c r="R474" s="11">
        <f>IF(OR(P474="",Q474=""),"",IFERROR(INDEX(LAYOUT!$D$2:$D$80,MATCH(P474&amp;"|"&amp;Q474,LAYOUT!$E$2:$E$80,0)),""))</f>
        <v/>
      </c>
      <c r="S474" s="12">
        <f>IF(AND(P474="",Q474=""),IF(AND(L474="",M474="",T474="",U474=""),IF(OR($D474&lt;&gt;"",$E474&lt;&gt;""),"Belum ditempatkan",""),""),IF(P474="","CEK JENIS FIXTURE kosong",IF(LEFT(P474,4)&lt;&gt;"Wall","CEK Fixture 2 hanya Wall",IF(Q474="","CEK SHELVING KE kosong",IF(ISNA(MATCH(P474&amp;"|"&amp;Q474,LAYOUT!$E$2:$E$80,0)),"CEK SHELVING KE di luar layout",IF($I474="","CEK SERIES kosong",IF($D474="","Zona STOCK",IF($E474="","CEK SKU DESCRIPTION kosong",IF(COUNTIFS($I$2:$I$500,$I474,P$2:P$500,"&lt;&gt;"&amp;P474,P$2:P$500,"&lt;&gt;")&gt;0,"CEK jenis fixture beda dalam satu series","OK")))))))))</f>
        <v/>
      </c>
      <c r="T474" s="11" t="n"/>
      <c r="U474" s="11" t="n"/>
      <c r="V474" s="11">
        <f>IF(OR(T474="",U474=""),"",IFERROR(INDEX(LAYOUT!$D$2:$D$80,MATCH(T474&amp;"|"&amp;U474,LAYOUT!$E$2:$E$80,0)),""))</f>
        <v/>
      </c>
      <c r="W474" s="12">
        <f>IF(AND(T474="",U474=""),IF(AND(L474="",M474="",P474="",Q474=""),IF(OR($D474&lt;&gt;"",$E474&lt;&gt;""),"Belum ditempatkan",""),""),IF(T474="","CEK JENIS FIXTURE kosong",IF(LEFT(T474,4)&lt;&gt;"Wall","CEK Fixture 3 hanya Wall",IF(U474="","CEK SHELVING KE kosong",IF(ISNA(MATCH(T474&amp;"|"&amp;U474,LAYOUT!$E$2:$E$80,0)),"CEK SHELVING KE di luar layout",IF($I474="","CEK SERIES kosong",IF($D474="","Zona STOCK",IF($E474="","CEK SKU DESCRIPTION kosong",IF(COUNTIFS($I$2:$I$500,$I474,T$2:T$500,"&lt;&gt;"&amp;T474,T$2:T$500,"&lt;&gt;")&gt;0,"CEK jenis fixture beda dalam satu series","OK")))))))))</f>
        <v/>
      </c>
      <c r="X474" s="11" t="n"/>
      <c r="Y474" s="11" t="n"/>
      <c r="Z474" s="12" t="n"/>
      <c r="AA474" s="12" t="n"/>
      <c r="AB474" s="11" t="n"/>
      <c r="AC474" s="11" t="n"/>
      <c r="AD474" s="11" t="n"/>
      <c r="AE474" s="11" t="n"/>
      <c r="AF474" s="11" t="n"/>
      <c r="AG474" s="11" t="n"/>
      <c r="AH474" s="12" t="n"/>
      <c r="AI474" s="12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>
        <f>IF(OR(L475="",M475=""),"",IFERROR(INDEX(LAYOUT!$D$2:$D$80,MATCH(L475&amp;"|"&amp;M475,LAYOUT!$E$2:$E$80,0)),""))</f>
        <v/>
      </c>
      <c r="O475" s="12">
        <f>IF(AND(L475="",M475=""),IF(AND(P475="",Q475="",T475="",U475=""),IF(OR($D475&lt;&gt;"",$E475&lt;&gt;""),"Belum ditempatkan",""),""),IF(L475="","CEK JENIS FIXTURE kosong",IF(AND(LEFT(L475,7)&lt;&gt;"Gondola",LEFT(L475,6)&lt;&gt;"Endcap"),"CEK Fixture 1 hanya Gondola atau Endcap",IF(M475="","CEK SHELVING KE kosong",IF(ISNA(MATCH(L475&amp;"|"&amp;M475,LAYOUT!$E$2:$E$80,0)),"CEK SHELVING KE di luar layout",IF($I475="","CEK SERIES kosong",IF($D475="","Zona STOCK",IF($E475="","CEK SKU DESCRIPTION kosong",IF(COUNTIFS($I$2:$I$500,$I475,L$2:L$500,"&lt;&gt;"&amp;L475,L$2:L$500,"&lt;&gt;")&gt;0,"CEK jenis fixture beda dalam satu series","OK")))))))))</f>
        <v/>
      </c>
      <c r="P475" s="11" t="n"/>
      <c r="Q475" s="11" t="n"/>
      <c r="R475" s="11">
        <f>IF(OR(P475="",Q475=""),"",IFERROR(INDEX(LAYOUT!$D$2:$D$80,MATCH(P475&amp;"|"&amp;Q475,LAYOUT!$E$2:$E$80,0)),""))</f>
        <v/>
      </c>
      <c r="S475" s="12">
        <f>IF(AND(P475="",Q475=""),IF(AND(L475="",M475="",T475="",U475=""),IF(OR($D475&lt;&gt;"",$E475&lt;&gt;""),"Belum ditempatkan",""),""),IF(P475="","CEK JENIS FIXTURE kosong",IF(LEFT(P475,4)&lt;&gt;"Wall","CEK Fixture 2 hanya Wall",IF(Q475="","CEK SHELVING KE kosong",IF(ISNA(MATCH(P475&amp;"|"&amp;Q475,LAYOUT!$E$2:$E$80,0)),"CEK SHELVING KE di luar layout",IF($I475="","CEK SERIES kosong",IF($D475="","Zona STOCK",IF($E475="","CEK SKU DESCRIPTION kosong",IF(COUNTIFS($I$2:$I$500,$I475,P$2:P$500,"&lt;&gt;"&amp;P475,P$2:P$500,"&lt;&gt;")&gt;0,"CEK jenis fixture beda dalam satu series","OK")))))))))</f>
        <v/>
      </c>
      <c r="T475" s="11" t="n"/>
      <c r="U475" s="11" t="n"/>
      <c r="V475" s="11">
        <f>IF(OR(T475="",U475=""),"",IFERROR(INDEX(LAYOUT!$D$2:$D$80,MATCH(T475&amp;"|"&amp;U475,LAYOUT!$E$2:$E$80,0)),""))</f>
        <v/>
      </c>
      <c r="W475" s="12">
        <f>IF(AND(T475="",U475=""),IF(AND(L475="",M475="",P475="",Q475=""),IF(OR($D475&lt;&gt;"",$E475&lt;&gt;""),"Belum ditempatkan",""),""),IF(T475="","CEK JENIS FIXTURE kosong",IF(LEFT(T475,4)&lt;&gt;"Wall","CEK Fixture 3 hanya Wall",IF(U475="","CEK SHELVING KE kosong",IF(ISNA(MATCH(T475&amp;"|"&amp;U475,LAYOUT!$E$2:$E$80,0)),"CEK SHELVING KE di luar layout",IF($I475="","CEK SERIES kosong",IF($D475="","Zona STOCK",IF($E475="","CEK SKU DESCRIPTION kosong",IF(COUNTIFS($I$2:$I$500,$I475,T$2:T$500,"&lt;&gt;"&amp;T475,T$2:T$500,"&lt;&gt;")&gt;0,"CEK jenis fixture beda dalam satu series","OK")))))))))</f>
        <v/>
      </c>
      <c r="X475" s="11" t="n"/>
      <c r="Y475" s="11" t="n"/>
      <c r="Z475" s="12" t="n"/>
      <c r="AA475" s="12" t="n"/>
      <c r="AB475" s="11" t="n"/>
      <c r="AC475" s="11" t="n"/>
      <c r="AD475" s="11" t="n"/>
      <c r="AE475" s="11" t="n"/>
      <c r="AF475" s="11" t="n"/>
      <c r="AG475" s="11" t="n"/>
      <c r="AH475" s="12" t="n"/>
      <c r="AI475" s="12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>
        <f>IF(OR(L476="",M476=""),"",IFERROR(INDEX(LAYOUT!$D$2:$D$80,MATCH(L476&amp;"|"&amp;M476,LAYOUT!$E$2:$E$80,0)),""))</f>
        <v/>
      </c>
      <c r="O476" s="12">
        <f>IF(AND(L476="",M476=""),IF(AND(P476="",Q476="",T476="",U476=""),IF(OR($D476&lt;&gt;"",$E476&lt;&gt;""),"Belum ditempatkan",""),""),IF(L476="","CEK JENIS FIXTURE kosong",IF(AND(LEFT(L476,7)&lt;&gt;"Gondola",LEFT(L476,6)&lt;&gt;"Endcap"),"CEK Fixture 1 hanya Gondola atau Endcap",IF(M476="","CEK SHELVING KE kosong",IF(ISNA(MATCH(L476&amp;"|"&amp;M476,LAYOUT!$E$2:$E$80,0)),"CEK SHELVING KE di luar layout",IF($I476="","CEK SERIES kosong",IF($D476="","Zona STOCK",IF($E476="","CEK SKU DESCRIPTION kosong",IF(COUNTIFS($I$2:$I$500,$I476,L$2:L$500,"&lt;&gt;"&amp;L476,L$2:L$500,"&lt;&gt;")&gt;0,"CEK jenis fixture beda dalam satu series","OK")))))))))</f>
        <v/>
      </c>
      <c r="P476" s="11" t="n"/>
      <c r="Q476" s="11" t="n"/>
      <c r="R476" s="11">
        <f>IF(OR(P476="",Q476=""),"",IFERROR(INDEX(LAYOUT!$D$2:$D$80,MATCH(P476&amp;"|"&amp;Q476,LAYOUT!$E$2:$E$80,0)),""))</f>
        <v/>
      </c>
      <c r="S476" s="12">
        <f>IF(AND(P476="",Q476=""),IF(AND(L476="",M476="",T476="",U476=""),IF(OR($D476&lt;&gt;"",$E476&lt;&gt;""),"Belum ditempatkan",""),""),IF(P476="","CEK JENIS FIXTURE kosong",IF(LEFT(P476,4)&lt;&gt;"Wall","CEK Fixture 2 hanya Wall",IF(Q476="","CEK SHELVING KE kosong",IF(ISNA(MATCH(P476&amp;"|"&amp;Q476,LAYOUT!$E$2:$E$80,0)),"CEK SHELVING KE di luar layout",IF($I476="","CEK SERIES kosong",IF($D476="","Zona STOCK",IF($E476="","CEK SKU DESCRIPTION kosong",IF(COUNTIFS($I$2:$I$500,$I476,P$2:P$500,"&lt;&gt;"&amp;P476,P$2:P$500,"&lt;&gt;")&gt;0,"CEK jenis fixture beda dalam satu series","OK")))))))))</f>
        <v/>
      </c>
      <c r="T476" s="11" t="n"/>
      <c r="U476" s="11" t="n"/>
      <c r="V476" s="11">
        <f>IF(OR(T476="",U476=""),"",IFERROR(INDEX(LAYOUT!$D$2:$D$80,MATCH(T476&amp;"|"&amp;U476,LAYOUT!$E$2:$E$80,0)),""))</f>
        <v/>
      </c>
      <c r="W476" s="12">
        <f>IF(AND(T476="",U476=""),IF(AND(L476="",M476="",P476="",Q476=""),IF(OR($D476&lt;&gt;"",$E476&lt;&gt;""),"Belum ditempatkan",""),""),IF(T476="","CEK JENIS FIXTURE kosong",IF(LEFT(T476,4)&lt;&gt;"Wall","CEK Fixture 3 hanya Wall",IF(U476="","CEK SHELVING KE kosong",IF(ISNA(MATCH(T476&amp;"|"&amp;U476,LAYOUT!$E$2:$E$80,0)),"CEK SHELVING KE di luar layout",IF($I476="","CEK SERIES kosong",IF($D476="","Zona STOCK",IF($E476="","CEK SKU DESCRIPTION kosong",IF(COUNTIFS($I$2:$I$500,$I476,T$2:T$500,"&lt;&gt;"&amp;T476,T$2:T$500,"&lt;&gt;")&gt;0,"CEK jenis fixture beda dalam satu series","OK")))))))))</f>
        <v/>
      </c>
      <c r="X476" s="11" t="n"/>
      <c r="Y476" s="11" t="n"/>
      <c r="Z476" s="12" t="n"/>
      <c r="AA476" s="12" t="n"/>
      <c r="AB476" s="11" t="n"/>
      <c r="AC476" s="11" t="n"/>
      <c r="AD476" s="11" t="n"/>
      <c r="AE476" s="11" t="n"/>
      <c r="AF476" s="11" t="n"/>
      <c r="AG476" s="11" t="n"/>
      <c r="AH476" s="12" t="n"/>
      <c r="AI476" s="12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>
        <f>IF(OR(L477="",M477=""),"",IFERROR(INDEX(LAYOUT!$D$2:$D$80,MATCH(L477&amp;"|"&amp;M477,LAYOUT!$E$2:$E$80,0)),""))</f>
        <v/>
      </c>
      <c r="O477" s="12">
        <f>IF(AND(L477="",M477=""),IF(AND(P477="",Q477="",T477="",U477=""),IF(OR($D477&lt;&gt;"",$E477&lt;&gt;""),"Belum ditempatkan",""),""),IF(L477="","CEK JENIS FIXTURE kosong",IF(AND(LEFT(L477,7)&lt;&gt;"Gondola",LEFT(L477,6)&lt;&gt;"Endcap"),"CEK Fixture 1 hanya Gondola atau Endcap",IF(M477="","CEK SHELVING KE kosong",IF(ISNA(MATCH(L477&amp;"|"&amp;M477,LAYOUT!$E$2:$E$80,0)),"CEK SHELVING KE di luar layout",IF($I477="","CEK SERIES kosong",IF($D477="","Zona STOCK",IF($E477="","CEK SKU DESCRIPTION kosong",IF(COUNTIFS($I$2:$I$500,$I477,L$2:L$500,"&lt;&gt;"&amp;L477,L$2:L$500,"&lt;&gt;")&gt;0,"CEK jenis fixture beda dalam satu series","OK")))))))))</f>
        <v/>
      </c>
      <c r="P477" s="11" t="n"/>
      <c r="Q477" s="11" t="n"/>
      <c r="R477" s="11">
        <f>IF(OR(P477="",Q477=""),"",IFERROR(INDEX(LAYOUT!$D$2:$D$80,MATCH(P477&amp;"|"&amp;Q477,LAYOUT!$E$2:$E$80,0)),""))</f>
        <v/>
      </c>
      <c r="S477" s="12">
        <f>IF(AND(P477="",Q477=""),IF(AND(L477="",M477="",T477="",U477=""),IF(OR($D477&lt;&gt;"",$E477&lt;&gt;""),"Belum ditempatkan",""),""),IF(P477="","CEK JENIS FIXTURE kosong",IF(LEFT(P477,4)&lt;&gt;"Wall","CEK Fixture 2 hanya Wall",IF(Q477="","CEK SHELVING KE kosong",IF(ISNA(MATCH(P477&amp;"|"&amp;Q477,LAYOUT!$E$2:$E$80,0)),"CEK SHELVING KE di luar layout",IF($I477="","CEK SERIES kosong",IF($D477="","Zona STOCK",IF($E477="","CEK SKU DESCRIPTION kosong",IF(COUNTIFS($I$2:$I$500,$I477,P$2:P$500,"&lt;&gt;"&amp;P477,P$2:P$500,"&lt;&gt;")&gt;0,"CEK jenis fixture beda dalam satu series","OK")))))))))</f>
        <v/>
      </c>
      <c r="T477" s="11" t="n"/>
      <c r="U477" s="11" t="n"/>
      <c r="V477" s="11">
        <f>IF(OR(T477="",U477=""),"",IFERROR(INDEX(LAYOUT!$D$2:$D$80,MATCH(T477&amp;"|"&amp;U477,LAYOUT!$E$2:$E$80,0)),""))</f>
        <v/>
      </c>
      <c r="W477" s="12">
        <f>IF(AND(T477="",U477=""),IF(AND(L477="",M477="",P477="",Q477=""),IF(OR($D477&lt;&gt;"",$E477&lt;&gt;""),"Belum ditempatkan",""),""),IF(T477="","CEK JENIS FIXTURE kosong",IF(LEFT(T477,4)&lt;&gt;"Wall","CEK Fixture 3 hanya Wall",IF(U477="","CEK SHELVING KE kosong",IF(ISNA(MATCH(T477&amp;"|"&amp;U477,LAYOUT!$E$2:$E$80,0)),"CEK SHELVING KE di luar layout",IF($I477="","CEK SERIES kosong",IF($D477="","Zona STOCK",IF($E477="","CEK SKU DESCRIPTION kosong",IF(COUNTIFS($I$2:$I$500,$I477,T$2:T$500,"&lt;&gt;"&amp;T477,T$2:T$500,"&lt;&gt;")&gt;0,"CEK jenis fixture beda dalam satu series","OK")))))))))</f>
        <v/>
      </c>
      <c r="X477" s="11" t="n"/>
      <c r="Y477" s="11" t="n"/>
      <c r="Z477" s="12" t="n"/>
      <c r="AA477" s="12" t="n"/>
      <c r="AB477" s="11" t="n"/>
      <c r="AC477" s="11" t="n"/>
      <c r="AD477" s="11" t="n"/>
      <c r="AE477" s="11" t="n"/>
      <c r="AF477" s="11" t="n"/>
      <c r="AG477" s="11" t="n"/>
      <c r="AH477" s="12" t="n"/>
      <c r="AI477" s="12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>
        <f>IF(OR(L478="",M478=""),"",IFERROR(INDEX(LAYOUT!$D$2:$D$80,MATCH(L478&amp;"|"&amp;M478,LAYOUT!$E$2:$E$80,0)),""))</f>
        <v/>
      </c>
      <c r="O478" s="12">
        <f>IF(AND(L478="",M478=""),IF(AND(P478="",Q478="",T478="",U478=""),IF(OR($D478&lt;&gt;"",$E478&lt;&gt;""),"Belum ditempatkan",""),""),IF(L478="","CEK JENIS FIXTURE kosong",IF(AND(LEFT(L478,7)&lt;&gt;"Gondola",LEFT(L478,6)&lt;&gt;"Endcap"),"CEK Fixture 1 hanya Gondola atau Endcap",IF(M478="","CEK SHELVING KE kosong",IF(ISNA(MATCH(L478&amp;"|"&amp;M478,LAYOUT!$E$2:$E$80,0)),"CEK SHELVING KE di luar layout",IF($I478="","CEK SERIES kosong",IF($D478="","Zona STOCK",IF($E478="","CEK SKU DESCRIPTION kosong",IF(COUNTIFS($I$2:$I$500,$I478,L$2:L$500,"&lt;&gt;"&amp;L478,L$2:L$500,"&lt;&gt;")&gt;0,"CEK jenis fixture beda dalam satu series","OK")))))))))</f>
        <v/>
      </c>
      <c r="P478" s="11" t="n"/>
      <c r="Q478" s="11" t="n"/>
      <c r="R478" s="11">
        <f>IF(OR(P478="",Q478=""),"",IFERROR(INDEX(LAYOUT!$D$2:$D$80,MATCH(P478&amp;"|"&amp;Q478,LAYOUT!$E$2:$E$80,0)),""))</f>
        <v/>
      </c>
      <c r="S478" s="12">
        <f>IF(AND(P478="",Q478=""),IF(AND(L478="",M478="",T478="",U478=""),IF(OR($D478&lt;&gt;"",$E478&lt;&gt;""),"Belum ditempatkan",""),""),IF(P478="","CEK JENIS FIXTURE kosong",IF(LEFT(P478,4)&lt;&gt;"Wall","CEK Fixture 2 hanya Wall",IF(Q478="","CEK SHELVING KE kosong",IF(ISNA(MATCH(P478&amp;"|"&amp;Q478,LAYOUT!$E$2:$E$80,0)),"CEK SHELVING KE di luar layout",IF($I478="","CEK SERIES kosong",IF($D478="","Zona STOCK",IF($E478="","CEK SKU DESCRIPTION kosong",IF(COUNTIFS($I$2:$I$500,$I478,P$2:P$500,"&lt;&gt;"&amp;P478,P$2:P$500,"&lt;&gt;")&gt;0,"CEK jenis fixture beda dalam satu series","OK")))))))))</f>
        <v/>
      </c>
      <c r="T478" s="11" t="n"/>
      <c r="U478" s="11" t="n"/>
      <c r="V478" s="11">
        <f>IF(OR(T478="",U478=""),"",IFERROR(INDEX(LAYOUT!$D$2:$D$80,MATCH(T478&amp;"|"&amp;U478,LAYOUT!$E$2:$E$80,0)),""))</f>
        <v/>
      </c>
      <c r="W478" s="12">
        <f>IF(AND(T478="",U478=""),IF(AND(L478="",M478="",P478="",Q478=""),IF(OR($D478&lt;&gt;"",$E478&lt;&gt;""),"Belum ditempatkan",""),""),IF(T478="","CEK JENIS FIXTURE kosong",IF(LEFT(T478,4)&lt;&gt;"Wall","CEK Fixture 3 hanya Wall",IF(U478="","CEK SHELVING KE kosong",IF(ISNA(MATCH(T478&amp;"|"&amp;U478,LAYOUT!$E$2:$E$80,0)),"CEK SHELVING KE di luar layout",IF($I478="","CEK SERIES kosong",IF($D478="","Zona STOCK",IF($E478="","CEK SKU DESCRIPTION kosong",IF(COUNTIFS($I$2:$I$500,$I478,T$2:T$500,"&lt;&gt;"&amp;T478,T$2:T$500,"&lt;&gt;")&gt;0,"CEK jenis fixture beda dalam satu series","OK")))))))))</f>
        <v/>
      </c>
      <c r="X478" s="11" t="n"/>
      <c r="Y478" s="11" t="n"/>
      <c r="Z478" s="12" t="n"/>
      <c r="AA478" s="12" t="n"/>
      <c r="AB478" s="11" t="n"/>
      <c r="AC478" s="11" t="n"/>
      <c r="AD478" s="11" t="n"/>
      <c r="AE478" s="11" t="n"/>
      <c r="AF478" s="11" t="n"/>
      <c r="AG478" s="11" t="n"/>
      <c r="AH478" s="12" t="n"/>
      <c r="AI478" s="12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>
        <f>IF(OR(L479="",M479=""),"",IFERROR(INDEX(LAYOUT!$D$2:$D$80,MATCH(L479&amp;"|"&amp;M479,LAYOUT!$E$2:$E$80,0)),""))</f>
        <v/>
      </c>
      <c r="O479" s="12">
        <f>IF(AND(L479="",M479=""),IF(AND(P479="",Q479="",T479="",U479=""),IF(OR($D479&lt;&gt;"",$E479&lt;&gt;""),"Belum ditempatkan",""),""),IF(L479="","CEK JENIS FIXTURE kosong",IF(AND(LEFT(L479,7)&lt;&gt;"Gondola",LEFT(L479,6)&lt;&gt;"Endcap"),"CEK Fixture 1 hanya Gondola atau Endcap",IF(M479="","CEK SHELVING KE kosong",IF(ISNA(MATCH(L479&amp;"|"&amp;M479,LAYOUT!$E$2:$E$80,0)),"CEK SHELVING KE di luar layout",IF($I479="","CEK SERIES kosong",IF($D479="","Zona STOCK",IF($E479="","CEK SKU DESCRIPTION kosong",IF(COUNTIFS($I$2:$I$500,$I479,L$2:L$500,"&lt;&gt;"&amp;L479,L$2:L$500,"&lt;&gt;")&gt;0,"CEK jenis fixture beda dalam satu series","OK")))))))))</f>
        <v/>
      </c>
      <c r="P479" s="11" t="n"/>
      <c r="Q479" s="11" t="n"/>
      <c r="R479" s="11">
        <f>IF(OR(P479="",Q479=""),"",IFERROR(INDEX(LAYOUT!$D$2:$D$80,MATCH(P479&amp;"|"&amp;Q479,LAYOUT!$E$2:$E$80,0)),""))</f>
        <v/>
      </c>
      <c r="S479" s="12">
        <f>IF(AND(P479="",Q479=""),IF(AND(L479="",M479="",T479="",U479=""),IF(OR($D479&lt;&gt;"",$E479&lt;&gt;""),"Belum ditempatkan",""),""),IF(P479="","CEK JENIS FIXTURE kosong",IF(LEFT(P479,4)&lt;&gt;"Wall","CEK Fixture 2 hanya Wall",IF(Q479="","CEK SHELVING KE kosong",IF(ISNA(MATCH(P479&amp;"|"&amp;Q479,LAYOUT!$E$2:$E$80,0)),"CEK SHELVING KE di luar layout",IF($I479="","CEK SERIES kosong",IF($D479="","Zona STOCK",IF($E479="","CEK SKU DESCRIPTION kosong",IF(COUNTIFS($I$2:$I$500,$I479,P$2:P$500,"&lt;&gt;"&amp;P479,P$2:P$500,"&lt;&gt;")&gt;0,"CEK jenis fixture beda dalam satu series","OK")))))))))</f>
        <v/>
      </c>
      <c r="T479" s="11" t="n"/>
      <c r="U479" s="11" t="n"/>
      <c r="V479" s="11">
        <f>IF(OR(T479="",U479=""),"",IFERROR(INDEX(LAYOUT!$D$2:$D$80,MATCH(T479&amp;"|"&amp;U479,LAYOUT!$E$2:$E$80,0)),""))</f>
        <v/>
      </c>
      <c r="W479" s="12">
        <f>IF(AND(T479="",U479=""),IF(AND(L479="",M479="",P479="",Q479=""),IF(OR($D479&lt;&gt;"",$E479&lt;&gt;""),"Belum ditempatkan",""),""),IF(T479="","CEK JENIS FIXTURE kosong",IF(LEFT(T479,4)&lt;&gt;"Wall","CEK Fixture 3 hanya Wall",IF(U479="","CEK SHELVING KE kosong",IF(ISNA(MATCH(T479&amp;"|"&amp;U479,LAYOUT!$E$2:$E$80,0)),"CEK SHELVING KE di luar layout",IF($I479="","CEK SERIES kosong",IF($D479="","Zona STOCK",IF($E479="","CEK SKU DESCRIPTION kosong",IF(COUNTIFS($I$2:$I$500,$I479,T$2:T$500,"&lt;&gt;"&amp;T479,T$2:T$500,"&lt;&gt;")&gt;0,"CEK jenis fixture beda dalam satu series","OK")))))))))</f>
        <v/>
      </c>
      <c r="X479" s="11" t="n"/>
      <c r="Y479" s="11" t="n"/>
      <c r="Z479" s="12" t="n"/>
      <c r="AA479" s="12" t="n"/>
      <c r="AB479" s="11" t="n"/>
      <c r="AC479" s="11" t="n"/>
      <c r="AD479" s="11" t="n"/>
      <c r="AE479" s="11" t="n"/>
      <c r="AF479" s="11" t="n"/>
      <c r="AG479" s="11" t="n"/>
      <c r="AH479" s="12" t="n"/>
      <c r="AI479" s="12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>
        <f>IF(OR(L480="",M480=""),"",IFERROR(INDEX(LAYOUT!$D$2:$D$80,MATCH(L480&amp;"|"&amp;M480,LAYOUT!$E$2:$E$80,0)),""))</f>
        <v/>
      </c>
      <c r="O480" s="12">
        <f>IF(AND(L480="",M480=""),IF(AND(P480="",Q480="",T480="",U480=""),IF(OR($D480&lt;&gt;"",$E480&lt;&gt;""),"Belum ditempatkan",""),""),IF(L480="","CEK JENIS FIXTURE kosong",IF(AND(LEFT(L480,7)&lt;&gt;"Gondola",LEFT(L480,6)&lt;&gt;"Endcap"),"CEK Fixture 1 hanya Gondola atau Endcap",IF(M480="","CEK SHELVING KE kosong",IF(ISNA(MATCH(L480&amp;"|"&amp;M480,LAYOUT!$E$2:$E$80,0)),"CEK SHELVING KE di luar layout",IF($I480="","CEK SERIES kosong",IF($D480="","Zona STOCK",IF($E480="","CEK SKU DESCRIPTION kosong",IF(COUNTIFS($I$2:$I$500,$I480,L$2:L$500,"&lt;&gt;"&amp;L480,L$2:L$500,"&lt;&gt;")&gt;0,"CEK jenis fixture beda dalam satu series","OK")))))))))</f>
        <v/>
      </c>
      <c r="P480" s="11" t="n"/>
      <c r="Q480" s="11" t="n"/>
      <c r="R480" s="11">
        <f>IF(OR(P480="",Q480=""),"",IFERROR(INDEX(LAYOUT!$D$2:$D$80,MATCH(P480&amp;"|"&amp;Q480,LAYOUT!$E$2:$E$80,0)),""))</f>
        <v/>
      </c>
      <c r="S480" s="12">
        <f>IF(AND(P480="",Q480=""),IF(AND(L480="",M480="",T480="",U480=""),IF(OR($D480&lt;&gt;"",$E480&lt;&gt;""),"Belum ditempatkan",""),""),IF(P480="","CEK JENIS FIXTURE kosong",IF(LEFT(P480,4)&lt;&gt;"Wall","CEK Fixture 2 hanya Wall",IF(Q480="","CEK SHELVING KE kosong",IF(ISNA(MATCH(P480&amp;"|"&amp;Q480,LAYOUT!$E$2:$E$80,0)),"CEK SHELVING KE di luar layout",IF($I480="","CEK SERIES kosong",IF($D480="","Zona STOCK",IF($E480="","CEK SKU DESCRIPTION kosong",IF(COUNTIFS($I$2:$I$500,$I480,P$2:P$500,"&lt;&gt;"&amp;P480,P$2:P$500,"&lt;&gt;")&gt;0,"CEK jenis fixture beda dalam satu series","OK")))))))))</f>
        <v/>
      </c>
      <c r="T480" s="11" t="n"/>
      <c r="U480" s="11" t="n"/>
      <c r="V480" s="11">
        <f>IF(OR(T480="",U480=""),"",IFERROR(INDEX(LAYOUT!$D$2:$D$80,MATCH(T480&amp;"|"&amp;U480,LAYOUT!$E$2:$E$80,0)),""))</f>
        <v/>
      </c>
      <c r="W480" s="12">
        <f>IF(AND(T480="",U480=""),IF(AND(L480="",M480="",P480="",Q480=""),IF(OR($D480&lt;&gt;"",$E480&lt;&gt;""),"Belum ditempatkan",""),""),IF(T480="","CEK JENIS FIXTURE kosong",IF(LEFT(T480,4)&lt;&gt;"Wall","CEK Fixture 3 hanya Wall",IF(U480="","CEK SHELVING KE kosong",IF(ISNA(MATCH(T480&amp;"|"&amp;U480,LAYOUT!$E$2:$E$80,0)),"CEK SHELVING KE di luar layout",IF($I480="","CEK SERIES kosong",IF($D480="","Zona STOCK",IF($E480="","CEK SKU DESCRIPTION kosong",IF(COUNTIFS($I$2:$I$500,$I480,T$2:T$500,"&lt;&gt;"&amp;T480,T$2:T$500,"&lt;&gt;")&gt;0,"CEK jenis fixture beda dalam satu series","OK")))))))))</f>
        <v/>
      </c>
      <c r="X480" s="11" t="n"/>
      <c r="Y480" s="11" t="n"/>
      <c r="Z480" s="12" t="n"/>
      <c r="AA480" s="12" t="n"/>
      <c r="AB480" s="11" t="n"/>
      <c r="AC480" s="11" t="n"/>
      <c r="AD480" s="11" t="n"/>
      <c r="AE480" s="11" t="n"/>
      <c r="AF480" s="11" t="n"/>
      <c r="AG480" s="11" t="n"/>
      <c r="AH480" s="12" t="n"/>
      <c r="AI480" s="12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>
        <f>IF(OR(L481="",M481=""),"",IFERROR(INDEX(LAYOUT!$D$2:$D$80,MATCH(L481&amp;"|"&amp;M481,LAYOUT!$E$2:$E$80,0)),""))</f>
        <v/>
      </c>
      <c r="O481" s="12">
        <f>IF(AND(L481="",M481=""),IF(AND(P481="",Q481="",T481="",U481=""),IF(OR($D481&lt;&gt;"",$E481&lt;&gt;""),"Belum ditempatkan",""),""),IF(L481="","CEK JENIS FIXTURE kosong",IF(AND(LEFT(L481,7)&lt;&gt;"Gondola",LEFT(L481,6)&lt;&gt;"Endcap"),"CEK Fixture 1 hanya Gondola atau Endcap",IF(M481="","CEK SHELVING KE kosong",IF(ISNA(MATCH(L481&amp;"|"&amp;M481,LAYOUT!$E$2:$E$80,0)),"CEK SHELVING KE di luar layout",IF($I481="","CEK SERIES kosong",IF($D481="","Zona STOCK",IF($E481="","CEK SKU DESCRIPTION kosong",IF(COUNTIFS($I$2:$I$500,$I481,L$2:L$500,"&lt;&gt;"&amp;L481,L$2:L$500,"&lt;&gt;")&gt;0,"CEK jenis fixture beda dalam satu series","OK")))))))))</f>
        <v/>
      </c>
      <c r="P481" s="11" t="n"/>
      <c r="Q481" s="11" t="n"/>
      <c r="R481" s="11">
        <f>IF(OR(P481="",Q481=""),"",IFERROR(INDEX(LAYOUT!$D$2:$D$80,MATCH(P481&amp;"|"&amp;Q481,LAYOUT!$E$2:$E$80,0)),""))</f>
        <v/>
      </c>
      <c r="S481" s="12">
        <f>IF(AND(P481="",Q481=""),IF(AND(L481="",M481="",T481="",U481=""),IF(OR($D481&lt;&gt;"",$E481&lt;&gt;""),"Belum ditempatkan",""),""),IF(P481="","CEK JENIS FIXTURE kosong",IF(LEFT(P481,4)&lt;&gt;"Wall","CEK Fixture 2 hanya Wall",IF(Q481="","CEK SHELVING KE kosong",IF(ISNA(MATCH(P481&amp;"|"&amp;Q481,LAYOUT!$E$2:$E$80,0)),"CEK SHELVING KE di luar layout",IF($I481="","CEK SERIES kosong",IF($D481="","Zona STOCK",IF($E481="","CEK SKU DESCRIPTION kosong",IF(COUNTIFS($I$2:$I$500,$I481,P$2:P$500,"&lt;&gt;"&amp;P481,P$2:P$500,"&lt;&gt;")&gt;0,"CEK jenis fixture beda dalam satu series","OK")))))))))</f>
        <v/>
      </c>
      <c r="T481" s="11" t="n"/>
      <c r="U481" s="11" t="n"/>
      <c r="V481" s="11">
        <f>IF(OR(T481="",U481=""),"",IFERROR(INDEX(LAYOUT!$D$2:$D$80,MATCH(T481&amp;"|"&amp;U481,LAYOUT!$E$2:$E$80,0)),""))</f>
        <v/>
      </c>
      <c r="W481" s="12">
        <f>IF(AND(T481="",U481=""),IF(AND(L481="",M481="",P481="",Q481=""),IF(OR($D481&lt;&gt;"",$E481&lt;&gt;""),"Belum ditempatkan",""),""),IF(T481="","CEK JENIS FIXTURE kosong",IF(LEFT(T481,4)&lt;&gt;"Wall","CEK Fixture 3 hanya Wall",IF(U481="","CEK SHELVING KE kosong",IF(ISNA(MATCH(T481&amp;"|"&amp;U481,LAYOUT!$E$2:$E$80,0)),"CEK SHELVING KE di luar layout",IF($I481="","CEK SERIES kosong",IF($D481="","Zona STOCK",IF($E481="","CEK SKU DESCRIPTION kosong",IF(COUNTIFS($I$2:$I$500,$I481,T$2:T$500,"&lt;&gt;"&amp;T481,T$2:T$500,"&lt;&gt;")&gt;0,"CEK jenis fixture beda dalam satu series","OK")))))))))</f>
        <v/>
      </c>
      <c r="X481" s="11" t="n"/>
      <c r="Y481" s="11" t="n"/>
      <c r="Z481" s="12" t="n"/>
      <c r="AA481" s="12" t="n"/>
      <c r="AB481" s="11" t="n"/>
      <c r="AC481" s="11" t="n"/>
      <c r="AD481" s="11" t="n"/>
      <c r="AE481" s="11" t="n"/>
      <c r="AF481" s="11" t="n"/>
      <c r="AG481" s="11" t="n"/>
      <c r="AH481" s="12" t="n"/>
      <c r="AI481" s="12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>
        <f>IF(OR(L482="",M482=""),"",IFERROR(INDEX(LAYOUT!$D$2:$D$80,MATCH(L482&amp;"|"&amp;M482,LAYOUT!$E$2:$E$80,0)),""))</f>
        <v/>
      </c>
      <c r="O482" s="12">
        <f>IF(AND(L482="",M482=""),IF(AND(P482="",Q482="",T482="",U482=""),IF(OR($D482&lt;&gt;"",$E482&lt;&gt;""),"Belum ditempatkan",""),""),IF(L482="","CEK JENIS FIXTURE kosong",IF(AND(LEFT(L482,7)&lt;&gt;"Gondola",LEFT(L482,6)&lt;&gt;"Endcap"),"CEK Fixture 1 hanya Gondola atau Endcap",IF(M482="","CEK SHELVING KE kosong",IF(ISNA(MATCH(L482&amp;"|"&amp;M482,LAYOUT!$E$2:$E$80,0)),"CEK SHELVING KE di luar layout",IF($I482="","CEK SERIES kosong",IF($D482="","Zona STOCK",IF($E482="","CEK SKU DESCRIPTION kosong",IF(COUNTIFS($I$2:$I$500,$I482,L$2:L$500,"&lt;&gt;"&amp;L482,L$2:L$500,"&lt;&gt;")&gt;0,"CEK jenis fixture beda dalam satu series","OK")))))))))</f>
        <v/>
      </c>
      <c r="P482" s="11" t="n"/>
      <c r="Q482" s="11" t="n"/>
      <c r="R482" s="11">
        <f>IF(OR(P482="",Q482=""),"",IFERROR(INDEX(LAYOUT!$D$2:$D$80,MATCH(P482&amp;"|"&amp;Q482,LAYOUT!$E$2:$E$80,0)),""))</f>
        <v/>
      </c>
      <c r="S482" s="12">
        <f>IF(AND(P482="",Q482=""),IF(AND(L482="",M482="",T482="",U482=""),IF(OR($D482&lt;&gt;"",$E482&lt;&gt;""),"Belum ditempatkan",""),""),IF(P482="","CEK JENIS FIXTURE kosong",IF(LEFT(P482,4)&lt;&gt;"Wall","CEK Fixture 2 hanya Wall",IF(Q482="","CEK SHELVING KE kosong",IF(ISNA(MATCH(P482&amp;"|"&amp;Q482,LAYOUT!$E$2:$E$80,0)),"CEK SHELVING KE di luar layout",IF($I482="","CEK SERIES kosong",IF($D482="","Zona STOCK",IF($E482="","CEK SKU DESCRIPTION kosong",IF(COUNTIFS($I$2:$I$500,$I482,P$2:P$500,"&lt;&gt;"&amp;P482,P$2:P$500,"&lt;&gt;")&gt;0,"CEK jenis fixture beda dalam satu series","OK")))))))))</f>
        <v/>
      </c>
      <c r="T482" s="11" t="n"/>
      <c r="U482" s="11" t="n"/>
      <c r="V482" s="11">
        <f>IF(OR(T482="",U482=""),"",IFERROR(INDEX(LAYOUT!$D$2:$D$80,MATCH(T482&amp;"|"&amp;U482,LAYOUT!$E$2:$E$80,0)),""))</f>
        <v/>
      </c>
      <c r="W482" s="12">
        <f>IF(AND(T482="",U482=""),IF(AND(L482="",M482="",P482="",Q482=""),IF(OR($D482&lt;&gt;"",$E482&lt;&gt;""),"Belum ditempatkan",""),""),IF(T482="","CEK JENIS FIXTURE kosong",IF(LEFT(T482,4)&lt;&gt;"Wall","CEK Fixture 3 hanya Wall",IF(U482="","CEK SHELVING KE kosong",IF(ISNA(MATCH(T482&amp;"|"&amp;U482,LAYOUT!$E$2:$E$80,0)),"CEK SHELVING KE di luar layout",IF($I482="","CEK SERIES kosong",IF($D482="","Zona STOCK",IF($E482="","CEK SKU DESCRIPTION kosong",IF(COUNTIFS($I$2:$I$500,$I482,T$2:T$500,"&lt;&gt;"&amp;T482,T$2:T$500,"&lt;&gt;")&gt;0,"CEK jenis fixture beda dalam satu series","OK")))))))))</f>
        <v/>
      </c>
      <c r="X482" s="11" t="n"/>
      <c r="Y482" s="11" t="n"/>
      <c r="Z482" s="12" t="n"/>
      <c r="AA482" s="12" t="n"/>
      <c r="AB482" s="11" t="n"/>
      <c r="AC482" s="11" t="n"/>
      <c r="AD482" s="11" t="n"/>
      <c r="AE482" s="11" t="n"/>
      <c r="AF482" s="11" t="n"/>
      <c r="AG482" s="11" t="n"/>
      <c r="AH482" s="12" t="n"/>
      <c r="AI482" s="12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>
        <f>IF(OR(L483="",M483=""),"",IFERROR(INDEX(LAYOUT!$D$2:$D$80,MATCH(L483&amp;"|"&amp;M483,LAYOUT!$E$2:$E$80,0)),""))</f>
        <v/>
      </c>
      <c r="O483" s="12">
        <f>IF(AND(L483="",M483=""),IF(AND(P483="",Q483="",T483="",U483=""),IF(OR($D483&lt;&gt;"",$E483&lt;&gt;""),"Belum ditempatkan",""),""),IF(L483="","CEK JENIS FIXTURE kosong",IF(AND(LEFT(L483,7)&lt;&gt;"Gondola",LEFT(L483,6)&lt;&gt;"Endcap"),"CEK Fixture 1 hanya Gondola atau Endcap",IF(M483="","CEK SHELVING KE kosong",IF(ISNA(MATCH(L483&amp;"|"&amp;M483,LAYOUT!$E$2:$E$80,0)),"CEK SHELVING KE di luar layout",IF($I483="","CEK SERIES kosong",IF($D483="","Zona STOCK",IF($E483="","CEK SKU DESCRIPTION kosong",IF(COUNTIFS($I$2:$I$500,$I483,L$2:L$500,"&lt;&gt;"&amp;L483,L$2:L$500,"&lt;&gt;")&gt;0,"CEK jenis fixture beda dalam satu series","OK")))))))))</f>
        <v/>
      </c>
      <c r="P483" s="11" t="n"/>
      <c r="Q483" s="11" t="n"/>
      <c r="R483" s="11">
        <f>IF(OR(P483="",Q483=""),"",IFERROR(INDEX(LAYOUT!$D$2:$D$80,MATCH(P483&amp;"|"&amp;Q483,LAYOUT!$E$2:$E$80,0)),""))</f>
        <v/>
      </c>
      <c r="S483" s="12">
        <f>IF(AND(P483="",Q483=""),IF(AND(L483="",M483="",T483="",U483=""),IF(OR($D483&lt;&gt;"",$E483&lt;&gt;""),"Belum ditempatkan",""),""),IF(P483="","CEK JENIS FIXTURE kosong",IF(LEFT(P483,4)&lt;&gt;"Wall","CEK Fixture 2 hanya Wall",IF(Q483="","CEK SHELVING KE kosong",IF(ISNA(MATCH(P483&amp;"|"&amp;Q483,LAYOUT!$E$2:$E$80,0)),"CEK SHELVING KE di luar layout",IF($I483="","CEK SERIES kosong",IF($D483="","Zona STOCK",IF($E483="","CEK SKU DESCRIPTION kosong",IF(COUNTIFS($I$2:$I$500,$I483,P$2:P$500,"&lt;&gt;"&amp;P483,P$2:P$500,"&lt;&gt;")&gt;0,"CEK jenis fixture beda dalam satu series","OK")))))))))</f>
        <v/>
      </c>
      <c r="T483" s="11" t="n"/>
      <c r="U483" s="11" t="n"/>
      <c r="V483" s="11">
        <f>IF(OR(T483="",U483=""),"",IFERROR(INDEX(LAYOUT!$D$2:$D$80,MATCH(T483&amp;"|"&amp;U483,LAYOUT!$E$2:$E$80,0)),""))</f>
        <v/>
      </c>
      <c r="W483" s="12">
        <f>IF(AND(T483="",U483=""),IF(AND(L483="",M483="",P483="",Q483=""),IF(OR($D483&lt;&gt;"",$E483&lt;&gt;""),"Belum ditempatkan",""),""),IF(T483="","CEK JENIS FIXTURE kosong",IF(LEFT(T483,4)&lt;&gt;"Wall","CEK Fixture 3 hanya Wall",IF(U483="","CEK SHELVING KE kosong",IF(ISNA(MATCH(T483&amp;"|"&amp;U483,LAYOUT!$E$2:$E$80,0)),"CEK SHELVING KE di luar layout",IF($I483="","CEK SERIES kosong",IF($D483="","Zona STOCK",IF($E483="","CEK SKU DESCRIPTION kosong",IF(COUNTIFS($I$2:$I$500,$I483,T$2:T$500,"&lt;&gt;"&amp;T483,T$2:T$500,"&lt;&gt;")&gt;0,"CEK jenis fixture beda dalam satu series","OK")))))))))</f>
        <v/>
      </c>
      <c r="X483" s="11" t="n"/>
      <c r="Y483" s="11" t="n"/>
      <c r="Z483" s="12" t="n"/>
      <c r="AA483" s="12" t="n"/>
      <c r="AB483" s="11" t="n"/>
      <c r="AC483" s="11" t="n"/>
      <c r="AD483" s="11" t="n"/>
      <c r="AE483" s="11" t="n"/>
      <c r="AF483" s="11" t="n"/>
      <c r="AG483" s="11" t="n"/>
      <c r="AH483" s="12" t="n"/>
      <c r="AI483" s="12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>
        <f>IF(OR(L484="",M484=""),"",IFERROR(INDEX(LAYOUT!$D$2:$D$80,MATCH(L484&amp;"|"&amp;M484,LAYOUT!$E$2:$E$80,0)),""))</f>
        <v/>
      </c>
      <c r="O484" s="12">
        <f>IF(AND(L484="",M484=""),IF(AND(P484="",Q484="",T484="",U484=""),IF(OR($D484&lt;&gt;"",$E484&lt;&gt;""),"Belum ditempatkan",""),""),IF(L484="","CEK JENIS FIXTURE kosong",IF(AND(LEFT(L484,7)&lt;&gt;"Gondola",LEFT(L484,6)&lt;&gt;"Endcap"),"CEK Fixture 1 hanya Gondola atau Endcap",IF(M484="","CEK SHELVING KE kosong",IF(ISNA(MATCH(L484&amp;"|"&amp;M484,LAYOUT!$E$2:$E$80,0)),"CEK SHELVING KE di luar layout",IF($I484="","CEK SERIES kosong",IF($D484="","Zona STOCK",IF($E484="","CEK SKU DESCRIPTION kosong",IF(COUNTIFS($I$2:$I$500,$I484,L$2:L$500,"&lt;&gt;"&amp;L484,L$2:L$500,"&lt;&gt;")&gt;0,"CEK jenis fixture beda dalam satu series","OK")))))))))</f>
        <v/>
      </c>
      <c r="P484" s="11" t="n"/>
      <c r="Q484" s="11" t="n"/>
      <c r="R484" s="11">
        <f>IF(OR(P484="",Q484=""),"",IFERROR(INDEX(LAYOUT!$D$2:$D$80,MATCH(P484&amp;"|"&amp;Q484,LAYOUT!$E$2:$E$80,0)),""))</f>
        <v/>
      </c>
      <c r="S484" s="12">
        <f>IF(AND(P484="",Q484=""),IF(AND(L484="",M484="",T484="",U484=""),IF(OR($D484&lt;&gt;"",$E484&lt;&gt;""),"Belum ditempatkan",""),""),IF(P484="","CEK JENIS FIXTURE kosong",IF(LEFT(P484,4)&lt;&gt;"Wall","CEK Fixture 2 hanya Wall",IF(Q484="","CEK SHELVING KE kosong",IF(ISNA(MATCH(P484&amp;"|"&amp;Q484,LAYOUT!$E$2:$E$80,0)),"CEK SHELVING KE di luar layout",IF($I484="","CEK SERIES kosong",IF($D484="","Zona STOCK",IF($E484="","CEK SKU DESCRIPTION kosong",IF(COUNTIFS($I$2:$I$500,$I484,P$2:P$500,"&lt;&gt;"&amp;P484,P$2:P$500,"&lt;&gt;")&gt;0,"CEK jenis fixture beda dalam satu series","OK")))))))))</f>
        <v/>
      </c>
      <c r="T484" s="11" t="n"/>
      <c r="U484" s="11" t="n"/>
      <c r="V484" s="11">
        <f>IF(OR(T484="",U484=""),"",IFERROR(INDEX(LAYOUT!$D$2:$D$80,MATCH(T484&amp;"|"&amp;U484,LAYOUT!$E$2:$E$80,0)),""))</f>
        <v/>
      </c>
      <c r="W484" s="12">
        <f>IF(AND(T484="",U484=""),IF(AND(L484="",M484="",P484="",Q484=""),IF(OR($D484&lt;&gt;"",$E484&lt;&gt;""),"Belum ditempatkan",""),""),IF(T484="","CEK JENIS FIXTURE kosong",IF(LEFT(T484,4)&lt;&gt;"Wall","CEK Fixture 3 hanya Wall",IF(U484="","CEK SHELVING KE kosong",IF(ISNA(MATCH(T484&amp;"|"&amp;U484,LAYOUT!$E$2:$E$80,0)),"CEK SHELVING KE di luar layout",IF($I484="","CEK SERIES kosong",IF($D484="","Zona STOCK",IF($E484="","CEK SKU DESCRIPTION kosong",IF(COUNTIFS($I$2:$I$500,$I484,T$2:T$500,"&lt;&gt;"&amp;T484,T$2:T$500,"&lt;&gt;")&gt;0,"CEK jenis fixture beda dalam satu series","OK")))))))))</f>
        <v/>
      </c>
      <c r="X484" s="11" t="n"/>
      <c r="Y484" s="11" t="n"/>
      <c r="Z484" s="12" t="n"/>
      <c r="AA484" s="12" t="n"/>
      <c r="AB484" s="11" t="n"/>
      <c r="AC484" s="11" t="n"/>
      <c r="AD484" s="11" t="n"/>
      <c r="AE484" s="11" t="n"/>
      <c r="AF484" s="11" t="n"/>
      <c r="AG484" s="11" t="n"/>
      <c r="AH484" s="12" t="n"/>
      <c r="AI484" s="12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>
        <f>IF(OR(L485="",M485=""),"",IFERROR(INDEX(LAYOUT!$D$2:$D$80,MATCH(L485&amp;"|"&amp;M485,LAYOUT!$E$2:$E$80,0)),""))</f>
        <v/>
      </c>
      <c r="O485" s="12">
        <f>IF(AND(L485="",M485=""),IF(AND(P485="",Q485="",T485="",U485=""),IF(OR($D485&lt;&gt;"",$E485&lt;&gt;""),"Belum ditempatkan",""),""),IF(L485="","CEK JENIS FIXTURE kosong",IF(AND(LEFT(L485,7)&lt;&gt;"Gondola",LEFT(L485,6)&lt;&gt;"Endcap"),"CEK Fixture 1 hanya Gondola atau Endcap",IF(M485="","CEK SHELVING KE kosong",IF(ISNA(MATCH(L485&amp;"|"&amp;M485,LAYOUT!$E$2:$E$80,0)),"CEK SHELVING KE di luar layout",IF($I485="","CEK SERIES kosong",IF($D485="","Zona STOCK",IF($E485="","CEK SKU DESCRIPTION kosong",IF(COUNTIFS($I$2:$I$500,$I485,L$2:L$500,"&lt;&gt;"&amp;L485,L$2:L$500,"&lt;&gt;")&gt;0,"CEK jenis fixture beda dalam satu series","OK")))))))))</f>
        <v/>
      </c>
      <c r="P485" s="11" t="n"/>
      <c r="Q485" s="11" t="n"/>
      <c r="R485" s="11">
        <f>IF(OR(P485="",Q485=""),"",IFERROR(INDEX(LAYOUT!$D$2:$D$80,MATCH(P485&amp;"|"&amp;Q485,LAYOUT!$E$2:$E$80,0)),""))</f>
        <v/>
      </c>
      <c r="S485" s="12">
        <f>IF(AND(P485="",Q485=""),IF(AND(L485="",M485="",T485="",U485=""),IF(OR($D485&lt;&gt;"",$E485&lt;&gt;""),"Belum ditempatkan",""),""),IF(P485="","CEK JENIS FIXTURE kosong",IF(LEFT(P485,4)&lt;&gt;"Wall","CEK Fixture 2 hanya Wall",IF(Q485="","CEK SHELVING KE kosong",IF(ISNA(MATCH(P485&amp;"|"&amp;Q485,LAYOUT!$E$2:$E$80,0)),"CEK SHELVING KE di luar layout",IF($I485="","CEK SERIES kosong",IF($D485="","Zona STOCK",IF($E485="","CEK SKU DESCRIPTION kosong",IF(COUNTIFS($I$2:$I$500,$I485,P$2:P$500,"&lt;&gt;"&amp;P485,P$2:P$500,"&lt;&gt;")&gt;0,"CEK jenis fixture beda dalam satu series","OK")))))))))</f>
        <v/>
      </c>
      <c r="T485" s="11" t="n"/>
      <c r="U485" s="11" t="n"/>
      <c r="V485" s="11">
        <f>IF(OR(T485="",U485=""),"",IFERROR(INDEX(LAYOUT!$D$2:$D$80,MATCH(T485&amp;"|"&amp;U485,LAYOUT!$E$2:$E$80,0)),""))</f>
        <v/>
      </c>
      <c r="W485" s="12">
        <f>IF(AND(T485="",U485=""),IF(AND(L485="",M485="",P485="",Q485=""),IF(OR($D485&lt;&gt;"",$E485&lt;&gt;""),"Belum ditempatkan",""),""),IF(T485="","CEK JENIS FIXTURE kosong",IF(LEFT(T485,4)&lt;&gt;"Wall","CEK Fixture 3 hanya Wall",IF(U485="","CEK SHELVING KE kosong",IF(ISNA(MATCH(T485&amp;"|"&amp;U485,LAYOUT!$E$2:$E$80,0)),"CEK SHELVING KE di luar layout",IF($I485="","CEK SERIES kosong",IF($D485="","Zona STOCK",IF($E485="","CEK SKU DESCRIPTION kosong",IF(COUNTIFS($I$2:$I$500,$I485,T$2:T$500,"&lt;&gt;"&amp;T485,T$2:T$500,"&lt;&gt;")&gt;0,"CEK jenis fixture beda dalam satu series","OK")))))))))</f>
        <v/>
      </c>
      <c r="X485" s="11" t="n"/>
      <c r="Y485" s="11" t="n"/>
      <c r="Z485" s="12" t="n"/>
      <c r="AA485" s="12" t="n"/>
      <c r="AB485" s="11" t="n"/>
      <c r="AC485" s="11" t="n"/>
      <c r="AD485" s="11" t="n"/>
      <c r="AE485" s="11" t="n"/>
      <c r="AF485" s="11" t="n"/>
      <c r="AG485" s="11" t="n"/>
      <c r="AH485" s="12" t="n"/>
      <c r="AI485" s="12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>
        <f>IF(OR(L486="",M486=""),"",IFERROR(INDEX(LAYOUT!$D$2:$D$80,MATCH(L486&amp;"|"&amp;M486,LAYOUT!$E$2:$E$80,0)),""))</f>
        <v/>
      </c>
      <c r="O486" s="12">
        <f>IF(AND(L486="",M486=""),IF(AND(P486="",Q486="",T486="",U486=""),IF(OR($D486&lt;&gt;"",$E486&lt;&gt;""),"Belum ditempatkan",""),""),IF(L486="","CEK JENIS FIXTURE kosong",IF(AND(LEFT(L486,7)&lt;&gt;"Gondola",LEFT(L486,6)&lt;&gt;"Endcap"),"CEK Fixture 1 hanya Gondola atau Endcap",IF(M486="","CEK SHELVING KE kosong",IF(ISNA(MATCH(L486&amp;"|"&amp;M486,LAYOUT!$E$2:$E$80,0)),"CEK SHELVING KE di luar layout",IF($I486="","CEK SERIES kosong",IF($D486="","Zona STOCK",IF($E486="","CEK SKU DESCRIPTION kosong",IF(COUNTIFS($I$2:$I$500,$I486,L$2:L$500,"&lt;&gt;"&amp;L486,L$2:L$500,"&lt;&gt;")&gt;0,"CEK jenis fixture beda dalam satu series","OK")))))))))</f>
        <v/>
      </c>
      <c r="P486" s="11" t="n"/>
      <c r="Q486" s="11" t="n"/>
      <c r="R486" s="11">
        <f>IF(OR(P486="",Q486=""),"",IFERROR(INDEX(LAYOUT!$D$2:$D$80,MATCH(P486&amp;"|"&amp;Q486,LAYOUT!$E$2:$E$80,0)),""))</f>
        <v/>
      </c>
      <c r="S486" s="12">
        <f>IF(AND(P486="",Q486=""),IF(AND(L486="",M486="",T486="",U486=""),IF(OR($D486&lt;&gt;"",$E486&lt;&gt;""),"Belum ditempatkan",""),""),IF(P486="","CEK JENIS FIXTURE kosong",IF(LEFT(P486,4)&lt;&gt;"Wall","CEK Fixture 2 hanya Wall",IF(Q486="","CEK SHELVING KE kosong",IF(ISNA(MATCH(P486&amp;"|"&amp;Q486,LAYOUT!$E$2:$E$80,0)),"CEK SHELVING KE di luar layout",IF($I486="","CEK SERIES kosong",IF($D486="","Zona STOCK",IF($E486="","CEK SKU DESCRIPTION kosong",IF(COUNTIFS($I$2:$I$500,$I486,P$2:P$500,"&lt;&gt;"&amp;P486,P$2:P$500,"&lt;&gt;")&gt;0,"CEK jenis fixture beda dalam satu series","OK")))))))))</f>
        <v/>
      </c>
      <c r="T486" s="11" t="n"/>
      <c r="U486" s="11" t="n"/>
      <c r="V486" s="11">
        <f>IF(OR(T486="",U486=""),"",IFERROR(INDEX(LAYOUT!$D$2:$D$80,MATCH(T486&amp;"|"&amp;U486,LAYOUT!$E$2:$E$80,0)),""))</f>
        <v/>
      </c>
      <c r="W486" s="12">
        <f>IF(AND(T486="",U486=""),IF(AND(L486="",M486="",P486="",Q486=""),IF(OR($D486&lt;&gt;"",$E486&lt;&gt;""),"Belum ditempatkan",""),""),IF(T486="","CEK JENIS FIXTURE kosong",IF(LEFT(T486,4)&lt;&gt;"Wall","CEK Fixture 3 hanya Wall",IF(U486="","CEK SHELVING KE kosong",IF(ISNA(MATCH(T486&amp;"|"&amp;U486,LAYOUT!$E$2:$E$80,0)),"CEK SHELVING KE di luar layout",IF($I486="","CEK SERIES kosong",IF($D486="","Zona STOCK",IF($E486="","CEK SKU DESCRIPTION kosong",IF(COUNTIFS($I$2:$I$500,$I486,T$2:T$500,"&lt;&gt;"&amp;T486,T$2:T$500,"&lt;&gt;")&gt;0,"CEK jenis fixture beda dalam satu series","OK")))))))))</f>
        <v/>
      </c>
      <c r="X486" s="11" t="n"/>
      <c r="Y486" s="11" t="n"/>
      <c r="Z486" s="12" t="n"/>
      <c r="AA486" s="12" t="n"/>
      <c r="AB486" s="11" t="n"/>
      <c r="AC486" s="11" t="n"/>
      <c r="AD486" s="11" t="n"/>
      <c r="AE486" s="11" t="n"/>
      <c r="AF486" s="11" t="n"/>
      <c r="AG486" s="11" t="n"/>
      <c r="AH486" s="12" t="n"/>
      <c r="AI486" s="12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>
        <f>IF(OR(L487="",M487=""),"",IFERROR(INDEX(LAYOUT!$D$2:$D$80,MATCH(L487&amp;"|"&amp;M487,LAYOUT!$E$2:$E$80,0)),""))</f>
        <v/>
      </c>
      <c r="O487" s="12">
        <f>IF(AND(L487="",M487=""),IF(AND(P487="",Q487="",T487="",U487=""),IF(OR($D487&lt;&gt;"",$E487&lt;&gt;""),"Belum ditempatkan",""),""),IF(L487="","CEK JENIS FIXTURE kosong",IF(AND(LEFT(L487,7)&lt;&gt;"Gondola",LEFT(L487,6)&lt;&gt;"Endcap"),"CEK Fixture 1 hanya Gondola atau Endcap",IF(M487="","CEK SHELVING KE kosong",IF(ISNA(MATCH(L487&amp;"|"&amp;M487,LAYOUT!$E$2:$E$80,0)),"CEK SHELVING KE di luar layout",IF($I487="","CEK SERIES kosong",IF($D487="","Zona STOCK",IF($E487="","CEK SKU DESCRIPTION kosong",IF(COUNTIFS($I$2:$I$500,$I487,L$2:L$500,"&lt;&gt;"&amp;L487,L$2:L$500,"&lt;&gt;")&gt;0,"CEK jenis fixture beda dalam satu series","OK")))))))))</f>
        <v/>
      </c>
      <c r="P487" s="11" t="n"/>
      <c r="Q487" s="11" t="n"/>
      <c r="R487" s="11">
        <f>IF(OR(P487="",Q487=""),"",IFERROR(INDEX(LAYOUT!$D$2:$D$80,MATCH(P487&amp;"|"&amp;Q487,LAYOUT!$E$2:$E$80,0)),""))</f>
        <v/>
      </c>
      <c r="S487" s="12">
        <f>IF(AND(P487="",Q487=""),IF(AND(L487="",M487="",T487="",U487=""),IF(OR($D487&lt;&gt;"",$E487&lt;&gt;""),"Belum ditempatkan",""),""),IF(P487="","CEK JENIS FIXTURE kosong",IF(LEFT(P487,4)&lt;&gt;"Wall","CEK Fixture 2 hanya Wall",IF(Q487="","CEK SHELVING KE kosong",IF(ISNA(MATCH(P487&amp;"|"&amp;Q487,LAYOUT!$E$2:$E$80,0)),"CEK SHELVING KE di luar layout",IF($I487="","CEK SERIES kosong",IF($D487="","Zona STOCK",IF($E487="","CEK SKU DESCRIPTION kosong",IF(COUNTIFS($I$2:$I$500,$I487,P$2:P$500,"&lt;&gt;"&amp;P487,P$2:P$500,"&lt;&gt;")&gt;0,"CEK jenis fixture beda dalam satu series","OK")))))))))</f>
        <v/>
      </c>
      <c r="T487" s="11" t="n"/>
      <c r="U487" s="11" t="n"/>
      <c r="V487" s="11">
        <f>IF(OR(T487="",U487=""),"",IFERROR(INDEX(LAYOUT!$D$2:$D$80,MATCH(T487&amp;"|"&amp;U487,LAYOUT!$E$2:$E$80,0)),""))</f>
        <v/>
      </c>
      <c r="W487" s="12">
        <f>IF(AND(T487="",U487=""),IF(AND(L487="",M487="",P487="",Q487=""),IF(OR($D487&lt;&gt;"",$E487&lt;&gt;""),"Belum ditempatkan",""),""),IF(T487="","CEK JENIS FIXTURE kosong",IF(LEFT(T487,4)&lt;&gt;"Wall","CEK Fixture 3 hanya Wall",IF(U487="","CEK SHELVING KE kosong",IF(ISNA(MATCH(T487&amp;"|"&amp;U487,LAYOUT!$E$2:$E$80,0)),"CEK SHELVING KE di luar layout",IF($I487="","CEK SERIES kosong",IF($D487="","Zona STOCK",IF($E487="","CEK SKU DESCRIPTION kosong",IF(COUNTIFS($I$2:$I$500,$I487,T$2:T$500,"&lt;&gt;"&amp;T487,T$2:T$500,"&lt;&gt;")&gt;0,"CEK jenis fixture beda dalam satu series","OK")))))))))</f>
        <v/>
      </c>
      <c r="X487" s="11" t="n"/>
      <c r="Y487" s="11" t="n"/>
      <c r="Z487" s="12" t="n"/>
      <c r="AA487" s="12" t="n"/>
      <c r="AB487" s="11" t="n"/>
      <c r="AC487" s="11" t="n"/>
      <c r="AD487" s="11" t="n"/>
      <c r="AE487" s="11" t="n"/>
      <c r="AF487" s="11" t="n"/>
      <c r="AG487" s="11" t="n"/>
      <c r="AH487" s="12" t="n"/>
      <c r="AI487" s="12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>
        <f>IF(OR(L488="",M488=""),"",IFERROR(INDEX(LAYOUT!$D$2:$D$80,MATCH(L488&amp;"|"&amp;M488,LAYOUT!$E$2:$E$80,0)),""))</f>
        <v/>
      </c>
      <c r="O488" s="12">
        <f>IF(AND(L488="",M488=""),IF(AND(P488="",Q488="",T488="",U488=""),IF(OR($D488&lt;&gt;"",$E488&lt;&gt;""),"Belum ditempatkan",""),""),IF(L488="","CEK JENIS FIXTURE kosong",IF(AND(LEFT(L488,7)&lt;&gt;"Gondola",LEFT(L488,6)&lt;&gt;"Endcap"),"CEK Fixture 1 hanya Gondola atau Endcap",IF(M488="","CEK SHELVING KE kosong",IF(ISNA(MATCH(L488&amp;"|"&amp;M488,LAYOUT!$E$2:$E$80,0)),"CEK SHELVING KE di luar layout",IF($I488="","CEK SERIES kosong",IF($D488="","Zona STOCK",IF($E488="","CEK SKU DESCRIPTION kosong",IF(COUNTIFS($I$2:$I$500,$I488,L$2:L$500,"&lt;&gt;"&amp;L488,L$2:L$500,"&lt;&gt;")&gt;0,"CEK jenis fixture beda dalam satu series","OK")))))))))</f>
        <v/>
      </c>
      <c r="P488" s="11" t="n"/>
      <c r="Q488" s="11" t="n"/>
      <c r="R488" s="11">
        <f>IF(OR(P488="",Q488=""),"",IFERROR(INDEX(LAYOUT!$D$2:$D$80,MATCH(P488&amp;"|"&amp;Q488,LAYOUT!$E$2:$E$80,0)),""))</f>
        <v/>
      </c>
      <c r="S488" s="12">
        <f>IF(AND(P488="",Q488=""),IF(AND(L488="",M488="",T488="",U488=""),IF(OR($D488&lt;&gt;"",$E488&lt;&gt;""),"Belum ditempatkan",""),""),IF(P488="","CEK JENIS FIXTURE kosong",IF(LEFT(P488,4)&lt;&gt;"Wall","CEK Fixture 2 hanya Wall",IF(Q488="","CEK SHELVING KE kosong",IF(ISNA(MATCH(P488&amp;"|"&amp;Q488,LAYOUT!$E$2:$E$80,0)),"CEK SHELVING KE di luar layout",IF($I488="","CEK SERIES kosong",IF($D488="","Zona STOCK",IF($E488="","CEK SKU DESCRIPTION kosong",IF(COUNTIFS($I$2:$I$500,$I488,P$2:P$500,"&lt;&gt;"&amp;P488,P$2:P$500,"&lt;&gt;")&gt;0,"CEK jenis fixture beda dalam satu series","OK")))))))))</f>
        <v/>
      </c>
      <c r="T488" s="11" t="n"/>
      <c r="U488" s="11" t="n"/>
      <c r="V488" s="11">
        <f>IF(OR(T488="",U488=""),"",IFERROR(INDEX(LAYOUT!$D$2:$D$80,MATCH(T488&amp;"|"&amp;U488,LAYOUT!$E$2:$E$80,0)),""))</f>
        <v/>
      </c>
      <c r="W488" s="12">
        <f>IF(AND(T488="",U488=""),IF(AND(L488="",M488="",P488="",Q488=""),IF(OR($D488&lt;&gt;"",$E488&lt;&gt;""),"Belum ditempatkan",""),""),IF(T488="","CEK JENIS FIXTURE kosong",IF(LEFT(T488,4)&lt;&gt;"Wall","CEK Fixture 3 hanya Wall",IF(U488="","CEK SHELVING KE kosong",IF(ISNA(MATCH(T488&amp;"|"&amp;U488,LAYOUT!$E$2:$E$80,0)),"CEK SHELVING KE di luar layout",IF($I488="","CEK SERIES kosong",IF($D488="","Zona STOCK",IF($E488="","CEK SKU DESCRIPTION kosong",IF(COUNTIFS($I$2:$I$500,$I488,T$2:T$500,"&lt;&gt;"&amp;T488,T$2:T$500,"&lt;&gt;")&gt;0,"CEK jenis fixture beda dalam satu series","OK")))))))))</f>
        <v/>
      </c>
      <c r="X488" s="11" t="n"/>
      <c r="Y488" s="11" t="n"/>
      <c r="Z488" s="12" t="n"/>
      <c r="AA488" s="12" t="n"/>
      <c r="AB488" s="11" t="n"/>
      <c r="AC488" s="11" t="n"/>
      <c r="AD488" s="11" t="n"/>
      <c r="AE488" s="11" t="n"/>
      <c r="AF488" s="11" t="n"/>
      <c r="AG488" s="11" t="n"/>
      <c r="AH488" s="12" t="n"/>
      <c r="AI488" s="12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>
        <f>IF(OR(L489="",M489=""),"",IFERROR(INDEX(LAYOUT!$D$2:$D$80,MATCH(L489&amp;"|"&amp;M489,LAYOUT!$E$2:$E$80,0)),""))</f>
        <v/>
      </c>
      <c r="O489" s="12">
        <f>IF(AND(L489="",M489=""),IF(AND(P489="",Q489="",T489="",U489=""),IF(OR($D489&lt;&gt;"",$E489&lt;&gt;""),"Belum ditempatkan",""),""),IF(L489="","CEK JENIS FIXTURE kosong",IF(AND(LEFT(L489,7)&lt;&gt;"Gondola",LEFT(L489,6)&lt;&gt;"Endcap"),"CEK Fixture 1 hanya Gondola atau Endcap",IF(M489="","CEK SHELVING KE kosong",IF(ISNA(MATCH(L489&amp;"|"&amp;M489,LAYOUT!$E$2:$E$80,0)),"CEK SHELVING KE di luar layout",IF($I489="","CEK SERIES kosong",IF($D489="","Zona STOCK",IF($E489="","CEK SKU DESCRIPTION kosong",IF(COUNTIFS($I$2:$I$500,$I489,L$2:L$500,"&lt;&gt;"&amp;L489,L$2:L$500,"&lt;&gt;")&gt;0,"CEK jenis fixture beda dalam satu series","OK")))))))))</f>
        <v/>
      </c>
      <c r="P489" s="11" t="n"/>
      <c r="Q489" s="11" t="n"/>
      <c r="R489" s="11">
        <f>IF(OR(P489="",Q489=""),"",IFERROR(INDEX(LAYOUT!$D$2:$D$80,MATCH(P489&amp;"|"&amp;Q489,LAYOUT!$E$2:$E$80,0)),""))</f>
        <v/>
      </c>
      <c r="S489" s="12">
        <f>IF(AND(P489="",Q489=""),IF(AND(L489="",M489="",T489="",U489=""),IF(OR($D489&lt;&gt;"",$E489&lt;&gt;""),"Belum ditempatkan",""),""),IF(P489="","CEK JENIS FIXTURE kosong",IF(LEFT(P489,4)&lt;&gt;"Wall","CEK Fixture 2 hanya Wall",IF(Q489="","CEK SHELVING KE kosong",IF(ISNA(MATCH(P489&amp;"|"&amp;Q489,LAYOUT!$E$2:$E$80,0)),"CEK SHELVING KE di luar layout",IF($I489="","CEK SERIES kosong",IF($D489="","Zona STOCK",IF($E489="","CEK SKU DESCRIPTION kosong",IF(COUNTIFS($I$2:$I$500,$I489,P$2:P$500,"&lt;&gt;"&amp;P489,P$2:P$500,"&lt;&gt;")&gt;0,"CEK jenis fixture beda dalam satu series","OK")))))))))</f>
        <v/>
      </c>
      <c r="T489" s="11" t="n"/>
      <c r="U489" s="11" t="n"/>
      <c r="V489" s="11">
        <f>IF(OR(T489="",U489=""),"",IFERROR(INDEX(LAYOUT!$D$2:$D$80,MATCH(T489&amp;"|"&amp;U489,LAYOUT!$E$2:$E$80,0)),""))</f>
        <v/>
      </c>
      <c r="W489" s="12">
        <f>IF(AND(T489="",U489=""),IF(AND(L489="",M489="",P489="",Q489=""),IF(OR($D489&lt;&gt;"",$E489&lt;&gt;""),"Belum ditempatkan",""),""),IF(T489="","CEK JENIS FIXTURE kosong",IF(LEFT(T489,4)&lt;&gt;"Wall","CEK Fixture 3 hanya Wall",IF(U489="","CEK SHELVING KE kosong",IF(ISNA(MATCH(T489&amp;"|"&amp;U489,LAYOUT!$E$2:$E$80,0)),"CEK SHELVING KE di luar layout",IF($I489="","CEK SERIES kosong",IF($D489="","Zona STOCK",IF($E489="","CEK SKU DESCRIPTION kosong",IF(COUNTIFS($I$2:$I$500,$I489,T$2:T$500,"&lt;&gt;"&amp;T489,T$2:T$500,"&lt;&gt;")&gt;0,"CEK jenis fixture beda dalam satu series","OK")))))))))</f>
        <v/>
      </c>
      <c r="X489" s="11" t="n"/>
      <c r="Y489" s="11" t="n"/>
      <c r="Z489" s="12" t="n"/>
      <c r="AA489" s="12" t="n"/>
      <c r="AB489" s="11" t="n"/>
      <c r="AC489" s="11" t="n"/>
      <c r="AD489" s="11" t="n"/>
      <c r="AE489" s="11" t="n"/>
      <c r="AF489" s="11" t="n"/>
      <c r="AG489" s="11" t="n"/>
      <c r="AH489" s="12" t="n"/>
      <c r="AI489" s="12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>
        <f>IF(OR(L490="",M490=""),"",IFERROR(INDEX(LAYOUT!$D$2:$D$80,MATCH(L490&amp;"|"&amp;M490,LAYOUT!$E$2:$E$80,0)),""))</f>
        <v/>
      </c>
      <c r="O490" s="12">
        <f>IF(AND(L490="",M490=""),IF(AND(P490="",Q490="",T490="",U490=""),IF(OR($D490&lt;&gt;"",$E490&lt;&gt;""),"Belum ditempatkan",""),""),IF(L490="","CEK JENIS FIXTURE kosong",IF(AND(LEFT(L490,7)&lt;&gt;"Gondola",LEFT(L490,6)&lt;&gt;"Endcap"),"CEK Fixture 1 hanya Gondola atau Endcap",IF(M490="","CEK SHELVING KE kosong",IF(ISNA(MATCH(L490&amp;"|"&amp;M490,LAYOUT!$E$2:$E$80,0)),"CEK SHELVING KE di luar layout",IF($I490="","CEK SERIES kosong",IF($D490="","Zona STOCK",IF($E490="","CEK SKU DESCRIPTION kosong",IF(COUNTIFS($I$2:$I$500,$I490,L$2:L$500,"&lt;&gt;"&amp;L490,L$2:L$500,"&lt;&gt;")&gt;0,"CEK jenis fixture beda dalam satu series","OK")))))))))</f>
        <v/>
      </c>
      <c r="P490" s="11" t="n"/>
      <c r="Q490" s="11" t="n"/>
      <c r="R490" s="11">
        <f>IF(OR(P490="",Q490=""),"",IFERROR(INDEX(LAYOUT!$D$2:$D$80,MATCH(P490&amp;"|"&amp;Q490,LAYOUT!$E$2:$E$80,0)),""))</f>
        <v/>
      </c>
      <c r="S490" s="12">
        <f>IF(AND(P490="",Q490=""),IF(AND(L490="",M490="",T490="",U490=""),IF(OR($D490&lt;&gt;"",$E490&lt;&gt;""),"Belum ditempatkan",""),""),IF(P490="","CEK JENIS FIXTURE kosong",IF(LEFT(P490,4)&lt;&gt;"Wall","CEK Fixture 2 hanya Wall",IF(Q490="","CEK SHELVING KE kosong",IF(ISNA(MATCH(P490&amp;"|"&amp;Q490,LAYOUT!$E$2:$E$80,0)),"CEK SHELVING KE di luar layout",IF($I490="","CEK SERIES kosong",IF($D490="","Zona STOCK",IF($E490="","CEK SKU DESCRIPTION kosong",IF(COUNTIFS($I$2:$I$500,$I490,P$2:P$500,"&lt;&gt;"&amp;P490,P$2:P$500,"&lt;&gt;")&gt;0,"CEK jenis fixture beda dalam satu series","OK")))))))))</f>
        <v/>
      </c>
      <c r="T490" s="11" t="n"/>
      <c r="U490" s="11" t="n"/>
      <c r="V490" s="11">
        <f>IF(OR(T490="",U490=""),"",IFERROR(INDEX(LAYOUT!$D$2:$D$80,MATCH(T490&amp;"|"&amp;U490,LAYOUT!$E$2:$E$80,0)),""))</f>
        <v/>
      </c>
      <c r="W490" s="12">
        <f>IF(AND(T490="",U490=""),IF(AND(L490="",M490="",P490="",Q490=""),IF(OR($D490&lt;&gt;"",$E490&lt;&gt;""),"Belum ditempatkan",""),""),IF(T490="","CEK JENIS FIXTURE kosong",IF(LEFT(T490,4)&lt;&gt;"Wall","CEK Fixture 3 hanya Wall",IF(U490="","CEK SHELVING KE kosong",IF(ISNA(MATCH(T490&amp;"|"&amp;U490,LAYOUT!$E$2:$E$80,0)),"CEK SHELVING KE di luar layout",IF($I490="","CEK SERIES kosong",IF($D490="","Zona STOCK",IF($E490="","CEK SKU DESCRIPTION kosong",IF(COUNTIFS($I$2:$I$500,$I490,T$2:T$500,"&lt;&gt;"&amp;T490,T$2:T$500,"&lt;&gt;")&gt;0,"CEK jenis fixture beda dalam satu series","OK")))))))))</f>
        <v/>
      </c>
      <c r="X490" s="11" t="n"/>
      <c r="Y490" s="11" t="n"/>
      <c r="Z490" s="12" t="n"/>
      <c r="AA490" s="12" t="n"/>
      <c r="AB490" s="11" t="n"/>
      <c r="AC490" s="11" t="n"/>
      <c r="AD490" s="11" t="n"/>
      <c r="AE490" s="11" t="n"/>
      <c r="AF490" s="11" t="n"/>
      <c r="AG490" s="11" t="n"/>
      <c r="AH490" s="12" t="n"/>
      <c r="AI490" s="12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>
        <f>IF(OR(L491="",M491=""),"",IFERROR(INDEX(LAYOUT!$D$2:$D$80,MATCH(L491&amp;"|"&amp;M491,LAYOUT!$E$2:$E$80,0)),""))</f>
        <v/>
      </c>
      <c r="O491" s="12">
        <f>IF(AND(L491="",M491=""),IF(AND(P491="",Q491="",T491="",U491=""),IF(OR($D491&lt;&gt;"",$E491&lt;&gt;""),"Belum ditempatkan",""),""),IF(L491="","CEK JENIS FIXTURE kosong",IF(AND(LEFT(L491,7)&lt;&gt;"Gondola",LEFT(L491,6)&lt;&gt;"Endcap"),"CEK Fixture 1 hanya Gondola atau Endcap",IF(M491="","CEK SHELVING KE kosong",IF(ISNA(MATCH(L491&amp;"|"&amp;M491,LAYOUT!$E$2:$E$80,0)),"CEK SHELVING KE di luar layout",IF($I491="","CEK SERIES kosong",IF($D491="","Zona STOCK",IF($E491="","CEK SKU DESCRIPTION kosong",IF(COUNTIFS($I$2:$I$500,$I491,L$2:L$500,"&lt;&gt;"&amp;L491,L$2:L$500,"&lt;&gt;")&gt;0,"CEK jenis fixture beda dalam satu series","OK")))))))))</f>
        <v/>
      </c>
      <c r="P491" s="11" t="n"/>
      <c r="Q491" s="11" t="n"/>
      <c r="R491" s="11">
        <f>IF(OR(P491="",Q491=""),"",IFERROR(INDEX(LAYOUT!$D$2:$D$80,MATCH(P491&amp;"|"&amp;Q491,LAYOUT!$E$2:$E$80,0)),""))</f>
        <v/>
      </c>
      <c r="S491" s="12">
        <f>IF(AND(P491="",Q491=""),IF(AND(L491="",M491="",T491="",U491=""),IF(OR($D491&lt;&gt;"",$E491&lt;&gt;""),"Belum ditempatkan",""),""),IF(P491="","CEK JENIS FIXTURE kosong",IF(LEFT(P491,4)&lt;&gt;"Wall","CEK Fixture 2 hanya Wall",IF(Q491="","CEK SHELVING KE kosong",IF(ISNA(MATCH(P491&amp;"|"&amp;Q491,LAYOUT!$E$2:$E$80,0)),"CEK SHELVING KE di luar layout",IF($I491="","CEK SERIES kosong",IF($D491="","Zona STOCK",IF($E491="","CEK SKU DESCRIPTION kosong",IF(COUNTIFS($I$2:$I$500,$I491,P$2:P$500,"&lt;&gt;"&amp;P491,P$2:P$500,"&lt;&gt;")&gt;0,"CEK jenis fixture beda dalam satu series","OK")))))))))</f>
        <v/>
      </c>
      <c r="T491" s="11" t="n"/>
      <c r="U491" s="11" t="n"/>
      <c r="V491" s="11">
        <f>IF(OR(T491="",U491=""),"",IFERROR(INDEX(LAYOUT!$D$2:$D$80,MATCH(T491&amp;"|"&amp;U491,LAYOUT!$E$2:$E$80,0)),""))</f>
        <v/>
      </c>
      <c r="W491" s="12">
        <f>IF(AND(T491="",U491=""),IF(AND(L491="",M491="",P491="",Q491=""),IF(OR($D491&lt;&gt;"",$E491&lt;&gt;""),"Belum ditempatkan",""),""),IF(T491="","CEK JENIS FIXTURE kosong",IF(LEFT(T491,4)&lt;&gt;"Wall","CEK Fixture 3 hanya Wall",IF(U491="","CEK SHELVING KE kosong",IF(ISNA(MATCH(T491&amp;"|"&amp;U491,LAYOUT!$E$2:$E$80,0)),"CEK SHELVING KE di luar layout",IF($I491="","CEK SERIES kosong",IF($D491="","Zona STOCK",IF($E491="","CEK SKU DESCRIPTION kosong",IF(COUNTIFS($I$2:$I$500,$I491,T$2:T$500,"&lt;&gt;"&amp;T491,T$2:T$500,"&lt;&gt;")&gt;0,"CEK jenis fixture beda dalam satu series","OK")))))))))</f>
        <v/>
      </c>
      <c r="X491" s="11" t="n"/>
      <c r="Y491" s="11" t="n"/>
      <c r="Z491" s="12" t="n"/>
      <c r="AA491" s="12" t="n"/>
      <c r="AB491" s="11" t="n"/>
      <c r="AC491" s="11" t="n"/>
      <c r="AD491" s="11" t="n"/>
      <c r="AE491" s="11" t="n"/>
      <c r="AF491" s="11" t="n"/>
      <c r="AG491" s="11" t="n"/>
      <c r="AH491" s="12" t="n"/>
      <c r="AI491" s="12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>
        <f>IF(OR(L492="",M492=""),"",IFERROR(INDEX(LAYOUT!$D$2:$D$80,MATCH(L492&amp;"|"&amp;M492,LAYOUT!$E$2:$E$80,0)),""))</f>
        <v/>
      </c>
      <c r="O492" s="12">
        <f>IF(AND(L492="",M492=""),IF(AND(P492="",Q492="",T492="",U492=""),IF(OR($D492&lt;&gt;"",$E492&lt;&gt;""),"Belum ditempatkan",""),""),IF(L492="","CEK JENIS FIXTURE kosong",IF(AND(LEFT(L492,7)&lt;&gt;"Gondola",LEFT(L492,6)&lt;&gt;"Endcap"),"CEK Fixture 1 hanya Gondola atau Endcap",IF(M492="","CEK SHELVING KE kosong",IF(ISNA(MATCH(L492&amp;"|"&amp;M492,LAYOUT!$E$2:$E$80,0)),"CEK SHELVING KE di luar layout",IF($I492="","CEK SERIES kosong",IF($D492="","Zona STOCK",IF($E492="","CEK SKU DESCRIPTION kosong",IF(COUNTIFS($I$2:$I$500,$I492,L$2:L$500,"&lt;&gt;"&amp;L492,L$2:L$500,"&lt;&gt;")&gt;0,"CEK jenis fixture beda dalam satu series","OK")))))))))</f>
        <v/>
      </c>
      <c r="P492" s="11" t="n"/>
      <c r="Q492" s="11" t="n"/>
      <c r="R492" s="11">
        <f>IF(OR(P492="",Q492=""),"",IFERROR(INDEX(LAYOUT!$D$2:$D$80,MATCH(P492&amp;"|"&amp;Q492,LAYOUT!$E$2:$E$80,0)),""))</f>
        <v/>
      </c>
      <c r="S492" s="12">
        <f>IF(AND(P492="",Q492=""),IF(AND(L492="",M492="",T492="",U492=""),IF(OR($D492&lt;&gt;"",$E492&lt;&gt;""),"Belum ditempatkan",""),""),IF(P492="","CEK JENIS FIXTURE kosong",IF(LEFT(P492,4)&lt;&gt;"Wall","CEK Fixture 2 hanya Wall",IF(Q492="","CEK SHELVING KE kosong",IF(ISNA(MATCH(P492&amp;"|"&amp;Q492,LAYOUT!$E$2:$E$80,0)),"CEK SHELVING KE di luar layout",IF($I492="","CEK SERIES kosong",IF($D492="","Zona STOCK",IF($E492="","CEK SKU DESCRIPTION kosong",IF(COUNTIFS($I$2:$I$500,$I492,P$2:P$500,"&lt;&gt;"&amp;P492,P$2:P$500,"&lt;&gt;")&gt;0,"CEK jenis fixture beda dalam satu series","OK")))))))))</f>
        <v/>
      </c>
      <c r="T492" s="11" t="n"/>
      <c r="U492" s="11" t="n"/>
      <c r="V492" s="11">
        <f>IF(OR(T492="",U492=""),"",IFERROR(INDEX(LAYOUT!$D$2:$D$80,MATCH(T492&amp;"|"&amp;U492,LAYOUT!$E$2:$E$80,0)),""))</f>
        <v/>
      </c>
      <c r="W492" s="12">
        <f>IF(AND(T492="",U492=""),IF(AND(L492="",M492="",P492="",Q492=""),IF(OR($D492&lt;&gt;"",$E492&lt;&gt;""),"Belum ditempatkan",""),""),IF(T492="","CEK JENIS FIXTURE kosong",IF(LEFT(T492,4)&lt;&gt;"Wall","CEK Fixture 3 hanya Wall",IF(U492="","CEK SHELVING KE kosong",IF(ISNA(MATCH(T492&amp;"|"&amp;U492,LAYOUT!$E$2:$E$80,0)),"CEK SHELVING KE di luar layout",IF($I492="","CEK SERIES kosong",IF($D492="","Zona STOCK",IF($E492="","CEK SKU DESCRIPTION kosong",IF(COUNTIFS($I$2:$I$500,$I492,T$2:T$500,"&lt;&gt;"&amp;T492,T$2:T$500,"&lt;&gt;")&gt;0,"CEK jenis fixture beda dalam satu series","OK")))))))))</f>
        <v/>
      </c>
      <c r="X492" s="11" t="n"/>
      <c r="Y492" s="11" t="n"/>
      <c r="Z492" s="12" t="n"/>
      <c r="AA492" s="12" t="n"/>
      <c r="AB492" s="11" t="n"/>
      <c r="AC492" s="11" t="n"/>
      <c r="AD492" s="11" t="n"/>
      <c r="AE492" s="11" t="n"/>
      <c r="AF492" s="11" t="n"/>
      <c r="AG492" s="11" t="n"/>
      <c r="AH492" s="12" t="n"/>
      <c r="AI492" s="12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>
        <f>IF(OR(L493="",M493=""),"",IFERROR(INDEX(LAYOUT!$D$2:$D$80,MATCH(L493&amp;"|"&amp;M493,LAYOUT!$E$2:$E$80,0)),""))</f>
        <v/>
      </c>
      <c r="O493" s="12">
        <f>IF(AND(L493="",M493=""),IF(AND(P493="",Q493="",T493="",U493=""),IF(OR($D493&lt;&gt;"",$E493&lt;&gt;""),"Belum ditempatkan",""),""),IF(L493="","CEK JENIS FIXTURE kosong",IF(AND(LEFT(L493,7)&lt;&gt;"Gondola",LEFT(L493,6)&lt;&gt;"Endcap"),"CEK Fixture 1 hanya Gondola atau Endcap",IF(M493="","CEK SHELVING KE kosong",IF(ISNA(MATCH(L493&amp;"|"&amp;M493,LAYOUT!$E$2:$E$80,0)),"CEK SHELVING KE di luar layout",IF($I493="","CEK SERIES kosong",IF($D493="","Zona STOCK",IF($E493="","CEK SKU DESCRIPTION kosong",IF(COUNTIFS($I$2:$I$500,$I493,L$2:L$500,"&lt;&gt;"&amp;L493,L$2:L$500,"&lt;&gt;")&gt;0,"CEK jenis fixture beda dalam satu series","OK")))))))))</f>
        <v/>
      </c>
      <c r="P493" s="11" t="n"/>
      <c r="Q493" s="11" t="n"/>
      <c r="R493" s="11">
        <f>IF(OR(P493="",Q493=""),"",IFERROR(INDEX(LAYOUT!$D$2:$D$80,MATCH(P493&amp;"|"&amp;Q493,LAYOUT!$E$2:$E$80,0)),""))</f>
        <v/>
      </c>
      <c r="S493" s="12">
        <f>IF(AND(P493="",Q493=""),IF(AND(L493="",M493="",T493="",U493=""),IF(OR($D493&lt;&gt;"",$E493&lt;&gt;""),"Belum ditempatkan",""),""),IF(P493="","CEK JENIS FIXTURE kosong",IF(LEFT(P493,4)&lt;&gt;"Wall","CEK Fixture 2 hanya Wall",IF(Q493="","CEK SHELVING KE kosong",IF(ISNA(MATCH(P493&amp;"|"&amp;Q493,LAYOUT!$E$2:$E$80,0)),"CEK SHELVING KE di luar layout",IF($I493="","CEK SERIES kosong",IF($D493="","Zona STOCK",IF($E493="","CEK SKU DESCRIPTION kosong",IF(COUNTIFS($I$2:$I$500,$I493,P$2:P$500,"&lt;&gt;"&amp;P493,P$2:P$500,"&lt;&gt;")&gt;0,"CEK jenis fixture beda dalam satu series","OK")))))))))</f>
        <v/>
      </c>
      <c r="T493" s="11" t="n"/>
      <c r="U493" s="11" t="n"/>
      <c r="V493" s="11">
        <f>IF(OR(T493="",U493=""),"",IFERROR(INDEX(LAYOUT!$D$2:$D$80,MATCH(T493&amp;"|"&amp;U493,LAYOUT!$E$2:$E$80,0)),""))</f>
        <v/>
      </c>
      <c r="W493" s="12">
        <f>IF(AND(T493="",U493=""),IF(AND(L493="",M493="",P493="",Q493=""),IF(OR($D493&lt;&gt;"",$E493&lt;&gt;""),"Belum ditempatkan",""),""),IF(T493="","CEK JENIS FIXTURE kosong",IF(LEFT(T493,4)&lt;&gt;"Wall","CEK Fixture 3 hanya Wall",IF(U493="","CEK SHELVING KE kosong",IF(ISNA(MATCH(T493&amp;"|"&amp;U493,LAYOUT!$E$2:$E$80,0)),"CEK SHELVING KE di luar layout",IF($I493="","CEK SERIES kosong",IF($D493="","Zona STOCK",IF($E493="","CEK SKU DESCRIPTION kosong",IF(COUNTIFS($I$2:$I$500,$I493,T$2:T$500,"&lt;&gt;"&amp;T493,T$2:T$500,"&lt;&gt;")&gt;0,"CEK jenis fixture beda dalam satu series","OK")))))))))</f>
        <v/>
      </c>
      <c r="X493" s="11" t="n"/>
      <c r="Y493" s="11" t="n"/>
      <c r="Z493" s="12" t="n"/>
      <c r="AA493" s="12" t="n"/>
      <c r="AB493" s="11" t="n"/>
      <c r="AC493" s="11" t="n"/>
      <c r="AD493" s="11" t="n"/>
      <c r="AE493" s="11" t="n"/>
      <c r="AF493" s="11" t="n"/>
      <c r="AG493" s="11" t="n"/>
      <c r="AH493" s="12" t="n"/>
      <c r="AI493" s="12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>
        <f>IF(OR(L494="",M494=""),"",IFERROR(INDEX(LAYOUT!$D$2:$D$80,MATCH(L494&amp;"|"&amp;M494,LAYOUT!$E$2:$E$80,0)),""))</f>
        <v/>
      </c>
      <c r="O494" s="12">
        <f>IF(AND(L494="",M494=""),IF(AND(P494="",Q494="",T494="",U494=""),IF(OR($D494&lt;&gt;"",$E494&lt;&gt;""),"Belum ditempatkan",""),""),IF(L494="","CEK JENIS FIXTURE kosong",IF(AND(LEFT(L494,7)&lt;&gt;"Gondola",LEFT(L494,6)&lt;&gt;"Endcap"),"CEK Fixture 1 hanya Gondola atau Endcap",IF(M494="","CEK SHELVING KE kosong",IF(ISNA(MATCH(L494&amp;"|"&amp;M494,LAYOUT!$E$2:$E$80,0)),"CEK SHELVING KE di luar layout",IF($I494="","CEK SERIES kosong",IF($D494="","Zona STOCK",IF($E494="","CEK SKU DESCRIPTION kosong",IF(COUNTIFS($I$2:$I$500,$I494,L$2:L$500,"&lt;&gt;"&amp;L494,L$2:L$500,"&lt;&gt;")&gt;0,"CEK jenis fixture beda dalam satu series","OK")))))))))</f>
        <v/>
      </c>
      <c r="P494" s="11" t="n"/>
      <c r="Q494" s="11" t="n"/>
      <c r="R494" s="11">
        <f>IF(OR(P494="",Q494=""),"",IFERROR(INDEX(LAYOUT!$D$2:$D$80,MATCH(P494&amp;"|"&amp;Q494,LAYOUT!$E$2:$E$80,0)),""))</f>
        <v/>
      </c>
      <c r="S494" s="12">
        <f>IF(AND(P494="",Q494=""),IF(AND(L494="",M494="",T494="",U494=""),IF(OR($D494&lt;&gt;"",$E494&lt;&gt;""),"Belum ditempatkan",""),""),IF(P494="","CEK JENIS FIXTURE kosong",IF(LEFT(P494,4)&lt;&gt;"Wall","CEK Fixture 2 hanya Wall",IF(Q494="","CEK SHELVING KE kosong",IF(ISNA(MATCH(P494&amp;"|"&amp;Q494,LAYOUT!$E$2:$E$80,0)),"CEK SHELVING KE di luar layout",IF($I494="","CEK SERIES kosong",IF($D494="","Zona STOCK",IF($E494="","CEK SKU DESCRIPTION kosong",IF(COUNTIFS($I$2:$I$500,$I494,P$2:P$500,"&lt;&gt;"&amp;P494,P$2:P$500,"&lt;&gt;")&gt;0,"CEK jenis fixture beda dalam satu series","OK")))))))))</f>
        <v/>
      </c>
      <c r="T494" s="11" t="n"/>
      <c r="U494" s="11" t="n"/>
      <c r="V494" s="11">
        <f>IF(OR(T494="",U494=""),"",IFERROR(INDEX(LAYOUT!$D$2:$D$80,MATCH(T494&amp;"|"&amp;U494,LAYOUT!$E$2:$E$80,0)),""))</f>
        <v/>
      </c>
      <c r="W494" s="12">
        <f>IF(AND(T494="",U494=""),IF(AND(L494="",M494="",P494="",Q494=""),IF(OR($D494&lt;&gt;"",$E494&lt;&gt;""),"Belum ditempatkan",""),""),IF(T494="","CEK JENIS FIXTURE kosong",IF(LEFT(T494,4)&lt;&gt;"Wall","CEK Fixture 3 hanya Wall",IF(U494="","CEK SHELVING KE kosong",IF(ISNA(MATCH(T494&amp;"|"&amp;U494,LAYOUT!$E$2:$E$80,0)),"CEK SHELVING KE di luar layout",IF($I494="","CEK SERIES kosong",IF($D494="","Zona STOCK",IF($E494="","CEK SKU DESCRIPTION kosong",IF(COUNTIFS($I$2:$I$500,$I494,T$2:T$500,"&lt;&gt;"&amp;T494,T$2:T$500,"&lt;&gt;")&gt;0,"CEK jenis fixture beda dalam satu series","OK")))))))))</f>
        <v/>
      </c>
      <c r="X494" s="11" t="n"/>
      <c r="Y494" s="11" t="n"/>
      <c r="Z494" s="12" t="n"/>
      <c r="AA494" s="12" t="n"/>
      <c r="AB494" s="11" t="n"/>
      <c r="AC494" s="11" t="n"/>
      <c r="AD494" s="11" t="n"/>
      <c r="AE494" s="11" t="n"/>
      <c r="AF494" s="11" t="n"/>
      <c r="AG494" s="11" t="n"/>
      <c r="AH494" s="12" t="n"/>
      <c r="AI494" s="12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>
        <f>IF(OR(L495="",M495=""),"",IFERROR(INDEX(LAYOUT!$D$2:$D$80,MATCH(L495&amp;"|"&amp;M495,LAYOUT!$E$2:$E$80,0)),""))</f>
        <v/>
      </c>
      <c r="O495" s="12">
        <f>IF(AND(L495="",M495=""),IF(AND(P495="",Q495="",T495="",U495=""),IF(OR($D495&lt;&gt;"",$E495&lt;&gt;""),"Belum ditempatkan",""),""),IF(L495="","CEK JENIS FIXTURE kosong",IF(AND(LEFT(L495,7)&lt;&gt;"Gondola",LEFT(L495,6)&lt;&gt;"Endcap"),"CEK Fixture 1 hanya Gondola atau Endcap",IF(M495="","CEK SHELVING KE kosong",IF(ISNA(MATCH(L495&amp;"|"&amp;M495,LAYOUT!$E$2:$E$80,0)),"CEK SHELVING KE di luar layout",IF($I495="","CEK SERIES kosong",IF($D495="","Zona STOCK",IF($E495="","CEK SKU DESCRIPTION kosong",IF(COUNTIFS($I$2:$I$500,$I495,L$2:L$500,"&lt;&gt;"&amp;L495,L$2:L$500,"&lt;&gt;")&gt;0,"CEK jenis fixture beda dalam satu series","OK")))))))))</f>
        <v/>
      </c>
      <c r="P495" s="11" t="n"/>
      <c r="Q495" s="11" t="n"/>
      <c r="R495" s="11">
        <f>IF(OR(P495="",Q495=""),"",IFERROR(INDEX(LAYOUT!$D$2:$D$80,MATCH(P495&amp;"|"&amp;Q495,LAYOUT!$E$2:$E$80,0)),""))</f>
        <v/>
      </c>
      <c r="S495" s="12">
        <f>IF(AND(P495="",Q495=""),IF(AND(L495="",M495="",T495="",U495=""),IF(OR($D495&lt;&gt;"",$E495&lt;&gt;""),"Belum ditempatkan",""),""),IF(P495="","CEK JENIS FIXTURE kosong",IF(LEFT(P495,4)&lt;&gt;"Wall","CEK Fixture 2 hanya Wall",IF(Q495="","CEK SHELVING KE kosong",IF(ISNA(MATCH(P495&amp;"|"&amp;Q495,LAYOUT!$E$2:$E$80,0)),"CEK SHELVING KE di luar layout",IF($I495="","CEK SERIES kosong",IF($D495="","Zona STOCK",IF($E495="","CEK SKU DESCRIPTION kosong",IF(COUNTIFS($I$2:$I$500,$I495,P$2:P$500,"&lt;&gt;"&amp;P495,P$2:P$500,"&lt;&gt;")&gt;0,"CEK jenis fixture beda dalam satu series","OK")))))))))</f>
        <v/>
      </c>
      <c r="T495" s="11" t="n"/>
      <c r="U495" s="11" t="n"/>
      <c r="V495" s="11">
        <f>IF(OR(T495="",U495=""),"",IFERROR(INDEX(LAYOUT!$D$2:$D$80,MATCH(T495&amp;"|"&amp;U495,LAYOUT!$E$2:$E$80,0)),""))</f>
        <v/>
      </c>
      <c r="W495" s="12">
        <f>IF(AND(T495="",U495=""),IF(AND(L495="",M495="",P495="",Q495=""),IF(OR($D495&lt;&gt;"",$E495&lt;&gt;""),"Belum ditempatkan",""),""),IF(T495="","CEK JENIS FIXTURE kosong",IF(LEFT(T495,4)&lt;&gt;"Wall","CEK Fixture 3 hanya Wall",IF(U495="","CEK SHELVING KE kosong",IF(ISNA(MATCH(T495&amp;"|"&amp;U495,LAYOUT!$E$2:$E$80,0)),"CEK SHELVING KE di luar layout",IF($I495="","CEK SERIES kosong",IF($D495="","Zona STOCK",IF($E495="","CEK SKU DESCRIPTION kosong",IF(COUNTIFS($I$2:$I$500,$I495,T$2:T$500,"&lt;&gt;"&amp;T495,T$2:T$500,"&lt;&gt;")&gt;0,"CEK jenis fixture beda dalam satu series","OK")))))))))</f>
        <v/>
      </c>
      <c r="X495" s="11" t="n"/>
      <c r="Y495" s="11" t="n"/>
      <c r="Z495" s="12" t="n"/>
      <c r="AA495" s="12" t="n"/>
      <c r="AB495" s="11" t="n"/>
      <c r="AC495" s="11" t="n"/>
      <c r="AD495" s="11" t="n"/>
      <c r="AE495" s="11" t="n"/>
      <c r="AF495" s="11" t="n"/>
      <c r="AG495" s="11" t="n"/>
      <c r="AH495" s="12" t="n"/>
      <c r="AI495" s="12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>
        <f>IF(OR(L496="",M496=""),"",IFERROR(INDEX(LAYOUT!$D$2:$D$80,MATCH(L496&amp;"|"&amp;M496,LAYOUT!$E$2:$E$80,0)),""))</f>
        <v/>
      </c>
      <c r="O496" s="12">
        <f>IF(AND(L496="",M496=""),IF(AND(P496="",Q496="",T496="",U496=""),IF(OR($D496&lt;&gt;"",$E496&lt;&gt;""),"Belum ditempatkan",""),""),IF(L496="","CEK JENIS FIXTURE kosong",IF(AND(LEFT(L496,7)&lt;&gt;"Gondola",LEFT(L496,6)&lt;&gt;"Endcap"),"CEK Fixture 1 hanya Gondola atau Endcap",IF(M496="","CEK SHELVING KE kosong",IF(ISNA(MATCH(L496&amp;"|"&amp;M496,LAYOUT!$E$2:$E$80,0)),"CEK SHELVING KE di luar layout",IF($I496="","CEK SERIES kosong",IF($D496="","Zona STOCK",IF($E496="","CEK SKU DESCRIPTION kosong",IF(COUNTIFS($I$2:$I$500,$I496,L$2:L$500,"&lt;&gt;"&amp;L496,L$2:L$500,"&lt;&gt;")&gt;0,"CEK jenis fixture beda dalam satu series","OK")))))))))</f>
        <v/>
      </c>
      <c r="P496" s="11" t="n"/>
      <c r="Q496" s="11" t="n"/>
      <c r="R496" s="11">
        <f>IF(OR(P496="",Q496=""),"",IFERROR(INDEX(LAYOUT!$D$2:$D$80,MATCH(P496&amp;"|"&amp;Q496,LAYOUT!$E$2:$E$80,0)),""))</f>
        <v/>
      </c>
      <c r="S496" s="12">
        <f>IF(AND(P496="",Q496=""),IF(AND(L496="",M496="",T496="",U496=""),IF(OR($D496&lt;&gt;"",$E496&lt;&gt;""),"Belum ditempatkan",""),""),IF(P496="","CEK JENIS FIXTURE kosong",IF(LEFT(P496,4)&lt;&gt;"Wall","CEK Fixture 2 hanya Wall",IF(Q496="","CEK SHELVING KE kosong",IF(ISNA(MATCH(P496&amp;"|"&amp;Q496,LAYOUT!$E$2:$E$80,0)),"CEK SHELVING KE di luar layout",IF($I496="","CEK SERIES kosong",IF($D496="","Zona STOCK",IF($E496="","CEK SKU DESCRIPTION kosong",IF(COUNTIFS($I$2:$I$500,$I496,P$2:P$500,"&lt;&gt;"&amp;P496,P$2:P$500,"&lt;&gt;")&gt;0,"CEK jenis fixture beda dalam satu series","OK")))))))))</f>
        <v/>
      </c>
      <c r="T496" s="11" t="n"/>
      <c r="U496" s="11" t="n"/>
      <c r="V496" s="11">
        <f>IF(OR(T496="",U496=""),"",IFERROR(INDEX(LAYOUT!$D$2:$D$80,MATCH(T496&amp;"|"&amp;U496,LAYOUT!$E$2:$E$80,0)),""))</f>
        <v/>
      </c>
      <c r="W496" s="12">
        <f>IF(AND(T496="",U496=""),IF(AND(L496="",M496="",P496="",Q496=""),IF(OR($D496&lt;&gt;"",$E496&lt;&gt;""),"Belum ditempatkan",""),""),IF(T496="","CEK JENIS FIXTURE kosong",IF(LEFT(T496,4)&lt;&gt;"Wall","CEK Fixture 3 hanya Wall",IF(U496="","CEK SHELVING KE kosong",IF(ISNA(MATCH(T496&amp;"|"&amp;U496,LAYOUT!$E$2:$E$80,0)),"CEK SHELVING KE di luar layout",IF($I496="","CEK SERIES kosong",IF($D496="","Zona STOCK",IF($E496="","CEK SKU DESCRIPTION kosong",IF(COUNTIFS($I$2:$I$500,$I496,T$2:T$500,"&lt;&gt;"&amp;T496,T$2:T$500,"&lt;&gt;")&gt;0,"CEK jenis fixture beda dalam satu series","OK")))))))))</f>
        <v/>
      </c>
      <c r="X496" s="11" t="n"/>
      <c r="Y496" s="11" t="n"/>
      <c r="Z496" s="12" t="n"/>
      <c r="AA496" s="12" t="n"/>
      <c r="AB496" s="11" t="n"/>
      <c r="AC496" s="11" t="n"/>
      <c r="AD496" s="11" t="n"/>
      <c r="AE496" s="11" t="n"/>
      <c r="AF496" s="11" t="n"/>
      <c r="AG496" s="11" t="n"/>
      <c r="AH496" s="12" t="n"/>
      <c r="AI496" s="12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>
        <f>IF(OR(L497="",M497=""),"",IFERROR(INDEX(LAYOUT!$D$2:$D$80,MATCH(L497&amp;"|"&amp;M497,LAYOUT!$E$2:$E$80,0)),""))</f>
        <v/>
      </c>
      <c r="O497" s="12">
        <f>IF(AND(L497="",M497=""),IF(AND(P497="",Q497="",T497="",U497=""),IF(OR($D497&lt;&gt;"",$E497&lt;&gt;""),"Belum ditempatkan",""),""),IF(L497="","CEK JENIS FIXTURE kosong",IF(AND(LEFT(L497,7)&lt;&gt;"Gondola",LEFT(L497,6)&lt;&gt;"Endcap"),"CEK Fixture 1 hanya Gondola atau Endcap",IF(M497="","CEK SHELVING KE kosong",IF(ISNA(MATCH(L497&amp;"|"&amp;M497,LAYOUT!$E$2:$E$80,0)),"CEK SHELVING KE di luar layout",IF($I497="","CEK SERIES kosong",IF($D497="","Zona STOCK",IF($E497="","CEK SKU DESCRIPTION kosong",IF(COUNTIFS($I$2:$I$500,$I497,L$2:L$500,"&lt;&gt;"&amp;L497,L$2:L$500,"&lt;&gt;")&gt;0,"CEK jenis fixture beda dalam satu series","OK")))))))))</f>
        <v/>
      </c>
      <c r="P497" s="11" t="n"/>
      <c r="Q497" s="11" t="n"/>
      <c r="R497" s="11">
        <f>IF(OR(P497="",Q497=""),"",IFERROR(INDEX(LAYOUT!$D$2:$D$80,MATCH(P497&amp;"|"&amp;Q497,LAYOUT!$E$2:$E$80,0)),""))</f>
        <v/>
      </c>
      <c r="S497" s="12">
        <f>IF(AND(P497="",Q497=""),IF(AND(L497="",M497="",T497="",U497=""),IF(OR($D497&lt;&gt;"",$E497&lt;&gt;""),"Belum ditempatkan",""),""),IF(P497="","CEK JENIS FIXTURE kosong",IF(LEFT(P497,4)&lt;&gt;"Wall","CEK Fixture 2 hanya Wall",IF(Q497="","CEK SHELVING KE kosong",IF(ISNA(MATCH(P497&amp;"|"&amp;Q497,LAYOUT!$E$2:$E$80,0)),"CEK SHELVING KE di luar layout",IF($I497="","CEK SERIES kosong",IF($D497="","Zona STOCK",IF($E497="","CEK SKU DESCRIPTION kosong",IF(COUNTIFS($I$2:$I$500,$I497,P$2:P$500,"&lt;&gt;"&amp;P497,P$2:P$500,"&lt;&gt;")&gt;0,"CEK jenis fixture beda dalam satu series","OK")))))))))</f>
        <v/>
      </c>
      <c r="T497" s="11" t="n"/>
      <c r="U497" s="11" t="n"/>
      <c r="V497" s="11">
        <f>IF(OR(T497="",U497=""),"",IFERROR(INDEX(LAYOUT!$D$2:$D$80,MATCH(T497&amp;"|"&amp;U497,LAYOUT!$E$2:$E$80,0)),""))</f>
        <v/>
      </c>
      <c r="W497" s="12">
        <f>IF(AND(T497="",U497=""),IF(AND(L497="",M497="",P497="",Q497=""),IF(OR($D497&lt;&gt;"",$E497&lt;&gt;""),"Belum ditempatkan",""),""),IF(T497="","CEK JENIS FIXTURE kosong",IF(LEFT(T497,4)&lt;&gt;"Wall","CEK Fixture 3 hanya Wall",IF(U497="","CEK SHELVING KE kosong",IF(ISNA(MATCH(T497&amp;"|"&amp;U497,LAYOUT!$E$2:$E$80,0)),"CEK SHELVING KE di luar layout",IF($I497="","CEK SERIES kosong",IF($D497="","Zona STOCK",IF($E497="","CEK SKU DESCRIPTION kosong",IF(COUNTIFS($I$2:$I$500,$I497,T$2:T$500,"&lt;&gt;"&amp;T497,T$2:T$500,"&lt;&gt;")&gt;0,"CEK jenis fixture beda dalam satu series","OK")))))))))</f>
        <v/>
      </c>
      <c r="X497" s="11" t="n"/>
      <c r="Y497" s="11" t="n"/>
      <c r="Z497" s="12" t="n"/>
      <c r="AA497" s="12" t="n"/>
      <c r="AB497" s="11" t="n"/>
      <c r="AC497" s="11" t="n"/>
      <c r="AD497" s="11" t="n"/>
      <c r="AE497" s="11" t="n"/>
      <c r="AF497" s="11" t="n"/>
      <c r="AG497" s="11" t="n"/>
      <c r="AH497" s="12" t="n"/>
      <c r="AI497" s="12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>
        <f>IF(OR(L498="",M498=""),"",IFERROR(INDEX(LAYOUT!$D$2:$D$80,MATCH(L498&amp;"|"&amp;M498,LAYOUT!$E$2:$E$80,0)),""))</f>
        <v/>
      </c>
      <c r="O498" s="12">
        <f>IF(AND(L498="",M498=""),IF(AND(P498="",Q498="",T498="",U498=""),IF(OR($D498&lt;&gt;"",$E498&lt;&gt;""),"Belum ditempatkan",""),""),IF(L498="","CEK JENIS FIXTURE kosong",IF(AND(LEFT(L498,7)&lt;&gt;"Gondola",LEFT(L498,6)&lt;&gt;"Endcap"),"CEK Fixture 1 hanya Gondola atau Endcap",IF(M498="","CEK SHELVING KE kosong",IF(ISNA(MATCH(L498&amp;"|"&amp;M498,LAYOUT!$E$2:$E$80,0)),"CEK SHELVING KE di luar layout",IF($I498="","CEK SERIES kosong",IF($D498="","Zona STOCK",IF($E498="","CEK SKU DESCRIPTION kosong",IF(COUNTIFS($I$2:$I$500,$I498,L$2:L$500,"&lt;&gt;"&amp;L498,L$2:L$500,"&lt;&gt;")&gt;0,"CEK jenis fixture beda dalam satu series","OK")))))))))</f>
        <v/>
      </c>
      <c r="P498" s="11" t="n"/>
      <c r="Q498" s="11" t="n"/>
      <c r="R498" s="11">
        <f>IF(OR(P498="",Q498=""),"",IFERROR(INDEX(LAYOUT!$D$2:$D$80,MATCH(P498&amp;"|"&amp;Q498,LAYOUT!$E$2:$E$80,0)),""))</f>
        <v/>
      </c>
      <c r="S498" s="12">
        <f>IF(AND(P498="",Q498=""),IF(AND(L498="",M498="",T498="",U498=""),IF(OR($D498&lt;&gt;"",$E498&lt;&gt;""),"Belum ditempatkan",""),""),IF(P498="","CEK JENIS FIXTURE kosong",IF(LEFT(P498,4)&lt;&gt;"Wall","CEK Fixture 2 hanya Wall",IF(Q498="","CEK SHELVING KE kosong",IF(ISNA(MATCH(P498&amp;"|"&amp;Q498,LAYOUT!$E$2:$E$80,0)),"CEK SHELVING KE di luar layout",IF($I498="","CEK SERIES kosong",IF($D498="","Zona STOCK",IF($E498="","CEK SKU DESCRIPTION kosong",IF(COUNTIFS($I$2:$I$500,$I498,P$2:P$500,"&lt;&gt;"&amp;P498,P$2:P$500,"&lt;&gt;")&gt;0,"CEK jenis fixture beda dalam satu series","OK")))))))))</f>
        <v/>
      </c>
      <c r="T498" s="11" t="n"/>
      <c r="U498" s="11" t="n"/>
      <c r="V498" s="11">
        <f>IF(OR(T498="",U498=""),"",IFERROR(INDEX(LAYOUT!$D$2:$D$80,MATCH(T498&amp;"|"&amp;U498,LAYOUT!$E$2:$E$80,0)),""))</f>
        <v/>
      </c>
      <c r="W498" s="12">
        <f>IF(AND(T498="",U498=""),IF(AND(L498="",M498="",P498="",Q498=""),IF(OR($D498&lt;&gt;"",$E498&lt;&gt;""),"Belum ditempatkan",""),""),IF(T498="","CEK JENIS FIXTURE kosong",IF(LEFT(T498,4)&lt;&gt;"Wall","CEK Fixture 3 hanya Wall",IF(U498="","CEK SHELVING KE kosong",IF(ISNA(MATCH(T498&amp;"|"&amp;U498,LAYOUT!$E$2:$E$80,0)),"CEK SHELVING KE di luar layout",IF($I498="","CEK SERIES kosong",IF($D498="","Zona STOCK",IF($E498="","CEK SKU DESCRIPTION kosong",IF(COUNTIFS($I$2:$I$500,$I498,T$2:T$500,"&lt;&gt;"&amp;T498,T$2:T$500,"&lt;&gt;")&gt;0,"CEK jenis fixture beda dalam satu series","OK")))))))))</f>
        <v/>
      </c>
      <c r="X498" s="11" t="n"/>
      <c r="Y498" s="11" t="n"/>
      <c r="Z498" s="12" t="n"/>
      <c r="AA498" s="12" t="n"/>
      <c r="AB498" s="11" t="n"/>
      <c r="AC498" s="11" t="n"/>
      <c r="AD498" s="11" t="n"/>
      <c r="AE498" s="11" t="n"/>
      <c r="AF498" s="11" t="n"/>
      <c r="AG498" s="11" t="n"/>
      <c r="AH498" s="12" t="n"/>
      <c r="AI498" s="12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>
        <f>IF(OR(L499="",M499=""),"",IFERROR(INDEX(LAYOUT!$D$2:$D$80,MATCH(L499&amp;"|"&amp;M499,LAYOUT!$E$2:$E$80,0)),""))</f>
        <v/>
      </c>
      <c r="O499" s="12">
        <f>IF(AND(L499="",M499=""),IF(AND(P499="",Q499="",T499="",U499=""),IF(OR($D499&lt;&gt;"",$E499&lt;&gt;""),"Belum ditempatkan",""),""),IF(L499="","CEK JENIS FIXTURE kosong",IF(AND(LEFT(L499,7)&lt;&gt;"Gondola",LEFT(L499,6)&lt;&gt;"Endcap"),"CEK Fixture 1 hanya Gondola atau Endcap",IF(M499="","CEK SHELVING KE kosong",IF(ISNA(MATCH(L499&amp;"|"&amp;M499,LAYOUT!$E$2:$E$80,0)),"CEK SHELVING KE di luar layout",IF($I499="","CEK SERIES kosong",IF($D499="","Zona STOCK",IF($E499="","CEK SKU DESCRIPTION kosong",IF(COUNTIFS($I$2:$I$500,$I499,L$2:L$500,"&lt;&gt;"&amp;L499,L$2:L$500,"&lt;&gt;")&gt;0,"CEK jenis fixture beda dalam satu series","OK")))))))))</f>
        <v/>
      </c>
      <c r="P499" s="11" t="n"/>
      <c r="Q499" s="11" t="n"/>
      <c r="R499" s="11">
        <f>IF(OR(P499="",Q499=""),"",IFERROR(INDEX(LAYOUT!$D$2:$D$80,MATCH(P499&amp;"|"&amp;Q499,LAYOUT!$E$2:$E$80,0)),""))</f>
        <v/>
      </c>
      <c r="S499" s="12">
        <f>IF(AND(P499="",Q499=""),IF(AND(L499="",M499="",T499="",U499=""),IF(OR($D499&lt;&gt;"",$E499&lt;&gt;""),"Belum ditempatkan",""),""),IF(P499="","CEK JENIS FIXTURE kosong",IF(LEFT(P499,4)&lt;&gt;"Wall","CEK Fixture 2 hanya Wall",IF(Q499="","CEK SHELVING KE kosong",IF(ISNA(MATCH(P499&amp;"|"&amp;Q499,LAYOUT!$E$2:$E$80,0)),"CEK SHELVING KE di luar layout",IF($I499="","CEK SERIES kosong",IF($D499="","Zona STOCK",IF($E499="","CEK SKU DESCRIPTION kosong",IF(COUNTIFS($I$2:$I$500,$I499,P$2:P$500,"&lt;&gt;"&amp;P499,P$2:P$500,"&lt;&gt;")&gt;0,"CEK jenis fixture beda dalam satu series","OK")))))))))</f>
        <v/>
      </c>
      <c r="T499" s="11" t="n"/>
      <c r="U499" s="11" t="n"/>
      <c r="V499" s="11">
        <f>IF(OR(T499="",U499=""),"",IFERROR(INDEX(LAYOUT!$D$2:$D$80,MATCH(T499&amp;"|"&amp;U499,LAYOUT!$E$2:$E$80,0)),""))</f>
        <v/>
      </c>
      <c r="W499" s="12">
        <f>IF(AND(T499="",U499=""),IF(AND(L499="",M499="",P499="",Q499=""),IF(OR($D499&lt;&gt;"",$E499&lt;&gt;""),"Belum ditempatkan",""),""),IF(T499="","CEK JENIS FIXTURE kosong",IF(LEFT(T499,4)&lt;&gt;"Wall","CEK Fixture 3 hanya Wall",IF(U499="","CEK SHELVING KE kosong",IF(ISNA(MATCH(T499&amp;"|"&amp;U499,LAYOUT!$E$2:$E$80,0)),"CEK SHELVING KE di luar layout",IF($I499="","CEK SERIES kosong",IF($D499="","Zona STOCK",IF($E499="","CEK SKU DESCRIPTION kosong",IF(COUNTIFS($I$2:$I$500,$I499,T$2:T$500,"&lt;&gt;"&amp;T499,T$2:T$500,"&lt;&gt;")&gt;0,"CEK jenis fixture beda dalam satu series","OK")))))))))</f>
        <v/>
      </c>
      <c r="X499" s="11" t="n"/>
      <c r="Y499" s="11" t="n"/>
      <c r="Z499" s="12" t="n"/>
      <c r="AA499" s="12" t="n"/>
      <c r="AB499" s="11" t="n"/>
      <c r="AC499" s="11" t="n"/>
      <c r="AD499" s="11" t="n"/>
      <c r="AE499" s="11" t="n"/>
      <c r="AF499" s="11" t="n"/>
      <c r="AG499" s="11" t="n"/>
      <c r="AH499" s="12" t="n"/>
      <c r="AI499" s="12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>
        <f>IF(OR(L500="",M500=""),"",IFERROR(INDEX(LAYOUT!$D$2:$D$80,MATCH(L500&amp;"|"&amp;M500,LAYOUT!$E$2:$E$80,0)),""))</f>
        <v/>
      </c>
      <c r="O500" s="12">
        <f>IF(AND(L500="",M500=""),IF(AND(P500="",Q500="",T500="",U500=""),IF(OR($D500&lt;&gt;"",$E500&lt;&gt;""),"Belum ditempatkan",""),""),IF(L500="","CEK JENIS FIXTURE kosong",IF(AND(LEFT(L500,7)&lt;&gt;"Gondola",LEFT(L500,6)&lt;&gt;"Endcap"),"CEK Fixture 1 hanya Gondola atau Endcap",IF(M500="","CEK SHELVING KE kosong",IF(ISNA(MATCH(L500&amp;"|"&amp;M500,LAYOUT!$E$2:$E$80,0)),"CEK SHELVING KE di luar layout",IF($I500="","CEK SERIES kosong",IF($D500="","Zona STOCK",IF($E500="","CEK SKU DESCRIPTION kosong",IF(COUNTIFS($I$2:$I$500,$I500,L$2:L$500,"&lt;&gt;"&amp;L500,L$2:L$500,"&lt;&gt;")&gt;0,"CEK jenis fixture beda dalam satu series","OK")))))))))</f>
        <v/>
      </c>
      <c r="P500" s="11" t="n"/>
      <c r="Q500" s="11" t="n"/>
      <c r="R500" s="11">
        <f>IF(OR(P500="",Q500=""),"",IFERROR(INDEX(LAYOUT!$D$2:$D$80,MATCH(P500&amp;"|"&amp;Q500,LAYOUT!$E$2:$E$80,0)),""))</f>
        <v/>
      </c>
      <c r="S500" s="12">
        <f>IF(AND(P500="",Q500=""),IF(AND(L500="",M500="",T500="",U500=""),IF(OR($D500&lt;&gt;"",$E500&lt;&gt;""),"Belum ditempatkan",""),""),IF(P500="","CEK JENIS FIXTURE kosong",IF(LEFT(P500,4)&lt;&gt;"Wall","CEK Fixture 2 hanya Wall",IF(Q500="","CEK SHELVING KE kosong",IF(ISNA(MATCH(P500&amp;"|"&amp;Q500,LAYOUT!$E$2:$E$80,0)),"CEK SHELVING KE di luar layout",IF($I500="","CEK SERIES kosong",IF($D500="","Zona STOCK",IF($E500="","CEK SKU DESCRIPTION kosong",IF(COUNTIFS($I$2:$I$500,$I500,P$2:P$500,"&lt;&gt;"&amp;P500,P$2:P$500,"&lt;&gt;")&gt;0,"CEK jenis fixture beda dalam satu series","OK")))))))))</f>
        <v/>
      </c>
      <c r="T500" s="11" t="n"/>
      <c r="U500" s="11" t="n"/>
      <c r="V500" s="11">
        <f>IF(OR(T500="",U500=""),"",IFERROR(INDEX(LAYOUT!$D$2:$D$80,MATCH(T500&amp;"|"&amp;U500,LAYOUT!$E$2:$E$80,0)),""))</f>
        <v/>
      </c>
      <c r="W500" s="12">
        <f>IF(AND(T500="",U500=""),IF(AND(L500="",M500="",P500="",Q500=""),IF(OR($D500&lt;&gt;"",$E500&lt;&gt;""),"Belum ditempatkan",""),""),IF(T500="","CEK JENIS FIXTURE kosong",IF(LEFT(T500,4)&lt;&gt;"Wall","CEK Fixture 3 hanya Wall",IF(U500="","CEK SHELVING KE kosong",IF(ISNA(MATCH(T500&amp;"|"&amp;U500,LAYOUT!$E$2:$E$80,0)),"CEK SHELVING KE di luar layout",IF($I500="","CEK SERIES kosong",IF($D500="","Zona STOCK",IF($E500="","CEK SKU DESCRIPTION kosong",IF(COUNTIFS($I$2:$I$500,$I500,T$2:T$500,"&lt;&gt;"&amp;T500,T$2:T$500,"&lt;&gt;")&gt;0,"CEK jenis fixture beda dalam satu series","OK")))))))))</f>
        <v/>
      </c>
      <c r="X500" s="11" t="n"/>
      <c r="Y500" s="11" t="n"/>
      <c r="Z500" s="12" t="n"/>
      <c r="AA500" s="12" t="n"/>
      <c r="AB500" s="11" t="n"/>
      <c r="AC500" s="11" t="n"/>
      <c r="AD500" s="11" t="n"/>
      <c r="AE500" s="11" t="n"/>
      <c r="AF500" s="11" t="n"/>
      <c r="AG500" s="11" t="n"/>
      <c r="AH500" s="12" t="n"/>
      <c r="AI500" s="12" t="n"/>
    </row>
  </sheetData>
  <autoFilter ref="A1:Z500"/>
  <conditionalFormatting sqref="O2:O500">
    <cfRule type="expression" priority="1" dxfId="3">
      <formula>LEFT($O2,3)="CEK"</formula>
    </cfRule>
    <cfRule type="expression" priority="2" dxfId="4">
      <formula>$O2="OK"</formula>
    </cfRule>
    <cfRule type="expression" priority="3" dxfId="5">
      <formula>OR($O2="Zona STOCK",$O2="Belum ditempatkan")</formula>
    </cfRule>
  </conditionalFormatting>
  <conditionalFormatting sqref="S2:S500">
    <cfRule type="expression" priority="4" dxfId="3">
      <formula>LEFT($S2,3)="CEK"</formula>
    </cfRule>
    <cfRule type="expression" priority="5" dxfId="4">
      <formula>$S2="OK"</formula>
    </cfRule>
    <cfRule type="expression" priority="6" dxfId="5">
      <formula>OR($S2="Zona STOCK",$S2="Belum ditempatkan")</formula>
    </cfRule>
  </conditionalFormatting>
  <conditionalFormatting sqref="W2:W500">
    <cfRule type="expression" priority="7" dxfId="3">
      <formula>LEFT($W2,3)="CEK"</formula>
    </cfRule>
    <cfRule type="expression" priority="8" dxfId="4">
      <formula>$W2="OK"</formula>
    </cfRule>
    <cfRule type="expression" priority="9" dxfId="5">
      <formula>OR($W2="Zona STOCK",$W2="Belum ditempatkan")</formula>
    </cfRule>
  </conditionalFormatting>
  <dataValidations count="6">
    <dataValidation sqref="L2:L500" showDropDown="0" showInputMessage="0" showErrorMessage="0" allowBlank="1" type="list">
      <formula1>"Gondola 4 Shelving,Gondola 3 Shelving,Gondola 2 Gantungan + 2 Shelving,Gondola 3 Shelving + 1 Gantungan,Gondola 2 Shelving + 2 Gantungan,Endcap 4 Shelving,Endcap 3 Shelving"</formula1>
    </dataValidation>
    <dataValidation sqref="M2:M500" showDropDown="0" showInputMessage="0" showErrorMessage="1" allowBlank="1" error="Isi nomor shelving 1 sampai 6 (dari atas; Gantungan ikut dihitung)" type="whole" operator="between">
      <formula1>1</formula1>
      <formula2>6</formula2>
    </dataValidation>
    <dataValidation sqref="P2:P500" showDropDown="0" showInputMessage="0" showErrorMessage="0" allowBlank="1" type="list">
      <formula1>"Wall 6 Shelving,Wall 5 Shelving,Wall 3 Shelving + 2 Gantungan"</formula1>
    </dataValidation>
    <dataValidation sqref="Q2:Q500" showDropDown="0" showInputMessage="0" showErrorMessage="1" allowBlank="1" error="Isi nomor shelving 1 sampai 6 (dari atas; Gantungan ikut dihitung)" type="whole" operator="between">
      <formula1>1</formula1>
      <formula2>6</formula2>
    </dataValidation>
    <dataValidation sqref="T2:T500" showDropDown="0" showInputMessage="0" showErrorMessage="0" allowBlank="1" type="list">
      <formula1>"Wall 6 Shelving,Wall 5 Shelving,Wall 3 Shelving + 2 Gantungan"</formula1>
    </dataValidation>
    <dataValidation sqref="U2:U500" showDropDown="0" showInputMessage="0" showErrorMessage="1" allowBlank="1" error="Isi nomor shelving 1 sampai 6 (dari atas; Gantungan ikut dihitung)" type="whole" operator="between">
      <formula1>1</formula1>
      <formula2>6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shelving_ke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2026-10-02T06:54:33Z</dcterms:created>
  <dcterms:modified xmlns:dcterms="http://purl.org/dc/terms/" xmlns:xsi="http://www.w3.org/2001/XMLSchema-instance" xsi:type="dcterms:W3CDTF">2026-10-07T03:47:03Z</dcterms:modified>
</cp:coreProperties>
</file>