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SAMBUNG" sheetId="4" state="visible" r:id="rId4"/>
    <sheet name="DAFTAR_FIXTURE" sheetId="5" state="visible" r:id="rId5"/>
    <sheet name="LAYOUT" sheetId="6" state="visible" r:id="rId6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  <definedName name="_xlnm._FilterDatabase" localSheetId="3" hidden="1">'SAMBUNG'!$A$1:$I$200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SHEET SAMBUNG (OPSIONAL) — template urutan fixture yang disambung, per kategori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 di aplikasi. Muncul sebagai pilihan "Template sambungan dari Excel". Kosong = tidak ada template.</t>
        </is>
      </c>
    </row>
    <row r="44">
      <c r="A44" s="5" t="inlineStr">
        <is>
          <t>SAMBUNGAN *</t>
        </is>
      </c>
      <c r="B44" s="6" t="inlineStr">
        <is>
          <t>Nama rangkaian, bebas (mis. WALL-RUN-1). Baris dengan nama sama = satu rangkaian.</t>
        </is>
      </c>
    </row>
    <row r="45">
      <c r="A45" s="5" t="inlineStr">
        <is>
          <t>KATEGORI *</t>
        </is>
      </c>
      <c r="B45" s="6" t="inlineStr">
        <is>
          <t>Wall, Gondola, atau Pallet. Satu rangkaian satu kategori. Endcap tidak ikut sambung.</t>
        </is>
      </c>
    </row>
    <row r="46">
      <c r="A46" s="5" t="inlineStr">
        <is>
          <t>URUTAN *</t>
        </is>
      </c>
      <c r="B46" s="6" t="inlineStr">
        <is>
          <t>Nomor urut dari kiri ke kanan, mulai 1.</t>
        </is>
      </c>
    </row>
    <row r="47">
      <c r="A47" s="5" t="inlineStr">
        <is>
          <t>ID FIXTURE *</t>
        </is>
      </c>
      <c r="B47" s="6" t="inlineStr">
        <is>
          <t>Pilih dari dropdown (sheet DAFTAR_FIXTURE). Jenis fixture harus sesuai KATEGORI.</t>
        </is>
      </c>
    </row>
    <row r="48">
      <c r="A48" s="5" t="inlineStr">
        <is>
          <t>SERIES</t>
        </is>
      </c>
      <c r="B48" s="6" t="inlineStr">
        <is>
          <t>Opsional. Kosong = semua isi fixture tampil. Diisi = hanya produk series itu yang tampil di fixture tersebut.</t>
        </is>
      </c>
    </row>
    <row r="49">
      <c r="A49" s="5" t="inlineStr">
        <is>
          <t>Kolom otomatis</t>
        </is>
      </c>
      <c r="B49" s="6" t="inlineStr">
        <is>
          <t>Jenis fixture, kategori fixture, dan STATUS (OK atau CEK + penyebab). Jangan diisi atau dihapus.</t>
        </is>
      </c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Plates &amp; Bowls</t>
        </is>
      </c>
      <c r="D2" s="10" t="inlineStr">
        <is>
          <t>238181</t>
        </is>
      </c>
      <c r="E2" s="10" t="inlineStr">
        <is>
          <t>COUPE PLATE 16 CM SIMPLE PLUS</t>
        </is>
      </c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inlineStr">
        <is>
          <t>GND-03</t>
        </is>
      </c>
      <c r="R2" s="11" t="n">
        <v>3</v>
      </c>
      <c r="S2" s="11" t="inlineStr">
        <is>
          <t>Rak</t>
        </is>
      </c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WLL-02</t>
        </is>
      </c>
      <c r="R3" s="11" t="n">
        <v>2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inlineStr">
        <is>
          <t>GND-01</t>
        </is>
      </c>
      <c r="W3" s="11" t="n">
        <v>1</v>
      </c>
      <c r="X3" s="11" t="inlineStr">
        <is>
          <t>Rak</t>
        </is>
      </c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Rak</t>
        </is>
      </c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inlineStr">
        <is>
          <t>WLL-02</t>
        </is>
      </c>
      <c r="R4" s="11" t="n">
        <v>2</v>
      </c>
      <c r="S4" s="11" t="inlineStr">
        <is>
          <t>Rak</t>
        </is>
      </c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inlineStr">
        <is>
          <t>GND-01</t>
        </is>
      </c>
      <c r="W4" s="11" t="n">
        <v>1</v>
      </c>
      <c r="X4" s="11" t="inlineStr">
        <is>
          <t>Rak</t>
        </is>
      </c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Rak</t>
        </is>
      </c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inlineStr">
        <is>
          <t>WLL-02</t>
        </is>
      </c>
      <c r="R5" s="11" t="n">
        <v>2</v>
      </c>
      <c r="S5" s="11" t="inlineStr">
        <is>
          <t>Rak</t>
        </is>
      </c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inlineStr">
        <is>
          <t>GND-01</t>
        </is>
      </c>
      <c r="W5" s="11" t="n">
        <v>1</v>
      </c>
      <c r="X5" s="11" t="inlineStr">
        <is>
          <t>Rak</t>
        </is>
      </c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Rak</t>
        </is>
      </c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inlineStr">
        <is>
          <t>WLL-02</t>
        </is>
      </c>
      <c r="R6" s="11" t="n">
        <v>2</v>
      </c>
      <c r="S6" s="11" t="inlineStr">
        <is>
          <t>Rak</t>
        </is>
      </c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inlineStr">
        <is>
          <t>GND-01</t>
        </is>
      </c>
      <c r="W6" s="11" t="n">
        <v>2</v>
      </c>
      <c r="X6" s="11" t="inlineStr">
        <is>
          <t>Rak</t>
        </is>
      </c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Rak</t>
        </is>
      </c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inlineStr">
        <is>
          <t>WLL-02</t>
        </is>
      </c>
      <c r="R7" s="11" t="n">
        <v>2</v>
      </c>
      <c r="S7" s="11" t="inlineStr">
        <is>
          <t>Rak</t>
        </is>
      </c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inlineStr">
        <is>
          <t>GND-01</t>
        </is>
      </c>
      <c r="W7" s="11" t="n">
        <v>2</v>
      </c>
      <c r="X7" s="11" t="inlineStr">
        <is>
          <t>Rak</t>
        </is>
      </c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Rak</t>
        </is>
      </c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inlineStr">
        <is>
          <t>WLL-02</t>
        </is>
      </c>
      <c r="R8" s="11" t="n">
        <v>3</v>
      </c>
      <c r="S8" s="11" t="inlineStr">
        <is>
          <t>Rak</t>
        </is>
      </c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inlineStr">
        <is>
          <t>GND-01</t>
        </is>
      </c>
      <c r="W8" s="11" t="n">
        <v>2</v>
      </c>
      <c r="X8" s="11" t="inlineStr">
        <is>
          <t>Rak</t>
        </is>
      </c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Rak</t>
        </is>
      </c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inlineStr">
        <is>
          <t>WLL-02</t>
        </is>
      </c>
      <c r="R9" s="11" t="n">
        <v>3</v>
      </c>
      <c r="S9" s="11" t="inlineStr">
        <is>
          <t>Rak</t>
        </is>
      </c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inlineStr">
        <is>
          <t>GND-05</t>
        </is>
      </c>
      <c r="W9" s="11" t="n">
        <v>4</v>
      </c>
      <c r="X9" s="11" t="inlineStr">
        <is>
          <t>Rak</t>
        </is>
      </c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Rak</t>
        </is>
      </c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inlineStr">
        <is>
          <t>WLL-02</t>
        </is>
      </c>
      <c r="R10" s="11" t="n">
        <v>3</v>
      </c>
      <c r="S10" s="11" t="inlineStr">
        <is>
          <t>Rak</t>
        </is>
      </c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inlineStr">
        <is>
          <t>GND-05</t>
        </is>
      </c>
      <c r="W10" s="11" t="n">
        <v>4</v>
      </c>
      <c r="X10" s="11" t="inlineStr">
        <is>
          <t>Rak</t>
        </is>
      </c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Rak</t>
        </is>
      </c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inlineStr">
        <is>
          <t>WLL-02</t>
        </is>
      </c>
      <c r="R11" s="11" t="n">
        <v>3</v>
      </c>
      <c r="S11" s="11" t="inlineStr">
        <is>
          <t>Rak</t>
        </is>
      </c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inlineStr">
        <is>
          <t>GND-06</t>
        </is>
      </c>
      <c r="W11" s="11" t="n">
        <v>4</v>
      </c>
      <c r="X11" s="11" t="inlineStr">
        <is>
          <t>Rak</t>
        </is>
      </c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Rak</t>
        </is>
      </c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inlineStr">
        <is>
          <t>GND-01</t>
        </is>
      </c>
      <c r="R12" s="11" t="n">
        <v>4</v>
      </c>
      <c r="S12" s="11" t="inlineStr">
        <is>
          <t>Rak</t>
        </is>
      </c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inlineStr">
        <is>
          <t>GND-03</t>
        </is>
      </c>
      <c r="W12" s="11" t="n">
        <v>1</v>
      </c>
      <c r="X12" s="11" t="inlineStr">
        <is>
          <t>Rak</t>
        </is>
      </c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</row>
    <row r="13">
      <c r="A13" s="10" t="inlineStr">
        <is>
          <t>Homeware</t>
        </is>
      </c>
      <c r="B13" s="10" t="inlineStr">
        <is>
          <t>Drinkware</t>
        </is>
      </c>
      <c r="C13" s="10" t="inlineStr">
        <is>
          <t>Glassware</t>
        </is>
      </c>
      <c r="D13" s="10" t="inlineStr">
        <is>
          <t>10099887</t>
        </is>
      </c>
      <c r="E13" s="10" t="inlineStr">
        <is>
          <t>ELAN WATER GLASS SET 414ML (6)</t>
        </is>
      </c>
      <c r="F13" s="10" t="n"/>
      <c r="G13" s="10" t="inlineStr">
        <is>
          <t>MAKAN</t>
        </is>
      </c>
      <c r="H13" s="10" t="inlineStr">
        <is>
          <t>A1. GLASSWARE</t>
        </is>
      </c>
      <c r="I13" s="10" t="inlineStr">
        <is>
          <t>ELAN</t>
        </is>
      </c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Rak</t>
        </is>
      </c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inlineStr">
        <is>
          <t>GND-03</t>
        </is>
      </c>
      <c r="R13" s="11" t="n">
        <v>4</v>
      </c>
      <c r="S13" s="11" t="inlineStr">
        <is>
          <t>Rak</t>
        </is>
      </c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Rak</t>
        </is>
      </c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WLL-02</t>
        </is>
      </c>
      <c r="M15" s="11" t="n">
        <v>3</v>
      </c>
      <c r="N15" s="11" t="inlineStr">
        <is>
          <t>Rak</t>
        </is>
      </c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inlineStr">
        <is>
          <t>GND-06</t>
        </is>
      </c>
      <c r="R15" s="11" t="n">
        <v>4</v>
      </c>
      <c r="S15" s="11" t="inlineStr">
        <is>
          <t>Rak</t>
        </is>
      </c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WLL-02</t>
        </is>
      </c>
      <c r="M16" s="11" t="n">
        <v>4</v>
      </c>
      <c r="N16" s="11" t="inlineStr">
        <is>
          <t>Rak</t>
        </is>
      </c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inlineStr">
        <is>
          <t>GND-01</t>
        </is>
      </c>
      <c r="R16" s="11" t="n">
        <v>3</v>
      </c>
      <c r="S16" s="11" t="inlineStr">
        <is>
          <t>Rak</t>
        </is>
      </c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inlineStr">
        <is>
          <t>GND-06</t>
        </is>
      </c>
      <c r="W16" s="11" t="n">
        <v>1</v>
      </c>
      <c r="X16" s="11" t="inlineStr">
        <is>
          <t>Rak</t>
        </is>
      </c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WLL-03</t>
        </is>
      </c>
      <c r="M17" s="11" t="n">
        <v>1</v>
      </c>
      <c r="N17" s="11" t="inlineStr">
        <is>
          <t>Gantungan</t>
        </is>
      </c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inlineStr">
        <is>
          <t>WLL-03</t>
        </is>
      </c>
      <c r="R17" s="11" t="n">
        <v>2</v>
      </c>
      <c r="S17" s="11" t="inlineStr">
        <is>
          <t>Gantungan</t>
        </is>
      </c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inlineStr">
        <is>
          <t>GND-05</t>
        </is>
      </c>
      <c r="W17" s="11" t="n">
        <v>2</v>
      </c>
      <c r="X17" s="11" t="inlineStr">
        <is>
          <t>Gantungan</t>
        </is>
      </c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WLL-03</t>
        </is>
      </c>
      <c r="M18" s="11" t="n">
        <v>1</v>
      </c>
      <c r="N18" s="11" t="inlineStr">
        <is>
          <t>Gantungan</t>
        </is>
      </c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inlineStr">
        <is>
          <t>WLL-03</t>
        </is>
      </c>
      <c r="R18" s="11" t="n">
        <v>2</v>
      </c>
      <c r="S18" s="11" t="inlineStr">
        <is>
          <t>Gantungan</t>
        </is>
      </c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inlineStr">
        <is>
          <t>GND-05</t>
        </is>
      </c>
      <c r="W18" s="11" t="n">
        <v>2</v>
      </c>
      <c r="X18" s="11" t="inlineStr">
        <is>
          <t>Gantungan</t>
        </is>
      </c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WLL-03</t>
        </is>
      </c>
      <c r="M19" s="11" t="n">
        <v>1</v>
      </c>
      <c r="N19" s="11" t="inlineStr">
        <is>
          <t>Gantungan</t>
        </is>
      </c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inlineStr">
        <is>
          <t>WLL-03</t>
        </is>
      </c>
      <c r="R19" s="11" t="n">
        <v>2</v>
      </c>
      <c r="S19" s="11" t="inlineStr">
        <is>
          <t>Gantungan</t>
        </is>
      </c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inlineStr">
        <is>
          <t>GND-05</t>
        </is>
      </c>
      <c r="W19" s="11" t="n">
        <v>2</v>
      </c>
      <c r="X19" s="11" t="inlineStr">
        <is>
          <t>Gantungan</t>
        </is>
      </c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WLL-03</t>
        </is>
      </c>
      <c r="M20" s="11" t="n">
        <v>1</v>
      </c>
      <c r="N20" s="11" t="inlineStr">
        <is>
          <t>Gantungan</t>
        </is>
      </c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inlineStr">
        <is>
          <t>WLL-03</t>
        </is>
      </c>
      <c r="R20" s="11" t="n">
        <v>2</v>
      </c>
      <c r="S20" s="11" t="inlineStr">
        <is>
          <t>Gantungan</t>
        </is>
      </c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inlineStr">
        <is>
          <t>GND-05</t>
        </is>
      </c>
      <c r="W20" s="11" t="n">
        <v>2</v>
      </c>
      <c r="X20" s="11" t="inlineStr">
        <is>
          <t>Gantungan</t>
        </is>
      </c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10681571</t>
        </is>
      </c>
      <c r="E21" s="10" t="inlineStr">
        <is>
          <t>SERVING GLASS SQR PLATER ZEVY GOLD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W/GOLD RACK GLASS</t>
        </is>
      </c>
      <c r="J21" s="10" t="n"/>
      <c r="K21" s="10" t="n"/>
      <c r="L21" s="11" t="inlineStr">
        <is>
          <t>WLL-03</t>
        </is>
      </c>
      <c r="M21" s="11" t="n">
        <v>4</v>
      </c>
      <c r="N21" s="11" t="inlineStr">
        <is>
          <t>Rak</t>
        </is>
      </c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10470029</t>
        </is>
      </c>
      <c r="E22" s="10" t="inlineStr">
        <is>
          <t>SERVING SET W/RACK OCTAGON MARBLE (4)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SET MARBLE</t>
        </is>
      </c>
      <c r="J22" s="10" t="n"/>
      <c r="K22" s="10" t="n"/>
      <c r="L22" s="11" t="inlineStr">
        <is>
          <t>WLL-03</t>
        </is>
      </c>
      <c r="M22" s="11" t="n">
        <v>5</v>
      </c>
      <c r="N22" s="11" t="inlineStr">
        <is>
          <t>Rak</t>
        </is>
      </c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inlineStr">
        <is>
          <t>GND-05</t>
        </is>
      </c>
      <c r="R22" s="11" t="n">
        <v>4</v>
      </c>
      <c r="S22" s="11" t="inlineStr">
        <is>
          <t>Rak</t>
        </is>
      </c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GND-03</t>
        </is>
      </c>
      <c r="M23" s="11" t="n">
        <v>2</v>
      </c>
      <c r="N23" s="11" t="inlineStr">
        <is>
          <t>Gantungan</t>
        </is>
      </c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inlineStr">
        <is>
          <t>GND-05</t>
        </is>
      </c>
      <c r="R23" s="11" t="n">
        <v>1</v>
      </c>
      <c r="S23" s="11" t="inlineStr">
        <is>
          <t>Gantungan</t>
        </is>
      </c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GND-03</t>
        </is>
      </c>
      <c r="M24" s="11" t="n">
        <v>2</v>
      </c>
      <c r="N24" s="11" t="inlineStr">
        <is>
          <t>Gantungan</t>
        </is>
      </c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inlineStr">
        <is>
          <t>GND-05</t>
        </is>
      </c>
      <c r="R24" s="11" t="n">
        <v>1</v>
      </c>
      <c r="S24" s="11" t="inlineStr">
        <is>
          <t>Gantungan</t>
        </is>
      </c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GND-03</t>
        </is>
      </c>
      <c r="M25" s="11" t="n">
        <v>2</v>
      </c>
      <c r="N25" s="11" t="inlineStr">
        <is>
          <t>Gantungan</t>
        </is>
      </c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inlineStr">
        <is>
          <t>GND-05</t>
        </is>
      </c>
      <c r="R25" s="11" t="n">
        <v>1</v>
      </c>
      <c r="S25" s="11" t="inlineStr">
        <is>
          <t>Gantungan</t>
        </is>
      </c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GND-05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inlineStr">
        <is>
          <t>GND-06</t>
        </is>
      </c>
      <c r="R26" s="11" t="n">
        <v>2</v>
      </c>
      <c r="S26" s="11" t="inlineStr">
        <is>
          <t>Gantungan</t>
        </is>
      </c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GND-05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inlineStr">
        <is>
          <t>GND-06</t>
        </is>
      </c>
      <c r="R27" s="11" t="n">
        <v>2</v>
      </c>
      <c r="S27" s="11" t="inlineStr">
        <is>
          <t>Gantungan</t>
        </is>
      </c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GND-05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inlineStr">
        <is>
          <t>GND-06</t>
        </is>
      </c>
      <c r="R28" s="11" t="n">
        <v>2</v>
      </c>
      <c r="S28" s="11" t="inlineStr">
        <is>
          <t>Gantungan</t>
        </is>
      </c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GND-03</t>
        </is>
      </c>
      <c r="M29" s="11" t="n">
        <v>2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inlineStr">
        <is>
          <t>GND-06</t>
        </is>
      </c>
      <c r="R29" s="11" t="n">
        <v>2</v>
      </c>
      <c r="S29" s="11" t="inlineStr">
        <is>
          <t>Gantungan</t>
        </is>
      </c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GND-03</t>
        </is>
      </c>
      <c r="M30" s="11" t="n">
        <v>2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inlineStr">
        <is>
          <t>GND-06</t>
        </is>
      </c>
      <c r="R30" s="11" t="n">
        <v>2</v>
      </c>
      <c r="S30" s="11" t="inlineStr">
        <is>
          <t>Gantungan</t>
        </is>
      </c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GND-03</t>
        </is>
      </c>
      <c r="M31" s="11" t="n">
        <v>2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inlineStr">
        <is>
          <t>GND-06</t>
        </is>
      </c>
      <c r="R31" s="11" t="n">
        <v>2</v>
      </c>
      <c r="S31" s="11" t="inlineStr">
        <is>
          <t>Gantungan</t>
        </is>
      </c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10198150</t>
        </is>
      </c>
      <c r="E32" s="10" t="inlineStr">
        <is>
          <t>TANTA NYLON TONGS 9 INCH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NYLON</t>
        </is>
      </c>
      <c r="J32" s="10" t="n"/>
      <c r="K32" s="10" t="n"/>
      <c r="L32" s="11" t="inlineStr">
        <is>
          <t>WLL-03</t>
        </is>
      </c>
      <c r="M32" s="11" t="n">
        <v>3</v>
      </c>
      <c r="N32" s="11" t="inlineStr">
        <is>
          <t>Rak</t>
        </is>
      </c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10198151</t>
        </is>
      </c>
      <c r="E33" s="10" t="inlineStr">
        <is>
          <t>TANTA NYLON TONGS 12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WLL-03</t>
        </is>
      </c>
      <c r="M33" s="11" t="n">
        <v>3</v>
      </c>
      <c r="N33" s="11" t="inlineStr">
        <is>
          <t>Rak</t>
        </is>
      </c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10198152</t>
        </is>
      </c>
      <c r="E34" s="10" t="inlineStr">
        <is>
          <t>TANTA S/S SOLID TURNER M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S/S</t>
        </is>
      </c>
      <c r="J34" s="10" t="n"/>
      <c r="K34" s="10" t="n"/>
      <c r="L34" s="11" t="inlineStr">
        <is>
          <t>WLL-03</t>
        </is>
      </c>
      <c r="M34" s="11" t="n">
        <v>3</v>
      </c>
      <c r="N34" s="11" t="inlineStr">
        <is>
          <t>Rak</t>
        </is>
      </c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</row>
    <row r="35">
      <c r="A35" s="10" t="inlineStr">
        <is>
          <t>Homeware</t>
        </is>
      </c>
      <c r="B35" s="10" t="inlineStr">
        <is>
          <t>Cookware</t>
        </is>
      </c>
      <c r="C35" s="10" t="inlineStr">
        <is>
          <t>Pots &amp; Pans</t>
        </is>
      </c>
      <c r="D35" s="10" t="inlineStr">
        <is>
          <t>10421603</t>
        </is>
      </c>
      <c r="E35" s="10" t="inlineStr">
        <is>
          <t>KINGSTON SAUCEPAN WITH LID 16CM GREEN</t>
        </is>
      </c>
      <c r="F35" s="10" t="n"/>
      <c r="G35" s="10" t="inlineStr">
        <is>
          <t>MASAK</t>
        </is>
      </c>
      <c r="H35" s="10" t="inlineStr">
        <is>
          <t>B2. COOKWARE</t>
        </is>
      </c>
      <c r="I35" s="10" t="inlineStr">
        <is>
          <t>KINGSTON</t>
        </is>
      </c>
      <c r="J35" s="10" t="n"/>
      <c r="K35" s="10" t="n"/>
      <c r="L35" s="11" t="inlineStr">
        <is>
          <t>END-01</t>
        </is>
      </c>
      <c r="M35" s="11" t="n">
        <v>1</v>
      </c>
      <c r="N35" s="11" t="inlineStr">
        <is>
          <t>Rak</t>
        </is>
      </c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inlineStr">
        <is>
          <t>GND-06</t>
        </is>
      </c>
      <c r="R35" s="11" t="n">
        <v>3</v>
      </c>
      <c r="S35" s="11" t="inlineStr">
        <is>
          <t>Gantungan</t>
        </is>
      </c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</row>
    <row r="36">
      <c r="A36" s="10" t="inlineStr">
        <is>
          <t>Homeware</t>
        </is>
      </c>
      <c r="B36" s="10" t="inlineStr">
        <is>
          <t>Cookware</t>
        </is>
      </c>
      <c r="C36" s="10" t="inlineStr">
        <is>
          <t>Pots &amp; Pans</t>
        </is>
      </c>
      <c r="D36" s="10" t="inlineStr">
        <is>
          <t>10421608</t>
        </is>
      </c>
      <c r="E36" s="10" t="inlineStr">
        <is>
          <t>KINGSTON CASSEROLE WITH LID 20 CM GREEN</t>
        </is>
      </c>
      <c r="F36" s="10" t="n"/>
      <c r="G36" s="10" t="inlineStr">
        <is>
          <t>MASAK</t>
        </is>
      </c>
      <c r="H36" s="10" t="inlineStr">
        <is>
          <t>B2. COOKWARE</t>
        </is>
      </c>
      <c r="I36" s="10" t="inlineStr">
        <is>
          <t>KINGSTON</t>
        </is>
      </c>
      <c r="J36" s="10" t="n"/>
      <c r="K36" s="10" t="n"/>
      <c r="L36" s="11" t="inlineStr">
        <is>
          <t>END-01</t>
        </is>
      </c>
      <c r="M36" s="11" t="n">
        <v>2</v>
      </c>
      <c r="N36" s="11" t="inlineStr">
        <is>
          <t>Rak</t>
        </is>
      </c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inlineStr">
        <is>
          <t>GND-06</t>
        </is>
      </c>
      <c r="R36" s="11" t="n">
        <v>3</v>
      </c>
      <c r="S36" s="11" t="inlineStr">
        <is>
          <t>Gantungan</t>
        </is>
      </c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</row>
    <row r="37">
      <c r="A37" s="10" t="inlineStr">
        <is>
          <t>Homeware</t>
        </is>
      </c>
      <c r="B37" s="10" t="inlineStr">
        <is>
          <t>Cookware</t>
        </is>
      </c>
      <c r="C37" s="10" t="inlineStr">
        <is>
          <t>Pots &amp; Pans</t>
        </is>
      </c>
      <c r="D37" s="10" t="inlineStr">
        <is>
          <t>10421610</t>
        </is>
      </c>
      <c r="E37" s="10" t="inlineStr">
        <is>
          <t>KINGSTON GRILL PAN 24CM GREEN</t>
        </is>
      </c>
      <c r="F37" s="10" t="n"/>
      <c r="G37" s="10" t="inlineStr">
        <is>
          <t>MASAK</t>
        </is>
      </c>
      <c r="H37" s="10" t="inlineStr">
        <is>
          <t>B2. COOKWARE</t>
        </is>
      </c>
      <c r="I37" s="10" t="inlineStr">
        <is>
          <t>KINGSTON</t>
        </is>
      </c>
      <c r="J37" s="10" t="n"/>
      <c r="K37" s="10" t="n"/>
      <c r="L37" s="11" t="inlineStr">
        <is>
          <t>END-01</t>
        </is>
      </c>
      <c r="M37" s="11" t="n">
        <v>3</v>
      </c>
      <c r="N37" s="11" t="inlineStr">
        <is>
          <t>Rak</t>
        </is>
      </c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inlineStr">
        <is>
          <t>GND-06</t>
        </is>
      </c>
      <c r="R37" s="11" t="n">
        <v>3</v>
      </c>
      <c r="S37" s="11" t="inlineStr">
        <is>
          <t>Gantungan</t>
        </is>
      </c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</row>
    <row r="38">
      <c r="A38" s="10" t="inlineStr">
        <is>
          <t>Homeware</t>
        </is>
      </c>
      <c r="B38" s="10" t="inlineStr">
        <is>
          <t>Cookware</t>
        </is>
      </c>
      <c r="C38" s="10" t="inlineStr">
        <is>
          <t>Pots &amp; Pans</t>
        </is>
      </c>
      <c r="D38" s="10" t="inlineStr">
        <is>
          <t>10421614</t>
        </is>
      </c>
      <c r="E38" s="10" t="inlineStr">
        <is>
          <t>KIRA WOK 2 HANDLE W LID AND UTENSIL BRN</t>
        </is>
      </c>
      <c r="F38" s="10" t="n"/>
      <c r="G38" s="10" t="inlineStr">
        <is>
          <t>MASAK</t>
        </is>
      </c>
      <c r="H38" s="10" t="inlineStr">
        <is>
          <t>B2. COOKWARE</t>
        </is>
      </c>
      <c r="I38" s="10" t="inlineStr">
        <is>
          <t>KIRA</t>
        </is>
      </c>
      <c r="J38" s="10" t="n"/>
      <c r="K38" s="10" t="n"/>
      <c r="L38" s="11" t="inlineStr">
        <is>
          <t>END-01</t>
        </is>
      </c>
      <c r="M38" s="11" t="n">
        <v>4</v>
      </c>
      <c r="N38" s="11" t="inlineStr">
        <is>
          <t>Rak</t>
        </is>
      </c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inlineStr">
        <is>
          <t>GND-06</t>
        </is>
      </c>
      <c r="R38" s="11" t="n">
        <v>3</v>
      </c>
      <c r="S38" s="11" t="inlineStr">
        <is>
          <t>Gantungan</t>
        </is>
      </c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</row>
    <row r="39">
      <c r="A39" s="10" t="inlineStr">
        <is>
          <t>Homeware</t>
        </is>
      </c>
      <c r="B39" s="10" t="inlineStr">
        <is>
          <t>Drinkware</t>
        </is>
      </c>
      <c r="C39" s="10" t="inlineStr">
        <is>
          <t>Glassware</t>
        </is>
      </c>
      <c r="D39" s="10" t="inlineStr">
        <is>
          <t>10099887</t>
        </is>
      </c>
      <c r="E39" s="10" t="inlineStr">
        <is>
          <t>ELAN WATER GLASS SET 414ML (6)</t>
        </is>
      </c>
      <c r="F39" s="10" t="n"/>
      <c r="G39" s="10" t="inlineStr">
        <is>
          <t>MAKAN</t>
        </is>
      </c>
      <c r="H39" s="10" t="inlineStr">
        <is>
          <t>A1. GLASSWARE</t>
        </is>
      </c>
      <c r="I39" s="10" t="inlineStr">
        <is>
          <t>ELAN</t>
        </is>
      </c>
      <c r="J39" s="10" t="n"/>
      <c r="K39" s="10" t="n"/>
      <c r="L39" s="11" t="inlineStr">
        <is>
          <t>PLT-01</t>
        </is>
      </c>
      <c r="M39" s="11" t="n">
        <v>1</v>
      </c>
      <c r="N39" s="11" t="inlineStr">
        <is>
          <t>Rak</t>
        </is>
      </c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</row>
    <row r="40">
      <c r="A40" s="10" t="inlineStr">
        <is>
          <t>Homeware</t>
        </is>
      </c>
      <c r="B40" s="10" t="inlineStr">
        <is>
          <t>Drinkware</t>
        </is>
      </c>
      <c r="C40" s="10" t="inlineStr">
        <is>
          <t>Glassware</t>
        </is>
      </c>
      <c r="D40" s="10" t="inlineStr">
        <is>
          <t>10099940</t>
        </is>
      </c>
      <c r="E40" s="10" t="inlineStr">
        <is>
          <t>INVERNESS WATER GLASS SET 355ML (6)</t>
        </is>
      </c>
      <c r="F40" s="10" t="n"/>
      <c r="G40" s="10" t="inlineStr">
        <is>
          <t>MAKAN</t>
        </is>
      </c>
      <c r="H40" s="10" t="inlineStr">
        <is>
          <t>A1. GLASSWARE</t>
        </is>
      </c>
      <c r="I40" s="10" t="inlineStr">
        <is>
          <t>INVERNESS</t>
        </is>
      </c>
      <c r="J40" s="10" t="n"/>
      <c r="K40" s="10" t="n"/>
      <c r="L40" s="11" t="inlineStr">
        <is>
          <t>PLT-01</t>
        </is>
      </c>
      <c r="M40" s="11" t="n">
        <v>1</v>
      </c>
      <c r="N40" s="11" t="inlineStr">
        <is>
          <t>Rak</t>
        </is>
      </c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inlineStr">
        <is>
          <t>GND-03</t>
        </is>
      </c>
      <c r="R40" s="11" t="n">
        <v>4</v>
      </c>
      <c r="S40" s="11" t="inlineStr">
        <is>
          <t>Rak</t>
        </is>
      </c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</row>
    <row r="41">
      <c r="A41" s="10" t="inlineStr">
        <is>
          <t>Homeware</t>
        </is>
      </c>
      <c r="B41" s="10" t="inlineStr">
        <is>
          <t>Tableware</t>
        </is>
      </c>
      <c r="C41" s="10" t="inlineStr">
        <is>
          <t>Serving Set</t>
        </is>
      </c>
      <c r="D41" s="10" t="inlineStr">
        <is>
          <t>10681572</t>
        </is>
      </c>
      <c r="E41" s="10" t="inlineStr">
        <is>
          <t>SERVING GLASS OVAL PLATER ZOE GOLD</t>
        </is>
      </c>
      <c r="F41" s="10" t="n"/>
      <c r="G41" s="10" t="inlineStr">
        <is>
          <t>MAKAN</t>
        </is>
      </c>
      <c r="H41" s="10" t="inlineStr">
        <is>
          <t>A2. SERVINGWARE</t>
        </is>
      </c>
      <c r="I41" s="10" t="inlineStr">
        <is>
          <t>W/GOLD RACK GLASS</t>
        </is>
      </c>
      <c r="J41" s="10" t="n"/>
      <c r="K41" s="10" t="n"/>
      <c r="L41" s="11" t="inlineStr">
        <is>
          <t>GND-01</t>
        </is>
      </c>
      <c r="M41" s="11" t="n">
        <v>3</v>
      </c>
      <c r="N41" s="11" t="inlineStr">
        <is>
          <t>Rak</t>
        </is>
      </c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inlineStr">
        <is>
          <t>WLL-02</t>
        </is>
      </c>
      <c r="R41" s="11" t="n">
        <v>4</v>
      </c>
      <c r="S41" s="11" t="inlineStr">
        <is>
          <t>Rak</t>
        </is>
      </c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inlineStr">
        <is>
          <t>GND-06</t>
        </is>
      </c>
      <c r="W41" s="11" t="n">
        <v>1</v>
      </c>
      <c r="X41" s="11" t="inlineStr">
        <is>
          <t>Rak</t>
        </is>
      </c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</row>
    <row r="42">
      <c r="A42" s="10" t="inlineStr">
        <is>
          <t>Homeware</t>
        </is>
      </c>
      <c r="B42" s="10" t="inlineStr">
        <is>
          <t>Tableware</t>
        </is>
      </c>
      <c r="C42" s="10" t="inlineStr">
        <is>
          <t>Serving Set</t>
        </is>
      </c>
      <c r="D42" s="10" t="inlineStr">
        <is>
          <t>10681573</t>
        </is>
      </c>
      <c r="E42" s="10" t="inlineStr">
        <is>
          <t>SERVING GLASS SQR TWO RACK ZENA GOLD</t>
        </is>
      </c>
      <c r="F42" s="10" t="n"/>
      <c r="G42" s="10" t="inlineStr">
        <is>
          <t>MAKAN</t>
        </is>
      </c>
      <c r="H42" s="10" t="inlineStr">
        <is>
          <t>A2. SERVINGWARE</t>
        </is>
      </c>
      <c r="I42" s="10" t="inlineStr">
        <is>
          <t>W/GOLD RACK GLASS</t>
        </is>
      </c>
      <c r="J42" s="10" t="n"/>
      <c r="K42" s="10" t="n"/>
      <c r="L42" s="11" t="inlineStr">
        <is>
          <t>GND-01</t>
        </is>
      </c>
      <c r="M42" s="11" t="n">
        <v>3</v>
      </c>
      <c r="N42" s="11" t="inlineStr">
        <is>
          <t>Rak</t>
        </is>
      </c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inlineStr">
        <is>
          <t>GND-06</t>
        </is>
      </c>
      <c r="R42" s="11" t="n">
        <v>1</v>
      </c>
      <c r="S42" s="11" t="inlineStr">
        <is>
          <t>Rak</t>
        </is>
      </c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</row>
    <row r="43">
      <c r="A43" s="10" t="inlineStr">
        <is>
          <t>Homeware</t>
        </is>
      </c>
      <c r="B43" s="10" t="inlineStr">
        <is>
          <t>Tableware</t>
        </is>
      </c>
      <c r="C43" s="10" t="inlineStr">
        <is>
          <t>Serving Set</t>
        </is>
      </c>
      <c r="D43" s="10" t="inlineStr">
        <is>
          <t>10681574</t>
        </is>
      </c>
      <c r="E43" s="10" t="inlineStr">
        <is>
          <t>SERVING GLASS RND TWO RACK ZIA GOLD</t>
        </is>
      </c>
      <c r="F43" s="10" t="n"/>
      <c r="G43" s="10" t="inlineStr">
        <is>
          <t>MAKAN</t>
        </is>
      </c>
      <c r="H43" s="10" t="inlineStr">
        <is>
          <t>A2. SERVINGWARE</t>
        </is>
      </c>
      <c r="I43" s="10" t="inlineStr">
        <is>
          <t>W/GOLD RACK GLASS</t>
        </is>
      </c>
      <c r="J43" s="10" t="n"/>
      <c r="K43" s="10" t="n"/>
      <c r="L43" s="11" t="inlineStr">
        <is>
          <t>GND-01</t>
        </is>
      </c>
      <c r="M43" s="11" t="n">
        <v>3</v>
      </c>
      <c r="N43" s="11" t="inlineStr">
        <is>
          <t>Rak</t>
        </is>
      </c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inlineStr">
        <is>
          <t>GND-06</t>
        </is>
      </c>
      <c r="R43" s="11" t="n">
        <v>1</v>
      </c>
      <c r="S43" s="11" t="inlineStr">
        <is>
          <t>Rak</t>
        </is>
      </c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</row>
    <row r="44">
      <c r="A44" s="10" t="inlineStr">
        <is>
          <t>Homeware</t>
        </is>
      </c>
      <c r="B44" s="10" t="inlineStr">
        <is>
          <t>Storage</t>
        </is>
      </c>
      <c r="C44" s="10" t="inlineStr">
        <is>
          <t>Food Storage</t>
        </is>
      </c>
      <c r="D44" s="10" t="inlineStr">
        <is>
          <t>10682153</t>
        </is>
      </c>
      <c r="E44" s="10" t="inlineStr">
        <is>
          <t>EID 2026 GLASS JAR SET OF 3 900ML</t>
        </is>
      </c>
      <c r="F44" s="10" t="n"/>
      <c r="G44" s="10" t="inlineStr">
        <is>
          <t>PENYIMPANAN</t>
        </is>
      </c>
      <c r="H44" s="10" t="inlineStr">
        <is>
          <t>E4. CANISTER</t>
        </is>
      </c>
      <c r="I44" s="10" t="inlineStr">
        <is>
          <t>GLASS FANCY</t>
        </is>
      </c>
      <c r="J44" s="10" t="n"/>
      <c r="K44" s="10" t="n"/>
      <c r="L44" s="11" t="inlineStr">
        <is>
          <t>GND-01</t>
        </is>
      </c>
      <c r="M44" s="11" t="n">
        <v>4</v>
      </c>
      <c r="N44" s="11" t="inlineStr">
        <is>
          <t>Rak</t>
        </is>
      </c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inlineStr">
        <is>
          <t>WLL-01</t>
        </is>
      </c>
      <c r="R44" s="11" t="n">
        <v>5</v>
      </c>
      <c r="S44" s="11" t="inlineStr">
        <is>
          <t>Rak</t>
        </is>
      </c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inlineStr">
        <is>
          <t>GND-03</t>
        </is>
      </c>
      <c r="W44" s="11" t="n">
        <v>1</v>
      </c>
      <c r="X44" s="11" t="inlineStr">
        <is>
          <t>Rak</t>
        </is>
      </c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</row>
    <row r="45">
      <c r="A45" s="10" t="inlineStr">
        <is>
          <t>Homeware</t>
        </is>
      </c>
      <c r="B45" s="10" t="inlineStr">
        <is>
          <t>Storage</t>
        </is>
      </c>
      <c r="C45" s="10" t="inlineStr">
        <is>
          <t>Food Storage</t>
        </is>
      </c>
      <c r="D45" s="10" t="inlineStr">
        <is>
          <t>10682154</t>
        </is>
      </c>
      <c r="E45" s="10" t="inlineStr">
        <is>
          <t>GRETTA GLASS JAR SET OF 4 WITH RACK</t>
        </is>
      </c>
      <c r="F45" s="10" t="n"/>
      <c r="G45" s="10" t="inlineStr">
        <is>
          <t>PENYIMPANAN</t>
        </is>
      </c>
      <c r="H45" s="10" t="inlineStr">
        <is>
          <t>E4. CANISTER</t>
        </is>
      </c>
      <c r="I45" s="10" t="inlineStr">
        <is>
          <t>GLASS BASIC</t>
        </is>
      </c>
      <c r="J45" s="10" t="n"/>
      <c r="K45" s="10" t="n"/>
      <c r="L45" s="11" t="inlineStr">
        <is>
          <t>GND-01</t>
        </is>
      </c>
      <c r="M45" s="11" t="n">
        <v>4</v>
      </c>
      <c r="N45" s="11" t="inlineStr">
        <is>
          <t>Rak</t>
        </is>
      </c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inlineStr">
        <is>
          <t>GND-03</t>
        </is>
      </c>
      <c r="R45" s="11" t="n">
        <v>1</v>
      </c>
      <c r="S45" s="11" t="inlineStr">
        <is>
          <t>Rak</t>
        </is>
      </c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</row>
    <row r="46">
      <c r="A46" s="10" t="inlineStr">
        <is>
          <t>Homeware</t>
        </is>
      </c>
      <c r="B46" s="10" t="inlineStr">
        <is>
          <t>Storage</t>
        </is>
      </c>
      <c r="C46" s="10" t="inlineStr">
        <is>
          <t>Food Storage</t>
        </is>
      </c>
      <c r="D46" s="10" t="inlineStr">
        <is>
          <t>10682155</t>
        </is>
      </c>
      <c r="E46" s="10" t="inlineStr">
        <is>
          <t>GRETTA GLASS JAR SET OF 3 WITH RACK</t>
        </is>
      </c>
      <c r="F46" s="10" t="n"/>
      <c r="G46" s="10" t="inlineStr">
        <is>
          <t>PENYIMPANAN</t>
        </is>
      </c>
      <c r="H46" s="10" t="inlineStr">
        <is>
          <t>E4. CANISTER</t>
        </is>
      </c>
      <c r="I46" s="10" t="inlineStr">
        <is>
          <t>GLASS BASIC</t>
        </is>
      </c>
      <c r="J46" s="10" t="n"/>
      <c r="K46" s="10" t="n"/>
      <c r="L46" s="11" t="inlineStr">
        <is>
          <t>GND-01</t>
        </is>
      </c>
      <c r="M46" s="11" t="n">
        <v>4</v>
      </c>
      <c r="N46" s="11" t="inlineStr">
        <is>
          <t>Rak</t>
        </is>
      </c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inlineStr">
        <is>
          <t>GND-03</t>
        </is>
      </c>
      <c r="R46" s="11" t="n">
        <v>1</v>
      </c>
      <c r="S46" s="11" t="inlineStr">
        <is>
          <t>Rak</t>
        </is>
      </c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</row>
    <row r="47">
      <c r="A47" s="10" t="inlineStr">
        <is>
          <t>Homeware</t>
        </is>
      </c>
      <c r="B47" s="10" t="inlineStr">
        <is>
          <t>Storage</t>
        </is>
      </c>
      <c r="C47" s="10" t="inlineStr">
        <is>
          <t>Food Storage</t>
        </is>
      </c>
      <c r="D47" s="10" t="inlineStr">
        <is>
          <t>10681993</t>
        </is>
      </c>
      <c r="E47" s="10" t="inlineStr">
        <is>
          <t>POLLA RICE BIN 5KG BEIGE</t>
        </is>
      </c>
      <c r="F47" s="10" t="n"/>
      <c r="G47" s="10" t="inlineStr">
        <is>
          <t>MASAK</t>
        </is>
      </c>
      <c r="H47" s="10" t="inlineStr">
        <is>
          <t>D11. KITCHEN PLASTICWARE</t>
        </is>
      </c>
      <c r="I47" s="10" t="inlineStr">
        <is>
          <t>POLLA</t>
        </is>
      </c>
      <c r="J47" s="10" t="n"/>
      <c r="K47" s="10" t="n"/>
      <c r="L47" s="11" t="inlineStr">
        <is>
          <t>GND-01</t>
        </is>
      </c>
      <c r="M47" s="11" t="n">
        <v>4</v>
      </c>
      <c r="N47" s="11" t="inlineStr">
        <is>
          <t>Rak</t>
        </is>
      </c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inlineStr">
        <is>
          <t>GND-06</t>
        </is>
      </c>
      <c r="R47" s="11" t="n">
        <v>4</v>
      </c>
      <c r="S47" s="11" t="inlineStr">
        <is>
          <t>Rak</t>
        </is>
      </c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</row>
    <row r="48">
      <c r="A48" s="10" t="inlineStr">
        <is>
          <t>Homeware</t>
        </is>
      </c>
      <c r="B48" s="10" t="inlineStr">
        <is>
          <t>Tableware</t>
        </is>
      </c>
      <c r="C48" s="10" t="inlineStr">
        <is>
          <t>Plates &amp; Bowls</t>
        </is>
      </c>
      <c r="D48" s="10" t="inlineStr">
        <is>
          <t>238182</t>
        </is>
      </c>
      <c r="E48" s="10" t="inlineStr">
        <is>
          <t>COUPLE PLATE 27CM SIMPLE PLUS</t>
        </is>
      </c>
      <c r="F48" s="10" t="n"/>
      <c r="G48" s="10" t="n"/>
      <c r="H48" s="10" t="n"/>
      <c r="I48" s="10" t="n"/>
      <c r="J48" s="10" t="n"/>
      <c r="K48" s="10" t="n"/>
      <c r="L48" s="11" t="inlineStr">
        <is>
          <t>WLL-02</t>
        </is>
      </c>
      <c r="M48" s="11" t="n">
        <v>1</v>
      </c>
      <c r="N48" s="11" t="inlineStr">
        <is>
          <t>Rak</t>
        </is>
      </c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inlineStr">
        <is>
          <t>GND-03</t>
        </is>
      </c>
      <c r="R48" s="11" t="n">
        <v>3</v>
      </c>
      <c r="S48" s="11" t="inlineStr">
        <is>
          <t>Rak</t>
        </is>
      </c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</row>
    <row r="49">
      <c r="A49" s="10" t="inlineStr">
        <is>
          <t>Homeware</t>
        </is>
      </c>
      <c r="B49" s="10" t="inlineStr">
        <is>
          <t>Tableware</t>
        </is>
      </c>
      <c r="C49" s="10" t="inlineStr">
        <is>
          <t>Plates &amp; Bowls</t>
        </is>
      </c>
      <c r="D49" s="10" t="inlineStr">
        <is>
          <t>238187</t>
        </is>
      </c>
      <c r="E49" s="10" t="inlineStr">
        <is>
          <t>RECT PLATE 14.5CMX22CM SIMPLE PLUS</t>
        </is>
      </c>
      <c r="F49" s="10" t="n"/>
      <c r="G49" s="10" t="n"/>
      <c r="H49" s="10" t="n"/>
      <c r="I49" s="10" t="n"/>
      <c r="J49" s="10" t="n"/>
      <c r="K49" s="10" t="n"/>
      <c r="L49" s="11" t="inlineStr">
        <is>
          <t>WLL-02</t>
        </is>
      </c>
      <c r="M49" s="11" t="n">
        <v>1</v>
      </c>
      <c r="N49" s="11" t="inlineStr">
        <is>
          <t>Rak</t>
        </is>
      </c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inlineStr">
        <is>
          <t>GND-03</t>
        </is>
      </c>
      <c r="R49" s="11" t="n">
        <v>3</v>
      </c>
      <c r="S49" s="11" t="inlineStr">
        <is>
          <t>Rak</t>
        </is>
      </c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</row>
    <row r="50">
      <c r="A50" s="10" t="inlineStr">
        <is>
          <t>Homeware</t>
        </is>
      </c>
      <c r="B50" s="10" t="inlineStr">
        <is>
          <t>Drinkware</t>
        </is>
      </c>
      <c r="C50" s="10" t="inlineStr">
        <is>
          <t>Cup &amp; Saucer</t>
        </is>
      </c>
      <c r="D50" s="10" t="inlineStr">
        <is>
          <t>238190</t>
        </is>
      </c>
      <c r="E50" s="10" t="inlineStr">
        <is>
          <t>CUP 100 CC W/SAUCER 12.5CM SIMPLE PLUS</t>
        </is>
      </c>
      <c r="F50" s="10" t="n"/>
      <c r="G50" s="10" t="n"/>
      <c r="H50" s="10" t="n"/>
      <c r="I50" s="10" t="n"/>
      <c r="J50" s="10" t="n"/>
      <c r="K50" s="10" t="n"/>
      <c r="L50" s="11" t="inlineStr">
        <is>
          <t>GND-03</t>
        </is>
      </c>
      <c r="M50" s="11" t="n">
        <v>4</v>
      </c>
      <c r="N50" s="11" t="inlineStr">
        <is>
          <t>Rak</t>
        </is>
      </c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</row>
    <row r="51">
      <c r="A51" s="10" t="inlineStr">
        <is>
          <t>Homeware</t>
        </is>
      </c>
      <c r="B51" s="10" t="inlineStr">
        <is>
          <t>Drinkware</t>
        </is>
      </c>
      <c r="C51" s="10" t="inlineStr">
        <is>
          <t>Cup &amp; Saucer</t>
        </is>
      </c>
      <c r="D51" s="10" t="inlineStr">
        <is>
          <t>238191</t>
        </is>
      </c>
      <c r="E51" s="10" t="inlineStr">
        <is>
          <t>CUP 200 CC W/SAUCER 15.5CM SIMPLE PLUS</t>
        </is>
      </c>
      <c r="F51" s="10" t="n"/>
      <c r="G51" s="10" t="n"/>
      <c r="H51" s="10" t="n"/>
      <c r="I51" s="10" t="n"/>
      <c r="J51" s="10" t="n"/>
      <c r="K51" s="10" t="n"/>
      <c r="L51" s="11" t="inlineStr">
        <is>
          <t>GND-03</t>
        </is>
      </c>
      <c r="M51" s="11" t="n">
        <v>4</v>
      </c>
      <c r="N51" s="11" t="inlineStr">
        <is>
          <t>Rak</t>
        </is>
      </c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</row>
    <row r="52">
      <c r="A52" s="10" t="inlineStr">
        <is>
          <t>Homeware</t>
        </is>
      </c>
      <c r="B52" s="10" t="inlineStr">
        <is>
          <t>Tableware</t>
        </is>
      </c>
      <c r="C52" s="10" t="inlineStr">
        <is>
          <t>Plates &amp; Bowls</t>
        </is>
      </c>
      <c r="D52" s="10" t="inlineStr">
        <is>
          <t>238192</t>
        </is>
      </c>
      <c r="E52" s="10" t="inlineStr">
        <is>
          <t>LOW BOWL 17 CM SIMPLE PLUS</t>
        </is>
      </c>
      <c r="F52" s="10" t="n"/>
      <c r="G52" s="10" t="n"/>
      <c r="H52" s="10" t="n"/>
      <c r="I52" s="10" t="n"/>
      <c r="J52" s="10" t="n"/>
      <c r="K52" s="10" t="n"/>
      <c r="L52" s="11" t="inlineStr">
        <is>
          <t>WLL-02</t>
        </is>
      </c>
      <c r="M52" s="11" t="n">
        <v>1</v>
      </c>
      <c r="N52" s="11" t="inlineStr">
        <is>
          <t>Rak</t>
        </is>
      </c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inlineStr">
        <is>
          <t>GND-03</t>
        </is>
      </c>
      <c r="R52" s="11" t="n">
        <v>3</v>
      </c>
      <c r="S52" s="11" t="inlineStr">
        <is>
          <t>Rak</t>
        </is>
      </c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</row>
    <row r="53">
      <c r="A53" s="10" t="inlineStr">
        <is>
          <t>Homeware</t>
        </is>
      </c>
      <c r="B53" s="10" t="inlineStr">
        <is>
          <t>Tableware</t>
        </is>
      </c>
      <c r="C53" s="10" t="inlineStr">
        <is>
          <t>Plates &amp; Bowls</t>
        </is>
      </c>
      <c r="D53" s="10" t="inlineStr">
        <is>
          <t>238193</t>
        </is>
      </c>
      <c r="E53" s="10" t="inlineStr">
        <is>
          <t>LOW BOWL 19 CM SIMPLE PLUS</t>
        </is>
      </c>
      <c r="F53" s="10" t="n"/>
      <c r="G53" s="10" t="n"/>
      <c r="H53" s="10" t="n"/>
      <c r="I53" s="10" t="n"/>
      <c r="J53" s="10" t="n"/>
      <c r="K53" s="10" t="n"/>
      <c r="L53" s="11" t="inlineStr">
        <is>
          <t>WLL-02</t>
        </is>
      </c>
      <c r="M53" s="11" t="n">
        <v>1</v>
      </c>
      <c r="N53" s="11" t="inlineStr">
        <is>
          <t>Rak</t>
        </is>
      </c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</row>
    <row r="54">
      <c r="A54" s="10" t="inlineStr">
        <is>
          <t>Homeware</t>
        </is>
      </c>
      <c r="B54" s="10" t="inlineStr">
        <is>
          <t>Cookware</t>
        </is>
      </c>
      <c r="C54" s="10" t="inlineStr">
        <is>
          <t>Casserole</t>
        </is>
      </c>
      <c r="D54" s="10" t="inlineStr">
        <is>
          <t>10445959</t>
        </is>
      </c>
      <c r="E54" s="10" t="inlineStr">
        <is>
          <t>CASSEROLE RECT GOLD MARBLE W/LID 33CM</t>
        </is>
      </c>
      <c r="F54" s="10" t="n"/>
      <c r="G54" s="10" t="inlineStr">
        <is>
          <t>MASAK</t>
        </is>
      </c>
      <c r="H54" s="10" t="inlineStr">
        <is>
          <t>B1. CASSEROLE</t>
        </is>
      </c>
      <c r="I54" s="10" t="inlineStr">
        <is>
          <t>GOLD MARBLE</t>
        </is>
      </c>
      <c r="J54" s="10" t="n"/>
      <c r="K54" s="10" t="n"/>
      <c r="L54" s="11" t="inlineStr">
        <is>
          <t>GND-04</t>
        </is>
      </c>
      <c r="M54" s="11" t="n">
        <v>1</v>
      </c>
      <c r="N54" s="11" t="inlineStr">
        <is>
          <t>Rak</t>
        </is>
      </c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inlineStr">
        <is>
          <t>GND-05</t>
        </is>
      </c>
      <c r="R54" s="11" t="n">
        <v>3</v>
      </c>
      <c r="S54" s="11" t="inlineStr">
        <is>
          <t>Rak</t>
        </is>
      </c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inlineStr">
        <is>
          <t>GND-06</t>
        </is>
      </c>
      <c r="W54" s="11" t="n">
        <v>4</v>
      </c>
      <c r="X54" s="11" t="inlineStr">
        <is>
          <t>Rak</t>
        </is>
      </c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</row>
    <row r="55">
      <c r="A55" s="10" t="inlineStr">
        <is>
          <t>Homeware</t>
        </is>
      </c>
      <c r="B55" s="10" t="inlineStr">
        <is>
          <t>Cookware</t>
        </is>
      </c>
      <c r="C55" s="10" t="inlineStr">
        <is>
          <t>Casserole</t>
        </is>
      </c>
      <c r="D55" s="10" t="inlineStr">
        <is>
          <t>10445960</t>
        </is>
      </c>
      <c r="E55" s="10" t="inlineStr">
        <is>
          <t>CASSEROLE OVAL GOLD MARBLE W/LID 33CM</t>
        </is>
      </c>
      <c r="F55" s="10" t="n"/>
      <c r="G55" s="10" t="inlineStr">
        <is>
          <t>MASAK</t>
        </is>
      </c>
      <c r="H55" s="10" t="inlineStr">
        <is>
          <t>B1. CASSEROLE</t>
        </is>
      </c>
      <c r="I55" s="10" t="inlineStr">
        <is>
          <t>GOLD MARBLE</t>
        </is>
      </c>
      <c r="J55" s="10" t="n"/>
      <c r="K55" s="10" t="n"/>
      <c r="L55" s="11" t="inlineStr">
        <is>
          <t>GND-04</t>
        </is>
      </c>
      <c r="M55" s="11" t="n">
        <v>1</v>
      </c>
      <c r="N55" s="11" t="inlineStr">
        <is>
          <t>Rak</t>
        </is>
      </c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inlineStr">
        <is>
          <t>GND-05</t>
        </is>
      </c>
      <c r="R55" s="11" t="n">
        <v>3</v>
      </c>
      <c r="S55" s="11" t="inlineStr">
        <is>
          <t>Rak</t>
        </is>
      </c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</row>
    <row r="56">
      <c r="A56" s="10" t="inlineStr">
        <is>
          <t>Homeware</t>
        </is>
      </c>
      <c r="B56" s="10" t="inlineStr">
        <is>
          <t>Cookware</t>
        </is>
      </c>
      <c r="C56" s="10" t="inlineStr">
        <is>
          <t>Casserole</t>
        </is>
      </c>
      <c r="D56" s="10" t="inlineStr">
        <is>
          <t>10445961</t>
        </is>
      </c>
      <c r="E56" s="10" t="inlineStr">
        <is>
          <t>CASSEROLE ROUND GOLD MARBLE W/LID 33CM</t>
        </is>
      </c>
      <c r="F56" s="10" t="n"/>
      <c r="G56" s="10" t="inlineStr">
        <is>
          <t>MASAK</t>
        </is>
      </c>
      <c r="H56" s="10" t="inlineStr">
        <is>
          <t>B1. CASSEROLE</t>
        </is>
      </c>
      <c r="I56" s="10" t="inlineStr">
        <is>
          <t>GOLD MARBLE</t>
        </is>
      </c>
      <c r="J56" s="10" t="n"/>
      <c r="K56" s="10" t="n"/>
      <c r="L56" s="11" t="inlineStr">
        <is>
          <t>GND-04</t>
        </is>
      </c>
      <c r="M56" s="11" t="n">
        <v>1</v>
      </c>
      <c r="N56" s="11" t="inlineStr">
        <is>
          <t>Rak</t>
        </is>
      </c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inlineStr">
        <is>
          <t>GND-05</t>
        </is>
      </c>
      <c r="R56" s="11" t="n">
        <v>3</v>
      </c>
      <c r="S56" s="11" t="inlineStr">
        <is>
          <t>Rak</t>
        </is>
      </c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</row>
    <row r="57">
      <c r="A57" s="10" t="inlineStr">
        <is>
          <t>Homeware</t>
        </is>
      </c>
      <c r="B57" s="10" t="inlineStr">
        <is>
          <t>Cookware</t>
        </is>
      </c>
      <c r="C57" s="10" t="inlineStr">
        <is>
          <t>Casserole</t>
        </is>
      </c>
      <c r="D57" s="10" t="inlineStr">
        <is>
          <t>10445962</t>
        </is>
      </c>
      <c r="E57" s="10" t="inlineStr">
        <is>
          <t>CASSEROLE SQUARE GOLD MARBLE W/LID 33CM</t>
        </is>
      </c>
      <c r="F57" s="10" t="n"/>
      <c r="G57" s="10" t="inlineStr">
        <is>
          <t>MASAK</t>
        </is>
      </c>
      <c r="H57" s="10" t="inlineStr">
        <is>
          <t>B1. CASSEROLE</t>
        </is>
      </c>
      <c r="I57" s="10" t="inlineStr">
        <is>
          <t>GOLD MARBLE</t>
        </is>
      </c>
      <c r="J57" s="10" t="n"/>
      <c r="K57" s="10" t="n"/>
      <c r="L57" s="11" t="inlineStr">
        <is>
          <t>GND-04</t>
        </is>
      </c>
      <c r="M57" s="11" t="n">
        <v>2</v>
      </c>
      <c r="N57" s="11" t="inlineStr">
        <is>
          <t>Rak</t>
        </is>
      </c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inlineStr">
        <is>
          <t>GND-05</t>
        </is>
      </c>
      <c r="R57" s="11" t="n">
        <v>3</v>
      </c>
      <c r="S57" s="11" t="inlineStr">
        <is>
          <t>Rak</t>
        </is>
      </c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10470029</t>
        </is>
      </c>
      <c r="E58" s="10" t="inlineStr">
        <is>
          <t>SERVING SET W/RACK OCTAGON MARBLE (4)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SERVING SET MARBLE</t>
        </is>
      </c>
      <c r="J58" s="10" t="n"/>
      <c r="K58" s="10" t="n"/>
      <c r="L58" s="11" t="inlineStr">
        <is>
          <t>GND-04</t>
        </is>
      </c>
      <c r="M58" s="11" t="n">
        <v>2</v>
      </c>
      <c r="N58" s="11" t="inlineStr">
        <is>
          <t>Rak</t>
        </is>
      </c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</row>
    <row r="59">
      <c r="A59" s="10" t="inlineStr">
        <is>
          <t>Homeware</t>
        </is>
      </c>
      <c r="B59" s="10" t="inlineStr">
        <is>
          <t>Tableware</t>
        </is>
      </c>
      <c r="C59" s="10" t="inlineStr">
        <is>
          <t>Serving Set</t>
        </is>
      </c>
      <c r="D59" s="10" t="inlineStr">
        <is>
          <t>10470030</t>
        </is>
      </c>
      <c r="E59" s="10" t="inlineStr">
        <is>
          <t>SERVING SET RND DETACHABLE MARBLE (2)</t>
        </is>
      </c>
      <c r="F59" s="10" t="n"/>
      <c r="G59" s="10" t="inlineStr">
        <is>
          <t>MAKAN</t>
        </is>
      </c>
      <c r="H59" s="10" t="inlineStr">
        <is>
          <t>A2. SERVINGWARE</t>
        </is>
      </c>
      <c r="I59" s="10" t="inlineStr">
        <is>
          <t>SERVING SET MARBLE</t>
        </is>
      </c>
      <c r="J59" s="10" t="n"/>
      <c r="K59" s="10" t="n"/>
      <c r="L59" s="11" t="inlineStr">
        <is>
          <t>GND-04</t>
        </is>
      </c>
      <c r="M59" s="11" t="n">
        <v>3</v>
      </c>
      <c r="N59" s="11" t="inlineStr">
        <is>
          <t>Rak</t>
        </is>
      </c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inlineStr">
        <is>
          <t>GND-05</t>
        </is>
      </c>
      <c r="R59" s="11" t="n">
        <v>4</v>
      </c>
      <c r="S59" s="11" t="inlineStr">
        <is>
          <t>Rak</t>
        </is>
      </c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</row>
    <row r="60">
      <c r="A60" s="10" t="inlineStr">
        <is>
          <t>Homeware</t>
        </is>
      </c>
      <c r="B60" s="10" t="inlineStr">
        <is>
          <t>Tableware</t>
        </is>
      </c>
      <c r="C60" s="10" t="inlineStr">
        <is>
          <t>Serving Set</t>
        </is>
      </c>
      <c r="D60" s="10" t="inlineStr">
        <is>
          <t>10470031</t>
        </is>
      </c>
      <c r="E60" s="10" t="inlineStr">
        <is>
          <t>SERVING SET W/RACK SQR MARBLE BLACK (3)</t>
        </is>
      </c>
      <c r="F60" s="10" t="n"/>
      <c r="G60" s="10" t="inlineStr">
        <is>
          <t>MAKAN</t>
        </is>
      </c>
      <c r="H60" s="10" t="inlineStr">
        <is>
          <t>A2. SERVINGWARE</t>
        </is>
      </c>
      <c r="I60" s="10" t="inlineStr">
        <is>
          <t>SERVING SET MARBLE</t>
        </is>
      </c>
      <c r="J60" s="10" t="n"/>
      <c r="K60" s="10" t="n"/>
      <c r="L60" s="11" t="inlineStr">
        <is>
          <t>GND-04</t>
        </is>
      </c>
      <c r="M60" s="11" t="n">
        <v>3</v>
      </c>
      <c r="N60" s="11" t="inlineStr">
        <is>
          <t>Rak</t>
        </is>
      </c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</row>
    <row r="61">
      <c r="A61" s="10" t="inlineStr">
        <is>
          <t>Homeware</t>
        </is>
      </c>
      <c r="B61" s="10" t="inlineStr">
        <is>
          <t>Cookware</t>
        </is>
      </c>
      <c r="C61" s="10" t="inlineStr">
        <is>
          <t>Pots &amp; Pans</t>
        </is>
      </c>
      <c r="D61" s="10" t="inlineStr">
        <is>
          <t>10421603</t>
        </is>
      </c>
      <c r="E61" s="10" t="inlineStr">
        <is>
          <t>KINGSTON SAUCEPAN WITH LID 16CM GREEN</t>
        </is>
      </c>
      <c r="F61" s="10" t="n"/>
      <c r="G61" s="10" t="inlineStr">
        <is>
          <t>MASAK</t>
        </is>
      </c>
      <c r="H61" s="10" t="inlineStr">
        <is>
          <t>B2. COOKWARE</t>
        </is>
      </c>
      <c r="I61" s="10" t="inlineStr">
        <is>
          <t>KINGSTON</t>
        </is>
      </c>
      <c r="J61" s="10" t="n"/>
      <c r="K61" s="10" t="n"/>
      <c r="L61" s="11" t="inlineStr">
        <is>
          <t>END-02</t>
        </is>
      </c>
      <c r="M61" s="11" t="n">
        <v>1</v>
      </c>
      <c r="N61" s="11" t="inlineStr">
        <is>
          <t>Rak</t>
        </is>
      </c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</row>
    <row r="62">
      <c r="A62" s="10" t="inlineStr">
        <is>
          <t>Homeware</t>
        </is>
      </c>
      <c r="B62" s="10" t="inlineStr">
        <is>
          <t>Cookware</t>
        </is>
      </c>
      <c r="C62" s="10" t="inlineStr">
        <is>
          <t>Pots &amp; Pans</t>
        </is>
      </c>
      <c r="D62" s="10" t="inlineStr">
        <is>
          <t>10421608</t>
        </is>
      </c>
      <c r="E62" s="10" t="inlineStr">
        <is>
          <t>KINGSTON CASSEROLE WITH LID 20 CM GREEN</t>
        </is>
      </c>
      <c r="F62" s="10" t="n"/>
      <c r="G62" s="10" t="inlineStr">
        <is>
          <t>MASAK</t>
        </is>
      </c>
      <c r="H62" s="10" t="inlineStr">
        <is>
          <t>B2. COOKWARE</t>
        </is>
      </c>
      <c r="I62" s="10" t="inlineStr">
        <is>
          <t>KINGSTON</t>
        </is>
      </c>
      <c r="J62" s="10" t="n"/>
      <c r="K62" s="10" t="n"/>
      <c r="L62" s="11" t="inlineStr">
        <is>
          <t>END-02</t>
        </is>
      </c>
      <c r="M62" s="11" t="n">
        <v>2</v>
      </c>
      <c r="N62" s="11" t="inlineStr">
        <is>
          <t>Rak</t>
        </is>
      </c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</row>
    <row r="63">
      <c r="A63" s="10" t="inlineStr">
        <is>
          <t>Homeware</t>
        </is>
      </c>
      <c r="B63" s="10" t="inlineStr">
        <is>
          <t>Cookware</t>
        </is>
      </c>
      <c r="C63" s="10" t="inlineStr">
        <is>
          <t>Pots &amp; Pans</t>
        </is>
      </c>
      <c r="D63" s="10" t="inlineStr">
        <is>
          <t>10421610</t>
        </is>
      </c>
      <c r="E63" s="10" t="inlineStr">
        <is>
          <t>KINGSTON GRILL PAN 24CM GREEN</t>
        </is>
      </c>
      <c r="F63" s="10" t="n"/>
      <c r="G63" s="10" t="inlineStr">
        <is>
          <t>MASAK</t>
        </is>
      </c>
      <c r="H63" s="10" t="inlineStr">
        <is>
          <t>B2. COOKWARE</t>
        </is>
      </c>
      <c r="I63" s="10" t="inlineStr">
        <is>
          <t>KINGSTON</t>
        </is>
      </c>
      <c r="J63" s="10" t="n"/>
      <c r="K63" s="10" t="n"/>
      <c r="L63" s="11" t="inlineStr">
        <is>
          <t>END-02</t>
        </is>
      </c>
      <c r="M63" s="11" t="n">
        <v>3</v>
      </c>
      <c r="N63" s="11" t="inlineStr">
        <is>
          <t>Rak</t>
        </is>
      </c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238182</t>
        </is>
      </c>
      <c r="E64" s="10" t="inlineStr">
        <is>
          <t>COUPLE PLATE 27CM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WLL-01</t>
        </is>
      </c>
      <c r="M64" s="11" t="n">
        <v>1</v>
      </c>
      <c r="N64" s="11" t="inlineStr">
        <is>
          <t>Rak</t>
        </is>
      </c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</row>
    <row r="65">
      <c r="A65" s="10" t="inlineStr">
        <is>
          <t>Homeware</t>
        </is>
      </c>
      <c r="B65" s="10" t="inlineStr">
        <is>
          <t>Tableware</t>
        </is>
      </c>
      <c r="C65" s="10" t="inlineStr">
        <is>
          <t>Plates &amp; Bowls</t>
        </is>
      </c>
      <c r="D65" s="10" t="inlineStr">
        <is>
          <t>238187</t>
        </is>
      </c>
      <c r="E65" s="10" t="inlineStr">
        <is>
          <t>RECT PLATE 14.5CMX22CM SIMPLE PLUS</t>
        </is>
      </c>
      <c r="F65" s="10" t="n"/>
      <c r="G65" s="10" t="n"/>
      <c r="H65" s="10" t="n"/>
      <c r="I65" s="10" t="n"/>
      <c r="J65" s="10" t="n"/>
      <c r="K65" s="10" t="n"/>
      <c r="L65" s="11" t="inlineStr">
        <is>
          <t>WLL-01</t>
        </is>
      </c>
      <c r="M65" s="11" t="n">
        <v>1</v>
      </c>
      <c r="N65" s="11" t="inlineStr">
        <is>
          <t>Rak</t>
        </is>
      </c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</row>
    <row r="66">
      <c r="A66" s="10" t="inlineStr">
        <is>
          <t>Homeware</t>
        </is>
      </c>
      <c r="B66" s="10" t="inlineStr">
        <is>
          <t>Tableware</t>
        </is>
      </c>
      <c r="C66" s="10" t="inlineStr">
        <is>
          <t>Plates &amp; Bowls</t>
        </is>
      </c>
      <c r="D66" s="10" t="inlineStr">
        <is>
          <t>238192</t>
        </is>
      </c>
      <c r="E66" s="10" t="inlineStr">
        <is>
          <t>LOW BOWL 17 CM SIMPLE PLUS</t>
        </is>
      </c>
      <c r="F66" s="10" t="n"/>
      <c r="G66" s="10" t="n"/>
      <c r="H66" s="10" t="n"/>
      <c r="I66" s="10" t="n"/>
      <c r="J66" s="10" t="n"/>
      <c r="K66" s="10" t="n"/>
      <c r="L66" s="11" t="inlineStr">
        <is>
          <t>WLL-01</t>
        </is>
      </c>
      <c r="M66" s="11" t="n">
        <v>1</v>
      </c>
      <c r="N66" s="11" t="inlineStr">
        <is>
          <t>Rak</t>
        </is>
      </c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</row>
    <row r="67">
      <c r="A67" s="10" t="inlineStr">
        <is>
          <t>Homeware</t>
        </is>
      </c>
      <c r="B67" s="10" t="inlineStr">
        <is>
          <t>Drinkware</t>
        </is>
      </c>
      <c r="C67" s="10" t="inlineStr">
        <is>
          <t>Glassware</t>
        </is>
      </c>
      <c r="D67" s="10" t="inlineStr">
        <is>
          <t>10099940</t>
        </is>
      </c>
      <c r="E67" s="10" t="inlineStr">
        <is>
          <t>INVERNESS WATER GLASS SET 355ML (6)</t>
        </is>
      </c>
      <c r="F67" s="10" t="n"/>
      <c r="G67" s="10" t="inlineStr">
        <is>
          <t>MAKAN</t>
        </is>
      </c>
      <c r="H67" s="10" t="inlineStr">
        <is>
          <t>A1. GLASSWARE</t>
        </is>
      </c>
      <c r="I67" s="10" t="inlineStr">
        <is>
          <t>INVERNESS</t>
        </is>
      </c>
      <c r="J67" s="10" t="n"/>
      <c r="K67" s="10" t="n"/>
      <c r="L67" s="11" t="inlineStr">
        <is>
          <t>WLL-01</t>
        </is>
      </c>
      <c r="M67" s="11" t="n">
        <v>6</v>
      </c>
      <c r="N67" s="11" t="inlineStr">
        <is>
          <t>Rak</t>
        </is>
      </c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</row>
    <row r="68">
      <c r="A68" s="10" t="inlineStr">
        <is>
          <t>Homeware</t>
        </is>
      </c>
      <c r="B68" s="10" t="inlineStr">
        <is>
          <t>Drinkware</t>
        </is>
      </c>
      <c r="C68" s="10" t="inlineStr">
        <is>
          <t>Cup &amp; Saucer</t>
        </is>
      </c>
      <c r="D68" s="10" t="inlineStr">
        <is>
          <t>238190</t>
        </is>
      </c>
      <c r="E68" s="10" t="inlineStr">
        <is>
          <t>CUP 100 CC W/SAUCER 12.5CM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WLL-01</t>
        </is>
      </c>
      <c r="M68" s="11" t="n">
        <v>6</v>
      </c>
      <c r="N68" s="11" t="inlineStr">
        <is>
          <t>Rak</t>
        </is>
      </c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</row>
    <row r="69">
      <c r="A69" s="10" t="inlineStr">
        <is>
          <t>Homeware</t>
        </is>
      </c>
      <c r="B69" s="10" t="inlineStr">
        <is>
          <t>Drinkware</t>
        </is>
      </c>
      <c r="C69" s="10" t="inlineStr">
        <is>
          <t>Cup &amp; Saucer</t>
        </is>
      </c>
      <c r="D69" s="10" t="inlineStr">
        <is>
          <t>238191</t>
        </is>
      </c>
      <c r="E69" s="10" t="inlineStr">
        <is>
          <t>CUP 200 CC W/SAUCER 15.5CM SIMPLE PLUS</t>
        </is>
      </c>
      <c r="F69" s="10" t="n"/>
      <c r="G69" s="10" t="n"/>
      <c r="H69" s="10" t="n"/>
      <c r="I69" s="10" t="n"/>
      <c r="J69" s="10" t="n"/>
      <c r="K69" s="10" t="n"/>
      <c r="L69" s="11" t="inlineStr">
        <is>
          <t>WLL-01</t>
        </is>
      </c>
      <c r="M69" s="11" t="n">
        <v>6</v>
      </c>
      <c r="N69" s="11" t="inlineStr">
        <is>
          <t>Rak</t>
        </is>
      </c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</row>
    <row r="70">
      <c r="A70" s="10" t="inlineStr">
        <is>
          <t>Homeware</t>
        </is>
      </c>
      <c r="B70" s="10" t="inlineStr">
        <is>
          <t>Storage</t>
        </is>
      </c>
      <c r="C70" s="10" t="inlineStr">
        <is>
          <t>Food Storage</t>
        </is>
      </c>
      <c r="D70" s="10" t="inlineStr">
        <is>
          <t>10680419</t>
        </is>
      </c>
      <c r="E70" s="10" t="inlineStr">
        <is>
          <t>MOSQUE DOME GLASS JAR SET OF 3 450ML</t>
        </is>
      </c>
      <c r="F70" s="10" t="n"/>
      <c r="G70" s="10" t="inlineStr">
        <is>
          <t>PENYIMPANAN</t>
        </is>
      </c>
      <c r="H70" s="10" t="inlineStr">
        <is>
          <t>E4. CANISTER</t>
        </is>
      </c>
      <c r="I70" s="10" t="inlineStr">
        <is>
          <t>GLASS FANCY</t>
        </is>
      </c>
      <c r="J70" s="10" t="n"/>
      <c r="K70" s="10" t="n"/>
      <c r="L70" s="11" t="inlineStr">
        <is>
          <t>WLL-02</t>
        </is>
      </c>
      <c r="M70" s="11" t="n">
        <v>5</v>
      </c>
      <c r="N70" s="11" t="inlineStr">
        <is>
          <t>Rak</t>
        </is>
      </c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</row>
    <row r="71">
      <c r="A71" s="10" t="inlineStr">
        <is>
          <t>Homeware</t>
        </is>
      </c>
      <c r="B71" s="10" t="inlineStr">
        <is>
          <t>Storage</t>
        </is>
      </c>
      <c r="C71" s="10" t="inlineStr">
        <is>
          <t>Food Storage</t>
        </is>
      </c>
      <c r="D71" s="10" t="inlineStr">
        <is>
          <t>10682153</t>
        </is>
      </c>
      <c r="E71" s="10" t="inlineStr">
        <is>
          <t>EID 2026 GLASS JAR SET OF 3 900ML</t>
        </is>
      </c>
      <c r="F71" s="10" t="n"/>
      <c r="G71" s="10" t="inlineStr">
        <is>
          <t>PENYIMPANAN</t>
        </is>
      </c>
      <c r="H71" s="10" t="inlineStr">
        <is>
          <t>E4. CANISTER</t>
        </is>
      </c>
      <c r="I71" s="10" t="inlineStr">
        <is>
          <t>GLASS FANCY</t>
        </is>
      </c>
      <c r="J71" s="10" t="n"/>
      <c r="K71" s="10" t="n"/>
      <c r="L71" s="11" t="inlineStr">
        <is>
          <t>WLL-02</t>
        </is>
      </c>
      <c r="M71" s="11" t="n">
        <v>5</v>
      </c>
      <c r="N71" s="11" t="inlineStr">
        <is>
          <t>Rak</t>
        </is>
      </c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</row>
    <row r="72">
      <c r="A72" s="10" t="inlineStr">
        <is>
          <t>Homeware</t>
        </is>
      </c>
      <c r="B72" s="10" t="inlineStr">
        <is>
          <t>Storage</t>
        </is>
      </c>
      <c r="C72" s="10" t="inlineStr">
        <is>
          <t>Food Storage</t>
        </is>
      </c>
      <c r="D72" s="10" t="inlineStr">
        <is>
          <t>10682154</t>
        </is>
      </c>
      <c r="E72" s="10" t="inlineStr">
        <is>
          <t>GRETTA GLASS JAR SET OF 4 WITH RACK</t>
        </is>
      </c>
      <c r="F72" s="10" t="n"/>
      <c r="G72" s="10" t="inlineStr">
        <is>
          <t>PENYIMPANAN</t>
        </is>
      </c>
      <c r="H72" s="10" t="inlineStr">
        <is>
          <t>E4. CANISTER</t>
        </is>
      </c>
      <c r="I72" s="10" t="inlineStr">
        <is>
          <t>GLASS BASIC</t>
        </is>
      </c>
      <c r="J72" s="10" t="n"/>
      <c r="K72" s="10" t="n"/>
      <c r="L72" s="11" t="inlineStr">
        <is>
          <t>WLL-02</t>
        </is>
      </c>
      <c r="M72" s="11" t="n">
        <v>5</v>
      </c>
      <c r="N72" s="11" t="inlineStr">
        <is>
          <t>Rak</t>
        </is>
      </c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</row>
    <row r="73">
      <c r="A73" s="10" t="inlineStr">
        <is>
          <t>Homeware</t>
        </is>
      </c>
      <c r="B73" s="10" t="inlineStr">
        <is>
          <t>Storage</t>
        </is>
      </c>
      <c r="C73" s="10" t="inlineStr">
        <is>
          <t>Food Storage</t>
        </is>
      </c>
      <c r="D73" s="10" t="inlineStr">
        <is>
          <t>10682155</t>
        </is>
      </c>
      <c r="E73" s="10" t="inlineStr">
        <is>
          <t>GRETTA GLASS JAR SET OF 3 WITH RACK</t>
        </is>
      </c>
      <c r="F73" s="10" t="n"/>
      <c r="G73" s="10" t="inlineStr">
        <is>
          <t>PENYIMPANAN</t>
        </is>
      </c>
      <c r="H73" s="10" t="inlineStr">
        <is>
          <t>E4. CANISTER</t>
        </is>
      </c>
      <c r="I73" s="10" t="inlineStr">
        <is>
          <t>GLASS BASIC</t>
        </is>
      </c>
      <c r="J73" s="10" t="n"/>
      <c r="K73" s="10" t="n"/>
      <c r="L73" s="11" t="inlineStr">
        <is>
          <t>WLL-02</t>
        </is>
      </c>
      <c r="M73" s="11" t="n">
        <v>5</v>
      </c>
      <c r="N73" s="11" t="inlineStr">
        <is>
          <t>Rak</t>
        </is>
      </c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</row>
    <row r="74">
      <c r="A74" s="10" t="inlineStr">
        <is>
          <t>Homeware</t>
        </is>
      </c>
      <c r="B74" s="10" t="inlineStr">
        <is>
          <t>Tableware</t>
        </is>
      </c>
      <c r="C74" s="10" t="inlineStr">
        <is>
          <t>Serving Set</t>
        </is>
      </c>
      <c r="D74" s="10" t="inlineStr">
        <is>
          <t>10681572</t>
        </is>
      </c>
      <c r="E74" s="10" t="inlineStr">
        <is>
          <t>SERVING GLASS OVAL PLATER ZOE GOLD</t>
        </is>
      </c>
      <c r="F74" s="10" t="n"/>
      <c r="G74" s="10" t="inlineStr">
        <is>
          <t>MAKAN</t>
        </is>
      </c>
      <c r="H74" s="10" t="inlineStr">
        <is>
          <t>A2. SERVINGWARE</t>
        </is>
      </c>
      <c r="I74" s="10" t="inlineStr">
        <is>
          <t>W/GOLD RACK GLASS</t>
        </is>
      </c>
      <c r="J74" s="10" t="n"/>
      <c r="K74" s="10" t="n"/>
      <c r="L74" s="11" t="inlineStr">
        <is>
          <t>WLL-03</t>
        </is>
      </c>
      <c r="M74" s="11" t="n">
        <v>4</v>
      </c>
      <c r="N74" s="11" t="inlineStr">
        <is>
          <t>Rak</t>
        </is>
      </c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</row>
    <row r="75">
      <c r="A75" s="10" t="inlineStr">
        <is>
          <t>Homeware</t>
        </is>
      </c>
      <c r="B75" s="10" t="inlineStr">
        <is>
          <t>Tableware</t>
        </is>
      </c>
      <c r="C75" s="10" t="inlineStr">
        <is>
          <t>Serving Set</t>
        </is>
      </c>
      <c r="D75" s="10" t="inlineStr">
        <is>
          <t>10681573</t>
        </is>
      </c>
      <c r="E75" s="10" t="inlineStr">
        <is>
          <t>SERVING GLASS SQR TWO RACK ZENA GOLD</t>
        </is>
      </c>
      <c r="F75" s="10" t="n"/>
      <c r="G75" s="10" t="inlineStr">
        <is>
          <t>MAKAN</t>
        </is>
      </c>
      <c r="H75" s="10" t="inlineStr">
        <is>
          <t>A2. SERVINGWARE</t>
        </is>
      </c>
      <c r="I75" s="10" t="inlineStr">
        <is>
          <t>W/GOLD RACK GLASS</t>
        </is>
      </c>
      <c r="J75" s="10" t="n"/>
      <c r="K75" s="10" t="n"/>
      <c r="L75" s="11" t="inlineStr">
        <is>
          <t>WLL-03</t>
        </is>
      </c>
      <c r="M75" s="11" t="n">
        <v>4</v>
      </c>
      <c r="N75" s="11" t="inlineStr">
        <is>
          <t>Rak</t>
        </is>
      </c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</row>
    <row r="76">
      <c r="A76" s="10" t="inlineStr">
        <is>
          <t>Homeware</t>
        </is>
      </c>
      <c r="B76" s="10" t="inlineStr">
        <is>
          <t>Tableware</t>
        </is>
      </c>
      <c r="C76" s="10" t="inlineStr">
        <is>
          <t>Serving Set</t>
        </is>
      </c>
      <c r="D76" s="10" t="inlineStr">
        <is>
          <t>10681574</t>
        </is>
      </c>
      <c r="E76" s="10" t="inlineStr">
        <is>
          <t>SERVING GLASS RND TWO RACK ZIA GOLD</t>
        </is>
      </c>
      <c r="F76" s="10" t="n"/>
      <c r="G76" s="10" t="inlineStr">
        <is>
          <t>MAKAN</t>
        </is>
      </c>
      <c r="H76" s="10" t="inlineStr">
        <is>
          <t>A2. SERVINGWARE</t>
        </is>
      </c>
      <c r="I76" s="10" t="inlineStr">
        <is>
          <t>W/GOLD RACK GLASS</t>
        </is>
      </c>
      <c r="J76" s="10" t="n"/>
      <c r="K76" s="10" t="n"/>
      <c r="L76" s="11" t="inlineStr">
        <is>
          <t>WLL-03</t>
        </is>
      </c>
      <c r="M76" s="11" t="n">
        <v>4</v>
      </c>
      <c r="N76" s="11" t="inlineStr">
        <is>
          <t>Rak</t>
        </is>
      </c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</row>
    <row r="77">
      <c r="A77" s="10" t="inlineStr">
        <is>
          <t>Homeware</t>
        </is>
      </c>
      <c r="B77" s="10" t="inlineStr">
        <is>
          <t>Tableware</t>
        </is>
      </c>
      <c r="C77" s="10" t="inlineStr">
        <is>
          <t>Serving Set</t>
        </is>
      </c>
      <c r="D77" s="10" t="inlineStr">
        <is>
          <t>10470030</t>
        </is>
      </c>
      <c r="E77" s="10" t="inlineStr">
        <is>
          <t>SERVING SET RND DETACHABLE MARBLE (2)</t>
        </is>
      </c>
      <c r="F77" s="10" t="n"/>
      <c r="G77" s="10" t="inlineStr">
        <is>
          <t>MAKAN</t>
        </is>
      </c>
      <c r="H77" s="10" t="inlineStr">
        <is>
          <t>A2. SERVINGWARE</t>
        </is>
      </c>
      <c r="I77" s="10" t="inlineStr">
        <is>
          <t>SERVING SET MARBLE</t>
        </is>
      </c>
      <c r="J77" s="10" t="n"/>
      <c r="K77" s="10" t="n"/>
      <c r="L77" s="11" t="inlineStr">
        <is>
          <t>WLL-03</t>
        </is>
      </c>
      <c r="M77" s="11" t="n">
        <v>5</v>
      </c>
      <c r="N77" s="11" t="inlineStr">
        <is>
          <t>Rak</t>
        </is>
      </c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</row>
    <row r="78">
      <c r="A78" s="10" t="inlineStr">
        <is>
          <t>Homeware</t>
        </is>
      </c>
      <c r="B78" s="10" t="inlineStr">
        <is>
          <t>Tableware</t>
        </is>
      </c>
      <c r="C78" s="10" t="inlineStr">
        <is>
          <t>Serving Set</t>
        </is>
      </c>
      <c r="D78" s="10" t="inlineStr">
        <is>
          <t>10470031</t>
        </is>
      </c>
      <c r="E78" s="10" t="inlineStr">
        <is>
          <t>SERVING SET W/RACK SQR MARBLE BLACK (3)</t>
        </is>
      </c>
      <c r="F78" s="10" t="n"/>
      <c r="G78" s="10" t="inlineStr">
        <is>
          <t>MAKAN</t>
        </is>
      </c>
      <c r="H78" s="10" t="inlineStr">
        <is>
          <t>A2. SERVINGWARE</t>
        </is>
      </c>
      <c r="I78" s="10" t="inlineStr">
        <is>
          <t>SERVING SET MARBLE</t>
        </is>
      </c>
      <c r="J78" s="10" t="n"/>
      <c r="K78" s="10" t="n"/>
      <c r="L78" s="11" t="inlineStr">
        <is>
          <t>WLL-03</t>
        </is>
      </c>
      <c r="M78" s="11" t="n">
        <v>5</v>
      </c>
      <c r="N78" s="11" t="inlineStr">
        <is>
          <t>Rak</t>
        </is>
      </c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</row>
    <row r="79">
      <c r="A79" s="10" t="inlineStr">
        <is>
          <t>Homeware</t>
        </is>
      </c>
      <c r="B79" s="10" t="inlineStr">
        <is>
          <t>Tableware</t>
        </is>
      </c>
      <c r="C79" s="10" t="inlineStr">
        <is>
          <t>Serving Set</t>
        </is>
      </c>
      <c r="D79" s="10" t="inlineStr">
        <is>
          <t>10470032</t>
        </is>
      </c>
      <c r="E79" s="10" t="inlineStr">
        <is>
          <t>SERVING SET W/RACK STACK WHITE (3)</t>
        </is>
      </c>
      <c r="F79" s="10" t="n"/>
      <c r="G79" s="10" t="inlineStr">
        <is>
          <t>MAKAN</t>
        </is>
      </c>
      <c r="H79" s="10" t="inlineStr">
        <is>
          <t>A2. SERVINGWARE</t>
        </is>
      </c>
      <c r="I79" s="10" t="inlineStr">
        <is>
          <t>SERVING SET MARBLE</t>
        </is>
      </c>
      <c r="J79" s="10" t="n"/>
      <c r="K79" s="10" t="n"/>
      <c r="L79" s="11" t="inlineStr">
        <is>
          <t>WLL-03</t>
        </is>
      </c>
      <c r="M79" s="11" t="n">
        <v>5</v>
      </c>
      <c r="N79" s="11" t="inlineStr">
        <is>
          <t>Rak</t>
        </is>
      </c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</row>
    <row r="80">
      <c r="A80" s="10" t="inlineStr">
        <is>
          <t>Homeware</t>
        </is>
      </c>
      <c r="B80" s="10" t="inlineStr">
        <is>
          <t>Drinkware</t>
        </is>
      </c>
      <c r="C80" s="10" t="inlineStr">
        <is>
          <t>Cup &amp; Saucer</t>
        </is>
      </c>
      <c r="D80" s="10" t="inlineStr">
        <is>
          <t>238190</t>
        </is>
      </c>
      <c r="E80" s="10" t="inlineStr">
        <is>
          <t>CUP 100 CC W/SAUCER 12.5CM SIMPLE PLUS</t>
        </is>
      </c>
      <c r="F80" s="10" t="n"/>
      <c r="G80" s="10" t="n"/>
      <c r="H80" s="10" t="n"/>
      <c r="I80" s="10" t="n"/>
      <c r="J80" s="10" t="n"/>
      <c r="K80" s="10" t="n"/>
      <c r="L80" s="11" t="inlineStr">
        <is>
          <t>PLT-02</t>
        </is>
      </c>
      <c r="M80" s="11" t="n">
        <v>1</v>
      </c>
      <c r="N80" s="11" t="inlineStr">
        <is>
          <t>Rak</t>
        </is>
      </c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</row>
    <row r="81">
      <c r="A81" s="10" t="inlineStr">
        <is>
          <t>Homeware</t>
        </is>
      </c>
      <c r="B81" s="10" t="inlineStr">
        <is>
          <t>Drinkware</t>
        </is>
      </c>
      <c r="C81" s="10" t="inlineStr">
        <is>
          <t>Cup &amp; Saucer</t>
        </is>
      </c>
      <c r="D81" s="10" t="inlineStr">
        <is>
          <t>238191</t>
        </is>
      </c>
      <c r="E81" s="10" t="inlineStr">
        <is>
          <t>CUP 200 CC W/SAUCER 15.5CM SIMPLE PLUS</t>
        </is>
      </c>
      <c r="F81" s="10" t="n"/>
      <c r="G81" s="10" t="n"/>
      <c r="H81" s="10" t="n"/>
      <c r="I81" s="10" t="n"/>
      <c r="J81" s="10" t="n"/>
      <c r="K81" s="10" t="n"/>
      <c r="L81" s="11" t="inlineStr">
        <is>
          <t>PLT-02</t>
        </is>
      </c>
      <c r="M81" s="11" t="n">
        <v>1</v>
      </c>
      <c r="N81" s="11" t="inlineStr">
        <is>
          <t>Rak</t>
        </is>
      </c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</row>
    <row r="82">
      <c r="A82" s="10" t="inlineStr">
        <is>
          <t>Homeware</t>
        </is>
      </c>
      <c r="B82" s="10" t="inlineStr">
        <is>
          <t>Tableware</t>
        </is>
      </c>
      <c r="C82" s="10" t="inlineStr">
        <is>
          <t>Plates &amp; Bowls</t>
        </is>
      </c>
      <c r="D82" s="10" t="inlineStr">
        <is>
          <t>238181</t>
        </is>
      </c>
      <c r="E82" s="10" t="inlineStr">
        <is>
          <t>COUPE PLATE 16 CM SIMPLE PLUS</t>
        </is>
      </c>
      <c r="F82" s="10" t="n"/>
      <c r="G82" s="10" t="n"/>
      <c r="H82" s="10" t="n"/>
      <c r="I82" s="10" t="n"/>
      <c r="J82" s="10" t="n"/>
      <c r="K82" s="10" t="n"/>
      <c r="L82" s="11" t="inlineStr">
        <is>
          <t>PLT-02</t>
        </is>
      </c>
      <c r="M82" s="11" t="n">
        <v>1</v>
      </c>
      <c r="N82" s="11" t="inlineStr">
        <is>
          <t>Rak</t>
        </is>
      </c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</row>
    <row r="83">
      <c r="A83" s="10" t="inlineStr">
        <is>
          <t>Homeware</t>
        </is>
      </c>
      <c r="B83" s="10" t="inlineStr">
        <is>
          <t>Tableware</t>
        </is>
      </c>
      <c r="C83" s="10" t="inlineStr">
        <is>
          <t>Plates &amp; Bowls</t>
        </is>
      </c>
      <c r="D83" s="10" t="inlineStr">
        <is>
          <t>238182</t>
        </is>
      </c>
      <c r="E83" s="10" t="inlineStr">
        <is>
          <t>COUPLE PLATE 27CM SIMPLE PLUS</t>
        </is>
      </c>
      <c r="F83" s="10" t="n"/>
      <c r="G83" s="10" t="n"/>
      <c r="H83" s="10" t="n"/>
      <c r="I83" s="10" t="n"/>
      <c r="J83" s="10" t="n"/>
      <c r="K83" s="10" t="n"/>
      <c r="L83" s="11" t="inlineStr">
        <is>
          <t>PLT-02</t>
        </is>
      </c>
      <c r="M83" s="11" t="n">
        <v>1</v>
      </c>
      <c r="N83" s="11" t="inlineStr">
        <is>
          <t>Rak</t>
        </is>
      </c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10445959</t>
        </is>
      </c>
      <c r="B2" s="12">
        <f>IF(A2="","",IFERROR(INDEX(DATA!$E$2:$E$500,MATCH(A2,DATA!$D$2:$D$500,0)),""))</f>
        <v/>
      </c>
      <c r="C2" s="10" t="n">
        <v>36</v>
      </c>
      <c r="D2" s="10" t="n">
        <v>20</v>
      </c>
      <c r="E2" s="10" t="n">
        <v>28</v>
      </c>
      <c r="F2" s="10" t="n">
        <v>1</v>
      </c>
      <c r="G2" s="10" t="n">
        <v>1</v>
      </c>
      <c r="H2" s="10" t="inlineStr">
        <is>
          <t>Tidak</t>
        </is>
      </c>
      <c r="I2" s="10" t="inlineStr">
        <is>
          <t>contoh: ganti dengan ukuran asli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inlineStr">
        <is>
          <t>10445960</t>
        </is>
      </c>
      <c r="B3" s="12">
        <f>IF(A3="","",IFERROR(INDEX(DATA!$E$2:$E$500,MATCH(A3,DATA!$D$2:$D$500,0)),""))</f>
        <v/>
      </c>
      <c r="C3" s="10" t="n">
        <v>38</v>
      </c>
      <c r="D3" s="10" t="n">
        <v>20</v>
      </c>
      <c r="E3" s="10" t="n">
        <v>28</v>
      </c>
      <c r="F3" s="10" t="n">
        <v>1</v>
      </c>
      <c r="G3" s="10" t="n">
        <v>1</v>
      </c>
      <c r="H3" s="10" t="inlineStr">
        <is>
          <t>Tidak</t>
        </is>
      </c>
      <c r="I3" s="10" t="inlineStr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inlineStr">
        <is>
          <t>10445961</t>
        </is>
      </c>
      <c r="B4" s="12">
        <f>IF(A4="","",IFERROR(INDEX(DATA!$E$2:$E$500,MATCH(A4,DATA!$D$2:$D$500,0)),""))</f>
        <v/>
      </c>
      <c r="C4" s="10" t="n">
        <v>34</v>
      </c>
      <c r="D4" s="10" t="n">
        <v>22</v>
      </c>
      <c r="E4" s="10" t="n">
        <v>34</v>
      </c>
      <c r="F4" s="10" t="n">
        <v>1</v>
      </c>
      <c r="G4" s="10" t="n">
        <v>1</v>
      </c>
      <c r="H4" s="10" t="inlineStr">
        <is>
          <t>Tidak</t>
        </is>
      </c>
      <c r="I4" s="10" t="inlineStr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inlineStr">
        <is>
          <t>10445962</t>
        </is>
      </c>
      <c r="B5" s="12">
        <f>IF(A5="","",IFERROR(INDEX(DATA!$E$2:$E$500,MATCH(A5,DATA!$D$2:$D$500,0)),""))</f>
        <v/>
      </c>
      <c r="C5" s="10" t="n">
        <v>34</v>
      </c>
      <c r="D5" s="10" t="n">
        <v>22</v>
      </c>
      <c r="E5" s="10" t="n">
        <v>34</v>
      </c>
      <c r="F5" s="10" t="n">
        <v>1</v>
      </c>
      <c r="G5" s="10" t="n">
        <v>1</v>
      </c>
      <c r="H5" s="10" t="inlineStr">
        <is>
          <t>Tidak</t>
        </is>
      </c>
      <c r="I5" s="10" t="inlineStr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inlineStr">
        <is>
          <t>10470029</t>
        </is>
      </c>
      <c r="B6" s="12">
        <f>IF(A6="","",IFERROR(INDEX(DATA!$E$2:$E$500,MATCH(A6,DATA!$D$2:$D$500,0)),""))</f>
        <v/>
      </c>
      <c r="C6" s="10" t="n">
        <v>30</v>
      </c>
      <c r="D6" s="10" t="n">
        <v>26</v>
      </c>
      <c r="E6" s="10" t="n">
        <v>30</v>
      </c>
      <c r="F6" s="10" t="n">
        <v>1</v>
      </c>
      <c r="G6" s="10" t="n">
        <v>2</v>
      </c>
      <c r="H6" s="10" t="inlineStr">
        <is>
          <t>Tidak</t>
        </is>
      </c>
      <c r="I6" s="10" t="inlineStr">
        <is>
          <t>boleh ditumpuk 2</t>
        </is>
      </c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inlineStr">
        <is>
          <t>10680419</t>
        </is>
      </c>
      <c r="B7" s="12">
        <f>IF(A7="","",IFERROR(INDEX(DATA!$E$2:$E$500,MATCH(A7,DATA!$D$2:$D$500,0)),""))</f>
        <v/>
      </c>
      <c r="C7" s="10" t="n">
        <v>24</v>
      </c>
      <c r="D7" s="10" t="n">
        <v>26</v>
      </c>
      <c r="E7" s="10" t="n">
        <v>24</v>
      </c>
      <c r="F7" s="10" t="n">
        <v>1</v>
      </c>
      <c r="G7" s="10" t="n">
        <v>2</v>
      </c>
      <c r="H7" s="10" t="inlineStr">
        <is>
          <t>Ya</t>
        </is>
      </c>
      <c r="I7" s="10" t="inlineStr">
        <is>
          <t>boleh diputar</t>
        </is>
      </c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inlineStr">
        <is>
          <t>10681571</t>
        </is>
      </c>
      <c r="B8" s="12">
        <f>IF(A8="","",IFERROR(INDEX(DATA!$E$2:$E$500,MATCH(A8,DATA!$D$2:$D$500,0)),""))</f>
        <v/>
      </c>
      <c r="C8" s="10" t="n">
        <v>26</v>
      </c>
      <c r="D8" s="10" t="n">
        <v>8</v>
      </c>
      <c r="E8" s="10" t="n">
        <v>26</v>
      </c>
      <c r="F8" s="10" t="n">
        <v>1</v>
      </c>
      <c r="G8" s="10" t="n">
        <v>4</v>
      </c>
      <c r="H8" s="10" t="inlineStr">
        <is>
          <t>Tidak</t>
        </is>
      </c>
      <c r="I8" s="10" t="inlineStr">
        <is>
          <t>piring datar: ditumpuk 4</t>
        </is>
      </c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inlineStr">
        <is>
          <t>238181</t>
        </is>
      </c>
      <c r="B9" s="12">
        <f>IF(A9="","",IFERROR(INDEX(DATA!$E$2:$E$500,MATCH(A9,DATA!$D$2:$D$500,0)),""))</f>
        <v/>
      </c>
      <c r="C9" s="10" t="n">
        <v>17</v>
      </c>
      <c r="D9" s="10" t="n">
        <v>6</v>
      </c>
      <c r="E9" s="10" t="n">
        <v>17</v>
      </c>
      <c r="F9" s="10" t="n">
        <v>1</v>
      </c>
      <c r="G9" s="10" t="n">
        <v>6</v>
      </c>
      <c r="H9" s="10" t="inlineStr">
        <is>
          <t>Tidak</t>
        </is>
      </c>
      <c r="I9" s="10" t="inlineStr">
        <is>
          <t>piring: ditumpuk 6</t>
        </is>
      </c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inlineStr">
        <is>
          <t>10421603</t>
        </is>
      </c>
      <c r="B10" s="12">
        <f>IF(A10="","",IFERROR(INDEX(DATA!$E$2:$E$500,MATCH(A10,DATA!$D$2:$D$500,0)),""))</f>
        <v/>
      </c>
      <c r="C10" s="10" t="n">
        <v>18</v>
      </c>
      <c r="D10" s="10" t="n">
        <v>32</v>
      </c>
      <c r="E10" s="10" t="n">
        <v>6</v>
      </c>
      <c r="F10" s="10" t="n">
        <v>1</v>
      </c>
      <c r="G10" s="10" t="n">
        <v>1</v>
      </c>
      <c r="H10" s="10" t="inlineStr">
        <is>
          <t>Tidak</t>
        </is>
      </c>
      <c r="I10" s="10" t="inlineStr">
        <is>
          <t>kemasan gantung: kedalaman = tebal kemasan</t>
        </is>
      </c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inlineStr">
        <is>
          <t>10198150</t>
        </is>
      </c>
      <c r="B11" s="12">
        <f>IF(A11="","",IFERROR(INDEX(DATA!$E$2:$E$500,MATCH(A11,DATA!$D$2:$D$500,0)),""))</f>
        <v/>
      </c>
      <c r="C11" s="10" t="n">
        <v>9</v>
      </c>
      <c r="D11" s="10" t="n">
        <v>28</v>
      </c>
      <c r="E11" s="10" t="n">
        <v>2.5</v>
      </c>
      <c r="F11" s="10" t="n">
        <v>1</v>
      </c>
      <c r="G11" s="10" t="n">
        <v>1</v>
      </c>
      <c r="H11" s="10" t="inlineStr">
        <is>
          <t>Tidak</t>
        </is>
      </c>
      <c r="I11" s="10" t="inlineStr">
        <is>
          <t>blister alat dapur</t>
        </is>
      </c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24" customWidth="1" min="5" max="5"/>
    <col width="32" customWidth="1" min="6" max="6"/>
    <col width="32" customWidth="1" min="7" max="7"/>
    <col width="18" customWidth="1" min="8" max="8"/>
    <col width="40" customWidth="1" min="9" max="9"/>
  </cols>
  <sheetData>
    <row r="1" ht="40" customHeight="1">
      <c r="A1" s="7" t="inlineStr">
        <is>
          <t>SAMBUNGAN *</t>
        </is>
      </c>
      <c r="B1" s="7" t="inlineStr">
        <is>
          <t>KATEGORI *</t>
        </is>
      </c>
      <c r="C1" s="7" t="inlineStr">
        <is>
          <t>URUTAN *</t>
        </is>
      </c>
      <c r="D1" s="8" t="inlineStr">
        <is>
          <t>ID FIXTURE *</t>
        </is>
      </c>
      <c r="E1" s="7" t="inlineStr">
        <is>
          <t>SERIES (opsional)</t>
        </is>
      </c>
      <c r="F1" s="7" t="inlineStr">
        <is>
          <t>CATATAN (opsional)</t>
        </is>
      </c>
      <c r="G1" s="9" t="inlineStr">
        <is>
          <t>JENIS FIXTURE (otomatis)</t>
        </is>
      </c>
      <c r="H1" s="9" t="inlineStr">
        <is>
          <t>KATEGORI FIXTURE (otomatis)</t>
        </is>
      </c>
      <c r="I1" s="9" t="inlineStr">
        <is>
          <t>STATUS (otomatis)</t>
        </is>
      </c>
    </row>
    <row r="2">
      <c r="A2" s="10" t="inlineStr">
        <is>
          <t>WALL-RUN-1</t>
        </is>
      </c>
      <c r="B2" s="10" t="inlineStr">
        <is>
          <t>Wall</t>
        </is>
      </c>
      <c r="C2" s="10" t="n">
        <v>1</v>
      </c>
      <c r="D2" s="11" t="inlineStr">
        <is>
          <t>WLL-03</t>
        </is>
      </c>
      <c r="E2" s="10" t="inlineStr"/>
      <c r="F2" s="10" t="inlineStr">
        <is>
          <t>kosong = tampilkan semua isi fixture</t>
        </is>
      </c>
      <c r="G2" s="12">
        <f>IF(D2="","",IFERROR(INDEX(DAFTAR_FIXTURE!$B$2:$B$51,MATCH(D2,DAFTAR_FIXTURE!$A$2:$A$51,0)),""))</f>
        <v/>
      </c>
      <c r="H2" s="12">
        <f>IF(G2="","",IF(LEFT(G2,4)="Wall","Wall",IF(LEFT(G2,7)="Gondola","Gondola",IF(LEFT(G2,6)="Pallet","Pallet",IF(LEFT(G2,6)="Endcap","Endcap","")))))</f>
        <v/>
      </c>
      <c r="I2" s="12">
        <f>IF(A2="","",IF(D2="","CEK ID FIXTURE kosong",IF(G2="","CEK ID FIXTURE tidak ada di DAFTAR_FIXTURE",IF(H2="Endcap","CEK Endcap tidak ikut sambung",IF(H2&lt;&gt;B2,"CEK kategori fixture tidak sama dengan KATEGORI",IF(C2="","CEK URUTAN kosong",IF(AND(E2&lt;&gt;"",COUNTIFS(DATA!$I$2:$I$500,E2)=0),"CEK Series tidak ada di DATA","OK")))))))</f>
        <v/>
      </c>
    </row>
    <row r="3">
      <c r="A3" s="10" t="inlineStr">
        <is>
          <t>WALL-RUN-1</t>
        </is>
      </c>
      <c r="B3" s="10" t="inlineStr">
        <is>
          <t>Wall</t>
        </is>
      </c>
      <c r="C3" s="10" t="n">
        <v>2</v>
      </c>
      <c r="D3" s="11" t="inlineStr">
        <is>
          <t>WLL-02</t>
        </is>
      </c>
      <c r="E3" s="10" t="inlineStr"/>
      <c r="F3" s="10" t="inlineStr"/>
      <c r="G3" s="12">
        <f>IF(D3="","",IFERROR(INDEX(DAFTAR_FIXTURE!$B$2:$B$51,MATCH(D3,DAFTAR_FIXTURE!$A$2:$A$51,0)),""))</f>
        <v/>
      </c>
      <c r="H3" s="12">
        <f>IF(G3="","",IF(LEFT(G3,4)="Wall","Wall",IF(LEFT(G3,7)="Gondola","Gondola",IF(LEFT(G3,6)="Pallet","Pallet",IF(LEFT(G3,6)="Endcap","Endcap","")))))</f>
        <v/>
      </c>
      <c r="I3" s="12">
        <f>IF(A3="","",IF(D3="","CEK ID FIXTURE kosong",IF(G3="","CEK ID FIXTURE tidak ada di DAFTAR_FIXTURE",IF(H3="Endcap","CEK Endcap tidak ikut sambung",IF(H3&lt;&gt;B3,"CEK kategori fixture tidak sama dengan KATEGORI",IF(C3="","CEK URUTAN kosong",IF(AND(E3&lt;&gt;"",COUNTIFS(DATA!$I$2:$I$500,E3)=0),"CEK Series tidak ada di DATA","OK")))))))</f>
        <v/>
      </c>
    </row>
    <row r="4">
      <c r="A4" s="10" t="inlineStr">
        <is>
          <t>WALL-RUN-1</t>
        </is>
      </c>
      <c r="B4" s="10" t="inlineStr">
        <is>
          <t>Wall</t>
        </is>
      </c>
      <c r="C4" s="10" t="n">
        <v>3</v>
      </c>
      <c r="D4" s="11" t="inlineStr">
        <is>
          <t>WLL-01</t>
        </is>
      </c>
      <c r="E4" s="10" t="inlineStr"/>
      <c r="F4" s="10" t="inlineStr"/>
      <c r="G4" s="12">
        <f>IF(D4="","",IFERROR(INDEX(DAFTAR_FIXTURE!$B$2:$B$51,MATCH(D4,DAFTAR_FIXTURE!$A$2:$A$51,0)),""))</f>
        <v/>
      </c>
      <c r="H4" s="12">
        <f>IF(G4="","",IF(LEFT(G4,4)="Wall","Wall",IF(LEFT(G4,7)="Gondola","Gondola",IF(LEFT(G4,6)="Pallet","Pallet",IF(LEFT(G4,6)="Endcap","Endcap","")))))</f>
        <v/>
      </c>
      <c r="I4" s="12">
        <f>IF(A4="","",IF(D4="","CEK ID FIXTURE kosong",IF(G4="","CEK ID FIXTURE tidak ada di DAFTAR_FIXTURE",IF(H4="Endcap","CEK Endcap tidak ikut sambung",IF(H4&lt;&gt;B4,"CEK kategori fixture tidak sama dengan KATEGORI",IF(C4="","CEK URUTAN kosong",IF(AND(E4&lt;&gt;"",COUNTIFS(DATA!$I$2:$I$500,E4)=0),"CEK Series tidak ada di DATA","OK")))))))</f>
        <v/>
      </c>
    </row>
    <row r="5">
      <c r="A5" s="10" t="inlineStr">
        <is>
          <t>GONDOLA-RUN-1</t>
        </is>
      </c>
      <c r="B5" s="10" t="inlineStr">
        <is>
          <t>Gondola</t>
        </is>
      </c>
      <c r="C5" s="10" t="n">
        <v>1</v>
      </c>
      <c r="D5" s="11" t="inlineStr">
        <is>
          <t>GND-04</t>
        </is>
      </c>
      <c r="E5" s="10" t="inlineStr"/>
      <c r="F5" s="10" t="inlineStr"/>
      <c r="G5" s="12">
        <f>IF(D5="","",IFERROR(INDEX(DAFTAR_FIXTURE!$B$2:$B$51,MATCH(D5,DAFTAR_FIXTURE!$A$2:$A$51,0)),""))</f>
        <v/>
      </c>
      <c r="H5" s="12">
        <f>IF(G5="","",IF(LEFT(G5,4)="Wall","Wall",IF(LEFT(G5,7)="Gondola","Gondola",IF(LEFT(G5,6)="Pallet","Pallet",IF(LEFT(G5,6)="Endcap","Endcap","")))))</f>
        <v/>
      </c>
      <c r="I5" s="12">
        <f>IF(A5="","",IF(D5="","CEK ID FIXTURE kosong",IF(G5="","CEK ID FIXTURE tidak ada di DAFTAR_FIXTURE",IF(H5="Endcap","CEK Endcap tidak ikut sambung",IF(H5&lt;&gt;B5,"CEK kategori fixture tidak sama dengan KATEGORI",IF(C5="","CEK URUTAN kosong",IF(AND(E5&lt;&gt;"",COUNTIFS(DATA!$I$2:$I$500,E5)=0),"CEK Series tidak ada di DATA","OK")))))))</f>
        <v/>
      </c>
    </row>
    <row r="6">
      <c r="A6" s="10" t="inlineStr">
        <is>
          <t>GONDOLA-RUN-1</t>
        </is>
      </c>
      <c r="B6" s="10" t="inlineStr">
        <is>
          <t>Gondola</t>
        </is>
      </c>
      <c r="C6" s="10" t="n">
        <v>2</v>
      </c>
      <c r="D6" s="11" t="inlineStr">
        <is>
          <t>GND-05</t>
        </is>
      </c>
      <c r="E6" s="10" t="inlineStr"/>
      <c r="F6" s="10" t="inlineStr"/>
      <c r="G6" s="12">
        <f>IF(D6="","",IFERROR(INDEX(DAFTAR_FIXTURE!$B$2:$B$51,MATCH(D6,DAFTAR_FIXTURE!$A$2:$A$51,0)),""))</f>
        <v/>
      </c>
      <c r="H6" s="12">
        <f>IF(G6="","",IF(LEFT(G6,4)="Wall","Wall",IF(LEFT(G6,7)="Gondola","Gondola",IF(LEFT(G6,6)="Pallet","Pallet",IF(LEFT(G6,6)="Endcap","Endcap","")))))</f>
        <v/>
      </c>
      <c r="I6" s="12">
        <f>IF(A6="","",IF(D6="","CEK ID FIXTURE kosong",IF(G6="","CEK ID FIXTURE tidak ada di DAFTAR_FIXTURE",IF(H6="Endcap","CEK Endcap tidak ikut sambung",IF(H6&lt;&gt;B6,"CEK kategori fixture tidak sama dengan KATEGORI",IF(C6="","CEK URUTAN kosong",IF(AND(E6&lt;&gt;"",COUNTIFS(DATA!$I$2:$I$500,E6)=0),"CEK Series tidak ada di DATA","OK")))))))</f>
        <v/>
      </c>
    </row>
    <row r="7">
      <c r="A7" s="10" t="inlineStr">
        <is>
          <t>GONDOLA-RUN-1</t>
        </is>
      </c>
      <c r="B7" s="10" t="inlineStr">
        <is>
          <t>Gondola</t>
        </is>
      </c>
      <c r="C7" s="10" t="n">
        <v>3</v>
      </c>
      <c r="D7" s="11" t="inlineStr">
        <is>
          <t>GND-06</t>
        </is>
      </c>
      <c r="E7" s="10" t="inlineStr"/>
      <c r="F7" s="10" t="inlineStr"/>
      <c r="G7" s="12">
        <f>IF(D7="","",IFERROR(INDEX(DAFTAR_FIXTURE!$B$2:$B$51,MATCH(D7,DAFTAR_FIXTURE!$A$2:$A$51,0)),""))</f>
        <v/>
      </c>
      <c r="H7" s="12">
        <f>IF(G7="","",IF(LEFT(G7,4)="Wall","Wall",IF(LEFT(G7,7)="Gondola","Gondola",IF(LEFT(G7,6)="Pallet","Pallet",IF(LEFT(G7,6)="Endcap","Endcap","")))))</f>
        <v/>
      </c>
      <c r="I7" s="12">
        <f>IF(A7="","",IF(D7="","CEK ID FIXTURE kosong",IF(G7="","CEK ID FIXTURE tidak ada di DAFTAR_FIXTURE",IF(H7="Endcap","CEK Endcap tidak ikut sambung",IF(H7&lt;&gt;B7,"CEK kategori fixture tidak sama dengan KATEGORI",IF(C7="","CEK URUTAN kosong",IF(AND(E7&lt;&gt;"",COUNTIFS(DATA!$I$2:$I$500,E7)=0),"CEK Series tidak ada di DATA","OK")))))))</f>
        <v/>
      </c>
    </row>
    <row r="8">
      <c r="A8" s="10" t="inlineStr">
        <is>
          <t>GONDOLA-RUN-2</t>
        </is>
      </c>
      <c r="B8" s="10" t="inlineStr">
        <is>
          <t>Gondola</t>
        </is>
      </c>
      <c r="C8" s="10" t="n">
        <v>1</v>
      </c>
      <c r="D8" s="11" t="inlineStr">
        <is>
          <t>GND-05</t>
        </is>
      </c>
      <c r="E8" s="10" t="inlineStr">
        <is>
          <t>TANTA NYLON</t>
        </is>
      </c>
      <c r="F8" s="10" t="inlineStr">
        <is>
          <t>isi SERIES = hanya series itu yang tampil</t>
        </is>
      </c>
      <c r="G8" s="12">
        <f>IF(D8="","",IFERROR(INDEX(DAFTAR_FIXTURE!$B$2:$B$51,MATCH(D8,DAFTAR_FIXTURE!$A$2:$A$51,0)),""))</f>
        <v/>
      </c>
      <c r="H8" s="12">
        <f>IF(G8="","",IF(LEFT(G8,4)="Wall","Wall",IF(LEFT(G8,7)="Gondola","Gondola",IF(LEFT(G8,6)="Pallet","Pallet",IF(LEFT(G8,6)="Endcap","Endcap","")))))</f>
        <v/>
      </c>
      <c r="I8" s="12">
        <f>IF(A8="","",IF(D8="","CEK ID FIXTURE kosong",IF(G8="","CEK ID FIXTURE tidak ada di DAFTAR_FIXTURE",IF(H8="Endcap","CEK Endcap tidak ikut sambung",IF(H8&lt;&gt;B8,"CEK kategori fixture tidak sama dengan KATEGORI",IF(C8="","CEK URUTAN kosong",IF(AND(E8&lt;&gt;"",COUNTIFS(DATA!$I$2:$I$500,E8)=0),"CEK Series tidak ada di DATA","OK")))))))</f>
        <v/>
      </c>
    </row>
    <row r="9">
      <c r="A9" s="10" t="inlineStr">
        <is>
          <t>GONDOLA-RUN-2</t>
        </is>
      </c>
      <c r="B9" s="10" t="inlineStr">
        <is>
          <t>Gondola</t>
        </is>
      </c>
      <c r="C9" s="10" t="n">
        <v>2</v>
      </c>
      <c r="D9" s="11" t="inlineStr">
        <is>
          <t>GND-06</t>
        </is>
      </c>
      <c r="E9" s="10" t="inlineStr">
        <is>
          <t>TANTA S/S</t>
        </is>
      </c>
      <c r="F9" s="10" t="inlineStr"/>
      <c r="G9" s="12">
        <f>IF(D9="","",IFERROR(INDEX(DAFTAR_FIXTURE!$B$2:$B$51,MATCH(D9,DAFTAR_FIXTURE!$A$2:$A$51,0)),""))</f>
        <v/>
      </c>
      <c r="H9" s="12">
        <f>IF(G9="","",IF(LEFT(G9,4)="Wall","Wall",IF(LEFT(G9,7)="Gondola","Gondola",IF(LEFT(G9,6)="Pallet","Pallet",IF(LEFT(G9,6)="Endcap","Endcap","")))))</f>
        <v/>
      </c>
      <c r="I9" s="12">
        <f>IF(A9="","",IF(D9="","CEK ID FIXTURE kosong",IF(G9="","CEK ID FIXTURE tidak ada di DAFTAR_FIXTURE",IF(H9="Endcap","CEK Endcap tidak ikut sambung",IF(H9&lt;&gt;B9,"CEK kategori fixture tidak sama dengan KATEGORI",IF(C9="","CEK URUTAN kosong",IF(AND(E9&lt;&gt;"",COUNTIFS(DATA!$I$2:$I$500,E9)=0),"CEK Series tidak ada di DATA","OK")))))))</f>
        <v/>
      </c>
    </row>
    <row r="10">
      <c r="A10" s="10" t="inlineStr">
        <is>
          <t>GONDOLA-RUN-2</t>
        </is>
      </c>
      <c r="B10" s="10" t="inlineStr">
        <is>
          <t>Gondola</t>
        </is>
      </c>
      <c r="C10" s="10" t="n">
        <v>3</v>
      </c>
      <c r="D10" s="11" t="inlineStr">
        <is>
          <t>GND-01</t>
        </is>
      </c>
      <c r="E10" s="10" t="inlineStr">
        <is>
          <t>GOLD MARBLE</t>
        </is>
      </c>
      <c r="F10" s="10" t="inlineStr"/>
      <c r="G10" s="12">
        <f>IF(D10="","",IFERROR(INDEX(DAFTAR_FIXTURE!$B$2:$B$51,MATCH(D10,DAFTAR_FIXTURE!$A$2:$A$51,0)),""))</f>
        <v/>
      </c>
      <c r="H10" s="12">
        <f>IF(G10="","",IF(LEFT(G10,4)="Wall","Wall",IF(LEFT(G10,7)="Gondola","Gondola",IF(LEFT(G10,6)="Pallet","Pallet",IF(LEFT(G10,6)="Endcap","Endcap","")))))</f>
        <v/>
      </c>
      <c r="I10" s="12">
        <f>IF(A10="","",IF(D10="","CEK ID FIXTURE kosong",IF(G10="","CEK ID FIXTURE tidak ada di DAFTAR_FIXTURE",IF(H10="Endcap","CEK Endcap tidak ikut sambung",IF(H10&lt;&gt;B10,"CEK kategori fixture tidak sama dengan KATEGORI",IF(C10="","CEK URUTAN kosong",IF(AND(E10&lt;&gt;"",COUNTIFS(DATA!$I$2:$I$500,E10)=0),"CEK Series tidak ada di DATA","OK")))))))</f>
        <v/>
      </c>
    </row>
    <row r="11">
      <c r="A11" s="10" t="inlineStr">
        <is>
          <t>PALLET-RUN-1</t>
        </is>
      </c>
      <c r="B11" s="10" t="inlineStr">
        <is>
          <t>Pallet</t>
        </is>
      </c>
      <c r="C11" s="10" t="n">
        <v>1</v>
      </c>
      <c r="D11" s="11" t="inlineStr">
        <is>
          <t>PLT-01</t>
        </is>
      </c>
      <c r="E11" s="10" t="inlineStr"/>
      <c r="F11" s="10" t="inlineStr"/>
      <c r="G11" s="12">
        <f>IF(D11="","",IFERROR(INDEX(DAFTAR_FIXTURE!$B$2:$B$51,MATCH(D11,DAFTAR_FIXTURE!$A$2:$A$51,0)),""))</f>
        <v/>
      </c>
      <c r="H11" s="12">
        <f>IF(G11="","",IF(LEFT(G11,4)="Wall","Wall",IF(LEFT(G11,7)="Gondola","Gondola",IF(LEFT(G11,6)="Pallet","Pallet",IF(LEFT(G11,6)="Endcap","Endcap","")))))</f>
        <v/>
      </c>
      <c r="I11" s="12">
        <f>IF(A11="","",IF(D11="","CEK ID FIXTURE kosong",IF(G11="","CEK ID FIXTURE tidak ada di DAFTAR_FIXTURE",IF(H11="Endcap","CEK Endcap tidak ikut sambung",IF(H11&lt;&gt;B11,"CEK kategori fixture tidak sama dengan KATEGORI",IF(C11="","CEK URUTAN kosong",IF(AND(E11&lt;&gt;"",COUNTIFS(DATA!$I$2:$I$500,E11)=0),"CEK Series tidak ada di DATA","OK")))))))</f>
        <v/>
      </c>
    </row>
    <row r="12">
      <c r="A12" s="10" t="inlineStr">
        <is>
          <t>PALLET-RUN-1</t>
        </is>
      </c>
      <c r="B12" s="10" t="inlineStr">
        <is>
          <t>Pallet</t>
        </is>
      </c>
      <c r="C12" s="10" t="n">
        <v>2</v>
      </c>
      <c r="D12" s="11" t="inlineStr">
        <is>
          <t>PLT-02</t>
        </is>
      </c>
      <c r="E12" s="10" t="inlineStr"/>
      <c r="F12" s="10" t="inlineStr"/>
      <c r="G12" s="12">
        <f>IF(D12="","",IFERROR(INDEX(DAFTAR_FIXTURE!$B$2:$B$51,MATCH(D12,DAFTAR_FIXTURE!$A$2:$A$51,0)),""))</f>
        <v/>
      </c>
      <c r="H12" s="12">
        <f>IF(G12="","",IF(LEFT(G12,4)="Wall","Wall",IF(LEFT(G12,7)="Gondola","Gondola",IF(LEFT(G12,6)="Pallet","Pallet",IF(LEFT(G12,6)="Endcap","Endcap","")))))</f>
        <v/>
      </c>
      <c r="I12" s="12">
        <f>IF(A12="","",IF(D12="","CEK ID FIXTURE kosong",IF(G12="","CEK ID FIXTURE tidak ada di DAFTAR_FIXTURE",IF(H12="Endcap","CEK Endcap tidak ikut sambung",IF(H12&lt;&gt;B12,"CEK kategori fixture tidak sama dengan KATEGORI",IF(C12="","CEK URUTAN kosong",IF(AND(E12&lt;&gt;"",COUNTIFS(DATA!$I$2:$I$500,E12)=0),"CEK Series tidak ada di DATA","OK")))))))</f>
        <v/>
      </c>
    </row>
    <row r="13">
      <c r="A13" s="10" t="n"/>
      <c r="B13" s="10" t="n"/>
      <c r="C13" s="10" t="n"/>
      <c r="D13" s="11" t="n"/>
      <c r="E13" s="10" t="n"/>
      <c r="F13" s="10" t="n"/>
      <c r="G13" s="12">
        <f>IF(D13="","",IFERROR(INDEX(DAFTAR_FIXTURE!$B$2:$B$51,MATCH(D13,DAFTAR_FIXTURE!$A$2:$A$51,0)),""))</f>
        <v/>
      </c>
      <c r="H13" s="12">
        <f>IF(G13="","",IF(LEFT(G13,4)="Wall","Wall",IF(LEFT(G13,7)="Gondola","Gondola",IF(LEFT(G13,6)="Pallet","Pallet",IF(LEFT(G13,6)="Endcap","Endcap","")))))</f>
        <v/>
      </c>
      <c r="I13" s="12">
        <f>IF(A13="","",IF(D13="","CEK ID FIXTURE kosong",IF(G13="","CEK ID FIXTURE tidak ada di DAFTAR_FIXTURE",IF(H13="Endcap","CEK Endcap tidak ikut sambung",IF(H13&lt;&gt;B13,"CEK kategori fixture tidak sama dengan KATEGORI",IF(C13="","CEK URUTAN kosong",IF(AND(E13&lt;&gt;"",COUNTIFS(DATA!$I$2:$I$500,E13)=0),"CEK Series tidak ada di DATA","OK")))))))</f>
        <v/>
      </c>
    </row>
    <row r="14">
      <c r="A14" s="10" t="n"/>
      <c r="B14" s="10" t="n"/>
      <c r="C14" s="10" t="n"/>
      <c r="D14" s="11" t="n"/>
      <c r="E14" s="10" t="n"/>
      <c r="F14" s="10" t="n"/>
      <c r="G14" s="12">
        <f>IF(D14="","",IFERROR(INDEX(DAFTAR_FIXTURE!$B$2:$B$51,MATCH(D14,DAFTAR_FIXTURE!$A$2:$A$51,0)),""))</f>
        <v/>
      </c>
      <c r="H14" s="12">
        <f>IF(G14="","",IF(LEFT(G14,4)="Wall","Wall",IF(LEFT(G14,7)="Gondola","Gondola",IF(LEFT(G14,6)="Pallet","Pallet",IF(LEFT(G14,6)="Endcap","Endcap","")))))</f>
        <v/>
      </c>
      <c r="I14" s="12">
        <f>IF(A14="","",IF(D14="","CEK ID FIXTURE kosong",IF(G14="","CEK ID FIXTURE tidak ada di DAFTAR_FIXTURE",IF(H14="Endcap","CEK Endcap tidak ikut sambung",IF(H14&lt;&gt;B14,"CEK kategori fixture tidak sama dengan KATEGORI",IF(C14="","CEK URUTAN kosong",IF(AND(E14&lt;&gt;"",COUNTIFS(DATA!$I$2:$I$500,E14)=0),"CEK Series tidak ada di DATA","OK")))))))</f>
        <v/>
      </c>
    </row>
    <row r="15">
      <c r="A15" s="10" t="n"/>
      <c r="B15" s="10" t="n"/>
      <c r="C15" s="10" t="n"/>
      <c r="D15" s="11" t="n"/>
      <c r="E15" s="10" t="n"/>
      <c r="F15" s="10" t="n"/>
      <c r="G15" s="12">
        <f>IF(D15="","",IFERROR(INDEX(DAFTAR_FIXTURE!$B$2:$B$51,MATCH(D15,DAFTAR_FIXTURE!$A$2:$A$51,0)),""))</f>
        <v/>
      </c>
      <c r="H15" s="12">
        <f>IF(G15="","",IF(LEFT(G15,4)="Wall","Wall",IF(LEFT(G15,7)="Gondola","Gondola",IF(LEFT(G15,6)="Pallet","Pallet",IF(LEFT(G15,6)="Endcap","Endcap","")))))</f>
        <v/>
      </c>
      <c r="I15" s="12">
        <f>IF(A15="","",IF(D15="","CEK ID FIXTURE kosong",IF(G15="","CEK ID FIXTURE tidak ada di DAFTAR_FIXTURE",IF(H15="Endcap","CEK Endcap tidak ikut sambung",IF(H15&lt;&gt;B15,"CEK kategori fixture tidak sama dengan KATEGORI",IF(C15="","CEK URUTAN kosong",IF(AND(E15&lt;&gt;"",COUNTIFS(DATA!$I$2:$I$500,E15)=0),"CEK Series tidak ada di DATA","OK")))))))</f>
        <v/>
      </c>
    </row>
    <row r="16">
      <c r="A16" s="10" t="n"/>
      <c r="B16" s="10" t="n"/>
      <c r="C16" s="10" t="n"/>
      <c r="D16" s="11" t="n"/>
      <c r="E16" s="10" t="n"/>
      <c r="F16" s="10" t="n"/>
      <c r="G16" s="12">
        <f>IF(D16="","",IFERROR(INDEX(DAFTAR_FIXTURE!$B$2:$B$51,MATCH(D16,DAFTAR_FIXTURE!$A$2:$A$51,0)),""))</f>
        <v/>
      </c>
      <c r="H16" s="12">
        <f>IF(G16="","",IF(LEFT(G16,4)="Wall","Wall",IF(LEFT(G16,7)="Gondola","Gondola",IF(LEFT(G16,6)="Pallet","Pallet",IF(LEFT(G16,6)="Endcap","Endcap","")))))</f>
        <v/>
      </c>
      <c r="I16" s="12">
        <f>IF(A16="","",IF(D16="","CEK ID FIXTURE kosong",IF(G16="","CEK ID FIXTURE tidak ada di DAFTAR_FIXTURE",IF(H16="Endcap","CEK Endcap tidak ikut sambung",IF(H16&lt;&gt;B16,"CEK kategori fixture tidak sama dengan KATEGORI",IF(C16="","CEK URUTAN kosong",IF(AND(E16&lt;&gt;"",COUNTIFS(DATA!$I$2:$I$500,E16)=0),"CEK Series tidak ada di DATA","OK")))))))</f>
        <v/>
      </c>
    </row>
    <row r="17">
      <c r="A17" s="10" t="n"/>
      <c r="B17" s="10" t="n"/>
      <c r="C17" s="10" t="n"/>
      <c r="D17" s="11" t="n"/>
      <c r="E17" s="10" t="n"/>
      <c r="F17" s="10" t="n"/>
      <c r="G17" s="12">
        <f>IF(D17="","",IFERROR(INDEX(DAFTAR_FIXTURE!$B$2:$B$51,MATCH(D17,DAFTAR_FIXTURE!$A$2:$A$51,0)),""))</f>
        <v/>
      </c>
      <c r="H17" s="12">
        <f>IF(G17="","",IF(LEFT(G17,4)="Wall","Wall",IF(LEFT(G17,7)="Gondola","Gondola",IF(LEFT(G17,6)="Pallet","Pallet",IF(LEFT(G17,6)="Endcap","Endcap","")))))</f>
        <v/>
      </c>
      <c r="I17" s="12">
        <f>IF(A17="","",IF(D17="","CEK ID FIXTURE kosong",IF(G17="","CEK ID FIXTURE tidak ada di DAFTAR_FIXTURE",IF(H17="Endcap","CEK Endcap tidak ikut sambung",IF(H17&lt;&gt;B17,"CEK kategori fixture tidak sama dengan KATEGORI",IF(C17="","CEK URUTAN kosong",IF(AND(E17&lt;&gt;"",COUNTIFS(DATA!$I$2:$I$500,E17)=0),"CEK Series tidak ada di DATA","OK")))))))</f>
        <v/>
      </c>
    </row>
    <row r="18">
      <c r="A18" s="10" t="n"/>
      <c r="B18" s="10" t="n"/>
      <c r="C18" s="10" t="n"/>
      <c r="D18" s="11" t="n"/>
      <c r="E18" s="10" t="n"/>
      <c r="F18" s="10" t="n"/>
      <c r="G18" s="12">
        <f>IF(D18="","",IFERROR(INDEX(DAFTAR_FIXTURE!$B$2:$B$51,MATCH(D18,DAFTAR_FIXTURE!$A$2:$A$51,0)),""))</f>
        <v/>
      </c>
      <c r="H18" s="12">
        <f>IF(G18="","",IF(LEFT(G18,4)="Wall","Wall",IF(LEFT(G18,7)="Gondola","Gondola",IF(LEFT(G18,6)="Pallet","Pallet",IF(LEFT(G18,6)="Endcap","Endcap","")))))</f>
        <v/>
      </c>
      <c r="I18" s="12">
        <f>IF(A18="","",IF(D18="","CEK ID FIXTURE kosong",IF(G18="","CEK ID FIXTURE tidak ada di DAFTAR_FIXTURE",IF(H18="Endcap","CEK Endcap tidak ikut sambung",IF(H18&lt;&gt;B18,"CEK kategori fixture tidak sama dengan KATEGORI",IF(C18="","CEK URUTAN kosong",IF(AND(E18&lt;&gt;"",COUNTIFS(DATA!$I$2:$I$500,E18)=0),"CEK Series tidak ada di DATA","OK")))))))</f>
        <v/>
      </c>
    </row>
    <row r="19">
      <c r="A19" s="10" t="n"/>
      <c r="B19" s="10" t="n"/>
      <c r="C19" s="10" t="n"/>
      <c r="D19" s="11" t="n"/>
      <c r="E19" s="10" t="n"/>
      <c r="F19" s="10" t="n"/>
      <c r="G19" s="12">
        <f>IF(D19="","",IFERROR(INDEX(DAFTAR_FIXTURE!$B$2:$B$51,MATCH(D19,DAFTAR_FIXTURE!$A$2:$A$51,0)),""))</f>
        <v/>
      </c>
      <c r="H19" s="12">
        <f>IF(G19="","",IF(LEFT(G19,4)="Wall","Wall",IF(LEFT(G19,7)="Gondola","Gondola",IF(LEFT(G19,6)="Pallet","Pallet",IF(LEFT(G19,6)="Endcap","Endcap","")))))</f>
        <v/>
      </c>
      <c r="I19" s="12">
        <f>IF(A19="","",IF(D19="","CEK ID FIXTURE kosong",IF(G19="","CEK ID FIXTURE tidak ada di DAFTAR_FIXTURE",IF(H19="Endcap","CEK Endcap tidak ikut sambung",IF(H19&lt;&gt;B19,"CEK kategori fixture tidak sama dengan KATEGORI",IF(C19="","CEK URUTAN kosong",IF(AND(E19&lt;&gt;"",COUNTIFS(DATA!$I$2:$I$500,E19)=0),"CEK Series tidak ada di DATA","OK")))))))</f>
        <v/>
      </c>
    </row>
    <row r="20">
      <c r="A20" s="10" t="n"/>
      <c r="B20" s="10" t="n"/>
      <c r="C20" s="10" t="n"/>
      <c r="D20" s="11" t="n"/>
      <c r="E20" s="10" t="n"/>
      <c r="F20" s="10" t="n"/>
      <c r="G20" s="12">
        <f>IF(D20="","",IFERROR(INDEX(DAFTAR_FIXTURE!$B$2:$B$51,MATCH(D20,DAFTAR_FIXTURE!$A$2:$A$51,0)),""))</f>
        <v/>
      </c>
      <c r="H20" s="12">
        <f>IF(G20="","",IF(LEFT(G20,4)="Wall","Wall",IF(LEFT(G20,7)="Gondola","Gondola",IF(LEFT(G20,6)="Pallet","Pallet",IF(LEFT(G20,6)="Endcap","Endcap","")))))</f>
        <v/>
      </c>
      <c r="I20" s="12">
        <f>IF(A20="","",IF(D20="","CEK ID FIXTURE kosong",IF(G20="","CEK ID FIXTURE tidak ada di DAFTAR_FIXTURE",IF(H20="Endcap","CEK Endcap tidak ikut sambung",IF(H20&lt;&gt;B20,"CEK kategori fixture tidak sama dengan KATEGORI",IF(C20="","CEK URUTAN kosong",IF(AND(E20&lt;&gt;"",COUNTIFS(DATA!$I$2:$I$500,E20)=0),"CEK Series tidak ada di DATA","OK")))))))</f>
        <v/>
      </c>
    </row>
    <row r="21">
      <c r="A21" s="10" t="n"/>
      <c r="B21" s="10" t="n"/>
      <c r="C21" s="10" t="n"/>
      <c r="D21" s="11" t="n"/>
      <c r="E21" s="10" t="n"/>
      <c r="F21" s="10" t="n"/>
      <c r="G21" s="12">
        <f>IF(D21="","",IFERROR(INDEX(DAFTAR_FIXTURE!$B$2:$B$51,MATCH(D21,DAFTAR_FIXTURE!$A$2:$A$51,0)),""))</f>
        <v/>
      </c>
      <c r="H21" s="12">
        <f>IF(G21="","",IF(LEFT(G21,4)="Wall","Wall",IF(LEFT(G21,7)="Gondola","Gondola",IF(LEFT(G21,6)="Pallet","Pallet",IF(LEFT(G21,6)="Endcap","Endcap","")))))</f>
        <v/>
      </c>
      <c r="I21" s="12">
        <f>IF(A21="","",IF(D21="","CEK ID FIXTURE kosong",IF(G21="","CEK ID FIXTURE tidak ada di DAFTAR_FIXTURE",IF(H21="Endcap","CEK Endcap tidak ikut sambung",IF(H21&lt;&gt;B21,"CEK kategori fixture tidak sama dengan KATEGORI",IF(C21="","CEK URUTAN kosong",IF(AND(E21&lt;&gt;"",COUNTIFS(DATA!$I$2:$I$500,E21)=0),"CEK Series tidak ada di DATA","OK")))))))</f>
        <v/>
      </c>
    </row>
    <row r="22">
      <c r="A22" s="10" t="n"/>
      <c r="B22" s="10" t="n"/>
      <c r="C22" s="10" t="n"/>
      <c r="D22" s="11" t="n"/>
      <c r="E22" s="10" t="n"/>
      <c r="F22" s="10" t="n"/>
      <c r="G22" s="12">
        <f>IF(D22="","",IFERROR(INDEX(DAFTAR_FIXTURE!$B$2:$B$51,MATCH(D22,DAFTAR_FIXTURE!$A$2:$A$51,0)),""))</f>
        <v/>
      </c>
      <c r="H22" s="12">
        <f>IF(G22="","",IF(LEFT(G22,4)="Wall","Wall",IF(LEFT(G22,7)="Gondola","Gondola",IF(LEFT(G22,6)="Pallet","Pallet",IF(LEFT(G22,6)="Endcap","Endcap","")))))</f>
        <v/>
      </c>
      <c r="I22" s="12">
        <f>IF(A22="","",IF(D22="","CEK ID FIXTURE kosong",IF(G22="","CEK ID FIXTURE tidak ada di DAFTAR_FIXTURE",IF(H22="Endcap","CEK Endcap tidak ikut sambung",IF(H22&lt;&gt;B22,"CEK kategori fixture tidak sama dengan KATEGORI",IF(C22="","CEK URUTAN kosong",IF(AND(E22&lt;&gt;"",COUNTIFS(DATA!$I$2:$I$500,E22)=0),"CEK Series tidak ada di DATA","OK")))))))</f>
        <v/>
      </c>
    </row>
    <row r="23">
      <c r="A23" s="10" t="n"/>
      <c r="B23" s="10" t="n"/>
      <c r="C23" s="10" t="n"/>
      <c r="D23" s="11" t="n"/>
      <c r="E23" s="10" t="n"/>
      <c r="F23" s="10" t="n"/>
      <c r="G23" s="12">
        <f>IF(D23="","",IFERROR(INDEX(DAFTAR_FIXTURE!$B$2:$B$51,MATCH(D23,DAFTAR_FIXTURE!$A$2:$A$51,0)),""))</f>
        <v/>
      </c>
      <c r="H23" s="12">
        <f>IF(G23="","",IF(LEFT(G23,4)="Wall","Wall",IF(LEFT(G23,7)="Gondola","Gondola",IF(LEFT(G23,6)="Pallet","Pallet",IF(LEFT(G23,6)="Endcap","Endcap","")))))</f>
        <v/>
      </c>
      <c r="I23" s="12">
        <f>IF(A23="","",IF(D23="","CEK ID FIXTURE kosong",IF(G23="","CEK ID FIXTURE tidak ada di DAFTAR_FIXTURE",IF(H23="Endcap","CEK Endcap tidak ikut sambung",IF(H23&lt;&gt;B23,"CEK kategori fixture tidak sama dengan KATEGORI",IF(C23="","CEK URUTAN kosong",IF(AND(E23&lt;&gt;"",COUNTIFS(DATA!$I$2:$I$500,E23)=0),"CEK Series tidak ada di DATA","OK")))))))</f>
        <v/>
      </c>
    </row>
    <row r="24">
      <c r="A24" s="10" t="n"/>
      <c r="B24" s="10" t="n"/>
      <c r="C24" s="10" t="n"/>
      <c r="D24" s="11" t="n"/>
      <c r="E24" s="10" t="n"/>
      <c r="F24" s="10" t="n"/>
      <c r="G24" s="12">
        <f>IF(D24="","",IFERROR(INDEX(DAFTAR_FIXTURE!$B$2:$B$51,MATCH(D24,DAFTAR_FIXTURE!$A$2:$A$51,0)),""))</f>
        <v/>
      </c>
      <c r="H24" s="12">
        <f>IF(G24="","",IF(LEFT(G24,4)="Wall","Wall",IF(LEFT(G24,7)="Gondola","Gondola",IF(LEFT(G24,6)="Pallet","Pallet",IF(LEFT(G24,6)="Endcap","Endcap","")))))</f>
        <v/>
      </c>
      <c r="I24" s="12">
        <f>IF(A24="","",IF(D24="","CEK ID FIXTURE kosong",IF(G24="","CEK ID FIXTURE tidak ada di DAFTAR_FIXTURE",IF(H24="Endcap","CEK Endcap tidak ikut sambung",IF(H24&lt;&gt;B24,"CEK kategori fixture tidak sama dengan KATEGORI",IF(C24="","CEK URUTAN kosong",IF(AND(E24&lt;&gt;"",COUNTIFS(DATA!$I$2:$I$500,E24)=0),"CEK Series tidak ada di DATA","OK")))))))</f>
        <v/>
      </c>
    </row>
    <row r="25">
      <c r="A25" s="10" t="n"/>
      <c r="B25" s="10" t="n"/>
      <c r="C25" s="10" t="n"/>
      <c r="D25" s="11" t="n"/>
      <c r="E25" s="10" t="n"/>
      <c r="F25" s="10" t="n"/>
      <c r="G25" s="12">
        <f>IF(D25="","",IFERROR(INDEX(DAFTAR_FIXTURE!$B$2:$B$51,MATCH(D25,DAFTAR_FIXTURE!$A$2:$A$51,0)),""))</f>
        <v/>
      </c>
      <c r="H25" s="12">
        <f>IF(G25="","",IF(LEFT(G25,4)="Wall","Wall",IF(LEFT(G25,7)="Gondola","Gondola",IF(LEFT(G25,6)="Pallet","Pallet",IF(LEFT(G25,6)="Endcap","Endcap","")))))</f>
        <v/>
      </c>
      <c r="I25" s="12">
        <f>IF(A25="","",IF(D25="","CEK ID FIXTURE kosong",IF(G25="","CEK ID FIXTURE tidak ada di DAFTAR_FIXTURE",IF(H25="Endcap","CEK Endcap tidak ikut sambung",IF(H25&lt;&gt;B25,"CEK kategori fixture tidak sama dengan KATEGORI",IF(C25="","CEK URUTAN kosong",IF(AND(E25&lt;&gt;"",COUNTIFS(DATA!$I$2:$I$500,E25)=0),"CEK Series tidak ada di DATA","OK")))))))</f>
        <v/>
      </c>
    </row>
    <row r="26">
      <c r="A26" s="10" t="n"/>
      <c r="B26" s="10" t="n"/>
      <c r="C26" s="10" t="n"/>
      <c r="D26" s="11" t="n"/>
      <c r="E26" s="10" t="n"/>
      <c r="F26" s="10" t="n"/>
      <c r="G26" s="12">
        <f>IF(D26="","",IFERROR(INDEX(DAFTAR_FIXTURE!$B$2:$B$51,MATCH(D26,DAFTAR_FIXTURE!$A$2:$A$51,0)),""))</f>
        <v/>
      </c>
      <c r="H26" s="12">
        <f>IF(G26="","",IF(LEFT(G26,4)="Wall","Wall",IF(LEFT(G26,7)="Gondola","Gondola",IF(LEFT(G26,6)="Pallet","Pallet",IF(LEFT(G26,6)="Endcap","Endcap","")))))</f>
        <v/>
      </c>
      <c r="I26" s="12">
        <f>IF(A26="","",IF(D26="","CEK ID FIXTURE kosong",IF(G26="","CEK ID FIXTURE tidak ada di DAFTAR_FIXTURE",IF(H26="Endcap","CEK Endcap tidak ikut sambung",IF(H26&lt;&gt;B26,"CEK kategori fixture tidak sama dengan KATEGORI",IF(C26="","CEK URUTAN kosong",IF(AND(E26&lt;&gt;"",COUNTIFS(DATA!$I$2:$I$500,E26)=0),"CEK Series tidak ada di DATA","OK")))))))</f>
        <v/>
      </c>
    </row>
    <row r="27">
      <c r="A27" s="10" t="n"/>
      <c r="B27" s="10" t="n"/>
      <c r="C27" s="10" t="n"/>
      <c r="D27" s="11" t="n"/>
      <c r="E27" s="10" t="n"/>
      <c r="F27" s="10" t="n"/>
      <c r="G27" s="12">
        <f>IF(D27="","",IFERROR(INDEX(DAFTAR_FIXTURE!$B$2:$B$51,MATCH(D27,DAFTAR_FIXTURE!$A$2:$A$51,0)),""))</f>
        <v/>
      </c>
      <c r="H27" s="12">
        <f>IF(G27="","",IF(LEFT(G27,4)="Wall","Wall",IF(LEFT(G27,7)="Gondola","Gondola",IF(LEFT(G27,6)="Pallet","Pallet",IF(LEFT(G27,6)="Endcap","Endcap","")))))</f>
        <v/>
      </c>
      <c r="I27" s="12">
        <f>IF(A27="","",IF(D27="","CEK ID FIXTURE kosong",IF(G27="","CEK ID FIXTURE tidak ada di DAFTAR_FIXTURE",IF(H27="Endcap","CEK Endcap tidak ikut sambung",IF(H27&lt;&gt;B27,"CEK kategori fixture tidak sama dengan KATEGORI",IF(C27="","CEK URUTAN kosong",IF(AND(E27&lt;&gt;"",COUNTIFS(DATA!$I$2:$I$500,E27)=0),"CEK Series tidak ada di DATA","OK")))))))</f>
        <v/>
      </c>
    </row>
    <row r="28">
      <c r="A28" s="10" t="n"/>
      <c r="B28" s="10" t="n"/>
      <c r="C28" s="10" t="n"/>
      <c r="D28" s="11" t="n"/>
      <c r="E28" s="10" t="n"/>
      <c r="F28" s="10" t="n"/>
      <c r="G28" s="12">
        <f>IF(D28="","",IFERROR(INDEX(DAFTAR_FIXTURE!$B$2:$B$51,MATCH(D28,DAFTAR_FIXTURE!$A$2:$A$51,0)),""))</f>
        <v/>
      </c>
      <c r="H28" s="12">
        <f>IF(G28="","",IF(LEFT(G28,4)="Wall","Wall",IF(LEFT(G28,7)="Gondola","Gondola",IF(LEFT(G28,6)="Pallet","Pallet",IF(LEFT(G28,6)="Endcap","Endcap","")))))</f>
        <v/>
      </c>
      <c r="I28" s="12">
        <f>IF(A28="","",IF(D28="","CEK ID FIXTURE kosong",IF(G28="","CEK ID FIXTURE tidak ada di DAFTAR_FIXTURE",IF(H28="Endcap","CEK Endcap tidak ikut sambung",IF(H28&lt;&gt;B28,"CEK kategori fixture tidak sama dengan KATEGORI",IF(C28="","CEK URUTAN kosong",IF(AND(E28&lt;&gt;"",COUNTIFS(DATA!$I$2:$I$500,E28)=0),"CEK Series tidak ada di DATA","OK")))))))</f>
        <v/>
      </c>
    </row>
    <row r="29">
      <c r="A29" s="10" t="n"/>
      <c r="B29" s="10" t="n"/>
      <c r="C29" s="10" t="n"/>
      <c r="D29" s="11" t="n"/>
      <c r="E29" s="10" t="n"/>
      <c r="F29" s="10" t="n"/>
      <c r="G29" s="12">
        <f>IF(D29="","",IFERROR(INDEX(DAFTAR_FIXTURE!$B$2:$B$51,MATCH(D29,DAFTAR_FIXTURE!$A$2:$A$51,0)),""))</f>
        <v/>
      </c>
      <c r="H29" s="12">
        <f>IF(G29="","",IF(LEFT(G29,4)="Wall","Wall",IF(LEFT(G29,7)="Gondola","Gondola",IF(LEFT(G29,6)="Pallet","Pallet",IF(LEFT(G29,6)="Endcap","Endcap","")))))</f>
        <v/>
      </c>
      <c r="I29" s="12">
        <f>IF(A29="","",IF(D29="","CEK ID FIXTURE kosong",IF(G29="","CEK ID FIXTURE tidak ada di DAFTAR_FIXTURE",IF(H29="Endcap","CEK Endcap tidak ikut sambung",IF(H29&lt;&gt;B29,"CEK kategori fixture tidak sama dengan KATEGORI",IF(C29="","CEK URUTAN kosong",IF(AND(E29&lt;&gt;"",COUNTIFS(DATA!$I$2:$I$500,E29)=0),"CEK Series tidak ada di DATA","OK")))))))</f>
        <v/>
      </c>
    </row>
    <row r="30">
      <c r="A30" s="10" t="n"/>
      <c r="B30" s="10" t="n"/>
      <c r="C30" s="10" t="n"/>
      <c r="D30" s="11" t="n"/>
      <c r="E30" s="10" t="n"/>
      <c r="F30" s="10" t="n"/>
      <c r="G30" s="12">
        <f>IF(D30="","",IFERROR(INDEX(DAFTAR_FIXTURE!$B$2:$B$51,MATCH(D30,DAFTAR_FIXTURE!$A$2:$A$51,0)),""))</f>
        <v/>
      </c>
      <c r="H30" s="12">
        <f>IF(G30="","",IF(LEFT(G30,4)="Wall","Wall",IF(LEFT(G30,7)="Gondola","Gondola",IF(LEFT(G30,6)="Pallet","Pallet",IF(LEFT(G30,6)="Endcap","Endcap","")))))</f>
        <v/>
      </c>
      <c r="I30" s="12">
        <f>IF(A30="","",IF(D30="","CEK ID FIXTURE kosong",IF(G30="","CEK ID FIXTURE tidak ada di DAFTAR_FIXTURE",IF(H30="Endcap","CEK Endcap tidak ikut sambung",IF(H30&lt;&gt;B30,"CEK kategori fixture tidak sama dengan KATEGORI",IF(C30="","CEK URUTAN kosong",IF(AND(E30&lt;&gt;"",COUNTIFS(DATA!$I$2:$I$500,E30)=0),"CEK Series tidak ada di DATA","OK")))))))</f>
        <v/>
      </c>
    </row>
    <row r="31">
      <c r="A31" s="10" t="n"/>
      <c r="B31" s="10" t="n"/>
      <c r="C31" s="10" t="n"/>
      <c r="D31" s="11" t="n"/>
      <c r="E31" s="10" t="n"/>
      <c r="F31" s="10" t="n"/>
      <c r="G31" s="12">
        <f>IF(D31="","",IFERROR(INDEX(DAFTAR_FIXTURE!$B$2:$B$51,MATCH(D31,DAFTAR_FIXTURE!$A$2:$A$51,0)),""))</f>
        <v/>
      </c>
      <c r="H31" s="12">
        <f>IF(G31="","",IF(LEFT(G31,4)="Wall","Wall",IF(LEFT(G31,7)="Gondola","Gondola",IF(LEFT(G31,6)="Pallet","Pallet",IF(LEFT(G31,6)="Endcap","Endcap","")))))</f>
        <v/>
      </c>
      <c r="I31" s="12">
        <f>IF(A31="","",IF(D31="","CEK ID FIXTURE kosong",IF(G31="","CEK ID FIXTURE tidak ada di DAFTAR_FIXTURE",IF(H31="Endcap","CEK Endcap tidak ikut sambung",IF(H31&lt;&gt;B31,"CEK kategori fixture tidak sama dengan KATEGORI",IF(C31="","CEK URUTAN kosong",IF(AND(E31&lt;&gt;"",COUNTIFS(DATA!$I$2:$I$500,E31)=0),"CEK Series tidak ada di DATA","OK")))))))</f>
        <v/>
      </c>
    </row>
    <row r="32">
      <c r="A32" s="10" t="n"/>
      <c r="B32" s="10" t="n"/>
      <c r="C32" s="10" t="n"/>
      <c r="D32" s="11" t="n"/>
      <c r="E32" s="10" t="n"/>
      <c r="F32" s="10" t="n"/>
      <c r="G32" s="12">
        <f>IF(D32="","",IFERROR(INDEX(DAFTAR_FIXTURE!$B$2:$B$51,MATCH(D32,DAFTAR_FIXTURE!$A$2:$A$51,0)),""))</f>
        <v/>
      </c>
      <c r="H32" s="12">
        <f>IF(G32="","",IF(LEFT(G32,4)="Wall","Wall",IF(LEFT(G32,7)="Gondola","Gondola",IF(LEFT(G32,6)="Pallet","Pallet",IF(LEFT(G32,6)="Endcap","Endcap","")))))</f>
        <v/>
      </c>
      <c r="I32" s="12">
        <f>IF(A32="","",IF(D32="","CEK ID FIXTURE kosong",IF(G32="","CEK ID FIXTURE tidak ada di DAFTAR_FIXTURE",IF(H32="Endcap","CEK Endcap tidak ikut sambung",IF(H32&lt;&gt;B32,"CEK kategori fixture tidak sama dengan KATEGORI",IF(C32="","CEK URUTAN kosong",IF(AND(E32&lt;&gt;"",COUNTIFS(DATA!$I$2:$I$500,E32)=0),"CEK Series tidak ada di DATA","OK")))))))</f>
        <v/>
      </c>
    </row>
    <row r="33">
      <c r="A33" s="10" t="n"/>
      <c r="B33" s="10" t="n"/>
      <c r="C33" s="10" t="n"/>
      <c r="D33" s="11" t="n"/>
      <c r="E33" s="10" t="n"/>
      <c r="F33" s="10" t="n"/>
      <c r="G33" s="12">
        <f>IF(D33="","",IFERROR(INDEX(DAFTAR_FIXTURE!$B$2:$B$51,MATCH(D33,DAFTAR_FIXTURE!$A$2:$A$51,0)),""))</f>
        <v/>
      </c>
      <c r="H33" s="12">
        <f>IF(G33="","",IF(LEFT(G33,4)="Wall","Wall",IF(LEFT(G33,7)="Gondola","Gondola",IF(LEFT(G33,6)="Pallet","Pallet",IF(LEFT(G33,6)="Endcap","Endcap","")))))</f>
        <v/>
      </c>
      <c r="I33" s="12">
        <f>IF(A33="","",IF(D33="","CEK ID FIXTURE kosong",IF(G33="","CEK ID FIXTURE tidak ada di DAFTAR_FIXTURE",IF(H33="Endcap","CEK Endcap tidak ikut sambung",IF(H33&lt;&gt;B33,"CEK kategori fixture tidak sama dengan KATEGORI",IF(C33="","CEK URUTAN kosong",IF(AND(E33&lt;&gt;"",COUNTIFS(DATA!$I$2:$I$500,E33)=0),"CEK Series tidak ada di DATA","OK")))))))</f>
        <v/>
      </c>
    </row>
    <row r="34">
      <c r="A34" s="10" t="n"/>
      <c r="B34" s="10" t="n"/>
      <c r="C34" s="10" t="n"/>
      <c r="D34" s="11" t="n"/>
      <c r="E34" s="10" t="n"/>
      <c r="F34" s="10" t="n"/>
      <c r="G34" s="12">
        <f>IF(D34="","",IFERROR(INDEX(DAFTAR_FIXTURE!$B$2:$B$51,MATCH(D34,DAFTAR_FIXTURE!$A$2:$A$51,0)),""))</f>
        <v/>
      </c>
      <c r="H34" s="12">
        <f>IF(G34="","",IF(LEFT(G34,4)="Wall","Wall",IF(LEFT(G34,7)="Gondola","Gondola",IF(LEFT(G34,6)="Pallet","Pallet",IF(LEFT(G34,6)="Endcap","Endcap","")))))</f>
        <v/>
      </c>
      <c r="I34" s="12">
        <f>IF(A34="","",IF(D34="","CEK ID FIXTURE kosong",IF(G34="","CEK ID FIXTURE tidak ada di DAFTAR_FIXTURE",IF(H34="Endcap","CEK Endcap tidak ikut sambung",IF(H34&lt;&gt;B34,"CEK kategori fixture tidak sama dengan KATEGORI",IF(C34="","CEK URUTAN kosong",IF(AND(E34&lt;&gt;"",COUNTIFS(DATA!$I$2:$I$500,E34)=0),"CEK Series tidak ada di DATA","OK")))))))</f>
        <v/>
      </c>
    </row>
    <row r="35">
      <c r="A35" s="10" t="n"/>
      <c r="B35" s="10" t="n"/>
      <c r="C35" s="10" t="n"/>
      <c r="D35" s="11" t="n"/>
      <c r="E35" s="10" t="n"/>
      <c r="F35" s="10" t="n"/>
      <c r="G35" s="12">
        <f>IF(D35="","",IFERROR(INDEX(DAFTAR_FIXTURE!$B$2:$B$51,MATCH(D35,DAFTAR_FIXTURE!$A$2:$A$51,0)),""))</f>
        <v/>
      </c>
      <c r="H35" s="12">
        <f>IF(G35="","",IF(LEFT(G35,4)="Wall","Wall",IF(LEFT(G35,7)="Gondola","Gondola",IF(LEFT(G35,6)="Pallet","Pallet",IF(LEFT(G35,6)="Endcap","Endcap","")))))</f>
        <v/>
      </c>
      <c r="I35" s="12">
        <f>IF(A35="","",IF(D35="","CEK ID FIXTURE kosong",IF(G35="","CEK ID FIXTURE tidak ada di DAFTAR_FIXTURE",IF(H35="Endcap","CEK Endcap tidak ikut sambung",IF(H35&lt;&gt;B35,"CEK kategori fixture tidak sama dengan KATEGORI",IF(C35="","CEK URUTAN kosong",IF(AND(E35&lt;&gt;"",COUNTIFS(DATA!$I$2:$I$500,E35)=0),"CEK Series tidak ada di DATA","OK")))))))</f>
        <v/>
      </c>
    </row>
    <row r="36">
      <c r="A36" s="10" t="n"/>
      <c r="B36" s="10" t="n"/>
      <c r="C36" s="10" t="n"/>
      <c r="D36" s="11" t="n"/>
      <c r="E36" s="10" t="n"/>
      <c r="F36" s="10" t="n"/>
      <c r="G36" s="12">
        <f>IF(D36="","",IFERROR(INDEX(DAFTAR_FIXTURE!$B$2:$B$51,MATCH(D36,DAFTAR_FIXTURE!$A$2:$A$51,0)),""))</f>
        <v/>
      </c>
      <c r="H36" s="12">
        <f>IF(G36="","",IF(LEFT(G36,4)="Wall","Wall",IF(LEFT(G36,7)="Gondola","Gondola",IF(LEFT(G36,6)="Pallet","Pallet",IF(LEFT(G36,6)="Endcap","Endcap","")))))</f>
        <v/>
      </c>
      <c r="I36" s="12">
        <f>IF(A36="","",IF(D36="","CEK ID FIXTURE kosong",IF(G36="","CEK ID FIXTURE tidak ada di DAFTAR_FIXTURE",IF(H36="Endcap","CEK Endcap tidak ikut sambung",IF(H36&lt;&gt;B36,"CEK kategori fixture tidak sama dengan KATEGORI",IF(C36="","CEK URUTAN kosong",IF(AND(E36&lt;&gt;"",COUNTIFS(DATA!$I$2:$I$500,E36)=0),"CEK Series tidak ada di DATA","OK")))))))</f>
        <v/>
      </c>
    </row>
    <row r="37">
      <c r="A37" s="10" t="n"/>
      <c r="B37" s="10" t="n"/>
      <c r="C37" s="10" t="n"/>
      <c r="D37" s="11" t="n"/>
      <c r="E37" s="10" t="n"/>
      <c r="F37" s="10" t="n"/>
      <c r="G37" s="12">
        <f>IF(D37="","",IFERROR(INDEX(DAFTAR_FIXTURE!$B$2:$B$51,MATCH(D37,DAFTAR_FIXTURE!$A$2:$A$51,0)),""))</f>
        <v/>
      </c>
      <c r="H37" s="12">
        <f>IF(G37="","",IF(LEFT(G37,4)="Wall","Wall",IF(LEFT(G37,7)="Gondola","Gondola",IF(LEFT(G37,6)="Pallet","Pallet",IF(LEFT(G37,6)="Endcap","Endcap","")))))</f>
        <v/>
      </c>
      <c r="I37" s="12">
        <f>IF(A37="","",IF(D37="","CEK ID FIXTURE kosong",IF(G37="","CEK ID FIXTURE tidak ada di DAFTAR_FIXTURE",IF(H37="Endcap","CEK Endcap tidak ikut sambung",IF(H37&lt;&gt;B37,"CEK kategori fixture tidak sama dengan KATEGORI",IF(C37="","CEK URUTAN kosong",IF(AND(E37&lt;&gt;"",COUNTIFS(DATA!$I$2:$I$500,E37)=0),"CEK Series tidak ada di DATA","OK")))))))</f>
        <v/>
      </c>
    </row>
    <row r="38">
      <c r="A38" s="10" t="n"/>
      <c r="B38" s="10" t="n"/>
      <c r="C38" s="10" t="n"/>
      <c r="D38" s="11" t="n"/>
      <c r="E38" s="10" t="n"/>
      <c r="F38" s="10" t="n"/>
      <c r="G38" s="12">
        <f>IF(D38="","",IFERROR(INDEX(DAFTAR_FIXTURE!$B$2:$B$51,MATCH(D38,DAFTAR_FIXTURE!$A$2:$A$51,0)),""))</f>
        <v/>
      </c>
      <c r="H38" s="12">
        <f>IF(G38="","",IF(LEFT(G38,4)="Wall","Wall",IF(LEFT(G38,7)="Gondola","Gondola",IF(LEFT(G38,6)="Pallet","Pallet",IF(LEFT(G38,6)="Endcap","Endcap","")))))</f>
        <v/>
      </c>
      <c r="I38" s="12">
        <f>IF(A38="","",IF(D38="","CEK ID FIXTURE kosong",IF(G38="","CEK ID FIXTURE tidak ada di DAFTAR_FIXTURE",IF(H38="Endcap","CEK Endcap tidak ikut sambung",IF(H38&lt;&gt;B38,"CEK kategori fixture tidak sama dengan KATEGORI",IF(C38="","CEK URUTAN kosong",IF(AND(E38&lt;&gt;"",COUNTIFS(DATA!$I$2:$I$500,E38)=0),"CEK Series tidak ada di DATA","OK")))))))</f>
        <v/>
      </c>
    </row>
    <row r="39">
      <c r="A39" s="10" t="n"/>
      <c r="B39" s="10" t="n"/>
      <c r="C39" s="10" t="n"/>
      <c r="D39" s="11" t="n"/>
      <c r="E39" s="10" t="n"/>
      <c r="F39" s="10" t="n"/>
      <c r="G39" s="12">
        <f>IF(D39="","",IFERROR(INDEX(DAFTAR_FIXTURE!$B$2:$B$51,MATCH(D39,DAFTAR_FIXTURE!$A$2:$A$51,0)),""))</f>
        <v/>
      </c>
      <c r="H39" s="12">
        <f>IF(G39="","",IF(LEFT(G39,4)="Wall","Wall",IF(LEFT(G39,7)="Gondola","Gondola",IF(LEFT(G39,6)="Pallet","Pallet",IF(LEFT(G39,6)="Endcap","Endcap","")))))</f>
        <v/>
      </c>
      <c r="I39" s="12">
        <f>IF(A39="","",IF(D39="","CEK ID FIXTURE kosong",IF(G39="","CEK ID FIXTURE tidak ada di DAFTAR_FIXTURE",IF(H39="Endcap","CEK Endcap tidak ikut sambung",IF(H39&lt;&gt;B39,"CEK kategori fixture tidak sama dengan KATEGORI",IF(C39="","CEK URUTAN kosong",IF(AND(E39&lt;&gt;"",COUNTIFS(DATA!$I$2:$I$500,E39)=0),"CEK Series tidak ada di DATA","OK")))))))</f>
        <v/>
      </c>
    </row>
    <row r="40">
      <c r="A40" s="10" t="n"/>
      <c r="B40" s="10" t="n"/>
      <c r="C40" s="10" t="n"/>
      <c r="D40" s="11" t="n"/>
      <c r="E40" s="10" t="n"/>
      <c r="F40" s="10" t="n"/>
      <c r="G40" s="12">
        <f>IF(D40="","",IFERROR(INDEX(DAFTAR_FIXTURE!$B$2:$B$51,MATCH(D40,DAFTAR_FIXTURE!$A$2:$A$51,0)),""))</f>
        <v/>
      </c>
      <c r="H40" s="12">
        <f>IF(G40="","",IF(LEFT(G40,4)="Wall","Wall",IF(LEFT(G40,7)="Gondola","Gondola",IF(LEFT(G40,6)="Pallet","Pallet",IF(LEFT(G40,6)="Endcap","Endcap","")))))</f>
        <v/>
      </c>
      <c r="I40" s="12">
        <f>IF(A40="","",IF(D40="","CEK ID FIXTURE kosong",IF(G40="","CEK ID FIXTURE tidak ada di DAFTAR_FIXTURE",IF(H40="Endcap","CEK Endcap tidak ikut sambung",IF(H40&lt;&gt;B40,"CEK kategori fixture tidak sama dengan KATEGORI",IF(C40="","CEK URUTAN kosong",IF(AND(E40&lt;&gt;"",COUNTIFS(DATA!$I$2:$I$500,E40)=0),"CEK Series tidak ada di DATA","OK")))))))</f>
        <v/>
      </c>
    </row>
    <row r="41">
      <c r="A41" s="10" t="n"/>
      <c r="B41" s="10" t="n"/>
      <c r="C41" s="10" t="n"/>
      <c r="D41" s="11" t="n"/>
      <c r="E41" s="10" t="n"/>
      <c r="F41" s="10" t="n"/>
      <c r="G41" s="12">
        <f>IF(D41="","",IFERROR(INDEX(DAFTAR_FIXTURE!$B$2:$B$51,MATCH(D41,DAFTAR_FIXTURE!$A$2:$A$51,0)),""))</f>
        <v/>
      </c>
      <c r="H41" s="12">
        <f>IF(G41="","",IF(LEFT(G41,4)="Wall","Wall",IF(LEFT(G41,7)="Gondola","Gondola",IF(LEFT(G41,6)="Pallet","Pallet",IF(LEFT(G41,6)="Endcap","Endcap","")))))</f>
        <v/>
      </c>
      <c r="I41" s="12">
        <f>IF(A41="","",IF(D41="","CEK ID FIXTURE kosong",IF(G41="","CEK ID FIXTURE tidak ada di DAFTAR_FIXTURE",IF(H41="Endcap","CEK Endcap tidak ikut sambung",IF(H41&lt;&gt;B41,"CEK kategori fixture tidak sama dengan KATEGORI",IF(C41="","CEK URUTAN kosong",IF(AND(E41&lt;&gt;"",COUNTIFS(DATA!$I$2:$I$500,E41)=0),"CEK Series tidak ada di DATA","OK")))))))</f>
        <v/>
      </c>
    </row>
    <row r="42">
      <c r="A42" s="10" t="n"/>
      <c r="B42" s="10" t="n"/>
      <c r="C42" s="10" t="n"/>
      <c r="D42" s="11" t="n"/>
      <c r="E42" s="10" t="n"/>
      <c r="F42" s="10" t="n"/>
      <c r="G42" s="12">
        <f>IF(D42="","",IFERROR(INDEX(DAFTAR_FIXTURE!$B$2:$B$51,MATCH(D42,DAFTAR_FIXTURE!$A$2:$A$51,0)),""))</f>
        <v/>
      </c>
      <c r="H42" s="12">
        <f>IF(G42="","",IF(LEFT(G42,4)="Wall","Wall",IF(LEFT(G42,7)="Gondola","Gondola",IF(LEFT(G42,6)="Pallet","Pallet",IF(LEFT(G42,6)="Endcap","Endcap","")))))</f>
        <v/>
      </c>
      <c r="I42" s="12">
        <f>IF(A42="","",IF(D42="","CEK ID FIXTURE kosong",IF(G42="","CEK ID FIXTURE tidak ada di DAFTAR_FIXTURE",IF(H42="Endcap","CEK Endcap tidak ikut sambung",IF(H42&lt;&gt;B42,"CEK kategori fixture tidak sama dengan KATEGORI",IF(C42="","CEK URUTAN kosong",IF(AND(E42&lt;&gt;"",COUNTIFS(DATA!$I$2:$I$500,E42)=0),"CEK Series tidak ada di DATA","OK")))))))</f>
        <v/>
      </c>
    </row>
    <row r="43">
      <c r="A43" s="10" t="n"/>
      <c r="B43" s="10" t="n"/>
      <c r="C43" s="10" t="n"/>
      <c r="D43" s="11" t="n"/>
      <c r="E43" s="10" t="n"/>
      <c r="F43" s="10" t="n"/>
      <c r="G43" s="12">
        <f>IF(D43="","",IFERROR(INDEX(DAFTAR_FIXTURE!$B$2:$B$51,MATCH(D43,DAFTAR_FIXTURE!$A$2:$A$51,0)),""))</f>
        <v/>
      </c>
      <c r="H43" s="12">
        <f>IF(G43="","",IF(LEFT(G43,4)="Wall","Wall",IF(LEFT(G43,7)="Gondola","Gondola",IF(LEFT(G43,6)="Pallet","Pallet",IF(LEFT(G43,6)="Endcap","Endcap","")))))</f>
        <v/>
      </c>
      <c r="I43" s="12">
        <f>IF(A43="","",IF(D43="","CEK ID FIXTURE kosong",IF(G43="","CEK ID FIXTURE tidak ada di DAFTAR_FIXTURE",IF(H43="Endcap","CEK Endcap tidak ikut sambung",IF(H43&lt;&gt;B43,"CEK kategori fixture tidak sama dengan KATEGORI",IF(C43="","CEK URUTAN kosong",IF(AND(E43&lt;&gt;"",COUNTIFS(DATA!$I$2:$I$500,E43)=0),"CEK Series tidak ada di DATA","OK")))))))</f>
        <v/>
      </c>
    </row>
    <row r="44">
      <c r="A44" s="10" t="n"/>
      <c r="B44" s="10" t="n"/>
      <c r="C44" s="10" t="n"/>
      <c r="D44" s="11" t="n"/>
      <c r="E44" s="10" t="n"/>
      <c r="F44" s="10" t="n"/>
      <c r="G44" s="12">
        <f>IF(D44="","",IFERROR(INDEX(DAFTAR_FIXTURE!$B$2:$B$51,MATCH(D44,DAFTAR_FIXTURE!$A$2:$A$51,0)),""))</f>
        <v/>
      </c>
      <c r="H44" s="12">
        <f>IF(G44="","",IF(LEFT(G44,4)="Wall","Wall",IF(LEFT(G44,7)="Gondola","Gondola",IF(LEFT(G44,6)="Pallet","Pallet",IF(LEFT(G44,6)="Endcap","Endcap","")))))</f>
        <v/>
      </c>
      <c r="I44" s="12">
        <f>IF(A44="","",IF(D44="","CEK ID FIXTURE kosong",IF(G44="","CEK ID FIXTURE tidak ada di DAFTAR_FIXTURE",IF(H44="Endcap","CEK Endcap tidak ikut sambung",IF(H44&lt;&gt;B44,"CEK kategori fixture tidak sama dengan KATEGORI",IF(C44="","CEK URUTAN kosong",IF(AND(E44&lt;&gt;"",COUNTIFS(DATA!$I$2:$I$500,E44)=0),"CEK Series tidak ada di DATA","OK")))))))</f>
        <v/>
      </c>
    </row>
    <row r="45">
      <c r="A45" s="10" t="n"/>
      <c r="B45" s="10" t="n"/>
      <c r="C45" s="10" t="n"/>
      <c r="D45" s="11" t="n"/>
      <c r="E45" s="10" t="n"/>
      <c r="F45" s="10" t="n"/>
      <c r="G45" s="12">
        <f>IF(D45="","",IFERROR(INDEX(DAFTAR_FIXTURE!$B$2:$B$51,MATCH(D45,DAFTAR_FIXTURE!$A$2:$A$51,0)),""))</f>
        <v/>
      </c>
      <c r="H45" s="12">
        <f>IF(G45="","",IF(LEFT(G45,4)="Wall","Wall",IF(LEFT(G45,7)="Gondola","Gondola",IF(LEFT(G45,6)="Pallet","Pallet",IF(LEFT(G45,6)="Endcap","Endcap","")))))</f>
        <v/>
      </c>
      <c r="I45" s="12">
        <f>IF(A45="","",IF(D45="","CEK ID FIXTURE kosong",IF(G45="","CEK ID FIXTURE tidak ada di DAFTAR_FIXTURE",IF(H45="Endcap","CEK Endcap tidak ikut sambung",IF(H45&lt;&gt;B45,"CEK kategori fixture tidak sama dengan KATEGORI",IF(C45="","CEK URUTAN kosong",IF(AND(E45&lt;&gt;"",COUNTIFS(DATA!$I$2:$I$500,E45)=0),"CEK Series tidak ada di DATA","OK")))))))</f>
        <v/>
      </c>
    </row>
    <row r="46">
      <c r="A46" s="10" t="n"/>
      <c r="B46" s="10" t="n"/>
      <c r="C46" s="10" t="n"/>
      <c r="D46" s="11" t="n"/>
      <c r="E46" s="10" t="n"/>
      <c r="F46" s="10" t="n"/>
      <c r="G46" s="12">
        <f>IF(D46="","",IFERROR(INDEX(DAFTAR_FIXTURE!$B$2:$B$51,MATCH(D46,DAFTAR_FIXTURE!$A$2:$A$51,0)),""))</f>
        <v/>
      </c>
      <c r="H46" s="12">
        <f>IF(G46="","",IF(LEFT(G46,4)="Wall","Wall",IF(LEFT(G46,7)="Gondola","Gondola",IF(LEFT(G46,6)="Pallet","Pallet",IF(LEFT(G46,6)="Endcap","Endcap","")))))</f>
        <v/>
      </c>
      <c r="I46" s="12">
        <f>IF(A46="","",IF(D46="","CEK ID FIXTURE kosong",IF(G46="","CEK ID FIXTURE tidak ada di DAFTAR_FIXTURE",IF(H46="Endcap","CEK Endcap tidak ikut sambung",IF(H46&lt;&gt;B46,"CEK kategori fixture tidak sama dengan KATEGORI",IF(C46="","CEK URUTAN kosong",IF(AND(E46&lt;&gt;"",COUNTIFS(DATA!$I$2:$I$500,E46)=0),"CEK Series tidak ada di DATA","OK")))))))</f>
        <v/>
      </c>
    </row>
    <row r="47">
      <c r="A47" s="10" t="n"/>
      <c r="B47" s="10" t="n"/>
      <c r="C47" s="10" t="n"/>
      <c r="D47" s="11" t="n"/>
      <c r="E47" s="10" t="n"/>
      <c r="F47" s="10" t="n"/>
      <c r="G47" s="12">
        <f>IF(D47="","",IFERROR(INDEX(DAFTAR_FIXTURE!$B$2:$B$51,MATCH(D47,DAFTAR_FIXTURE!$A$2:$A$51,0)),""))</f>
        <v/>
      </c>
      <c r="H47" s="12">
        <f>IF(G47="","",IF(LEFT(G47,4)="Wall","Wall",IF(LEFT(G47,7)="Gondola","Gondola",IF(LEFT(G47,6)="Pallet","Pallet",IF(LEFT(G47,6)="Endcap","Endcap","")))))</f>
        <v/>
      </c>
      <c r="I47" s="12">
        <f>IF(A47="","",IF(D47="","CEK ID FIXTURE kosong",IF(G47="","CEK ID FIXTURE tidak ada di DAFTAR_FIXTURE",IF(H47="Endcap","CEK Endcap tidak ikut sambung",IF(H47&lt;&gt;B47,"CEK kategori fixture tidak sama dengan KATEGORI",IF(C47="","CEK URUTAN kosong",IF(AND(E47&lt;&gt;"",COUNTIFS(DATA!$I$2:$I$500,E47)=0),"CEK Series tidak ada di DATA","OK")))))))</f>
        <v/>
      </c>
    </row>
    <row r="48">
      <c r="A48" s="10" t="n"/>
      <c r="B48" s="10" t="n"/>
      <c r="C48" s="10" t="n"/>
      <c r="D48" s="11" t="n"/>
      <c r="E48" s="10" t="n"/>
      <c r="F48" s="10" t="n"/>
      <c r="G48" s="12">
        <f>IF(D48="","",IFERROR(INDEX(DAFTAR_FIXTURE!$B$2:$B$51,MATCH(D48,DAFTAR_FIXTURE!$A$2:$A$51,0)),""))</f>
        <v/>
      </c>
      <c r="H48" s="12">
        <f>IF(G48="","",IF(LEFT(G48,4)="Wall","Wall",IF(LEFT(G48,7)="Gondola","Gondola",IF(LEFT(G48,6)="Pallet","Pallet",IF(LEFT(G48,6)="Endcap","Endcap","")))))</f>
        <v/>
      </c>
      <c r="I48" s="12">
        <f>IF(A48="","",IF(D48="","CEK ID FIXTURE kosong",IF(G48="","CEK ID FIXTURE tidak ada di DAFTAR_FIXTURE",IF(H48="Endcap","CEK Endcap tidak ikut sambung",IF(H48&lt;&gt;B48,"CEK kategori fixture tidak sama dengan KATEGORI",IF(C48="","CEK URUTAN kosong",IF(AND(E48&lt;&gt;"",COUNTIFS(DATA!$I$2:$I$500,E48)=0),"CEK Series tidak ada di DATA","OK")))))))</f>
        <v/>
      </c>
    </row>
    <row r="49">
      <c r="A49" s="10" t="n"/>
      <c r="B49" s="10" t="n"/>
      <c r="C49" s="10" t="n"/>
      <c r="D49" s="11" t="n"/>
      <c r="E49" s="10" t="n"/>
      <c r="F49" s="10" t="n"/>
      <c r="G49" s="12">
        <f>IF(D49="","",IFERROR(INDEX(DAFTAR_FIXTURE!$B$2:$B$51,MATCH(D49,DAFTAR_FIXTURE!$A$2:$A$51,0)),""))</f>
        <v/>
      </c>
      <c r="H49" s="12">
        <f>IF(G49="","",IF(LEFT(G49,4)="Wall","Wall",IF(LEFT(G49,7)="Gondola","Gondola",IF(LEFT(G49,6)="Pallet","Pallet",IF(LEFT(G49,6)="Endcap","Endcap","")))))</f>
        <v/>
      </c>
      <c r="I49" s="12">
        <f>IF(A49="","",IF(D49="","CEK ID FIXTURE kosong",IF(G49="","CEK ID FIXTURE tidak ada di DAFTAR_FIXTURE",IF(H49="Endcap","CEK Endcap tidak ikut sambung",IF(H49&lt;&gt;B49,"CEK kategori fixture tidak sama dengan KATEGORI",IF(C49="","CEK URUTAN kosong",IF(AND(E49&lt;&gt;"",COUNTIFS(DATA!$I$2:$I$500,E49)=0),"CEK Series tidak ada di DATA","OK")))))))</f>
        <v/>
      </c>
    </row>
    <row r="50">
      <c r="A50" s="10" t="n"/>
      <c r="B50" s="10" t="n"/>
      <c r="C50" s="10" t="n"/>
      <c r="D50" s="11" t="n"/>
      <c r="E50" s="10" t="n"/>
      <c r="F50" s="10" t="n"/>
      <c r="G50" s="12">
        <f>IF(D50="","",IFERROR(INDEX(DAFTAR_FIXTURE!$B$2:$B$51,MATCH(D50,DAFTAR_FIXTURE!$A$2:$A$51,0)),""))</f>
        <v/>
      </c>
      <c r="H50" s="12">
        <f>IF(G50="","",IF(LEFT(G50,4)="Wall","Wall",IF(LEFT(G50,7)="Gondola","Gondola",IF(LEFT(G50,6)="Pallet","Pallet",IF(LEFT(G50,6)="Endcap","Endcap","")))))</f>
        <v/>
      </c>
      <c r="I50" s="12">
        <f>IF(A50="","",IF(D50="","CEK ID FIXTURE kosong",IF(G50="","CEK ID FIXTURE tidak ada di DAFTAR_FIXTURE",IF(H50="Endcap","CEK Endcap tidak ikut sambung",IF(H50&lt;&gt;B50,"CEK kategori fixture tidak sama dengan KATEGORI",IF(C50="","CEK URUTAN kosong",IF(AND(E50&lt;&gt;"",COUNTIFS(DATA!$I$2:$I$500,E50)=0),"CEK Series tidak ada di DATA","OK")))))))</f>
        <v/>
      </c>
    </row>
    <row r="51">
      <c r="A51" s="10" t="n"/>
      <c r="B51" s="10" t="n"/>
      <c r="C51" s="10" t="n"/>
      <c r="D51" s="11" t="n"/>
      <c r="E51" s="10" t="n"/>
      <c r="F51" s="10" t="n"/>
      <c r="G51" s="12">
        <f>IF(D51="","",IFERROR(INDEX(DAFTAR_FIXTURE!$B$2:$B$51,MATCH(D51,DAFTAR_FIXTURE!$A$2:$A$51,0)),""))</f>
        <v/>
      </c>
      <c r="H51" s="12">
        <f>IF(G51="","",IF(LEFT(G51,4)="Wall","Wall",IF(LEFT(G51,7)="Gondola","Gondola",IF(LEFT(G51,6)="Pallet","Pallet",IF(LEFT(G51,6)="Endcap","Endcap","")))))</f>
        <v/>
      </c>
      <c r="I51" s="12">
        <f>IF(A51="","",IF(D51="","CEK ID FIXTURE kosong",IF(G51="","CEK ID FIXTURE tidak ada di DAFTAR_FIXTURE",IF(H51="Endcap","CEK Endcap tidak ikut sambung",IF(H51&lt;&gt;B51,"CEK kategori fixture tidak sama dengan KATEGORI",IF(C51="","CEK URUTAN kosong",IF(AND(E51&lt;&gt;"",COUNTIFS(DATA!$I$2:$I$500,E51)=0),"CEK Series tidak ada di DATA","OK")))))))</f>
        <v/>
      </c>
    </row>
    <row r="52">
      <c r="A52" s="10" t="n"/>
      <c r="B52" s="10" t="n"/>
      <c r="C52" s="10" t="n"/>
      <c r="D52" s="11" t="n"/>
      <c r="E52" s="10" t="n"/>
      <c r="F52" s="10" t="n"/>
      <c r="G52" s="12">
        <f>IF(D52="","",IFERROR(INDEX(DAFTAR_FIXTURE!$B$2:$B$51,MATCH(D52,DAFTAR_FIXTURE!$A$2:$A$51,0)),""))</f>
        <v/>
      </c>
      <c r="H52" s="12">
        <f>IF(G52="","",IF(LEFT(G52,4)="Wall","Wall",IF(LEFT(G52,7)="Gondola","Gondola",IF(LEFT(G52,6)="Pallet","Pallet",IF(LEFT(G52,6)="Endcap","Endcap","")))))</f>
        <v/>
      </c>
      <c r="I52" s="12">
        <f>IF(A52="","",IF(D52="","CEK ID FIXTURE kosong",IF(G52="","CEK ID FIXTURE tidak ada di DAFTAR_FIXTURE",IF(H52="Endcap","CEK Endcap tidak ikut sambung",IF(H52&lt;&gt;B52,"CEK kategori fixture tidak sama dengan KATEGORI",IF(C52="","CEK URUTAN kosong",IF(AND(E52&lt;&gt;"",COUNTIFS(DATA!$I$2:$I$500,E52)=0),"CEK Series tidak ada di DATA","OK")))))))</f>
        <v/>
      </c>
    </row>
    <row r="53">
      <c r="A53" s="10" t="n"/>
      <c r="B53" s="10" t="n"/>
      <c r="C53" s="10" t="n"/>
      <c r="D53" s="11" t="n"/>
      <c r="E53" s="10" t="n"/>
      <c r="F53" s="10" t="n"/>
      <c r="G53" s="12">
        <f>IF(D53="","",IFERROR(INDEX(DAFTAR_FIXTURE!$B$2:$B$51,MATCH(D53,DAFTAR_FIXTURE!$A$2:$A$51,0)),""))</f>
        <v/>
      </c>
      <c r="H53" s="12">
        <f>IF(G53="","",IF(LEFT(G53,4)="Wall","Wall",IF(LEFT(G53,7)="Gondola","Gondola",IF(LEFT(G53,6)="Pallet","Pallet",IF(LEFT(G53,6)="Endcap","Endcap","")))))</f>
        <v/>
      </c>
      <c r="I53" s="12">
        <f>IF(A53="","",IF(D53="","CEK ID FIXTURE kosong",IF(G53="","CEK ID FIXTURE tidak ada di DAFTAR_FIXTURE",IF(H53="Endcap","CEK Endcap tidak ikut sambung",IF(H53&lt;&gt;B53,"CEK kategori fixture tidak sama dengan KATEGORI",IF(C53="","CEK URUTAN kosong",IF(AND(E53&lt;&gt;"",COUNTIFS(DATA!$I$2:$I$500,E53)=0),"CEK Series tidak ada di DATA","OK")))))))</f>
        <v/>
      </c>
    </row>
    <row r="54">
      <c r="A54" s="10" t="n"/>
      <c r="B54" s="10" t="n"/>
      <c r="C54" s="10" t="n"/>
      <c r="D54" s="11" t="n"/>
      <c r="E54" s="10" t="n"/>
      <c r="F54" s="10" t="n"/>
      <c r="G54" s="12">
        <f>IF(D54="","",IFERROR(INDEX(DAFTAR_FIXTURE!$B$2:$B$51,MATCH(D54,DAFTAR_FIXTURE!$A$2:$A$51,0)),""))</f>
        <v/>
      </c>
      <c r="H54" s="12">
        <f>IF(G54="","",IF(LEFT(G54,4)="Wall","Wall",IF(LEFT(G54,7)="Gondola","Gondola",IF(LEFT(G54,6)="Pallet","Pallet",IF(LEFT(G54,6)="Endcap","Endcap","")))))</f>
        <v/>
      </c>
      <c r="I54" s="12">
        <f>IF(A54="","",IF(D54="","CEK ID FIXTURE kosong",IF(G54="","CEK ID FIXTURE tidak ada di DAFTAR_FIXTURE",IF(H54="Endcap","CEK Endcap tidak ikut sambung",IF(H54&lt;&gt;B54,"CEK kategori fixture tidak sama dengan KATEGORI",IF(C54="","CEK URUTAN kosong",IF(AND(E54&lt;&gt;"",COUNTIFS(DATA!$I$2:$I$500,E54)=0),"CEK Series tidak ada di DATA","OK")))))))</f>
        <v/>
      </c>
    </row>
    <row r="55">
      <c r="A55" s="10" t="n"/>
      <c r="B55" s="10" t="n"/>
      <c r="C55" s="10" t="n"/>
      <c r="D55" s="11" t="n"/>
      <c r="E55" s="10" t="n"/>
      <c r="F55" s="10" t="n"/>
      <c r="G55" s="12">
        <f>IF(D55="","",IFERROR(INDEX(DAFTAR_FIXTURE!$B$2:$B$51,MATCH(D55,DAFTAR_FIXTURE!$A$2:$A$51,0)),""))</f>
        <v/>
      </c>
      <c r="H55" s="12">
        <f>IF(G55="","",IF(LEFT(G55,4)="Wall","Wall",IF(LEFT(G55,7)="Gondola","Gondola",IF(LEFT(G55,6)="Pallet","Pallet",IF(LEFT(G55,6)="Endcap","Endcap","")))))</f>
        <v/>
      </c>
      <c r="I55" s="12">
        <f>IF(A55="","",IF(D55="","CEK ID FIXTURE kosong",IF(G55="","CEK ID FIXTURE tidak ada di DAFTAR_FIXTURE",IF(H55="Endcap","CEK Endcap tidak ikut sambung",IF(H55&lt;&gt;B55,"CEK kategori fixture tidak sama dengan KATEGORI",IF(C55="","CEK URUTAN kosong",IF(AND(E55&lt;&gt;"",COUNTIFS(DATA!$I$2:$I$500,E55)=0),"CEK Series tidak ada di DATA","OK")))))))</f>
        <v/>
      </c>
    </row>
    <row r="56">
      <c r="A56" s="10" t="n"/>
      <c r="B56" s="10" t="n"/>
      <c r="C56" s="10" t="n"/>
      <c r="D56" s="11" t="n"/>
      <c r="E56" s="10" t="n"/>
      <c r="F56" s="10" t="n"/>
      <c r="G56" s="12">
        <f>IF(D56="","",IFERROR(INDEX(DAFTAR_FIXTURE!$B$2:$B$51,MATCH(D56,DAFTAR_FIXTURE!$A$2:$A$51,0)),""))</f>
        <v/>
      </c>
      <c r="H56" s="12">
        <f>IF(G56="","",IF(LEFT(G56,4)="Wall","Wall",IF(LEFT(G56,7)="Gondola","Gondola",IF(LEFT(G56,6)="Pallet","Pallet",IF(LEFT(G56,6)="Endcap","Endcap","")))))</f>
        <v/>
      </c>
      <c r="I56" s="12">
        <f>IF(A56="","",IF(D56="","CEK ID FIXTURE kosong",IF(G56="","CEK ID FIXTURE tidak ada di DAFTAR_FIXTURE",IF(H56="Endcap","CEK Endcap tidak ikut sambung",IF(H56&lt;&gt;B56,"CEK kategori fixture tidak sama dengan KATEGORI",IF(C56="","CEK URUTAN kosong",IF(AND(E56&lt;&gt;"",COUNTIFS(DATA!$I$2:$I$500,E56)=0),"CEK Series tidak ada di DATA","OK")))))))</f>
        <v/>
      </c>
    </row>
    <row r="57">
      <c r="A57" s="10" t="n"/>
      <c r="B57" s="10" t="n"/>
      <c r="C57" s="10" t="n"/>
      <c r="D57" s="11" t="n"/>
      <c r="E57" s="10" t="n"/>
      <c r="F57" s="10" t="n"/>
      <c r="G57" s="12">
        <f>IF(D57="","",IFERROR(INDEX(DAFTAR_FIXTURE!$B$2:$B$51,MATCH(D57,DAFTAR_FIXTURE!$A$2:$A$51,0)),""))</f>
        <v/>
      </c>
      <c r="H57" s="12">
        <f>IF(G57="","",IF(LEFT(G57,4)="Wall","Wall",IF(LEFT(G57,7)="Gondola","Gondola",IF(LEFT(G57,6)="Pallet","Pallet",IF(LEFT(G57,6)="Endcap","Endcap","")))))</f>
        <v/>
      </c>
      <c r="I57" s="12">
        <f>IF(A57="","",IF(D57="","CEK ID FIXTURE kosong",IF(G57="","CEK ID FIXTURE tidak ada di DAFTAR_FIXTURE",IF(H57="Endcap","CEK Endcap tidak ikut sambung",IF(H57&lt;&gt;B57,"CEK kategori fixture tidak sama dengan KATEGORI",IF(C57="","CEK URUTAN kosong",IF(AND(E57&lt;&gt;"",COUNTIFS(DATA!$I$2:$I$500,E57)=0),"CEK Series tidak ada di DATA","OK")))))))</f>
        <v/>
      </c>
    </row>
    <row r="58">
      <c r="A58" s="10" t="n"/>
      <c r="B58" s="10" t="n"/>
      <c r="C58" s="10" t="n"/>
      <c r="D58" s="11" t="n"/>
      <c r="E58" s="10" t="n"/>
      <c r="F58" s="10" t="n"/>
      <c r="G58" s="12">
        <f>IF(D58="","",IFERROR(INDEX(DAFTAR_FIXTURE!$B$2:$B$51,MATCH(D58,DAFTAR_FIXTURE!$A$2:$A$51,0)),""))</f>
        <v/>
      </c>
      <c r="H58" s="12">
        <f>IF(G58="","",IF(LEFT(G58,4)="Wall","Wall",IF(LEFT(G58,7)="Gondola","Gondola",IF(LEFT(G58,6)="Pallet","Pallet",IF(LEFT(G58,6)="Endcap","Endcap","")))))</f>
        <v/>
      </c>
      <c r="I58" s="12">
        <f>IF(A58="","",IF(D58="","CEK ID FIXTURE kosong",IF(G58="","CEK ID FIXTURE tidak ada di DAFTAR_FIXTURE",IF(H58="Endcap","CEK Endcap tidak ikut sambung",IF(H58&lt;&gt;B58,"CEK kategori fixture tidak sama dengan KATEGORI",IF(C58="","CEK URUTAN kosong",IF(AND(E58&lt;&gt;"",COUNTIFS(DATA!$I$2:$I$500,E58)=0),"CEK Series tidak ada di DATA","OK")))))))</f>
        <v/>
      </c>
    </row>
    <row r="59">
      <c r="A59" s="10" t="n"/>
      <c r="B59" s="10" t="n"/>
      <c r="C59" s="10" t="n"/>
      <c r="D59" s="11" t="n"/>
      <c r="E59" s="10" t="n"/>
      <c r="F59" s="10" t="n"/>
      <c r="G59" s="12">
        <f>IF(D59="","",IFERROR(INDEX(DAFTAR_FIXTURE!$B$2:$B$51,MATCH(D59,DAFTAR_FIXTURE!$A$2:$A$51,0)),""))</f>
        <v/>
      </c>
      <c r="H59" s="12">
        <f>IF(G59="","",IF(LEFT(G59,4)="Wall","Wall",IF(LEFT(G59,7)="Gondola","Gondola",IF(LEFT(G59,6)="Pallet","Pallet",IF(LEFT(G59,6)="Endcap","Endcap","")))))</f>
        <v/>
      </c>
      <c r="I59" s="12">
        <f>IF(A59="","",IF(D59="","CEK ID FIXTURE kosong",IF(G59="","CEK ID FIXTURE tidak ada di DAFTAR_FIXTURE",IF(H59="Endcap","CEK Endcap tidak ikut sambung",IF(H59&lt;&gt;B59,"CEK kategori fixture tidak sama dengan KATEGORI",IF(C59="","CEK URUTAN kosong",IF(AND(E59&lt;&gt;"",COUNTIFS(DATA!$I$2:$I$500,E59)=0),"CEK Series tidak ada di DATA","OK")))))))</f>
        <v/>
      </c>
    </row>
    <row r="60">
      <c r="A60" s="10" t="n"/>
      <c r="B60" s="10" t="n"/>
      <c r="C60" s="10" t="n"/>
      <c r="D60" s="11" t="n"/>
      <c r="E60" s="10" t="n"/>
      <c r="F60" s="10" t="n"/>
      <c r="G60" s="12">
        <f>IF(D60="","",IFERROR(INDEX(DAFTAR_FIXTURE!$B$2:$B$51,MATCH(D60,DAFTAR_FIXTURE!$A$2:$A$51,0)),""))</f>
        <v/>
      </c>
      <c r="H60" s="12">
        <f>IF(G60="","",IF(LEFT(G60,4)="Wall","Wall",IF(LEFT(G60,7)="Gondola","Gondola",IF(LEFT(G60,6)="Pallet","Pallet",IF(LEFT(G60,6)="Endcap","Endcap","")))))</f>
        <v/>
      </c>
      <c r="I60" s="12">
        <f>IF(A60="","",IF(D60="","CEK ID FIXTURE kosong",IF(G60="","CEK ID FIXTURE tidak ada di DAFTAR_FIXTURE",IF(H60="Endcap","CEK Endcap tidak ikut sambung",IF(H60&lt;&gt;B60,"CEK kategori fixture tidak sama dengan KATEGORI",IF(C60="","CEK URUTAN kosong",IF(AND(E60&lt;&gt;"",COUNTIFS(DATA!$I$2:$I$500,E60)=0),"CEK Series tidak ada di DATA","OK")))))))</f>
        <v/>
      </c>
    </row>
    <row r="61">
      <c r="A61" s="10" t="n"/>
      <c r="B61" s="10" t="n"/>
      <c r="C61" s="10" t="n"/>
      <c r="D61" s="11" t="n"/>
      <c r="E61" s="10" t="n"/>
      <c r="F61" s="10" t="n"/>
      <c r="G61" s="12">
        <f>IF(D61="","",IFERROR(INDEX(DAFTAR_FIXTURE!$B$2:$B$51,MATCH(D61,DAFTAR_FIXTURE!$A$2:$A$51,0)),""))</f>
        <v/>
      </c>
      <c r="H61" s="12">
        <f>IF(G61="","",IF(LEFT(G61,4)="Wall","Wall",IF(LEFT(G61,7)="Gondola","Gondola",IF(LEFT(G61,6)="Pallet","Pallet",IF(LEFT(G61,6)="Endcap","Endcap","")))))</f>
        <v/>
      </c>
      <c r="I61" s="12">
        <f>IF(A61="","",IF(D61="","CEK ID FIXTURE kosong",IF(G61="","CEK ID FIXTURE tidak ada di DAFTAR_FIXTURE",IF(H61="Endcap","CEK Endcap tidak ikut sambung",IF(H61&lt;&gt;B61,"CEK kategori fixture tidak sama dengan KATEGORI",IF(C61="","CEK URUTAN kosong",IF(AND(E61&lt;&gt;"",COUNTIFS(DATA!$I$2:$I$500,E61)=0),"CEK Series tidak ada di DATA","OK")))))))</f>
        <v/>
      </c>
    </row>
    <row r="62">
      <c r="A62" s="10" t="n"/>
      <c r="B62" s="10" t="n"/>
      <c r="C62" s="10" t="n"/>
      <c r="D62" s="11" t="n"/>
      <c r="E62" s="10" t="n"/>
      <c r="F62" s="10" t="n"/>
      <c r="G62" s="12">
        <f>IF(D62="","",IFERROR(INDEX(DAFTAR_FIXTURE!$B$2:$B$51,MATCH(D62,DAFTAR_FIXTURE!$A$2:$A$51,0)),""))</f>
        <v/>
      </c>
      <c r="H62" s="12">
        <f>IF(G62="","",IF(LEFT(G62,4)="Wall","Wall",IF(LEFT(G62,7)="Gondola","Gondola",IF(LEFT(G62,6)="Pallet","Pallet",IF(LEFT(G62,6)="Endcap","Endcap","")))))</f>
        <v/>
      </c>
      <c r="I62" s="12">
        <f>IF(A62="","",IF(D62="","CEK ID FIXTURE kosong",IF(G62="","CEK ID FIXTURE tidak ada di DAFTAR_FIXTURE",IF(H62="Endcap","CEK Endcap tidak ikut sambung",IF(H62&lt;&gt;B62,"CEK kategori fixture tidak sama dengan KATEGORI",IF(C62="","CEK URUTAN kosong",IF(AND(E62&lt;&gt;"",COUNTIFS(DATA!$I$2:$I$500,E62)=0),"CEK Series tidak ada di DATA","OK")))))))</f>
        <v/>
      </c>
    </row>
    <row r="63">
      <c r="A63" s="10" t="n"/>
      <c r="B63" s="10" t="n"/>
      <c r="C63" s="10" t="n"/>
      <c r="D63" s="11" t="n"/>
      <c r="E63" s="10" t="n"/>
      <c r="F63" s="10" t="n"/>
      <c r="G63" s="12">
        <f>IF(D63="","",IFERROR(INDEX(DAFTAR_FIXTURE!$B$2:$B$51,MATCH(D63,DAFTAR_FIXTURE!$A$2:$A$51,0)),""))</f>
        <v/>
      </c>
      <c r="H63" s="12">
        <f>IF(G63="","",IF(LEFT(G63,4)="Wall","Wall",IF(LEFT(G63,7)="Gondola","Gondola",IF(LEFT(G63,6)="Pallet","Pallet",IF(LEFT(G63,6)="Endcap","Endcap","")))))</f>
        <v/>
      </c>
      <c r="I63" s="12">
        <f>IF(A63="","",IF(D63="","CEK ID FIXTURE kosong",IF(G63="","CEK ID FIXTURE tidak ada di DAFTAR_FIXTURE",IF(H63="Endcap","CEK Endcap tidak ikut sambung",IF(H63&lt;&gt;B63,"CEK kategori fixture tidak sama dengan KATEGORI",IF(C63="","CEK URUTAN kosong",IF(AND(E63&lt;&gt;"",COUNTIFS(DATA!$I$2:$I$500,E63)=0),"CEK Series tidak ada di DATA","OK")))))))</f>
        <v/>
      </c>
    </row>
    <row r="64">
      <c r="A64" s="10" t="n"/>
      <c r="B64" s="10" t="n"/>
      <c r="C64" s="10" t="n"/>
      <c r="D64" s="11" t="n"/>
      <c r="E64" s="10" t="n"/>
      <c r="F64" s="10" t="n"/>
      <c r="G64" s="12">
        <f>IF(D64="","",IFERROR(INDEX(DAFTAR_FIXTURE!$B$2:$B$51,MATCH(D64,DAFTAR_FIXTURE!$A$2:$A$51,0)),""))</f>
        <v/>
      </c>
      <c r="H64" s="12">
        <f>IF(G64="","",IF(LEFT(G64,4)="Wall","Wall",IF(LEFT(G64,7)="Gondola","Gondola",IF(LEFT(G64,6)="Pallet","Pallet",IF(LEFT(G64,6)="Endcap","Endcap","")))))</f>
        <v/>
      </c>
      <c r="I64" s="12">
        <f>IF(A64="","",IF(D64="","CEK ID FIXTURE kosong",IF(G64="","CEK ID FIXTURE tidak ada di DAFTAR_FIXTURE",IF(H64="Endcap","CEK Endcap tidak ikut sambung",IF(H64&lt;&gt;B64,"CEK kategori fixture tidak sama dengan KATEGORI",IF(C64="","CEK URUTAN kosong",IF(AND(E64&lt;&gt;"",COUNTIFS(DATA!$I$2:$I$500,E64)=0),"CEK Series tidak ada di DATA","OK")))))))</f>
        <v/>
      </c>
    </row>
    <row r="65">
      <c r="A65" s="10" t="n"/>
      <c r="B65" s="10" t="n"/>
      <c r="C65" s="10" t="n"/>
      <c r="D65" s="11" t="n"/>
      <c r="E65" s="10" t="n"/>
      <c r="F65" s="10" t="n"/>
      <c r="G65" s="12">
        <f>IF(D65="","",IFERROR(INDEX(DAFTAR_FIXTURE!$B$2:$B$51,MATCH(D65,DAFTAR_FIXTURE!$A$2:$A$51,0)),""))</f>
        <v/>
      </c>
      <c r="H65" s="12">
        <f>IF(G65="","",IF(LEFT(G65,4)="Wall","Wall",IF(LEFT(G65,7)="Gondola","Gondola",IF(LEFT(G65,6)="Pallet","Pallet",IF(LEFT(G65,6)="Endcap","Endcap","")))))</f>
        <v/>
      </c>
      <c r="I65" s="12">
        <f>IF(A65="","",IF(D65="","CEK ID FIXTURE kosong",IF(G65="","CEK ID FIXTURE tidak ada di DAFTAR_FIXTURE",IF(H65="Endcap","CEK Endcap tidak ikut sambung",IF(H65&lt;&gt;B65,"CEK kategori fixture tidak sama dengan KATEGORI",IF(C65="","CEK URUTAN kosong",IF(AND(E65&lt;&gt;"",COUNTIFS(DATA!$I$2:$I$500,E65)=0),"CEK Series tidak ada di DATA","OK")))))))</f>
        <v/>
      </c>
    </row>
    <row r="66">
      <c r="A66" s="10" t="n"/>
      <c r="B66" s="10" t="n"/>
      <c r="C66" s="10" t="n"/>
      <c r="D66" s="11" t="n"/>
      <c r="E66" s="10" t="n"/>
      <c r="F66" s="10" t="n"/>
      <c r="G66" s="12">
        <f>IF(D66="","",IFERROR(INDEX(DAFTAR_FIXTURE!$B$2:$B$51,MATCH(D66,DAFTAR_FIXTURE!$A$2:$A$51,0)),""))</f>
        <v/>
      </c>
      <c r="H66" s="12">
        <f>IF(G66="","",IF(LEFT(G66,4)="Wall","Wall",IF(LEFT(G66,7)="Gondola","Gondola",IF(LEFT(G66,6)="Pallet","Pallet",IF(LEFT(G66,6)="Endcap","Endcap","")))))</f>
        <v/>
      </c>
      <c r="I66" s="12">
        <f>IF(A66="","",IF(D66="","CEK ID FIXTURE kosong",IF(G66="","CEK ID FIXTURE tidak ada di DAFTAR_FIXTURE",IF(H66="Endcap","CEK Endcap tidak ikut sambung",IF(H66&lt;&gt;B66,"CEK kategori fixture tidak sama dengan KATEGORI",IF(C66="","CEK URUTAN kosong",IF(AND(E66&lt;&gt;"",COUNTIFS(DATA!$I$2:$I$500,E66)=0),"CEK Series tidak ada di DATA","OK")))))))</f>
        <v/>
      </c>
    </row>
    <row r="67">
      <c r="A67" s="10" t="n"/>
      <c r="B67" s="10" t="n"/>
      <c r="C67" s="10" t="n"/>
      <c r="D67" s="11" t="n"/>
      <c r="E67" s="10" t="n"/>
      <c r="F67" s="10" t="n"/>
      <c r="G67" s="12">
        <f>IF(D67="","",IFERROR(INDEX(DAFTAR_FIXTURE!$B$2:$B$51,MATCH(D67,DAFTAR_FIXTURE!$A$2:$A$51,0)),""))</f>
        <v/>
      </c>
      <c r="H67" s="12">
        <f>IF(G67="","",IF(LEFT(G67,4)="Wall","Wall",IF(LEFT(G67,7)="Gondola","Gondola",IF(LEFT(G67,6)="Pallet","Pallet",IF(LEFT(G67,6)="Endcap","Endcap","")))))</f>
        <v/>
      </c>
      <c r="I67" s="12">
        <f>IF(A67="","",IF(D67="","CEK ID FIXTURE kosong",IF(G67="","CEK ID FIXTURE tidak ada di DAFTAR_FIXTURE",IF(H67="Endcap","CEK Endcap tidak ikut sambung",IF(H67&lt;&gt;B67,"CEK kategori fixture tidak sama dengan KATEGORI",IF(C67="","CEK URUTAN kosong",IF(AND(E67&lt;&gt;"",COUNTIFS(DATA!$I$2:$I$500,E67)=0),"CEK Series tidak ada di DATA","OK")))))))</f>
        <v/>
      </c>
    </row>
    <row r="68">
      <c r="A68" s="10" t="n"/>
      <c r="B68" s="10" t="n"/>
      <c r="C68" s="10" t="n"/>
      <c r="D68" s="11" t="n"/>
      <c r="E68" s="10" t="n"/>
      <c r="F68" s="10" t="n"/>
      <c r="G68" s="12">
        <f>IF(D68="","",IFERROR(INDEX(DAFTAR_FIXTURE!$B$2:$B$51,MATCH(D68,DAFTAR_FIXTURE!$A$2:$A$51,0)),""))</f>
        <v/>
      </c>
      <c r="H68" s="12">
        <f>IF(G68="","",IF(LEFT(G68,4)="Wall","Wall",IF(LEFT(G68,7)="Gondola","Gondola",IF(LEFT(G68,6)="Pallet","Pallet",IF(LEFT(G68,6)="Endcap","Endcap","")))))</f>
        <v/>
      </c>
      <c r="I68" s="12">
        <f>IF(A68="","",IF(D68="","CEK ID FIXTURE kosong",IF(G68="","CEK ID FIXTURE tidak ada di DAFTAR_FIXTURE",IF(H68="Endcap","CEK Endcap tidak ikut sambung",IF(H68&lt;&gt;B68,"CEK kategori fixture tidak sama dengan KATEGORI",IF(C68="","CEK URUTAN kosong",IF(AND(E68&lt;&gt;"",COUNTIFS(DATA!$I$2:$I$500,E68)=0),"CEK Series tidak ada di DATA","OK")))))))</f>
        <v/>
      </c>
    </row>
    <row r="69">
      <c r="A69" s="10" t="n"/>
      <c r="B69" s="10" t="n"/>
      <c r="C69" s="10" t="n"/>
      <c r="D69" s="11" t="n"/>
      <c r="E69" s="10" t="n"/>
      <c r="F69" s="10" t="n"/>
      <c r="G69" s="12">
        <f>IF(D69="","",IFERROR(INDEX(DAFTAR_FIXTURE!$B$2:$B$51,MATCH(D69,DAFTAR_FIXTURE!$A$2:$A$51,0)),""))</f>
        <v/>
      </c>
      <c r="H69" s="12">
        <f>IF(G69="","",IF(LEFT(G69,4)="Wall","Wall",IF(LEFT(G69,7)="Gondola","Gondola",IF(LEFT(G69,6)="Pallet","Pallet",IF(LEFT(G69,6)="Endcap","Endcap","")))))</f>
        <v/>
      </c>
      <c r="I69" s="12">
        <f>IF(A69="","",IF(D69="","CEK ID FIXTURE kosong",IF(G69="","CEK ID FIXTURE tidak ada di DAFTAR_FIXTURE",IF(H69="Endcap","CEK Endcap tidak ikut sambung",IF(H69&lt;&gt;B69,"CEK kategori fixture tidak sama dengan KATEGORI",IF(C69="","CEK URUTAN kosong",IF(AND(E69&lt;&gt;"",COUNTIFS(DATA!$I$2:$I$500,E69)=0),"CEK Series tidak ada di DATA","OK")))))))</f>
        <v/>
      </c>
    </row>
    <row r="70">
      <c r="A70" s="10" t="n"/>
      <c r="B70" s="10" t="n"/>
      <c r="C70" s="10" t="n"/>
      <c r="D70" s="11" t="n"/>
      <c r="E70" s="10" t="n"/>
      <c r="F70" s="10" t="n"/>
      <c r="G70" s="12">
        <f>IF(D70="","",IFERROR(INDEX(DAFTAR_FIXTURE!$B$2:$B$51,MATCH(D70,DAFTAR_FIXTURE!$A$2:$A$51,0)),""))</f>
        <v/>
      </c>
      <c r="H70" s="12">
        <f>IF(G70="","",IF(LEFT(G70,4)="Wall","Wall",IF(LEFT(G70,7)="Gondola","Gondola",IF(LEFT(G70,6)="Pallet","Pallet",IF(LEFT(G70,6)="Endcap","Endcap","")))))</f>
        <v/>
      </c>
      <c r="I70" s="12">
        <f>IF(A70="","",IF(D70="","CEK ID FIXTURE kosong",IF(G70="","CEK ID FIXTURE tidak ada di DAFTAR_FIXTURE",IF(H70="Endcap","CEK Endcap tidak ikut sambung",IF(H70&lt;&gt;B70,"CEK kategori fixture tidak sama dengan KATEGORI",IF(C70="","CEK URUTAN kosong",IF(AND(E70&lt;&gt;"",COUNTIFS(DATA!$I$2:$I$500,E70)=0),"CEK Series tidak ada di DATA","OK")))))))</f>
        <v/>
      </c>
    </row>
    <row r="71">
      <c r="A71" s="10" t="n"/>
      <c r="B71" s="10" t="n"/>
      <c r="C71" s="10" t="n"/>
      <c r="D71" s="11" t="n"/>
      <c r="E71" s="10" t="n"/>
      <c r="F71" s="10" t="n"/>
      <c r="G71" s="12">
        <f>IF(D71="","",IFERROR(INDEX(DAFTAR_FIXTURE!$B$2:$B$51,MATCH(D71,DAFTAR_FIXTURE!$A$2:$A$51,0)),""))</f>
        <v/>
      </c>
      <c r="H71" s="12">
        <f>IF(G71="","",IF(LEFT(G71,4)="Wall","Wall",IF(LEFT(G71,7)="Gondola","Gondola",IF(LEFT(G71,6)="Pallet","Pallet",IF(LEFT(G71,6)="Endcap","Endcap","")))))</f>
        <v/>
      </c>
      <c r="I71" s="12">
        <f>IF(A71="","",IF(D71="","CEK ID FIXTURE kosong",IF(G71="","CEK ID FIXTURE tidak ada di DAFTAR_FIXTURE",IF(H71="Endcap","CEK Endcap tidak ikut sambung",IF(H71&lt;&gt;B71,"CEK kategori fixture tidak sama dengan KATEGORI",IF(C71="","CEK URUTAN kosong",IF(AND(E71&lt;&gt;"",COUNTIFS(DATA!$I$2:$I$500,E71)=0),"CEK Series tidak ada di DATA","OK")))))))</f>
        <v/>
      </c>
    </row>
    <row r="72">
      <c r="A72" s="10" t="n"/>
      <c r="B72" s="10" t="n"/>
      <c r="C72" s="10" t="n"/>
      <c r="D72" s="11" t="n"/>
      <c r="E72" s="10" t="n"/>
      <c r="F72" s="10" t="n"/>
      <c r="G72" s="12">
        <f>IF(D72="","",IFERROR(INDEX(DAFTAR_FIXTURE!$B$2:$B$51,MATCH(D72,DAFTAR_FIXTURE!$A$2:$A$51,0)),""))</f>
        <v/>
      </c>
      <c r="H72" s="12">
        <f>IF(G72="","",IF(LEFT(G72,4)="Wall","Wall",IF(LEFT(G72,7)="Gondola","Gondola",IF(LEFT(G72,6)="Pallet","Pallet",IF(LEFT(G72,6)="Endcap","Endcap","")))))</f>
        <v/>
      </c>
      <c r="I72" s="12">
        <f>IF(A72="","",IF(D72="","CEK ID FIXTURE kosong",IF(G72="","CEK ID FIXTURE tidak ada di DAFTAR_FIXTURE",IF(H72="Endcap","CEK Endcap tidak ikut sambung",IF(H72&lt;&gt;B72,"CEK kategori fixture tidak sama dengan KATEGORI",IF(C72="","CEK URUTAN kosong",IF(AND(E72&lt;&gt;"",COUNTIFS(DATA!$I$2:$I$500,E72)=0),"CEK Series tidak ada di DATA","OK")))))))</f>
        <v/>
      </c>
    </row>
    <row r="73">
      <c r="A73" s="10" t="n"/>
      <c r="B73" s="10" t="n"/>
      <c r="C73" s="10" t="n"/>
      <c r="D73" s="11" t="n"/>
      <c r="E73" s="10" t="n"/>
      <c r="F73" s="10" t="n"/>
      <c r="G73" s="12">
        <f>IF(D73="","",IFERROR(INDEX(DAFTAR_FIXTURE!$B$2:$B$51,MATCH(D73,DAFTAR_FIXTURE!$A$2:$A$51,0)),""))</f>
        <v/>
      </c>
      <c r="H73" s="12">
        <f>IF(G73="","",IF(LEFT(G73,4)="Wall","Wall",IF(LEFT(G73,7)="Gondola","Gondola",IF(LEFT(G73,6)="Pallet","Pallet",IF(LEFT(G73,6)="Endcap","Endcap","")))))</f>
        <v/>
      </c>
      <c r="I73" s="12">
        <f>IF(A73="","",IF(D73="","CEK ID FIXTURE kosong",IF(G73="","CEK ID FIXTURE tidak ada di DAFTAR_FIXTURE",IF(H73="Endcap","CEK Endcap tidak ikut sambung",IF(H73&lt;&gt;B73,"CEK kategori fixture tidak sama dengan KATEGORI",IF(C73="","CEK URUTAN kosong",IF(AND(E73&lt;&gt;"",COUNTIFS(DATA!$I$2:$I$500,E73)=0),"CEK Series tidak ada di DATA","OK")))))))</f>
        <v/>
      </c>
    </row>
    <row r="74">
      <c r="A74" s="10" t="n"/>
      <c r="B74" s="10" t="n"/>
      <c r="C74" s="10" t="n"/>
      <c r="D74" s="11" t="n"/>
      <c r="E74" s="10" t="n"/>
      <c r="F74" s="10" t="n"/>
      <c r="G74" s="12">
        <f>IF(D74="","",IFERROR(INDEX(DAFTAR_FIXTURE!$B$2:$B$51,MATCH(D74,DAFTAR_FIXTURE!$A$2:$A$51,0)),""))</f>
        <v/>
      </c>
      <c r="H74" s="12">
        <f>IF(G74="","",IF(LEFT(G74,4)="Wall","Wall",IF(LEFT(G74,7)="Gondola","Gondola",IF(LEFT(G74,6)="Pallet","Pallet",IF(LEFT(G74,6)="Endcap","Endcap","")))))</f>
        <v/>
      </c>
      <c r="I74" s="12">
        <f>IF(A74="","",IF(D74="","CEK ID FIXTURE kosong",IF(G74="","CEK ID FIXTURE tidak ada di DAFTAR_FIXTURE",IF(H74="Endcap","CEK Endcap tidak ikut sambung",IF(H74&lt;&gt;B74,"CEK kategori fixture tidak sama dengan KATEGORI",IF(C74="","CEK URUTAN kosong",IF(AND(E74&lt;&gt;"",COUNTIFS(DATA!$I$2:$I$500,E74)=0),"CEK Series tidak ada di DATA","OK")))))))</f>
        <v/>
      </c>
    </row>
    <row r="75">
      <c r="A75" s="10" t="n"/>
      <c r="B75" s="10" t="n"/>
      <c r="C75" s="10" t="n"/>
      <c r="D75" s="11" t="n"/>
      <c r="E75" s="10" t="n"/>
      <c r="F75" s="10" t="n"/>
      <c r="G75" s="12">
        <f>IF(D75="","",IFERROR(INDEX(DAFTAR_FIXTURE!$B$2:$B$51,MATCH(D75,DAFTAR_FIXTURE!$A$2:$A$51,0)),""))</f>
        <v/>
      </c>
      <c r="H75" s="12">
        <f>IF(G75="","",IF(LEFT(G75,4)="Wall","Wall",IF(LEFT(G75,7)="Gondola","Gondola",IF(LEFT(G75,6)="Pallet","Pallet",IF(LEFT(G75,6)="Endcap","Endcap","")))))</f>
        <v/>
      </c>
      <c r="I75" s="12">
        <f>IF(A75="","",IF(D75="","CEK ID FIXTURE kosong",IF(G75="","CEK ID FIXTURE tidak ada di DAFTAR_FIXTURE",IF(H75="Endcap","CEK Endcap tidak ikut sambung",IF(H75&lt;&gt;B75,"CEK kategori fixture tidak sama dengan KATEGORI",IF(C75="","CEK URUTAN kosong",IF(AND(E75&lt;&gt;"",COUNTIFS(DATA!$I$2:$I$500,E75)=0),"CEK Series tidak ada di DATA","OK")))))))</f>
        <v/>
      </c>
    </row>
    <row r="76">
      <c r="A76" s="10" t="n"/>
      <c r="B76" s="10" t="n"/>
      <c r="C76" s="10" t="n"/>
      <c r="D76" s="11" t="n"/>
      <c r="E76" s="10" t="n"/>
      <c r="F76" s="10" t="n"/>
      <c r="G76" s="12">
        <f>IF(D76="","",IFERROR(INDEX(DAFTAR_FIXTURE!$B$2:$B$51,MATCH(D76,DAFTAR_FIXTURE!$A$2:$A$51,0)),""))</f>
        <v/>
      </c>
      <c r="H76" s="12">
        <f>IF(G76="","",IF(LEFT(G76,4)="Wall","Wall",IF(LEFT(G76,7)="Gondola","Gondola",IF(LEFT(G76,6)="Pallet","Pallet",IF(LEFT(G76,6)="Endcap","Endcap","")))))</f>
        <v/>
      </c>
      <c r="I76" s="12">
        <f>IF(A76="","",IF(D76="","CEK ID FIXTURE kosong",IF(G76="","CEK ID FIXTURE tidak ada di DAFTAR_FIXTURE",IF(H76="Endcap","CEK Endcap tidak ikut sambung",IF(H76&lt;&gt;B76,"CEK kategori fixture tidak sama dengan KATEGORI",IF(C76="","CEK URUTAN kosong",IF(AND(E76&lt;&gt;"",COUNTIFS(DATA!$I$2:$I$500,E76)=0),"CEK Series tidak ada di DATA","OK")))))))</f>
        <v/>
      </c>
    </row>
    <row r="77">
      <c r="A77" s="10" t="n"/>
      <c r="B77" s="10" t="n"/>
      <c r="C77" s="10" t="n"/>
      <c r="D77" s="11" t="n"/>
      <c r="E77" s="10" t="n"/>
      <c r="F77" s="10" t="n"/>
      <c r="G77" s="12">
        <f>IF(D77="","",IFERROR(INDEX(DAFTAR_FIXTURE!$B$2:$B$51,MATCH(D77,DAFTAR_FIXTURE!$A$2:$A$51,0)),""))</f>
        <v/>
      </c>
      <c r="H77" s="12">
        <f>IF(G77="","",IF(LEFT(G77,4)="Wall","Wall",IF(LEFT(G77,7)="Gondola","Gondola",IF(LEFT(G77,6)="Pallet","Pallet",IF(LEFT(G77,6)="Endcap","Endcap","")))))</f>
        <v/>
      </c>
      <c r="I77" s="12">
        <f>IF(A77="","",IF(D77="","CEK ID FIXTURE kosong",IF(G77="","CEK ID FIXTURE tidak ada di DAFTAR_FIXTURE",IF(H77="Endcap","CEK Endcap tidak ikut sambung",IF(H77&lt;&gt;B77,"CEK kategori fixture tidak sama dengan KATEGORI",IF(C77="","CEK URUTAN kosong",IF(AND(E77&lt;&gt;"",COUNTIFS(DATA!$I$2:$I$500,E77)=0),"CEK Series tidak ada di DATA","OK")))))))</f>
        <v/>
      </c>
    </row>
    <row r="78">
      <c r="A78" s="10" t="n"/>
      <c r="B78" s="10" t="n"/>
      <c r="C78" s="10" t="n"/>
      <c r="D78" s="11" t="n"/>
      <c r="E78" s="10" t="n"/>
      <c r="F78" s="10" t="n"/>
      <c r="G78" s="12">
        <f>IF(D78="","",IFERROR(INDEX(DAFTAR_FIXTURE!$B$2:$B$51,MATCH(D78,DAFTAR_FIXTURE!$A$2:$A$51,0)),""))</f>
        <v/>
      </c>
      <c r="H78" s="12">
        <f>IF(G78="","",IF(LEFT(G78,4)="Wall","Wall",IF(LEFT(G78,7)="Gondola","Gondola",IF(LEFT(G78,6)="Pallet","Pallet",IF(LEFT(G78,6)="Endcap","Endcap","")))))</f>
        <v/>
      </c>
      <c r="I78" s="12">
        <f>IF(A78="","",IF(D78="","CEK ID FIXTURE kosong",IF(G78="","CEK ID FIXTURE tidak ada di DAFTAR_FIXTURE",IF(H78="Endcap","CEK Endcap tidak ikut sambung",IF(H78&lt;&gt;B78,"CEK kategori fixture tidak sama dengan KATEGORI",IF(C78="","CEK URUTAN kosong",IF(AND(E78&lt;&gt;"",COUNTIFS(DATA!$I$2:$I$500,E78)=0),"CEK Series tidak ada di DATA","OK")))))))</f>
        <v/>
      </c>
    </row>
    <row r="79">
      <c r="A79" s="10" t="n"/>
      <c r="B79" s="10" t="n"/>
      <c r="C79" s="10" t="n"/>
      <c r="D79" s="11" t="n"/>
      <c r="E79" s="10" t="n"/>
      <c r="F79" s="10" t="n"/>
      <c r="G79" s="12">
        <f>IF(D79="","",IFERROR(INDEX(DAFTAR_FIXTURE!$B$2:$B$51,MATCH(D79,DAFTAR_FIXTURE!$A$2:$A$51,0)),""))</f>
        <v/>
      </c>
      <c r="H79" s="12">
        <f>IF(G79="","",IF(LEFT(G79,4)="Wall","Wall",IF(LEFT(G79,7)="Gondola","Gondola",IF(LEFT(G79,6)="Pallet","Pallet",IF(LEFT(G79,6)="Endcap","Endcap","")))))</f>
        <v/>
      </c>
      <c r="I79" s="12">
        <f>IF(A79="","",IF(D79="","CEK ID FIXTURE kosong",IF(G79="","CEK ID FIXTURE tidak ada di DAFTAR_FIXTURE",IF(H79="Endcap","CEK Endcap tidak ikut sambung",IF(H79&lt;&gt;B79,"CEK kategori fixture tidak sama dengan KATEGORI",IF(C79="","CEK URUTAN kosong",IF(AND(E79&lt;&gt;"",COUNTIFS(DATA!$I$2:$I$500,E79)=0),"CEK Series tidak ada di DATA","OK")))))))</f>
        <v/>
      </c>
    </row>
    <row r="80">
      <c r="A80" s="10" t="n"/>
      <c r="B80" s="10" t="n"/>
      <c r="C80" s="10" t="n"/>
      <c r="D80" s="11" t="n"/>
      <c r="E80" s="10" t="n"/>
      <c r="F80" s="10" t="n"/>
      <c r="G80" s="12">
        <f>IF(D80="","",IFERROR(INDEX(DAFTAR_FIXTURE!$B$2:$B$51,MATCH(D80,DAFTAR_FIXTURE!$A$2:$A$51,0)),""))</f>
        <v/>
      </c>
      <c r="H80" s="12">
        <f>IF(G80="","",IF(LEFT(G80,4)="Wall","Wall",IF(LEFT(G80,7)="Gondola","Gondola",IF(LEFT(G80,6)="Pallet","Pallet",IF(LEFT(G80,6)="Endcap","Endcap","")))))</f>
        <v/>
      </c>
      <c r="I80" s="12">
        <f>IF(A80="","",IF(D80="","CEK ID FIXTURE kosong",IF(G80="","CEK ID FIXTURE tidak ada di DAFTAR_FIXTURE",IF(H80="Endcap","CEK Endcap tidak ikut sambung",IF(H80&lt;&gt;B80,"CEK kategori fixture tidak sama dengan KATEGORI",IF(C80="","CEK URUTAN kosong",IF(AND(E80&lt;&gt;"",COUNTIFS(DATA!$I$2:$I$500,E80)=0),"CEK Series tidak ada di DATA","OK")))))))</f>
        <v/>
      </c>
    </row>
    <row r="81">
      <c r="A81" s="10" t="n"/>
      <c r="B81" s="10" t="n"/>
      <c r="C81" s="10" t="n"/>
      <c r="D81" s="11" t="n"/>
      <c r="E81" s="10" t="n"/>
      <c r="F81" s="10" t="n"/>
      <c r="G81" s="12">
        <f>IF(D81="","",IFERROR(INDEX(DAFTAR_FIXTURE!$B$2:$B$51,MATCH(D81,DAFTAR_FIXTURE!$A$2:$A$51,0)),""))</f>
        <v/>
      </c>
      <c r="H81" s="12">
        <f>IF(G81="","",IF(LEFT(G81,4)="Wall","Wall",IF(LEFT(G81,7)="Gondola","Gondola",IF(LEFT(G81,6)="Pallet","Pallet",IF(LEFT(G81,6)="Endcap","Endcap","")))))</f>
        <v/>
      </c>
      <c r="I81" s="12">
        <f>IF(A81="","",IF(D81="","CEK ID FIXTURE kosong",IF(G81="","CEK ID FIXTURE tidak ada di DAFTAR_FIXTURE",IF(H81="Endcap","CEK Endcap tidak ikut sambung",IF(H81&lt;&gt;B81,"CEK kategori fixture tidak sama dengan KATEGORI",IF(C81="","CEK URUTAN kosong",IF(AND(E81&lt;&gt;"",COUNTIFS(DATA!$I$2:$I$500,E81)=0),"CEK Series tidak ada di DATA","OK")))))))</f>
        <v/>
      </c>
    </row>
    <row r="82">
      <c r="A82" s="10" t="n"/>
      <c r="B82" s="10" t="n"/>
      <c r="C82" s="10" t="n"/>
      <c r="D82" s="11" t="n"/>
      <c r="E82" s="10" t="n"/>
      <c r="F82" s="10" t="n"/>
      <c r="G82" s="12">
        <f>IF(D82="","",IFERROR(INDEX(DAFTAR_FIXTURE!$B$2:$B$51,MATCH(D82,DAFTAR_FIXTURE!$A$2:$A$51,0)),""))</f>
        <v/>
      </c>
      <c r="H82" s="12">
        <f>IF(G82="","",IF(LEFT(G82,4)="Wall","Wall",IF(LEFT(G82,7)="Gondola","Gondola",IF(LEFT(G82,6)="Pallet","Pallet",IF(LEFT(G82,6)="Endcap","Endcap","")))))</f>
        <v/>
      </c>
      <c r="I82" s="12">
        <f>IF(A82="","",IF(D82="","CEK ID FIXTURE kosong",IF(G82="","CEK ID FIXTURE tidak ada di DAFTAR_FIXTURE",IF(H82="Endcap","CEK Endcap tidak ikut sambung",IF(H82&lt;&gt;B82,"CEK kategori fixture tidak sama dengan KATEGORI",IF(C82="","CEK URUTAN kosong",IF(AND(E82&lt;&gt;"",COUNTIFS(DATA!$I$2:$I$500,E82)=0),"CEK Series tidak ada di DATA","OK")))))))</f>
        <v/>
      </c>
    </row>
    <row r="83">
      <c r="A83" s="10" t="n"/>
      <c r="B83" s="10" t="n"/>
      <c r="C83" s="10" t="n"/>
      <c r="D83" s="11" t="n"/>
      <c r="E83" s="10" t="n"/>
      <c r="F83" s="10" t="n"/>
      <c r="G83" s="12">
        <f>IF(D83="","",IFERROR(INDEX(DAFTAR_FIXTURE!$B$2:$B$51,MATCH(D83,DAFTAR_FIXTURE!$A$2:$A$51,0)),""))</f>
        <v/>
      </c>
      <c r="H83" s="12">
        <f>IF(G83="","",IF(LEFT(G83,4)="Wall","Wall",IF(LEFT(G83,7)="Gondola","Gondola",IF(LEFT(G83,6)="Pallet","Pallet",IF(LEFT(G83,6)="Endcap","Endcap","")))))</f>
        <v/>
      </c>
      <c r="I83" s="12">
        <f>IF(A83="","",IF(D83="","CEK ID FIXTURE kosong",IF(G83="","CEK ID FIXTURE tidak ada di DAFTAR_FIXTURE",IF(H83="Endcap","CEK Endcap tidak ikut sambung",IF(H83&lt;&gt;B83,"CEK kategori fixture tidak sama dengan KATEGORI",IF(C83="","CEK URUTAN kosong",IF(AND(E83&lt;&gt;"",COUNTIFS(DATA!$I$2:$I$500,E83)=0),"CEK Series tidak ada di DATA","OK")))))))</f>
        <v/>
      </c>
    </row>
    <row r="84">
      <c r="A84" s="10" t="n"/>
      <c r="B84" s="10" t="n"/>
      <c r="C84" s="10" t="n"/>
      <c r="D84" s="11" t="n"/>
      <c r="E84" s="10" t="n"/>
      <c r="F84" s="10" t="n"/>
      <c r="G84" s="12">
        <f>IF(D84="","",IFERROR(INDEX(DAFTAR_FIXTURE!$B$2:$B$51,MATCH(D84,DAFTAR_FIXTURE!$A$2:$A$51,0)),""))</f>
        <v/>
      </c>
      <c r="H84" s="12">
        <f>IF(G84="","",IF(LEFT(G84,4)="Wall","Wall",IF(LEFT(G84,7)="Gondola","Gondola",IF(LEFT(G84,6)="Pallet","Pallet",IF(LEFT(G84,6)="Endcap","Endcap","")))))</f>
        <v/>
      </c>
      <c r="I84" s="12">
        <f>IF(A84="","",IF(D84="","CEK ID FIXTURE kosong",IF(G84="","CEK ID FIXTURE tidak ada di DAFTAR_FIXTURE",IF(H84="Endcap","CEK Endcap tidak ikut sambung",IF(H84&lt;&gt;B84,"CEK kategori fixture tidak sama dengan KATEGORI",IF(C84="","CEK URUTAN kosong",IF(AND(E84&lt;&gt;"",COUNTIFS(DATA!$I$2:$I$500,E84)=0),"CEK Series tidak ada di DATA","OK")))))))</f>
        <v/>
      </c>
    </row>
    <row r="85">
      <c r="A85" s="10" t="n"/>
      <c r="B85" s="10" t="n"/>
      <c r="C85" s="10" t="n"/>
      <c r="D85" s="11" t="n"/>
      <c r="E85" s="10" t="n"/>
      <c r="F85" s="10" t="n"/>
      <c r="G85" s="12">
        <f>IF(D85="","",IFERROR(INDEX(DAFTAR_FIXTURE!$B$2:$B$51,MATCH(D85,DAFTAR_FIXTURE!$A$2:$A$51,0)),""))</f>
        <v/>
      </c>
      <c r="H85" s="12">
        <f>IF(G85="","",IF(LEFT(G85,4)="Wall","Wall",IF(LEFT(G85,7)="Gondola","Gondola",IF(LEFT(G85,6)="Pallet","Pallet",IF(LEFT(G85,6)="Endcap","Endcap","")))))</f>
        <v/>
      </c>
      <c r="I85" s="12">
        <f>IF(A85="","",IF(D85="","CEK ID FIXTURE kosong",IF(G85="","CEK ID FIXTURE tidak ada di DAFTAR_FIXTURE",IF(H85="Endcap","CEK Endcap tidak ikut sambung",IF(H85&lt;&gt;B85,"CEK kategori fixture tidak sama dengan KATEGORI",IF(C85="","CEK URUTAN kosong",IF(AND(E85&lt;&gt;"",COUNTIFS(DATA!$I$2:$I$500,E85)=0),"CEK Series tidak ada di DATA","OK")))))))</f>
        <v/>
      </c>
    </row>
    <row r="86">
      <c r="A86" s="10" t="n"/>
      <c r="B86" s="10" t="n"/>
      <c r="C86" s="10" t="n"/>
      <c r="D86" s="11" t="n"/>
      <c r="E86" s="10" t="n"/>
      <c r="F86" s="10" t="n"/>
      <c r="G86" s="12">
        <f>IF(D86="","",IFERROR(INDEX(DAFTAR_FIXTURE!$B$2:$B$51,MATCH(D86,DAFTAR_FIXTURE!$A$2:$A$51,0)),""))</f>
        <v/>
      </c>
      <c r="H86" s="12">
        <f>IF(G86="","",IF(LEFT(G86,4)="Wall","Wall",IF(LEFT(G86,7)="Gondola","Gondola",IF(LEFT(G86,6)="Pallet","Pallet",IF(LEFT(G86,6)="Endcap","Endcap","")))))</f>
        <v/>
      </c>
      <c r="I86" s="12">
        <f>IF(A86="","",IF(D86="","CEK ID FIXTURE kosong",IF(G86="","CEK ID FIXTURE tidak ada di DAFTAR_FIXTURE",IF(H86="Endcap","CEK Endcap tidak ikut sambung",IF(H86&lt;&gt;B86,"CEK kategori fixture tidak sama dengan KATEGORI",IF(C86="","CEK URUTAN kosong",IF(AND(E86&lt;&gt;"",COUNTIFS(DATA!$I$2:$I$500,E86)=0),"CEK Series tidak ada di DATA","OK")))))))</f>
        <v/>
      </c>
    </row>
    <row r="87">
      <c r="A87" s="10" t="n"/>
      <c r="B87" s="10" t="n"/>
      <c r="C87" s="10" t="n"/>
      <c r="D87" s="11" t="n"/>
      <c r="E87" s="10" t="n"/>
      <c r="F87" s="10" t="n"/>
      <c r="G87" s="12">
        <f>IF(D87="","",IFERROR(INDEX(DAFTAR_FIXTURE!$B$2:$B$51,MATCH(D87,DAFTAR_FIXTURE!$A$2:$A$51,0)),""))</f>
        <v/>
      </c>
      <c r="H87" s="12">
        <f>IF(G87="","",IF(LEFT(G87,4)="Wall","Wall",IF(LEFT(G87,7)="Gondola","Gondola",IF(LEFT(G87,6)="Pallet","Pallet",IF(LEFT(G87,6)="Endcap","Endcap","")))))</f>
        <v/>
      </c>
      <c r="I87" s="12">
        <f>IF(A87="","",IF(D87="","CEK ID FIXTURE kosong",IF(G87="","CEK ID FIXTURE tidak ada di DAFTAR_FIXTURE",IF(H87="Endcap","CEK Endcap tidak ikut sambung",IF(H87&lt;&gt;B87,"CEK kategori fixture tidak sama dengan KATEGORI",IF(C87="","CEK URUTAN kosong",IF(AND(E87&lt;&gt;"",COUNTIFS(DATA!$I$2:$I$500,E87)=0),"CEK Series tidak ada di DATA","OK")))))))</f>
        <v/>
      </c>
    </row>
    <row r="88">
      <c r="A88" s="10" t="n"/>
      <c r="B88" s="10" t="n"/>
      <c r="C88" s="10" t="n"/>
      <c r="D88" s="11" t="n"/>
      <c r="E88" s="10" t="n"/>
      <c r="F88" s="10" t="n"/>
      <c r="G88" s="12">
        <f>IF(D88="","",IFERROR(INDEX(DAFTAR_FIXTURE!$B$2:$B$51,MATCH(D88,DAFTAR_FIXTURE!$A$2:$A$51,0)),""))</f>
        <v/>
      </c>
      <c r="H88" s="12">
        <f>IF(G88="","",IF(LEFT(G88,4)="Wall","Wall",IF(LEFT(G88,7)="Gondola","Gondola",IF(LEFT(G88,6)="Pallet","Pallet",IF(LEFT(G88,6)="Endcap","Endcap","")))))</f>
        <v/>
      </c>
      <c r="I88" s="12">
        <f>IF(A88="","",IF(D88="","CEK ID FIXTURE kosong",IF(G88="","CEK ID FIXTURE tidak ada di DAFTAR_FIXTURE",IF(H88="Endcap","CEK Endcap tidak ikut sambung",IF(H88&lt;&gt;B88,"CEK kategori fixture tidak sama dengan KATEGORI",IF(C88="","CEK URUTAN kosong",IF(AND(E88&lt;&gt;"",COUNTIFS(DATA!$I$2:$I$500,E88)=0),"CEK Series tidak ada di DATA","OK")))))))</f>
        <v/>
      </c>
    </row>
    <row r="89">
      <c r="A89" s="10" t="n"/>
      <c r="B89" s="10" t="n"/>
      <c r="C89" s="10" t="n"/>
      <c r="D89" s="11" t="n"/>
      <c r="E89" s="10" t="n"/>
      <c r="F89" s="10" t="n"/>
      <c r="G89" s="12">
        <f>IF(D89="","",IFERROR(INDEX(DAFTAR_FIXTURE!$B$2:$B$51,MATCH(D89,DAFTAR_FIXTURE!$A$2:$A$51,0)),""))</f>
        <v/>
      </c>
      <c r="H89" s="12">
        <f>IF(G89="","",IF(LEFT(G89,4)="Wall","Wall",IF(LEFT(G89,7)="Gondola","Gondola",IF(LEFT(G89,6)="Pallet","Pallet",IF(LEFT(G89,6)="Endcap","Endcap","")))))</f>
        <v/>
      </c>
      <c r="I89" s="12">
        <f>IF(A89="","",IF(D89="","CEK ID FIXTURE kosong",IF(G89="","CEK ID FIXTURE tidak ada di DAFTAR_FIXTURE",IF(H89="Endcap","CEK Endcap tidak ikut sambung",IF(H89&lt;&gt;B89,"CEK kategori fixture tidak sama dengan KATEGORI",IF(C89="","CEK URUTAN kosong",IF(AND(E89&lt;&gt;"",COUNTIFS(DATA!$I$2:$I$500,E89)=0),"CEK Series tidak ada di DATA","OK")))))))</f>
        <v/>
      </c>
    </row>
    <row r="90">
      <c r="A90" s="10" t="n"/>
      <c r="B90" s="10" t="n"/>
      <c r="C90" s="10" t="n"/>
      <c r="D90" s="11" t="n"/>
      <c r="E90" s="10" t="n"/>
      <c r="F90" s="10" t="n"/>
      <c r="G90" s="12">
        <f>IF(D90="","",IFERROR(INDEX(DAFTAR_FIXTURE!$B$2:$B$51,MATCH(D90,DAFTAR_FIXTURE!$A$2:$A$51,0)),""))</f>
        <v/>
      </c>
      <c r="H90" s="12">
        <f>IF(G90="","",IF(LEFT(G90,4)="Wall","Wall",IF(LEFT(G90,7)="Gondola","Gondola",IF(LEFT(G90,6)="Pallet","Pallet",IF(LEFT(G90,6)="Endcap","Endcap","")))))</f>
        <v/>
      </c>
      <c r="I90" s="12">
        <f>IF(A90="","",IF(D90="","CEK ID FIXTURE kosong",IF(G90="","CEK ID FIXTURE tidak ada di DAFTAR_FIXTURE",IF(H90="Endcap","CEK Endcap tidak ikut sambung",IF(H90&lt;&gt;B90,"CEK kategori fixture tidak sama dengan KATEGORI",IF(C90="","CEK URUTAN kosong",IF(AND(E90&lt;&gt;"",COUNTIFS(DATA!$I$2:$I$500,E90)=0),"CEK Series tidak ada di DATA","OK")))))))</f>
        <v/>
      </c>
    </row>
    <row r="91">
      <c r="A91" s="10" t="n"/>
      <c r="B91" s="10" t="n"/>
      <c r="C91" s="10" t="n"/>
      <c r="D91" s="11" t="n"/>
      <c r="E91" s="10" t="n"/>
      <c r="F91" s="10" t="n"/>
      <c r="G91" s="12">
        <f>IF(D91="","",IFERROR(INDEX(DAFTAR_FIXTURE!$B$2:$B$51,MATCH(D91,DAFTAR_FIXTURE!$A$2:$A$51,0)),""))</f>
        <v/>
      </c>
      <c r="H91" s="12">
        <f>IF(G91="","",IF(LEFT(G91,4)="Wall","Wall",IF(LEFT(G91,7)="Gondola","Gondola",IF(LEFT(G91,6)="Pallet","Pallet",IF(LEFT(G91,6)="Endcap","Endcap","")))))</f>
        <v/>
      </c>
      <c r="I91" s="12">
        <f>IF(A91="","",IF(D91="","CEK ID FIXTURE kosong",IF(G91="","CEK ID FIXTURE tidak ada di DAFTAR_FIXTURE",IF(H91="Endcap","CEK Endcap tidak ikut sambung",IF(H91&lt;&gt;B91,"CEK kategori fixture tidak sama dengan KATEGORI",IF(C91="","CEK URUTAN kosong",IF(AND(E91&lt;&gt;"",COUNTIFS(DATA!$I$2:$I$500,E91)=0),"CEK Series tidak ada di DATA","OK")))))))</f>
        <v/>
      </c>
    </row>
    <row r="92">
      <c r="A92" s="10" t="n"/>
      <c r="B92" s="10" t="n"/>
      <c r="C92" s="10" t="n"/>
      <c r="D92" s="11" t="n"/>
      <c r="E92" s="10" t="n"/>
      <c r="F92" s="10" t="n"/>
      <c r="G92" s="12">
        <f>IF(D92="","",IFERROR(INDEX(DAFTAR_FIXTURE!$B$2:$B$51,MATCH(D92,DAFTAR_FIXTURE!$A$2:$A$51,0)),""))</f>
        <v/>
      </c>
      <c r="H92" s="12">
        <f>IF(G92="","",IF(LEFT(G92,4)="Wall","Wall",IF(LEFT(G92,7)="Gondola","Gondola",IF(LEFT(G92,6)="Pallet","Pallet",IF(LEFT(G92,6)="Endcap","Endcap","")))))</f>
        <v/>
      </c>
      <c r="I92" s="12">
        <f>IF(A92="","",IF(D92="","CEK ID FIXTURE kosong",IF(G92="","CEK ID FIXTURE tidak ada di DAFTAR_FIXTURE",IF(H92="Endcap","CEK Endcap tidak ikut sambung",IF(H92&lt;&gt;B92,"CEK kategori fixture tidak sama dengan KATEGORI",IF(C92="","CEK URUTAN kosong",IF(AND(E92&lt;&gt;"",COUNTIFS(DATA!$I$2:$I$500,E92)=0),"CEK Series tidak ada di DATA","OK")))))))</f>
        <v/>
      </c>
    </row>
    <row r="93">
      <c r="A93" s="10" t="n"/>
      <c r="B93" s="10" t="n"/>
      <c r="C93" s="10" t="n"/>
      <c r="D93" s="11" t="n"/>
      <c r="E93" s="10" t="n"/>
      <c r="F93" s="10" t="n"/>
      <c r="G93" s="12">
        <f>IF(D93="","",IFERROR(INDEX(DAFTAR_FIXTURE!$B$2:$B$51,MATCH(D93,DAFTAR_FIXTURE!$A$2:$A$51,0)),""))</f>
        <v/>
      </c>
      <c r="H93" s="12">
        <f>IF(G93="","",IF(LEFT(G93,4)="Wall","Wall",IF(LEFT(G93,7)="Gondola","Gondola",IF(LEFT(G93,6)="Pallet","Pallet",IF(LEFT(G93,6)="Endcap","Endcap","")))))</f>
        <v/>
      </c>
      <c r="I93" s="12">
        <f>IF(A93="","",IF(D93="","CEK ID FIXTURE kosong",IF(G93="","CEK ID FIXTURE tidak ada di DAFTAR_FIXTURE",IF(H93="Endcap","CEK Endcap tidak ikut sambung",IF(H93&lt;&gt;B93,"CEK kategori fixture tidak sama dengan KATEGORI",IF(C93="","CEK URUTAN kosong",IF(AND(E93&lt;&gt;"",COUNTIFS(DATA!$I$2:$I$500,E93)=0),"CEK Series tidak ada di DATA","OK")))))))</f>
        <v/>
      </c>
    </row>
    <row r="94">
      <c r="A94" s="10" t="n"/>
      <c r="B94" s="10" t="n"/>
      <c r="C94" s="10" t="n"/>
      <c r="D94" s="11" t="n"/>
      <c r="E94" s="10" t="n"/>
      <c r="F94" s="10" t="n"/>
      <c r="G94" s="12">
        <f>IF(D94="","",IFERROR(INDEX(DAFTAR_FIXTURE!$B$2:$B$51,MATCH(D94,DAFTAR_FIXTURE!$A$2:$A$51,0)),""))</f>
        <v/>
      </c>
      <c r="H94" s="12">
        <f>IF(G94="","",IF(LEFT(G94,4)="Wall","Wall",IF(LEFT(G94,7)="Gondola","Gondola",IF(LEFT(G94,6)="Pallet","Pallet",IF(LEFT(G94,6)="Endcap","Endcap","")))))</f>
        <v/>
      </c>
      <c r="I94" s="12">
        <f>IF(A94="","",IF(D94="","CEK ID FIXTURE kosong",IF(G94="","CEK ID FIXTURE tidak ada di DAFTAR_FIXTURE",IF(H94="Endcap","CEK Endcap tidak ikut sambung",IF(H94&lt;&gt;B94,"CEK kategori fixture tidak sama dengan KATEGORI",IF(C94="","CEK URUTAN kosong",IF(AND(E94&lt;&gt;"",COUNTIFS(DATA!$I$2:$I$500,E94)=0),"CEK Series tidak ada di DATA","OK")))))))</f>
        <v/>
      </c>
    </row>
    <row r="95">
      <c r="A95" s="10" t="n"/>
      <c r="B95" s="10" t="n"/>
      <c r="C95" s="10" t="n"/>
      <c r="D95" s="11" t="n"/>
      <c r="E95" s="10" t="n"/>
      <c r="F95" s="10" t="n"/>
      <c r="G95" s="12">
        <f>IF(D95="","",IFERROR(INDEX(DAFTAR_FIXTURE!$B$2:$B$51,MATCH(D95,DAFTAR_FIXTURE!$A$2:$A$51,0)),""))</f>
        <v/>
      </c>
      <c r="H95" s="12">
        <f>IF(G95="","",IF(LEFT(G95,4)="Wall","Wall",IF(LEFT(G95,7)="Gondola","Gondola",IF(LEFT(G95,6)="Pallet","Pallet",IF(LEFT(G95,6)="Endcap","Endcap","")))))</f>
        <v/>
      </c>
      <c r="I95" s="12">
        <f>IF(A95="","",IF(D95="","CEK ID FIXTURE kosong",IF(G95="","CEK ID FIXTURE tidak ada di DAFTAR_FIXTURE",IF(H95="Endcap","CEK Endcap tidak ikut sambung",IF(H95&lt;&gt;B95,"CEK kategori fixture tidak sama dengan KATEGORI",IF(C95="","CEK URUTAN kosong",IF(AND(E95&lt;&gt;"",COUNTIFS(DATA!$I$2:$I$500,E95)=0),"CEK Series tidak ada di DATA","OK")))))))</f>
        <v/>
      </c>
    </row>
    <row r="96">
      <c r="A96" s="10" t="n"/>
      <c r="B96" s="10" t="n"/>
      <c r="C96" s="10" t="n"/>
      <c r="D96" s="11" t="n"/>
      <c r="E96" s="10" t="n"/>
      <c r="F96" s="10" t="n"/>
      <c r="G96" s="12">
        <f>IF(D96="","",IFERROR(INDEX(DAFTAR_FIXTURE!$B$2:$B$51,MATCH(D96,DAFTAR_FIXTURE!$A$2:$A$51,0)),""))</f>
        <v/>
      </c>
      <c r="H96" s="12">
        <f>IF(G96="","",IF(LEFT(G96,4)="Wall","Wall",IF(LEFT(G96,7)="Gondola","Gondola",IF(LEFT(G96,6)="Pallet","Pallet",IF(LEFT(G96,6)="Endcap","Endcap","")))))</f>
        <v/>
      </c>
      <c r="I96" s="12">
        <f>IF(A96="","",IF(D96="","CEK ID FIXTURE kosong",IF(G96="","CEK ID FIXTURE tidak ada di DAFTAR_FIXTURE",IF(H96="Endcap","CEK Endcap tidak ikut sambung",IF(H96&lt;&gt;B96,"CEK kategori fixture tidak sama dengan KATEGORI",IF(C96="","CEK URUTAN kosong",IF(AND(E96&lt;&gt;"",COUNTIFS(DATA!$I$2:$I$500,E96)=0),"CEK Series tidak ada di DATA","OK")))))))</f>
        <v/>
      </c>
    </row>
    <row r="97">
      <c r="A97" s="10" t="n"/>
      <c r="B97" s="10" t="n"/>
      <c r="C97" s="10" t="n"/>
      <c r="D97" s="11" t="n"/>
      <c r="E97" s="10" t="n"/>
      <c r="F97" s="10" t="n"/>
      <c r="G97" s="12">
        <f>IF(D97="","",IFERROR(INDEX(DAFTAR_FIXTURE!$B$2:$B$51,MATCH(D97,DAFTAR_FIXTURE!$A$2:$A$51,0)),""))</f>
        <v/>
      </c>
      <c r="H97" s="12">
        <f>IF(G97="","",IF(LEFT(G97,4)="Wall","Wall",IF(LEFT(G97,7)="Gondola","Gondola",IF(LEFT(G97,6)="Pallet","Pallet",IF(LEFT(G97,6)="Endcap","Endcap","")))))</f>
        <v/>
      </c>
      <c r="I97" s="12">
        <f>IF(A97="","",IF(D97="","CEK ID FIXTURE kosong",IF(G97="","CEK ID FIXTURE tidak ada di DAFTAR_FIXTURE",IF(H97="Endcap","CEK Endcap tidak ikut sambung",IF(H97&lt;&gt;B97,"CEK kategori fixture tidak sama dengan KATEGORI",IF(C97="","CEK URUTAN kosong",IF(AND(E97&lt;&gt;"",COUNTIFS(DATA!$I$2:$I$500,E97)=0),"CEK Series tidak ada di DATA","OK")))))))</f>
        <v/>
      </c>
    </row>
    <row r="98">
      <c r="A98" s="10" t="n"/>
      <c r="B98" s="10" t="n"/>
      <c r="C98" s="10" t="n"/>
      <c r="D98" s="11" t="n"/>
      <c r="E98" s="10" t="n"/>
      <c r="F98" s="10" t="n"/>
      <c r="G98" s="12">
        <f>IF(D98="","",IFERROR(INDEX(DAFTAR_FIXTURE!$B$2:$B$51,MATCH(D98,DAFTAR_FIXTURE!$A$2:$A$51,0)),""))</f>
        <v/>
      </c>
      <c r="H98" s="12">
        <f>IF(G98="","",IF(LEFT(G98,4)="Wall","Wall",IF(LEFT(G98,7)="Gondola","Gondola",IF(LEFT(G98,6)="Pallet","Pallet",IF(LEFT(G98,6)="Endcap","Endcap","")))))</f>
        <v/>
      </c>
      <c r="I98" s="12">
        <f>IF(A98="","",IF(D98="","CEK ID FIXTURE kosong",IF(G98="","CEK ID FIXTURE tidak ada di DAFTAR_FIXTURE",IF(H98="Endcap","CEK Endcap tidak ikut sambung",IF(H98&lt;&gt;B98,"CEK kategori fixture tidak sama dengan KATEGORI",IF(C98="","CEK URUTAN kosong",IF(AND(E98&lt;&gt;"",COUNTIFS(DATA!$I$2:$I$500,E98)=0),"CEK Series tidak ada di DATA","OK")))))))</f>
        <v/>
      </c>
    </row>
    <row r="99">
      <c r="A99" s="10" t="n"/>
      <c r="B99" s="10" t="n"/>
      <c r="C99" s="10" t="n"/>
      <c r="D99" s="11" t="n"/>
      <c r="E99" s="10" t="n"/>
      <c r="F99" s="10" t="n"/>
      <c r="G99" s="12">
        <f>IF(D99="","",IFERROR(INDEX(DAFTAR_FIXTURE!$B$2:$B$51,MATCH(D99,DAFTAR_FIXTURE!$A$2:$A$51,0)),""))</f>
        <v/>
      </c>
      <c r="H99" s="12">
        <f>IF(G99="","",IF(LEFT(G99,4)="Wall","Wall",IF(LEFT(G99,7)="Gondola","Gondola",IF(LEFT(G99,6)="Pallet","Pallet",IF(LEFT(G99,6)="Endcap","Endcap","")))))</f>
        <v/>
      </c>
      <c r="I99" s="12">
        <f>IF(A99="","",IF(D99="","CEK ID FIXTURE kosong",IF(G99="","CEK ID FIXTURE tidak ada di DAFTAR_FIXTURE",IF(H99="Endcap","CEK Endcap tidak ikut sambung",IF(H99&lt;&gt;B99,"CEK kategori fixture tidak sama dengan KATEGORI",IF(C99="","CEK URUTAN kosong",IF(AND(E99&lt;&gt;"",COUNTIFS(DATA!$I$2:$I$500,E99)=0),"CEK Series tidak ada di DATA","OK")))))))</f>
        <v/>
      </c>
    </row>
    <row r="100">
      <c r="A100" s="10" t="n"/>
      <c r="B100" s="10" t="n"/>
      <c r="C100" s="10" t="n"/>
      <c r="D100" s="11" t="n"/>
      <c r="E100" s="10" t="n"/>
      <c r="F100" s="10" t="n"/>
      <c r="G100" s="12">
        <f>IF(D100="","",IFERROR(INDEX(DAFTAR_FIXTURE!$B$2:$B$51,MATCH(D100,DAFTAR_FIXTURE!$A$2:$A$51,0)),""))</f>
        <v/>
      </c>
      <c r="H100" s="12">
        <f>IF(G100="","",IF(LEFT(G100,4)="Wall","Wall",IF(LEFT(G100,7)="Gondola","Gondola",IF(LEFT(G100,6)="Pallet","Pallet",IF(LEFT(G100,6)="Endcap","Endcap","")))))</f>
        <v/>
      </c>
      <c r="I100" s="12">
        <f>IF(A100="","",IF(D100="","CEK ID FIXTURE kosong",IF(G100="","CEK ID FIXTURE tidak ada di DAFTAR_FIXTURE",IF(H100="Endcap","CEK Endcap tidak ikut sambung",IF(H100&lt;&gt;B100,"CEK kategori fixture tidak sama dengan KATEGORI",IF(C100="","CEK URUTAN kosong",IF(AND(E100&lt;&gt;"",COUNTIFS(DATA!$I$2:$I$500,E100)=0),"CEK Series tidak ada di DATA","OK")))))))</f>
        <v/>
      </c>
    </row>
    <row r="101">
      <c r="A101" s="10" t="n"/>
      <c r="B101" s="10" t="n"/>
      <c r="C101" s="10" t="n"/>
      <c r="D101" s="11" t="n"/>
      <c r="E101" s="10" t="n"/>
      <c r="F101" s="10" t="n"/>
      <c r="G101" s="12">
        <f>IF(D101="","",IFERROR(INDEX(DAFTAR_FIXTURE!$B$2:$B$51,MATCH(D101,DAFTAR_FIXTURE!$A$2:$A$51,0)),""))</f>
        <v/>
      </c>
      <c r="H101" s="12">
        <f>IF(G101="","",IF(LEFT(G101,4)="Wall","Wall",IF(LEFT(G101,7)="Gondola","Gondola",IF(LEFT(G101,6)="Pallet","Pallet",IF(LEFT(G101,6)="Endcap","Endcap","")))))</f>
        <v/>
      </c>
      <c r="I101" s="12">
        <f>IF(A101="","",IF(D101="","CEK ID FIXTURE kosong",IF(G101="","CEK ID FIXTURE tidak ada di DAFTAR_FIXTURE",IF(H101="Endcap","CEK Endcap tidak ikut sambung",IF(H101&lt;&gt;B101,"CEK kategori fixture tidak sama dengan KATEGORI",IF(C101="","CEK URUTAN kosong",IF(AND(E101&lt;&gt;"",COUNTIFS(DATA!$I$2:$I$500,E101)=0),"CEK Series tidak ada di DATA","OK")))))))</f>
        <v/>
      </c>
    </row>
    <row r="102">
      <c r="A102" s="10" t="n"/>
      <c r="B102" s="10" t="n"/>
      <c r="C102" s="10" t="n"/>
      <c r="D102" s="11" t="n"/>
      <c r="E102" s="10" t="n"/>
      <c r="F102" s="10" t="n"/>
      <c r="G102" s="12">
        <f>IF(D102="","",IFERROR(INDEX(DAFTAR_FIXTURE!$B$2:$B$51,MATCH(D102,DAFTAR_FIXTURE!$A$2:$A$51,0)),""))</f>
        <v/>
      </c>
      <c r="H102" s="12">
        <f>IF(G102="","",IF(LEFT(G102,4)="Wall","Wall",IF(LEFT(G102,7)="Gondola","Gondola",IF(LEFT(G102,6)="Pallet","Pallet",IF(LEFT(G102,6)="Endcap","Endcap","")))))</f>
        <v/>
      </c>
      <c r="I102" s="12">
        <f>IF(A102="","",IF(D102="","CEK ID FIXTURE kosong",IF(G102="","CEK ID FIXTURE tidak ada di DAFTAR_FIXTURE",IF(H102="Endcap","CEK Endcap tidak ikut sambung",IF(H102&lt;&gt;B102,"CEK kategori fixture tidak sama dengan KATEGORI",IF(C102="","CEK URUTAN kosong",IF(AND(E102&lt;&gt;"",COUNTIFS(DATA!$I$2:$I$500,E102)=0),"CEK Series tidak ada di DATA","OK")))))))</f>
        <v/>
      </c>
    </row>
    <row r="103">
      <c r="A103" s="10" t="n"/>
      <c r="B103" s="10" t="n"/>
      <c r="C103" s="10" t="n"/>
      <c r="D103" s="11" t="n"/>
      <c r="E103" s="10" t="n"/>
      <c r="F103" s="10" t="n"/>
      <c r="G103" s="12">
        <f>IF(D103="","",IFERROR(INDEX(DAFTAR_FIXTURE!$B$2:$B$51,MATCH(D103,DAFTAR_FIXTURE!$A$2:$A$51,0)),""))</f>
        <v/>
      </c>
      <c r="H103" s="12">
        <f>IF(G103="","",IF(LEFT(G103,4)="Wall","Wall",IF(LEFT(G103,7)="Gondola","Gondola",IF(LEFT(G103,6)="Pallet","Pallet",IF(LEFT(G103,6)="Endcap","Endcap","")))))</f>
        <v/>
      </c>
      <c r="I103" s="12">
        <f>IF(A103="","",IF(D103="","CEK ID FIXTURE kosong",IF(G103="","CEK ID FIXTURE tidak ada di DAFTAR_FIXTURE",IF(H103="Endcap","CEK Endcap tidak ikut sambung",IF(H103&lt;&gt;B103,"CEK kategori fixture tidak sama dengan KATEGORI",IF(C103="","CEK URUTAN kosong",IF(AND(E103&lt;&gt;"",COUNTIFS(DATA!$I$2:$I$500,E103)=0),"CEK Series tidak ada di DATA","OK")))))))</f>
        <v/>
      </c>
    </row>
    <row r="104">
      <c r="A104" s="10" t="n"/>
      <c r="B104" s="10" t="n"/>
      <c r="C104" s="10" t="n"/>
      <c r="D104" s="11" t="n"/>
      <c r="E104" s="10" t="n"/>
      <c r="F104" s="10" t="n"/>
      <c r="G104" s="12">
        <f>IF(D104="","",IFERROR(INDEX(DAFTAR_FIXTURE!$B$2:$B$51,MATCH(D104,DAFTAR_FIXTURE!$A$2:$A$51,0)),""))</f>
        <v/>
      </c>
      <c r="H104" s="12">
        <f>IF(G104="","",IF(LEFT(G104,4)="Wall","Wall",IF(LEFT(G104,7)="Gondola","Gondola",IF(LEFT(G104,6)="Pallet","Pallet",IF(LEFT(G104,6)="Endcap","Endcap","")))))</f>
        <v/>
      </c>
      <c r="I104" s="12">
        <f>IF(A104="","",IF(D104="","CEK ID FIXTURE kosong",IF(G104="","CEK ID FIXTURE tidak ada di DAFTAR_FIXTURE",IF(H104="Endcap","CEK Endcap tidak ikut sambung",IF(H104&lt;&gt;B104,"CEK kategori fixture tidak sama dengan KATEGORI",IF(C104="","CEK URUTAN kosong",IF(AND(E104&lt;&gt;"",COUNTIFS(DATA!$I$2:$I$500,E104)=0),"CEK Series tidak ada di DATA","OK")))))))</f>
        <v/>
      </c>
    </row>
    <row r="105">
      <c r="A105" s="10" t="n"/>
      <c r="B105" s="10" t="n"/>
      <c r="C105" s="10" t="n"/>
      <c r="D105" s="11" t="n"/>
      <c r="E105" s="10" t="n"/>
      <c r="F105" s="10" t="n"/>
      <c r="G105" s="12">
        <f>IF(D105="","",IFERROR(INDEX(DAFTAR_FIXTURE!$B$2:$B$51,MATCH(D105,DAFTAR_FIXTURE!$A$2:$A$51,0)),""))</f>
        <v/>
      </c>
      <c r="H105" s="12">
        <f>IF(G105="","",IF(LEFT(G105,4)="Wall","Wall",IF(LEFT(G105,7)="Gondola","Gondola",IF(LEFT(G105,6)="Pallet","Pallet",IF(LEFT(G105,6)="Endcap","Endcap","")))))</f>
        <v/>
      </c>
      <c r="I105" s="12">
        <f>IF(A105="","",IF(D105="","CEK ID FIXTURE kosong",IF(G105="","CEK ID FIXTURE tidak ada di DAFTAR_FIXTURE",IF(H105="Endcap","CEK Endcap tidak ikut sambung",IF(H105&lt;&gt;B105,"CEK kategori fixture tidak sama dengan KATEGORI",IF(C105="","CEK URUTAN kosong",IF(AND(E105&lt;&gt;"",COUNTIFS(DATA!$I$2:$I$500,E105)=0),"CEK Series tidak ada di DATA","OK")))))))</f>
        <v/>
      </c>
    </row>
    <row r="106">
      <c r="A106" s="10" t="n"/>
      <c r="B106" s="10" t="n"/>
      <c r="C106" s="10" t="n"/>
      <c r="D106" s="11" t="n"/>
      <c r="E106" s="10" t="n"/>
      <c r="F106" s="10" t="n"/>
      <c r="G106" s="12">
        <f>IF(D106="","",IFERROR(INDEX(DAFTAR_FIXTURE!$B$2:$B$51,MATCH(D106,DAFTAR_FIXTURE!$A$2:$A$51,0)),""))</f>
        <v/>
      </c>
      <c r="H106" s="12">
        <f>IF(G106="","",IF(LEFT(G106,4)="Wall","Wall",IF(LEFT(G106,7)="Gondola","Gondola",IF(LEFT(G106,6)="Pallet","Pallet",IF(LEFT(G106,6)="Endcap","Endcap","")))))</f>
        <v/>
      </c>
      <c r="I106" s="12">
        <f>IF(A106="","",IF(D106="","CEK ID FIXTURE kosong",IF(G106="","CEK ID FIXTURE tidak ada di DAFTAR_FIXTURE",IF(H106="Endcap","CEK Endcap tidak ikut sambung",IF(H106&lt;&gt;B106,"CEK kategori fixture tidak sama dengan KATEGORI",IF(C106="","CEK URUTAN kosong",IF(AND(E106&lt;&gt;"",COUNTIFS(DATA!$I$2:$I$500,E106)=0),"CEK Series tidak ada di DATA","OK")))))))</f>
        <v/>
      </c>
    </row>
    <row r="107">
      <c r="A107" s="10" t="n"/>
      <c r="B107" s="10" t="n"/>
      <c r="C107" s="10" t="n"/>
      <c r="D107" s="11" t="n"/>
      <c r="E107" s="10" t="n"/>
      <c r="F107" s="10" t="n"/>
      <c r="G107" s="12">
        <f>IF(D107="","",IFERROR(INDEX(DAFTAR_FIXTURE!$B$2:$B$51,MATCH(D107,DAFTAR_FIXTURE!$A$2:$A$51,0)),""))</f>
        <v/>
      </c>
      <c r="H107" s="12">
        <f>IF(G107="","",IF(LEFT(G107,4)="Wall","Wall",IF(LEFT(G107,7)="Gondola","Gondola",IF(LEFT(G107,6)="Pallet","Pallet",IF(LEFT(G107,6)="Endcap","Endcap","")))))</f>
        <v/>
      </c>
      <c r="I107" s="12">
        <f>IF(A107="","",IF(D107="","CEK ID FIXTURE kosong",IF(G107="","CEK ID FIXTURE tidak ada di DAFTAR_FIXTURE",IF(H107="Endcap","CEK Endcap tidak ikut sambung",IF(H107&lt;&gt;B107,"CEK kategori fixture tidak sama dengan KATEGORI",IF(C107="","CEK URUTAN kosong",IF(AND(E107&lt;&gt;"",COUNTIFS(DATA!$I$2:$I$500,E107)=0),"CEK Series tidak ada di DATA","OK")))))))</f>
        <v/>
      </c>
    </row>
    <row r="108">
      <c r="A108" s="10" t="n"/>
      <c r="B108" s="10" t="n"/>
      <c r="C108" s="10" t="n"/>
      <c r="D108" s="11" t="n"/>
      <c r="E108" s="10" t="n"/>
      <c r="F108" s="10" t="n"/>
      <c r="G108" s="12">
        <f>IF(D108="","",IFERROR(INDEX(DAFTAR_FIXTURE!$B$2:$B$51,MATCH(D108,DAFTAR_FIXTURE!$A$2:$A$51,0)),""))</f>
        <v/>
      </c>
      <c r="H108" s="12">
        <f>IF(G108="","",IF(LEFT(G108,4)="Wall","Wall",IF(LEFT(G108,7)="Gondola","Gondola",IF(LEFT(G108,6)="Pallet","Pallet",IF(LEFT(G108,6)="Endcap","Endcap","")))))</f>
        <v/>
      </c>
      <c r="I108" s="12">
        <f>IF(A108="","",IF(D108="","CEK ID FIXTURE kosong",IF(G108="","CEK ID FIXTURE tidak ada di DAFTAR_FIXTURE",IF(H108="Endcap","CEK Endcap tidak ikut sambung",IF(H108&lt;&gt;B108,"CEK kategori fixture tidak sama dengan KATEGORI",IF(C108="","CEK URUTAN kosong",IF(AND(E108&lt;&gt;"",COUNTIFS(DATA!$I$2:$I$500,E108)=0),"CEK Series tidak ada di DATA","OK")))))))</f>
        <v/>
      </c>
    </row>
    <row r="109">
      <c r="A109" s="10" t="n"/>
      <c r="B109" s="10" t="n"/>
      <c r="C109" s="10" t="n"/>
      <c r="D109" s="11" t="n"/>
      <c r="E109" s="10" t="n"/>
      <c r="F109" s="10" t="n"/>
      <c r="G109" s="12">
        <f>IF(D109="","",IFERROR(INDEX(DAFTAR_FIXTURE!$B$2:$B$51,MATCH(D109,DAFTAR_FIXTURE!$A$2:$A$51,0)),""))</f>
        <v/>
      </c>
      <c r="H109" s="12">
        <f>IF(G109="","",IF(LEFT(G109,4)="Wall","Wall",IF(LEFT(G109,7)="Gondola","Gondola",IF(LEFT(G109,6)="Pallet","Pallet",IF(LEFT(G109,6)="Endcap","Endcap","")))))</f>
        <v/>
      </c>
      <c r="I109" s="12">
        <f>IF(A109="","",IF(D109="","CEK ID FIXTURE kosong",IF(G109="","CEK ID FIXTURE tidak ada di DAFTAR_FIXTURE",IF(H109="Endcap","CEK Endcap tidak ikut sambung",IF(H109&lt;&gt;B109,"CEK kategori fixture tidak sama dengan KATEGORI",IF(C109="","CEK URUTAN kosong",IF(AND(E109&lt;&gt;"",COUNTIFS(DATA!$I$2:$I$500,E109)=0),"CEK Series tidak ada di DATA","OK")))))))</f>
        <v/>
      </c>
    </row>
    <row r="110">
      <c r="A110" s="10" t="n"/>
      <c r="B110" s="10" t="n"/>
      <c r="C110" s="10" t="n"/>
      <c r="D110" s="11" t="n"/>
      <c r="E110" s="10" t="n"/>
      <c r="F110" s="10" t="n"/>
      <c r="G110" s="12">
        <f>IF(D110="","",IFERROR(INDEX(DAFTAR_FIXTURE!$B$2:$B$51,MATCH(D110,DAFTAR_FIXTURE!$A$2:$A$51,0)),""))</f>
        <v/>
      </c>
      <c r="H110" s="12">
        <f>IF(G110="","",IF(LEFT(G110,4)="Wall","Wall",IF(LEFT(G110,7)="Gondola","Gondola",IF(LEFT(G110,6)="Pallet","Pallet",IF(LEFT(G110,6)="Endcap","Endcap","")))))</f>
        <v/>
      </c>
      <c r="I110" s="12">
        <f>IF(A110="","",IF(D110="","CEK ID FIXTURE kosong",IF(G110="","CEK ID FIXTURE tidak ada di DAFTAR_FIXTURE",IF(H110="Endcap","CEK Endcap tidak ikut sambung",IF(H110&lt;&gt;B110,"CEK kategori fixture tidak sama dengan KATEGORI",IF(C110="","CEK URUTAN kosong",IF(AND(E110&lt;&gt;"",COUNTIFS(DATA!$I$2:$I$500,E110)=0),"CEK Series tidak ada di DATA","OK")))))))</f>
        <v/>
      </c>
    </row>
    <row r="111">
      <c r="A111" s="10" t="n"/>
      <c r="B111" s="10" t="n"/>
      <c r="C111" s="10" t="n"/>
      <c r="D111" s="11" t="n"/>
      <c r="E111" s="10" t="n"/>
      <c r="F111" s="10" t="n"/>
      <c r="G111" s="12">
        <f>IF(D111="","",IFERROR(INDEX(DAFTAR_FIXTURE!$B$2:$B$51,MATCH(D111,DAFTAR_FIXTURE!$A$2:$A$51,0)),""))</f>
        <v/>
      </c>
      <c r="H111" s="12">
        <f>IF(G111="","",IF(LEFT(G111,4)="Wall","Wall",IF(LEFT(G111,7)="Gondola","Gondola",IF(LEFT(G111,6)="Pallet","Pallet",IF(LEFT(G111,6)="Endcap","Endcap","")))))</f>
        <v/>
      </c>
      <c r="I111" s="12">
        <f>IF(A111="","",IF(D111="","CEK ID FIXTURE kosong",IF(G111="","CEK ID FIXTURE tidak ada di DAFTAR_FIXTURE",IF(H111="Endcap","CEK Endcap tidak ikut sambung",IF(H111&lt;&gt;B111,"CEK kategori fixture tidak sama dengan KATEGORI",IF(C111="","CEK URUTAN kosong",IF(AND(E111&lt;&gt;"",COUNTIFS(DATA!$I$2:$I$500,E111)=0),"CEK Series tidak ada di DATA","OK")))))))</f>
        <v/>
      </c>
    </row>
    <row r="112">
      <c r="A112" s="10" t="n"/>
      <c r="B112" s="10" t="n"/>
      <c r="C112" s="10" t="n"/>
      <c r="D112" s="11" t="n"/>
      <c r="E112" s="10" t="n"/>
      <c r="F112" s="10" t="n"/>
      <c r="G112" s="12">
        <f>IF(D112="","",IFERROR(INDEX(DAFTAR_FIXTURE!$B$2:$B$51,MATCH(D112,DAFTAR_FIXTURE!$A$2:$A$51,0)),""))</f>
        <v/>
      </c>
      <c r="H112" s="12">
        <f>IF(G112="","",IF(LEFT(G112,4)="Wall","Wall",IF(LEFT(G112,7)="Gondola","Gondola",IF(LEFT(G112,6)="Pallet","Pallet",IF(LEFT(G112,6)="Endcap","Endcap","")))))</f>
        <v/>
      </c>
      <c r="I112" s="12">
        <f>IF(A112="","",IF(D112="","CEK ID FIXTURE kosong",IF(G112="","CEK ID FIXTURE tidak ada di DAFTAR_FIXTURE",IF(H112="Endcap","CEK Endcap tidak ikut sambung",IF(H112&lt;&gt;B112,"CEK kategori fixture tidak sama dengan KATEGORI",IF(C112="","CEK URUTAN kosong",IF(AND(E112&lt;&gt;"",COUNTIFS(DATA!$I$2:$I$500,E112)=0),"CEK Series tidak ada di DATA","OK")))))))</f>
        <v/>
      </c>
    </row>
    <row r="113">
      <c r="A113" s="10" t="n"/>
      <c r="B113" s="10" t="n"/>
      <c r="C113" s="10" t="n"/>
      <c r="D113" s="11" t="n"/>
      <c r="E113" s="10" t="n"/>
      <c r="F113" s="10" t="n"/>
      <c r="G113" s="12">
        <f>IF(D113="","",IFERROR(INDEX(DAFTAR_FIXTURE!$B$2:$B$51,MATCH(D113,DAFTAR_FIXTURE!$A$2:$A$51,0)),""))</f>
        <v/>
      </c>
      <c r="H113" s="12">
        <f>IF(G113="","",IF(LEFT(G113,4)="Wall","Wall",IF(LEFT(G113,7)="Gondola","Gondola",IF(LEFT(G113,6)="Pallet","Pallet",IF(LEFT(G113,6)="Endcap","Endcap","")))))</f>
        <v/>
      </c>
      <c r="I113" s="12">
        <f>IF(A113="","",IF(D113="","CEK ID FIXTURE kosong",IF(G113="","CEK ID FIXTURE tidak ada di DAFTAR_FIXTURE",IF(H113="Endcap","CEK Endcap tidak ikut sambung",IF(H113&lt;&gt;B113,"CEK kategori fixture tidak sama dengan KATEGORI",IF(C113="","CEK URUTAN kosong",IF(AND(E113&lt;&gt;"",COUNTIFS(DATA!$I$2:$I$500,E113)=0),"CEK Series tidak ada di DATA","OK")))))))</f>
        <v/>
      </c>
    </row>
    <row r="114">
      <c r="A114" s="10" t="n"/>
      <c r="B114" s="10" t="n"/>
      <c r="C114" s="10" t="n"/>
      <c r="D114" s="11" t="n"/>
      <c r="E114" s="10" t="n"/>
      <c r="F114" s="10" t="n"/>
      <c r="G114" s="12">
        <f>IF(D114="","",IFERROR(INDEX(DAFTAR_FIXTURE!$B$2:$B$51,MATCH(D114,DAFTAR_FIXTURE!$A$2:$A$51,0)),""))</f>
        <v/>
      </c>
      <c r="H114" s="12">
        <f>IF(G114="","",IF(LEFT(G114,4)="Wall","Wall",IF(LEFT(G114,7)="Gondola","Gondola",IF(LEFT(G114,6)="Pallet","Pallet",IF(LEFT(G114,6)="Endcap","Endcap","")))))</f>
        <v/>
      </c>
      <c r="I114" s="12">
        <f>IF(A114="","",IF(D114="","CEK ID FIXTURE kosong",IF(G114="","CEK ID FIXTURE tidak ada di DAFTAR_FIXTURE",IF(H114="Endcap","CEK Endcap tidak ikut sambung",IF(H114&lt;&gt;B114,"CEK kategori fixture tidak sama dengan KATEGORI",IF(C114="","CEK URUTAN kosong",IF(AND(E114&lt;&gt;"",COUNTIFS(DATA!$I$2:$I$500,E114)=0),"CEK Series tidak ada di DATA","OK")))))))</f>
        <v/>
      </c>
    </row>
    <row r="115">
      <c r="A115" s="10" t="n"/>
      <c r="B115" s="10" t="n"/>
      <c r="C115" s="10" t="n"/>
      <c r="D115" s="11" t="n"/>
      <c r="E115" s="10" t="n"/>
      <c r="F115" s="10" t="n"/>
      <c r="G115" s="12">
        <f>IF(D115="","",IFERROR(INDEX(DAFTAR_FIXTURE!$B$2:$B$51,MATCH(D115,DAFTAR_FIXTURE!$A$2:$A$51,0)),""))</f>
        <v/>
      </c>
      <c r="H115" s="12">
        <f>IF(G115="","",IF(LEFT(G115,4)="Wall","Wall",IF(LEFT(G115,7)="Gondola","Gondola",IF(LEFT(G115,6)="Pallet","Pallet",IF(LEFT(G115,6)="Endcap","Endcap","")))))</f>
        <v/>
      </c>
      <c r="I115" s="12">
        <f>IF(A115="","",IF(D115="","CEK ID FIXTURE kosong",IF(G115="","CEK ID FIXTURE tidak ada di DAFTAR_FIXTURE",IF(H115="Endcap","CEK Endcap tidak ikut sambung",IF(H115&lt;&gt;B115,"CEK kategori fixture tidak sama dengan KATEGORI",IF(C115="","CEK URUTAN kosong",IF(AND(E115&lt;&gt;"",COUNTIFS(DATA!$I$2:$I$500,E115)=0),"CEK Series tidak ada di DATA","OK")))))))</f>
        <v/>
      </c>
    </row>
    <row r="116">
      <c r="A116" s="10" t="n"/>
      <c r="B116" s="10" t="n"/>
      <c r="C116" s="10" t="n"/>
      <c r="D116" s="11" t="n"/>
      <c r="E116" s="10" t="n"/>
      <c r="F116" s="10" t="n"/>
      <c r="G116" s="12">
        <f>IF(D116="","",IFERROR(INDEX(DAFTAR_FIXTURE!$B$2:$B$51,MATCH(D116,DAFTAR_FIXTURE!$A$2:$A$51,0)),""))</f>
        <v/>
      </c>
      <c r="H116" s="12">
        <f>IF(G116="","",IF(LEFT(G116,4)="Wall","Wall",IF(LEFT(G116,7)="Gondola","Gondola",IF(LEFT(G116,6)="Pallet","Pallet",IF(LEFT(G116,6)="Endcap","Endcap","")))))</f>
        <v/>
      </c>
      <c r="I116" s="12">
        <f>IF(A116="","",IF(D116="","CEK ID FIXTURE kosong",IF(G116="","CEK ID FIXTURE tidak ada di DAFTAR_FIXTURE",IF(H116="Endcap","CEK Endcap tidak ikut sambung",IF(H116&lt;&gt;B116,"CEK kategori fixture tidak sama dengan KATEGORI",IF(C116="","CEK URUTAN kosong",IF(AND(E116&lt;&gt;"",COUNTIFS(DATA!$I$2:$I$500,E116)=0),"CEK Series tidak ada di DATA","OK")))))))</f>
        <v/>
      </c>
    </row>
    <row r="117">
      <c r="A117" s="10" t="n"/>
      <c r="B117" s="10" t="n"/>
      <c r="C117" s="10" t="n"/>
      <c r="D117" s="11" t="n"/>
      <c r="E117" s="10" t="n"/>
      <c r="F117" s="10" t="n"/>
      <c r="G117" s="12">
        <f>IF(D117="","",IFERROR(INDEX(DAFTAR_FIXTURE!$B$2:$B$51,MATCH(D117,DAFTAR_FIXTURE!$A$2:$A$51,0)),""))</f>
        <v/>
      </c>
      <c r="H117" s="12">
        <f>IF(G117="","",IF(LEFT(G117,4)="Wall","Wall",IF(LEFT(G117,7)="Gondola","Gondola",IF(LEFT(G117,6)="Pallet","Pallet",IF(LEFT(G117,6)="Endcap","Endcap","")))))</f>
        <v/>
      </c>
      <c r="I117" s="12">
        <f>IF(A117="","",IF(D117="","CEK ID FIXTURE kosong",IF(G117="","CEK ID FIXTURE tidak ada di DAFTAR_FIXTURE",IF(H117="Endcap","CEK Endcap tidak ikut sambung",IF(H117&lt;&gt;B117,"CEK kategori fixture tidak sama dengan KATEGORI",IF(C117="","CEK URUTAN kosong",IF(AND(E117&lt;&gt;"",COUNTIFS(DATA!$I$2:$I$500,E117)=0),"CEK Series tidak ada di DATA","OK")))))))</f>
        <v/>
      </c>
    </row>
    <row r="118">
      <c r="A118" s="10" t="n"/>
      <c r="B118" s="10" t="n"/>
      <c r="C118" s="10" t="n"/>
      <c r="D118" s="11" t="n"/>
      <c r="E118" s="10" t="n"/>
      <c r="F118" s="10" t="n"/>
      <c r="G118" s="12">
        <f>IF(D118="","",IFERROR(INDEX(DAFTAR_FIXTURE!$B$2:$B$51,MATCH(D118,DAFTAR_FIXTURE!$A$2:$A$51,0)),""))</f>
        <v/>
      </c>
      <c r="H118" s="12">
        <f>IF(G118="","",IF(LEFT(G118,4)="Wall","Wall",IF(LEFT(G118,7)="Gondola","Gondola",IF(LEFT(G118,6)="Pallet","Pallet",IF(LEFT(G118,6)="Endcap","Endcap","")))))</f>
        <v/>
      </c>
      <c r="I118" s="12">
        <f>IF(A118="","",IF(D118="","CEK ID FIXTURE kosong",IF(G118="","CEK ID FIXTURE tidak ada di DAFTAR_FIXTURE",IF(H118="Endcap","CEK Endcap tidak ikut sambung",IF(H118&lt;&gt;B118,"CEK kategori fixture tidak sama dengan KATEGORI",IF(C118="","CEK URUTAN kosong",IF(AND(E118&lt;&gt;"",COUNTIFS(DATA!$I$2:$I$500,E118)=0),"CEK Series tidak ada di DATA","OK")))))))</f>
        <v/>
      </c>
    </row>
    <row r="119">
      <c r="A119" s="10" t="n"/>
      <c r="B119" s="10" t="n"/>
      <c r="C119" s="10" t="n"/>
      <c r="D119" s="11" t="n"/>
      <c r="E119" s="10" t="n"/>
      <c r="F119" s="10" t="n"/>
      <c r="G119" s="12">
        <f>IF(D119="","",IFERROR(INDEX(DAFTAR_FIXTURE!$B$2:$B$51,MATCH(D119,DAFTAR_FIXTURE!$A$2:$A$51,0)),""))</f>
        <v/>
      </c>
      <c r="H119" s="12">
        <f>IF(G119="","",IF(LEFT(G119,4)="Wall","Wall",IF(LEFT(G119,7)="Gondola","Gondola",IF(LEFT(G119,6)="Pallet","Pallet",IF(LEFT(G119,6)="Endcap","Endcap","")))))</f>
        <v/>
      </c>
      <c r="I119" s="12">
        <f>IF(A119="","",IF(D119="","CEK ID FIXTURE kosong",IF(G119="","CEK ID FIXTURE tidak ada di DAFTAR_FIXTURE",IF(H119="Endcap","CEK Endcap tidak ikut sambung",IF(H119&lt;&gt;B119,"CEK kategori fixture tidak sama dengan KATEGORI",IF(C119="","CEK URUTAN kosong",IF(AND(E119&lt;&gt;"",COUNTIFS(DATA!$I$2:$I$500,E119)=0),"CEK Series tidak ada di DATA","OK")))))))</f>
        <v/>
      </c>
    </row>
    <row r="120">
      <c r="A120" s="10" t="n"/>
      <c r="B120" s="10" t="n"/>
      <c r="C120" s="10" t="n"/>
      <c r="D120" s="11" t="n"/>
      <c r="E120" s="10" t="n"/>
      <c r="F120" s="10" t="n"/>
      <c r="G120" s="12">
        <f>IF(D120="","",IFERROR(INDEX(DAFTAR_FIXTURE!$B$2:$B$51,MATCH(D120,DAFTAR_FIXTURE!$A$2:$A$51,0)),""))</f>
        <v/>
      </c>
      <c r="H120" s="12">
        <f>IF(G120="","",IF(LEFT(G120,4)="Wall","Wall",IF(LEFT(G120,7)="Gondola","Gondola",IF(LEFT(G120,6)="Pallet","Pallet",IF(LEFT(G120,6)="Endcap","Endcap","")))))</f>
        <v/>
      </c>
      <c r="I120" s="12">
        <f>IF(A120="","",IF(D120="","CEK ID FIXTURE kosong",IF(G120="","CEK ID FIXTURE tidak ada di DAFTAR_FIXTURE",IF(H120="Endcap","CEK Endcap tidak ikut sambung",IF(H120&lt;&gt;B120,"CEK kategori fixture tidak sama dengan KATEGORI",IF(C120="","CEK URUTAN kosong",IF(AND(E120&lt;&gt;"",COUNTIFS(DATA!$I$2:$I$500,E120)=0),"CEK Series tidak ada di DATA","OK")))))))</f>
        <v/>
      </c>
    </row>
    <row r="121">
      <c r="A121" s="10" t="n"/>
      <c r="B121" s="10" t="n"/>
      <c r="C121" s="10" t="n"/>
      <c r="D121" s="11" t="n"/>
      <c r="E121" s="10" t="n"/>
      <c r="F121" s="10" t="n"/>
      <c r="G121" s="12">
        <f>IF(D121="","",IFERROR(INDEX(DAFTAR_FIXTURE!$B$2:$B$51,MATCH(D121,DAFTAR_FIXTURE!$A$2:$A$51,0)),""))</f>
        <v/>
      </c>
      <c r="H121" s="12">
        <f>IF(G121="","",IF(LEFT(G121,4)="Wall","Wall",IF(LEFT(G121,7)="Gondola","Gondola",IF(LEFT(G121,6)="Pallet","Pallet",IF(LEFT(G121,6)="Endcap","Endcap","")))))</f>
        <v/>
      </c>
      <c r="I121" s="12">
        <f>IF(A121="","",IF(D121="","CEK ID FIXTURE kosong",IF(G121="","CEK ID FIXTURE tidak ada di DAFTAR_FIXTURE",IF(H121="Endcap","CEK Endcap tidak ikut sambung",IF(H121&lt;&gt;B121,"CEK kategori fixture tidak sama dengan KATEGORI",IF(C121="","CEK URUTAN kosong",IF(AND(E121&lt;&gt;"",COUNTIFS(DATA!$I$2:$I$500,E121)=0),"CEK Series tidak ada di DATA","OK")))))))</f>
        <v/>
      </c>
    </row>
    <row r="122">
      <c r="A122" s="10" t="n"/>
      <c r="B122" s="10" t="n"/>
      <c r="C122" s="10" t="n"/>
      <c r="D122" s="11" t="n"/>
      <c r="E122" s="10" t="n"/>
      <c r="F122" s="10" t="n"/>
      <c r="G122" s="12">
        <f>IF(D122="","",IFERROR(INDEX(DAFTAR_FIXTURE!$B$2:$B$51,MATCH(D122,DAFTAR_FIXTURE!$A$2:$A$51,0)),""))</f>
        <v/>
      </c>
      <c r="H122" s="12">
        <f>IF(G122="","",IF(LEFT(G122,4)="Wall","Wall",IF(LEFT(G122,7)="Gondola","Gondola",IF(LEFT(G122,6)="Pallet","Pallet",IF(LEFT(G122,6)="Endcap","Endcap","")))))</f>
        <v/>
      </c>
      <c r="I122" s="12">
        <f>IF(A122="","",IF(D122="","CEK ID FIXTURE kosong",IF(G122="","CEK ID FIXTURE tidak ada di DAFTAR_FIXTURE",IF(H122="Endcap","CEK Endcap tidak ikut sambung",IF(H122&lt;&gt;B122,"CEK kategori fixture tidak sama dengan KATEGORI",IF(C122="","CEK URUTAN kosong",IF(AND(E122&lt;&gt;"",COUNTIFS(DATA!$I$2:$I$500,E122)=0),"CEK Series tidak ada di DATA","OK")))))))</f>
        <v/>
      </c>
    </row>
    <row r="123">
      <c r="A123" s="10" t="n"/>
      <c r="B123" s="10" t="n"/>
      <c r="C123" s="10" t="n"/>
      <c r="D123" s="11" t="n"/>
      <c r="E123" s="10" t="n"/>
      <c r="F123" s="10" t="n"/>
      <c r="G123" s="12">
        <f>IF(D123="","",IFERROR(INDEX(DAFTAR_FIXTURE!$B$2:$B$51,MATCH(D123,DAFTAR_FIXTURE!$A$2:$A$51,0)),""))</f>
        <v/>
      </c>
      <c r="H123" s="12">
        <f>IF(G123="","",IF(LEFT(G123,4)="Wall","Wall",IF(LEFT(G123,7)="Gondola","Gondola",IF(LEFT(G123,6)="Pallet","Pallet",IF(LEFT(G123,6)="Endcap","Endcap","")))))</f>
        <v/>
      </c>
      <c r="I123" s="12">
        <f>IF(A123="","",IF(D123="","CEK ID FIXTURE kosong",IF(G123="","CEK ID FIXTURE tidak ada di DAFTAR_FIXTURE",IF(H123="Endcap","CEK Endcap tidak ikut sambung",IF(H123&lt;&gt;B123,"CEK kategori fixture tidak sama dengan KATEGORI",IF(C123="","CEK URUTAN kosong",IF(AND(E123&lt;&gt;"",COUNTIFS(DATA!$I$2:$I$500,E123)=0),"CEK Series tidak ada di DATA","OK")))))))</f>
        <v/>
      </c>
    </row>
    <row r="124">
      <c r="A124" s="10" t="n"/>
      <c r="B124" s="10" t="n"/>
      <c r="C124" s="10" t="n"/>
      <c r="D124" s="11" t="n"/>
      <c r="E124" s="10" t="n"/>
      <c r="F124" s="10" t="n"/>
      <c r="G124" s="12">
        <f>IF(D124="","",IFERROR(INDEX(DAFTAR_FIXTURE!$B$2:$B$51,MATCH(D124,DAFTAR_FIXTURE!$A$2:$A$51,0)),""))</f>
        <v/>
      </c>
      <c r="H124" s="12">
        <f>IF(G124="","",IF(LEFT(G124,4)="Wall","Wall",IF(LEFT(G124,7)="Gondola","Gondola",IF(LEFT(G124,6)="Pallet","Pallet",IF(LEFT(G124,6)="Endcap","Endcap","")))))</f>
        <v/>
      </c>
      <c r="I124" s="12">
        <f>IF(A124="","",IF(D124="","CEK ID FIXTURE kosong",IF(G124="","CEK ID FIXTURE tidak ada di DAFTAR_FIXTURE",IF(H124="Endcap","CEK Endcap tidak ikut sambung",IF(H124&lt;&gt;B124,"CEK kategori fixture tidak sama dengan KATEGORI",IF(C124="","CEK URUTAN kosong",IF(AND(E124&lt;&gt;"",COUNTIFS(DATA!$I$2:$I$500,E124)=0),"CEK Series tidak ada di DATA","OK")))))))</f>
        <v/>
      </c>
    </row>
    <row r="125">
      <c r="A125" s="10" t="n"/>
      <c r="B125" s="10" t="n"/>
      <c r="C125" s="10" t="n"/>
      <c r="D125" s="11" t="n"/>
      <c r="E125" s="10" t="n"/>
      <c r="F125" s="10" t="n"/>
      <c r="G125" s="12">
        <f>IF(D125="","",IFERROR(INDEX(DAFTAR_FIXTURE!$B$2:$B$51,MATCH(D125,DAFTAR_FIXTURE!$A$2:$A$51,0)),""))</f>
        <v/>
      </c>
      <c r="H125" s="12">
        <f>IF(G125="","",IF(LEFT(G125,4)="Wall","Wall",IF(LEFT(G125,7)="Gondola","Gondola",IF(LEFT(G125,6)="Pallet","Pallet",IF(LEFT(G125,6)="Endcap","Endcap","")))))</f>
        <v/>
      </c>
      <c r="I125" s="12">
        <f>IF(A125="","",IF(D125="","CEK ID FIXTURE kosong",IF(G125="","CEK ID FIXTURE tidak ada di DAFTAR_FIXTURE",IF(H125="Endcap","CEK Endcap tidak ikut sambung",IF(H125&lt;&gt;B125,"CEK kategori fixture tidak sama dengan KATEGORI",IF(C125="","CEK URUTAN kosong",IF(AND(E125&lt;&gt;"",COUNTIFS(DATA!$I$2:$I$500,E125)=0),"CEK Series tidak ada di DATA","OK")))))))</f>
        <v/>
      </c>
    </row>
    <row r="126">
      <c r="A126" s="10" t="n"/>
      <c r="B126" s="10" t="n"/>
      <c r="C126" s="10" t="n"/>
      <c r="D126" s="11" t="n"/>
      <c r="E126" s="10" t="n"/>
      <c r="F126" s="10" t="n"/>
      <c r="G126" s="12">
        <f>IF(D126="","",IFERROR(INDEX(DAFTAR_FIXTURE!$B$2:$B$51,MATCH(D126,DAFTAR_FIXTURE!$A$2:$A$51,0)),""))</f>
        <v/>
      </c>
      <c r="H126" s="12">
        <f>IF(G126="","",IF(LEFT(G126,4)="Wall","Wall",IF(LEFT(G126,7)="Gondola","Gondola",IF(LEFT(G126,6)="Pallet","Pallet",IF(LEFT(G126,6)="Endcap","Endcap","")))))</f>
        <v/>
      </c>
      <c r="I126" s="12">
        <f>IF(A126="","",IF(D126="","CEK ID FIXTURE kosong",IF(G126="","CEK ID FIXTURE tidak ada di DAFTAR_FIXTURE",IF(H126="Endcap","CEK Endcap tidak ikut sambung",IF(H126&lt;&gt;B126,"CEK kategori fixture tidak sama dengan KATEGORI",IF(C126="","CEK URUTAN kosong",IF(AND(E126&lt;&gt;"",COUNTIFS(DATA!$I$2:$I$500,E126)=0),"CEK Series tidak ada di DATA","OK")))))))</f>
        <v/>
      </c>
    </row>
    <row r="127">
      <c r="A127" s="10" t="n"/>
      <c r="B127" s="10" t="n"/>
      <c r="C127" s="10" t="n"/>
      <c r="D127" s="11" t="n"/>
      <c r="E127" s="10" t="n"/>
      <c r="F127" s="10" t="n"/>
      <c r="G127" s="12">
        <f>IF(D127="","",IFERROR(INDEX(DAFTAR_FIXTURE!$B$2:$B$51,MATCH(D127,DAFTAR_FIXTURE!$A$2:$A$51,0)),""))</f>
        <v/>
      </c>
      <c r="H127" s="12">
        <f>IF(G127="","",IF(LEFT(G127,4)="Wall","Wall",IF(LEFT(G127,7)="Gondola","Gondola",IF(LEFT(G127,6)="Pallet","Pallet",IF(LEFT(G127,6)="Endcap","Endcap","")))))</f>
        <v/>
      </c>
      <c r="I127" s="12">
        <f>IF(A127="","",IF(D127="","CEK ID FIXTURE kosong",IF(G127="","CEK ID FIXTURE tidak ada di DAFTAR_FIXTURE",IF(H127="Endcap","CEK Endcap tidak ikut sambung",IF(H127&lt;&gt;B127,"CEK kategori fixture tidak sama dengan KATEGORI",IF(C127="","CEK URUTAN kosong",IF(AND(E127&lt;&gt;"",COUNTIFS(DATA!$I$2:$I$500,E127)=0),"CEK Series tidak ada di DATA","OK")))))))</f>
        <v/>
      </c>
    </row>
    <row r="128">
      <c r="A128" s="10" t="n"/>
      <c r="B128" s="10" t="n"/>
      <c r="C128" s="10" t="n"/>
      <c r="D128" s="11" t="n"/>
      <c r="E128" s="10" t="n"/>
      <c r="F128" s="10" t="n"/>
      <c r="G128" s="12">
        <f>IF(D128="","",IFERROR(INDEX(DAFTAR_FIXTURE!$B$2:$B$51,MATCH(D128,DAFTAR_FIXTURE!$A$2:$A$51,0)),""))</f>
        <v/>
      </c>
      <c r="H128" s="12">
        <f>IF(G128="","",IF(LEFT(G128,4)="Wall","Wall",IF(LEFT(G128,7)="Gondola","Gondola",IF(LEFT(G128,6)="Pallet","Pallet",IF(LEFT(G128,6)="Endcap","Endcap","")))))</f>
        <v/>
      </c>
      <c r="I128" s="12">
        <f>IF(A128="","",IF(D128="","CEK ID FIXTURE kosong",IF(G128="","CEK ID FIXTURE tidak ada di DAFTAR_FIXTURE",IF(H128="Endcap","CEK Endcap tidak ikut sambung",IF(H128&lt;&gt;B128,"CEK kategori fixture tidak sama dengan KATEGORI",IF(C128="","CEK URUTAN kosong",IF(AND(E128&lt;&gt;"",COUNTIFS(DATA!$I$2:$I$500,E128)=0),"CEK Series tidak ada di DATA","OK")))))))</f>
        <v/>
      </c>
    </row>
    <row r="129">
      <c r="A129" s="10" t="n"/>
      <c r="B129" s="10" t="n"/>
      <c r="C129" s="10" t="n"/>
      <c r="D129" s="11" t="n"/>
      <c r="E129" s="10" t="n"/>
      <c r="F129" s="10" t="n"/>
      <c r="G129" s="12">
        <f>IF(D129="","",IFERROR(INDEX(DAFTAR_FIXTURE!$B$2:$B$51,MATCH(D129,DAFTAR_FIXTURE!$A$2:$A$51,0)),""))</f>
        <v/>
      </c>
      <c r="H129" s="12">
        <f>IF(G129="","",IF(LEFT(G129,4)="Wall","Wall",IF(LEFT(G129,7)="Gondola","Gondola",IF(LEFT(G129,6)="Pallet","Pallet",IF(LEFT(G129,6)="Endcap","Endcap","")))))</f>
        <v/>
      </c>
      <c r="I129" s="12">
        <f>IF(A129="","",IF(D129="","CEK ID FIXTURE kosong",IF(G129="","CEK ID FIXTURE tidak ada di DAFTAR_FIXTURE",IF(H129="Endcap","CEK Endcap tidak ikut sambung",IF(H129&lt;&gt;B129,"CEK kategori fixture tidak sama dengan KATEGORI",IF(C129="","CEK URUTAN kosong",IF(AND(E129&lt;&gt;"",COUNTIFS(DATA!$I$2:$I$500,E129)=0),"CEK Series tidak ada di DATA","OK")))))))</f>
        <v/>
      </c>
    </row>
    <row r="130">
      <c r="A130" s="10" t="n"/>
      <c r="B130" s="10" t="n"/>
      <c r="C130" s="10" t="n"/>
      <c r="D130" s="11" t="n"/>
      <c r="E130" s="10" t="n"/>
      <c r="F130" s="10" t="n"/>
      <c r="G130" s="12">
        <f>IF(D130="","",IFERROR(INDEX(DAFTAR_FIXTURE!$B$2:$B$51,MATCH(D130,DAFTAR_FIXTURE!$A$2:$A$51,0)),""))</f>
        <v/>
      </c>
      <c r="H130" s="12">
        <f>IF(G130="","",IF(LEFT(G130,4)="Wall","Wall",IF(LEFT(G130,7)="Gondola","Gondola",IF(LEFT(G130,6)="Pallet","Pallet",IF(LEFT(G130,6)="Endcap","Endcap","")))))</f>
        <v/>
      </c>
      <c r="I130" s="12">
        <f>IF(A130="","",IF(D130="","CEK ID FIXTURE kosong",IF(G130="","CEK ID FIXTURE tidak ada di DAFTAR_FIXTURE",IF(H130="Endcap","CEK Endcap tidak ikut sambung",IF(H130&lt;&gt;B130,"CEK kategori fixture tidak sama dengan KATEGORI",IF(C130="","CEK URUTAN kosong",IF(AND(E130&lt;&gt;"",COUNTIFS(DATA!$I$2:$I$500,E130)=0),"CEK Series tidak ada di DATA","OK")))))))</f>
        <v/>
      </c>
    </row>
    <row r="131">
      <c r="A131" s="10" t="n"/>
      <c r="B131" s="10" t="n"/>
      <c r="C131" s="10" t="n"/>
      <c r="D131" s="11" t="n"/>
      <c r="E131" s="10" t="n"/>
      <c r="F131" s="10" t="n"/>
      <c r="G131" s="12">
        <f>IF(D131="","",IFERROR(INDEX(DAFTAR_FIXTURE!$B$2:$B$51,MATCH(D131,DAFTAR_FIXTURE!$A$2:$A$51,0)),""))</f>
        <v/>
      </c>
      <c r="H131" s="12">
        <f>IF(G131="","",IF(LEFT(G131,4)="Wall","Wall",IF(LEFT(G131,7)="Gondola","Gondola",IF(LEFT(G131,6)="Pallet","Pallet",IF(LEFT(G131,6)="Endcap","Endcap","")))))</f>
        <v/>
      </c>
      <c r="I131" s="12">
        <f>IF(A131="","",IF(D131="","CEK ID FIXTURE kosong",IF(G131="","CEK ID FIXTURE tidak ada di DAFTAR_FIXTURE",IF(H131="Endcap","CEK Endcap tidak ikut sambung",IF(H131&lt;&gt;B131,"CEK kategori fixture tidak sama dengan KATEGORI",IF(C131="","CEK URUTAN kosong",IF(AND(E131&lt;&gt;"",COUNTIFS(DATA!$I$2:$I$500,E131)=0),"CEK Series tidak ada di DATA","OK")))))))</f>
        <v/>
      </c>
    </row>
    <row r="132">
      <c r="A132" s="10" t="n"/>
      <c r="B132" s="10" t="n"/>
      <c r="C132" s="10" t="n"/>
      <c r="D132" s="11" t="n"/>
      <c r="E132" s="10" t="n"/>
      <c r="F132" s="10" t="n"/>
      <c r="G132" s="12">
        <f>IF(D132="","",IFERROR(INDEX(DAFTAR_FIXTURE!$B$2:$B$51,MATCH(D132,DAFTAR_FIXTURE!$A$2:$A$51,0)),""))</f>
        <v/>
      </c>
      <c r="H132" s="12">
        <f>IF(G132="","",IF(LEFT(G132,4)="Wall","Wall",IF(LEFT(G132,7)="Gondola","Gondola",IF(LEFT(G132,6)="Pallet","Pallet",IF(LEFT(G132,6)="Endcap","Endcap","")))))</f>
        <v/>
      </c>
      <c r="I132" s="12">
        <f>IF(A132="","",IF(D132="","CEK ID FIXTURE kosong",IF(G132="","CEK ID FIXTURE tidak ada di DAFTAR_FIXTURE",IF(H132="Endcap","CEK Endcap tidak ikut sambung",IF(H132&lt;&gt;B132,"CEK kategori fixture tidak sama dengan KATEGORI",IF(C132="","CEK URUTAN kosong",IF(AND(E132&lt;&gt;"",COUNTIFS(DATA!$I$2:$I$500,E132)=0),"CEK Series tidak ada di DATA","OK")))))))</f>
        <v/>
      </c>
    </row>
    <row r="133">
      <c r="A133" s="10" t="n"/>
      <c r="B133" s="10" t="n"/>
      <c r="C133" s="10" t="n"/>
      <c r="D133" s="11" t="n"/>
      <c r="E133" s="10" t="n"/>
      <c r="F133" s="10" t="n"/>
      <c r="G133" s="12">
        <f>IF(D133="","",IFERROR(INDEX(DAFTAR_FIXTURE!$B$2:$B$51,MATCH(D133,DAFTAR_FIXTURE!$A$2:$A$51,0)),""))</f>
        <v/>
      </c>
      <c r="H133" s="12">
        <f>IF(G133="","",IF(LEFT(G133,4)="Wall","Wall",IF(LEFT(G133,7)="Gondola","Gondola",IF(LEFT(G133,6)="Pallet","Pallet",IF(LEFT(G133,6)="Endcap","Endcap","")))))</f>
        <v/>
      </c>
      <c r="I133" s="12">
        <f>IF(A133="","",IF(D133="","CEK ID FIXTURE kosong",IF(G133="","CEK ID FIXTURE tidak ada di DAFTAR_FIXTURE",IF(H133="Endcap","CEK Endcap tidak ikut sambung",IF(H133&lt;&gt;B133,"CEK kategori fixture tidak sama dengan KATEGORI",IF(C133="","CEK URUTAN kosong",IF(AND(E133&lt;&gt;"",COUNTIFS(DATA!$I$2:$I$500,E133)=0),"CEK Series tidak ada di DATA","OK")))))))</f>
        <v/>
      </c>
    </row>
    <row r="134">
      <c r="A134" s="10" t="n"/>
      <c r="B134" s="10" t="n"/>
      <c r="C134" s="10" t="n"/>
      <c r="D134" s="11" t="n"/>
      <c r="E134" s="10" t="n"/>
      <c r="F134" s="10" t="n"/>
      <c r="G134" s="12">
        <f>IF(D134="","",IFERROR(INDEX(DAFTAR_FIXTURE!$B$2:$B$51,MATCH(D134,DAFTAR_FIXTURE!$A$2:$A$51,0)),""))</f>
        <v/>
      </c>
      <c r="H134" s="12">
        <f>IF(G134="","",IF(LEFT(G134,4)="Wall","Wall",IF(LEFT(G134,7)="Gondola","Gondola",IF(LEFT(G134,6)="Pallet","Pallet",IF(LEFT(G134,6)="Endcap","Endcap","")))))</f>
        <v/>
      </c>
      <c r="I134" s="12">
        <f>IF(A134="","",IF(D134="","CEK ID FIXTURE kosong",IF(G134="","CEK ID FIXTURE tidak ada di DAFTAR_FIXTURE",IF(H134="Endcap","CEK Endcap tidak ikut sambung",IF(H134&lt;&gt;B134,"CEK kategori fixture tidak sama dengan KATEGORI",IF(C134="","CEK URUTAN kosong",IF(AND(E134&lt;&gt;"",COUNTIFS(DATA!$I$2:$I$500,E134)=0),"CEK Series tidak ada di DATA","OK")))))))</f>
        <v/>
      </c>
    </row>
    <row r="135">
      <c r="A135" s="10" t="n"/>
      <c r="B135" s="10" t="n"/>
      <c r="C135" s="10" t="n"/>
      <c r="D135" s="11" t="n"/>
      <c r="E135" s="10" t="n"/>
      <c r="F135" s="10" t="n"/>
      <c r="G135" s="12">
        <f>IF(D135="","",IFERROR(INDEX(DAFTAR_FIXTURE!$B$2:$B$51,MATCH(D135,DAFTAR_FIXTURE!$A$2:$A$51,0)),""))</f>
        <v/>
      </c>
      <c r="H135" s="12">
        <f>IF(G135="","",IF(LEFT(G135,4)="Wall","Wall",IF(LEFT(G135,7)="Gondola","Gondola",IF(LEFT(G135,6)="Pallet","Pallet",IF(LEFT(G135,6)="Endcap","Endcap","")))))</f>
        <v/>
      </c>
      <c r="I135" s="12">
        <f>IF(A135="","",IF(D135="","CEK ID FIXTURE kosong",IF(G135="","CEK ID FIXTURE tidak ada di DAFTAR_FIXTURE",IF(H135="Endcap","CEK Endcap tidak ikut sambung",IF(H135&lt;&gt;B135,"CEK kategori fixture tidak sama dengan KATEGORI",IF(C135="","CEK URUTAN kosong",IF(AND(E135&lt;&gt;"",COUNTIFS(DATA!$I$2:$I$500,E135)=0),"CEK Series tidak ada di DATA","OK")))))))</f>
        <v/>
      </c>
    </row>
    <row r="136">
      <c r="A136" s="10" t="n"/>
      <c r="B136" s="10" t="n"/>
      <c r="C136" s="10" t="n"/>
      <c r="D136" s="11" t="n"/>
      <c r="E136" s="10" t="n"/>
      <c r="F136" s="10" t="n"/>
      <c r="G136" s="12">
        <f>IF(D136="","",IFERROR(INDEX(DAFTAR_FIXTURE!$B$2:$B$51,MATCH(D136,DAFTAR_FIXTURE!$A$2:$A$51,0)),""))</f>
        <v/>
      </c>
      <c r="H136" s="12">
        <f>IF(G136="","",IF(LEFT(G136,4)="Wall","Wall",IF(LEFT(G136,7)="Gondola","Gondola",IF(LEFT(G136,6)="Pallet","Pallet",IF(LEFT(G136,6)="Endcap","Endcap","")))))</f>
        <v/>
      </c>
      <c r="I136" s="12">
        <f>IF(A136="","",IF(D136="","CEK ID FIXTURE kosong",IF(G136="","CEK ID FIXTURE tidak ada di DAFTAR_FIXTURE",IF(H136="Endcap","CEK Endcap tidak ikut sambung",IF(H136&lt;&gt;B136,"CEK kategori fixture tidak sama dengan KATEGORI",IF(C136="","CEK URUTAN kosong",IF(AND(E136&lt;&gt;"",COUNTIFS(DATA!$I$2:$I$500,E136)=0),"CEK Series tidak ada di DATA","OK")))))))</f>
        <v/>
      </c>
    </row>
    <row r="137">
      <c r="A137" s="10" t="n"/>
      <c r="B137" s="10" t="n"/>
      <c r="C137" s="10" t="n"/>
      <c r="D137" s="11" t="n"/>
      <c r="E137" s="10" t="n"/>
      <c r="F137" s="10" t="n"/>
      <c r="G137" s="12">
        <f>IF(D137="","",IFERROR(INDEX(DAFTAR_FIXTURE!$B$2:$B$51,MATCH(D137,DAFTAR_FIXTURE!$A$2:$A$51,0)),""))</f>
        <v/>
      </c>
      <c r="H137" s="12">
        <f>IF(G137="","",IF(LEFT(G137,4)="Wall","Wall",IF(LEFT(G137,7)="Gondola","Gondola",IF(LEFT(G137,6)="Pallet","Pallet",IF(LEFT(G137,6)="Endcap","Endcap","")))))</f>
        <v/>
      </c>
      <c r="I137" s="12">
        <f>IF(A137="","",IF(D137="","CEK ID FIXTURE kosong",IF(G137="","CEK ID FIXTURE tidak ada di DAFTAR_FIXTURE",IF(H137="Endcap","CEK Endcap tidak ikut sambung",IF(H137&lt;&gt;B137,"CEK kategori fixture tidak sama dengan KATEGORI",IF(C137="","CEK URUTAN kosong",IF(AND(E137&lt;&gt;"",COUNTIFS(DATA!$I$2:$I$500,E137)=0),"CEK Series tidak ada di DATA","OK")))))))</f>
        <v/>
      </c>
    </row>
    <row r="138">
      <c r="A138" s="10" t="n"/>
      <c r="B138" s="10" t="n"/>
      <c r="C138" s="10" t="n"/>
      <c r="D138" s="11" t="n"/>
      <c r="E138" s="10" t="n"/>
      <c r="F138" s="10" t="n"/>
      <c r="G138" s="12">
        <f>IF(D138="","",IFERROR(INDEX(DAFTAR_FIXTURE!$B$2:$B$51,MATCH(D138,DAFTAR_FIXTURE!$A$2:$A$51,0)),""))</f>
        <v/>
      </c>
      <c r="H138" s="12">
        <f>IF(G138="","",IF(LEFT(G138,4)="Wall","Wall",IF(LEFT(G138,7)="Gondola","Gondola",IF(LEFT(G138,6)="Pallet","Pallet",IF(LEFT(G138,6)="Endcap","Endcap","")))))</f>
        <v/>
      </c>
      <c r="I138" s="12">
        <f>IF(A138="","",IF(D138="","CEK ID FIXTURE kosong",IF(G138="","CEK ID FIXTURE tidak ada di DAFTAR_FIXTURE",IF(H138="Endcap","CEK Endcap tidak ikut sambung",IF(H138&lt;&gt;B138,"CEK kategori fixture tidak sama dengan KATEGORI",IF(C138="","CEK URUTAN kosong",IF(AND(E138&lt;&gt;"",COUNTIFS(DATA!$I$2:$I$500,E138)=0),"CEK Series tidak ada di DATA","OK")))))))</f>
        <v/>
      </c>
    </row>
    <row r="139">
      <c r="A139" s="10" t="n"/>
      <c r="B139" s="10" t="n"/>
      <c r="C139" s="10" t="n"/>
      <c r="D139" s="11" t="n"/>
      <c r="E139" s="10" t="n"/>
      <c r="F139" s="10" t="n"/>
      <c r="G139" s="12">
        <f>IF(D139="","",IFERROR(INDEX(DAFTAR_FIXTURE!$B$2:$B$51,MATCH(D139,DAFTAR_FIXTURE!$A$2:$A$51,0)),""))</f>
        <v/>
      </c>
      <c r="H139" s="12">
        <f>IF(G139="","",IF(LEFT(G139,4)="Wall","Wall",IF(LEFT(G139,7)="Gondola","Gondola",IF(LEFT(G139,6)="Pallet","Pallet",IF(LEFT(G139,6)="Endcap","Endcap","")))))</f>
        <v/>
      </c>
      <c r="I139" s="12">
        <f>IF(A139="","",IF(D139="","CEK ID FIXTURE kosong",IF(G139="","CEK ID FIXTURE tidak ada di DAFTAR_FIXTURE",IF(H139="Endcap","CEK Endcap tidak ikut sambung",IF(H139&lt;&gt;B139,"CEK kategori fixture tidak sama dengan KATEGORI",IF(C139="","CEK URUTAN kosong",IF(AND(E139&lt;&gt;"",COUNTIFS(DATA!$I$2:$I$500,E139)=0),"CEK Series tidak ada di DATA","OK")))))))</f>
        <v/>
      </c>
    </row>
    <row r="140">
      <c r="A140" s="10" t="n"/>
      <c r="B140" s="10" t="n"/>
      <c r="C140" s="10" t="n"/>
      <c r="D140" s="11" t="n"/>
      <c r="E140" s="10" t="n"/>
      <c r="F140" s="10" t="n"/>
      <c r="G140" s="12">
        <f>IF(D140="","",IFERROR(INDEX(DAFTAR_FIXTURE!$B$2:$B$51,MATCH(D140,DAFTAR_FIXTURE!$A$2:$A$51,0)),""))</f>
        <v/>
      </c>
      <c r="H140" s="12">
        <f>IF(G140="","",IF(LEFT(G140,4)="Wall","Wall",IF(LEFT(G140,7)="Gondola","Gondola",IF(LEFT(G140,6)="Pallet","Pallet",IF(LEFT(G140,6)="Endcap","Endcap","")))))</f>
        <v/>
      </c>
      <c r="I140" s="12">
        <f>IF(A140="","",IF(D140="","CEK ID FIXTURE kosong",IF(G140="","CEK ID FIXTURE tidak ada di DAFTAR_FIXTURE",IF(H140="Endcap","CEK Endcap tidak ikut sambung",IF(H140&lt;&gt;B140,"CEK kategori fixture tidak sama dengan KATEGORI",IF(C140="","CEK URUTAN kosong",IF(AND(E140&lt;&gt;"",COUNTIFS(DATA!$I$2:$I$500,E140)=0),"CEK Series tidak ada di DATA","OK")))))))</f>
        <v/>
      </c>
    </row>
    <row r="141">
      <c r="A141" s="10" t="n"/>
      <c r="B141" s="10" t="n"/>
      <c r="C141" s="10" t="n"/>
      <c r="D141" s="11" t="n"/>
      <c r="E141" s="10" t="n"/>
      <c r="F141" s="10" t="n"/>
      <c r="G141" s="12">
        <f>IF(D141="","",IFERROR(INDEX(DAFTAR_FIXTURE!$B$2:$B$51,MATCH(D141,DAFTAR_FIXTURE!$A$2:$A$51,0)),""))</f>
        <v/>
      </c>
      <c r="H141" s="12">
        <f>IF(G141="","",IF(LEFT(G141,4)="Wall","Wall",IF(LEFT(G141,7)="Gondola","Gondola",IF(LEFT(G141,6)="Pallet","Pallet",IF(LEFT(G141,6)="Endcap","Endcap","")))))</f>
        <v/>
      </c>
      <c r="I141" s="12">
        <f>IF(A141="","",IF(D141="","CEK ID FIXTURE kosong",IF(G141="","CEK ID FIXTURE tidak ada di DAFTAR_FIXTURE",IF(H141="Endcap","CEK Endcap tidak ikut sambung",IF(H141&lt;&gt;B141,"CEK kategori fixture tidak sama dengan KATEGORI",IF(C141="","CEK URUTAN kosong",IF(AND(E141&lt;&gt;"",COUNTIFS(DATA!$I$2:$I$500,E141)=0),"CEK Series tidak ada di DATA","OK")))))))</f>
        <v/>
      </c>
    </row>
    <row r="142">
      <c r="A142" s="10" t="n"/>
      <c r="B142" s="10" t="n"/>
      <c r="C142" s="10" t="n"/>
      <c r="D142" s="11" t="n"/>
      <c r="E142" s="10" t="n"/>
      <c r="F142" s="10" t="n"/>
      <c r="G142" s="12">
        <f>IF(D142="","",IFERROR(INDEX(DAFTAR_FIXTURE!$B$2:$B$51,MATCH(D142,DAFTAR_FIXTURE!$A$2:$A$51,0)),""))</f>
        <v/>
      </c>
      <c r="H142" s="12">
        <f>IF(G142="","",IF(LEFT(G142,4)="Wall","Wall",IF(LEFT(G142,7)="Gondola","Gondola",IF(LEFT(G142,6)="Pallet","Pallet",IF(LEFT(G142,6)="Endcap","Endcap","")))))</f>
        <v/>
      </c>
      <c r="I142" s="12">
        <f>IF(A142="","",IF(D142="","CEK ID FIXTURE kosong",IF(G142="","CEK ID FIXTURE tidak ada di DAFTAR_FIXTURE",IF(H142="Endcap","CEK Endcap tidak ikut sambung",IF(H142&lt;&gt;B142,"CEK kategori fixture tidak sama dengan KATEGORI",IF(C142="","CEK URUTAN kosong",IF(AND(E142&lt;&gt;"",COUNTIFS(DATA!$I$2:$I$500,E142)=0),"CEK Series tidak ada di DATA","OK")))))))</f>
        <v/>
      </c>
    </row>
    <row r="143">
      <c r="A143" s="10" t="n"/>
      <c r="B143" s="10" t="n"/>
      <c r="C143" s="10" t="n"/>
      <c r="D143" s="11" t="n"/>
      <c r="E143" s="10" t="n"/>
      <c r="F143" s="10" t="n"/>
      <c r="G143" s="12">
        <f>IF(D143="","",IFERROR(INDEX(DAFTAR_FIXTURE!$B$2:$B$51,MATCH(D143,DAFTAR_FIXTURE!$A$2:$A$51,0)),""))</f>
        <v/>
      </c>
      <c r="H143" s="12">
        <f>IF(G143="","",IF(LEFT(G143,4)="Wall","Wall",IF(LEFT(G143,7)="Gondola","Gondola",IF(LEFT(G143,6)="Pallet","Pallet",IF(LEFT(G143,6)="Endcap","Endcap","")))))</f>
        <v/>
      </c>
      <c r="I143" s="12">
        <f>IF(A143="","",IF(D143="","CEK ID FIXTURE kosong",IF(G143="","CEK ID FIXTURE tidak ada di DAFTAR_FIXTURE",IF(H143="Endcap","CEK Endcap tidak ikut sambung",IF(H143&lt;&gt;B143,"CEK kategori fixture tidak sama dengan KATEGORI",IF(C143="","CEK URUTAN kosong",IF(AND(E143&lt;&gt;"",COUNTIFS(DATA!$I$2:$I$500,E143)=0),"CEK Series tidak ada di DATA","OK")))))))</f>
        <v/>
      </c>
    </row>
    <row r="144">
      <c r="A144" s="10" t="n"/>
      <c r="B144" s="10" t="n"/>
      <c r="C144" s="10" t="n"/>
      <c r="D144" s="11" t="n"/>
      <c r="E144" s="10" t="n"/>
      <c r="F144" s="10" t="n"/>
      <c r="G144" s="12">
        <f>IF(D144="","",IFERROR(INDEX(DAFTAR_FIXTURE!$B$2:$B$51,MATCH(D144,DAFTAR_FIXTURE!$A$2:$A$51,0)),""))</f>
        <v/>
      </c>
      <c r="H144" s="12">
        <f>IF(G144="","",IF(LEFT(G144,4)="Wall","Wall",IF(LEFT(G144,7)="Gondola","Gondola",IF(LEFT(G144,6)="Pallet","Pallet",IF(LEFT(G144,6)="Endcap","Endcap","")))))</f>
        <v/>
      </c>
      <c r="I144" s="12">
        <f>IF(A144="","",IF(D144="","CEK ID FIXTURE kosong",IF(G144="","CEK ID FIXTURE tidak ada di DAFTAR_FIXTURE",IF(H144="Endcap","CEK Endcap tidak ikut sambung",IF(H144&lt;&gt;B144,"CEK kategori fixture tidak sama dengan KATEGORI",IF(C144="","CEK URUTAN kosong",IF(AND(E144&lt;&gt;"",COUNTIFS(DATA!$I$2:$I$500,E144)=0),"CEK Series tidak ada di DATA","OK")))))))</f>
        <v/>
      </c>
    </row>
    <row r="145">
      <c r="A145" s="10" t="n"/>
      <c r="B145" s="10" t="n"/>
      <c r="C145" s="10" t="n"/>
      <c r="D145" s="11" t="n"/>
      <c r="E145" s="10" t="n"/>
      <c r="F145" s="10" t="n"/>
      <c r="G145" s="12">
        <f>IF(D145="","",IFERROR(INDEX(DAFTAR_FIXTURE!$B$2:$B$51,MATCH(D145,DAFTAR_FIXTURE!$A$2:$A$51,0)),""))</f>
        <v/>
      </c>
      <c r="H145" s="12">
        <f>IF(G145="","",IF(LEFT(G145,4)="Wall","Wall",IF(LEFT(G145,7)="Gondola","Gondola",IF(LEFT(G145,6)="Pallet","Pallet",IF(LEFT(G145,6)="Endcap","Endcap","")))))</f>
        <v/>
      </c>
      <c r="I145" s="12">
        <f>IF(A145="","",IF(D145="","CEK ID FIXTURE kosong",IF(G145="","CEK ID FIXTURE tidak ada di DAFTAR_FIXTURE",IF(H145="Endcap","CEK Endcap tidak ikut sambung",IF(H145&lt;&gt;B145,"CEK kategori fixture tidak sama dengan KATEGORI",IF(C145="","CEK URUTAN kosong",IF(AND(E145&lt;&gt;"",COUNTIFS(DATA!$I$2:$I$500,E145)=0),"CEK Series tidak ada di DATA","OK")))))))</f>
        <v/>
      </c>
    </row>
    <row r="146">
      <c r="A146" s="10" t="n"/>
      <c r="B146" s="10" t="n"/>
      <c r="C146" s="10" t="n"/>
      <c r="D146" s="11" t="n"/>
      <c r="E146" s="10" t="n"/>
      <c r="F146" s="10" t="n"/>
      <c r="G146" s="12">
        <f>IF(D146="","",IFERROR(INDEX(DAFTAR_FIXTURE!$B$2:$B$51,MATCH(D146,DAFTAR_FIXTURE!$A$2:$A$51,0)),""))</f>
        <v/>
      </c>
      <c r="H146" s="12">
        <f>IF(G146="","",IF(LEFT(G146,4)="Wall","Wall",IF(LEFT(G146,7)="Gondola","Gondola",IF(LEFT(G146,6)="Pallet","Pallet",IF(LEFT(G146,6)="Endcap","Endcap","")))))</f>
        <v/>
      </c>
      <c r="I146" s="12">
        <f>IF(A146="","",IF(D146="","CEK ID FIXTURE kosong",IF(G146="","CEK ID FIXTURE tidak ada di DAFTAR_FIXTURE",IF(H146="Endcap","CEK Endcap tidak ikut sambung",IF(H146&lt;&gt;B146,"CEK kategori fixture tidak sama dengan KATEGORI",IF(C146="","CEK URUTAN kosong",IF(AND(E146&lt;&gt;"",COUNTIFS(DATA!$I$2:$I$500,E146)=0),"CEK Series tidak ada di DATA","OK")))))))</f>
        <v/>
      </c>
    </row>
    <row r="147">
      <c r="A147" s="10" t="n"/>
      <c r="B147" s="10" t="n"/>
      <c r="C147" s="10" t="n"/>
      <c r="D147" s="11" t="n"/>
      <c r="E147" s="10" t="n"/>
      <c r="F147" s="10" t="n"/>
      <c r="G147" s="12">
        <f>IF(D147="","",IFERROR(INDEX(DAFTAR_FIXTURE!$B$2:$B$51,MATCH(D147,DAFTAR_FIXTURE!$A$2:$A$51,0)),""))</f>
        <v/>
      </c>
      <c r="H147" s="12">
        <f>IF(G147="","",IF(LEFT(G147,4)="Wall","Wall",IF(LEFT(G147,7)="Gondola","Gondola",IF(LEFT(G147,6)="Pallet","Pallet",IF(LEFT(G147,6)="Endcap","Endcap","")))))</f>
        <v/>
      </c>
      <c r="I147" s="12">
        <f>IF(A147="","",IF(D147="","CEK ID FIXTURE kosong",IF(G147="","CEK ID FIXTURE tidak ada di DAFTAR_FIXTURE",IF(H147="Endcap","CEK Endcap tidak ikut sambung",IF(H147&lt;&gt;B147,"CEK kategori fixture tidak sama dengan KATEGORI",IF(C147="","CEK URUTAN kosong",IF(AND(E147&lt;&gt;"",COUNTIFS(DATA!$I$2:$I$500,E147)=0),"CEK Series tidak ada di DATA","OK")))))))</f>
        <v/>
      </c>
    </row>
    <row r="148">
      <c r="A148" s="10" t="n"/>
      <c r="B148" s="10" t="n"/>
      <c r="C148" s="10" t="n"/>
      <c r="D148" s="11" t="n"/>
      <c r="E148" s="10" t="n"/>
      <c r="F148" s="10" t="n"/>
      <c r="G148" s="12">
        <f>IF(D148="","",IFERROR(INDEX(DAFTAR_FIXTURE!$B$2:$B$51,MATCH(D148,DAFTAR_FIXTURE!$A$2:$A$51,0)),""))</f>
        <v/>
      </c>
      <c r="H148" s="12">
        <f>IF(G148="","",IF(LEFT(G148,4)="Wall","Wall",IF(LEFT(G148,7)="Gondola","Gondola",IF(LEFT(G148,6)="Pallet","Pallet",IF(LEFT(G148,6)="Endcap","Endcap","")))))</f>
        <v/>
      </c>
      <c r="I148" s="12">
        <f>IF(A148="","",IF(D148="","CEK ID FIXTURE kosong",IF(G148="","CEK ID FIXTURE tidak ada di DAFTAR_FIXTURE",IF(H148="Endcap","CEK Endcap tidak ikut sambung",IF(H148&lt;&gt;B148,"CEK kategori fixture tidak sama dengan KATEGORI",IF(C148="","CEK URUTAN kosong",IF(AND(E148&lt;&gt;"",COUNTIFS(DATA!$I$2:$I$500,E148)=0),"CEK Series tidak ada di DATA","OK")))))))</f>
        <v/>
      </c>
    </row>
    <row r="149">
      <c r="A149" s="10" t="n"/>
      <c r="B149" s="10" t="n"/>
      <c r="C149" s="10" t="n"/>
      <c r="D149" s="11" t="n"/>
      <c r="E149" s="10" t="n"/>
      <c r="F149" s="10" t="n"/>
      <c r="G149" s="12">
        <f>IF(D149="","",IFERROR(INDEX(DAFTAR_FIXTURE!$B$2:$B$51,MATCH(D149,DAFTAR_FIXTURE!$A$2:$A$51,0)),""))</f>
        <v/>
      </c>
      <c r="H149" s="12">
        <f>IF(G149="","",IF(LEFT(G149,4)="Wall","Wall",IF(LEFT(G149,7)="Gondola","Gondola",IF(LEFT(G149,6)="Pallet","Pallet",IF(LEFT(G149,6)="Endcap","Endcap","")))))</f>
        <v/>
      </c>
      <c r="I149" s="12">
        <f>IF(A149="","",IF(D149="","CEK ID FIXTURE kosong",IF(G149="","CEK ID FIXTURE tidak ada di DAFTAR_FIXTURE",IF(H149="Endcap","CEK Endcap tidak ikut sambung",IF(H149&lt;&gt;B149,"CEK kategori fixture tidak sama dengan KATEGORI",IF(C149="","CEK URUTAN kosong",IF(AND(E149&lt;&gt;"",COUNTIFS(DATA!$I$2:$I$500,E149)=0),"CEK Series tidak ada di DATA","OK")))))))</f>
        <v/>
      </c>
    </row>
    <row r="150">
      <c r="A150" s="10" t="n"/>
      <c r="B150" s="10" t="n"/>
      <c r="C150" s="10" t="n"/>
      <c r="D150" s="11" t="n"/>
      <c r="E150" s="10" t="n"/>
      <c r="F150" s="10" t="n"/>
      <c r="G150" s="12">
        <f>IF(D150="","",IFERROR(INDEX(DAFTAR_FIXTURE!$B$2:$B$51,MATCH(D150,DAFTAR_FIXTURE!$A$2:$A$51,0)),""))</f>
        <v/>
      </c>
      <c r="H150" s="12">
        <f>IF(G150="","",IF(LEFT(G150,4)="Wall","Wall",IF(LEFT(G150,7)="Gondola","Gondola",IF(LEFT(G150,6)="Pallet","Pallet",IF(LEFT(G150,6)="Endcap","Endcap","")))))</f>
        <v/>
      </c>
      <c r="I150" s="12">
        <f>IF(A150="","",IF(D150="","CEK ID FIXTURE kosong",IF(G150="","CEK ID FIXTURE tidak ada di DAFTAR_FIXTURE",IF(H150="Endcap","CEK Endcap tidak ikut sambung",IF(H150&lt;&gt;B150,"CEK kategori fixture tidak sama dengan KATEGORI",IF(C150="","CEK URUTAN kosong",IF(AND(E150&lt;&gt;"",COUNTIFS(DATA!$I$2:$I$500,E150)=0),"CEK Series tidak ada di DATA","OK")))))))</f>
        <v/>
      </c>
    </row>
    <row r="151">
      <c r="A151" s="10" t="n"/>
      <c r="B151" s="10" t="n"/>
      <c r="C151" s="10" t="n"/>
      <c r="D151" s="11" t="n"/>
      <c r="E151" s="10" t="n"/>
      <c r="F151" s="10" t="n"/>
      <c r="G151" s="12">
        <f>IF(D151="","",IFERROR(INDEX(DAFTAR_FIXTURE!$B$2:$B$51,MATCH(D151,DAFTAR_FIXTURE!$A$2:$A$51,0)),""))</f>
        <v/>
      </c>
      <c r="H151" s="12">
        <f>IF(G151="","",IF(LEFT(G151,4)="Wall","Wall",IF(LEFT(G151,7)="Gondola","Gondola",IF(LEFT(G151,6)="Pallet","Pallet",IF(LEFT(G151,6)="Endcap","Endcap","")))))</f>
        <v/>
      </c>
      <c r="I151" s="12">
        <f>IF(A151="","",IF(D151="","CEK ID FIXTURE kosong",IF(G151="","CEK ID FIXTURE tidak ada di DAFTAR_FIXTURE",IF(H151="Endcap","CEK Endcap tidak ikut sambung",IF(H151&lt;&gt;B151,"CEK kategori fixture tidak sama dengan KATEGORI",IF(C151="","CEK URUTAN kosong",IF(AND(E151&lt;&gt;"",COUNTIFS(DATA!$I$2:$I$500,E151)=0),"CEK Series tidak ada di DATA","OK")))))))</f>
        <v/>
      </c>
    </row>
    <row r="152">
      <c r="A152" s="10" t="n"/>
      <c r="B152" s="10" t="n"/>
      <c r="C152" s="10" t="n"/>
      <c r="D152" s="11" t="n"/>
      <c r="E152" s="10" t="n"/>
      <c r="F152" s="10" t="n"/>
      <c r="G152" s="12">
        <f>IF(D152="","",IFERROR(INDEX(DAFTAR_FIXTURE!$B$2:$B$51,MATCH(D152,DAFTAR_FIXTURE!$A$2:$A$51,0)),""))</f>
        <v/>
      </c>
      <c r="H152" s="12">
        <f>IF(G152="","",IF(LEFT(G152,4)="Wall","Wall",IF(LEFT(G152,7)="Gondola","Gondola",IF(LEFT(G152,6)="Pallet","Pallet",IF(LEFT(G152,6)="Endcap","Endcap","")))))</f>
        <v/>
      </c>
      <c r="I152" s="12">
        <f>IF(A152="","",IF(D152="","CEK ID FIXTURE kosong",IF(G152="","CEK ID FIXTURE tidak ada di DAFTAR_FIXTURE",IF(H152="Endcap","CEK Endcap tidak ikut sambung",IF(H152&lt;&gt;B152,"CEK kategori fixture tidak sama dengan KATEGORI",IF(C152="","CEK URUTAN kosong",IF(AND(E152&lt;&gt;"",COUNTIFS(DATA!$I$2:$I$500,E152)=0),"CEK Series tidak ada di DATA","OK")))))))</f>
        <v/>
      </c>
    </row>
    <row r="153">
      <c r="A153" s="10" t="n"/>
      <c r="B153" s="10" t="n"/>
      <c r="C153" s="10" t="n"/>
      <c r="D153" s="11" t="n"/>
      <c r="E153" s="10" t="n"/>
      <c r="F153" s="10" t="n"/>
      <c r="G153" s="12">
        <f>IF(D153="","",IFERROR(INDEX(DAFTAR_FIXTURE!$B$2:$B$51,MATCH(D153,DAFTAR_FIXTURE!$A$2:$A$51,0)),""))</f>
        <v/>
      </c>
      <c r="H153" s="12">
        <f>IF(G153="","",IF(LEFT(G153,4)="Wall","Wall",IF(LEFT(G153,7)="Gondola","Gondola",IF(LEFT(G153,6)="Pallet","Pallet",IF(LEFT(G153,6)="Endcap","Endcap","")))))</f>
        <v/>
      </c>
      <c r="I153" s="12">
        <f>IF(A153="","",IF(D153="","CEK ID FIXTURE kosong",IF(G153="","CEK ID FIXTURE tidak ada di DAFTAR_FIXTURE",IF(H153="Endcap","CEK Endcap tidak ikut sambung",IF(H153&lt;&gt;B153,"CEK kategori fixture tidak sama dengan KATEGORI",IF(C153="","CEK URUTAN kosong",IF(AND(E153&lt;&gt;"",COUNTIFS(DATA!$I$2:$I$500,E153)=0),"CEK Series tidak ada di DATA","OK")))))))</f>
        <v/>
      </c>
    </row>
    <row r="154">
      <c r="A154" s="10" t="n"/>
      <c r="B154" s="10" t="n"/>
      <c r="C154" s="10" t="n"/>
      <c r="D154" s="11" t="n"/>
      <c r="E154" s="10" t="n"/>
      <c r="F154" s="10" t="n"/>
      <c r="G154" s="12">
        <f>IF(D154="","",IFERROR(INDEX(DAFTAR_FIXTURE!$B$2:$B$51,MATCH(D154,DAFTAR_FIXTURE!$A$2:$A$51,0)),""))</f>
        <v/>
      </c>
      <c r="H154" s="12">
        <f>IF(G154="","",IF(LEFT(G154,4)="Wall","Wall",IF(LEFT(G154,7)="Gondola","Gondola",IF(LEFT(G154,6)="Pallet","Pallet",IF(LEFT(G154,6)="Endcap","Endcap","")))))</f>
        <v/>
      </c>
      <c r="I154" s="12">
        <f>IF(A154="","",IF(D154="","CEK ID FIXTURE kosong",IF(G154="","CEK ID FIXTURE tidak ada di DAFTAR_FIXTURE",IF(H154="Endcap","CEK Endcap tidak ikut sambung",IF(H154&lt;&gt;B154,"CEK kategori fixture tidak sama dengan KATEGORI",IF(C154="","CEK URUTAN kosong",IF(AND(E154&lt;&gt;"",COUNTIFS(DATA!$I$2:$I$500,E154)=0),"CEK Series tidak ada di DATA","OK")))))))</f>
        <v/>
      </c>
    </row>
    <row r="155">
      <c r="A155" s="10" t="n"/>
      <c r="B155" s="10" t="n"/>
      <c r="C155" s="10" t="n"/>
      <c r="D155" s="11" t="n"/>
      <c r="E155" s="10" t="n"/>
      <c r="F155" s="10" t="n"/>
      <c r="G155" s="12">
        <f>IF(D155="","",IFERROR(INDEX(DAFTAR_FIXTURE!$B$2:$B$51,MATCH(D155,DAFTAR_FIXTURE!$A$2:$A$51,0)),""))</f>
        <v/>
      </c>
      <c r="H155" s="12">
        <f>IF(G155="","",IF(LEFT(G155,4)="Wall","Wall",IF(LEFT(G155,7)="Gondola","Gondola",IF(LEFT(G155,6)="Pallet","Pallet",IF(LEFT(G155,6)="Endcap","Endcap","")))))</f>
        <v/>
      </c>
      <c r="I155" s="12">
        <f>IF(A155="","",IF(D155="","CEK ID FIXTURE kosong",IF(G155="","CEK ID FIXTURE tidak ada di DAFTAR_FIXTURE",IF(H155="Endcap","CEK Endcap tidak ikut sambung",IF(H155&lt;&gt;B155,"CEK kategori fixture tidak sama dengan KATEGORI",IF(C155="","CEK URUTAN kosong",IF(AND(E155&lt;&gt;"",COUNTIFS(DATA!$I$2:$I$500,E155)=0),"CEK Series tidak ada di DATA","OK")))))))</f>
        <v/>
      </c>
    </row>
    <row r="156">
      <c r="A156" s="10" t="n"/>
      <c r="B156" s="10" t="n"/>
      <c r="C156" s="10" t="n"/>
      <c r="D156" s="11" t="n"/>
      <c r="E156" s="10" t="n"/>
      <c r="F156" s="10" t="n"/>
      <c r="G156" s="12">
        <f>IF(D156="","",IFERROR(INDEX(DAFTAR_FIXTURE!$B$2:$B$51,MATCH(D156,DAFTAR_FIXTURE!$A$2:$A$51,0)),""))</f>
        <v/>
      </c>
      <c r="H156" s="12">
        <f>IF(G156="","",IF(LEFT(G156,4)="Wall","Wall",IF(LEFT(G156,7)="Gondola","Gondola",IF(LEFT(G156,6)="Pallet","Pallet",IF(LEFT(G156,6)="Endcap","Endcap","")))))</f>
        <v/>
      </c>
      <c r="I156" s="12">
        <f>IF(A156="","",IF(D156="","CEK ID FIXTURE kosong",IF(G156="","CEK ID FIXTURE tidak ada di DAFTAR_FIXTURE",IF(H156="Endcap","CEK Endcap tidak ikut sambung",IF(H156&lt;&gt;B156,"CEK kategori fixture tidak sama dengan KATEGORI",IF(C156="","CEK URUTAN kosong",IF(AND(E156&lt;&gt;"",COUNTIFS(DATA!$I$2:$I$500,E156)=0),"CEK Series tidak ada di DATA","OK")))))))</f>
        <v/>
      </c>
    </row>
    <row r="157">
      <c r="A157" s="10" t="n"/>
      <c r="B157" s="10" t="n"/>
      <c r="C157" s="10" t="n"/>
      <c r="D157" s="11" t="n"/>
      <c r="E157" s="10" t="n"/>
      <c r="F157" s="10" t="n"/>
      <c r="G157" s="12">
        <f>IF(D157="","",IFERROR(INDEX(DAFTAR_FIXTURE!$B$2:$B$51,MATCH(D157,DAFTAR_FIXTURE!$A$2:$A$51,0)),""))</f>
        <v/>
      </c>
      <c r="H157" s="12">
        <f>IF(G157="","",IF(LEFT(G157,4)="Wall","Wall",IF(LEFT(G157,7)="Gondola","Gondola",IF(LEFT(G157,6)="Pallet","Pallet",IF(LEFT(G157,6)="Endcap","Endcap","")))))</f>
        <v/>
      </c>
      <c r="I157" s="12">
        <f>IF(A157="","",IF(D157="","CEK ID FIXTURE kosong",IF(G157="","CEK ID FIXTURE tidak ada di DAFTAR_FIXTURE",IF(H157="Endcap","CEK Endcap tidak ikut sambung",IF(H157&lt;&gt;B157,"CEK kategori fixture tidak sama dengan KATEGORI",IF(C157="","CEK URUTAN kosong",IF(AND(E157&lt;&gt;"",COUNTIFS(DATA!$I$2:$I$500,E157)=0),"CEK Series tidak ada di DATA","OK")))))))</f>
        <v/>
      </c>
    </row>
    <row r="158">
      <c r="A158" s="10" t="n"/>
      <c r="B158" s="10" t="n"/>
      <c r="C158" s="10" t="n"/>
      <c r="D158" s="11" t="n"/>
      <c r="E158" s="10" t="n"/>
      <c r="F158" s="10" t="n"/>
      <c r="G158" s="12">
        <f>IF(D158="","",IFERROR(INDEX(DAFTAR_FIXTURE!$B$2:$B$51,MATCH(D158,DAFTAR_FIXTURE!$A$2:$A$51,0)),""))</f>
        <v/>
      </c>
      <c r="H158" s="12">
        <f>IF(G158="","",IF(LEFT(G158,4)="Wall","Wall",IF(LEFT(G158,7)="Gondola","Gondola",IF(LEFT(G158,6)="Pallet","Pallet",IF(LEFT(G158,6)="Endcap","Endcap","")))))</f>
        <v/>
      </c>
      <c r="I158" s="12">
        <f>IF(A158="","",IF(D158="","CEK ID FIXTURE kosong",IF(G158="","CEK ID FIXTURE tidak ada di DAFTAR_FIXTURE",IF(H158="Endcap","CEK Endcap tidak ikut sambung",IF(H158&lt;&gt;B158,"CEK kategori fixture tidak sama dengan KATEGORI",IF(C158="","CEK URUTAN kosong",IF(AND(E158&lt;&gt;"",COUNTIFS(DATA!$I$2:$I$500,E158)=0),"CEK Series tidak ada di DATA","OK")))))))</f>
        <v/>
      </c>
    </row>
    <row r="159">
      <c r="A159" s="10" t="n"/>
      <c r="B159" s="10" t="n"/>
      <c r="C159" s="10" t="n"/>
      <c r="D159" s="11" t="n"/>
      <c r="E159" s="10" t="n"/>
      <c r="F159" s="10" t="n"/>
      <c r="G159" s="12">
        <f>IF(D159="","",IFERROR(INDEX(DAFTAR_FIXTURE!$B$2:$B$51,MATCH(D159,DAFTAR_FIXTURE!$A$2:$A$51,0)),""))</f>
        <v/>
      </c>
      <c r="H159" s="12">
        <f>IF(G159="","",IF(LEFT(G159,4)="Wall","Wall",IF(LEFT(G159,7)="Gondola","Gondola",IF(LEFT(G159,6)="Pallet","Pallet",IF(LEFT(G159,6)="Endcap","Endcap","")))))</f>
        <v/>
      </c>
      <c r="I159" s="12">
        <f>IF(A159="","",IF(D159="","CEK ID FIXTURE kosong",IF(G159="","CEK ID FIXTURE tidak ada di DAFTAR_FIXTURE",IF(H159="Endcap","CEK Endcap tidak ikut sambung",IF(H159&lt;&gt;B159,"CEK kategori fixture tidak sama dengan KATEGORI",IF(C159="","CEK URUTAN kosong",IF(AND(E159&lt;&gt;"",COUNTIFS(DATA!$I$2:$I$500,E159)=0),"CEK Series tidak ada di DATA","OK")))))))</f>
        <v/>
      </c>
    </row>
    <row r="160">
      <c r="A160" s="10" t="n"/>
      <c r="B160" s="10" t="n"/>
      <c r="C160" s="10" t="n"/>
      <c r="D160" s="11" t="n"/>
      <c r="E160" s="10" t="n"/>
      <c r="F160" s="10" t="n"/>
      <c r="G160" s="12">
        <f>IF(D160="","",IFERROR(INDEX(DAFTAR_FIXTURE!$B$2:$B$51,MATCH(D160,DAFTAR_FIXTURE!$A$2:$A$51,0)),""))</f>
        <v/>
      </c>
      <c r="H160" s="12">
        <f>IF(G160="","",IF(LEFT(G160,4)="Wall","Wall",IF(LEFT(G160,7)="Gondola","Gondola",IF(LEFT(G160,6)="Pallet","Pallet",IF(LEFT(G160,6)="Endcap","Endcap","")))))</f>
        <v/>
      </c>
      <c r="I160" s="12">
        <f>IF(A160="","",IF(D160="","CEK ID FIXTURE kosong",IF(G160="","CEK ID FIXTURE tidak ada di DAFTAR_FIXTURE",IF(H160="Endcap","CEK Endcap tidak ikut sambung",IF(H160&lt;&gt;B160,"CEK kategori fixture tidak sama dengan KATEGORI",IF(C160="","CEK URUTAN kosong",IF(AND(E160&lt;&gt;"",COUNTIFS(DATA!$I$2:$I$500,E160)=0),"CEK Series tidak ada di DATA","OK")))))))</f>
        <v/>
      </c>
    </row>
    <row r="161">
      <c r="A161" s="10" t="n"/>
      <c r="B161" s="10" t="n"/>
      <c r="C161" s="10" t="n"/>
      <c r="D161" s="11" t="n"/>
      <c r="E161" s="10" t="n"/>
      <c r="F161" s="10" t="n"/>
      <c r="G161" s="12">
        <f>IF(D161="","",IFERROR(INDEX(DAFTAR_FIXTURE!$B$2:$B$51,MATCH(D161,DAFTAR_FIXTURE!$A$2:$A$51,0)),""))</f>
        <v/>
      </c>
      <c r="H161" s="12">
        <f>IF(G161="","",IF(LEFT(G161,4)="Wall","Wall",IF(LEFT(G161,7)="Gondola","Gondola",IF(LEFT(G161,6)="Pallet","Pallet",IF(LEFT(G161,6)="Endcap","Endcap","")))))</f>
        <v/>
      </c>
      <c r="I161" s="12">
        <f>IF(A161="","",IF(D161="","CEK ID FIXTURE kosong",IF(G161="","CEK ID FIXTURE tidak ada di DAFTAR_FIXTURE",IF(H161="Endcap","CEK Endcap tidak ikut sambung",IF(H161&lt;&gt;B161,"CEK kategori fixture tidak sama dengan KATEGORI",IF(C161="","CEK URUTAN kosong",IF(AND(E161&lt;&gt;"",COUNTIFS(DATA!$I$2:$I$500,E161)=0),"CEK Series tidak ada di DATA","OK")))))))</f>
        <v/>
      </c>
    </row>
    <row r="162">
      <c r="A162" s="10" t="n"/>
      <c r="B162" s="10" t="n"/>
      <c r="C162" s="10" t="n"/>
      <c r="D162" s="11" t="n"/>
      <c r="E162" s="10" t="n"/>
      <c r="F162" s="10" t="n"/>
      <c r="G162" s="12">
        <f>IF(D162="","",IFERROR(INDEX(DAFTAR_FIXTURE!$B$2:$B$51,MATCH(D162,DAFTAR_FIXTURE!$A$2:$A$51,0)),""))</f>
        <v/>
      </c>
      <c r="H162" s="12">
        <f>IF(G162="","",IF(LEFT(G162,4)="Wall","Wall",IF(LEFT(G162,7)="Gondola","Gondola",IF(LEFT(G162,6)="Pallet","Pallet",IF(LEFT(G162,6)="Endcap","Endcap","")))))</f>
        <v/>
      </c>
      <c r="I162" s="12">
        <f>IF(A162="","",IF(D162="","CEK ID FIXTURE kosong",IF(G162="","CEK ID FIXTURE tidak ada di DAFTAR_FIXTURE",IF(H162="Endcap","CEK Endcap tidak ikut sambung",IF(H162&lt;&gt;B162,"CEK kategori fixture tidak sama dengan KATEGORI",IF(C162="","CEK URUTAN kosong",IF(AND(E162&lt;&gt;"",COUNTIFS(DATA!$I$2:$I$500,E162)=0),"CEK Series tidak ada di DATA","OK")))))))</f>
        <v/>
      </c>
    </row>
    <row r="163">
      <c r="A163" s="10" t="n"/>
      <c r="B163" s="10" t="n"/>
      <c r="C163" s="10" t="n"/>
      <c r="D163" s="11" t="n"/>
      <c r="E163" s="10" t="n"/>
      <c r="F163" s="10" t="n"/>
      <c r="G163" s="12">
        <f>IF(D163="","",IFERROR(INDEX(DAFTAR_FIXTURE!$B$2:$B$51,MATCH(D163,DAFTAR_FIXTURE!$A$2:$A$51,0)),""))</f>
        <v/>
      </c>
      <c r="H163" s="12">
        <f>IF(G163="","",IF(LEFT(G163,4)="Wall","Wall",IF(LEFT(G163,7)="Gondola","Gondola",IF(LEFT(G163,6)="Pallet","Pallet",IF(LEFT(G163,6)="Endcap","Endcap","")))))</f>
        <v/>
      </c>
      <c r="I163" s="12">
        <f>IF(A163="","",IF(D163="","CEK ID FIXTURE kosong",IF(G163="","CEK ID FIXTURE tidak ada di DAFTAR_FIXTURE",IF(H163="Endcap","CEK Endcap tidak ikut sambung",IF(H163&lt;&gt;B163,"CEK kategori fixture tidak sama dengan KATEGORI",IF(C163="","CEK URUTAN kosong",IF(AND(E163&lt;&gt;"",COUNTIFS(DATA!$I$2:$I$500,E163)=0),"CEK Series tidak ada di DATA","OK")))))))</f>
        <v/>
      </c>
    </row>
    <row r="164">
      <c r="A164" s="10" t="n"/>
      <c r="B164" s="10" t="n"/>
      <c r="C164" s="10" t="n"/>
      <c r="D164" s="11" t="n"/>
      <c r="E164" s="10" t="n"/>
      <c r="F164" s="10" t="n"/>
      <c r="G164" s="12">
        <f>IF(D164="","",IFERROR(INDEX(DAFTAR_FIXTURE!$B$2:$B$51,MATCH(D164,DAFTAR_FIXTURE!$A$2:$A$51,0)),""))</f>
        <v/>
      </c>
      <c r="H164" s="12">
        <f>IF(G164="","",IF(LEFT(G164,4)="Wall","Wall",IF(LEFT(G164,7)="Gondola","Gondola",IF(LEFT(G164,6)="Pallet","Pallet",IF(LEFT(G164,6)="Endcap","Endcap","")))))</f>
        <v/>
      </c>
      <c r="I164" s="12">
        <f>IF(A164="","",IF(D164="","CEK ID FIXTURE kosong",IF(G164="","CEK ID FIXTURE tidak ada di DAFTAR_FIXTURE",IF(H164="Endcap","CEK Endcap tidak ikut sambung",IF(H164&lt;&gt;B164,"CEK kategori fixture tidak sama dengan KATEGORI",IF(C164="","CEK URUTAN kosong",IF(AND(E164&lt;&gt;"",COUNTIFS(DATA!$I$2:$I$500,E164)=0),"CEK Series tidak ada di DATA","OK")))))))</f>
        <v/>
      </c>
    </row>
    <row r="165">
      <c r="A165" s="10" t="n"/>
      <c r="B165" s="10" t="n"/>
      <c r="C165" s="10" t="n"/>
      <c r="D165" s="11" t="n"/>
      <c r="E165" s="10" t="n"/>
      <c r="F165" s="10" t="n"/>
      <c r="G165" s="12">
        <f>IF(D165="","",IFERROR(INDEX(DAFTAR_FIXTURE!$B$2:$B$51,MATCH(D165,DAFTAR_FIXTURE!$A$2:$A$51,0)),""))</f>
        <v/>
      </c>
      <c r="H165" s="12">
        <f>IF(G165="","",IF(LEFT(G165,4)="Wall","Wall",IF(LEFT(G165,7)="Gondola","Gondola",IF(LEFT(G165,6)="Pallet","Pallet",IF(LEFT(G165,6)="Endcap","Endcap","")))))</f>
        <v/>
      </c>
      <c r="I165" s="12">
        <f>IF(A165="","",IF(D165="","CEK ID FIXTURE kosong",IF(G165="","CEK ID FIXTURE tidak ada di DAFTAR_FIXTURE",IF(H165="Endcap","CEK Endcap tidak ikut sambung",IF(H165&lt;&gt;B165,"CEK kategori fixture tidak sama dengan KATEGORI",IF(C165="","CEK URUTAN kosong",IF(AND(E165&lt;&gt;"",COUNTIFS(DATA!$I$2:$I$500,E165)=0),"CEK Series tidak ada di DATA","OK")))))))</f>
        <v/>
      </c>
    </row>
    <row r="166">
      <c r="A166" s="10" t="n"/>
      <c r="B166" s="10" t="n"/>
      <c r="C166" s="10" t="n"/>
      <c r="D166" s="11" t="n"/>
      <c r="E166" s="10" t="n"/>
      <c r="F166" s="10" t="n"/>
      <c r="G166" s="12">
        <f>IF(D166="","",IFERROR(INDEX(DAFTAR_FIXTURE!$B$2:$B$51,MATCH(D166,DAFTAR_FIXTURE!$A$2:$A$51,0)),""))</f>
        <v/>
      </c>
      <c r="H166" s="12">
        <f>IF(G166="","",IF(LEFT(G166,4)="Wall","Wall",IF(LEFT(G166,7)="Gondola","Gondola",IF(LEFT(G166,6)="Pallet","Pallet",IF(LEFT(G166,6)="Endcap","Endcap","")))))</f>
        <v/>
      </c>
      <c r="I166" s="12">
        <f>IF(A166="","",IF(D166="","CEK ID FIXTURE kosong",IF(G166="","CEK ID FIXTURE tidak ada di DAFTAR_FIXTURE",IF(H166="Endcap","CEK Endcap tidak ikut sambung",IF(H166&lt;&gt;B166,"CEK kategori fixture tidak sama dengan KATEGORI",IF(C166="","CEK URUTAN kosong",IF(AND(E166&lt;&gt;"",COUNTIFS(DATA!$I$2:$I$500,E166)=0),"CEK Series tidak ada di DATA","OK")))))))</f>
        <v/>
      </c>
    </row>
    <row r="167">
      <c r="A167" s="10" t="n"/>
      <c r="B167" s="10" t="n"/>
      <c r="C167" s="10" t="n"/>
      <c r="D167" s="11" t="n"/>
      <c r="E167" s="10" t="n"/>
      <c r="F167" s="10" t="n"/>
      <c r="G167" s="12">
        <f>IF(D167="","",IFERROR(INDEX(DAFTAR_FIXTURE!$B$2:$B$51,MATCH(D167,DAFTAR_FIXTURE!$A$2:$A$51,0)),""))</f>
        <v/>
      </c>
      <c r="H167" s="12">
        <f>IF(G167="","",IF(LEFT(G167,4)="Wall","Wall",IF(LEFT(G167,7)="Gondola","Gondola",IF(LEFT(G167,6)="Pallet","Pallet",IF(LEFT(G167,6)="Endcap","Endcap","")))))</f>
        <v/>
      </c>
      <c r="I167" s="12">
        <f>IF(A167="","",IF(D167="","CEK ID FIXTURE kosong",IF(G167="","CEK ID FIXTURE tidak ada di DAFTAR_FIXTURE",IF(H167="Endcap","CEK Endcap tidak ikut sambung",IF(H167&lt;&gt;B167,"CEK kategori fixture tidak sama dengan KATEGORI",IF(C167="","CEK URUTAN kosong",IF(AND(E167&lt;&gt;"",COUNTIFS(DATA!$I$2:$I$500,E167)=0),"CEK Series tidak ada di DATA","OK")))))))</f>
        <v/>
      </c>
    </row>
    <row r="168">
      <c r="A168" s="10" t="n"/>
      <c r="B168" s="10" t="n"/>
      <c r="C168" s="10" t="n"/>
      <c r="D168" s="11" t="n"/>
      <c r="E168" s="10" t="n"/>
      <c r="F168" s="10" t="n"/>
      <c r="G168" s="12">
        <f>IF(D168="","",IFERROR(INDEX(DAFTAR_FIXTURE!$B$2:$B$51,MATCH(D168,DAFTAR_FIXTURE!$A$2:$A$51,0)),""))</f>
        <v/>
      </c>
      <c r="H168" s="12">
        <f>IF(G168="","",IF(LEFT(G168,4)="Wall","Wall",IF(LEFT(G168,7)="Gondola","Gondola",IF(LEFT(G168,6)="Pallet","Pallet",IF(LEFT(G168,6)="Endcap","Endcap","")))))</f>
        <v/>
      </c>
      <c r="I168" s="12">
        <f>IF(A168="","",IF(D168="","CEK ID FIXTURE kosong",IF(G168="","CEK ID FIXTURE tidak ada di DAFTAR_FIXTURE",IF(H168="Endcap","CEK Endcap tidak ikut sambung",IF(H168&lt;&gt;B168,"CEK kategori fixture tidak sama dengan KATEGORI",IF(C168="","CEK URUTAN kosong",IF(AND(E168&lt;&gt;"",COUNTIFS(DATA!$I$2:$I$500,E168)=0),"CEK Series tidak ada di DATA","OK")))))))</f>
        <v/>
      </c>
    </row>
    <row r="169">
      <c r="A169" s="10" t="n"/>
      <c r="B169" s="10" t="n"/>
      <c r="C169" s="10" t="n"/>
      <c r="D169" s="11" t="n"/>
      <c r="E169" s="10" t="n"/>
      <c r="F169" s="10" t="n"/>
      <c r="G169" s="12">
        <f>IF(D169="","",IFERROR(INDEX(DAFTAR_FIXTURE!$B$2:$B$51,MATCH(D169,DAFTAR_FIXTURE!$A$2:$A$51,0)),""))</f>
        <v/>
      </c>
      <c r="H169" s="12">
        <f>IF(G169="","",IF(LEFT(G169,4)="Wall","Wall",IF(LEFT(G169,7)="Gondola","Gondola",IF(LEFT(G169,6)="Pallet","Pallet",IF(LEFT(G169,6)="Endcap","Endcap","")))))</f>
        <v/>
      </c>
      <c r="I169" s="12">
        <f>IF(A169="","",IF(D169="","CEK ID FIXTURE kosong",IF(G169="","CEK ID FIXTURE tidak ada di DAFTAR_FIXTURE",IF(H169="Endcap","CEK Endcap tidak ikut sambung",IF(H169&lt;&gt;B169,"CEK kategori fixture tidak sama dengan KATEGORI",IF(C169="","CEK URUTAN kosong",IF(AND(E169&lt;&gt;"",COUNTIFS(DATA!$I$2:$I$500,E169)=0),"CEK Series tidak ada di DATA","OK")))))))</f>
        <v/>
      </c>
    </row>
    <row r="170">
      <c r="A170" s="10" t="n"/>
      <c r="B170" s="10" t="n"/>
      <c r="C170" s="10" t="n"/>
      <c r="D170" s="11" t="n"/>
      <c r="E170" s="10" t="n"/>
      <c r="F170" s="10" t="n"/>
      <c r="G170" s="12">
        <f>IF(D170="","",IFERROR(INDEX(DAFTAR_FIXTURE!$B$2:$B$51,MATCH(D170,DAFTAR_FIXTURE!$A$2:$A$51,0)),""))</f>
        <v/>
      </c>
      <c r="H170" s="12">
        <f>IF(G170="","",IF(LEFT(G170,4)="Wall","Wall",IF(LEFT(G170,7)="Gondola","Gondola",IF(LEFT(G170,6)="Pallet","Pallet",IF(LEFT(G170,6)="Endcap","Endcap","")))))</f>
        <v/>
      </c>
      <c r="I170" s="12">
        <f>IF(A170="","",IF(D170="","CEK ID FIXTURE kosong",IF(G170="","CEK ID FIXTURE tidak ada di DAFTAR_FIXTURE",IF(H170="Endcap","CEK Endcap tidak ikut sambung",IF(H170&lt;&gt;B170,"CEK kategori fixture tidak sama dengan KATEGORI",IF(C170="","CEK URUTAN kosong",IF(AND(E170&lt;&gt;"",COUNTIFS(DATA!$I$2:$I$500,E170)=0),"CEK Series tidak ada di DATA","OK")))))))</f>
        <v/>
      </c>
    </row>
    <row r="171">
      <c r="A171" s="10" t="n"/>
      <c r="B171" s="10" t="n"/>
      <c r="C171" s="10" t="n"/>
      <c r="D171" s="11" t="n"/>
      <c r="E171" s="10" t="n"/>
      <c r="F171" s="10" t="n"/>
      <c r="G171" s="12">
        <f>IF(D171="","",IFERROR(INDEX(DAFTAR_FIXTURE!$B$2:$B$51,MATCH(D171,DAFTAR_FIXTURE!$A$2:$A$51,0)),""))</f>
        <v/>
      </c>
      <c r="H171" s="12">
        <f>IF(G171="","",IF(LEFT(G171,4)="Wall","Wall",IF(LEFT(G171,7)="Gondola","Gondola",IF(LEFT(G171,6)="Pallet","Pallet",IF(LEFT(G171,6)="Endcap","Endcap","")))))</f>
        <v/>
      </c>
      <c r="I171" s="12">
        <f>IF(A171="","",IF(D171="","CEK ID FIXTURE kosong",IF(G171="","CEK ID FIXTURE tidak ada di DAFTAR_FIXTURE",IF(H171="Endcap","CEK Endcap tidak ikut sambung",IF(H171&lt;&gt;B171,"CEK kategori fixture tidak sama dengan KATEGORI",IF(C171="","CEK URUTAN kosong",IF(AND(E171&lt;&gt;"",COUNTIFS(DATA!$I$2:$I$500,E171)=0),"CEK Series tidak ada di DATA","OK")))))))</f>
        <v/>
      </c>
    </row>
    <row r="172">
      <c r="A172" s="10" t="n"/>
      <c r="B172" s="10" t="n"/>
      <c r="C172" s="10" t="n"/>
      <c r="D172" s="11" t="n"/>
      <c r="E172" s="10" t="n"/>
      <c r="F172" s="10" t="n"/>
      <c r="G172" s="12">
        <f>IF(D172="","",IFERROR(INDEX(DAFTAR_FIXTURE!$B$2:$B$51,MATCH(D172,DAFTAR_FIXTURE!$A$2:$A$51,0)),""))</f>
        <v/>
      </c>
      <c r="H172" s="12">
        <f>IF(G172="","",IF(LEFT(G172,4)="Wall","Wall",IF(LEFT(G172,7)="Gondola","Gondola",IF(LEFT(G172,6)="Pallet","Pallet",IF(LEFT(G172,6)="Endcap","Endcap","")))))</f>
        <v/>
      </c>
      <c r="I172" s="12">
        <f>IF(A172="","",IF(D172="","CEK ID FIXTURE kosong",IF(G172="","CEK ID FIXTURE tidak ada di DAFTAR_FIXTURE",IF(H172="Endcap","CEK Endcap tidak ikut sambung",IF(H172&lt;&gt;B172,"CEK kategori fixture tidak sama dengan KATEGORI",IF(C172="","CEK URUTAN kosong",IF(AND(E172&lt;&gt;"",COUNTIFS(DATA!$I$2:$I$500,E172)=0),"CEK Series tidak ada di DATA","OK")))))))</f>
        <v/>
      </c>
    </row>
    <row r="173">
      <c r="A173" s="10" t="n"/>
      <c r="B173" s="10" t="n"/>
      <c r="C173" s="10" t="n"/>
      <c r="D173" s="11" t="n"/>
      <c r="E173" s="10" t="n"/>
      <c r="F173" s="10" t="n"/>
      <c r="G173" s="12">
        <f>IF(D173="","",IFERROR(INDEX(DAFTAR_FIXTURE!$B$2:$B$51,MATCH(D173,DAFTAR_FIXTURE!$A$2:$A$51,0)),""))</f>
        <v/>
      </c>
      <c r="H173" s="12">
        <f>IF(G173="","",IF(LEFT(G173,4)="Wall","Wall",IF(LEFT(G173,7)="Gondola","Gondola",IF(LEFT(G173,6)="Pallet","Pallet",IF(LEFT(G173,6)="Endcap","Endcap","")))))</f>
        <v/>
      </c>
      <c r="I173" s="12">
        <f>IF(A173="","",IF(D173="","CEK ID FIXTURE kosong",IF(G173="","CEK ID FIXTURE tidak ada di DAFTAR_FIXTURE",IF(H173="Endcap","CEK Endcap tidak ikut sambung",IF(H173&lt;&gt;B173,"CEK kategori fixture tidak sama dengan KATEGORI",IF(C173="","CEK URUTAN kosong",IF(AND(E173&lt;&gt;"",COUNTIFS(DATA!$I$2:$I$500,E173)=0),"CEK Series tidak ada di DATA","OK")))))))</f>
        <v/>
      </c>
    </row>
    <row r="174">
      <c r="A174" s="10" t="n"/>
      <c r="B174" s="10" t="n"/>
      <c r="C174" s="10" t="n"/>
      <c r="D174" s="11" t="n"/>
      <c r="E174" s="10" t="n"/>
      <c r="F174" s="10" t="n"/>
      <c r="G174" s="12">
        <f>IF(D174="","",IFERROR(INDEX(DAFTAR_FIXTURE!$B$2:$B$51,MATCH(D174,DAFTAR_FIXTURE!$A$2:$A$51,0)),""))</f>
        <v/>
      </c>
      <c r="H174" s="12">
        <f>IF(G174="","",IF(LEFT(G174,4)="Wall","Wall",IF(LEFT(G174,7)="Gondola","Gondola",IF(LEFT(G174,6)="Pallet","Pallet",IF(LEFT(G174,6)="Endcap","Endcap","")))))</f>
        <v/>
      </c>
      <c r="I174" s="12">
        <f>IF(A174="","",IF(D174="","CEK ID FIXTURE kosong",IF(G174="","CEK ID FIXTURE tidak ada di DAFTAR_FIXTURE",IF(H174="Endcap","CEK Endcap tidak ikut sambung",IF(H174&lt;&gt;B174,"CEK kategori fixture tidak sama dengan KATEGORI",IF(C174="","CEK URUTAN kosong",IF(AND(E174&lt;&gt;"",COUNTIFS(DATA!$I$2:$I$500,E174)=0),"CEK Series tidak ada di DATA","OK")))))))</f>
        <v/>
      </c>
    </row>
    <row r="175">
      <c r="A175" s="10" t="n"/>
      <c r="B175" s="10" t="n"/>
      <c r="C175" s="10" t="n"/>
      <c r="D175" s="11" t="n"/>
      <c r="E175" s="10" t="n"/>
      <c r="F175" s="10" t="n"/>
      <c r="G175" s="12">
        <f>IF(D175="","",IFERROR(INDEX(DAFTAR_FIXTURE!$B$2:$B$51,MATCH(D175,DAFTAR_FIXTURE!$A$2:$A$51,0)),""))</f>
        <v/>
      </c>
      <c r="H175" s="12">
        <f>IF(G175="","",IF(LEFT(G175,4)="Wall","Wall",IF(LEFT(G175,7)="Gondola","Gondola",IF(LEFT(G175,6)="Pallet","Pallet",IF(LEFT(G175,6)="Endcap","Endcap","")))))</f>
        <v/>
      </c>
      <c r="I175" s="12">
        <f>IF(A175="","",IF(D175="","CEK ID FIXTURE kosong",IF(G175="","CEK ID FIXTURE tidak ada di DAFTAR_FIXTURE",IF(H175="Endcap","CEK Endcap tidak ikut sambung",IF(H175&lt;&gt;B175,"CEK kategori fixture tidak sama dengan KATEGORI",IF(C175="","CEK URUTAN kosong",IF(AND(E175&lt;&gt;"",COUNTIFS(DATA!$I$2:$I$500,E175)=0),"CEK Series tidak ada di DATA","OK")))))))</f>
        <v/>
      </c>
    </row>
    <row r="176">
      <c r="A176" s="10" t="n"/>
      <c r="B176" s="10" t="n"/>
      <c r="C176" s="10" t="n"/>
      <c r="D176" s="11" t="n"/>
      <c r="E176" s="10" t="n"/>
      <c r="F176" s="10" t="n"/>
      <c r="G176" s="12">
        <f>IF(D176="","",IFERROR(INDEX(DAFTAR_FIXTURE!$B$2:$B$51,MATCH(D176,DAFTAR_FIXTURE!$A$2:$A$51,0)),""))</f>
        <v/>
      </c>
      <c r="H176" s="12">
        <f>IF(G176="","",IF(LEFT(G176,4)="Wall","Wall",IF(LEFT(G176,7)="Gondola","Gondola",IF(LEFT(G176,6)="Pallet","Pallet",IF(LEFT(G176,6)="Endcap","Endcap","")))))</f>
        <v/>
      </c>
      <c r="I176" s="12">
        <f>IF(A176="","",IF(D176="","CEK ID FIXTURE kosong",IF(G176="","CEK ID FIXTURE tidak ada di DAFTAR_FIXTURE",IF(H176="Endcap","CEK Endcap tidak ikut sambung",IF(H176&lt;&gt;B176,"CEK kategori fixture tidak sama dengan KATEGORI",IF(C176="","CEK URUTAN kosong",IF(AND(E176&lt;&gt;"",COUNTIFS(DATA!$I$2:$I$500,E176)=0),"CEK Series tidak ada di DATA","OK")))))))</f>
        <v/>
      </c>
    </row>
    <row r="177">
      <c r="A177" s="10" t="n"/>
      <c r="B177" s="10" t="n"/>
      <c r="C177" s="10" t="n"/>
      <c r="D177" s="11" t="n"/>
      <c r="E177" s="10" t="n"/>
      <c r="F177" s="10" t="n"/>
      <c r="G177" s="12">
        <f>IF(D177="","",IFERROR(INDEX(DAFTAR_FIXTURE!$B$2:$B$51,MATCH(D177,DAFTAR_FIXTURE!$A$2:$A$51,0)),""))</f>
        <v/>
      </c>
      <c r="H177" s="12">
        <f>IF(G177="","",IF(LEFT(G177,4)="Wall","Wall",IF(LEFT(G177,7)="Gondola","Gondola",IF(LEFT(G177,6)="Pallet","Pallet",IF(LEFT(G177,6)="Endcap","Endcap","")))))</f>
        <v/>
      </c>
      <c r="I177" s="12">
        <f>IF(A177="","",IF(D177="","CEK ID FIXTURE kosong",IF(G177="","CEK ID FIXTURE tidak ada di DAFTAR_FIXTURE",IF(H177="Endcap","CEK Endcap tidak ikut sambung",IF(H177&lt;&gt;B177,"CEK kategori fixture tidak sama dengan KATEGORI",IF(C177="","CEK URUTAN kosong",IF(AND(E177&lt;&gt;"",COUNTIFS(DATA!$I$2:$I$500,E177)=0),"CEK Series tidak ada di DATA","OK")))))))</f>
        <v/>
      </c>
    </row>
    <row r="178">
      <c r="A178" s="10" t="n"/>
      <c r="B178" s="10" t="n"/>
      <c r="C178" s="10" t="n"/>
      <c r="D178" s="11" t="n"/>
      <c r="E178" s="10" t="n"/>
      <c r="F178" s="10" t="n"/>
      <c r="G178" s="12">
        <f>IF(D178="","",IFERROR(INDEX(DAFTAR_FIXTURE!$B$2:$B$51,MATCH(D178,DAFTAR_FIXTURE!$A$2:$A$51,0)),""))</f>
        <v/>
      </c>
      <c r="H178" s="12">
        <f>IF(G178="","",IF(LEFT(G178,4)="Wall","Wall",IF(LEFT(G178,7)="Gondola","Gondola",IF(LEFT(G178,6)="Pallet","Pallet",IF(LEFT(G178,6)="Endcap","Endcap","")))))</f>
        <v/>
      </c>
      <c r="I178" s="12">
        <f>IF(A178="","",IF(D178="","CEK ID FIXTURE kosong",IF(G178="","CEK ID FIXTURE tidak ada di DAFTAR_FIXTURE",IF(H178="Endcap","CEK Endcap tidak ikut sambung",IF(H178&lt;&gt;B178,"CEK kategori fixture tidak sama dengan KATEGORI",IF(C178="","CEK URUTAN kosong",IF(AND(E178&lt;&gt;"",COUNTIFS(DATA!$I$2:$I$500,E178)=0),"CEK Series tidak ada di DATA","OK")))))))</f>
        <v/>
      </c>
    </row>
    <row r="179">
      <c r="A179" s="10" t="n"/>
      <c r="B179" s="10" t="n"/>
      <c r="C179" s="10" t="n"/>
      <c r="D179" s="11" t="n"/>
      <c r="E179" s="10" t="n"/>
      <c r="F179" s="10" t="n"/>
      <c r="G179" s="12">
        <f>IF(D179="","",IFERROR(INDEX(DAFTAR_FIXTURE!$B$2:$B$51,MATCH(D179,DAFTAR_FIXTURE!$A$2:$A$51,0)),""))</f>
        <v/>
      </c>
      <c r="H179" s="12">
        <f>IF(G179="","",IF(LEFT(G179,4)="Wall","Wall",IF(LEFT(G179,7)="Gondola","Gondola",IF(LEFT(G179,6)="Pallet","Pallet",IF(LEFT(G179,6)="Endcap","Endcap","")))))</f>
        <v/>
      </c>
      <c r="I179" s="12">
        <f>IF(A179="","",IF(D179="","CEK ID FIXTURE kosong",IF(G179="","CEK ID FIXTURE tidak ada di DAFTAR_FIXTURE",IF(H179="Endcap","CEK Endcap tidak ikut sambung",IF(H179&lt;&gt;B179,"CEK kategori fixture tidak sama dengan KATEGORI",IF(C179="","CEK URUTAN kosong",IF(AND(E179&lt;&gt;"",COUNTIFS(DATA!$I$2:$I$500,E179)=0),"CEK Series tidak ada di DATA","OK")))))))</f>
        <v/>
      </c>
    </row>
    <row r="180">
      <c r="A180" s="10" t="n"/>
      <c r="B180" s="10" t="n"/>
      <c r="C180" s="10" t="n"/>
      <c r="D180" s="11" t="n"/>
      <c r="E180" s="10" t="n"/>
      <c r="F180" s="10" t="n"/>
      <c r="G180" s="12">
        <f>IF(D180="","",IFERROR(INDEX(DAFTAR_FIXTURE!$B$2:$B$51,MATCH(D180,DAFTAR_FIXTURE!$A$2:$A$51,0)),""))</f>
        <v/>
      </c>
      <c r="H180" s="12">
        <f>IF(G180="","",IF(LEFT(G180,4)="Wall","Wall",IF(LEFT(G180,7)="Gondola","Gondola",IF(LEFT(G180,6)="Pallet","Pallet",IF(LEFT(G180,6)="Endcap","Endcap","")))))</f>
        <v/>
      </c>
      <c r="I180" s="12">
        <f>IF(A180="","",IF(D180="","CEK ID FIXTURE kosong",IF(G180="","CEK ID FIXTURE tidak ada di DAFTAR_FIXTURE",IF(H180="Endcap","CEK Endcap tidak ikut sambung",IF(H180&lt;&gt;B180,"CEK kategori fixture tidak sama dengan KATEGORI",IF(C180="","CEK URUTAN kosong",IF(AND(E180&lt;&gt;"",COUNTIFS(DATA!$I$2:$I$500,E180)=0),"CEK Series tidak ada di DATA","OK")))))))</f>
        <v/>
      </c>
    </row>
    <row r="181">
      <c r="A181" s="10" t="n"/>
      <c r="B181" s="10" t="n"/>
      <c r="C181" s="10" t="n"/>
      <c r="D181" s="11" t="n"/>
      <c r="E181" s="10" t="n"/>
      <c r="F181" s="10" t="n"/>
      <c r="G181" s="12">
        <f>IF(D181="","",IFERROR(INDEX(DAFTAR_FIXTURE!$B$2:$B$51,MATCH(D181,DAFTAR_FIXTURE!$A$2:$A$51,0)),""))</f>
        <v/>
      </c>
      <c r="H181" s="12">
        <f>IF(G181="","",IF(LEFT(G181,4)="Wall","Wall",IF(LEFT(G181,7)="Gondola","Gondola",IF(LEFT(G181,6)="Pallet","Pallet",IF(LEFT(G181,6)="Endcap","Endcap","")))))</f>
        <v/>
      </c>
      <c r="I181" s="12">
        <f>IF(A181="","",IF(D181="","CEK ID FIXTURE kosong",IF(G181="","CEK ID FIXTURE tidak ada di DAFTAR_FIXTURE",IF(H181="Endcap","CEK Endcap tidak ikut sambung",IF(H181&lt;&gt;B181,"CEK kategori fixture tidak sama dengan KATEGORI",IF(C181="","CEK URUTAN kosong",IF(AND(E181&lt;&gt;"",COUNTIFS(DATA!$I$2:$I$500,E181)=0),"CEK Series tidak ada di DATA","OK")))))))</f>
        <v/>
      </c>
    </row>
    <row r="182">
      <c r="A182" s="10" t="n"/>
      <c r="B182" s="10" t="n"/>
      <c r="C182" s="10" t="n"/>
      <c r="D182" s="11" t="n"/>
      <c r="E182" s="10" t="n"/>
      <c r="F182" s="10" t="n"/>
      <c r="G182" s="12">
        <f>IF(D182="","",IFERROR(INDEX(DAFTAR_FIXTURE!$B$2:$B$51,MATCH(D182,DAFTAR_FIXTURE!$A$2:$A$51,0)),""))</f>
        <v/>
      </c>
      <c r="H182" s="12">
        <f>IF(G182="","",IF(LEFT(G182,4)="Wall","Wall",IF(LEFT(G182,7)="Gondola","Gondola",IF(LEFT(G182,6)="Pallet","Pallet",IF(LEFT(G182,6)="Endcap","Endcap","")))))</f>
        <v/>
      </c>
      <c r="I182" s="12">
        <f>IF(A182="","",IF(D182="","CEK ID FIXTURE kosong",IF(G182="","CEK ID FIXTURE tidak ada di DAFTAR_FIXTURE",IF(H182="Endcap","CEK Endcap tidak ikut sambung",IF(H182&lt;&gt;B182,"CEK kategori fixture tidak sama dengan KATEGORI",IF(C182="","CEK URUTAN kosong",IF(AND(E182&lt;&gt;"",COUNTIFS(DATA!$I$2:$I$500,E182)=0),"CEK Series tidak ada di DATA","OK")))))))</f>
        <v/>
      </c>
    </row>
    <row r="183">
      <c r="A183" s="10" t="n"/>
      <c r="B183" s="10" t="n"/>
      <c r="C183" s="10" t="n"/>
      <c r="D183" s="11" t="n"/>
      <c r="E183" s="10" t="n"/>
      <c r="F183" s="10" t="n"/>
      <c r="G183" s="12">
        <f>IF(D183="","",IFERROR(INDEX(DAFTAR_FIXTURE!$B$2:$B$51,MATCH(D183,DAFTAR_FIXTURE!$A$2:$A$51,0)),""))</f>
        <v/>
      </c>
      <c r="H183" s="12">
        <f>IF(G183="","",IF(LEFT(G183,4)="Wall","Wall",IF(LEFT(G183,7)="Gondola","Gondola",IF(LEFT(G183,6)="Pallet","Pallet",IF(LEFT(G183,6)="Endcap","Endcap","")))))</f>
        <v/>
      </c>
      <c r="I183" s="12">
        <f>IF(A183="","",IF(D183="","CEK ID FIXTURE kosong",IF(G183="","CEK ID FIXTURE tidak ada di DAFTAR_FIXTURE",IF(H183="Endcap","CEK Endcap tidak ikut sambung",IF(H183&lt;&gt;B183,"CEK kategori fixture tidak sama dengan KATEGORI",IF(C183="","CEK URUTAN kosong",IF(AND(E183&lt;&gt;"",COUNTIFS(DATA!$I$2:$I$500,E183)=0),"CEK Series tidak ada di DATA","OK")))))))</f>
        <v/>
      </c>
    </row>
    <row r="184">
      <c r="A184" s="10" t="n"/>
      <c r="B184" s="10" t="n"/>
      <c r="C184" s="10" t="n"/>
      <c r="D184" s="11" t="n"/>
      <c r="E184" s="10" t="n"/>
      <c r="F184" s="10" t="n"/>
      <c r="G184" s="12">
        <f>IF(D184="","",IFERROR(INDEX(DAFTAR_FIXTURE!$B$2:$B$51,MATCH(D184,DAFTAR_FIXTURE!$A$2:$A$51,0)),""))</f>
        <v/>
      </c>
      <c r="H184" s="12">
        <f>IF(G184="","",IF(LEFT(G184,4)="Wall","Wall",IF(LEFT(G184,7)="Gondola","Gondola",IF(LEFT(G184,6)="Pallet","Pallet",IF(LEFT(G184,6)="Endcap","Endcap","")))))</f>
        <v/>
      </c>
      <c r="I184" s="12">
        <f>IF(A184="","",IF(D184="","CEK ID FIXTURE kosong",IF(G184="","CEK ID FIXTURE tidak ada di DAFTAR_FIXTURE",IF(H184="Endcap","CEK Endcap tidak ikut sambung",IF(H184&lt;&gt;B184,"CEK kategori fixture tidak sama dengan KATEGORI",IF(C184="","CEK URUTAN kosong",IF(AND(E184&lt;&gt;"",COUNTIFS(DATA!$I$2:$I$500,E184)=0),"CEK Series tidak ada di DATA","OK")))))))</f>
        <v/>
      </c>
    </row>
    <row r="185">
      <c r="A185" s="10" t="n"/>
      <c r="B185" s="10" t="n"/>
      <c r="C185" s="10" t="n"/>
      <c r="D185" s="11" t="n"/>
      <c r="E185" s="10" t="n"/>
      <c r="F185" s="10" t="n"/>
      <c r="G185" s="12">
        <f>IF(D185="","",IFERROR(INDEX(DAFTAR_FIXTURE!$B$2:$B$51,MATCH(D185,DAFTAR_FIXTURE!$A$2:$A$51,0)),""))</f>
        <v/>
      </c>
      <c r="H185" s="12">
        <f>IF(G185="","",IF(LEFT(G185,4)="Wall","Wall",IF(LEFT(G185,7)="Gondola","Gondola",IF(LEFT(G185,6)="Pallet","Pallet",IF(LEFT(G185,6)="Endcap","Endcap","")))))</f>
        <v/>
      </c>
      <c r="I185" s="12">
        <f>IF(A185="","",IF(D185="","CEK ID FIXTURE kosong",IF(G185="","CEK ID FIXTURE tidak ada di DAFTAR_FIXTURE",IF(H185="Endcap","CEK Endcap tidak ikut sambung",IF(H185&lt;&gt;B185,"CEK kategori fixture tidak sama dengan KATEGORI",IF(C185="","CEK URUTAN kosong",IF(AND(E185&lt;&gt;"",COUNTIFS(DATA!$I$2:$I$500,E185)=0),"CEK Series tidak ada di DATA","OK")))))))</f>
        <v/>
      </c>
    </row>
    <row r="186">
      <c r="A186" s="10" t="n"/>
      <c r="B186" s="10" t="n"/>
      <c r="C186" s="10" t="n"/>
      <c r="D186" s="11" t="n"/>
      <c r="E186" s="10" t="n"/>
      <c r="F186" s="10" t="n"/>
      <c r="G186" s="12">
        <f>IF(D186="","",IFERROR(INDEX(DAFTAR_FIXTURE!$B$2:$B$51,MATCH(D186,DAFTAR_FIXTURE!$A$2:$A$51,0)),""))</f>
        <v/>
      </c>
      <c r="H186" s="12">
        <f>IF(G186="","",IF(LEFT(G186,4)="Wall","Wall",IF(LEFT(G186,7)="Gondola","Gondola",IF(LEFT(G186,6)="Pallet","Pallet",IF(LEFT(G186,6)="Endcap","Endcap","")))))</f>
        <v/>
      </c>
      <c r="I186" s="12">
        <f>IF(A186="","",IF(D186="","CEK ID FIXTURE kosong",IF(G186="","CEK ID FIXTURE tidak ada di DAFTAR_FIXTURE",IF(H186="Endcap","CEK Endcap tidak ikut sambung",IF(H186&lt;&gt;B186,"CEK kategori fixture tidak sama dengan KATEGORI",IF(C186="","CEK URUTAN kosong",IF(AND(E186&lt;&gt;"",COUNTIFS(DATA!$I$2:$I$500,E186)=0),"CEK Series tidak ada di DATA","OK")))))))</f>
        <v/>
      </c>
    </row>
    <row r="187">
      <c r="A187" s="10" t="n"/>
      <c r="B187" s="10" t="n"/>
      <c r="C187" s="10" t="n"/>
      <c r="D187" s="11" t="n"/>
      <c r="E187" s="10" t="n"/>
      <c r="F187" s="10" t="n"/>
      <c r="G187" s="12">
        <f>IF(D187="","",IFERROR(INDEX(DAFTAR_FIXTURE!$B$2:$B$51,MATCH(D187,DAFTAR_FIXTURE!$A$2:$A$51,0)),""))</f>
        <v/>
      </c>
      <c r="H187" s="12">
        <f>IF(G187="","",IF(LEFT(G187,4)="Wall","Wall",IF(LEFT(G187,7)="Gondola","Gondola",IF(LEFT(G187,6)="Pallet","Pallet",IF(LEFT(G187,6)="Endcap","Endcap","")))))</f>
        <v/>
      </c>
      <c r="I187" s="12">
        <f>IF(A187="","",IF(D187="","CEK ID FIXTURE kosong",IF(G187="","CEK ID FIXTURE tidak ada di DAFTAR_FIXTURE",IF(H187="Endcap","CEK Endcap tidak ikut sambung",IF(H187&lt;&gt;B187,"CEK kategori fixture tidak sama dengan KATEGORI",IF(C187="","CEK URUTAN kosong",IF(AND(E187&lt;&gt;"",COUNTIFS(DATA!$I$2:$I$500,E187)=0),"CEK Series tidak ada di DATA","OK")))))))</f>
        <v/>
      </c>
    </row>
    <row r="188">
      <c r="A188" s="10" t="n"/>
      <c r="B188" s="10" t="n"/>
      <c r="C188" s="10" t="n"/>
      <c r="D188" s="11" t="n"/>
      <c r="E188" s="10" t="n"/>
      <c r="F188" s="10" t="n"/>
      <c r="G188" s="12">
        <f>IF(D188="","",IFERROR(INDEX(DAFTAR_FIXTURE!$B$2:$B$51,MATCH(D188,DAFTAR_FIXTURE!$A$2:$A$51,0)),""))</f>
        <v/>
      </c>
      <c r="H188" s="12">
        <f>IF(G188="","",IF(LEFT(G188,4)="Wall","Wall",IF(LEFT(G188,7)="Gondola","Gondola",IF(LEFT(G188,6)="Pallet","Pallet",IF(LEFT(G188,6)="Endcap","Endcap","")))))</f>
        <v/>
      </c>
      <c r="I188" s="12">
        <f>IF(A188="","",IF(D188="","CEK ID FIXTURE kosong",IF(G188="","CEK ID FIXTURE tidak ada di DAFTAR_FIXTURE",IF(H188="Endcap","CEK Endcap tidak ikut sambung",IF(H188&lt;&gt;B188,"CEK kategori fixture tidak sama dengan KATEGORI",IF(C188="","CEK URUTAN kosong",IF(AND(E188&lt;&gt;"",COUNTIFS(DATA!$I$2:$I$500,E188)=0),"CEK Series tidak ada di DATA","OK")))))))</f>
        <v/>
      </c>
    </row>
    <row r="189">
      <c r="A189" s="10" t="n"/>
      <c r="B189" s="10" t="n"/>
      <c r="C189" s="10" t="n"/>
      <c r="D189" s="11" t="n"/>
      <c r="E189" s="10" t="n"/>
      <c r="F189" s="10" t="n"/>
      <c r="G189" s="12">
        <f>IF(D189="","",IFERROR(INDEX(DAFTAR_FIXTURE!$B$2:$B$51,MATCH(D189,DAFTAR_FIXTURE!$A$2:$A$51,0)),""))</f>
        <v/>
      </c>
      <c r="H189" s="12">
        <f>IF(G189="","",IF(LEFT(G189,4)="Wall","Wall",IF(LEFT(G189,7)="Gondola","Gondola",IF(LEFT(G189,6)="Pallet","Pallet",IF(LEFT(G189,6)="Endcap","Endcap","")))))</f>
        <v/>
      </c>
      <c r="I189" s="12">
        <f>IF(A189="","",IF(D189="","CEK ID FIXTURE kosong",IF(G189="","CEK ID FIXTURE tidak ada di DAFTAR_FIXTURE",IF(H189="Endcap","CEK Endcap tidak ikut sambung",IF(H189&lt;&gt;B189,"CEK kategori fixture tidak sama dengan KATEGORI",IF(C189="","CEK URUTAN kosong",IF(AND(E189&lt;&gt;"",COUNTIFS(DATA!$I$2:$I$500,E189)=0),"CEK Series tidak ada di DATA","OK")))))))</f>
        <v/>
      </c>
    </row>
    <row r="190">
      <c r="A190" s="10" t="n"/>
      <c r="B190" s="10" t="n"/>
      <c r="C190" s="10" t="n"/>
      <c r="D190" s="11" t="n"/>
      <c r="E190" s="10" t="n"/>
      <c r="F190" s="10" t="n"/>
      <c r="G190" s="12">
        <f>IF(D190="","",IFERROR(INDEX(DAFTAR_FIXTURE!$B$2:$B$51,MATCH(D190,DAFTAR_FIXTURE!$A$2:$A$51,0)),""))</f>
        <v/>
      </c>
      <c r="H190" s="12">
        <f>IF(G190="","",IF(LEFT(G190,4)="Wall","Wall",IF(LEFT(G190,7)="Gondola","Gondola",IF(LEFT(G190,6)="Pallet","Pallet",IF(LEFT(G190,6)="Endcap","Endcap","")))))</f>
        <v/>
      </c>
      <c r="I190" s="12">
        <f>IF(A190="","",IF(D190="","CEK ID FIXTURE kosong",IF(G190="","CEK ID FIXTURE tidak ada di DAFTAR_FIXTURE",IF(H190="Endcap","CEK Endcap tidak ikut sambung",IF(H190&lt;&gt;B190,"CEK kategori fixture tidak sama dengan KATEGORI",IF(C190="","CEK URUTAN kosong",IF(AND(E190&lt;&gt;"",COUNTIFS(DATA!$I$2:$I$500,E190)=0),"CEK Series tidak ada di DATA","OK")))))))</f>
        <v/>
      </c>
    </row>
    <row r="191">
      <c r="A191" s="10" t="n"/>
      <c r="B191" s="10" t="n"/>
      <c r="C191" s="10" t="n"/>
      <c r="D191" s="11" t="n"/>
      <c r="E191" s="10" t="n"/>
      <c r="F191" s="10" t="n"/>
      <c r="G191" s="12">
        <f>IF(D191="","",IFERROR(INDEX(DAFTAR_FIXTURE!$B$2:$B$51,MATCH(D191,DAFTAR_FIXTURE!$A$2:$A$51,0)),""))</f>
        <v/>
      </c>
      <c r="H191" s="12">
        <f>IF(G191="","",IF(LEFT(G191,4)="Wall","Wall",IF(LEFT(G191,7)="Gondola","Gondola",IF(LEFT(G191,6)="Pallet","Pallet",IF(LEFT(G191,6)="Endcap","Endcap","")))))</f>
        <v/>
      </c>
      <c r="I191" s="12">
        <f>IF(A191="","",IF(D191="","CEK ID FIXTURE kosong",IF(G191="","CEK ID FIXTURE tidak ada di DAFTAR_FIXTURE",IF(H191="Endcap","CEK Endcap tidak ikut sambung",IF(H191&lt;&gt;B191,"CEK kategori fixture tidak sama dengan KATEGORI",IF(C191="","CEK URUTAN kosong",IF(AND(E191&lt;&gt;"",COUNTIFS(DATA!$I$2:$I$500,E191)=0),"CEK Series tidak ada di DATA","OK")))))))</f>
        <v/>
      </c>
    </row>
    <row r="192">
      <c r="A192" s="10" t="n"/>
      <c r="B192" s="10" t="n"/>
      <c r="C192" s="10" t="n"/>
      <c r="D192" s="11" t="n"/>
      <c r="E192" s="10" t="n"/>
      <c r="F192" s="10" t="n"/>
      <c r="G192" s="12">
        <f>IF(D192="","",IFERROR(INDEX(DAFTAR_FIXTURE!$B$2:$B$51,MATCH(D192,DAFTAR_FIXTURE!$A$2:$A$51,0)),""))</f>
        <v/>
      </c>
      <c r="H192" s="12">
        <f>IF(G192="","",IF(LEFT(G192,4)="Wall","Wall",IF(LEFT(G192,7)="Gondola","Gondola",IF(LEFT(G192,6)="Pallet","Pallet",IF(LEFT(G192,6)="Endcap","Endcap","")))))</f>
        <v/>
      </c>
      <c r="I192" s="12">
        <f>IF(A192="","",IF(D192="","CEK ID FIXTURE kosong",IF(G192="","CEK ID FIXTURE tidak ada di DAFTAR_FIXTURE",IF(H192="Endcap","CEK Endcap tidak ikut sambung",IF(H192&lt;&gt;B192,"CEK kategori fixture tidak sama dengan KATEGORI",IF(C192="","CEK URUTAN kosong",IF(AND(E192&lt;&gt;"",COUNTIFS(DATA!$I$2:$I$500,E192)=0),"CEK Series tidak ada di DATA","OK")))))))</f>
        <v/>
      </c>
    </row>
    <row r="193">
      <c r="A193" s="10" t="n"/>
      <c r="B193" s="10" t="n"/>
      <c r="C193" s="10" t="n"/>
      <c r="D193" s="11" t="n"/>
      <c r="E193" s="10" t="n"/>
      <c r="F193" s="10" t="n"/>
      <c r="G193" s="12">
        <f>IF(D193="","",IFERROR(INDEX(DAFTAR_FIXTURE!$B$2:$B$51,MATCH(D193,DAFTAR_FIXTURE!$A$2:$A$51,0)),""))</f>
        <v/>
      </c>
      <c r="H193" s="12">
        <f>IF(G193="","",IF(LEFT(G193,4)="Wall","Wall",IF(LEFT(G193,7)="Gondola","Gondola",IF(LEFT(G193,6)="Pallet","Pallet",IF(LEFT(G193,6)="Endcap","Endcap","")))))</f>
        <v/>
      </c>
      <c r="I193" s="12">
        <f>IF(A193="","",IF(D193="","CEK ID FIXTURE kosong",IF(G193="","CEK ID FIXTURE tidak ada di DAFTAR_FIXTURE",IF(H193="Endcap","CEK Endcap tidak ikut sambung",IF(H193&lt;&gt;B193,"CEK kategori fixture tidak sama dengan KATEGORI",IF(C193="","CEK URUTAN kosong",IF(AND(E193&lt;&gt;"",COUNTIFS(DATA!$I$2:$I$500,E193)=0),"CEK Series tidak ada di DATA","OK")))))))</f>
        <v/>
      </c>
    </row>
    <row r="194">
      <c r="A194" s="10" t="n"/>
      <c r="B194" s="10" t="n"/>
      <c r="C194" s="10" t="n"/>
      <c r="D194" s="11" t="n"/>
      <c r="E194" s="10" t="n"/>
      <c r="F194" s="10" t="n"/>
      <c r="G194" s="12">
        <f>IF(D194="","",IFERROR(INDEX(DAFTAR_FIXTURE!$B$2:$B$51,MATCH(D194,DAFTAR_FIXTURE!$A$2:$A$51,0)),""))</f>
        <v/>
      </c>
      <c r="H194" s="12">
        <f>IF(G194="","",IF(LEFT(G194,4)="Wall","Wall",IF(LEFT(G194,7)="Gondola","Gondola",IF(LEFT(G194,6)="Pallet","Pallet",IF(LEFT(G194,6)="Endcap","Endcap","")))))</f>
        <v/>
      </c>
      <c r="I194" s="12">
        <f>IF(A194="","",IF(D194="","CEK ID FIXTURE kosong",IF(G194="","CEK ID FIXTURE tidak ada di DAFTAR_FIXTURE",IF(H194="Endcap","CEK Endcap tidak ikut sambung",IF(H194&lt;&gt;B194,"CEK kategori fixture tidak sama dengan KATEGORI",IF(C194="","CEK URUTAN kosong",IF(AND(E194&lt;&gt;"",COUNTIFS(DATA!$I$2:$I$500,E194)=0),"CEK Series tidak ada di DATA","OK")))))))</f>
        <v/>
      </c>
    </row>
    <row r="195">
      <c r="A195" s="10" t="n"/>
      <c r="B195" s="10" t="n"/>
      <c r="C195" s="10" t="n"/>
      <c r="D195" s="11" t="n"/>
      <c r="E195" s="10" t="n"/>
      <c r="F195" s="10" t="n"/>
      <c r="G195" s="12">
        <f>IF(D195="","",IFERROR(INDEX(DAFTAR_FIXTURE!$B$2:$B$51,MATCH(D195,DAFTAR_FIXTURE!$A$2:$A$51,0)),""))</f>
        <v/>
      </c>
      <c r="H195" s="12">
        <f>IF(G195="","",IF(LEFT(G195,4)="Wall","Wall",IF(LEFT(G195,7)="Gondola","Gondola",IF(LEFT(G195,6)="Pallet","Pallet",IF(LEFT(G195,6)="Endcap","Endcap","")))))</f>
        <v/>
      </c>
      <c r="I195" s="12">
        <f>IF(A195="","",IF(D195="","CEK ID FIXTURE kosong",IF(G195="","CEK ID FIXTURE tidak ada di DAFTAR_FIXTURE",IF(H195="Endcap","CEK Endcap tidak ikut sambung",IF(H195&lt;&gt;B195,"CEK kategori fixture tidak sama dengan KATEGORI",IF(C195="","CEK URUTAN kosong",IF(AND(E195&lt;&gt;"",COUNTIFS(DATA!$I$2:$I$500,E195)=0),"CEK Series tidak ada di DATA","OK")))))))</f>
        <v/>
      </c>
    </row>
    <row r="196">
      <c r="A196" s="10" t="n"/>
      <c r="B196" s="10" t="n"/>
      <c r="C196" s="10" t="n"/>
      <c r="D196" s="11" t="n"/>
      <c r="E196" s="10" t="n"/>
      <c r="F196" s="10" t="n"/>
      <c r="G196" s="12">
        <f>IF(D196="","",IFERROR(INDEX(DAFTAR_FIXTURE!$B$2:$B$51,MATCH(D196,DAFTAR_FIXTURE!$A$2:$A$51,0)),""))</f>
        <v/>
      </c>
      <c r="H196" s="12">
        <f>IF(G196="","",IF(LEFT(G196,4)="Wall","Wall",IF(LEFT(G196,7)="Gondola","Gondola",IF(LEFT(G196,6)="Pallet","Pallet",IF(LEFT(G196,6)="Endcap","Endcap","")))))</f>
        <v/>
      </c>
      <c r="I196" s="12">
        <f>IF(A196="","",IF(D196="","CEK ID FIXTURE kosong",IF(G196="","CEK ID FIXTURE tidak ada di DAFTAR_FIXTURE",IF(H196="Endcap","CEK Endcap tidak ikut sambung",IF(H196&lt;&gt;B196,"CEK kategori fixture tidak sama dengan KATEGORI",IF(C196="","CEK URUTAN kosong",IF(AND(E196&lt;&gt;"",COUNTIFS(DATA!$I$2:$I$500,E196)=0),"CEK Series tidak ada di DATA","OK")))))))</f>
        <v/>
      </c>
    </row>
    <row r="197">
      <c r="A197" s="10" t="n"/>
      <c r="B197" s="10" t="n"/>
      <c r="C197" s="10" t="n"/>
      <c r="D197" s="11" t="n"/>
      <c r="E197" s="10" t="n"/>
      <c r="F197" s="10" t="n"/>
      <c r="G197" s="12">
        <f>IF(D197="","",IFERROR(INDEX(DAFTAR_FIXTURE!$B$2:$B$51,MATCH(D197,DAFTAR_FIXTURE!$A$2:$A$51,0)),""))</f>
        <v/>
      </c>
      <c r="H197" s="12">
        <f>IF(G197="","",IF(LEFT(G197,4)="Wall","Wall",IF(LEFT(G197,7)="Gondola","Gondola",IF(LEFT(G197,6)="Pallet","Pallet",IF(LEFT(G197,6)="Endcap","Endcap","")))))</f>
        <v/>
      </c>
      <c r="I197" s="12">
        <f>IF(A197="","",IF(D197="","CEK ID FIXTURE kosong",IF(G197="","CEK ID FIXTURE tidak ada di DAFTAR_FIXTURE",IF(H197="Endcap","CEK Endcap tidak ikut sambung",IF(H197&lt;&gt;B197,"CEK kategori fixture tidak sama dengan KATEGORI",IF(C197="","CEK URUTAN kosong",IF(AND(E197&lt;&gt;"",COUNTIFS(DATA!$I$2:$I$500,E197)=0),"CEK Series tidak ada di DATA","OK")))))))</f>
        <v/>
      </c>
    </row>
    <row r="198">
      <c r="A198" s="10" t="n"/>
      <c r="B198" s="10" t="n"/>
      <c r="C198" s="10" t="n"/>
      <c r="D198" s="11" t="n"/>
      <c r="E198" s="10" t="n"/>
      <c r="F198" s="10" t="n"/>
      <c r="G198" s="12">
        <f>IF(D198="","",IFERROR(INDEX(DAFTAR_FIXTURE!$B$2:$B$51,MATCH(D198,DAFTAR_FIXTURE!$A$2:$A$51,0)),""))</f>
        <v/>
      </c>
      <c r="H198" s="12">
        <f>IF(G198="","",IF(LEFT(G198,4)="Wall","Wall",IF(LEFT(G198,7)="Gondola","Gondola",IF(LEFT(G198,6)="Pallet","Pallet",IF(LEFT(G198,6)="Endcap","Endcap","")))))</f>
        <v/>
      </c>
      <c r="I198" s="12">
        <f>IF(A198="","",IF(D198="","CEK ID FIXTURE kosong",IF(G198="","CEK ID FIXTURE tidak ada di DAFTAR_FIXTURE",IF(H198="Endcap","CEK Endcap tidak ikut sambung",IF(H198&lt;&gt;B198,"CEK kategori fixture tidak sama dengan KATEGORI",IF(C198="","CEK URUTAN kosong",IF(AND(E198&lt;&gt;"",COUNTIFS(DATA!$I$2:$I$500,E198)=0),"CEK Series tidak ada di DATA","OK")))))))</f>
        <v/>
      </c>
    </row>
    <row r="199">
      <c r="A199" s="10" t="n"/>
      <c r="B199" s="10" t="n"/>
      <c r="C199" s="10" t="n"/>
      <c r="D199" s="11" t="n"/>
      <c r="E199" s="10" t="n"/>
      <c r="F199" s="10" t="n"/>
      <c r="G199" s="12">
        <f>IF(D199="","",IFERROR(INDEX(DAFTAR_FIXTURE!$B$2:$B$51,MATCH(D199,DAFTAR_FIXTURE!$A$2:$A$51,0)),""))</f>
        <v/>
      </c>
      <c r="H199" s="12">
        <f>IF(G199="","",IF(LEFT(G199,4)="Wall","Wall",IF(LEFT(G199,7)="Gondola","Gondola",IF(LEFT(G199,6)="Pallet","Pallet",IF(LEFT(G199,6)="Endcap","Endcap","")))))</f>
        <v/>
      </c>
      <c r="I199" s="12">
        <f>IF(A199="","",IF(D199="","CEK ID FIXTURE kosong",IF(G199="","CEK ID FIXTURE tidak ada di DAFTAR_FIXTURE",IF(H199="Endcap","CEK Endcap tidak ikut sambung",IF(H199&lt;&gt;B199,"CEK kategori fixture tidak sama dengan KATEGORI",IF(C199="","CEK URUTAN kosong",IF(AND(E199&lt;&gt;"",COUNTIFS(DATA!$I$2:$I$500,E199)=0),"CEK Series tidak ada di DATA","OK")))))))</f>
        <v/>
      </c>
    </row>
    <row r="200">
      <c r="A200" s="10" t="n"/>
      <c r="B200" s="10" t="n"/>
      <c r="C200" s="10" t="n"/>
      <c r="D200" s="11" t="n"/>
      <c r="E200" s="10" t="n"/>
      <c r="F200" s="10" t="n"/>
      <c r="G200" s="12">
        <f>IF(D200="","",IFERROR(INDEX(DAFTAR_FIXTURE!$B$2:$B$51,MATCH(D200,DAFTAR_FIXTURE!$A$2:$A$51,0)),""))</f>
        <v/>
      </c>
      <c r="H200" s="12">
        <f>IF(G200="","",IF(LEFT(G200,4)="Wall","Wall",IF(LEFT(G200,7)="Gondola","Gondola",IF(LEFT(G200,6)="Pallet","Pallet",IF(LEFT(G200,6)="Endcap","Endcap","")))))</f>
        <v/>
      </c>
      <c r="I200" s="12">
        <f>IF(A200="","",IF(D200="","CEK ID FIXTURE kosong",IF(G200="","CEK ID FIXTURE tidak ada di DAFTAR_FIXTURE",IF(H200="Endcap","CEK Endcap tidak ikut sambung",IF(H200&lt;&gt;B200,"CEK kategori fixture tidak sama dengan KATEGORI",IF(C200="","CEK URUTAN kosong",IF(AND(E200&lt;&gt;"",COUNTIFS(DATA!$I$2:$I$500,E200)=0),"CEK Series tidak ada di DATA","OK")))))))</f>
        <v/>
      </c>
    </row>
  </sheetData>
  <autoFilter ref="A1:I200"/>
  <conditionalFormatting sqref="I2:I200">
    <cfRule type="expression" priority="1" dxfId="3">
      <formula>LEFT($I2,3)="CEK"</formula>
    </cfRule>
    <cfRule type="expression" priority="2" dxfId="4">
      <formula>$I2="OK"</formula>
    </cfRule>
  </conditionalFormatting>
  <dataValidations count="3">
    <dataValidation sqref="B2:B200" showDropDown="0" showInputMessage="0" showErrorMessage="1" allowBlank="1" errorTitle="KATEGORI" error="Pilih Wall, Gondola, atau Pallet (Endcap tidak ikut sambung)." type="list">
      <formula1>"Wall,Gondola,Pallet"</formula1>
    </dataValidation>
    <dataValidation sqref="C2:C200" showDropDown="0" showInputMessage="0" showErrorMessage="1" allowBlank="1" errorTitle="URUTAN" error="Isi angka bulat mulai 1 (urutan dari kiri ke kanan)." type="whole" operator="greaterThanOrEqual">
      <formula1>1</formula1>
    </dataValidation>
    <dataValidation sqref="D2:D200" showDropDown="0" showInputMessage="0" showErrorMessage="1" allowBlank="1" errorTitle="ID FIXTURE" error="Pilih ID dari daftar (kelola di sheet DAFTAR_FIXTURE)." type="list">
      <formula1>FIXTURE_IDS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GND-03</t>
        </is>
      </c>
      <c r="B6" s="15" t="inlineStr">
        <is>
          <t>Gondola 3 Rack + 1 Gantungan</t>
        </is>
      </c>
      <c r="C6" s="15" t="n"/>
    </row>
    <row r="7">
      <c r="A7" s="15" t="inlineStr">
        <is>
          <t>GND-04</t>
        </is>
      </c>
      <c r="B7" s="15" t="inlineStr">
        <is>
          <t>Gondola 3 Rack</t>
        </is>
      </c>
      <c r="C7" s="15" t="n"/>
    </row>
    <row r="8">
      <c r="A8" s="15" t="inlineStr">
        <is>
          <t>GND-05</t>
        </is>
      </c>
      <c r="B8" s="15" t="inlineStr">
        <is>
          <t>Gondola 2 Gantungan + 2 Rack</t>
        </is>
      </c>
      <c r="C8" s="15" t="n"/>
    </row>
    <row r="9">
      <c r="A9" s="15" t="inlineStr">
        <is>
          <t>GND-06</t>
        </is>
      </c>
      <c r="B9" s="15" t="inlineStr">
        <is>
          <t>Gondola 2 Rack + 2 Gantungan</t>
        </is>
      </c>
      <c r="C9" s="15" t="n"/>
    </row>
    <row r="10">
      <c r="A10" s="15" t="inlineStr">
        <is>
          <t>END-01</t>
        </is>
      </c>
      <c r="B10" s="15" t="inlineStr">
        <is>
          <t>Endcap 4 Rack</t>
        </is>
      </c>
      <c r="C10" s="15" t="n"/>
    </row>
    <row r="11">
      <c r="A11" s="15" t="inlineStr">
        <is>
          <t>END-02</t>
        </is>
      </c>
      <c r="B11" s="15" t="inlineStr">
        <is>
          <t>Endcap 3 Rack</t>
        </is>
      </c>
      <c r="C11" s="15" t="n"/>
    </row>
    <row r="12">
      <c r="A12" s="15" t="inlineStr">
        <is>
          <t>PLT-01</t>
        </is>
      </c>
      <c r="B12" s="15" t="inlineStr">
        <is>
          <t>Pallet 90x90</t>
        </is>
      </c>
      <c r="C12" s="15" t="n"/>
    </row>
    <row r="13">
      <c r="A13" s="15" t="inlineStr">
        <is>
          <t>PLT-02</t>
        </is>
      </c>
      <c r="B13" s="15" t="inlineStr">
        <is>
          <t>Pallet 90x90</t>
        </is>
      </c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3 Rack,Gondola 2 Gantungan + 2 Rack,Gondola 3 Rack + 1 Gantungan,Gondola 2 Rack + 2 Gantungan,Endcap 4 Rack,Endcap 3 Rack,Pallet 90x90"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3 Rack</t>
        </is>
      </c>
      <c r="B22" s="15" t="inlineStr">
        <is>
          <t>120x50x150</t>
        </is>
      </c>
      <c r="C22" s="17" t="n">
        <v>1</v>
      </c>
      <c r="D22" s="15" t="inlineStr">
        <is>
          <t>Rak</t>
        </is>
      </c>
      <c r="E22" s="18">
        <f>A22&amp;"|"&amp;C22</f>
        <v/>
      </c>
    </row>
    <row r="23">
      <c r="A23" s="15" t="inlineStr">
        <is>
          <t>Gondola 3 Rack</t>
        </is>
      </c>
      <c r="B23" s="15" t="inlineStr">
        <is>
          <t>120x50x150</t>
        </is>
      </c>
      <c r="C23" s="17" t="n">
        <v>2</v>
      </c>
      <c r="D23" s="15" t="inlineStr">
        <is>
          <t>Rak</t>
        </is>
      </c>
      <c r="E23" s="18">
        <f>A23&amp;"|"&amp;C23</f>
        <v/>
      </c>
    </row>
    <row r="24">
      <c r="A24" s="15" t="inlineStr">
        <is>
          <t>Gondola 3 Rack</t>
        </is>
      </c>
      <c r="B24" s="15" t="inlineStr">
        <is>
          <t>120x50x150</t>
        </is>
      </c>
      <c r="C24" s="17" t="n">
        <v>3</v>
      </c>
      <c r="D24" s="15" t="inlineStr">
        <is>
          <t>Rak</t>
        </is>
      </c>
      <c r="E24" s="18">
        <f>A24&amp;"|"&amp;C24</f>
        <v/>
      </c>
    </row>
    <row r="25">
      <c r="A25" s="15" t="inlineStr">
        <is>
          <t>Gondola 2 Gantungan + 2 Rack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Rack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Rack</t>
        </is>
      </c>
      <c r="B27" s="15" t="inlineStr">
        <is>
          <t>120x50x150</t>
        </is>
      </c>
      <c r="C27" s="17" t="n">
        <v>3</v>
      </c>
      <c r="D27" s="15" t="inlineStr">
        <is>
          <t>Rak</t>
        </is>
      </c>
      <c r="E27" s="18">
        <f>A27&amp;"|"&amp;C27</f>
        <v/>
      </c>
    </row>
    <row r="28">
      <c r="A28" s="15" t="inlineStr">
        <is>
          <t>Gondola 2 Gantungan + 2 Rack</t>
        </is>
      </c>
      <c r="B28" s="15" t="inlineStr">
        <is>
          <t>120x50x150</t>
        </is>
      </c>
      <c r="C28" s="17" t="n">
        <v>4</v>
      </c>
      <c r="D28" s="15" t="inlineStr">
        <is>
          <t>Rak</t>
        </is>
      </c>
      <c r="E28" s="18">
        <f>A28&amp;"|"&amp;C28</f>
        <v/>
      </c>
    </row>
    <row r="29">
      <c r="A29" s="15" t="inlineStr">
        <is>
          <t>Gondola 3 Rack + 1 Gantungan</t>
        </is>
      </c>
      <c r="B29" s="15" t="inlineStr">
        <is>
          <t>120x50x150</t>
        </is>
      </c>
      <c r="C29" s="17" t="n">
        <v>1</v>
      </c>
      <c r="D29" s="15" t="inlineStr">
        <is>
          <t>Rak</t>
        </is>
      </c>
      <c r="E29" s="18">
        <f>A29&amp;"|"&amp;C29</f>
        <v/>
      </c>
    </row>
    <row r="30">
      <c r="A30" s="15" t="inlineStr">
        <is>
          <t>Gondola 3 Rack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Rack + 1 Gantungan</t>
        </is>
      </c>
      <c r="B31" s="15" t="inlineStr">
        <is>
          <t>120x50x150</t>
        </is>
      </c>
      <c r="C31" s="17" t="n">
        <v>3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Gondola 3 Rack + 1 Gantungan</t>
        </is>
      </c>
      <c r="B32" s="15" t="inlineStr">
        <is>
          <t>120x50x150</t>
        </is>
      </c>
      <c r="C32" s="17" t="n">
        <v>4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Gondola 2 Rack + 2 Gantungan</t>
        </is>
      </c>
      <c r="B33" s="15" t="inlineStr">
        <is>
          <t>120x50x150</t>
        </is>
      </c>
      <c r="C33" s="17" t="n">
        <v>1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Gondola 2 Rack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Rack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Rack + 2 Gantungan</t>
        </is>
      </c>
      <c r="B36" s="15" t="inlineStr">
        <is>
          <t>120x50x150</t>
        </is>
      </c>
      <c r="C36" s="17" t="n">
        <v>4</v>
      </c>
      <c r="D36" s="15" t="inlineStr">
        <is>
          <t>Rak</t>
        </is>
      </c>
      <c r="E36" s="18">
        <f>A36&amp;"|"&amp;C36</f>
        <v/>
      </c>
    </row>
    <row r="37">
      <c r="A37" s="15" t="inlineStr">
        <is>
          <t>Endcap 4 Rack</t>
        </is>
      </c>
      <c r="B37" s="15" t="inlineStr">
        <is>
          <t>100x50x150</t>
        </is>
      </c>
      <c r="C37" s="17" t="n">
        <v>1</v>
      </c>
      <c r="D37" s="15" t="inlineStr">
        <is>
          <t>Rak</t>
        </is>
      </c>
      <c r="E37" s="18">
        <f>A37&amp;"|"&amp;C37</f>
        <v/>
      </c>
    </row>
    <row r="38">
      <c r="A38" s="15" t="inlineStr">
        <is>
          <t>Endcap 4 Rack</t>
        </is>
      </c>
      <c r="B38" s="15" t="inlineStr">
        <is>
          <t>100x50x150</t>
        </is>
      </c>
      <c r="C38" s="17" t="n">
        <v>2</v>
      </c>
      <c r="D38" s="15" t="inlineStr">
        <is>
          <t>Rak</t>
        </is>
      </c>
      <c r="E38" s="18">
        <f>A38&amp;"|"&amp;C38</f>
        <v/>
      </c>
    </row>
    <row r="39">
      <c r="A39" s="15" t="inlineStr">
        <is>
          <t>Endcap 4 Rack</t>
        </is>
      </c>
      <c r="B39" s="15" t="inlineStr">
        <is>
          <t>100x50x150</t>
        </is>
      </c>
      <c r="C39" s="17" t="n">
        <v>3</v>
      </c>
      <c r="D39" s="15" t="inlineStr">
        <is>
          <t>Rak</t>
        </is>
      </c>
      <c r="E39" s="18">
        <f>A39&amp;"|"&amp;C39</f>
        <v/>
      </c>
    </row>
    <row r="40">
      <c r="A40" s="15" t="inlineStr">
        <is>
          <t>Endcap 4 Rack</t>
        </is>
      </c>
      <c r="B40" s="15" t="inlineStr">
        <is>
          <t>100x50x150</t>
        </is>
      </c>
      <c r="C40" s="17" t="n">
        <v>4</v>
      </c>
      <c r="D40" s="15" t="inlineStr">
        <is>
          <t>Rak</t>
        </is>
      </c>
      <c r="E40" s="18">
        <f>A40&amp;"|"&amp;C40</f>
        <v/>
      </c>
    </row>
    <row r="41">
      <c r="A41" s="15" t="inlineStr">
        <is>
          <t>Endcap 3 Rack</t>
        </is>
      </c>
      <c r="B41" s="15" t="inlineStr">
        <is>
          <t>100x50x150</t>
        </is>
      </c>
      <c r="C41" s="17" t="n">
        <v>1</v>
      </c>
      <c r="D41" s="15" t="inlineStr">
        <is>
          <t>Rak</t>
        </is>
      </c>
      <c r="E41" s="18">
        <f>A41&amp;"|"&amp;C41</f>
        <v/>
      </c>
    </row>
    <row r="42">
      <c r="A42" s="15" t="inlineStr">
        <is>
          <t>Endcap 3 Rack</t>
        </is>
      </c>
      <c r="B42" s="15" t="inlineStr">
        <is>
          <t>100x50x150</t>
        </is>
      </c>
      <c r="C42" s="17" t="n">
        <v>2</v>
      </c>
      <c r="D42" s="15" t="inlineStr">
        <is>
          <t>Rak</t>
        </is>
      </c>
      <c r="E42" s="18">
        <f>A42&amp;"|"&amp;C42</f>
        <v/>
      </c>
    </row>
    <row r="43">
      <c r="A43" s="15" t="inlineStr">
        <is>
          <t>Endcap 3 Rack</t>
        </is>
      </c>
      <c r="B43" s="15" t="inlineStr">
        <is>
          <t>100x50x150</t>
        </is>
      </c>
      <c r="C43" s="17" t="n">
        <v>3</v>
      </c>
      <c r="D43" s="15" t="inlineStr">
        <is>
          <t>Rak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Rak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2026-10-05T07:04:41Z</dcterms:modified>
</cp:coreProperties>
</file>