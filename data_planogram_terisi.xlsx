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  <sheet name="LIST_GRUP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'DATA'!$A$1:$R$500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kolom paling kiri ke kanan. Kolom A–K = TEMPLATE WAJIB internal. Kolom L ke kanan = tambahan khusus untuk HTML planogram.</t>
        </is>
      </c>
    </row>
    <row r="3">
      <c r="A3" s="2" t="n"/>
      <c r="B3" s="2" t="n"/>
    </row>
    <row r="4">
      <c r="A4" s="3" t="inlineStr">
        <is>
          <t>LANGKAH 1 — TEMPLATE WAJIB INTERNAL (header ungu / kuning, 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 Tampil di detail item.</t>
        </is>
      </c>
    </row>
    <row r="9">
      <c r="A9" s="5" t="inlineStr">
        <is>
          <t>GRUP DISPLAY</t>
        </is>
      </c>
      <c r="B9" s="6" t="inlineStr">
        <is>
          <t>Contoh: PENYIMPANAN, MAKAN, MASAK. Dropdown.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Dropdown.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 UNTUK HTML (header hijau, kolom L–N)</t>
        </is>
      </c>
      <c r="B14" s="4" t="n"/>
    </row>
    <row r="15">
      <c r="A15" s="5" t="inlineStr">
        <is>
          <t>ID FIXTURE *</t>
        </is>
      </c>
      <c r="B15" s="6" t="inlineStr">
        <is>
          <t>Pilih dari dropdown. Daftar ID dikelola di sheet DAFTAR_FIXTURE. Kosongkan jika SKU belum ditempatkan.</t>
        </is>
      </c>
    </row>
    <row r="16">
      <c r="A16" s="5" t="inlineStr">
        <is>
          <t>ZONA NO *</t>
        </is>
      </c>
      <c r="B16" s="6" t="inlineStr">
        <is>
          <t>Nomor zona dari atas ke bawah, mulai 1 (lihat sheet LAYOUT).</t>
        </is>
      </c>
    </row>
    <row r="17">
      <c r="A17" s="5" t="inlineStr">
        <is>
          <t>JENIS ZONA *</t>
        </is>
      </c>
      <c r="B17" s="6" t="inlineStr">
        <is>
          <t>Rak atau Gantungan (dropdown). Harus sama dengan layout; lihat kolom JENIS ZONA SEHARUSNYA.</t>
        </is>
      </c>
    </row>
    <row r="18">
      <c r="A18" s="2" t="n"/>
      <c r="B18" s="2" t="n"/>
    </row>
    <row r="19">
      <c r="A19" s="3" t="inlineStr">
        <is>
          <t>LANGKAH 3 — OTOMATIS (header abu-abu, kolom O–R, jangan diisi / dihapus)</t>
        </is>
      </c>
      <c r="B19" s="4" t="n"/>
    </row>
    <row r="20">
      <c r="A20" s="5" t="inlineStr">
        <is>
          <t>JENIS FIXTURE</t>
        </is>
      </c>
      <c r="B20" s="6" t="inlineStr">
        <is>
          <t>Dibaca dari ID FIXTURE (sheet DAFTAR_FIXTURE).</t>
        </is>
      </c>
    </row>
    <row r="21">
      <c r="A21" s="5" t="inlineStr">
        <is>
          <t>JENIS ZONA SEHARUSNYA</t>
        </is>
      </c>
      <c r="B21" s="6" t="inlineStr">
        <is>
          <t>Jenis zona menurut layout.</t>
        </is>
      </c>
    </row>
    <row r="22">
      <c r="A22" s="5" t="inlineStr">
        <is>
          <t>JUMLAH ITEM ZONA</t>
        </is>
      </c>
      <c r="B22" s="6" t="inlineStr">
        <is>
          <t>Jumlah item dalam zona yang sama.</t>
        </is>
      </c>
    </row>
    <row r="23">
      <c r="A23" s="5" t="inlineStr">
        <is>
          <t>STATUS</t>
        </is>
      </c>
      <c r="B23" s="6" t="inlineStr">
        <is>
          <t>OK / Zona STOCK (tanpa item) / Belum ditempatkan / CEK + penyebab. Semua baris yang ditempatkan harus OK sebelum diimpor.</t>
        </is>
      </c>
    </row>
    <row r="24">
      <c r="A24" s="2" t="n"/>
      <c r="B24" s="2" t="n"/>
    </row>
    <row r="25">
      <c r="A25" s="3" t="inlineStr">
        <is>
          <t>ATURAN PENEMPATAN</t>
        </is>
      </c>
      <c r="B25" s="4" t="n"/>
    </row>
    <row r="26">
      <c r="A26" s="2" t="inlineStr">
        <is>
          <t>1. Satu baris = satu item di satu zona. Item yang sama di dua zona = dua baris.</t>
        </is>
      </c>
      <c r="B26" s="2" t="n"/>
    </row>
    <row r="27">
      <c r="A27" s="2" t="inlineStr">
        <is>
          <t>2. Urutan item dari kiri ke kanan mengikuti urutan baris di Excel (baris atas lebih dulu).</t>
        </is>
      </c>
      <c r="B27" s="2" t="n"/>
    </row>
    <row r="28">
      <c r="A28" s="2" t="inlineStr">
        <is>
          <t>3. Jumlah item yang tampil = jumlah baris. Tidak ada facing, susun, ukuran, brand, atau prioritas.</t>
        </is>
      </c>
      <c r="B28" s="2" t="n"/>
    </row>
    <row r="29">
      <c r="A29" s="2" t="inlineStr">
        <is>
          <t>4. Zona yang tidak berisi item (baris ID FIXTURE + ZONA NO tanpa SKU, atau zona yang tidak ditulis sama sekali) dianggap tempat STOCK dan ditulis STOCK di planogram.</t>
        </is>
      </c>
      <c r="B29" s="2" t="n"/>
    </row>
    <row r="30">
      <c r="A30" s="2" t="inlineStr">
        <is>
          <t>5. Baris yang hanya berisi data SKU (tanpa ID FIXTURE) = masuk daftar SKU saja, belum ditempatkan.</t>
        </is>
      </c>
      <c r="B30" s="2" t="n"/>
    </row>
    <row r="31">
      <c r="A31" s="2" t="inlineStr">
        <is>
          <t>6. SKU yang sama boleh ditampilkan di beberapa fixture (mis. versi Wall dan versi Gondola): data SKU (kolom A–K) cukup sama, tulis lagi di baris baru dengan ID FIXTURE / ZONA NO / JENIS ZONA yang lain.</t>
        </is>
      </c>
      <c r="B31" s="2" t="n"/>
    </row>
    <row r="32">
      <c r="A32" s="2" t="inlineStr">
        <is>
          <t>7. Isi GRUP DISPLAY, GRUP ADJACENCY, SERIES dengan ejaan konsisten agar pilihan filter di aplikasi tidak terpecah.</t>
        </is>
      </c>
      <c r="B32" s="2" t="n"/>
    </row>
    <row r="33">
      <c r="A33" s="2" t="inlineStr">
        <is>
          <t>Buka dulu di Excel lalu simpan agar kolom otomatis terhitung sebelum diimpor.</t>
        </is>
      </c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30" customWidth="1" min="15" max="15"/>
    <col width="22" customWidth="1" min="16" max="16"/>
    <col width="18" customWidth="1" min="17" max="17"/>
    <col width="34" customWidth="1" min="18" max="18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</t>
        </is>
      </c>
      <c r="M1" s="8" t="inlineStr">
        <is>
          <t>ZONA NO</t>
        </is>
      </c>
      <c r="N1" s="8" t="inlineStr">
        <is>
          <t>JENIS ZONA</t>
        </is>
      </c>
      <c r="O1" s="9" t="inlineStr">
        <is>
          <t>JENIS FIXTURE (otomatis)</t>
        </is>
      </c>
      <c r="P1" s="9" t="inlineStr">
        <is>
          <t>JENIS ZONA SEHARUSNYA (otomatis)</t>
        </is>
      </c>
      <c r="Q1" s="9" t="inlineStr">
        <is>
          <t>JUMLAH ITEM ZONA (otomatis)</t>
        </is>
      </c>
      <c r="R1" s="9" t="inlineStr">
        <is>
          <t>STATUS (otomatis)</t>
        </is>
      </c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1" t="inlineStr">
        <is>
          <t>WLL-01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IF(OR(O2="",M2=""),"",IFERROR(INDEX(LAYOUT!$D$2:$D$34,MATCH(O2&amp;"|"&amp;M2,LAYOUT!$E$2:$E$34,0)),"zona tidak ada di layout"))</f>
        <v/>
      </c>
      <c r="Q2" s="12">
        <f>IF(OR(L2="",D2=""),"",COUNTIFS($L$2:$L$500,L2,$M$2:$M$500,M2,$D$2:$D$500,"&lt;&gt;"))</f>
        <v/>
      </c>
      <c r="R2" s="12">
        <f>IF(AND(D2="",L2=""),"",IF(L2="","Belum ditempatkan",IF(O2="","CEK ID FIXTURE tidak ada di DAFTAR_FIXTURE",IF(M2="","CEK ZONA NO kosong",IF(P2="zona tidak ada di layout","CEK ZONA NO di luar layout",IF(N2&lt;&gt;P2,"CEK JENIS ZONA",IF(D2="","Zona STOCK",IF(E2="","CEK SKU DESCRIPTION kosong","OK"))))))))</f>
        <v/>
      </c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IF(OR(O3="",M3=""),"",IFERROR(INDEX(LAYOUT!$D$2:$D$34,MATCH(O3&amp;"|"&amp;M3,LAYOUT!$E$2:$E$34,0)),"zona tidak ada di layout"))</f>
        <v/>
      </c>
      <c r="Q3" s="12">
        <f>IF(OR(L3="",D3=""),"",COUNTIFS($L$2:$L$500,L3,$M$2:$M$500,M3,$D$2:$D$500,"&lt;&gt;"))</f>
        <v/>
      </c>
      <c r="R3" s="12">
        <f>IF(AND(D3="",L3=""),"",IF(L3="","Belum ditempatkan",IF(O3="","CEK ID FIXTURE tidak ada di DAFTAR_FIXTURE",IF(M3="","CEK ZONA NO kosong",IF(P3="zona tidak ada di layout","CEK ZONA NO di luar layout",IF(N3&lt;&gt;P3,"CEK JENIS ZONA",IF(D3="","Zona STOCK",IF(E3="","CEK SKU DESCRIPTION kosong","OK"))))))))</f>
        <v/>
      </c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WLL-01</t>
        </is>
      </c>
      <c r="M4" s="11" t="n">
        <v>2</v>
      </c>
      <c r="N4" s="11" t="inlineStr">
        <is>
          <t>Rak</t>
        </is>
      </c>
      <c r="O4" s="12">
        <f>IF(L4="","",IFERROR(INDEX(DAFTAR_FIXTURE!$B$2:$B$51,MATCH(L4,DAFTAR_FIXTURE!$A$2:$A$51,0)),""))</f>
        <v/>
      </c>
      <c r="P4" s="12">
        <f>IF(OR(O4="",M4=""),"",IFERROR(INDEX(LAYOUT!$D$2:$D$34,MATCH(O4&amp;"|"&amp;M4,LAYOUT!$E$2:$E$34,0)),"zona tidak ada di layout"))</f>
        <v/>
      </c>
      <c r="Q4" s="12">
        <f>IF(OR(L4="",D4=""),"",COUNTIFS($L$2:$L$500,L4,$M$2:$M$500,M4,$D$2:$D$500,"&lt;&gt;"))</f>
        <v/>
      </c>
      <c r="R4" s="12">
        <f>IF(AND(D4="",L4=""),"",IF(L4="","Belum ditempatkan",IF(O4="","CEK ID FIXTURE tidak ada di DAFTAR_FIXTURE",IF(M4="","CEK ZONA NO kosong",IF(P4="zona tidak ada di layout","CEK ZONA NO di luar layout",IF(N4&lt;&gt;P4,"CEK JENIS ZONA",IF(D4="","Zona STOCK",IF(E4="","CEK SKU DESCRIPTION kosong","OK"))))))))</f>
        <v/>
      </c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WLL-01</t>
        </is>
      </c>
      <c r="M5" s="11" t="n">
        <v>2</v>
      </c>
      <c r="N5" s="11" t="inlineStr">
        <is>
          <t>Rak</t>
        </is>
      </c>
      <c r="O5" s="12">
        <f>IF(L5="","",IFERROR(INDEX(DAFTAR_FIXTURE!$B$2:$B$51,MATCH(L5,DAFTAR_FIXTURE!$A$2:$A$51,0)),""))</f>
        <v/>
      </c>
      <c r="P5" s="12">
        <f>IF(OR(O5="",M5=""),"",IFERROR(INDEX(LAYOUT!$D$2:$D$34,MATCH(O5&amp;"|"&amp;M5,LAYOUT!$E$2:$E$34,0)),"zona tidak ada di layout"))</f>
        <v/>
      </c>
      <c r="Q5" s="12">
        <f>IF(OR(L5="",D5=""),"",COUNTIFS($L$2:$L$500,L5,$M$2:$M$500,M5,$D$2:$D$500,"&lt;&gt;"))</f>
        <v/>
      </c>
      <c r="R5" s="12">
        <f>IF(AND(D5="",L5=""),"",IF(L5="","Belum ditempatkan",IF(O5="","CEK ID FIXTURE tidak ada di DAFTAR_FIXTURE",IF(M5="","CEK ZONA NO kosong",IF(P5="zona tidak ada di layout","CEK ZONA NO di luar layout",IF(N5&lt;&gt;P5,"CEK JENIS ZONA",IF(D5="","Zona STOCK",IF(E5="","CEK SKU DESCRIPTION kosong","OK"))))))))</f>
        <v/>
      </c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WLL-01</t>
        </is>
      </c>
      <c r="M6" s="11" t="n">
        <v>3</v>
      </c>
      <c r="N6" s="11" t="inlineStr">
        <is>
          <t>Rak</t>
        </is>
      </c>
      <c r="O6" s="12">
        <f>IF(L6="","",IFERROR(INDEX(DAFTAR_FIXTURE!$B$2:$B$51,MATCH(L6,DAFTAR_FIXTURE!$A$2:$A$51,0)),""))</f>
        <v/>
      </c>
      <c r="P6" s="12">
        <f>IF(OR(O6="",M6=""),"",IFERROR(INDEX(LAYOUT!$D$2:$D$34,MATCH(O6&amp;"|"&amp;M6,LAYOUT!$E$2:$E$34,0)),"zona tidak ada di layout"))</f>
        <v/>
      </c>
      <c r="Q6" s="12">
        <f>IF(OR(L6="",D6=""),"",COUNTIFS($L$2:$L$500,L6,$M$2:$M$500,M6,$D$2:$D$500,"&lt;&gt;"))</f>
        <v/>
      </c>
      <c r="R6" s="12">
        <f>IF(AND(D6="",L6=""),"",IF(L6="","Belum ditempatkan",IF(O6="","CEK ID FIXTURE tidak ada di DAFTAR_FIXTURE",IF(M6="","CEK ZONA NO kosong",IF(P6="zona tidak ada di layout","CEK ZONA NO di luar layout",IF(N6&lt;&gt;P6,"CEK JENIS ZONA",IF(D6="","Zona STOCK",IF(E6="","CEK SKU DESCRIPTION kosong","OK"))))))))</f>
        <v/>
      </c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WLL-01</t>
        </is>
      </c>
      <c r="M7" s="11" t="n">
        <v>3</v>
      </c>
      <c r="N7" s="11" t="inlineStr">
        <is>
          <t>Rak</t>
        </is>
      </c>
      <c r="O7" s="12">
        <f>IF(L7="","",IFERROR(INDEX(DAFTAR_FIXTURE!$B$2:$B$51,MATCH(L7,DAFTAR_FIXTURE!$A$2:$A$51,0)),""))</f>
        <v/>
      </c>
      <c r="P7" s="12">
        <f>IF(OR(O7="",M7=""),"",IFERROR(INDEX(LAYOUT!$D$2:$D$34,MATCH(O7&amp;"|"&amp;M7,LAYOUT!$E$2:$E$34,0)),"zona tidak ada di layout"))</f>
        <v/>
      </c>
      <c r="Q7" s="12">
        <f>IF(OR(L7="",D7=""),"",COUNTIFS($L$2:$L$500,L7,$M$2:$M$500,M7,$D$2:$D$500,"&lt;&gt;"))</f>
        <v/>
      </c>
      <c r="R7" s="12">
        <f>IF(AND(D7="",L7=""),"",IF(L7="","Belum ditempatkan",IF(O7="","CEK ID FIXTURE tidak ada di DAFTAR_FIXTURE",IF(M7="","CEK ZONA NO kosong",IF(P7="zona tidak ada di layout","CEK ZONA NO di luar layout",IF(N7&lt;&gt;P7,"CEK JENIS ZONA",IF(D7="","Zona STOCK",IF(E7="","CEK SKU DESCRIPTION kosong","OK"))))))))</f>
        <v/>
      </c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WLL-01</t>
        </is>
      </c>
      <c r="M8" s="11" t="n">
        <v>3</v>
      </c>
      <c r="N8" s="11" t="inlineStr">
        <is>
          <t>Rak</t>
        </is>
      </c>
      <c r="O8" s="12">
        <f>IF(L8="","",IFERROR(INDEX(DAFTAR_FIXTURE!$B$2:$B$51,MATCH(L8,DAFTAR_FIXTURE!$A$2:$A$51,0)),""))</f>
        <v/>
      </c>
      <c r="P8" s="12">
        <f>IF(OR(O8="",M8=""),"",IFERROR(INDEX(LAYOUT!$D$2:$D$34,MATCH(O8&amp;"|"&amp;M8,LAYOUT!$E$2:$E$34,0)),"zona tidak ada di layout"))</f>
        <v/>
      </c>
      <c r="Q8" s="12">
        <f>IF(OR(L8="",D8=""),"",COUNTIFS($L$2:$L$500,L8,$M$2:$M$500,M8,$D$2:$D$500,"&lt;&gt;"))</f>
        <v/>
      </c>
      <c r="R8" s="12">
        <f>IF(AND(D8="",L8=""),"",IF(L8="","Belum ditempatkan",IF(O8="","CEK ID FIXTURE tidak ada di DAFTAR_FIXTURE",IF(M8="","CEK ZONA NO kosong",IF(P8="zona tidak ada di layout","CEK ZONA NO di luar layout",IF(N8&lt;&gt;P8,"CEK JENIS ZONA",IF(D8="","Zona STOCK",IF(E8="","CEK SKU DESCRIPTION kosong","OK"))))))))</f>
        <v/>
      </c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WLL-01</t>
        </is>
      </c>
      <c r="M9" s="11" t="n">
        <v>4</v>
      </c>
      <c r="N9" s="11" t="inlineStr">
        <is>
          <t>Rak</t>
        </is>
      </c>
      <c r="O9" s="12">
        <f>IF(L9="","",IFERROR(INDEX(DAFTAR_FIXTURE!$B$2:$B$51,MATCH(L9,DAFTAR_FIXTURE!$A$2:$A$51,0)),""))</f>
        <v/>
      </c>
      <c r="P9" s="12">
        <f>IF(OR(O9="",M9=""),"",IFERROR(INDEX(LAYOUT!$D$2:$D$34,MATCH(O9&amp;"|"&amp;M9,LAYOUT!$E$2:$E$34,0)),"zona tidak ada di layout"))</f>
        <v/>
      </c>
      <c r="Q9" s="12">
        <f>IF(OR(L9="",D9=""),"",COUNTIFS($L$2:$L$500,L9,$M$2:$M$500,M9,$D$2:$D$500,"&lt;&gt;"))</f>
        <v/>
      </c>
      <c r="R9" s="12">
        <f>IF(AND(D9="",L9=""),"",IF(L9="","Belum ditempatkan",IF(O9="","CEK ID FIXTURE tidak ada di DAFTAR_FIXTURE",IF(M9="","CEK ZONA NO kosong",IF(P9="zona tidak ada di layout","CEK ZONA NO di luar layout",IF(N9&lt;&gt;P9,"CEK JENIS ZONA",IF(D9="","Zona STOCK",IF(E9="","CEK SKU DESCRIPTION kosong","OK"))))))))</f>
        <v/>
      </c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WLL-01</t>
        </is>
      </c>
      <c r="M10" s="11" t="n">
        <v>4</v>
      </c>
      <c r="N10" s="11" t="inlineStr">
        <is>
          <t>Rak</t>
        </is>
      </c>
      <c r="O10" s="12">
        <f>IF(L10="","",IFERROR(INDEX(DAFTAR_FIXTURE!$B$2:$B$51,MATCH(L10,DAFTAR_FIXTURE!$A$2:$A$51,0)),""))</f>
        <v/>
      </c>
      <c r="P10" s="12">
        <f>IF(OR(O10="",M10=""),"",IFERROR(INDEX(LAYOUT!$D$2:$D$34,MATCH(O10&amp;"|"&amp;M10,LAYOUT!$E$2:$E$34,0)),"zona tidak ada di layout"))</f>
        <v/>
      </c>
      <c r="Q10" s="12">
        <f>IF(OR(L10="",D10=""),"",COUNTIFS($L$2:$L$500,L10,$M$2:$M$500,M10,$D$2:$D$500,"&lt;&gt;"))</f>
        <v/>
      </c>
      <c r="R10" s="12">
        <f>IF(AND(D10="",L10=""),"",IF(L10="","Belum ditempatkan",IF(O10="","CEK ID FIXTURE tidak ada di DAFTAR_FIXTURE",IF(M10="","CEK ZONA NO kosong",IF(P10="zona tidak ada di layout","CEK ZONA NO di luar layout",IF(N10&lt;&gt;P10,"CEK JENIS ZONA",IF(D10="","Zona STOCK",IF(E10="","CEK SKU DESCRIPTION kosong","OK"))))))))</f>
        <v/>
      </c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WLL-01</t>
        </is>
      </c>
      <c r="M11" s="11" t="n">
        <v>4</v>
      </c>
      <c r="N11" s="11" t="inlineStr">
        <is>
          <t>Rak</t>
        </is>
      </c>
      <c r="O11" s="12">
        <f>IF(L11="","",IFERROR(INDEX(DAFTAR_FIXTURE!$B$2:$B$51,MATCH(L11,DAFTAR_FIXTURE!$A$2:$A$51,0)),""))</f>
        <v/>
      </c>
      <c r="P11" s="12">
        <f>IF(OR(O11="",M11=""),"",IFERROR(INDEX(LAYOUT!$D$2:$D$34,MATCH(O11&amp;"|"&amp;M11,LAYOUT!$E$2:$E$34,0)),"zona tidak ada di layout"))</f>
        <v/>
      </c>
      <c r="Q11" s="12">
        <f>IF(OR(L11="",D11=""),"",COUNTIFS($L$2:$L$500,L11,$M$2:$M$500,M11,$D$2:$D$500,"&lt;&gt;"))</f>
        <v/>
      </c>
      <c r="R11" s="12">
        <f>IF(AND(D11="",L11=""),"",IF(L11="","Belum ditempatkan",IF(O11="","CEK ID FIXTURE tidak ada di DAFTAR_FIXTURE",IF(M11="","CEK ZONA NO kosong",IF(P11="zona tidak ada di layout","CEK ZONA NO di luar layout",IF(N11&lt;&gt;P11,"CEK JENIS ZONA",IF(D11="","Zona STOCK",IF(E11="","CEK SKU DESCRIPTION kosong","OK"))))))))</f>
        <v/>
      </c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WLL-01</t>
        </is>
      </c>
      <c r="M12" s="11" t="n">
        <v>5</v>
      </c>
      <c r="N12" s="11" t="inlineStr">
        <is>
          <t>Rak</t>
        </is>
      </c>
      <c r="O12" s="12">
        <f>IF(L12="","",IFERROR(INDEX(DAFTAR_FIXTURE!$B$2:$B$51,MATCH(L12,DAFTAR_FIXTURE!$A$2:$A$51,0)),""))</f>
        <v/>
      </c>
      <c r="P12" s="12">
        <f>IF(OR(O12="",M12=""),"",IFERROR(INDEX(LAYOUT!$D$2:$D$34,MATCH(O12&amp;"|"&amp;M12,LAYOUT!$E$2:$E$34,0)),"zona tidak ada di layout"))</f>
        <v/>
      </c>
      <c r="Q12" s="12">
        <f>IF(OR(L12="",D12=""),"",COUNTIFS($L$2:$L$500,L12,$M$2:$M$500,M12,$D$2:$D$500,"&lt;&gt;"))</f>
        <v/>
      </c>
      <c r="R12" s="12">
        <f>IF(AND(D12="",L12=""),"",IF(L12="","Belum ditempatkan",IF(O12="","CEK ID FIXTURE tidak ada di DAFTAR_FIXTURE",IF(M12="","CEK ZONA NO kosong",IF(P12="zona tidak ada di layout","CEK ZONA NO di luar layout",IF(N12&lt;&gt;P12,"CEK JENIS ZONA",IF(D12="","Zona STOCK",IF(E12="","CEK SKU DESCRIPTION kosong","OK"))))))))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inlineStr">
        <is>
          <t>WLL-01</t>
        </is>
      </c>
      <c r="M13" s="11" t="n">
        <v>6</v>
      </c>
      <c r="N13" s="11" t="inlineStr">
        <is>
          <t>Rak</t>
        </is>
      </c>
      <c r="O13" s="12">
        <f>IF(L13="","",IFERROR(INDEX(DAFTAR_FIXTURE!$B$2:$B$51,MATCH(L13,DAFTAR_FIXTURE!$A$2:$A$51,0)),""))</f>
        <v/>
      </c>
      <c r="P13" s="12">
        <f>IF(OR(O13="",M13=""),"",IFERROR(INDEX(LAYOUT!$D$2:$D$34,MATCH(O13&amp;"|"&amp;M13,LAYOUT!$E$2:$E$34,0)),"zona tidak ada di layout"))</f>
        <v/>
      </c>
      <c r="Q13" s="12">
        <f>IF(OR(L13="",D13=""),"",COUNTIFS($L$2:$L$500,L13,$M$2:$M$500,M13,$D$2:$D$500,"&lt;&gt;"))</f>
        <v/>
      </c>
      <c r="R13" s="12">
        <f>IF(AND(D13="",L13=""),"",IF(L13="","Belum ditempatkan",IF(O13="","CEK ID FIXTURE tidak ada di DAFTAR_FIXTURE",IF(M13="","CEK ZONA NO kosong",IF(P13="zona tidak ada di layout","CEK ZONA NO di luar layout",IF(N13&lt;&gt;P13,"CEK JENIS ZONA",IF(D13="","Zona STOCK",IF(E13="","CEK SKU DESCRIPTION kosong","OK"))))))))</f>
        <v/>
      </c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WLL-02</t>
        </is>
      </c>
      <c r="M14" s="11" t="n">
        <v>1</v>
      </c>
      <c r="N14" s="11" t="inlineStr">
        <is>
          <t>Rak</t>
        </is>
      </c>
      <c r="O14" s="12">
        <f>IF(L14="","",IFERROR(INDEX(DAFTAR_FIXTURE!$B$2:$B$51,MATCH(L14,DAFTAR_FIXTURE!$A$2:$A$51,0)),""))</f>
        <v/>
      </c>
      <c r="P14" s="12">
        <f>IF(OR(O14="",M14=""),"",IFERROR(INDEX(LAYOUT!$D$2:$D$34,MATCH(O14&amp;"|"&amp;M14,LAYOUT!$E$2:$E$34,0)),"zona tidak ada di layout"))</f>
        <v/>
      </c>
      <c r="Q14" s="12">
        <f>IF(OR(L14="",D14=""),"",COUNTIFS($L$2:$L$500,L14,$M$2:$M$500,M14,$D$2:$D$500,"&lt;&gt;"))</f>
        <v/>
      </c>
      <c r="R14" s="12">
        <f>IF(AND(D14="",L14=""),"",IF(L14="","Belum ditempatkan",IF(O14="","CEK ID FIXTURE tidak ada di DAFTAR_FIXTURE",IF(M14="","CEK ZONA NO kosong",IF(P14="zona tidak ada di layout","CEK ZONA NO di luar layout",IF(N14&lt;&gt;P14,"CEK JENIS ZONA",IF(D14="","Zona STOCK",IF(E14="","CEK SKU DESCRIPTION kosong","OK"))))))))</f>
        <v/>
      </c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10445959</t>
        </is>
      </c>
      <c r="E15" s="10" t="inlineStr">
        <is>
          <t>CASSEROLE RECT GOLD MARBLE W/LID 33CM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GOLD MARBLE</t>
        </is>
      </c>
      <c r="J15" s="10" t="n"/>
      <c r="K15" s="10" t="n"/>
      <c r="L15" s="11" t="inlineStr">
        <is>
          <t>WLL-02</t>
        </is>
      </c>
      <c r="M15" s="11" t="n">
        <v>2</v>
      </c>
      <c r="N15" s="11" t="inlineStr">
        <is>
          <t>Rak</t>
        </is>
      </c>
      <c r="O15" s="12">
        <f>IF(L15="","",IFERROR(INDEX(DAFTAR_FIXTURE!$B$2:$B$51,MATCH(L15,DAFTAR_FIXTURE!$A$2:$A$51,0)),""))</f>
        <v/>
      </c>
      <c r="P15" s="12">
        <f>IF(OR(O15="",M15=""),"",IFERROR(INDEX(LAYOUT!$D$2:$D$34,MATCH(O15&amp;"|"&amp;M15,LAYOUT!$E$2:$E$34,0)),"zona tidak ada di layout"))</f>
        <v/>
      </c>
      <c r="Q15" s="12">
        <f>IF(OR(L15="",D15=""),"",COUNTIFS($L$2:$L$500,L15,$M$2:$M$500,M15,$D$2:$D$500,"&lt;&gt;"))</f>
        <v/>
      </c>
      <c r="R15" s="12">
        <f>IF(AND(D15="",L15=""),"",IF(L15="","Belum ditempatkan",IF(O15="","CEK ID FIXTURE tidak ada di DAFTAR_FIXTURE",IF(M15="","CEK ZONA NO kosong",IF(P15="zona tidak ada di layout","CEK ZONA NO di luar layout",IF(N15&lt;&gt;P15,"CEK JENIS ZONA",IF(D15="","Zona STOCK",IF(E15="","CEK SKU DESCRIPTION kosong","OK"))))))))</f>
        <v/>
      </c>
    </row>
    <row r="16">
      <c r="A16" s="10" t="inlineStr">
        <is>
          <t>Homeware</t>
        </is>
      </c>
      <c r="B16" s="10" t="inlineStr">
        <is>
          <t>Cookware</t>
        </is>
      </c>
      <c r="C16" s="10" t="inlineStr">
        <is>
          <t>Casserole</t>
        </is>
      </c>
      <c r="D16" s="10" t="inlineStr">
        <is>
          <t>10445960</t>
        </is>
      </c>
      <c r="E16" s="10" t="inlineStr">
        <is>
          <t>CASSEROLE OVAL GOLD MARBLE W/LID 33CM</t>
        </is>
      </c>
      <c r="F16" s="10" t="n"/>
      <c r="G16" s="10" t="inlineStr">
        <is>
          <t>MASAK</t>
        </is>
      </c>
      <c r="H16" s="10" t="inlineStr">
        <is>
          <t>B1. CASSEROLE</t>
        </is>
      </c>
      <c r="I16" s="10" t="inlineStr">
        <is>
          <t>GOLD MARBLE</t>
        </is>
      </c>
      <c r="J16" s="10" t="n"/>
      <c r="K16" s="10" t="n"/>
      <c r="L16" s="11" t="inlineStr">
        <is>
          <t>WLL-02</t>
        </is>
      </c>
      <c r="M16" s="11" t="n">
        <v>2</v>
      </c>
      <c r="N16" s="11" t="inlineStr">
        <is>
          <t>Rak</t>
        </is>
      </c>
      <c r="O16" s="12">
        <f>IF(L16="","",IFERROR(INDEX(DAFTAR_FIXTURE!$B$2:$B$51,MATCH(L16,DAFTAR_FIXTURE!$A$2:$A$51,0)),""))</f>
        <v/>
      </c>
      <c r="P16" s="12">
        <f>IF(OR(O16="",M16=""),"",IFERROR(INDEX(LAYOUT!$D$2:$D$34,MATCH(O16&amp;"|"&amp;M16,LAYOUT!$E$2:$E$34,0)),"zona tidak ada di layout"))</f>
        <v/>
      </c>
      <c r="Q16" s="12">
        <f>IF(OR(L16="",D16=""),"",COUNTIFS($L$2:$L$500,L16,$M$2:$M$500,M16,$D$2:$D$500,"&lt;&gt;"))</f>
        <v/>
      </c>
      <c r="R16" s="12">
        <f>IF(AND(D16="",L16=""),"",IF(L16="","Belum ditempatkan",IF(O16="","CEK ID FIXTURE tidak ada di DAFTAR_FIXTURE",IF(M16="","CEK ZONA NO kosong",IF(P16="zona tidak ada di layout","CEK ZONA NO di luar layout",IF(N16&lt;&gt;P16,"CEK JENIS ZONA",IF(D16="","Zona STOCK",IF(E16="","CEK SKU DESCRIPTION kosong","OK"))))))))</f>
        <v/>
      </c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Casserole</t>
        </is>
      </c>
      <c r="D17" s="10" t="inlineStr">
        <is>
          <t>10445961</t>
        </is>
      </c>
      <c r="E17" s="10" t="inlineStr">
        <is>
          <t>CASSEROLE ROUND GOLD MARBLE W/LID 33CM</t>
        </is>
      </c>
      <c r="F17" s="10" t="n"/>
      <c r="G17" s="10" t="inlineStr">
        <is>
          <t>MASAK</t>
        </is>
      </c>
      <c r="H17" s="10" t="inlineStr">
        <is>
          <t>B1. CASSEROLE</t>
        </is>
      </c>
      <c r="I17" s="10" t="inlineStr">
        <is>
          <t>GOLD MARBLE</t>
        </is>
      </c>
      <c r="J17" s="10" t="n"/>
      <c r="K17" s="10" t="n"/>
      <c r="L17" s="11" t="inlineStr">
        <is>
          <t>WLL-02</t>
        </is>
      </c>
      <c r="M17" s="11" t="n">
        <v>2</v>
      </c>
      <c r="N17" s="11" t="inlineStr">
        <is>
          <t>Rak</t>
        </is>
      </c>
      <c r="O17" s="12">
        <f>IF(L17="","",IFERROR(INDEX(DAFTAR_FIXTURE!$B$2:$B$51,MATCH(L17,DAFTAR_FIXTURE!$A$2:$A$51,0)),""))</f>
        <v/>
      </c>
      <c r="P17" s="12">
        <f>IF(OR(O17="",M17=""),"",IFERROR(INDEX(LAYOUT!$D$2:$D$34,MATCH(O17&amp;"|"&amp;M17,LAYOUT!$E$2:$E$34,0)),"zona tidak ada di layout"))</f>
        <v/>
      </c>
      <c r="Q17" s="12">
        <f>IF(OR(L17="",D17=""),"",COUNTIFS($L$2:$L$500,L17,$M$2:$M$500,M17,$D$2:$D$500,"&lt;&gt;"))</f>
        <v/>
      </c>
      <c r="R17" s="12">
        <f>IF(AND(D17="",L17=""),"",IF(L17="","Belum ditempatkan",IF(O17="","CEK ID FIXTURE tidak ada di DAFTAR_FIXTURE",IF(M17="","CEK ZONA NO kosong",IF(P17="zona tidak ada di layout","CEK ZONA NO di luar layout",IF(N17&lt;&gt;P17,"CEK JENIS ZONA",IF(D17="","Zona STOCK",IF(E17="","CEK SKU DESCRIPTION kosong","OK"))))))))</f>
        <v/>
      </c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Casserole</t>
        </is>
      </c>
      <c r="D18" s="10" t="inlineStr">
        <is>
          <t>10445962</t>
        </is>
      </c>
      <c r="E18" s="10" t="inlineStr">
        <is>
          <t>CASSEROLE SQUARE GOLD MARBLE W/LID 33CM</t>
        </is>
      </c>
      <c r="F18" s="10" t="n"/>
      <c r="G18" s="10" t="inlineStr">
        <is>
          <t>MASAK</t>
        </is>
      </c>
      <c r="H18" s="10" t="inlineStr">
        <is>
          <t>B1. CASSEROLE</t>
        </is>
      </c>
      <c r="I18" s="10" t="inlineStr">
        <is>
          <t>GOLD MARBLE</t>
        </is>
      </c>
      <c r="J18" s="10" t="n"/>
      <c r="K18" s="10" t="n"/>
      <c r="L18" s="11" t="inlineStr">
        <is>
          <t>WLL-02</t>
        </is>
      </c>
      <c r="M18" s="11" t="n">
        <v>2</v>
      </c>
      <c r="N18" s="11" t="inlineStr">
        <is>
          <t>Rak</t>
        </is>
      </c>
      <c r="O18" s="12">
        <f>IF(L18="","",IFERROR(INDEX(DAFTAR_FIXTURE!$B$2:$B$51,MATCH(L18,DAFTAR_FIXTURE!$A$2:$A$51,0)),""))</f>
        <v/>
      </c>
      <c r="P18" s="12">
        <f>IF(OR(O18="",M18=""),"",IFERROR(INDEX(LAYOUT!$D$2:$D$34,MATCH(O18&amp;"|"&amp;M18,LAYOUT!$E$2:$E$34,0)),"zona tidak ada di layout"))</f>
        <v/>
      </c>
      <c r="Q18" s="12">
        <f>IF(OR(L18="",D18=""),"",COUNTIFS($L$2:$L$500,L18,$M$2:$M$500,M18,$D$2:$D$500,"&lt;&gt;"))</f>
        <v/>
      </c>
      <c r="R18" s="12">
        <f>IF(AND(D18="",L18=""),"",IF(L18="","Belum ditempatkan",IF(O18="","CEK ID FIXTURE tidak ada di DAFTAR_FIXTURE",IF(M18="","CEK ZONA NO kosong",IF(P18="zona tidak ada di layout","CEK ZONA NO di luar layout",IF(N18&lt;&gt;P18,"CEK JENIS ZONA",IF(D18="","Zona STOCK",IF(E18="","CEK SKU DESCRIPTION kosong","OK"))))))))</f>
        <v/>
      </c>
    </row>
    <row r="19">
      <c r="A19" s="10" t="inlineStr">
        <is>
          <t>Homeware</t>
        </is>
      </c>
      <c r="B19" s="10" t="inlineStr">
        <is>
          <t>Tableware</t>
        </is>
      </c>
      <c r="C19" s="10" t="inlineStr">
        <is>
          <t>Serving Set</t>
        </is>
      </c>
      <c r="D19" s="10" t="inlineStr">
        <is>
          <t>10470029</t>
        </is>
      </c>
      <c r="E19" s="10" t="inlineStr">
        <is>
          <t>SERVING SET W/RACK OCTAGON MARBLE (4)</t>
        </is>
      </c>
      <c r="F19" s="10" t="n"/>
      <c r="G19" s="10" t="inlineStr">
        <is>
          <t>MAKAN</t>
        </is>
      </c>
      <c r="H19" s="10" t="inlineStr">
        <is>
          <t>A2. SERVINGWARE</t>
        </is>
      </c>
      <c r="I19" s="10" t="inlineStr">
        <is>
          <t>SERVING SET MARBLE</t>
        </is>
      </c>
      <c r="J19" s="10" t="n"/>
      <c r="K19" s="10" t="n"/>
      <c r="L19" s="11" t="inlineStr">
        <is>
          <t>WLL-02</t>
        </is>
      </c>
      <c r="M19" s="11" t="n">
        <v>2</v>
      </c>
      <c r="N19" s="11" t="inlineStr">
        <is>
          <t>Rak</t>
        </is>
      </c>
      <c r="O19" s="12">
        <f>IF(L19="","",IFERROR(INDEX(DAFTAR_FIXTURE!$B$2:$B$51,MATCH(L19,DAFTAR_FIXTURE!$A$2:$A$51,0)),""))</f>
        <v/>
      </c>
      <c r="P19" s="12">
        <f>IF(OR(O19="",M19=""),"",IFERROR(INDEX(LAYOUT!$D$2:$D$34,MATCH(O19&amp;"|"&amp;M19,LAYOUT!$E$2:$E$34,0)),"zona tidak ada di layout"))</f>
        <v/>
      </c>
      <c r="Q19" s="12">
        <f>IF(OR(L19="",D19=""),"",COUNTIFS($L$2:$L$500,L19,$M$2:$M$500,M19,$D$2:$D$500,"&lt;&gt;"))</f>
        <v/>
      </c>
      <c r="R19" s="12">
        <f>IF(AND(D19="",L19=""),"",IF(L19="","Belum ditempatkan",IF(O19="","CEK ID FIXTURE tidak ada di DAFTAR_FIXTURE",IF(M19="","CEK ZONA NO kosong",IF(P19="zona tidak ada di layout","CEK ZONA NO di luar layout",IF(N19&lt;&gt;P19,"CEK JENIS ZONA",IF(D19="","Zona STOCK",IF(E19="","CEK SKU DESCRIPTION kosong","OK"))))))))</f>
        <v/>
      </c>
    </row>
    <row r="20">
      <c r="A20" s="10" t="inlineStr">
        <is>
          <t>Homeware</t>
        </is>
      </c>
      <c r="B20" s="10" t="inlineStr">
        <is>
          <t>Tableware</t>
        </is>
      </c>
      <c r="C20" s="10" t="inlineStr">
        <is>
          <t>Serving Set</t>
        </is>
      </c>
      <c r="D20" s="10" t="inlineStr">
        <is>
          <t>10470030</t>
        </is>
      </c>
      <c r="E20" s="10" t="inlineStr">
        <is>
          <t>SERVING SET RND DETACHABLE MARBLE (2)</t>
        </is>
      </c>
      <c r="F20" s="10" t="n"/>
      <c r="G20" s="10" t="inlineStr">
        <is>
          <t>MAKAN</t>
        </is>
      </c>
      <c r="H20" s="10" t="inlineStr">
        <is>
          <t>A2. SERVINGWARE</t>
        </is>
      </c>
      <c r="I20" s="10" t="inlineStr">
        <is>
          <t>SERVING SET MARBLE</t>
        </is>
      </c>
      <c r="J20" s="10" t="n"/>
      <c r="K20" s="10" t="n"/>
      <c r="L20" s="11" t="inlineStr">
        <is>
          <t>WLL-02</t>
        </is>
      </c>
      <c r="M20" s="11" t="n">
        <v>3</v>
      </c>
      <c r="N20" s="11" t="inlineStr">
        <is>
          <t>Rak</t>
        </is>
      </c>
      <c r="O20" s="12">
        <f>IF(L20="","",IFERROR(INDEX(DAFTAR_FIXTURE!$B$2:$B$51,MATCH(L20,DAFTAR_FIXTURE!$A$2:$A$51,0)),""))</f>
        <v/>
      </c>
      <c r="P20" s="12">
        <f>IF(OR(O20="",M20=""),"",IFERROR(INDEX(LAYOUT!$D$2:$D$34,MATCH(O20&amp;"|"&amp;M20,LAYOUT!$E$2:$E$34,0)),"zona tidak ada di layout"))</f>
        <v/>
      </c>
      <c r="Q20" s="12">
        <f>IF(OR(L20="",D20=""),"",COUNTIFS($L$2:$L$500,L20,$M$2:$M$500,M20,$D$2:$D$500,"&lt;&gt;"))</f>
        <v/>
      </c>
      <c r="R20" s="12">
        <f>IF(AND(D20="",L20=""),"",IF(L20="","Belum ditempatkan",IF(O20="","CEK ID FIXTURE tidak ada di DAFTAR_FIXTURE",IF(M20="","CEK ZONA NO kosong",IF(P20="zona tidak ada di layout","CEK ZONA NO di luar layout",IF(N20&lt;&gt;P20,"CEK JENIS ZONA",IF(D20="","Zona STOCK",IF(E20="","CEK SKU DESCRIPTION kosong","OK"))))))))</f>
        <v/>
      </c>
    </row>
    <row r="21">
      <c r="A21" s="10" t="inlineStr">
        <is>
          <t>Homeware</t>
        </is>
      </c>
      <c r="B21" s="10" t="inlineStr">
        <is>
          <t>Tableware</t>
        </is>
      </c>
      <c r="C21" s="10" t="inlineStr">
        <is>
          <t>Serving Set</t>
        </is>
      </c>
      <c r="D21" s="10" t="inlineStr">
        <is>
          <t>10470031</t>
        </is>
      </c>
      <c r="E21" s="10" t="inlineStr">
        <is>
          <t>SERVING SET W/RACK SQR MARBLE BLACK (3)</t>
        </is>
      </c>
      <c r="F21" s="10" t="n"/>
      <c r="G21" s="10" t="inlineStr">
        <is>
          <t>MAKAN</t>
        </is>
      </c>
      <c r="H21" s="10" t="inlineStr">
        <is>
          <t>A2. SERVINGWARE</t>
        </is>
      </c>
      <c r="I21" s="10" t="inlineStr">
        <is>
          <t>SERVING SET MARBLE</t>
        </is>
      </c>
      <c r="J21" s="10" t="n"/>
      <c r="K21" s="10" t="n"/>
      <c r="L21" s="11" t="inlineStr">
        <is>
          <t>WLL-02</t>
        </is>
      </c>
      <c r="M21" s="11" t="n">
        <v>3</v>
      </c>
      <c r="N21" s="11" t="inlineStr">
        <is>
          <t>Rak</t>
        </is>
      </c>
      <c r="O21" s="12">
        <f>IF(L21="","",IFERROR(INDEX(DAFTAR_FIXTURE!$B$2:$B$51,MATCH(L21,DAFTAR_FIXTURE!$A$2:$A$51,0)),""))</f>
        <v/>
      </c>
      <c r="P21" s="12">
        <f>IF(OR(O21="",M21=""),"",IFERROR(INDEX(LAYOUT!$D$2:$D$34,MATCH(O21&amp;"|"&amp;M21,LAYOUT!$E$2:$E$34,0)),"zona tidak ada di layout"))</f>
        <v/>
      </c>
      <c r="Q21" s="12">
        <f>IF(OR(L21="",D21=""),"",COUNTIFS($L$2:$L$500,L21,$M$2:$M$500,M21,$D$2:$D$500,"&lt;&gt;"))</f>
        <v/>
      </c>
      <c r="R21" s="12">
        <f>IF(AND(D21="",L21=""),"",IF(L21="","Belum ditempatkan",IF(O21="","CEK ID FIXTURE tidak ada di DAFTAR_FIXTURE",IF(M21="","CEK ZONA NO kosong",IF(P21="zona tidak ada di layout","CEK ZONA NO di luar layout",IF(N21&lt;&gt;P21,"CEK JENIS ZONA",IF(D21="","Zona STOCK",IF(E21="","CEK SKU DESCRIPTION kosong","OK"))))))))</f>
        <v/>
      </c>
    </row>
    <row r="22">
      <c r="A22" s="10" t="inlineStr">
        <is>
          <t>Homeware</t>
        </is>
      </c>
      <c r="B22" s="10" t="inlineStr">
        <is>
          <t>Tableware</t>
        </is>
      </c>
      <c r="C22" s="10" t="inlineStr">
        <is>
          <t>Serving Set</t>
        </is>
      </c>
      <c r="D22" s="10" t="inlineStr">
        <is>
          <t>10470032</t>
        </is>
      </c>
      <c r="E22" s="10" t="inlineStr">
        <is>
          <t>SERVING SET W/RACK STACK WHITE (3)</t>
        </is>
      </c>
      <c r="F22" s="10" t="n"/>
      <c r="G22" s="10" t="inlineStr">
        <is>
          <t>MAKAN</t>
        </is>
      </c>
      <c r="H22" s="10" t="inlineStr">
        <is>
          <t>A2. SERVINGWARE</t>
        </is>
      </c>
      <c r="I22" s="10" t="inlineStr">
        <is>
          <t>SERVING SET MARBLE</t>
        </is>
      </c>
      <c r="J22" s="10" t="n"/>
      <c r="K22" s="10" t="n"/>
      <c r="L22" s="11" t="inlineStr">
        <is>
          <t>WLL-02</t>
        </is>
      </c>
      <c r="M22" s="11" t="n">
        <v>3</v>
      </c>
      <c r="N22" s="11" t="inlineStr">
        <is>
          <t>Rak</t>
        </is>
      </c>
      <c r="O22" s="12">
        <f>IF(L22="","",IFERROR(INDEX(DAFTAR_FIXTURE!$B$2:$B$51,MATCH(L22,DAFTAR_FIXTURE!$A$2:$A$51,0)),""))</f>
        <v/>
      </c>
      <c r="P22" s="12">
        <f>IF(OR(O22="",M22=""),"",IFERROR(INDEX(LAYOUT!$D$2:$D$34,MATCH(O22&amp;"|"&amp;M22,LAYOUT!$E$2:$E$34,0)),"zona tidak ada di layout"))</f>
        <v/>
      </c>
      <c r="Q22" s="12">
        <f>IF(OR(L22="",D22=""),"",COUNTIFS($L$2:$L$500,L22,$M$2:$M$500,M22,$D$2:$D$500,"&lt;&gt;"))</f>
        <v/>
      </c>
      <c r="R22" s="12">
        <f>IF(AND(D22="",L22=""),"",IF(L22="","Belum ditempatkan",IF(O22="","CEK ID FIXTURE tidak ada di DAFTAR_FIXTURE",IF(M22="","CEK ZONA NO kosong",IF(P22="zona tidak ada di layout","CEK ZONA NO di luar layout",IF(N22&lt;&gt;P22,"CEK JENIS ZONA",IF(D22="","Zona STOCK",IF(E22="","CEK SKU DESCRIPTION kosong","OK"))))))))</f>
        <v/>
      </c>
    </row>
    <row r="23">
      <c r="A23" s="10" t="inlineStr">
        <is>
          <t>Homeware</t>
        </is>
      </c>
      <c r="B23" s="10" t="inlineStr">
        <is>
          <t>Tableware</t>
        </is>
      </c>
      <c r="C23" s="10" t="inlineStr">
        <is>
          <t>Serving Set</t>
        </is>
      </c>
      <c r="D23" s="10" t="inlineStr">
        <is>
          <t>10470033</t>
        </is>
      </c>
      <c r="E23" s="10" t="inlineStr">
        <is>
          <t>SERVING SET W/RACK CIRCLE BLACK (3)</t>
        </is>
      </c>
      <c r="F23" s="10" t="n"/>
      <c r="G23" s="10" t="inlineStr">
        <is>
          <t>MAKAN</t>
        </is>
      </c>
      <c r="H23" s="10" t="inlineStr">
        <is>
          <t>A2. SERVINGWARE</t>
        </is>
      </c>
      <c r="I23" s="10" t="inlineStr">
        <is>
          <t>SERVING SET MARBLE</t>
        </is>
      </c>
      <c r="J23" s="10" t="n"/>
      <c r="K23" s="10" t="n"/>
      <c r="L23" s="11" t="inlineStr">
        <is>
          <t>WLL-02</t>
        </is>
      </c>
      <c r="M23" s="11" t="n">
        <v>3</v>
      </c>
      <c r="N23" s="11" t="inlineStr">
        <is>
          <t>Rak</t>
        </is>
      </c>
      <c r="O23" s="12">
        <f>IF(L23="","",IFERROR(INDEX(DAFTAR_FIXTURE!$B$2:$B$51,MATCH(L23,DAFTAR_FIXTURE!$A$2:$A$51,0)),""))</f>
        <v/>
      </c>
      <c r="P23" s="12">
        <f>IF(OR(O23="",M23=""),"",IFERROR(INDEX(LAYOUT!$D$2:$D$34,MATCH(O23&amp;"|"&amp;M23,LAYOUT!$E$2:$E$34,0)),"zona tidak ada di layout"))</f>
        <v/>
      </c>
      <c r="Q23" s="12">
        <f>IF(OR(L23="",D23=""),"",COUNTIFS($L$2:$L$500,L23,$M$2:$M$500,M23,$D$2:$D$500,"&lt;&gt;"))</f>
        <v/>
      </c>
      <c r="R23" s="12">
        <f>IF(AND(D23="",L23=""),"",IF(L23="","Belum ditempatkan",IF(O23="","CEK ID FIXTURE tidak ada di DAFTAR_FIXTURE",IF(M23="","CEK ZONA NO kosong",IF(P23="zona tidak ada di layout","CEK ZONA NO di luar layout",IF(N23&lt;&gt;P23,"CEK JENIS ZONA",IF(D23="","Zona STOCK",IF(E23="","CEK SKU DESCRIPTION kosong","OK"))))))))</f>
        <v/>
      </c>
    </row>
    <row r="24">
      <c r="A24" s="10" t="inlineStr">
        <is>
          <t>Homeware</t>
        </is>
      </c>
      <c r="B24" s="10" t="inlineStr">
        <is>
          <t>Cookware</t>
        </is>
      </c>
      <c r="C24" s="10" t="inlineStr">
        <is>
          <t>Casserole</t>
        </is>
      </c>
      <c r="D24" s="10" t="inlineStr">
        <is>
          <t>10606307</t>
        </is>
      </c>
      <c r="E24" s="10" t="inlineStr">
        <is>
          <t>CASSEROLE RECT MARBLE W/RACK WHT 38CM</t>
        </is>
      </c>
      <c r="F24" s="10" t="n"/>
      <c r="G24" s="10" t="inlineStr">
        <is>
          <t>MASAK</t>
        </is>
      </c>
      <c r="H24" s="10" t="inlineStr">
        <is>
          <t>B1. CASSEROLE</t>
        </is>
      </c>
      <c r="I24" s="10" t="inlineStr">
        <is>
          <t>MARBLE W/RACK</t>
        </is>
      </c>
      <c r="J24" s="10" t="n"/>
      <c r="K24" s="10" t="n"/>
      <c r="L24" s="11" t="inlineStr">
        <is>
          <t>WLL-02</t>
        </is>
      </c>
      <c r="M24" s="11" t="n">
        <v>3</v>
      </c>
      <c r="N24" s="11" t="inlineStr">
        <is>
          <t>Rak</t>
        </is>
      </c>
      <c r="O24" s="12">
        <f>IF(L24="","",IFERROR(INDEX(DAFTAR_FIXTURE!$B$2:$B$51,MATCH(L24,DAFTAR_FIXTURE!$A$2:$A$51,0)),""))</f>
        <v/>
      </c>
      <c r="P24" s="12">
        <f>IF(OR(O24="",M24=""),"",IFERROR(INDEX(LAYOUT!$D$2:$D$34,MATCH(O24&amp;"|"&amp;M24,LAYOUT!$E$2:$E$34,0)),"zona tidak ada di layout"))</f>
        <v/>
      </c>
      <c r="Q24" s="12">
        <f>IF(OR(L24="",D24=""),"",COUNTIFS($L$2:$L$500,L24,$M$2:$M$500,M24,$D$2:$D$500,"&lt;&gt;"))</f>
        <v/>
      </c>
      <c r="R24" s="12">
        <f>IF(AND(D24="",L24=""),"",IF(L24="","Belum ditempatkan",IF(O24="","CEK ID FIXTURE tidak ada di DAFTAR_FIXTURE",IF(M24="","CEK ZONA NO kosong",IF(P24="zona tidak ada di layout","CEK ZONA NO di luar layout",IF(N24&lt;&gt;P24,"CEK JENIS ZONA",IF(D24="","Zona STOCK",IF(E24="","CEK SKU DESCRIPTION kosong","OK"))))))))</f>
        <v/>
      </c>
    </row>
    <row r="25">
      <c r="A25" s="10" t="inlineStr">
        <is>
          <t>Homeware</t>
        </is>
      </c>
      <c r="B25" s="10" t="inlineStr">
        <is>
          <t>Tableware</t>
        </is>
      </c>
      <c r="C25" s="10" t="inlineStr">
        <is>
          <t>Serving Set</t>
        </is>
      </c>
      <c r="D25" s="10" t="inlineStr">
        <is>
          <t>10681571</t>
        </is>
      </c>
      <c r="E25" s="10" t="inlineStr">
        <is>
          <t>SERVING GLASS SQR PLATER ZEVY GOLD</t>
        </is>
      </c>
      <c r="F25" s="10" t="n"/>
      <c r="G25" s="10" t="inlineStr">
        <is>
          <t>MAKAN</t>
        </is>
      </c>
      <c r="H25" s="10" t="inlineStr">
        <is>
          <t>A2. SERVINGWARE</t>
        </is>
      </c>
      <c r="I25" s="10" t="inlineStr">
        <is>
          <t>W/GOLD RACK GLASS</t>
        </is>
      </c>
      <c r="J25" s="10" t="n"/>
      <c r="K25" s="10" t="n"/>
      <c r="L25" s="11" t="inlineStr">
        <is>
          <t>WLL-02</t>
        </is>
      </c>
      <c r="M25" s="11" t="n">
        <v>4</v>
      </c>
      <c r="N25" s="11" t="inlineStr">
        <is>
          <t>Rak</t>
        </is>
      </c>
      <c r="O25" s="12">
        <f>IF(L25="","",IFERROR(INDEX(DAFTAR_FIXTURE!$B$2:$B$51,MATCH(L25,DAFTAR_FIXTURE!$A$2:$A$51,0)),""))</f>
        <v/>
      </c>
      <c r="P25" s="12">
        <f>IF(OR(O25="",M25=""),"",IFERROR(INDEX(LAYOUT!$D$2:$D$34,MATCH(O25&amp;"|"&amp;M25,LAYOUT!$E$2:$E$34,0)),"zona tidak ada di layout"))</f>
        <v/>
      </c>
      <c r="Q25" s="12">
        <f>IF(OR(L25="",D25=""),"",COUNTIFS($L$2:$L$500,L25,$M$2:$M$500,M25,$D$2:$D$500,"&lt;&gt;"))</f>
        <v/>
      </c>
      <c r="R25" s="12">
        <f>IF(AND(D25="",L25=""),"",IF(L25="","Belum ditempatkan",IF(O25="","CEK ID FIXTURE tidak ada di DAFTAR_FIXTURE",IF(M25="","CEK ZONA NO kosong",IF(P25="zona tidak ada di layout","CEK ZONA NO di luar layout",IF(N25&lt;&gt;P25,"CEK JENIS ZONA",IF(D25="","Zona STOCK",IF(E25="","CEK SKU DESCRIPTION kosong","OK"))))))))</f>
        <v/>
      </c>
    </row>
    <row r="26">
      <c r="A26" s="10" t="inlineStr">
        <is>
          <t>Homeware</t>
        </is>
      </c>
      <c r="B26" s="10" t="inlineStr">
        <is>
          <t>Cookware</t>
        </is>
      </c>
      <c r="C26" s="10" t="inlineStr">
        <is>
          <t>Pots &amp; Pans</t>
        </is>
      </c>
      <c r="D26" s="10" t="inlineStr">
        <is>
          <t>10421603</t>
        </is>
      </c>
      <c r="E26" s="10" t="inlineStr">
        <is>
          <t>KINGSTON SAUCEPAN WITH LID 16CM GREEN</t>
        </is>
      </c>
      <c r="F26" s="10" t="n"/>
      <c r="G26" s="10" t="inlineStr">
        <is>
          <t>MASAK</t>
        </is>
      </c>
      <c r="H26" s="10" t="inlineStr">
        <is>
          <t>B2. COOKWARE</t>
        </is>
      </c>
      <c r="I26" s="10" t="inlineStr">
        <is>
          <t>KINGSTON</t>
        </is>
      </c>
      <c r="J26" s="10" t="n"/>
      <c r="K26" s="10" t="n"/>
      <c r="L26" s="11" t="inlineStr">
        <is>
          <t>WLL-03</t>
        </is>
      </c>
      <c r="M26" s="11" t="n">
        <v>1</v>
      </c>
      <c r="N26" s="11" t="inlineStr">
        <is>
          <t>Gantungan</t>
        </is>
      </c>
      <c r="O26" s="12">
        <f>IF(L26="","",IFERROR(INDEX(DAFTAR_FIXTURE!$B$2:$B$51,MATCH(L26,DAFTAR_FIXTURE!$A$2:$A$51,0)),""))</f>
        <v/>
      </c>
      <c r="P26" s="12">
        <f>IF(OR(O26="",M26=""),"",IFERROR(INDEX(LAYOUT!$D$2:$D$34,MATCH(O26&amp;"|"&amp;M26,LAYOUT!$E$2:$E$34,0)),"zona tidak ada di layout"))</f>
        <v/>
      </c>
      <c r="Q26" s="12">
        <f>IF(OR(L26="",D26=""),"",COUNTIFS($L$2:$L$500,L26,$M$2:$M$500,M26,$D$2:$D$500,"&lt;&gt;"))</f>
        <v/>
      </c>
      <c r="R26" s="12">
        <f>IF(AND(D26="",L26=""),"",IF(L26="","Belum ditempatkan",IF(O26="","CEK ID FIXTURE tidak ada di DAFTAR_FIXTURE",IF(M26="","CEK ZONA NO kosong",IF(P26="zona tidak ada di layout","CEK ZONA NO di luar layout",IF(N26&lt;&gt;P26,"CEK JENIS ZONA",IF(D26="","Zona STOCK",IF(E26="","CEK SKU DESCRIPTION kosong","OK"))))))))</f>
        <v/>
      </c>
    </row>
    <row r="27">
      <c r="A27" s="10" t="inlineStr">
        <is>
          <t>Homeware</t>
        </is>
      </c>
      <c r="B27" s="10" t="inlineStr">
        <is>
          <t>Cookware</t>
        </is>
      </c>
      <c r="C27" s="10" t="inlineStr">
        <is>
          <t>Pots &amp; Pans</t>
        </is>
      </c>
      <c r="D27" s="10" t="inlineStr">
        <is>
          <t>10421608</t>
        </is>
      </c>
      <c r="E27" s="10" t="inlineStr">
        <is>
          <t>KINGSTON CASSEROLE WITH LID 20 CM GREEN</t>
        </is>
      </c>
      <c r="F27" s="10" t="n"/>
      <c r="G27" s="10" t="inlineStr">
        <is>
          <t>MASAK</t>
        </is>
      </c>
      <c r="H27" s="10" t="inlineStr">
        <is>
          <t>B2. COOKWARE</t>
        </is>
      </c>
      <c r="I27" s="10" t="inlineStr">
        <is>
          <t>KINGSTON</t>
        </is>
      </c>
      <c r="J27" s="10" t="n"/>
      <c r="K27" s="10" t="n"/>
      <c r="L27" s="11" t="inlineStr">
        <is>
          <t>WLL-03</t>
        </is>
      </c>
      <c r="M27" s="11" t="n">
        <v>1</v>
      </c>
      <c r="N27" s="11" t="inlineStr">
        <is>
          <t>Gantungan</t>
        </is>
      </c>
      <c r="O27" s="12">
        <f>IF(L27="","",IFERROR(INDEX(DAFTAR_FIXTURE!$B$2:$B$51,MATCH(L27,DAFTAR_FIXTURE!$A$2:$A$51,0)),""))</f>
        <v/>
      </c>
      <c r="P27" s="12">
        <f>IF(OR(O27="",M27=""),"",IFERROR(INDEX(LAYOUT!$D$2:$D$34,MATCH(O27&amp;"|"&amp;M27,LAYOUT!$E$2:$E$34,0)),"zona tidak ada di layout"))</f>
        <v/>
      </c>
      <c r="Q27" s="12">
        <f>IF(OR(L27="",D27=""),"",COUNTIFS($L$2:$L$500,L27,$M$2:$M$500,M27,$D$2:$D$500,"&lt;&gt;"))</f>
        <v/>
      </c>
      <c r="R27" s="12">
        <f>IF(AND(D27="",L27=""),"",IF(L27="","Belum ditempatkan",IF(O27="","CEK ID FIXTURE tidak ada di DAFTAR_FIXTURE",IF(M27="","CEK ZONA NO kosong",IF(P27="zona tidak ada di layout","CEK ZONA NO di luar layout",IF(N27&lt;&gt;P27,"CEK JENIS ZONA",IF(D27="","Zona STOCK",IF(E27="","CEK SKU DESCRIPTION kosong","OK"))))))))</f>
        <v/>
      </c>
    </row>
    <row r="28">
      <c r="A28" s="10" t="inlineStr">
        <is>
          <t>Homeware</t>
        </is>
      </c>
      <c r="B28" s="10" t="inlineStr">
        <is>
          <t>Cookware</t>
        </is>
      </c>
      <c r="C28" s="10" t="inlineStr">
        <is>
          <t>Pots &amp; Pans</t>
        </is>
      </c>
      <c r="D28" s="10" t="inlineStr">
        <is>
          <t>10421610</t>
        </is>
      </c>
      <c r="E28" s="10" t="inlineStr">
        <is>
          <t>KINGSTON GRILL PAN 24CM GREEN</t>
        </is>
      </c>
      <c r="F28" s="10" t="n"/>
      <c r="G28" s="10" t="inlineStr">
        <is>
          <t>MASAK</t>
        </is>
      </c>
      <c r="H28" s="10" t="inlineStr">
        <is>
          <t>B2. COOKWARE</t>
        </is>
      </c>
      <c r="I28" s="10" t="inlineStr">
        <is>
          <t>KINGSTON</t>
        </is>
      </c>
      <c r="J28" s="10" t="n"/>
      <c r="K28" s="10" t="n"/>
      <c r="L28" s="11" t="inlineStr">
        <is>
          <t>WLL-03</t>
        </is>
      </c>
      <c r="M28" s="11" t="n">
        <v>1</v>
      </c>
      <c r="N28" s="11" t="inlineStr">
        <is>
          <t>Gantungan</t>
        </is>
      </c>
      <c r="O28" s="12">
        <f>IF(L28="","",IFERROR(INDEX(DAFTAR_FIXTURE!$B$2:$B$51,MATCH(L28,DAFTAR_FIXTURE!$A$2:$A$51,0)),""))</f>
        <v/>
      </c>
      <c r="P28" s="12">
        <f>IF(OR(O28="",M28=""),"",IFERROR(INDEX(LAYOUT!$D$2:$D$34,MATCH(O28&amp;"|"&amp;M28,LAYOUT!$E$2:$E$34,0)),"zona tidak ada di layout"))</f>
        <v/>
      </c>
      <c r="Q28" s="12">
        <f>IF(OR(L28="",D28=""),"",COUNTIFS($L$2:$L$500,L28,$M$2:$M$500,M28,$D$2:$D$500,"&lt;&gt;"))</f>
        <v/>
      </c>
      <c r="R28" s="12">
        <f>IF(AND(D28="",L28=""),"",IF(L28="","Belum ditempatkan",IF(O28="","CEK ID FIXTURE tidak ada di DAFTAR_FIXTURE",IF(M28="","CEK ZONA NO kosong",IF(P28="zona tidak ada di layout","CEK ZONA NO di luar layout",IF(N28&lt;&gt;P28,"CEK JENIS ZONA",IF(D28="","Zona STOCK",IF(E28="","CEK SKU DESCRIPTION kosong","OK"))))))))</f>
        <v/>
      </c>
    </row>
    <row r="29">
      <c r="A29" s="10" t="inlineStr">
        <is>
          <t>Homeware</t>
        </is>
      </c>
      <c r="B29" s="10" t="inlineStr">
        <is>
          <t>Cookware</t>
        </is>
      </c>
      <c r="C29" s="10" t="inlineStr">
        <is>
          <t>Pots &amp; Pans</t>
        </is>
      </c>
      <c r="D29" s="10" t="inlineStr">
        <is>
          <t>10421614</t>
        </is>
      </c>
      <c r="E29" s="10" t="inlineStr">
        <is>
          <t>KIRA WOK 2 HANDLE W LID AND UTENSIL BRN</t>
        </is>
      </c>
      <c r="F29" s="10" t="n"/>
      <c r="G29" s="10" t="inlineStr">
        <is>
          <t>MASAK</t>
        </is>
      </c>
      <c r="H29" s="10" t="inlineStr">
        <is>
          <t>B2. COOKWARE</t>
        </is>
      </c>
      <c r="I29" s="10" t="inlineStr">
        <is>
          <t>KIRA</t>
        </is>
      </c>
      <c r="J29" s="10" t="n"/>
      <c r="K29" s="10" t="n"/>
      <c r="L29" s="11" t="inlineStr">
        <is>
          <t>WLL-03</t>
        </is>
      </c>
      <c r="M29" s="11" t="n">
        <v>1</v>
      </c>
      <c r="N29" s="11" t="inlineStr">
        <is>
          <t>Gantungan</t>
        </is>
      </c>
      <c r="O29" s="12">
        <f>IF(L29="","",IFERROR(INDEX(DAFTAR_FIXTURE!$B$2:$B$51,MATCH(L29,DAFTAR_FIXTURE!$A$2:$A$51,0)),""))</f>
        <v/>
      </c>
      <c r="P29" s="12">
        <f>IF(OR(O29="",M29=""),"",IFERROR(INDEX(LAYOUT!$D$2:$D$34,MATCH(O29&amp;"|"&amp;M29,LAYOUT!$E$2:$E$34,0)),"zona tidak ada di layout"))</f>
        <v/>
      </c>
      <c r="Q29" s="12">
        <f>IF(OR(L29="",D29=""),"",COUNTIFS($L$2:$L$500,L29,$M$2:$M$500,M29,$D$2:$D$500,"&lt;&gt;"))</f>
        <v/>
      </c>
      <c r="R29" s="12">
        <f>IF(AND(D29="",L29=""),"",IF(L29="","Belum ditempatkan",IF(O29="","CEK ID FIXTURE tidak ada di DAFTAR_FIXTURE",IF(M29="","CEK ZONA NO kosong",IF(P29="zona tidak ada di layout","CEK ZONA NO di luar layout",IF(N29&lt;&gt;P29,"CEK JENIS ZONA",IF(D29="","Zona STOCK",IF(E29="","CEK SKU DESCRIPTION kosong","OK"))))))))</f>
        <v/>
      </c>
    </row>
    <row r="30">
      <c r="A30" s="10" t="inlineStr">
        <is>
          <t>Homeware</t>
        </is>
      </c>
      <c r="B30" s="10" t="inlineStr">
        <is>
          <t>Cookware</t>
        </is>
      </c>
      <c r="C30" s="10" t="inlineStr">
        <is>
          <t>Pots &amp; Pans</t>
        </is>
      </c>
      <c r="D30" s="10" t="inlineStr">
        <is>
          <t>10421603</t>
        </is>
      </c>
      <c r="E30" s="10" t="inlineStr">
        <is>
          <t>KINGSTON SAUCEPAN WITH LID 16CM GREEN</t>
        </is>
      </c>
      <c r="F30" s="10" t="n"/>
      <c r="G30" s="10" t="inlineStr">
        <is>
          <t>MASAK</t>
        </is>
      </c>
      <c r="H30" s="10" t="inlineStr">
        <is>
          <t>B2. COOKWARE</t>
        </is>
      </c>
      <c r="I30" s="10" t="inlineStr">
        <is>
          <t>KINGSTON</t>
        </is>
      </c>
      <c r="J30" s="10" t="n"/>
      <c r="K30" s="10" t="n"/>
      <c r="L30" s="11" t="inlineStr">
        <is>
          <t>WLL-03</t>
        </is>
      </c>
      <c r="M30" s="11" t="n">
        <v>2</v>
      </c>
      <c r="N30" s="11" t="inlineStr">
        <is>
          <t>Gantungan</t>
        </is>
      </c>
      <c r="O30" s="12">
        <f>IF(L30="","",IFERROR(INDEX(DAFTAR_FIXTURE!$B$2:$B$51,MATCH(L30,DAFTAR_FIXTURE!$A$2:$A$51,0)),""))</f>
        <v/>
      </c>
      <c r="P30" s="12">
        <f>IF(OR(O30="",M30=""),"",IFERROR(INDEX(LAYOUT!$D$2:$D$34,MATCH(O30&amp;"|"&amp;M30,LAYOUT!$E$2:$E$34,0)),"zona tidak ada di layout"))</f>
        <v/>
      </c>
      <c r="Q30" s="12">
        <f>IF(OR(L30="",D30=""),"",COUNTIFS($L$2:$L$500,L30,$M$2:$M$500,M30,$D$2:$D$500,"&lt;&gt;"))</f>
        <v/>
      </c>
      <c r="R30" s="12">
        <f>IF(AND(D30="",L30=""),"",IF(L30="","Belum ditempatkan",IF(O30="","CEK ID FIXTURE tidak ada di DAFTAR_FIXTURE",IF(M30="","CEK ZONA NO kosong",IF(P30="zona tidak ada di layout","CEK ZONA NO di luar layout",IF(N30&lt;&gt;P30,"CEK JENIS ZONA",IF(D30="","Zona STOCK",IF(E30="","CEK SKU DESCRIPTION kosong","OK"))))))))</f>
        <v/>
      </c>
    </row>
    <row r="31">
      <c r="A31" s="10" t="inlineStr">
        <is>
          <t>Homeware</t>
        </is>
      </c>
      <c r="B31" s="10" t="inlineStr">
        <is>
          <t>Cookware</t>
        </is>
      </c>
      <c r="C31" s="10" t="inlineStr">
        <is>
          <t>Pots &amp; Pans</t>
        </is>
      </c>
      <c r="D31" s="10" t="inlineStr">
        <is>
          <t>10421608</t>
        </is>
      </c>
      <c r="E31" s="10" t="inlineStr">
        <is>
          <t>KINGSTON CASSEROLE WITH LID 20 CM GREEN</t>
        </is>
      </c>
      <c r="F31" s="10" t="n"/>
      <c r="G31" s="10" t="inlineStr">
        <is>
          <t>MASAK</t>
        </is>
      </c>
      <c r="H31" s="10" t="inlineStr">
        <is>
          <t>B2. COOKWARE</t>
        </is>
      </c>
      <c r="I31" s="10" t="inlineStr">
        <is>
          <t>KINGSTON</t>
        </is>
      </c>
      <c r="J31" s="10" t="n"/>
      <c r="K31" s="10" t="n"/>
      <c r="L31" s="11" t="inlineStr">
        <is>
          <t>WLL-03</t>
        </is>
      </c>
      <c r="M31" s="11" t="n">
        <v>2</v>
      </c>
      <c r="N31" s="11" t="inlineStr">
        <is>
          <t>Gantungan</t>
        </is>
      </c>
      <c r="O31" s="12">
        <f>IF(L31="","",IFERROR(INDEX(DAFTAR_FIXTURE!$B$2:$B$51,MATCH(L31,DAFTAR_FIXTURE!$A$2:$A$51,0)),""))</f>
        <v/>
      </c>
      <c r="P31" s="12">
        <f>IF(OR(O31="",M31=""),"",IFERROR(INDEX(LAYOUT!$D$2:$D$34,MATCH(O31&amp;"|"&amp;M31,LAYOUT!$E$2:$E$34,0)),"zona tidak ada di layout"))</f>
        <v/>
      </c>
      <c r="Q31" s="12">
        <f>IF(OR(L31="",D31=""),"",COUNTIFS($L$2:$L$500,L31,$M$2:$M$500,M31,$D$2:$D$500,"&lt;&gt;"))</f>
        <v/>
      </c>
      <c r="R31" s="12">
        <f>IF(AND(D31="",L31=""),"",IF(L31="","Belum ditempatkan",IF(O31="","CEK ID FIXTURE tidak ada di DAFTAR_FIXTURE",IF(M31="","CEK ZONA NO kosong",IF(P31="zona tidak ada di layout","CEK ZONA NO di luar layout",IF(N31&lt;&gt;P31,"CEK JENIS ZONA",IF(D31="","Zona STOCK",IF(E31="","CEK SKU DESCRIPTION kosong","OK"))))))))</f>
        <v/>
      </c>
    </row>
    <row r="32">
      <c r="A32" s="10" t="inlineStr">
        <is>
          <t>Homeware</t>
        </is>
      </c>
      <c r="B32" s="10" t="inlineStr">
        <is>
          <t>Cookware</t>
        </is>
      </c>
      <c r="C32" s="10" t="inlineStr">
        <is>
          <t>Pots &amp; Pans</t>
        </is>
      </c>
      <c r="D32" s="10" t="inlineStr">
        <is>
          <t>10421610</t>
        </is>
      </c>
      <c r="E32" s="10" t="inlineStr">
        <is>
          <t>KINGSTON GRILL PAN 24CM GREEN</t>
        </is>
      </c>
      <c r="F32" s="10" t="n"/>
      <c r="G32" s="10" t="inlineStr">
        <is>
          <t>MASAK</t>
        </is>
      </c>
      <c r="H32" s="10" t="inlineStr">
        <is>
          <t>B2. COOKWARE</t>
        </is>
      </c>
      <c r="I32" s="10" t="inlineStr">
        <is>
          <t>KINGSTON</t>
        </is>
      </c>
      <c r="J32" s="10" t="n"/>
      <c r="K32" s="10" t="n"/>
      <c r="L32" s="11" t="inlineStr">
        <is>
          <t>WLL-03</t>
        </is>
      </c>
      <c r="M32" s="11" t="n">
        <v>2</v>
      </c>
      <c r="N32" s="11" t="inlineStr">
        <is>
          <t>Gantungan</t>
        </is>
      </c>
      <c r="O32" s="12">
        <f>IF(L32="","",IFERROR(INDEX(DAFTAR_FIXTURE!$B$2:$B$51,MATCH(L32,DAFTAR_FIXTURE!$A$2:$A$51,0)),""))</f>
        <v/>
      </c>
      <c r="P32" s="12">
        <f>IF(OR(O32="",M32=""),"",IFERROR(INDEX(LAYOUT!$D$2:$D$34,MATCH(O32&amp;"|"&amp;M32,LAYOUT!$E$2:$E$34,0)),"zona tidak ada di layout"))</f>
        <v/>
      </c>
      <c r="Q32" s="12">
        <f>IF(OR(L32="",D32=""),"",COUNTIFS($L$2:$L$500,L32,$M$2:$M$500,M32,$D$2:$D$500,"&lt;&gt;"))</f>
        <v/>
      </c>
      <c r="R32" s="12">
        <f>IF(AND(D32="",L32=""),"",IF(L32="","Belum ditempatkan",IF(O32="","CEK ID FIXTURE tidak ada di DAFTAR_FIXTURE",IF(M32="","CEK ZONA NO kosong",IF(P32="zona tidak ada di layout","CEK ZONA NO di luar layout",IF(N32&lt;&gt;P32,"CEK JENIS ZONA",IF(D32="","Zona STOCK",IF(E32="","CEK SKU DESCRIPTION kosong","OK"))))))))</f>
        <v/>
      </c>
    </row>
    <row r="33">
      <c r="A33" s="10" t="inlineStr">
        <is>
          <t>Homeware</t>
        </is>
      </c>
      <c r="B33" s="10" t="inlineStr">
        <is>
          <t>Cookware</t>
        </is>
      </c>
      <c r="C33" s="10" t="inlineStr">
        <is>
          <t>Pots &amp; Pans</t>
        </is>
      </c>
      <c r="D33" s="10" t="inlineStr">
        <is>
          <t>10421614</t>
        </is>
      </c>
      <c r="E33" s="10" t="inlineStr">
        <is>
          <t>KIRA WOK 2 HANDLE W LID AND UTENSIL BRN</t>
        </is>
      </c>
      <c r="F33" s="10" t="n"/>
      <c r="G33" s="10" t="inlineStr">
        <is>
          <t>MASAK</t>
        </is>
      </c>
      <c r="H33" s="10" t="inlineStr">
        <is>
          <t>B2. COOKWARE</t>
        </is>
      </c>
      <c r="I33" s="10" t="inlineStr">
        <is>
          <t>KIRA</t>
        </is>
      </c>
      <c r="J33" s="10" t="n"/>
      <c r="K33" s="10" t="n"/>
      <c r="L33" s="11" t="inlineStr">
        <is>
          <t>WLL-03</t>
        </is>
      </c>
      <c r="M33" s="11" t="n">
        <v>2</v>
      </c>
      <c r="N33" s="11" t="inlineStr">
        <is>
          <t>Gantungan</t>
        </is>
      </c>
      <c r="O33" s="12">
        <f>IF(L33="","",IFERROR(INDEX(DAFTAR_FIXTURE!$B$2:$B$51,MATCH(L33,DAFTAR_FIXTURE!$A$2:$A$51,0)),""))</f>
        <v/>
      </c>
      <c r="P33" s="12">
        <f>IF(OR(O33="",M33=""),"",IFERROR(INDEX(LAYOUT!$D$2:$D$34,MATCH(O33&amp;"|"&amp;M33,LAYOUT!$E$2:$E$34,0)),"zona tidak ada di layout"))</f>
        <v/>
      </c>
      <c r="Q33" s="12">
        <f>IF(OR(L33="",D33=""),"",COUNTIFS($L$2:$L$500,L33,$M$2:$M$500,M33,$D$2:$D$500,"&lt;&gt;"))</f>
        <v/>
      </c>
      <c r="R33" s="12">
        <f>IF(AND(D33="",L33=""),"",IF(L33="","Belum ditempatkan",IF(O33="","CEK ID FIXTURE tidak ada di DAFTAR_FIXTURE",IF(M33="","CEK ZONA NO kosong",IF(P33="zona tidak ada di layout","CEK ZONA NO di luar layout",IF(N33&lt;&gt;P33,"CEK JENIS ZONA",IF(D33="","Zona STOCK",IF(E33="","CEK SKU DESCRIPTION kosong","OK"))))))))</f>
        <v/>
      </c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10198150</t>
        </is>
      </c>
      <c r="E34" s="10" t="inlineStr">
        <is>
          <t>TANTA NYLON TONGS 9 INCH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NYLON</t>
        </is>
      </c>
      <c r="J34" s="10" t="n"/>
      <c r="K34" s="10" t="n"/>
      <c r="L34" s="11" t="inlineStr">
        <is>
          <t>WLL-03</t>
        </is>
      </c>
      <c r="M34" s="11" t="n">
        <v>3</v>
      </c>
      <c r="N34" s="11" t="inlineStr">
        <is>
          <t>Rak</t>
        </is>
      </c>
      <c r="O34" s="12">
        <f>IF(L34="","",IFERROR(INDEX(DAFTAR_FIXTURE!$B$2:$B$51,MATCH(L34,DAFTAR_FIXTURE!$A$2:$A$51,0)),""))</f>
        <v/>
      </c>
      <c r="P34" s="12">
        <f>IF(OR(O34="",M34=""),"",IFERROR(INDEX(LAYOUT!$D$2:$D$34,MATCH(O34&amp;"|"&amp;M34,LAYOUT!$E$2:$E$34,0)),"zona tidak ada di layout"))</f>
        <v/>
      </c>
      <c r="Q34" s="12">
        <f>IF(OR(L34="",D34=""),"",COUNTIFS($L$2:$L$500,L34,$M$2:$M$500,M34,$D$2:$D$500,"&lt;&gt;"))</f>
        <v/>
      </c>
      <c r="R34" s="12">
        <f>IF(AND(D34="",L34=""),"",IF(L34="","Belum ditempatkan",IF(O34="","CEK ID FIXTURE tidak ada di DAFTAR_FIXTURE",IF(M34="","CEK ZONA NO kosong",IF(P34="zona tidak ada di layout","CEK ZONA NO di luar layout",IF(N34&lt;&gt;P34,"CEK JENIS ZONA",IF(D34="","Zona STOCK",IF(E34="","CEK SKU DESCRIPTION kosong","OK"))))))))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inlineStr">
        <is>
          <t>WLL-03</t>
        </is>
      </c>
      <c r="M35" s="11" t="n">
        <v>4</v>
      </c>
      <c r="N35" s="11" t="inlineStr">
        <is>
          <t>Rak</t>
        </is>
      </c>
      <c r="O35" s="12">
        <f>IF(L35="","",IFERROR(INDEX(DAFTAR_FIXTURE!$B$2:$B$51,MATCH(L35,DAFTAR_FIXTURE!$A$2:$A$51,0)),""))</f>
        <v/>
      </c>
      <c r="P35" s="12">
        <f>IF(OR(O35="",M35=""),"",IFERROR(INDEX(LAYOUT!$D$2:$D$34,MATCH(O35&amp;"|"&amp;M35,LAYOUT!$E$2:$E$34,0)),"zona tidak ada di layout"))</f>
        <v/>
      </c>
      <c r="Q35" s="12">
        <f>IF(OR(L35="",D35=""),"",COUNTIFS($L$2:$L$500,L35,$M$2:$M$500,M35,$D$2:$D$500,"&lt;&gt;"))</f>
        <v/>
      </c>
      <c r="R35" s="12">
        <f>IF(AND(D35="",L35=""),"",IF(L35="","Belum ditempatkan",IF(O35="","CEK ID FIXTURE tidak ada di DAFTAR_FIXTURE",IF(M35="","CEK ZONA NO kosong",IF(P35="zona tidak ada di layout","CEK ZONA NO di luar layout",IF(N35&lt;&gt;P35,"CEK JENIS ZONA",IF(D35="","Zona STOCK",IF(E35="","CEK SKU DESCRIPTION kosong","OK"))))))))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inlineStr">
        <is>
          <t>WLL-03</t>
        </is>
      </c>
      <c r="M36" s="11" t="n">
        <v>5</v>
      </c>
      <c r="N36" s="11" t="inlineStr">
        <is>
          <t>Rak</t>
        </is>
      </c>
      <c r="O36" s="12">
        <f>IF(L36="","",IFERROR(INDEX(DAFTAR_FIXTURE!$B$2:$B$51,MATCH(L36,DAFTAR_FIXTURE!$A$2:$A$51,0)),""))</f>
        <v/>
      </c>
      <c r="P36" s="12">
        <f>IF(OR(O36="",M36=""),"",IFERROR(INDEX(LAYOUT!$D$2:$D$34,MATCH(O36&amp;"|"&amp;M36,LAYOUT!$E$2:$E$34,0)),"zona tidak ada di layout"))</f>
        <v/>
      </c>
      <c r="Q36" s="12">
        <f>IF(OR(L36="",D36=""),"",COUNTIFS($L$2:$L$500,L36,$M$2:$M$500,M36,$D$2:$D$500,"&lt;&gt;"))</f>
        <v/>
      </c>
      <c r="R36" s="12">
        <f>IF(AND(D36="",L36=""),"",IF(L36="","Belum ditempatkan",IF(O36="","CEK ID FIXTURE tidak ada di DAFTAR_FIXTURE",IF(M36="","CEK ZONA NO kosong",IF(P36="zona tidak ada di layout","CEK ZONA NO di luar layout",IF(N36&lt;&gt;P36,"CEK JENIS ZONA",IF(D36="","Zona STOCK",IF(E36="","CEK SKU DESCRIPTION kosong","OK"))))))))</f>
        <v/>
      </c>
    </row>
    <row r="37">
      <c r="A37" s="10" t="inlineStr">
        <is>
          <t>Homeware</t>
        </is>
      </c>
      <c r="B37" s="10" t="inlineStr">
        <is>
          <t>Cookware</t>
        </is>
      </c>
      <c r="C37" s="10" t="inlineStr">
        <is>
          <t>Casserole</t>
        </is>
      </c>
      <c r="D37" s="10" t="inlineStr">
        <is>
          <t>10445959</t>
        </is>
      </c>
      <c r="E37" s="10" t="inlineStr">
        <is>
          <t>CASSEROLE RECT GOLD MARBLE W/LID 33CM</t>
        </is>
      </c>
      <c r="F37" s="10" t="n"/>
      <c r="G37" s="10" t="inlineStr">
        <is>
          <t>MASAK</t>
        </is>
      </c>
      <c r="H37" s="10" t="inlineStr">
        <is>
          <t>B1. CASSEROLE</t>
        </is>
      </c>
      <c r="I37" s="10" t="inlineStr">
        <is>
          <t>GOLD MARBLE</t>
        </is>
      </c>
      <c r="J37" s="10" t="n"/>
      <c r="K37" s="10" t="n"/>
      <c r="L37" s="11" t="inlineStr">
        <is>
          <t>GND-01</t>
        </is>
      </c>
      <c r="M37" s="11" t="n">
        <v>1</v>
      </c>
      <c r="N37" s="11" t="inlineStr">
        <is>
          <t>Rak</t>
        </is>
      </c>
      <c r="O37" s="12">
        <f>IF(L37="","",IFERROR(INDEX(DAFTAR_FIXTURE!$B$2:$B$51,MATCH(L37,DAFTAR_FIXTURE!$A$2:$A$51,0)),""))</f>
        <v/>
      </c>
      <c r="P37" s="12">
        <f>IF(OR(O37="",M37=""),"",IFERROR(INDEX(LAYOUT!$D$2:$D$34,MATCH(O37&amp;"|"&amp;M37,LAYOUT!$E$2:$E$34,0)),"zona tidak ada di layout"))</f>
        <v/>
      </c>
      <c r="Q37" s="12">
        <f>IF(OR(L37="",D37=""),"",COUNTIFS($L$2:$L$500,L37,$M$2:$M$500,M37,$D$2:$D$500,"&lt;&gt;"))</f>
        <v/>
      </c>
      <c r="R37" s="12">
        <f>IF(AND(D37="",L37=""),"",IF(L37="","Belum ditempatkan",IF(O37="","CEK ID FIXTURE tidak ada di DAFTAR_FIXTURE",IF(M37="","CEK ZONA NO kosong",IF(P37="zona tidak ada di layout","CEK ZONA NO di luar layout",IF(N37&lt;&gt;P37,"CEK JENIS ZONA",IF(D37="","Zona STOCK",IF(E37="","CEK SKU DESCRIPTION kosong","OK"))))))))</f>
        <v/>
      </c>
    </row>
    <row r="38">
      <c r="A38" s="10" t="inlineStr">
        <is>
          <t>Homeware</t>
        </is>
      </c>
      <c r="B38" s="10" t="inlineStr">
        <is>
          <t>Cookware</t>
        </is>
      </c>
      <c r="C38" s="10" t="inlineStr">
        <is>
          <t>Casserole</t>
        </is>
      </c>
      <c r="D38" s="10" t="inlineStr">
        <is>
          <t>10445960</t>
        </is>
      </c>
      <c r="E38" s="10" t="inlineStr">
        <is>
          <t>CASSEROLE OVAL GOLD MARBLE W/LID 33CM</t>
        </is>
      </c>
      <c r="F38" s="10" t="n"/>
      <c r="G38" s="10" t="inlineStr">
        <is>
          <t>MASAK</t>
        </is>
      </c>
      <c r="H38" s="10" t="inlineStr">
        <is>
          <t>B1. CASSEROLE</t>
        </is>
      </c>
      <c r="I38" s="10" t="inlineStr">
        <is>
          <t>GOLD MARBLE</t>
        </is>
      </c>
      <c r="J38" s="10" t="n"/>
      <c r="K38" s="10" t="n"/>
      <c r="L38" s="11" t="inlineStr">
        <is>
          <t>GND-01</t>
        </is>
      </c>
      <c r="M38" s="11" t="n">
        <v>1</v>
      </c>
      <c r="N38" s="11" t="inlineStr">
        <is>
          <t>Rak</t>
        </is>
      </c>
      <c r="O38" s="12">
        <f>IF(L38="","",IFERROR(INDEX(DAFTAR_FIXTURE!$B$2:$B$51,MATCH(L38,DAFTAR_FIXTURE!$A$2:$A$51,0)),""))</f>
        <v/>
      </c>
      <c r="P38" s="12">
        <f>IF(OR(O38="",M38=""),"",IFERROR(INDEX(LAYOUT!$D$2:$D$34,MATCH(O38&amp;"|"&amp;M38,LAYOUT!$E$2:$E$34,0)),"zona tidak ada di layout"))</f>
        <v/>
      </c>
      <c r="Q38" s="12">
        <f>IF(OR(L38="",D38=""),"",COUNTIFS($L$2:$L$500,L38,$M$2:$M$500,M38,$D$2:$D$500,"&lt;&gt;"))</f>
        <v/>
      </c>
      <c r="R38" s="12">
        <f>IF(AND(D38="",L38=""),"",IF(L38="","Belum ditempatkan",IF(O38="","CEK ID FIXTURE tidak ada di DAFTAR_FIXTURE",IF(M38="","CEK ZONA NO kosong",IF(P38="zona tidak ada di layout","CEK ZONA NO di luar layout",IF(N38&lt;&gt;P38,"CEK JENIS ZONA",IF(D38="","Zona STOCK",IF(E38="","CEK SKU DESCRIPTION kosong","OK"))))))))</f>
        <v/>
      </c>
    </row>
    <row r="39">
      <c r="A39" s="10" t="inlineStr">
        <is>
          <t>Homeware</t>
        </is>
      </c>
      <c r="B39" s="10" t="inlineStr">
        <is>
          <t>Cookware</t>
        </is>
      </c>
      <c r="C39" s="10" t="inlineStr">
        <is>
          <t>Casserole</t>
        </is>
      </c>
      <c r="D39" s="10" t="inlineStr">
        <is>
          <t>10445961</t>
        </is>
      </c>
      <c r="E39" s="10" t="inlineStr">
        <is>
          <t>CASSEROLE ROUND GOLD MARBLE W/LID 33CM</t>
        </is>
      </c>
      <c r="F39" s="10" t="n"/>
      <c r="G39" s="10" t="inlineStr">
        <is>
          <t>MASAK</t>
        </is>
      </c>
      <c r="H39" s="10" t="inlineStr">
        <is>
          <t>B1. CASSEROLE</t>
        </is>
      </c>
      <c r="I39" s="10" t="inlineStr">
        <is>
          <t>GOLD MARBLE</t>
        </is>
      </c>
      <c r="J39" s="10" t="n"/>
      <c r="K39" s="10" t="n"/>
      <c r="L39" s="11" t="inlineStr">
        <is>
          <t>GND-01</t>
        </is>
      </c>
      <c r="M39" s="11" t="n">
        <v>1</v>
      </c>
      <c r="N39" s="11" t="inlineStr">
        <is>
          <t>Rak</t>
        </is>
      </c>
      <c r="O39" s="12">
        <f>IF(L39="","",IFERROR(INDEX(DAFTAR_FIXTURE!$B$2:$B$51,MATCH(L39,DAFTAR_FIXTURE!$A$2:$A$51,0)),""))</f>
        <v/>
      </c>
      <c r="P39" s="12">
        <f>IF(OR(O39="",M39=""),"",IFERROR(INDEX(LAYOUT!$D$2:$D$34,MATCH(O39&amp;"|"&amp;M39,LAYOUT!$E$2:$E$34,0)),"zona tidak ada di layout"))</f>
        <v/>
      </c>
      <c r="Q39" s="12">
        <f>IF(OR(L39="",D39=""),"",COUNTIFS($L$2:$L$500,L39,$M$2:$M$500,M39,$D$2:$D$500,"&lt;&gt;"))</f>
        <v/>
      </c>
      <c r="R39" s="12">
        <f>IF(AND(D39="",L39=""),"",IF(L39="","Belum ditempatkan",IF(O39="","CEK ID FIXTURE tidak ada di DAFTAR_FIXTURE",IF(M39="","CEK ZONA NO kosong",IF(P39="zona tidak ada di layout","CEK ZONA NO di luar layout",IF(N39&lt;&gt;P39,"CEK JENIS ZONA",IF(D39="","Zona STOCK",IF(E39="","CEK SKU DESCRIPTION kosong","OK"))))))))</f>
        <v/>
      </c>
    </row>
    <row r="40">
      <c r="A40" s="10" t="inlineStr">
        <is>
          <t>Homeware</t>
        </is>
      </c>
      <c r="B40" s="10" t="inlineStr">
        <is>
          <t>Cookware</t>
        </is>
      </c>
      <c r="C40" s="10" t="inlineStr">
        <is>
          <t>Casserole</t>
        </is>
      </c>
      <c r="D40" s="10" t="inlineStr">
        <is>
          <t>10445962</t>
        </is>
      </c>
      <c r="E40" s="10" t="inlineStr">
        <is>
          <t>CASSEROLE SQUARE GOLD MARBLE W/LID 33CM</t>
        </is>
      </c>
      <c r="F40" s="10" t="n"/>
      <c r="G40" s="10" t="inlineStr">
        <is>
          <t>MASAK</t>
        </is>
      </c>
      <c r="H40" s="10" t="inlineStr">
        <is>
          <t>B1. CASSEROLE</t>
        </is>
      </c>
      <c r="I40" s="10" t="inlineStr">
        <is>
          <t>GOLD MARBLE</t>
        </is>
      </c>
      <c r="J40" s="10" t="n"/>
      <c r="K40" s="10" t="n"/>
      <c r="L40" s="11" t="inlineStr">
        <is>
          <t>GND-01</t>
        </is>
      </c>
      <c r="M40" s="11" t="n">
        <v>2</v>
      </c>
      <c r="N40" s="11" t="inlineStr">
        <is>
          <t>Rak</t>
        </is>
      </c>
      <c r="O40" s="12">
        <f>IF(L40="","",IFERROR(INDEX(DAFTAR_FIXTURE!$B$2:$B$51,MATCH(L40,DAFTAR_FIXTURE!$A$2:$A$51,0)),""))</f>
        <v/>
      </c>
      <c r="P40" s="12">
        <f>IF(OR(O40="",M40=""),"",IFERROR(INDEX(LAYOUT!$D$2:$D$34,MATCH(O40&amp;"|"&amp;M40,LAYOUT!$E$2:$E$34,0)),"zona tidak ada di layout"))</f>
        <v/>
      </c>
      <c r="Q40" s="12">
        <f>IF(OR(L40="",D40=""),"",COUNTIFS($L$2:$L$500,L40,$M$2:$M$500,M40,$D$2:$D$500,"&lt;&gt;"))</f>
        <v/>
      </c>
      <c r="R40" s="12">
        <f>IF(AND(D40="",L40=""),"",IF(L40="","Belum ditempatkan",IF(O40="","CEK ID FIXTURE tidak ada di DAFTAR_FIXTURE",IF(M40="","CEK ZONA NO kosong",IF(P40="zona tidak ada di layout","CEK ZONA NO di luar layout",IF(N40&lt;&gt;P40,"CEK JENIS ZONA",IF(D40="","Zona STOCK",IF(E40="","CEK SKU DESCRIPTION kosong","OK"))))))))</f>
        <v/>
      </c>
    </row>
    <row r="41">
      <c r="A41" s="10" t="inlineStr">
        <is>
          <t>Homeware</t>
        </is>
      </c>
      <c r="B41" s="10" t="inlineStr">
        <is>
          <t>Tableware</t>
        </is>
      </c>
      <c r="C41" s="10" t="inlineStr">
        <is>
          <t>Serving Set</t>
        </is>
      </c>
      <c r="D41" s="10" t="inlineStr">
        <is>
          <t>10470029</t>
        </is>
      </c>
      <c r="E41" s="10" t="inlineStr">
        <is>
          <t>SERVING SET W/RACK OCTAGON MARBLE (4)</t>
        </is>
      </c>
      <c r="F41" s="10" t="n"/>
      <c r="G41" s="10" t="inlineStr">
        <is>
          <t>MAKAN</t>
        </is>
      </c>
      <c r="H41" s="10" t="inlineStr">
        <is>
          <t>A2. SERVINGWARE</t>
        </is>
      </c>
      <c r="I41" s="10" t="inlineStr">
        <is>
          <t>SERVING SET MARBLE</t>
        </is>
      </c>
      <c r="J41" s="10" t="n"/>
      <c r="K41" s="10" t="n"/>
      <c r="L41" s="11" t="inlineStr">
        <is>
          <t>GND-01</t>
        </is>
      </c>
      <c r="M41" s="11" t="n">
        <v>2</v>
      </c>
      <c r="N41" s="11" t="inlineStr">
        <is>
          <t>Rak</t>
        </is>
      </c>
      <c r="O41" s="12">
        <f>IF(L41="","",IFERROR(INDEX(DAFTAR_FIXTURE!$B$2:$B$51,MATCH(L41,DAFTAR_FIXTURE!$A$2:$A$51,0)),""))</f>
        <v/>
      </c>
      <c r="P41" s="12">
        <f>IF(OR(O41="",M41=""),"",IFERROR(INDEX(LAYOUT!$D$2:$D$34,MATCH(O41&amp;"|"&amp;M41,LAYOUT!$E$2:$E$34,0)),"zona tidak ada di layout"))</f>
        <v/>
      </c>
      <c r="Q41" s="12">
        <f>IF(OR(L41="",D41=""),"",COUNTIFS($L$2:$L$500,L41,$M$2:$M$500,M41,$D$2:$D$500,"&lt;&gt;"))</f>
        <v/>
      </c>
      <c r="R41" s="12">
        <f>IF(AND(D41="",L41=""),"",IF(L41="","Belum ditempatkan",IF(O41="","CEK ID FIXTURE tidak ada di DAFTAR_FIXTURE",IF(M41="","CEK ZONA NO kosong",IF(P41="zona tidak ada di layout","CEK ZONA NO di luar layout",IF(N41&lt;&gt;P41,"CEK JENIS ZONA",IF(D41="","Zona STOCK",IF(E41="","CEK SKU DESCRIPTION kosong","OK"))))))))</f>
        <v/>
      </c>
    </row>
    <row r="42">
      <c r="A42" s="10" t="inlineStr">
        <is>
          <t>Homeware</t>
        </is>
      </c>
      <c r="B42" s="10" t="inlineStr">
        <is>
          <t>Tableware</t>
        </is>
      </c>
      <c r="C42" s="10" t="inlineStr">
        <is>
          <t>Serving Set</t>
        </is>
      </c>
      <c r="D42" s="10" t="inlineStr">
        <is>
          <t>10470030</t>
        </is>
      </c>
      <c r="E42" s="10" t="inlineStr">
        <is>
          <t>SERVING SET RND DETACHABLE MARBLE (2)</t>
        </is>
      </c>
      <c r="F42" s="10" t="n"/>
      <c r="G42" s="10" t="inlineStr">
        <is>
          <t>MAKAN</t>
        </is>
      </c>
      <c r="H42" s="10" t="inlineStr">
        <is>
          <t>A2. SERVINGWARE</t>
        </is>
      </c>
      <c r="I42" s="10" t="inlineStr">
        <is>
          <t>SERVING SET MARBLE</t>
        </is>
      </c>
      <c r="J42" s="10" t="n"/>
      <c r="K42" s="10" t="n"/>
      <c r="L42" s="11" t="inlineStr">
        <is>
          <t>GND-01</t>
        </is>
      </c>
      <c r="M42" s="11" t="n">
        <v>2</v>
      </c>
      <c r="N42" s="11" t="inlineStr">
        <is>
          <t>Rak</t>
        </is>
      </c>
      <c r="O42" s="12">
        <f>IF(L42="","",IFERROR(INDEX(DAFTAR_FIXTURE!$B$2:$B$51,MATCH(L42,DAFTAR_FIXTURE!$A$2:$A$51,0)),""))</f>
        <v/>
      </c>
      <c r="P42" s="12">
        <f>IF(OR(O42="",M42=""),"",IFERROR(INDEX(LAYOUT!$D$2:$D$34,MATCH(O42&amp;"|"&amp;M42,LAYOUT!$E$2:$E$34,0)),"zona tidak ada di layout"))</f>
        <v/>
      </c>
      <c r="Q42" s="12">
        <f>IF(OR(L42="",D42=""),"",COUNTIFS($L$2:$L$500,L42,$M$2:$M$500,M42,$D$2:$D$500,"&lt;&gt;"))</f>
        <v/>
      </c>
      <c r="R42" s="12">
        <f>IF(AND(D42="",L42=""),"",IF(L42="","Belum ditempatkan",IF(O42="","CEK ID FIXTURE tidak ada di DAFTAR_FIXTURE",IF(M42="","CEK ZONA NO kosong",IF(P42="zona tidak ada di layout","CEK ZONA NO di luar layout",IF(N42&lt;&gt;P42,"CEK JENIS ZONA",IF(D42="","Zona STOCK",IF(E42="","CEK SKU DESCRIPTION kosong","OK"))))))))</f>
        <v/>
      </c>
    </row>
    <row r="43">
      <c r="A43" s="10" t="inlineStr">
        <is>
          <t>Homeware</t>
        </is>
      </c>
      <c r="B43" s="10" t="inlineStr">
        <is>
          <t>Tableware</t>
        </is>
      </c>
      <c r="C43" s="10" t="inlineStr">
        <is>
          <t>Serving Set</t>
        </is>
      </c>
      <c r="D43" s="10" t="inlineStr">
        <is>
          <t>10681571</t>
        </is>
      </c>
      <c r="E43" s="10" t="inlineStr">
        <is>
          <t>SERVING GLASS SQR PLATER ZEVY GOLD</t>
        </is>
      </c>
      <c r="F43" s="10" t="n"/>
      <c r="G43" s="10" t="inlineStr">
        <is>
          <t>MAKAN</t>
        </is>
      </c>
      <c r="H43" s="10" t="inlineStr">
        <is>
          <t>A2. SERVINGWARE</t>
        </is>
      </c>
      <c r="I43" s="10" t="inlineStr">
        <is>
          <t>W/GOLD RACK GLASS</t>
        </is>
      </c>
      <c r="J43" s="10" t="n"/>
      <c r="K43" s="10" t="n"/>
      <c r="L43" s="11" t="inlineStr">
        <is>
          <t>GND-01</t>
        </is>
      </c>
      <c r="M43" s="11" t="n">
        <v>3</v>
      </c>
      <c r="N43" s="11" t="inlineStr">
        <is>
          <t>Rak</t>
        </is>
      </c>
      <c r="O43" s="12">
        <f>IF(L43="","",IFERROR(INDEX(DAFTAR_FIXTURE!$B$2:$B$51,MATCH(L43,DAFTAR_FIXTURE!$A$2:$A$51,0)),""))</f>
        <v/>
      </c>
      <c r="P43" s="12">
        <f>IF(OR(O43="",M43=""),"",IFERROR(INDEX(LAYOUT!$D$2:$D$34,MATCH(O43&amp;"|"&amp;M43,LAYOUT!$E$2:$E$34,0)),"zona tidak ada di layout"))</f>
        <v/>
      </c>
      <c r="Q43" s="12">
        <f>IF(OR(L43="",D43=""),"",COUNTIFS($L$2:$L$500,L43,$M$2:$M$500,M43,$D$2:$D$500,"&lt;&gt;"))</f>
        <v/>
      </c>
      <c r="R43" s="12">
        <f>IF(AND(D43="",L43=""),"",IF(L43="","Belum ditempatkan",IF(O43="","CEK ID FIXTURE tidak ada di DAFTAR_FIXTURE",IF(M43="","CEK ZONA NO kosong",IF(P43="zona tidak ada di layout","CEK ZONA NO di luar layout",IF(N43&lt;&gt;P43,"CEK JENIS ZONA",IF(D43="","Zona STOCK",IF(E43="","CEK SKU DESCRIPTION kosong","OK"))))))))</f>
        <v/>
      </c>
    </row>
    <row r="44">
      <c r="A44" s="10" t="inlineStr">
        <is>
          <t>Homeware</t>
        </is>
      </c>
      <c r="B44" s="10" t="inlineStr">
        <is>
          <t>Storage</t>
        </is>
      </c>
      <c r="C44" s="10" t="inlineStr">
        <is>
          <t>Food Storage</t>
        </is>
      </c>
      <c r="D44" s="10" t="inlineStr">
        <is>
          <t>10680419</t>
        </is>
      </c>
      <c r="E44" s="10" t="inlineStr">
        <is>
          <t>MOSQUE DOME GLASS JAR SET OF 3 450ML</t>
        </is>
      </c>
      <c r="F44" s="10" t="n"/>
      <c r="G44" s="10" t="inlineStr">
        <is>
          <t>PENYIMPANAN</t>
        </is>
      </c>
      <c r="H44" s="10" t="inlineStr">
        <is>
          <t>E4. CANISTER</t>
        </is>
      </c>
      <c r="I44" s="10" t="inlineStr">
        <is>
          <t>GLASS FANCY</t>
        </is>
      </c>
      <c r="J44" s="10" t="n"/>
      <c r="K44" s="10" t="n"/>
      <c r="L44" s="11" t="inlineStr">
        <is>
          <t>GND-01</t>
        </is>
      </c>
      <c r="M44" s="11" t="n">
        <v>4</v>
      </c>
      <c r="N44" s="11" t="inlineStr">
        <is>
          <t>Rak</t>
        </is>
      </c>
      <c r="O44" s="12">
        <f>IF(L44="","",IFERROR(INDEX(DAFTAR_FIXTURE!$B$2:$B$51,MATCH(L44,DAFTAR_FIXTURE!$A$2:$A$51,0)),""))</f>
        <v/>
      </c>
      <c r="P44" s="12">
        <f>IF(OR(O44="",M44=""),"",IFERROR(INDEX(LAYOUT!$D$2:$D$34,MATCH(O44&amp;"|"&amp;M44,LAYOUT!$E$2:$E$34,0)),"zona tidak ada di layout"))</f>
        <v/>
      </c>
      <c r="Q44" s="12">
        <f>IF(OR(L44="",D44=""),"",COUNTIFS($L$2:$L$500,L44,$M$2:$M$500,M44,$D$2:$D$500,"&lt;&gt;"))</f>
        <v/>
      </c>
      <c r="R44" s="12">
        <f>IF(AND(D44="",L44=""),"",IF(L44="","Belum ditempatkan",IF(O44="","CEK ID FIXTURE tidak ada di DAFTAR_FIXTURE",IF(M44="","CEK ZONA NO kosong",IF(P44="zona tidak ada di layout","CEK ZONA NO di luar layout",IF(N44&lt;&gt;P44,"CEK JENIS ZONA",IF(D44="","Zona STOCK",IF(E44="","CEK SKU DESCRIPTION kosong","OK"))))))))</f>
        <v/>
      </c>
    </row>
    <row r="45">
      <c r="A45" s="10" t="inlineStr">
        <is>
          <t>Homeware</t>
        </is>
      </c>
      <c r="B45" s="10" t="inlineStr">
        <is>
          <t>Kitchenware</t>
        </is>
      </c>
      <c r="C45" s="10" t="inlineStr">
        <is>
          <t>Kitchen Tools</t>
        </is>
      </c>
      <c r="D45" s="10" t="inlineStr">
        <is>
          <t>10198149</t>
        </is>
      </c>
      <c r="E45" s="10" t="inlineStr">
        <is>
          <t>TANTA STRAINER DIA 10CM</t>
        </is>
      </c>
      <c r="F45" s="10" t="n"/>
      <c r="G45" s="10" t="inlineStr">
        <is>
          <t>ALAT MASAK</t>
        </is>
      </c>
      <c r="H45" s="10" t="inlineStr">
        <is>
          <t>C1. KITCHEN TOOLS</t>
        </is>
      </c>
      <c r="I45" s="10" t="inlineStr">
        <is>
          <t>TANTA S/S</t>
        </is>
      </c>
      <c r="J45" s="10" t="n"/>
      <c r="K45" s="10" t="n"/>
      <c r="L45" s="11" t="inlineStr">
        <is>
          <t>GND-02</t>
        </is>
      </c>
      <c r="M45" s="11" t="n">
        <v>1</v>
      </c>
      <c r="N45" s="11" t="inlineStr">
        <is>
          <t>Gantungan</t>
        </is>
      </c>
      <c r="O45" s="12">
        <f>IF(L45="","",IFERROR(INDEX(DAFTAR_FIXTURE!$B$2:$B$51,MATCH(L45,DAFTAR_FIXTURE!$A$2:$A$51,0)),""))</f>
        <v/>
      </c>
      <c r="P45" s="12">
        <f>IF(OR(O45="",M45=""),"",IFERROR(INDEX(LAYOUT!$D$2:$D$34,MATCH(O45&amp;"|"&amp;M45,LAYOUT!$E$2:$E$34,0)),"zona tidak ada di layout"))</f>
        <v/>
      </c>
      <c r="Q45" s="12">
        <f>IF(OR(L45="",D45=""),"",COUNTIFS($L$2:$L$500,L45,$M$2:$M$500,M45,$D$2:$D$500,"&lt;&gt;"))</f>
        <v/>
      </c>
      <c r="R45" s="12">
        <f>IF(AND(D45="",L45=""),"",IF(L45="","Belum ditempatkan",IF(O45="","CEK ID FIXTURE tidak ada di DAFTAR_FIXTURE",IF(M45="","CEK ZONA NO kosong",IF(P45="zona tidak ada di layout","CEK ZONA NO di luar layout",IF(N45&lt;&gt;P45,"CEK JENIS ZONA",IF(D45="","Zona STOCK",IF(E45="","CEK SKU DESCRIPTION kosong","OK"))))))))</f>
        <v/>
      </c>
    </row>
    <row r="46">
      <c r="A46" s="10" t="inlineStr">
        <is>
          <t>Homeware</t>
        </is>
      </c>
      <c r="B46" s="10" t="inlineStr">
        <is>
          <t>Kitchenware</t>
        </is>
      </c>
      <c r="C46" s="10" t="inlineStr">
        <is>
          <t>Kitchen Tools</t>
        </is>
      </c>
      <c r="D46" s="10" t="inlineStr">
        <is>
          <t>10198150</t>
        </is>
      </c>
      <c r="E46" s="10" t="inlineStr">
        <is>
          <t>TANTA NYLON TONGS 9 INCH</t>
        </is>
      </c>
      <c r="F46" s="10" t="n"/>
      <c r="G46" s="10" t="inlineStr">
        <is>
          <t>ALAT MASAK</t>
        </is>
      </c>
      <c r="H46" s="10" t="inlineStr">
        <is>
          <t>C1. KITCHEN TOOLS</t>
        </is>
      </c>
      <c r="I46" s="10" t="inlineStr">
        <is>
          <t>TANTA NYLON</t>
        </is>
      </c>
      <c r="J46" s="10" t="n"/>
      <c r="K46" s="10" t="n"/>
      <c r="L46" s="11" t="inlineStr">
        <is>
          <t>GND-02</t>
        </is>
      </c>
      <c r="M46" s="11" t="n">
        <v>1</v>
      </c>
      <c r="N46" s="11" t="inlineStr">
        <is>
          <t>Gantungan</t>
        </is>
      </c>
      <c r="O46" s="12">
        <f>IF(L46="","",IFERROR(INDEX(DAFTAR_FIXTURE!$B$2:$B$51,MATCH(L46,DAFTAR_FIXTURE!$A$2:$A$51,0)),""))</f>
        <v/>
      </c>
      <c r="P46" s="12">
        <f>IF(OR(O46="",M46=""),"",IFERROR(INDEX(LAYOUT!$D$2:$D$34,MATCH(O46&amp;"|"&amp;M46,LAYOUT!$E$2:$E$34,0)),"zona tidak ada di layout"))</f>
        <v/>
      </c>
      <c r="Q46" s="12">
        <f>IF(OR(L46="",D46=""),"",COUNTIFS($L$2:$L$500,L46,$M$2:$M$500,M46,$D$2:$D$500,"&lt;&gt;"))</f>
        <v/>
      </c>
      <c r="R46" s="12">
        <f>IF(AND(D46="",L46=""),"",IF(L46="","Belum ditempatkan",IF(O46="","CEK ID FIXTURE tidak ada di DAFTAR_FIXTURE",IF(M46="","CEK ZONA NO kosong",IF(P46="zona tidak ada di layout","CEK ZONA NO di luar layout",IF(N46&lt;&gt;P46,"CEK JENIS ZONA",IF(D46="","Zona STOCK",IF(E46="","CEK SKU DESCRIPTION kosong","OK"))))))))</f>
        <v/>
      </c>
    </row>
    <row r="47">
      <c r="A47" s="10" t="inlineStr">
        <is>
          <t>Homeware</t>
        </is>
      </c>
      <c r="B47" s="10" t="inlineStr">
        <is>
          <t>Kitchenware</t>
        </is>
      </c>
      <c r="C47" s="10" t="inlineStr">
        <is>
          <t>Kitchen Tools</t>
        </is>
      </c>
      <c r="D47" s="10" t="inlineStr">
        <is>
          <t>10198151</t>
        </is>
      </c>
      <c r="E47" s="10" t="inlineStr">
        <is>
          <t>TANTA NYLON TONGS 12 INCH</t>
        </is>
      </c>
      <c r="F47" s="10" t="n"/>
      <c r="G47" s="10" t="inlineStr">
        <is>
          <t>ALAT MASAK</t>
        </is>
      </c>
      <c r="H47" s="10" t="inlineStr">
        <is>
          <t>C1. KITCHEN TOOLS</t>
        </is>
      </c>
      <c r="I47" s="10" t="inlineStr">
        <is>
          <t>TANTA NYLON</t>
        </is>
      </c>
      <c r="J47" s="10" t="n"/>
      <c r="K47" s="10" t="n"/>
      <c r="L47" s="11" t="inlineStr">
        <is>
          <t>GND-02</t>
        </is>
      </c>
      <c r="M47" s="11" t="n">
        <v>1</v>
      </c>
      <c r="N47" s="11" t="inlineStr">
        <is>
          <t>Gantungan</t>
        </is>
      </c>
      <c r="O47" s="12">
        <f>IF(L47="","",IFERROR(INDEX(DAFTAR_FIXTURE!$B$2:$B$51,MATCH(L47,DAFTAR_FIXTURE!$A$2:$A$51,0)),""))</f>
        <v/>
      </c>
      <c r="P47" s="12">
        <f>IF(OR(O47="",M47=""),"",IFERROR(INDEX(LAYOUT!$D$2:$D$34,MATCH(O47&amp;"|"&amp;M47,LAYOUT!$E$2:$E$34,0)),"zona tidak ada di layout"))</f>
        <v/>
      </c>
      <c r="Q47" s="12">
        <f>IF(OR(L47="",D47=""),"",COUNTIFS($L$2:$L$500,L47,$M$2:$M$500,M47,$D$2:$D$500,"&lt;&gt;"))</f>
        <v/>
      </c>
      <c r="R47" s="12">
        <f>IF(AND(D47="",L47=""),"",IF(L47="","Belum ditempatkan",IF(O47="","CEK ID FIXTURE tidak ada di DAFTAR_FIXTURE",IF(M47="","CEK ZONA NO kosong",IF(P47="zona tidak ada di layout","CEK ZONA NO di luar layout",IF(N47&lt;&gt;P47,"CEK JENIS ZONA",IF(D47="","Zona STOCK",IF(E47="","CEK SKU DESCRIPTION kosong","OK"))))))))</f>
        <v/>
      </c>
    </row>
    <row r="48">
      <c r="A48" s="10" t="inlineStr">
        <is>
          <t>Homeware</t>
        </is>
      </c>
      <c r="B48" s="10" t="inlineStr">
        <is>
          <t>Kitchenware</t>
        </is>
      </c>
      <c r="C48" s="10" t="inlineStr">
        <is>
          <t>Kitchen Tools</t>
        </is>
      </c>
      <c r="D48" s="10" t="inlineStr">
        <is>
          <t>10198152</t>
        </is>
      </c>
      <c r="E48" s="10" t="inlineStr">
        <is>
          <t>TANTA S/S SOLID TURNER M</t>
        </is>
      </c>
      <c r="F48" s="10" t="n"/>
      <c r="G48" s="10" t="inlineStr">
        <is>
          <t>ALAT MASAK</t>
        </is>
      </c>
      <c r="H48" s="10" t="inlineStr">
        <is>
          <t>C1. KITCHEN TOOLS</t>
        </is>
      </c>
      <c r="I48" s="10" t="inlineStr">
        <is>
          <t>TANTA S/S</t>
        </is>
      </c>
      <c r="J48" s="10" t="n"/>
      <c r="K48" s="10" t="n"/>
      <c r="L48" s="11" t="inlineStr">
        <is>
          <t>GND-02</t>
        </is>
      </c>
      <c r="M48" s="11" t="n">
        <v>1</v>
      </c>
      <c r="N48" s="11" t="inlineStr">
        <is>
          <t>Gantungan</t>
        </is>
      </c>
      <c r="O48" s="12">
        <f>IF(L48="","",IFERROR(INDEX(DAFTAR_FIXTURE!$B$2:$B$51,MATCH(L48,DAFTAR_FIXTURE!$A$2:$A$51,0)),""))</f>
        <v/>
      </c>
      <c r="P48" s="12">
        <f>IF(OR(O48="",M48=""),"",IFERROR(INDEX(LAYOUT!$D$2:$D$34,MATCH(O48&amp;"|"&amp;M48,LAYOUT!$E$2:$E$34,0)),"zona tidak ada di layout"))</f>
        <v/>
      </c>
      <c r="Q48" s="12">
        <f>IF(OR(L48="",D48=""),"",COUNTIFS($L$2:$L$500,L48,$M$2:$M$500,M48,$D$2:$D$500,"&lt;&gt;"))</f>
        <v/>
      </c>
      <c r="R48" s="12">
        <f>IF(AND(D48="",L48=""),"",IF(L48="","Belum ditempatkan",IF(O48="","CEK ID FIXTURE tidak ada di DAFTAR_FIXTURE",IF(M48="","CEK ZONA NO kosong",IF(P48="zona tidak ada di layout","CEK ZONA NO di luar layout",IF(N48&lt;&gt;P48,"CEK JENIS ZONA",IF(D48="","Zona STOCK",IF(E48="","CEK SKU DESCRIPTION kosong","OK"))))))))</f>
        <v/>
      </c>
    </row>
    <row r="49">
      <c r="A49" s="10" t="inlineStr">
        <is>
          <t>Homeware</t>
        </is>
      </c>
      <c r="B49" s="10" t="inlineStr">
        <is>
          <t>Kitchenware</t>
        </is>
      </c>
      <c r="C49" s="10" t="inlineStr">
        <is>
          <t>Kitchen Tools</t>
        </is>
      </c>
      <c r="D49" s="10" t="inlineStr">
        <is>
          <t>10198154</t>
        </is>
      </c>
      <c r="E49" s="10" t="inlineStr">
        <is>
          <t>TANTA S/S LADLE</t>
        </is>
      </c>
      <c r="F49" s="10" t="n"/>
      <c r="G49" s="10" t="inlineStr">
        <is>
          <t>ALAT MASAK</t>
        </is>
      </c>
      <c r="H49" s="10" t="inlineStr">
        <is>
          <t>C1. KITCHEN TOOLS</t>
        </is>
      </c>
      <c r="I49" s="10" t="inlineStr">
        <is>
          <t>TANTA S/S</t>
        </is>
      </c>
      <c r="J49" s="10" t="n"/>
      <c r="K49" s="10" t="n"/>
      <c r="L49" s="11" t="inlineStr">
        <is>
          <t>GND-02</t>
        </is>
      </c>
      <c r="M49" s="11" t="n">
        <v>1</v>
      </c>
      <c r="N49" s="11" t="inlineStr">
        <is>
          <t>Gantungan</t>
        </is>
      </c>
      <c r="O49" s="12">
        <f>IF(L49="","",IFERROR(INDEX(DAFTAR_FIXTURE!$B$2:$B$51,MATCH(L49,DAFTAR_FIXTURE!$A$2:$A$51,0)),""))</f>
        <v/>
      </c>
      <c r="P49" s="12">
        <f>IF(OR(O49="",M49=""),"",IFERROR(INDEX(LAYOUT!$D$2:$D$34,MATCH(O49&amp;"|"&amp;M49,LAYOUT!$E$2:$E$34,0)),"zona tidak ada di layout"))</f>
        <v/>
      </c>
      <c r="Q49" s="12">
        <f>IF(OR(L49="",D49=""),"",COUNTIFS($L$2:$L$500,L49,$M$2:$M$500,M49,$D$2:$D$500,"&lt;&gt;"))</f>
        <v/>
      </c>
      <c r="R49" s="12">
        <f>IF(AND(D49="",L49=""),"",IF(L49="","Belum ditempatkan",IF(O49="","CEK ID FIXTURE tidak ada di DAFTAR_FIXTURE",IF(M49="","CEK ZONA NO kosong",IF(P49="zona tidak ada di layout","CEK ZONA NO di luar layout",IF(N49&lt;&gt;P49,"CEK JENIS ZONA",IF(D49="","Zona STOCK",IF(E49="","CEK SKU DESCRIPTION kosong","OK"))))))))</f>
        <v/>
      </c>
    </row>
    <row r="50">
      <c r="A50" s="10" t="inlineStr">
        <is>
          <t>Homeware</t>
        </is>
      </c>
      <c r="B50" s="10" t="inlineStr">
        <is>
          <t>Kitchenware</t>
        </is>
      </c>
      <c r="C50" s="10" t="inlineStr">
        <is>
          <t>Kitchen Tools</t>
        </is>
      </c>
      <c r="D50" s="10" t="inlineStr">
        <is>
          <t>10198156</t>
        </is>
      </c>
      <c r="E50" s="10" t="inlineStr">
        <is>
          <t>TANTA NYLON SLOTTED TURNER M</t>
        </is>
      </c>
      <c r="F50" s="10" t="n"/>
      <c r="G50" s="10" t="inlineStr">
        <is>
          <t>ALAT MASAK</t>
        </is>
      </c>
      <c r="H50" s="10" t="inlineStr">
        <is>
          <t>C1. KITCHEN TOOLS</t>
        </is>
      </c>
      <c r="I50" s="10" t="inlineStr">
        <is>
          <t>TANTA NYLON</t>
        </is>
      </c>
      <c r="J50" s="10" t="n"/>
      <c r="K50" s="10" t="n"/>
      <c r="L50" s="11" t="inlineStr">
        <is>
          <t>GND-02</t>
        </is>
      </c>
      <c r="M50" s="11" t="n">
        <v>1</v>
      </c>
      <c r="N50" s="11" t="inlineStr">
        <is>
          <t>Gantungan</t>
        </is>
      </c>
      <c r="O50" s="12">
        <f>IF(L50="","",IFERROR(INDEX(DAFTAR_FIXTURE!$B$2:$B$51,MATCH(L50,DAFTAR_FIXTURE!$A$2:$A$51,0)),""))</f>
        <v/>
      </c>
      <c r="P50" s="12">
        <f>IF(OR(O50="",M50=""),"",IFERROR(INDEX(LAYOUT!$D$2:$D$34,MATCH(O50&amp;"|"&amp;M50,LAYOUT!$E$2:$E$34,0)),"zona tidak ada di layout"))</f>
        <v/>
      </c>
      <c r="Q50" s="12">
        <f>IF(OR(L50="",D50=""),"",COUNTIFS($L$2:$L$500,L50,$M$2:$M$500,M50,$D$2:$D$500,"&lt;&gt;"))</f>
        <v/>
      </c>
      <c r="R50" s="12">
        <f>IF(AND(D50="",L50=""),"",IF(L50="","Belum ditempatkan",IF(O50="","CEK ID FIXTURE tidak ada di DAFTAR_FIXTURE",IF(M50="","CEK ZONA NO kosong",IF(P50="zona tidak ada di layout","CEK ZONA NO di luar layout",IF(N50&lt;&gt;P50,"CEK JENIS ZONA",IF(D50="","Zona STOCK",IF(E50="","CEK SKU DESCRIPTION kosong","OK"))))))))</f>
        <v/>
      </c>
    </row>
    <row r="51">
      <c r="A51" s="10" t="inlineStr">
        <is>
          <t>Homeware</t>
        </is>
      </c>
      <c r="B51" s="10" t="inlineStr">
        <is>
          <t>Kitchenware</t>
        </is>
      </c>
      <c r="C51" s="10" t="inlineStr">
        <is>
          <t>Kitchen Tools</t>
        </is>
      </c>
      <c r="D51" s="10" t="inlineStr">
        <is>
          <t>10198157</t>
        </is>
      </c>
      <c r="E51" s="10" t="inlineStr">
        <is>
          <t>TANTA NYLON SOLID TURNER L</t>
        </is>
      </c>
      <c r="F51" s="10" t="n"/>
      <c r="G51" s="10" t="inlineStr">
        <is>
          <t>ALAT MASAK</t>
        </is>
      </c>
      <c r="H51" s="10" t="inlineStr">
        <is>
          <t>C1. KITCHEN TOOLS</t>
        </is>
      </c>
      <c r="I51" s="10" t="inlineStr">
        <is>
          <t>TANTA NYLON</t>
        </is>
      </c>
      <c r="J51" s="10" t="n"/>
      <c r="K51" s="10" t="n"/>
      <c r="L51" s="11" t="inlineStr">
        <is>
          <t>GND-02</t>
        </is>
      </c>
      <c r="M51" s="11" t="n">
        <v>1</v>
      </c>
      <c r="N51" s="11" t="inlineStr">
        <is>
          <t>Gantungan</t>
        </is>
      </c>
      <c r="O51" s="12">
        <f>IF(L51="","",IFERROR(INDEX(DAFTAR_FIXTURE!$B$2:$B$51,MATCH(L51,DAFTAR_FIXTURE!$A$2:$A$51,0)),""))</f>
        <v/>
      </c>
      <c r="P51" s="12">
        <f>IF(OR(O51="",M51=""),"",IFERROR(INDEX(LAYOUT!$D$2:$D$34,MATCH(O51&amp;"|"&amp;M51,LAYOUT!$E$2:$E$34,0)),"zona tidak ada di layout"))</f>
        <v/>
      </c>
      <c r="Q51" s="12">
        <f>IF(OR(L51="",D51=""),"",COUNTIFS($L$2:$L$500,L51,$M$2:$M$500,M51,$D$2:$D$500,"&lt;&gt;"))</f>
        <v/>
      </c>
      <c r="R51" s="12">
        <f>IF(AND(D51="",L51=""),"",IF(L51="","Belum ditempatkan",IF(O51="","CEK ID FIXTURE tidak ada di DAFTAR_FIXTURE",IF(M51="","CEK ZONA NO kosong",IF(P51="zona tidak ada di layout","CEK ZONA NO di luar layout",IF(N51&lt;&gt;P51,"CEK JENIS ZONA",IF(D51="","Zona STOCK",IF(E51="","CEK SKU DESCRIPTION kosong","OK"))))))))</f>
        <v/>
      </c>
    </row>
    <row r="52">
      <c r="A52" s="10" t="inlineStr">
        <is>
          <t>Homeware</t>
        </is>
      </c>
      <c r="B52" s="10" t="inlineStr">
        <is>
          <t>Kitchenware</t>
        </is>
      </c>
      <c r="C52" s="10" t="inlineStr">
        <is>
          <t>Kitchen Tools</t>
        </is>
      </c>
      <c r="D52" s="10" t="inlineStr">
        <is>
          <t>10198159</t>
        </is>
      </c>
      <c r="E52" s="10" t="inlineStr">
        <is>
          <t>TANTA NYLON LADLE</t>
        </is>
      </c>
      <c r="F52" s="10" t="n"/>
      <c r="G52" s="10" t="inlineStr">
        <is>
          <t>ALAT MASAK</t>
        </is>
      </c>
      <c r="H52" s="10" t="inlineStr">
        <is>
          <t>C1. KITCHEN TOOLS</t>
        </is>
      </c>
      <c r="I52" s="10" t="inlineStr">
        <is>
          <t>TANTA NYLON</t>
        </is>
      </c>
      <c r="J52" s="10" t="n"/>
      <c r="K52" s="10" t="n"/>
      <c r="L52" s="11" t="inlineStr">
        <is>
          <t>GND-02</t>
        </is>
      </c>
      <c r="M52" s="11" t="n">
        <v>1</v>
      </c>
      <c r="N52" s="11" t="inlineStr">
        <is>
          <t>Gantungan</t>
        </is>
      </c>
      <c r="O52" s="12">
        <f>IF(L52="","",IFERROR(INDEX(DAFTAR_FIXTURE!$B$2:$B$51,MATCH(L52,DAFTAR_FIXTURE!$A$2:$A$51,0)),""))</f>
        <v/>
      </c>
      <c r="P52" s="12">
        <f>IF(OR(O52="",M52=""),"",IFERROR(INDEX(LAYOUT!$D$2:$D$34,MATCH(O52&amp;"|"&amp;M52,LAYOUT!$E$2:$E$34,0)),"zona tidak ada di layout"))</f>
        <v/>
      </c>
      <c r="Q52" s="12">
        <f>IF(OR(L52="",D52=""),"",COUNTIFS($L$2:$L$500,L52,$M$2:$M$500,M52,$D$2:$D$500,"&lt;&gt;"))</f>
        <v/>
      </c>
      <c r="R52" s="12">
        <f>IF(AND(D52="",L52=""),"",IF(L52="","Belum ditempatkan",IF(O52="","CEK ID FIXTURE tidak ada di DAFTAR_FIXTURE",IF(M52="","CEK ZONA NO kosong",IF(P52="zona tidak ada di layout","CEK ZONA NO di luar layout",IF(N52&lt;&gt;P52,"CEK JENIS ZONA",IF(D52="","Zona STOCK",IF(E52="","CEK SKU DESCRIPTION kosong","OK"))))))))</f>
        <v/>
      </c>
    </row>
    <row r="53">
      <c r="A53" s="10" t="inlineStr">
        <is>
          <t>Homeware</t>
        </is>
      </c>
      <c r="B53" s="10" t="inlineStr">
        <is>
          <t>Kitchenware</t>
        </is>
      </c>
      <c r="C53" s="10" t="inlineStr">
        <is>
          <t>Kitchen Tools</t>
        </is>
      </c>
      <c r="D53" s="10" t="inlineStr">
        <is>
          <t>10198160</t>
        </is>
      </c>
      <c r="E53" s="10" t="inlineStr">
        <is>
          <t>TANTA NYLON WHISK</t>
        </is>
      </c>
      <c r="F53" s="10" t="n"/>
      <c r="G53" s="10" t="inlineStr">
        <is>
          <t>ALAT MASAK</t>
        </is>
      </c>
      <c r="H53" s="10" t="inlineStr">
        <is>
          <t>C1. KITCHEN TOOLS</t>
        </is>
      </c>
      <c r="I53" s="10" t="inlineStr">
        <is>
          <t>TANTA NYLON</t>
        </is>
      </c>
      <c r="J53" s="10" t="n"/>
      <c r="K53" s="10" t="n"/>
      <c r="L53" s="11" t="inlineStr">
        <is>
          <t>GND-02</t>
        </is>
      </c>
      <c r="M53" s="11" t="n">
        <v>1</v>
      </c>
      <c r="N53" s="11" t="inlineStr">
        <is>
          <t>Gantungan</t>
        </is>
      </c>
      <c r="O53" s="12">
        <f>IF(L53="","",IFERROR(INDEX(DAFTAR_FIXTURE!$B$2:$B$51,MATCH(L53,DAFTAR_FIXTURE!$A$2:$A$51,0)),""))</f>
        <v/>
      </c>
      <c r="P53" s="12">
        <f>IF(OR(O53="",M53=""),"",IFERROR(INDEX(LAYOUT!$D$2:$D$34,MATCH(O53&amp;"|"&amp;M53,LAYOUT!$E$2:$E$34,0)),"zona tidak ada di layout"))</f>
        <v/>
      </c>
      <c r="Q53" s="12">
        <f>IF(OR(L53="",D53=""),"",COUNTIFS($L$2:$L$500,L53,$M$2:$M$500,M53,$D$2:$D$500,"&lt;&gt;"))</f>
        <v/>
      </c>
      <c r="R53" s="12">
        <f>IF(AND(D53="",L53=""),"",IF(L53="","Belum ditempatkan",IF(O53="","CEK ID FIXTURE tidak ada di DAFTAR_FIXTURE",IF(M53="","CEK ZONA NO kosong",IF(P53="zona tidak ada di layout","CEK ZONA NO di luar layout",IF(N53&lt;&gt;P53,"CEK JENIS ZONA",IF(D53="","Zona STOCK",IF(E53="","CEK SKU DESCRIPTION kosong","OK"))))))))</f>
        <v/>
      </c>
    </row>
    <row r="54">
      <c r="A54" s="10" t="inlineStr">
        <is>
          <t>Homeware</t>
        </is>
      </c>
      <c r="B54" s="10" t="inlineStr">
        <is>
          <t>Kitchenware</t>
        </is>
      </c>
      <c r="C54" s="10" t="inlineStr">
        <is>
          <t>Kitchen Tools</t>
        </is>
      </c>
      <c r="D54" s="10" t="inlineStr">
        <is>
          <t>10198149</t>
        </is>
      </c>
      <c r="E54" s="10" t="inlineStr">
        <is>
          <t>TANTA STRAINER DIA 10CM</t>
        </is>
      </c>
      <c r="F54" s="10" t="n"/>
      <c r="G54" s="10" t="inlineStr">
        <is>
          <t>ALAT MASAK</t>
        </is>
      </c>
      <c r="H54" s="10" t="inlineStr">
        <is>
          <t>C1. KITCHEN TOOLS</t>
        </is>
      </c>
      <c r="I54" s="10" t="inlineStr">
        <is>
          <t>TANTA S/S</t>
        </is>
      </c>
      <c r="J54" s="10" t="n"/>
      <c r="K54" s="10" t="n"/>
      <c r="L54" s="11" t="inlineStr">
        <is>
          <t>GND-02</t>
        </is>
      </c>
      <c r="M54" s="11" t="n">
        <v>2</v>
      </c>
      <c r="N54" s="11" t="inlineStr">
        <is>
          <t>Gantungan</t>
        </is>
      </c>
      <c r="O54" s="12">
        <f>IF(L54="","",IFERROR(INDEX(DAFTAR_FIXTURE!$B$2:$B$51,MATCH(L54,DAFTAR_FIXTURE!$A$2:$A$51,0)),""))</f>
        <v/>
      </c>
      <c r="P54" s="12">
        <f>IF(OR(O54="",M54=""),"",IFERROR(INDEX(LAYOUT!$D$2:$D$34,MATCH(O54&amp;"|"&amp;M54,LAYOUT!$E$2:$E$34,0)),"zona tidak ada di layout"))</f>
        <v/>
      </c>
      <c r="Q54" s="12">
        <f>IF(OR(L54="",D54=""),"",COUNTIFS($L$2:$L$500,L54,$M$2:$M$500,M54,$D$2:$D$500,"&lt;&gt;"))</f>
        <v/>
      </c>
      <c r="R54" s="12">
        <f>IF(AND(D54="",L54=""),"",IF(L54="","Belum ditempatkan",IF(O54="","CEK ID FIXTURE tidak ada di DAFTAR_FIXTURE",IF(M54="","CEK ZONA NO kosong",IF(P54="zona tidak ada di layout","CEK ZONA NO di luar layout",IF(N54&lt;&gt;P54,"CEK JENIS ZONA",IF(D54="","Zona STOCK",IF(E54="","CEK SKU DESCRIPTION kosong","OK"))))))))</f>
        <v/>
      </c>
    </row>
    <row r="55">
      <c r="A55" s="10" t="inlineStr">
        <is>
          <t>Homeware</t>
        </is>
      </c>
      <c r="B55" s="10" t="inlineStr">
        <is>
          <t>Kitchenware</t>
        </is>
      </c>
      <c r="C55" s="10" t="inlineStr">
        <is>
          <t>Kitchen Tools</t>
        </is>
      </c>
      <c r="D55" s="10" t="inlineStr">
        <is>
          <t>10198150</t>
        </is>
      </c>
      <c r="E55" s="10" t="inlineStr">
        <is>
          <t>TANTA NYLON TONGS 9 INCH</t>
        </is>
      </c>
      <c r="F55" s="10" t="n"/>
      <c r="G55" s="10" t="inlineStr">
        <is>
          <t>ALAT MASAK</t>
        </is>
      </c>
      <c r="H55" s="10" t="inlineStr">
        <is>
          <t>C1. KITCHEN TOOLS</t>
        </is>
      </c>
      <c r="I55" s="10" t="inlineStr">
        <is>
          <t>TANTA NYLON</t>
        </is>
      </c>
      <c r="J55" s="10" t="n"/>
      <c r="K55" s="10" t="n"/>
      <c r="L55" s="11" t="inlineStr">
        <is>
          <t>GND-02</t>
        </is>
      </c>
      <c r="M55" s="11" t="n">
        <v>2</v>
      </c>
      <c r="N55" s="11" t="inlineStr">
        <is>
          <t>Gantungan</t>
        </is>
      </c>
      <c r="O55" s="12">
        <f>IF(L55="","",IFERROR(INDEX(DAFTAR_FIXTURE!$B$2:$B$51,MATCH(L55,DAFTAR_FIXTURE!$A$2:$A$51,0)),""))</f>
        <v/>
      </c>
      <c r="P55" s="12">
        <f>IF(OR(O55="",M55=""),"",IFERROR(INDEX(LAYOUT!$D$2:$D$34,MATCH(O55&amp;"|"&amp;M55,LAYOUT!$E$2:$E$34,0)),"zona tidak ada di layout"))</f>
        <v/>
      </c>
      <c r="Q55" s="12">
        <f>IF(OR(L55="",D55=""),"",COUNTIFS($L$2:$L$500,L55,$M$2:$M$500,M55,$D$2:$D$500,"&lt;&gt;"))</f>
        <v/>
      </c>
      <c r="R55" s="12">
        <f>IF(AND(D55="",L55=""),"",IF(L55="","Belum ditempatkan",IF(O55="","CEK ID FIXTURE tidak ada di DAFTAR_FIXTURE",IF(M55="","CEK ZONA NO kosong",IF(P55="zona tidak ada di layout","CEK ZONA NO di luar layout",IF(N55&lt;&gt;P55,"CEK JENIS ZONA",IF(D55="","Zona STOCK",IF(E55="","CEK SKU DESCRIPTION kosong","OK"))))))))</f>
        <v/>
      </c>
    </row>
    <row r="56">
      <c r="A56" s="10" t="inlineStr">
        <is>
          <t>Homeware</t>
        </is>
      </c>
      <c r="B56" s="10" t="inlineStr">
        <is>
          <t>Kitchenware</t>
        </is>
      </c>
      <c r="C56" s="10" t="inlineStr">
        <is>
          <t>Kitchen Tools</t>
        </is>
      </c>
      <c r="D56" s="10" t="inlineStr">
        <is>
          <t>10198151</t>
        </is>
      </c>
      <c r="E56" s="10" t="inlineStr">
        <is>
          <t>TANTA NYLON TONGS 12 INCH</t>
        </is>
      </c>
      <c r="F56" s="10" t="n"/>
      <c r="G56" s="10" t="inlineStr">
        <is>
          <t>ALAT MASAK</t>
        </is>
      </c>
      <c r="H56" s="10" t="inlineStr">
        <is>
          <t>C1. KITCHEN TOOLS</t>
        </is>
      </c>
      <c r="I56" s="10" t="inlineStr">
        <is>
          <t>TANTA NYLON</t>
        </is>
      </c>
      <c r="J56" s="10" t="n"/>
      <c r="K56" s="10" t="n"/>
      <c r="L56" s="11" t="inlineStr">
        <is>
          <t>GND-02</t>
        </is>
      </c>
      <c r="M56" s="11" t="n">
        <v>2</v>
      </c>
      <c r="N56" s="11" t="inlineStr">
        <is>
          <t>Gantungan</t>
        </is>
      </c>
      <c r="O56" s="12">
        <f>IF(L56="","",IFERROR(INDEX(DAFTAR_FIXTURE!$B$2:$B$51,MATCH(L56,DAFTAR_FIXTURE!$A$2:$A$51,0)),""))</f>
        <v/>
      </c>
      <c r="P56" s="12">
        <f>IF(OR(O56="",M56=""),"",IFERROR(INDEX(LAYOUT!$D$2:$D$34,MATCH(O56&amp;"|"&amp;M56,LAYOUT!$E$2:$E$34,0)),"zona tidak ada di layout"))</f>
        <v/>
      </c>
      <c r="Q56" s="12">
        <f>IF(OR(L56="",D56=""),"",COUNTIFS($L$2:$L$500,L56,$M$2:$M$500,M56,$D$2:$D$500,"&lt;&gt;"))</f>
        <v/>
      </c>
      <c r="R56" s="12">
        <f>IF(AND(D56="",L56=""),"",IF(L56="","Belum ditempatkan",IF(O56="","CEK ID FIXTURE tidak ada di DAFTAR_FIXTURE",IF(M56="","CEK ZONA NO kosong",IF(P56="zona tidak ada di layout","CEK ZONA NO di luar layout",IF(N56&lt;&gt;P56,"CEK JENIS ZONA",IF(D56="","Zona STOCK",IF(E56="","CEK SKU DESCRIPTION kosong","OK"))))))))</f>
        <v/>
      </c>
    </row>
    <row r="57">
      <c r="A57" s="10" t="inlineStr">
        <is>
          <t>Homeware</t>
        </is>
      </c>
      <c r="B57" s="10" t="inlineStr">
        <is>
          <t>Kitchenware</t>
        </is>
      </c>
      <c r="C57" s="10" t="inlineStr">
        <is>
          <t>Kitchen Tools</t>
        </is>
      </c>
      <c r="D57" s="10" t="inlineStr">
        <is>
          <t>10198152</t>
        </is>
      </c>
      <c r="E57" s="10" t="inlineStr">
        <is>
          <t>TANTA S/S SOLID TURNER M</t>
        </is>
      </c>
      <c r="F57" s="10" t="n"/>
      <c r="G57" s="10" t="inlineStr">
        <is>
          <t>ALAT MASAK</t>
        </is>
      </c>
      <c r="H57" s="10" t="inlineStr">
        <is>
          <t>C1. KITCHEN TOOLS</t>
        </is>
      </c>
      <c r="I57" s="10" t="inlineStr">
        <is>
          <t>TANTA S/S</t>
        </is>
      </c>
      <c r="J57" s="10" t="n"/>
      <c r="K57" s="10" t="n"/>
      <c r="L57" s="11" t="inlineStr">
        <is>
          <t>GND-02</t>
        </is>
      </c>
      <c r="M57" s="11" t="n">
        <v>2</v>
      </c>
      <c r="N57" s="11" t="inlineStr">
        <is>
          <t>Gantungan</t>
        </is>
      </c>
      <c r="O57" s="12">
        <f>IF(L57="","",IFERROR(INDEX(DAFTAR_FIXTURE!$B$2:$B$51,MATCH(L57,DAFTAR_FIXTURE!$A$2:$A$51,0)),""))</f>
        <v/>
      </c>
      <c r="P57" s="12">
        <f>IF(OR(O57="",M57=""),"",IFERROR(INDEX(LAYOUT!$D$2:$D$34,MATCH(O57&amp;"|"&amp;M57,LAYOUT!$E$2:$E$34,0)),"zona tidak ada di layout"))</f>
        <v/>
      </c>
      <c r="Q57" s="12">
        <f>IF(OR(L57="",D57=""),"",COUNTIFS($L$2:$L$500,L57,$M$2:$M$500,M57,$D$2:$D$500,"&lt;&gt;"))</f>
        <v/>
      </c>
      <c r="R57" s="12">
        <f>IF(AND(D57="",L57=""),"",IF(L57="","Belum ditempatkan",IF(O57="","CEK ID FIXTURE tidak ada di DAFTAR_FIXTURE",IF(M57="","CEK ZONA NO kosong",IF(P57="zona tidak ada di layout","CEK ZONA NO di luar layout",IF(N57&lt;&gt;P57,"CEK JENIS ZONA",IF(D57="","Zona STOCK",IF(E57="","CEK SKU DESCRIPTION kosong","OK"))))))))</f>
        <v/>
      </c>
    </row>
    <row r="58">
      <c r="A58" s="10" t="inlineStr">
        <is>
          <t>Homeware</t>
        </is>
      </c>
      <c r="B58" s="10" t="inlineStr">
        <is>
          <t>Kitchenware</t>
        </is>
      </c>
      <c r="C58" s="10" t="inlineStr">
        <is>
          <t>Kitchen Tools</t>
        </is>
      </c>
      <c r="D58" s="10" t="inlineStr">
        <is>
          <t>10198154</t>
        </is>
      </c>
      <c r="E58" s="10" t="inlineStr">
        <is>
          <t>TANTA S/S LADLE</t>
        </is>
      </c>
      <c r="F58" s="10" t="n"/>
      <c r="G58" s="10" t="inlineStr">
        <is>
          <t>ALAT MASAK</t>
        </is>
      </c>
      <c r="H58" s="10" t="inlineStr">
        <is>
          <t>C1. KITCHEN TOOLS</t>
        </is>
      </c>
      <c r="I58" s="10" t="inlineStr">
        <is>
          <t>TANTA S/S</t>
        </is>
      </c>
      <c r="J58" s="10" t="n"/>
      <c r="K58" s="10" t="n"/>
      <c r="L58" s="11" t="inlineStr">
        <is>
          <t>GND-02</t>
        </is>
      </c>
      <c r="M58" s="11" t="n">
        <v>2</v>
      </c>
      <c r="N58" s="11" t="inlineStr">
        <is>
          <t>Gantungan</t>
        </is>
      </c>
      <c r="O58" s="12">
        <f>IF(L58="","",IFERROR(INDEX(DAFTAR_FIXTURE!$B$2:$B$51,MATCH(L58,DAFTAR_FIXTURE!$A$2:$A$51,0)),""))</f>
        <v/>
      </c>
      <c r="P58" s="12">
        <f>IF(OR(O58="",M58=""),"",IFERROR(INDEX(LAYOUT!$D$2:$D$34,MATCH(O58&amp;"|"&amp;M58,LAYOUT!$E$2:$E$34,0)),"zona tidak ada di layout"))</f>
        <v/>
      </c>
      <c r="Q58" s="12">
        <f>IF(OR(L58="",D58=""),"",COUNTIFS($L$2:$L$500,L58,$M$2:$M$500,M58,$D$2:$D$500,"&lt;&gt;"))</f>
        <v/>
      </c>
      <c r="R58" s="12">
        <f>IF(AND(D58="",L58=""),"",IF(L58="","Belum ditempatkan",IF(O58="","CEK ID FIXTURE tidak ada di DAFTAR_FIXTURE",IF(M58="","CEK ZONA NO kosong",IF(P58="zona tidak ada di layout","CEK ZONA NO di luar layout",IF(N58&lt;&gt;P58,"CEK JENIS ZONA",IF(D58="","Zona STOCK",IF(E58="","CEK SKU DESCRIPTION kosong","OK"))))))))</f>
        <v/>
      </c>
    </row>
    <row r="59">
      <c r="A59" s="10" t="inlineStr">
        <is>
          <t>Homeware</t>
        </is>
      </c>
      <c r="B59" s="10" t="inlineStr">
        <is>
          <t>Kitchenware</t>
        </is>
      </c>
      <c r="C59" s="10" t="inlineStr">
        <is>
          <t>Kitchen Tools</t>
        </is>
      </c>
      <c r="D59" s="10" t="inlineStr">
        <is>
          <t>10198156</t>
        </is>
      </c>
      <c r="E59" s="10" t="inlineStr">
        <is>
          <t>TANTA NYLON SLOTTED TURNER M</t>
        </is>
      </c>
      <c r="F59" s="10" t="n"/>
      <c r="G59" s="10" t="inlineStr">
        <is>
          <t>ALAT MASAK</t>
        </is>
      </c>
      <c r="H59" s="10" t="inlineStr">
        <is>
          <t>C1. KITCHEN TOOLS</t>
        </is>
      </c>
      <c r="I59" s="10" t="inlineStr">
        <is>
          <t>TANTA NYLON</t>
        </is>
      </c>
      <c r="J59" s="10" t="n"/>
      <c r="K59" s="10" t="n"/>
      <c r="L59" s="11" t="inlineStr">
        <is>
          <t>GND-02</t>
        </is>
      </c>
      <c r="M59" s="11" t="n">
        <v>2</v>
      </c>
      <c r="N59" s="11" t="inlineStr">
        <is>
          <t>Gantungan</t>
        </is>
      </c>
      <c r="O59" s="12">
        <f>IF(L59="","",IFERROR(INDEX(DAFTAR_FIXTURE!$B$2:$B$51,MATCH(L59,DAFTAR_FIXTURE!$A$2:$A$51,0)),""))</f>
        <v/>
      </c>
      <c r="P59" s="12">
        <f>IF(OR(O59="",M59=""),"",IFERROR(INDEX(LAYOUT!$D$2:$D$34,MATCH(O59&amp;"|"&amp;M59,LAYOUT!$E$2:$E$34,0)),"zona tidak ada di layout"))</f>
        <v/>
      </c>
      <c r="Q59" s="12">
        <f>IF(OR(L59="",D59=""),"",COUNTIFS($L$2:$L$500,L59,$M$2:$M$500,M59,$D$2:$D$500,"&lt;&gt;"))</f>
        <v/>
      </c>
      <c r="R59" s="12">
        <f>IF(AND(D59="",L59=""),"",IF(L59="","Belum ditempatkan",IF(O59="","CEK ID FIXTURE tidak ada di DAFTAR_FIXTURE",IF(M59="","CEK ZONA NO kosong",IF(P59="zona tidak ada di layout","CEK ZONA NO di luar layout",IF(N59&lt;&gt;P59,"CEK JENIS ZONA",IF(D59="","Zona STOCK",IF(E59="","CEK SKU DESCRIPTION kosong","OK"))))))))</f>
        <v/>
      </c>
    </row>
    <row r="60">
      <c r="A60" s="10" t="inlineStr">
        <is>
          <t>Homeware</t>
        </is>
      </c>
      <c r="B60" s="10" t="inlineStr">
        <is>
          <t>Kitchenware</t>
        </is>
      </c>
      <c r="C60" s="10" t="inlineStr">
        <is>
          <t>Kitchen Tools</t>
        </is>
      </c>
      <c r="D60" s="10" t="inlineStr">
        <is>
          <t>10198157</t>
        </is>
      </c>
      <c r="E60" s="10" t="inlineStr">
        <is>
          <t>TANTA NYLON SOLID TURNER L</t>
        </is>
      </c>
      <c r="F60" s="10" t="n"/>
      <c r="G60" s="10" t="inlineStr">
        <is>
          <t>ALAT MASAK</t>
        </is>
      </c>
      <c r="H60" s="10" t="inlineStr">
        <is>
          <t>C1. KITCHEN TOOLS</t>
        </is>
      </c>
      <c r="I60" s="10" t="inlineStr">
        <is>
          <t>TANTA NYLON</t>
        </is>
      </c>
      <c r="J60" s="10" t="n"/>
      <c r="K60" s="10" t="n"/>
      <c r="L60" s="11" t="inlineStr">
        <is>
          <t>GND-02</t>
        </is>
      </c>
      <c r="M60" s="11" t="n">
        <v>2</v>
      </c>
      <c r="N60" s="11" t="inlineStr">
        <is>
          <t>Gantungan</t>
        </is>
      </c>
      <c r="O60" s="12">
        <f>IF(L60="","",IFERROR(INDEX(DAFTAR_FIXTURE!$B$2:$B$51,MATCH(L60,DAFTAR_FIXTURE!$A$2:$A$51,0)),""))</f>
        <v/>
      </c>
      <c r="P60" s="12">
        <f>IF(OR(O60="",M60=""),"",IFERROR(INDEX(LAYOUT!$D$2:$D$34,MATCH(O60&amp;"|"&amp;M60,LAYOUT!$E$2:$E$34,0)),"zona tidak ada di layout"))</f>
        <v/>
      </c>
      <c r="Q60" s="12">
        <f>IF(OR(L60="",D60=""),"",COUNTIFS($L$2:$L$500,L60,$M$2:$M$500,M60,$D$2:$D$500,"&lt;&gt;"))</f>
        <v/>
      </c>
      <c r="R60" s="12">
        <f>IF(AND(D60="",L60=""),"",IF(L60="","Belum ditempatkan",IF(O60="","CEK ID FIXTURE tidak ada di DAFTAR_FIXTURE",IF(M60="","CEK ZONA NO kosong",IF(P60="zona tidak ada di layout","CEK ZONA NO di luar layout",IF(N60&lt;&gt;P60,"CEK JENIS ZONA",IF(D60="","Zona STOCK",IF(E60="","CEK SKU DESCRIPTION kosong","OK"))))))))</f>
        <v/>
      </c>
    </row>
    <row r="61">
      <c r="A61" s="10" t="inlineStr">
        <is>
          <t>Homeware</t>
        </is>
      </c>
      <c r="B61" s="10" t="inlineStr">
        <is>
          <t>Kitchenware</t>
        </is>
      </c>
      <c r="C61" s="10" t="inlineStr">
        <is>
          <t>Kitchen Tools</t>
        </is>
      </c>
      <c r="D61" s="10" t="inlineStr">
        <is>
          <t>10198159</t>
        </is>
      </c>
      <c r="E61" s="10" t="inlineStr">
        <is>
          <t>TANTA NYLON LADLE</t>
        </is>
      </c>
      <c r="F61" s="10" t="n"/>
      <c r="G61" s="10" t="inlineStr">
        <is>
          <t>ALAT MASAK</t>
        </is>
      </c>
      <c r="H61" s="10" t="inlineStr">
        <is>
          <t>C1. KITCHEN TOOLS</t>
        </is>
      </c>
      <c r="I61" s="10" t="inlineStr">
        <is>
          <t>TANTA NYLON</t>
        </is>
      </c>
      <c r="J61" s="10" t="n"/>
      <c r="K61" s="10" t="n"/>
      <c r="L61" s="11" t="inlineStr">
        <is>
          <t>GND-02</t>
        </is>
      </c>
      <c r="M61" s="11" t="n">
        <v>2</v>
      </c>
      <c r="N61" s="11" t="inlineStr">
        <is>
          <t>Gantungan</t>
        </is>
      </c>
      <c r="O61" s="12">
        <f>IF(L61="","",IFERROR(INDEX(DAFTAR_FIXTURE!$B$2:$B$51,MATCH(L61,DAFTAR_FIXTURE!$A$2:$A$51,0)),""))</f>
        <v/>
      </c>
      <c r="P61" s="12">
        <f>IF(OR(O61="",M61=""),"",IFERROR(INDEX(LAYOUT!$D$2:$D$34,MATCH(O61&amp;"|"&amp;M61,LAYOUT!$E$2:$E$34,0)),"zona tidak ada di layout"))</f>
        <v/>
      </c>
      <c r="Q61" s="12">
        <f>IF(OR(L61="",D61=""),"",COUNTIFS($L$2:$L$500,L61,$M$2:$M$500,M61,$D$2:$D$500,"&lt;&gt;"))</f>
        <v/>
      </c>
      <c r="R61" s="12">
        <f>IF(AND(D61="",L61=""),"",IF(L61="","Belum ditempatkan",IF(O61="","CEK ID FIXTURE tidak ada di DAFTAR_FIXTURE",IF(M61="","CEK ZONA NO kosong",IF(P61="zona tidak ada di layout","CEK ZONA NO di luar layout",IF(N61&lt;&gt;P61,"CEK JENIS ZONA",IF(D61="","Zona STOCK",IF(E61="","CEK SKU DESCRIPTION kosong","OK"))))))))</f>
        <v/>
      </c>
    </row>
    <row r="62">
      <c r="A62" s="10" t="inlineStr">
        <is>
          <t>Homeware</t>
        </is>
      </c>
      <c r="B62" s="10" t="inlineStr">
        <is>
          <t>Kitchenware</t>
        </is>
      </c>
      <c r="C62" s="10" t="inlineStr">
        <is>
          <t>Kitchen Tools</t>
        </is>
      </c>
      <c r="D62" s="10" t="inlineStr">
        <is>
          <t>10198160</t>
        </is>
      </c>
      <c r="E62" s="10" t="inlineStr">
        <is>
          <t>TANTA NYLON WHISK</t>
        </is>
      </c>
      <c r="F62" s="10" t="n"/>
      <c r="G62" s="10" t="inlineStr">
        <is>
          <t>ALAT MASAK</t>
        </is>
      </c>
      <c r="H62" s="10" t="inlineStr">
        <is>
          <t>C1. KITCHEN TOOLS</t>
        </is>
      </c>
      <c r="I62" s="10" t="inlineStr">
        <is>
          <t>TANTA NYLON</t>
        </is>
      </c>
      <c r="J62" s="10" t="n"/>
      <c r="K62" s="10" t="n"/>
      <c r="L62" s="11" t="inlineStr">
        <is>
          <t>GND-02</t>
        </is>
      </c>
      <c r="M62" s="11" t="n">
        <v>2</v>
      </c>
      <c r="N62" s="11" t="inlineStr">
        <is>
          <t>Gantungan</t>
        </is>
      </c>
      <c r="O62" s="12">
        <f>IF(L62="","",IFERROR(INDEX(DAFTAR_FIXTURE!$B$2:$B$51,MATCH(L62,DAFTAR_FIXTURE!$A$2:$A$51,0)),""))</f>
        <v/>
      </c>
      <c r="P62" s="12">
        <f>IF(OR(O62="",M62=""),"",IFERROR(INDEX(LAYOUT!$D$2:$D$34,MATCH(O62&amp;"|"&amp;M62,LAYOUT!$E$2:$E$34,0)),"zona tidak ada di layout"))</f>
        <v/>
      </c>
      <c r="Q62" s="12">
        <f>IF(OR(L62="",D62=""),"",COUNTIFS($L$2:$L$500,L62,$M$2:$M$500,M62,$D$2:$D$500,"&lt;&gt;"))</f>
        <v/>
      </c>
      <c r="R62" s="12">
        <f>IF(AND(D62="",L62=""),"",IF(L62="","Belum ditempatkan",IF(O62="","CEK ID FIXTURE tidak ada di DAFTAR_FIXTURE",IF(M62="","CEK ZONA NO kosong",IF(P62="zona tidak ada di layout","CEK ZONA NO di luar layout",IF(N62&lt;&gt;P62,"CEK JENIS ZONA",IF(D62="","Zona STOCK",IF(E62="","CEK SKU DESCRIPTION kosong","OK"))))))))</f>
        <v/>
      </c>
    </row>
    <row r="63">
      <c r="A63" s="10" t="inlineStr">
        <is>
          <t>Homeware</t>
        </is>
      </c>
      <c r="B63" s="10" t="inlineStr">
        <is>
          <t>Kitchenware</t>
        </is>
      </c>
      <c r="C63" s="10" t="inlineStr">
        <is>
          <t>Kitchen Tools</t>
        </is>
      </c>
      <c r="D63" s="10" t="inlineStr">
        <is>
          <t>10198149</t>
        </is>
      </c>
      <c r="E63" s="10" t="inlineStr">
        <is>
          <t>TANTA STRAINER DIA 10CM</t>
        </is>
      </c>
      <c r="F63" s="10" t="n"/>
      <c r="G63" s="10" t="inlineStr">
        <is>
          <t>ALAT MASAK</t>
        </is>
      </c>
      <c r="H63" s="10" t="inlineStr">
        <is>
          <t>C1. KITCHEN TOOLS</t>
        </is>
      </c>
      <c r="I63" s="10" t="inlineStr">
        <is>
          <t>TANTA S/S</t>
        </is>
      </c>
      <c r="J63" s="10" t="n"/>
      <c r="K63" s="10" t="n"/>
      <c r="L63" s="11" t="inlineStr">
        <is>
          <t>GND-02</t>
        </is>
      </c>
      <c r="M63" s="11" t="n">
        <v>3</v>
      </c>
      <c r="N63" s="11" t="inlineStr">
        <is>
          <t>Gantungan</t>
        </is>
      </c>
      <c r="O63" s="12">
        <f>IF(L63="","",IFERROR(INDEX(DAFTAR_FIXTURE!$B$2:$B$51,MATCH(L63,DAFTAR_FIXTURE!$A$2:$A$51,0)),""))</f>
        <v/>
      </c>
      <c r="P63" s="12">
        <f>IF(OR(O63="",M63=""),"",IFERROR(INDEX(LAYOUT!$D$2:$D$34,MATCH(O63&amp;"|"&amp;M63,LAYOUT!$E$2:$E$34,0)),"zona tidak ada di layout"))</f>
        <v/>
      </c>
      <c r="Q63" s="12">
        <f>IF(OR(L63="",D63=""),"",COUNTIFS($L$2:$L$500,L63,$M$2:$M$500,M63,$D$2:$D$500,"&lt;&gt;"))</f>
        <v/>
      </c>
      <c r="R63" s="12">
        <f>IF(AND(D63="",L63=""),"",IF(L63="","Belum ditempatkan",IF(O63="","CEK ID FIXTURE tidak ada di DAFTAR_FIXTURE",IF(M63="","CEK ZONA NO kosong",IF(P63="zona tidak ada di layout","CEK ZONA NO di luar layout",IF(N63&lt;&gt;P63,"CEK JENIS ZONA",IF(D63="","Zona STOCK",IF(E63="","CEK SKU DESCRIPTION kosong","OK"))))))))</f>
        <v/>
      </c>
    </row>
    <row r="64">
      <c r="A64" s="10" t="inlineStr">
        <is>
          <t>Homeware</t>
        </is>
      </c>
      <c r="B64" s="10" t="inlineStr">
        <is>
          <t>Kitchenware</t>
        </is>
      </c>
      <c r="C64" s="10" t="inlineStr">
        <is>
          <t>Kitchen Tools</t>
        </is>
      </c>
      <c r="D64" s="10" t="inlineStr">
        <is>
          <t>10198150</t>
        </is>
      </c>
      <c r="E64" s="10" t="inlineStr">
        <is>
          <t>TANTA NYLON TONGS 9 INCH</t>
        </is>
      </c>
      <c r="F64" s="10" t="n"/>
      <c r="G64" s="10" t="inlineStr">
        <is>
          <t>ALAT MASAK</t>
        </is>
      </c>
      <c r="H64" s="10" t="inlineStr">
        <is>
          <t>C1. KITCHEN TOOLS</t>
        </is>
      </c>
      <c r="I64" s="10" t="inlineStr">
        <is>
          <t>TANTA NYLON</t>
        </is>
      </c>
      <c r="J64" s="10" t="n"/>
      <c r="K64" s="10" t="n"/>
      <c r="L64" s="11" t="inlineStr">
        <is>
          <t>GND-02</t>
        </is>
      </c>
      <c r="M64" s="11" t="n">
        <v>3</v>
      </c>
      <c r="N64" s="11" t="inlineStr">
        <is>
          <t>Gantungan</t>
        </is>
      </c>
      <c r="O64" s="12">
        <f>IF(L64="","",IFERROR(INDEX(DAFTAR_FIXTURE!$B$2:$B$51,MATCH(L64,DAFTAR_FIXTURE!$A$2:$A$51,0)),""))</f>
        <v/>
      </c>
      <c r="P64" s="12">
        <f>IF(OR(O64="",M64=""),"",IFERROR(INDEX(LAYOUT!$D$2:$D$34,MATCH(O64&amp;"|"&amp;M64,LAYOUT!$E$2:$E$34,0)),"zona tidak ada di layout"))</f>
        <v/>
      </c>
      <c r="Q64" s="12">
        <f>IF(OR(L64="",D64=""),"",COUNTIFS($L$2:$L$500,L64,$M$2:$M$500,M64,$D$2:$D$500,"&lt;&gt;"))</f>
        <v/>
      </c>
      <c r="R64" s="12">
        <f>IF(AND(D64="",L64=""),"",IF(L64="","Belum ditempatkan",IF(O64="","CEK ID FIXTURE tidak ada di DAFTAR_FIXTURE",IF(M64="","CEK ZONA NO kosong",IF(P64="zona tidak ada di layout","CEK ZONA NO di luar layout",IF(N64&lt;&gt;P64,"CEK JENIS ZONA",IF(D64="","Zona STOCK",IF(E64="","CEK SKU DESCRIPTION kosong","OK"))))))))</f>
        <v/>
      </c>
    </row>
    <row r="65">
      <c r="A65" s="10" t="inlineStr">
        <is>
          <t>Homeware</t>
        </is>
      </c>
      <c r="B65" s="10" t="inlineStr">
        <is>
          <t>Kitchenware</t>
        </is>
      </c>
      <c r="C65" s="10" t="inlineStr">
        <is>
          <t>Kitchen Tools</t>
        </is>
      </c>
      <c r="D65" s="10" t="inlineStr">
        <is>
          <t>10198151</t>
        </is>
      </c>
      <c r="E65" s="10" t="inlineStr">
        <is>
          <t>TANTA NYLON TONGS 12 INCH</t>
        </is>
      </c>
      <c r="F65" s="10" t="n"/>
      <c r="G65" s="10" t="inlineStr">
        <is>
          <t>ALAT MASAK</t>
        </is>
      </c>
      <c r="H65" s="10" t="inlineStr">
        <is>
          <t>C1. KITCHEN TOOLS</t>
        </is>
      </c>
      <c r="I65" s="10" t="inlineStr">
        <is>
          <t>TANTA NYLON</t>
        </is>
      </c>
      <c r="J65" s="10" t="n"/>
      <c r="K65" s="10" t="n"/>
      <c r="L65" s="11" t="inlineStr">
        <is>
          <t>GND-02</t>
        </is>
      </c>
      <c r="M65" s="11" t="n">
        <v>3</v>
      </c>
      <c r="N65" s="11" t="inlineStr">
        <is>
          <t>Gantungan</t>
        </is>
      </c>
      <c r="O65" s="12">
        <f>IF(L65="","",IFERROR(INDEX(DAFTAR_FIXTURE!$B$2:$B$51,MATCH(L65,DAFTAR_FIXTURE!$A$2:$A$51,0)),""))</f>
        <v/>
      </c>
      <c r="P65" s="12">
        <f>IF(OR(O65="",M65=""),"",IFERROR(INDEX(LAYOUT!$D$2:$D$34,MATCH(O65&amp;"|"&amp;M65,LAYOUT!$E$2:$E$34,0)),"zona tidak ada di layout"))</f>
        <v/>
      </c>
      <c r="Q65" s="12">
        <f>IF(OR(L65="",D65=""),"",COUNTIFS($L$2:$L$500,L65,$M$2:$M$500,M65,$D$2:$D$500,"&lt;&gt;"))</f>
        <v/>
      </c>
      <c r="R65" s="12">
        <f>IF(AND(D65="",L65=""),"",IF(L65="","Belum ditempatkan",IF(O65="","CEK ID FIXTURE tidak ada di DAFTAR_FIXTURE",IF(M65="","CEK ZONA NO kosong",IF(P65="zona tidak ada di layout","CEK ZONA NO di luar layout",IF(N65&lt;&gt;P65,"CEK JENIS ZONA",IF(D65="","Zona STOCK",IF(E65="","CEK SKU DESCRIPTION kosong","OK"))))))))</f>
        <v/>
      </c>
    </row>
    <row r="66">
      <c r="A66" s="10" t="inlineStr">
        <is>
          <t>Homeware</t>
        </is>
      </c>
      <c r="B66" s="10" t="inlineStr">
        <is>
          <t>Kitchenware</t>
        </is>
      </c>
      <c r="C66" s="10" t="inlineStr">
        <is>
          <t>Kitchen Tools</t>
        </is>
      </c>
      <c r="D66" s="10" t="inlineStr">
        <is>
          <t>10198152</t>
        </is>
      </c>
      <c r="E66" s="10" t="inlineStr">
        <is>
          <t>TANTA S/S SOLID TURNER M</t>
        </is>
      </c>
      <c r="F66" s="10" t="n"/>
      <c r="G66" s="10" t="inlineStr">
        <is>
          <t>ALAT MASAK</t>
        </is>
      </c>
      <c r="H66" s="10" t="inlineStr">
        <is>
          <t>C1. KITCHEN TOOLS</t>
        </is>
      </c>
      <c r="I66" s="10" t="inlineStr">
        <is>
          <t>TANTA S/S</t>
        </is>
      </c>
      <c r="J66" s="10" t="n"/>
      <c r="K66" s="10" t="n"/>
      <c r="L66" s="11" t="inlineStr">
        <is>
          <t>GND-02</t>
        </is>
      </c>
      <c r="M66" s="11" t="n">
        <v>3</v>
      </c>
      <c r="N66" s="11" t="inlineStr">
        <is>
          <t>Gantungan</t>
        </is>
      </c>
      <c r="O66" s="12">
        <f>IF(L66="","",IFERROR(INDEX(DAFTAR_FIXTURE!$B$2:$B$51,MATCH(L66,DAFTAR_FIXTURE!$A$2:$A$51,0)),""))</f>
        <v/>
      </c>
      <c r="P66" s="12">
        <f>IF(OR(O66="",M66=""),"",IFERROR(INDEX(LAYOUT!$D$2:$D$34,MATCH(O66&amp;"|"&amp;M66,LAYOUT!$E$2:$E$34,0)),"zona tidak ada di layout"))</f>
        <v/>
      </c>
      <c r="Q66" s="12">
        <f>IF(OR(L66="",D66=""),"",COUNTIFS($L$2:$L$500,L66,$M$2:$M$500,M66,$D$2:$D$500,"&lt;&gt;"))</f>
        <v/>
      </c>
      <c r="R66" s="12">
        <f>IF(AND(D66="",L66=""),"",IF(L66="","Belum ditempatkan",IF(O66="","CEK ID FIXTURE tidak ada di DAFTAR_FIXTURE",IF(M66="","CEK ZONA NO kosong",IF(P66="zona tidak ada di layout","CEK ZONA NO di luar layout",IF(N66&lt;&gt;P66,"CEK JENIS ZONA",IF(D66="","Zona STOCK",IF(E66="","CEK SKU DESCRIPTION kosong","OK"))))))))</f>
        <v/>
      </c>
    </row>
    <row r="67">
      <c r="A67" s="10" t="inlineStr">
        <is>
          <t>Homeware</t>
        </is>
      </c>
      <c r="B67" s="10" t="inlineStr">
        <is>
          <t>Kitchenware</t>
        </is>
      </c>
      <c r="C67" s="10" t="inlineStr">
        <is>
          <t>Kitchen Tools</t>
        </is>
      </c>
      <c r="D67" s="10" t="inlineStr">
        <is>
          <t>10198154</t>
        </is>
      </c>
      <c r="E67" s="10" t="inlineStr">
        <is>
          <t>TANTA S/S LADLE</t>
        </is>
      </c>
      <c r="F67" s="10" t="n"/>
      <c r="G67" s="10" t="inlineStr">
        <is>
          <t>ALAT MASAK</t>
        </is>
      </c>
      <c r="H67" s="10" t="inlineStr">
        <is>
          <t>C1. KITCHEN TOOLS</t>
        </is>
      </c>
      <c r="I67" s="10" t="inlineStr">
        <is>
          <t>TANTA S/S</t>
        </is>
      </c>
      <c r="J67" s="10" t="n"/>
      <c r="K67" s="10" t="n"/>
      <c r="L67" s="11" t="inlineStr">
        <is>
          <t>GND-02</t>
        </is>
      </c>
      <c r="M67" s="11" t="n">
        <v>3</v>
      </c>
      <c r="N67" s="11" t="inlineStr">
        <is>
          <t>Gantungan</t>
        </is>
      </c>
      <c r="O67" s="12">
        <f>IF(L67="","",IFERROR(INDEX(DAFTAR_FIXTURE!$B$2:$B$51,MATCH(L67,DAFTAR_FIXTURE!$A$2:$A$51,0)),""))</f>
        <v/>
      </c>
      <c r="P67" s="12">
        <f>IF(OR(O67="",M67=""),"",IFERROR(INDEX(LAYOUT!$D$2:$D$34,MATCH(O67&amp;"|"&amp;M67,LAYOUT!$E$2:$E$34,0)),"zona tidak ada di layout"))</f>
        <v/>
      </c>
      <c r="Q67" s="12">
        <f>IF(OR(L67="",D67=""),"",COUNTIFS($L$2:$L$500,L67,$M$2:$M$500,M67,$D$2:$D$500,"&lt;&gt;"))</f>
        <v/>
      </c>
      <c r="R67" s="12">
        <f>IF(AND(D67="",L67=""),"",IF(L67="","Belum ditempatkan",IF(O67="","CEK ID FIXTURE tidak ada di DAFTAR_FIXTURE",IF(M67="","CEK ZONA NO kosong",IF(P67="zona tidak ada di layout","CEK ZONA NO di luar layout",IF(N67&lt;&gt;P67,"CEK JENIS ZONA",IF(D67="","Zona STOCK",IF(E67="","CEK SKU DESCRIPTION kosong","OK"))))))))</f>
        <v/>
      </c>
    </row>
    <row r="68">
      <c r="A68" s="10" t="inlineStr">
        <is>
          <t>Homeware</t>
        </is>
      </c>
      <c r="B68" s="10" t="inlineStr">
        <is>
          <t>Kitchenware</t>
        </is>
      </c>
      <c r="C68" s="10" t="inlineStr">
        <is>
          <t>Kitchen Tools</t>
        </is>
      </c>
      <c r="D68" s="10" t="inlineStr">
        <is>
          <t>10198156</t>
        </is>
      </c>
      <c r="E68" s="10" t="inlineStr">
        <is>
          <t>TANTA NYLON SLOTTED TURNER M</t>
        </is>
      </c>
      <c r="F68" s="10" t="n"/>
      <c r="G68" s="10" t="inlineStr">
        <is>
          <t>ALAT MASAK</t>
        </is>
      </c>
      <c r="H68" s="10" t="inlineStr">
        <is>
          <t>C1. KITCHEN TOOLS</t>
        </is>
      </c>
      <c r="I68" s="10" t="inlineStr">
        <is>
          <t>TANTA NYLON</t>
        </is>
      </c>
      <c r="J68" s="10" t="n"/>
      <c r="K68" s="10" t="n"/>
      <c r="L68" s="11" t="inlineStr">
        <is>
          <t>GND-02</t>
        </is>
      </c>
      <c r="M68" s="11" t="n">
        <v>3</v>
      </c>
      <c r="N68" s="11" t="inlineStr">
        <is>
          <t>Gantungan</t>
        </is>
      </c>
      <c r="O68" s="12">
        <f>IF(L68="","",IFERROR(INDEX(DAFTAR_FIXTURE!$B$2:$B$51,MATCH(L68,DAFTAR_FIXTURE!$A$2:$A$51,0)),""))</f>
        <v/>
      </c>
      <c r="P68" s="12">
        <f>IF(OR(O68="",M68=""),"",IFERROR(INDEX(LAYOUT!$D$2:$D$34,MATCH(O68&amp;"|"&amp;M68,LAYOUT!$E$2:$E$34,0)),"zona tidak ada di layout"))</f>
        <v/>
      </c>
      <c r="Q68" s="12">
        <f>IF(OR(L68="",D68=""),"",COUNTIFS($L$2:$L$500,L68,$M$2:$M$500,M68,$D$2:$D$500,"&lt;&gt;"))</f>
        <v/>
      </c>
      <c r="R68" s="12">
        <f>IF(AND(D68="",L68=""),"",IF(L68="","Belum ditempatkan",IF(O68="","CEK ID FIXTURE tidak ada di DAFTAR_FIXTURE",IF(M68="","CEK ZONA NO kosong",IF(P68="zona tidak ada di layout","CEK ZONA NO di luar layout",IF(N68&lt;&gt;P68,"CEK JENIS ZONA",IF(D68="","Zona STOCK",IF(E68="","CEK SKU DESCRIPTION kosong","OK"))))))))</f>
        <v/>
      </c>
    </row>
    <row r="69">
      <c r="A69" s="10" t="inlineStr">
        <is>
          <t>Homeware</t>
        </is>
      </c>
      <c r="B69" s="10" t="inlineStr">
        <is>
          <t>Kitchenware</t>
        </is>
      </c>
      <c r="C69" s="10" t="inlineStr">
        <is>
          <t>Kitchen Tools</t>
        </is>
      </c>
      <c r="D69" s="10" t="inlineStr">
        <is>
          <t>10198157</t>
        </is>
      </c>
      <c r="E69" s="10" t="inlineStr">
        <is>
          <t>TANTA NYLON SOLID TURNER L</t>
        </is>
      </c>
      <c r="F69" s="10" t="n"/>
      <c r="G69" s="10" t="inlineStr">
        <is>
          <t>ALAT MASAK</t>
        </is>
      </c>
      <c r="H69" s="10" t="inlineStr">
        <is>
          <t>C1. KITCHEN TOOLS</t>
        </is>
      </c>
      <c r="I69" s="10" t="inlineStr">
        <is>
          <t>TANTA NYLON</t>
        </is>
      </c>
      <c r="J69" s="10" t="n"/>
      <c r="K69" s="10" t="n"/>
      <c r="L69" s="11" t="inlineStr">
        <is>
          <t>GND-02</t>
        </is>
      </c>
      <c r="M69" s="11" t="n">
        <v>3</v>
      </c>
      <c r="N69" s="11" t="inlineStr">
        <is>
          <t>Gantungan</t>
        </is>
      </c>
      <c r="O69" s="12">
        <f>IF(L69="","",IFERROR(INDEX(DAFTAR_FIXTURE!$B$2:$B$51,MATCH(L69,DAFTAR_FIXTURE!$A$2:$A$51,0)),""))</f>
        <v/>
      </c>
      <c r="P69" s="12">
        <f>IF(OR(O69="",M69=""),"",IFERROR(INDEX(LAYOUT!$D$2:$D$34,MATCH(O69&amp;"|"&amp;M69,LAYOUT!$E$2:$E$34,0)),"zona tidak ada di layout"))</f>
        <v/>
      </c>
      <c r="Q69" s="12">
        <f>IF(OR(L69="",D69=""),"",COUNTIFS($L$2:$L$500,L69,$M$2:$M$500,M69,$D$2:$D$500,"&lt;&gt;"))</f>
        <v/>
      </c>
      <c r="R69" s="12">
        <f>IF(AND(D69="",L69=""),"",IF(L69="","Belum ditempatkan",IF(O69="","CEK ID FIXTURE tidak ada di DAFTAR_FIXTURE",IF(M69="","CEK ZONA NO kosong",IF(P69="zona tidak ada di layout","CEK ZONA NO di luar layout",IF(N69&lt;&gt;P69,"CEK JENIS ZONA",IF(D69="","Zona STOCK",IF(E69="","CEK SKU DESCRIPTION kosong","OK"))))))))</f>
        <v/>
      </c>
    </row>
    <row r="70">
      <c r="A70" s="10" t="inlineStr">
        <is>
          <t>Homeware</t>
        </is>
      </c>
      <c r="B70" s="10" t="inlineStr">
        <is>
          <t>Kitchenware</t>
        </is>
      </c>
      <c r="C70" s="10" t="inlineStr">
        <is>
          <t>Kitchen Tools</t>
        </is>
      </c>
      <c r="D70" s="10" t="inlineStr">
        <is>
          <t>10198159</t>
        </is>
      </c>
      <c r="E70" s="10" t="inlineStr">
        <is>
          <t>TANTA NYLON LADLE</t>
        </is>
      </c>
      <c r="F70" s="10" t="n"/>
      <c r="G70" s="10" t="inlineStr">
        <is>
          <t>ALAT MASAK</t>
        </is>
      </c>
      <c r="H70" s="10" t="inlineStr">
        <is>
          <t>C1. KITCHEN TOOLS</t>
        </is>
      </c>
      <c r="I70" s="10" t="inlineStr">
        <is>
          <t>TANTA NYLON</t>
        </is>
      </c>
      <c r="J70" s="10" t="n"/>
      <c r="K70" s="10" t="n"/>
      <c r="L70" s="11" t="inlineStr">
        <is>
          <t>GND-02</t>
        </is>
      </c>
      <c r="M70" s="11" t="n">
        <v>3</v>
      </c>
      <c r="N70" s="11" t="inlineStr">
        <is>
          <t>Gantungan</t>
        </is>
      </c>
      <c r="O70" s="12">
        <f>IF(L70="","",IFERROR(INDEX(DAFTAR_FIXTURE!$B$2:$B$51,MATCH(L70,DAFTAR_FIXTURE!$A$2:$A$51,0)),""))</f>
        <v/>
      </c>
      <c r="P70" s="12">
        <f>IF(OR(O70="",M70=""),"",IFERROR(INDEX(LAYOUT!$D$2:$D$34,MATCH(O70&amp;"|"&amp;M70,LAYOUT!$E$2:$E$34,0)),"zona tidak ada di layout"))</f>
        <v/>
      </c>
      <c r="Q70" s="12">
        <f>IF(OR(L70="",D70=""),"",COUNTIFS($L$2:$L$500,L70,$M$2:$M$500,M70,$D$2:$D$500,"&lt;&gt;"))</f>
        <v/>
      </c>
      <c r="R70" s="12">
        <f>IF(AND(D70="",L70=""),"",IF(L70="","Belum ditempatkan",IF(O70="","CEK ID FIXTURE tidak ada di DAFTAR_FIXTURE",IF(M70="","CEK ZONA NO kosong",IF(P70="zona tidak ada di layout","CEK ZONA NO di luar layout",IF(N70&lt;&gt;P70,"CEK JENIS ZONA",IF(D70="","Zona STOCK",IF(E70="","CEK SKU DESCRIPTION kosong","OK"))))))))</f>
        <v/>
      </c>
    </row>
    <row r="71">
      <c r="A71" s="10" t="inlineStr">
        <is>
          <t>Homeware</t>
        </is>
      </c>
      <c r="B71" s="10" t="inlineStr">
        <is>
          <t>Kitchenware</t>
        </is>
      </c>
      <c r="C71" s="10" t="inlineStr">
        <is>
          <t>Kitchen Tools</t>
        </is>
      </c>
      <c r="D71" s="10" t="inlineStr">
        <is>
          <t>10198160</t>
        </is>
      </c>
      <c r="E71" s="10" t="inlineStr">
        <is>
          <t>TANTA NYLON WHISK</t>
        </is>
      </c>
      <c r="F71" s="10" t="n"/>
      <c r="G71" s="10" t="inlineStr">
        <is>
          <t>ALAT MASAK</t>
        </is>
      </c>
      <c r="H71" s="10" t="inlineStr">
        <is>
          <t>C1. KITCHEN TOOLS</t>
        </is>
      </c>
      <c r="I71" s="10" t="inlineStr">
        <is>
          <t>TANTA NYLON</t>
        </is>
      </c>
      <c r="J71" s="10" t="n"/>
      <c r="K71" s="10" t="n"/>
      <c r="L71" s="11" t="inlineStr">
        <is>
          <t>GND-02</t>
        </is>
      </c>
      <c r="M71" s="11" t="n">
        <v>3</v>
      </c>
      <c r="N71" s="11" t="inlineStr">
        <is>
          <t>Gantungan</t>
        </is>
      </c>
      <c r="O71" s="12">
        <f>IF(L71="","",IFERROR(INDEX(DAFTAR_FIXTURE!$B$2:$B$51,MATCH(L71,DAFTAR_FIXTURE!$A$2:$A$51,0)),""))</f>
        <v/>
      </c>
      <c r="P71" s="12">
        <f>IF(OR(O71="",M71=""),"",IFERROR(INDEX(LAYOUT!$D$2:$D$34,MATCH(O71&amp;"|"&amp;M71,LAYOUT!$E$2:$E$34,0)),"zona tidak ada di layout"))</f>
        <v/>
      </c>
      <c r="Q71" s="12">
        <f>IF(OR(L71="",D71=""),"",COUNTIFS($L$2:$L$500,L71,$M$2:$M$500,M71,$D$2:$D$500,"&lt;&gt;"))</f>
        <v/>
      </c>
      <c r="R71" s="12">
        <f>IF(AND(D71="",L71=""),"",IF(L71="","Belum ditempatkan",IF(O71="","CEK ID FIXTURE tidak ada di DAFTAR_FIXTURE",IF(M71="","CEK ZONA NO kosong",IF(P71="zona tidak ada di layout","CEK ZONA NO di luar layout",IF(N71&lt;&gt;P71,"CEK JENIS ZONA",IF(D71="","Zona STOCK",IF(E71="","CEK SKU DESCRIPTION kosong","OK"))))))))</f>
        <v/>
      </c>
    </row>
    <row r="72">
      <c r="A72" s="10" t="inlineStr">
        <is>
          <t>Homeware</t>
        </is>
      </c>
      <c r="B72" s="10" t="inlineStr">
        <is>
          <t>Kitchenware</t>
        </is>
      </c>
      <c r="C72" s="10" t="inlineStr">
        <is>
          <t>Kitchen Tools</t>
        </is>
      </c>
      <c r="D72" s="10" t="inlineStr">
        <is>
          <t>10198149</t>
        </is>
      </c>
      <c r="E72" s="10" t="inlineStr">
        <is>
          <t>TANTA STRAINER DIA 10CM</t>
        </is>
      </c>
      <c r="F72" s="10" t="n"/>
      <c r="G72" s="10" t="inlineStr">
        <is>
          <t>ALAT MASAK</t>
        </is>
      </c>
      <c r="H72" s="10" t="inlineStr">
        <is>
          <t>C1. KITCHEN TOOLS</t>
        </is>
      </c>
      <c r="I72" s="10" t="inlineStr">
        <is>
          <t>TANTA S/S</t>
        </is>
      </c>
      <c r="J72" s="10" t="n"/>
      <c r="K72" s="10" t="n"/>
      <c r="L72" s="11" t="inlineStr">
        <is>
          <t>GND-02</t>
        </is>
      </c>
      <c r="M72" s="11" t="n">
        <v>4</v>
      </c>
      <c r="N72" s="11" t="inlineStr">
        <is>
          <t>Gantungan</t>
        </is>
      </c>
      <c r="O72" s="12">
        <f>IF(L72="","",IFERROR(INDEX(DAFTAR_FIXTURE!$B$2:$B$51,MATCH(L72,DAFTAR_FIXTURE!$A$2:$A$51,0)),""))</f>
        <v/>
      </c>
      <c r="P72" s="12">
        <f>IF(OR(O72="",M72=""),"",IFERROR(INDEX(LAYOUT!$D$2:$D$34,MATCH(O72&amp;"|"&amp;M72,LAYOUT!$E$2:$E$34,0)),"zona tidak ada di layout"))</f>
        <v/>
      </c>
      <c r="Q72" s="12">
        <f>IF(OR(L72="",D72=""),"",COUNTIFS($L$2:$L$500,L72,$M$2:$M$500,M72,$D$2:$D$500,"&lt;&gt;"))</f>
        <v/>
      </c>
      <c r="R72" s="12">
        <f>IF(AND(D72="",L72=""),"",IF(L72="","Belum ditempatkan",IF(O72="","CEK ID FIXTURE tidak ada di DAFTAR_FIXTURE",IF(M72="","CEK ZONA NO kosong",IF(P72="zona tidak ada di layout","CEK ZONA NO di luar layout",IF(N72&lt;&gt;P72,"CEK JENIS ZONA",IF(D72="","Zona STOCK",IF(E72="","CEK SKU DESCRIPTION kosong","OK"))))))))</f>
        <v/>
      </c>
    </row>
    <row r="73">
      <c r="A73" s="10" t="inlineStr">
        <is>
          <t>Homeware</t>
        </is>
      </c>
      <c r="B73" s="10" t="inlineStr">
        <is>
          <t>Kitchenware</t>
        </is>
      </c>
      <c r="C73" s="10" t="inlineStr">
        <is>
          <t>Kitchen Tools</t>
        </is>
      </c>
      <c r="D73" s="10" t="inlineStr">
        <is>
          <t>10198150</t>
        </is>
      </c>
      <c r="E73" s="10" t="inlineStr">
        <is>
          <t>TANTA NYLON TONGS 9 INCH</t>
        </is>
      </c>
      <c r="F73" s="10" t="n"/>
      <c r="G73" s="10" t="inlineStr">
        <is>
          <t>ALAT MASAK</t>
        </is>
      </c>
      <c r="H73" s="10" t="inlineStr">
        <is>
          <t>C1. KITCHEN TOOLS</t>
        </is>
      </c>
      <c r="I73" s="10" t="inlineStr">
        <is>
          <t>TANTA NYLON</t>
        </is>
      </c>
      <c r="J73" s="10" t="n"/>
      <c r="K73" s="10" t="n"/>
      <c r="L73" s="11" t="inlineStr">
        <is>
          <t>GND-02</t>
        </is>
      </c>
      <c r="M73" s="11" t="n">
        <v>4</v>
      </c>
      <c r="N73" s="11" t="inlineStr">
        <is>
          <t>Gantungan</t>
        </is>
      </c>
      <c r="O73" s="12">
        <f>IF(L73="","",IFERROR(INDEX(DAFTAR_FIXTURE!$B$2:$B$51,MATCH(L73,DAFTAR_FIXTURE!$A$2:$A$51,0)),""))</f>
        <v/>
      </c>
      <c r="P73" s="12">
        <f>IF(OR(O73="",M73=""),"",IFERROR(INDEX(LAYOUT!$D$2:$D$34,MATCH(O73&amp;"|"&amp;M73,LAYOUT!$E$2:$E$34,0)),"zona tidak ada di layout"))</f>
        <v/>
      </c>
      <c r="Q73" s="12">
        <f>IF(OR(L73="",D73=""),"",COUNTIFS($L$2:$L$500,L73,$M$2:$M$500,M73,$D$2:$D$500,"&lt;&gt;"))</f>
        <v/>
      </c>
      <c r="R73" s="12">
        <f>IF(AND(D73="",L73=""),"",IF(L73="","Belum ditempatkan",IF(O73="","CEK ID FIXTURE tidak ada di DAFTAR_FIXTURE",IF(M73="","CEK ZONA NO kosong",IF(P73="zona tidak ada di layout","CEK ZONA NO di luar layout",IF(N73&lt;&gt;P73,"CEK JENIS ZONA",IF(D73="","Zona STOCK",IF(E73="","CEK SKU DESCRIPTION kosong","OK"))))))))</f>
        <v/>
      </c>
    </row>
    <row r="74">
      <c r="A74" s="10" t="inlineStr">
        <is>
          <t>Homeware</t>
        </is>
      </c>
      <c r="B74" s="10" t="inlineStr">
        <is>
          <t>Kitchenware</t>
        </is>
      </c>
      <c r="C74" s="10" t="inlineStr">
        <is>
          <t>Kitchen Tools</t>
        </is>
      </c>
      <c r="D74" s="10" t="inlineStr">
        <is>
          <t>10198151</t>
        </is>
      </c>
      <c r="E74" s="10" t="inlineStr">
        <is>
          <t>TANTA NYLON TONGS 12 INCH</t>
        </is>
      </c>
      <c r="F74" s="10" t="n"/>
      <c r="G74" s="10" t="inlineStr">
        <is>
          <t>ALAT MASAK</t>
        </is>
      </c>
      <c r="H74" s="10" t="inlineStr">
        <is>
          <t>C1. KITCHEN TOOLS</t>
        </is>
      </c>
      <c r="I74" s="10" t="inlineStr">
        <is>
          <t>TANTA NYLON</t>
        </is>
      </c>
      <c r="J74" s="10" t="n"/>
      <c r="K74" s="10" t="n"/>
      <c r="L74" s="11" t="inlineStr">
        <is>
          <t>GND-02</t>
        </is>
      </c>
      <c r="M74" s="11" t="n">
        <v>4</v>
      </c>
      <c r="N74" s="11" t="inlineStr">
        <is>
          <t>Gantungan</t>
        </is>
      </c>
      <c r="O74" s="12">
        <f>IF(L74="","",IFERROR(INDEX(DAFTAR_FIXTURE!$B$2:$B$51,MATCH(L74,DAFTAR_FIXTURE!$A$2:$A$51,0)),""))</f>
        <v/>
      </c>
      <c r="P74" s="12">
        <f>IF(OR(O74="",M74=""),"",IFERROR(INDEX(LAYOUT!$D$2:$D$34,MATCH(O74&amp;"|"&amp;M74,LAYOUT!$E$2:$E$34,0)),"zona tidak ada di layout"))</f>
        <v/>
      </c>
      <c r="Q74" s="12">
        <f>IF(OR(L74="",D74=""),"",COUNTIFS($L$2:$L$500,L74,$M$2:$M$500,M74,$D$2:$D$500,"&lt;&gt;"))</f>
        <v/>
      </c>
      <c r="R74" s="12">
        <f>IF(AND(D74="",L74=""),"",IF(L74="","Belum ditempatkan",IF(O74="","CEK ID FIXTURE tidak ada di DAFTAR_FIXTURE",IF(M74="","CEK ZONA NO kosong",IF(P74="zona tidak ada di layout","CEK ZONA NO di luar layout",IF(N74&lt;&gt;P74,"CEK JENIS ZONA",IF(D74="","Zona STOCK",IF(E74="","CEK SKU DESCRIPTION kosong","OK"))))))))</f>
        <v/>
      </c>
    </row>
    <row r="75">
      <c r="A75" s="10" t="inlineStr">
        <is>
          <t>Homeware</t>
        </is>
      </c>
      <c r="B75" s="10" t="inlineStr">
        <is>
          <t>Kitchenware</t>
        </is>
      </c>
      <c r="C75" s="10" t="inlineStr">
        <is>
          <t>Kitchen Tools</t>
        </is>
      </c>
      <c r="D75" s="10" t="inlineStr">
        <is>
          <t>10198152</t>
        </is>
      </c>
      <c r="E75" s="10" t="inlineStr">
        <is>
          <t>TANTA S/S SOLID TURNER M</t>
        </is>
      </c>
      <c r="F75" s="10" t="n"/>
      <c r="G75" s="10" t="inlineStr">
        <is>
          <t>ALAT MASAK</t>
        </is>
      </c>
      <c r="H75" s="10" t="inlineStr">
        <is>
          <t>C1. KITCHEN TOOLS</t>
        </is>
      </c>
      <c r="I75" s="10" t="inlineStr">
        <is>
          <t>TANTA S/S</t>
        </is>
      </c>
      <c r="J75" s="10" t="n"/>
      <c r="K75" s="10" t="n"/>
      <c r="L75" s="11" t="inlineStr">
        <is>
          <t>GND-02</t>
        </is>
      </c>
      <c r="M75" s="11" t="n">
        <v>4</v>
      </c>
      <c r="N75" s="11" t="inlineStr">
        <is>
          <t>Gantungan</t>
        </is>
      </c>
      <c r="O75" s="12">
        <f>IF(L75="","",IFERROR(INDEX(DAFTAR_FIXTURE!$B$2:$B$51,MATCH(L75,DAFTAR_FIXTURE!$A$2:$A$51,0)),""))</f>
        <v/>
      </c>
      <c r="P75" s="12">
        <f>IF(OR(O75="",M75=""),"",IFERROR(INDEX(LAYOUT!$D$2:$D$34,MATCH(O75&amp;"|"&amp;M75,LAYOUT!$E$2:$E$34,0)),"zona tidak ada di layout"))</f>
        <v/>
      </c>
      <c r="Q75" s="12">
        <f>IF(OR(L75="",D75=""),"",COUNTIFS($L$2:$L$500,L75,$M$2:$M$500,M75,$D$2:$D$500,"&lt;&gt;"))</f>
        <v/>
      </c>
      <c r="R75" s="12">
        <f>IF(AND(D75="",L75=""),"",IF(L75="","Belum ditempatkan",IF(O75="","CEK ID FIXTURE tidak ada di DAFTAR_FIXTURE",IF(M75="","CEK ZONA NO kosong",IF(P75="zona tidak ada di layout","CEK ZONA NO di luar layout",IF(N75&lt;&gt;P75,"CEK JENIS ZONA",IF(D75="","Zona STOCK",IF(E75="","CEK SKU DESCRIPTION kosong","OK"))))))))</f>
        <v/>
      </c>
    </row>
    <row r="76">
      <c r="A76" s="10" t="inlineStr">
        <is>
          <t>Homeware</t>
        </is>
      </c>
      <c r="B76" s="10" t="inlineStr">
        <is>
          <t>Kitchenware</t>
        </is>
      </c>
      <c r="C76" s="10" t="inlineStr">
        <is>
          <t>Kitchen Tools</t>
        </is>
      </c>
      <c r="D76" s="10" t="inlineStr">
        <is>
          <t>10198154</t>
        </is>
      </c>
      <c r="E76" s="10" t="inlineStr">
        <is>
          <t>TANTA S/S LADLE</t>
        </is>
      </c>
      <c r="F76" s="10" t="n"/>
      <c r="G76" s="10" t="inlineStr">
        <is>
          <t>ALAT MASAK</t>
        </is>
      </c>
      <c r="H76" s="10" t="inlineStr">
        <is>
          <t>C1. KITCHEN TOOLS</t>
        </is>
      </c>
      <c r="I76" s="10" t="inlineStr">
        <is>
          <t>TANTA S/S</t>
        </is>
      </c>
      <c r="J76" s="10" t="n"/>
      <c r="K76" s="10" t="n"/>
      <c r="L76" s="11" t="inlineStr">
        <is>
          <t>GND-02</t>
        </is>
      </c>
      <c r="M76" s="11" t="n">
        <v>4</v>
      </c>
      <c r="N76" s="11" t="inlineStr">
        <is>
          <t>Gantungan</t>
        </is>
      </c>
      <c r="O76" s="12">
        <f>IF(L76="","",IFERROR(INDEX(DAFTAR_FIXTURE!$B$2:$B$51,MATCH(L76,DAFTAR_FIXTURE!$A$2:$A$51,0)),""))</f>
        <v/>
      </c>
      <c r="P76" s="12">
        <f>IF(OR(O76="",M76=""),"",IFERROR(INDEX(LAYOUT!$D$2:$D$34,MATCH(O76&amp;"|"&amp;M76,LAYOUT!$E$2:$E$34,0)),"zona tidak ada di layout"))</f>
        <v/>
      </c>
      <c r="Q76" s="12">
        <f>IF(OR(L76="",D76=""),"",COUNTIFS($L$2:$L$500,L76,$M$2:$M$500,M76,$D$2:$D$500,"&lt;&gt;"))</f>
        <v/>
      </c>
      <c r="R76" s="12">
        <f>IF(AND(D76="",L76=""),"",IF(L76="","Belum ditempatkan",IF(O76="","CEK ID FIXTURE tidak ada di DAFTAR_FIXTURE",IF(M76="","CEK ZONA NO kosong",IF(P76="zona tidak ada di layout","CEK ZONA NO di luar layout",IF(N76&lt;&gt;P76,"CEK JENIS ZONA",IF(D76="","Zona STOCK",IF(E76="","CEK SKU DESCRIPTION kosong","OK"))))))))</f>
        <v/>
      </c>
    </row>
    <row r="77">
      <c r="A77" s="10" t="inlineStr">
        <is>
          <t>Homeware</t>
        </is>
      </c>
      <c r="B77" s="10" t="inlineStr">
        <is>
          <t>Kitchenware</t>
        </is>
      </c>
      <c r="C77" s="10" t="inlineStr">
        <is>
          <t>Kitchen Tools</t>
        </is>
      </c>
      <c r="D77" s="10" t="inlineStr">
        <is>
          <t>10198156</t>
        </is>
      </c>
      <c r="E77" s="10" t="inlineStr">
        <is>
          <t>TANTA NYLON SLOTTED TURNER M</t>
        </is>
      </c>
      <c r="F77" s="10" t="n"/>
      <c r="G77" s="10" t="inlineStr">
        <is>
          <t>ALAT MASAK</t>
        </is>
      </c>
      <c r="H77" s="10" t="inlineStr">
        <is>
          <t>C1. KITCHEN TOOLS</t>
        </is>
      </c>
      <c r="I77" s="10" t="inlineStr">
        <is>
          <t>TANTA NYLON</t>
        </is>
      </c>
      <c r="J77" s="10" t="n"/>
      <c r="K77" s="10" t="n"/>
      <c r="L77" s="11" t="inlineStr">
        <is>
          <t>GND-02</t>
        </is>
      </c>
      <c r="M77" s="11" t="n">
        <v>4</v>
      </c>
      <c r="N77" s="11" t="inlineStr">
        <is>
          <t>Gantungan</t>
        </is>
      </c>
      <c r="O77" s="12">
        <f>IF(L77="","",IFERROR(INDEX(DAFTAR_FIXTURE!$B$2:$B$51,MATCH(L77,DAFTAR_FIXTURE!$A$2:$A$51,0)),""))</f>
        <v/>
      </c>
      <c r="P77" s="12">
        <f>IF(OR(O77="",M77=""),"",IFERROR(INDEX(LAYOUT!$D$2:$D$34,MATCH(O77&amp;"|"&amp;M77,LAYOUT!$E$2:$E$34,0)),"zona tidak ada di layout"))</f>
        <v/>
      </c>
      <c r="Q77" s="12">
        <f>IF(OR(L77="",D77=""),"",COUNTIFS($L$2:$L$500,L77,$M$2:$M$500,M77,$D$2:$D$500,"&lt;&gt;"))</f>
        <v/>
      </c>
      <c r="R77" s="12">
        <f>IF(AND(D77="",L77=""),"",IF(L77="","Belum ditempatkan",IF(O77="","CEK ID FIXTURE tidak ada di DAFTAR_FIXTURE",IF(M77="","CEK ZONA NO kosong",IF(P77="zona tidak ada di layout","CEK ZONA NO di luar layout",IF(N77&lt;&gt;P77,"CEK JENIS ZONA",IF(D77="","Zona STOCK",IF(E77="","CEK SKU DESCRIPTION kosong","OK"))))))))</f>
        <v/>
      </c>
    </row>
    <row r="78">
      <c r="A78" s="10" t="inlineStr">
        <is>
          <t>Homeware</t>
        </is>
      </c>
      <c r="B78" s="10" t="inlineStr">
        <is>
          <t>Kitchenware</t>
        </is>
      </c>
      <c r="C78" s="10" t="inlineStr">
        <is>
          <t>Kitchen Tools</t>
        </is>
      </c>
      <c r="D78" s="10" t="inlineStr">
        <is>
          <t>10198157</t>
        </is>
      </c>
      <c r="E78" s="10" t="inlineStr">
        <is>
          <t>TANTA NYLON SOLID TURNER L</t>
        </is>
      </c>
      <c r="F78" s="10" t="n"/>
      <c r="G78" s="10" t="inlineStr">
        <is>
          <t>ALAT MASAK</t>
        </is>
      </c>
      <c r="H78" s="10" t="inlineStr">
        <is>
          <t>C1. KITCHEN TOOLS</t>
        </is>
      </c>
      <c r="I78" s="10" t="inlineStr">
        <is>
          <t>TANTA NYLON</t>
        </is>
      </c>
      <c r="J78" s="10" t="n"/>
      <c r="K78" s="10" t="n"/>
      <c r="L78" s="11" t="inlineStr">
        <is>
          <t>GND-02</t>
        </is>
      </c>
      <c r="M78" s="11" t="n">
        <v>4</v>
      </c>
      <c r="N78" s="11" t="inlineStr">
        <is>
          <t>Gantungan</t>
        </is>
      </c>
      <c r="O78" s="12">
        <f>IF(L78="","",IFERROR(INDEX(DAFTAR_FIXTURE!$B$2:$B$51,MATCH(L78,DAFTAR_FIXTURE!$A$2:$A$51,0)),""))</f>
        <v/>
      </c>
      <c r="P78" s="12">
        <f>IF(OR(O78="",M78=""),"",IFERROR(INDEX(LAYOUT!$D$2:$D$34,MATCH(O78&amp;"|"&amp;M78,LAYOUT!$E$2:$E$34,0)),"zona tidak ada di layout"))</f>
        <v/>
      </c>
      <c r="Q78" s="12">
        <f>IF(OR(L78="",D78=""),"",COUNTIFS($L$2:$L$500,L78,$M$2:$M$500,M78,$D$2:$D$500,"&lt;&gt;"))</f>
        <v/>
      </c>
      <c r="R78" s="12">
        <f>IF(AND(D78="",L78=""),"",IF(L78="","Belum ditempatkan",IF(O78="","CEK ID FIXTURE tidak ada di DAFTAR_FIXTURE",IF(M78="","CEK ZONA NO kosong",IF(P78="zona tidak ada di layout","CEK ZONA NO di luar layout",IF(N78&lt;&gt;P78,"CEK JENIS ZONA",IF(D78="","Zona STOCK",IF(E78="","CEK SKU DESCRIPTION kosong","OK"))))))))</f>
        <v/>
      </c>
    </row>
    <row r="79">
      <c r="A79" s="10" t="inlineStr">
        <is>
          <t>Homeware</t>
        </is>
      </c>
      <c r="B79" s="10" t="inlineStr">
        <is>
          <t>Kitchenware</t>
        </is>
      </c>
      <c r="C79" s="10" t="inlineStr">
        <is>
          <t>Kitchen Tools</t>
        </is>
      </c>
      <c r="D79" s="10" t="inlineStr">
        <is>
          <t>10198159</t>
        </is>
      </c>
      <c r="E79" s="10" t="inlineStr">
        <is>
          <t>TANTA NYLON LADLE</t>
        </is>
      </c>
      <c r="F79" s="10" t="n"/>
      <c r="G79" s="10" t="inlineStr">
        <is>
          <t>ALAT MASAK</t>
        </is>
      </c>
      <c r="H79" s="10" t="inlineStr">
        <is>
          <t>C1. KITCHEN TOOLS</t>
        </is>
      </c>
      <c r="I79" s="10" t="inlineStr">
        <is>
          <t>TANTA NYLON</t>
        </is>
      </c>
      <c r="J79" s="10" t="n"/>
      <c r="K79" s="10" t="n"/>
      <c r="L79" s="11" t="inlineStr">
        <is>
          <t>GND-02</t>
        </is>
      </c>
      <c r="M79" s="11" t="n">
        <v>4</v>
      </c>
      <c r="N79" s="11" t="inlineStr">
        <is>
          <t>Gantungan</t>
        </is>
      </c>
      <c r="O79" s="12">
        <f>IF(L79="","",IFERROR(INDEX(DAFTAR_FIXTURE!$B$2:$B$51,MATCH(L79,DAFTAR_FIXTURE!$A$2:$A$51,0)),""))</f>
        <v/>
      </c>
      <c r="P79" s="12">
        <f>IF(OR(O79="",M79=""),"",IFERROR(INDEX(LAYOUT!$D$2:$D$34,MATCH(O79&amp;"|"&amp;M79,LAYOUT!$E$2:$E$34,0)),"zona tidak ada di layout"))</f>
        <v/>
      </c>
      <c r="Q79" s="12">
        <f>IF(OR(L79="",D79=""),"",COUNTIFS($L$2:$L$500,L79,$M$2:$M$500,M79,$D$2:$D$500,"&lt;&gt;"))</f>
        <v/>
      </c>
      <c r="R79" s="12">
        <f>IF(AND(D79="",L79=""),"",IF(L79="","Belum ditempatkan",IF(O79="","CEK ID FIXTURE tidak ada di DAFTAR_FIXTURE",IF(M79="","CEK ZONA NO kosong",IF(P79="zona tidak ada di layout","CEK ZONA NO di luar layout",IF(N79&lt;&gt;P79,"CEK JENIS ZONA",IF(D79="","Zona STOCK",IF(E79="","CEK SKU DESCRIPTION kosong","OK"))))))))</f>
        <v/>
      </c>
    </row>
    <row r="80">
      <c r="A80" s="10" t="inlineStr">
        <is>
          <t>Homeware</t>
        </is>
      </c>
      <c r="B80" s="10" t="inlineStr">
        <is>
          <t>Kitchenware</t>
        </is>
      </c>
      <c r="C80" s="10" t="inlineStr">
        <is>
          <t>Kitchen Tools</t>
        </is>
      </c>
      <c r="D80" s="10" t="inlineStr">
        <is>
          <t>10198160</t>
        </is>
      </c>
      <c r="E80" s="10" t="inlineStr">
        <is>
          <t>TANTA NYLON WHISK</t>
        </is>
      </c>
      <c r="F80" s="10" t="n"/>
      <c r="G80" s="10" t="inlineStr">
        <is>
          <t>ALAT MASAK</t>
        </is>
      </c>
      <c r="H80" s="10" t="inlineStr">
        <is>
          <t>C1. KITCHEN TOOLS</t>
        </is>
      </c>
      <c r="I80" s="10" t="inlineStr">
        <is>
          <t>TANTA NYLON</t>
        </is>
      </c>
      <c r="J80" s="10" t="n"/>
      <c r="K80" s="10" t="n"/>
      <c r="L80" s="11" t="inlineStr">
        <is>
          <t>GND-02</t>
        </is>
      </c>
      <c r="M80" s="11" t="n">
        <v>4</v>
      </c>
      <c r="N80" s="11" t="inlineStr">
        <is>
          <t>Gantungan</t>
        </is>
      </c>
      <c r="O80" s="12">
        <f>IF(L80="","",IFERROR(INDEX(DAFTAR_FIXTURE!$B$2:$B$51,MATCH(L80,DAFTAR_FIXTURE!$A$2:$A$51,0)),""))</f>
        <v/>
      </c>
      <c r="P80" s="12">
        <f>IF(OR(O80="",M80=""),"",IFERROR(INDEX(LAYOUT!$D$2:$D$34,MATCH(O80&amp;"|"&amp;M80,LAYOUT!$E$2:$E$34,0)),"zona tidak ada di layout"))</f>
        <v/>
      </c>
      <c r="Q80" s="12">
        <f>IF(OR(L80="",D80=""),"",COUNTIFS($L$2:$L$500,L80,$M$2:$M$500,M80,$D$2:$D$500,"&lt;&gt;"))</f>
        <v/>
      </c>
      <c r="R80" s="12">
        <f>IF(AND(D80="",L80=""),"",IF(L80="","Belum ditempatkan",IF(O80="","CEK ID FIXTURE tidak ada di DAFTAR_FIXTURE",IF(M80="","CEK ZONA NO kosong",IF(P80="zona tidak ada di layout","CEK ZONA NO di luar layout",IF(N80&lt;&gt;P80,"CEK JENIS ZONA",IF(D80="","Zona STOCK",IF(E80="","CEK SKU DESCRIPTION kosong","OK"))))))))</f>
        <v/>
      </c>
    </row>
    <row r="81">
      <c r="A81" s="10" t="inlineStr">
        <is>
          <t>Homeware</t>
        </is>
      </c>
      <c r="B81" s="10" t="inlineStr">
        <is>
          <t>Cookware</t>
        </is>
      </c>
      <c r="C81" s="10" t="inlineStr">
        <is>
          <t>Pots &amp; Pans</t>
        </is>
      </c>
      <c r="D81" s="10" t="inlineStr">
        <is>
          <t>10421603</t>
        </is>
      </c>
      <c r="E81" s="10" t="inlineStr">
        <is>
          <t>KINGSTON SAUCEPAN WITH LID 16CM GREEN</t>
        </is>
      </c>
      <c r="F81" s="10" t="n"/>
      <c r="G81" s="10" t="inlineStr">
        <is>
          <t>MASAK</t>
        </is>
      </c>
      <c r="H81" s="10" t="inlineStr">
        <is>
          <t>B2. COOKWARE</t>
        </is>
      </c>
      <c r="I81" s="10" t="inlineStr">
        <is>
          <t>KINGSTON</t>
        </is>
      </c>
      <c r="J81" s="10" t="n"/>
      <c r="K81" s="10" t="n"/>
      <c r="L81" s="11" t="inlineStr">
        <is>
          <t>GND-03</t>
        </is>
      </c>
      <c r="M81" s="11" t="n">
        <v>1</v>
      </c>
      <c r="N81" s="11" t="inlineStr">
        <is>
          <t>Rak</t>
        </is>
      </c>
      <c r="O81" s="12">
        <f>IF(L81="","",IFERROR(INDEX(DAFTAR_FIXTURE!$B$2:$B$51,MATCH(L81,DAFTAR_FIXTURE!$A$2:$A$51,0)),""))</f>
        <v/>
      </c>
      <c r="P81" s="12">
        <f>IF(OR(O81="",M81=""),"",IFERROR(INDEX(LAYOUT!$D$2:$D$34,MATCH(O81&amp;"|"&amp;M81,LAYOUT!$E$2:$E$34,0)),"zona tidak ada di layout"))</f>
        <v/>
      </c>
      <c r="Q81" s="12">
        <f>IF(OR(L81="",D81=""),"",COUNTIFS($L$2:$L$500,L81,$M$2:$M$500,M81,$D$2:$D$500,"&lt;&gt;"))</f>
        <v/>
      </c>
      <c r="R81" s="12">
        <f>IF(AND(D81="",L81=""),"",IF(L81="","Belum ditempatkan",IF(O81="","CEK ID FIXTURE tidak ada di DAFTAR_FIXTURE",IF(M81="","CEK ZONA NO kosong",IF(P81="zona tidak ada di layout","CEK ZONA NO di luar layout",IF(N81&lt;&gt;P81,"CEK JENIS ZONA",IF(D81="","Zona STOCK",IF(E81="","CEK SKU DESCRIPTION kosong","OK"))))))))</f>
        <v/>
      </c>
    </row>
    <row r="82">
      <c r="A82" s="10" t="inlineStr">
        <is>
          <t>Homeware</t>
        </is>
      </c>
      <c r="B82" s="10" t="inlineStr">
        <is>
          <t>Cookware</t>
        </is>
      </c>
      <c r="C82" s="10" t="inlineStr">
        <is>
          <t>Pots &amp; Pans</t>
        </is>
      </c>
      <c r="D82" s="10" t="inlineStr">
        <is>
          <t>10421608</t>
        </is>
      </c>
      <c r="E82" s="10" t="inlineStr">
        <is>
          <t>KINGSTON CASSEROLE WITH LID 20 CM GREEN</t>
        </is>
      </c>
      <c r="F82" s="10" t="n"/>
      <c r="G82" s="10" t="inlineStr">
        <is>
          <t>MASAK</t>
        </is>
      </c>
      <c r="H82" s="10" t="inlineStr">
        <is>
          <t>B2. COOKWARE</t>
        </is>
      </c>
      <c r="I82" s="10" t="inlineStr">
        <is>
          <t>KINGSTON</t>
        </is>
      </c>
      <c r="J82" s="10" t="n"/>
      <c r="K82" s="10" t="n"/>
      <c r="L82" s="11" t="inlineStr">
        <is>
          <t>GND-03</t>
        </is>
      </c>
      <c r="M82" s="11" t="n">
        <v>1</v>
      </c>
      <c r="N82" s="11" t="inlineStr">
        <is>
          <t>Rak</t>
        </is>
      </c>
      <c r="O82" s="12">
        <f>IF(L82="","",IFERROR(INDEX(DAFTAR_FIXTURE!$B$2:$B$51,MATCH(L82,DAFTAR_FIXTURE!$A$2:$A$51,0)),""))</f>
        <v/>
      </c>
      <c r="P82" s="12">
        <f>IF(OR(O82="",M82=""),"",IFERROR(INDEX(LAYOUT!$D$2:$D$34,MATCH(O82&amp;"|"&amp;M82,LAYOUT!$E$2:$E$34,0)),"zona tidak ada di layout"))</f>
        <v/>
      </c>
      <c r="Q82" s="12">
        <f>IF(OR(L82="",D82=""),"",COUNTIFS($L$2:$L$500,L82,$M$2:$M$500,M82,$D$2:$D$500,"&lt;&gt;"))</f>
        <v/>
      </c>
      <c r="R82" s="12">
        <f>IF(AND(D82="",L82=""),"",IF(L82="","Belum ditempatkan",IF(O82="","CEK ID FIXTURE tidak ada di DAFTAR_FIXTURE",IF(M82="","CEK ZONA NO kosong",IF(P82="zona tidak ada di layout","CEK ZONA NO di luar layout",IF(N82&lt;&gt;P82,"CEK JENIS ZONA",IF(D82="","Zona STOCK",IF(E82="","CEK SKU DESCRIPTION kosong","OK"))))))))</f>
        <v/>
      </c>
    </row>
    <row r="83">
      <c r="A83" s="10" t="inlineStr">
        <is>
          <t>Homeware</t>
        </is>
      </c>
      <c r="B83" s="10" t="inlineStr">
        <is>
          <t>Cookware</t>
        </is>
      </c>
      <c r="C83" s="10" t="inlineStr">
        <is>
          <t>Pots &amp; Pans</t>
        </is>
      </c>
      <c r="D83" s="10" t="inlineStr">
        <is>
          <t>10421610</t>
        </is>
      </c>
      <c r="E83" s="10" t="inlineStr">
        <is>
          <t>KINGSTON GRILL PAN 24CM GREEN</t>
        </is>
      </c>
      <c r="F83" s="10" t="n"/>
      <c r="G83" s="10" t="inlineStr">
        <is>
          <t>MASAK</t>
        </is>
      </c>
      <c r="H83" s="10" t="inlineStr">
        <is>
          <t>B2. COOKWARE</t>
        </is>
      </c>
      <c r="I83" s="10" t="inlineStr">
        <is>
          <t>KINGSTON</t>
        </is>
      </c>
      <c r="J83" s="10" t="n"/>
      <c r="K83" s="10" t="n"/>
      <c r="L83" s="11" t="inlineStr">
        <is>
          <t>GND-03</t>
        </is>
      </c>
      <c r="M83" s="11" t="n">
        <v>1</v>
      </c>
      <c r="N83" s="11" t="inlineStr">
        <is>
          <t>Rak</t>
        </is>
      </c>
      <c r="O83" s="12">
        <f>IF(L83="","",IFERROR(INDEX(DAFTAR_FIXTURE!$B$2:$B$51,MATCH(L83,DAFTAR_FIXTURE!$A$2:$A$51,0)),""))</f>
        <v/>
      </c>
      <c r="P83" s="12">
        <f>IF(OR(O83="",M83=""),"",IFERROR(INDEX(LAYOUT!$D$2:$D$34,MATCH(O83&amp;"|"&amp;M83,LAYOUT!$E$2:$E$34,0)),"zona tidak ada di layout"))</f>
        <v/>
      </c>
      <c r="Q83" s="12">
        <f>IF(OR(L83="",D83=""),"",COUNTIFS($L$2:$L$500,L83,$M$2:$M$500,M83,$D$2:$D$500,"&lt;&gt;"))</f>
        <v/>
      </c>
      <c r="R83" s="12">
        <f>IF(AND(D83="",L83=""),"",IF(L83="","Belum ditempatkan",IF(O83="","CEK ID FIXTURE tidak ada di DAFTAR_FIXTURE",IF(M83="","CEK ZONA NO kosong",IF(P83="zona tidak ada di layout","CEK ZONA NO di luar layout",IF(N83&lt;&gt;P83,"CEK JENIS ZONA",IF(D83="","Zona STOCK",IF(E83="","CEK SKU DESCRIPTION kosong","OK"))))))))</f>
        <v/>
      </c>
    </row>
    <row r="84">
      <c r="A84" s="10" t="inlineStr">
        <is>
          <t>Homeware</t>
        </is>
      </c>
      <c r="B84" s="10" t="inlineStr">
        <is>
          <t>Cookware</t>
        </is>
      </c>
      <c r="C84" s="10" t="inlineStr">
        <is>
          <t>Pots &amp; Pans</t>
        </is>
      </c>
      <c r="D84" s="10" t="inlineStr">
        <is>
          <t>10421614</t>
        </is>
      </c>
      <c r="E84" s="10" t="inlineStr">
        <is>
          <t>KIRA WOK 2 HANDLE W LID AND UTENSIL BRN</t>
        </is>
      </c>
      <c r="F84" s="10" t="n"/>
      <c r="G84" s="10" t="inlineStr">
        <is>
          <t>MASAK</t>
        </is>
      </c>
      <c r="H84" s="10" t="inlineStr">
        <is>
          <t>B2. COOKWARE</t>
        </is>
      </c>
      <c r="I84" s="10" t="inlineStr">
        <is>
          <t>KIRA</t>
        </is>
      </c>
      <c r="J84" s="10" t="n"/>
      <c r="K84" s="10" t="n"/>
      <c r="L84" s="11" t="inlineStr">
        <is>
          <t>GND-03</t>
        </is>
      </c>
      <c r="M84" s="11" t="n">
        <v>1</v>
      </c>
      <c r="N84" s="11" t="inlineStr">
        <is>
          <t>Rak</t>
        </is>
      </c>
      <c r="O84" s="12">
        <f>IF(L84="","",IFERROR(INDEX(DAFTAR_FIXTURE!$B$2:$B$51,MATCH(L84,DAFTAR_FIXTURE!$A$2:$A$51,0)),""))</f>
        <v/>
      </c>
      <c r="P84" s="12">
        <f>IF(OR(O84="",M84=""),"",IFERROR(INDEX(LAYOUT!$D$2:$D$34,MATCH(O84&amp;"|"&amp;M84,LAYOUT!$E$2:$E$34,0)),"zona tidak ada di layout"))</f>
        <v/>
      </c>
      <c r="Q84" s="12">
        <f>IF(OR(L84="",D84=""),"",COUNTIFS($L$2:$L$500,L84,$M$2:$M$500,M84,$D$2:$D$500,"&lt;&gt;"))</f>
        <v/>
      </c>
      <c r="R84" s="12">
        <f>IF(AND(D84="",L84=""),"",IF(L84="","Belum ditempatkan",IF(O84="","CEK ID FIXTURE tidak ada di DAFTAR_FIXTURE",IF(M84="","CEK ZONA NO kosong",IF(P84="zona tidak ada di layout","CEK ZONA NO di luar layout",IF(N84&lt;&gt;P84,"CEK JENIS ZONA",IF(D84="","Zona STOCK",IF(E84="","CEK SKU DESCRIPTION kosong","OK"))))))))</f>
        <v/>
      </c>
    </row>
    <row r="85">
      <c r="A85" s="10" t="inlineStr">
        <is>
          <t>Homeware</t>
        </is>
      </c>
      <c r="B85" s="10" t="inlineStr">
        <is>
          <t>Kitchenware</t>
        </is>
      </c>
      <c r="C85" s="10" t="inlineStr">
        <is>
          <t>Kitchen Tools</t>
        </is>
      </c>
      <c r="D85" s="10" t="inlineStr">
        <is>
          <t>10198149</t>
        </is>
      </c>
      <c r="E85" s="10" t="inlineStr">
        <is>
          <t>TANTA STRAINER DIA 10CM</t>
        </is>
      </c>
      <c r="F85" s="10" t="n"/>
      <c r="G85" s="10" t="inlineStr">
        <is>
          <t>ALAT MASAK</t>
        </is>
      </c>
      <c r="H85" s="10" t="inlineStr">
        <is>
          <t>C1. KITCHEN TOOLS</t>
        </is>
      </c>
      <c r="I85" s="10" t="inlineStr">
        <is>
          <t>TANTA S/S</t>
        </is>
      </c>
      <c r="J85" s="10" t="n"/>
      <c r="K85" s="10" t="n"/>
      <c r="L85" s="11" t="inlineStr">
        <is>
          <t>GND-02</t>
        </is>
      </c>
      <c r="M85" s="11" t="n">
        <v>2</v>
      </c>
      <c r="N85" s="11" t="inlineStr">
        <is>
          <t>Gantungan</t>
        </is>
      </c>
      <c r="O85" s="12">
        <f>IF(L85="","",IFERROR(INDEX(DAFTAR_FIXTURE!$B$2:$B$51,MATCH(L85,DAFTAR_FIXTURE!$A$2:$A$51,0)),""))</f>
        <v/>
      </c>
      <c r="P85" s="12">
        <f>IF(OR(O85="",M85=""),"",IFERROR(INDEX(LAYOUT!$D$2:$D$34,MATCH(O85&amp;"|"&amp;M85,LAYOUT!$E$2:$E$34,0)),"zona tidak ada di layout"))</f>
        <v/>
      </c>
      <c r="Q85" s="12">
        <f>IF(OR(L85="",D85=""),"",COUNTIFS($L$2:$L$500,L85,$M$2:$M$500,M85,$D$2:$D$500,"&lt;&gt;"))</f>
        <v/>
      </c>
      <c r="R85" s="12">
        <f>IF(AND(D85="",L85=""),"",IF(L85="","Belum ditempatkan",IF(O85="","CEK ID FIXTURE tidak ada di DAFTAR_FIXTURE",IF(M85="","CEK ZONA NO kosong",IF(P85="zona tidak ada di layout","CEK ZONA NO di luar layout",IF(N85&lt;&gt;P85,"CEK JENIS ZONA",IF(D85="","Zona STOCK",IF(E85="","CEK SKU DESCRIPTION kosong","OK"))))))))</f>
        <v/>
      </c>
    </row>
    <row r="86">
      <c r="A86" s="10" t="inlineStr">
        <is>
          <t>Homeware</t>
        </is>
      </c>
      <c r="B86" s="10" t="inlineStr">
        <is>
          <t>Kitchenware</t>
        </is>
      </c>
      <c r="C86" s="10" t="inlineStr">
        <is>
          <t>Kitchen Tools</t>
        </is>
      </c>
      <c r="D86" s="10" t="inlineStr">
        <is>
          <t>10198150</t>
        </is>
      </c>
      <c r="E86" s="10" t="inlineStr">
        <is>
          <t>TANTA NYLON TONGS 9 INCH</t>
        </is>
      </c>
      <c r="F86" s="10" t="n"/>
      <c r="G86" s="10" t="inlineStr">
        <is>
          <t>ALAT MASAK</t>
        </is>
      </c>
      <c r="H86" s="10" t="inlineStr">
        <is>
          <t>C1. KITCHEN TOOLS</t>
        </is>
      </c>
      <c r="I86" s="10" t="inlineStr">
        <is>
          <t>TANTA NYLON</t>
        </is>
      </c>
      <c r="J86" s="10" t="n"/>
      <c r="K86" s="10" t="n"/>
      <c r="L86" s="11" t="inlineStr">
        <is>
          <t>GND-02</t>
        </is>
      </c>
      <c r="M86" s="11" t="n">
        <v>2</v>
      </c>
      <c r="N86" s="11" t="inlineStr">
        <is>
          <t>Gantungan</t>
        </is>
      </c>
      <c r="O86" s="12">
        <f>IF(L86="","",IFERROR(INDEX(DAFTAR_FIXTURE!$B$2:$B$51,MATCH(L86,DAFTAR_FIXTURE!$A$2:$A$51,0)),""))</f>
        <v/>
      </c>
      <c r="P86" s="12">
        <f>IF(OR(O86="",M86=""),"",IFERROR(INDEX(LAYOUT!$D$2:$D$34,MATCH(O86&amp;"|"&amp;M86,LAYOUT!$E$2:$E$34,0)),"zona tidak ada di layout"))</f>
        <v/>
      </c>
      <c r="Q86" s="12">
        <f>IF(OR(L86="",D86=""),"",COUNTIFS($L$2:$L$500,L86,$M$2:$M$500,M86,$D$2:$D$500,"&lt;&gt;"))</f>
        <v/>
      </c>
      <c r="R86" s="12">
        <f>IF(AND(D86="",L86=""),"",IF(L86="","Belum ditempatkan",IF(O86="","CEK ID FIXTURE tidak ada di DAFTAR_FIXTURE",IF(M86="","CEK ZONA NO kosong",IF(P86="zona tidak ada di layout","CEK ZONA NO di luar layout",IF(N86&lt;&gt;P86,"CEK JENIS ZONA",IF(D86="","Zona STOCK",IF(E86="","CEK SKU DESCRIPTION kosong","OK"))))))))</f>
        <v/>
      </c>
    </row>
    <row r="87">
      <c r="A87" s="10" t="inlineStr">
        <is>
          <t>Homeware</t>
        </is>
      </c>
      <c r="B87" s="10" t="inlineStr">
        <is>
          <t>Kitchenware</t>
        </is>
      </c>
      <c r="C87" s="10" t="inlineStr">
        <is>
          <t>Kitchen Tools</t>
        </is>
      </c>
      <c r="D87" s="10" t="inlineStr">
        <is>
          <t>10198151</t>
        </is>
      </c>
      <c r="E87" s="10" t="inlineStr">
        <is>
          <t>TANTA NYLON TONGS 12 INCH</t>
        </is>
      </c>
      <c r="F87" s="10" t="n"/>
      <c r="G87" s="10" t="inlineStr">
        <is>
          <t>ALAT MASAK</t>
        </is>
      </c>
      <c r="H87" s="10" t="inlineStr">
        <is>
          <t>C1. KITCHEN TOOLS</t>
        </is>
      </c>
      <c r="I87" s="10" t="inlineStr">
        <is>
          <t>TANTA NYLON</t>
        </is>
      </c>
      <c r="J87" s="10" t="n"/>
      <c r="K87" s="10" t="n"/>
      <c r="L87" s="11" t="inlineStr">
        <is>
          <t>GND-02</t>
        </is>
      </c>
      <c r="M87" s="11" t="n">
        <v>2</v>
      </c>
      <c r="N87" s="11" t="inlineStr">
        <is>
          <t>Gantungan</t>
        </is>
      </c>
      <c r="O87" s="12">
        <f>IF(L87="","",IFERROR(INDEX(DAFTAR_FIXTURE!$B$2:$B$51,MATCH(L87,DAFTAR_FIXTURE!$A$2:$A$51,0)),""))</f>
        <v/>
      </c>
      <c r="P87" s="12">
        <f>IF(OR(O87="",M87=""),"",IFERROR(INDEX(LAYOUT!$D$2:$D$34,MATCH(O87&amp;"|"&amp;M87,LAYOUT!$E$2:$E$34,0)),"zona tidak ada di layout"))</f>
        <v/>
      </c>
      <c r="Q87" s="12">
        <f>IF(OR(L87="",D87=""),"",COUNTIFS($L$2:$L$500,L87,$M$2:$M$500,M87,$D$2:$D$500,"&lt;&gt;"))</f>
        <v/>
      </c>
      <c r="R87" s="12">
        <f>IF(AND(D87="",L87=""),"",IF(L87="","Belum ditempatkan",IF(O87="","CEK ID FIXTURE tidak ada di DAFTAR_FIXTURE",IF(M87="","CEK ZONA NO kosong",IF(P87="zona tidak ada di layout","CEK ZONA NO di luar layout",IF(N87&lt;&gt;P87,"CEK JENIS ZONA",IF(D87="","Zona STOCK",IF(E87="","CEK SKU DESCRIPTION kosong","OK"))))))))</f>
        <v/>
      </c>
    </row>
    <row r="88">
      <c r="A88" s="10" t="inlineStr">
        <is>
          <t>Homeware</t>
        </is>
      </c>
      <c r="B88" s="10" t="inlineStr">
        <is>
          <t>Kitchenware</t>
        </is>
      </c>
      <c r="C88" s="10" t="inlineStr">
        <is>
          <t>Kitchen Tools</t>
        </is>
      </c>
      <c r="D88" s="10" t="inlineStr">
        <is>
          <t>10198152</t>
        </is>
      </c>
      <c r="E88" s="10" t="inlineStr">
        <is>
          <t>TANTA S/S SOLID TURNER M</t>
        </is>
      </c>
      <c r="F88" s="10" t="n"/>
      <c r="G88" s="10" t="inlineStr">
        <is>
          <t>ALAT MASAK</t>
        </is>
      </c>
      <c r="H88" s="10" t="inlineStr">
        <is>
          <t>C1. KITCHEN TOOLS</t>
        </is>
      </c>
      <c r="I88" s="10" t="inlineStr">
        <is>
          <t>TANTA S/S</t>
        </is>
      </c>
      <c r="J88" s="10" t="n"/>
      <c r="K88" s="10" t="n"/>
      <c r="L88" s="11" t="inlineStr">
        <is>
          <t>GND-02</t>
        </is>
      </c>
      <c r="M88" s="11" t="n">
        <v>2</v>
      </c>
      <c r="N88" s="11" t="inlineStr">
        <is>
          <t>Gantungan</t>
        </is>
      </c>
      <c r="O88" s="12">
        <f>IF(L88="","",IFERROR(INDEX(DAFTAR_FIXTURE!$B$2:$B$51,MATCH(L88,DAFTAR_FIXTURE!$A$2:$A$51,0)),""))</f>
        <v/>
      </c>
      <c r="P88" s="12">
        <f>IF(OR(O88="",M88=""),"",IFERROR(INDEX(LAYOUT!$D$2:$D$34,MATCH(O88&amp;"|"&amp;M88,LAYOUT!$E$2:$E$34,0)),"zona tidak ada di layout"))</f>
        <v/>
      </c>
      <c r="Q88" s="12">
        <f>IF(OR(L88="",D88=""),"",COUNTIFS($L$2:$L$500,L88,$M$2:$M$500,M88,$D$2:$D$500,"&lt;&gt;"))</f>
        <v/>
      </c>
      <c r="R88" s="12">
        <f>IF(AND(D88="",L88=""),"",IF(L88="","Belum ditempatkan",IF(O88="","CEK ID FIXTURE tidak ada di DAFTAR_FIXTURE",IF(M88="","CEK ZONA NO kosong",IF(P88="zona tidak ada di layout","CEK ZONA NO di luar layout",IF(N88&lt;&gt;P88,"CEK JENIS ZONA",IF(D88="","Zona STOCK",IF(E88="","CEK SKU DESCRIPTION kosong","OK"))))))))</f>
        <v/>
      </c>
    </row>
    <row r="89">
      <c r="A89" s="10" t="inlineStr">
        <is>
          <t>Homeware</t>
        </is>
      </c>
      <c r="B89" s="10" t="inlineStr">
        <is>
          <t>Kitchenware</t>
        </is>
      </c>
      <c r="C89" s="10" t="inlineStr">
        <is>
          <t>Kitchen Tools</t>
        </is>
      </c>
      <c r="D89" s="10" t="inlineStr">
        <is>
          <t>10198154</t>
        </is>
      </c>
      <c r="E89" s="10" t="inlineStr">
        <is>
          <t>TANTA S/S LADLE</t>
        </is>
      </c>
      <c r="F89" s="10" t="n"/>
      <c r="G89" s="10" t="inlineStr">
        <is>
          <t>ALAT MASAK</t>
        </is>
      </c>
      <c r="H89" s="10" t="inlineStr">
        <is>
          <t>C1. KITCHEN TOOLS</t>
        </is>
      </c>
      <c r="I89" s="10" t="inlineStr">
        <is>
          <t>TANTA S/S</t>
        </is>
      </c>
      <c r="J89" s="10" t="n"/>
      <c r="K89" s="10" t="n"/>
      <c r="L89" s="11" t="inlineStr">
        <is>
          <t>GND-02</t>
        </is>
      </c>
      <c r="M89" s="11" t="n">
        <v>2</v>
      </c>
      <c r="N89" s="11" t="inlineStr">
        <is>
          <t>Gantungan</t>
        </is>
      </c>
      <c r="O89" s="12">
        <f>IF(L89="","",IFERROR(INDEX(DAFTAR_FIXTURE!$B$2:$B$51,MATCH(L89,DAFTAR_FIXTURE!$A$2:$A$51,0)),""))</f>
        <v/>
      </c>
      <c r="P89" s="12">
        <f>IF(OR(O89="",M89=""),"",IFERROR(INDEX(LAYOUT!$D$2:$D$34,MATCH(O89&amp;"|"&amp;M89,LAYOUT!$E$2:$E$34,0)),"zona tidak ada di layout"))</f>
        <v/>
      </c>
      <c r="Q89" s="12">
        <f>IF(OR(L89="",D89=""),"",COUNTIFS($L$2:$L$500,L89,$M$2:$M$500,M89,$D$2:$D$500,"&lt;&gt;"))</f>
        <v/>
      </c>
      <c r="R89" s="12">
        <f>IF(AND(D89="",L89=""),"",IF(L89="","Belum ditempatkan",IF(O89="","CEK ID FIXTURE tidak ada di DAFTAR_FIXTURE",IF(M89="","CEK ZONA NO kosong",IF(P89="zona tidak ada di layout","CEK ZONA NO di luar layout",IF(N89&lt;&gt;P89,"CEK JENIS ZONA",IF(D89="","Zona STOCK",IF(E89="","CEK SKU DESCRIPTION kosong","OK"))))))))</f>
        <v/>
      </c>
    </row>
    <row r="90">
      <c r="A90" s="10" t="inlineStr">
        <is>
          <t>Homeware</t>
        </is>
      </c>
      <c r="B90" s="10" t="inlineStr">
        <is>
          <t>Kitchenware</t>
        </is>
      </c>
      <c r="C90" s="10" t="inlineStr">
        <is>
          <t>Kitchen Tools</t>
        </is>
      </c>
      <c r="D90" s="10" t="inlineStr">
        <is>
          <t>10198156</t>
        </is>
      </c>
      <c r="E90" s="10" t="inlineStr">
        <is>
          <t>TANTA NYLON SLOTTED TURNER M</t>
        </is>
      </c>
      <c r="F90" s="10" t="n"/>
      <c r="G90" s="10" t="inlineStr">
        <is>
          <t>ALAT MASAK</t>
        </is>
      </c>
      <c r="H90" s="10" t="inlineStr">
        <is>
          <t>C1. KITCHEN TOOLS</t>
        </is>
      </c>
      <c r="I90" s="10" t="inlineStr">
        <is>
          <t>TANTA NYLON</t>
        </is>
      </c>
      <c r="J90" s="10" t="n"/>
      <c r="K90" s="10" t="n"/>
      <c r="L90" s="11" t="inlineStr">
        <is>
          <t>GND-02</t>
        </is>
      </c>
      <c r="M90" s="11" t="n">
        <v>2</v>
      </c>
      <c r="N90" s="11" t="inlineStr">
        <is>
          <t>Gantungan</t>
        </is>
      </c>
      <c r="O90" s="12">
        <f>IF(L90="","",IFERROR(INDEX(DAFTAR_FIXTURE!$B$2:$B$51,MATCH(L90,DAFTAR_FIXTURE!$A$2:$A$51,0)),""))</f>
        <v/>
      </c>
      <c r="P90" s="12">
        <f>IF(OR(O90="",M90=""),"",IFERROR(INDEX(LAYOUT!$D$2:$D$34,MATCH(O90&amp;"|"&amp;M90,LAYOUT!$E$2:$E$34,0)),"zona tidak ada di layout"))</f>
        <v/>
      </c>
      <c r="Q90" s="12">
        <f>IF(OR(L90="",D90=""),"",COUNTIFS($L$2:$L$500,L90,$M$2:$M$500,M90,$D$2:$D$500,"&lt;&gt;"))</f>
        <v/>
      </c>
      <c r="R90" s="12">
        <f>IF(AND(D90="",L90=""),"",IF(L90="","Belum ditempatkan",IF(O90="","CEK ID FIXTURE tidak ada di DAFTAR_FIXTURE",IF(M90="","CEK ZONA NO kosong",IF(P90="zona tidak ada di layout","CEK ZONA NO di luar layout",IF(N90&lt;&gt;P90,"CEK JENIS ZONA",IF(D90="","Zona STOCK",IF(E90="","CEK SKU DESCRIPTION kosong","OK"))))))))</f>
        <v/>
      </c>
    </row>
    <row r="91">
      <c r="A91" s="10" t="inlineStr">
        <is>
          <t>Homeware</t>
        </is>
      </c>
      <c r="B91" s="10" t="inlineStr">
        <is>
          <t>Kitchenware</t>
        </is>
      </c>
      <c r="C91" s="10" t="inlineStr">
        <is>
          <t>Kitchen Tools</t>
        </is>
      </c>
      <c r="D91" s="10" t="inlineStr">
        <is>
          <t>10198157</t>
        </is>
      </c>
      <c r="E91" s="10" t="inlineStr">
        <is>
          <t>TANTA NYLON SOLID TURNER L</t>
        </is>
      </c>
      <c r="F91" s="10" t="n"/>
      <c r="G91" s="10" t="inlineStr">
        <is>
          <t>ALAT MASAK</t>
        </is>
      </c>
      <c r="H91" s="10" t="inlineStr">
        <is>
          <t>C1. KITCHEN TOOLS</t>
        </is>
      </c>
      <c r="I91" s="10" t="inlineStr">
        <is>
          <t>TANTA NYLON</t>
        </is>
      </c>
      <c r="J91" s="10" t="n"/>
      <c r="K91" s="10" t="n"/>
      <c r="L91" s="11" t="inlineStr">
        <is>
          <t>GND-02</t>
        </is>
      </c>
      <c r="M91" s="11" t="n">
        <v>2</v>
      </c>
      <c r="N91" s="11" t="inlineStr">
        <is>
          <t>Gantungan</t>
        </is>
      </c>
      <c r="O91" s="12">
        <f>IF(L91="","",IFERROR(INDEX(DAFTAR_FIXTURE!$B$2:$B$51,MATCH(L91,DAFTAR_FIXTURE!$A$2:$A$51,0)),""))</f>
        <v/>
      </c>
      <c r="P91" s="12">
        <f>IF(OR(O91="",M91=""),"",IFERROR(INDEX(LAYOUT!$D$2:$D$34,MATCH(O91&amp;"|"&amp;M91,LAYOUT!$E$2:$E$34,0)),"zona tidak ada di layout"))</f>
        <v/>
      </c>
      <c r="Q91" s="12">
        <f>IF(OR(L91="",D91=""),"",COUNTIFS($L$2:$L$500,L91,$M$2:$M$500,M91,$D$2:$D$500,"&lt;&gt;"))</f>
        <v/>
      </c>
      <c r="R91" s="12">
        <f>IF(AND(D91="",L91=""),"",IF(L91="","Belum ditempatkan",IF(O91="","CEK ID FIXTURE tidak ada di DAFTAR_FIXTURE",IF(M91="","CEK ZONA NO kosong",IF(P91="zona tidak ada di layout","CEK ZONA NO di luar layout",IF(N91&lt;&gt;P91,"CEK JENIS ZONA",IF(D91="","Zona STOCK",IF(E91="","CEK SKU DESCRIPTION kosong","OK"))))))))</f>
        <v/>
      </c>
    </row>
    <row r="92">
      <c r="A92" s="10" t="inlineStr">
        <is>
          <t>Homeware</t>
        </is>
      </c>
      <c r="B92" s="10" t="inlineStr">
        <is>
          <t>Kitchenware</t>
        </is>
      </c>
      <c r="C92" s="10" t="inlineStr">
        <is>
          <t>Kitchen Tools</t>
        </is>
      </c>
      <c r="D92" s="10" t="inlineStr">
        <is>
          <t>10198159</t>
        </is>
      </c>
      <c r="E92" s="10" t="inlineStr">
        <is>
          <t>TANTA NYLON LADLE</t>
        </is>
      </c>
      <c r="F92" s="10" t="n"/>
      <c r="G92" s="10" t="inlineStr">
        <is>
          <t>ALAT MASAK</t>
        </is>
      </c>
      <c r="H92" s="10" t="inlineStr">
        <is>
          <t>C1. KITCHEN TOOLS</t>
        </is>
      </c>
      <c r="I92" s="10" t="inlineStr">
        <is>
          <t>TANTA NYLON</t>
        </is>
      </c>
      <c r="J92" s="10" t="n"/>
      <c r="K92" s="10" t="n"/>
      <c r="L92" s="11" t="inlineStr">
        <is>
          <t>GND-02</t>
        </is>
      </c>
      <c r="M92" s="11" t="n">
        <v>2</v>
      </c>
      <c r="N92" s="11" t="inlineStr">
        <is>
          <t>Gantungan</t>
        </is>
      </c>
      <c r="O92" s="12">
        <f>IF(L92="","",IFERROR(INDEX(DAFTAR_FIXTURE!$B$2:$B$51,MATCH(L92,DAFTAR_FIXTURE!$A$2:$A$51,0)),""))</f>
        <v/>
      </c>
      <c r="P92" s="12">
        <f>IF(OR(O92="",M92=""),"",IFERROR(INDEX(LAYOUT!$D$2:$D$34,MATCH(O92&amp;"|"&amp;M92,LAYOUT!$E$2:$E$34,0)),"zona tidak ada di layout"))</f>
        <v/>
      </c>
      <c r="Q92" s="12">
        <f>IF(OR(L92="",D92=""),"",COUNTIFS($L$2:$L$500,L92,$M$2:$M$500,M92,$D$2:$D$500,"&lt;&gt;"))</f>
        <v/>
      </c>
      <c r="R92" s="12">
        <f>IF(AND(D92="",L92=""),"",IF(L92="","Belum ditempatkan",IF(O92="","CEK ID FIXTURE tidak ada di DAFTAR_FIXTURE",IF(M92="","CEK ZONA NO kosong",IF(P92="zona tidak ada di layout","CEK ZONA NO di luar layout",IF(N92&lt;&gt;P92,"CEK JENIS ZONA",IF(D92="","Zona STOCK",IF(E92="","CEK SKU DESCRIPTION kosong","OK"))))))))</f>
        <v/>
      </c>
    </row>
    <row r="93">
      <c r="A93" s="10" t="inlineStr">
        <is>
          <t>Homeware</t>
        </is>
      </c>
      <c r="B93" s="10" t="inlineStr">
        <is>
          <t>Kitchenware</t>
        </is>
      </c>
      <c r="C93" s="10" t="inlineStr">
        <is>
          <t>Kitchen Tools</t>
        </is>
      </c>
      <c r="D93" s="10" t="inlineStr">
        <is>
          <t>10198160</t>
        </is>
      </c>
      <c r="E93" s="10" t="inlineStr">
        <is>
          <t>TANTA NYLON WHISK</t>
        </is>
      </c>
      <c r="F93" s="10" t="n"/>
      <c r="G93" s="10" t="inlineStr">
        <is>
          <t>ALAT MASAK</t>
        </is>
      </c>
      <c r="H93" s="10" t="inlineStr">
        <is>
          <t>C1. KITCHEN TOOLS</t>
        </is>
      </c>
      <c r="I93" s="10" t="inlineStr">
        <is>
          <t>TANTA NYLON</t>
        </is>
      </c>
      <c r="J93" s="10" t="n"/>
      <c r="K93" s="10" t="n"/>
      <c r="L93" s="11" t="inlineStr">
        <is>
          <t>GND-02</t>
        </is>
      </c>
      <c r="M93" s="11" t="n">
        <v>2</v>
      </c>
      <c r="N93" s="11" t="inlineStr">
        <is>
          <t>Gantungan</t>
        </is>
      </c>
      <c r="O93" s="12">
        <f>IF(L93="","",IFERROR(INDEX(DAFTAR_FIXTURE!$B$2:$B$51,MATCH(L93,DAFTAR_FIXTURE!$A$2:$A$51,0)),""))</f>
        <v/>
      </c>
      <c r="P93" s="12">
        <f>IF(OR(O93="",M93=""),"",IFERROR(INDEX(LAYOUT!$D$2:$D$34,MATCH(O93&amp;"|"&amp;M93,LAYOUT!$E$2:$E$34,0)),"zona tidak ada di layout"))</f>
        <v/>
      </c>
      <c r="Q93" s="12">
        <f>IF(OR(L93="",D93=""),"",COUNTIFS($L$2:$L$500,L93,$M$2:$M$500,M93,$D$2:$D$500,"&lt;&gt;"))</f>
        <v/>
      </c>
      <c r="R93" s="12">
        <f>IF(AND(D93="",L93=""),"",IF(L93="","Belum ditempatkan",IF(O93="","CEK ID FIXTURE tidak ada di DAFTAR_FIXTURE",IF(M93="","CEK ZONA NO kosong",IF(P93="zona tidak ada di layout","CEK ZONA NO di luar layout",IF(N93&lt;&gt;P93,"CEK JENIS ZONA",IF(D93="","Zona STOCK",IF(E93="","CEK SKU DESCRIPTION kosong","OK"))))))))</f>
        <v/>
      </c>
    </row>
    <row r="94">
      <c r="A94" s="10" t="inlineStr">
        <is>
          <t>Homeware</t>
        </is>
      </c>
      <c r="B94" s="10" t="inlineStr">
        <is>
          <t>Kitchenware</t>
        </is>
      </c>
      <c r="C94" s="10" t="inlineStr">
        <is>
          <t>Kitchen Tools</t>
        </is>
      </c>
      <c r="D94" s="10" t="inlineStr">
        <is>
          <t>10198149</t>
        </is>
      </c>
      <c r="E94" s="10" t="inlineStr">
        <is>
          <t>TANTA STRAINER DIA 10CM</t>
        </is>
      </c>
      <c r="F94" s="10" t="n"/>
      <c r="G94" s="10" t="inlineStr">
        <is>
          <t>ALAT MASAK</t>
        </is>
      </c>
      <c r="H94" s="10" t="inlineStr">
        <is>
          <t>C1. KITCHEN TOOLS</t>
        </is>
      </c>
      <c r="I94" s="10" t="inlineStr">
        <is>
          <t>TANTA S/S</t>
        </is>
      </c>
      <c r="J94" s="10" t="n"/>
      <c r="K94" s="10" t="n"/>
      <c r="L94" s="11" t="inlineStr">
        <is>
          <t>GND-02</t>
        </is>
      </c>
      <c r="M94" s="11" t="n">
        <v>3</v>
      </c>
      <c r="N94" s="11" t="inlineStr">
        <is>
          <t>Gantungan</t>
        </is>
      </c>
      <c r="O94" s="12">
        <f>IF(L94="","",IFERROR(INDEX(DAFTAR_FIXTURE!$B$2:$B$51,MATCH(L94,DAFTAR_FIXTURE!$A$2:$A$51,0)),""))</f>
        <v/>
      </c>
      <c r="P94" s="12">
        <f>IF(OR(O94="",M94=""),"",IFERROR(INDEX(LAYOUT!$D$2:$D$34,MATCH(O94&amp;"|"&amp;M94,LAYOUT!$E$2:$E$34,0)),"zona tidak ada di layout"))</f>
        <v/>
      </c>
      <c r="Q94" s="12">
        <f>IF(OR(L94="",D94=""),"",COUNTIFS($L$2:$L$500,L94,$M$2:$M$500,M94,$D$2:$D$500,"&lt;&gt;"))</f>
        <v/>
      </c>
      <c r="R94" s="12">
        <f>IF(AND(D94="",L94=""),"",IF(L94="","Belum ditempatkan",IF(O94="","CEK ID FIXTURE tidak ada di DAFTAR_FIXTURE",IF(M94="","CEK ZONA NO kosong",IF(P94="zona tidak ada di layout","CEK ZONA NO di luar layout",IF(N94&lt;&gt;P94,"CEK JENIS ZONA",IF(D94="","Zona STOCK",IF(E94="","CEK SKU DESCRIPTION kosong","OK"))))))))</f>
        <v/>
      </c>
    </row>
    <row r="95">
      <c r="A95" s="10" t="inlineStr">
        <is>
          <t>Homeware</t>
        </is>
      </c>
      <c r="B95" s="10" t="inlineStr">
        <is>
          <t>Kitchenware</t>
        </is>
      </c>
      <c r="C95" s="10" t="inlineStr">
        <is>
          <t>Kitchen Tools</t>
        </is>
      </c>
      <c r="D95" s="10" t="inlineStr">
        <is>
          <t>10198150</t>
        </is>
      </c>
      <c r="E95" s="10" t="inlineStr">
        <is>
          <t>TANTA NYLON TONGS 9 INCH</t>
        </is>
      </c>
      <c r="F95" s="10" t="n"/>
      <c r="G95" s="10" t="inlineStr">
        <is>
          <t>ALAT MASAK</t>
        </is>
      </c>
      <c r="H95" s="10" t="inlineStr">
        <is>
          <t>C1. KITCHEN TOOLS</t>
        </is>
      </c>
      <c r="I95" s="10" t="inlineStr">
        <is>
          <t>TANTA NYLON</t>
        </is>
      </c>
      <c r="J95" s="10" t="n"/>
      <c r="K95" s="10" t="n"/>
      <c r="L95" s="11" t="inlineStr">
        <is>
          <t>GND-02</t>
        </is>
      </c>
      <c r="M95" s="11" t="n">
        <v>3</v>
      </c>
      <c r="N95" s="11" t="inlineStr">
        <is>
          <t>Gantungan</t>
        </is>
      </c>
      <c r="O95" s="12">
        <f>IF(L95="","",IFERROR(INDEX(DAFTAR_FIXTURE!$B$2:$B$51,MATCH(L95,DAFTAR_FIXTURE!$A$2:$A$51,0)),""))</f>
        <v/>
      </c>
      <c r="P95" s="12">
        <f>IF(OR(O95="",M95=""),"",IFERROR(INDEX(LAYOUT!$D$2:$D$34,MATCH(O95&amp;"|"&amp;M95,LAYOUT!$E$2:$E$34,0)),"zona tidak ada di layout"))</f>
        <v/>
      </c>
      <c r="Q95" s="12">
        <f>IF(OR(L95="",D95=""),"",COUNTIFS($L$2:$L$500,L95,$M$2:$M$500,M95,$D$2:$D$500,"&lt;&gt;"))</f>
        <v/>
      </c>
      <c r="R95" s="12">
        <f>IF(AND(D95="",L95=""),"",IF(L95="","Belum ditempatkan",IF(O95="","CEK ID FIXTURE tidak ada di DAFTAR_FIXTURE",IF(M95="","CEK ZONA NO kosong",IF(P95="zona tidak ada di layout","CEK ZONA NO di luar layout",IF(N95&lt;&gt;P95,"CEK JENIS ZONA",IF(D95="","Zona STOCK",IF(E95="","CEK SKU DESCRIPTION kosong","OK"))))))))</f>
        <v/>
      </c>
    </row>
    <row r="96">
      <c r="A96" s="10" t="inlineStr">
        <is>
          <t>Homeware</t>
        </is>
      </c>
      <c r="B96" s="10" t="inlineStr">
        <is>
          <t>Kitchenware</t>
        </is>
      </c>
      <c r="C96" s="10" t="inlineStr">
        <is>
          <t>Kitchen Tools</t>
        </is>
      </c>
      <c r="D96" s="10" t="inlineStr">
        <is>
          <t>10198151</t>
        </is>
      </c>
      <c r="E96" s="10" t="inlineStr">
        <is>
          <t>TANTA NYLON TONGS 12 INCH</t>
        </is>
      </c>
      <c r="F96" s="10" t="n"/>
      <c r="G96" s="10" t="inlineStr">
        <is>
          <t>ALAT MASAK</t>
        </is>
      </c>
      <c r="H96" s="10" t="inlineStr">
        <is>
          <t>C1. KITCHEN TOOLS</t>
        </is>
      </c>
      <c r="I96" s="10" t="inlineStr">
        <is>
          <t>TANTA NYLON</t>
        </is>
      </c>
      <c r="J96" s="10" t="n"/>
      <c r="K96" s="10" t="n"/>
      <c r="L96" s="11" t="inlineStr">
        <is>
          <t>GND-02</t>
        </is>
      </c>
      <c r="M96" s="11" t="n">
        <v>3</v>
      </c>
      <c r="N96" s="11" t="inlineStr">
        <is>
          <t>Gantungan</t>
        </is>
      </c>
      <c r="O96" s="12">
        <f>IF(L96="","",IFERROR(INDEX(DAFTAR_FIXTURE!$B$2:$B$51,MATCH(L96,DAFTAR_FIXTURE!$A$2:$A$51,0)),""))</f>
        <v/>
      </c>
      <c r="P96" s="12">
        <f>IF(OR(O96="",M96=""),"",IFERROR(INDEX(LAYOUT!$D$2:$D$34,MATCH(O96&amp;"|"&amp;M96,LAYOUT!$E$2:$E$34,0)),"zona tidak ada di layout"))</f>
        <v/>
      </c>
      <c r="Q96" s="12">
        <f>IF(OR(L96="",D96=""),"",COUNTIFS($L$2:$L$500,L96,$M$2:$M$500,M96,$D$2:$D$500,"&lt;&gt;"))</f>
        <v/>
      </c>
      <c r="R96" s="12">
        <f>IF(AND(D96="",L96=""),"",IF(L96="","Belum ditempatkan",IF(O96="","CEK ID FIXTURE tidak ada di DAFTAR_FIXTURE",IF(M96="","CEK ZONA NO kosong",IF(P96="zona tidak ada di layout","CEK ZONA NO di luar layout",IF(N96&lt;&gt;P96,"CEK JENIS ZONA",IF(D96="","Zona STOCK",IF(E96="","CEK SKU DESCRIPTION kosong","OK"))))))))</f>
        <v/>
      </c>
    </row>
    <row r="97">
      <c r="A97" s="10" t="inlineStr">
        <is>
          <t>Homeware</t>
        </is>
      </c>
      <c r="B97" s="10" t="inlineStr">
        <is>
          <t>Kitchenware</t>
        </is>
      </c>
      <c r="C97" s="10" t="inlineStr">
        <is>
          <t>Kitchen Tools</t>
        </is>
      </c>
      <c r="D97" s="10" t="inlineStr">
        <is>
          <t>10198152</t>
        </is>
      </c>
      <c r="E97" s="10" t="inlineStr">
        <is>
          <t>TANTA S/S SOLID TURNER M</t>
        </is>
      </c>
      <c r="F97" s="10" t="n"/>
      <c r="G97" s="10" t="inlineStr">
        <is>
          <t>ALAT MASAK</t>
        </is>
      </c>
      <c r="H97" s="10" t="inlineStr">
        <is>
          <t>C1. KITCHEN TOOLS</t>
        </is>
      </c>
      <c r="I97" s="10" t="inlineStr">
        <is>
          <t>TANTA S/S</t>
        </is>
      </c>
      <c r="J97" s="10" t="n"/>
      <c r="K97" s="10" t="n"/>
      <c r="L97" s="11" t="inlineStr">
        <is>
          <t>GND-02</t>
        </is>
      </c>
      <c r="M97" s="11" t="n">
        <v>3</v>
      </c>
      <c r="N97" s="11" t="inlineStr">
        <is>
          <t>Gantungan</t>
        </is>
      </c>
      <c r="O97" s="12">
        <f>IF(L97="","",IFERROR(INDEX(DAFTAR_FIXTURE!$B$2:$B$51,MATCH(L97,DAFTAR_FIXTURE!$A$2:$A$51,0)),""))</f>
        <v/>
      </c>
      <c r="P97" s="12">
        <f>IF(OR(O97="",M97=""),"",IFERROR(INDEX(LAYOUT!$D$2:$D$34,MATCH(O97&amp;"|"&amp;M97,LAYOUT!$E$2:$E$34,0)),"zona tidak ada di layout"))</f>
        <v/>
      </c>
      <c r="Q97" s="12">
        <f>IF(OR(L97="",D97=""),"",COUNTIFS($L$2:$L$500,L97,$M$2:$M$500,M97,$D$2:$D$500,"&lt;&gt;"))</f>
        <v/>
      </c>
      <c r="R97" s="12">
        <f>IF(AND(D97="",L97=""),"",IF(L97="","Belum ditempatkan",IF(O97="","CEK ID FIXTURE tidak ada di DAFTAR_FIXTURE",IF(M97="","CEK ZONA NO kosong",IF(P97="zona tidak ada di layout","CEK ZONA NO di luar layout",IF(N97&lt;&gt;P97,"CEK JENIS ZONA",IF(D97="","Zona STOCK",IF(E97="","CEK SKU DESCRIPTION kosong","OK"))))))))</f>
        <v/>
      </c>
    </row>
    <row r="98">
      <c r="A98" s="10" t="inlineStr">
        <is>
          <t>Homeware</t>
        </is>
      </c>
      <c r="B98" s="10" t="inlineStr">
        <is>
          <t>Kitchenware</t>
        </is>
      </c>
      <c r="C98" s="10" t="inlineStr">
        <is>
          <t>Kitchen Tools</t>
        </is>
      </c>
      <c r="D98" s="10" t="inlineStr">
        <is>
          <t>10198154</t>
        </is>
      </c>
      <c r="E98" s="10" t="inlineStr">
        <is>
          <t>TANTA S/S LADLE</t>
        </is>
      </c>
      <c r="F98" s="10" t="n"/>
      <c r="G98" s="10" t="inlineStr">
        <is>
          <t>ALAT MASAK</t>
        </is>
      </c>
      <c r="H98" s="10" t="inlineStr">
        <is>
          <t>C1. KITCHEN TOOLS</t>
        </is>
      </c>
      <c r="I98" s="10" t="inlineStr">
        <is>
          <t>TANTA S/S</t>
        </is>
      </c>
      <c r="J98" s="10" t="n"/>
      <c r="K98" s="10" t="n"/>
      <c r="L98" s="11" t="inlineStr">
        <is>
          <t>GND-02</t>
        </is>
      </c>
      <c r="M98" s="11" t="n">
        <v>3</v>
      </c>
      <c r="N98" s="11" t="inlineStr">
        <is>
          <t>Gantungan</t>
        </is>
      </c>
      <c r="O98" s="12">
        <f>IF(L98="","",IFERROR(INDEX(DAFTAR_FIXTURE!$B$2:$B$51,MATCH(L98,DAFTAR_FIXTURE!$A$2:$A$51,0)),""))</f>
        <v/>
      </c>
      <c r="P98" s="12">
        <f>IF(OR(O98="",M98=""),"",IFERROR(INDEX(LAYOUT!$D$2:$D$34,MATCH(O98&amp;"|"&amp;M98,LAYOUT!$E$2:$E$34,0)),"zona tidak ada di layout"))</f>
        <v/>
      </c>
      <c r="Q98" s="12">
        <f>IF(OR(L98="",D98=""),"",COUNTIFS($L$2:$L$500,L98,$M$2:$M$500,M98,$D$2:$D$500,"&lt;&gt;"))</f>
        <v/>
      </c>
      <c r="R98" s="12">
        <f>IF(AND(D98="",L98=""),"",IF(L98="","Belum ditempatkan",IF(O98="","CEK ID FIXTURE tidak ada di DAFTAR_FIXTURE",IF(M98="","CEK ZONA NO kosong",IF(P98="zona tidak ada di layout","CEK ZONA NO di luar layout",IF(N98&lt;&gt;P98,"CEK JENIS ZONA",IF(D98="","Zona STOCK",IF(E98="","CEK SKU DESCRIPTION kosong","OK"))))))))</f>
        <v/>
      </c>
    </row>
    <row r="99">
      <c r="A99" s="10" t="inlineStr">
        <is>
          <t>Homeware</t>
        </is>
      </c>
      <c r="B99" s="10" t="inlineStr">
        <is>
          <t>Kitchenware</t>
        </is>
      </c>
      <c r="C99" s="10" t="inlineStr">
        <is>
          <t>Kitchen Tools</t>
        </is>
      </c>
      <c r="D99" s="10" t="inlineStr">
        <is>
          <t>10198156</t>
        </is>
      </c>
      <c r="E99" s="10" t="inlineStr">
        <is>
          <t>TANTA NYLON SLOTTED TURNER M</t>
        </is>
      </c>
      <c r="F99" s="10" t="n"/>
      <c r="G99" s="10" t="inlineStr">
        <is>
          <t>ALAT MASAK</t>
        </is>
      </c>
      <c r="H99" s="10" t="inlineStr">
        <is>
          <t>C1. KITCHEN TOOLS</t>
        </is>
      </c>
      <c r="I99" s="10" t="inlineStr">
        <is>
          <t>TANTA NYLON</t>
        </is>
      </c>
      <c r="J99" s="10" t="n"/>
      <c r="K99" s="10" t="n"/>
      <c r="L99" s="11" t="inlineStr">
        <is>
          <t>GND-02</t>
        </is>
      </c>
      <c r="M99" s="11" t="n">
        <v>3</v>
      </c>
      <c r="N99" s="11" t="inlineStr">
        <is>
          <t>Gantungan</t>
        </is>
      </c>
      <c r="O99" s="12">
        <f>IF(L99="","",IFERROR(INDEX(DAFTAR_FIXTURE!$B$2:$B$51,MATCH(L99,DAFTAR_FIXTURE!$A$2:$A$51,0)),""))</f>
        <v/>
      </c>
      <c r="P99" s="12">
        <f>IF(OR(O99="",M99=""),"",IFERROR(INDEX(LAYOUT!$D$2:$D$34,MATCH(O99&amp;"|"&amp;M99,LAYOUT!$E$2:$E$34,0)),"zona tidak ada di layout"))</f>
        <v/>
      </c>
      <c r="Q99" s="12">
        <f>IF(OR(L99="",D99=""),"",COUNTIFS($L$2:$L$500,L99,$M$2:$M$500,M99,$D$2:$D$500,"&lt;&gt;"))</f>
        <v/>
      </c>
      <c r="R99" s="12">
        <f>IF(AND(D99="",L99=""),"",IF(L99="","Belum ditempatkan",IF(O99="","CEK ID FIXTURE tidak ada di DAFTAR_FIXTURE",IF(M99="","CEK ZONA NO kosong",IF(P99="zona tidak ada di layout","CEK ZONA NO di luar layout",IF(N99&lt;&gt;P99,"CEK JENIS ZONA",IF(D99="","Zona STOCK",IF(E99="","CEK SKU DESCRIPTION kosong","OK"))))))))</f>
        <v/>
      </c>
    </row>
    <row r="100">
      <c r="A100" s="10" t="inlineStr">
        <is>
          <t>Homeware</t>
        </is>
      </c>
      <c r="B100" s="10" t="inlineStr">
        <is>
          <t>Kitchenware</t>
        </is>
      </c>
      <c r="C100" s="10" t="inlineStr">
        <is>
          <t>Kitchen Tools</t>
        </is>
      </c>
      <c r="D100" s="10" t="inlineStr">
        <is>
          <t>10198157</t>
        </is>
      </c>
      <c r="E100" s="10" t="inlineStr">
        <is>
          <t>TANTA NYLON SOLID TURNER L</t>
        </is>
      </c>
      <c r="F100" s="10" t="n"/>
      <c r="G100" s="10" t="inlineStr">
        <is>
          <t>ALAT MASAK</t>
        </is>
      </c>
      <c r="H100" s="10" t="inlineStr">
        <is>
          <t>C1. KITCHEN TOOLS</t>
        </is>
      </c>
      <c r="I100" s="10" t="inlineStr">
        <is>
          <t>TANTA NYLON</t>
        </is>
      </c>
      <c r="J100" s="10" t="n"/>
      <c r="K100" s="10" t="n"/>
      <c r="L100" s="11" t="inlineStr">
        <is>
          <t>GND-02</t>
        </is>
      </c>
      <c r="M100" s="11" t="n">
        <v>3</v>
      </c>
      <c r="N100" s="11" t="inlineStr">
        <is>
          <t>Gantungan</t>
        </is>
      </c>
      <c r="O100" s="12">
        <f>IF(L100="","",IFERROR(INDEX(DAFTAR_FIXTURE!$B$2:$B$51,MATCH(L100,DAFTAR_FIXTURE!$A$2:$A$51,0)),""))</f>
        <v/>
      </c>
      <c r="P100" s="12">
        <f>IF(OR(O100="",M100=""),"",IFERROR(INDEX(LAYOUT!$D$2:$D$34,MATCH(O100&amp;"|"&amp;M100,LAYOUT!$E$2:$E$34,0)),"zona tidak ada di layout"))</f>
        <v/>
      </c>
      <c r="Q100" s="12">
        <f>IF(OR(L100="",D100=""),"",COUNTIFS($L$2:$L$500,L100,$M$2:$M$500,M100,$D$2:$D$500,"&lt;&gt;"))</f>
        <v/>
      </c>
      <c r="R100" s="12">
        <f>IF(AND(D100="",L100=""),"",IF(L100="","Belum ditempatkan",IF(O100="","CEK ID FIXTURE tidak ada di DAFTAR_FIXTURE",IF(M100="","CEK ZONA NO kosong",IF(P100="zona tidak ada di layout","CEK ZONA NO di luar layout",IF(N100&lt;&gt;P100,"CEK JENIS ZONA",IF(D100="","Zona STOCK",IF(E100="","CEK SKU DESCRIPTION kosong","OK"))))))))</f>
        <v/>
      </c>
    </row>
    <row r="101">
      <c r="A101" s="10" t="inlineStr">
        <is>
          <t>Homeware</t>
        </is>
      </c>
      <c r="B101" s="10" t="inlineStr">
        <is>
          <t>Kitchenware</t>
        </is>
      </c>
      <c r="C101" s="10" t="inlineStr">
        <is>
          <t>Kitchen Tools</t>
        </is>
      </c>
      <c r="D101" s="10" t="inlineStr">
        <is>
          <t>10198159</t>
        </is>
      </c>
      <c r="E101" s="10" t="inlineStr">
        <is>
          <t>TANTA NYLON LADLE</t>
        </is>
      </c>
      <c r="F101" s="10" t="n"/>
      <c r="G101" s="10" t="inlineStr">
        <is>
          <t>ALAT MASAK</t>
        </is>
      </c>
      <c r="H101" s="10" t="inlineStr">
        <is>
          <t>C1. KITCHEN TOOLS</t>
        </is>
      </c>
      <c r="I101" s="10" t="inlineStr">
        <is>
          <t>TANTA NYLON</t>
        </is>
      </c>
      <c r="J101" s="10" t="n"/>
      <c r="K101" s="10" t="n"/>
      <c r="L101" s="11" t="inlineStr">
        <is>
          <t>GND-02</t>
        </is>
      </c>
      <c r="M101" s="11" t="n">
        <v>3</v>
      </c>
      <c r="N101" s="11" t="inlineStr">
        <is>
          <t>Gantungan</t>
        </is>
      </c>
      <c r="O101" s="12">
        <f>IF(L101="","",IFERROR(INDEX(DAFTAR_FIXTURE!$B$2:$B$51,MATCH(L101,DAFTAR_FIXTURE!$A$2:$A$51,0)),""))</f>
        <v/>
      </c>
      <c r="P101" s="12">
        <f>IF(OR(O101="",M101=""),"",IFERROR(INDEX(LAYOUT!$D$2:$D$34,MATCH(O101&amp;"|"&amp;M101,LAYOUT!$E$2:$E$34,0)),"zona tidak ada di layout"))</f>
        <v/>
      </c>
      <c r="Q101" s="12">
        <f>IF(OR(L101="",D101=""),"",COUNTIFS($L$2:$L$500,L101,$M$2:$M$500,M101,$D$2:$D$500,"&lt;&gt;"))</f>
        <v/>
      </c>
      <c r="R101" s="12">
        <f>IF(AND(D101="",L101=""),"",IF(L101="","Belum ditempatkan",IF(O101="","CEK ID FIXTURE tidak ada di DAFTAR_FIXTURE",IF(M101="","CEK ZONA NO kosong",IF(P101="zona tidak ada di layout","CEK ZONA NO di luar layout",IF(N101&lt;&gt;P101,"CEK JENIS ZONA",IF(D101="","Zona STOCK",IF(E101="","CEK SKU DESCRIPTION kosong","OK"))))))))</f>
        <v/>
      </c>
    </row>
    <row r="102">
      <c r="A102" s="10" t="inlineStr">
        <is>
          <t>Homeware</t>
        </is>
      </c>
      <c r="B102" s="10" t="inlineStr">
        <is>
          <t>Kitchenware</t>
        </is>
      </c>
      <c r="C102" s="10" t="inlineStr">
        <is>
          <t>Kitchen Tools</t>
        </is>
      </c>
      <c r="D102" s="10" t="inlineStr">
        <is>
          <t>10198160</t>
        </is>
      </c>
      <c r="E102" s="10" t="inlineStr">
        <is>
          <t>TANTA NYLON WHISK</t>
        </is>
      </c>
      <c r="F102" s="10" t="n"/>
      <c r="G102" s="10" t="inlineStr">
        <is>
          <t>ALAT MASAK</t>
        </is>
      </c>
      <c r="H102" s="10" t="inlineStr">
        <is>
          <t>C1. KITCHEN TOOLS</t>
        </is>
      </c>
      <c r="I102" s="10" t="inlineStr">
        <is>
          <t>TANTA NYLON</t>
        </is>
      </c>
      <c r="J102" s="10" t="n"/>
      <c r="K102" s="10" t="n"/>
      <c r="L102" s="11" t="inlineStr">
        <is>
          <t>GND-02</t>
        </is>
      </c>
      <c r="M102" s="11" t="n">
        <v>3</v>
      </c>
      <c r="N102" s="11" t="inlineStr">
        <is>
          <t>Gantungan</t>
        </is>
      </c>
      <c r="O102" s="12">
        <f>IF(L102="","",IFERROR(INDEX(DAFTAR_FIXTURE!$B$2:$B$51,MATCH(L102,DAFTAR_FIXTURE!$A$2:$A$51,0)),""))</f>
        <v/>
      </c>
      <c r="P102" s="12">
        <f>IF(OR(O102="",M102=""),"",IFERROR(INDEX(LAYOUT!$D$2:$D$34,MATCH(O102&amp;"|"&amp;M102,LAYOUT!$E$2:$E$34,0)),"zona tidak ada di layout"))</f>
        <v/>
      </c>
      <c r="Q102" s="12">
        <f>IF(OR(L102="",D102=""),"",COUNTIFS($L$2:$L$500,L102,$M$2:$M$500,M102,$D$2:$D$500,"&lt;&gt;"))</f>
        <v/>
      </c>
      <c r="R102" s="12">
        <f>IF(AND(D102="",L102=""),"",IF(L102="","Belum ditempatkan",IF(O102="","CEK ID FIXTURE tidak ada di DAFTAR_FIXTURE",IF(M102="","CEK ZONA NO kosong",IF(P102="zona tidak ada di layout","CEK ZONA NO di luar layout",IF(N102&lt;&gt;P102,"CEK JENIS ZONA",IF(D102="","Zona STOCK",IF(E102="","CEK SKU DESCRIPTION kosong","OK"))))))))</f>
        <v/>
      </c>
    </row>
    <row r="103">
      <c r="A103" s="10" t="inlineStr">
        <is>
          <t>Homeware</t>
        </is>
      </c>
      <c r="B103" s="10" t="inlineStr">
        <is>
          <t>Kitchenware</t>
        </is>
      </c>
      <c r="C103" s="10" t="inlineStr">
        <is>
          <t>Kitchen Tools</t>
        </is>
      </c>
      <c r="D103" s="10" t="inlineStr">
        <is>
          <t>10198149</t>
        </is>
      </c>
      <c r="E103" s="10" t="inlineStr">
        <is>
          <t>TANTA STRAINER DIA 10CM</t>
        </is>
      </c>
      <c r="F103" s="10" t="n"/>
      <c r="G103" s="10" t="inlineStr">
        <is>
          <t>ALAT MASAK</t>
        </is>
      </c>
      <c r="H103" s="10" t="inlineStr">
        <is>
          <t>C1. KITCHEN TOOLS</t>
        </is>
      </c>
      <c r="I103" s="10" t="inlineStr">
        <is>
          <t>TANTA S/S</t>
        </is>
      </c>
      <c r="J103" s="10" t="n"/>
      <c r="K103" s="10" t="n"/>
      <c r="L103" s="11" t="inlineStr">
        <is>
          <t>GND-02</t>
        </is>
      </c>
      <c r="M103" s="11" t="n">
        <v>4</v>
      </c>
      <c r="N103" s="11" t="inlineStr">
        <is>
          <t>Gantungan</t>
        </is>
      </c>
      <c r="O103" s="12">
        <f>IF(L103="","",IFERROR(INDEX(DAFTAR_FIXTURE!$B$2:$B$51,MATCH(L103,DAFTAR_FIXTURE!$A$2:$A$51,0)),""))</f>
        <v/>
      </c>
      <c r="P103" s="12">
        <f>IF(OR(O103="",M103=""),"",IFERROR(INDEX(LAYOUT!$D$2:$D$34,MATCH(O103&amp;"|"&amp;M103,LAYOUT!$E$2:$E$34,0)),"zona tidak ada di layout"))</f>
        <v/>
      </c>
      <c r="Q103" s="12">
        <f>IF(OR(L103="",D103=""),"",COUNTIFS($L$2:$L$500,L103,$M$2:$M$500,M103,$D$2:$D$500,"&lt;&gt;"))</f>
        <v/>
      </c>
      <c r="R103" s="12">
        <f>IF(AND(D103="",L103=""),"",IF(L103="","Belum ditempatkan",IF(O103="","CEK ID FIXTURE tidak ada di DAFTAR_FIXTURE",IF(M103="","CEK ZONA NO kosong",IF(P103="zona tidak ada di layout","CEK ZONA NO di luar layout",IF(N103&lt;&gt;P103,"CEK JENIS ZONA",IF(D103="","Zona STOCK",IF(E103="","CEK SKU DESCRIPTION kosong","OK"))))))))</f>
        <v/>
      </c>
    </row>
    <row r="104">
      <c r="A104" s="10" t="inlineStr">
        <is>
          <t>Homeware</t>
        </is>
      </c>
      <c r="B104" s="10" t="inlineStr">
        <is>
          <t>Kitchenware</t>
        </is>
      </c>
      <c r="C104" s="10" t="inlineStr">
        <is>
          <t>Kitchen Tools</t>
        </is>
      </c>
      <c r="D104" s="10" t="inlineStr">
        <is>
          <t>10198150</t>
        </is>
      </c>
      <c r="E104" s="10" t="inlineStr">
        <is>
          <t>TANTA NYLON TONGS 9 INCH</t>
        </is>
      </c>
      <c r="F104" s="10" t="n"/>
      <c r="G104" s="10" t="inlineStr">
        <is>
          <t>ALAT MASAK</t>
        </is>
      </c>
      <c r="H104" s="10" t="inlineStr">
        <is>
          <t>C1. KITCHEN TOOLS</t>
        </is>
      </c>
      <c r="I104" s="10" t="inlineStr">
        <is>
          <t>TANTA NYLON</t>
        </is>
      </c>
      <c r="J104" s="10" t="n"/>
      <c r="K104" s="10" t="n"/>
      <c r="L104" s="11" t="inlineStr">
        <is>
          <t>GND-02</t>
        </is>
      </c>
      <c r="M104" s="11" t="n">
        <v>4</v>
      </c>
      <c r="N104" s="11" t="inlineStr">
        <is>
          <t>Gantungan</t>
        </is>
      </c>
      <c r="O104" s="12">
        <f>IF(L104="","",IFERROR(INDEX(DAFTAR_FIXTURE!$B$2:$B$51,MATCH(L104,DAFTAR_FIXTURE!$A$2:$A$51,0)),""))</f>
        <v/>
      </c>
      <c r="P104" s="12">
        <f>IF(OR(O104="",M104=""),"",IFERROR(INDEX(LAYOUT!$D$2:$D$34,MATCH(O104&amp;"|"&amp;M104,LAYOUT!$E$2:$E$34,0)),"zona tidak ada di layout"))</f>
        <v/>
      </c>
      <c r="Q104" s="12">
        <f>IF(OR(L104="",D104=""),"",COUNTIFS($L$2:$L$500,L104,$M$2:$M$500,M104,$D$2:$D$500,"&lt;&gt;"))</f>
        <v/>
      </c>
      <c r="R104" s="12">
        <f>IF(AND(D104="",L104=""),"",IF(L104="","Belum ditempatkan",IF(O104="","CEK ID FIXTURE tidak ada di DAFTAR_FIXTURE",IF(M104="","CEK ZONA NO kosong",IF(P104="zona tidak ada di layout","CEK ZONA NO di luar layout",IF(N104&lt;&gt;P104,"CEK JENIS ZONA",IF(D104="","Zona STOCK",IF(E104="","CEK SKU DESCRIPTION kosong","OK"))))))))</f>
        <v/>
      </c>
    </row>
    <row r="105">
      <c r="A105" s="10" t="inlineStr">
        <is>
          <t>Homeware</t>
        </is>
      </c>
      <c r="B105" s="10" t="inlineStr">
        <is>
          <t>Kitchenware</t>
        </is>
      </c>
      <c r="C105" s="10" t="inlineStr">
        <is>
          <t>Kitchen Tools</t>
        </is>
      </c>
      <c r="D105" s="10" t="inlineStr">
        <is>
          <t>10198151</t>
        </is>
      </c>
      <c r="E105" s="10" t="inlineStr">
        <is>
          <t>TANTA NYLON TONGS 12 INCH</t>
        </is>
      </c>
      <c r="F105" s="10" t="n"/>
      <c r="G105" s="10" t="inlineStr">
        <is>
          <t>ALAT MASAK</t>
        </is>
      </c>
      <c r="H105" s="10" t="inlineStr">
        <is>
          <t>C1. KITCHEN TOOLS</t>
        </is>
      </c>
      <c r="I105" s="10" t="inlineStr">
        <is>
          <t>TANTA NYLON</t>
        </is>
      </c>
      <c r="J105" s="10" t="n"/>
      <c r="K105" s="10" t="n"/>
      <c r="L105" s="11" t="inlineStr">
        <is>
          <t>GND-02</t>
        </is>
      </c>
      <c r="M105" s="11" t="n">
        <v>4</v>
      </c>
      <c r="N105" s="11" t="inlineStr">
        <is>
          <t>Gantungan</t>
        </is>
      </c>
      <c r="O105" s="12">
        <f>IF(L105="","",IFERROR(INDEX(DAFTAR_FIXTURE!$B$2:$B$51,MATCH(L105,DAFTAR_FIXTURE!$A$2:$A$51,0)),""))</f>
        <v/>
      </c>
      <c r="P105" s="12">
        <f>IF(OR(O105="",M105=""),"",IFERROR(INDEX(LAYOUT!$D$2:$D$34,MATCH(O105&amp;"|"&amp;M105,LAYOUT!$E$2:$E$34,0)),"zona tidak ada di layout"))</f>
        <v/>
      </c>
      <c r="Q105" s="12">
        <f>IF(OR(L105="",D105=""),"",COUNTIFS($L$2:$L$500,L105,$M$2:$M$500,M105,$D$2:$D$500,"&lt;&gt;"))</f>
        <v/>
      </c>
      <c r="R105" s="12">
        <f>IF(AND(D105="",L105=""),"",IF(L105="","Belum ditempatkan",IF(O105="","CEK ID FIXTURE tidak ada di DAFTAR_FIXTURE",IF(M105="","CEK ZONA NO kosong",IF(P105="zona tidak ada di layout","CEK ZONA NO di luar layout",IF(N105&lt;&gt;P105,"CEK JENIS ZONA",IF(D105="","Zona STOCK",IF(E105="","CEK SKU DESCRIPTION kosong","OK"))))))))</f>
        <v/>
      </c>
    </row>
    <row r="106">
      <c r="A106" s="10" t="inlineStr">
        <is>
          <t>Homeware</t>
        </is>
      </c>
      <c r="B106" s="10" t="inlineStr">
        <is>
          <t>Kitchenware</t>
        </is>
      </c>
      <c r="C106" s="10" t="inlineStr">
        <is>
          <t>Kitchen Tools</t>
        </is>
      </c>
      <c r="D106" s="10" t="inlineStr">
        <is>
          <t>10198152</t>
        </is>
      </c>
      <c r="E106" s="10" t="inlineStr">
        <is>
          <t>TANTA S/S SOLID TURNER M</t>
        </is>
      </c>
      <c r="F106" s="10" t="n"/>
      <c r="G106" s="10" t="inlineStr">
        <is>
          <t>ALAT MASAK</t>
        </is>
      </c>
      <c r="H106" s="10" t="inlineStr">
        <is>
          <t>C1. KITCHEN TOOLS</t>
        </is>
      </c>
      <c r="I106" s="10" t="inlineStr">
        <is>
          <t>TANTA S/S</t>
        </is>
      </c>
      <c r="J106" s="10" t="n"/>
      <c r="K106" s="10" t="n"/>
      <c r="L106" s="11" t="inlineStr">
        <is>
          <t>GND-02</t>
        </is>
      </c>
      <c r="M106" s="11" t="n">
        <v>4</v>
      </c>
      <c r="N106" s="11" t="inlineStr">
        <is>
          <t>Gantungan</t>
        </is>
      </c>
      <c r="O106" s="12">
        <f>IF(L106="","",IFERROR(INDEX(DAFTAR_FIXTURE!$B$2:$B$51,MATCH(L106,DAFTAR_FIXTURE!$A$2:$A$51,0)),""))</f>
        <v/>
      </c>
      <c r="P106" s="12">
        <f>IF(OR(O106="",M106=""),"",IFERROR(INDEX(LAYOUT!$D$2:$D$34,MATCH(O106&amp;"|"&amp;M106,LAYOUT!$E$2:$E$34,0)),"zona tidak ada di layout"))</f>
        <v/>
      </c>
      <c r="Q106" s="12">
        <f>IF(OR(L106="",D106=""),"",COUNTIFS($L$2:$L$500,L106,$M$2:$M$500,M106,$D$2:$D$500,"&lt;&gt;"))</f>
        <v/>
      </c>
      <c r="R106" s="12">
        <f>IF(AND(D106="",L106=""),"",IF(L106="","Belum ditempatkan",IF(O106="","CEK ID FIXTURE tidak ada di DAFTAR_FIXTURE",IF(M106="","CEK ZONA NO kosong",IF(P106="zona tidak ada di layout","CEK ZONA NO di luar layout",IF(N106&lt;&gt;P106,"CEK JENIS ZONA",IF(D106="","Zona STOCK",IF(E106="","CEK SKU DESCRIPTION kosong","OK"))))))))</f>
        <v/>
      </c>
    </row>
    <row r="107">
      <c r="A107" s="10" t="inlineStr">
        <is>
          <t>Homeware</t>
        </is>
      </c>
      <c r="B107" s="10" t="inlineStr">
        <is>
          <t>Kitchenware</t>
        </is>
      </c>
      <c r="C107" s="10" t="inlineStr">
        <is>
          <t>Kitchen Tools</t>
        </is>
      </c>
      <c r="D107" s="10" t="inlineStr">
        <is>
          <t>10198154</t>
        </is>
      </c>
      <c r="E107" s="10" t="inlineStr">
        <is>
          <t>TANTA S/S LADLE</t>
        </is>
      </c>
      <c r="F107" s="10" t="n"/>
      <c r="G107" s="10" t="inlineStr">
        <is>
          <t>ALAT MASAK</t>
        </is>
      </c>
      <c r="H107" s="10" t="inlineStr">
        <is>
          <t>C1. KITCHEN TOOLS</t>
        </is>
      </c>
      <c r="I107" s="10" t="inlineStr">
        <is>
          <t>TANTA S/S</t>
        </is>
      </c>
      <c r="J107" s="10" t="n"/>
      <c r="K107" s="10" t="n"/>
      <c r="L107" s="11" t="inlineStr">
        <is>
          <t>GND-02</t>
        </is>
      </c>
      <c r="M107" s="11" t="n">
        <v>4</v>
      </c>
      <c r="N107" s="11" t="inlineStr">
        <is>
          <t>Gantungan</t>
        </is>
      </c>
      <c r="O107" s="12">
        <f>IF(L107="","",IFERROR(INDEX(DAFTAR_FIXTURE!$B$2:$B$51,MATCH(L107,DAFTAR_FIXTURE!$A$2:$A$51,0)),""))</f>
        <v/>
      </c>
      <c r="P107" s="12">
        <f>IF(OR(O107="",M107=""),"",IFERROR(INDEX(LAYOUT!$D$2:$D$34,MATCH(O107&amp;"|"&amp;M107,LAYOUT!$E$2:$E$34,0)),"zona tidak ada di layout"))</f>
        <v/>
      </c>
      <c r="Q107" s="12">
        <f>IF(OR(L107="",D107=""),"",COUNTIFS($L$2:$L$500,L107,$M$2:$M$500,M107,$D$2:$D$500,"&lt;&gt;"))</f>
        <v/>
      </c>
      <c r="R107" s="12">
        <f>IF(AND(D107="",L107=""),"",IF(L107="","Belum ditempatkan",IF(O107="","CEK ID FIXTURE tidak ada di DAFTAR_FIXTURE",IF(M107="","CEK ZONA NO kosong",IF(P107="zona tidak ada di layout","CEK ZONA NO di luar layout",IF(N107&lt;&gt;P107,"CEK JENIS ZONA",IF(D107="","Zona STOCK",IF(E107="","CEK SKU DESCRIPTION kosong","OK"))))))))</f>
        <v/>
      </c>
    </row>
    <row r="108">
      <c r="A108" s="10" t="inlineStr">
        <is>
          <t>Homeware</t>
        </is>
      </c>
      <c r="B108" s="10" t="inlineStr">
        <is>
          <t>Kitchenware</t>
        </is>
      </c>
      <c r="C108" s="10" t="inlineStr">
        <is>
          <t>Kitchen Tools</t>
        </is>
      </c>
      <c r="D108" s="10" t="inlineStr">
        <is>
          <t>10198156</t>
        </is>
      </c>
      <c r="E108" s="10" t="inlineStr">
        <is>
          <t>TANTA NYLON SLOTTED TURNER M</t>
        </is>
      </c>
      <c r="F108" s="10" t="n"/>
      <c r="G108" s="10" t="inlineStr">
        <is>
          <t>ALAT MASAK</t>
        </is>
      </c>
      <c r="H108" s="10" t="inlineStr">
        <is>
          <t>C1. KITCHEN TOOLS</t>
        </is>
      </c>
      <c r="I108" s="10" t="inlineStr">
        <is>
          <t>TANTA NYLON</t>
        </is>
      </c>
      <c r="J108" s="10" t="n"/>
      <c r="K108" s="10" t="n"/>
      <c r="L108" s="11" t="inlineStr">
        <is>
          <t>GND-02</t>
        </is>
      </c>
      <c r="M108" s="11" t="n">
        <v>4</v>
      </c>
      <c r="N108" s="11" t="inlineStr">
        <is>
          <t>Gantungan</t>
        </is>
      </c>
      <c r="O108" s="12">
        <f>IF(L108="","",IFERROR(INDEX(DAFTAR_FIXTURE!$B$2:$B$51,MATCH(L108,DAFTAR_FIXTURE!$A$2:$A$51,0)),""))</f>
        <v/>
      </c>
      <c r="P108" s="12">
        <f>IF(OR(O108="",M108=""),"",IFERROR(INDEX(LAYOUT!$D$2:$D$34,MATCH(O108&amp;"|"&amp;M108,LAYOUT!$E$2:$E$34,0)),"zona tidak ada di layout"))</f>
        <v/>
      </c>
      <c r="Q108" s="12">
        <f>IF(OR(L108="",D108=""),"",COUNTIFS($L$2:$L$500,L108,$M$2:$M$500,M108,$D$2:$D$500,"&lt;&gt;"))</f>
        <v/>
      </c>
      <c r="R108" s="12">
        <f>IF(AND(D108="",L108=""),"",IF(L108="","Belum ditempatkan",IF(O108="","CEK ID FIXTURE tidak ada di DAFTAR_FIXTURE",IF(M108="","CEK ZONA NO kosong",IF(P108="zona tidak ada di layout","CEK ZONA NO di luar layout",IF(N108&lt;&gt;P108,"CEK JENIS ZONA",IF(D108="","Zona STOCK",IF(E108="","CEK SKU DESCRIPTION kosong","OK"))))))))</f>
        <v/>
      </c>
    </row>
    <row r="109">
      <c r="A109" s="10" t="inlineStr">
        <is>
          <t>Homeware</t>
        </is>
      </c>
      <c r="B109" s="10" t="inlineStr">
        <is>
          <t>Kitchenware</t>
        </is>
      </c>
      <c r="C109" s="10" t="inlineStr">
        <is>
          <t>Kitchen Tools</t>
        </is>
      </c>
      <c r="D109" s="10" t="inlineStr">
        <is>
          <t>10198157</t>
        </is>
      </c>
      <c r="E109" s="10" t="inlineStr">
        <is>
          <t>TANTA NYLON SOLID TURNER L</t>
        </is>
      </c>
      <c r="F109" s="10" t="n"/>
      <c r="G109" s="10" t="inlineStr">
        <is>
          <t>ALAT MASAK</t>
        </is>
      </c>
      <c r="H109" s="10" t="inlineStr">
        <is>
          <t>C1. KITCHEN TOOLS</t>
        </is>
      </c>
      <c r="I109" s="10" t="inlineStr">
        <is>
          <t>TANTA NYLON</t>
        </is>
      </c>
      <c r="J109" s="10" t="n"/>
      <c r="K109" s="10" t="n"/>
      <c r="L109" s="11" t="inlineStr">
        <is>
          <t>GND-02</t>
        </is>
      </c>
      <c r="M109" s="11" t="n">
        <v>4</v>
      </c>
      <c r="N109" s="11" t="inlineStr">
        <is>
          <t>Gantungan</t>
        </is>
      </c>
      <c r="O109" s="12">
        <f>IF(L109="","",IFERROR(INDEX(DAFTAR_FIXTURE!$B$2:$B$51,MATCH(L109,DAFTAR_FIXTURE!$A$2:$A$51,0)),""))</f>
        <v/>
      </c>
      <c r="P109" s="12">
        <f>IF(OR(O109="",M109=""),"",IFERROR(INDEX(LAYOUT!$D$2:$D$34,MATCH(O109&amp;"|"&amp;M109,LAYOUT!$E$2:$E$34,0)),"zona tidak ada di layout"))</f>
        <v/>
      </c>
      <c r="Q109" s="12">
        <f>IF(OR(L109="",D109=""),"",COUNTIFS($L$2:$L$500,L109,$M$2:$M$500,M109,$D$2:$D$500,"&lt;&gt;"))</f>
        <v/>
      </c>
      <c r="R109" s="12">
        <f>IF(AND(D109="",L109=""),"",IF(L109="","Belum ditempatkan",IF(O109="","CEK ID FIXTURE tidak ada di DAFTAR_FIXTURE",IF(M109="","CEK ZONA NO kosong",IF(P109="zona tidak ada di layout","CEK ZONA NO di luar layout",IF(N109&lt;&gt;P109,"CEK JENIS ZONA",IF(D109="","Zona STOCK",IF(E109="","CEK SKU DESCRIPTION kosong","OK"))))))))</f>
        <v/>
      </c>
    </row>
    <row r="110">
      <c r="A110" s="10" t="inlineStr">
        <is>
          <t>Homeware</t>
        </is>
      </c>
      <c r="B110" s="10" t="inlineStr">
        <is>
          <t>Kitchenware</t>
        </is>
      </c>
      <c r="C110" s="10" t="inlineStr">
        <is>
          <t>Kitchen Tools</t>
        </is>
      </c>
      <c r="D110" s="10" t="inlineStr">
        <is>
          <t>10198159</t>
        </is>
      </c>
      <c r="E110" s="10" t="inlineStr">
        <is>
          <t>TANTA NYLON LADLE</t>
        </is>
      </c>
      <c r="F110" s="10" t="n"/>
      <c r="G110" s="10" t="inlineStr">
        <is>
          <t>ALAT MASAK</t>
        </is>
      </c>
      <c r="H110" s="10" t="inlineStr">
        <is>
          <t>C1. KITCHEN TOOLS</t>
        </is>
      </c>
      <c r="I110" s="10" t="inlineStr">
        <is>
          <t>TANTA NYLON</t>
        </is>
      </c>
      <c r="J110" s="10" t="n"/>
      <c r="K110" s="10" t="n"/>
      <c r="L110" s="11" t="inlineStr">
        <is>
          <t>GND-02</t>
        </is>
      </c>
      <c r="M110" s="11" t="n">
        <v>4</v>
      </c>
      <c r="N110" s="11" t="inlineStr">
        <is>
          <t>Gantungan</t>
        </is>
      </c>
      <c r="O110" s="12">
        <f>IF(L110="","",IFERROR(INDEX(DAFTAR_FIXTURE!$B$2:$B$51,MATCH(L110,DAFTAR_FIXTURE!$A$2:$A$51,0)),""))</f>
        <v/>
      </c>
      <c r="P110" s="12">
        <f>IF(OR(O110="",M110=""),"",IFERROR(INDEX(LAYOUT!$D$2:$D$34,MATCH(O110&amp;"|"&amp;M110,LAYOUT!$E$2:$E$34,0)),"zona tidak ada di layout"))</f>
        <v/>
      </c>
      <c r="Q110" s="12">
        <f>IF(OR(L110="",D110=""),"",COUNTIFS($L$2:$L$500,L110,$M$2:$M$500,M110,$D$2:$D$500,"&lt;&gt;"))</f>
        <v/>
      </c>
      <c r="R110" s="12">
        <f>IF(AND(D110="",L110=""),"",IF(L110="","Belum ditempatkan",IF(O110="","CEK ID FIXTURE tidak ada di DAFTAR_FIXTURE",IF(M110="","CEK ZONA NO kosong",IF(P110="zona tidak ada di layout","CEK ZONA NO di luar layout",IF(N110&lt;&gt;P110,"CEK JENIS ZONA",IF(D110="","Zona STOCK",IF(E110="","CEK SKU DESCRIPTION kosong","OK"))))))))</f>
        <v/>
      </c>
    </row>
    <row r="111">
      <c r="A111" s="10" t="inlineStr">
        <is>
          <t>Homeware</t>
        </is>
      </c>
      <c r="B111" s="10" t="inlineStr">
        <is>
          <t>Kitchenware</t>
        </is>
      </c>
      <c r="C111" s="10" t="inlineStr">
        <is>
          <t>Kitchen Tools</t>
        </is>
      </c>
      <c r="D111" s="10" t="inlineStr">
        <is>
          <t>10198160</t>
        </is>
      </c>
      <c r="E111" s="10" t="inlineStr">
        <is>
          <t>TANTA NYLON WHISK</t>
        </is>
      </c>
      <c r="F111" s="10" t="n"/>
      <c r="G111" s="10" t="inlineStr">
        <is>
          <t>ALAT MASAK</t>
        </is>
      </c>
      <c r="H111" s="10" t="inlineStr">
        <is>
          <t>C1. KITCHEN TOOLS</t>
        </is>
      </c>
      <c r="I111" s="10" t="inlineStr">
        <is>
          <t>TANTA NYLON</t>
        </is>
      </c>
      <c r="J111" s="10" t="n"/>
      <c r="K111" s="10" t="n"/>
      <c r="L111" s="11" t="inlineStr">
        <is>
          <t>GND-02</t>
        </is>
      </c>
      <c r="M111" s="11" t="n">
        <v>4</v>
      </c>
      <c r="N111" s="11" t="inlineStr">
        <is>
          <t>Gantungan</t>
        </is>
      </c>
      <c r="O111" s="12">
        <f>IF(L111="","",IFERROR(INDEX(DAFTAR_FIXTURE!$B$2:$B$51,MATCH(L111,DAFTAR_FIXTURE!$A$2:$A$51,0)),""))</f>
        <v/>
      </c>
      <c r="P111" s="12">
        <f>IF(OR(O111="",M111=""),"",IFERROR(INDEX(LAYOUT!$D$2:$D$34,MATCH(O111&amp;"|"&amp;M111,LAYOUT!$E$2:$E$34,0)),"zona tidak ada di layout"))</f>
        <v/>
      </c>
      <c r="Q111" s="12">
        <f>IF(OR(L111="",D111=""),"",COUNTIFS($L$2:$L$500,L111,$M$2:$M$500,M111,$D$2:$D$500,"&lt;&gt;"))</f>
        <v/>
      </c>
      <c r="R111" s="12">
        <f>IF(AND(D111="",L111=""),"",IF(L111="","Belum ditempatkan",IF(O111="","CEK ID FIXTURE tidak ada di DAFTAR_FIXTURE",IF(M111="","CEK ZONA NO kosong",IF(P111="zona tidak ada di layout","CEK ZONA NO di luar layout",IF(N111&lt;&gt;P111,"CEK JENIS ZONA",IF(D111="","Zona STOCK",IF(E111="","CEK SKU DESCRIPTION kosong","OK"))))))))</f>
        <v/>
      </c>
    </row>
    <row r="112">
      <c r="A112" s="10" t="inlineStr">
        <is>
          <t>Homeware</t>
        </is>
      </c>
      <c r="B112" s="10" t="inlineStr">
        <is>
          <t>Cookware</t>
        </is>
      </c>
      <c r="C112" s="10" t="inlineStr">
        <is>
          <t>Pots &amp; Pans</t>
        </is>
      </c>
      <c r="D112" s="10" t="inlineStr">
        <is>
          <t>10421603</t>
        </is>
      </c>
      <c r="E112" s="10" t="inlineStr">
        <is>
          <t>KINGSTON SAUCEPAN WITH LID 16CM GREEN</t>
        </is>
      </c>
      <c r="F112" s="10" t="n"/>
      <c r="G112" s="10" t="inlineStr">
        <is>
          <t>MASAK</t>
        </is>
      </c>
      <c r="H112" s="10" t="inlineStr">
        <is>
          <t>B2. COOKWARE</t>
        </is>
      </c>
      <c r="I112" s="10" t="inlineStr">
        <is>
          <t>KINGSTON</t>
        </is>
      </c>
      <c r="J112" s="10" t="n"/>
      <c r="K112" s="10" t="n"/>
      <c r="L112" s="11" t="inlineStr">
        <is>
          <t>END-01</t>
        </is>
      </c>
      <c r="M112" s="11" t="n">
        <v>1</v>
      </c>
      <c r="N112" s="11" t="inlineStr">
        <is>
          <t>Rak</t>
        </is>
      </c>
      <c r="O112" s="12">
        <f>IF(L112="","",IFERROR(INDEX(DAFTAR_FIXTURE!$B$2:$B$51,MATCH(L112,DAFTAR_FIXTURE!$A$2:$A$51,0)),""))</f>
        <v/>
      </c>
      <c r="P112" s="12">
        <f>IF(OR(O112="",M112=""),"",IFERROR(INDEX(LAYOUT!$D$2:$D$34,MATCH(O112&amp;"|"&amp;M112,LAYOUT!$E$2:$E$34,0)),"zona tidak ada di layout"))</f>
        <v/>
      </c>
      <c r="Q112" s="12">
        <f>IF(OR(L112="",D112=""),"",COUNTIFS($L$2:$L$500,L112,$M$2:$M$500,M112,$D$2:$D$500,"&lt;&gt;"))</f>
        <v/>
      </c>
      <c r="R112" s="12">
        <f>IF(AND(D112="",L112=""),"",IF(L112="","Belum ditempatkan",IF(O112="","CEK ID FIXTURE tidak ada di DAFTAR_FIXTURE",IF(M112="","CEK ZONA NO kosong",IF(P112="zona tidak ada di layout","CEK ZONA NO di luar layout",IF(N112&lt;&gt;P112,"CEK JENIS ZONA",IF(D112="","Zona STOCK",IF(E112="","CEK SKU DESCRIPTION kosong","OK"))))))))</f>
        <v/>
      </c>
    </row>
    <row r="113">
      <c r="A113" s="10" t="inlineStr">
        <is>
          <t>Homeware</t>
        </is>
      </c>
      <c r="B113" s="10" t="inlineStr">
        <is>
          <t>Cookware</t>
        </is>
      </c>
      <c r="C113" s="10" t="inlineStr">
        <is>
          <t>Pots &amp; Pans</t>
        </is>
      </c>
      <c r="D113" s="10" t="inlineStr">
        <is>
          <t>10421608</t>
        </is>
      </c>
      <c r="E113" s="10" t="inlineStr">
        <is>
          <t>KINGSTON CASSEROLE WITH LID 20 CM GREEN</t>
        </is>
      </c>
      <c r="F113" s="10" t="n"/>
      <c r="G113" s="10" t="inlineStr">
        <is>
          <t>MASAK</t>
        </is>
      </c>
      <c r="H113" s="10" t="inlineStr">
        <is>
          <t>B2. COOKWARE</t>
        </is>
      </c>
      <c r="I113" s="10" t="inlineStr">
        <is>
          <t>KINGSTON</t>
        </is>
      </c>
      <c r="J113" s="10" t="n"/>
      <c r="K113" s="10" t="n"/>
      <c r="L113" s="11" t="inlineStr">
        <is>
          <t>END-01</t>
        </is>
      </c>
      <c r="M113" s="11" t="n">
        <v>2</v>
      </c>
      <c r="N113" s="11" t="inlineStr">
        <is>
          <t>Rak</t>
        </is>
      </c>
      <c r="O113" s="12">
        <f>IF(L113="","",IFERROR(INDEX(DAFTAR_FIXTURE!$B$2:$B$51,MATCH(L113,DAFTAR_FIXTURE!$A$2:$A$51,0)),""))</f>
        <v/>
      </c>
      <c r="P113" s="12">
        <f>IF(OR(O113="",M113=""),"",IFERROR(INDEX(LAYOUT!$D$2:$D$34,MATCH(O113&amp;"|"&amp;M113,LAYOUT!$E$2:$E$34,0)),"zona tidak ada di layout"))</f>
        <v/>
      </c>
      <c r="Q113" s="12">
        <f>IF(OR(L113="",D113=""),"",COUNTIFS($L$2:$L$500,L113,$M$2:$M$500,M113,$D$2:$D$500,"&lt;&gt;"))</f>
        <v/>
      </c>
      <c r="R113" s="12">
        <f>IF(AND(D113="",L113=""),"",IF(L113="","Belum ditempatkan",IF(O113="","CEK ID FIXTURE tidak ada di DAFTAR_FIXTURE",IF(M113="","CEK ZONA NO kosong",IF(P113="zona tidak ada di layout","CEK ZONA NO di luar layout",IF(N113&lt;&gt;P113,"CEK JENIS ZONA",IF(D113="","Zona STOCK",IF(E113="","CEK SKU DESCRIPTION kosong","OK"))))))))</f>
        <v/>
      </c>
    </row>
    <row r="114">
      <c r="A114" s="10" t="inlineStr">
        <is>
          <t>Homeware</t>
        </is>
      </c>
      <c r="B114" s="10" t="inlineStr">
        <is>
          <t>Cookware</t>
        </is>
      </c>
      <c r="C114" s="10" t="inlineStr">
        <is>
          <t>Pots &amp; Pans</t>
        </is>
      </c>
      <c r="D114" s="10" t="inlineStr">
        <is>
          <t>10421610</t>
        </is>
      </c>
      <c r="E114" s="10" t="inlineStr">
        <is>
          <t>KINGSTON GRILL PAN 24CM GREEN</t>
        </is>
      </c>
      <c r="F114" s="10" t="n"/>
      <c r="G114" s="10" t="inlineStr">
        <is>
          <t>MASAK</t>
        </is>
      </c>
      <c r="H114" s="10" t="inlineStr">
        <is>
          <t>B2. COOKWARE</t>
        </is>
      </c>
      <c r="I114" s="10" t="inlineStr">
        <is>
          <t>KINGSTON</t>
        </is>
      </c>
      <c r="J114" s="10" t="n"/>
      <c r="K114" s="10" t="n"/>
      <c r="L114" s="11" t="inlineStr">
        <is>
          <t>END-01</t>
        </is>
      </c>
      <c r="M114" s="11" t="n">
        <v>3</v>
      </c>
      <c r="N114" s="11" t="inlineStr">
        <is>
          <t>Rak</t>
        </is>
      </c>
      <c r="O114" s="12">
        <f>IF(L114="","",IFERROR(INDEX(DAFTAR_FIXTURE!$B$2:$B$51,MATCH(L114,DAFTAR_FIXTURE!$A$2:$A$51,0)),""))</f>
        <v/>
      </c>
      <c r="P114" s="12">
        <f>IF(OR(O114="",M114=""),"",IFERROR(INDEX(LAYOUT!$D$2:$D$34,MATCH(O114&amp;"|"&amp;M114,LAYOUT!$E$2:$E$34,0)),"zona tidak ada di layout"))</f>
        <v/>
      </c>
      <c r="Q114" s="12">
        <f>IF(OR(L114="",D114=""),"",COUNTIFS($L$2:$L$500,L114,$M$2:$M$500,M114,$D$2:$D$500,"&lt;&gt;"))</f>
        <v/>
      </c>
      <c r="R114" s="12">
        <f>IF(AND(D114="",L114=""),"",IF(L114="","Belum ditempatkan",IF(O114="","CEK ID FIXTURE tidak ada di DAFTAR_FIXTURE",IF(M114="","CEK ZONA NO kosong",IF(P114="zona tidak ada di layout","CEK ZONA NO di luar layout",IF(N114&lt;&gt;P114,"CEK JENIS ZONA",IF(D114="","Zona STOCK",IF(E114="","CEK SKU DESCRIPTION kosong","OK"))))))))</f>
        <v/>
      </c>
    </row>
    <row r="115">
      <c r="A115" s="10" t="inlineStr">
        <is>
          <t>Homeware</t>
        </is>
      </c>
      <c r="B115" s="10" t="inlineStr">
        <is>
          <t>Cookware</t>
        </is>
      </c>
      <c r="C115" s="10" t="inlineStr">
        <is>
          <t>Pots &amp; Pans</t>
        </is>
      </c>
      <c r="D115" s="10" t="inlineStr">
        <is>
          <t>10421614</t>
        </is>
      </c>
      <c r="E115" s="10" t="inlineStr">
        <is>
          <t>KIRA WOK 2 HANDLE W LID AND UTENSIL BRN</t>
        </is>
      </c>
      <c r="F115" s="10" t="n"/>
      <c r="G115" s="10" t="inlineStr">
        <is>
          <t>MASAK</t>
        </is>
      </c>
      <c r="H115" s="10" t="inlineStr">
        <is>
          <t>B2. COOKWARE</t>
        </is>
      </c>
      <c r="I115" s="10" t="inlineStr">
        <is>
          <t>KIRA</t>
        </is>
      </c>
      <c r="J115" s="10" t="n"/>
      <c r="K115" s="10" t="n"/>
      <c r="L115" s="11" t="inlineStr">
        <is>
          <t>END-01</t>
        </is>
      </c>
      <c r="M115" s="11" t="n">
        <v>4</v>
      </c>
      <c r="N115" s="11" t="inlineStr">
        <is>
          <t>Rak</t>
        </is>
      </c>
      <c r="O115" s="12">
        <f>IF(L115="","",IFERROR(INDEX(DAFTAR_FIXTURE!$B$2:$B$51,MATCH(L115,DAFTAR_FIXTURE!$A$2:$A$51,0)),""))</f>
        <v/>
      </c>
      <c r="P115" s="12">
        <f>IF(OR(O115="",M115=""),"",IFERROR(INDEX(LAYOUT!$D$2:$D$34,MATCH(O115&amp;"|"&amp;M115,LAYOUT!$E$2:$E$34,0)),"zona tidak ada di layout"))</f>
        <v/>
      </c>
      <c r="Q115" s="12">
        <f>IF(OR(L115="",D115=""),"",COUNTIFS($L$2:$L$500,L115,$M$2:$M$500,M115,$D$2:$D$500,"&lt;&gt;"))</f>
        <v/>
      </c>
      <c r="R115" s="12">
        <f>IF(AND(D115="",L115=""),"",IF(L115="","Belum ditempatkan",IF(O115="","CEK ID FIXTURE tidak ada di DAFTAR_FIXTURE",IF(M115="","CEK ZONA NO kosong",IF(P115="zona tidak ada di layout","CEK ZONA NO di luar layout",IF(N115&lt;&gt;P115,"CEK JENIS ZONA",IF(D115="","Zona STOCK",IF(E115="","CEK SKU DESCRIPTION kosong","OK"))))))))</f>
        <v/>
      </c>
    </row>
    <row r="116">
      <c r="A116" s="10" t="inlineStr">
        <is>
          <t>Homeware</t>
        </is>
      </c>
      <c r="B116" s="10" t="inlineStr">
        <is>
          <t>Drinkware</t>
        </is>
      </c>
      <c r="C116" s="10" t="inlineStr">
        <is>
          <t>Glassware</t>
        </is>
      </c>
      <c r="D116" s="10" t="inlineStr">
        <is>
          <t>10099887</t>
        </is>
      </c>
      <c r="E116" s="10" t="inlineStr">
        <is>
          <t>ELAN WATER GLASS SET 414ML (6)</t>
        </is>
      </c>
      <c r="F116" s="10" t="n"/>
      <c r="G116" s="10" t="inlineStr">
        <is>
          <t>MAKAN</t>
        </is>
      </c>
      <c r="H116" s="10" t="inlineStr">
        <is>
          <t>A1. GLASSWARE</t>
        </is>
      </c>
      <c r="I116" s="10" t="inlineStr">
        <is>
          <t>ELAN</t>
        </is>
      </c>
      <c r="J116" s="10" t="n"/>
      <c r="K116" s="10" t="n"/>
      <c r="L116" s="11" t="inlineStr">
        <is>
          <t>PLT-01</t>
        </is>
      </c>
      <c r="M116" s="11" t="n">
        <v>1</v>
      </c>
      <c r="N116" s="11" t="inlineStr">
        <is>
          <t>Rak</t>
        </is>
      </c>
      <c r="O116" s="12">
        <f>IF(L116="","",IFERROR(INDEX(DAFTAR_FIXTURE!$B$2:$B$51,MATCH(L116,DAFTAR_FIXTURE!$A$2:$A$51,0)),""))</f>
        <v/>
      </c>
      <c r="P116" s="12">
        <f>IF(OR(O116="",M116=""),"",IFERROR(INDEX(LAYOUT!$D$2:$D$34,MATCH(O116&amp;"|"&amp;M116,LAYOUT!$E$2:$E$34,0)),"zona tidak ada di layout"))</f>
        <v/>
      </c>
      <c r="Q116" s="12">
        <f>IF(OR(L116="",D116=""),"",COUNTIFS($L$2:$L$500,L116,$M$2:$M$500,M116,$D$2:$D$500,"&lt;&gt;"))</f>
        <v/>
      </c>
      <c r="R116" s="12">
        <f>IF(AND(D116="",L116=""),"",IF(L116="","Belum ditempatkan",IF(O116="","CEK ID FIXTURE tidak ada di DAFTAR_FIXTURE",IF(M116="","CEK ZONA NO kosong",IF(P116="zona tidak ada di layout","CEK ZONA NO di luar layout",IF(N116&lt;&gt;P116,"CEK JENIS ZONA",IF(D116="","Zona STOCK",IF(E116="","CEK SKU DESCRIPTION kosong","OK"))))))))</f>
        <v/>
      </c>
    </row>
    <row r="117">
      <c r="A117" s="10" t="inlineStr">
        <is>
          <t>Homeware</t>
        </is>
      </c>
      <c r="B117" s="10" t="inlineStr">
        <is>
          <t>Drinkware</t>
        </is>
      </c>
      <c r="C117" s="10" t="inlineStr">
        <is>
          <t>Glassware</t>
        </is>
      </c>
      <c r="D117" s="10" t="inlineStr">
        <is>
          <t>10099940</t>
        </is>
      </c>
      <c r="E117" s="10" t="inlineStr">
        <is>
          <t>INVERNESS WATER GLASS SET 355ML (6)</t>
        </is>
      </c>
      <c r="F117" s="10" t="n"/>
      <c r="G117" s="10" t="inlineStr">
        <is>
          <t>MAKAN</t>
        </is>
      </c>
      <c r="H117" s="10" t="inlineStr">
        <is>
          <t>A1. GLASSWARE</t>
        </is>
      </c>
      <c r="I117" s="10" t="inlineStr">
        <is>
          <t>INVERNESS</t>
        </is>
      </c>
      <c r="J117" s="10" t="n"/>
      <c r="K117" s="10" t="n"/>
      <c r="L117" s="11" t="inlineStr">
        <is>
          <t>PLT-01</t>
        </is>
      </c>
      <c r="M117" s="11" t="n">
        <v>1</v>
      </c>
      <c r="N117" s="11" t="inlineStr">
        <is>
          <t>Rak</t>
        </is>
      </c>
      <c r="O117" s="12">
        <f>IF(L117="","",IFERROR(INDEX(DAFTAR_FIXTURE!$B$2:$B$51,MATCH(L117,DAFTAR_FIXTURE!$A$2:$A$51,0)),""))</f>
        <v/>
      </c>
      <c r="P117" s="12">
        <f>IF(OR(O117="",M117=""),"",IFERROR(INDEX(LAYOUT!$D$2:$D$34,MATCH(O117&amp;"|"&amp;M117,LAYOUT!$E$2:$E$34,0)),"zona tidak ada di layout"))</f>
        <v/>
      </c>
      <c r="Q117" s="12">
        <f>IF(OR(L117="",D117=""),"",COUNTIFS($L$2:$L$500,L117,$M$2:$M$500,M117,$D$2:$D$500,"&lt;&gt;"))</f>
        <v/>
      </c>
      <c r="R117" s="12">
        <f>IF(AND(D117="",L117=""),"",IF(L117="","Belum ditempatkan",IF(O117="","CEK ID FIXTURE tidak ada di DAFTAR_FIXTURE",IF(M117="","CEK ZONA NO kosong",IF(P117="zona tidak ada di layout","CEK ZONA NO di luar layout",IF(N117&lt;&gt;P117,"CEK JENIS ZONA",IF(D117="","Zona STOCK",IF(E117="","CEK SKU DESCRIPTION kosong","OK"))))))))</f>
        <v/>
      </c>
    </row>
    <row r="118">
      <c r="A118" s="10" t="inlineStr">
        <is>
          <t>Homeware</t>
        </is>
      </c>
      <c r="B118" s="10" t="inlineStr">
        <is>
          <t>Kitchenware</t>
        </is>
      </c>
      <c r="C118" s="10" t="inlineStr">
        <is>
          <t>Kitchen Tools</t>
        </is>
      </c>
      <c r="D118" s="10" t="inlineStr">
        <is>
          <t>10198151</t>
        </is>
      </c>
      <c r="E118" s="10" t="inlineStr">
        <is>
          <t>TANTA NYLON TONGS 12 INCH</t>
        </is>
      </c>
      <c r="F118" s="10" t="n"/>
      <c r="G118" s="10" t="inlineStr">
        <is>
          <t>ALAT MASAK</t>
        </is>
      </c>
      <c r="H118" s="10" t="inlineStr">
        <is>
          <t>C1. KITCHEN TOOLS</t>
        </is>
      </c>
      <c r="I118" s="10" t="inlineStr">
        <is>
          <t>TANTA NYLON</t>
        </is>
      </c>
      <c r="J118" s="10" t="n"/>
      <c r="K118" s="10" t="n"/>
      <c r="L118" s="11" t="inlineStr">
        <is>
          <t>WLL-03</t>
        </is>
      </c>
      <c r="M118" s="11" t="n">
        <v>3</v>
      </c>
      <c r="N118" s="11" t="inlineStr">
        <is>
          <t>Rak</t>
        </is>
      </c>
      <c r="O118" s="12">
        <f>IF(L118="","",IFERROR(INDEX(DAFTAR_FIXTURE!$B$2:$B$51,MATCH(L118,DAFTAR_FIXTURE!$A$2:$A$51,0)),""))</f>
        <v/>
      </c>
      <c r="P118" s="12">
        <f>IF(OR(O118="",M118=""),"",IFERROR(INDEX(LAYOUT!$D$2:$D$34,MATCH(O118&amp;"|"&amp;M118,LAYOUT!$E$2:$E$34,0)),"zona tidak ada di layout"))</f>
        <v/>
      </c>
      <c r="Q118" s="12">
        <f>IF(OR(L118="",D118=""),"",COUNTIFS($L$2:$L$500,L118,$M$2:$M$500,M118,$D$2:$D$500,"&lt;&gt;"))</f>
        <v/>
      </c>
      <c r="R118" s="12">
        <f>IF(AND(D118="",L118=""),"",IF(L118="","Belum ditempatkan",IF(O118="","CEK ID FIXTURE tidak ada di DAFTAR_FIXTURE",IF(M118="","CEK ZONA NO kosong",IF(P118="zona tidak ada di layout","CEK ZONA NO di luar layout",IF(N118&lt;&gt;P118,"CEK JENIS ZONA",IF(D118="","Zona STOCK",IF(E118="","CEK SKU DESCRIPTION kosong","OK"))))))))</f>
        <v/>
      </c>
    </row>
    <row r="119">
      <c r="A119" s="10" t="inlineStr">
        <is>
          <t>Homeware</t>
        </is>
      </c>
      <c r="B119" s="10" t="inlineStr">
        <is>
          <t>Kitchenware</t>
        </is>
      </c>
      <c r="C119" s="10" t="inlineStr">
        <is>
          <t>Kitchen Tools</t>
        </is>
      </c>
      <c r="D119" s="10" t="inlineStr">
        <is>
          <t>10198152</t>
        </is>
      </c>
      <c r="E119" s="10" t="inlineStr">
        <is>
          <t>TANTA S/S SOLID TURNER M</t>
        </is>
      </c>
      <c r="F119" s="10" t="n"/>
      <c r="G119" s="10" t="inlineStr">
        <is>
          <t>ALAT MASAK</t>
        </is>
      </c>
      <c r="H119" s="10" t="inlineStr">
        <is>
          <t>C1. KITCHEN TOOLS</t>
        </is>
      </c>
      <c r="I119" s="10" t="inlineStr">
        <is>
          <t>TANTA S/S</t>
        </is>
      </c>
      <c r="J119" s="10" t="n"/>
      <c r="K119" s="10" t="n"/>
      <c r="L119" s="11" t="inlineStr">
        <is>
          <t>WLL-03</t>
        </is>
      </c>
      <c r="M119" s="11" t="n">
        <v>3</v>
      </c>
      <c r="N119" s="11" t="inlineStr">
        <is>
          <t>Rak</t>
        </is>
      </c>
      <c r="O119" s="12">
        <f>IF(L119="","",IFERROR(INDEX(DAFTAR_FIXTURE!$B$2:$B$51,MATCH(L119,DAFTAR_FIXTURE!$A$2:$A$51,0)),""))</f>
        <v/>
      </c>
      <c r="P119" s="12">
        <f>IF(OR(O119="",M119=""),"",IFERROR(INDEX(LAYOUT!$D$2:$D$34,MATCH(O119&amp;"|"&amp;M119,LAYOUT!$E$2:$E$34,0)),"zona tidak ada di layout"))</f>
        <v/>
      </c>
      <c r="Q119" s="12">
        <f>IF(OR(L119="",D119=""),"",COUNTIFS($L$2:$L$500,L119,$M$2:$M$500,M119,$D$2:$D$500,"&lt;&gt;"))</f>
        <v/>
      </c>
      <c r="R119" s="12">
        <f>IF(AND(D119="",L119=""),"",IF(L119="","Belum ditempatkan",IF(O119="","CEK ID FIXTURE tidak ada di DAFTAR_FIXTURE",IF(M119="","CEK ZONA NO kosong",IF(P119="zona tidak ada di layout","CEK ZONA NO di luar layout",IF(N119&lt;&gt;P119,"CEK JENIS ZONA",IF(D119="","Zona STOCK",IF(E119="","CEK SKU DESCRIPTION kosong","OK"))))))))</f>
        <v/>
      </c>
    </row>
    <row r="120">
      <c r="A120" s="10" t="inlineStr">
        <is>
          <t>Homeware</t>
        </is>
      </c>
      <c r="B120" s="10" t="inlineStr">
        <is>
          <t>Tableware</t>
        </is>
      </c>
      <c r="C120" s="10" t="inlineStr">
        <is>
          <t>Serving Set</t>
        </is>
      </c>
      <c r="D120" s="10" t="inlineStr">
        <is>
          <t>10681572</t>
        </is>
      </c>
      <c r="E120" s="10" t="inlineStr">
        <is>
          <t>SERVING GLASS OVAL PLATER ZOE GOLD</t>
        </is>
      </c>
      <c r="F120" s="10" t="n"/>
      <c r="G120" s="10" t="inlineStr">
        <is>
          <t>MAKAN</t>
        </is>
      </c>
      <c r="H120" s="10" t="inlineStr">
        <is>
          <t>A2. SERVINGWARE</t>
        </is>
      </c>
      <c r="I120" s="10" t="inlineStr">
        <is>
          <t>W/GOLD RACK GLASS</t>
        </is>
      </c>
      <c r="J120" s="10" t="n"/>
      <c r="K120" s="10" t="n"/>
      <c r="L120" s="11" t="inlineStr">
        <is>
          <t>GND-01</t>
        </is>
      </c>
      <c r="M120" s="11" t="n">
        <v>3</v>
      </c>
      <c r="N120" s="11" t="inlineStr">
        <is>
          <t>Rak</t>
        </is>
      </c>
      <c r="O120" s="12">
        <f>IF(L120="","",IFERROR(INDEX(DAFTAR_FIXTURE!$B$2:$B$51,MATCH(L120,DAFTAR_FIXTURE!$A$2:$A$51,0)),""))</f>
        <v/>
      </c>
      <c r="P120" s="12">
        <f>IF(OR(O120="",M120=""),"",IFERROR(INDEX(LAYOUT!$D$2:$D$34,MATCH(O120&amp;"|"&amp;M120,LAYOUT!$E$2:$E$34,0)),"zona tidak ada di layout"))</f>
        <v/>
      </c>
      <c r="Q120" s="12">
        <f>IF(OR(L120="",D120=""),"",COUNTIFS($L$2:$L$500,L120,$M$2:$M$500,M120,$D$2:$D$500,"&lt;&gt;"))</f>
        <v/>
      </c>
      <c r="R120" s="12">
        <f>IF(AND(D120="",L120=""),"",IF(L120="","Belum ditempatkan",IF(O120="","CEK ID FIXTURE tidak ada di DAFTAR_FIXTURE",IF(M120="","CEK ZONA NO kosong",IF(P120="zona tidak ada di layout","CEK ZONA NO di luar layout",IF(N120&lt;&gt;P120,"CEK JENIS ZONA",IF(D120="","Zona STOCK",IF(E120="","CEK SKU DESCRIPTION kosong","OK"))))))))</f>
        <v/>
      </c>
    </row>
    <row r="121">
      <c r="A121" s="10" t="inlineStr">
        <is>
          <t>Homeware</t>
        </is>
      </c>
      <c r="B121" s="10" t="inlineStr">
        <is>
          <t>Tableware</t>
        </is>
      </c>
      <c r="C121" s="10" t="inlineStr">
        <is>
          <t>Serving Set</t>
        </is>
      </c>
      <c r="D121" s="10" t="inlineStr">
        <is>
          <t>10681573</t>
        </is>
      </c>
      <c r="E121" s="10" t="inlineStr">
        <is>
          <t>SERVING GLASS SQR TWO RACK ZENA GOLD</t>
        </is>
      </c>
      <c r="F121" s="10" t="n"/>
      <c r="G121" s="10" t="inlineStr">
        <is>
          <t>MAKAN</t>
        </is>
      </c>
      <c r="H121" s="10" t="inlineStr">
        <is>
          <t>A2. SERVINGWARE</t>
        </is>
      </c>
      <c r="I121" s="10" t="inlineStr">
        <is>
          <t>W/GOLD RACK GLASS</t>
        </is>
      </c>
      <c r="J121" s="10" t="n"/>
      <c r="K121" s="10" t="n"/>
      <c r="L121" s="11" t="inlineStr">
        <is>
          <t>GND-01</t>
        </is>
      </c>
      <c r="M121" s="11" t="n">
        <v>3</v>
      </c>
      <c r="N121" s="11" t="inlineStr">
        <is>
          <t>Rak</t>
        </is>
      </c>
      <c r="O121" s="12">
        <f>IF(L121="","",IFERROR(INDEX(DAFTAR_FIXTURE!$B$2:$B$51,MATCH(L121,DAFTAR_FIXTURE!$A$2:$A$51,0)),""))</f>
        <v/>
      </c>
      <c r="P121" s="12">
        <f>IF(OR(O121="",M121=""),"",IFERROR(INDEX(LAYOUT!$D$2:$D$34,MATCH(O121&amp;"|"&amp;M121,LAYOUT!$E$2:$E$34,0)),"zona tidak ada di layout"))</f>
        <v/>
      </c>
      <c r="Q121" s="12">
        <f>IF(OR(L121="",D121=""),"",COUNTIFS($L$2:$L$500,L121,$M$2:$M$500,M121,$D$2:$D$500,"&lt;&gt;"))</f>
        <v/>
      </c>
      <c r="R121" s="12">
        <f>IF(AND(D121="",L121=""),"",IF(L121="","Belum ditempatkan",IF(O121="","CEK ID FIXTURE tidak ada di DAFTAR_FIXTURE",IF(M121="","CEK ZONA NO kosong",IF(P121="zona tidak ada di layout","CEK ZONA NO di luar layout",IF(N121&lt;&gt;P121,"CEK JENIS ZONA",IF(D121="","Zona STOCK",IF(E121="","CEK SKU DESCRIPTION kosong","OK"))))))))</f>
        <v/>
      </c>
    </row>
    <row r="122">
      <c r="A122" s="10" t="inlineStr">
        <is>
          <t>Homeware</t>
        </is>
      </c>
      <c r="B122" s="10" t="inlineStr">
        <is>
          <t>Tableware</t>
        </is>
      </c>
      <c r="C122" s="10" t="inlineStr">
        <is>
          <t>Serving Set</t>
        </is>
      </c>
      <c r="D122" s="10" t="inlineStr">
        <is>
          <t>10681574</t>
        </is>
      </c>
      <c r="E122" s="10" t="inlineStr">
        <is>
          <t>SERVING GLASS RND TWO RACK ZIA GOLD</t>
        </is>
      </c>
      <c r="F122" s="10" t="n"/>
      <c r="G122" s="10" t="inlineStr">
        <is>
          <t>MAKAN</t>
        </is>
      </c>
      <c r="H122" s="10" t="inlineStr">
        <is>
          <t>A2. SERVINGWARE</t>
        </is>
      </c>
      <c r="I122" s="10" t="inlineStr">
        <is>
          <t>W/GOLD RACK GLASS</t>
        </is>
      </c>
      <c r="J122" s="10" t="n"/>
      <c r="K122" s="10" t="n"/>
      <c r="L122" s="11" t="inlineStr">
        <is>
          <t>GND-01</t>
        </is>
      </c>
      <c r="M122" s="11" t="n">
        <v>3</v>
      </c>
      <c r="N122" s="11" t="inlineStr">
        <is>
          <t>Rak</t>
        </is>
      </c>
      <c r="O122" s="12">
        <f>IF(L122="","",IFERROR(INDEX(DAFTAR_FIXTURE!$B$2:$B$51,MATCH(L122,DAFTAR_FIXTURE!$A$2:$A$51,0)),""))</f>
        <v/>
      </c>
      <c r="P122" s="12">
        <f>IF(OR(O122="",M122=""),"",IFERROR(INDEX(LAYOUT!$D$2:$D$34,MATCH(O122&amp;"|"&amp;M122,LAYOUT!$E$2:$E$34,0)),"zona tidak ada di layout"))</f>
        <v/>
      </c>
      <c r="Q122" s="12">
        <f>IF(OR(L122="",D122=""),"",COUNTIFS($L$2:$L$500,L122,$M$2:$M$500,M122,$D$2:$D$500,"&lt;&gt;"))</f>
        <v/>
      </c>
      <c r="R122" s="12">
        <f>IF(AND(D122="",L122=""),"",IF(L122="","Belum ditempatkan",IF(O122="","CEK ID FIXTURE tidak ada di DAFTAR_FIXTURE",IF(M122="","CEK ZONA NO kosong",IF(P122="zona tidak ada di layout","CEK ZONA NO di luar layout",IF(N122&lt;&gt;P122,"CEK JENIS ZONA",IF(D122="","Zona STOCK",IF(E122="","CEK SKU DESCRIPTION kosong","OK"))))))))</f>
        <v/>
      </c>
    </row>
    <row r="123">
      <c r="A123" s="10" t="inlineStr">
        <is>
          <t>Homeware</t>
        </is>
      </c>
      <c r="B123" s="10" t="inlineStr">
        <is>
          <t>Storage</t>
        </is>
      </c>
      <c r="C123" s="10" t="inlineStr">
        <is>
          <t>Food Storage</t>
        </is>
      </c>
      <c r="D123" s="10" t="inlineStr">
        <is>
          <t>10682153</t>
        </is>
      </c>
      <c r="E123" s="10" t="inlineStr">
        <is>
          <t>EID 2026 GLASS JAR SET OF 3 900ML</t>
        </is>
      </c>
      <c r="F123" s="10" t="n"/>
      <c r="G123" s="10" t="inlineStr">
        <is>
          <t>PENYIMPANAN</t>
        </is>
      </c>
      <c r="H123" s="10" t="inlineStr">
        <is>
          <t>E4. CANISTER</t>
        </is>
      </c>
      <c r="I123" s="10" t="inlineStr">
        <is>
          <t>GLASS FANCY</t>
        </is>
      </c>
      <c r="J123" s="10" t="n"/>
      <c r="K123" s="10" t="n"/>
      <c r="L123" s="11" t="inlineStr">
        <is>
          <t>GND-01</t>
        </is>
      </c>
      <c r="M123" s="11" t="n">
        <v>4</v>
      </c>
      <c r="N123" s="11" t="inlineStr">
        <is>
          <t>Rak</t>
        </is>
      </c>
      <c r="O123" s="12">
        <f>IF(L123="","",IFERROR(INDEX(DAFTAR_FIXTURE!$B$2:$B$51,MATCH(L123,DAFTAR_FIXTURE!$A$2:$A$51,0)),""))</f>
        <v/>
      </c>
      <c r="P123" s="12">
        <f>IF(OR(O123="",M123=""),"",IFERROR(INDEX(LAYOUT!$D$2:$D$34,MATCH(O123&amp;"|"&amp;M123,LAYOUT!$E$2:$E$34,0)),"zona tidak ada di layout"))</f>
        <v/>
      </c>
      <c r="Q123" s="12">
        <f>IF(OR(L123="",D123=""),"",COUNTIFS($L$2:$L$500,L123,$M$2:$M$500,M123,$D$2:$D$500,"&lt;&gt;"))</f>
        <v/>
      </c>
      <c r="R123" s="12">
        <f>IF(AND(D123="",L123=""),"",IF(L123="","Belum ditempatkan",IF(O123="","CEK ID FIXTURE tidak ada di DAFTAR_FIXTURE",IF(M123="","CEK ZONA NO kosong",IF(P123="zona tidak ada di layout","CEK ZONA NO di luar layout",IF(N123&lt;&gt;P123,"CEK JENIS ZONA",IF(D123="","Zona STOCK",IF(E123="","CEK SKU DESCRIPTION kosong","OK"))))))))</f>
        <v/>
      </c>
    </row>
    <row r="124">
      <c r="A124" s="10" t="inlineStr">
        <is>
          <t>Homeware</t>
        </is>
      </c>
      <c r="B124" s="10" t="inlineStr">
        <is>
          <t>Storage</t>
        </is>
      </c>
      <c r="C124" s="10" t="inlineStr">
        <is>
          <t>Food Storage</t>
        </is>
      </c>
      <c r="D124" s="10" t="inlineStr">
        <is>
          <t>10682154</t>
        </is>
      </c>
      <c r="E124" s="10" t="inlineStr">
        <is>
          <t>GRETTA GLASS JAR SET OF 4 WITH RACK</t>
        </is>
      </c>
      <c r="F124" s="10" t="n"/>
      <c r="G124" s="10" t="inlineStr">
        <is>
          <t>PENYIMPANAN</t>
        </is>
      </c>
      <c r="H124" s="10" t="inlineStr">
        <is>
          <t>E4. CANISTER</t>
        </is>
      </c>
      <c r="I124" s="10" t="inlineStr">
        <is>
          <t>GLASS BASIC</t>
        </is>
      </c>
      <c r="J124" s="10" t="n"/>
      <c r="K124" s="10" t="n"/>
      <c r="L124" s="11" t="inlineStr">
        <is>
          <t>GND-01</t>
        </is>
      </c>
      <c r="M124" s="11" t="n">
        <v>4</v>
      </c>
      <c r="N124" s="11" t="inlineStr">
        <is>
          <t>Rak</t>
        </is>
      </c>
      <c r="O124" s="12">
        <f>IF(L124="","",IFERROR(INDEX(DAFTAR_FIXTURE!$B$2:$B$51,MATCH(L124,DAFTAR_FIXTURE!$A$2:$A$51,0)),""))</f>
        <v/>
      </c>
      <c r="P124" s="12">
        <f>IF(OR(O124="",M124=""),"",IFERROR(INDEX(LAYOUT!$D$2:$D$34,MATCH(O124&amp;"|"&amp;M124,LAYOUT!$E$2:$E$34,0)),"zona tidak ada di layout"))</f>
        <v/>
      </c>
      <c r="Q124" s="12">
        <f>IF(OR(L124="",D124=""),"",COUNTIFS($L$2:$L$500,L124,$M$2:$M$500,M124,$D$2:$D$500,"&lt;&gt;"))</f>
        <v/>
      </c>
      <c r="R124" s="12">
        <f>IF(AND(D124="",L124=""),"",IF(L124="","Belum ditempatkan",IF(O124="","CEK ID FIXTURE tidak ada di DAFTAR_FIXTURE",IF(M124="","CEK ZONA NO kosong",IF(P124="zona tidak ada di layout","CEK ZONA NO di luar layout",IF(N124&lt;&gt;P124,"CEK JENIS ZONA",IF(D124="","Zona STOCK",IF(E124="","CEK SKU DESCRIPTION kosong","OK"))))))))</f>
        <v/>
      </c>
    </row>
    <row r="125">
      <c r="A125" s="10" t="inlineStr">
        <is>
          <t>Homeware</t>
        </is>
      </c>
      <c r="B125" s="10" t="inlineStr">
        <is>
          <t>Storage</t>
        </is>
      </c>
      <c r="C125" s="10" t="inlineStr">
        <is>
          <t>Food Storage</t>
        </is>
      </c>
      <c r="D125" s="10" t="inlineStr">
        <is>
          <t>10682155</t>
        </is>
      </c>
      <c r="E125" s="10" t="inlineStr">
        <is>
          <t>GRETTA GLASS JAR SET OF 3 WITH RACK</t>
        </is>
      </c>
      <c r="F125" s="10" t="n"/>
      <c r="G125" s="10" t="inlineStr">
        <is>
          <t>PENYIMPANAN</t>
        </is>
      </c>
      <c r="H125" s="10" t="inlineStr">
        <is>
          <t>E4. CANISTER</t>
        </is>
      </c>
      <c r="I125" s="10" t="inlineStr">
        <is>
          <t>GLASS BASIC</t>
        </is>
      </c>
      <c r="J125" s="10" t="n"/>
      <c r="K125" s="10" t="n"/>
      <c r="L125" s="11" t="inlineStr">
        <is>
          <t>GND-01</t>
        </is>
      </c>
      <c r="M125" s="11" t="n">
        <v>4</v>
      </c>
      <c r="N125" s="11" t="inlineStr">
        <is>
          <t>Rak</t>
        </is>
      </c>
      <c r="O125" s="12">
        <f>IF(L125="","",IFERROR(INDEX(DAFTAR_FIXTURE!$B$2:$B$51,MATCH(L125,DAFTAR_FIXTURE!$A$2:$A$51,0)),""))</f>
        <v/>
      </c>
      <c r="P125" s="12">
        <f>IF(OR(O125="",M125=""),"",IFERROR(INDEX(LAYOUT!$D$2:$D$34,MATCH(O125&amp;"|"&amp;M125,LAYOUT!$E$2:$E$34,0)),"zona tidak ada di layout"))</f>
        <v/>
      </c>
      <c r="Q125" s="12">
        <f>IF(OR(L125="",D125=""),"",COUNTIFS($L$2:$L$500,L125,$M$2:$M$500,M125,$D$2:$D$500,"&lt;&gt;"))</f>
        <v/>
      </c>
      <c r="R125" s="12">
        <f>IF(AND(D125="",L125=""),"",IF(L125="","Belum ditempatkan",IF(O125="","CEK ID FIXTURE tidak ada di DAFTAR_FIXTURE",IF(M125="","CEK ZONA NO kosong",IF(P125="zona tidak ada di layout","CEK ZONA NO di luar layout",IF(N125&lt;&gt;P125,"CEK JENIS ZONA",IF(D125="","Zona STOCK",IF(E125="","CEK SKU DESCRIPTION kosong","OK"))))))))</f>
        <v/>
      </c>
    </row>
    <row r="126">
      <c r="A126" s="10" t="inlineStr">
        <is>
          <t>Homeware</t>
        </is>
      </c>
      <c r="B126" s="10" t="inlineStr">
        <is>
          <t>Storage</t>
        </is>
      </c>
      <c r="C126" s="10" t="inlineStr">
        <is>
          <t>Food Storage</t>
        </is>
      </c>
      <c r="D126" s="10" t="inlineStr">
        <is>
          <t>10681993</t>
        </is>
      </c>
      <c r="E126" s="10" t="inlineStr">
        <is>
          <t>POLLA RICE BIN 5KG BEIGE</t>
        </is>
      </c>
      <c r="F126" s="10" t="n"/>
      <c r="G126" s="10" t="inlineStr">
        <is>
          <t>MASAK</t>
        </is>
      </c>
      <c r="H126" s="10" t="inlineStr">
        <is>
          <t>D11. KITCHEN PLASTICWARE</t>
        </is>
      </c>
      <c r="I126" s="10" t="inlineStr">
        <is>
          <t>POLLA</t>
        </is>
      </c>
      <c r="J126" s="10" t="n"/>
      <c r="K126" s="10" t="n"/>
      <c r="L126" s="11" t="inlineStr">
        <is>
          <t>GND-01</t>
        </is>
      </c>
      <c r="M126" s="11" t="n">
        <v>4</v>
      </c>
      <c r="N126" s="11" t="inlineStr">
        <is>
          <t>Rak</t>
        </is>
      </c>
      <c r="O126" s="12">
        <f>IF(L126="","",IFERROR(INDEX(DAFTAR_FIXTURE!$B$2:$B$51,MATCH(L126,DAFTAR_FIXTURE!$A$2:$A$51,0)),""))</f>
        <v/>
      </c>
      <c r="P126" s="12">
        <f>IF(OR(O126="",M126=""),"",IFERROR(INDEX(LAYOUT!$D$2:$D$34,MATCH(O126&amp;"|"&amp;M126,LAYOUT!$E$2:$E$34,0)),"zona tidak ada di layout"))</f>
        <v/>
      </c>
      <c r="Q126" s="12">
        <f>IF(OR(L126="",D126=""),"",COUNTIFS($L$2:$L$500,L126,$M$2:$M$500,M126,$D$2:$D$500,"&lt;&gt;"))</f>
        <v/>
      </c>
      <c r="R126" s="12">
        <f>IF(AND(D126="",L126=""),"",IF(L126="","Belum ditempatkan",IF(O126="","CEK ID FIXTURE tidak ada di DAFTAR_FIXTURE",IF(M126="","CEK ZONA NO kosong",IF(P126="zona tidak ada di layout","CEK ZONA NO di luar layout",IF(N126&lt;&gt;P126,"CEK JENIS ZONA",IF(D126="","Zona STOCK",IF(E126="","CEK SKU DESCRIPTION kosong","OK"))))))))</f>
        <v/>
      </c>
    </row>
    <row r="127">
      <c r="A127" s="10" t="inlineStr">
        <is>
          <t>Homeware</t>
        </is>
      </c>
      <c r="B127" s="10" t="inlineStr">
        <is>
          <t>Storage</t>
        </is>
      </c>
      <c r="C127" s="10" t="inlineStr">
        <is>
          <t>Food Storage</t>
        </is>
      </c>
      <c r="D127" s="10" t="inlineStr">
        <is>
          <t>10682153</t>
        </is>
      </c>
      <c r="E127" s="10" t="inlineStr">
        <is>
          <t>EID 2026 GLASS JAR SET OF 3 900ML</t>
        </is>
      </c>
      <c r="F127" s="10" t="n"/>
      <c r="G127" s="10" t="inlineStr">
        <is>
          <t>PENYIMPANAN</t>
        </is>
      </c>
      <c r="H127" s="10" t="inlineStr">
        <is>
          <t>E4. CANISTER</t>
        </is>
      </c>
      <c r="I127" s="10" t="inlineStr">
        <is>
          <t>GLASS FANCY</t>
        </is>
      </c>
      <c r="J127" s="10" t="n"/>
      <c r="K127" s="10" t="n"/>
      <c r="L127" s="11" t="inlineStr">
        <is>
          <t>WLL-01</t>
        </is>
      </c>
      <c r="M127" s="11" t="n">
        <v>5</v>
      </c>
      <c r="N127" s="11" t="inlineStr">
        <is>
          <t>Rak</t>
        </is>
      </c>
      <c r="O127" s="12">
        <f>IF(L127="","",IFERROR(INDEX(DAFTAR_FIXTURE!$B$2:$B$51,MATCH(L127,DAFTAR_FIXTURE!$A$2:$A$51,0)),""))</f>
        <v/>
      </c>
      <c r="P127" s="12">
        <f>IF(OR(O127="",M127=""),"",IFERROR(INDEX(LAYOUT!$D$2:$D$34,MATCH(O127&amp;"|"&amp;M127,LAYOUT!$E$2:$E$34,0)),"zona tidak ada di layout"))</f>
        <v/>
      </c>
      <c r="Q127" s="12">
        <f>IF(OR(L127="",D127=""),"",COUNTIFS($L$2:$L$500,L127,$M$2:$M$500,M127,$D$2:$D$500,"&lt;&gt;"))</f>
        <v/>
      </c>
      <c r="R127" s="12">
        <f>IF(AND(D127="",L127=""),"",IF(L127="","Belum ditempatkan",IF(O127="","CEK ID FIXTURE tidak ada di DAFTAR_FIXTURE",IF(M127="","CEK ZONA NO kosong",IF(P127="zona tidak ada di layout","CEK ZONA NO di luar layout",IF(N127&lt;&gt;P127,"CEK JENIS ZONA",IF(D127="","Zona STOCK",IF(E127="","CEK SKU DESCRIPTION kosong","OK"))))))))</f>
        <v/>
      </c>
    </row>
    <row r="128">
      <c r="A128" s="10" t="inlineStr">
        <is>
          <t>Homeware</t>
        </is>
      </c>
      <c r="B128" s="10" t="inlineStr">
        <is>
          <t>Tableware</t>
        </is>
      </c>
      <c r="C128" s="10" t="inlineStr">
        <is>
          <t>Serving Set</t>
        </is>
      </c>
      <c r="D128" s="10" t="inlineStr">
        <is>
          <t>10681572</t>
        </is>
      </c>
      <c r="E128" s="10" t="inlineStr">
        <is>
          <t>SERVING GLASS OVAL PLATER ZOE GOLD</t>
        </is>
      </c>
      <c r="F128" s="10" t="n"/>
      <c r="G128" s="10" t="inlineStr">
        <is>
          <t>MAKAN</t>
        </is>
      </c>
      <c r="H128" s="10" t="inlineStr">
        <is>
          <t>A2. SERVINGWARE</t>
        </is>
      </c>
      <c r="I128" s="10" t="inlineStr">
        <is>
          <t>W/GOLD RACK GLASS</t>
        </is>
      </c>
      <c r="J128" s="10" t="n"/>
      <c r="K128" s="10" t="n"/>
      <c r="L128" s="11" t="inlineStr">
        <is>
          <t>WLL-02</t>
        </is>
      </c>
      <c r="M128" s="11" t="n">
        <v>4</v>
      </c>
      <c r="N128" s="11" t="inlineStr">
        <is>
          <t>Rak</t>
        </is>
      </c>
      <c r="O128" s="12">
        <f>IF(L128="","",IFERROR(INDEX(DAFTAR_FIXTURE!$B$2:$B$51,MATCH(L128,DAFTAR_FIXTURE!$A$2:$A$51,0)),""))</f>
        <v/>
      </c>
      <c r="P128" s="12">
        <f>IF(OR(O128="",M128=""),"",IFERROR(INDEX(LAYOUT!$D$2:$D$34,MATCH(O128&amp;"|"&amp;M128,LAYOUT!$E$2:$E$34,0)),"zona tidak ada di layout"))</f>
        <v/>
      </c>
      <c r="Q128" s="12">
        <f>IF(OR(L128="",D128=""),"",COUNTIFS($L$2:$L$500,L128,$M$2:$M$500,M128,$D$2:$D$500,"&lt;&gt;"))</f>
        <v/>
      </c>
      <c r="R128" s="12">
        <f>IF(AND(D128="",L128=""),"",IF(L128="","Belum ditempatkan",IF(O128="","CEK ID FIXTURE tidak ada di DAFTAR_FIXTURE",IF(M128="","CEK ZONA NO kosong",IF(P128="zona tidak ada di layout","CEK ZONA NO di luar layout",IF(N128&lt;&gt;P128,"CEK JENIS ZONA",IF(D128="","Zona STOCK",IF(E128="","CEK SKU DESCRIPTION kosong","OK"))))))))</f>
        <v/>
      </c>
    </row>
    <row r="129">
      <c r="A129" s="10" t="inlineStr">
        <is>
          <t>Homeware</t>
        </is>
      </c>
      <c r="B129" s="10" t="inlineStr">
        <is>
          <t>Tableware</t>
        </is>
      </c>
      <c r="C129" s="10" t="inlineStr">
        <is>
          <t>Plates &amp; Bowls</t>
        </is>
      </c>
      <c r="D129" s="10" t="inlineStr">
        <is>
          <t>238182</t>
        </is>
      </c>
      <c r="E129" s="10" t="inlineStr">
        <is>
          <t>COUPLE PLATE 27CM SIMPLE PLUS</t>
        </is>
      </c>
      <c r="F129" s="10" t="n"/>
      <c r="G129" s="10" t="n"/>
      <c r="H129" s="10" t="n"/>
      <c r="I129" s="10" t="n"/>
      <c r="J129" s="10" t="n"/>
      <c r="K129" s="10" t="n"/>
      <c r="L129" s="11" t="inlineStr">
        <is>
          <t>WLL-02</t>
        </is>
      </c>
      <c r="M129" s="11" t="n">
        <v>1</v>
      </c>
      <c r="N129" s="11" t="inlineStr">
        <is>
          <t>Rak</t>
        </is>
      </c>
      <c r="O129" s="12">
        <f>IF(L129="","",IFERROR(INDEX(DAFTAR_FIXTURE!$B$2:$B$51,MATCH(L129,DAFTAR_FIXTURE!$A$2:$A$51,0)),""))</f>
        <v/>
      </c>
      <c r="P129" s="12">
        <f>IF(OR(O129="",M129=""),"",IFERROR(INDEX(LAYOUT!$D$2:$D$34,MATCH(O129&amp;"|"&amp;M129,LAYOUT!$E$2:$E$34,0)),"zona tidak ada di layout"))</f>
        <v/>
      </c>
      <c r="Q129" s="12">
        <f>IF(OR(L129="",D129=""),"",COUNTIFS($L$2:$L$500,L129,$M$2:$M$500,M129,$D$2:$D$500,"&lt;&gt;"))</f>
        <v/>
      </c>
      <c r="R129" s="12">
        <f>IF(AND(D129="",L129=""),"",IF(L129="","Belum ditempatkan",IF(O129="","CEK ID FIXTURE tidak ada di DAFTAR_FIXTURE",IF(M129="","CEK ZONA NO kosong",IF(P129="zona tidak ada di layout","CEK ZONA NO di luar layout",IF(N129&lt;&gt;P129,"CEK JENIS ZONA",IF(D129="","Zona STOCK",IF(E129="","CEK SKU DESCRIPTION kosong","OK"))))))))</f>
        <v/>
      </c>
    </row>
    <row r="130">
      <c r="A130" s="10" t="inlineStr">
        <is>
          <t>Homeware</t>
        </is>
      </c>
      <c r="B130" s="10" t="inlineStr">
        <is>
          <t>Tableware</t>
        </is>
      </c>
      <c r="C130" s="10" t="inlineStr">
        <is>
          <t>Plates &amp; Bowls</t>
        </is>
      </c>
      <c r="D130" s="10" t="inlineStr">
        <is>
          <t>238187</t>
        </is>
      </c>
      <c r="E130" s="10" t="inlineStr">
        <is>
          <t>RECT PLATE 14.5CMX22CM SIMPLE PLUS</t>
        </is>
      </c>
      <c r="F130" s="10" t="n"/>
      <c r="G130" s="10" t="n"/>
      <c r="H130" s="10" t="n"/>
      <c r="I130" s="10" t="n"/>
      <c r="J130" s="10" t="n"/>
      <c r="K130" s="10" t="n"/>
      <c r="L130" s="11" t="inlineStr">
        <is>
          <t>WLL-02</t>
        </is>
      </c>
      <c r="M130" s="11" t="n">
        <v>1</v>
      </c>
      <c r="N130" s="11" t="inlineStr">
        <is>
          <t>Rak</t>
        </is>
      </c>
      <c r="O130" s="12">
        <f>IF(L130="","",IFERROR(INDEX(DAFTAR_FIXTURE!$B$2:$B$51,MATCH(L130,DAFTAR_FIXTURE!$A$2:$A$51,0)),""))</f>
        <v/>
      </c>
      <c r="P130" s="12">
        <f>IF(OR(O130="",M130=""),"",IFERROR(INDEX(LAYOUT!$D$2:$D$34,MATCH(O130&amp;"|"&amp;M130,LAYOUT!$E$2:$E$34,0)),"zona tidak ada di layout"))</f>
        <v/>
      </c>
      <c r="Q130" s="12">
        <f>IF(OR(L130="",D130=""),"",COUNTIFS($L$2:$L$500,L130,$M$2:$M$500,M130,$D$2:$D$500,"&lt;&gt;"))</f>
        <v/>
      </c>
      <c r="R130" s="12">
        <f>IF(AND(D130="",L130=""),"",IF(L130="","Belum ditempatkan",IF(O130="","CEK ID FIXTURE tidak ada di DAFTAR_FIXTURE",IF(M130="","CEK ZONA NO kosong",IF(P130="zona tidak ada di layout","CEK ZONA NO di luar layout",IF(N130&lt;&gt;P130,"CEK JENIS ZONA",IF(D130="","Zona STOCK",IF(E130="","CEK SKU DESCRIPTION kosong","OK"))))))))</f>
        <v/>
      </c>
    </row>
    <row r="131">
      <c r="A131" s="10" t="inlineStr">
        <is>
          <t>Homeware</t>
        </is>
      </c>
      <c r="B131" s="10" t="inlineStr">
        <is>
          <t>Drinkware</t>
        </is>
      </c>
      <c r="C131" s="10" t="inlineStr">
        <is>
          <t>Cup &amp; Saucer</t>
        </is>
      </c>
      <c r="D131" s="10" t="inlineStr">
        <is>
          <t>238190</t>
        </is>
      </c>
      <c r="E131" s="10" t="inlineStr">
        <is>
          <t>CUP 100 CC W/SAUCER 12.5CM SIMPLE PLUS</t>
        </is>
      </c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IF(OR(O131="",M131=""),"",IFERROR(INDEX(LAYOUT!$D$2:$D$34,MATCH(O131&amp;"|"&amp;M131,LAYOUT!$E$2:$E$34,0)),"zona tidak ada di layout"))</f>
        <v/>
      </c>
      <c r="Q131" s="12">
        <f>IF(OR(L131="",D131=""),"",COUNTIFS($L$2:$L$500,L131,$M$2:$M$500,M131,$D$2:$D$500,"&lt;&gt;"))</f>
        <v/>
      </c>
      <c r="R131" s="12">
        <f>IF(AND(D131="",L131=""),"",IF(L131="","Belum ditempatkan",IF(O131="","CEK ID FIXTURE tidak ada di DAFTAR_FIXTURE",IF(M131="","CEK ZONA NO kosong",IF(P131="zona tidak ada di layout","CEK ZONA NO di luar layout",IF(N131&lt;&gt;P131,"CEK JENIS ZONA",IF(D131="","Zona STOCK",IF(E131="","CEK SKU DESCRIPTION kosong","OK"))))))))</f>
        <v/>
      </c>
    </row>
    <row r="132">
      <c r="A132" s="10" t="inlineStr">
        <is>
          <t>Homeware</t>
        </is>
      </c>
      <c r="B132" s="10" t="inlineStr">
        <is>
          <t>Drinkware</t>
        </is>
      </c>
      <c r="C132" s="10" t="inlineStr">
        <is>
          <t>Cup &amp; Saucer</t>
        </is>
      </c>
      <c r="D132" s="10" t="inlineStr">
        <is>
          <t>238191</t>
        </is>
      </c>
      <c r="E132" s="10" t="inlineStr">
        <is>
          <t>CUP 200 CC W/SAUCER 15.5CM SIMPLE PLUS</t>
        </is>
      </c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IF(OR(O132="",M132=""),"",IFERROR(INDEX(LAYOUT!$D$2:$D$34,MATCH(O132&amp;"|"&amp;M132,LAYOUT!$E$2:$E$34,0)),"zona tidak ada di layout"))</f>
        <v/>
      </c>
      <c r="Q132" s="12">
        <f>IF(OR(L132="",D132=""),"",COUNTIFS($L$2:$L$500,L132,$M$2:$M$500,M132,$D$2:$D$500,"&lt;&gt;"))</f>
        <v/>
      </c>
      <c r="R132" s="12">
        <f>IF(AND(D132="",L132=""),"",IF(L132="","Belum ditempatkan",IF(O132="","CEK ID FIXTURE tidak ada di DAFTAR_FIXTURE",IF(M132="","CEK ZONA NO kosong",IF(P132="zona tidak ada di layout","CEK ZONA NO di luar layout",IF(N132&lt;&gt;P132,"CEK JENIS ZONA",IF(D132="","Zona STOCK",IF(E132="","CEK SKU DESCRIPTION kosong","OK"))))))))</f>
        <v/>
      </c>
    </row>
    <row r="133">
      <c r="A133" s="10" t="inlineStr">
        <is>
          <t>Homeware</t>
        </is>
      </c>
      <c r="B133" s="10" t="inlineStr">
        <is>
          <t>Tableware</t>
        </is>
      </c>
      <c r="C133" s="10" t="inlineStr">
        <is>
          <t>Plates &amp; Bowls</t>
        </is>
      </c>
      <c r="D133" s="10" t="inlineStr">
        <is>
          <t>238192</t>
        </is>
      </c>
      <c r="E133" s="10" t="inlineStr">
        <is>
          <t>LOW BOWL 17 CM SIMPLE PLUS</t>
        </is>
      </c>
      <c r="F133" s="10" t="n"/>
      <c r="G133" s="10" t="n"/>
      <c r="H133" s="10" t="n"/>
      <c r="I133" s="10" t="n"/>
      <c r="J133" s="10" t="n"/>
      <c r="K133" s="10" t="n"/>
      <c r="L133" s="11" t="inlineStr">
        <is>
          <t>WLL-02</t>
        </is>
      </c>
      <c r="M133" s="11" t="n">
        <v>1</v>
      </c>
      <c r="N133" s="11" t="inlineStr">
        <is>
          <t>Rak</t>
        </is>
      </c>
      <c r="O133" s="12">
        <f>IF(L133="","",IFERROR(INDEX(DAFTAR_FIXTURE!$B$2:$B$51,MATCH(L133,DAFTAR_FIXTURE!$A$2:$A$51,0)),""))</f>
        <v/>
      </c>
      <c r="P133" s="12">
        <f>IF(OR(O133="",M133=""),"",IFERROR(INDEX(LAYOUT!$D$2:$D$34,MATCH(O133&amp;"|"&amp;M133,LAYOUT!$E$2:$E$34,0)),"zona tidak ada di layout"))</f>
        <v/>
      </c>
      <c r="Q133" s="12">
        <f>IF(OR(L133="",D133=""),"",COUNTIFS($L$2:$L$500,L133,$M$2:$M$500,M133,$D$2:$D$500,"&lt;&gt;"))</f>
        <v/>
      </c>
      <c r="R133" s="12">
        <f>IF(AND(D133="",L133=""),"",IF(L133="","Belum ditempatkan",IF(O133="","CEK ID FIXTURE tidak ada di DAFTAR_FIXTURE",IF(M133="","CEK ZONA NO kosong",IF(P133="zona tidak ada di layout","CEK ZONA NO di luar layout",IF(N133&lt;&gt;P133,"CEK JENIS ZONA",IF(D133="","Zona STOCK",IF(E133="","CEK SKU DESCRIPTION kosong","OK"))))))))</f>
        <v/>
      </c>
    </row>
    <row r="134">
      <c r="A134" s="10" t="inlineStr">
        <is>
          <t>Homeware</t>
        </is>
      </c>
      <c r="B134" s="10" t="inlineStr">
        <is>
          <t>Tableware</t>
        </is>
      </c>
      <c r="C134" s="10" t="inlineStr">
        <is>
          <t>Plates &amp; Bowls</t>
        </is>
      </c>
      <c r="D134" s="10" t="inlineStr">
        <is>
          <t>238193</t>
        </is>
      </c>
      <c r="E134" s="10" t="inlineStr">
        <is>
          <t>LOW BOWL 19 CM SIMPLE PLUS</t>
        </is>
      </c>
      <c r="F134" s="10" t="n"/>
      <c r="G134" s="10" t="n"/>
      <c r="H134" s="10" t="n"/>
      <c r="I134" s="10" t="n"/>
      <c r="J134" s="10" t="n"/>
      <c r="K134" s="10" t="n"/>
      <c r="L134" s="11" t="inlineStr">
        <is>
          <t>WLL-02</t>
        </is>
      </c>
      <c r="M134" s="11" t="n">
        <v>1</v>
      </c>
      <c r="N134" s="11" t="inlineStr">
        <is>
          <t>Rak</t>
        </is>
      </c>
      <c r="O134" s="12">
        <f>IF(L134="","",IFERROR(INDEX(DAFTAR_FIXTURE!$B$2:$B$51,MATCH(L134,DAFTAR_FIXTURE!$A$2:$A$51,0)),""))</f>
        <v/>
      </c>
      <c r="P134" s="12">
        <f>IF(OR(O134="",M134=""),"",IFERROR(INDEX(LAYOUT!$D$2:$D$34,MATCH(O134&amp;"|"&amp;M134,LAYOUT!$E$2:$E$34,0)),"zona tidak ada di layout"))</f>
        <v/>
      </c>
      <c r="Q134" s="12">
        <f>IF(OR(L134="",D134=""),"",COUNTIFS($L$2:$L$500,L134,$M$2:$M$500,M134,$D$2:$D$500,"&lt;&gt;"))</f>
        <v/>
      </c>
      <c r="R134" s="12">
        <f>IF(AND(D134="",L134=""),"",IF(L134="","Belum ditempatkan",IF(O134="","CEK ID FIXTURE tidak ada di DAFTAR_FIXTURE",IF(M134="","CEK ZONA NO kosong",IF(P134="zona tidak ada di layout","CEK ZONA NO di luar layout",IF(N134&lt;&gt;P134,"CEK JENIS ZONA",IF(D134="","Zona STOCK",IF(E134="","CEK SKU DESCRIPTION kosong","OK"))))))))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IF(OR(O135="",M135=""),"",IFERROR(INDEX(LAYOUT!$D$2:$D$34,MATCH(O135&amp;"|"&amp;M135,LAYOUT!$E$2:$E$34,0)),"zona tidak ada di layout"))</f>
        <v/>
      </c>
      <c r="Q135" s="12">
        <f>IF(OR(L135="",D135=""),"",COUNTIFS($L$2:$L$500,L135,$M$2:$M$500,M135,$D$2:$D$500,"&lt;&gt;"))</f>
        <v/>
      </c>
      <c r="R135" s="12">
        <f>IF(AND(D135="",L135=""),"",IF(L135="","Belum ditempatkan",IF(O135="","CEK ID FIXTURE tidak ada di DAFTAR_FIXTURE",IF(M135="","CEK ZONA NO kosong",IF(P135="zona tidak ada di layout","CEK ZONA NO di luar layout",IF(N135&lt;&gt;P135,"CEK JENIS ZONA",IF(D135="","Zona STOCK",IF(E135="","CEK SKU DESCRIPTION kosong","OK"))))))))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IF(OR(O136="",M136=""),"",IFERROR(INDEX(LAYOUT!$D$2:$D$34,MATCH(O136&amp;"|"&amp;M136,LAYOUT!$E$2:$E$34,0)),"zona tidak ada di layout"))</f>
        <v/>
      </c>
      <c r="Q136" s="12">
        <f>IF(OR(L136="",D136=""),"",COUNTIFS($L$2:$L$500,L136,$M$2:$M$500,M136,$D$2:$D$500,"&lt;&gt;"))</f>
        <v/>
      </c>
      <c r="R136" s="12">
        <f>IF(AND(D136="",L136=""),"",IF(L136="","Belum ditempatkan",IF(O136="","CEK ID FIXTURE tidak ada di DAFTAR_FIXTURE",IF(M136="","CEK ZONA NO kosong",IF(P136="zona tidak ada di layout","CEK ZONA NO di luar layout",IF(N136&lt;&gt;P136,"CEK JENIS ZONA",IF(D136="","Zona STOCK",IF(E136="","CEK SKU DESCRIPTION kosong","OK"))))))))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IF(OR(O137="",M137=""),"",IFERROR(INDEX(LAYOUT!$D$2:$D$34,MATCH(O137&amp;"|"&amp;M137,LAYOUT!$E$2:$E$34,0)),"zona tidak ada di layout"))</f>
        <v/>
      </c>
      <c r="Q137" s="12">
        <f>IF(OR(L137="",D137=""),"",COUNTIFS($L$2:$L$500,L137,$M$2:$M$500,M137,$D$2:$D$500,"&lt;&gt;"))</f>
        <v/>
      </c>
      <c r="R137" s="12">
        <f>IF(AND(D137="",L137=""),"",IF(L137="","Belum ditempatkan",IF(O137="","CEK ID FIXTURE tidak ada di DAFTAR_FIXTURE",IF(M137="","CEK ZONA NO kosong",IF(P137="zona tidak ada di layout","CEK ZONA NO di luar layout",IF(N137&lt;&gt;P137,"CEK JENIS ZONA",IF(D137="","Zona STOCK",IF(E137="","CEK SKU DESCRIPTION kosong","OK"))))))))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IF(OR(O138="",M138=""),"",IFERROR(INDEX(LAYOUT!$D$2:$D$34,MATCH(O138&amp;"|"&amp;M138,LAYOUT!$E$2:$E$34,0)),"zona tidak ada di layout"))</f>
        <v/>
      </c>
      <c r="Q138" s="12">
        <f>IF(OR(L138="",D138=""),"",COUNTIFS($L$2:$L$500,L138,$M$2:$M$500,M138,$D$2:$D$500,"&lt;&gt;"))</f>
        <v/>
      </c>
      <c r="R138" s="12">
        <f>IF(AND(D138="",L138=""),"",IF(L138="","Belum ditempatkan",IF(O138="","CEK ID FIXTURE tidak ada di DAFTAR_FIXTURE",IF(M138="","CEK ZONA NO kosong",IF(P138="zona tidak ada di layout","CEK ZONA NO di luar layout",IF(N138&lt;&gt;P138,"CEK JENIS ZONA",IF(D138="","Zona STOCK",IF(E138="","CEK SKU DESCRIPTION kosong","OK"))))))))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IF(OR(O139="",M139=""),"",IFERROR(INDEX(LAYOUT!$D$2:$D$34,MATCH(O139&amp;"|"&amp;M139,LAYOUT!$E$2:$E$34,0)),"zona tidak ada di layout"))</f>
        <v/>
      </c>
      <c r="Q139" s="12">
        <f>IF(OR(L139="",D139=""),"",COUNTIFS($L$2:$L$500,L139,$M$2:$M$500,M139,$D$2:$D$500,"&lt;&gt;"))</f>
        <v/>
      </c>
      <c r="R139" s="12">
        <f>IF(AND(D139="",L139=""),"",IF(L139="","Belum ditempatkan",IF(O139="","CEK ID FIXTURE tidak ada di DAFTAR_FIXTURE",IF(M139="","CEK ZONA NO kosong",IF(P139="zona tidak ada di layout","CEK ZONA NO di luar layout",IF(N139&lt;&gt;P139,"CEK JENIS ZONA",IF(D139="","Zona STOCK",IF(E139="","CEK SKU DESCRIPTION kosong","OK"))))))))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IF(OR(O140="",M140=""),"",IFERROR(INDEX(LAYOUT!$D$2:$D$34,MATCH(O140&amp;"|"&amp;M140,LAYOUT!$E$2:$E$34,0)),"zona tidak ada di layout"))</f>
        <v/>
      </c>
      <c r="Q140" s="12">
        <f>IF(OR(L140="",D140=""),"",COUNTIFS($L$2:$L$500,L140,$M$2:$M$500,M140,$D$2:$D$500,"&lt;&gt;"))</f>
        <v/>
      </c>
      <c r="R140" s="12">
        <f>IF(AND(D140="",L140=""),"",IF(L140="","Belum ditempatkan",IF(O140="","CEK ID FIXTURE tidak ada di DAFTAR_FIXTURE",IF(M140="","CEK ZONA NO kosong",IF(P140="zona tidak ada di layout","CEK ZONA NO di luar layout",IF(N140&lt;&gt;P140,"CEK JENIS ZONA",IF(D140="","Zona STOCK",IF(E140="","CEK SKU DESCRIPTION kosong","OK"))))))))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IF(OR(O141="",M141=""),"",IFERROR(INDEX(LAYOUT!$D$2:$D$34,MATCH(O141&amp;"|"&amp;M141,LAYOUT!$E$2:$E$34,0)),"zona tidak ada di layout"))</f>
        <v/>
      </c>
      <c r="Q141" s="12">
        <f>IF(OR(L141="",D141=""),"",COUNTIFS($L$2:$L$500,L141,$M$2:$M$500,M141,$D$2:$D$500,"&lt;&gt;"))</f>
        <v/>
      </c>
      <c r="R141" s="12">
        <f>IF(AND(D141="",L141=""),"",IF(L141="","Belum ditempatkan",IF(O141="","CEK ID FIXTURE tidak ada di DAFTAR_FIXTURE",IF(M141="","CEK ZONA NO kosong",IF(P141="zona tidak ada di layout","CEK ZONA NO di luar layout",IF(N141&lt;&gt;P141,"CEK JENIS ZONA",IF(D141="","Zona STOCK",IF(E141="","CEK SKU DESCRIPTION kosong","OK"))))))))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IF(OR(O142="",M142=""),"",IFERROR(INDEX(LAYOUT!$D$2:$D$34,MATCH(O142&amp;"|"&amp;M142,LAYOUT!$E$2:$E$34,0)),"zona tidak ada di layout"))</f>
        <v/>
      </c>
      <c r="Q142" s="12">
        <f>IF(OR(L142="",D142=""),"",COUNTIFS($L$2:$L$500,L142,$M$2:$M$500,M142,$D$2:$D$500,"&lt;&gt;"))</f>
        <v/>
      </c>
      <c r="R142" s="12">
        <f>IF(AND(D142="",L142=""),"",IF(L142="","Belum ditempatkan",IF(O142="","CEK ID FIXTURE tidak ada di DAFTAR_FIXTURE",IF(M142="","CEK ZONA NO kosong",IF(P142="zona tidak ada di layout","CEK ZONA NO di luar layout",IF(N142&lt;&gt;P142,"CEK JENIS ZONA",IF(D142="","Zona STOCK",IF(E142="","CEK SKU DESCRIPTION kosong","OK"))))))))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IF(OR(O143="",M143=""),"",IFERROR(INDEX(LAYOUT!$D$2:$D$34,MATCH(O143&amp;"|"&amp;M143,LAYOUT!$E$2:$E$34,0)),"zona tidak ada di layout"))</f>
        <v/>
      </c>
      <c r="Q143" s="12">
        <f>IF(OR(L143="",D143=""),"",COUNTIFS($L$2:$L$500,L143,$M$2:$M$500,M143,$D$2:$D$500,"&lt;&gt;"))</f>
        <v/>
      </c>
      <c r="R143" s="12">
        <f>IF(AND(D143="",L143=""),"",IF(L143="","Belum ditempatkan",IF(O143="","CEK ID FIXTURE tidak ada di DAFTAR_FIXTURE",IF(M143="","CEK ZONA NO kosong",IF(P143="zona tidak ada di layout","CEK ZONA NO di luar layout",IF(N143&lt;&gt;P143,"CEK JENIS ZONA",IF(D143="","Zona STOCK",IF(E143="","CEK SKU DESCRIPTION kosong","OK"))))))))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IF(OR(O144="",M144=""),"",IFERROR(INDEX(LAYOUT!$D$2:$D$34,MATCH(O144&amp;"|"&amp;M144,LAYOUT!$E$2:$E$34,0)),"zona tidak ada di layout"))</f>
        <v/>
      </c>
      <c r="Q144" s="12">
        <f>IF(OR(L144="",D144=""),"",COUNTIFS($L$2:$L$500,L144,$M$2:$M$500,M144,$D$2:$D$500,"&lt;&gt;"))</f>
        <v/>
      </c>
      <c r="R144" s="12">
        <f>IF(AND(D144="",L144=""),"",IF(L144="","Belum ditempatkan",IF(O144="","CEK ID FIXTURE tidak ada di DAFTAR_FIXTURE",IF(M144="","CEK ZONA NO kosong",IF(P144="zona tidak ada di layout","CEK ZONA NO di luar layout",IF(N144&lt;&gt;P144,"CEK JENIS ZONA",IF(D144="","Zona STOCK",IF(E144="","CEK SKU DESCRIPTION kosong","OK"))))))))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IF(OR(O145="",M145=""),"",IFERROR(INDEX(LAYOUT!$D$2:$D$34,MATCH(O145&amp;"|"&amp;M145,LAYOUT!$E$2:$E$34,0)),"zona tidak ada di layout"))</f>
        <v/>
      </c>
      <c r="Q145" s="12">
        <f>IF(OR(L145="",D145=""),"",COUNTIFS($L$2:$L$500,L145,$M$2:$M$500,M145,$D$2:$D$500,"&lt;&gt;"))</f>
        <v/>
      </c>
      <c r="R145" s="12">
        <f>IF(AND(D145="",L145=""),"",IF(L145="","Belum ditempatkan",IF(O145="","CEK ID FIXTURE tidak ada di DAFTAR_FIXTURE",IF(M145="","CEK ZONA NO kosong",IF(P145="zona tidak ada di layout","CEK ZONA NO di luar layout",IF(N145&lt;&gt;P145,"CEK JENIS ZONA",IF(D145="","Zona STOCK",IF(E145="","CEK SKU DESCRIPTION kosong","OK"))))))))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IF(OR(O146="",M146=""),"",IFERROR(INDEX(LAYOUT!$D$2:$D$34,MATCH(O146&amp;"|"&amp;M146,LAYOUT!$E$2:$E$34,0)),"zona tidak ada di layout"))</f>
        <v/>
      </c>
      <c r="Q146" s="12">
        <f>IF(OR(L146="",D146=""),"",COUNTIFS($L$2:$L$500,L146,$M$2:$M$500,M146,$D$2:$D$500,"&lt;&gt;"))</f>
        <v/>
      </c>
      <c r="R146" s="12">
        <f>IF(AND(D146="",L146=""),"",IF(L146="","Belum ditempatkan",IF(O146="","CEK ID FIXTURE tidak ada di DAFTAR_FIXTURE",IF(M146="","CEK ZONA NO kosong",IF(P146="zona tidak ada di layout","CEK ZONA NO di luar layout",IF(N146&lt;&gt;P146,"CEK JENIS ZONA",IF(D146="","Zona STOCK",IF(E146="","CEK SKU DESCRIPTION kosong","OK"))))))))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IF(OR(O147="",M147=""),"",IFERROR(INDEX(LAYOUT!$D$2:$D$34,MATCH(O147&amp;"|"&amp;M147,LAYOUT!$E$2:$E$34,0)),"zona tidak ada di layout"))</f>
        <v/>
      </c>
      <c r="Q147" s="12">
        <f>IF(OR(L147="",D147=""),"",COUNTIFS($L$2:$L$500,L147,$M$2:$M$500,M147,$D$2:$D$500,"&lt;&gt;"))</f>
        <v/>
      </c>
      <c r="R147" s="12">
        <f>IF(AND(D147="",L147=""),"",IF(L147="","Belum ditempatkan",IF(O147="","CEK ID FIXTURE tidak ada di DAFTAR_FIXTURE",IF(M147="","CEK ZONA NO kosong",IF(P147="zona tidak ada di layout","CEK ZONA NO di luar layout",IF(N147&lt;&gt;P147,"CEK JENIS ZONA",IF(D147="","Zona STOCK",IF(E147="","CEK SKU DESCRIPTION kosong","OK"))))))))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IF(OR(O148="",M148=""),"",IFERROR(INDEX(LAYOUT!$D$2:$D$34,MATCH(O148&amp;"|"&amp;M148,LAYOUT!$E$2:$E$34,0)),"zona tidak ada di layout"))</f>
        <v/>
      </c>
      <c r="Q148" s="12">
        <f>IF(OR(L148="",D148=""),"",COUNTIFS($L$2:$L$500,L148,$M$2:$M$500,M148,$D$2:$D$500,"&lt;&gt;"))</f>
        <v/>
      </c>
      <c r="R148" s="12">
        <f>IF(AND(D148="",L148=""),"",IF(L148="","Belum ditempatkan",IF(O148="","CEK ID FIXTURE tidak ada di DAFTAR_FIXTURE",IF(M148="","CEK ZONA NO kosong",IF(P148="zona tidak ada di layout","CEK ZONA NO di luar layout",IF(N148&lt;&gt;P148,"CEK JENIS ZONA",IF(D148="","Zona STOCK",IF(E148="","CEK SKU DESCRIPTION kosong","OK"))))))))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IF(OR(O149="",M149=""),"",IFERROR(INDEX(LAYOUT!$D$2:$D$34,MATCH(O149&amp;"|"&amp;M149,LAYOUT!$E$2:$E$34,0)),"zona tidak ada di layout"))</f>
        <v/>
      </c>
      <c r="Q149" s="12">
        <f>IF(OR(L149="",D149=""),"",COUNTIFS($L$2:$L$500,L149,$M$2:$M$500,M149,$D$2:$D$500,"&lt;&gt;"))</f>
        <v/>
      </c>
      <c r="R149" s="12">
        <f>IF(AND(D149="",L149=""),"",IF(L149="","Belum ditempatkan",IF(O149="","CEK ID FIXTURE tidak ada di DAFTAR_FIXTURE",IF(M149="","CEK ZONA NO kosong",IF(P149="zona tidak ada di layout","CEK ZONA NO di luar layout",IF(N149&lt;&gt;P149,"CEK JENIS ZONA",IF(D149="","Zona STOCK",IF(E149="","CEK SKU DESCRIPTION kosong","OK"))))))))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IF(OR(O150="",M150=""),"",IFERROR(INDEX(LAYOUT!$D$2:$D$34,MATCH(O150&amp;"|"&amp;M150,LAYOUT!$E$2:$E$34,0)),"zona tidak ada di layout"))</f>
        <v/>
      </c>
      <c r="Q150" s="12">
        <f>IF(OR(L150="",D150=""),"",COUNTIFS($L$2:$L$500,L150,$M$2:$M$500,M150,$D$2:$D$500,"&lt;&gt;"))</f>
        <v/>
      </c>
      <c r="R150" s="12">
        <f>IF(AND(D150="",L150=""),"",IF(L150="","Belum ditempatkan",IF(O150="","CEK ID FIXTURE tidak ada di DAFTAR_FIXTURE",IF(M150="","CEK ZONA NO kosong",IF(P150="zona tidak ada di layout","CEK ZONA NO di luar layout",IF(N150&lt;&gt;P150,"CEK JENIS ZONA",IF(D150="","Zona STOCK",IF(E150="","CEK SKU DESCRIPTION kosong","OK"))))))))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IF(OR(O151="",M151=""),"",IFERROR(INDEX(LAYOUT!$D$2:$D$34,MATCH(O151&amp;"|"&amp;M151,LAYOUT!$E$2:$E$34,0)),"zona tidak ada di layout"))</f>
        <v/>
      </c>
      <c r="Q151" s="12">
        <f>IF(OR(L151="",D151=""),"",COUNTIFS($L$2:$L$500,L151,$M$2:$M$500,M151,$D$2:$D$500,"&lt;&gt;"))</f>
        <v/>
      </c>
      <c r="R151" s="12">
        <f>IF(AND(D151="",L151=""),"",IF(L151="","Belum ditempatkan",IF(O151="","CEK ID FIXTURE tidak ada di DAFTAR_FIXTURE",IF(M151="","CEK ZONA NO kosong",IF(P151="zona tidak ada di layout","CEK ZONA NO di luar layout",IF(N151&lt;&gt;P151,"CEK JENIS ZONA",IF(D151="","Zona STOCK",IF(E151="","CEK SKU DESCRIPTION kosong","OK"))))))))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IF(OR(O152="",M152=""),"",IFERROR(INDEX(LAYOUT!$D$2:$D$34,MATCH(O152&amp;"|"&amp;M152,LAYOUT!$E$2:$E$34,0)),"zona tidak ada di layout"))</f>
        <v/>
      </c>
      <c r="Q152" s="12">
        <f>IF(OR(L152="",D152=""),"",COUNTIFS($L$2:$L$500,L152,$M$2:$M$500,M152,$D$2:$D$500,"&lt;&gt;"))</f>
        <v/>
      </c>
      <c r="R152" s="12">
        <f>IF(AND(D152="",L152=""),"",IF(L152="","Belum ditempatkan",IF(O152="","CEK ID FIXTURE tidak ada di DAFTAR_FIXTURE",IF(M152="","CEK ZONA NO kosong",IF(P152="zona tidak ada di layout","CEK ZONA NO di luar layout",IF(N152&lt;&gt;P152,"CEK JENIS ZONA",IF(D152="","Zona STOCK",IF(E152="","CEK SKU DESCRIPTION kosong","OK"))))))))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IF(OR(O153="",M153=""),"",IFERROR(INDEX(LAYOUT!$D$2:$D$34,MATCH(O153&amp;"|"&amp;M153,LAYOUT!$E$2:$E$34,0)),"zona tidak ada di layout"))</f>
        <v/>
      </c>
      <c r="Q153" s="12">
        <f>IF(OR(L153="",D153=""),"",COUNTIFS($L$2:$L$500,L153,$M$2:$M$500,M153,$D$2:$D$500,"&lt;&gt;"))</f>
        <v/>
      </c>
      <c r="R153" s="12">
        <f>IF(AND(D153="",L153=""),"",IF(L153="","Belum ditempatkan",IF(O153="","CEK ID FIXTURE tidak ada di DAFTAR_FIXTURE",IF(M153="","CEK ZONA NO kosong",IF(P153="zona tidak ada di layout","CEK ZONA NO di luar layout",IF(N153&lt;&gt;P153,"CEK JENIS ZONA",IF(D153="","Zona STOCK",IF(E153="","CEK SKU DESCRIPTION kosong","OK"))))))))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IF(OR(O154="",M154=""),"",IFERROR(INDEX(LAYOUT!$D$2:$D$34,MATCH(O154&amp;"|"&amp;M154,LAYOUT!$E$2:$E$34,0)),"zona tidak ada di layout"))</f>
        <v/>
      </c>
      <c r="Q154" s="12">
        <f>IF(OR(L154="",D154=""),"",COUNTIFS($L$2:$L$500,L154,$M$2:$M$500,M154,$D$2:$D$500,"&lt;&gt;"))</f>
        <v/>
      </c>
      <c r="R154" s="12">
        <f>IF(AND(D154="",L154=""),"",IF(L154="","Belum ditempatkan",IF(O154="","CEK ID FIXTURE tidak ada di DAFTAR_FIXTURE",IF(M154="","CEK ZONA NO kosong",IF(P154="zona tidak ada di layout","CEK ZONA NO di luar layout",IF(N154&lt;&gt;P154,"CEK JENIS ZONA",IF(D154="","Zona STOCK",IF(E154="","CEK SKU DESCRIPTION kosong","OK"))))))))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IF(OR(O155="",M155=""),"",IFERROR(INDEX(LAYOUT!$D$2:$D$34,MATCH(O155&amp;"|"&amp;M155,LAYOUT!$E$2:$E$34,0)),"zona tidak ada di layout"))</f>
        <v/>
      </c>
      <c r="Q155" s="12">
        <f>IF(OR(L155="",D155=""),"",COUNTIFS($L$2:$L$500,L155,$M$2:$M$500,M155,$D$2:$D$500,"&lt;&gt;"))</f>
        <v/>
      </c>
      <c r="R155" s="12">
        <f>IF(AND(D155="",L155=""),"",IF(L155="","Belum ditempatkan",IF(O155="","CEK ID FIXTURE tidak ada di DAFTAR_FIXTURE",IF(M155="","CEK ZONA NO kosong",IF(P155="zona tidak ada di layout","CEK ZONA NO di luar layout",IF(N155&lt;&gt;P155,"CEK JENIS ZONA",IF(D155="","Zona STOCK",IF(E155="","CEK SKU DESCRIPTION kosong","OK"))))))))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IF(OR(O156="",M156=""),"",IFERROR(INDEX(LAYOUT!$D$2:$D$34,MATCH(O156&amp;"|"&amp;M156,LAYOUT!$E$2:$E$34,0)),"zona tidak ada di layout"))</f>
        <v/>
      </c>
      <c r="Q156" s="12">
        <f>IF(OR(L156="",D156=""),"",COUNTIFS($L$2:$L$500,L156,$M$2:$M$500,M156,$D$2:$D$500,"&lt;&gt;"))</f>
        <v/>
      </c>
      <c r="R156" s="12">
        <f>IF(AND(D156="",L156=""),"",IF(L156="","Belum ditempatkan",IF(O156="","CEK ID FIXTURE tidak ada di DAFTAR_FIXTURE",IF(M156="","CEK ZONA NO kosong",IF(P156="zona tidak ada di layout","CEK ZONA NO di luar layout",IF(N156&lt;&gt;P156,"CEK JENIS ZONA",IF(D156="","Zona STOCK",IF(E156="","CEK SKU DESCRIPTION kosong","OK"))))))))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IF(OR(O157="",M157=""),"",IFERROR(INDEX(LAYOUT!$D$2:$D$34,MATCH(O157&amp;"|"&amp;M157,LAYOUT!$E$2:$E$34,0)),"zona tidak ada di layout"))</f>
        <v/>
      </c>
      <c r="Q157" s="12">
        <f>IF(OR(L157="",D157=""),"",COUNTIFS($L$2:$L$500,L157,$M$2:$M$500,M157,$D$2:$D$500,"&lt;&gt;"))</f>
        <v/>
      </c>
      <c r="R157" s="12">
        <f>IF(AND(D157="",L157=""),"",IF(L157="","Belum ditempatkan",IF(O157="","CEK ID FIXTURE tidak ada di DAFTAR_FIXTURE",IF(M157="","CEK ZONA NO kosong",IF(P157="zona tidak ada di layout","CEK ZONA NO di luar layout",IF(N157&lt;&gt;P157,"CEK JENIS ZONA",IF(D157="","Zona STOCK",IF(E157="","CEK SKU DESCRIPTION kosong","OK"))))))))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IF(OR(O158="",M158=""),"",IFERROR(INDEX(LAYOUT!$D$2:$D$34,MATCH(O158&amp;"|"&amp;M158,LAYOUT!$E$2:$E$34,0)),"zona tidak ada di layout"))</f>
        <v/>
      </c>
      <c r="Q158" s="12">
        <f>IF(OR(L158="",D158=""),"",COUNTIFS($L$2:$L$500,L158,$M$2:$M$500,M158,$D$2:$D$500,"&lt;&gt;"))</f>
        <v/>
      </c>
      <c r="R158" s="12">
        <f>IF(AND(D158="",L158=""),"",IF(L158="","Belum ditempatkan",IF(O158="","CEK ID FIXTURE tidak ada di DAFTAR_FIXTURE",IF(M158="","CEK ZONA NO kosong",IF(P158="zona tidak ada di layout","CEK ZONA NO di luar layout",IF(N158&lt;&gt;P158,"CEK JENIS ZONA",IF(D158="","Zona STOCK",IF(E158="","CEK SKU DESCRIPTION kosong","OK"))))))))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IF(OR(O159="",M159=""),"",IFERROR(INDEX(LAYOUT!$D$2:$D$34,MATCH(O159&amp;"|"&amp;M159,LAYOUT!$E$2:$E$34,0)),"zona tidak ada di layout"))</f>
        <v/>
      </c>
      <c r="Q159" s="12">
        <f>IF(OR(L159="",D159=""),"",COUNTIFS($L$2:$L$500,L159,$M$2:$M$500,M159,$D$2:$D$500,"&lt;&gt;"))</f>
        <v/>
      </c>
      <c r="R159" s="12">
        <f>IF(AND(D159="",L159=""),"",IF(L159="","Belum ditempatkan",IF(O159="","CEK ID FIXTURE tidak ada di DAFTAR_FIXTURE",IF(M159="","CEK ZONA NO kosong",IF(P159="zona tidak ada di layout","CEK ZONA NO di luar layout",IF(N159&lt;&gt;P159,"CEK JENIS ZONA",IF(D159="","Zona STOCK",IF(E159="","CEK SKU DESCRIPTION kosong","OK"))))))))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IF(OR(O160="",M160=""),"",IFERROR(INDEX(LAYOUT!$D$2:$D$34,MATCH(O160&amp;"|"&amp;M160,LAYOUT!$E$2:$E$34,0)),"zona tidak ada di layout"))</f>
        <v/>
      </c>
      <c r="Q160" s="12">
        <f>IF(OR(L160="",D160=""),"",COUNTIFS($L$2:$L$500,L160,$M$2:$M$500,M160,$D$2:$D$500,"&lt;&gt;"))</f>
        <v/>
      </c>
      <c r="R160" s="12">
        <f>IF(AND(D160="",L160=""),"",IF(L160="","Belum ditempatkan",IF(O160="","CEK ID FIXTURE tidak ada di DAFTAR_FIXTURE",IF(M160="","CEK ZONA NO kosong",IF(P160="zona tidak ada di layout","CEK ZONA NO di luar layout",IF(N160&lt;&gt;P160,"CEK JENIS ZONA",IF(D160="","Zona STOCK",IF(E160="","CEK SKU DESCRIPTION kosong","OK"))))))))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IF(OR(O161="",M161=""),"",IFERROR(INDEX(LAYOUT!$D$2:$D$34,MATCH(O161&amp;"|"&amp;M161,LAYOUT!$E$2:$E$34,0)),"zona tidak ada di layout"))</f>
        <v/>
      </c>
      <c r="Q161" s="12">
        <f>IF(OR(L161="",D161=""),"",COUNTIFS($L$2:$L$500,L161,$M$2:$M$500,M161,$D$2:$D$500,"&lt;&gt;"))</f>
        <v/>
      </c>
      <c r="R161" s="12">
        <f>IF(AND(D161="",L161=""),"",IF(L161="","Belum ditempatkan",IF(O161="","CEK ID FIXTURE tidak ada di DAFTAR_FIXTURE",IF(M161="","CEK ZONA NO kosong",IF(P161="zona tidak ada di layout","CEK ZONA NO di luar layout",IF(N161&lt;&gt;P161,"CEK JENIS ZONA",IF(D161="","Zona STOCK",IF(E161="","CEK SKU DESCRIPTION kosong","OK"))))))))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IF(OR(O162="",M162=""),"",IFERROR(INDEX(LAYOUT!$D$2:$D$34,MATCH(O162&amp;"|"&amp;M162,LAYOUT!$E$2:$E$34,0)),"zona tidak ada di layout"))</f>
        <v/>
      </c>
      <c r="Q162" s="12">
        <f>IF(OR(L162="",D162=""),"",COUNTIFS($L$2:$L$500,L162,$M$2:$M$500,M162,$D$2:$D$500,"&lt;&gt;"))</f>
        <v/>
      </c>
      <c r="R162" s="12">
        <f>IF(AND(D162="",L162=""),"",IF(L162="","Belum ditempatkan",IF(O162="","CEK ID FIXTURE tidak ada di DAFTAR_FIXTURE",IF(M162="","CEK ZONA NO kosong",IF(P162="zona tidak ada di layout","CEK ZONA NO di luar layout",IF(N162&lt;&gt;P162,"CEK JENIS ZONA",IF(D162="","Zona STOCK",IF(E162="","CEK SKU DESCRIPTION kosong","OK"))))))))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IF(OR(O163="",M163=""),"",IFERROR(INDEX(LAYOUT!$D$2:$D$34,MATCH(O163&amp;"|"&amp;M163,LAYOUT!$E$2:$E$34,0)),"zona tidak ada di layout"))</f>
        <v/>
      </c>
      <c r="Q163" s="12">
        <f>IF(OR(L163="",D163=""),"",COUNTIFS($L$2:$L$500,L163,$M$2:$M$500,M163,$D$2:$D$500,"&lt;&gt;"))</f>
        <v/>
      </c>
      <c r="R163" s="12">
        <f>IF(AND(D163="",L163=""),"",IF(L163="","Belum ditempatkan",IF(O163="","CEK ID FIXTURE tidak ada di DAFTAR_FIXTURE",IF(M163="","CEK ZONA NO kosong",IF(P163="zona tidak ada di layout","CEK ZONA NO di luar layout",IF(N163&lt;&gt;P163,"CEK JENIS ZONA",IF(D163="","Zona STOCK",IF(E163="","CEK SKU DESCRIPTION kosong","OK"))))))))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IF(OR(O164="",M164=""),"",IFERROR(INDEX(LAYOUT!$D$2:$D$34,MATCH(O164&amp;"|"&amp;M164,LAYOUT!$E$2:$E$34,0)),"zona tidak ada di layout"))</f>
        <v/>
      </c>
      <c r="Q164" s="12">
        <f>IF(OR(L164="",D164=""),"",COUNTIFS($L$2:$L$500,L164,$M$2:$M$500,M164,$D$2:$D$500,"&lt;&gt;"))</f>
        <v/>
      </c>
      <c r="R164" s="12">
        <f>IF(AND(D164="",L164=""),"",IF(L164="","Belum ditempatkan",IF(O164="","CEK ID FIXTURE tidak ada di DAFTAR_FIXTURE",IF(M164="","CEK ZONA NO kosong",IF(P164="zona tidak ada di layout","CEK ZONA NO di luar layout",IF(N164&lt;&gt;P164,"CEK JENIS ZONA",IF(D164="","Zona STOCK",IF(E164="","CEK SKU DESCRIPTION kosong","OK"))))))))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IF(OR(O165="",M165=""),"",IFERROR(INDEX(LAYOUT!$D$2:$D$34,MATCH(O165&amp;"|"&amp;M165,LAYOUT!$E$2:$E$34,0)),"zona tidak ada di layout"))</f>
        <v/>
      </c>
      <c r="Q165" s="12">
        <f>IF(OR(L165="",D165=""),"",COUNTIFS($L$2:$L$500,L165,$M$2:$M$500,M165,$D$2:$D$500,"&lt;&gt;"))</f>
        <v/>
      </c>
      <c r="R165" s="12">
        <f>IF(AND(D165="",L165=""),"",IF(L165="","Belum ditempatkan",IF(O165="","CEK ID FIXTURE tidak ada di DAFTAR_FIXTURE",IF(M165="","CEK ZONA NO kosong",IF(P165="zona tidak ada di layout","CEK ZONA NO di luar layout",IF(N165&lt;&gt;P165,"CEK JENIS ZONA",IF(D165="","Zona STOCK",IF(E165="","CEK SKU DESCRIPTION kosong","OK"))))))))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IF(OR(O166="",M166=""),"",IFERROR(INDEX(LAYOUT!$D$2:$D$34,MATCH(O166&amp;"|"&amp;M166,LAYOUT!$E$2:$E$34,0)),"zona tidak ada di layout"))</f>
        <v/>
      </c>
      <c r="Q166" s="12">
        <f>IF(OR(L166="",D166=""),"",COUNTIFS($L$2:$L$500,L166,$M$2:$M$500,M166,$D$2:$D$500,"&lt;&gt;"))</f>
        <v/>
      </c>
      <c r="R166" s="12">
        <f>IF(AND(D166="",L166=""),"",IF(L166="","Belum ditempatkan",IF(O166="","CEK ID FIXTURE tidak ada di DAFTAR_FIXTURE",IF(M166="","CEK ZONA NO kosong",IF(P166="zona tidak ada di layout","CEK ZONA NO di luar layout",IF(N166&lt;&gt;P166,"CEK JENIS ZONA",IF(D166="","Zona STOCK",IF(E166="","CEK SKU DESCRIPTION kosong","OK"))))))))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IF(OR(O167="",M167=""),"",IFERROR(INDEX(LAYOUT!$D$2:$D$34,MATCH(O167&amp;"|"&amp;M167,LAYOUT!$E$2:$E$34,0)),"zona tidak ada di layout"))</f>
        <v/>
      </c>
      <c r="Q167" s="12">
        <f>IF(OR(L167="",D167=""),"",COUNTIFS($L$2:$L$500,L167,$M$2:$M$500,M167,$D$2:$D$500,"&lt;&gt;"))</f>
        <v/>
      </c>
      <c r="R167" s="12">
        <f>IF(AND(D167="",L167=""),"",IF(L167="","Belum ditempatkan",IF(O167="","CEK ID FIXTURE tidak ada di DAFTAR_FIXTURE",IF(M167="","CEK ZONA NO kosong",IF(P167="zona tidak ada di layout","CEK ZONA NO di luar layout",IF(N167&lt;&gt;P167,"CEK JENIS ZONA",IF(D167="","Zona STOCK",IF(E167="","CEK SKU DESCRIPTION kosong","OK"))))))))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IF(OR(O168="",M168=""),"",IFERROR(INDEX(LAYOUT!$D$2:$D$34,MATCH(O168&amp;"|"&amp;M168,LAYOUT!$E$2:$E$34,0)),"zona tidak ada di layout"))</f>
        <v/>
      </c>
      <c r="Q168" s="12">
        <f>IF(OR(L168="",D168=""),"",COUNTIFS($L$2:$L$500,L168,$M$2:$M$500,M168,$D$2:$D$500,"&lt;&gt;"))</f>
        <v/>
      </c>
      <c r="R168" s="12">
        <f>IF(AND(D168="",L168=""),"",IF(L168="","Belum ditempatkan",IF(O168="","CEK ID FIXTURE tidak ada di DAFTAR_FIXTURE",IF(M168="","CEK ZONA NO kosong",IF(P168="zona tidak ada di layout","CEK ZONA NO di luar layout",IF(N168&lt;&gt;P168,"CEK JENIS ZONA",IF(D168="","Zona STOCK",IF(E168="","CEK SKU DESCRIPTION kosong","OK"))))))))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IF(OR(O169="",M169=""),"",IFERROR(INDEX(LAYOUT!$D$2:$D$34,MATCH(O169&amp;"|"&amp;M169,LAYOUT!$E$2:$E$34,0)),"zona tidak ada di layout"))</f>
        <v/>
      </c>
      <c r="Q169" s="12">
        <f>IF(OR(L169="",D169=""),"",COUNTIFS($L$2:$L$500,L169,$M$2:$M$500,M169,$D$2:$D$500,"&lt;&gt;"))</f>
        <v/>
      </c>
      <c r="R169" s="12">
        <f>IF(AND(D169="",L169=""),"",IF(L169="","Belum ditempatkan",IF(O169="","CEK ID FIXTURE tidak ada di DAFTAR_FIXTURE",IF(M169="","CEK ZONA NO kosong",IF(P169="zona tidak ada di layout","CEK ZONA NO di luar layout",IF(N169&lt;&gt;P169,"CEK JENIS ZONA",IF(D169="","Zona STOCK",IF(E169="","CEK SKU DESCRIPTION kosong","OK"))))))))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IF(OR(O170="",M170=""),"",IFERROR(INDEX(LAYOUT!$D$2:$D$34,MATCH(O170&amp;"|"&amp;M170,LAYOUT!$E$2:$E$34,0)),"zona tidak ada di layout"))</f>
        <v/>
      </c>
      <c r="Q170" s="12">
        <f>IF(OR(L170="",D170=""),"",COUNTIFS($L$2:$L$500,L170,$M$2:$M$500,M170,$D$2:$D$500,"&lt;&gt;"))</f>
        <v/>
      </c>
      <c r="R170" s="12">
        <f>IF(AND(D170="",L170=""),"",IF(L170="","Belum ditempatkan",IF(O170="","CEK ID FIXTURE tidak ada di DAFTAR_FIXTURE",IF(M170="","CEK ZONA NO kosong",IF(P170="zona tidak ada di layout","CEK ZONA NO di luar layout",IF(N170&lt;&gt;P170,"CEK JENIS ZONA",IF(D170="","Zona STOCK",IF(E170="","CEK SKU DESCRIPTION kosong","OK"))))))))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IF(OR(O171="",M171=""),"",IFERROR(INDEX(LAYOUT!$D$2:$D$34,MATCH(O171&amp;"|"&amp;M171,LAYOUT!$E$2:$E$34,0)),"zona tidak ada di layout"))</f>
        <v/>
      </c>
      <c r="Q171" s="12">
        <f>IF(OR(L171="",D171=""),"",COUNTIFS($L$2:$L$500,L171,$M$2:$M$500,M171,$D$2:$D$500,"&lt;&gt;"))</f>
        <v/>
      </c>
      <c r="R171" s="12">
        <f>IF(AND(D171="",L171=""),"",IF(L171="","Belum ditempatkan",IF(O171="","CEK ID FIXTURE tidak ada di DAFTAR_FIXTURE",IF(M171="","CEK ZONA NO kosong",IF(P171="zona tidak ada di layout","CEK ZONA NO di luar layout",IF(N171&lt;&gt;P171,"CEK JENIS ZONA",IF(D171="","Zona STOCK",IF(E171="","CEK SKU DESCRIPTION kosong","OK"))))))))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IF(OR(O172="",M172=""),"",IFERROR(INDEX(LAYOUT!$D$2:$D$34,MATCH(O172&amp;"|"&amp;M172,LAYOUT!$E$2:$E$34,0)),"zona tidak ada di layout"))</f>
        <v/>
      </c>
      <c r="Q172" s="12">
        <f>IF(OR(L172="",D172=""),"",COUNTIFS($L$2:$L$500,L172,$M$2:$M$500,M172,$D$2:$D$500,"&lt;&gt;"))</f>
        <v/>
      </c>
      <c r="R172" s="12">
        <f>IF(AND(D172="",L172=""),"",IF(L172="","Belum ditempatkan",IF(O172="","CEK ID FIXTURE tidak ada di DAFTAR_FIXTURE",IF(M172="","CEK ZONA NO kosong",IF(P172="zona tidak ada di layout","CEK ZONA NO di luar layout",IF(N172&lt;&gt;P172,"CEK JENIS ZONA",IF(D172="","Zona STOCK",IF(E172="","CEK SKU DESCRIPTION kosong","OK"))))))))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IF(OR(O173="",M173=""),"",IFERROR(INDEX(LAYOUT!$D$2:$D$34,MATCH(O173&amp;"|"&amp;M173,LAYOUT!$E$2:$E$34,0)),"zona tidak ada di layout"))</f>
        <v/>
      </c>
      <c r="Q173" s="12">
        <f>IF(OR(L173="",D173=""),"",COUNTIFS($L$2:$L$500,L173,$M$2:$M$500,M173,$D$2:$D$500,"&lt;&gt;"))</f>
        <v/>
      </c>
      <c r="R173" s="12">
        <f>IF(AND(D173="",L173=""),"",IF(L173="","Belum ditempatkan",IF(O173="","CEK ID FIXTURE tidak ada di DAFTAR_FIXTURE",IF(M173="","CEK ZONA NO kosong",IF(P173="zona tidak ada di layout","CEK ZONA NO di luar layout",IF(N173&lt;&gt;P173,"CEK JENIS ZONA",IF(D173="","Zona STOCK",IF(E173="","CEK SKU DESCRIPTION kosong","OK"))))))))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IF(OR(O174="",M174=""),"",IFERROR(INDEX(LAYOUT!$D$2:$D$34,MATCH(O174&amp;"|"&amp;M174,LAYOUT!$E$2:$E$34,0)),"zona tidak ada di layout"))</f>
        <v/>
      </c>
      <c r="Q174" s="12">
        <f>IF(OR(L174="",D174=""),"",COUNTIFS($L$2:$L$500,L174,$M$2:$M$500,M174,$D$2:$D$500,"&lt;&gt;"))</f>
        <v/>
      </c>
      <c r="R174" s="12">
        <f>IF(AND(D174="",L174=""),"",IF(L174="","Belum ditempatkan",IF(O174="","CEK ID FIXTURE tidak ada di DAFTAR_FIXTURE",IF(M174="","CEK ZONA NO kosong",IF(P174="zona tidak ada di layout","CEK ZONA NO di luar layout",IF(N174&lt;&gt;P174,"CEK JENIS ZONA",IF(D174="","Zona STOCK",IF(E174="","CEK SKU DESCRIPTION kosong","OK"))))))))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IF(OR(O175="",M175=""),"",IFERROR(INDEX(LAYOUT!$D$2:$D$34,MATCH(O175&amp;"|"&amp;M175,LAYOUT!$E$2:$E$34,0)),"zona tidak ada di layout"))</f>
        <v/>
      </c>
      <c r="Q175" s="12">
        <f>IF(OR(L175="",D175=""),"",COUNTIFS($L$2:$L$500,L175,$M$2:$M$500,M175,$D$2:$D$500,"&lt;&gt;"))</f>
        <v/>
      </c>
      <c r="R175" s="12">
        <f>IF(AND(D175="",L175=""),"",IF(L175="","Belum ditempatkan",IF(O175="","CEK ID FIXTURE tidak ada di DAFTAR_FIXTURE",IF(M175="","CEK ZONA NO kosong",IF(P175="zona tidak ada di layout","CEK ZONA NO di luar layout",IF(N175&lt;&gt;P175,"CEK JENIS ZONA",IF(D175="","Zona STOCK",IF(E175="","CEK SKU DESCRIPTION kosong","OK"))))))))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IF(OR(O176="",M176=""),"",IFERROR(INDEX(LAYOUT!$D$2:$D$34,MATCH(O176&amp;"|"&amp;M176,LAYOUT!$E$2:$E$34,0)),"zona tidak ada di layout"))</f>
        <v/>
      </c>
      <c r="Q176" s="12">
        <f>IF(OR(L176="",D176=""),"",COUNTIFS($L$2:$L$500,L176,$M$2:$M$500,M176,$D$2:$D$500,"&lt;&gt;"))</f>
        <v/>
      </c>
      <c r="R176" s="12">
        <f>IF(AND(D176="",L176=""),"",IF(L176="","Belum ditempatkan",IF(O176="","CEK ID FIXTURE tidak ada di DAFTAR_FIXTURE",IF(M176="","CEK ZONA NO kosong",IF(P176="zona tidak ada di layout","CEK ZONA NO di luar layout",IF(N176&lt;&gt;P176,"CEK JENIS ZONA",IF(D176="","Zona STOCK",IF(E176="","CEK SKU DESCRIPTION kosong","OK"))))))))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IF(OR(O177="",M177=""),"",IFERROR(INDEX(LAYOUT!$D$2:$D$34,MATCH(O177&amp;"|"&amp;M177,LAYOUT!$E$2:$E$34,0)),"zona tidak ada di layout"))</f>
        <v/>
      </c>
      <c r="Q177" s="12">
        <f>IF(OR(L177="",D177=""),"",COUNTIFS($L$2:$L$500,L177,$M$2:$M$500,M177,$D$2:$D$500,"&lt;&gt;"))</f>
        <v/>
      </c>
      <c r="R177" s="12">
        <f>IF(AND(D177="",L177=""),"",IF(L177="","Belum ditempatkan",IF(O177="","CEK ID FIXTURE tidak ada di DAFTAR_FIXTURE",IF(M177="","CEK ZONA NO kosong",IF(P177="zona tidak ada di layout","CEK ZONA NO di luar layout",IF(N177&lt;&gt;P177,"CEK JENIS ZONA",IF(D177="","Zona STOCK",IF(E177="","CEK SKU DESCRIPTION kosong","OK"))))))))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IF(OR(O178="",M178=""),"",IFERROR(INDEX(LAYOUT!$D$2:$D$34,MATCH(O178&amp;"|"&amp;M178,LAYOUT!$E$2:$E$34,0)),"zona tidak ada di layout"))</f>
        <v/>
      </c>
      <c r="Q178" s="12">
        <f>IF(OR(L178="",D178=""),"",COUNTIFS($L$2:$L$500,L178,$M$2:$M$500,M178,$D$2:$D$500,"&lt;&gt;"))</f>
        <v/>
      </c>
      <c r="R178" s="12">
        <f>IF(AND(D178="",L178=""),"",IF(L178="","Belum ditempatkan",IF(O178="","CEK ID FIXTURE tidak ada di DAFTAR_FIXTURE",IF(M178="","CEK ZONA NO kosong",IF(P178="zona tidak ada di layout","CEK ZONA NO di luar layout",IF(N178&lt;&gt;P178,"CEK JENIS ZONA",IF(D178="","Zona STOCK",IF(E178="","CEK SKU DESCRIPTION kosong","OK"))))))))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IF(OR(O179="",M179=""),"",IFERROR(INDEX(LAYOUT!$D$2:$D$34,MATCH(O179&amp;"|"&amp;M179,LAYOUT!$E$2:$E$34,0)),"zona tidak ada di layout"))</f>
        <v/>
      </c>
      <c r="Q179" s="12">
        <f>IF(OR(L179="",D179=""),"",COUNTIFS($L$2:$L$500,L179,$M$2:$M$500,M179,$D$2:$D$500,"&lt;&gt;"))</f>
        <v/>
      </c>
      <c r="R179" s="12">
        <f>IF(AND(D179="",L179=""),"",IF(L179="","Belum ditempatkan",IF(O179="","CEK ID FIXTURE tidak ada di DAFTAR_FIXTURE",IF(M179="","CEK ZONA NO kosong",IF(P179="zona tidak ada di layout","CEK ZONA NO di luar layout",IF(N179&lt;&gt;P179,"CEK JENIS ZONA",IF(D179="","Zona STOCK",IF(E179="","CEK SKU DESCRIPTION kosong","OK"))))))))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IF(OR(O180="",M180=""),"",IFERROR(INDEX(LAYOUT!$D$2:$D$34,MATCH(O180&amp;"|"&amp;M180,LAYOUT!$E$2:$E$34,0)),"zona tidak ada di layout"))</f>
        <v/>
      </c>
      <c r="Q180" s="12">
        <f>IF(OR(L180="",D180=""),"",COUNTIFS($L$2:$L$500,L180,$M$2:$M$500,M180,$D$2:$D$500,"&lt;&gt;"))</f>
        <v/>
      </c>
      <c r="R180" s="12">
        <f>IF(AND(D180="",L180=""),"",IF(L180="","Belum ditempatkan",IF(O180="","CEK ID FIXTURE tidak ada di DAFTAR_FIXTURE",IF(M180="","CEK ZONA NO kosong",IF(P180="zona tidak ada di layout","CEK ZONA NO di luar layout",IF(N180&lt;&gt;P180,"CEK JENIS ZONA",IF(D180="","Zona STOCK",IF(E180="","CEK SKU DESCRIPTION kosong","OK"))))))))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IF(OR(O181="",M181=""),"",IFERROR(INDEX(LAYOUT!$D$2:$D$34,MATCH(O181&amp;"|"&amp;M181,LAYOUT!$E$2:$E$34,0)),"zona tidak ada di layout"))</f>
        <v/>
      </c>
      <c r="Q181" s="12">
        <f>IF(OR(L181="",D181=""),"",COUNTIFS($L$2:$L$500,L181,$M$2:$M$500,M181,$D$2:$D$500,"&lt;&gt;"))</f>
        <v/>
      </c>
      <c r="R181" s="12">
        <f>IF(AND(D181="",L181=""),"",IF(L181="","Belum ditempatkan",IF(O181="","CEK ID FIXTURE tidak ada di DAFTAR_FIXTURE",IF(M181="","CEK ZONA NO kosong",IF(P181="zona tidak ada di layout","CEK ZONA NO di luar layout",IF(N181&lt;&gt;P181,"CEK JENIS ZONA",IF(D181="","Zona STOCK",IF(E181="","CEK SKU DESCRIPTION kosong","OK"))))))))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IF(OR(O182="",M182=""),"",IFERROR(INDEX(LAYOUT!$D$2:$D$34,MATCH(O182&amp;"|"&amp;M182,LAYOUT!$E$2:$E$34,0)),"zona tidak ada di layout"))</f>
        <v/>
      </c>
      <c r="Q182" s="12">
        <f>IF(OR(L182="",D182=""),"",COUNTIFS($L$2:$L$500,L182,$M$2:$M$500,M182,$D$2:$D$500,"&lt;&gt;"))</f>
        <v/>
      </c>
      <c r="R182" s="12">
        <f>IF(AND(D182="",L182=""),"",IF(L182="","Belum ditempatkan",IF(O182="","CEK ID FIXTURE tidak ada di DAFTAR_FIXTURE",IF(M182="","CEK ZONA NO kosong",IF(P182="zona tidak ada di layout","CEK ZONA NO di luar layout",IF(N182&lt;&gt;P182,"CEK JENIS ZONA",IF(D182="","Zona STOCK",IF(E182="","CEK SKU DESCRIPTION kosong","OK"))))))))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IF(OR(O183="",M183=""),"",IFERROR(INDEX(LAYOUT!$D$2:$D$34,MATCH(O183&amp;"|"&amp;M183,LAYOUT!$E$2:$E$34,0)),"zona tidak ada di layout"))</f>
        <v/>
      </c>
      <c r="Q183" s="12">
        <f>IF(OR(L183="",D183=""),"",COUNTIFS($L$2:$L$500,L183,$M$2:$M$500,M183,$D$2:$D$500,"&lt;&gt;"))</f>
        <v/>
      </c>
      <c r="R183" s="12">
        <f>IF(AND(D183="",L183=""),"",IF(L183="","Belum ditempatkan",IF(O183="","CEK ID FIXTURE tidak ada di DAFTAR_FIXTURE",IF(M183="","CEK ZONA NO kosong",IF(P183="zona tidak ada di layout","CEK ZONA NO di luar layout",IF(N183&lt;&gt;P183,"CEK JENIS ZONA",IF(D183="","Zona STOCK",IF(E183="","CEK SKU DESCRIPTION kosong","OK"))))))))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IF(OR(O184="",M184=""),"",IFERROR(INDEX(LAYOUT!$D$2:$D$34,MATCH(O184&amp;"|"&amp;M184,LAYOUT!$E$2:$E$34,0)),"zona tidak ada di layout"))</f>
        <v/>
      </c>
      <c r="Q184" s="12">
        <f>IF(OR(L184="",D184=""),"",COUNTIFS($L$2:$L$500,L184,$M$2:$M$500,M184,$D$2:$D$500,"&lt;&gt;"))</f>
        <v/>
      </c>
      <c r="R184" s="12">
        <f>IF(AND(D184="",L184=""),"",IF(L184="","Belum ditempatkan",IF(O184="","CEK ID FIXTURE tidak ada di DAFTAR_FIXTURE",IF(M184="","CEK ZONA NO kosong",IF(P184="zona tidak ada di layout","CEK ZONA NO di luar layout",IF(N184&lt;&gt;P184,"CEK JENIS ZONA",IF(D184="","Zona STOCK",IF(E184="","CEK SKU DESCRIPTION kosong","OK"))))))))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IF(OR(O185="",M185=""),"",IFERROR(INDEX(LAYOUT!$D$2:$D$34,MATCH(O185&amp;"|"&amp;M185,LAYOUT!$E$2:$E$34,0)),"zona tidak ada di layout"))</f>
        <v/>
      </c>
      <c r="Q185" s="12">
        <f>IF(OR(L185="",D185=""),"",COUNTIFS($L$2:$L$500,L185,$M$2:$M$500,M185,$D$2:$D$500,"&lt;&gt;"))</f>
        <v/>
      </c>
      <c r="R185" s="12">
        <f>IF(AND(D185="",L185=""),"",IF(L185="","Belum ditempatkan",IF(O185="","CEK ID FIXTURE tidak ada di DAFTAR_FIXTURE",IF(M185="","CEK ZONA NO kosong",IF(P185="zona tidak ada di layout","CEK ZONA NO di luar layout",IF(N185&lt;&gt;P185,"CEK JENIS ZONA",IF(D185="","Zona STOCK",IF(E185="","CEK SKU DESCRIPTION kosong","OK"))))))))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IF(OR(O186="",M186=""),"",IFERROR(INDEX(LAYOUT!$D$2:$D$34,MATCH(O186&amp;"|"&amp;M186,LAYOUT!$E$2:$E$34,0)),"zona tidak ada di layout"))</f>
        <v/>
      </c>
      <c r="Q186" s="12">
        <f>IF(OR(L186="",D186=""),"",COUNTIFS($L$2:$L$500,L186,$M$2:$M$500,M186,$D$2:$D$500,"&lt;&gt;"))</f>
        <v/>
      </c>
      <c r="R186" s="12">
        <f>IF(AND(D186="",L186=""),"",IF(L186="","Belum ditempatkan",IF(O186="","CEK ID FIXTURE tidak ada di DAFTAR_FIXTURE",IF(M186="","CEK ZONA NO kosong",IF(P186="zona tidak ada di layout","CEK ZONA NO di luar layout",IF(N186&lt;&gt;P186,"CEK JENIS ZONA",IF(D186="","Zona STOCK",IF(E186="","CEK SKU DESCRIPTION kosong","OK"))))))))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IF(OR(O187="",M187=""),"",IFERROR(INDEX(LAYOUT!$D$2:$D$34,MATCH(O187&amp;"|"&amp;M187,LAYOUT!$E$2:$E$34,0)),"zona tidak ada di layout"))</f>
        <v/>
      </c>
      <c r="Q187" s="12">
        <f>IF(OR(L187="",D187=""),"",COUNTIFS($L$2:$L$500,L187,$M$2:$M$500,M187,$D$2:$D$500,"&lt;&gt;"))</f>
        <v/>
      </c>
      <c r="R187" s="12">
        <f>IF(AND(D187="",L187=""),"",IF(L187="","Belum ditempatkan",IF(O187="","CEK ID FIXTURE tidak ada di DAFTAR_FIXTURE",IF(M187="","CEK ZONA NO kosong",IF(P187="zona tidak ada di layout","CEK ZONA NO di luar layout",IF(N187&lt;&gt;P187,"CEK JENIS ZONA",IF(D187="","Zona STOCK",IF(E187="","CEK SKU DESCRIPTION kosong","OK"))))))))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IF(OR(O188="",M188=""),"",IFERROR(INDEX(LAYOUT!$D$2:$D$34,MATCH(O188&amp;"|"&amp;M188,LAYOUT!$E$2:$E$34,0)),"zona tidak ada di layout"))</f>
        <v/>
      </c>
      <c r="Q188" s="12">
        <f>IF(OR(L188="",D188=""),"",COUNTIFS($L$2:$L$500,L188,$M$2:$M$500,M188,$D$2:$D$500,"&lt;&gt;"))</f>
        <v/>
      </c>
      <c r="R188" s="12">
        <f>IF(AND(D188="",L188=""),"",IF(L188="","Belum ditempatkan",IF(O188="","CEK ID FIXTURE tidak ada di DAFTAR_FIXTURE",IF(M188="","CEK ZONA NO kosong",IF(P188="zona tidak ada di layout","CEK ZONA NO di luar layout",IF(N188&lt;&gt;P188,"CEK JENIS ZONA",IF(D188="","Zona STOCK",IF(E188="","CEK SKU DESCRIPTION kosong","OK"))))))))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IF(OR(O189="",M189=""),"",IFERROR(INDEX(LAYOUT!$D$2:$D$34,MATCH(O189&amp;"|"&amp;M189,LAYOUT!$E$2:$E$34,0)),"zona tidak ada di layout"))</f>
        <v/>
      </c>
      <c r="Q189" s="12">
        <f>IF(OR(L189="",D189=""),"",COUNTIFS($L$2:$L$500,L189,$M$2:$M$500,M189,$D$2:$D$500,"&lt;&gt;"))</f>
        <v/>
      </c>
      <c r="R189" s="12">
        <f>IF(AND(D189="",L189=""),"",IF(L189="","Belum ditempatkan",IF(O189="","CEK ID FIXTURE tidak ada di DAFTAR_FIXTURE",IF(M189="","CEK ZONA NO kosong",IF(P189="zona tidak ada di layout","CEK ZONA NO di luar layout",IF(N189&lt;&gt;P189,"CEK JENIS ZONA",IF(D189="","Zona STOCK",IF(E189="","CEK SKU DESCRIPTION kosong","OK"))))))))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IF(OR(O190="",M190=""),"",IFERROR(INDEX(LAYOUT!$D$2:$D$34,MATCH(O190&amp;"|"&amp;M190,LAYOUT!$E$2:$E$34,0)),"zona tidak ada di layout"))</f>
        <v/>
      </c>
      <c r="Q190" s="12">
        <f>IF(OR(L190="",D190=""),"",COUNTIFS($L$2:$L$500,L190,$M$2:$M$500,M190,$D$2:$D$500,"&lt;&gt;"))</f>
        <v/>
      </c>
      <c r="R190" s="12">
        <f>IF(AND(D190="",L190=""),"",IF(L190="","Belum ditempatkan",IF(O190="","CEK ID FIXTURE tidak ada di DAFTAR_FIXTURE",IF(M190="","CEK ZONA NO kosong",IF(P190="zona tidak ada di layout","CEK ZONA NO di luar layout",IF(N190&lt;&gt;P190,"CEK JENIS ZONA",IF(D190="","Zona STOCK",IF(E190="","CEK SKU DESCRIPTION kosong","OK"))))))))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IF(OR(O191="",M191=""),"",IFERROR(INDEX(LAYOUT!$D$2:$D$34,MATCH(O191&amp;"|"&amp;M191,LAYOUT!$E$2:$E$34,0)),"zona tidak ada di layout"))</f>
        <v/>
      </c>
      <c r="Q191" s="12">
        <f>IF(OR(L191="",D191=""),"",COUNTIFS($L$2:$L$500,L191,$M$2:$M$500,M191,$D$2:$D$500,"&lt;&gt;"))</f>
        <v/>
      </c>
      <c r="R191" s="12">
        <f>IF(AND(D191="",L191=""),"",IF(L191="","Belum ditempatkan",IF(O191="","CEK ID FIXTURE tidak ada di DAFTAR_FIXTURE",IF(M191="","CEK ZONA NO kosong",IF(P191="zona tidak ada di layout","CEK ZONA NO di luar layout",IF(N191&lt;&gt;P191,"CEK JENIS ZONA",IF(D191="","Zona STOCK",IF(E191="","CEK SKU DESCRIPTION kosong","OK"))))))))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IF(OR(O192="",M192=""),"",IFERROR(INDEX(LAYOUT!$D$2:$D$34,MATCH(O192&amp;"|"&amp;M192,LAYOUT!$E$2:$E$34,0)),"zona tidak ada di layout"))</f>
        <v/>
      </c>
      <c r="Q192" s="12">
        <f>IF(OR(L192="",D192=""),"",COUNTIFS($L$2:$L$500,L192,$M$2:$M$500,M192,$D$2:$D$500,"&lt;&gt;"))</f>
        <v/>
      </c>
      <c r="R192" s="12">
        <f>IF(AND(D192="",L192=""),"",IF(L192="","Belum ditempatkan",IF(O192="","CEK ID FIXTURE tidak ada di DAFTAR_FIXTURE",IF(M192="","CEK ZONA NO kosong",IF(P192="zona tidak ada di layout","CEK ZONA NO di luar layout",IF(N192&lt;&gt;P192,"CEK JENIS ZONA",IF(D192="","Zona STOCK",IF(E192="","CEK SKU DESCRIPTION kosong","OK"))))))))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IF(OR(O193="",M193=""),"",IFERROR(INDEX(LAYOUT!$D$2:$D$34,MATCH(O193&amp;"|"&amp;M193,LAYOUT!$E$2:$E$34,0)),"zona tidak ada di layout"))</f>
        <v/>
      </c>
      <c r="Q193" s="12">
        <f>IF(OR(L193="",D193=""),"",COUNTIFS($L$2:$L$500,L193,$M$2:$M$500,M193,$D$2:$D$500,"&lt;&gt;"))</f>
        <v/>
      </c>
      <c r="R193" s="12">
        <f>IF(AND(D193="",L193=""),"",IF(L193="","Belum ditempatkan",IF(O193="","CEK ID FIXTURE tidak ada di DAFTAR_FIXTURE",IF(M193="","CEK ZONA NO kosong",IF(P193="zona tidak ada di layout","CEK ZONA NO di luar layout",IF(N193&lt;&gt;P193,"CEK JENIS ZONA",IF(D193="","Zona STOCK",IF(E193="","CEK SKU DESCRIPTION kosong","OK"))))))))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IF(OR(O194="",M194=""),"",IFERROR(INDEX(LAYOUT!$D$2:$D$34,MATCH(O194&amp;"|"&amp;M194,LAYOUT!$E$2:$E$34,0)),"zona tidak ada di layout"))</f>
        <v/>
      </c>
      <c r="Q194" s="12">
        <f>IF(OR(L194="",D194=""),"",COUNTIFS($L$2:$L$500,L194,$M$2:$M$500,M194,$D$2:$D$500,"&lt;&gt;"))</f>
        <v/>
      </c>
      <c r="R194" s="12">
        <f>IF(AND(D194="",L194=""),"",IF(L194="","Belum ditempatkan",IF(O194="","CEK ID FIXTURE tidak ada di DAFTAR_FIXTURE",IF(M194="","CEK ZONA NO kosong",IF(P194="zona tidak ada di layout","CEK ZONA NO di luar layout",IF(N194&lt;&gt;P194,"CEK JENIS ZONA",IF(D194="","Zona STOCK",IF(E194="","CEK SKU DESCRIPTION kosong","OK"))))))))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IF(OR(O195="",M195=""),"",IFERROR(INDEX(LAYOUT!$D$2:$D$34,MATCH(O195&amp;"|"&amp;M195,LAYOUT!$E$2:$E$34,0)),"zona tidak ada di layout"))</f>
        <v/>
      </c>
      <c r="Q195" s="12">
        <f>IF(OR(L195="",D195=""),"",COUNTIFS($L$2:$L$500,L195,$M$2:$M$500,M195,$D$2:$D$500,"&lt;&gt;"))</f>
        <v/>
      </c>
      <c r="R195" s="12">
        <f>IF(AND(D195="",L195=""),"",IF(L195="","Belum ditempatkan",IF(O195="","CEK ID FIXTURE tidak ada di DAFTAR_FIXTURE",IF(M195="","CEK ZONA NO kosong",IF(P195="zona tidak ada di layout","CEK ZONA NO di luar layout",IF(N195&lt;&gt;P195,"CEK JENIS ZONA",IF(D195="","Zona STOCK",IF(E195="","CEK SKU DESCRIPTION kosong","OK"))))))))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IF(OR(O196="",M196=""),"",IFERROR(INDEX(LAYOUT!$D$2:$D$34,MATCH(O196&amp;"|"&amp;M196,LAYOUT!$E$2:$E$34,0)),"zona tidak ada di layout"))</f>
        <v/>
      </c>
      <c r="Q196" s="12">
        <f>IF(OR(L196="",D196=""),"",COUNTIFS($L$2:$L$500,L196,$M$2:$M$500,M196,$D$2:$D$500,"&lt;&gt;"))</f>
        <v/>
      </c>
      <c r="R196" s="12">
        <f>IF(AND(D196="",L196=""),"",IF(L196="","Belum ditempatkan",IF(O196="","CEK ID FIXTURE tidak ada di DAFTAR_FIXTURE",IF(M196="","CEK ZONA NO kosong",IF(P196="zona tidak ada di layout","CEK ZONA NO di luar layout",IF(N196&lt;&gt;P196,"CEK JENIS ZONA",IF(D196="","Zona STOCK",IF(E196="","CEK SKU DESCRIPTION kosong","OK"))))))))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IF(OR(O197="",M197=""),"",IFERROR(INDEX(LAYOUT!$D$2:$D$34,MATCH(O197&amp;"|"&amp;M197,LAYOUT!$E$2:$E$34,0)),"zona tidak ada di layout"))</f>
        <v/>
      </c>
      <c r="Q197" s="12">
        <f>IF(OR(L197="",D197=""),"",COUNTIFS($L$2:$L$500,L197,$M$2:$M$500,M197,$D$2:$D$500,"&lt;&gt;"))</f>
        <v/>
      </c>
      <c r="R197" s="12">
        <f>IF(AND(D197="",L197=""),"",IF(L197="","Belum ditempatkan",IF(O197="","CEK ID FIXTURE tidak ada di DAFTAR_FIXTURE",IF(M197="","CEK ZONA NO kosong",IF(P197="zona tidak ada di layout","CEK ZONA NO di luar layout",IF(N197&lt;&gt;P197,"CEK JENIS ZONA",IF(D197="","Zona STOCK",IF(E197="","CEK SKU DESCRIPTION kosong","OK"))))))))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IF(OR(O198="",M198=""),"",IFERROR(INDEX(LAYOUT!$D$2:$D$34,MATCH(O198&amp;"|"&amp;M198,LAYOUT!$E$2:$E$34,0)),"zona tidak ada di layout"))</f>
        <v/>
      </c>
      <c r="Q198" s="12">
        <f>IF(OR(L198="",D198=""),"",COUNTIFS($L$2:$L$500,L198,$M$2:$M$500,M198,$D$2:$D$500,"&lt;&gt;"))</f>
        <v/>
      </c>
      <c r="R198" s="12">
        <f>IF(AND(D198="",L198=""),"",IF(L198="","Belum ditempatkan",IF(O198="","CEK ID FIXTURE tidak ada di DAFTAR_FIXTURE",IF(M198="","CEK ZONA NO kosong",IF(P198="zona tidak ada di layout","CEK ZONA NO di luar layout",IF(N198&lt;&gt;P198,"CEK JENIS ZONA",IF(D198="","Zona STOCK",IF(E198="","CEK SKU DESCRIPTION kosong","OK"))))))))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IF(OR(O199="",M199=""),"",IFERROR(INDEX(LAYOUT!$D$2:$D$34,MATCH(O199&amp;"|"&amp;M199,LAYOUT!$E$2:$E$34,0)),"zona tidak ada di layout"))</f>
        <v/>
      </c>
      <c r="Q199" s="12">
        <f>IF(OR(L199="",D199=""),"",COUNTIFS($L$2:$L$500,L199,$M$2:$M$500,M199,$D$2:$D$500,"&lt;&gt;"))</f>
        <v/>
      </c>
      <c r="R199" s="12">
        <f>IF(AND(D199="",L199=""),"",IF(L199="","Belum ditempatkan",IF(O199="","CEK ID FIXTURE tidak ada di DAFTAR_FIXTURE",IF(M199="","CEK ZONA NO kosong",IF(P199="zona tidak ada di layout","CEK ZONA NO di luar layout",IF(N199&lt;&gt;P199,"CEK JENIS ZONA",IF(D199="","Zona STOCK",IF(E199="","CEK SKU DESCRIPTION kosong","OK"))))))))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IF(OR(O200="",M200=""),"",IFERROR(INDEX(LAYOUT!$D$2:$D$34,MATCH(O200&amp;"|"&amp;M200,LAYOUT!$E$2:$E$34,0)),"zona tidak ada di layout"))</f>
        <v/>
      </c>
      <c r="Q200" s="12">
        <f>IF(OR(L200="",D200=""),"",COUNTIFS($L$2:$L$500,L200,$M$2:$M$500,M200,$D$2:$D$500,"&lt;&gt;"))</f>
        <v/>
      </c>
      <c r="R200" s="12">
        <f>IF(AND(D200="",L200=""),"",IF(L200="","Belum ditempatkan",IF(O200="","CEK ID FIXTURE tidak ada di DAFTAR_FIXTURE",IF(M200="","CEK ZONA NO kosong",IF(P200="zona tidak ada di layout","CEK ZONA NO di luar layout",IF(N200&lt;&gt;P200,"CEK JENIS ZONA",IF(D200="","Zona STOCK",IF(E200="","CEK SKU DESCRIPTION kosong","OK"))))))))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IF(OR(O201="",M201=""),"",IFERROR(INDEX(LAYOUT!$D$2:$D$34,MATCH(O201&amp;"|"&amp;M201,LAYOUT!$E$2:$E$34,0)),"zona tidak ada di layout"))</f>
        <v/>
      </c>
      <c r="Q201" s="12">
        <f>IF(OR(L201="",D201=""),"",COUNTIFS($L$2:$L$500,L201,$M$2:$M$500,M201,$D$2:$D$500,"&lt;&gt;"))</f>
        <v/>
      </c>
      <c r="R201" s="12">
        <f>IF(AND(D201="",L201=""),"",IF(L201="","Belum ditempatkan",IF(O201="","CEK ID FIXTURE tidak ada di DAFTAR_FIXTURE",IF(M201="","CEK ZONA NO kosong",IF(P201="zona tidak ada di layout","CEK ZONA NO di luar layout",IF(N201&lt;&gt;P201,"CEK JENIS ZONA",IF(D201="","Zona STOCK",IF(E201="","CEK SKU DESCRIPTION kosong","OK"))))))))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IF(OR(O202="",M202=""),"",IFERROR(INDEX(LAYOUT!$D$2:$D$34,MATCH(O202&amp;"|"&amp;M202,LAYOUT!$E$2:$E$34,0)),"zona tidak ada di layout"))</f>
        <v/>
      </c>
      <c r="Q202" s="12">
        <f>IF(OR(L202="",D202=""),"",COUNTIFS($L$2:$L$500,L202,$M$2:$M$500,M202,$D$2:$D$500,"&lt;&gt;"))</f>
        <v/>
      </c>
      <c r="R202" s="12">
        <f>IF(AND(D202="",L202=""),"",IF(L202="","Belum ditempatkan",IF(O202="","CEK ID FIXTURE tidak ada di DAFTAR_FIXTURE",IF(M202="","CEK ZONA NO kosong",IF(P202="zona tidak ada di layout","CEK ZONA NO di luar layout",IF(N202&lt;&gt;P202,"CEK JENIS ZONA",IF(D202="","Zona STOCK",IF(E202="","CEK SKU DESCRIPTION kosong","OK"))))))))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IF(OR(O203="",M203=""),"",IFERROR(INDEX(LAYOUT!$D$2:$D$34,MATCH(O203&amp;"|"&amp;M203,LAYOUT!$E$2:$E$34,0)),"zona tidak ada di layout"))</f>
        <v/>
      </c>
      <c r="Q203" s="12">
        <f>IF(OR(L203="",D203=""),"",COUNTIFS($L$2:$L$500,L203,$M$2:$M$500,M203,$D$2:$D$500,"&lt;&gt;"))</f>
        <v/>
      </c>
      <c r="R203" s="12">
        <f>IF(AND(D203="",L203=""),"",IF(L203="","Belum ditempatkan",IF(O203="","CEK ID FIXTURE tidak ada di DAFTAR_FIXTURE",IF(M203="","CEK ZONA NO kosong",IF(P203="zona tidak ada di layout","CEK ZONA NO di luar layout",IF(N203&lt;&gt;P203,"CEK JENIS ZONA",IF(D203="","Zona STOCK",IF(E203="","CEK SKU DESCRIPTION kosong","OK"))))))))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IF(OR(O204="",M204=""),"",IFERROR(INDEX(LAYOUT!$D$2:$D$34,MATCH(O204&amp;"|"&amp;M204,LAYOUT!$E$2:$E$34,0)),"zona tidak ada di layout"))</f>
        <v/>
      </c>
      <c r="Q204" s="12">
        <f>IF(OR(L204="",D204=""),"",COUNTIFS($L$2:$L$500,L204,$M$2:$M$500,M204,$D$2:$D$500,"&lt;&gt;"))</f>
        <v/>
      </c>
      <c r="R204" s="12">
        <f>IF(AND(D204="",L204=""),"",IF(L204="","Belum ditempatkan",IF(O204="","CEK ID FIXTURE tidak ada di DAFTAR_FIXTURE",IF(M204="","CEK ZONA NO kosong",IF(P204="zona tidak ada di layout","CEK ZONA NO di luar layout",IF(N204&lt;&gt;P204,"CEK JENIS ZONA",IF(D204="","Zona STOCK",IF(E204="","CEK SKU DESCRIPTION kosong","OK"))))))))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IF(OR(O205="",M205=""),"",IFERROR(INDEX(LAYOUT!$D$2:$D$34,MATCH(O205&amp;"|"&amp;M205,LAYOUT!$E$2:$E$34,0)),"zona tidak ada di layout"))</f>
        <v/>
      </c>
      <c r="Q205" s="12">
        <f>IF(OR(L205="",D205=""),"",COUNTIFS($L$2:$L$500,L205,$M$2:$M$500,M205,$D$2:$D$500,"&lt;&gt;"))</f>
        <v/>
      </c>
      <c r="R205" s="12">
        <f>IF(AND(D205="",L205=""),"",IF(L205="","Belum ditempatkan",IF(O205="","CEK ID FIXTURE tidak ada di DAFTAR_FIXTURE",IF(M205="","CEK ZONA NO kosong",IF(P205="zona tidak ada di layout","CEK ZONA NO di luar layout",IF(N205&lt;&gt;P205,"CEK JENIS ZONA",IF(D205="","Zona STOCK",IF(E205="","CEK SKU DESCRIPTION kosong","OK"))))))))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IF(OR(O206="",M206=""),"",IFERROR(INDEX(LAYOUT!$D$2:$D$34,MATCH(O206&amp;"|"&amp;M206,LAYOUT!$E$2:$E$34,0)),"zona tidak ada di layout"))</f>
        <v/>
      </c>
      <c r="Q206" s="12">
        <f>IF(OR(L206="",D206=""),"",COUNTIFS($L$2:$L$500,L206,$M$2:$M$500,M206,$D$2:$D$500,"&lt;&gt;"))</f>
        <v/>
      </c>
      <c r="R206" s="12">
        <f>IF(AND(D206="",L206=""),"",IF(L206="","Belum ditempatkan",IF(O206="","CEK ID FIXTURE tidak ada di DAFTAR_FIXTURE",IF(M206="","CEK ZONA NO kosong",IF(P206="zona tidak ada di layout","CEK ZONA NO di luar layout",IF(N206&lt;&gt;P206,"CEK JENIS ZONA",IF(D206="","Zona STOCK",IF(E206="","CEK SKU DESCRIPTION kosong","OK"))))))))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IF(OR(O207="",M207=""),"",IFERROR(INDEX(LAYOUT!$D$2:$D$34,MATCH(O207&amp;"|"&amp;M207,LAYOUT!$E$2:$E$34,0)),"zona tidak ada di layout"))</f>
        <v/>
      </c>
      <c r="Q207" s="12">
        <f>IF(OR(L207="",D207=""),"",COUNTIFS($L$2:$L$500,L207,$M$2:$M$500,M207,$D$2:$D$500,"&lt;&gt;"))</f>
        <v/>
      </c>
      <c r="R207" s="12">
        <f>IF(AND(D207="",L207=""),"",IF(L207="","Belum ditempatkan",IF(O207="","CEK ID FIXTURE tidak ada di DAFTAR_FIXTURE",IF(M207="","CEK ZONA NO kosong",IF(P207="zona tidak ada di layout","CEK ZONA NO di luar layout",IF(N207&lt;&gt;P207,"CEK JENIS ZONA",IF(D207="","Zona STOCK",IF(E207="","CEK SKU DESCRIPTION kosong","OK"))))))))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IF(OR(O208="",M208=""),"",IFERROR(INDEX(LAYOUT!$D$2:$D$34,MATCH(O208&amp;"|"&amp;M208,LAYOUT!$E$2:$E$34,0)),"zona tidak ada di layout"))</f>
        <v/>
      </c>
      <c r="Q208" s="12">
        <f>IF(OR(L208="",D208=""),"",COUNTIFS($L$2:$L$500,L208,$M$2:$M$500,M208,$D$2:$D$500,"&lt;&gt;"))</f>
        <v/>
      </c>
      <c r="R208" s="12">
        <f>IF(AND(D208="",L208=""),"",IF(L208="","Belum ditempatkan",IF(O208="","CEK ID FIXTURE tidak ada di DAFTAR_FIXTURE",IF(M208="","CEK ZONA NO kosong",IF(P208="zona tidak ada di layout","CEK ZONA NO di luar layout",IF(N208&lt;&gt;P208,"CEK JENIS ZONA",IF(D208="","Zona STOCK",IF(E208="","CEK SKU DESCRIPTION kosong","OK"))))))))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IF(OR(O209="",M209=""),"",IFERROR(INDEX(LAYOUT!$D$2:$D$34,MATCH(O209&amp;"|"&amp;M209,LAYOUT!$E$2:$E$34,0)),"zona tidak ada di layout"))</f>
        <v/>
      </c>
      <c r="Q209" s="12">
        <f>IF(OR(L209="",D209=""),"",COUNTIFS($L$2:$L$500,L209,$M$2:$M$500,M209,$D$2:$D$500,"&lt;&gt;"))</f>
        <v/>
      </c>
      <c r="R209" s="12">
        <f>IF(AND(D209="",L209=""),"",IF(L209="","Belum ditempatkan",IF(O209="","CEK ID FIXTURE tidak ada di DAFTAR_FIXTURE",IF(M209="","CEK ZONA NO kosong",IF(P209="zona tidak ada di layout","CEK ZONA NO di luar layout",IF(N209&lt;&gt;P209,"CEK JENIS ZONA",IF(D209="","Zona STOCK",IF(E209="","CEK SKU DESCRIPTION kosong","OK"))))))))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IF(OR(O210="",M210=""),"",IFERROR(INDEX(LAYOUT!$D$2:$D$34,MATCH(O210&amp;"|"&amp;M210,LAYOUT!$E$2:$E$34,0)),"zona tidak ada di layout"))</f>
        <v/>
      </c>
      <c r="Q210" s="12">
        <f>IF(OR(L210="",D210=""),"",COUNTIFS($L$2:$L$500,L210,$M$2:$M$500,M210,$D$2:$D$500,"&lt;&gt;"))</f>
        <v/>
      </c>
      <c r="R210" s="12">
        <f>IF(AND(D210="",L210=""),"",IF(L210="","Belum ditempatkan",IF(O210="","CEK ID FIXTURE tidak ada di DAFTAR_FIXTURE",IF(M210="","CEK ZONA NO kosong",IF(P210="zona tidak ada di layout","CEK ZONA NO di luar layout",IF(N210&lt;&gt;P210,"CEK JENIS ZONA",IF(D210="","Zona STOCK",IF(E210="","CEK SKU DESCRIPTION kosong","OK"))))))))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IF(OR(O211="",M211=""),"",IFERROR(INDEX(LAYOUT!$D$2:$D$34,MATCH(O211&amp;"|"&amp;M211,LAYOUT!$E$2:$E$34,0)),"zona tidak ada di layout"))</f>
        <v/>
      </c>
      <c r="Q211" s="12">
        <f>IF(OR(L211="",D211=""),"",COUNTIFS($L$2:$L$500,L211,$M$2:$M$500,M211,$D$2:$D$500,"&lt;&gt;"))</f>
        <v/>
      </c>
      <c r="R211" s="12">
        <f>IF(AND(D211="",L211=""),"",IF(L211="","Belum ditempatkan",IF(O211="","CEK ID FIXTURE tidak ada di DAFTAR_FIXTURE",IF(M211="","CEK ZONA NO kosong",IF(P211="zona tidak ada di layout","CEK ZONA NO di luar layout",IF(N211&lt;&gt;P211,"CEK JENIS ZONA",IF(D211="","Zona STOCK",IF(E211="","CEK SKU DESCRIPTION kosong","OK"))))))))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IF(OR(O212="",M212=""),"",IFERROR(INDEX(LAYOUT!$D$2:$D$34,MATCH(O212&amp;"|"&amp;M212,LAYOUT!$E$2:$E$34,0)),"zona tidak ada di layout"))</f>
        <v/>
      </c>
      <c r="Q212" s="12">
        <f>IF(OR(L212="",D212=""),"",COUNTIFS($L$2:$L$500,L212,$M$2:$M$500,M212,$D$2:$D$500,"&lt;&gt;"))</f>
        <v/>
      </c>
      <c r="R212" s="12">
        <f>IF(AND(D212="",L212=""),"",IF(L212="","Belum ditempatkan",IF(O212="","CEK ID FIXTURE tidak ada di DAFTAR_FIXTURE",IF(M212="","CEK ZONA NO kosong",IF(P212="zona tidak ada di layout","CEK ZONA NO di luar layout",IF(N212&lt;&gt;P212,"CEK JENIS ZONA",IF(D212="","Zona STOCK",IF(E212="","CEK SKU DESCRIPTION kosong","OK"))))))))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IF(OR(O213="",M213=""),"",IFERROR(INDEX(LAYOUT!$D$2:$D$34,MATCH(O213&amp;"|"&amp;M213,LAYOUT!$E$2:$E$34,0)),"zona tidak ada di layout"))</f>
        <v/>
      </c>
      <c r="Q213" s="12">
        <f>IF(OR(L213="",D213=""),"",COUNTIFS($L$2:$L$500,L213,$M$2:$M$500,M213,$D$2:$D$500,"&lt;&gt;"))</f>
        <v/>
      </c>
      <c r="R213" s="12">
        <f>IF(AND(D213="",L213=""),"",IF(L213="","Belum ditempatkan",IF(O213="","CEK ID FIXTURE tidak ada di DAFTAR_FIXTURE",IF(M213="","CEK ZONA NO kosong",IF(P213="zona tidak ada di layout","CEK ZONA NO di luar layout",IF(N213&lt;&gt;P213,"CEK JENIS ZONA",IF(D213="","Zona STOCK",IF(E213="","CEK SKU DESCRIPTION kosong","OK"))))))))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IF(OR(O214="",M214=""),"",IFERROR(INDEX(LAYOUT!$D$2:$D$34,MATCH(O214&amp;"|"&amp;M214,LAYOUT!$E$2:$E$34,0)),"zona tidak ada di layout"))</f>
        <v/>
      </c>
      <c r="Q214" s="12">
        <f>IF(OR(L214="",D214=""),"",COUNTIFS($L$2:$L$500,L214,$M$2:$M$500,M214,$D$2:$D$500,"&lt;&gt;"))</f>
        <v/>
      </c>
      <c r="R214" s="12">
        <f>IF(AND(D214="",L214=""),"",IF(L214="","Belum ditempatkan",IF(O214="","CEK ID FIXTURE tidak ada di DAFTAR_FIXTURE",IF(M214="","CEK ZONA NO kosong",IF(P214="zona tidak ada di layout","CEK ZONA NO di luar layout",IF(N214&lt;&gt;P214,"CEK JENIS ZONA",IF(D214="","Zona STOCK",IF(E214="","CEK SKU DESCRIPTION kosong","OK"))))))))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IF(OR(O215="",M215=""),"",IFERROR(INDEX(LAYOUT!$D$2:$D$34,MATCH(O215&amp;"|"&amp;M215,LAYOUT!$E$2:$E$34,0)),"zona tidak ada di layout"))</f>
        <v/>
      </c>
      <c r="Q215" s="12">
        <f>IF(OR(L215="",D215=""),"",COUNTIFS($L$2:$L$500,L215,$M$2:$M$500,M215,$D$2:$D$500,"&lt;&gt;"))</f>
        <v/>
      </c>
      <c r="R215" s="12">
        <f>IF(AND(D215="",L215=""),"",IF(L215="","Belum ditempatkan",IF(O215="","CEK ID FIXTURE tidak ada di DAFTAR_FIXTURE",IF(M215="","CEK ZONA NO kosong",IF(P215="zona tidak ada di layout","CEK ZONA NO di luar layout",IF(N215&lt;&gt;P215,"CEK JENIS ZONA",IF(D215="","Zona STOCK",IF(E215="","CEK SKU DESCRIPTION kosong","OK"))))))))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IF(OR(O216="",M216=""),"",IFERROR(INDEX(LAYOUT!$D$2:$D$34,MATCH(O216&amp;"|"&amp;M216,LAYOUT!$E$2:$E$34,0)),"zona tidak ada di layout"))</f>
        <v/>
      </c>
      <c r="Q216" s="12">
        <f>IF(OR(L216="",D216=""),"",COUNTIFS($L$2:$L$500,L216,$M$2:$M$500,M216,$D$2:$D$500,"&lt;&gt;"))</f>
        <v/>
      </c>
      <c r="R216" s="12">
        <f>IF(AND(D216="",L216=""),"",IF(L216="","Belum ditempatkan",IF(O216="","CEK ID FIXTURE tidak ada di DAFTAR_FIXTURE",IF(M216="","CEK ZONA NO kosong",IF(P216="zona tidak ada di layout","CEK ZONA NO di luar layout",IF(N216&lt;&gt;P216,"CEK JENIS ZONA",IF(D216="","Zona STOCK",IF(E216="","CEK SKU DESCRIPTION kosong","OK"))))))))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IF(OR(O217="",M217=""),"",IFERROR(INDEX(LAYOUT!$D$2:$D$34,MATCH(O217&amp;"|"&amp;M217,LAYOUT!$E$2:$E$34,0)),"zona tidak ada di layout"))</f>
        <v/>
      </c>
      <c r="Q217" s="12">
        <f>IF(OR(L217="",D217=""),"",COUNTIFS($L$2:$L$500,L217,$M$2:$M$500,M217,$D$2:$D$500,"&lt;&gt;"))</f>
        <v/>
      </c>
      <c r="R217" s="12">
        <f>IF(AND(D217="",L217=""),"",IF(L217="","Belum ditempatkan",IF(O217="","CEK ID FIXTURE tidak ada di DAFTAR_FIXTURE",IF(M217="","CEK ZONA NO kosong",IF(P217="zona tidak ada di layout","CEK ZONA NO di luar layout",IF(N217&lt;&gt;P217,"CEK JENIS ZONA",IF(D217="","Zona STOCK",IF(E217="","CEK SKU DESCRIPTION kosong","OK"))))))))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IF(OR(O218="",M218=""),"",IFERROR(INDEX(LAYOUT!$D$2:$D$34,MATCH(O218&amp;"|"&amp;M218,LAYOUT!$E$2:$E$34,0)),"zona tidak ada di layout"))</f>
        <v/>
      </c>
      <c r="Q218" s="12">
        <f>IF(OR(L218="",D218=""),"",COUNTIFS($L$2:$L$500,L218,$M$2:$M$500,M218,$D$2:$D$500,"&lt;&gt;"))</f>
        <v/>
      </c>
      <c r="R218" s="12">
        <f>IF(AND(D218="",L218=""),"",IF(L218="","Belum ditempatkan",IF(O218="","CEK ID FIXTURE tidak ada di DAFTAR_FIXTURE",IF(M218="","CEK ZONA NO kosong",IF(P218="zona tidak ada di layout","CEK ZONA NO di luar layout",IF(N218&lt;&gt;P218,"CEK JENIS ZONA",IF(D218="","Zona STOCK",IF(E218="","CEK SKU DESCRIPTION kosong","OK"))))))))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IF(OR(O219="",M219=""),"",IFERROR(INDEX(LAYOUT!$D$2:$D$34,MATCH(O219&amp;"|"&amp;M219,LAYOUT!$E$2:$E$34,0)),"zona tidak ada di layout"))</f>
        <v/>
      </c>
      <c r="Q219" s="12">
        <f>IF(OR(L219="",D219=""),"",COUNTIFS($L$2:$L$500,L219,$M$2:$M$500,M219,$D$2:$D$500,"&lt;&gt;"))</f>
        <v/>
      </c>
      <c r="R219" s="12">
        <f>IF(AND(D219="",L219=""),"",IF(L219="","Belum ditempatkan",IF(O219="","CEK ID FIXTURE tidak ada di DAFTAR_FIXTURE",IF(M219="","CEK ZONA NO kosong",IF(P219="zona tidak ada di layout","CEK ZONA NO di luar layout",IF(N219&lt;&gt;P219,"CEK JENIS ZONA",IF(D219="","Zona STOCK",IF(E219="","CEK SKU DESCRIPTION kosong","OK"))))))))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IF(OR(O220="",M220=""),"",IFERROR(INDEX(LAYOUT!$D$2:$D$34,MATCH(O220&amp;"|"&amp;M220,LAYOUT!$E$2:$E$34,0)),"zona tidak ada di layout"))</f>
        <v/>
      </c>
      <c r="Q220" s="12">
        <f>IF(OR(L220="",D220=""),"",COUNTIFS($L$2:$L$500,L220,$M$2:$M$500,M220,$D$2:$D$500,"&lt;&gt;"))</f>
        <v/>
      </c>
      <c r="R220" s="12">
        <f>IF(AND(D220="",L220=""),"",IF(L220="","Belum ditempatkan",IF(O220="","CEK ID FIXTURE tidak ada di DAFTAR_FIXTURE",IF(M220="","CEK ZONA NO kosong",IF(P220="zona tidak ada di layout","CEK ZONA NO di luar layout",IF(N220&lt;&gt;P220,"CEK JENIS ZONA",IF(D220="","Zona STOCK",IF(E220="","CEK SKU DESCRIPTION kosong","OK"))))))))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IF(OR(O221="",M221=""),"",IFERROR(INDEX(LAYOUT!$D$2:$D$34,MATCH(O221&amp;"|"&amp;M221,LAYOUT!$E$2:$E$34,0)),"zona tidak ada di layout"))</f>
        <v/>
      </c>
      <c r="Q221" s="12">
        <f>IF(OR(L221="",D221=""),"",COUNTIFS($L$2:$L$500,L221,$M$2:$M$500,M221,$D$2:$D$500,"&lt;&gt;"))</f>
        <v/>
      </c>
      <c r="R221" s="12">
        <f>IF(AND(D221="",L221=""),"",IF(L221="","Belum ditempatkan",IF(O221="","CEK ID FIXTURE tidak ada di DAFTAR_FIXTURE",IF(M221="","CEK ZONA NO kosong",IF(P221="zona tidak ada di layout","CEK ZONA NO di luar layout",IF(N221&lt;&gt;P221,"CEK JENIS ZONA",IF(D221="","Zona STOCK",IF(E221="","CEK SKU DESCRIPTION kosong","OK"))))))))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IF(OR(O222="",M222=""),"",IFERROR(INDEX(LAYOUT!$D$2:$D$34,MATCH(O222&amp;"|"&amp;M222,LAYOUT!$E$2:$E$34,0)),"zona tidak ada di layout"))</f>
        <v/>
      </c>
      <c r="Q222" s="12">
        <f>IF(OR(L222="",D222=""),"",COUNTIFS($L$2:$L$500,L222,$M$2:$M$500,M222,$D$2:$D$500,"&lt;&gt;"))</f>
        <v/>
      </c>
      <c r="R222" s="12">
        <f>IF(AND(D222="",L222=""),"",IF(L222="","Belum ditempatkan",IF(O222="","CEK ID FIXTURE tidak ada di DAFTAR_FIXTURE",IF(M222="","CEK ZONA NO kosong",IF(P222="zona tidak ada di layout","CEK ZONA NO di luar layout",IF(N222&lt;&gt;P222,"CEK JENIS ZONA",IF(D222="","Zona STOCK",IF(E222="","CEK SKU DESCRIPTION kosong","OK"))))))))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IF(OR(O223="",M223=""),"",IFERROR(INDEX(LAYOUT!$D$2:$D$34,MATCH(O223&amp;"|"&amp;M223,LAYOUT!$E$2:$E$34,0)),"zona tidak ada di layout"))</f>
        <v/>
      </c>
      <c r="Q223" s="12">
        <f>IF(OR(L223="",D223=""),"",COUNTIFS($L$2:$L$500,L223,$M$2:$M$500,M223,$D$2:$D$500,"&lt;&gt;"))</f>
        <v/>
      </c>
      <c r="R223" s="12">
        <f>IF(AND(D223="",L223=""),"",IF(L223="","Belum ditempatkan",IF(O223="","CEK ID FIXTURE tidak ada di DAFTAR_FIXTURE",IF(M223="","CEK ZONA NO kosong",IF(P223="zona tidak ada di layout","CEK ZONA NO di luar layout",IF(N223&lt;&gt;P223,"CEK JENIS ZONA",IF(D223="","Zona STOCK",IF(E223="","CEK SKU DESCRIPTION kosong","OK"))))))))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IF(OR(O224="",M224=""),"",IFERROR(INDEX(LAYOUT!$D$2:$D$34,MATCH(O224&amp;"|"&amp;M224,LAYOUT!$E$2:$E$34,0)),"zona tidak ada di layout"))</f>
        <v/>
      </c>
      <c r="Q224" s="12">
        <f>IF(OR(L224="",D224=""),"",COUNTIFS($L$2:$L$500,L224,$M$2:$M$500,M224,$D$2:$D$500,"&lt;&gt;"))</f>
        <v/>
      </c>
      <c r="R224" s="12">
        <f>IF(AND(D224="",L224=""),"",IF(L224="","Belum ditempatkan",IF(O224="","CEK ID FIXTURE tidak ada di DAFTAR_FIXTURE",IF(M224="","CEK ZONA NO kosong",IF(P224="zona tidak ada di layout","CEK ZONA NO di luar layout",IF(N224&lt;&gt;P224,"CEK JENIS ZONA",IF(D224="","Zona STOCK",IF(E224="","CEK SKU DESCRIPTION kosong","OK"))))))))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IF(OR(O225="",M225=""),"",IFERROR(INDEX(LAYOUT!$D$2:$D$34,MATCH(O225&amp;"|"&amp;M225,LAYOUT!$E$2:$E$34,0)),"zona tidak ada di layout"))</f>
        <v/>
      </c>
      <c r="Q225" s="12">
        <f>IF(OR(L225="",D225=""),"",COUNTIFS($L$2:$L$500,L225,$M$2:$M$500,M225,$D$2:$D$500,"&lt;&gt;"))</f>
        <v/>
      </c>
      <c r="R225" s="12">
        <f>IF(AND(D225="",L225=""),"",IF(L225="","Belum ditempatkan",IF(O225="","CEK ID FIXTURE tidak ada di DAFTAR_FIXTURE",IF(M225="","CEK ZONA NO kosong",IF(P225="zona tidak ada di layout","CEK ZONA NO di luar layout",IF(N225&lt;&gt;P225,"CEK JENIS ZONA",IF(D225="","Zona STOCK",IF(E225="","CEK SKU DESCRIPTION kosong","OK"))))))))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IF(OR(O226="",M226=""),"",IFERROR(INDEX(LAYOUT!$D$2:$D$34,MATCH(O226&amp;"|"&amp;M226,LAYOUT!$E$2:$E$34,0)),"zona tidak ada di layout"))</f>
        <v/>
      </c>
      <c r="Q226" s="12">
        <f>IF(OR(L226="",D226=""),"",COUNTIFS($L$2:$L$500,L226,$M$2:$M$500,M226,$D$2:$D$500,"&lt;&gt;"))</f>
        <v/>
      </c>
      <c r="R226" s="12">
        <f>IF(AND(D226="",L226=""),"",IF(L226="","Belum ditempatkan",IF(O226="","CEK ID FIXTURE tidak ada di DAFTAR_FIXTURE",IF(M226="","CEK ZONA NO kosong",IF(P226="zona tidak ada di layout","CEK ZONA NO di luar layout",IF(N226&lt;&gt;P226,"CEK JENIS ZONA",IF(D226="","Zona STOCK",IF(E226="","CEK SKU DESCRIPTION kosong","OK"))))))))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IF(OR(O227="",M227=""),"",IFERROR(INDEX(LAYOUT!$D$2:$D$34,MATCH(O227&amp;"|"&amp;M227,LAYOUT!$E$2:$E$34,0)),"zona tidak ada di layout"))</f>
        <v/>
      </c>
      <c r="Q227" s="12">
        <f>IF(OR(L227="",D227=""),"",COUNTIFS($L$2:$L$500,L227,$M$2:$M$500,M227,$D$2:$D$500,"&lt;&gt;"))</f>
        <v/>
      </c>
      <c r="R227" s="12">
        <f>IF(AND(D227="",L227=""),"",IF(L227="","Belum ditempatkan",IF(O227="","CEK ID FIXTURE tidak ada di DAFTAR_FIXTURE",IF(M227="","CEK ZONA NO kosong",IF(P227="zona tidak ada di layout","CEK ZONA NO di luar layout",IF(N227&lt;&gt;P227,"CEK JENIS ZONA",IF(D227="","Zona STOCK",IF(E227="","CEK SKU DESCRIPTION kosong","OK"))))))))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IF(OR(O228="",M228=""),"",IFERROR(INDEX(LAYOUT!$D$2:$D$34,MATCH(O228&amp;"|"&amp;M228,LAYOUT!$E$2:$E$34,0)),"zona tidak ada di layout"))</f>
        <v/>
      </c>
      <c r="Q228" s="12">
        <f>IF(OR(L228="",D228=""),"",COUNTIFS($L$2:$L$500,L228,$M$2:$M$500,M228,$D$2:$D$500,"&lt;&gt;"))</f>
        <v/>
      </c>
      <c r="R228" s="12">
        <f>IF(AND(D228="",L228=""),"",IF(L228="","Belum ditempatkan",IF(O228="","CEK ID FIXTURE tidak ada di DAFTAR_FIXTURE",IF(M228="","CEK ZONA NO kosong",IF(P228="zona tidak ada di layout","CEK ZONA NO di luar layout",IF(N228&lt;&gt;P228,"CEK JENIS ZONA",IF(D228="","Zona STOCK",IF(E228="","CEK SKU DESCRIPTION kosong","OK"))))))))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IF(OR(O229="",M229=""),"",IFERROR(INDEX(LAYOUT!$D$2:$D$34,MATCH(O229&amp;"|"&amp;M229,LAYOUT!$E$2:$E$34,0)),"zona tidak ada di layout"))</f>
        <v/>
      </c>
      <c r="Q229" s="12">
        <f>IF(OR(L229="",D229=""),"",COUNTIFS($L$2:$L$500,L229,$M$2:$M$500,M229,$D$2:$D$500,"&lt;&gt;"))</f>
        <v/>
      </c>
      <c r="R229" s="12">
        <f>IF(AND(D229="",L229=""),"",IF(L229="","Belum ditempatkan",IF(O229="","CEK ID FIXTURE tidak ada di DAFTAR_FIXTURE",IF(M229="","CEK ZONA NO kosong",IF(P229="zona tidak ada di layout","CEK ZONA NO di luar layout",IF(N229&lt;&gt;P229,"CEK JENIS ZONA",IF(D229="","Zona STOCK",IF(E229="","CEK SKU DESCRIPTION kosong","OK"))))))))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IF(OR(O230="",M230=""),"",IFERROR(INDEX(LAYOUT!$D$2:$D$34,MATCH(O230&amp;"|"&amp;M230,LAYOUT!$E$2:$E$34,0)),"zona tidak ada di layout"))</f>
        <v/>
      </c>
      <c r="Q230" s="12">
        <f>IF(OR(L230="",D230=""),"",COUNTIFS($L$2:$L$500,L230,$M$2:$M$500,M230,$D$2:$D$500,"&lt;&gt;"))</f>
        <v/>
      </c>
      <c r="R230" s="12">
        <f>IF(AND(D230="",L230=""),"",IF(L230="","Belum ditempatkan",IF(O230="","CEK ID FIXTURE tidak ada di DAFTAR_FIXTURE",IF(M230="","CEK ZONA NO kosong",IF(P230="zona tidak ada di layout","CEK ZONA NO di luar layout",IF(N230&lt;&gt;P230,"CEK JENIS ZONA",IF(D230="","Zona STOCK",IF(E230="","CEK SKU DESCRIPTION kosong","OK"))))))))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IF(OR(O231="",M231=""),"",IFERROR(INDEX(LAYOUT!$D$2:$D$34,MATCH(O231&amp;"|"&amp;M231,LAYOUT!$E$2:$E$34,0)),"zona tidak ada di layout"))</f>
        <v/>
      </c>
      <c r="Q231" s="12">
        <f>IF(OR(L231="",D231=""),"",COUNTIFS($L$2:$L$500,L231,$M$2:$M$500,M231,$D$2:$D$500,"&lt;&gt;"))</f>
        <v/>
      </c>
      <c r="R231" s="12">
        <f>IF(AND(D231="",L231=""),"",IF(L231="","Belum ditempatkan",IF(O231="","CEK ID FIXTURE tidak ada di DAFTAR_FIXTURE",IF(M231="","CEK ZONA NO kosong",IF(P231="zona tidak ada di layout","CEK ZONA NO di luar layout",IF(N231&lt;&gt;P231,"CEK JENIS ZONA",IF(D231="","Zona STOCK",IF(E231="","CEK SKU DESCRIPTION kosong","OK"))))))))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IF(OR(O232="",M232=""),"",IFERROR(INDEX(LAYOUT!$D$2:$D$34,MATCH(O232&amp;"|"&amp;M232,LAYOUT!$E$2:$E$34,0)),"zona tidak ada di layout"))</f>
        <v/>
      </c>
      <c r="Q232" s="12">
        <f>IF(OR(L232="",D232=""),"",COUNTIFS($L$2:$L$500,L232,$M$2:$M$500,M232,$D$2:$D$500,"&lt;&gt;"))</f>
        <v/>
      </c>
      <c r="R232" s="12">
        <f>IF(AND(D232="",L232=""),"",IF(L232="","Belum ditempatkan",IF(O232="","CEK ID FIXTURE tidak ada di DAFTAR_FIXTURE",IF(M232="","CEK ZONA NO kosong",IF(P232="zona tidak ada di layout","CEK ZONA NO di luar layout",IF(N232&lt;&gt;P232,"CEK JENIS ZONA",IF(D232="","Zona STOCK",IF(E232="","CEK SKU DESCRIPTION kosong","OK"))))))))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IF(OR(O233="",M233=""),"",IFERROR(INDEX(LAYOUT!$D$2:$D$34,MATCH(O233&amp;"|"&amp;M233,LAYOUT!$E$2:$E$34,0)),"zona tidak ada di layout"))</f>
        <v/>
      </c>
      <c r="Q233" s="12">
        <f>IF(OR(L233="",D233=""),"",COUNTIFS($L$2:$L$500,L233,$M$2:$M$500,M233,$D$2:$D$500,"&lt;&gt;"))</f>
        <v/>
      </c>
      <c r="R233" s="12">
        <f>IF(AND(D233="",L233=""),"",IF(L233="","Belum ditempatkan",IF(O233="","CEK ID FIXTURE tidak ada di DAFTAR_FIXTURE",IF(M233="","CEK ZONA NO kosong",IF(P233="zona tidak ada di layout","CEK ZONA NO di luar layout",IF(N233&lt;&gt;P233,"CEK JENIS ZONA",IF(D233="","Zona STOCK",IF(E233="","CEK SKU DESCRIPTION kosong","OK"))))))))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IF(OR(O234="",M234=""),"",IFERROR(INDEX(LAYOUT!$D$2:$D$34,MATCH(O234&amp;"|"&amp;M234,LAYOUT!$E$2:$E$34,0)),"zona tidak ada di layout"))</f>
        <v/>
      </c>
      <c r="Q234" s="12">
        <f>IF(OR(L234="",D234=""),"",COUNTIFS($L$2:$L$500,L234,$M$2:$M$500,M234,$D$2:$D$500,"&lt;&gt;"))</f>
        <v/>
      </c>
      <c r="R234" s="12">
        <f>IF(AND(D234="",L234=""),"",IF(L234="","Belum ditempatkan",IF(O234="","CEK ID FIXTURE tidak ada di DAFTAR_FIXTURE",IF(M234="","CEK ZONA NO kosong",IF(P234="zona tidak ada di layout","CEK ZONA NO di luar layout",IF(N234&lt;&gt;P234,"CEK JENIS ZONA",IF(D234="","Zona STOCK",IF(E234="","CEK SKU DESCRIPTION kosong","OK"))))))))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IF(OR(O235="",M235=""),"",IFERROR(INDEX(LAYOUT!$D$2:$D$34,MATCH(O235&amp;"|"&amp;M235,LAYOUT!$E$2:$E$34,0)),"zona tidak ada di layout"))</f>
        <v/>
      </c>
      <c r="Q235" s="12">
        <f>IF(OR(L235="",D235=""),"",COUNTIFS($L$2:$L$500,L235,$M$2:$M$500,M235,$D$2:$D$500,"&lt;&gt;"))</f>
        <v/>
      </c>
      <c r="R235" s="12">
        <f>IF(AND(D235="",L235=""),"",IF(L235="","Belum ditempatkan",IF(O235="","CEK ID FIXTURE tidak ada di DAFTAR_FIXTURE",IF(M235="","CEK ZONA NO kosong",IF(P235="zona tidak ada di layout","CEK ZONA NO di luar layout",IF(N235&lt;&gt;P235,"CEK JENIS ZONA",IF(D235="","Zona STOCK",IF(E235="","CEK SKU DESCRIPTION kosong","OK"))))))))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IF(OR(O236="",M236=""),"",IFERROR(INDEX(LAYOUT!$D$2:$D$34,MATCH(O236&amp;"|"&amp;M236,LAYOUT!$E$2:$E$34,0)),"zona tidak ada di layout"))</f>
        <v/>
      </c>
      <c r="Q236" s="12">
        <f>IF(OR(L236="",D236=""),"",COUNTIFS($L$2:$L$500,L236,$M$2:$M$500,M236,$D$2:$D$500,"&lt;&gt;"))</f>
        <v/>
      </c>
      <c r="R236" s="12">
        <f>IF(AND(D236="",L236=""),"",IF(L236="","Belum ditempatkan",IF(O236="","CEK ID FIXTURE tidak ada di DAFTAR_FIXTURE",IF(M236="","CEK ZONA NO kosong",IF(P236="zona tidak ada di layout","CEK ZONA NO di luar layout",IF(N236&lt;&gt;P236,"CEK JENIS ZONA",IF(D236="","Zona STOCK",IF(E236="","CEK SKU DESCRIPTION kosong","OK"))))))))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IF(OR(O237="",M237=""),"",IFERROR(INDEX(LAYOUT!$D$2:$D$34,MATCH(O237&amp;"|"&amp;M237,LAYOUT!$E$2:$E$34,0)),"zona tidak ada di layout"))</f>
        <v/>
      </c>
      <c r="Q237" s="12">
        <f>IF(OR(L237="",D237=""),"",COUNTIFS($L$2:$L$500,L237,$M$2:$M$500,M237,$D$2:$D$500,"&lt;&gt;"))</f>
        <v/>
      </c>
      <c r="R237" s="12">
        <f>IF(AND(D237="",L237=""),"",IF(L237="","Belum ditempatkan",IF(O237="","CEK ID FIXTURE tidak ada di DAFTAR_FIXTURE",IF(M237="","CEK ZONA NO kosong",IF(P237="zona tidak ada di layout","CEK ZONA NO di luar layout",IF(N237&lt;&gt;P237,"CEK JENIS ZONA",IF(D237="","Zona STOCK",IF(E237="","CEK SKU DESCRIPTION kosong","OK"))))))))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IF(OR(O238="",M238=""),"",IFERROR(INDEX(LAYOUT!$D$2:$D$34,MATCH(O238&amp;"|"&amp;M238,LAYOUT!$E$2:$E$34,0)),"zona tidak ada di layout"))</f>
        <v/>
      </c>
      <c r="Q238" s="12">
        <f>IF(OR(L238="",D238=""),"",COUNTIFS($L$2:$L$500,L238,$M$2:$M$500,M238,$D$2:$D$500,"&lt;&gt;"))</f>
        <v/>
      </c>
      <c r="R238" s="12">
        <f>IF(AND(D238="",L238=""),"",IF(L238="","Belum ditempatkan",IF(O238="","CEK ID FIXTURE tidak ada di DAFTAR_FIXTURE",IF(M238="","CEK ZONA NO kosong",IF(P238="zona tidak ada di layout","CEK ZONA NO di luar layout",IF(N238&lt;&gt;P238,"CEK JENIS ZONA",IF(D238="","Zona STOCK",IF(E238="","CEK SKU DESCRIPTION kosong","OK"))))))))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IF(OR(O239="",M239=""),"",IFERROR(INDEX(LAYOUT!$D$2:$D$34,MATCH(O239&amp;"|"&amp;M239,LAYOUT!$E$2:$E$34,0)),"zona tidak ada di layout"))</f>
        <v/>
      </c>
      <c r="Q239" s="12">
        <f>IF(OR(L239="",D239=""),"",COUNTIFS($L$2:$L$500,L239,$M$2:$M$500,M239,$D$2:$D$500,"&lt;&gt;"))</f>
        <v/>
      </c>
      <c r="R239" s="12">
        <f>IF(AND(D239="",L239=""),"",IF(L239="","Belum ditempatkan",IF(O239="","CEK ID FIXTURE tidak ada di DAFTAR_FIXTURE",IF(M239="","CEK ZONA NO kosong",IF(P239="zona tidak ada di layout","CEK ZONA NO di luar layout",IF(N239&lt;&gt;P239,"CEK JENIS ZONA",IF(D239="","Zona STOCK",IF(E239="","CEK SKU DESCRIPTION kosong","OK"))))))))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IF(OR(O240="",M240=""),"",IFERROR(INDEX(LAYOUT!$D$2:$D$34,MATCH(O240&amp;"|"&amp;M240,LAYOUT!$E$2:$E$34,0)),"zona tidak ada di layout"))</f>
        <v/>
      </c>
      <c r="Q240" s="12">
        <f>IF(OR(L240="",D240=""),"",COUNTIFS($L$2:$L$500,L240,$M$2:$M$500,M240,$D$2:$D$500,"&lt;&gt;"))</f>
        <v/>
      </c>
      <c r="R240" s="12">
        <f>IF(AND(D240="",L240=""),"",IF(L240="","Belum ditempatkan",IF(O240="","CEK ID FIXTURE tidak ada di DAFTAR_FIXTURE",IF(M240="","CEK ZONA NO kosong",IF(P240="zona tidak ada di layout","CEK ZONA NO di luar layout",IF(N240&lt;&gt;P240,"CEK JENIS ZONA",IF(D240="","Zona STOCK",IF(E240="","CEK SKU DESCRIPTION kosong","OK"))))))))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IF(OR(O241="",M241=""),"",IFERROR(INDEX(LAYOUT!$D$2:$D$34,MATCH(O241&amp;"|"&amp;M241,LAYOUT!$E$2:$E$34,0)),"zona tidak ada di layout"))</f>
        <v/>
      </c>
      <c r="Q241" s="12">
        <f>IF(OR(L241="",D241=""),"",COUNTIFS($L$2:$L$500,L241,$M$2:$M$500,M241,$D$2:$D$500,"&lt;&gt;"))</f>
        <v/>
      </c>
      <c r="R241" s="12">
        <f>IF(AND(D241="",L241=""),"",IF(L241="","Belum ditempatkan",IF(O241="","CEK ID FIXTURE tidak ada di DAFTAR_FIXTURE",IF(M241="","CEK ZONA NO kosong",IF(P241="zona tidak ada di layout","CEK ZONA NO di luar layout",IF(N241&lt;&gt;P241,"CEK JENIS ZONA",IF(D241="","Zona STOCK",IF(E241="","CEK SKU DESCRIPTION kosong","OK"))))))))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IF(OR(O242="",M242=""),"",IFERROR(INDEX(LAYOUT!$D$2:$D$34,MATCH(O242&amp;"|"&amp;M242,LAYOUT!$E$2:$E$34,0)),"zona tidak ada di layout"))</f>
        <v/>
      </c>
      <c r="Q242" s="12">
        <f>IF(OR(L242="",D242=""),"",COUNTIFS($L$2:$L$500,L242,$M$2:$M$500,M242,$D$2:$D$500,"&lt;&gt;"))</f>
        <v/>
      </c>
      <c r="R242" s="12">
        <f>IF(AND(D242="",L242=""),"",IF(L242="","Belum ditempatkan",IF(O242="","CEK ID FIXTURE tidak ada di DAFTAR_FIXTURE",IF(M242="","CEK ZONA NO kosong",IF(P242="zona tidak ada di layout","CEK ZONA NO di luar layout",IF(N242&lt;&gt;P242,"CEK JENIS ZONA",IF(D242="","Zona STOCK",IF(E242="","CEK SKU DESCRIPTION kosong","OK"))))))))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IF(OR(O243="",M243=""),"",IFERROR(INDEX(LAYOUT!$D$2:$D$34,MATCH(O243&amp;"|"&amp;M243,LAYOUT!$E$2:$E$34,0)),"zona tidak ada di layout"))</f>
        <v/>
      </c>
      <c r="Q243" s="12">
        <f>IF(OR(L243="",D243=""),"",COUNTIFS($L$2:$L$500,L243,$M$2:$M$500,M243,$D$2:$D$500,"&lt;&gt;"))</f>
        <v/>
      </c>
      <c r="R243" s="12">
        <f>IF(AND(D243="",L243=""),"",IF(L243="","Belum ditempatkan",IF(O243="","CEK ID FIXTURE tidak ada di DAFTAR_FIXTURE",IF(M243="","CEK ZONA NO kosong",IF(P243="zona tidak ada di layout","CEK ZONA NO di luar layout",IF(N243&lt;&gt;P243,"CEK JENIS ZONA",IF(D243="","Zona STOCK",IF(E243="","CEK SKU DESCRIPTION kosong","OK"))))))))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IF(OR(O244="",M244=""),"",IFERROR(INDEX(LAYOUT!$D$2:$D$34,MATCH(O244&amp;"|"&amp;M244,LAYOUT!$E$2:$E$34,0)),"zona tidak ada di layout"))</f>
        <v/>
      </c>
      <c r="Q244" s="12">
        <f>IF(OR(L244="",D244=""),"",COUNTIFS($L$2:$L$500,L244,$M$2:$M$500,M244,$D$2:$D$500,"&lt;&gt;"))</f>
        <v/>
      </c>
      <c r="R244" s="12">
        <f>IF(AND(D244="",L244=""),"",IF(L244="","Belum ditempatkan",IF(O244="","CEK ID FIXTURE tidak ada di DAFTAR_FIXTURE",IF(M244="","CEK ZONA NO kosong",IF(P244="zona tidak ada di layout","CEK ZONA NO di luar layout",IF(N244&lt;&gt;P244,"CEK JENIS ZONA",IF(D244="","Zona STOCK",IF(E244="","CEK SKU DESCRIPTION kosong","OK"))))))))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IF(OR(O245="",M245=""),"",IFERROR(INDEX(LAYOUT!$D$2:$D$34,MATCH(O245&amp;"|"&amp;M245,LAYOUT!$E$2:$E$34,0)),"zona tidak ada di layout"))</f>
        <v/>
      </c>
      <c r="Q245" s="12">
        <f>IF(OR(L245="",D245=""),"",COUNTIFS($L$2:$L$500,L245,$M$2:$M$500,M245,$D$2:$D$500,"&lt;&gt;"))</f>
        <v/>
      </c>
      <c r="R245" s="12">
        <f>IF(AND(D245="",L245=""),"",IF(L245="","Belum ditempatkan",IF(O245="","CEK ID FIXTURE tidak ada di DAFTAR_FIXTURE",IF(M245="","CEK ZONA NO kosong",IF(P245="zona tidak ada di layout","CEK ZONA NO di luar layout",IF(N245&lt;&gt;P245,"CEK JENIS ZONA",IF(D245="","Zona STOCK",IF(E245="","CEK SKU DESCRIPTION kosong","OK"))))))))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IF(OR(O246="",M246=""),"",IFERROR(INDEX(LAYOUT!$D$2:$D$34,MATCH(O246&amp;"|"&amp;M246,LAYOUT!$E$2:$E$34,0)),"zona tidak ada di layout"))</f>
        <v/>
      </c>
      <c r="Q246" s="12">
        <f>IF(OR(L246="",D246=""),"",COUNTIFS($L$2:$L$500,L246,$M$2:$M$500,M246,$D$2:$D$500,"&lt;&gt;"))</f>
        <v/>
      </c>
      <c r="R246" s="12">
        <f>IF(AND(D246="",L246=""),"",IF(L246="","Belum ditempatkan",IF(O246="","CEK ID FIXTURE tidak ada di DAFTAR_FIXTURE",IF(M246="","CEK ZONA NO kosong",IF(P246="zona tidak ada di layout","CEK ZONA NO di luar layout",IF(N246&lt;&gt;P246,"CEK JENIS ZONA",IF(D246="","Zona STOCK",IF(E246="","CEK SKU DESCRIPTION kosong","OK"))))))))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IF(OR(O247="",M247=""),"",IFERROR(INDEX(LAYOUT!$D$2:$D$34,MATCH(O247&amp;"|"&amp;M247,LAYOUT!$E$2:$E$34,0)),"zona tidak ada di layout"))</f>
        <v/>
      </c>
      <c r="Q247" s="12">
        <f>IF(OR(L247="",D247=""),"",COUNTIFS($L$2:$L$500,L247,$M$2:$M$500,M247,$D$2:$D$500,"&lt;&gt;"))</f>
        <v/>
      </c>
      <c r="R247" s="12">
        <f>IF(AND(D247="",L247=""),"",IF(L247="","Belum ditempatkan",IF(O247="","CEK ID FIXTURE tidak ada di DAFTAR_FIXTURE",IF(M247="","CEK ZONA NO kosong",IF(P247="zona tidak ada di layout","CEK ZONA NO di luar layout",IF(N247&lt;&gt;P247,"CEK JENIS ZONA",IF(D247="","Zona STOCK",IF(E247="","CEK SKU DESCRIPTION kosong","OK"))))))))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IF(OR(O248="",M248=""),"",IFERROR(INDEX(LAYOUT!$D$2:$D$34,MATCH(O248&amp;"|"&amp;M248,LAYOUT!$E$2:$E$34,0)),"zona tidak ada di layout"))</f>
        <v/>
      </c>
      <c r="Q248" s="12">
        <f>IF(OR(L248="",D248=""),"",COUNTIFS($L$2:$L$500,L248,$M$2:$M$500,M248,$D$2:$D$500,"&lt;&gt;"))</f>
        <v/>
      </c>
      <c r="R248" s="12">
        <f>IF(AND(D248="",L248=""),"",IF(L248="","Belum ditempatkan",IF(O248="","CEK ID FIXTURE tidak ada di DAFTAR_FIXTURE",IF(M248="","CEK ZONA NO kosong",IF(P248="zona tidak ada di layout","CEK ZONA NO di luar layout",IF(N248&lt;&gt;P248,"CEK JENIS ZONA",IF(D248="","Zona STOCK",IF(E248="","CEK SKU DESCRIPTION kosong","OK"))))))))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IF(OR(O249="",M249=""),"",IFERROR(INDEX(LAYOUT!$D$2:$D$34,MATCH(O249&amp;"|"&amp;M249,LAYOUT!$E$2:$E$34,0)),"zona tidak ada di layout"))</f>
        <v/>
      </c>
      <c r="Q249" s="12">
        <f>IF(OR(L249="",D249=""),"",COUNTIFS($L$2:$L$500,L249,$M$2:$M$500,M249,$D$2:$D$500,"&lt;&gt;"))</f>
        <v/>
      </c>
      <c r="R249" s="12">
        <f>IF(AND(D249="",L249=""),"",IF(L249="","Belum ditempatkan",IF(O249="","CEK ID FIXTURE tidak ada di DAFTAR_FIXTURE",IF(M249="","CEK ZONA NO kosong",IF(P249="zona tidak ada di layout","CEK ZONA NO di luar layout",IF(N249&lt;&gt;P249,"CEK JENIS ZONA",IF(D249="","Zona STOCK",IF(E249="","CEK SKU DESCRIPTION kosong","OK"))))))))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IF(OR(O250="",M250=""),"",IFERROR(INDEX(LAYOUT!$D$2:$D$34,MATCH(O250&amp;"|"&amp;M250,LAYOUT!$E$2:$E$34,0)),"zona tidak ada di layout"))</f>
        <v/>
      </c>
      <c r="Q250" s="12">
        <f>IF(OR(L250="",D250=""),"",COUNTIFS($L$2:$L$500,L250,$M$2:$M$500,M250,$D$2:$D$500,"&lt;&gt;"))</f>
        <v/>
      </c>
      <c r="R250" s="12">
        <f>IF(AND(D250="",L250=""),"",IF(L250="","Belum ditempatkan",IF(O250="","CEK ID FIXTURE tidak ada di DAFTAR_FIXTURE",IF(M250="","CEK ZONA NO kosong",IF(P250="zona tidak ada di layout","CEK ZONA NO di luar layout",IF(N250&lt;&gt;P250,"CEK JENIS ZONA",IF(D250="","Zona STOCK",IF(E250="","CEK SKU DESCRIPTION kosong","OK"))))))))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IF(OR(O251="",M251=""),"",IFERROR(INDEX(LAYOUT!$D$2:$D$34,MATCH(O251&amp;"|"&amp;M251,LAYOUT!$E$2:$E$34,0)),"zona tidak ada di layout"))</f>
        <v/>
      </c>
      <c r="Q251" s="12">
        <f>IF(OR(L251="",D251=""),"",COUNTIFS($L$2:$L$500,L251,$M$2:$M$500,M251,$D$2:$D$500,"&lt;&gt;"))</f>
        <v/>
      </c>
      <c r="R251" s="12">
        <f>IF(AND(D251="",L251=""),"",IF(L251="","Belum ditempatkan",IF(O251="","CEK ID FIXTURE tidak ada di DAFTAR_FIXTURE",IF(M251="","CEK ZONA NO kosong",IF(P251="zona tidak ada di layout","CEK ZONA NO di luar layout",IF(N251&lt;&gt;P251,"CEK JENIS ZONA",IF(D251="","Zona STOCK",IF(E251="","CEK SKU DESCRIPTION kosong","OK"))))))))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IF(OR(O252="",M252=""),"",IFERROR(INDEX(LAYOUT!$D$2:$D$34,MATCH(O252&amp;"|"&amp;M252,LAYOUT!$E$2:$E$34,0)),"zona tidak ada di layout"))</f>
        <v/>
      </c>
      <c r="Q252" s="12">
        <f>IF(OR(L252="",D252=""),"",COUNTIFS($L$2:$L$500,L252,$M$2:$M$500,M252,$D$2:$D$500,"&lt;&gt;"))</f>
        <v/>
      </c>
      <c r="R252" s="12">
        <f>IF(AND(D252="",L252=""),"",IF(L252="","Belum ditempatkan",IF(O252="","CEK ID FIXTURE tidak ada di DAFTAR_FIXTURE",IF(M252="","CEK ZONA NO kosong",IF(P252="zona tidak ada di layout","CEK ZONA NO di luar layout",IF(N252&lt;&gt;P252,"CEK JENIS ZONA",IF(D252="","Zona STOCK",IF(E252="","CEK SKU DESCRIPTION kosong","OK"))))))))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IF(OR(O253="",M253=""),"",IFERROR(INDEX(LAYOUT!$D$2:$D$34,MATCH(O253&amp;"|"&amp;M253,LAYOUT!$E$2:$E$34,0)),"zona tidak ada di layout"))</f>
        <v/>
      </c>
      <c r="Q253" s="12">
        <f>IF(OR(L253="",D253=""),"",COUNTIFS($L$2:$L$500,L253,$M$2:$M$500,M253,$D$2:$D$500,"&lt;&gt;"))</f>
        <v/>
      </c>
      <c r="R253" s="12">
        <f>IF(AND(D253="",L253=""),"",IF(L253="","Belum ditempatkan",IF(O253="","CEK ID FIXTURE tidak ada di DAFTAR_FIXTURE",IF(M253="","CEK ZONA NO kosong",IF(P253="zona tidak ada di layout","CEK ZONA NO di luar layout",IF(N253&lt;&gt;P253,"CEK JENIS ZONA",IF(D253="","Zona STOCK",IF(E253="","CEK SKU DESCRIPTION kosong","OK"))))))))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IF(OR(O254="",M254=""),"",IFERROR(INDEX(LAYOUT!$D$2:$D$34,MATCH(O254&amp;"|"&amp;M254,LAYOUT!$E$2:$E$34,0)),"zona tidak ada di layout"))</f>
        <v/>
      </c>
      <c r="Q254" s="12">
        <f>IF(OR(L254="",D254=""),"",COUNTIFS($L$2:$L$500,L254,$M$2:$M$500,M254,$D$2:$D$500,"&lt;&gt;"))</f>
        <v/>
      </c>
      <c r="R254" s="12">
        <f>IF(AND(D254="",L254=""),"",IF(L254="","Belum ditempatkan",IF(O254="","CEK ID FIXTURE tidak ada di DAFTAR_FIXTURE",IF(M254="","CEK ZONA NO kosong",IF(P254="zona tidak ada di layout","CEK ZONA NO di luar layout",IF(N254&lt;&gt;P254,"CEK JENIS ZONA",IF(D254="","Zona STOCK",IF(E254="","CEK SKU DESCRIPTION kosong","OK"))))))))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IF(OR(O255="",M255=""),"",IFERROR(INDEX(LAYOUT!$D$2:$D$34,MATCH(O255&amp;"|"&amp;M255,LAYOUT!$E$2:$E$34,0)),"zona tidak ada di layout"))</f>
        <v/>
      </c>
      <c r="Q255" s="12">
        <f>IF(OR(L255="",D255=""),"",COUNTIFS($L$2:$L$500,L255,$M$2:$M$500,M255,$D$2:$D$500,"&lt;&gt;"))</f>
        <v/>
      </c>
      <c r="R255" s="12">
        <f>IF(AND(D255="",L255=""),"",IF(L255="","Belum ditempatkan",IF(O255="","CEK ID FIXTURE tidak ada di DAFTAR_FIXTURE",IF(M255="","CEK ZONA NO kosong",IF(P255="zona tidak ada di layout","CEK ZONA NO di luar layout",IF(N255&lt;&gt;P255,"CEK JENIS ZONA",IF(D255="","Zona STOCK",IF(E255="","CEK SKU DESCRIPTION kosong","OK"))))))))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IF(OR(O256="",M256=""),"",IFERROR(INDEX(LAYOUT!$D$2:$D$34,MATCH(O256&amp;"|"&amp;M256,LAYOUT!$E$2:$E$34,0)),"zona tidak ada di layout"))</f>
        <v/>
      </c>
      <c r="Q256" s="12">
        <f>IF(OR(L256="",D256=""),"",COUNTIFS($L$2:$L$500,L256,$M$2:$M$500,M256,$D$2:$D$500,"&lt;&gt;"))</f>
        <v/>
      </c>
      <c r="R256" s="12">
        <f>IF(AND(D256="",L256=""),"",IF(L256="","Belum ditempatkan",IF(O256="","CEK ID FIXTURE tidak ada di DAFTAR_FIXTURE",IF(M256="","CEK ZONA NO kosong",IF(P256="zona tidak ada di layout","CEK ZONA NO di luar layout",IF(N256&lt;&gt;P256,"CEK JENIS ZONA",IF(D256="","Zona STOCK",IF(E256="","CEK SKU DESCRIPTION kosong","OK"))))))))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IF(OR(O257="",M257=""),"",IFERROR(INDEX(LAYOUT!$D$2:$D$34,MATCH(O257&amp;"|"&amp;M257,LAYOUT!$E$2:$E$34,0)),"zona tidak ada di layout"))</f>
        <v/>
      </c>
      <c r="Q257" s="12">
        <f>IF(OR(L257="",D257=""),"",COUNTIFS($L$2:$L$500,L257,$M$2:$M$500,M257,$D$2:$D$500,"&lt;&gt;"))</f>
        <v/>
      </c>
      <c r="R257" s="12">
        <f>IF(AND(D257="",L257=""),"",IF(L257="","Belum ditempatkan",IF(O257="","CEK ID FIXTURE tidak ada di DAFTAR_FIXTURE",IF(M257="","CEK ZONA NO kosong",IF(P257="zona tidak ada di layout","CEK ZONA NO di luar layout",IF(N257&lt;&gt;P257,"CEK JENIS ZONA",IF(D257="","Zona STOCK",IF(E257="","CEK SKU DESCRIPTION kosong","OK"))))))))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IF(OR(O258="",M258=""),"",IFERROR(INDEX(LAYOUT!$D$2:$D$34,MATCH(O258&amp;"|"&amp;M258,LAYOUT!$E$2:$E$34,0)),"zona tidak ada di layout"))</f>
        <v/>
      </c>
      <c r="Q258" s="12">
        <f>IF(OR(L258="",D258=""),"",COUNTIFS($L$2:$L$500,L258,$M$2:$M$500,M258,$D$2:$D$500,"&lt;&gt;"))</f>
        <v/>
      </c>
      <c r="R258" s="12">
        <f>IF(AND(D258="",L258=""),"",IF(L258="","Belum ditempatkan",IF(O258="","CEK ID FIXTURE tidak ada di DAFTAR_FIXTURE",IF(M258="","CEK ZONA NO kosong",IF(P258="zona tidak ada di layout","CEK ZONA NO di luar layout",IF(N258&lt;&gt;P258,"CEK JENIS ZONA",IF(D258="","Zona STOCK",IF(E258="","CEK SKU DESCRIPTION kosong","OK"))))))))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IF(OR(O259="",M259=""),"",IFERROR(INDEX(LAYOUT!$D$2:$D$34,MATCH(O259&amp;"|"&amp;M259,LAYOUT!$E$2:$E$34,0)),"zona tidak ada di layout"))</f>
        <v/>
      </c>
      <c r="Q259" s="12">
        <f>IF(OR(L259="",D259=""),"",COUNTIFS($L$2:$L$500,L259,$M$2:$M$500,M259,$D$2:$D$500,"&lt;&gt;"))</f>
        <v/>
      </c>
      <c r="R259" s="12">
        <f>IF(AND(D259="",L259=""),"",IF(L259="","Belum ditempatkan",IF(O259="","CEK ID FIXTURE tidak ada di DAFTAR_FIXTURE",IF(M259="","CEK ZONA NO kosong",IF(P259="zona tidak ada di layout","CEK ZONA NO di luar layout",IF(N259&lt;&gt;P259,"CEK JENIS ZONA",IF(D259="","Zona STOCK",IF(E259="","CEK SKU DESCRIPTION kosong","OK"))))))))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IF(OR(O260="",M260=""),"",IFERROR(INDEX(LAYOUT!$D$2:$D$34,MATCH(O260&amp;"|"&amp;M260,LAYOUT!$E$2:$E$34,0)),"zona tidak ada di layout"))</f>
        <v/>
      </c>
      <c r="Q260" s="12">
        <f>IF(OR(L260="",D260=""),"",COUNTIFS($L$2:$L$500,L260,$M$2:$M$500,M260,$D$2:$D$500,"&lt;&gt;"))</f>
        <v/>
      </c>
      <c r="R260" s="12">
        <f>IF(AND(D260="",L260=""),"",IF(L260="","Belum ditempatkan",IF(O260="","CEK ID FIXTURE tidak ada di DAFTAR_FIXTURE",IF(M260="","CEK ZONA NO kosong",IF(P260="zona tidak ada di layout","CEK ZONA NO di luar layout",IF(N260&lt;&gt;P260,"CEK JENIS ZONA",IF(D260="","Zona STOCK",IF(E260="","CEK SKU DESCRIPTION kosong","OK"))))))))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IF(OR(O261="",M261=""),"",IFERROR(INDEX(LAYOUT!$D$2:$D$34,MATCH(O261&amp;"|"&amp;M261,LAYOUT!$E$2:$E$34,0)),"zona tidak ada di layout"))</f>
        <v/>
      </c>
      <c r="Q261" s="12">
        <f>IF(OR(L261="",D261=""),"",COUNTIFS($L$2:$L$500,L261,$M$2:$M$500,M261,$D$2:$D$500,"&lt;&gt;"))</f>
        <v/>
      </c>
      <c r="R261" s="12">
        <f>IF(AND(D261="",L261=""),"",IF(L261="","Belum ditempatkan",IF(O261="","CEK ID FIXTURE tidak ada di DAFTAR_FIXTURE",IF(M261="","CEK ZONA NO kosong",IF(P261="zona tidak ada di layout","CEK ZONA NO di luar layout",IF(N261&lt;&gt;P261,"CEK JENIS ZONA",IF(D261="","Zona STOCK",IF(E261="","CEK SKU DESCRIPTION kosong","OK"))))))))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IF(OR(O262="",M262=""),"",IFERROR(INDEX(LAYOUT!$D$2:$D$34,MATCH(O262&amp;"|"&amp;M262,LAYOUT!$E$2:$E$34,0)),"zona tidak ada di layout"))</f>
        <v/>
      </c>
      <c r="Q262" s="12">
        <f>IF(OR(L262="",D262=""),"",COUNTIFS($L$2:$L$500,L262,$M$2:$M$500,M262,$D$2:$D$500,"&lt;&gt;"))</f>
        <v/>
      </c>
      <c r="R262" s="12">
        <f>IF(AND(D262="",L262=""),"",IF(L262="","Belum ditempatkan",IF(O262="","CEK ID FIXTURE tidak ada di DAFTAR_FIXTURE",IF(M262="","CEK ZONA NO kosong",IF(P262="zona tidak ada di layout","CEK ZONA NO di luar layout",IF(N262&lt;&gt;P262,"CEK JENIS ZONA",IF(D262="","Zona STOCK",IF(E262="","CEK SKU DESCRIPTION kosong","OK"))))))))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IF(OR(O263="",M263=""),"",IFERROR(INDEX(LAYOUT!$D$2:$D$34,MATCH(O263&amp;"|"&amp;M263,LAYOUT!$E$2:$E$34,0)),"zona tidak ada di layout"))</f>
        <v/>
      </c>
      <c r="Q263" s="12">
        <f>IF(OR(L263="",D263=""),"",COUNTIFS($L$2:$L$500,L263,$M$2:$M$500,M263,$D$2:$D$500,"&lt;&gt;"))</f>
        <v/>
      </c>
      <c r="R263" s="12">
        <f>IF(AND(D263="",L263=""),"",IF(L263="","Belum ditempatkan",IF(O263="","CEK ID FIXTURE tidak ada di DAFTAR_FIXTURE",IF(M263="","CEK ZONA NO kosong",IF(P263="zona tidak ada di layout","CEK ZONA NO di luar layout",IF(N263&lt;&gt;P263,"CEK JENIS ZONA",IF(D263="","Zona STOCK",IF(E263="","CEK SKU DESCRIPTION kosong","OK"))))))))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IF(OR(O264="",M264=""),"",IFERROR(INDEX(LAYOUT!$D$2:$D$34,MATCH(O264&amp;"|"&amp;M264,LAYOUT!$E$2:$E$34,0)),"zona tidak ada di layout"))</f>
        <v/>
      </c>
      <c r="Q264" s="12">
        <f>IF(OR(L264="",D264=""),"",COUNTIFS($L$2:$L$500,L264,$M$2:$M$500,M264,$D$2:$D$500,"&lt;&gt;"))</f>
        <v/>
      </c>
      <c r="R264" s="12">
        <f>IF(AND(D264="",L264=""),"",IF(L264="","Belum ditempatkan",IF(O264="","CEK ID FIXTURE tidak ada di DAFTAR_FIXTURE",IF(M264="","CEK ZONA NO kosong",IF(P264="zona tidak ada di layout","CEK ZONA NO di luar layout",IF(N264&lt;&gt;P264,"CEK JENIS ZONA",IF(D264="","Zona STOCK",IF(E264="","CEK SKU DESCRIPTION kosong","OK"))))))))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IF(OR(O265="",M265=""),"",IFERROR(INDEX(LAYOUT!$D$2:$D$34,MATCH(O265&amp;"|"&amp;M265,LAYOUT!$E$2:$E$34,0)),"zona tidak ada di layout"))</f>
        <v/>
      </c>
      <c r="Q265" s="12">
        <f>IF(OR(L265="",D265=""),"",COUNTIFS($L$2:$L$500,L265,$M$2:$M$500,M265,$D$2:$D$500,"&lt;&gt;"))</f>
        <v/>
      </c>
      <c r="R265" s="12">
        <f>IF(AND(D265="",L265=""),"",IF(L265="","Belum ditempatkan",IF(O265="","CEK ID FIXTURE tidak ada di DAFTAR_FIXTURE",IF(M265="","CEK ZONA NO kosong",IF(P265="zona tidak ada di layout","CEK ZONA NO di luar layout",IF(N265&lt;&gt;P265,"CEK JENIS ZONA",IF(D265="","Zona STOCK",IF(E265="","CEK SKU DESCRIPTION kosong","OK"))))))))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IF(OR(O266="",M266=""),"",IFERROR(INDEX(LAYOUT!$D$2:$D$34,MATCH(O266&amp;"|"&amp;M266,LAYOUT!$E$2:$E$34,0)),"zona tidak ada di layout"))</f>
        <v/>
      </c>
      <c r="Q266" s="12">
        <f>IF(OR(L266="",D266=""),"",COUNTIFS($L$2:$L$500,L266,$M$2:$M$500,M266,$D$2:$D$500,"&lt;&gt;"))</f>
        <v/>
      </c>
      <c r="R266" s="12">
        <f>IF(AND(D266="",L266=""),"",IF(L266="","Belum ditempatkan",IF(O266="","CEK ID FIXTURE tidak ada di DAFTAR_FIXTURE",IF(M266="","CEK ZONA NO kosong",IF(P266="zona tidak ada di layout","CEK ZONA NO di luar layout",IF(N266&lt;&gt;P266,"CEK JENIS ZONA",IF(D266="","Zona STOCK",IF(E266="","CEK SKU DESCRIPTION kosong","OK"))))))))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IF(OR(O267="",M267=""),"",IFERROR(INDEX(LAYOUT!$D$2:$D$34,MATCH(O267&amp;"|"&amp;M267,LAYOUT!$E$2:$E$34,0)),"zona tidak ada di layout"))</f>
        <v/>
      </c>
      <c r="Q267" s="12">
        <f>IF(OR(L267="",D267=""),"",COUNTIFS($L$2:$L$500,L267,$M$2:$M$500,M267,$D$2:$D$500,"&lt;&gt;"))</f>
        <v/>
      </c>
      <c r="R267" s="12">
        <f>IF(AND(D267="",L267=""),"",IF(L267="","Belum ditempatkan",IF(O267="","CEK ID FIXTURE tidak ada di DAFTAR_FIXTURE",IF(M267="","CEK ZONA NO kosong",IF(P267="zona tidak ada di layout","CEK ZONA NO di luar layout",IF(N267&lt;&gt;P267,"CEK JENIS ZONA",IF(D267="","Zona STOCK",IF(E267="","CEK SKU DESCRIPTION kosong","OK"))))))))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IF(OR(O268="",M268=""),"",IFERROR(INDEX(LAYOUT!$D$2:$D$34,MATCH(O268&amp;"|"&amp;M268,LAYOUT!$E$2:$E$34,0)),"zona tidak ada di layout"))</f>
        <v/>
      </c>
      <c r="Q268" s="12">
        <f>IF(OR(L268="",D268=""),"",COUNTIFS($L$2:$L$500,L268,$M$2:$M$500,M268,$D$2:$D$500,"&lt;&gt;"))</f>
        <v/>
      </c>
      <c r="R268" s="12">
        <f>IF(AND(D268="",L268=""),"",IF(L268="","Belum ditempatkan",IF(O268="","CEK ID FIXTURE tidak ada di DAFTAR_FIXTURE",IF(M268="","CEK ZONA NO kosong",IF(P268="zona tidak ada di layout","CEK ZONA NO di luar layout",IF(N268&lt;&gt;P268,"CEK JENIS ZONA",IF(D268="","Zona STOCK",IF(E268="","CEK SKU DESCRIPTION kosong","OK"))))))))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IF(OR(O269="",M269=""),"",IFERROR(INDEX(LAYOUT!$D$2:$D$34,MATCH(O269&amp;"|"&amp;M269,LAYOUT!$E$2:$E$34,0)),"zona tidak ada di layout"))</f>
        <v/>
      </c>
      <c r="Q269" s="12">
        <f>IF(OR(L269="",D269=""),"",COUNTIFS($L$2:$L$500,L269,$M$2:$M$500,M269,$D$2:$D$500,"&lt;&gt;"))</f>
        <v/>
      </c>
      <c r="R269" s="12">
        <f>IF(AND(D269="",L269=""),"",IF(L269="","Belum ditempatkan",IF(O269="","CEK ID FIXTURE tidak ada di DAFTAR_FIXTURE",IF(M269="","CEK ZONA NO kosong",IF(P269="zona tidak ada di layout","CEK ZONA NO di luar layout",IF(N269&lt;&gt;P269,"CEK JENIS ZONA",IF(D269="","Zona STOCK",IF(E269="","CEK SKU DESCRIPTION kosong","OK"))))))))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IF(OR(O270="",M270=""),"",IFERROR(INDEX(LAYOUT!$D$2:$D$34,MATCH(O270&amp;"|"&amp;M270,LAYOUT!$E$2:$E$34,0)),"zona tidak ada di layout"))</f>
        <v/>
      </c>
      <c r="Q270" s="12">
        <f>IF(OR(L270="",D270=""),"",COUNTIFS($L$2:$L$500,L270,$M$2:$M$500,M270,$D$2:$D$500,"&lt;&gt;"))</f>
        <v/>
      </c>
      <c r="R270" s="12">
        <f>IF(AND(D270="",L270=""),"",IF(L270="","Belum ditempatkan",IF(O270="","CEK ID FIXTURE tidak ada di DAFTAR_FIXTURE",IF(M270="","CEK ZONA NO kosong",IF(P270="zona tidak ada di layout","CEK ZONA NO di luar layout",IF(N270&lt;&gt;P270,"CEK JENIS ZONA",IF(D270="","Zona STOCK",IF(E270="","CEK SKU DESCRIPTION kosong","OK"))))))))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IF(OR(O271="",M271=""),"",IFERROR(INDEX(LAYOUT!$D$2:$D$34,MATCH(O271&amp;"|"&amp;M271,LAYOUT!$E$2:$E$34,0)),"zona tidak ada di layout"))</f>
        <v/>
      </c>
      <c r="Q271" s="12">
        <f>IF(OR(L271="",D271=""),"",COUNTIFS($L$2:$L$500,L271,$M$2:$M$500,M271,$D$2:$D$500,"&lt;&gt;"))</f>
        <v/>
      </c>
      <c r="R271" s="12">
        <f>IF(AND(D271="",L271=""),"",IF(L271="","Belum ditempatkan",IF(O271="","CEK ID FIXTURE tidak ada di DAFTAR_FIXTURE",IF(M271="","CEK ZONA NO kosong",IF(P271="zona tidak ada di layout","CEK ZONA NO di luar layout",IF(N271&lt;&gt;P271,"CEK JENIS ZONA",IF(D271="","Zona STOCK",IF(E271="","CEK SKU DESCRIPTION kosong","OK"))))))))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IF(OR(O272="",M272=""),"",IFERROR(INDEX(LAYOUT!$D$2:$D$34,MATCH(O272&amp;"|"&amp;M272,LAYOUT!$E$2:$E$34,0)),"zona tidak ada di layout"))</f>
        <v/>
      </c>
      <c r="Q272" s="12">
        <f>IF(OR(L272="",D272=""),"",COUNTIFS($L$2:$L$500,L272,$M$2:$M$500,M272,$D$2:$D$500,"&lt;&gt;"))</f>
        <v/>
      </c>
      <c r="R272" s="12">
        <f>IF(AND(D272="",L272=""),"",IF(L272="","Belum ditempatkan",IF(O272="","CEK ID FIXTURE tidak ada di DAFTAR_FIXTURE",IF(M272="","CEK ZONA NO kosong",IF(P272="zona tidak ada di layout","CEK ZONA NO di luar layout",IF(N272&lt;&gt;P272,"CEK JENIS ZONA",IF(D272="","Zona STOCK",IF(E272="","CEK SKU DESCRIPTION kosong","OK"))))))))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IF(OR(O273="",M273=""),"",IFERROR(INDEX(LAYOUT!$D$2:$D$34,MATCH(O273&amp;"|"&amp;M273,LAYOUT!$E$2:$E$34,0)),"zona tidak ada di layout"))</f>
        <v/>
      </c>
      <c r="Q273" s="12">
        <f>IF(OR(L273="",D273=""),"",COUNTIFS($L$2:$L$500,L273,$M$2:$M$500,M273,$D$2:$D$500,"&lt;&gt;"))</f>
        <v/>
      </c>
      <c r="R273" s="12">
        <f>IF(AND(D273="",L273=""),"",IF(L273="","Belum ditempatkan",IF(O273="","CEK ID FIXTURE tidak ada di DAFTAR_FIXTURE",IF(M273="","CEK ZONA NO kosong",IF(P273="zona tidak ada di layout","CEK ZONA NO di luar layout",IF(N273&lt;&gt;P273,"CEK JENIS ZONA",IF(D273="","Zona STOCK",IF(E273="","CEK SKU DESCRIPTION kosong","OK"))))))))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IF(OR(O274="",M274=""),"",IFERROR(INDEX(LAYOUT!$D$2:$D$34,MATCH(O274&amp;"|"&amp;M274,LAYOUT!$E$2:$E$34,0)),"zona tidak ada di layout"))</f>
        <v/>
      </c>
      <c r="Q274" s="12">
        <f>IF(OR(L274="",D274=""),"",COUNTIFS($L$2:$L$500,L274,$M$2:$M$500,M274,$D$2:$D$500,"&lt;&gt;"))</f>
        <v/>
      </c>
      <c r="R274" s="12">
        <f>IF(AND(D274="",L274=""),"",IF(L274="","Belum ditempatkan",IF(O274="","CEK ID FIXTURE tidak ada di DAFTAR_FIXTURE",IF(M274="","CEK ZONA NO kosong",IF(P274="zona tidak ada di layout","CEK ZONA NO di luar layout",IF(N274&lt;&gt;P274,"CEK JENIS ZONA",IF(D274="","Zona STOCK",IF(E274="","CEK SKU DESCRIPTION kosong","OK"))))))))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IF(OR(O275="",M275=""),"",IFERROR(INDEX(LAYOUT!$D$2:$D$34,MATCH(O275&amp;"|"&amp;M275,LAYOUT!$E$2:$E$34,0)),"zona tidak ada di layout"))</f>
        <v/>
      </c>
      <c r="Q275" s="12">
        <f>IF(OR(L275="",D275=""),"",COUNTIFS($L$2:$L$500,L275,$M$2:$M$500,M275,$D$2:$D$500,"&lt;&gt;"))</f>
        <v/>
      </c>
      <c r="R275" s="12">
        <f>IF(AND(D275="",L275=""),"",IF(L275="","Belum ditempatkan",IF(O275="","CEK ID FIXTURE tidak ada di DAFTAR_FIXTURE",IF(M275="","CEK ZONA NO kosong",IF(P275="zona tidak ada di layout","CEK ZONA NO di luar layout",IF(N275&lt;&gt;P275,"CEK JENIS ZONA",IF(D275="","Zona STOCK",IF(E275="","CEK SKU DESCRIPTION kosong","OK"))))))))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IF(OR(O276="",M276=""),"",IFERROR(INDEX(LAYOUT!$D$2:$D$34,MATCH(O276&amp;"|"&amp;M276,LAYOUT!$E$2:$E$34,0)),"zona tidak ada di layout"))</f>
        <v/>
      </c>
      <c r="Q276" s="12">
        <f>IF(OR(L276="",D276=""),"",COUNTIFS($L$2:$L$500,L276,$M$2:$M$500,M276,$D$2:$D$500,"&lt;&gt;"))</f>
        <v/>
      </c>
      <c r="R276" s="12">
        <f>IF(AND(D276="",L276=""),"",IF(L276="","Belum ditempatkan",IF(O276="","CEK ID FIXTURE tidak ada di DAFTAR_FIXTURE",IF(M276="","CEK ZONA NO kosong",IF(P276="zona tidak ada di layout","CEK ZONA NO di luar layout",IF(N276&lt;&gt;P276,"CEK JENIS ZONA",IF(D276="","Zona STOCK",IF(E276="","CEK SKU DESCRIPTION kosong","OK"))))))))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IF(OR(O277="",M277=""),"",IFERROR(INDEX(LAYOUT!$D$2:$D$34,MATCH(O277&amp;"|"&amp;M277,LAYOUT!$E$2:$E$34,0)),"zona tidak ada di layout"))</f>
        <v/>
      </c>
      <c r="Q277" s="12">
        <f>IF(OR(L277="",D277=""),"",COUNTIFS($L$2:$L$500,L277,$M$2:$M$500,M277,$D$2:$D$500,"&lt;&gt;"))</f>
        <v/>
      </c>
      <c r="R277" s="12">
        <f>IF(AND(D277="",L277=""),"",IF(L277="","Belum ditempatkan",IF(O277="","CEK ID FIXTURE tidak ada di DAFTAR_FIXTURE",IF(M277="","CEK ZONA NO kosong",IF(P277="zona tidak ada di layout","CEK ZONA NO di luar layout",IF(N277&lt;&gt;P277,"CEK JENIS ZONA",IF(D277="","Zona STOCK",IF(E277="","CEK SKU DESCRIPTION kosong","OK"))))))))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IF(OR(O278="",M278=""),"",IFERROR(INDEX(LAYOUT!$D$2:$D$34,MATCH(O278&amp;"|"&amp;M278,LAYOUT!$E$2:$E$34,0)),"zona tidak ada di layout"))</f>
        <v/>
      </c>
      <c r="Q278" s="12">
        <f>IF(OR(L278="",D278=""),"",COUNTIFS($L$2:$L$500,L278,$M$2:$M$500,M278,$D$2:$D$500,"&lt;&gt;"))</f>
        <v/>
      </c>
      <c r="R278" s="12">
        <f>IF(AND(D278="",L278=""),"",IF(L278="","Belum ditempatkan",IF(O278="","CEK ID FIXTURE tidak ada di DAFTAR_FIXTURE",IF(M278="","CEK ZONA NO kosong",IF(P278="zona tidak ada di layout","CEK ZONA NO di luar layout",IF(N278&lt;&gt;P278,"CEK JENIS ZONA",IF(D278="","Zona STOCK",IF(E278="","CEK SKU DESCRIPTION kosong","OK"))))))))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IF(OR(O279="",M279=""),"",IFERROR(INDEX(LAYOUT!$D$2:$D$34,MATCH(O279&amp;"|"&amp;M279,LAYOUT!$E$2:$E$34,0)),"zona tidak ada di layout"))</f>
        <v/>
      </c>
      <c r="Q279" s="12">
        <f>IF(OR(L279="",D279=""),"",COUNTIFS($L$2:$L$500,L279,$M$2:$M$500,M279,$D$2:$D$500,"&lt;&gt;"))</f>
        <v/>
      </c>
      <c r="R279" s="12">
        <f>IF(AND(D279="",L279=""),"",IF(L279="","Belum ditempatkan",IF(O279="","CEK ID FIXTURE tidak ada di DAFTAR_FIXTURE",IF(M279="","CEK ZONA NO kosong",IF(P279="zona tidak ada di layout","CEK ZONA NO di luar layout",IF(N279&lt;&gt;P279,"CEK JENIS ZONA",IF(D279="","Zona STOCK",IF(E279="","CEK SKU DESCRIPTION kosong","OK"))))))))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IF(OR(O280="",M280=""),"",IFERROR(INDEX(LAYOUT!$D$2:$D$34,MATCH(O280&amp;"|"&amp;M280,LAYOUT!$E$2:$E$34,0)),"zona tidak ada di layout"))</f>
        <v/>
      </c>
      <c r="Q280" s="12">
        <f>IF(OR(L280="",D280=""),"",COUNTIFS($L$2:$L$500,L280,$M$2:$M$500,M280,$D$2:$D$500,"&lt;&gt;"))</f>
        <v/>
      </c>
      <c r="R280" s="12">
        <f>IF(AND(D280="",L280=""),"",IF(L280="","Belum ditempatkan",IF(O280="","CEK ID FIXTURE tidak ada di DAFTAR_FIXTURE",IF(M280="","CEK ZONA NO kosong",IF(P280="zona tidak ada di layout","CEK ZONA NO di luar layout",IF(N280&lt;&gt;P280,"CEK JENIS ZONA",IF(D280="","Zona STOCK",IF(E280="","CEK SKU DESCRIPTION kosong","OK"))))))))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IF(OR(O281="",M281=""),"",IFERROR(INDEX(LAYOUT!$D$2:$D$34,MATCH(O281&amp;"|"&amp;M281,LAYOUT!$E$2:$E$34,0)),"zona tidak ada di layout"))</f>
        <v/>
      </c>
      <c r="Q281" s="12">
        <f>IF(OR(L281="",D281=""),"",COUNTIFS($L$2:$L$500,L281,$M$2:$M$500,M281,$D$2:$D$500,"&lt;&gt;"))</f>
        <v/>
      </c>
      <c r="R281" s="12">
        <f>IF(AND(D281="",L281=""),"",IF(L281="","Belum ditempatkan",IF(O281="","CEK ID FIXTURE tidak ada di DAFTAR_FIXTURE",IF(M281="","CEK ZONA NO kosong",IF(P281="zona tidak ada di layout","CEK ZONA NO di luar layout",IF(N281&lt;&gt;P281,"CEK JENIS ZONA",IF(D281="","Zona STOCK",IF(E281="","CEK SKU DESCRIPTION kosong","OK"))))))))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IF(OR(O282="",M282=""),"",IFERROR(INDEX(LAYOUT!$D$2:$D$34,MATCH(O282&amp;"|"&amp;M282,LAYOUT!$E$2:$E$34,0)),"zona tidak ada di layout"))</f>
        <v/>
      </c>
      <c r="Q282" s="12">
        <f>IF(OR(L282="",D282=""),"",COUNTIFS($L$2:$L$500,L282,$M$2:$M$500,M282,$D$2:$D$500,"&lt;&gt;"))</f>
        <v/>
      </c>
      <c r="R282" s="12">
        <f>IF(AND(D282="",L282=""),"",IF(L282="","Belum ditempatkan",IF(O282="","CEK ID FIXTURE tidak ada di DAFTAR_FIXTURE",IF(M282="","CEK ZONA NO kosong",IF(P282="zona tidak ada di layout","CEK ZONA NO di luar layout",IF(N282&lt;&gt;P282,"CEK JENIS ZONA",IF(D282="","Zona STOCK",IF(E282="","CEK SKU DESCRIPTION kosong","OK"))))))))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IF(OR(O283="",M283=""),"",IFERROR(INDEX(LAYOUT!$D$2:$D$34,MATCH(O283&amp;"|"&amp;M283,LAYOUT!$E$2:$E$34,0)),"zona tidak ada di layout"))</f>
        <v/>
      </c>
      <c r="Q283" s="12">
        <f>IF(OR(L283="",D283=""),"",COUNTIFS($L$2:$L$500,L283,$M$2:$M$500,M283,$D$2:$D$500,"&lt;&gt;"))</f>
        <v/>
      </c>
      <c r="R283" s="12">
        <f>IF(AND(D283="",L283=""),"",IF(L283="","Belum ditempatkan",IF(O283="","CEK ID FIXTURE tidak ada di DAFTAR_FIXTURE",IF(M283="","CEK ZONA NO kosong",IF(P283="zona tidak ada di layout","CEK ZONA NO di luar layout",IF(N283&lt;&gt;P283,"CEK JENIS ZONA",IF(D283="","Zona STOCK",IF(E283="","CEK SKU DESCRIPTION kosong","OK"))))))))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IF(OR(O284="",M284=""),"",IFERROR(INDEX(LAYOUT!$D$2:$D$34,MATCH(O284&amp;"|"&amp;M284,LAYOUT!$E$2:$E$34,0)),"zona tidak ada di layout"))</f>
        <v/>
      </c>
      <c r="Q284" s="12">
        <f>IF(OR(L284="",D284=""),"",COUNTIFS($L$2:$L$500,L284,$M$2:$M$500,M284,$D$2:$D$500,"&lt;&gt;"))</f>
        <v/>
      </c>
      <c r="R284" s="12">
        <f>IF(AND(D284="",L284=""),"",IF(L284="","Belum ditempatkan",IF(O284="","CEK ID FIXTURE tidak ada di DAFTAR_FIXTURE",IF(M284="","CEK ZONA NO kosong",IF(P284="zona tidak ada di layout","CEK ZONA NO di luar layout",IF(N284&lt;&gt;P284,"CEK JENIS ZONA",IF(D284="","Zona STOCK",IF(E284="","CEK SKU DESCRIPTION kosong","OK"))))))))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IF(OR(O285="",M285=""),"",IFERROR(INDEX(LAYOUT!$D$2:$D$34,MATCH(O285&amp;"|"&amp;M285,LAYOUT!$E$2:$E$34,0)),"zona tidak ada di layout"))</f>
        <v/>
      </c>
      <c r="Q285" s="12">
        <f>IF(OR(L285="",D285=""),"",COUNTIFS($L$2:$L$500,L285,$M$2:$M$500,M285,$D$2:$D$500,"&lt;&gt;"))</f>
        <v/>
      </c>
      <c r="R285" s="12">
        <f>IF(AND(D285="",L285=""),"",IF(L285="","Belum ditempatkan",IF(O285="","CEK ID FIXTURE tidak ada di DAFTAR_FIXTURE",IF(M285="","CEK ZONA NO kosong",IF(P285="zona tidak ada di layout","CEK ZONA NO di luar layout",IF(N285&lt;&gt;P285,"CEK JENIS ZONA",IF(D285="","Zona STOCK",IF(E285="","CEK SKU DESCRIPTION kosong","OK"))))))))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IF(OR(O286="",M286=""),"",IFERROR(INDEX(LAYOUT!$D$2:$D$34,MATCH(O286&amp;"|"&amp;M286,LAYOUT!$E$2:$E$34,0)),"zona tidak ada di layout"))</f>
        <v/>
      </c>
      <c r="Q286" s="12">
        <f>IF(OR(L286="",D286=""),"",COUNTIFS($L$2:$L$500,L286,$M$2:$M$500,M286,$D$2:$D$500,"&lt;&gt;"))</f>
        <v/>
      </c>
      <c r="R286" s="12">
        <f>IF(AND(D286="",L286=""),"",IF(L286="","Belum ditempatkan",IF(O286="","CEK ID FIXTURE tidak ada di DAFTAR_FIXTURE",IF(M286="","CEK ZONA NO kosong",IF(P286="zona tidak ada di layout","CEK ZONA NO di luar layout",IF(N286&lt;&gt;P286,"CEK JENIS ZONA",IF(D286="","Zona STOCK",IF(E286="","CEK SKU DESCRIPTION kosong","OK"))))))))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IF(OR(O287="",M287=""),"",IFERROR(INDEX(LAYOUT!$D$2:$D$34,MATCH(O287&amp;"|"&amp;M287,LAYOUT!$E$2:$E$34,0)),"zona tidak ada di layout"))</f>
        <v/>
      </c>
      <c r="Q287" s="12">
        <f>IF(OR(L287="",D287=""),"",COUNTIFS($L$2:$L$500,L287,$M$2:$M$500,M287,$D$2:$D$500,"&lt;&gt;"))</f>
        <v/>
      </c>
      <c r="R287" s="12">
        <f>IF(AND(D287="",L287=""),"",IF(L287="","Belum ditempatkan",IF(O287="","CEK ID FIXTURE tidak ada di DAFTAR_FIXTURE",IF(M287="","CEK ZONA NO kosong",IF(P287="zona tidak ada di layout","CEK ZONA NO di luar layout",IF(N287&lt;&gt;P287,"CEK JENIS ZONA",IF(D287="","Zona STOCK",IF(E287="","CEK SKU DESCRIPTION kosong","OK"))))))))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IF(OR(O288="",M288=""),"",IFERROR(INDEX(LAYOUT!$D$2:$D$34,MATCH(O288&amp;"|"&amp;M288,LAYOUT!$E$2:$E$34,0)),"zona tidak ada di layout"))</f>
        <v/>
      </c>
      <c r="Q288" s="12">
        <f>IF(OR(L288="",D288=""),"",COUNTIFS($L$2:$L$500,L288,$M$2:$M$500,M288,$D$2:$D$500,"&lt;&gt;"))</f>
        <v/>
      </c>
      <c r="R288" s="12">
        <f>IF(AND(D288="",L288=""),"",IF(L288="","Belum ditempatkan",IF(O288="","CEK ID FIXTURE tidak ada di DAFTAR_FIXTURE",IF(M288="","CEK ZONA NO kosong",IF(P288="zona tidak ada di layout","CEK ZONA NO di luar layout",IF(N288&lt;&gt;P288,"CEK JENIS ZONA",IF(D288="","Zona STOCK",IF(E288="","CEK SKU DESCRIPTION kosong","OK"))))))))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IF(OR(O289="",M289=""),"",IFERROR(INDEX(LAYOUT!$D$2:$D$34,MATCH(O289&amp;"|"&amp;M289,LAYOUT!$E$2:$E$34,0)),"zona tidak ada di layout"))</f>
        <v/>
      </c>
      <c r="Q289" s="12">
        <f>IF(OR(L289="",D289=""),"",COUNTIFS($L$2:$L$500,L289,$M$2:$M$500,M289,$D$2:$D$500,"&lt;&gt;"))</f>
        <v/>
      </c>
      <c r="R289" s="12">
        <f>IF(AND(D289="",L289=""),"",IF(L289="","Belum ditempatkan",IF(O289="","CEK ID FIXTURE tidak ada di DAFTAR_FIXTURE",IF(M289="","CEK ZONA NO kosong",IF(P289="zona tidak ada di layout","CEK ZONA NO di luar layout",IF(N289&lt;&gt;P289,"CEK JENIS ZONA",IF(D289="","Zona STOCK",IF(E289="","CEK SKU DESCRIPTION kosong","OK"))))))))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IF(OR(O290="",M290=""),"",IFERROR(INDEX(LAYOUT!$D$2:$D$34,MATCH(O290&amp;"|"&amp;M290,LAYOUT!$E$2:$E$34,0)),"zona tidak ada di layout"))</f>
        <v/>
      </c>
      <c r="Q290" s="12">
        <f>IF(OR(L290="",D290=""),"",COUNTIFS($L$2:$L$500,L290,$M$2:$M$500,M290,$D$2:$D$500,"&lt;&gt;"))</f>
        <v/>
      </c>
      <c r="R290" s="12">
        <f>IF(AND(D290="",L290=""),"",IF(L290="","Belum ditempatkan",IF(O290="","CEK ID FIXTURE tidak ada di DAFTAR_FIXTURE",IF(M290="","CEK ZONA NO kosong",IF(P290="zona tidak ada di layout","CEK ZONA NO di luar layout",IF(N290&lt;&gt;P290,"CEK JENIS ZONA",IF(D290="","Zona STOCK",IF(E290="","CEK SKU DESCRIPTION kosong","OK"))))))))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IF(OR(O291="",M291=""),"",IFERROR(INDEX(LAYOUT!$D$2:$D$34,MATCH(O291&amp;"|"&amp;M291,LAYOUT!$E$2:$E$34,0)),"zona tidak ada di layout"))</f>
        <v/>
      </c>
      <c r="Q291" s="12">
        <f>IF(OR(L291="",D291=""),"",COUNTIFS($L$2:$L$500,L291,$M$2:$M$500,M291,$D$2:$D$500,"&lt;&gt;"))</f>
        <v/>
      </c>
      <c r="R291" s="12">
        <f>IF(AND(D291="",L291=""),"",IF(L291="","Belum ditempatkan",IF(O291="","CEK ID FIXTURE tidak ada di DAFTAR_FIXTURE",IF(M291="","CEK ZONA NO kosong",IF(P291="zona tidak ada di layout","CEK ZONA NO di luar layout",IF(N291&lt;&gt;P291,"CEK JENIS ZONA",IF(D291="","Zona STOCK",IF(E291="","CEK SKU DESCRIPTION kosong","OK"))))))))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IF(OR(O292="",M292=""),"",IFERROR(INDEX(LAYOUT!$D$2:$D$34,MATCH(O292&amp;"|"&amp;M292,LAYOUT!$E$2:$E$34,0)),"zona tidak ada di layout"))</f>
        <v/>
      </c>
      <c r="Q292" s="12">
        <f>IF(OR(L292="",D292=""),"",COUNTIFS($L$2:$L$500,L292,$M$2:$M$500,M292,$D$2:$D$500,"&lt;&gt;"))</f>
        <v/>
      </c>
      <c r="R292" s="12">
        <f>IF(AND(D292="",L292=""),"",IF(L292="","Belum ditempatkan",IF(O292="","CEK ID FIXTURE tidak ada di DAFTAR_FIXTURE",IF(M292="","CEK ZONA NO kosong",IF(P292="zona tidak ada di layout","CEK ZONA NO di luar layout",IF(N292&lt;&gt;P292,"CEK JENIS ZONA",IF(D292="","Zona STOCK",IF(E292="","CEK SKU DESCRIPTION kosong","OK"))))))))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IF(OR(O293="",M293=""),"",IFERROR(INDEX(LAYOUT!$D$2:$D$34,MATCH(O293&amp;"|"&amp;M293,LAYOUT!$E$2:$E$34,0)),"zona tidak ada di layout"))</f>
        <v/>
      </c>
      <c r="Q293" s="12">
        <f>IF(OR(L293="",D293=""),"",COUNTIFS($L$2:$L$500,L293,$M$2:$M$500,M293,$D$2:$D$500,"&lt;&gt;"))</f>
        <v/>
      </c>
      <c r="R293" s="12">
        <f>IF(AND(D293="",L293=""),"",IF(L293="","Belum ditempatkan",IF(O293="","CEK ID FIXTURE tidak ada di DAFTAR_FIXTURE",IF(M293="","CEK ZONA NO kosong",IF(P293="zona tidak ada di layout","CEK ZONA NO di luar layout",IF(N293&lt;&gt;P293,"CEK JENIS ZONA",IF(D293="","Zona STOCK",IF(E293="","CEK SKU DESCRIPTION kosong","OK"))))))))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IF(OR(O294="",M294=""),"",IFERROR(INDEX(LAYOUT!$D$2:$D$34,MATCH(O294&amp;"|"&amp;M294,LAYOUT!$E$2:$E$34,0)),"zona tidak ada di layout"))</f>
        <v/>
      </c>
      <c r="Q294" s="12">
        <f>IF(OR(L294="",D294=""),"",COUNTIFS($L$2:$L$500,L294,$M$2:$M$500,M294,$D$2:$D$500,"&lt;&gt;"))</f>
        <v/>
      </c>
      <c r="R294" s="12">
        <f>IF(AND(D294="",L294=""),"",IF(L294="","Belum ditempatkan",IF(O294="","CEK ID FIXTURE tidak ada di DAFTAR_FIXTURE",IF(M294="","CEK ZONA NO kosong",IF(P294="zona tidak ada di layout","CEK ZONA NO di luar layout",IF(N294&lt;&gt;P294,"CEK JENIS ZONA",IF(D294="","Zona STOCK",IF(E294="","CEK SKU DESCRIPTION kosong","OK"))))))))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IF(OR(O295="",M295=""),"",IFERROR(INDEX(LAYOUT!$D$2:$D$34,MATCH(O295&amp;"|"&amp;M295,LAYOUT!$E$2:$E$34,0)),"zona tidak ada di layout"))</f>
        <v/>
      </c>
      <c r="Q295" s="12">
        <f>IF(OR(L295="",D295=""),"",COUNTIFS($L$2:$L$500,L295,$M$2:$M$500,M295,$D$2:$D$500,"&lt;&gt;"))</f>
        <v/>
      </c>
      <c r="R295" s="12">
        <f>IF(AND(D295="",L295=""),"",IF(L295="","Belum ditempatkan",IF(O295="","CEK ID FIXTURE tidak ada di DAFTAR_FIXTURE",IF(M295="","CEK ZONA NO kosong",IF(P295="zona tidak ada di layout","CEK ZONA NO di luar layout",IF(N295&lt;&gt;P295,"CEK JENIS ZONA",IF(D295="","Zona STOCK",IF(E295="","CEK SKU DESCRIPTION kosong","OK"))))))))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IF(OR(O296="",M296=""),"",IFERROR(INDEX(LAYOUT!$D$2:$D$34,MATCH(O296&amp;"|"&amp;M296,LAYOUT!$E$2:$E$34,0)),"zona tidak ada di layout"))</f>
        <v/>
      </c>
      <c r="Q296" s="12">
        <f>IF(OR(L296="",D296=""),"",COUNTIFS($L$2:$L$500,L296,$M$2:$M$500,M296,$D$2:$D$500,"&lt;&gt;"))</f>
        <v/>
      </c>
      <c r="R296" s="12">
        <f>IF(AND(D296="",L296=""),"",IF(L296="","Belum ditempatkan",IF(O296="","CEK ID FIXTURE tidak ada di DAFTAR_FIXTURE",IF(M296="","CEK ZONA NO kosong",IF(P296="zona tidak ada di layout","CEK ZONA NO di luar layout",IF(N296&lt;&gt;P296,"CEK JENIS ZONA",IF(D296="","Zona STOCK",IF(E296="","CEK SKU DESCRIPTION kosong","OK"))))))))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IF(OR(O297="",M297=""),"",IFERROR(INDEX(LAYOUT!$D$2:$D$34,MATCH(O297&amp;"|"&amp;M297,LAYOUT!$E$2:$E$34,0)),"zona tidak ada di layout"))</f>
        <v/>
      </c>
      <c r="Q297" s="12">
        <f>IF(OR(L297="",D297=""),"",COUNTIFS($L$2:$L$500,L297,$M$2:$M$500,M297,$D$2:$D$500,"&lt;&gt;"))</f>
        <v/>
      </c>
      <c r="R297" s="12">
        <f>IF(AND(D297="",L297=""),"",IF(L297="","Belum ditempatkan",IF(O297="","CEK ID FIXTURE tidak ada di DAFTAR_FIXTURE",IF(M297="","CEK ZONA NO kosong",IF(P297="zona tidak ada di layout","CEK ZONA NO di luar layout",IF(N297&lt;&gt;P297,"CEK JENIS ZONA",IF(D297="","Zona STOCK",IF(E297="","CEK SKU DESCRIPTION kosong","OK"))))))))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IF(OR(O298="",M298=""),"",IFERROR(INDEX(LAYOUT!$D$2:$D$34,MATCH(O298&amp;"|"&amp;M298,LAYOUT!$E$2:$E$34,0)),"zona tidak ada di layout"))</f>
        <v/>
      </c>
      <c r="Q298" s="12">
        <f>IF(OR(L298="",D298=""),"",COUNTIFS($L$2:$L$500,L298,$M$2:$M$500,M298,$D$2:$D$500,"&lt;&gt;"))</f>
        <v/>
      </c>
      <c r="R298" s="12">
        <f>IF(AND(D298="",L298=""),"",IF(L298="","Belum ditempatkan",IF(O298="","CEK ID FIXTURE tidak ada di DAFTAR_FIXTURE",IF(M298="","CEK ZONA NO kosong",IF(P298="zona tidak ada di layout","CEK ZONA NO di luar layout",IF(N298&lt;&gt;P298,"CEK JENIS ZONA",IF(D298="","Zona STOCK",IF(E298="","CEK SKU DESCRIPTION kosong","OK"))))))))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IF(OR(O299="",M299=""),"",IFERROR(INDEX(LAYOUT!$D$2:$D$34,MATCH(O299&amp;"|"&amp;M299,LAYOUT!$E$2:$E$34,0)),"zona tidak ada di layout"))</f>
        <v/>
      </c>
      <c r="Q299" s="12">
        <f>IF(OR(L299="",D299=""),"",COUNTIFS($L$2:$L$500,L299,$M$2:$M$500,M299,$D$2:$D$500,"&lt;&gt;"))</f>
        <v/>
      </c>
      <c r="R299" s="12">
        <f>IF(AND(D299="",L299=""),"",IF(L299="","Belum ditempatkan",IF(O299="","CEK ID FIXTURE tidak ada di DAFTAR_FIXTURE",IF(M299="","CEK ZONA NO kosong",IF(P299="zona tidak ada di layout","CEK ZONA NO di luar layout",IF(N299&lt;&gt;P299,"CEK JENIS ZONA",IF(D299="","Zona STOCK",IF(E299="","CEK SKU DESCRIPTION kosong","OK"))))))))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IF(OR(O300="",M300=""),"",IFERROR(INDEX(LAYOUT!$D$2:$D$34,MATCH(O300&amp;"|"&amp;M300,LAYOUT!$E$2:$E$34,0)),"zona tidak ada di layout"))</f>
        <v/>
      </c>
      <c r="Q300" s="12">
        <f>IF(OR(L300="",D300=""),"",COUNTIFS($L$2:$L$500,L300,$M$2:$M$500,M300,$D$2:$D$500,"&lt;&gt;"))</f>
        <v/>
      </c>
      <c r="R300" s="12">
        <f>IF(AND(D300="",L300=""),"",IF(L300="","Belum ditempatkan",IF(O300="","CEK ID FIXTURE tidak ada di DAFTAR_FIXTURE",IF(M300="","CEK ZONA NO kosong",IF(P300="zona tidak ada di layout","CEK ZONA NO di luar layout",IF(N300&lt;&gt;P300,"CEK JENIS ZONA",IF(D300="","Zona STOCK",IF(E300="","CEK SKU DESCRIPTION kosong","OK"))))))))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IF(OR(O301="",M301=""),"",IFERROR(INDEX(LAYOUT!$D$2:$D$34,MATCH(O301&amp;"|"&amp;M301,LAYOUT!$E$2:$E$34,0)),"zona tidak ada di layout"))</f>
        <v/>
      </c>
      <c r="Q301" s="12">
        <f>IF(OR(L301="",D301=""),"",COUNTIFS($L$2:$L$500,L301,$M$2:$M$500,M301,$D$2:$D$500,"&lt;&gt;"))</f>
        <v/>
      </c>
      <c r="R301" s="12">
        <f>IF(AND(D301="",L301=""),"",IF(L301="","Belum ditempatkan",IF(O301="","CEK ID FIXTURE tidak ada di DAFTAR_FIXTURE",IF(M301="","CEK ZONA NO kosong",IF(P301="zona tidak ada di layout","CEK ZONA NO di luar layout",IF(N301&lt;&gt;P301,"CEK JENIS ZONA",IF(D301="","Zona STOCK",IF(E301="","CEK SKU DESCRIPTION kosong","OK"))))))))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IF(OR(O302="",M302=""),"",IFERROR(INDEX(LAYOUT!$D$2:$D$34,MATCH(O302&amp;"|"&amp;M302,LAYOUT!$E$2:$E$34,0)),"zona tidak ada di layout"))</f>
        <v/>
      </c>
      <c r="Q302" s="12">
        <f>IF(OR(L302="",D302=""),"",COUNTIFS($L$2:$L$500,L302,$M$2:$M$500,M302,$D$2:$D$500,"&lt;&gt;"))</f>
        <v/>
      </c>
      <c r="R302" s="12">
        <f>IF(AND(D302="",L302=""),"",IF(L302="","Belum ditempatkan",IF(O302="","CEK ID FIXTURE tidak ada di DAFTAR_FIXTURE",IF(M302="","CEK ZONA NO kosong",IF(P302="zona tidak ada di layout","CEK ZONA NO di luar layout",IF(N302&lt;&gt;P302,"CEK JENIS ZONA",IF(D302="","Zona STOCK",IF(E302="","CEK SKU DESCRIPTION kosong","OK"))))))))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IF(OR(O303="",M303=""),"",IFERROR(INDEX(LAYOUT!$D$2:$D$34,MATCH(O303&amp;"|"&amp;M303,LAYOUT!$E$2:$E$34,0)),"zona tidak ada di layout"))</f>
        <v/>
      </c>
      <c r="Q303" s="12">
        <f>IF(OR(L303="",D303=""),"",COUNTIFS($L$2:$L$500,L303,$M$2:$M$500,M303,$D$2:$D$500,"&lt;&gt;"))</f>
        <v/>
      </c>
      <c r="R303" s="12">
        <f>IF(AND(D303="",L303=""),"",IF(L303="","Belum ditempatkan",IF(O303="","CEK ID FIXTURE tidak ada di DAFTAR_FIXTURE",IF(M303="","CEK ZONA NO kosong",IF(P303="zona tidak ada di layout","CEK ZONA NO di luar layout",IF(N303&lt;&gt;P303,"CEK JENIS ZONA",IF(D303="","Zona STOCK",IF(E303="","CEK SKU DESCRIPTION kosong","OK"))))))))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IF(OR(O304="",M304=""),"",IFERROR(INDEX(LAYOUT!$D$2:$D$34,MATCH(O304&amp;"|"&amp;M304,LAYOUT!$E$2:$E$34,0)),"zona tidak ada di layout"))</f>
        <v/>
      </c>
      <c r="Q304" s="12">
        <f>IF(OR(L304="",D304=""),"",COUNTIFS($L$2:$L$500,L304,$M$2:$M$500,M304,$D$2:$D$500,"&lt;&gt;"))</f>
        <v/>
      </c>
      <c r="R304" s="12">
        <f>IF(AND(D304="",L304=""),"",IF(L304="","Belum ditempatkan",IF(O304="","CEK ID FIXTURE tidak ada di DAFTAR_FIXTURE",IF(M304="","CEK ZONA NO kosong",IF(P304="zona tidak ada di layout","CEK ZONA NO di luar layout",IF(N304&lt;&gt;P304,"CEK JENIS ZONA",IF(D304="","Zona STOCK",IF(E304="","CEK SKU DESCRIPTION kosong","OK"))))))))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IF(OR(O305="",M305=""),"",IFERROR(INDEX(LAYOUT!$D$2:$D$34,MATCH(O305&amp;"|"&amp;M305,LAYOUT!$E$2:$E$34,0)),"zona tidak ada di layout"))</f>
        <v/>
      </c>
      <c r="Q305" s="12">
        <f>IF(OR(L305="",D305=""),"",COUNTIFS($L$2:$L$500,L305,$M$2:$M$500,M305,$D$2:$D$500,"&lt;&gt;"))</f>
        <v/>
      </c>
      <c r="R305" s="12">
        <f>IF(AND(D305="",L305=""),"",IF(L305="","Belum ditempatkan",IF(O305="","CEK ID FIXTURE tidak ada di DAFTAR_FIXTURE",IF(M305="","CEK ZONA NO kosong",IF(P305="zona tidak ada di layout","CEK ZONA NO di luar layout",IF(N305&lt;&gt;P305,"CEK JENIS ZONA",IF(D305="","Zona STOCK",IF(E305="","CEK SKU DESCRIPTION kosong","OK"))))))))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IF(OR(O306="",M306=""),"",IFERROR(INDEX(LAYOUT!$D$2:$D$34,MATCH(O306&amp;"|"&amp;M306,LAYOUT!$E$2:$E$34,0)),"zona tidak ada di layout"))</f>
        <v/>
      </c>
      <c r="Q306" s="12">
        <f>IF(OR(L306="",D306=""),"",COUNTIFS($L$2:$L$500,L306,$M$2:$M$500,M306,$D$2:$D$500,"&lt;&gt;"))</f>
        <v/>
      </c>
      <c r="R306" s="12">
        <f>IF(AND(D306="",L306=""),"",IF(L306="","Belum ditempatkan",IF(O306="","CEK ID FIXTURE tidak ada di DAFTAR_FIXTURE",IF(M306="","CEK ZONA NO kosong",IF(P306="zona tidak ada di layout","CEK ZONA NO di luar layout",IF(N306&lt;&gt;P306,"CEK JENIS ZONA",IF(D306="","Zona STOCK",IF(E306="","CEK SKU DESCRIPTION kosong","OK"))))))))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IF(OR(O307="",M307=""),"",IFERROR(INDEX(LAYOUT!$D$2:$D$34,MATCH(O307&amp;"|"&amp;M307,LAYOUT!$E$2:$E$34,0)),"zona tidak ada di layout"))</f>
        <v/>
      </c>
      <c r="Q307" s="12">
        <f>IF(OR(L307="",D307=""),"",COUNTIFS($L$2:$L$500,L307,$M$2:$M$500,M307,$D$2:$D$500,"&lt;&gt;"))</f>
        <v/>
      </c>
      <c r="R307" s="12">
        <f>IF(AND(D307="",L307=""),"",IF(L307="","Belum ditempatkan",IF(O307="","CEK ID FIXTURE tidak ada di DAFTAR_FIXTURE",IF(M307="","CEK ZONA NO kosong",IF(P307="zona tidak ada di layout","CEK ZONA NO di luar layout",IF(N307&lt;&gt;P307,"CEK JENIS ZONA",IF(D307="","Zona STOCK",IF(E307="","CEK SKU DESCRIPTION kosong","OK"))))))))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IF(OR(O308="",M308=""),"",IFERROR(INDEX(LAYOUT!$D$2:$D$34,MATCH(O308&amp;"|"&amp;M308,LAYOUT!$E$2:$E$34,0)),"zona tidak ada di layout"))</f>
        <v/>
      </c>
      <c r="Q308" s="12">
        <f>IF(OR(L308="",D308=""),"",COUNTIFS($L$2:$L$500,L308,$M$2:$M$500,M308,$D$2:$D$500,"&lt;&gt;"))</f>
        <v/>
      </c>
      <c r="R308" s="12">
        <f>IF(AND(D308="",L308=""),"",IF(L308="","Belum ditempatkan",IF(O308="","CEK ID FIXTURE tidak ada di DAFTAR_FIXTURE",IF(M308="","CEK ZONA NO kosong",IF(P308="zona tidak ada di layout","CEK ZONA NO di luar layout",IF(N308&lt;&gt;P308,"CEK JENIS ZONA",IF(D308="","Zona STOCK",IF(E308="","CEK SKU DESCRIPTION kosong","OK"))))))))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IF(OR(O309="",M309=""),"",IFERROR(INDEX(LAYOUT!$D$2:$D$34,MATCH(O309&amp;"|"&amp;M309,LAYOUT!$E$2:$E$34,0)),"zona tidak ada di layout"))</f>
        <v/>
      </c>
      <c r="Q309" s="12">
        <f>IF(OR(L309="",D309=""),"",COUNTIFS($L$2:$L$500,L309,$M$2:$M$500,M309,$D$2:$D$500,"&lt;&gt;"))</f>
        <v/>
      </c>
      <c r="R309" s="12">
        <f>IF(AND(D309="",L309=""),"",IF(L309="","Belum ditempatkan",IF(O309="","CEK ID FIXTURE tidak ada di DAFTAR_FIXTURE",IF(M309="","CEK ZONA NO kosong",IF(P309="zona tidak ada di layout","CEK ZONA NO di luar layout",IF(N309&lt;&gt;P309,"CEK JENIS ZONA",IF(D309="","Zona STOCK",IF(E309="","CEK SKU DESCRIPTION kosong","OK"))))))))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IF(OR(O310="",M310=""),"",IFERROR(INDEX(LAYOUT!$D$2:$D$34,MATCH(O310&amp;"|"&amp;M310,LAYOUT!$E$2:$E$34,0)),"zona tidak ada di layout"))</f>
        <v/>
      </c>
      <c r="Q310" s="12">
        <f>IF(OR(L310="",D310=""),"",COUNTIFS($L$2:$L$500,L310,$M$2:$M$500,M310,$D$2:$D$500,"&lt;&gt;"))</f>
        <v/>
      </c>
      <c r="R310" s="12">
        <f>IF(AND(D310="",L310=""),"",IF(L310="","Belum ditempatkan",IF(O310="","CEK ID FIXTURE tidak ada di DAFTAR_FIXTURE",IF(M310="","CEK ZONA NO kosong",IF(P310="zona tidak ada di layout","CEK ZONA NO di luar layout",IF(N310&lt;&gt;P310,"CEK JENIS ZONA",IF(D310="","Zona STOCK",IF(E310="","CEK SKU DESCRIPTION kosong","OK"))))))))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IF(OR(O311="",M311=""),"",IFERROR(INDEX(LAYOUT!$D$2:$D$34,MATCH(O311&amp;"|"&amp;M311,LAYOUT!$E$2:$E$34,0)),"zona tidak ada di layout"))</f>
        <v/>
      </c>
      <c r="Q311" s="12">
        <f>IF(OR(L311="",D311=""),"",COUNTIFS($L$2:$L$500,L311,$M$2:$M$500,M311,$D$2:$D$500,"&lt;&gt;"))</f>
        <v/>
      </c>
      <c r="R311" s="12">
        <f>IF(AND(D311="",L311=""),"",IF(L311="","Belum ditempatkan",IF(O311="","CEK ID FIXTURE tidak ada di DAFTAR_FIXTURE",IF(M311="","CEK ZONA NO kosong",IF(P311="zona tidak ada di layout","CEK ZONA NO di luar layout",IF(N311&lt;&gt;P311,"CEK JENIS ZONA",IF(D311="","Zona STOCK",IF(E311="","CEK SKU DESCRIPTION kosong","OK"))))))))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IF(OR(O312="",M312=""),"",IFERROR(INDEX(LAYOUT!$D$2:$D$34,MATCH(O312&amp;"|"&amp;M312,LAYOUT!$E$2:$E$34,0)),"zona tidak ada di layout"))</f>
        <v/>
      </c>
      <c r="Q312" s="12">
        <f>IF(OR(L312="",D312=""),"",COUNTIFS($L$2:$L$500,L312,$M$2:$M$500,M312,$D$2:$D$500,"&lt;&gt;"))</f>
        <v/>
      </c>
      <c r="R312" s="12">
        <f>IF(AND(D312="",L312=""),"",IF(L312="","Belum ditempatkan",IF(O312="","CEK ID FIXTURE tidak ada di DAFTAR_FIXTURE",IF(M312="","CEK ZONA NO kosong",IF(P312="zona tidak ada di layout","CEK ZONA NO di luar layout",IF(N312&lt;&gt;P312,"CEK JENIS ZONA",IF(D312="","Zona STOCK",IF(E312="","CEK SKU DESCRIPTION kosong","OK"))))))))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IF(OR(O313="",M313=""),"",IFERROR(INDEX(LAYOUT!$D$2:$D$34,MATCH(O313&amp;"|"&amp;M313,LAYOUT!$E$2:$E$34,0)),"zona tidak ada di layout"))</f>
        <v/>
      </c>
      <c r="Q313" s="12">
        <f>IF(OR(L313="",D313=""),"",COUNTIFS($L$2:$L$500,L313,$M$2:$M$500,M313,$D$2:$D$500,"&lt;&gt;"))</f>
        <v/>
      </c>
      <c r="R313" s="12">
        <f>IF(AND(D313="",L313=""),"",IF(L313="","Belum ditempatkan",IF(O313="","CEK ID FIXTURE tidak ada di DAFTAR_FIXTURE",IF(M313="","CEK ZONA NO kosong",IF(P313="zona tidak ada di layout","CEK ZONA NO di luar layout",IF(N313&lt;&gt;P313,"CEK JENIS ZONA",IF(D313="","Zona STOCK",IF(E313="","CEK SKU DESCRIPTION kosong","OK"))))))))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IF(OR(O314="",M314=""),"",IFERROR(INDEX(LAYOUT!$D$2:$D$34,MATCH(O314&amp;"|"&amp;M314,LAYOUT!$E$2:$E$34,0)),"zona tidak ada di layout"))</f>
        <v/>
      </c>
      <c r="Q314" s="12">
        <f>IF(OR(L314="",D314=""),"",COUNTIFS($L$2:$L$500,L314,$M$2:$M$500,M314,$D$2:$D$500,"&lt;&gt;"))</f>
        <v/>
      </c>
      <c r="R314" s="12">
        <f>IF(AND(D314="",L314=""),"",IF(L314="","Belum ditempatkan",IF(O314="","CEK ID FIXTURE tidak ada di DAFTAR_FIXTURE",IF(M314="","CEK ZONA NO kosong",IF(P314="zona tidak ada di layout","CEK ZONA NO di luar layout",IF(N314&lt;&gt;P314,"CEK JENIS ZONA",IF(D314="","Zona STOCK",IF(E314="","CEK SKU DESCRIPTION kosong","OK"))))))))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IF(OR(O315="",M315=""),"",IFERROR(INDEX(LAYOUT!$D$2:$D$34,MATCH(O315&amp;"|"&amp;M315,LAYOUT!$E$2:$E$34,0)),"zona tidak ada di layout"))</f>
        <v/>
      </c>
      <c r="Q315" s="12">
        <f>IF(OR(L315="",D315=""),"",COUNTIFS($L$2:$L$500,L315,$M$2:$M$500,M315,$D$2:$D$500,"&lt;&gt;"))</f>
        <v/>
      </c>
      <c r="R315" s="12">
        <f>IF(AND(D315="",L315=""),"",IF(L315="","Belum ditempatkan",IF(O315="","CEK ID FIXTURE tidak ada di DAFTAR_FIXTURE",IF(M315="","CEK ZONA NO kosong",IF(P315="zona tidak ada di layout","CEK ZONA NO di luar layout",IF(N315&lt;&gt;P315,"CEK JENIS ZONA",IF(D315="","Zona STOCK",IF(E315="","CEK SKU DESCRIPTION kosong","OK"))))))))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IF(OR(O316="",M316=""),"",IFERROR(INDEX(LAYOUT!$D$2:$D$34,MATCH(O316&amp;"|"&amp;M316,LAYOUT!$E$2:$E$34,0)),"zona tidak ada di layout"))</f>
        <v/>
      </c>
      <c r="Q316" s="12">
        <f>IF(OR(L316="",D316=""),"",COUNTIFS($L$2:$L$500,L316,$M$2:$M$500,M316,$D$2:$D$500,"&lt;&gt;"))</f>
        <v/>
      </c>
      <c r="R316" s="12">
        <f>IF(AND(D316="",L316=""),"",IF(L316="","Belum ditempatkan",IF(O316="","CEK ID FIXTURE tidak ada di DAFTAR_FIXTURE",IF(M316="","CEK ZONA NO kosong",IF(P316="zona tidak ada di layout","CEK ZONA NO di luar layout",IF(N316&lt;&gt;P316,"CEK JENIS ZONA",IF(D316="","Zona STOCK",IF(E316="","CEK SKU DESCRIPTION kosong","OK"))))))))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IF(OR(O317="",M317=""),"",IFERROR(INDEX(LAYOUT!$D$2:$D$34,MATCH(O317&amp;"|"&amp;M317,LAYOUT!$E$2:$E$34,0)),"zona tidak ada di layout"))</f>
        <v/>
      </c>
      <c r="Q317" s="12">
        <f>IF(OR(L317="",D317=""),"",COUNTIFS($L$2:$L$500,L317,$M$2:$M$500,M317,$D$2:$D$500,"&lt;&gt;"))</f>
        <v/>
      </c>
      <c r="R317" s="12">
        <f>IF(AND(D317="",L317=""),"",IF(L317="","Belum ditempatkan",IF(O317="","CEK ID FIXTURE tidak ada di DAFTAR_FIXTURE",IF(M317="","CEK ZONA NO kosong",IF(P317="zona tidak ada di layout","CEK ZONA NO di luar layout",IF(N317&lt;&gt;P317,"CEK JENIS ZONA",IF(D317="","Zona STOCK",IF(E317="","CEK SKU DESCRIPTION kosong","OK"))))))))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IF(OR(O318="",M318=""),"",IFERROR(INDEX(LAYOUT!$D$2:$D$34,MATCH(O318&amp;"|"&amp;M318,LAYOUT!$E$2:$E$34,0)),"zona tidak ada di layout"))</f>
        <v/>
      </c>
      <c r="Q318" s="12">
        <f>IF(OR(L318="",D318=""),"",COUNTIFS($L$2:$L$500,L318,$M$2:$M$500,M318,$D$2:$D$500,"&lt;&gt;"))</f>
        <v/>
      </c>
      <c r="R318" s="12">
        <f>IF(AND(D318="",L318=""),"",IF(L318="","Belum ditempatkan",IF(O318="","CEK ID FIXTURE tidak ada di DAFTAR_FIXTURE",IF(M318="","CEK ZONA NO kosong",IF(P318="zona tidak ada di layout","CEK ZONA NO di luar layout",IF(N318&lt;&gt;P318,"CEK JENIS ZONA",IF(D318="","Zona STOCK",IF(E318="","CEK SKU DESCRIPTION kosong","OK"))))))))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IF(OR(O319="",M319=""),"",IFERROR(INDEX(LAYOUT!$D$2:$D$34,MATCH(O319&amp;"|"&amp;M319,LAYOUT!$E$2:$E$34,0)),"zona tidak ada di layout"))</f>
        <v/>
      </c>
      <c r="Q319" s="12">
        <f>IF(OR(L319="",D319=""),"",COUNTIFS($L$2:$L$500,L319,$M$2:$M$500,M319,$D$2:$D$500,"&lt;&gt;"))</f>
        <v/>
      </c>
      <c r="R319" s="12">
        <f>IF(AND(D319="",L319=""),"",IF(L319="","Belum ditempatkan",IF(O319="","CEK ID FIXTURE tidak ada di DAFTAR_FIXTURE",IF(M319="","CEK ZONA NO kosong",IF(P319="zona tidak ada di layout","CEK ZONA NO di luar layout",IF(N319&lt;&gt;P319,"CEK JENIS ZONA",IF(D319="","Zona STOCK",IF(E319="","CEK SKU DESCRIPTION kosong","OK"))))))))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IF(OR(O320="",M320=""),"",IFERROR(INDEX(LAYOUT!$D$2:$D$34,MATCH(O320&amp;"|"&amp;M320,LAYOUT!$E$2:$E$34,0)),"zona tidak ada di layout"))</f>
        <v/>
      </c>
      <c r="Q320" s="12">
        <f>IF(OR(L320="",D320=""),"",COUNTIFS($L$2:$L$500,L320,$M$2:$M$500,M320,$D$2:$D$500,"&lt;&gt;"))</f>
        <v/>
      </c>
      <c r="R320" s="12">
        <f>IF(AND(D320="",L320=""),"",IF(L320="","Belum ditempatkan",IF(O320="","CEK ID FIXTURE tidak ada di DAFTAR_FIXTURE",IF(M320="","CEK ZONA NO kosong",IF(P320="zona tidak ada di layout","CEK ZONA NO di luar layout",IF(N320&lt;&gt;P320,"CEK JENIS ZONA",IF(D320="","Zona STOCK",IF(E320="","CEK SKU DESCRIPTION kosong","OK"))))))))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IF(OR(O321="",M321=""),"",IFERROR(INDEX(LAYOUT!$D$2:$D$34,MATCH(O321&amp;"|"&amp;M321,LAYOUT!$E$2:$E$34,0)),"zona tidak ada di layout"))</f>
        <v/>
      </c>
      <c r="Q321" s="12">
        <f>IF(OR(L321="",D321=""),"",COUNTIFS($L$2:$L$500,L321,$M$2:$M$500,M321,$D$2:$D$500,"&lt;&gt;"))</f>
        <v/>
      </c>
      <c r="R321" s="12">
        <f>IF(AND(D321="",L321=""),"",IF(L321="","Belum ditempatkan",IF(O321="","CEK ID FIXTURE tidak ada di DAFTAR_FIXTURE",IF(M321="","CEK ZONA NO kosong",IF(P321="zona tidak ada di layout","CEK ZONA NO di luar layout",IF(N321&lt;&gt;P321,"CEK JENIS ZONA",IF(D321="","Zona STOCK",IF(E321="","CEK SKU DESCRIPTION kosong","OK"))))))))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IF(OR(O322="",M322=""),"",IFERROR(INDEX(LAYOUT!$D$2:$D$34,MATCH(O322&amp;"|"&amp;M322,LAYOUT!$E$2:$E$34,0)),"zona tidak ada di layout"))</f>
        <v/>
      </c>
      <c r="Q322" s="12">
        <f>IF(OR(L322="",D322=""),"",COUNTIFS($L$2:$L$500,L322,$M$2:$M$500,M322,$D$2:$D$500,"&lt;&gt;"))</f>
        <v/>
      </c>
      <c r="R322" s="12">
        <f>IF(AND(D322="",L322=""),"",IF(L322="","Belum ditempatkan",IF(O322="","CEK ID FIXTURE tidak ada di DAFTAR_FIXTURE",IF(M322="","CEK ZONA NO kosong",IF(P322="zona tidak ada di layout","CEK ZONA NO di luar layout",IF(N322&lt;&gt;P322,"CEK JENIS ZONA",IF(D322="","Zona STOCK",IF(E322="","CEK SKU DESCRIPTION kosong","OK"))))))))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IF(OR(O323="",M323=""),"",IFERROR(INDEX(LAYOUT!$D$2:$D$34,MATCH(O323&amp;"|"&amp;M323,LAYOUT!$E$2:$E$34,0)),"zona tidak ada di layout"))</f>
        <v/>
      </c>
      <c r="Q323" s="12">
        <f>IF(OR(L323="",D323=""),"",COUNTIFS($L$2:$L$500,L323,$M$2:$M$500,M323,$D$2:$D$500,"&lt;&gt;"))</f>
        <v/>
      </c>
      <c r="R323" s="12">
        <f>IF(AND(D323="",L323=""),"",IF(L323="","Belum ditempatkan",IF(O323="","CEK ID FIXTURE tidak ada di DAFTAR_FIXTURE",IF(M323="","CEK ZONA NO kosong",IF(P323="zona tidak ada di layout","CEK ZONA NO di luar layout",IF(N323&lt;&gt;P323,"CEK JENIS ZONA",IF(D323="","Zona STOCK",IF(E323="","CEK SKU DESCRIPTION kosong","OK"))))))))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IF(OR(O324="",M324=""),"",IFERROR(INDEX(LAYOUT!$D$2:$D$34,MATCH(O324&amp;"|"&amp;M324,LAYOUT!$E$2:$E$34,0)),"zona tidak ada di layout"))</f>
        <v/>
      </c>
      <c r="Q324" s="12">
        <f>IF(OR(L324="",D324=""),"",COUNTIFS($L$2:$L$500,L324,$M$2:$M$500,M324,$D$2:$D$500,"&lt;&gt;"))</f>
        <v/>
      </c>
      <c r="R324" s="12">
        <f>IF(AND(D324="",L324=""),"",IF(L324="","Belum ditempatkan",IF(O324="","CEK ID FIXTURE tidak ada di DAFTAR_FIXTURE",IF(M324="","CEK ZONA NO kosong",IF(P324="zona tidak ada di layout","CEK ZONA NO di luar layout",IF(N324&lt;&gt;P324,"CEK JENIS ZONA",IF(D324="","Zona STOCK",IF(E324="","CEK SKU DESCRIPTION kosong","OK"))))))))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IF(OR(O325="",M325=""),"",IFERROR(INDEX(LAYOUT!$D$2:$D$34,MATCH(O325&amp;"|"&amp;M325,LAYOUT!$E$2:$E$34,0)),"zona tidak ada di layout"))</f>
        <v/>
      </c>
      <c r="Q325" s="12">
        <f>IF(OR(L325="",D325=""),"",COUNTIFS($L$2:$L$500,L325,$M$2:$M$500,M325,$D$2:$D$500,"&lt;&gt;"))</f>
        <v/>
      </c>
      <c r="R325" s="12">
        <f>IF(AND(D325="",L325=""),"",IF(L325="","Belum ditempatkan",IF(O325="","CEK ID FIXTURE tidak ada di DAFTAR_FIXTURE",IF(M325="","CEK ZONA NO kosong",IF(P325="zona tidak ada di layout","CEK ZONA NO di luar layout",IF(N325&lt;&gt;P325,"CEK JENIS ZONA",IF(D325="","Zona STOCK",IF(E325="","CEK SKU DESCRIPTION kosong","OK"))))))))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IF(OR(O326="",M326=""),"",IFERROR(INDEX(LAYOUT!$D$2:$D$34,MATCH(O326&amp;"|"&amp;M326,LAYOUT!$E$2:$E$34,0)),"zona tidak ada di layout"))</f>
        <v/>
      </c>
      <c r="Q326" s="12">
        <f>IF(OR(L326="",D326=""),"",COUNTIFS($L$2:$L$500,L326,$M$2:$M$500,M326,$D$2:$D$500,"&lt;&gt;"))</f>
        <v/>
      </c>
      <c r="R326" s="12">
        <f>IF(AND(D326="",L326=""),"",IF(L326="","Belum ditempatkan",IF(O326="","CEK ID FIXTURE tidak ada di DAFTAR_FIXTURE",IF(M326="","CEK ZONA NO kosong",IF(P326="zona tidak ada di layout","CEK ZONA NO di luar layout",IF(N326&lt;&gt;P326,"CEK JENIS ZONA",IF(D326="","Zona STOCK",IF(E326="","CEK SKU DESCRIPTION kosong","OK"))))))))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IF(OR(O327="",M327=""),"",IFERROR(INDEX(LAYOUT!$D$2:$D$34,MATCH(O327&amp;"|"&amp;M327,LAYOUT!$E$2:$E$34,0)),"zona tidak ada di layout"))</f>
        <v/>
      </c>
      <c r="Q327" s="12">
        <f>IF(OR(L327="",D327=""),"",COUNTIFS($L$2:$L$500,L327,$M$2:$M$500,M327,$D$2:$D$500,"&lt;&gt;"))</f>
        <v/>
      </c>
      <c r="R327" s="12">
        <f>IF(AND(D327="",L327=""),"",IF(L327="","Belum ditempatkan",IF(O327="","CEK ID FIXTURE tidak ada di DAFTAR_FIXTURE",IF(M327="","CEK ZONA NO kosong",IF(P327="zona tidak ada di layout","CEK ZONA NO di luar layout",IF(N327&lt;&gt;P327,"CEK JENIS ZONA",IF(D327="","Zona STOCK",IF(E327="","CEK SKU DESCRIPTION kosong","OK"))))))))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IF(OR(O328="",M328=""),"",IFERROR(INDEX(LAYOUT!$D$2:$D$34,MATCH(O328&amp;"|"&amp;M328,LAYOUT!$E$2:$E$34,0)),"zona tidak ada di layout"))</f>
        <v/>
      </c>
      <c r="Q328" s="12">
        <f>IF(OR(L328="",D328=""),"",COUNTIFS($L$2:$L$500,L328,$M$2:$M$500,M328,$D$2:$D$500,"&lt;&gt;"))</f>
        <v/>
      </c>
      <c r="R328" s="12">
        <f>IF(AND(D328="",L328=""),"",IF(L328="","Belum ditempatkan",IF(O328="","CEK ID FIXTURE tidak ada di DAFTAR_FIXTURE",IF(M328="","CEK ZONA NO kosong",IF(P328="zona tidak ada di layout","CEK ZONA NO di luar layout",IF(N328&lt;&gt;P328,"CEK JENIS ZONA",IF(D328="","Zona STOCK",IF(E328="","CEK SKU DESCRIPTION kosong","OK"))))))))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IF(OR(O329="",M329=""),"",IFERROR(INDEX(LAYOUT!$D$2:$D$34,MATCH(O329&amp;"|"&amp;M329,LAYOUT!$E$2:$E$34,0)),"zona tidak ada di layout"))</f>
        <v/>
      </c>
      <c r="Q329" s="12">
        <f>IF(OR(L329="",D329=""),"",COUNTIFS($L$2:$L$500,L329,$M$2:$M$500,M329,$D$2:$D$500,"&lt;&gt;"))</f>
        <v/>
      </c>
      <c r="R329" s="12">
        <f>IF(AND(D329="",L329=""),"",IF(L329="","Belum ditempatkan",IF(O329="","CEK ID FIXTURE tidak ada di DAFTAR_FIXTURE",IF(M329="","CEK ZONA NO kosong",IF(P329="zona tidak ada di layout","CEK ZONA NO di luar layout",IF(N329&lt;&gt;P329,"CEK JENIS ZONA",IF(D329="","Zona STOCK",IF(E329="","CEK SKU DESCRIPTION kosong","OK"))))))))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IF(OR(O330="",M330=""),"",IFERROR(INDEX(LAYOUT!$D$2:$D$34,MATCH(O330&amp;"|"&amp;M330,LAYOUT!$E$2:$E$34,0)),"zona tidak ada di layout"))</f>
        <v/>
      </c>
      <c r="Q330" s="12">
        <f>IF(OR(L330="",D330=""),"",COUNTIFS($L$2:$L$500,L330,$M$2:$M$500,M330,$D$2:$D$500,"&lt;&gt;"))</f>
        <v/>
      </c>
      <c r="R330" s="12">
        <f>IF(AND(D330="",L330=""),"",IF(L330="","Belum ditempatkan",IF(O330="","CEK ID FIXTURE tidak ada di DAFTAR_FIXTURE",IF(M330="","CEK ZONA NO kosong",IF(P330="zona tidak ada di layout","CEK ZONA NO di luar layout",IF(N330&lt;&gt;P330,"CEK JENIS ZONA",IF(D330="","Zona STOCK",IF(E330="","CEK SKU DESCRIPTION kosong","OK"))))))))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IF(OR(O331="",M331=""),"",IFERROR(INDEX(LAYOUT!$D$2:$D$34,MATCH(O331&amp;"|"&amp;M331,LAYOUT!$E$2:$E$34,0)),"zona tidak ada di layout"))</f>
        <v/>
      </c>
      <c r="Q331" s="12">
        <f>IF(OR(L331="",D331=""),"",COUNTIFS($L$2:$L$500,L331,$M$2:$M$500,M331,$D$2:$D$500,"&lt;&gt;"))</f>
        <v/>
      </c>
      <c r="R331" s="12">
        <f>IF(AND(D331="",L331=""),"",IF(L331="","Belum ditempatkan",IF(O331="","CEK ID FIXTURE tidak ada di DAFTAR_FIXTURE",IF(M331="","CEK ZONA NO kosong",IF(P331="zona tidak ada di layout","CEK ZONA NO di luar layout",IF(N331&lt;&gt;P331,"CEK JENIS ZONA",IF(D331="","Zona STOCK",IF(E331="","CEK SKU DESCRIPTION kosong","OK"))))))))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IF(OR(O332="",M332=""),"",IFERROR(INDEX(LAYOUT!$D$2:$D$34,MATCH(O332&amp;"|"&amp;M332,LAYOUT!$E$2:$E$34,0)),"zona tidak ada di layout"))</f>
        <v/>
      </c>
      <c r="Q332" s="12">
        <f>IF(OR(L332="",D332=""),"",COUNTIFS($L$2:$L$500,L332,$M$2:$M$500,M332,$D$2:$D$500,"&lt;&gt;"))</f>
        <v/>
      </c>
      <c r="R332" s="12">
        <f>IF(AND(D332="",L332=""),"",IF(L332="","Belum ditempatkan",IF(O332="","CEK ID FIXTURE tidak ada di DAFTAR_FIXTURE",IF(M332="","CEK ZONA NO kosong",IF(P332="zona tidak ada di layout","CEK ZONA NO di luar layout",IF(N332&lt;&gt;P332,"CEK JENIS ZONA",IF(D332="","Zona STOCK",IF(E332="","CEK SKU DESCRIPTION kosong","OK"))))))))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IF(OR(O333="",M333=""),"",IFERROR(INDEX(LAYOUT!$D$2:$D$34,MATCH(O333&amp;"|"&amp;M333,LAYOUT!$E$2:$E$34,0)),"zona tidak ada di layout"))</f>
        <v/>
      </c>
      <c r="Q333" s="12">
        <f>IF(OR(L333="",D333=""),"",COUNTIFS($L$2:$L$500,L333,$M$2:$M$500,M333,$D$2:$D$500,"&lt;&gt;"))</f>
        <v/>
      </c>
      <c r="R333" s="12">
        <f>IF(AND(D333="",L333=""),"",IF(L333="","Belum ditempatkan",IF(O333="","CEK ID FIXTURE tidak ada di DAFTAR_FIXTURE",IF(M333="","CEK ZONA NO kosong",IF(P333="zona tidak ada di layout","CEK ZONA NO di luar layout",IF(N333&lt;&gt;P333,"CEK JENIS ZONA",IF(D333="","Zona STOCK",IF(E333="","CEK SKU DESCRIPTION kosong","OK"))))))))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IF(OR(O334="",M334=""),"",IFERROR(INDEX(LAYOUT!$D$2:$D$34,MATCH(O334&amp;"|"&amp;M334,LAYOUT!$E$2:$E$34,0)),"zona tidak ada di layout"))</f>
        <v/>
      </c>
      <c r="Q334" s="12">
        <f>IF(OR(L334="",D334=""),"",COUNTIFS($L$2:$L$500,L334,$M$2:$M$500,M334,$D$2:$D$500,"&lt;&gt;"))</f>
        <v/>
      </c>
      <c r="R334" s="12">
        <f>IF(AND(D334="",L334=""),"",IF(L334="","Belum ditempatkan",IF(O334="","CEK ID FIXTURE tidak ada di DAFTAR_FIXTURE",IF(M334="","CEK ZONA NO kosong",IF(P334="zona tidak ada di layout","CEK ZONA NO di luar layout",IF(N334&lt;&gt;P334,"CEK JENIS ZONA",IF(D334="","Zona STOCK",IF(E334="","CEK SKU DESCRIPTION kosong","OK"))))))))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IF(OR(O335="",M335=""),"",IFERROR(INDEX(LAYOUT!$D$2:$D$34,MATCH(O335&amp;"|"&amp;M335,LAYOUT!$E$2:$E$34,0)),"zona tidak ada di layout"))</f>
        <v/>
      </c>
      <c r="Q335" s="12">
        <f>IF(OR(L335="",D335=""),"",COUNTIFS($L$2:$L$500,L335,$M$2:$M$500,M335,$D$2:$D$500,"&lt;&gt;"))</f>
        <v/>
      </c>
      <c r="R335" s="12">
        <f>IF(AND(D335="",L335=""),"",IF(L335="","Belum ditempatkan",IF(O335="","CEK ID FIXTURE tidak ada di DAFTAR_FIXTURE",IF(M335="","CEK ZONA NO kosong",IF(P335="zona tidak ada di layout","CEK ZONA NO di luar layout",IF(N335&lt;&gt;P335,"CEK JENIS ZONA",IF(D335="","Zona STOCK",IF(E335="","CEK SKU DESCRIPTION kosong","OK"))))))))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IF(OR(O336="",M336=""),"",IFERROR(INDEX(LAYOUT!$D$2:$D$34,MATCH(O336&amp;"|"&amp;M336,LAYOUT!$E$2:$E$34,0)),"zona tidak ada di layout"))</f>
        <v/>
      </c>
      <c r="Q336" s="12">
        <f>IF(OR(L336="",D336=""),"",COUNTIFS($L$2:$L$500,L336,$M$2:$M$500,M336,$D$2:$D$500,"&lt;&gt;"))</f>
        <v/>
      </c>
      <c r="R336" s="12">
        <f>IF(AND(D336="",L336=""),"",IF(L336="","Belum ditempatkan",IF(O336="","CEK ID FIXTURE tidak ada di DAFTAR_FIXTURE",IF(M336="","CEK ZONA NO kosong",IF(P336="zona tidak ada di layout","CEK ZONA NO di luar layout",IF(N336&lt;&gt;P336,"CEK JENIS ZONA",IF(D336="","Zona STOCK",IF(E336="","CEK SKU DESCRIPTION kosong","OK"))))))))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IF(OR(O337="",M337=""),"",IFERROR(INDEX(LAYOUT!$D$2:$D$34,MATCH(O337&amp;"|"&amp;M337,LAYOUT!$E$2:$E$34,0)),"zona tidak ada di layout"))</f>
        <v/>
      </c>
      <c r="Q337" s="12">
        <f>IF(OR(L337="",D337=""),"",COUNTIFS($L$2:$L$500,L337,$M$2:$M$500,M337,$D$2:$D$500,"&lt;&gt;"))</f>
        <v/>
      </c>
      <c r="R337" s="12">
        <f>IF(AND(D337="",L337=""),"",IF(L337="","Belum ditempatkan",IF(O337="","CEK ID FIXTURE tidak ada di DAFTAR_FIXTURE",IF(M337="","CEK ZONA NO kosong",IF(P337="zona tidak ada di layout","CEK ZONA NO di luar layout",IF(N337&lt;&gt;P337,"CEK JENIS ZONA",IF(D337="","Zona STOCK",IF(E337="","CEK SKU DESCRIPTION kosong","OK"))))))))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IF(OR(O338="",M338=""),"",IFERROR(INDEX(LAYOUT!$D$2:$D$34,MATCH(O338&amp;"|"&amp;M338,LAYOUT!$E$2:$E$34,0)),"zona tidak ada di layout"))</f>
        <v/>
      </c>
      <c r="Q338" s="12">
        <f>IF(OR(L338="",D338=""),"",COUNTIFS($L$2:$L$500,L338,$M$2:$M$500,M338,$D$2:$D$500,"&lt;&gt;"))</f>
        <v/>
      </c>
      <c r="R338" s="12">
        <f>IF(AND(D338="",L338=""),"",IF(L338="","Belum ditempatkan",IF(O338="","CEK ID FIXTURE tidak ada di DAFTAR_FIXTURE",IF(M338="","CEK ZONA NO kosong",IF(P338="zona tidak ada di layout","CEK ZONA NO di luar layout",IF(N338&lt;&gt;P338,"CEK JENIS ZONA",IF(D338="","Zona STOCK",IF(E338="","CEK SKU DESCRIPTION kosong","OK"))))))))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IF(OR(O339="",M339=""),"",IFERROR(INDEX(LAYOUT!$D$2:$D$34,MATCH(O339&amp;"|"&amp;M339,LAYOUT!$E$2:$E$34,0)),"zona tidak ada di layout"))</f>
        <v/>
      </c>
      <c r="Q339" s="12">
        <f>IF(OR(L339="",D339=""),"",COUNTIFS($L$2:$L$500,L339,$M$2:$M$500,M339,$D$2:$D$500,"&lt;&gt;"))</f>
        <v/>
      </c>
      <c r="R339" s="12">
        <f>IF(AND(D339="",L339=""),"",IF(L339="","Belum ditempatkan",IF(O339="","CEK ID FIXTURE tidak ada di DAFTAR_FIXTURE",IF(M339="","CEK ZONA NO kosong",IF(P339="zona tidak ada di layout","CEK ZONA NO di luar layout",IF(N339&lt;&gt;P339,"CEK JENIS ZONA",IF(D339="","Zona STOCK",IF(E339="","CEK SKU DESCRIPTION kosong","OK"))))))))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IF(OR(O340="",M340=""),"",IFERROR(INDEX(LAYOUT!$D$2:$D$34,MATCH(O340&amp;"|"&amp;M340,LAYOUT!$E$2:$E$34,0)),"zona tidak ada di layout"))</f>
        <v/>
      </c>
      <c r="Q340" s="12">
        <f>IF(OR(L340="",D340=""),"",COUNTIFS($L$2:$L$500,L340,$M$2:$M$500,M340,$D$2:$D$500,"&lt;&gt;"))</f>
        <v/>
      </c>
      <c r="R340" s="12">
        <f>IF(AND(D340="",L340=""),"",IF(L340="","Belum ditempatkan",IF(O340="","CEK ID FIXTURE tidak ada di DAFTAR_FIXTURE",IF(M340="","CEK ZONA NO kosong",IF(P340="zona tidak ada di layout","CEK ZONA NO di luar layout",IF(N340&lt;&gt;P340,"CEK JENIS ZONA",IF(D340="","Zona STOCK",IF(E340="","CEK SKU DESCRIPTION kosong","OK"))))))))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IF(OR(O341="",M341=""),"",IFERROR(INDEX(LAYOUT!$D$2:$D$34,MATCH(O341&amp;"|"&amp;M341,LAYOUT!$E$2:$E$34,0)),"zona tidak ada di layout"))</f>
        <v/>
      </c>
      <c r="Q341" s="12">
        <f>IF(OR(L341="",D341=""),"",COUNTIFS($L$2:$L$500,L341,$M$2:$M$500,M341,$D$2:$D$500,"&lt;&gt;"))</f>
        <v/>
      </c>
      <c r="R341" s="12">
        <f>IF(AND(D341="",L341=""),"",IF(L341="","Belum ditempatkan",IF(O341="","CEK ID FIXTURE tidak ada di DAFTAR_FIXTURE",IF(M341="","CEK ZONA NO kosong",IF(P341="zona tidak ada di layout","CEK ZONA NO di luar layout",IF(N341&lt;&gt;P341,"CEK JENIS ZONA",IF(D341="","Zona STOCK",IF(E341="","CEK SKU DESCRIPTION kosong","OK"))))))))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IF(OR(O342="",M342=""),"",IFERROR(INDEX(LAYOUT!$D$2:$D$34,MATCH(O342&amp;"|"&amp;M342,LAYOUT!$E$2:$E$34,0)),"zona tidak ada di layout"))</f>
        <v/>
      </c>
      <c r="Q342" s="12">
        <f>IF(OR(L342="",D342=""),"",COUNTIFS($L$2:$L$500,L342,$M$2:$M$500,M342,$D$2:$D$500,"&lt;&gt;"))</f>
        <v/>
      </c>
      <c r="R342" s="12">
        <f>IF(AND(D342="",L342=""),"",IF(L342="","Belum ditempatkan",IF(O342="","CEK ID FIXTURE tidak ada di DAFTAR_FIXTURE",IF(M342="","CEK ZONA NO kosong",IF(P342="zona tidak ada di layout","CEK ZONA NO di luar layout",IF(N342&lt;&gt;P342,"CEK JENIS ZONA",IF(D342="","Zona STOCK",IF(E342="","CEK SKU DESCRIPTION kosong","OK"))))))))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IF(OR(O343="",M343=""),"",IFERROR(INDEX(LAYOUT!$D$2:$D$34,MATCH(O343&amp;"|"&amp;M343,LAYOUT!$E$2:$E$34,0)),"zona tidak ada di layout"))</f>
        <v/>
      </c>
      <c r="Q343" s="12">
        <f>IF(OR(L343="",D343=""),"",COUNTIFS($L$2:$L$500,L343,$M$2:$M$500,M343,$D$2:$D$500,"&lt;&gt;"))</f>
        <v/>
      </c>
      <c r="R343" s="12">
        <f>IF(AND(D343="",L343=""),"",IF(L343="","Belum ditempatkan",IF(O343="","CEK ID FIXTURE tidak ada di DAFTAR_FIXTURE",IF(M343="","CEK ZONA NO kosong",IF(P343="zona tidak ada di layout","CEK ZONA NO di luar layout",IF(N343&lt;&gt;P343,"CEK JENIS ZONA",IF(D343="","Zona STOCK",IF(E343="","CEK SKU DESCRIPTION kosong","OK"))))))))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IF(OR(O344="",M344=""),"",IFERROR(INDEX(LAYOUT!$D$2:$D$34,MATCH(O344&amp;"|"&amp;M344,LAYOUT!$E$2:$E$34,0)),"zona tidak ada di layout"))</f>
        <v/>
      </c>
      <c r="Q344" s="12">
        <f>IF(OR(L344="",D344=""),"",COUNTIFS($L$2:$L$500,L344,$M$2:$M$500,M344,$D$2:$D$500,"&lt;&gt;"))</f>
        <v/>
      </c>
      <c r="R344" s="12">
        <f>IF(AND(D344="",L344=""),"",IF(L344="","Belum ditempatkan",IF(O344="","CEK ID FIXTURE tidak ada di DAFTAR_FIXTURE",IF(M344="","CEK ZONA NO kosong",IF(P344="zona tidak ada di layout","CEK ZONA NO di luar layout",IF(N344&lt;&gt;P344,"CEK JENIS ZONA",IF(D344="","Zona STOCK",IF(E344="","CEK SKU DESCRIPTION kosong","OK"))))))))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IF(OR(O345="",M345=""),"",IFERROR(INDEX(LAYOUT!$D$2:$D$34,MATCH(O345&amp;"|"&amp;M345,LAYOUT!$E$2:$E$34,0)),"zona tidak ada di layout"))</f>
        <v/>
      </c>
      <c r="Q345" s="12">
        <f>IF(OR(L345="",D345=""),"",COUNTIFS($L$2:$L$500,L345,$M$2:$M$500,M345,$D$2:$D$500,"&lt;&gt;"))</f>
        <v/>
      </c>
      <c r="R345" s="12">
        <f>IF(AND(D345="",L345=""),"",IF(L345="","Belum ditempatkan",IF(O345="","CEK ID FIXTURE tidak ada di DAFTAR_FIXTURE",IF(M345="","CEK ZONA NO kosong",IF(P345="zona tidak ada di layout","CEK ZONA NO di luar layout",IF(N345&lt;&gt;P345,"CEK JENIS ZONA",IF(D345="","Zona STOCK",IF(E345="","CEK SKU DESCRIPTION kosong","OK"))))))))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IF(OR(O346="",M346=""),"",IFERROR(INDEX(LAYOUT!$D$2:$D$34,MATCH(O346&amp;"|"&amp;M346,LAYOUT!$E$2:$E$34,0)),"zona tidak ada di layout"))</f>
        <v/>
      </c>
      <c r="Q346" s="12">
        <f>IF(OR(L346="",D346=""),"",COUNTIFS($L$2:$L$500,L346,$M$2:$M$500,M346,$D$2:$D$500,"&lt;&gt;"))</f>
        <v/>
      </c>
      <c r="R346" s="12">
        <f>IF(AND(D346="",L346=""),"",IF(L346="","Belum ditempatkan",IF(O346="","CEK ID FIXTURE tidak ada di DAFTAR_FIXTURE",IF(M346="","CEK ZONA NO kosong",IF(P346="zona tidak ada di layout","CEK ZONA NO di luar layout",IF(N346&lt;&gt;P346,"CEK JENIS ZONA",IF(D346="","Zona STOCK",IF(E346="","CEK SKU DESCRIPTION kosong","OK"))))))))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IF(OR(O347="",M347=""),"",IFERROR(INDEX(LAYOUT!$D$2:$D$34,MATCH(O347&amp;"|"&amp;M347,LAYOUT!$E$2:$E$34,0)),"zona tidak ada di layout"))</f>
        <v/>
      </c>
      <c r="Q347" s="12">
        <f>IF(OR(L347="",D347=""),"",COUNTIFS($L$2:$L$500,L347,$M$2:$M$500,M347,$D$2:$D$500,"&lt;&gt;"))</f>
        <v/>
      </c>
      <c r="R347" s="12">
        <f>IF(AND(D347="",L347=""),"",IF(L347="","Belum ditempatkan",IF(O347="","CEK ID FIXTURE tidak ada di DAFTAR_FIXTURE",IF(M347="","CEK ZONA NO kosong",IF(P347="zona tidak ada di layout","CEK ZONA NO di luar layout",IF(N347&lt;&gt;P347,"CEK JENIS ZONA",IF(D347="","Zona STOCK",IF(E347="","CEK SKU DESCRIPTION kosong","OK"))))))))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IF(OR(O348="",M348=""),"",IFERROR(INDEX(LAYOUT!$D$2:$D$34,MATCH(O348&amp;"|"&amp;M348,LAYOUT!$E$2:$E$34,0)),"zona tidak ada di layout"))</f>
        <v/>
      </c>
      <c r="Q348" s="12">
        <f>IF(OR(L348="",D348=""),"",COUNTIFS($L$2:$L$500,L348,$M$2:$M$500,M348,$D$2:$D$500,"&lt;&gt;"))</f>
        <v/>
      </c>
      <c r="R348" s="12">
        <f>IF(AND(D348="",L348=""),"",IF(L348="","Belum ditempatkan",IF(O348="","CEK ID FIXTURE tidak ada di DAFTAR_FIXTURE",IF(M348="","CEK ZONA NO kosong",IF(P348="zona tidak ada di layout","CEK ZONA NO di luar layout",IF(N348&lt;&gt;P348,"CEK JENIS ZONA",IF(D348="","Zona STOCK",IF(E348="","CEK SKU DESCRIPTION kosong","OK"))))))))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IF(OR(O349="",M349=""),"",IFERROR(INDEX(LAYOUT!$D$2:$D$34,MATCH(O349&amp;"|"&amp;M349,LAYOUT!$E$2:$E$34,0)),"zona tidak ada di layout"))</f>
        <v/>
      </c>
      <c r="Q349" s="12">
        <f>IF(OR(L349="",D349=""),"",COUNTIFS($L$2:$L$500,L349,$M$2:$M$500,M349,$D$2:$D$500,"&lt;&gt;"))</f>
        <v/>
      </c>
      <c r="R349" s="12">
        <f>IF(AND(D349="",L349=""),"",IF(L349="","Belum ditempatkan",IF(O349="","CEK ID FIXTURE tidak ada di DAFTAR_FIXTURE",IF(M349="","CEK ZONA NO kosong",IF(P349="zona tidak ada di layout","CEK ZONA NO di luar layout",IF(N349&lt;&gt;P349,"CEK JENIS ZONA",IF(D349="","Zona STOCK",IF(E349="","CEK SKU DESCRIPTION kosong","OK"))))))))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IF(OR(O350="",M350=""),"",IFERROR(INDEX(LAYOUT!$D$2:$D$34,MATCH(O350&amp;"|"&amp;M350,LAYOUT!$E$2:$E$34,0)),"zona tidak ada di layout"))</f>
        <v/>
      </c>
      <c r="Q350" s="12">
        <f>IF(OR(L350="",D350=""),"",COUNTIFS($L$2:$L$500,L350,$M$2:$M$500,M350,$D$2:$D$500,"&lt;&gt;"))</f>
        <v/>
      </c>
      <c r="R350" s="12">
        <f>IF(AND(D350="",L350=""),"",IF(L350="","Belum ditempatkan",IF(O350="","CEK ID FIXTURE tidak ada di DAFTAR_FIXTURE",IF(M350="","CEK ZONA NO kosong",IF(P350="zona tidak ada di layout","CEK ZONA NO di luar layout",IF(N350&lt;&gt;P350,"CEK JENIS ZONA",IF(D350="","Zona STOCK",IF(E350="","CEK SKU DESCRIPTION kosong","OK"))))))))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IF(OR(O351="",M351=""),"",IFERROR(INDEX(LAYOUT!$D$2:$D$34,MATCH(O351&amp;"|"&amp;M351,LAYOUT!$E$2:$E$34,0)),"zona tidak ada di layout"))</f>
        <v/>
      </c>
      <c r="Q351" s="12">
        <f>IF(OR(L351="",D351=""),"",COUNTIFS($L$2:$L$500,L351,$M$2:$M$500,M351,$D$2:$D$500,"&lt;&gt;"))</f>
        <v/>
      </c>
      <c r="R351" s="12">
        <f>IF(AND(D351="",L351=""),"",IF(L351="","Belum ditempatkan",IF(O351="","CEK ID FIXTURE tidak ada di DAFTAR_FIXTURE",IF(M351="","CEK ZONA NO kosong",IF(P351="zona tidak ada di layout","CEK ZONA NO di luar layout",IF(N351&lt;&gt;P351,"CEK JENIS ZONA",IF(D351="","Zona STOCK",IF(E351="","CEK SKU DESCRIPTION kosong","OK"))))))))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IF(OR(O352="",M352=""),"",IFERROR(INDEX(LAYOUT!$D$2:$D$34,MATCH(O352&amp;"|"&amp;M352,LAYOUT!$E$2:$E$34,0)),"zona tidak ada di layout"))</f>
        <v/>
      </c>
      <c r="Q352" s="12">
        <f>IF(OR(L352="",D352=""),"",COUNTIFS($L$2:$L$500,L352,$M$2:$M$500,M352,$D$2:$D$500,"&lt;&gt;"))</f>
        <v/>
      </c>
      <c r="R352" s="12">
        <f>IF(AND(D352="",L352=""),"",IF(L352="","Belum ditempatkan",IF(O352="","CEK ID FIXTURE tidak ada di DAFTAR_FIXTURE",IF(M352="","CEK ZONA NO kosong",IF(P352="zona tidak ada di layout","CEK ZONA NO di luar layout",IF(N352&lt;&gt;P352,"CEK JENIS ZONA",IF(D352="","Zona STOCK",IF(E352="","CEK SKU DESCRIPTION kosong","OK"))))))))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IF(OR(O353="",M353=""),"",IFERROR(INDEX(LAYOUT!$D$2:$D$34,MATCH(O353&amp;"|"&amp;M353,LAYOUT!$E$2:$E$34,0)),"zona tidak ada di layout"))</f>
        <v/>
      </c>
      <c r="Q353" s="12">
        <f>IF(OR(L353="",D353=""),"",COUNTIFS($L$2:$L$500,L353,$M$2:$M$500,M353,$D$2:$D$500,"&lt;&gt;"))</f>
        <v/>
      </c>
      <c r="R353" s="12">
        <f>IF(AND(D353="",L353=""),"",IF(L353="","Belum ditempatkan",IF(O353="","CEK ID FIXTURE tidak ada di DAFTAR_FIXTURE",IF(M353="","CEK ZONA NO kosong",IF(P353="zona tidak ada di layout","CEK ZONA NO di luar layout",IF(N353&lt;&gt;P353,"CEK JENIS ZONA",IF(D353="","Zona STOCK",IF(E353="","CEK SKU DESCRIPTION kosong","OK"))))))))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IF(OR(O354="",M354=""),"",IFERROR(INDEX(LAYOUT!$D$2:$D$34,MATCH(O354&amp;"|"&amp;M354,LAYOUT!$E$2:$E$34,0)),"zona tidak ada di layout"))</f>
        <v/>
      </c>
      <c r="Q354" s="12">
        <f>IF(OR(L354="",D354=""),"",COUNTIFS($L$2:$L$500,L354,$M$2:$M$500,M354,$D$2:$D$500,"&lt;&gt;"))</f>
        <v/>
      </c>
      <c r="R354" s="12">
        <f>IF(AND(D354="",L354=""),"",IF(L354="","Belum ditempatkan",IF(O354="","CEK ID FIXTURE tidak ada di DAFTAR_FIXTURE",IF(M354="","CEK ZONA NO kosong",IF(P354="zona tidak ada di layout","CEK ZONA NO di luar layout",IF(N354&lt;&gt;P354,"CEK JENIS ZONA",IF(D354="","Zona STOCK",IF(E354="","CEK SKU DESCRIPTION kosong","OK"))))))))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IF(OR(O355="",M355=""),"",IFERROR(INDEX(LAYOUT!$D$2:$D$34,MATCH(O355&amp;"|"&amp;M355,LAYOUT!$E$2:$E$34,0)),"zona tidak ada di layout"))</f>
        <v/>
      </c>
      <c r="Q355" s="12">
        <f>IF(OR(L355="",D355=""),"",COUNTIFS($L$2:$L$500,L355,$M$2:$M$500,M355,$D$2:$D$500,"&lt;&gt;"))</f>
        <v/>
      </c>
      <c r="R355" s="12">
        <f>IF(AND(D355="",L355=""),"",IF(L355="","Belum ditempatkan",IF(O355="","CEK ID FIXTURE tidak ada di DAFTAR_FIXTURE",IF(M355="","CEK ZONA NO kosong",IF(P355="zona tidak ada di layout","CEK ZONA NO di luar layout",IF(N355&lt;&gt;P355,"CEK JENIS ZONA",IF(D355="","Zona STOCK",IF(E355="","CEK SKU DESCRIPTION kosong","OK"))))))))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IF(OR(O356="",M356=""),"",IFERROR(INDEX(LAYOUT!$D$2:$D$34,MATCH(O356&amp;"|"&amp;M356,LAYOUT!$E$2:$E$34,0)),"zona tidak ada di layout"))</f>
        <v/>
      </c>
      <c r="Q356" s="12">
        <f>IF(OR(L356="",D356=""),"",COUNTIFS($L$2:$L$500,L356,$M$2:$M$500,M356,$D$2:$D$500,"&lt;&gt;"))</f>
        <v/>
      </c>
      <c r="R356" s="12">
        <f>IF(AND(D356="",L356=""),"",IF(L356="","Belum ditempatkan",IF(O356="","CEK ID FIXTURE tidak ada di DAFTAR_FIXTURE",IF(M356="","CEK ZONA NO kosong",IF(P356="zona tidak ada di layout","CEK ZONA NO di luar layout",IF(N356&lt;&gt;P356,"CEK JENIS ZONA",IF(D356="","Zona STOCK",IF(E356="","CEK SKU DESCRIPTION kosong","OK"))))))))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IF(OR(O357="",M357=""),"",IFERROR(INDEX(LAYOUT!$D$2:$D$34,MATCH(O357&amp;"|"&amp;M357,LAYOUT!$E$2:$E$34,0)),"zona tidak ada di layout"))</f>
        <v/>
      </c>
      <c r="Q357" s="12">
        <f>IF(OR(L357="",D357=""),"",COUNTIFS($L$2:$L$500,L357,$M$2:$M$500,M357,$D$2:$D$500,"&lt;&gt;"))</f>
        <v/>
      </c>
      <c r="R357" s="12">
        <f>IF(AND(D357="",L357=""),"",IF(L357="","Belum ditempatkan",IF(O357="","CEK ID FIXTURE tidak ada di DAFTAR_FIXTURE",IF(M357="","CEK ZONA NO kosong",IF(P357="zona tidak ada di layout","CEK ZONA NO di luar layout",IF(N357&lt;&gt;P357,"CEK JENIS ZONA",IF(D357="","Zona STOCK",IF(E357="","CEK SKU DESCRIPTION kosong","OK"))))))))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IF(OR(O358="",M358=""),"",IFERROR(INDEX(LAYOUT!$D$2:$D$34,MATCH(O358&amp;"|"&amp;M358,LAYOUT!$E$2:$E$34,0)),"zona tidak ada di layout"))</f>
        <v/>
      </c>
      <c r="Q358" s="12">
        <f>IF(OR(L358="",D358=""),"",COUNTIFS($L$2:$L$500,L358,$M$2:$M$500,M358,$D$2:$D$500,"&lt;&gt;"))</f>
        <v/>
      </c>
      <c r="R358" s="12">
        <f>IF(AND(D358="",L358=""),"",IF(L358="","Belum ditempatkan",IF(O358="","CEK ID FIXTURE tidak ada di DAFTAR_FIXTURE",IF(M358="","CEK ZONA NO kosong",IF(P358="zona tidak ada di layout","CEK ZONA NO di luar layout",IF(N358&lt;&gt;P358,"CEK JENIS ZONA",IF(D358="","Zona STOCK",IF(E358="","CEK SKU DESCRIPTION kosong","OK"))))))))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IF(OR(O359="",M359=""),"",IFERROR(INDEX(LAYOUT!$D$2:$D$34,MATCH(O359&amp;"|"&amp;M359,LAYOUT!$E$2:$E$34,0)),"zona tidak ada di layout"))</f>
        <v/>
      </c>
      <c r="Q359" s="12">
        <f>IF(OR(L359="",D359=""),"",COUNTIFS($L$2:$L$500,L359,$M$2:$M$500,M359,$D$2:$D$500,"&lt;&gt;"))</f>
        <v/>
      </c>
      <c r="R359" s="12">
        <f>IF(AND(D359="",L359=""),"",IF(L359="","Belum ditempatkan",IF(O359="","CEK ID FIXTURE tidak ada di DAFTAR_FIXTURE",IF(M359="","CEK ZONA NO kosong",IF(P359="zona tidak ada di layout","CEK ZONA NO di luar layout",IF(N359&lt;&gt;P359,"CEK JENIS ZONA",IF(D359="","Zona STOCK",IF(E359="","CEK SKU DESCRIPTION kosong","OK"))))))))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IF(OR(O360="",M360=""),"",IFERROR(INDEX(LAYOUT!$D$2:$D$34,MATCH(O360&amp;"|"&amp;M360,LAYOUT!$E$2:$E$34,0)),"zona tidak ada di layout"))</f>
        <v/>
      </c>
      <c r="Q360" s="12">
        <f>IF(OR(L360="",D360=""),"",COUNTIFS($L$2:$L$500,L360,$M$2:$M$500,M360,$D$2:$D$500,"&lt;&gt;"))</f>
        <v/>
      </c>
      <c r="R360" s="12">
        <f>IF(AND(D360="",L360=""),"",IF(L360="","Belum ditempatkan",IF(O360="","CEK ID FIXTURE tidak ada di DAFTAR_FIXTURE",IF(M360="","CEK ZONA NO kosong",IF(P360="zona tidak ada di layout","CEK ZONA NO di luar layout",IF(N360&lt;&gt;P360,"CEK JENIS ZONA",IF(D360="","Zona STOCK",IF(E360="","CEK SKU DESCRIPTION kosong","OK"))))))))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IF(OR(O361="",M361=""),"",IFERROR(INDEX(LAYOUT!$D$2:$D$34,MATCH(O361&amp;"|"&amp;M361,LAYOUT!$E$2:$E$34,0)),"zona tidak ada di layout"))</f>
        <v/>
      </c>
      <c r="Q361" s="12">
        <f>IF(OR(L361="",D361=""),"",COUNTIFS($L$2:$L$500,L361,$M$2:$M$500,M361,$D$2:$D$500,"&lt;&gt;"))</f>
        <v/>
      </c>
      <c r="R361" s="12">
        <f>IF(AND(D361="",L361=""),"",IF(L361="","Belum ditempatkan",IF(O361="","CEK ID FIXTURE tidak ada di DAFTAR_FIXTURE",IF(M361="","CEK ZONA NO kosong",IF(P361="zona tidak ada di layout","CEK ZONA NO di luar layout",IF(N361&lt;&gt;P361,"CEK JENIS ZONA",IF(D361="","Zona STOCK",IF(E361="","CEK SKU DESCRIPTION kosong","OK"))))))))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IF(OR(O362="",M362=""),"",IFERROR(INDEX(LAYOUT!$D$2:$D$34,MATCH(O362&amp;"|"&amp;M362,LAYOUT!$E$2:$E$34,0)),"zona tidak ada di layout"))</f>
        <v/>
      </c>
      <c r="Q362" s="12">
        <f>IF(OR(L362="",D362=""),"",COUNTIFS($L$2:$L$500,L362,$M$2:$M$500,M362,$D$2:$D$500,"&lt;&gt;"))</f>
        <v/>
      </c>
      <c r="R362" s="12">
        <f>IF(AND(D362="",L362=""),"",IF(L362="","Belum ditempatkan",IF(O362="","CEK ID FIXTURE tidak ada di DAFTAR_FIXTURE",IF(M362="","CEK ZONA NO kosong",IF(P362="zona tidak ada di layout","CEK ZONA NO di luar layout",IF(N362&lt;&gt;P362,"CEK JENIS ZONA",IF(D362="","Zona STOCK",IF(E362="","CEK SKU DESCRIPTION kosong","OK"))))))))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IF(OR(O363="",M363=""),"",IFERROR(INDEX(LAYOUT!$D$2:$D$34,MATCH(O363&amp;"|"&amp;M363,LAYOUT!$E$2:$E$34,0)),"zona tidak ada di layout"))</f>
        <v/>
      </c>
      <c r="Q363" s="12">
        <f>IF(OR(L363="",D363=""),"",COUNTIFS($L$2:$L$500,L363,$M$2:$M$500,M363,$D$2:$D$500,"&lt;&gt;"))</f>
        <v/>
      </c>
      <c r="R363" s="12">
        <f>IF(AND(D363="",L363=""),"",IF(L363="","Belum ditempatkan",IF(O363="","CEK ID FIXTURE tidak ada di DAFTAR_FIXTURE",IF(M363="","CEK ZONA NO kosong",IF(P363="zona tidak ada di layout","CEK ZONA NO di luar layout",IF(N363&lt;&gt;P363,"CEK JENIS ZONA",IF(D363="","Zona STOCK",IF(E363="","CEK SKU DESCRIPTION kosong","OK"))))))))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IF(OR(O364="",M364=""),"",IFERROR(INDEX(LAYOUT!$D$2:$D$34,MATCH(O364&amp;"|"&amp;M364,LAYOUT!$E$2:$E$34,0)),"zona tidak ada di layout"))</f>
        <v/>
      </c>
      <c r="Q364" s="12">
        <f>IF(OR(L364="",D364=""),"",COUNTIFS($L$2:$L$500,L364,$M$2:$M$500,M364,$D$2:$D$500,"&lt;&gt;"))</f>
        <v/>
      </c>
      <c r="R364" s="12">
        <f>IF(AND(D364="",L364=""),"",IF(L364="","Belum ditempatkan",IF(O364="","CEK ID FIXTURE tidak ada di DAFTAR_FIXTURE",IF(M364="","CEK ZONA NO kosong",IF(P364="zona tidak ada di layout","CEK ZONA NO di luar layout",IF(N364&lt;&gt;P364,"CEK JENIS ZONA",IF(D364="","Zona STOCK",IF(E364="","CEK SKU DESCRIPTION kosong","OK"))))))))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IF(OR(O365="",M365=""),"",IFERROR(INDEX(LAYOUT!$D$2:$D$34,MATCH(O365&amp;"|"&amp;M365,LAYOUT!$E$2:$E$34,0)),"zona tidak ada di layout"))</f>
        <v/>
      </c>
      <c r="Q365" s="12">
        <f>IF(OR(L365="",D365=""),"",COUNTIFS($L$2:$L$500,L365,$M$2:$M$500,M365,$D$2:$D$500,"&lt;&gt;"))</f>
        <v/>
      </c>
      <c r="R365" s="12">
        <f>IF(AND(D365="",L365=""),"",IF(L365="","Belum ditempatkan",IF(O365="","CEK ID FIXTURE tidak ada di DAFTAR_FIXTURE",IF(M365="","CEK ZONA NO kosong",IF(P365="zona tidak ada di layout","CEK ZONA NO di luar layout",IF(N365&lt;&gt;P365,"CEK JENIS ZONA",IF(D365="","Zona STOCK",IF(E365="","CEK SKU DESCRIPTION kosong","OK"))))))))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IF(OR(O366="",M366=""),"",IFERROR(INDEX(LAYOUT!$D$2:$D$34,MATCH(O366&amp;"|"&amp;M366,LAYOUT!$E$2:$E$34,0)),"zona tidak ada di layout"))</f>
        <v/>
      </c>
      <c r="Q366" s="12">
        <f>IF(OR(L366="",D366=""),"",COUNTIFS($L$2:$L$500,L366,$M$2:$M$500,M366,$D$2:$D$500,"&lt;&gt;"))</f>
        <v/>
      </c>
      <c r="R366" s="12">
        <f>IF(AND(D366="",L366=""),"",IF(L366="","Belum ditempatkan",IF(O366="","CEK ID FIXTURE tidak ada di DAFTAR_FIXTURE",IF(M366="","CEK ZONA NO kosong",IF(P366="zona tidak ada di layout","CEK ZONA NO di luar layout",IF(N366&lt;&gt;P366,"CEK JENIS ZONA",IF(D366="","Zona STOCK",IF(E366="","CEK SKU DESCRIPTION kosong","OK"))))))))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IF(OR(O367="",M367=""),"",IFERROR(INDEX(LAYOUT!$D$2:$D$34,MATCH(O367&amp;"|"&amp;M367,LAYOUT!$E$2:$E$34,0)),"zona tidak ada di layout"))</f>
        <v/>
      </c>
      <c r="Q367" s="12">
        <f>IF(OR(L367="",D367=""),"",COUNTIFS($L$2:$L$500,L367,$M$2:$M$500,M367,$D$2:$D$500,"&lt;&gt;"))</f>
        <v/>
      </c>
      <c r="R367" s="12">
        <f>IF(AND(D367="",L367=""),"",IF(L367="","Belum ditempatkan",IF(O367="","CEK ID FIXTURE tidak ada di DAFTAR_FIXTURE",IF(M367="","CEK ZONA NO kosong",IF(P367="zona tidak ada di layout","CEK ZONA NO di luar layout",IF(N367&lt;&gt;P367,"CEK JENIS ZONA",IF(D367="","Zona STOCK",IF(E367="","CEK SKU DESCRIPTION kosong","OK"))))))))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IF(OR(O368="",M368=""),"",IFERROR(INDEX(LAYOUT!$D$2:$D$34,MATCH(O368&amp;"|"&amp;M368,LAYOUT!$E$2:$E$34,0)),"zona tidak ada di layout"))</f>
        <v/>
      </c>
      <c r="Q368" s="12">
        <f>IF(OR(L368="",D368=""),"",COUNTIFS($L$2:$L$500,L368,$M$2:$M$500,M368,$D$2:$D$500,"&lt;&gt;"))</f>
        <v/>
      </c>
      <c r="R368" s="12">
        <f>IF(AND(D368="",L368=""),"",IF(L368="","Belum ditempatkan",IF(O368="","CEK ID FIXTURE tidak ada di DAFTAR_FIXTURE",IF(M368="","CEK ZONA NO kosong",IF(P368="zona tidak ada di layout","CEK ZONA NO di luar layout",IF(N368&lt;&gt;P368,"CEK JENIS ZONA",IF(D368="","Zona STOCK",IF(E368="","CEK SKU DESCRIPTION kosong","OK"))))))))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IF(OR(O369="",M369=""),"",IFERROR(INDEX(LAYOUT!$D$2:$D$34,MATCH(O369&amp;"|"&amp;M369,LAYOUT!$E$2:$E$34,0)),"zona tidak ada di layout"))</f>
        <v/>
      </c>
      <c r="Q369" s="12">
        <f>IF(OR(L369="",D369=""),"",COUNTIFS($L$2:$L$500,L369,$M$2:$M$500,M369,$D$2:$D$500,"&lt;&gt;"))</f>
        <v/>
      </c>
      <c r="R369" s="12">
        <f>IF(AND(D369="",L369=""),"",IF(L369="","Belum ditempatkan",IF(O369="","CEK ID FIXTURE tidak ada di DAFTAR_FIXTURE",IF(M369="","CEK ZONA NO kosong",IF(P369="zona tidak ada di layout","CEK ZONA NO di luar layout",IF(N369&lt;&gt;P369,"CEK JENIS ZONA",IF(D369="","Zona STOCK",IF(E369="","CEK SKU DESCRIPTION kosong","OK"))))))))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IF(OR(O370="",M370=""),"",IFERROR(INDEX(LAYOUT!$D$2:$D$34,MATCH(O370&amp;"|"&amp;M370,LAYOUT!$E$2:$E$34,0)),"zona tidak ada di layout"))</f>
        <v/>
      </c>
      <c r="Q370" s="12">
        <f>IF(OR(L370="",D370=""),"",COUNTIFS($L$2:$L$500,L370,$M$2:$M$500,M370,$D$2:$D$500,"&lt;&gt;"))</f>
        <v/>
      </c>
      <c r="R370" s="12">
        <f>IF(AND(D370="",L370=""),"",IF(L370="","Belum ditempatkan",IF(O370="","CEK ID FIXTURE tidak ada di DAFTAR_FIXTURE",IF(M370="","CEK ZONA NO kosong",IF(P370="zona tidak ada di layout","CEK ZONA NO di luar layout",IF(N370&lt;&gt;P370,"CEK JENIS ZONA",IF(D370="","Zona STOCK",IF(E370="","CEK SKU DESCRIPTION kosong","OK"))))))))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IF(OR(O371="",M371=""),"",IFERROR(INDEX(LAYOUT!$D$2:$D$34,MATCH(O371&amp;"|"&amp;M371,LAYOUT!$E$2:$E$34,0)),"zona tidak ada di layout"))</f>
        <v/>
      </c>
      <c r="Q371" s="12">
        <f>IF(OR(L371="",D371=""),"",COUNTIFS($L$2:$L$500,L371,$M$2:$M$500,M371,$D$2:$D$500,"&lt;&gt;"))</f>
        <v/>
      </c>
      <c r="R371" s="12">
        <f>IF(AND(D371="",L371=""),"",IF(L371="","Belum ditempatkan",IF(O371="","CEK ID FIXTURE tidak ada di DAFTAR_FIXTURE",IF(M371="","CEK ZONA NO kosong",IF(P371="zona tidak ada di layout","CEK ZONA NO di luar layout",IF(N371&lt;&gt;P371,"CEK JENIS ZONA",IF(D371="","Zona STOCK",IF(E371="","CEK SKU DESCRIPTION kosong","OK"))))))))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IF(OR(O372="",M372=""),"",IFERROR(INDEX(LAYOUT!$D$2:$D$34,MATCH(O372&amp;"|"&amp;M372,LAYOUT!$E$2:$E$34,0)),"zona tidak ada di layout"))</f>
        <v/>
      </c>
      <c r="Q372" s="12">
        <f>IF(OR(L372="",D372=""),"",COUNTIFS($L$2:$L$500,L372,$M$2:$M$500,M372,$D$2:$D$500,"&lt;&gt;"))</f>
        <v/>
      </c>
      <c r="R372" s="12">
        <f>IF(AND(D372="",L372=""),"",IF(L372="","Belum ditempatkan",IF(O372="","CEK ID FIXTURE tidak ada di DAFTAR_FIXTURE",IF(M372="","CEK ZONA NO kosong",IF(P372="zona tidak ada di layout","CEK ZONA NO di luar layout",IF(N372&lt;&gt;P372,"CEK JENIS ZONA",IF(D372="","Zona STOCK",IF(E372="","CEK SKU DESCRIPTION kosong","OK"))))))))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IF(OR(O373="",M373=""),"",IFERROR(INDEX(LAYOUT!$D$2:$D$34,MATCH(O373&amp;"|"&amp;M373,LAYOUT!$E$2:$E$34,0)),"zona tidak ada di layout"))</f>
        <v/>
      </c>
      <c r="Q373" s="12">
        <f>IF(OR(L373="",D373=""),"",COUNTIFS($L$2:$L$500,L373,$M$2:$M$500,M373,$D$2:$D$500,"&lt;&gt;"))</f>
        <v/>
      </c>
      <c r="R373" s="12">
        <f>IF(AND(D373="",L373=""),"",IF(L373="","Belum ditempatkan",IF(O373="","CEK ID FIXTURE tidak ada di DAFTAR_FIXTURE",IF(M373="","CEK ZONA NO kosong",IF(P373="zona tidak ada di layout","CEK ZONA NO di luar layout",IF(N373&lt;&gt;P373,"CEK JENIS ZONA",IF(D373="","Zona STOCK",IF(E373="","CEK SKU DESCRIPTION kosong","OK"))))))))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IF(OR(O374="",M374=""),"",IFERROR(INDEX(LAYOUT!$D$2:$D$34,MATCH(O374&amp;"|"&amp;M374,LAYOUT!$E$2:$E$34,0)),"zona tidak ada di layout"))</f>
        <v/>
      </c>
      <c r="Q374" s="12">
        <f>IF(OR(L374="",D374=""),"",COUNTIFS($L$2:$L$500,L374,$M$2:$M$500,M374,$D$2:$D$500,"&lt;&gt;"))</f>
        <v/>
      </c>
      <c r="R374" s="12">
        <f>IF(AND(D374="",L374=""),"",IF(L374="","Belum ditempatkan",IF(O374="","CEK ID FIXTURE tidak ada di DAFTAR_FIXTURE",IF(M374="","CEK ZONA NO kosong",IF(P374="zona tidak ada di layout","CEK ZONA NO di luar layout",IF(N374&lt;&gt;P374,"CEK JENIS ZONA",IF(D374="","Zona STOCK",IF(E374="","CEK SKU DESCRIPTION kosong","OK"))))))))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IF(OR(O375="",M375=""),"",IFERROR(INDEX(LAYOUT!$D$2:$D$34,MATCH(O375&amp;"|"&amp;M375,LAYOUT!$E$2:$E$34,0)),"zona tidak ada di layout"))</f>
        <v/>
      </c>
      <c r="Q375" s="12">
        <f>IF(OR(L375="",D375=""),"",COUNTIFS($L$2:$L$500,L375,$M$2:$M$500,M375,$D$2:$D$500,"&lt;&gt;"))</f>
        <v/>
      </c>
      <c r="R375" s="12">
        <f>IF(AND(D375="",L375=""),"",IF(L375="","Belum ditempatkan",IF(O375="","CEK ID FIXTURE tidak ada di DAFTAR_FIXTURE",IF(M375="","CEK ZONA NO kosong",IF(P375="zona tidak ada di layout","CEK ZONA NO di luar layout",IF(N375&lt;&gt;P375,"CEK JENIS ZONA",IF(D375="","Zona STOCK",IF(E375="","CEK SKU DESCRIPTION kosong","OK"))))))))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IF(OR(O376="",M376=""),"",IFERROR(INDEX(LAYOUT!$D$2:$D$34,MATCH(O376&amp;"|"&amp;M376,LAYOUT!$E$2:$E$34,0)),"zona tidak ada di layout"))</f>
        <v/>
      </c>
      <c r="Q376" s="12">
        <f>IF(OR(L376="",D376=""),"",COUNTIFS($L$2:$L$500,L376,$M$2:$M$500,M376,$D$2:$D$500,"&lt;&gt;"))</f>
        <v/>
      </c>
      <c r="R376" s="12">
        <f>IF(AND(D376="",L376=""),"",IF(L376="","Belum ditempatkan",IF(O376="","CEK ID FIXTURE tidak ada di DAFTAR_FIXTURE",IF(M376="","CEK ZONA NO kosong",IF(P376="zona tidak ada di layout","CEK ZONA NO di luar layout",IF(N376&lt;&gt;P376,"CEK JENIS ZONA",IF(D376="","Zona STOCK",IF(E376="","CEK SKU DESCRIPTION kosong","OK"))))))))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IF(OR(O377="",M377=""),"",IFERROR(INDEX(LAYOUT!$D$2:$D$34,MATCH(O377&amp;"|"&amp;M377,LAYOUT!$E$2:$E$34,0)),"zona tidak ada di layout"))</f>
        <v/>
      </c>
      <c r="Q377" s="12">
        <f>IF(OR(L377="",D377=""),"",COUNTIFS($L$2:$L$500,L377,$M$2:$M$500,M377,$D$2:$D$500,"&lt;&gt;"))</f>
        <v/>
      </c>
      <c r="R377" s="12">
        <f>IF(AND(D377="",L377=""),"",IF(L377="","Belum ditempatkan",IF(O377="","CEK ID FIXTURE tidak ada di DAFTAR_FIXTURE",IF(M377="","CEK ZONA NO kosong",IF(P377="zona tidak ada di layout","CEK ZONA NO di luar layout",IF(N377&lt;&gt;P377,"CEK JENIS ZONA",IF(D377="","Zona STOCK",IF(E377="","CEK SKU DESCRIPTION kosong","OK"))))))))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IF(OR(O378="",M378=""),"",IFERROR(INDEX(LAYOUT!$D$2:$D$34,MATCH(O378&amp;"|"&amp;M378,LAYOUT!$E$2:$E$34,0)),"zona tidak ada di layout"))</f>
        <v/>
      </c>
      <c r="Q378" s="12">
        <f>IF(OR(L378="",D378=""),"",COUNTIFS($L$2:$L$500,L378,$M$2:$M$500,M378,$D$2:$D$500,"&lt;&gt;"))</f>
        <v/>
      </c>
      <c r="R378" s="12">
        <f>IF(AND(D378="",L378=""),"",IF(L378="","Belum ditempatkan",IF(O378="","CEK ID FIXTURE tidak ada di DAFTAR_FIXTURE",IF(M378="","CEK ZONA NO kosong",IF(P378="zona tidak ada di layout","CEK ZONA NO di luar layout",IF(N378&lt;&gt;P378,"CEK JENIS ZONA",IF(D378="","Zona STOCK",IF(E378="","CEK SKU DESCRIPTION kosong","OK"))))))))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IF(OR(O379="",M379=""),"",IFERROR(INDEX(LAYOUT!$D$2:$D$34,MATCH(O379&amp;"|"&amp;M379,LAYOUT!$E$2:$E$34,0)),"zona tidak ada di layout"))</f>
        <v/>
      </c>
      <c r="Q379" s="12">
        <f>IF(OR(L379="",D379=""),"",COUNTIFS($L$2:$L$500,L379,$M$2:$M$500,M379,$D$2:$D$500,"&lt;&gt;"))</f>
        <v/>
      </c>
      <c r="R379" s="12">
        <f>IF(AND(D379="",L379=""),"",IF(L379="","Belum ditempatkan",IF(O379="","CEK ID FIXTURE tidak ada di DAFTAR_FIXTURE",IF(M379="","CEK ZONA NO kosong",IF(P379="zona tidak ada di layout","CEK ZONA NO di luar layout",IF(N379&lt;&gt;P379,"CEK JENIS ZONA",IF(D379="","Zona STOCK",IF(E379="","CEK SKU DESCRIPTION kosong","OK"))))))))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IF(OR(O380="",M380=""),"",IFERROR(INDEX(LAYOUT!$D$2:$D$34,MATCH(O380&amp;"|"&amp;M380,LAYOUT!$E$2:$E$34,0)),"zona tidak ada di layout"))</f>
        <v/>
      </c>
      <c r="Q380" s="12">
        <f>IF(OR(L380="",D380=""),"",COUNTIFS($L$2:$L$500,L380,$M$2:$M$500,M380,$D$2:$D$500,"&lt;&gt;"))</f>
        <v/>
      </c>
      <c r="R380" s="12">
        <f>IF(AND(D380="",L380=""),"",IF(L380="","Belum ditempatkan",IF(O380="","CEK ID FIXTURE tidak ada di DAFTAR_FIXTURE",IF(M380="","CEK ZONA NO kosong",IF(P380="zona tidak ada di layout","CEK ZONA NO di luar layout",IF(N380&lt;&gt;P380,"CEK JENIS ZONA",IF(D380="","Zona STOCK",IF(E380="","CEK SKU DESCRIPTION kosong","OK"))))))))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IF(OR(O381="",M381=""),"",IFERROR(INDEX(LAYOUT!$D$2:$D$34,MATCH(O381&amp;"|"&amp;M381,LAYOUT!$E$2:$E$34,0)),"zona tidak ada di layout"))</f>
        <v/>
      </c>
      <c r="Q381" s="12">
        <f>IF(OR(L381="",D381=""),"",COUNTIFS($L$2:$L$500,L381,$M$2:$M$500,M381,$D$2:$D$500,"&lt;&gt;"))</f>
        <v/>
      </c>
      <c r="R381" s="12">
        <f>IF(AND(D381="",L381=""),"",IF(L381="","Belum ditempatkan",IF(O381="","CEK ID FIXTURE tidak ada di DAFTAR_FIXTURE",IF(M381="","CEK ZONA NO kosong",IF(P381="zona tidak ada di layout","CEK ZONA NO di luar layout",IF(N381&lt;&gt;P381,"CEK JENIS ZONA",IF(D381="","Zona STOCK",IF(E381="","CEK SKU DESCRIPTION kosong","OK"))))))))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IF(OR(O382="",M382=""),"",IFERROR(INDEX(LAYOUT!$D$2:$D$34,MATCH(O382&amp;"|"&amp;M382,LAYOUT!$E$2:$E$34,0)),"zona tidak ada di layout"))</f>
        <v/>
      </c>
      <c r="Q382" s="12">
        <f>IF(OR(L382="",D382=""),"",COUNTIFS($L$2:$L$500,L382,$M$2:$M$500,M382,$D$2:$D$500,"&lt;&gt;"))</f>
        <v/>
      </c>
      <c r="R382" s="12">
        <f>IF(AND(D382="",L382=""),"",IF(L382="","Belum ditempatkan",IF(O382="","CEK ID FIXTURE tidak ada di DAFTAR_FIXTURE",IF(M382="","CEK ZONA NO kosong",IF(P382="zona tidak ada di layout","CEK ZONA NO di luar layout",IF(N382&lt;&gt;P382,"CEK JENIS ZONA",IF(D382="","Zona STOCK",IF(E382="","CEK SKU DESCRIPTION kosong","OK"))))))))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IF(OR(O383="",M383=""),"",IFERROR(INDEX(LAYOUT!$D$2:$D$34,MATCH(O383&amp;"|"&amp;M383,LAYOUT!$E$2:$E$34,0)),"zona tidak ada di layout"))</f>
        <v/>
      </c>
      <c r="Q383" s="12">
        <f>IF(OR(L383="",D383=""),"",COUNTIFS($L$2:$L$500,L383,$M$2:$M$500,M383,$D$2:$D$500,"&lt;&gt;"))</f>
        <v/>
      </c>
      <c r="R383" s="12">
        <f>IF(AND(D383="",L383=""),"",IF(L383="","Belum ditempatkan",IF(O383="","CEK ID FIXTURE tidak ada di DAFTAR_FIXTURE",IF(M383="","CEK ZONA NO kosong",IF(P383="zona tidak ada di layout","CEK ZONA NO di luar layout",IF(N383&lt;&gt;P383,"CEK JENIS ZONA",IF(D383="","Zona STOCK",IF(E383="","CEK SKU DESCRIPTION kosong","OK"))))))))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IF(OR(O384="",M384=""),"",IFERROR(INDEX(LAYOUT!$D$2:$D$34,MATCH(O384&amp;"|"&amp;M384,LAYOUT!$E$2:$E$34,0)),"zona tidak ada di layout"))</f>
        <v/>
      </c>
      <c r="Q384" s="12">
        <f>IF(OR(L384="",D384=""),"",COUNTIFS($L$2:$L$500,L384,$M$2:$M$500,M384,$D$2:$D$500,"&lt;&gt;"))</f>
        <v/>
      </c>
      <c r="R384" s="12">
        <f>IF(AND(D384="",L384=""),"",IF(L384="","Belum ditempatkan",IF(O384="","CEK ID FIXTURE tidak ada di DAFTAR_FIXTURE",IF(M384="","CEK ZONA NO kosong",IF(P384="zona tidak ada di layout","CEK ZONA NO di luar layout",IF(N384&lt;&gt;P384,"CEK JENIS ZONA",IF(D384="","Zona STOCK",IF(E384="","CEK SKU DESCRIPTION kosong","OK"))))))))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IF(OR(O385="",M385=""),"",IFERROR(INDEX(LAYOUT!$D$2:$D$34,MATCH(O385&amp;"|"&amp;M385,LAYOUT!$E$2:$E$34,0)),"zona tidak ada di layout"))</f>
        <v/>
      </c>
      <c r="Q385" s="12">
        <f>IF(OR(L385="",D385=""),"",COUNTIFS($L$2:$L$500,L385,$M$2:$M$500,M385,$D$2:$D$500,"&lt;&gt;"))</f>
        <v/>
      </c>
      <c r="R385" s="12">
        <f>IF(AND(D385="",L385=""),"",IF(L385="","Belum ditempatkan",IF(O385="","CEK ID FIXTURE tidak ada di DAFTAR_FIXTURE",IF(M385="","CEK ZONA NO kosong",IF(P385="zona tidak ada di layout","CEK ZONA NO di luar layout",IF(N385&lt;&gt;P385,"CEK JENIS ZONA",IF(D385="","Zona STOCK",IF(E385="","CEK SKU DESCRIPTION kosong","OK"))))))))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IF(OR(O386="",M386=""),"",IFERROR(INDEX(LAYOUT!$D$2:$D$34,MATCH(O386&amp;"|"&amp;M386,LAYOUT!$E$2:$E$34,0)),"zona tidak ada di layout"))</f>
        <v/>
      </c>
      <c r="Q386" s="12">
        <f>IF(OR(L386="",D386=""),"",COUNTIFS($L$2:$L$500,L386,$M$2:$M$500,M386,$D$2:$D$500,"&lt;&gt;"))</f>
        <v/>
      </c>
      <c r="R386" s="12">
        <f>IF(AND(D386="",L386=""),"",IF(L386="","Belum ditempatkan",IF(O386="","CEK ID FIXTURE tidak ada di DAFTAR_FIXTURE",IF(M386="","CEK ZONA NO kosong",IF(P386="zona tidak ada di layout","CEK ZONA NO di luar layout",IF(N386&lt;&gt;P386,"CEK JENIS ZONA",IF(D386="","Zona STOCK",IF(E386="","CEK SKU DESCRIPTION kosong","OK"))))))))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IF(OR(O387="",M387=""),"",IFERROR(INDEX(LAYOUT!$D$2:$D$34,MATCH(O387&amp;"|"&amp;M387,LAYOUT!$E$2:$E$34,0)),"zona tidak ada di layout"))</f>
        <v/>
      </c>
      <c r="Q387" s="12">
        <f>IF(OR(L387="",D387=""),"",COUNTIFS($L$2:$L$500,L387,$M$2:$M$500,M387,$D$2:$D$500,"&lt;&gt;"))</f>
        <v/>
      </c>
      <c r="R387" s="12">
        <f>IF(AND(D387="",L387=""),"",IF(L387="","Belum ditempatkan",IF(O387="","CEK ID FIXTURE tidak ada di DAFTAR_FIXTURE",IF(M387="","CEK ZONA NO kosong",IF(P387="zona tidak ada di layout","CEK ZONA NO di luar layout",IF(N387&lt;&gt;P387,"CEK JENIS ZONA",IF(D387="","Zona STOCK",IF(E387="","CEK SKU DESCRIPTION kosong","OK"))))))))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IF(OR(O388="",M388=""),"",IFERROR(INDEX(LAYOUT!$D$2:$D$34,MATCH(O388&amp;"|"&amp;M388,LAYOUT!$E$2:$E$34,0)),"zona tidak ada di layout"))</f>
        <v/>
      </c>
      <c r="Q388" s="12">
        <f>IF(OR(L388="",D388=""),"",COUNTIFS($L$2:$L$500,L388,$M$2:$M$500,M388,$D$2:$D$500,"&lt;&gt;"))</f>
        <v/>
      </c>
      <c r="R388" s="12">
        <f>IF(AND(D388="",L388=""),"",IF(L388="","Belum ditempatkan",IF(O388="","CEK ID FIXTURE tidak ada di DAFTAR_FIXTURE",IF(M388="","CEK ZONA NO kosong",IF(P388="zona tidak ada di layout","CEK ZONA NO di luar layout",IF(N388&lt;&gt;P388,"CEK JENIS ZONA",IF(D388="","Zona STOCK",IF(E388="","CEK SKU DESCRIPTION kosong","OK"))))))))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IF(OR(O389="",M389=""),"",IFERROR(INDEX(LAYOUT!$D$2:$D$34,MATCH(O389&amp;"|"&amp;M389,LAYOUT!$E$2:$E$34,0)),"zona tidak ada di layout"))</f>
        <v/>
      </c>
      <c r="Q389" s="12">
        <f>IF(OR(L389="",D389=""),"",COUNTIFS($L$2:$L$500,L389,$M$2:$M$500,M389,$D$2:$D$500,"&lt;&gt;"))</f>
        <v/>
      </c>
      <c r="R389" s="12">
        <f>IF(AND(D389="",L389=""),"",IF(L389="","Belum ditempatkan",IF(O389="","CEK ID FIXTURE tidak ada di DAFTAR_FIXTURE",IF(M389="","CEK ZONA NO kosong",IF(P389="zona tidak ada di layout","CEK ZONA NO di luar layout",IF(N389&lt;&gt;P389,"CEK JENIS ZONA",IF(D389="","Zona STOCK",IF(E389="","CEK SKU DESCRIPTION kosong","OK"))))))))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IF(OR(O390="",M390=""),"",IFERROR(INDEX(LAYOUT!$D$2:$D$34,MATCH(O390&amp;"|"&amp;M390,LAYOUT!$E$2:$E$34,0)),"zona tidak ada di layout"))</f>
        <v/>
      </c>
      <c r="Q390" s="12">
        <f>IF(OR(L390="",D390=""),"",COUNTIFS($L$2:$L$500,L390,$M$2:$M$500,M390,$D$2:$D$500,"&lt;&gt;"))</f>
        <v/>
      </c>
      <c r="R390" s="12">
        <f>IF(AND(D390="",L390=""),"",IF(L390="","Belum ditempatkan",IF(O390="","CEK ID FIXTURE tidak ada di DAFTAR_FIXTURE",IF(M390="","CEK ZONA NO kosong",IF(P390="zona tidak ada di layout","CEK ZONA NO di luar layout",IF(N390&lt;&gt;P390,"CEK JENIS ZONA",IF(D390="","Zona STOCK",IF(E390="","CEK SKU DESCRIPTION kosong","OK"))))))))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IF(OR(O391="",M391=""),"",IFERROR(INDEX(LAYOUT!$D$2:$D$34,MATCH(O391&amp;"|"&amp;M391,LAYOUT!$E$2:$E$34,0)),"zona tidak ada di layout"))</f>
        <v/>
      </c>
      <c r="Q391" s="12">
        <f>IF(OR(L391="",D391=""),"",COUNTIFS($L$2:$L$500,L391,$M$2:$M$500,M391,$D$2:$D$500,"&lt;&gt;"))</f>
        <v/>
      </c>
      <c r="R391" s="12">
        <f>IF(AND(D391="",L391=""),"",IF(L391="","Belum ditempatkan",IF(O391="","CEK ID FIXTURE tidak ada di DAFTAR_FIXTURE",IF(M391="","CEK ZONA NO kosong",IF(P391="zona tidak ada di layout","CEK ZONA NO di luar layout",IF(N391&lt;&gt;P391,"CEK JENIS ZONA",IF(D391="","Zona STOCK",IF(E391="","CEK SKU DESCRIPTION kosong","OK"))))))))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IF(OR(O392="",M392=""),"",IFERROR(INDEX(LAYOUT!$D$2:$D$34,MATCH(O392&amp;"|"&amp;M392,LAYOUT!$E$2:$E$34,0)),"zona tidak ada di layout"))</f>
        <v/>
      </c>
      <c r="Q392" s="12">
        <f>IF(OR(L392="",D392=""),"",COUNTIFS($L$2:$L$500,L392,$M$2:$M$500,M392,$D$2:$D$500,"&lt;&gt;"))</f>
        <v/>
      </c>
      <c r="R392" s="12">
        <f>IF(AND(D392="",L392=""),"",IF(L392="","Belum ditempatkan",IF(O392="","CEK ID FIXTURE tidak ada di DAFTAR_FIXTURE",IF(M392="","CEK ZONA NO kosong",IF(P392="zona tidak ada di layout","CEK ZONA NO di luar layout",IF(N392&lt;&gt;P392,"CEK JENIS ZONA",IF(D392="","Zona STOCK",IF(E392="","CEK SKU DESCRIPTION kosong","OK"))))))))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IF(OR(O393="",M393=""),"",IFERROR(INDEX(LAYOUT!$D$2:$D$34,MATCH(O393&amp;"|"&amp;M393,LAYOUT!$E$2:$E$34,0)),"zona tidak ada di layout"))</f>
        <v/>
      </c>
      <c r="Q393" s="12">
        <f>IF(OR(L393="",D393=""),"",COUNTIFS($L$2:$L$500,L393,$M$2:$M$500,M393,$D$2:$D$500,"&lt;&gt;"))</f>
        <v/>
      </c>
      <c r="R393" s="12">
        <f>IF(AND(D393="",L393=""),"",IF(L393="","Belum ditempatkan",IF(O393="","CEK ID FIXTURE tidak ada di DAFTAR_FIXTURE",IF(M393="","CEK ZONA NO kosong",IF(P393="zona tidak ada di layout","CEK ZONA NO di luar layout",IF(N393&lt;&gt;P393,"CEK JENIS ZONA",IF(D393="","Zona STOCK",IF(E393="","CEK SKU DESCRIPTION kosong","OK"))))))))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IF(OR(O394="",M394=""),"",IFERROR(INDEX(LAYOUT!$D$2:$D$34,MATCH(O394&amp;"|"&amp;M394,LAYOUT!$E$2:$E$34,0)),"zona tidak ada di layout"))</f>
        <v/>
      </c>
      <c r="Q394" s="12">
        <f>IF(OR(L394="",D394=""),"",COUNTIFS($L$2:$L$500,L394,$M$2:$M$500,M394,$D$2:$D$500,"&lt;&gt;"))</f>
        <v/>
      </c>
      <c r="R394" s="12">
        <f>IF(AND(D394="",L394=""),"",IF(L394="","Belum ditempatkan",IF(O394="","CEK ID FIXTURE tidak ada di DAFTAR_FIXTURE",IF(M394="","CEK ZONA NO kosong",IF(P394="zona tidak ada di layout","CEK ZONA NO di luar layout",IF(N394&lt;&gt;P394,"CEK JENIS ZONA",IF(D394="","Zona STOCK",IF(E394="","CEK SKU DESCRIPTION kosong","OK"))))))))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IF(OR(O395="",M395=""),"",IFERROR(INDEX(LAYOUT!$D$2:$D$34,MATCH(O395&amp;"|"&amp;M395,LAYOUT!$E$2:$E$34,0)),"zona tidak ada di layout"))</f>
        <v/>
      </c>
      <c r="Q395" s="12">
        <f>IF(OR(L395="",D395=""),"",COUNTIFS($L$2:$L$500,L395,$M$2:$M$500,M395,$D$2:$D$500,"&lt;&gt;"))</f>
        <v/>
      </c>
      <c r="R395" s="12">
        <f>IF(AND(D395="",L395=""),"",IF(L395="","Belum ditempatkan",IF(O395="","CEK ID FIXTURE tidak ada di DAFTAR_FIXTURE",IF(M395="","CEK ZONA NO kosong",IF(P395="zona tidak ada di layout","CEK ZONA NO di luar layout",IF(N395&lt;&gt;P395,"CEK JENIS ZONA",IF(D395="","Zona STOCK",IF(E395="","CEK SKU DESCRIPTION kosong","OK"))))))))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IF(OR(O396="",M396=""),"",IFERROR(INDEX(LAYOUT!$D$2:$D$34,MATCH(O396&amp;"|"&amp;M396,LAYOUT!$E$2:$E$34,0)),"zona tidak ada di layout"))</f>
        <v/>
      </c>
      <c r="Q396" s="12">
        <f>IF(OR(L396="",D396=""),"",COUNTIFS($L$2:$L$500,L396,$M$2:$M$500,M396,$D$2:$D$500,"&lt;&gt;"))</f>
        <v/>
      </c>
      <c r="R396" s="12">
        <f>IF(AND(D396="",L396=""),"",IF(L396="","Belum ditempatkan",IF(O396="","CEK ID FIXTURE tidak ada di DAFTAR_FIXTURE",IF(M396="","CEK ZONA NO kosong",IF(P396="zona tidak ada di layout","CEK ZONA NO di luar layout",IF(N396&lt;&gt;P396,"CEK JENIS ZONA",IF(D396="","Zona STOCK",IF(E396="","CEK SKU DESCRIPTION kosong","OK"))))))))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IF(OR(O397="",M397=""),"",IFERROR(INDEX(LAYOUT!$D$2:$D$34,MATCH(O397&amp;"|"&amp;M397,LAYOUT!$E$2:$E$34,0)),"zona tidak ada di layout"))</f>
        <v/>
      </c>
      <c r="Q397" s="12">
        <f>IF(OR(L397="",D397=""),"",COUNTIFS($L$2:$L$500,L397,$M$2:$M$500,M397,$D$2:$D$500,"&lt;&gt;"))</f>
        <v/>
      </c>
      <c r="R397" s="12">
        <f>IF(AND(D397="",L397=""),"",IF(L397="","Belum ditempatkan",IF(O397="","CEK ID FIXTURE tidak ada di DAFTAR_FIXTURE",IF(M397="","CEK ZONA NO kosong",IF(P397="zona tidak ada di layout","CEK ZONA NO di luar layout",IF(N397&lt;&gt;P397,"CEK JENIS ZONA",IF(D397="","Zona STOCK",IF(E397="","CEK SKU DESCRIPTION kosong","OK"))))))))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IF(OR(O398="",M398=""),"",IFERROR(INDEX(LAYOUT!$D$2:$D$34,MATCH(O398&amp;"|"&amp;M398,LAYOUT!$E$2:$E$34,0)),"zona tidak ada di layout"))</f>
        <v/>
      </c>
      <c r="Q398" s="12">
        <f>IF(OR(L398="",D398=""),"",COUNTIFS($L$2:$L$500,L398,$M$2:$M$500,M398,$D$2:$D$500,"&lt;&gt;"))</f>
        <v/>
      </c>
      <c r="R398" s="12">
        <f>IF(AND(D398="",L398=""),"",IF(L398="","Belum ditempatkan",IF(O398="","CEK ID FIXTURE tidak ada di DAFTAR_FIXTURE",IF(M398="","CEK ZONA NO kosong",IF(P398="zona tidak ada di layout","CEK ZONA NO di luar layout",IF(N398&lt;&gt;P398,"CEK JENIS ZONA",IF(D398="","Zona STOCK",IF(E398="","CEK SKU DESCRIPTION kosong","OK"))))))))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IF(OR(O399="",M399=""),"",IFERROR(INDEX(LAYOUT!$D$2:$D$34,MATCH(O399&amp;"|"&amp;M399,LAYOUT!$E$2:$E$34,0)),"zona tidak ada di layout"))</f>
        <v/>
      </c>
      <c r="Q399" s="12">
        <f>IF(OR(L399="",D399=""),"",COUNTIFS($L$2:$L$500,L399,$M$2:$M$500,M399,$D$2:$D$500,"&lt;&gt;"))</f>
        <v/>
      </c>
      <c r="R399" s="12">
        <f>IF(AND(D399="",L399=""),"",IF(L399="","Belum ditempatkan",IF(O399="","CEK ID FIXTURE tidak ada di DAFTAR_FIXTURE",IF(M399="","CEK ZONA NO kosong",IF(P399="zona tidak ada di layout","CEK ZONA NO di luar layout",IF(N399&lt;&gt;P399,"CEK JENIS ZONA",IF(D399="","Zona STOCK",IF(E399="","CEK SKU DESCRIPTION kosong","OK"))))))))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IF(OR(O400="",M400=""),"",IFERROR(INDEX(LAYOUT!$D$2:$D$34,MATCH(O400&amp;"|"&amp;M400,LAYOUT!$E$2:$E$34,0)),"zona tidak ada di layout"))</f>
        <v/>
      </c>
      <c r="Q400" s="12">
        <f>IF(OR(L400="",D400=""),"",COUNTIFS($L$2:$L$500,L400,$M$2:$M$500,M400,$D$2:$D$500,"&lt;&gt;"))</f>
        <v/>
      </c>
      <c r="R400" s="12">
        <f>IF(AND(D400="",L400=""),"",IF(L400="","Belum ditempatkan",IF(O400="","CEK ID FIXTURE tidak ada di DAFTAR_FIXTURE",IF(M400="","CEK ZONA NO kosong",IF(P400="zona tidak ada di layout","CEK ZONA NO di luar layout",IF(N400&lt;&gt;P400,"CEK JENIS ZONA",IF(D400="","Zona STOCK",IF(E400="","CEK SKU DESCRIPTION kosong","OK"))))))))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IF(OR(O401="",M401=""),"",IFERROR(INDEX(LAYOUT!$D$2:$D$34,MATCH(O401&amp;"|"&amp;M401,LAYOUT!$E$2:$E$34,0)),"zona tidak ada di layout"))</f>
        <v/>
      </c>
      <c r="Q401" s="12">
        <f>IF(OR(L401="",D401=""),"",COUNTIFS($L$2:$L$500,L401,$M$2:$M$500,M401,$D$2:$D$500,"&lt;&gt;"))</f>
        <v/>
      </c>
      <c r="R401" s="12">
        <f>IF(AND(D401="",L401=""),"",IF(L401="","Belum ditempatkan",IF(O401="","CEK ID FIXTURE tidak ada di DAFTAR_FIXTURE",IF(M401="","CEK ZONA NO kosong",IF(P401="zona tidak ada di layout","CEK ZONA NO di luar layout",IF(N401&lt;&gt;P401,"CEK JENIS ZONA",IF(D401="","Zona STOCK",IF(E401="","CEK SKU DESCRIPTION kosong","OK"))))))))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IF(OR(O402="",M402=""),"",IFERROR(INDEX(LAYOUT!$D$2:$D$34,MATCH(O402&amp;"|"&amp;M402,LAYOUT!$E$2:$E$34,0)),"zona tidak ada di layout"))</f>
        <v/>
      </c>
      <c r="Q402" s="12">
        <f>IF(OR(L402="",D402=""),"",COUNTIFS($L$2:$L$500,L402,$M$2:$M$500,M402,$D$2:$D$500,"&lt;&gt;"))</f>
        <v/>
      </c>
      <c r="R402" s="12">
        <f>IF(AND(D402="",L402=""),"",IF(L402="","Belum ditempatkan",IF(O402="","CEK ID FIXTURE tidak ada di DAFTAR_FIXTURE",IF(M402="","CEK ZONA NO kosong",IF(P402="zona tidak ada di layout","CEK ZONA NO di luar layout",IF(N402&lt;&gt;P402,"CEK JENIS ZONA",IF(D402="","Zona STOCK",IF(E402="","CEK SKU DESCRIPTION kosong","OK"))))))))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IF(OR(O403="",M403=""),"",IFERROR(INDEX(LAYOUT!$D$2:$D$34,MATCH(O403&amp;"|"&amp;M403,LAYOUT!$E$2:$E$34,0)),"zona tidak ada di layout"))</f>
        <v/>
      </c>
      <c r="Q403" s="12">
        <f>IF(OR(L403="",D403=""),"",COUNTIFS($L$2:$L$500,L403,$M$2:$M$500,M403,$D$2:$D$500,"&lt;&gt;"))</f>
        <v/>
      </c>
      <c r="R403" s="12">
        <f>IF(AND(D403="",L403=""),"",IF(L403="","Belum ditempatkan",IF(O403="","CEK ID FIXTURE tidak ada di DAFTAR_FIXTURE",IF(M403="","CEK ZONA NO kosong",IF(P403="zona tidak ada di layout","CEK ZONA NO di luar layout",IF(N403&lt;&gt;P403,"CEK JENIS ZONA",IF(D403="","Zona STOCK",IF(E403="","CEK SKU DESCRIPTION kosong","OK"))))))))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IF(OR(O404="",M404=""),"",IFERROR(INDEX(LAYOUT!$D$2:$D$34,MATCH(O404&amp;"|"&amp;M404,LAYOUT!$E$2:$E$34,0)),"zona tidak ada di layout"))</f>
        <v/>
      </c>
      <c r="Q404" s="12">
        <f>IF(OR(L404="",D404=""),"",COUNTIFS($L$2:$L$500,L404,$M$2:$M$500,M404,$D$2:$D$500,"&lt;&gt;"))</f>
        <v/>
      </c>
      <c r="R404" s="12">
        <f>IF(AND(D404="",L404=""),"",IF(L404="","Belum ditempatkan",IF(O404="","CEK ID FIXTURE tidak ada di DAFTAR_FIXTURE",IF(M404="","CEK ZONA NO kosong",IF(P404="zona tidak ada di layout","CEK ZONA NO di luar layout",IF(N404&lt;&gt;P404,"CEK JENIS ZONA",IF(D404="","Zona STOCK",IF(E404="","CEK SKU DESCRIPTION kosong","OK"))))))))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IF(OR(O405="",M405=""),"",IFERROR(INDEX(LAYOUT!$D$2:$D$34,MATCH(O405&amp;"|"&amp;M405,LAYOUT!$E$2:$E$34,0)),"zona tidak ada di layout"))</f>
        <v/>
      </c>
      <c r="Q405" s="12">
        <f>IF(OR(L405="",D405=""),"",COUNTIFS($L$2:$L$500,L405,$M$2:$M$500,M405,$D$2:$D$500,"&lt;&gt;"))</f>
        <v/>
      </c>
      <c r="R405" s="12">
        <f>IF(AND(D405="",L405=""),"",IF(L405="","Belum ditempatkan",IF(O405="","CEK ID FIXTURE tidak ada di DAFTAR_FIXTURE",IF(M405="","CEK ZONA NO kosong",IF(P405="zona tidak ada di layout","CEK ZONA NO di luar layout",IF(N405&lt;&gt;P405,"CEK JENIS ZONA",IF(D405="","Zona STOCK",IF(E405="","CEK SKU DESCRIPTION kosong","OK"))))))))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IF(OR(O406="",M406=""),"",IFERROR(INDEX(LAYOUT!$D$2:$D$34,MATCH(O406&amp;"|"&amp;M406,LAYOUT!$E$2:$E$34,0)),"zona tidak ada di layout"))</f>
        <v/>
      </c>
      <c r="Q406" s="12">
        <f>IF(OR(L406="",D406=""),"",COUNTIFS($L$2:$L$500,L406,$M$2:$M$500,M406,$D$2:$D$500,"&lt;&gt;"))</f>
        <v/>
      </c>
      <c r="R406" s="12">
        <f>IF(AND(D406="",L406=""),"",IF(L406="","Belum ditempatkan",IF(O406="","CEK ID FIXTURE tidak ada di DAFTAR_FIXTURE",IF(M406="","CEK ZONA NO kosong",IF(P406="zona tidak ada di layout","CEK ZONA NO di luar layout",IF(N406&lt;&gt;P406,"CEK JENIS ZONA",IF(D406="","Zona STOCK",IF(E406="","CEK SKU DESCRIPTION kosong","OK"))))))))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IF(OR(O407="",M407=""),"",IFERROR(INDEX(LAYOUT!$D$2:$D$34,MATCH(O407&amp;"|"&amp;M407,LAYOUT!$E$2:$E$34,0)),"zona tidak ada di layout"))</f>
        <v/>
      </c>
      <c r="Q407" s="12">
        <f>IF(OR(L407="",D407=""),"",COUNTIFS($L$2:$L$500,L407,$M$2:$M$500,M407,$D$2:$D$500,"&lt;&gt;"))</f>
        <v/>
      </c>
      <c r="R407" s="12">
        <f>IF(AND(D407="",L407=""),"",IF(L407="","Belum ditempatkan",IF(O407="","CEK ID FIXTURE tidak ada di DAFTAR_FIXTURE",IF(M407="","CEK ZONA NO kosong",IF(P407="zona tidak ada di layout","CEK ZONA NO di luar layout",IF(N407&lt;&gt;P407,"CEK JENIS ZONA",IF(D407="","Zona STOCK",IF(E407="","CEK SKU DESCRIPTION kosong","OK"))))))))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IF(OR(O408="",M408=""),"",IFERROR(INDEX(LAYOUT!$D$2:$D$34,MATCH(O408&amp;"|"&amp;M408,LAYOUT!$E$2:$E$34,0)),"zona tidak ada di layout"))</f>
        <v/>
      </c>
      <c r="Q408" s="12">
        <f>IF(OR(L408="",D408=""),"",COUNTIFS($L$2:$L$500,L408,$M$2:$M$500,M408,$D$2:$D$500,"&lt;&gt;"))</f>
        <v/>
      </c>
      <c r="R408" s="12">
        <f>IF(AND(D408="",L408=""),"",IF(L408="","Belum ditempatkan",IF(O408="","CEK ID FIXTURE tidak ada di DAFTAR_FIXTURE",IF(M408="","CEK ZONA NO kosong",IF(P408="zona tidak ada di layout","CEK ZONA NO di luar layout",IF(N408&lt;&gt;P408,"CEK JENIS ZONA",IF(D408="","Zona STOCK",IF(E408="","CEK SKU DESCRIPTION kosong","OK"))))))))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IF(OR(O409="",M409=""),"",IFERROR(INDEX(LAYOUT!$D$2:$D$34,MATCH(O409&amp;"|"&amp;M409,LAYOUT!$E$2:$E$34,0)),"zona tidak ada di layout"))</f>
        <v/>
      </c>
      <c r="Q409" s="12">
        <f>IF(OR(L409="",D409=""),"",COUNTIFS($L$2:$L$500,L409,$M$2:$M$500,M409,$D$2:$D$500,"&lt;&gt;"))</f>
        <v/>
      </c>
      <c r="R409" s="12">
        <f>IF(AND(D409="",L409=""),"",IF(L409="","Belum ditempatkan",IF(O409="","CEK ID FIXTURE tidak ada di DAFTAR_FIXTURE",IF(M409="","CEK ZONA NO kosong",IF(P409="zona tidak ada di layout","CEK ZONA NO di luar layout",IF(N409&lt;&gt;P409,"CEK JENIS ZONA",IF(D409="","Zona STOCK",IF(E409="","CEK SKU DESCRIPTION kosong","OK"))))))))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IF(OR(O410="",M410=""),"",IFERROR(INDEX(LAYOUT!$D$2:$D$34,MATCH(O410&amp;"|"&amp;M410,LAYOUT!$E$2:$E$34,0)),"zona tidak ada di layout"))</f>
        <v/>
      </c>
      <c r="Q410" s="12">
        <f>IF(OR(L410="",D410=""),"",COUNTIFS($L$2:$L$500,L410,$M$2:$M$500,M410,$D$2:$D$500,"&lt;&gt;"))</f>
        <v/>
      </c>
      <c r="R410" s="12">
        <f>IF(AND(D410="",L410=""),"",IF(L410="","Belum ditempatkan",IF(O410="","CEK ID FIXTURE tidak ada di DAFTAR_FIXTURE",IF(M410="","CEK ZONA NO kosong",IF(P410="zona tidak ada di layout","CEK ZONA NO di luar layout",IF(N410&lt;&gt;P410,"CEK JENIS ZONA",IF(D410="","Zona STOCK",IF(E410="","CEK SKU DESCRIPTION kosong","OK"))))))))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IF(OR(O411="",M411=""),"",IFERROR(INDEX(LAYOUT!$D$2:$D$34,MATCH(O411&amp;"|"&amp;M411,LAYOUT!$E$2:$E$34,0)),"zona tidak ada di layout"))</f>
        <v/>
      </c>
      <c r="Q411" s="12">
        <f>IF(OR(L411="",D411=""),"",COUNTIFS($L$2:$L$500,L411,$M$2:$M$500,M411,$D$2:$D$500,"&lt;&gt;"))</f>
        <v/>
      </c>
      <c r="R411" s="12">
        <f>IF(AND(D411="",L411=""),"",IF(L411="","Belum ditempatkan",IF(O411="","CEK ID FIXTURE tidak ada di DAFTAR_FIXTURE",IF(M411="","CEK ZONA NO kosong",IF(P411="zona tidak ada di layout","CEK ZONA NO di luar layout",IF(N411&lt;&gt;P411,"CEK JENIS ZONA",IF(D411="","Zona STOCK",IF(E411="","CEK SKU DESCRIPTION kosong","OK"))))))))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IF(OR(O412="",M412=""),"",IFERROR(INDEX(LAYOUT!$D$2:$D$34,MATCH(O412&amp;"|"&amp;M412,LAYOUT!$E$2:$E$34,0)),"zona tidak ada di layout"))</f>
        <v/>
      </c>
      <c r="Q412" s="12">
        <f>IF(OR(L412="",D412=""),"",COUNTIFS($L$2:$L$500,L412,$M$2:$M$500,M412,$D$2:$D$500,"&lt;&gt;"))</f>
        <v/>
      </c>
      <c r="R412" s="12">
        <f>IF(AND(D412="",L412=""),"",IF(L412="","Belum ditempatkan",IF(O412="","CEK ID FIXTURE tidak ada di DAFTAR_FIXTURE",IF(M412="","CEK ZONA NO kosong",IF(P412="zona tidak ada di layout","CEK ZONA NO di luar layout",IF(N412&lt;&gt;P412,"CEK JENIS ZONA",IF(D412="","Zona STOCK",IF(E412="","CEK SKU DESCRIPTION kosong","OK"))))))))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IF(OR(O413="",M413=""),"",IFERROR(INDEX(LAYOUT!$D$2:$D$34,MATCH(O413&amp;"|"&amp;M413,LAYOUT!$E$2:$E$34,0)),"zona tidak ada di layout"))</f>
        <v/>
      </c>
      <c r="Q413" s="12">
        <f>IF(OR(L413="",D413=""),"",COUNTIFS($L$2:$L$500,L413,$M$2:$M$500,M413,$D$2:$D$500,"&lt;&gt;"))</f>
        <v/>
      </c>
      <c r="R413" s="12">
        <f>IF(AND(D413="",L413=""),"",IF(L413="","Belum ditempatkan",IF(O413="","CEK ID FIXTURE tidak ada di DAFTAR_FIXTURE",IF(M413="","CEK ZONA NO kosong",IF(P413="zona tidak ada di layout","CEK ZONA NO di luar layout",IF(N413&lt;&gt;P413,"CEK JENIS ZONA",IF(D413="","Zona STOCK",IF(E413="","CEK SKU DESCRIPTION kosong","OK"))))))))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IF(OR(O414="",M414=""),"",IFERROR(INDEX(LAYOUT!$D$2:$D$34,MATCH(O414&amp;"|"&amp;M414,LAYOUT!$E$2:$E$34,0)),"zona tidak ada di layout"))</f>
        <v/>
      </c>
      <c r="Q414" s="12">
        <f>IF(OR(L414="",D414=""),"",COUNTIFS($L$2:$L$500,L414,$M$2:$M$500,M414,$D$2:$D$500,"&lt;&gt;"))</f>
        <v/>
      </c>
      <c r="R414" s="12">
        <f>IF(AND(D414="",L414=""),"",IF(L414="","Belum ditempatkan",IF(O414="","CEK ID FIXTURE tidak ada di DAFTAR_FIXTURE",IF(M414="","CEK ZONA NO kosong",IF(P414="zona tidak ada di layout","CEK ZONA NO di luar layout",IF(N414&lt;&gt;P414,"CEK JENIS ZONA",IF(D414="","Zona STOCK",IF(E414="","CEK SKU DESCRIPTION kosong","OK"))))))))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IF(OR(O415="",M415=""),"",IFERROR(INDEX(LAYOUT!$D$2:$D$34,MATCH(O415&amp;"|"&amp;M415,LAYOUT!$E$2:$E$34,0)),"zona tidak ada di layout"))</f>
        <v/>
      </c>
      <c r="Q415" s="12">
        <f>IF(OR(L415="",D415=""),"",COUNTIFS($L$2:$L$500,L415,$M$2:$M$500,M415,$D$2:$D$500,"&lt;&gt;"))</f>
        <v/>
      </c>
      <c r="R415" s="12">
        <f>IF(AND(D415="",L415=""),"",IF(L415="","Belum ditempatkan",IF(O415="","CEK ID FIXTURE tidak ada di DAFTAR_FIXTURE",IF(M415="","CEK ZONA NO kosong",IF(P415="zona tidak ada di layout","CEK ZONA NO di luar layout",IF(N415&lt;&gt;P415,"CEK JENIS ZONA",IF(D415="","Zona STOCK",IF(E415="","CEK SKU DESCRIPTION kosong","OK"))))))))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IF(OR(O416="",M416=""),"",IFERROR(INDEX(LAYOUT!$D$2:$D$34,MATCH(O416&amp;"|"&amp;M416,LAYOUT!$E$2:$E$34,0)),"zona tidak ada di layout"))</f>
        <v/>
      </c>
      <c r="Q416" s="12">
        <f>IF(OR(L416="",D416=""),"",COUNTIFS($L$2:$L$500,L416,$M$2:$M$500,M416,$D$2:$D$500,"&lt;&gt;"))</f>
        <v/>
      </c>
      <c r="R416" s="12">
        <f>IF(AND(D416="",L416=""),"",IF(L416="","Belum ditempatkan",IF(O416="","CEK ID FIXTURE tidak ada di DAFTAR_FIXTURE",IF(M416="","CEK ZONA NO kosong",IF(P416="zona tidak ada di layout","CEK ZONA NO di luar layout",IF(N416&lt;&gt;P416,"CEK JENIS ZONA",IF(D416="","Zona STOCK",IF(E416="","CEK SKU DESCRIPTION kosong","OK"))))))))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IF(OR(O417="",M417=""),"",IFERROR(INDEX(LAYOUT!$D$2:$D$34,MATCH(O417&amp;"|"&amp;M417,LAYOUT!$E$2:$E$34,0)),"zona tidak ada di layout"))</f>
        <v/>
      </c>
      <c r="Q417" s="12">
        <f>IF(OR(L417="",D417=""),"",COUNTIFS($L$2:$L$500,L417,$M$2:$M$500,M417,$D$2:$D$500,"&lt;&gt;"))</f>
        <v/>
      </c>
      <c r="R417" s="12">
        <f>IF(AND(D417="",L417=""),"",IF(L417="","Belum ditempatkan",IF(O417="","CEK ID FIXTURE tidak ada di DAFTAR_FIXTURE",IF(M417="","CEK ZONA NO kosong",IF(P417="zona tidak ada di layout","CEK ZONA NO di luar layout",IF(N417&lt;&gt;P417,"CEK JENIS ZONA",IF(D417="","Zona STOCK",IF(E417="","CEK SKU DESCRIPTION kosong","OK"))))))))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IF(OR(O418="",M418=""),"",IFERROR(INDEX(LAYOUT!$D$2:$D$34,MATCH(O418&amp;"|"&amp;M418,LAYOUT!$E$2:$E$34,0)),"zona tidak ada di layout"))</f>
        <v/>
      </c>
      <c r="Q418" s="12">
        <f>IF(OR(L418="",D418=""),"",COUNTIFS($L$2:$L$500,L418,$M$2:$M$500,M418,$D$2:$D$500,"&lt;&gt;"))</f>
        <v/>
      </c>
      <c r="R418" s="12">
        <f>IF(AND(D418="",L418=""),"",IF(L418="","Belum ditempatkan",IF(O418="","CEK ID FIXTURE tidak ada di DAFTAR_FIXTURE",IF(M418="","CEK ZONA NO kosong",IF(P418="zona tidak ada di layout","CEK ZONA NO di luar layout",IF(N418&lt;&gt;P418,"CEK JENIS ZONA",IF(D418="","Zona STOCK",IF(E418="","CEK SKU DESCRIPTION kosong","OK"))))))))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IF(OR(O419="",M419=""),"",IFERROR(INDEX(LAYOUT!$D$2:$D$34,MATCH(O419&amp;"|"&amp;M419,LAYOUT!$E$2:$E$34,0)),"zona tidak ada di layout"))</f>
        <v/>
      </c>
      <c r="Q419" s="12">
        <f>IF(OR(L419="",D419=""),"",COUNTIFS($L$2:$L$500,L419,$M$2:$M$500,M419,$D$2:$D$500,"&lt;&gt;"))</f>
        <v/>
      </c>
      <c r="R419" s="12">
        <f>IF(AND(D419="",L419=""),"",IF(L419="","Belum ditempatkan",IF(O419="","CEK ID FIXTURE tidak ada di DAFTAR_FIXTURE",IF(M419="","CEK ZONA NO kosong",IF(P419="zona tidak ada di layout","CEK ZONA NO di luar layout",IF(N419&lt;&gt;P419,"CEK JENIS ZONA",IF(D419="","Zona STOCK",IF(E419="","CEK SKU DESCRIPTION kosong","OK"))))))))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IF(OR(O420="",M420=""),"",IFERROR(INDEX(LAYOUT!$D$2:$D$34,MATCH(O420&amp;"|"&amp;M420,LAYOUT!$E$2:$E$34,0)),"zona tidak ada di layout"))</f>
        <v/>
      </c>
      <c r="Q420" s="12">
        <f>IF(OR(L420="",D420=""),"",COUNTIFS($L$2:$L$500,L420,$M$2:$M$500,M420,$D$2:$D$500,"&lt;&gt;"))</f>
        <v/>
      </c>
      <c r="R420" s="12">
        <f>IF(AND(D420="",L420=""),"",IF(L420="","Belum ditempatkan",IF(O420="","CEK ID FIXTURE tidak ada di DAFTAR_FIXTURE",IF(M420="","CEK ZONA NO kosong",IF(P420="zona tidak ada di layout","CEK ZONA NO di luar layout",IF(N420&lt;&gt;P420,"CEK JENIS ZONA",IF(D420="","Zona STOCK",IF(E420="","CEK SKU DESCRIPTION kosong","OK"))))))))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IF(OR(O421="",M421=""),"",IFERROR(INDEX(LAYOUT!$D$2:$D$34,MATCH(O421&amp;"|"&amp;M421,LAYOUT!$E$2:$E$34,0)),"zona tidak ada di layout"))</f>
        <v/>
      </c>
      <c r="Q421" s="12">
        <f>IF(OR(L421="",D421=""),"",COUNTIFS($L$2:$L$500,L421,$M$2:$M$500,M421,$D$2:$D$500,"&lt;&gt;"))</f>
        <v/>
      </c>
      <c r="R421" s="12">
        <f>IF(AND(D421="",L421=""),"",IF(L421="","Belum ditempatkan",IF(O421="","CEK ID FIXTURE tidak ada di DAFTAR_FIXTURE",IF(M421="","CEK ZONA NO kosong",IF(P421="zona tidak ada di layout","CEK ZONA NO di luar layout",IF(N421&lt;&gt;P421,"CEK JENIS ZONA",IF(D421="","Zona STOCK",IF(E421="","CEK SKU DESCRIPTION kosong","OK"))))))))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IF(OR(O422="",M422=""),"",IFERROR(INDEX(LAYOUT!$D$2:$D$34,MATCH(O422&amp;"|"&amp;M422,LAYOUT!$E$2:$E$34,0)),"zona tidak ada di layout"))</f>
        <v/>
      </c>
      <c r="Q422" s="12">
        <f>IF(OR(L422="",D422=""),"",COUNTIFS($L$2:$L$500,L422,$M$2:$M$500,M422,$D$2:$D$500,"&lt;&gt;"))</f>
        <v/>
      </c>
      <c r="R422" s="12">
        <f>IF(AND(D422="",L422=""),"",IF(L422="","Belum ditempatkan",IF(O422="","CEK ID FIXTURE tidak ada di DAFTAR_FIXTURE",IF(M422="","CEK ZONA NO kosong",IF(P422="zona tidak ada di layout","CEK ZONA NO di luar layout",IF(N422&lt;&gt;P422,"CEK JENIS ZONA",IF(D422="","Zona STOCK",IF(E422="","CEK SKU DESCRIPTION kosong","OK"))))))))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IF(OR(O423="",M423=""),"",IFERROR(INDEX(LAYOUT!$D$2:$D$34,MATCH(O423&amp;"|"&amp;M423,LAYOUT!$E$2:$E$34,0)),"zona tidak ada di layout"))</f>
        <v/>
      </c>
      <c r="Q423" s="12">
        <f>IF(OR(L423="",D423=""),"",COUNTIFS($L$2:$L$500,L423,$M$2:$M$500,M423,$D$2:$D$500,"&lt;&gt;"))</f>
        <v/>
      </c>
      <c r="R423" s="12">
        <f>IF(AND(D423="",L423=""),"",IF(L423="","Belum ditempatkan",IF(O423="","CEK ID FIXTURE tidak ada di DAFTAR_FIXTURE",IF(M423="","CEK ZONA NO kosong",IF(P423="zona tidak ada di layout","CEK ZONA NO di luar layout",IF(N423&lt;&gt;P423,"CEK JENIS ZONA",IF(D423="","Zona STOCK",IF(E423="","CEK SKU DESCRIPTION kosong","OK"))))))))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IF(OR(O424="",M424=""),"",IFERROR(INDEX(LAYOUT!$D$2:$D$34,MATCH(O424&amp;"|"&amp;M424,LAYOUT!$E$2:$E$34,0)),"zona tidak ada di layout"))</f>
        <v/>
      </c>
      <c r="Q424" s="12">
        <f>IF(OR(L424="",D424=""),"",COUNTIFS($L$2:$L$500,L424,$M$2:$M$500,M424,$D$2:$D$500,"&lt;&gt;"))</f>
        <v/>
      </c>
      <c r="R424" s="12">
        <f>IF(AND(D424="",L424=""),"",IF(L424="","Belum ditempatkan",IF(O424="","CEK ID FIXTURE tidak ada di DAFTAR_FIXTURE",IF(M424="","CEK ZONA NO kosong",IF(P424="zona tidak ada di layout","CEK ZONA NO di luar layout",IF(N424&lt;&gt;P424,"CEK JENIS ZONA",IF(D424="","Zona STOCK",IF(E424="","CEK SKU DESCRIPTION kosong","OK"))))))))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IF(OR(O425="",M425=""),"",IFERROR(INDEX(LAYOUT!$D$2:$D$34,MATCH(O425&amp;"|"&amp;M425,LAYOUT!$E$2:$E$34,0)),"zona tidak ada di layout"))</f>
        <v/>
      </c>
      <c r="Q425" s="12">
        <f>IF(OR(L425="",D425=""),"",COUNTIFS($L$2:$L$500,L425,$M$2:$M$500,M425,$D$2:$D$500,"&lt;&gt;"))</f>
        <v/>
      </c>
      <c r="R425" s="12">
        <f>IF(AND(D425="",L425=""),"",IF(L425="","Belum ditempatkan",IF(O425="","CEK ID FIXTURE tidak ada di DAFTAR_FIXTURE",IF(M425="","CEK ZONA NO kosong",IF(P425="zona tidak ada di layout","CEK ZONA NO di luar layout",IF(N425&lt;&gt;P425,"CEK JENIS ZONA",IF(D425="","Zona STOCK",IF(E425="","CEK SKU DESCRIPTION kosong","OK"))))))))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IF(OR(O426="",M426=""),"",IFERROR(INDEX(LAYOUT!$D$2:$D$34,MATCH(O426&amp;"|"&amp;M426,LAYOUT!$E$2:$E$34,0)),"zona tidak ada di layout"))</f>
        <v/>
      </c>
      <c r="Q426" s="12">
        <f>IF(OR(L426="",D426=""),"",COUNTIFS($L$2:$L$500,L426,$M$2:$M$500,M426,$D$2:$D$500,"&lt;&gt;"))</f>
        <v/>
      </c>
      <c r="R426" s="12">
        <f>IF(AND(D426="",L426=""),"",IF(L426="","Belum ditempatkan",IF(O426="","CEK ID FIXTURE tidak ada di DAFTAR_FIXTURE",IF(M426="","CEK ZONA NO kosong",IF(P426="zona tidak ada di layout","CEK ZONA NO di luar layout",IF(N426&lt;&gt;P426,"CEK JENIS ZONA",IF(D426="","Zona STOCK",IF(E426="","CEK SKU DESCRIPTION kosong","OK"))))))))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IF(OR(O427="",M427=""),"",IFERROR(INDEX(LAYOUT!$D$2:$D$34,MATCH(O427&amp;"|"&amp;M427,LAYOUT!$E$2:$E$34,0)),"zona tidak ada di layout"))</f>
        <v/>
      </c>
      <c r="Q427" s="12">
        <f>IF(OR(L427="",D427=""),"",COUNTIFS($L$2:$L$500,L427,$M$2:$M$500,M427,$D$2:$D$500,"&lt;&gt;"))</f>
        <v/>
      </c>
      <c r="R427" s="12">
        <f>IF(AND(D427="",L427=""),"",IF(L427="","Belum ditempatkan",IF(O427="","CEK ID FIXTURE tidak ada di DAFTAR_FIXTURE",IF(M427="","CEK ZONA NO kosong",IF(P427="zona tidak ada di layout","CEK ZONA NO di luar layout",IF(N427&lt;&gt;P427,"CEK JENIS ZONA",IF(D427="","Zona STOCK",IF(E427="","CEK SKU DESCRIPTION kosong","OK"))))))))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IF(OR(O428="",M428=""),"",IFERROR(INDEX(LAYOUT!$D$2:$D$34,MATCH(O428&amp;"|"&amp;M428,LAYOUT!$E$2:$E$34,0)),"zona tidak ada di layout"))</f>
        <v/>
      </c>
      <c r="Q428" s="12">
        <f>IF(OR(L428="",D428=""),"",COUNTIFS($L$2:$L$500,L428,$M$2:$M$500,M428,$D$2:$D$500,"&lt;&gt;"))</f>
        <v/>
      </c>
      <c r="R428" s="12">
        <f>IF(AND(D428="",L428=""),"",IF(L428="","Belum ditempatkan",IF(O428="","CEK ID FIXTURE tidak ada di DAFTAR_FIXTURE",IF(M428="","CEK ZONA NO kosong",IF(P428="zona tidak ada di layout","CEK ZONA NO di luar layout",IF(N428&lt;&gt;P428,"CEK JENIS ZONA",IF(D428="","Zona STOCK",IF(E428="","CEK SKU DESCRIPTION kosong","OK"))))))))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IF(OR(O429="",M429=""),"",IFERROR(INDEX(LAYOUT!$D$2:$D$34,MATCH(O429&amp;"|"&amp;M429,LAYOUT!$E$2:$E$34,0)),"zona tidak ada di layout"))</f>
        <v/>
      </c>
      <c r="Q429" s="12">
        <f>IF(OR(L429="",D429=""),"",COUNTIFS($L$2:$L$500,L429,$M$2:$M$500,M429,$D$2:$D$500,"&lt;&gt;"))</f>
        <v/>
      </c>
      <c r="R429" s="12">
        <f>IF(AND(D429="",L429=""),"",IF(L429="","Belum ditempatkan",IF(O429="","CEK ID FIXTURE tidak ada di DAFTAR_FIXTURE",IF(M429="","CEK ZONA NO kosong",IF(P429="zona tidak ada di layout","CEK ZONA NO di luar layout",IF(N429&lt;&gt;P429,"CEK JENIS ZONA",IF(D429="","Zona STOCK",IF(E429="","CEK SKU DESCRIPTION kosong","OK"))))))))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IF(OR(O430="",M430=""),"",IFERROR(INDEX(LAYOUT!$D$2:$D$34,MATCH(O430&amp;"|"&amp;M430,LAYOUT!$E$2:$E$34,0)),"zona tidak ada di layout"))</f>
        <v/>
      </c>
      <c r="Q430" s="12">
        <f>IF(OR(L430="",D430=""),"",COUNTIFS($L$2:$L$500,L430,$M$2:$M$500,M430,$D$2:$D$500,"&lt;&gt;"))</f>
        <v/>
      </c>
      <c r="R430" s="12">
        <f>IF(AND(D430="",L430=""),"",IF(L430="","Belum ditempatkan",IF(O430="","CEK ID FIXTURE tidak ada di DAFTAR_FIXTURE",IF(M430="","CEK ZONA NO kosong",IF(P430="zona tidak ada di layout","CEK ZONA NO di luar layout",IF(N430&lt;&gt;P430,"CEK JENIS ZONA",IF(D430="","Zona STOCK",IF(E430="","CEK SKU DESCRIPTION kosong","OK"))))))))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IF(OR(O431="",M431=""),"",IFERROR(INDEX(LAYOUT!$D$2:$D$34,MATCH(O431&amp;"|"&amp;M431,LAYOUT!$E$2:$E$34,0)),"zona tidak ada di layout"))</f>
        <v/>
      </c>
      <c r="Q431" s="12">
        <f>IF(OR(L431="",D431=""),"",COUNTIFS($L$2:$L$500,L431,$M$2:$M$500,M431,$D$2:$D$500,"&lt;&gt;"))</f>
        <v/>
      </c>
      <c r="R431" s="12">
        <f>IF(AND(D431="",L431=""),"",IF(L431="","Belum ditempatkan",IF(O431="","CEK ID FIXTURE tidak ada di DAFTAR_FIXTURE",IF(M431="","CEK ZONA NO kosong",IF(P431="zona tidak ada di layout","CEK ZONA NO di luar layout",IF(N431&lt;&gt;P431,"CEK JENIS ZONA",IF(D431="","Zona STOCK",IF(E431="","CEK SKU DESCRIPTION kosong","OK"))))))))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IF(OR(O432="",M432=""),"",IFERROR(INDEX(LAYOUT!$D$2:$D$34,MATCH(O432&amp;"|"&amp;M432,LAYOUT!$E$2:$E$34,0)),"zona tidak ada di layout"))</f>
        <v/>
      </c>
      <c r="Q432" s="12">
        <f>IF(OR(L432="",D432=""),"",COUNTIFS($L$2:$L$500,L432,$M$2:$M$500,M432,$D$2:$D$500,"&lt;&gt;"))</f>
        <v/>
      </c>
      <c r="R432" s="12">
        <f>IF(AND(D432="",L432=""),"",IF(L432="","Belum ditempatkan",IF(O432="","CEK ID FIXTURE tidak ada di DAFTAR_FIXTURE",IF(M432="","CEK ZONA NO kosong",IF(P432="zona tidak ada di layout","CEK ZONA NO di luar layout",IF(N432&lt;&gt;P432,"CEK JENIS ZONA",IF(D432="","Zona STOCK",IF(E432="","CEK SKU DESCRIPTION kosong","OK"))))))))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IF(OR(O433="",M433=""),"",IFERROR(INDEX(LAYOUT!$D$2:$D$34,MATCH(O433&amp;"|"&amp;M433,LAYOUT!$E$2:$E$34,0)),"zona tidak ada di layout"))</f>
        <v/>
      </c>
      <c r="Q433" s="12">
        <f>IF(OR(L433="",D433=""),"",COUNTIFS($L$2:$L$500,L433,$M$2:$M$500,M433,$D$2:$D$500,"&lt;&gt;"))</f>
        <v/>
      </c>
      <c r="R433" s="12">
        <f>IF(AND(D433="",L433=""),"",IF(L433="","Belum ditempatkan",IF(O433="","CEK ID FIXTURE tidak ada di DAFTAR_FIXTURE",IF(M433="","CEK ZONA NO kosong",IF(P433="zona tidak ada di layout","CEK ZONA NO di luar layout",IF(N433&lt;&gt;P433,"CEK JENIS ZONA",IF(D433="","Zona STOCK",IF(E433="","CEK SKU DESCRIPTION kosong","OK"))))))))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IF(OR(O434="",M434=""),"",IFERROR(INDEX(LAYOUT!$D$2:$D$34,MATCH(O434&amp;"|"&amp;M434,LAYOUT!$E$2:$E$34,0)),"zona tidak ada di layout"))</f>
        <v/>
      </c>
      <c r="Q434" s="12">
        <f>IF(OR(L434="",D434=""),"",COUNTIFS($L$2:$L$500,L434,$M$2:$M$500,M434,$D$2:$D$500,"&lt;&gt;"))</f>
        <v/>
      </c>
      <c r="R434" s="12">
        <f>IF(AND(D434="",L434=""),"",IF(L434="","Belum ditempatkan",IF(O434="","CEK ID FIXTURE tidak ada di DAFTAR_FIXTURE",IF(M434="","CEK ZONA NO kosong",IF(P434="zona tidak ada di layout","CEK ZONA NO di luar layout",IF(N434&lt;&gt;P434,"CEK JENIS ZONA",IF(D434="","Zona STOCK",IF(E434="","CEK SKU DESCRIPTION kosong","OK"))))))))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IF(OR(O435="",M435=""),"",IFERROR(INDEX(LAYOUT!$D$2:$D$34,MATCH(O435&amp;"|"&amp;M435,LAYOUT!$E$2:$E$34,0)),"zona tidak ada di layout"))</f>
        <v/>
      </c>
      <c r="Q435" s="12">
        <f>IF(OR(L435="",D435=""),"",COUNTIFS($L$2:$L$500,L435,$M$2:$M$500,M435,$D$2:$D$500,"&lt;&gt;"))</f>
        <v/>
      </c>
      <c r="R435" s="12">
        <f>IF(AND(D435="",L435=""),"",IF(L435="","Belum ditempatkan",IF(O435="","CEK ID FIXTURE tidak ada di DAFTAR_FIXTURE",IF(M435="","CEK ZONA NO kosong",IF(P435="zona tidak ada di layout","CEK ZONA NO di luar layout",IF(N435&lt;&gt;P435,"CEK JENIS ZONA",IF(D435="","Zona STOCK",IF(E435="","CEK SKU DESCRIPTION kosong","OK"))))))))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IF(OR(O436="",M436=""),"",IFERROR(INDEX(LAYOUT!$D$2:$D$34,MATCH(O436&amp;"|"&amp;M436,LAYOUT!$E$2:$E$34,0)),"zona tidak ada di layout"))</f>
        <v/>
      </c>
      <c r="Q436" s="12">
        <f>IF(OR(L436="",D436=""),"",COUNTIFS($L$2:$L$500,L436,$M$2:$M$500,M436,$D$2:$D$500,"&lt;&gt;"))</f>
        <v/>
      </c>
      <c r="R436" s="12">
        <f>IF(AND(D436="",L436=""),"",IF(L436="","Belum ditempatkan",IF(O436="","CEK ID FIXTURE tidak ada di DAFTAR_FIXTURE",IF(M436="","CEK ZONA NO kosong",IF(P436="zona tidak ada di layout","CEK ZONA NO di luar layout",IF(N436&lt;&gt;P436,"CEK JENIS ZONA",IF(D436="","Zona STOCK",IF(E436="","CEK SKU DESCRIPTION kosong","OK"))))))))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IF(OR(O437="",M437=""),"",IFERROR(INDEX(LAYOUT!$D$2:$D$34,MATCH(O437&amp;"|"&amp;M437,LAYOUT!$E$2:$E$34,0)),"zona tidak ada di layout"))</f>
        <v/>
      </c>
      <c r="Q437" s="12">
        <f>IF(OR(L437="",D437=""),"",COUNTIFS($L$2:$L$500,L437,$M$2:$M$500,M437,$D$2:$D$500,"&lt;&gt;"))</f>
        <v/>
      </c>
      <c r="R437" s="12">
        <f>IF(AND(D437="",L437=""),"",IF(L437="","Belum ditempatkan",IF(O437="","CEK ID FIXTURE tidak ada di DAFTAR_FIXTURE",IF(M437="","CEK ZONA NO kosong",IF(P437="zona tidak ada di layout","CEK ZONA NO di luar layout",IF(N437&lt;&gt;P437,"CEK JENIS ZONA",IF(D437="","Zona STOCK",IF(E437="","CEK SKU DESCRIPTION kosong","OK"))))))))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IF(OR(O438="",M438=""),"",IFERROR(INDEX(LAYOUT!$D$2:$D$34,MATCH(O438&amp;"|"&amp;M438,LAYOUT!$E$2:$E$34,0)),"zona tidak ada di layout"))</f>
        <v/>
      </c>
      <c r="Q438" s="12">
        <f>IF(OR(L438="",D438=""),"",COUNTIFS($L$2:$L$500,L438,$M$2:$M$500,M438,$D$2:$D$500,"&lt;&gt;"))</f>
        <v/>
      </c>
      <c r="R438" s="12">
        <f>IF(AND(D438="",L438=""),"",IF(L438="","Belum ditempatkan",IF(O438="","CEK ID FIXTURE tidak ada di DAFTAR_FIXTURE",IF(M438="","CEK ZONA NO kosong",IF(P438="zona tidak ada di layout","CEK ZONA NO di luar layout",IF(N438&lt;&gt;P438,"CEK JENIS ZONA",IF(D438="","Zona STOCK",IF(E438="","CEK SKU DESCRIPTION kosong","OK"))))))))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IF(OR(O439="",M439=""),"",IFERROR(INDEX(LAYOUT!$D$2:$D$34,MATCH(O439&amp;"|"&amp;M439,LAYOUT!$E$2:$E$34,0)),"zona tidak ada di layout"))</f>
        <v/>
      </c>
      <c r="Q439" s="12">
        <f>IF(OR(L439="",D439=""),"",COUNTIFS($L$2:$L$500,L439,$M$2:$M$500,M439,$D$2:$D$500,"&lt;&gt;"))</f>
        <v/>
      </c>
      <c r="R439" s="12">
        <f>IF(AND(D439="",L439=""),"",IF(L439="","Belum ditempatkan",IF(O439="","CEK ID FIXTURE tidak ada di DAFTAR_FIXTURE",IF(M439="","CEK ZONA NO kosong",IF(P439="zona tidak ada di layout","CEK ZONA NO di luar layout",IF(N439&lt;&gt;P439,"CEK JENIS ZONA",IF(D439="","Zona STOCK",IF(E439="","CEK SKU DESCRIPTION kosong","OK"))))))))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IF(OR(O440="",M440=""),"",IFERROR(INDEX(LAYOUT!$D$2:$D$34,MATCH(O440&amp;"|"&amp;M440,LAYOUT!$E$2:$E$34,0)),"zona tidak ada di layout"))</f>
        <v/>
      </c>
      <c r="Q440" s="12">
        <f>IF(OR(L440="",D440=""),"",COUNTIFS($L$2:$L$500,L440,$M$2:$M$500,M440,$D$2:$D$500,"&lt;&gt;"))</f>
        <v/>
      </c>
      <c r="R440" s="12">
        <f>IF(AND(D440="",L440=""),"",IF(L440="","Belum ditempatkan",IF(O440="","CEK ID FIXTURE tidak ada di DAFTAR_FIXTURE",IF(M440="","CEK ZONA NO kosong",IF(P440="zona tidak ada di layout","CEK ZONA NO di luar layout",IF(N440&lt;&gt;P440,"CEK JENIS ZONA",IF(D440="","Zona STOCK",IF(E440="","CEK SKU DESCRIPTION kosong","OK"))))))))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IF(OR(O441="",M441=""),"",IFERROR(INDEX(LAYOUT!$D$2:$D$34,MATCH(O441&amp;"|"&amp;M441,LAYOUT!$E$2:$E$34,0)),"zona tidak ada di layout"))</f>
        <v/>
      </c>
      <c r="Q441" s="12">
        <f>IF(OR(L441="",D441=""),"",COUNTIFS($L$2:$L$500,L441,$M$2:$M$500,M441,$D$2:$D$500,"&lt;&gt;"))</f>
        <v/>
      </c>
      <c r="R441" s="12">
        <f>IF(AND(D441="",L441=""),"",IF(L441="","Belum ditempatkan",IF(O441="","CEK ID FIXTURE tidak ada di DAFTAR_FIXTURE",IF(M441="","CEK ZONA NO kosong",IF(P441="zona tidak ada di layout","CEK ZONA NO di luar layout",IF(N441&lt;&gt;P441,"CEK JENIS ZONA",IF(D441="","Zona STOCK",IF(E441="","CEK SKU DESCRIPTION kosong","OK"))))))))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IF(OR(O442="",M442=""),"",IFERROR(INDEX(LAYOUT!$D$2:$D$34,MATCH(O442&amp;"|"&amp;M442,LAYOUT!$E$2:$E$34,0)),"zona tidak ada di layout"))</f>
        <v/>
      </c>
      <c r="Q442" s="12">
        <f>IF(OR(L442="",D442=""),"",COUNTIFS($L$2:$L$500,L442,$M$2:$M$500,M442,$D$2:$D$500,"&lt;&gt;"))</f>
        <v/>
      </c>
      <c r="R442" s="12">
        <f>IF(AND(D442="",L442=""),"",IF(L442="","Belum ditempatkan",IF(O442="","CEK ID FIXTURE tidak ada di DAFTAR_FIXTURE",IF(M442="","CEK ZONA NO kosong",IF(P442="zona tidak ada di layout","CEK ZONA NO di luar layout",IF(N442&lt;&gt;P442,"CEK JENIS ZONA",IF(D442="","Zona STOCK",IF(E442="","CEK SKU DESCRIPTION kosong","OK"))))))))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IF(OR(O443="",M443=""),"",IFERROR(INDEX(LAYOUT!$D$2:$D$34,MATCH(O443&amp;"|"&amp;M443,LAYOUT!$E$2:$E$34,0)),"zona tidak ada di layout"))</f>
        <v/>
      </c>
      <c r="Q443" s="12">
        <f>IF(OR(L443="",D443=""),"",COUNTIFS($L$2:$L$500,L443,$M$2:$M$500,M443,$D$2:$D$500,"&lt;&gt;"))</f>
        <v/>
      </c>
      <c r="R443" s="12">
        <f>IF(AND(D443="",L443=""),"",IF(L443="","Belum ditempatkan",IF(O443="","CEK ID FIXTURE tidak ada di DAFTAR_FIXTURE",IF(M443="","CEK ZONA NO kosong",IF(P443="zona tidak ada di layout","CEK ZONA NO di luar layout",IF(N443&lt;&gt;P443,"CEK JENIS ZONA",IF(D443="","Zona STOCK",IF(E443="","CEK SKU DESCRIPTION kosong","OK"))))))))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IF(OR(O444="",M444=""),"",IFERROR(INDEX(LAYOUT!$D$2:$D$34,MATCH(O444&amp;"|"&amp;M444,LAYOUT!$E$2:$E$34,0)),"zona tidak ada di layout"))</f>
        <v/>
      </c>
      <c r="Q444" s="12">
        <f>IF(OR(L444="",D444=""),"",COUNTIFS($L$2:$L$500,L444,$M$2:$M$500,M444,$D$2:$D$500,"&lt;&gt;"))</f>
        <v/>
      </c>
      <c r="R444" s="12">
        <f>IF(AND(D444="",L444=""),"",IF(L444="","Belum ditempatkan",IF(O444="","CEK ID FIXTURE tidak ada di DAFTAR_FIXTURE",IF(M444="","CEK ZONA NO kosong",IF(P444="zona tidak ada di layout","CEK ZONA NO di luar layout",IF(N444&lt;&gt;P444,"CEK JENIS ZONA",IF(D444="","Zona STOCK",IF(E444="","CEK SKU DESCRIPTION kosong","OK"))))))))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IF(OR(O445="",M445=""),"",IFERROR(INDEX(LAYOUT!$D$2:$D$34,MATCH(O445&amp;"|"&amp;M445,LAYOUT!$E$2:$E$34,0)),"zona tidak ada di layout"))</f>
        <v/>
      </c>
      <c r="Q445" s="12">
        <f>IF(OR(L445="",D445=""),"",COUNTIFS($L$2:$L$500,L445,$M$2:$M$500,M445,$D$2:$D$500,"&lt;&gt;"))</f>
        <v/>
      </c>
      <c r="R445" s="12">
        <f>IF(AND(D445="",L445=""),"",IF(L445="","Belum ditempatkan",IF(O445="","CEK ID FIXTURE tidak ada di DAFTAR_FIXTURE",IF(M445="","CEK ZONA NO kosong",IF(P445="zona tidak ada di layout","CEK ZONA NO di luar layout",IF(N445&lt;&gt;P445,"CEK JENIS ZONA",IF(D445="","Zona STOCK",IF(E445="","CEK SKU DESCRIPTION kosong","OK"))))))))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IF(OR(O446="",M446=""),"",IFERROR(INDEX(LAYOUT!$D$2:$D$34,MATCH(O446&amp;"|"&amp;M446,LAYOUT!$E$2:$E$34,0)),"zona tidak ada di layout"))</f>
        <v/>
      </c>
      <c r="Q446" s="12">
        <f>IF(OR(L446="",D446=""),"",COUNTIFS($L$2:$L$500,L446,$M$2:$M$500,M446,$D$2:$D$500,"&lt;&gt;"))</f>
        <v/>
      </c>
      <c r="R446" s="12">
        <f>IF(AND(D446="",L446=""),"",IF(L446="","Belum ditempatkan",IF(O446="","CEK ID FIXTURE tidak ada di DAFTAR_FIXTURE",IF(M446="","CEK ZONA NO kosong",IF(P446="zona tidak ada di layout","CEK ZONA NO di luar layout",IF(N446&lt;&gt;P446,"CEK JENIS ZONA",IF(D446="","Zona STOCK",IF(E446="","CEK SKU DESCRIPTION kosong","OK"))))))))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IF(OR(O447="",M447=""),"",IFERROR(INDEX(LAYOUT!$D$2:$D$34,MATCH(O447&amp;"|"&amp;M447,LAYOUT!$E$2:$E$34,0)),"zona tidak ada di layout"))</f>
        <v/>
      </c>
      <c r="Q447" s="12">
        <f>IF(OR(L447="",D447=""),"",COUNTIFS($L$2:$L$500,L447,$M$2:$M$500,M447,$D$2:$D$500,"&lt;&gt;"))</f>
        <v/>
      </c>
      <c r="R447" s="12">
        <f>IF(AND(D447="",L447=""),"",IF(L447="","Belum ditempatkan",IF(O447="","CEK ID FIXTURE tidak ada di DAFTAR_FIXTURE",IF(M447="","CEK ZONA NO kosong",IF(P447="zona tidak ada di layout","CEK ZONA NO di luar layout",IF(N447&lt;&gt;P447,"CEK JENIS ZONA",IF(D447="","Zona STOCK",IF(E447="","CEK SKU DESCRIPTION kosong","OK"))))))))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IF(OR(O448="",M448=""),"",IFERROR(INDEX(LAYOUT!$D$2:$D$34,MATCH(O448&amp;"|"&amp;M448,LAYOUT!$E$2:$E$34,0)),"zona tidak ada di layout"))</f>
        <v/>
      </c>
      <c r="Q448" s="12">
        <f>IF(OR(L448="",D448=""),"",COUNTIFS($L$2:$L$500,L448,$M$2:$M$500,M448,$D$2:$D$500,"&lt;&gt;"))</f>
        <v/>
      </c>
      <c r="R448" s="12">
        <f>IF(AND(D448="",L448=""),"",IF(L448="","Belum ditempatkan",IF(O448="","CEK ID FIXTURE tidak ada di DAFTAR_FIXTURE",IF(M448="","CEK ZONA NO kosong",IF(P448="zona tidak ada di layout","CEK ZONA NO di luar layout",IF(N448&lt;&gt;P448,"CEK JENIS ZONA",IF(D448="","Zona STOCK",IF(E448="","CEK SKU DESCRIPTION kosong","OK"))))))))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IF(OR(O449="",M449=""),"",IFERROR(INDEX(LAYOUT!$D$2:$D$34,MATCH(O449&amp;"|"&amp;M449,LAYOUT!$E$2:$E$34,0)),"zona tidak ada di layout"))</f>
        <v/>
      </c>
      <c r="Q449" s="12">
        <f>IF(OR(L449="",D449=""),"",COUNTIFS($L$2:$L$500,L449,$M$2:$M$500,M449,$D$2:$D$500,"&lt;&gt;"))</f>
        <v/>
      </c>
      <c r="R449" s="12">
        <f>IF(AND(D449="",L449=""),"",IF(L449="","Belum ditempatkan",IF(O449="","CEK ID FIXTURE tidak ada di DAFTAR_FIXTURE",IF(M449="","CEK ZONA NO kosong",IF(P449="zona tidak ada di layout","CEK ZONA NO di luar layout",IF(N449&lt;&gt;P449,"CEK JENIS ZONA",IF(D449="","Zona STOCK",IF(E449="","CEK SKU DESCRIPTION kosong","OK"))))))))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IF(OR(O450="",M450=""),"",IFERROR(INDEX(LAYOUT!$D$2:$D$34,MATCH(O450&amp;"|"&amp;M450,LAYOUT!$E$2:$E$34,0)),"zona tidak ada di layout"))</f>
        <v/>
      </c>
      <c r="Q450" s="12">
        <f>IF(OR(L450="",D450=""),"",COUNTIFS($L$2:$L$500,L450,$M$2:$M$500,M450,$D$2:$D$500,"&lt;&gt;"))</f>
        <v/>
      </c>
      <c r="R450" s="12">
        <f>IF(AND(D450="",L450=""),"",IF(L450="","Belum ditempatkan",IF(O450="","CEK ID FIXTURE tidak ada di DAFTAR_FIXTURE",IF(M450="","CEK ZONA NO kosong",IF(P450="zona tidak ada di layout","CEK ZONA NO di luar layout",IF(N450&lt;&gt;P450,"CEK JENIS ZONA",IF(D450="","Zona STOCK",IF(E450="","CEK SKU DESCRIPTION kosong","OK"))))))))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IF(OR(O451="",M451=""),"",IFERROR(INDEX(LAYOUT!$D$2:$D$34,MATCH(O451&amp;"|"&amp;M451,LAYOUT!$E$2:$E$34,0)),"zona tidak ada di layout"))</f>
        <v/>
      </c>
      <c r="Q451" s="12">
        <f>IF(OR(L451="",D451=""),"",COUNTIFS($L$2:$L$500,L451,$M$2:$M$500,M451,$D$2:$D$500,"&lt;&gt;"))</f>
        <v/>
      </c>
      <c r="R451" s="12">
        <f>IF(AND(D451="",L451=""),"",IF(L451="","Belum ditempatkan",IF(O451="","CEK ID FIXTURE tidak ada di DAFTAR_FIXTURE",IF(M451="","CEK ZONA NO kosong",IF(P451="zona tidak ada di layout","CEK ZONA NO di luar layout",IF(N451&lt;&gt;P451,"CEK JENIS ZONA",IF(D451="","Zona STOCK",IF(E451="","CEK SKU DESCRIPTION kosong","OK"))))))))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IF(OR(O452="",M452=""),"",IFERROR(INDEX(LAYOUT!$D$2:$D$34,MATCH(O452&amp;"|"&amp;M452,LAYOUT!$E$2:$E$34,0)),"zona tidak ada di layout"))</f>
        <v/>
      </c>
      <c r="Q452" s="12">
        <f>IF(OR(L452="",D452=""),"",COUNTIFS($L$2:$L$500,L452,$M$2:$M$500,M452,$D$2:$D$500,"&lt;&gt;"))</f>
        <v/>
      </c>
      <c r="R452" s="12">
        <f>IF(AND(D452="",L452=""),"",IF(L452="","Belum ditempatkan",IF(O452="","CEK ID FIXTURE tidak ada di DAFTAR_FIXTURE",IF(M452="","CEK ZONA NO kosong",IF(P452="zona tidak ada di layout","CEK ZONA NO di luar layout",IF(N452&lt;&gt;P452,"CEK JENIS ZONA",IF(D452="","Zona STOCK",IF(E452="","CEK SKU DESCRIPTION kosong","OK"))))))))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IF(OR(O453="",M453=""),"",IFERROR(INDEX(LAYOUT!$D$2:$D$34,MATCH(O453&amp;"|"&amp;M453,LAYOUT!$E$2:$E$34,0)),"zona tidak ada di layout"))</f>
        <v/>
      </c>
      <c r="Q453" s="12">
        <f>IF(OR(L453="",D453=""),"",COUNTIFS($L$2:$L$500,L453,$M$2:$M$500,M453,$D$2:$D$500,"&lt;&gt;"))</f>
        <v/>
      </c>
      <c r="R453" s="12">
        <f>IF(AND(D453="",L453=""),"",IF(L453="","Belum ditempatkan",IF(O453="","CEK ID FIXTURE tidak ada di DAFTAR_FIXTURE",IF(M453="","CEK ZONA NO kosong",IF(P453="zona tidak ada di layout","CEK ZONA NO di luar layout",IF(N453&lt;&gt;P453,"CEK JENIS ZONA",IF(D453="","Zona STOCK",IF(E453="","CEK SKU DESCRIPTION kosong","OK"))))))))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IF(OR(O454="",M454=""),"",IFERROR(INDEX(LAYOUT!$D$2:$D$34,MATCH(O454&amp;"|"&amp;M454,LAYOUT!$E$2:$E$34,0)),"zona tidak ada di layout"))</f>
        <v/>
      </c>
      <c r="Q454" s="12">
        <f>IF(OR(L454="",D454=""),"",COUNTIFS($L$2:$L$500,L454,$M$2:$M$500,M454,$D$2:$D$500,"&lt;&gt;"))</f>
        <v/>
      </c>
      <c r="R454" s="12">
        <f>IF(AND(D454="",L454=""),"",IF(L454="","Belum ditempatkan",IF(O454="","CEK ID FIXTURE tidak ada di DAFTAR_FIXTURE",IF(M454="","CEK ZONA NO kosong",IF(P454="zona tidak ada di layout","CEK ZONA NO di luar layout",IF(N454&lt;&gt;P454,"CEK JENIS ZONA",IF(D454="","Zona STOCK",IF(E454="","CEK SKU DESCRIPTION kosong","OK"))))))))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IF(OR(O455="",M455=""),"",IFERROR(INDEX(LAYOUT!$D$2:$D$34,MATCH(O455&amp;"|"&amp;M455,LAYOUT!$E$2:$E$34,0)),"zona tidak ada di layout"))</f>
        <v/>
      </c>
      <c r="Q455" s="12">
        <f>IF(OR(L455="",D455=""),"",COUNTIFS($L$2:$L$500,L455,$M$2:$M$500,M455,$D$2:$D$500,"&lt;&gt;"))</f>
        <v/>
      </c>
      <c r="R455" s="12">
        <f>IF(AND(D455="",L455=""),"",IF(L455="","Belum ditempatkan",IF(O455="","CEK ID FIXTURE tidak ada di DAFTAR_FIXTURE",IF(M455="","CEK ZONA NO kosong",IF(P455="zona tidak ada di layout","CEK ZONA NO di luar layout",IF(N455&lt;&gt;P455,"CEK JENIS ZONA",IF(D455="","Zona STOCK",IF(E455="","CEK SKU DESCRIPTION kosong","OK"))))))))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IF(OR(O456="",M456=""),"",IFERROR(INDEX(LAYOUT!$D$2:$D$34,MATCH(O456&amp;"|"&amp;M456,LAYOUT!$E$2:$E$34,0)),"zona tidak ada di layout"))</f>
        <v/>
      </c>
      <c r="Q456" s="12">
        <f>IF(OR(L456="",D456=""),"",COUNTIFS($L$2:$L$500,L456,$M$2:$M$500,M456,$D$2:$D$500,"&lt;&gt;"))</f>
        <v/>
      </c>
      <c r="R456" s="12">
        <f>IF(AND(D456="",L456=""),"",IF(L456="","Belum ditempatkan",IF(O456="","CEK ID FIXTURE tidak ada di DAFTAR_FIXTURE",IF(M456="","CEK ZONA NO kosong",IF(P456="zona tidak ada di layout","CEK ZONA NO di luar layout",IF(N456&lt;&gt;P456,"CEK JENIS ZONA",IF(D456="","Zona STOCK",IF(E456="","CEK SKU DESCRIPTION kosong","OK"))))))))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IF(OR(O457="",M457=""),"",IFERROR(INDEX(LAYOUT!$D$2:$D$34,MATCH(O457&amp;"|"&amp;M457,LAYOUT!$E$2:$E$34,0)),"zona tidak ada di layout"))</f>
        <v/>
      </c>
      <c r="Q457" s="12">
        <f>IF(OR(L457="",D457=""),"",COUNTIFS($L$2:$L$500,L457,$M$2:$M$500,M457,$D$2:$D$500,"&lt;&gt;"))</f>
        <v/>
      </c>
      <c r="R457" s="12">
        <f>IF(AND(D457="",L457=""),"",IF(L457="","Belum ditempatkan",IF(O457="","CEK ID FIXTURE tidak ada di DAFTAR_FIXTURE",IF(M457="","CEK ZONA NO kosong",IF(P457="zona tidak ada di layout","CEK ZONA NO di luar layout",IF(N457&lt;&gt;P457,"CEK JENIS ZONA",IF(D457="","Zona STOCK",IF(E457="","CEK SKU DESCRIPTION kosong","OK"))))))))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IF(OR(O458="",M458=""),"",IFERROR(INDEX(LAYOUT!$D$2:$D$34,MATCH(O458&amp;"|"&amp;M458,LAYOUT!$E$2:$E$34,0)),"zona tidak ada di layout"))</f>
        <v/>
      </c>
      <c r="Q458" s="12">
        <f>IF(OR(L458="",D458=""),"",COUNTIFS($L$2:$L$500,L458,$M$2:$M$500,M458,$D$2:$D$500,"&lt;&gt;"))</f>
        <v/>
      </c>
      <c r="R458" s="12">
        <f>IF(AND(D458="",L458=""),"",IF(L458="","Belum ditempatkan",IF(O458="","CEK ID FIXTURE tidak ada di DAFTAR_FIXTURE",IF(M458="","CEK ZONA NO kosong",IF(P458="zona tidak ada di layout","CEK ZONA NO di luar layout",IF(N458&lt;&gt;P458,"CEK JENIS ZONA",IF(D458="","Zona STOCK",IF(E458="","CEK SKU DESCRIPTION kosong","OK"))))))))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IF(OR(O459="",M459=""),"",IFERROR(INDEX(LAYOUT!$D$2:$D$34,MATCH(O459&amp;"|"&amp;M459,LAYOUT!$E$2:$E$34,0)),"zona tidak ada di layout"))</f>
        <v/>
      </c>
      <c r="Q459" s="12">
        <f>IF(OR(L459="",D459=""),"",COUNTIFS($L$2:$L$500,L459,$M$2:$M$500,M459,$D$2:$D$500,"&lt;&gt;"))</f>
        <v/>
      </c>
      <c r="R459" s="12">
        <f>IF(AND(D459="",L459=""),"",IF(L459="","Belum ditempatkan",IF(O459="","CEK ID FIXTURE tidak ada di DAFTAR_FIXTURE",IF(M459="","CEK ZONA NO kosong",IF(P459="zona tidak ada di layout","CEK ZONA NO di luar layout",IF(N459&lt;&gt;P459,"CEK JENIS ZONA",IF(D459="","Zona STOCK",IF(E459="","CEK SKU DESCRIPTION kosong","OK"))))))))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IF(OR(O460="",M460=""),"",IFERROR(INDEX(LAYOUT!$D$2:$D$34,MATCH(O460&amp;"|"&amp;M460,LAYOUT!$E$2:$E$34,0)),"zona tidak ada di layout"))</f>
        <v/>
      </c>
      <c r="Q460" s="12">
        <f>IF(OR(L460="",D460=""),"",COUNTIFS($L$2:$L$500,L460,$M$2:$M$500,M460,$D$2:$D$500,"&lt;&gt;"))</f>
        <v/>
      </c>
      <c r="R460" s="12">
        <f>IF(AND(D460="",L460=""),"",IF(L460="","Belum ditempatkan",IF(O460="","CEK ID FIXTURE tidak ada di DAFTAR_FIXTURE",IF(M460="","CEK ZONA NO kosong",IF(P460="zona tidak ada di layout","CEK ZONA NO di luar layout",IF(N460&lt;&gt;P460,"CEK JENIS ZONA",IF(D460="","Zona STOCK",IF(E460="","CEK SKU DESCRIPTION kosong","OK"))))))))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IF(OR(O461="",M461=""),"",IFERROR(INDEX(LAYOUT!$D$2:$D$34,MATCH(O461&amp;"|"&amp;M461,LAYOUT!$E$2:$E$34,0)),"zona tidak ada di layout"))</f>
        <v/>
      </c>
      <c r="Q461" s="12">
        <f>IF(OR(L461="",D461=""),"",COUNTIFS($L$2:$L$500,L461,$M$2:$M$500,M461,$D$2:$D$500,"&lt;&gt;"))</f>
        <v/>
      </c>
      <c r="R461" s="12">
        <f>IF(AND(D461="",L461=""),"",IF(L461="","Belum ditempatkan",IF(O461="","CEK ID FIXTURE tidak ada di DAFTAR_FIXTURE",IF(M461="","CEK ZONA NO kosong",IF(P461="zona tidak ada di layout","CEK ZONA NO di luar layout",IF(N461&lt;&gt;P461,"CEK JENIS ZONA",IF(D461="","Zona STOCK",IF(E461="","CEK SKU DESCRIPTION kosong","OK"))))))))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IF(OR(O462="",M462=""),"",IFERROR(INDEX(LAYOUT!$D$2:$D$34,MATCH(O462&amp;"|"&amp;M462,LAYOUT!$E$2:$E$34,0)),"zona tidak ada di layout"))</f>
        <v/>
      </c>
      <c r="Q462" s="12">
        <f>IF(OR(L462="",D462=""),"",COUNTIFS($L$2:$L$500,L462,$M$2:$M$500,M462,$D$2:$D$500,"&lt;&gt;"))</f>
        <v/>
      </c>
      <c r="R462" s="12">
        <f>IF(AND(D462="",L462=""),"",IF(L462="","Belum ditempatkan",IF(O462="","CEK ID FIXTURE tidak ada di DAFTAR_FIXTURE",IF(M462="","CEK ZONA NO kosong",IF(P462="zona tidak ada di layout","CEK ZONA NO di luar layout",IF(N462&lt;&gt;P462,"CEK JENIS ZONA",IF(D462="","Zona STOCK",IF(E462="","CEK SKU DESCRIPTION kosong","OK"))))))))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IF(OR(O463="",M463=""),"",IFERROR(INDEX(LAYOUT!$D$2:$D$34,MATCH(O463&amp;"|"&amp;M463,LAYOUT!$E$2:$E$34,0)),"zona tidak ada di layout"))</f>
        <v/>
      </c>
      <c r="Q463" s="12">
        <f>IF(OR(L463="",D463=""),"",COUNTIFS($L$2:$L$500,L463,$M$2:$M$500,M463,$D$2:$D$500,"&lt;&gt;"))</f>
        <v/>
      </c>
      <c r="R463" s="12">
        <f>IF(AND(D463="",L463=""),"",IF(L463="","Belum ditempatkan",IF(O463="","CEK ID FIXTURE tidak ada di DAFTAR_FIXTURE",IF(M463="","CEK ZONA NO kosong",IF(P463="zona tidak ada di layout","CEK ZONA NO di luar layout",IF(N463&lt;&gt;P463,"CEK JENIS ZONA",IF(D463="","Zona STOCK",IF(E463="","CEK SKU DESCRIPTION kosong","OK"))))))))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IF(OR(O464="",M464=""),"",IFERROR(INDEX(LAYOUT!$D$2:$D$34,MATCH(O464&amp;"|"&amp;M464,LAYOUT!$E$2:$E$34,0)),"zona tidak ada di layout"))</f>
        <v/>
      </c>
      <c r="Q464" s="12">
        <f>IF(OR(L464="",D464=""),"",COUNTIFS($L$2:$L$500,L464,$M$2:$M$500,M464,$D$2:$D$500,"&lt;&gt;"))</f>
        <v/>
      </c>
      <c r="R464" s="12">
        <f>IF(AND(D464="",L464=""),"",IF(L464="","Belum ditempatkan",IF(O464="","CEK ID FIXTURE tidak ada di DAFTAR_FIXTURE",IF(M464="","CEK ZONA NO kosong",IF(P464="zona tidak ada di layout","CEK ZONA NO di luar layout",IF(N464&lt;&gt;P464,"CEK JENIS ZONA",IF(D464="","Zona STOCK",IF(E464="","CEK SKU DESCRIPTION kosong","OK"))))))))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IF(OR(O465="",M465=""),"",IFERROR(INDEX(LAYOUT!$D$2:$D$34,MATCH(O465&amp;"|"&amp;M465,LAYOUT!$E$2:$E$34,0)),"zona tidak ada di layout"))</f>
        <v/>
      </c>
      <c r="Q465" s="12">
        <f>IF(OR(L465="",D465=""),"",COUNTIFS($L$2:$L$500,L465,$M$2:$M$500,M465,$D$2:$D$500,"&lt;&gt;"))</f>
        <v/>
      </c>
      <c r="R465" s="12">
        <f>IF(AND(D465="",L465=""),"",IF(L465="","Belum ditempatkan",IF(O465="","CEK ID FIXTURE tidak ada di DAFTAR_FIXTURE",IF(M465="","CEK ZONA NO kosong",IF(P465="zona tidak ada di layout","CEK ZONA NO di luar layout",IF(N465&lt;&gt;P465,"CEK JENIS ZONA",IF(D465="","Zona STOCK",IF(E465="","CEK SKU DESCRIPTION kosong","OK"))))))))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IF(OR(O466="",M466=""),"",IFERROR(INDEX(LAYOUT!$D$2:$D$34,MATCH(O466&amp;"|"&amp;M466,LAYOUT!$E$2:$E$34,0)),"zona tidak ada di layout"))</f>
        <v/>
      </c>
      <c r="Q466" s="12">
        <f>IF(OR(L466="",D466=""),"",COUNTIFS($L$2:$L$500,L466,$M$2:$M$500,M466,$D$2:$D$500,"&lt;&gt;"))</f>
        <v/>
      </c>
      <c r="R466" s="12">
        <f>IF(AND(D466="",L466=""),"",IF(L466="","Belum ditempatkan",IF(O466="","CEK ID FIXTURE tidak ada di DAFTAR_FIXTURE",IF(M466="","CEK ZONA NO kosong",IF(P466="zona tidak ada di layout","CEK ZONA NO di luar layout",IF(N466&lt;&gt;P466,"CEK JENIS ZONA",IF(D466="","Zona STOCK",IF(E466="","CEK SKU DESCRIPTION kosong","OK"))))))))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IF(OR(O467="",M467=""),"",IFERROR(INDEX(LAYOUT!$D$2:$D$34,MATCH(O467&amp;"|"&amp;M467,LAYOUT!$E$2:$E$34,0)),"zona tidak ada di layout"))</f>
        <v/>
      </c>
      <c r="Q467" s="12">
        <f>IF(OR(L467="",D467=""),"",COUNTIFS($L$2:$L$500,L467,$M$2:$M$500,M467,$D$2:$D$500,"&lt;&gt;"))</f>
        <v/>
      </c>
      <c r="R467" s="12">
        <f>IF(AND(D467="",L467=""),"",IF(L467="","Belum ditempatkan",IF(O467="","CEK ID FIXTURE tidak ada di DAFTAR_FIXTURE",IF(M467="","CEK ZONA NO kosong",IF(P467="zona tidak ada di layout","CEK ZONA NO di luar layout",IF(N467&lt;&gt;P467,"CEK JENIS ZONA",IF(D467="","Zona STOCK",IF(E467="","CEK SKU DESCRIPTION kosong","OK"))))))))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IF(OR(O468="",M468=""),"",IFERROR(INDEX(LAYOUT!$D$2:$D$34,MATCH(O468&amp;"|"&amp;M468,LAYOUT!$E$2:$E$34,0)),"zona tidak ada di layout"))</f>
        <v/>
      </c>
      <c r="Q468" s="12">
        <f>IF(OR(L468="",D468=""),"",COUNTIFS($L$2:$L$500,L468,$M$2:$M$500,M468,$D$2:$D$500,"&lt;&gt;"))</f>
        <v/>
      </c>
      <c r="R468" s="12">
        <f>IF(AND(D468="",L468=""),"",IF(L468="","Belum ditempatkan",IF(O468="","CEK ID FIXTURE tidak ada di DAFTAR_FIXTURE",IF(M468="","CEK ZONA NO kosong",IF(P468="zona tidak ada di layout","CEK ZONA NO di luar layout",IF(N468&lt;&gt;P468,"CEK JENIS ZONA",IF(D468="","Zona STOCK",IF(E468="","CEK SKU DESCRIPTION kosong","OK"))))))))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IF(OR(O469="",M469=""),"",IFERROR(INDEX(LAYOUT!$D$2:$D$34,MATCH(O469&amp;"|"&amp;M469,LAYOUT!$E$2:$E$34,0)),"zona tidak ada di layout"))</f>
        <v/>
      </c>
      <c r="Q469" s="12">
        <f>IF(OR(L469="",D469=""),"",COUNTIFS($L$2:$L$500,L469,$M$2:$M$500,M469,$D$2:$D$500,"&lt;&gt;"))</f>
        <v/>
      </c>
      <c r="R469" s="12">
        <f>IF(AND(D469="",L469=""),"",IF(L469="","Belum ditempatkan",IF(O469="","CEK ID FIXTURE tidak ada di DAFTAR_FIXTURE",IF(M469="","CEK ZONA NO kosong",IF(P469="zona tidak ada di layout","CEK ZONA NO di luar layout",IF(N469&lt;&gt;P469,"CEK JENIS ZONA",IF(D469="","Zona STOCK",IF(E469="","CEK SKU DESCRIPTION kosong","OK"))))))))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IF(OR(O470="",M470=""),"",IFERROR(INDEX(LAYOUT!$D$2:$D$34,MATCH(O470&amp;"|"&amp;M470,LAYOUT!$E$2:$E$34,0)),"zona tidak ada di layout"))</f>
        <v/>
      </c>
      <c r="Q470" s="12">
        <f>IF(OR(L470="",D470=""),"",COUNTIFS($L$2:$L$500,L470,$M$2:$M$500,M470,$D$2:$D$500,"&lt;&gt;"))</f>
        <v/>
      </c>
      <c r="R470" s="12">
        <f>IF(AND(D470="",L470=""),"",IF(L470="","Belum ditempatkan",IF(O470="","CEK ID FIXTURE tidak ada di DAFTAR_FIXTURE",IF(M470="","CEK ZONA NO kosong",IF(P470="zona tidak ada di layout","CEK ZONA NO di luar layout",IF(N470&lt;&gt;P470,"CEK JENIS ZONA",IF(D470="","Zona STOCK",IF(E470="","CEK SKU DESCRIPTION kosong","OK"))))))))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IF(OR(O471="",M471=""),"",IFERROR(INDEX(LAYOUT!$D$2:$D$34,MATCH(O471&amp;"|"&amp;M471,LAYOUT!$E$2:$E$34,0)),"zona tidak ada di layout"))</f>
        <v/>
      </c>
      <c r="Q471" s="12">
        <f>IF(OR(L471="",D471=""),"",COUNTIFS($L$2:$L$500,L471,$M$2:$M$500,M471,$D$2:$D$500,"&lt;&gt;"))</f>
        <v/>
      </c>
      <c r="R471" s="12">
        <f>IF(AND(D471="",L471=""),"",IF(L471="","Belum ditempatkan",IF(O471="","CEK ID FIXTURE tidak ada di DAFTAR_FIXTURE",IF(M471="","CEK ZONA NO kosong",IF(P471="zona tidak ada di layout","CEK ZONA NO di luar layout",IF(N471&lt;&gt;P471,"CEK JENIS ZONA",IF(D471="","Zona STOCK",IF(E471="","CEK SKU DESCRIPTION kosong","OK"))))))))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IF(OR(O472="",M472=""),"",IFERROR(INDEX(LAYOUT!$D$2:$D$34,MATCH(O472&amp;"|"&amp;M472,LAYOUT!$E$2:$E$34,0)),"zona tidak ada di layout"))</f>
        <v/>
      </c>
      <c r="Q472" s="12">
        <f>IF(OR(L472="",D472=""),"",COUNTIFS($L$2:$L$500,L472,$M$2:$M$500,M472,$D$2:$D$500,"&lt;&gt;"))</f>
        <v/>
      </c>
      <c r="R472" s="12">
        <f>IF(AND(D472="",L472=""),"",IF(L472="","Belum ditempatkan",IF(O472="","CEK ID FIXTURE tidak ada di DAFTAR_FIXTURE",IF(M472="","CEK ZONA NO kosong",IF(P472="zona tidak ada di layout","CEK ZONA NO di luar layout",IF(N472&lt;&gt;P472,"CEK JENIS ZONA",IF(D472="","Zona STOCK",IF(E472="","CEK SKU DESCRIPTION kosong","OK"))))))))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IF(OR(O473="",M473=""),"",IFERROR(INDEX(LAYOUT!$D$2:$D$34,MATCH(O473&amp;"|"&amp;M473,LAYOUT!$E$2:$E$34,0)),"zona tidak ada di layout"))</f>
        <v/>
      </c>
      <c r="Q473" s="12">
        <f>IF(OR(L473="",D473=""),"",COUNTIFS($L$2:$L$500,L473,$M$2:$M$500,M473,$D$2:$D$500,"&lt;&gt;"))</f>
        <v/>
      </c>
      <c r="R473" s="12">
        <f>IF(AND(D473="",L473=""),"",IF(L473="","Belum ditempatkan",IF(O473="","CEK ID FIXTURE tidak ada di DAFTAR_FIXTURE",IF(M473="","CEK ZONA NO kosong",IF(P473="zona tidak ada di layout","CEK ZONA NO di luar layout",IF(N473&lt;&gt;P473,"CEK JENIS ZONA",IF(D473="","Zona STOCK",IF(E473="","CEK SKU DESCRIPTION kosong","OK"))))))))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IF(OR(O474="",M474=""),"",IFERROR(INDEX(LAYOUT!$D$2:$D$34,MATCH(O474&amp;"|"&amp;M474,LAYOUT!$E$2:$E$34,0)),"zona tidak ada di layout"))</f>
        <v/>
      </c>
      <c r="Q474" s="12">
        <f>IF(OR(L474="",D474=""),"",COUNTIFS($L$2:$L$500,L474,$M$2:$M$500,M474,$D$2:$D$500,"&lt;&gt;"))</f>
        <v/>
      </c>
      <c r="R474" s="12">
        <f>IF(AND(D474="",L474=""),"",IF(L474="","Belum ditempatkan",IF(O474="","CEK ID FIXTURE tidak ada di DAFTAR_FIXTURE",IF(M474="","CEK ZONA NO kosong",IF(P474="zona tidak ada di layout","CEK ZONA NO di luar layout",IF(N474&lt;&gt;P474,"CEK JENIS ZONA",IF(D474="","Zona STOCK",IF(E474="","CEK SKU DESCRIPTION kosong","OK"))))))))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IF(OR(O475="",M475=""),"",IFERROR(INDEX(LAYOUT!$D$2:$D$34,MATCH(O475&amp;"|"&amp;M475,LAYOUT!$E$2:$E$34,0)),"zona tidak ada di layout"))</f>
        <v/>
      </c>
      <c r="Q475" s="12">
        <f>IF(OR(L475="",D475=""),"",COUNTIFS($L$2:$L$500,L475,$M$2:$M$500,M475,$D$2:$D$500,"&lt;&gt;"))</f>
        <v/>
      </c>
      <c r="R475" s="12">
        <f>IF(AND(D475="",L475=""),"",IF(L475="","Belum ditempatkan",IF(O475="","CEK ID FIXTURE tidak ada di DAFTAR_FIXTURE",IF(M475="","CEK ZONA NO kosong",IF(P475="zona tidak ada di layout","CEK ZONA NO di luar layout",IF(N475&lt;&gt;P475,"CEK JENIS ZONA",IF(D475="","Zona STOCK",IF(E475="","CEK SKU DESCRIPTION kosong","OK"))))))))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IF(OR(O476="",M476=""),"",IFERROR(INDEX(LAYOUT!$D$2:$D$34,MATCH(O476&amp;"|"&amp;M476,LAYOUT!$E$2:$E$34,0)),"zona tidak ada di layout"))</f>
        <v/>
      </c>
      <c r="Q476" s="12">
        <f>IF(OR(L476="",D476=""),"",COUNTIFS($L$2:$L$500,L476,$M$2:$M$500,M476,$D$2:$D$500,"&lt;&gt;"))</f>
        <v/>
      </c>
      <c r="R476" s="12">
        <f>IF(AND(D476="",L476=""),"",IF(L476="","Belum ditempatkan",IF(O476="","CEK ID FIXTURE tidak ada di DAFTAR_FIXTURE",IF(M476="","CEK ZONA NO kosong",IF(P476="zona tidak ada di layout","CEK ZONA NO di luar layout",IF(N476&lt;&gt;P476,"CEK JENIS ZONA",IF(D476="","Zona STOCK",IF(E476="","CEK SKU DESCRIPTION kosong","OK"))))))))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IF(OR(O477="",M477=""),"",IFERROR(INDEX(LAYOUT!$D$2:$D$34,MATCH(O477&amp;"|"&amp;M477,LAYOUT!$E$2:$E$34,0)),"zona tidak ada di layout"))</f>
        <v/>
      </c>
      <c r="Q477" s="12">
        <f>IF(OR(L477="",D477=""),"",COUNTIFS($L$2:$L$500,L477,$M$2:$M$500,M477,$D$2:$D$500,"&lt;&gt;"))</f>
        <v/>
      </c>
      <c r="R477" s="12">
        <f>IF(AND(D477="",L477=""),"",IF(L477="","Belum ditempatkan",IF(O477="","CEK ID FIXTURE tidak ada di DAFTAR_FIXTURE",IF(M477="","CEK ZONA NO kosong",IF(P477="zona tidak ada di layout","CEK ZONA NO di luar layout",IF(N477&lt;&gt;P477,"CEK JENIS ZONA",IF(D477="","Zona STOCK",IF(E477="","CEK SKU DESCRIPTION kosong","OK"))))))))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IF(OR(O478="",M478=""),"",IFERROR(INDEX(LAYOUT!$D$2:$D$34,MATCH(O478&amp;"|"&amp;M478,LAYOUT!$E$2:$E$34,0)),"zona tidak ada di layout"))</f>
        <v/>
      </c>
      <c r="Q478" s="12">
        <f>IF(OR(L478="",D478=""),"",COUNTIFS($L$2:$L$500,L478,$M$2:$M$500,M478,$D$2:$D$500,"&lt;&gt;"))</f>
        <v/>
      </c>
      <c r="R478" s="12">
        <f>IF(AND(D478="",L478=""),"",IF(L478="","Belum ditempatkan",IF(O478="","CEK ID FIXTURE tidak ada di DAFTAR_FIXTURE",IF(M478="","CEK ZONA NO kosong",IF(P478="zona tidak ada di layout","CEK ZONA NO di luar layout",IF(N478&lt;&gt;P478,"CEK JENIS ZONA",IF(D478="","Zona STOCK",IF(E478="","CEK SKU DESCRIPTION kosong","OK"))))))))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IF(OR(O479="",M479=""),"",IFERROR(INDEX(LAYOUT!$D$2:$D$34,MATCH(O479&amp;"|"&amp;M479,LAYOUT!$E$2:$E$34,0)),"zona tidak ada di layout"))</f>
        <v/>
      </c>
      <c r="Q479" s="12">
        <f>IF(OR(L479="",D479=""),"",COUNTIFS($L$2:$L$500,L479,$M$2:$M$500,M479,$D$2:$D$500,"&lt;&gt;"))</f>
        <v/>
      </c>
      <c r="R479" s="12">
        <f>IF(AND(D479="",L479=""),"",IF(L479="","Belum ditempatkan",IF(O479="","CEK ID FIXTURE tidak ada di DAFTAR_FIXTURE",IF(M479="","CEK ZONA NO kosong",IF(P479="zona tidak ada di layout","CEK ZONA NO di luar layout",IF(N479&lt;&gt;P479,"CEK JENIS ZONA",IF(D479="","Zona STOCK",IF(E479="","CEK SKU DESCRIPTION kosong","OK"))))))))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IF(OR(O480="",M480=""),"",IFERROR(INDEX(LAYOUT!$D$2:$D$34,MATCH(O480&amp;"|"&amp;M480,LAYOUT!$E$2:$E$34,0)),"zona tidak ada di layout"))</f>
        <v/>
      </c>
      <c r="Q480" s="12">
        <f>IF(OR(L480="",D480=""),"",COUNTIFS($L$2:$L$500,L480,$M$2:$M$500,M480,$D$2:$D$500,"&lt;&gt;"))</f>
        <v/>
      </c>
      <c r="R480" s="12">
        <f>IF(AND(D480="",L480=""),"",IF(L480="","Belum ditempatkan",IF(O480="","CEK ID FIXTURE tidak ada di DAFTAR_FIXTURE",IF(M480="","CEK ZONA NO kosong",IF(P480="zona tidak ada di layout","CEK ZONA NO di luar layout",IF(N480&lt;&gt;P480,"CEK JENIS ZONA",IF(D480="","Zona STOCK",IF(E480="","CEK SKU DESCRIPTION kosong","OK"))))))))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IF(OR(O481="",M481=""),"",IFERROR(INDEX(LAYOUT!$D$2:$D$34,MATCH(O481&amp;"|"&amp;M481,LAYOUT!$E$2:$E$34,0)),"zona tidak ada di layout"))</f>
        <v/>
      </c>
      <c r="Q481" s="12">
        <f>IF(OR(L481="",D481=""),"",COUNTIFS($L$2:$L$500,L481,$M$2:$M$500,M481,$D$2:$D$500,"&lt;&gt;"))</f>
        <v/>
      </c>
      <c r="R481" s="12">
        <f>IF(AND(D481="",L481=""),"",IF(L481="","Belum ditempatkan",IF(O481="","CEK ID FIXTURE tidak ada di DAFTAR_FIXTURE",IF(M481="","CEK ZONA NO kosong",IF(P481="zona tidak ada di layout","CEK ZONA NO di luar layout",IF(N481&lt;&gt;P481,"CEK JENIS ZONA",IF(D481="","Zona STOCK",IF(E481="","CEK SKU DESCRIPTION kosong","OK"))))))))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IF(OR(O482="",M482=""),"",IFERROR(INDEX(LAYOUT!$D$2:$D$34,MATCH(O482&amp;"|"&amp;M482,LAYOUT!$E$2:$E$34,0)),"zona tidak ada di layout"))</f>
        <v/>
      </c>
      <c r="Q482" s="12">
        <f>IF(OR(L482="",D482=""),"",COUNTIFS($L$2:$L$500,L482,$M$2:$M$500,M482,$D$2:$D$500,"&lt;&gt;"))</f>
        <v/>
      </c>
      <c r="R482" s="12">
        <f>IF(AND(D482="",L482=""),"",IF(L482="","Belum ditempatkan",IF(O482="","CEK ID FIXTURE tidak ada di DAFTAR_FIXTURE",IF(M482="","CEK ZONA NO kosong",IF(P482="zona tidak ada di layout","CEK ZONA NO di luar layout",IF(N482&lt;&gt;P482,"CEK JENIS ZONA",IF(D482="","Zona STOCK",IF(E482="","CEK SKU DESCRIPTION kosong","OK"))))))))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IF(OR(O483="",M483=""),"",IFERROR(INDEX(LAYOUT!$D$2:$D$34,MATCH(O483&amp;"|"&amp;M483,LAYOUT!$E$2:$E$34,0)),"zona tidak ada di layout"))</f>
        <v/>
      </c>
      <c r="Q483" s="12">
        <f>IF(OR(L483="",D483=""),"",COUNTIFS($L$2:$L$500,L483,$M$2:$M$500,M483,$D$2:$D$500,"&lt;&gt;"))</f>
        <v/>
      </c>
      <c r="R483" s="12">
        <f>IF(AND(D483="",L483=""),"",IF(L483="","Belum ditempatkan",IF(O483="","CEK ID FIXTURE tidak ada di DAFTAR_FIXTURE",IF(M483="","CEK ZONA NO kosong",IF(P483="zona tidak ada di layout","CEK ZONA NO di luar layout",IF(N483&lt;&gt;P483,"CEK JENIS ZONA",IF(D483="","Zona STOCK",IF(E483="","CEK SKU DESCRIPTION kosong","OK"))))))))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IF(OR(O484="",M484=""),"",IFERROR(INDEX(LAYOUT!$D$2:$D$34,MATCH(O484&amp;"|"&amp;M484,LAYOUT!$E$2:$E$34,0)),"zona tidak ada di layout"))</f>
        <v/>
      </c>
      <c r="Q484" s="12">
        <f>IF(OR(L484="",D484=""),"",COUNTIFS($L$2:$L$500,L484,$M$2:$M$500,M484,$D$2:$D$500,"&lt;&gt;"))</f>
        <v/>
      </c>
      <c r="R484" s="12">
        <f>IF(AND(D484="",L484=""),"",IF(L484="","Belum ditempatkan",IF(O484="","CEK ID FIXTURE tidak ada di DAFTAR_FIXTURE",IF(M484="","CEK ZONA NO kosong",IF(P484="zona tidak ada di layout","CEK ZONA NO di luar layout",IF(N484&lt;&gt;P484,"CEK JENIS ZONA",IF(D484="","Zona STOCK",IF(E484="","CEK SKU DESCRIPTION kosong","OK"))))))))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IF(OR(O485="",M485=""),"",IFERROR(INDEX(LAYOUT!$D$2:$D$34,MATCH(O485&amp;"|"&amp;M485,LAYOUT!$E$2:$E$34,0)),"zona tidak ada di layout"))</f>
        <v/>
      </c>
      <c r="Q485" s="12">
        <f>IF(OR(L485="",D485=""),"",COUNTIFS($L$2:$L$500,L485,$M$2:$M$500,M485,$D$2:$D$500,"&lt;&gt;"))</f>
        <v/>
      </c>
      <c r="R485" s="12">
        <f>IF(AND(D485="",L485=""),"",IF(L485="","Belum ditempatkan",IF(O485="","CEK ID FIXTURE tidak ada di DAFTAR_FIXTURE",IF(M485="","CEK ZONA NO kosong",IF(P485="zona tidak ada di layout","CEK ZONA NO di luar layout",IF(N485&lt;&gt;P485,"CEK JENIS ZONA",IF(D485="","Zona STOCK",IF(E485="","CEK SKU DESCRIPTION kosong","OK"))))))))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IF(OR(O486="",M486=""),"",IFERROR(INDEX(LAYOUT!$D$2:$D$34,MATCH(O486&amp;"|"&amp;M486,LAYOUT!$E$2:$E$34,0)),"zona tidak ada di layout"))</f>
        <v/>
      </c>
      <c r="Q486" s="12">
        <f>IF(OR(L486="",D486=""),"",COUNTIFS($L$2:$L$500,L486,$M$2:$M$500,M486,$D$2:$D$500,"&lt;&gt;"))</f>
        <v/>
      </c>
      <c r="R486" s="12">
        <f>IF(AND(D486="",L486=""),"",IF(L486="","Belum ditempatkan",IF(O486="","CEK ID FIXTURE tidak ada di DAFTAR_FIXTURE",IF(M486="","CEK ZONA NO kosong",IF(P486="zona tidak ada di layout","CEK ZONA NO di luar layout",IF(N486&lt;&gt;P486,"CEK JENIS ZONA",IF(D486="","Zona STOCK",IF(E486="","CEK SKU DESCRIPTION kosong","OK"))))))))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IF(OR(O487="",M487=""),"",IFERROR(INDEX(LAYOUT!$D$2:$D$34,MATCH(O487&amp;"|"&amp;M487,LAYOUT!$E$2:$E$34,0)),"zona tidak ada di layout"))</f>
        <v/>
      </c>
      <c r="Q487" s="12">
        <f>IF(OR(L487="",D487=""),"",COUNTIFS($L$2:$L$500,L487,$M$2:$M$500,M487,$D$2:$D$500,"&lt;&gt;"))</f>
        <v/>
      </c>
      <c r="R487" s="12">
        <f>IF(AND(D487="",L487=""),"",IF(L487="","Belum ditempatkan",IF(O487="","CEK ID FIXTURE tidak ada di DAFTAR_FIXTURE",IF(M487="","CEK ZONA NO kosong",IF(P487="zona tidak ada di layout","CEK ZONA NO di luar layout",IF(N487&lt;&gt;P487,"CEK JENIS ZONA",IF(D487="","Zona STOCK",IF(E487="","CEK SKU DESCRIPTION kosong","OK"))))))))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IF(OR(O488="",M488=""),"",IFERROR(INDEX(LAYOUT!$D$2:$D$34,MATCH(O488&amp;"|"&amp;M488,LAYOUT!$E$2:$E$34,0)),"zona tidak ada di layout"))</f>
        <v/>
      </c>
      <c r="Q488" s="12">
        <f>IF(OR(L488="",D488=""),"",COUNTIFS($L$2:$L$500,L488,$M$2:$M$500,M488,$D$2:$D$500,"&lt;&gt;"))</f>
        <v/>
      </c>
      <c r="R488" s="12">
        <f>IF(AND(D488="",L488=""),"",IF(L488="","Belum ditempatkan",IF(O488="","CEK ID FIXTURE tidak ada di DAFTAR_FIXTURE",IF(M488="","CEK ZONA NO kosong",IF(P488="zona tidak ada di layout","CEK ZONA NO di luar layout",IF(N488&lt;&gt;P488,"CEK JENIS ZONA",IF(D488="","Zona STOCK",IF(E488="","CEK SKU DESCRIPTION kosong","OK"))))))))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IF(OR(O489="",M489=""),"",IFERROR(INDEX(LAYOUT!$D$2:$D$34,MATCH(O489&amp;"|"&amp;M489,LAYOUT!$E$2:$E$34,0)),"zona tidak ada di layout"))</f>
        <v/>
      </c>
      <c r="Q489" s="12">
        <f>IF(OR(L489="",D489=""),"",COUNTIFS($L$2:$L$500,L489,$M$2:$M$500,M489,$D$2:$D$500,"&lt;&gt;"))</f>
        <v/>
      </c>
      <c r="R489" s="12">
        <f>IF(AND(D489="",L489=""),"",IF(L489="","Belum ditempatkan",IF(O489="","CEK ID FIXTURE tidak ada di DAFTAR_FIXTURE",IF(M489="","CEK ZONA NO kosong",IF(P489="zona tidak ada di layout","CEK ZONA NO di luar layout",IF(N489&lt;&gt;P489,"CEK JENIS ZONA",IF(D489="","Zona STOCK",IF(E489="","CEK SKU DESCRIPTION kosong","OK"))))))))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IF(OR(O490="",M490=""),"",IFERROR(INDEX(LAYOUT!$D$2:$D$34,MATCH(O490&amp;"|"&amp;M490,LAYOUT!$E$2:$E$34,0)),"zona tidak ada di layout"))</f>
        <v/>
      </c>
      <c r="Q490" s="12">
        <f>IF(OR(L490="",D490=""),"",COUNTIFS($L$2:$L$500,L490,$M$2:$M$500,M490,$D$2:$D$500,"&lt;&gt;"))</f>
        <v/>
      </c>
      <c r="R490" s="12">
        <f>IF(AND(D490="",L490=""),"",IF(L490="","Belum ditempatkan",IF(O490="","CEK ID FIXTURE tidak ada di DAFTAR_FIXTURE",IF(M490="","CEK ZONA NO kosong",IF(P490="zona tidak ada di layout","CEK ZONA NO di luar layout",IF(N490&lt;&gt;P490,"CEK JENIS ZONA",IF(D490="","Zona STOCK",IF(E490="","CEK SKU DESCRIPTION kosong","OK"))))))))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IF(OR(O491="",M491=""),"",IFERROR(INDEX(LAYOUT!$D$2:$D$34,MATCH(O491&amp;"|"&amp;M491,LAYOUT!$E$2:$E$34,0)),"zona tidak ada di layout"))</f>
        <v/>
      </c>
      <c r="Q491" s="12">
        <f>IF(OR(L491="",D491=""),"",COUNTIFS($L$2:$L$500,L491,$M$2:$M$500,M491,$D$2:$D$500,"&lt;&gt;"))</f>
        <v/>
      </c>
      <c r="R491" s="12">
        <f>IF(AND(D491="",L491=""),"",IF(L491="","Belum ditempatkan",IF(O491="","CEK ID FIXTURE tidak ada di DAFTAR_FIXTURE",IF(M491="","CEK ZONA NO kosong",IF(P491="zona tidak ada di layout","CEK ZONA NO di luar layout",IF(N491&lt;&gt;P491,"CEK JENIS ZONA",IF(D491="","Zona STOCK",IF(E491="","CEK SKU DESCRIPTION kosong","OK"))))))))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IF(OR(O492="",M492=""),"",IFERROR(INDEX(LAYOUT!$D$2:$D$34,MATCH(O492&amp;"|"&amp;M492,LAYOUT!$E$2:$E$34,0)),"zona tidak ada di layout"))</f>
        <v/>
      </c>
      <c r="Q492" s="12">
        <f>IF(OR(L492="",D492=""),"",COUNTIFS($L$2:$L$500,L492,$M$2:$M$500,M492,$D$2:$D$500,"&lt;&gt;"))</f>
        <v/>
      </c>
      <c r="R492" s="12">
        <f>IF(AND(D492="",L492=""),"",IF(L492="","Belum ditempatkan",IF(O492="","CEK ID FIXTURE tidak ada di DAFTAR_FIXTURE",IF(M492="","CEK ZONA NO kosong",IF(P492="zona tidak ada di layout","CEK ZONA NO di luar layout",IF(N492&lt;&gt;P492,"CEK JENIS ZONA",IF(D492="","Zona STOCK",IF(E492="","CEK SKU DESCRIPTION kosong","OK"))))))))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IF(OR(O493="",M493=""),"",IFERROR(INDEX(LAYOUT!$D$2:$D$34,MATCH(O493&amp;"|"&amp;M493,LAYOUT!$E$2:$E$34,0)),"zona tidak ada di layout"))</f>
        <v/>
      </c>
      <c r="Q493" s="12">
        <f>IF(OR(L493="",D493=""),"",COUNTIFS($L$2:$L$500,L493,$M$2:$M$500,M493,$D$2:$D$500,"&lt;&gt;"))</f>
        <v/>
      </c>
      <c r="R493" s="12">
        <f>IF(AND(D493="",L493=""),"",IF(L493="","Belum ditempatkan",IF(O493="","CEK ID FIXTURE tidak ada di DAFTAR_FIXTURE",IF(M493="","CEK ZONA NO kosong",IF(P493="zona tidak ada di layout","CEK ZONA NO di luar layout",IF(N493&lt;&gt;P493,"CEK JENIS ZONA",IF(D493="","Zona STOCK",IF(E493="","CEK SKU DESCRIPTION kosong","OK"))))))))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IF(OR(O494="",M494=""),"",IFERROR(INDEX(LAYOUT!$D$2:$D$34,MATCH(O494&amp;"|"&amp;M494,LAYOUT!$E$2:$E$34,0)),"zona tidak ada di layout"))</f>
        <v/>
      </c>
      <c r="Q494" s="12">
        <f>IF(OR(L494="",D494=""),"",COUNTIFS($L$2:$L$500,L494,$M$2:$M$500,M494,$D$2:$D$500,"&lt;&gt;"))</f>
        <v/>
      </c>
      <c r="R494" s="12">
        <f>IF(AND(D494="",L494=""),"",IF(L494="","Belum ditempatkan",IF(O494="","CEK ID FIXTURE tidak ada di DAFTAR_FIXTURE",IF(M494="","CEK ZONA NO kosong",IF(P494="zona tidak ada di layout","CEK ZONA NO di luar layout",IF(N494&lt;&gt;P494,"CEK JENIS ZONA",IF(D494="","Zona STOCK",IF(E494="","CEK SKU DESCRIPTION kosong","OK"))))))))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IF(OR(O495="",M495=""),"",IFERROR(INDEX(LAYOUT!$D$2:$D$34,MATCH(O495&amp;"|"&amp;M495,LAYOUT!$E$2:$E$34,0)),"zona tidak ada di layout"))</f>
        <v/>
      </c>
      <c r="Q495" s="12">
        <f>IF(OR(L495="",D495=""),"",COUNTIFS($L$2:$L$500,L495,$M$2:$M$500,M495,$D$2:$D$500,"&lt;&gt;"))</f>
        <v/>
      </c>
      <c r="R495" s="12">
        <f>IF(AND(D495="",L495=""),"",IF(L495="","Belum ditempatkan",IF(O495="","CEK ID FIXTURE tidak ada di DAFTAR_FIXTURE",IF(M495="","CEK ZONA NO kosong",IF(P495="zona tidak ada di layout","CEK ZONA NO di luar layout",IF(N495&lt;&gt;P495,"CEK JENIS ZONA",IF(D495="","Zona STOCK",IF(E495="","CEK SKU DESCRIPTION kosong","OK"))))))))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IF(OR(O496="",M496=""),"",IFERROR(INDEX(LAYOUT!$D$2:$D$34,MATCH(O496&amp;"|"&amp;M496,LAYOUT!$E$2:$E$34,0)),"zona tidak ada di layout"))</f>
        <v/>
      </c>
      <c r="Q496" s="12">
        <f>IF(OR(L496="",D496=""),"",COUNTIFS($L$2:$L$500,L496,$M$2:$M$500,M496,$D$2:$D$500,"&lt;&gt;"))</f>
        <v/>
      </c>
      <c r="R496" s="12">
        <f>IF(AND(D496="",L496=""),"",IF(L496="","Belum ditempatkan",IF(O496="","CEK ID FIXTURE tidak ada di DAFTAR_FIXTURE",IF(M496="","CEK ZONA NO kosong",IF(P496="zona tidak ada di layout","CEK ZONA NO di luar layout",IF(N496&lt;&gt;P496,"CEK JENIS ZONA",IF(D496="","Zona STOCK",IF(E496="","CEK SKU DESCRIPTION kosong","OK"))))))))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IF(OR(O497="",M497=""),"",IFERROR(INDEX(LAYOUT!$D$2:$D$34,MATCH(O497&amp;"|"&amp;M497,LAYOUT!$E$2:$E$34,0)),"zona tidak ada di layout"))</f>
        <v/>
      </c>
      <c r="Q497" s="12">
        <f>IF(OR(L497="",D497=""),"",COUNTIFS($L$2:$L$500,L497,$M$2:$M$500,M497,$D$2:$D$500,"&lt;&gt;"))</f>
        <v/>
      </c>
      <c r="R497" s="12">
        <f>IF(AND(D497="",L497=""),"",IF(L497="","Belum ditempatkan",IF(O497="","CEK ID FIXTURE tidak ada di DAFTAR_FIXTURE",IF(M497="","CEK ZONA NO kosong",IF(P497="zona tidak ada di layout","CEK ZONA NO di luar layout",IF(N497&lt;&gt;P497,"CEK JENIS ZONA",IF(D497="","Zona STOCK",IF(E497="","CEK SKU DESCRIPTION kosong","OK"))))))))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IF(OR(O498="",M498=""),"",IFERROR(INDEX(LAYOUT!$D$2:$D$34,MATCH(O498&amp;"|"&amp;M498,LAYOUT!$E$2:$E$34,0)),"zona tidak ada di layout"))</f>
        <v/>
      </c>
      <c r="Q498" s="12">
        <f>IF(OR(L498="",D498=""),"",COUNTIFS($L$2:$L$500,L498,$M$2:$M$500,M498,$D$2:$D$500,"&lt;&gt;"))</f>
        <v/>
      </c>
      <c r="R498" s="12">
        <f>IF(AND(D498="",L498=""),"",IF(L498="","Belum ditempatkan",IF(O498="","CEK ID FIXTURE tidak ada di DAFTAR_FIXTURE",IF(M498="","CEK ZONA NO kosong",IF(P498="zona tidak ada di layout","CEK ZONA NO di luar layout",IF(N498&lt;&gt;P498,"CEK JENIS ZONA",IF(D498="","Zona STOCK",IF(E498="","CEK SKU DESCRIPTION kosong","OK"))))))))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IF(OR(O499="",M499=""),"",IFERROR(INDEX(LAYOUT!$D$2:$D$34,MATCH(O499&amp;"|"&amp;M499,LAYOUT!$E$2:$E$34,0)),"zona tidak ada di layout"))</f>
        <v/>
      </c>
      <c r="Q499" s="12">
        <f>IF(OR(L499="",D499=""),"",COUNTIFS($L$2:$L$500,L499,$M$2:$M$500,M499,$D$2:$D$500,"&lt;&gt;"))</f>
        <v/>
      </c>
      <c r="R499" s="12">
        <f>IF(AND(D499="",L499=""),"",IF(L499="","Belum ditempatkan",IF(O499="","CEK ID FIXTURE tidak ada di DAFTAR_FIXTURE",IF(M499="","CEK ZONA NO kosong",IF(P499="zona tidak ada di layout","CEK ZONA NO di luar layout",IF(N499&lt;&gt;P499,"CEK JENIS ZONA",IF(D499="","Zona STOCK",IF(E499="","CEK SKU DESCRIPTION kosong","OK"))))))))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IF(OR(O500="",M500=""),"",IFERROR(INDEX(LAYOUT!$D$2:$D$34,MATCH(O500&amp;"|"&amp;M500,LAYOUT!$E$2:$E$34,0)),"zona tidak ada di layout"))</f>
        <v/>
      </c>
      <c r="Q500" s="12">
        <f>IF(OR(L500="",D500=""),"",COUNTIFS($L$2:$L$500,L500,$M$2:$M$500,M500,$D$2:$D$500,"&lt;&gt;"))</f>
        <v/>
      </c>
      <c r="R500" s="12">
        <f>IF(AND(D500="",L500=""),"",IF(L500="","Belum ditempatkan",IF(O500="","CEK ID FIXTURE tidak ada di DAFTAR_FIXTURE",IF(M500="","CEK ZONA NO kosong",IF(P500="zona tidak ada di layout","CEK ZONA NO di luar layout",IF(N500&lt;&gt;P500,"CEK JENIS ZONA",IF(D500="","Zona STOCK",IF(E500="","CEK SKU DESCRIPTION kosong","OK"))))))))</f>
        <v/>
      </c>
    </row>
  </sheetData>
  <autoFilter ref="A1:R500"/>
  <conditionalFormatting sqref="R2:R500">
    <cfRule type="expression" priority="1" dxfId="0">
      <formula>LEFT($R2,3)="CEK"</formula>
    </cfRule>
    <cfRule type="expression" priority="2" dxfId="1">
      <formula>$R2="OK"</formula>
    </cfRule>
    <cfRule type="expression" priority="3" dxfId="2">
      <formula>OR($R2="Zona STOCK",$R2="Belum ditempatkan")</formula>
    </cfRule>
  </conditionalFormatting>
  <dataValidations count="6">
    <dataValidation sqref="L2:L500" showDropDown="0" showInputMessage="0" showErrorMessage="1" allowBlank="1" errorTitle="ID FIXTURE" error="Pilih ID dari daftar (kelola di sheet DAFTAR_FIXTURE)." type="list">
      <formula1>FIXTURE_IDS</formula1>
    </dataValidation>
    <dataValidation sqref="M2:M500" showDropDown="0" showInputMessage="0" showErrorMessage="1" allowBlank="1" errorTitle="Angka bulat" error="ZONA NO harus angka bulat mulai 1." type="whole" operator="greaterThanOrEqual">
      <formula1>1</formula1>
    </dataValidation>
    <dataValidation sqref="N2:N500" showDropDown="0" showInputMessage="0" showErrorMessage="0" allowBlank="1" type="list">
      <formula1>"Rak,Gantungan"</formula1>
    </dataValidation>
    <dataValidation sqref="G2:G500" showDropDown="0" showInputMessage="0" showErrorMessage="1" allowBlank="1" errorTitle="GRUP DISPLAY" error="Nilai belum ada di LIST_GRUP. Tetap dipakai?" type="list" errorStyle="warning">
      <formula1>LIST_GRUP!$A$2:$A$60</formula1>
    </dataValidation>
    <dataValidation sqref="H2:H500" showDropDown="0" showInputMessage="0" showErrorMessage="1" allowBlank="1" errorTitle="GRUP ADJACENCY" error="Nilai belum ada di LIST_GRUP. Tetap dipakai?" type="list" errorStyle="warning">
      <formula1>LIST_GRUP!$B$2:$B$60</formula1>
    </dataValidation>
    <dataValidation sqref="I2:I500" showDropDown="0" showInputMessage="0" showErrorMessage="1" allowBlank="1" errorTitle="SERIES" error="Nilai belum ada di LIST_GRUP. Tetap dipakai?" type="list" errorStyle="warning">
      <formula1>LIST_GRUP!$C$2:$C$60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7" t="inlineStr">
        <is>
          <t>GRUP DISPLAY</t>
        </is>
      </c>
      <c r="B1" s="7" t="inlineStr">
        <is>
          <t>GRUP ADJACENCY</t>
        </is>
      </c>
      <c r="C1" s="7" t="inlineStr">
        <is>
          <t>SERIES</t>
        </is>
      </c>
      <c r="E1" t="inlineStr">
        <is>
          <t>Daftar pilihan dropdown. Tambah nilai baru ke bawah kolom yang sesuai.</t>
        </is>
      </c>
    </row>
    <row r="2">
      <c r="A2" t="inlineStr">
        <is>
          <t>ALAT MASAK</t>
        </is>
      </c>
      <c r="B2" t="inlineStr">
        <is>
          <t>A1. GLASSWARE</t>
        </is>
      </c>
      <c r="C2" t="inlineStr">
        <is>
          <t>ELAN</t>
        </is>
      </c>
    </row>
    <row r="3">
      <c r="A3" t="inlineStr">
        <is>
          <t>MAKAN</t>
        </is>
      </c>
      <c r="B3" t="inlineStr">
        <is>
          <t>A2. SERVINGWARE</t>
        </is>
      </c>
      <c r="C3" t="inlineStr">
        <is>
          <t>GLASS BASIC</t>
        </is>
      </c>
    </row>
    <row r="4">
      <c r="A4" t="inlineStr">
        <is>
          <t>MASAK</t>
        </is>
      </c>
      <c r="B4" t="inlineStr">
        <is>
          <t>B1. CASSEROLE</t>
        </is>
      </c>
      <c r="C4" t="inlineStr">
        <is>
          <t>GLASS FANCY</t>
        </is>
      </c>
    </row>
    <row r="5">
      <c r="A5" t="inlineStr">
        <is>
          <t>PENYIMPANAN</t>
        </is>
      </c>
      <c r="B5" t="inlineStr">
        <is>
          <t>B2. COOKWARE</t>
        </is>
      </c>
      <c r="C5" t="inlineStr">
        <is>
          <t>GOLD MARBLE</t>
        </is>
      </c>
    </row>
    <row r="6">
      <c r="B6" t="inlineStr">
        <is>
          <t>C1. KITCHEN TOOLS</t>
        </is>
      </c>
      <c r="C6" t="inlineStr">
        <is>
          <t>INVERNESS</t>
        </is>
      </c>
    </row>
    <row r="7">
      <c r="B7" t="inlineStr">
        <is>
          <t>D11. KITCHEN PLASTICWARE</t>
        </is>
      </c>
      <c r="C7" t="inlineStr">
        <is>
          <t>KINGSTON</t>
        </is>
      </c>
    </row>
    <row r="8">
      <c r="B8" t="inlineStr">
        <is>
          <t>E4. CANISTER</t>
        </is>
      </c>
      <c r="C8" t="inlineStr">
        <is>
          <t>KIRA</t>
        </is>
      </c>
    </row>
    <row r="9">
      <c r="C9" t="inlineStr">
        <is>
          <t>MARBLE W/RACK</t>
        </is>
      </c>
    </row>
    <row r="10">
      <c r="C10" t="inlineStr">
        <is>
          <t>POLLA</t>
        </is>
      </c>
    </row>
    <row r="11">
      <c r="C11" t="inlineStr">
        <is>
          <t>SERVING SET MARBLE</t>
        </is>
      </c>
    </row>
    <row r="12">
      <c r="C12" t="inlineStr">
        <is>
          <t>TANTA NYLON</t>
        </is>
      </c>
    </row>
    <row r="13">
      <c r="C13" t="inlineStr">
        <is>
          <t>TANTA S/S</t>
        </is>
      </c>
    </row>
    <row r="14">
      <c r="C14" t="inlineStr">
        <is>
          <t>W/GOLD RACK GLASS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2026-10-02T07:33:09Z</dcterms:modified>
</cp:coreProperties>
</file>