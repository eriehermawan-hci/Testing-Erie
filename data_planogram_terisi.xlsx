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DATA" sheetId="2" state="visible" r:id="rId2"/>
    <sheet xmlns:r="http://schemas.openxmlformats.org/officeDocument/2006/relationships" name="DIMENSI" sheetId="3" state="visible" r:id="rId3"/>
    <sheet xmlns:r="http://schemas.openxmlformats.org/officeDocument/2006/relationships" name="LAYOUT" sheetId="4" state="visible" r:id="rId4"/>
  </sheets>
  <definedNames>
    <definedName name="_xlnm._FilterDatabase" localSheetId="1" hidden="1">'DATA'!$A$1:$Z$500</definedName>
    <definedName name="_xlnm._FilterDatabase" localSheetId="2" hidden="1">'DIMENSI'!$A$1:$K$500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Arial"/>
      <b val="1"/>
      <color rgb="001F3A5F"/>
      <sz val="14"/>
    </font>
    <font>
      <name val="Arial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b val="1"/>
      <color rgb="00FFFFFF"/>
      <sz val="10"/>
    </font>
    <font>
      <name val="Arial"/>
      <color rgb="007F7F7F"/>
      <sz val="10"/>
    </font>
    <font>
      <name val="Arial"/>
      <i val="1"/>
      <color rgb="007F7F7F"/>
      <sz val="10"/>
    </font>
    <font>
      <name val="Arial"/>
      <color rgb="00555555"/>
      <sz val="10"/>
    </font>
    <font>
      <b val="1"/>
      <color rgb="003B4456"/>
    </font>
    <font>
      <color rgb="003B4456"/>
    </font>
  </fonts>
  <fills count="8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D9D2E9"/>
      </patternFill>
    </fill>
    <fill>
      <patternFill patternType="solid">
        <fgColor rgb="00C6E0B4"/>
      </patternFill>
    </fill>
    <fill>
      <patternFill patternType="solid">
        <fgColor rgb="00BFBFBF"/>
      </patternFill>
    </fill>
    <fill>
      <patternFill patternType="solid">
        <fgColor rgb="00EDEDED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0" borderId="0" applyAlignment="1" pivotButton="0" quotePrefix="0" xfId="0">
      <alignment vertical="top"/>
    </xf>
    <xf numFmtId="0" fontId="2" fillId="0" borderId="0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49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7" fillId="0" borderId="0" pivotButton="0" quotePrefix="0" xfId="0"/>
    <xf numFmtId="0" fontId="2" fillId="0" borderId="1" pivotButton="0" quotePrefix="0" xfId="0"/>
    <xf numFmtId="0" fontId="5" fillId="2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6" fillId="0" borderId="1" pivotButton="0" quotePrefix="0" xfId="0"/>
    <xf numFmtId="0" fontId="4" fillId="7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0" fontId="5" fillId="2" borderId="1" applyAlignment="1" pivotButton="0" quotePrefix="0" xfId="0">
      <alignment horizontal="center" vertical="center" wrapText="1"/>
    </xf>
    <xf numFmtId="0" fontId="9" fillId="0" borderId="0" pivotButton="0" quotePrefix="0" xfId="0"/>
    <xf numFmtId="0" fontId="10" fillId="0" borderId="0" pivotButton="0" quotePrefix="0" xfId="0"/>
  </cellXfs>
  <cellStyles count="1">
    <cellStyle name="Normal" xfId="0" builtinId="0" hidden="0"/>
  </cellStyles>
  <dxfs count="6">
    <dxf>
      <font>
        <name val="Arial"/>
        <b val="1"/>
        <color rgb="009C0006"/>
        <sz val="10"/>
      </font>
      <fill>
        <patternFill patternType="solid">
          <bgColor rgb="00FFC7CE"/>
        </patternFill>
      </fill>
    </dxf>
    <dxf>
      <font>
        <name val="Arial"/>
        <b val="1"/>
        <color rgb="00006100"/>
        <sz val="10"/>
      </font>
      <fill>
        <patternFill patternType="solid">
          <bgColor rgb="00C6EFCE"/>
        </patternFill>
      </fill>
    </dxf>
    <dxf>
      <font>
        <name val="Arial"/>
        <color rgb="00666666"/>
        <sz val="10"/>
      </font>
      <fill>
        <patternFill patternType="solid">
          <bgColor rgb="00EDEDED"/>
        </patternFill>
      </fill>
    </dxf>
    <dxf>
      <font>
        <color rgb="009C0006"/>
      </font>
      <fill>
        <patternFill patternType="solid">
          <bgColor rgb="00FFC7CE"/>
        </patternFill>
      </fill>
    </dxf>
    <dxf>
      <font>
        <color rgb="00006100"/>
      </font>
      <fill>
        <patternFill patternType="solid">
          <bgColor rgb="00C6EFCE"/>
        </patternFill>
      </fill>
    </dxf>
    <dxf>
      <font>
        <color rgb="009C5700"/>
      </font>
      <fill>
        <patternFill patternType="solid">
          <b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7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20" customWidth="1" min="2" max="2"/>
  </cols>
  <sheetData>
    <row r="1">
      <c r="A1" s="1" t="inlineStr">
        <is>
          <t>TEMPLATE DATA PLANOGRAM</t>
        </is>
      </c>
      <c r="B1" s="2" t="n"/>
    </row>
    <row r="2">
      <c r="A2" s="6" t="inlineStr">
        <is>
          <t>Isi sheet DATA dari kiri ke kanan. Satu baris = satu SKU dalam satu series. Hasilnya: visual planogram 2D dan 3D per Grup Adjacency atau per Series.</t>
        </is>
      </c>
      <c r="B2" s="2" t="n"/>
    </row>
    <row r="3">
      <c r="A3" s="2" t="n"/>
      <c r="B3" s="2" t="n"/>
    </row>
    <row r="4">
      <c r="A4" s="3" t="inlineStr">
        <is>
          <t>LOGIKA YANG DIPAKAI</t>
        </is>
      </c>
      <c r="B4" s="4" t="n"/>
    </row>
    <row r="5">
      <c r="A5" s="5" t="inlineStr">
        <is>
          <t>1. Data SKU</t>
        </is>
      </c>
      <c r="B5" s="6" t="inlineStr">
        <is>
          <t>Setiap SKU punya DEPT, GRUP ADJACENCY, dan SERIES (kolom A–K).</t>
        </is>
      </c>
    </row>
    <row r="6">
      <c r="A6" s="5" t="inlineStr">
        <is>
          <t>2. Output</t>
        </is>
      </c>
      <c r="B6" s="6" t="inlineStr">
        <is>
          <t>Visual planogram ditampilkan per Grup Adjacency atau per Series. Pilih salah satu di dashboard.</t>
        </is>
      </c>
    </row>
    <row r="7">
      <c r="A7" s="5" t="inlineStr">
        <is>
          <t>3. Satu series = fixture sendiri</t>
        </is>
      </c>
      <c r="B7" s="6" t="inlineStr">
        <is>
          <t>Antar series pasti beda fixture dan posisinya. Dalam satu series boleh memakai lebih dari satu fixture (sampai 3).</t>
        </is>
      </c>
    </row>
    <row r="8">
      <c r="A8" s="5" t="inlineStr">
        <is>
          <t>4. Tiga fixture, terkunci</t>
        </is>
      </c>
      <c r="B8" s="6" t="inlineStr">
        <is>
          <t>FIXTURE 1 (kolom L–P) hanya Gondola atau Endcap. FIXTURE 2 (kolom Q–U) hanya Wall. FIXTURE 3 (kolom V–Z) hanya Wall. Isi sesuai kebutuhan; ketiganya tidak wajib terisi.</t>
        </is>
      </c>
    </row>
    <row r="9">
      <c r="A9" s="5" t="inlineStr">
        <is>
          <t>5. Sambung otomatis</t>
        </is>
      </c>
      <c r="B9" s="6" t="inlineStr">
        <is>
          <t>Dalam satu series dan satu blok fixture, unit dengan URUTAN DISPLAY berbeda otomatis disambung dan diurutkan menurut nomornya. Tidak perlu mengisi template sambungan.</t>
        </is>
      </c>
    </row>
    <row r="10">
      <c r="A10" s="5" t="inlineStr">
        <is>
          <t>6. Urutan zona</t>
        </is>
      </c>
      <c r="B10" s="6" t="inlineStr">
        <is>
          <t>SHELVING KE dihitung dari atas mulai 1, Gantungan ikut dihitung. Susunan tiap jenis fixture ada di sheet LAYOUT.</t>
        </is>
      </c>
    </row>
    <row r="11">
      <c r="A11" s="2" t="n"/>
      <c r="B11" s="2" t="n"/>
    </row>
    <row r="12">
      <c r="A12" s="3" t="inlineStr">
        <is>
          <t>LANGKAH 1 — DATA SKU (kolom A–K, template wajib internal)</t>
        </is>
      </c>
      <c r="B12" s="4" t="n"/>
    </row>
    <row r="13">
      <c r="A13" s="5" t="inlineStr">
        <is>
          <t>DEPT, COMM, CLASS</t>
        </is>
      </c>
      <c r="B13" s="6" t="inlineStr">
        <is>
          <t>Hirarki produk dari data master.</t>
        </is>
      </c>
    </row>
    <row r="14">
      <c r="A14" s="5" t="inlineStr">
        <is>
          <t>SKU *</t>
        </is>
      </c>
      <c r="B14" s="6" t="inlineStr">
        <is>
          <t>Kode artikel. Wajib. Dipakai juga untuk membentuk link gambar bila LINK IMAGE kosong.</t>
        </is>
      </c>
    </row>
    <row r="15">
      <c r="A15" s="5" t="inlineStr">
        <is>
          <t>SKU DESCRIPTION *</t>
        </is>
      </c>
      <c r="B15" s="6" t="inlineStr">
        <is>
          <t>Nama item. Wajib. Tampil di kartu produk.</t>
        </is>
      </c>
    </row>
    <row r="16">
      <c r="A16" s="5" t="inlineStr">
        <is>
          <t>STOCK</t>
        </is>
      </c>
      <c r="B16" s="6" t="inlineStr">
        <is>
          <t>Informasi stok (dari data master). Tidak memengaruhi gambar.</t>
        </is>
      </c>
    </row>
    <row r="17">
      <c r="A17" s="5" t="inlineStr">
        <is>
          <t>GRUP DISPLAY</t>
        </is>
      </c>
      <c r="B17" s="6" t="inlineStr">
        <is>
          <t>Contoh: MAKAN, MASAK. Tidak ditampilkan sebagai filter.</t>
        </is>
      </c>
    </row>
    <row r="18">
      <c r="A18" s="5" t="inlineStr">
        <is>
          <t>GRUP ADJACENCY *</t>
        </is>
      </c>
      <c r="B18" s="6" t="inlineStr">
        <is>
          <t>Contoh: A2. SERVINGWARE. Filter utama di dashboard.</t>
        </is>
      </c>
    </row>
    <row r="19">
      <c r="A19" s="5" t="inlineStr">
        <is>
          <t>SERIES *</t>
        </is>
      </c>
      <c r="B19" s="6" t="inlineStr">
        <is>
          <t>Contoh: SERVING SET MARBLE. Filter utama, dan menentukan fixture mana yang dipakai (satu series = satu set fixture). Wajib untuk SKU yang ditempatkan.</t>
        </is>
      </c>
    </row>
    <row r="20">
      <c r="A20" s="5" t="inlineStr">
        <is>
          <t>SUB SERIES, LINK IMAGE</t>
        </is>
      </c>
      <c r="B20" s="6" t="inlineStr">
        <is>
          <t>Opsional. LINK IMAGE kosong = otomatis https://cdn.ruparupa.io/fit-in/850x850/ruparupa-com/image/upload/Products/{SKU}_1.jpg.</t>
        </is>
      </c>
    </row>
    <row r="21">
      <c r="A21" s="2" t="n"/>
      <c r="B21" s="2" t="n"/>
    </row>
    <row r="22">
      <c r="A22" s="3" t="inlineStr">
        <is>
          <t>LANGKAH 2 — PENEMPATAN KE FIXTURE (3 blok, terkunci)</t>
        </is>
      </c>
      <c r="B22" s="4" t="n"/>
    </row>
    <row r="23">
      <c r="A23" s="5" t="inlineStr">
        <is>
          <t>JENIS FIXTURE n *</t>
        </is>
      </c>
      <c r="B23" s="6" t="inlineStr">
        <is>
          <t>Pilih dari dropdown. Blok 1 berisi pilihan Gondola dan Endcap, blok 2 dan 3 berisi pilihan Wall. Isi di setiap baris yang dipakai (salin ke bawah); harus sama untuk satu series di blok yang sama.</t>
        </is>
      </c>
    </row>
    <row r="24">
      <c r="A24" s="5" t="inlineStr">
        <is>
          <t>SHELVING KE n *</t>
        </is>
      </c>
      <c r="B24" s="6" t="inlineStr">
        <is>
          <t>Nomor zona dari atas, mulai 1 (Gantungan ikut dihitung). Lihat jumlah dan urutannya di sheet LAYOUT. Zona yang tidak diisi dianggap kosong.</t>
        </is>
      </c>
    </row>
    <row r="25">
      <c r="A25" s="5" t="inlineStr">
        <is>
          <t>URUTAN DISPLAY n</t>
        </is>
      </c>
      <c r="B25" s="6" t="inlineStr">
        <is>
          <t>Opsional (angka 1, 2, 3, ...). Dipakai bila satu series memakai fixture yang sama lebih dari satu unit: unit bernomor berbeda ditampilkan menempel berurutan (sambung otomatis). Kosong = 1.</t>
        </is>
      </c>
    </row>
    <row r="26">
      <c r="A26" s="5" t="inlineStr">
        <is>
          <t>TIPE ZONA n (otomatis)</t>
        </is>
      </c>
      <c r="B26" s="6" t="inlineStr">
        <is>
          <t>Menampilkan apakah nomor itu Shelving atau Gantungan. Jangan diisi atau dihapus.</t>
        </is>
      </c>
    </row>
    <row r="27">
      <c r="A27" s="5" t="inlineStr">
        <is>
          <t>STATUS n (otomatis)</t>
        </is>
      </c>
      <c r="B27" s="6" t="inlineStr">
        <is>
          <t>OK, atau CEK + penyebab. Kuning = Zona STOCK / Belum ditempatkan. Jangan diisi atau dihapus.</t>
        </is>
      </c>
    </row>
    <row r="28">
      <c r="A28" s="2" t="n"/>
      <c r="B28" s="2" t="n"/>
    </row>
    <row r="29">
      <c r="A29" s="3" t="inlineStr">
        <is>
          <t>ATURAN PENGISIAN</t>
        </is>
      </c>
      <c r="B29" s="4" t="n"/>
    </row>
    <row r="30">
      <c r="A30" s="5" t="inlineStr">
        <is>
          <t>Satu SKU di beberapa fixture</t>
        </is>
      </c>
      <c r="B30" s="6" t="inlineStr">
        <is>
          <t>Dalam satu baris, isi lebih dari satu blok. Contoh: Gondola shelving 2 (blok 1) dan Wall shelving 3 (blok 2).</t>
        </is>
      </c>
    </row>
    <row r="31">
      <c r="A31" s="5" t="inlineStr">
        <is>
          <t>SKU yang sama di series lain</t>
        </is>
      </c>
      <c r="B31" s="6" t="inlineStr">
        <is>
          <t>Tulis baris baru dengan SERIES lain. Sampel memakai SKU yang sama di tiga series dalam satu Grup Adjacency.</t>
        </is>
      </c>
    </row>
    <row r="32">
      <c r="A32" s="5" t="inlineStr">
        <is>
          <t>SKU lebih dari satu kali dalam blok yang sama</t>
        </is>
      </c>
      <c r="B32" s="6" t="inlineStr">
        <is>
          <t>Tulis baris baru (misalnya SKU yang sama di dua shelving berbeda dalam satu Gondola).</t>
        </is>
      </c>
    </row>
    <row r="33">
      <c r="A33" s="5" t="inlineStr">
        <is>
          <t>Baris tanpa SKU</t>
        </is>
      </c>
      <c r="B33" s="6" t="inlineStr">
        <is>
          <t>Boleh dipakai hanya untuk menandai zona (isi SERIES, JENIS FIXTURE, SHELVING KE). Zona tanpa SKU menjadi STOCK atau Display Produk.</t>
        </is>
      </c>
    </row>
    <row r="34">
      <c r="A34" s="5" t="inlineStr">
        <is>
          <t>Zona kosong</t>
        </is>
      </c>
      <c r="B34" s="6" t="inlineStr">
        <is>
          <t>Gondola dan Endcap: shelving 1 kosong = Display Produk (gambar 3D), shelving lain kosong = STOCK. Wall: shelving 2, 3, 4 kosong = Display Produk; shelving 1, 5, 6 kosong = STOCK.</t>
        </is>
      </c>
    </row>
    <row r="35">
      <c r="A35" s="5" t="inlineStr">
        <is>
          <t>Baris tanpa penempatan</t>
        </is>
      </c>
      <c r="B35" s="6" t="inlineStr">
        <is>
          <t>SKU master saja: ikut filter, belum tampil di fixture mana pun.</t>
        </is>
      </c>
    </row>
    <row r="36">
      <c r="A36" s="2" t="n"/>
      <c r="B36" s="2" t="n"/>
    </row>
    <row r="37">
      <c r="A37" s="3" t="inlineStr">
        <is>
          <t>SHEET LAIN</t>
        </is>
      </c>
      <c r="B37" s="4" t="n"/>
    </row>
    <row r="38">
      <c r="A38" s="5" t="inlineStr">
        <is>
          <t>LAYOUT</t>
        </is>
      </c>
      <c r="B38" s="6" t="inlineStr">
        <is>
          <t>Referensi susunan zona tiap jenis fixture. Jangan diubah.</t>
        </is>
      </c>
    </row>
    <row r="39">
      <c r="A39" s="5" t="inlineStr">
        <is>
          <t>DIMENSI (opsional)</t>
        </is>
      </c>
      <c r="B39" s="6" t="inlineStr">
        <is>
          <t>Ukuran kemasan untuk Activation Packaging. Hanya berlaku untuk Pallet, yang belum ada di format ini.</t>
        </is>
      </c>
    </row>
    <row r="40">
      <c r="A40" s="2" t="n"/>
      <c r="B40" s="2" t="n"/>
    </row>
    <row r="41">
      <c r="A41" s="2" t="n"/>
      <c r="B41" s="2" t="n"/>
    </row>
    <row r="42">
      <c r="A42" s="2" t="n"/>
      <c r="B42" s="2" t="n"/>
    </row>
    <row r="43">
      <c r="A43" s="2" t="n"/>
      <c r="B43" s="2" t="n"/>
    </row>
    <row r="44">
      <c r="A44" s="2" t="n"/>
      <c r="B44" s="2" t="n"/>
    </row>
    <row r="45">
      <c r="A45" s="2" t="n"/>
      <c r="B45" s="2" t="n"/>
    </row>
    <row r="46">
      <c r="A46" s="2" t="n"/>
      <c r="B46" s="2" t="n"/>
    </row>
    <row r="47">
      <c r="A47" s="2" t="n"/>
      <c r="B47" s="2" t="n"/>
    </row>
    <row r="48">
      <c r="A48" s="2" t="n"/>
      <c r="B48" s="2" t="n"/>
    </row>
    <row r="49">
      <c r="A49" s="2" t="n"/>
      <c r="B49" s="2" t="n"/>
    </row>
    <row r="50">
      <c r="A50" s="2" t="n"/>
      <c r="B50" s="2" t="n"/>
    </row>
    <row r="51">
      <c r="A51" s="2" t="n"/>
      <c r="B51" s="2" t="n"/>
    </row>
    <row r="52">
      <c r="A52" s="2" t="n"/>
      <c r="B52" s="2" t="n"/>
    </row>
    <row r="53">
      <c r="A53" s="2" t="n"/>
      <c r="B53" s="2" t="n"/>
    </row>
    <row r="54">
      <c r="A54" s="2" t="n"/>
      <c r="B54" s="2" t="n"/>
    </row>
    <row r="55">
      <c r="A55" s="2" t="n"/>
      <c r="B55" s="2" t="n"/>
    </row>
    <row r="56">
      <c r="A56" s="2" t="n"/>
      <c r="B56" s="2" t="n"/>
    </row>
    <row r="57">
      <c r="A57" s="2" t="n"/>
      <c r="B57" s="2" t="n"/>
    </row>
    <row r="58">
      <c r="A58" s="2" t="n"/>
      <c r="B58" s="2" t="n"/>
    </row>
    <row r="59">
      <c r="A59" s="2" t="n"/>
      <c r="B59" s="2" t="n"/>
    </row>
    <row r="60">
      <c r="A60" s="2" t="n"/>
      <c r="B60" s="2" t="n"/>
    </row>
    <row r="61">
      <c r="A61" s="2" t="n"/>
      <c r="B61" s="2" t="n"/>
    </row>
    <row r="62">
      <c r="A62" s="2" t="n"/>
      <c r="B62" s="2" t="n"/>
    </row>
    <row r="63">
      <c r="A63" s="2" t="n"/>
      <c r="B63" s="2" t="n"/>
    </row>
    <row r="64">
      <c r="A64" s="2" t="n"/>
      <c r="B64" s="2" t="n"/>
    </row>
    <row r="65">
      <c r="A65" s="2" t="n"/>
      <c r="B65" s="2" t="n"/>
    </row>
    <row r="66">
      <c r="A66" s="2" t="n"/>
      <c r="B66" s="2" t="n"/>
    </row>
    <row r="67">
      <c r="A67" s="2" t="n"/>
      <c r="B67" s="2" t="n"/>
    </row>
    <row r="68">
      <c r="A68" s="2" t="n"/>
      <c r="B68" s="2" t="n"/>
    </row>
    <row r="69">
      <c r="A69" s="2" t="n"/>
      <c r="B69" s="2" t="n"/>
    </row>
    <row r="70">
      <c r="A70" s="2" t="n"/>
      <c r="B70" s="2" t="n"/>
    </row>
    <row r="71">
      <c r="A71" s="2" t="n"/>
      <c r="B71" s="2" t="n"/>
    </row>
    <row r="72">
      <c r="A72" s="2" t="n"/>
      <c r="B72" s="2" t="n"/>
    </row>
    <row r="73">
      <c r="A73" s="2" t="n"/>
      <c r="B73" s="2" t="n"/>
    </row>
    <row r="74">
      <c r="A74" s="2" t="n"/>
      <c r="B74" s="2" t="n"/>
    </row>
    <row r="75">
      <c r="A75" s="2" t="n"/>
      <c r="B75" s="2" t="n"/>
    </row>
    <row r="76">
      <c r="A76" s="2" t="n"/>
      <c r="B76" s="2" t="n"/>
    </row>
    <row r="77">
      <c r="A77" s="2" t="n"/>
      <c r="B77" s="2" t="n"/>
    </row>
    <row r="78">
      <c r="A78" s="2" t="n"/>
      <c r="B78" s="2" t="n"/>
    </row>
    <row r="79">
      <c r="A79" s="2" t="n"/>
      <c r="B79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I500"/>
  <sheetViews>
    <sheetView zoomScale="100" workbookViewId="0">
      <pane xSplit="5" ySplit="1" topLeftCell="F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18" customWidth="1" min="3" max="3"/>
    <col width="12" customWidth="1" min="4" max="4"/>
    <col width="42" customWidth="1" min="5" max="5"/>
    <col width="10" customWidth="1" min="6" max="6"/>
    <col width="18" customWidth="1" min="7" max="7"/>
    <col width="26" customWidth="1" min="8" max="8"/>
    <col width="22" customWidth="1" min="9" max="9"/>
    <col width="16" customWidth="1" min="10" max="10"/>
    <col width="50" customWidth="1" min="11" max="11"/>
    <col width="34" customWidth="1" min="12" max="12"/>
    <col width="11" customWidth="1" min="13" max="13"/>
    <col width="10" customWidth="1" min="14" max="14"/>
    <col width="12" customWidth="1" min="15" max="15"/>
    <col width="26" customWidth="1" min="16" max="16"/>
    <col width="34" customWidth="1" min="17" max="17"/>
    <col width="11" customWidth="1" min="18" max="18"/>
    <col width="10" customWidth="1" min="19" max="19"/>
    <col width="12" customWidth="1" min="20" max="20"/>
    <col width="26" customWidth="1" min="21" max="21"/>
    <col width="34" customWidth="1" min="22" max="22"/>
    <col width="11" customWidth="1" min="23" max="23"/>
    <col width="10" customWidth="1" min="24" max="24"/>
    <col width="12" customWidth="1" min="25" max="25"/>
    <col width="26" customWidth="1" min="26" max="26"/>
  </cols>
  <sheetData>
    <row r="1" ht="36" customHeight="1">
      <c r="A1" s="7" t="inlineStr">
        <is>
          <t>DEPT</t>
        </is>
      </c>
      <c r="B1" s="7" t="inlineStr">
        <is>
          <t>COMM</t>
        </is>
      </c>
      <c r="C1" s="7" t="inlineStr">
        <is>
          <t>CLASS</t>
        </is>
      </c>
      <c r="D1" s="7" t="inlineStr">
        <is>
          <t>SKU</t>
        </is>
      </c>
      <c r="E1" s="7" t="inlineStr">
        <is>
          <t>SKU DESCRIPTION</t>
        </is>
      </c>
      <c r="F1" s="7" t="inlineStr">
        <is>
          <t>STOCK</t>
        </is>
      </c>
      <c r="G1" s="7" t="inlineStr">
        <is>
          <t>GRUP DISPLAY</t>
        </is>
      </c>
      <c r="H1" s="7" t="inlineStr">
        <is>
          <t>GRUP ADJACENCY</t>
        </is>
      </c>
      <c r="I1" s="7" t="inlineStr">
        <is>
          <t>SERIES</t>
        </is>
      </c>
      <c r="J1" s="7" t="inlineStr">
        <is>
          <t>SUB SERIES*</t>
        </is>
      </c>
      <c r="K1" s="19" t="inlineStr">
        <is>
          <t>LINK IMAGE (opsional)</t>
        </is>
      </c>
      <c r="L1" s="8" t="inlineStr">
        <is>
          <t>JENIS FIXTURE 1 (Gondola/Endcap)</t>
        </is>
      </c>
      <c r="M1" s="8" t="inlineStr">
        <is>
          <t>SHELVING KE 1</t>
        </is>
      </c>
      <c r="N1" s="8" t="inlineStr">
        <is>
          <t>URUTAN DISPLAY 1</t>
        </is>
      </c>
      <c r="O1" s="8" t="inlineStr">
        <is>
          <t>TIPE ZONA 1 (otomatis)</t>
        </is>
      </c>
      <c r="P1" s="8" t="inlineStr">
        <is>
          <t>STATUS 1 (otomatis)</t>
        </is>
      </c>
      <c r="Q1" s="8" t="inlineStr">
        <is>
          <t>JENIS FIXTURE 2 (Wall)</t>
        </is>
      </c>
      <c r="R1" s="8" t="inlineStr">
        <is>
          <t>SHELVING KE 2</t>
        </is>
      </c>
      <c r="S1" s="8" t="inlineStr">
        <is>
          <t>URUTAN DISPLAY 2</t>
        </is>
      </c>
      <c r="T1" s="8" t="inlineStr">
        <is>
          <t>TIPE ZONA 2 (otomatis)</t>
        </is>
      </c>
      <c r="U1" s="8" t="inlineStr">
        <is>
          <t>STATUS 2 (otomatis)</t>
        </is>
      </c>
      <c r="V1" s="8" t="inlineStr">
        <is>
          <t>JENIS FIXTURE 3 (Wall)</t>
        </is>
      </c>
      <c r="W1" s="8" t="inlineStr">
        <is>
          <t>SHELVING KE 3</t>
        </is>
      </c>
      <c r="X1" s="8" t="inlineStr">
        <is>
          <t>URUTAN DISPLAY 3</t>
        </is>
      </c>
      <c r="Y1" s="8" t="inlineStr">
        <is>
          <t>TIPE ZONA 3 (otomatis)</t>
        </is>
      </c>
      <c r="Z1" s="8" t="inlineStr">
        <is>
          <t>STATUS 3 (otomatis)</t>
        </is>
      </c>
      <c r="AA1" s="9" t="n"/>
      <c r="AB1" s="8" t="n"/>
      <c r="AC1" s="8" t="n"/>
      <c r="AD1" s="8" t="n"/>
      <c r="AE1" s="8" t="n"/>
      <c r="AF1" s="8" t="n"/>
      <c r="AG1" s="8" t="n"/>
      <c r="AH1" s="9" t="n"/>
      <c r="AI1" s="9" t="n"/>
    </row>
    <row r="2">
      <c r="A2" s="10" t="inlineStr">
        <is>
          <t>Homeware</t>
        </is>
      </c>
      <c r="B2" s="10" t="inlineStr">
        <is>
          <t>Tableware</t>
        </is>
      </c>
      <c r="C2" s="10" t="inlineStr">
        <is>
          <t>Serving Set</t>
        </is>
      </c>
      <c r="D2" s="10" t="inlineStr">
        <is>
          <t>10470029</t>
        </is>
      </c>
      <c r="E2" s="10" t="inlineStr">
        <is>
          <t>SERVING SET W/RACK OCTAGON MARBLE (4)</t>
        </is>
      </c>
      <c r="F2" s="10" t="n"/>
      <c r="G2" s="10" t="inlineStr">
        <is>
          <t>MAKAN</t>
        </is>
      </c>
      <c r="H2" s="10" t="inlineStr">
        <is>
          <t>A2. SERVINGWARE</t>
        </is>
      </c>
      <c r="I2" s="10" t="inlineStr">
        <is>
          <t>SERVING SET MARBLE</t>
        </is>
      </c>
      <c r="J2" s="10" t="n"/>
      <c r="K2" s="10" t="n"/>
      <c r="L2" s="11" t="inlineStr">
        <is>
          <t>Gondola 4 Shelving</t>
        </is>
      </c>
      <c r="M2" s="11" t="n">
        <v>1</v>
      </c>
      <c r="N2" s="11" t="n"/>
      <c r="O2" s="11">
        <f>IF(OR(L2="",M2=""),"",IFERROR(INDEX(LAYOUT!$D$2:$D$80,MATCH(L2&amp;"|"&amp;M2,LAYOUT!$E$2:$E$80,0)),""))</f>
        <v/>
      </c>
      <c r="P2" s="12">
        <f>IF(AND(L2="",M2=""),IF(AND(Q2="",R2="",V2="",W2=""),IF(OR($D2&lt;&gt;"",$E2&lt;&gt;""),"Belum ditempatkan",""),""),IF(L2="","CEK JENIS FIXTURE kosong",IF(AND(LEFT(L2,7)&lt;&gt;"Gondola",LEFT(L2,6)&lt;&gt;"Endcap"),"CEK Fixture 1 hanya Gondola atau Endcap",IF(M2="","CEK SHELVING KE kosong",IF(ISNA(MATCH(L2&amp;"|"&amp;M2,LAYOUT!$E$2:$E$80,0)),"CEK SHELVING KE di luar layout",IF($I2="","CEK SERIES kosong",IF(AND(N2&lt;&gt;"",NOT(ISNUMBER(N2))),"CEK URUTAN DISPLAY harus angka",IF($D2="","Zona STOCK",IF($E2="","CEK SKU DESCRIPTION kosong",IF(COUNTIFS($I$2:$I$500,$I2,L$2:L$500,"&lt;&gt;"&amp;L2,L$2:L$500,"&lt;&gt;")&gt;0,"CEK jenis fixture beda dalam satu series","OK"))))))))))</f>
        <v/>
      </c>
      <c r="Q2" s="11" t="inlineStr">
        <is>
          <t>Wall 6 Shelving</t>
        </is>
      </c>
      <c r="R2" s="11" t="n">
        <v>2</v>
      </c>
      <c r="S2" s="11" t="n"/>
      <c r="T2" s="11">
        <f>IF(OR(Q2="",R2=""),"",IFERROR(INDEX(LAYOUT!$D$2:$D$80,MATCH(Q2&amp;"|"&amp;R2,LAYOUT!$E$2:$E$80,0)),""))</f>
        <v/>
      </c>
      <c r="U2" s="12">
        <f>IF(AND(Q2="",R2=""),IF(AND(L2="",M2="",V2="",W2=""),IF(OR($D2&lt;&gt;"",$E2&lt;&gt;""),"Belum ditempatkan",""),""),IF(Q2="","CEK JENIS FIXTURE kosong",IF(LEFT(Q2,4)&lt;&gt;"Wall","CEK Fixture 2 hanya Wall",IF(R2="","CEK SHELVING KE kosong",IF(ISNA(MATCH(Q2&amp;"|"&amp;R2,LAYOUT!$E$2:$E$80,0)),"CEK SHELVING KE di luar layout",IF($I2="","CEK SERIES kosong",IF(AND(S2&lt;&gt;"",NOT(ISNUMBER(S2))),"CEK URUTAN DISPLAY harus angka",IF($D2="","Zona STOCK",IF($E2="","CEK SKU DESCRIPTION kosong",IF(COUNTIFS($I$2:$I$500,$I2,Q$2:Q$500,"&lt;&gt;"&amp;Q2,Q$2:Q$500,"&lt;&gt;")&gt;0,"CEK jenis fixture beda dalam satu series","OK"))))))))))</f>
        <v/>
      </c>
      <c r="V2" s="11" t="n"/>
      <c r="W2" s="11" t="n"/>
      <c r="X2" s="11" t="n"/>
      <c r="Y2" s="11">
        <f>IF(OR(V2="",W2=""),"",IFERROR(INDEX(LAYOUT!$D$2:$D$80,MATCH(V2&amp;"|"&amp;W2,LAYOUT!$E$2:$E$80,0)),""))</f>
        <v/>
      </c>
      <c r="Z2" s="12">
        <f>IF(AND(V2="",W2=""),IF(AND(L2="",M2="",Q2="",R2=""),IF(OR($D2&lt;&gt;"",$E2&lt;&gt;""),"Belum ditempatkan",""),""),IF(V2="","CEK JENIS FIXTURE kosong",IF(LEFT(V2,4)&lt;&gt;"Wall","CEK Fixture 3 hanya Wall",IF(W2="","CEK SHELVING KE kosong",IF(ISNA(MATCH(V2&amp;"|"&amp;W2,LAYOUT!$E$2:$E$80,0)),"CEK SHELVING KE di luar layout",IF($I2="","CEK SERIES kosong",IF(AND(X2&lt;&gt;"",NOT(ISNUMBER(X2))),"CEK URUTAN DISPLAY harus angka",IF($D2="","Zona STOCK",IF($E2="","CEK SKU DESCRIPTION kosong",IF(COUNTIFS($I$2:$I$500,$I2,V$2:V$500,"&lt;&gt;"&amp;V2,V$2:V$500,"&lt;&gt;")&gt;0,"CEK jenis fixture beda dalam satu series","OK"))))))))))</f>
        <v/>
      </c>
      <c r="AA2" s="12" t="n"/>
      <c r="AB2" s="11" t="n"/>
      <c r="AC2" s="11" t="n"/>
      <c r="AD2" s="11" t="n"/>
      <c r="AE2" s="11" t="n"/>
      <c r="AF2" s="11" t="n"/>
      <c r="AG2" s="11" t="n"/>
      <c r="AH2" s="12" t="n"/>
      <c r="AI2" s="12" t="n"/>
    </row>
    <row r="3">
      <c r="A3" s="10" t="inlineStr">
        <is>
          <t>Homeware</t>
        </is>
      </c>
      <c r="B3" s="10" t="inlineStr">
        <is>
          <t>Tableware</t>
        </is>
      </c>
      <c r="C3" s="10" t="inlineStr">
        <is>
          <t>Serving Set</t>
        </is>
      </c>
      <c r="D3" s="10" t="inlineStr">
        <is>
          <t>10470030</t>
        </is>
      </c>
      <c r="E3" s="10" t="inlineStr">
        <is>
          <t>SERVING SET RND DETACHABLE MARBLE (2)</t>
        </is>
      </c>
      <c r="F3" s="10" t="n"/>
      <c r="G3" s="10" t="inlineStr">
        <is>
          <t>MAKAN</t>
        </is>
      </c>
      <c r="H3" s="10" t="inlineStr">
        <is>
          <t>A2. SERVINGWARE</t>
        </is>
      </c>
      <c r="I3" s="10" t="inlineStr">
        <is>
          <t>SERVING SET MARBLE</t>
        </is>
      </c>
      <c r="J3" s="10" t="n"/>
      <c r="K3" s="10" t="n"/>
      <c r="L3" s="11" t="inlineStr">
        <is>
          <t>Gondola 4 Shelving</t>
        </is>
      </c>
      <c r="M3" s="11" t="n">
        <v>1</v>
      </c>
      <c r="N3" s="11" t="n"/>
      <c r="O3" s="11">
        <f>IF(OR(L3="",M3=""),"",IFERROR(INDEX(LAYOUT!$D$2:$D$80,MATCH(L3&amp;"|"&amp;M3,LAYOUT!$E$2:$E$80,0)),""))</f>
        <v/>
      </c>
      <c r="P3" s="12">
        <f>IF(AND(L3="",M3=""),IF(AND(Q3="",R3="",V3="",W3=""),IF(OR($D3&lt;&gt;"",$E3&lt;&gt;""),"Belum ditempatkan",""),""),IF(L3="","CEK JENIS FIXTURE kosong",IF(AND(LEFT(L3,7)&lt;&gt;"Gondola",LEFT(L3,6)&lt;&gt;"Endcap"),"CEK Fixture 1 hanya Gondola atau Endcap",IF(M3="","CEK SHELVING KE kosong",IF(ISNA(MATCH(L3&amp;"|"&amp;M3,LAYOUT!$E$2:$E$80,0)),"CEK SHELVING KE di luar layout",IF($I3="","CEK SERIES kosong",IF(AND(N3&lt;&gt;"",NOT(ISNUMBER(N3))),"CEK URUTAN DISPLAY harus angka",IF($D3="","Zona STOCK",IF($E3="","CEK SKU DESCRIPTION kosong",IF(COUNTIFS($I$2:$I$500,$I3,L$2:L$500,"&lt;&gt;"&amp;L3,L$2:L$500,"&lt;&gt;")&gt;0,"CEK jenis fixture beda dalam satu series","OK"))))))))))</f>
        <v/>
      </c>
      <c r="Q3" s="11" t="inlineStr">
        <is>
          <t>Wall 6 Shelving</t>
        </is>
      </c>
      <c r="R3" s="11" t="n">
        <v>2</v>
      </c>
      <c r="S3" s="11" t="n"/>
      <c r="T3" s="11">
        <f>IF(OR(Q3="",R3=""),"",IFERROR(INDEX(LAYOUT!$D$2:$D$80,MATCH(Q3&amp;"|"&amp;R3,LAYOUT!$E$2:$E$80,0)),""))</f>
        <v/>
      </c>
      <c r="U3" s="12">
        <f>IF(AND(Q3="",R3=""),IF(AND(L3="",M3="",V3="",W3=""),IF(OR($D3&lt;&gt;"",$E3&lt;&gt;""),"Belum ditempatkan",""),""),IF(Q3="","CEK JENIS FIXTURE kosong",IF(LEFT(Q3,4)&lt;&gt;"Wall","CEK Fixture 2 hanya Wall",IF(R3="","CEK SHELVING KE kosong",IF(ISNA(MATCH(Q3&amp;"|"&amp;R3,LAYOUT!$E$2:$E$80,0)),"CEK SHELVING KE di luar layout",IF($I3="","CEK SERIES kosong",IF(AND(S3&lt;&gt;"",NOT(ISNUMBER(S3))),"CEK URUTAN DISPLAY harus angka",IF($D3="","Zona STOCK",IF($E3="","CEK SKU DESCRIPTION kosong",IF(COUNTIFS($I$2:$I$500,$I3,Q$2:Q$500,"&lt;&gt;"&amp;Q3,Q$2:Q$500,"&lt;&gt;")&gt;0,"CEK jenis fixture beda dalam satu series","OK"))))))))))</f>
        <v/>
      </c>
      <c r="V3" s="11" t="n"/>
      <c r="W3" s="11" t="n"/>
      <c r="X3" s="11" t="n"/>
      <c r="Y3" s="11">
        <f>IF(OR(V3="",W3=""),"",IFERROR(INDEX(LAYOUT!$D$2:$D$80,MATCH(V3&amp;"|"&amp;W3,LAYOUT!$E$2:$E$80,0)),""))</f>
        <v/>
      </c>
      <c r="Z3" s="12">
        <f>IF(AND(V3="",W3=""),IF(AND(L3="",M3="",Q3="",R3=""),IF(OR($D3&lt;&gt;"",$E3&lt;&gt;""),"Belum ditempatkan",""),""),IF(V3="","CEK JENIS FIXTURE kosong",IF(LEFT(V3,4)&lt;&gt;"Wall","CEK Fixture 3 hanya Wall",IF(W3="","CEK SHELVING KE kosong",IF(ISNA(MATCH(V3&amp;"|"&amp;W3,LAYOUT!$E$2:$E$80,0)),"CEK SHELVING KE di luar layout",IF($I3="","CEK SERIES kosong",IF(AND(X3&lt;&gt;"",NOT(ISNUMBER(X3))),"CEK URUTAN DISPLAY harus angka",IF($D3="","Zona STOCK",IF($E3="","CEK SKU DESCRIPTION kosong",IF(COUNTIFS($I$2:$I$500,$I3,V$2:V$500,"&lt;&gt;"&amp;V3,V$2:V$500,"&lt;&gt;")&gt;0,"CEK jenis fixture beda dalam satu series","OK"))))))))))</f>
        <v/>
      </c>
      <c r="AA3" s="12" t="n"/>
      <c r="AB3" s="11" t="n"/>
      <c r="AC3" s="11" t="n"/>
      <c r="AD3" s="11" t="n"/>
      <c r="AE3" s="11" t="n"/>
      <c r="AF3" s="11" t="n"/>
      <c r="AG3" s="11" t="n"/>
      <c r="AH3" s="12" t="n"/>
      <c r="AI3" s="12" t="n"/>
    </row>
    <row r="4">
      <c r="A4" s="10" t="inlineStr">
        <is>
          <t>Homeware</t>
        </is>
      </c>
      <c r="B4" s="10" t="inlineStr">
        <is>
          <t>Tableware</t>
        </is>
      </c>
      <c r="C4" s="10" t="inlineStr">
        <is>
          <t>Serving Set</t>
        </is>
      </c>
      <c r="D4" s="10" t="inlineStr">
        <is>
          <t>10470031</t>
        </is>
      </c>
      <c r="E4" s="10" t="inlineStr">
        <is>
          <t>SERVING SET W/RACK SQR MARBLE BLACK (3)</t>
        </is>
      </c>
      <c r="F4" s="10" t="n"/>
      <c r="G4" s="10" t="inlineStr">
        <is>
          <t>MAKAN</t>
        </is>
      </c>
      <c r="H4" s="10" t="inlineStr">
        <is>
          <t>A2. SERVINGWARE</t>
        </is>
      </c>
      <c r="I4" s="10" t="inlineStr">
        <is>
          <t>SERVING SET MARBLE</t>
        </is>
      </c>
      <c r="J4" s="10" t="n"/>
      <c r="K4" s="10" t="n"/>
      <c r="L4" s="11" t="inlineStr">
        <is>
          <t>Gondola 4 Shelving</t>
        </is>
      </c>
      <c r="M4" s="11" t="n">
        <v>2</v>
      </c>
      <c r="N4" s="11" t="n"/>
      <c r="O4" s="11">
        <f>IF(OR(L4="",M4=""),"",IFERROR(INDEX(LAYOUT!$D$2:$D$80,MATCH(L4&amp;"|"&amp;M4,LAYOUT!$E$2:$E$80,0)),""))</f>
        <v/>
      </c>
      <c r="P4" s="12">
        <f>IF(AND(L4="",M4=""),IF(AND(Q4="",R4="",V4="",W4=""),IF(OR($D4&lt;&gt;"",$E4&lt;&gt;""),"Belum ditempatkan",""),""),IF(L4="","CEK JENIS FIXTURE kosong",IF(AND(LEFT(L4,7)&lt;&gt;"Gondola",LEFT(L4,6)&lt;&gt;"Endcap"),"CEK Fixture 1 hanya Gondola atau Endcap",IF(M4="","CEK SHELVING KE kosong",IF(ISNA(MATCH(L4&amp;"|"&amp;M4,LAYOUT!$E$2:$E$80,0)),"CEK SHELVING KE di luar layout",IF($I4="","CEK SERIES kosong",IF(AND(N4&lt;&gt;"",NOT(ISNUMBER(N4))),"CEK URUTAN DISPLAY harus angka",IF($D4="","Zona STOCK",IF($E4="","CEK SKU DESCRIPTION kosong",IF(COUNTIFS($I$2:$I$500,$I4,L$2:L$500,"&lt;&gt;"&amp;L4,L$2:L$500,"&lt;&gt;")&gt;0,"CEK jenis fixture beda dalam satu series","OK"))))))))))</f>
        <v/>
      </c>
      <c r="Q4" s="11" t="inlineStr">
        <is>
          <t>Wall 6 Shelving</t>
        </is>
      </c>
      <c r="R4" s="11" t="n">
        <v>2</v>
      </c>
      <c r="S4" s="11" t="n"/>
      <c r="T4" s="11">
        <f>IF(OR(Q4="",R4=""),"",IFERROR(INDEX(LAYOUT!$D$2:$D$80,MATCH(Q4&amp;"|"&amp;R4,LAYOUT!$E$2:$E$80,0)),""))</f>
        <v/>
      </c>
      <c r="U4" s="12">
        <f>IF(AND(Q4="",R4=""),IF(AND(L4="",M4="",V4="",W4=""),IF(OR($D4&lt;&gt;"",$E4&lt;&gt;""),"Belum ditempatkan",""),""),IF(Q4="","CEK JENIS FIXTURE kosong",IF(LEFT(Q4,4)&lt;&gt;"Wall","CEK Fixture 2 hanya Wall",IF(R4="","CEK SHELVING KE kosong",IF(ISNA(MATCH(Q4&amp;"|"&amp;R4,LAYOUT!$E$2:$E$80,0)),"CEK SHELVING KE di luar layout",IF($I4="","CEK SERIES kosong",IF(AND(S4&lt;&gt;"",NOT(ISNUMBER(S4))),"CEK URUTAN DISPLAY harus angka",IF($D4="","Zona STOCK",IF($E4="","CEK SKU DESCRIPTION kosong",IF(COUNTIFS($I$2:$I$500,$I4,Q$2:Q$500,"&lt;&gt;"&amp;Q4,Q$2:Q$500,"&lt;&gt;")&gt;0,"CEK jenis fixture beda dalam satu series","OK"))))))))))</f>
        <v/>
      </c>
      <c r="V4" s="11" t="n"/>
      <c r="W4" s="11" t="n"/>
      <c r="X4" s="11" t="n"/>
      <c r="Y4" s="11">
        <f>IF(OR(V4="",W4=""),"",IFERROR(INDEX(LAYOUT!$D$2:$D$80,MATCH(V4&amp;"|"&amp;W4,LAYOUT!$E$2:$E$80,0)),""))</f>
        <v/>
      </c>
      <c r="Z4" s="12">
        <f>IF(AND(V4="",W4=""),IF(AND(L4="",M4="",Q4="",R4=""),IF(OR($D4&lt;&gt;"",$E4&lt;&gt;""),"Belum ditempatkan",""),""),IF(V4="","CEK JENIS FIXTURE kosong",IF(LEFT(V4,4)&lt;&gt;"Wall","CEK Fixture 3 hanya Wall",IF(W4="","CEK SHELVING KE kosong",IF(ISNA(MATCH(V4&amp;"|"&amp;W4,LAYOUT!$E$2:$E$80,0)),"CEK SHELVING KE di luar layout",IF($I4="","CEK SERIES kosong",IF(AND(X4&lt;&gt;"",NOT(ISNUMBER(X4))),"CEK URUTAN DISPLAY harus angka",IF($D4="","Zona STOCK",IF($E4="","CEK SKU DESCRIPTION kosong",IF(COUNTIFS($I$2:$I$500,$I4,V$2:V$500,"&lt;&gt;"&amp;V4,V$2:V$500,"&lt;&gt;")&gt;0,"CEK jenis fixture beda dalam satu series","OK"))))))))))</f>
        <v/>
      </c>
      <c r="AA4" s="12" t="n"/>
      <c r="AB4" s="11" t="n"/>
      <c r="AC4" s="11" t="n"/>
      <c r="AD4" s="11" t="n"/>
      <c r="AE4" s="11" t="n"/>
      <c r="AF4" s="11" t="n"/>
      <c r="AG4" s="11" t="n"/>
      <c r="AH4" s="12" t="n"/>
      <c r="AI4" s="12" t="n"/>
    </row>
    <row r="5">
      <c r="A5" s="10" t="inlineStr">
        <is>
          <t>Homeware</t>
        </is>
      </c>
      <c r="B5" s="10" t="inlineStr">
        <is>
          <t>Tableware</t>
        </is>
      </c>
      <c r="C5" s="10" t="inlineStr">
        <is>
          <t>Serving Set</t>
        </is>
      </c>
      <c r="D5" s="10" t="inlineStr">
        <is>
          <t>10470032</t>
        </is>
      </c>
      <c r="E5" s="10" t="inlineStr">
        <is>
          <t>SERVING SET W/RACK STACK WHITE (3)</t>
        </is>
      </c>
      <c r="F5" s="10" t="n"/>
      <c r="G5" s="10" t="inlineStr">
        <is>
          <t>MAKAN</t>
        </is>
      </c>
      <c r="H5" s="10" t="inlineStr">
        <is>
          <t>A2. SERVINGWARE</t>
        </is>
      </c>
      <c r="I5" s="10" t="inlineStr">
        <is>
          <t>SERVING SET MARBLE</t>
        </is>
      </c>
      <c r="J5" s="10" t="n"/>
      <c r="K5" s="10" t="n"/>
      <c r="L5" s="11" t="inlineStr">
        <is>
          <t>Gondola 4 Shelving</t>
        </is>
      </c>
      <c r="M5" s="11" t="n">
        <v>2</v>
      </c>
      <c r="N5" s="11" t="n"/>
      <c r="O5" s="11">
        <f>IF(OR(L5="",M5=""),"",IFERROR(INDEX(LAYOUT!$D$2:$D$80,MATCH(L5&amp;"|"&amp;M5,LAYOUT!$E$2:$E$80,0)),""))</f>
        <v/>
      </c>
      <c r="P5" s="12">
        <f>IF(AND(L5="",M5=""),IF(AND(Q5="",R5="",V5="",W5=""),IF(OR($D5&lt;&gt;"",$E5&lt;&gt;""),"Belum ditempatkan",""),""),IF(L5="","CEK JENIS FIXTURE kosong",IF(AND(LEFT(L5,7)&lt;&gt;"Gondola",LEFT(L5,6)&lt;&gt;"Endcap"),"CEK Fixture 1 hanya Gondola atau Endcap",IF(M5="","CEK SHELVING KE kosong",IF(ISNA(MATCH(L5&amp;"|"&amp;M5,LAYOUT!$E$2:$E$80,0)),"CEK SHELVING KE di luar layout",IF($I5="","CEK SERIES kosong",IF(AND(N5&lt;&gt;"",NOT(ISNUMBER(N5))),"CEK URUTAN DISPLAY harus angka",IF($D5="","Zona STOCK",IF($E5="","CEK SKU DESCRIPTION kosong",IF(COUNTIFS($I$2:$I$500,$I5,L$2:L$500,"&lt;&gt;"&amp;L5,L$2:L$500,"&lt;&gt;")&gt;0,"CEK jenis fixture beda dalam satu series","OK"))))))))))</f>
        <v/>
      </c>
      <c r="Q5" s="11" t="inlineStr">
        <is>
          <t>Wall 6 Shelving</t>
        </is>
      </c>
      <c r="R5" s="11" t="n">
        <v>3</v>
      </c>
      <c r="S5" s="11" t="n"/>
      <c r="T5" s="11">
        <f>IF(OR(Q5="",R5=""),"",IFERROR(INDEX(LAYOUT!$D$2:$D$80,MATCH(Q5&amp;"|"&amp;R5,LAYOUT!$E$2:$E$80,0)),""))</f>
        <v/>
      </c>
      <c r="U5" s="12">
        <f>IF(AND(Q5="",R5=""),IF(AND(L5="",M5="",V5="",W5=""),IF(OR($D5&lt;&gt;"",$E5&lt;&gt;""),"Belum ditempatkan",""),""),IF(Q5="","CEK JENIS FIXTURE kosong",IF(LEFT(Q5,4)&lt;&gt;"Wall","CEK Fixture 2 hanya Wall",IF(R5="","CEK SHELVING KE kosong",IF(ISNA(MATCH(Q5&amp;"|"&amp;R5,LAYOUT!$E$2:$E$80,0)),"CEK SHELVING KE di luar layout",IF($I5="","CEK SERIES kosong",IF(AND(S5&lt;&gt;"",NOT(ISNUMBER(S5))),"CEK URUTAN DISPLAY harus angka",IF($D5="","Zona STOCK",IF($E5="","CEK SKU DESCRIPTION kosong",IF(COUNTIFS($I$2:$I$500,$I5,Q$2:Q$500,"&lt;&gt;"&amp;Q5,Q$2:Q$500,"&lt;&gt;")&gt;0,"CEK jenis fixture beda dalam satu series","OK"))))))))))</f>
        <v/>
      </c>
      <c r="V5" s="11" t="n"/>
      <c r="W5" s="11" t="n"/>
      <c r="X5" s="11" t="n"/>
      <c r="Y5" s="11">
        <f>IF(OR(V5="",W5=""),"",IFERROR(INDEX(LAYOUT!$D$2:$D$80,MATCH(V5&amp;"|"&amp;W5,LAYOUT!$E$2:$E$80,0)),""))</f>
        <v/>
      </c>
      <c r="Z5" s="12">
        <f>IF(AND(V5="",W5=""),IF(AND(L5="",M5="",Q5="",R5=""),IF(OR($D5&lt;&gt;"",$E5&lt;&gt;""),"Belum ditempatkan",""),""),IF(V5="","CEK JENIS FIXTURE kosong",IF(LEFT(V5,4)&lt;&gt;"Wall","CEK Fixture 3 hanya Wall",IF(W5="","CEK SHELVING KE kosong",IF(ISNA(MATCH(V5&amp;"|"&amp;W5,LAYOUT!$E$2:$E$80,0)),"CEK SHELVING KE di luar layout",IF($I5="","CEK SERIES kosong",IF(AND(X5&lt;&gt;"",NOT(ISNUMBER(X5))),"CEK URUTAN DISPLAY harus angka",IF($D5="","Zona STOCK",IF($E5="","CEK SKU DESCRIPTION kosong",IF(COUNTIFS($I$2:$I$500,$I5,V$2:V$500,"&lt;&gt;"&amp;V5,V$2:V$500,"&lt;&gt;")&gt;0,"CEK jenis fixture beda dalam satu series","OK"))))))))))</f>
        <v/>
      </c>
      <c r="AA5" s="12" t="n"/>
      <c r="AB5" s="11" t="n"/>
      <c r="AC5" s="11" t="n"/>
      <c r="AD5" s="11" t="n"/>
      <c r="AE5" s="11" t="n"/>
      <c r="AF5" s="11" t="n"/>
      <c r="AG5" s="11" t="n"/>
      <c r="AH5" s="12" t="n"/>
      <c r="AI5" s="12" t="n"/>
    </row>
    <row r="6">
      <c r="A6" s="10" t="inlineStr">
        <is>
          <t>Homeware</t>
        </is>
      </c>
      <c r="B6" s="10" t="inlineStr">
        <is>
          <t>Tableware</t>
        </is>
      </c>
      <c r="C6" s="10" t="inlineStr">
        <is>
          <t>Serving Set</t>
        </is>
      </c>
      <c r="D6" s="10" t="inlineStr">
        <is>
          <t>10470033</t>
        </is>
      </c>
      <c r="E6" s="10" t="inlineStr">
        <is>
          <t>SERVING SET W/RACK CIRCLE BLACK (3)</t>
        </is>
      </c>
      <c r="F6" s="10" t="n"/>
      <c r="G6" s="10" t="inlineStr">
        <is>
          <t>MAKAN</t>
        </is>
      </c>
      <c r="H6" s="10" t="inlineStr">
        <is>
          <t>A2. SERVINGWARE</t>
        </is>
      </c>
      <c r="I6" s="10" t="inlineStr">
        <is>
          <t>SERVING SET MARBLE</t>
        </is>
      </c>
      <c r="J6" s="10" t="n"/>
      <c r="K6" s="10" t="n"/>
      <c r="L6" s="11" t="inlineStr">
        <is>
          <t>Gondola 4 Shelving</t>
        </is>
      </c>
      <c r="M6" s="11" t="n">
        <v>2</v>
      </c>
      <c r="N6" s="11" t="n"/>
      <c r="O6" s="11">
        <f>IF(OR(L6="",M6=""),"",IFERROR(INDEX(LAYOUT!$D$2:$D$80,MATCH(L6&amp;"|"&amp;M6,LAYOUT!$E$2:$E$80,0)),""))</f>
        <v/>
      </c>
      <c r="P6" s="12">
        <f>IF(AND(L6="",M6=""),IF(AND(Q6="",R6="",V6="",W6=""),IF(OR($D6&lt;&gt;"",$E6&lt;&gt;""),"Belum ditempatkan",""),""),IF(L6="","CEK JENIS FIXTURE kosong",IF(AND(LEFT(L6,7)&lt;&gt;"Gondola",LEFT(L6,6)&lt;&gt;"Endcap"),"CEK Fixture 1 hanya Gondola atau Endcap",IF(M6="","CEK SHELVING KE kosong",IF(ISNA(MATCH(L6&amp;"|"&amp;M6,LAYOUT!$E$2:$E$80,0)),"CEK SHELVING KE di luar layout",IF($I6="","CEK SERIES kosong",IF(AND(N6&lt;&gt;"",NOT(ISNUMBER(N6))),"CEK URUTAN DISPLAY harus angka",IF($D6="","Zona STOCK",IF($E6="","CEK SKU DESCRIPTION kosong",IF(COUNTIFS($I$2:$I$500,$I6,L$2:L$500,"&lt;&gt;"&amp;L6,L$2:L$500,"&lt;&gt;")&gt;0,"CEK jenis fixture beda dalam satu series","OK"))))))))))</f>
        <v/>
      </c>
      <c r="Q6" s="11" t="inlineStr">
        <is>
          <t>Wall 6 Shelving</t>
        </is>
      </c>
      <c r="R6" s="11" t="n">
        <v>3</v>
      </c>
      <c r="S6" s="11" t="n"/>
      <c r="T6" s="11">
        <f>IF(OR(Q6="",R6=""),"",IFERROR(INDEX(LAYOUT!$D$2:$D$80,MATCH(Q6&amp;"|"&amp;R6,LAYOUT!$E$2:$E$80,0)),""))</f>
        <v/>
      </c>
      <c r="U6" s="12">
        <f>IF(AND(Q6="",R6=""),IF(AND(L6="",M6="",V6="",W6=""),IF(OR($D6&lt;&gt;"",$E6&lt;&gt;""),"Belum ditempatkan",""),""),IF(Q6="","CEK JENIS FIXTURE kosong",IF(LEFT(Q6,4)&lt;&gt;"Wall","CEK Fixture 2 hanya Wall",IF(R6="","CEK SHELVING KE kosong",IF(ISNA(MATCH(Q6&amp;"|"&amp;R6,LAYOUT!$E$2:$E$80,0)),"CEK SHELVING KE di luar layout",IF($I6="","CEK SERIES kosong",IF(AND(S6&lt;&gt;"",NOT(ISNUMBER(S6))),"CEK URUTAN DISPLAY harus angka",IF($D6="","Zona STOCK",IF($E6="","CEK SKU DESCRIPTION kosong",IF(COUNTIFS($I$2:$I$500,$I6,Q$2:Q$500,"&lt;&gt;"&amp;Q6,Q$2:Q$500,"&lt;&gt;")&gt;0,"CEK jenis fixture beda dalam satu series","OK"))))))))))</f>
        <v/>
      </c>
      <c r="V6" s="11" t="n"/>
      <c r="W6" s="11" t="n"/>
      <c r="X6" s="11" t="n"/>
      <c r="Y6" s="11">
        <f>IF(OR(V6="",W6=""),"",IFERROR(INDEX(LAYOUT!$D$2:$D$80,MATCH(V6&amp;"|"&amp;W6,LAYOUT!$E$2:$E$80,0)),""))</f>
        <v/>
      </c>
      <c r="Z6" s="12">
        <f>IF(AND(V6="",W6=""),IF(AND(L6="",M6="",Q6="",R6=""),IF(OR($D6&lt;&gt;"",$E6&lt;&gt;""),"Belum ditempatkan",""),""),IF(V6="","CEK JENIS FIXTURE kosong",IF(LEFT(V6,4)&lt;&gt;"Wall","CEK Fixture 3 hanya Wall",IF(W6="","CEK SHELVING KE kosong",IF(ISNA(MATCH(V6&amp;"|"&amp;W6,LAYOUT!$E$2:$E$80,0)),"CEK SHELVING KE di luar layout",IF($I6="","CEK SERIES kosong",IF(AND(X6&lt;&gt;"",NOT(ISNUMBER(X6))),"CEK URUTAN DISPLAY harus angka",IF($D6="","Zona STOCK",IF($E6="","CEK SKU DESCRIPTION kosong",IF(COUNTIFS($I$2:$I$500,$I6,V$2:V$500,"&lt;&gt;"&amp;V6,V$2:V$500,"&lt;&gt;")&gt;0,"CEK jenis fixture beda dalam satu series","OK"))))))))))</f>
        <v/>
      </c>
      <c r="AA6" s="12" t="n"/>
      <c r="AB6" s="11" t="n"/>
      <c r="AC6" s="11" t="n"/>
      <c r="AD6" s="11" t="n"/>
      <c r="AE6" s="11" t="n"/>
      <c r="AF6" s="11" t="n"/>
      <c r="AG6" s="11" t="n"/>
      <c r="AH6" s="12" t="n"/>
      <c r="AI6" s="12" t="n"/>
    </row>
    <row r="7">
      <c r="A7" s="10" t="inlineStr">
        <is>
          <t>Homeware</t>
        </is>
      </c>
      <c r="B7" s="10" t="inlineStr">
        <is>
          <t>Tableware</t>
        </is>
      </c>
      <c r="C7" s="10" t="inlineStr">
        <is>
          <t>Serving Set</t>
        </is>
      </c>
      <c r="D7" s="10" t="inlineStr">
        <is>
          <t>10681571</t>
        </is>
      </c>
      <c r="E7" s="10" t="inlineStr">
        <is>
          <t>SERVING GLASS SQR PLATER ZEVY GOLD</t>
        </is>
      </c>
      <c r="F7" s="10" t="n"/>
      <c r="G7" s="10" t="inlineStr">
        <is>
          <t>MAKAN</t>
        </is>
      </c>
      <c r="H7" s="10" t="inlineStr">
        <is>
          <t>A2. SERVINGWARE</t>
        </is>
      </c>
      <c r="I7" s="10" t="inlineStr">
        <is>
          <t>SERVING SET MARBLE</t>
        </is>
      </c>
      <c r="J7" s="10" t="n"/>
      <c r="K7" s="10" t="n"/>
      <c r="L7" s="11" t="inlineStr">
        <is>
          <t>Gondola 4 Shelving</t>
        </is>
      </c>
      <c r="M7" s="11" t="n">
        <v>3</v>
      </c>
      <c r="N7" s="11" t="n"/>
      <c r="O7" s="11">
        <f>IF(OR(L7="",M7=""),"",IFERROR(INDEX(LAYOUT!$D$2:$D$80,MATCH(L7&amp;"|"&amp;M7,LAYOUT!$E$2:$E$80,0)),""))</f>
        <v/>
      </c>
      <c r="P7" s="12">
        <f>IF(AND(L7="",M7=""),IF(AND(Q7="",R7="",V7="",W7=""),IF(OR($D7&lt;&gt;"",$E7&lt;&gt;""),"Belum ditempatkan",""),""),IF(L7="","CEK JENIS FIXTURE kosong",IF(AND(LEFT(L7,7)&lt;&gt;"Gondola",LEFT(L7,6)&lt;&gt;"Endcap"),"CEK Fixture 1 hanya Gondola atau Endcap",IF(M7="","CEK SHELVING KE kosong",IF(ISNA(MATCH(L7&amp;"|"&amp;M7,LAYOUT!$E$2:$E$80,0)),"CEK SHELVING KE di luar layout",IF($I7="","CEK SERIES kosong",IF(AND(N7&lt;&gt;"",NOT(ISNUMBER(N7))),"CEK URUTAN DISPLAY harus angka",IF($D7="","Zona STOCK",IF($E7="","CEK SKU DESCRIPTION kosong",IF(COUNTIFS($I$2:$I$500,$I7,L$2:L$500,"&lt;&gt;"&amp;L7,L$2:L$500,"&lt;&gt;")&gt;0,"CEK jenis fixture beda dalam satu series","OK"))))))))))</f>
        <v/>
      </c>
      <c r="Q7" s="11" t="n"/>
      <c r="R7" s="11" t="n"/>
      <c r="S7" s="11" t="n"/>
      <c r="T7" s="11">
        <f>IF(OR(Q7="",R7=""),"",IFERROR(INDEX(LAYOUT!$D$2:$D$80,MATCH(Q7&amp;"|"&amp;R7,LAYOUT!$E$2:$E$80,0)),""))</f>
        <v/>
      </c>
      <c r="U7" s="12">
        <f>IF(AND(Q7="",R7=""),IF(AND(L7="",M7="",V7="",W7=""),IF(OR($D7&lt;&gt;"",$E7&lt;&gt;""),"Belum ditempatkan",""),""),IF(Q7="","CEK JENIS FIXTURE kosong",IF(LEFT(Q7,4)&lt;&gt;"Wall","CEK Fixture 2 hanya Wall",IF(R7="","CEK SHELVING KE kosong",IF(ISNA(MATCH(Q7&amp;"|"&amp;R7,LAYOUT!$E$2:$E$80,0)),"CEK SHELVING KE di luar layout",IF($I7="","CEK SERIES kosong",IF(AND(S7&lt;&gt;"",NOT(ISNUMBER(S7))),"CEK URUTAN DISPLAY harus angka",IF($D7="","Zona STOCK",IF($E7="","CEK SKU DESCRIPTION kosong",IF(COUNTIFS($I$2:$I$500,$I7,Q$2:Q$500,"&lt;&gt;"&amp;Q7,Q$2:Q$500,"&lt;&gt;")&gt;0,"CEK jenis fixture beda dalam satu series","OK"))))))))))</f>
        <v/>
      </c>
      <c r="V7" s="11" t="n"/>
      <c r="W7" s="11" t="n"/>
      <c r="X7" s="11" t="n"/>
      <c r="Y7" s="11">
        <f>IF(OR(V7="",W7=""),"",IFERROR(INDEX(LAYOUT!$D$2:$D$80,MATCH(V7&amp;"|"&amp;W7,LAYOUT!$E$2:$E$80,0)),""))</f>
        <v/>
      </c>
      <c r="Z7" s="12">
        <f>IF(AND(V7="",W7=""),IF(AND(L7="",M7="",Q7="",R7=""),IF(OR($D7&lt;&gt;"",$E7&lt;&gt;""),"Belum ditempatkan",""),""),IF(V7="","CEK JENIS FIXTURE kosong",IF(LEFT(V7,4)&lt;&gt;"Wall","CEK Fixture 3 hanya Wall",IF(W7="","CEK SHELVING KE kosong",IF(ISNA(MATCH(V7&amp;"|"&amp;W7,LAYOUT!$E$2:$E$80,0)),"CEK SHELVING KE di luar layout",IF($I7="","CEK SERIES kosong",IF(AND(X7&lt;&gt;"",NOT(ISNUMBER(X7))),"CEK URUTAN DISPLAY harus angka",IF($D7="","Zona STOCK",IF($E7="","CEK SKU DESCRIPTION kosong",IF(COUNTIFS($I$2:$I$500,$I7,V$2:V$500,"&lt;&gt;"&amp;V7,V$2:V$500,"&lt;&gt;")&gt;0,"CEK jenis fixture beda dalam satu series","OK"))))))))))</f>
        <v/>
      </c>
      <c r="AA7" s="12" t="n"/>
      <c r="AB7" s="11" t="n"/>
      <c r="AC7" s="11" t="n"/>
      <c r="AD7" s="11" t="n"/>
      <c r="AE7" s="11" t="n"/>
      <c r="AF7" s="11" t="n"/>
      <c r="AG7" s="11" t="n"/>
      <c r="AH7" s="12" t="n"/>
      <c r="AI7" s="12" t="n"/>
    </row>
    <row r="8">
      <c r="A8" s="10" t="inlineStr">
        <is>
          <t>Homeware</t>
        </is>
      </c>
      <c r="B8" s="10" t="inlineStr">
        <is>
          <t>Tableware</t>
        </is>
      </c>
      <c r="C8" s="10" t="inlineStr">
        <is>
          <t>Serving Set</t>
        </is>
      </c>
      <c r="D8" s="10" t="inlineStr">
        <is>
          <t>10681572</t>
        </is>
      </c>
      <c r="E8" s="10" t="inlineStr">
        <is>
          <t>SERVING GLASS OVAL PLATER ZOE GOLD</t>
        </is>
      </c>
      <c r="F8" s="10" t="n"/>
      <c r="G8" s="10" t="inlineStr">
        <is>
          <t>MAKAN</t>
        </is>
      </c>
      <c r="H8" s="10" t="inlineStr">
        <is>
          <t>A2. SERVINGWARE</t>
        </is>
      </c>
      <c r="I8" s="10" t="inlineStr">
        <is>
          <t>SERVING SET MARBLE</t>
        </is>
      </c>
      <c r="J8" s="10" t="n"/>
      <c r="K8" s="10" t="n"/>
      <c r="L8" s="11" t="inlineStr">
        <is>
          <t>Gondola 4 Shelving</t>
        </is>
      </c>
      <c r="M8" s="11" t="n">
        <v>3</v>
      </c>
      <c r="N8" s="11" t="n"/>
      <c r="O8" s="11">
        <f>IF(OR(L8="",M8=""),"",IFERROR(INDEX(LAYOUT!$D$2:$D$80,MATCH(L8&amp;"|"&amp;M8,LAYOUT!$E$2:$E$80,0)),""))</f>
        <v/>
      </c>
      <c r="P8" s="12">
        <f>IF(AND(L8="",M8=""),IF(AND(Q8="",R8="",V8="",W8=""),IF(OR($D8&lt;&gt;"",$E8&lt;&gt;""),"Belum ditempatkan",""),""),IF(L8="","CEK JENIS FIXTURE kosong",IF(AND(LEFT(L8,7)&lt;&gt;"Gondola",LEFT(L8,6)&lt;&gt;"Endcap"),"CEK Fixture 1 hanya Gondola atau Endcap",IF(M8="","CEK SHELVING KE kosong",IF(ISNA(MATCH(L8&amp;"|"&amp;M8,LAYOUT!$E$2:$E$80,0)),"CEK SHELVING KE di luar layout",IF($I8="","CEK SERIES kosong",IF(AND(N8&lt;&gt;"",NOT(ISNUMBER(N8))),"CEK URUTAN DISPLAY harus angka",IF($D8="","Zona STOCK",IF($E8="","CEK SKU DESCRIPTION kosong",IF(COUNTIFS($I$2:$I$500,$I8,L$2:L$500,"&lt;&gt;"&amp;L8,L$2:L$500,"&lt;&gt;")&gt;0,"CEK jenis fixture beda dalam satu series","OK"))))))))))</f>
        <v/>
      </c>
      <c r="Q8" s="11" t="n"/>
      <c r="R8" s="11" t="n"/>
      <c r="S8" s="11" t="n"/>
      <c r="T8" s="11">
        <f>IF(OR(Q8="",R8=""),"",IFERROR(INDEX(LAYOUT!$D$2:$D$80,MATCH(Q8&amp;"|"&amp;R8,LAYOUT!$E$2:$E$80,0)),""))</f>
        <v/>
      </c>
      <c r="U8" s="12">
        <f>IF(AND(Q8="",R8=""),IF(AND(L8="",M8="",V8="",W8=""),IF(OR($D8&lt;&gt;"",$E8&lt;&gt;""),"Belum ditempatkan",""),""),IF(Q8="","CEK JENIS FIXTURE kosong",IF(LEFT(Q8,4)&lt;&gt;"Wall","CEK Fixture 2 hanya Wall",IF(R8="","CEK SHELVING KE kosong",IF(ISNA(MATCH(Q8&amp;"|"&amp;R8,LAYOUT!$E$2:$E$80,0)),"CEK SHELVING KE di luar layout",IF($I8="","CEK SERIES kosong",IF(AND(S8&lt;&gt;"",NOT(ISNUMBER(S8))),"CEK URUTAN DISPLAY harus angka",IF($D8="","Zona STOCK",IF($E8="","CEK SKU DESCRIPTION kosong",IF(COUNTIFS($I$2:$I$500,$I8,Q$2:Q$500,"&lt;&gt;"&amp;Q8,Q$2:Q$500,"&lt;&gt;")&gt;0,"CEK jenis fixture beda dalam satu series","OK"))))))))))</f>
        <v/>
      </c>
      <c r="V8" s="11" t="n"/>
      <c r="W8" s="11" t="n"/>
      <c r="X8" s="11" t="n"/>
      <c r="Y8" s="11">
        <f>IF(OR(V8="",W8=""),"",IFERROR(INDEX(LAYOUT!$D$2:$D$80,MATCH(V8&amp;"|"&amp;W8,LAYOUT!$E$2:$E$80,0)),""))</f>
        <v/>
      </c>
      <c r="Z8" s="12">
        <f>IF(AND(V8="",W8=""),IF(AND(L8="",M8="",Q8="",R8=""),IF(OR($D8&lt;&gt;"",$E8&lt;&gt;""),"Belum ditempatkan",""),""),IF(V8="","CEK JENIS FIXTURE kosong",IF(LEFT(V8,4)&lt;&gt;"Wall","CEK Fixture 3 hanya Wall",IF(W8="","CEK SHELVING KE kosong",IF(ISNA(MATCH(V8&amp;"|"&amp;W8,LAYOUT!$E$2:$E$80,0)),"CEK SHELVING KE di luar layout",IF($I8="","CEK SERIES kosong",IF(AND(X8&lt;&gt;"",NOT(ISNUMBER(X8))),"CEK URUTAN DISPLAY harus angka",IF($D8="","Zona STOCK",IF($E8="","CEK SKU DESCRIPTION kosong",IF(COUNTIFS($I$2:$I$500,$I8,V$2:V$500,"&lt;&gt;"&amp;V8,V$2:V$500,"&lt;&gt;")&gt;0,"CEK jenis fixture beda dalam satu series","OK"))))))))))</f>
        <v/>
      </c>
      <c r="AA8" s="12" t="n"/>
      <c r="AB8" s="11" t="n"/>
      <c r="AC8" s="11" t="n"/>
      <c r="AD8" s="11" t="n"/>
      <c r="AE8" s="11" t="n"/>
      <c r="AF8" s="11" t="n"/>
      <c r="AG8" s="11" t="n"/>
      <c r="AH8" s="12" t="n"/>
      <c r="AI8" s="12" t="n"/>
    </row>
    <row r="9">
      <c r="A9" s="10" t="inlineStr">
        <is>
          <t>Homeware</t>
        </is>
      </c>
      <c r="B9" s="10" t="inlineStr">
        <is>
          <t>Tableware</t>
        </is>
      </c>
      <c r="C9" s="10" t="inlineStr">
        <is>
          <t>Serving Set</t>
        </is>
      </c>
      <c r="D9" s="10" t="inlineStr">
        <is>
          <t>10681571</t>
        </is>
      </c>
      <c r="E9" s="10" t="inlineStr">
        <is>
          <t>SERVING GLASS SQR PLATER ZEVY GOLD</t>
        </is>
      </c>
      <c r="F9" s="10" t="n"/>
      <c r="G9" s="10" t="inlineStr">
        <is>
          <t>MAKAN</t>
        </is>
      </c>
      <c r="H9" s="10" t="inlineStr">
        <is>
          <t>A2. SERVINGWARE</t>
        </is>
      </c>
      <c r="I9" s="10" t="inlineStr">
        <is>
          <t>W/GOLD RACK GLASS</t>
        </is>
      </c>
      <c r="J9" s="10" t="n"/>
      <c r="K9" s="10" t="n"/>
      <c r="L9" s="11" t="inlineStr">
        <is>
          <t>Gondola 3 Shelving + 1 Gantungan</t>
        </is>
      </c>
      <c r="M9" s="11" t="n">
        <v>1</v>
      </c>
      <c r="N9" s="11" t="n"/>
      <c r="O9" s="11">
        <f>IF(OR(L9="",M9=""),"",IFERROR(INDEX(LAYOUT!$D$2:$D$80,MATCH(L9&amp;"|"&amp;M9,LAYOUT!$E$2:$E$80,0)),""))</f>
        <v/>
      </c>
      <c r="P9" s="12">
        <f>IF(AND(L9="",M9=""),IF(AND(Q9="",R9="",V9="",W9=""),IF(OR($D9&lt;&gt;"",$E9&lt;&gt;""),"Belum ditempatkan",""),""),IF(L9="","CEK JENIS FIXTURE kosong",IF(AND(LEFT(L9,7)&lt;&gt;"Gondola",LEFT(L9,6)&lt;&gt;"Endcap"),"CEK Fixture 1 hanya Gondola atau Endcap",IF(M9="","CEK SHELVING KE kosong",IF(ISNA(MATCH(L9&amp;"|"&amp;M9,LAYOUT!$E$2:$E$80,0)),"CEK SHELVING KE di luar layout",IF($I9="","CEK SERIES kosong",IF(AND(N9&lt;&gt;"",NOT(ISNUMBER(N9))),"CEK URUTAN DISPLAY harus angka",IF($D9="","Zona STOCK",IF($E9="","CEK SKU DESCRIPTION kosong",IF(COUNTIFS($I$2:$I$500,$I9,L$2:L$500,"&lt;&gt;"&amp;L9,L$2:L$500,"&lt;&gt;")&gt;0,"CEK jenis fixture beda dalam satu series","OK"))))))))))</f>
        <v/>
      </c>
      <c r="Q9" s="11" t="inlineStr">
        <is>
          <t>Wall 5 Shelving</t>
        </is>
      </c>
      <c r="R9" s="11" t="n">
        <v>2</v>
      </c>
      <c r="S9" s="11" t="n"/>
      <c r="T9" s="11">
        <f>IF(OR(Q9="",R9=""),"",IFERROR(INDEX(LAYOUT!$D$2:$D$80,MATCH(Q9&amp;"|"&amp;R9,LAYOUT!$E$2:$E$80,0)),""))</f>
        <v/>
      </c>
      <c r="U9" s="12">
        <f>IF(AND(Q9="",R9=""),IF(AND(L9="",M9="",V9="",W9=""),IF(OR($D9&lt;&gt;"",$E9&lt;&gt;""),"Belum ditempatkan",""),""),IF(Q9="","CEK JENIS FIXTURE kosong",IF(LEFT(Q9,4)&lt;&gt;"Wall","CEK Fixture 2 hanya Wall",IF(R9="","CEK SHELVING KE kosong",IF(ISNA(MATCH(Q9&amp;"|"&amp;R9,LAYOUT!$E$2:$E$80,0)),"CEK SHELVING KE di luar layout",IF($I9="","CEK SERIES kosong",IF(AND(S9&lt;&gt;"",NOT(ISNUMBER(S9))),"CEK URUTAN DISPLAY harus angka",IF($D9="","Zona STOCK",IF($E9="","CEK SKU DESCRIPTION kosong",IF(COUNTIFS($I$2:$I$500,$I9,Q$2:Q$500,"&lt;&gt;"&amp;Q9,Q$2:Q$500,"&lt;&gt;")&gt;0,"CEK jenis fixture beda dalam satu series","OK"))))))))))</f>
        <v/>
      </c>
      <c r="V9" s="11" t="inlineStr">
        <is>
          <t>Wall 3 Shelving + 2 Gantungan</t>
        </is>
      </c>
      <c r="W9" s="11" t="n">
        <v>3</v>
      </c>
      <c r="X9" s="11" t="n"/>
      <c r="Y9" s="11">
        <f>IF(OR(V9="",W9=""),"",IFERROR(INDEX(LAYOUT!$D$2:$D$80,MATCH(V9&amp;"|"&amp;W9,LAYOUT!$E$2:$E$80,0)),""))</f>
        <v/>
      </c>
      <c r="Z9" s="12">
        <f>IF(AND(V9="",W9=""),IF(AND(L9="",M9="",Q9="",R9=""),IF(OR($D9&lt;&gt;"",$E9&lt;&gt;""),"Belum ditempatkan",""),""),IF(V9="","CEK JENIS FIXTURE kosong",IF(LEFT(V9,4)&lt;&gt;"Wall","CEK Fixture 3 hanya Wall",IF(W9="","CEK SHELVING KE kosong",IF(ISNA(MATCH(V9&amp;"|"&amp;W9,LAYOUT!$E$2:$E$80,0)),"CEK SHELVING KE di luar layout",IF($I9="","CEK SERIES kosong",IF(AND(X9&lt;&gt;"",NOT(ISNUMBER(X9))),"CEK URUTAN DISPLAY harus angka",IF($D9="","Zona STOCK",IF($E9="","CEK SKU DESCRIPTION kosong",IF(COUNTIFS($I$2:$I$500,$I9,V$2:V$500,"&lt;&gt;"&amp;V9,V$2:V$500,"&lt;&gt;")&gt;0,"CEK jenis fixture beda dalam satu series","OK"))))))))))</f>
        <v/>
      </c>
      <c r="AA9" s="12" t="n"/>
      <c r="AB9" s="11" t="n"/>
      <c r="AC9" s="11" t="n"/>
      <c r="AD9" s="11" t="n"/>
      <c r="AE9" s="11" t="n"/>
      <c r="AF9" s="11" t="n"/>
      <c r="AG9" s="11" t="n"/>
      <c r="AH9" s="12" t="n"/>
      <c r="AI9" s="12" t="n"/>
    </row>
    <row r="10">
      <c r="A10" s="10" t="inlineStr">
        <is>
          <t>Homeware</t>
        </is>
      </c>
      <c r="B10" s="10" t="inlineStr">
        <is>
          <t>Tableware</t>
        </is>
      </c>
      <c r="C10" s="10" t="inlineStr">
        <is>
          <t>Serving Set</t>
        </is>
      </c>
      <c r="D10" s="10" t="inlineStr">
        <is>
          <t>10681571</t>
        </is>
      </c>
      <c r="E10" s="10" t="inlineStr">
        <is>
          <t>SERVING GLASS SQR PLATER ZEVY GOLD</t>
        </is>
      </c>
      <c r="F10" s="10" t="n"/>
      <c r="G10" s="10" t="inlineStr">
        <is>
          <t>MAKAN</t>
        </is>
      </c>
      <c r="H10" s="10" t="inlineStr">
        <is>
          <t>A2. SERVINGWARE</t>
        </is>
      </c>
      <c r="I10" s="10" t="inlineStr">
        <is>
          <t>W/GOLD RACK GLASS</t>
        </is>
      </c>
      <c r="J10" s="10" t="n"/>
      <c r="K10" s="10" t="n"/>
      <c r="L10" s="11" t="n"/>
      <c r="M10" s="11" t="n"/>
      <c r="N10" s="11" t="n"/>
      <c r="O10" s="11">
        <f>IF(OR(L10="",M10=""),"",IFERROR(INDEX(LAYOUT!$D$2:$D$80,MATCH(L10&amp;"|"&amp;M10,LAYOUT!$E$2:$E$80,0)),""))</f>
        <v/>
      </c>
      <c r="P10" s="12">
        <f>IF(AND(L10="",M10=""),IF(AND(Q10="",R10="",V10="",W10=""),IF(OR($D10&lt;&gt;"",$E10&lt;&gt;""),"Belum ditempatkan",""),""),IF(L10="","CEK JENIS FIXTURE kosong",IF(AND(LEFT(L10,7)&lt;&gt;"Gondola",LEFT(L10,6)&lt;&gt;"Endcap"),"CEK Fixture 1 hanya Gondola atau Endcap",IF(M10="","CEK SHELVING KE kosong",IF(ISNA(MATCH(L10&amp;"|"&amp;M10,LAYOUT!$E$2:$E$80,0)),"CEK SHELVING KE di luar layout",IF($I10="","CEK SERIES kosong",IF(AND(N10&lt;&gt;"",NOT(ISNUMBER(N10))),"CEK URUTAN DISPLAY harus angka",IF($D10="","Zona STOCK",IF($E10="","CEK SKU DESCRIPTION kosong",IF(COUNTIFS($I$2:$I$500,$I10,L$2:L$500,"&lt;&gt;"&amp;L10,L$2:L$500,"&lt;&gt;")&gt;0,"CEK jenis fixture beda dalam satu series","OK"))))))))))</f>
        <v/>
      </c>
      <c r="Q10" s="11" t="inlineStr">
        <is>
          <t>Wall 5 Shelving</t>
        </is>
      </c>
      <c r="R10" s="11" t="n">
        <v>5</v>
      </c>
      <c r="S10" s="11" t="n"/>
      <c r="T10" s="11">
        <f>IF(OR(Q10="",R10=""),"",IFERROR(INDEX(LAYOUT!$D$2:$D$80,MATCH(Q10&amp;"|"&amp;R10,LAYOUT!$E$2:$E$80,0)),""))</f>
        <v/>
      </c>
      <c r="U10" s="12">
        <f>IF(AND(Q10="",R10=""),IF(AND(L10="",M10="",V10="",W10=""),IF(OR($D10&lt;&gt;"",$E10&lt;&gt;""),"Belum ditempatkan",""),""),IF(Q10="","CEK JENIS FIXTURE kosong",IF(LEFT(Q10,4)&lt;&gt;"Wall","CEK Fixture 2 hanya Wall",IF(R10="","CEK SHELVING KE kosong",IF(ISNA(MATCH(Q10&amp;"|"&amp;R10,LAYOUT!$E$2:$E$80,0)),"CEK SHELVING KE di luar layout",IF($I10="","CEK SERIES kosong",IF(AND(S10&lt;&gt;"",NOT(ISNUMBER(S10))),"CEK URUTAN DISPLAY harus angka",IF($D10="","Zona STOCK",IF($E10="","CEK SKU DESCRIPTION kosong",IF(COUNTIFS($I$2:$I$500,$I10,Q$2:Q$500,"&lt;&gt;"&amp;Q10,Q$2:Q$500,"&lt;&gt;")&gt;0,"CEK jenis fixture beda dalam satu series","OK"))))))))))</f>
        <v/>
      </c>
      <c r="V10" s="11" t="n"/>
      <c r="W10" s="11" t="n"/>
      <c r="X10" s="11" t="n"/>
      <c r="Y10" s="11">
        <f>IF(OR(V10="",W10=""),"",IFERROR(INDEX(LAYOUT!$D$2:$D$80,MATCH(V10&amp;"|"&amp;W10,LAYOUT!$E$2:$E$80,0)),""))</f>
        <v/>
      </c>
      <c r="Z10" s="12">
        <f>IF(AND(V10="",W10=""),IF(AND(L10="",M10="",Q10="",R10=""),IF(OR($D10&lt;&gt;"",$E10&lt;&gt;""),"Belum ditempatkan",""),""),IF(V10="","CEK JENIS FIXTURE kosong",IF(LEFT(V10,4)&lt;&gt;"Wall","CEK Fixture 3 hanya Wall",IF(W10="","CEK SHELVING KE kosong",IF(ISNA(MATCH(V10&amp;"|"&amp;W10,LAYOUT!$E$2:$E$80,0)),"CEK SHELVING KE di luar layout",IF($I10="","CEK SERIES kosong",IF(AND(X10&lt;&gt;"",NOT(ISNUMBER(X10))),"CEK URUTAN DISPLAY harus angka",IF($D10="","Zona STOCK",IF($E10="","CEK SKU DESCRIPTION kosong",IF(COUNTIFS($I$2:$I$500,$I10,V$2:V$500,"&lt;&gt;"&amp;V10,V$2:V$500,"&lt;&gt;")&gt;0,"CEK jenis fixture beda dalam satu series","OK"))))))))))</f>
        <v/>
      </c>
      <c r="AA10" s="12" t="n"/>
      <c r="AB10" s="11" t="n"/>
      <c r="AC10" s="11" t="n"/>
      <c r="AD10" s="11" t="n"/>
      <c r="AE10" s="11" t="n"/>
      <c r="AF10" s="11" t="n"/>
      <c r="AG10" s="11" t="n"/>
      <c r="AH10" s="12" t="n"/>
      <c r="AI10" s="12" t="n"/>
    </row>
    <row r="11">
      <c r="A11" s="10" t="inlineStr">
        <is>
          <t>Homeware</t>
        </is>
      </c>
      <c r="B11" s="10" t="inlineStr">
        <is>
          <t>Tableware</t>
        </is>
      </c>
      <c r="C11" s="10" t="inlineStr">
        <is>
          <t>Serving Set</t>
        </is>
      </c>
      <c r="D11" s="10" t="inlineStr">
        <is>
          <t>10681572</t>
        </is>
      </c>
      <c r="E11" s="10" t="inlineStr">
        <is>
          <t>SERVING GLASS OVAL PLATER ZOE GOLD</t>
        </is>
      </c>
      <c r="F11" s="10" t="n"/>
      <c r="G11" s="10" t="inlineStr">
        <is>
          <t>MAKAN</t>
        </is>
      </c>
      <c r="H11" s="10" t="inlineStr">
        <is>
          <t>A2. SERVINGWARE</t>
        </is>
      </c>
      <c r="I11" s="10" t="inlineStr">
        <is>
          <t>W/GOLD RACK GLASS</t>
        </is>
      </c>
      <c r="J11" s="10" t="n"/>
      <c r="K11" s="10" t="n"/>
      <c r="L11" s="11" t="inlineStr">
        <is>
          <t>Gondola 3 Shelving + 1 Gantungan</t>
        </is>
      </c>
      <c r="M11" s="11" t="n">
        <v>1</v>
      </c>
      <c r="N11" s="11" t="n"/>
      <c r="O11" s="11">
        <f>IF(OR(L11="",M11=""),"",IFERROR(INDEX(LAYOUT!$D$2:$D$80,MATCH(L11&amp;"|"&amp;M11,LAYOUT!$E$2:$E$80,0)),""))</f>
        <v/>
      </c>
      <c r="P11" s="12">
        <f>IF(AND(L11="",M11=""),IF(AND(Q11="",R11="",V11="",W11=""),IF(OR($D11&lt;&gt;"",$E11&lt;&gt;""),"Belum ditempatkan",""),""),IF(L11="","CEK JENIS FIXTURE kosong",IF(AND(LEFT(L11,7)&lt;&gt;"Gondola",LEFT(L11,6)&lt;&gt;"Endcap"),"CEK Fixture 1 hanya Gondola atau Endcap",IF(M11="","CEK SHELVING KE kosong",IF(ISNA(MATCH(L11&amp;"|"&amp;M11,LAYOUT!$E$2:$E$80,0)),"CEK SHELVING KE di luar layout",IF($I11="","CEK SERIES kosong",IF(AND(N11&lt;&gt;"",NOT(ISNUMBER(N11))),"CEK URUTAN DISPLAY harus angka",IF($D11="","Zona STOCK",IF($E11="","CEK SKU DESCRIPTION kosong",IF(COUNTIFS($I$2:$I$500,$I11,L$2:L$500,"&lt;&gt;"&amp;L11,L$2:L$500,"&lt;&gt;")&gt;0,"CEK jenis fixture beda dalam satu series","OK"))))))))))</f>
        <v/>
      </c>
      <c r="Q11" s="11" t="inlineStr">
        <is>
          <t>Wall 5 Shelving</t>
        </is>
      </c>
      <c r="R11" s="11" t="n">
        <v>2</v>
      </c>
      <c r="S11" s="11" t="n"/>
      <c r="T11" s="11">
        <f>IF(OR(Q11="",R11=""),"",IFERROR(INDEX(LAYOUT!$D$2:$D$80,MATCH(Q11&amp;"|"&amp;R11,LAYOUT!$E$2:$E$80,0)),""))</f>
        <v/>
      </c>
      <c r="U11" s="12">
        <f>IF(AND(Q11="",R11=""),IF(AND(L11="",M11="",V11="",W11=""),IF(OR($D11&lt;&gt;"",$E11&lt;&gt;""),"Belum ditempatkan",""),""),IF(Q11="","CEK JENIS FIXTURE kosong",IF(LEFT(Q11,4)&lt;&gt;"Wall","CEK Fixture 2 hanya Wall",IF(R11="","CEK SHELVING KE kosong",IF(ISNA(MATCH(Q11&amp;"|"&amp;R11,LAYOUT!$E$2:$E$80,0)),"CEK SHELVING KE di luar layout",IF($I11="","CEK SERIES kosong",IF(AND(S11&lt;&gt;"",NOT(ISNUMBER(S11))),"CEK URUTAN DISPLAY harus angka",IF($D11="","Zona STOCK",IF($E11="","CEK SKU DESCRIPTION kosong",IF(COUNTIFS($I$2:$I$500,$I11,Q$2:Q$500,"&lt;&gt;"&amp;Q11,Q$2:Q$500,"&lt;&gt;")&gt;0,"CEK jenis fixture beda dalam satu series","OK"))))))))))</f>
        <v/>
      </c>
      <c r="V11" s="11" t="inlineStr">
        <is>
          <t>Wall 3 Shelving + 2 Gantungan</t>
        </is>
      </c>
      <c r="W11" s="11" t="n">
        <v>3</v>
      </c>
      <c r="X11" s="11" t="n"/>
      <c r="Y11" s="11">
        <f>IF(OR(V11="",W11=""),"",IFERROR(INDEX(LAYOUT!$D$2:$D$80,MATCH(V11&amp;"|"&amp;W11,LAYOUT!$E$2:$E$80,0)),""))</f>
        <v/>
      </c>
      <c r="Z11" s="12">
        <f>IF(AND(V11="",W11=""),IF(AND(L11="",M11="",Q11="",R11=""),IF(OR($D11&lt;&gt;"",$E11&lt;&gt;""),"Belum ditempatkan",""),""),IF(V11="","CEK JENIS FIXTURE kosong",IF(LEFT(V11,4)&lt;&gt;"Wall","CEK Fixture 3 hanya Wall",IF(W11="","CEK SHELVING KE kosong",IF(ISNA(MATCH(V11&amp;"|"&amp;W11,LAYOUT!$E$2:$E$80,0)),"CEK SHELVING KE di luar layout",IF($I11="","CEK SERIES kosong",IF(AND(X11&lt;&gt;"",NOT(ISNUMBER(X11))),"CEK URUTAN DISPLAY harus angka",IF($D11="","Zona STOCK",IF($E11="","CEK SKU DESCRIPTION kosong",IF(COUNTIFS($I$2:$I$500,$I11,V$2:V$500,"&lt;&gt;"&amp;V11,V$2:V$500,"&lt;&gt;")&gt;0,"CEK jenis fixture beda dalam satu series","OK"))))))))))</f>
        <v/>
      </c>
      <c r="AA11" s="12" t="n"/>
      <c r="AB11" s="11" t="n"/>
      <c r="AC11" s="11" t="n"/>
      <c r="AD11" s="11" t="n"/>
      <c r="AE11" s="11" t="n"/>
      <c r="AF11" s="11" t="n"/>
      <c r="AG11" s="11" t="n"/>
      <c r="AH11" s="12" t="n"/>
      <c r="AI11" s="12" t="n"/>
    </row>
    <row r="12">
      <c r="A12" s="10" t="inlineStr">
        <is>
          <t>Homeware</t>
        </is>
      </c>
      <c r="B12" s="10" t="inlineStr">
        <is>
          <t>Tableware</t>
        </is>
      </c>
      <c r="C12" s="10" t="inlineStr">
        <is>
          <t>Serving Set</t>
        </is>
      </c>
      <c r="D12" s="10" t="inlineStr">
        <is>
          <t>10681573</t>
        </is>
      </c>
      <c r="E12" s="10" t="inlineStr">
        <is>
          <t>SERVING GLASS SQR TWO RACK ZENA GOLD</t>
        </is>
      </c>
      <c r="F12" s="10" t="n"/>
      <c r="G12" s="10" t="inlineStr">
        <is>
          <t>MAKAN</t>
        </is>
      </c>
      <c r="H12" s="10" t="inlineStr">
        <is>
          <t>A2. SERVINGWARE</t>
        </is>
      </c>
      <c r="I12" s="10" t="inlineStr">
        <is>
          <t>W/GOLD RACK GLASS</t>
        </is>
      </c>
      <c r="J12" s="10" t="n"/>
      <c r="K12" s="10" t="n"/>
      <c r="L12" s="11" t="inlineStr">
        <is>
          <t>Gondola 3 Shelving + 1 Gantungan</t>
        </is>
      </c>
      <c r="M12" s="11" t="n">
        <v>2</v>
      </c>
      <c r="N12" s="11" t="n"/>
      <c r="O12" s="11">
        <f>IF(OR(L12="",M12=""),"",IFERROR(INDEX(LAYOUT!$D$2:$D$80,MATCH(L12&amp;"|"&amp;M12,LAYOUT!$E$2:$E$80,0)),""))</f>
        <v/>
      </c>
      <c r="P12" s="12">
        <f>IF(AND(L12="",M12=""),IF(AND(Q12="",R12="",V12="",W12=""),IF(OR($D12&lt;&gt;"",$E12&lt;&gt;""),"Belum ditempatkan",""),""),IF(L12="","CEK JENIS FIXTURE kosong",IF(AND(LEFT(L12,7)&lt;&gt;"Gondola",LEFT(L12,6)&lt;&gt;"Endcap"),"CEK Fixture 1 hanya Gondola atau Endcap",IF(M12="","CEK SHELVING KE kosong",IF(ISNA(MATCH(L12&amp;"|"&amp;M12,LAYOUT!$E$2:$E$80,0)),"CEK SHELVING KE di luar layout",IF($I12="","CEK SERIES kosong",IF(AND(N12&lt;&gt;"",NOT(ISNUMBER(N12))),"CEK URUTAN DISPLAY harus angka",IF($D12="","Zona STOCK",IF($E12="","CEK SKU DESCRIPTION kosong",IF(COUNTIFS($I$2:$I$500,$I12,L$2:L$500,"&lt;&gt;"&amp;L12,L$2:L$500,"&lt;&gt;")&gt;0,"CEK jenis fixture beda dalam satu series","OK"))))))))))</f>
        <v/>
      </c>
      <c r="Q12" s="11" t="inlineStr">
        <is>
          <t>Wall 5 Shelving</t>
        </is>
      </c>
      <c r="R12" s="11" t="n">
        <v>3</v>
      </c>
      <c r="S12" s="11" t="n"/>
      <c r="T12" s="11">
        <f>IF(OR(Q12="",R12=""),"",IFERROR(INDEX(LAYOUT!$D$2:$D$80,MATCH(Q12&amp;"|"&amp;R12,LAYOUT!$E$2:$E$80,0)),""))</f>
        <v/>
      </c>
      <c r="U12" s="12">
        <f>IF(AND(Q12="",R12=""),IF(AND(L12="",M12="",V12="",W12=""),IF(OR($D12&lt;&gt;"",$E12&lt;&gt;""),"Belum ditempatkan",""),""),IF(Q12="","CEK JENIS FIXTURE kosong",IF(LEFT(Q12,4)&lt;&gt;"Wall","CEK Fixture 2 hanya Wall",IF(R12="","CEK SHELVING KE kosong",IF(ISNA(MATCH(Q12&amp;"|"&amp;R12,LAYOUT!$E$2:$E$80,0)),"CEK SHELVING KE di luar layout",IF($I12="","CEK SERIES kosong",IF(AND(S12&lt;&gt;"",NOT(ISNUMBER(S12))),"CEK URUTAN DISPLAY harus angka",IF($D12="","Zona STOCK",IF($E12="","CEK SKU DESCRIPTION kosong",IF(COUNTIFS($I$2:$I$500,$I12,Q$2:Q$500,"&lt;&gt;"&amp;Q12,Q$2:Q$500,"&lt;&gt;")&gt;0,"CEK jenis fixture beda dalam satu series","OK"))))))))))</f>
        <v/>
      </c>
      <c r="V12" s="11" t="inlineStr">
        <is>
          <t>Wall 3 Shelving + 2 Gantungan</t>
        </is>
      </c>
      <c r="W12" s="11" t="n">
        <v>1</v>
      </c>
      <c r="X12" s="11" t="n"/>
      <c r="Y12" s="11">
        <f>IF(OR(V12="",W12=""),"",IFERROR(INDEX(LAYOUT!$D$2:$D$80,MATCH(V12&amp;"|"&amp;W12,LAYOUT!$E$2:$E$80,0)),""))</f>
        <v/>
      </c>
      <c r="Z12" s="12">
        <f>IF(AND(V12="",W12=""),IF(AND(L12="",M12="",Q12="",R12=""),IF(OR($D12&lt;&gt;"",$E12&lt;&gt;""),"Belum ditempatkan",""),""),IF(V12="","CEK JENIS FIXTURE kosong",IF(LEFT(V12,4)&lt;&gt;"Wall","CEK Fixture 3 hanya Wall",IF(W12="","CEK SHELVING KE kosong",IF(ISNA(MATCH(V12&amp;"|"&amp;W12,LAYOUT!$E$2:$E$80,0)),"CEK SHELVING KE di luar layout",IF($I12="","CEK SERIES kosong",IF(AND(X12&lt;&gt;"",NOT(ISNUMBER(X12))),"CEK URUTAN DISPLAY harus angka",IF($D12="","Zona STOCK",IF($E12="","CEK SKU DESCRIPTION kosong",IF(COUNTIFS($I$2:$I$500,$I12,V$2:V$500,"&lt;&gt;"&amp;V12,V$2:V$500,"&lt;&gt;")&gt;0,"CEK jenis fixture beda dalam satu series","OK"))))))))))</f>
        <v/>
      </c>
      <c r="AA12" s="12" t="n"/>
      <c r="AB12" s="11" t="n"/>
      <c r="AC12" s="11" t="n"/>
      <c r="AD12" s="11" t="n"/>
      <c r="AE12" s="11" t="n"/>
      <c r="AF12" s="11" t="n"/>
      <c r="AG12" s="11" t="n"/>
      <c r="AH12" s="12" t="n"/>
      <c r="AI12" s="12" t="n"/>
    </row>
    <row r="13">
      <c r="A13" s="10" t="inlineStr">
        <is>
          <t>Homeware</t>
        </is>
      </c>
      <c r="B13" s="10" t="inlineStr">
        <is>
          <t>Tableware</t>
        </is>
      </c>
      <c r="C13" s="10" t="inlineStr">
        <is>
          <t>Serving Set</t>
        </is>
      </c>
      <c r="D13" s="10" t="inlineStr">
        <is>
          <t>10681573</t>
        </is>
      </c>
      <c r="E13" s="10" t="inlineStr">
        <is>
          <t>SERVING GLASS SQR TWO RACK ZENA GOLD</t>
        </is>
      </c>
      <c r="F13" s="10" t="n"/>
      <c r="G13" s="10" t="inlineStr">
        <is>
          <t>MAKAN</t>
        </is>
      </c>
      <c r="H13" s="10" t="inlineStr">
        <is>
          <t>A2. SERVINGWARE</t>
        </is>
      </c>
      <c r="I13" s="10" t="inlineStr">
        <is>
          <t>W/GOLD RACK GLASS</t>
        </is>
      </c>
      <c r="J13" s="10" t="n"/>
      <c r="K13" s="10" t="n"/>
      <c r="L13" s="11" t="n"/>
      <c r="M13" s="11" t="n"/>
      <c r="N13" s="11" t="n"/>
      <c r="O13" s="11">
        <f>IF(OR(L13="",M13=""),"",IFERROR(INDEX(LAYOUT!$D$2:$D$80,MATCH(L13&amp;"|"&amp;M13,LAYOUT!$E$2:$E$80,0)),""))</f>
        <v/>
      </c>
      <c r="P13" s="12">
        <f>IF(AND(L13="",M13=""),IF(AND(Q13="",R13="",V13="",W13=""),IF(OR($D13&lt;&gt;"",$E13&lt;&gt;""),"Belum ditempatkan",""),""),IF(L13="","CEK JENIS FIXTURE kosong",IF(AND(LEFT(L13,7)&lt;&gt;"Gondola",LEFT(L13,6)&lt;&gt;"Endcap"),"CEK Fixture 1 hanya Gondola atau Endcap",IF(M13="","CEK SHELVING KE kosong",IF(ISNA(MATCH(L13&amp;"|"&amp;M13,LAYOUT!$E$2:$E$80,0)),"CEK SHELVING KE di luar layout",IF($I13="","CEK SERIES kosong",IF(AND(N13&lt;&gt;"",NOT(ISNUMBER(N13))),"CEK URUTAN DISPLAY harus angka",IF($D13="","Zona STOCK",IF($E13="","CEK SKU DESCRIPTION kosong",IF(COUNTIFS($I$2:$I$500,$I13,L$2:L$500,"&lt;&gt;"&amp;L13,L$2:L$500,"&lt;&gt;")&gt;0,"CEK jenis fixture beda dalam satu series","OK"))))))))))</f>
        <v/>
      </c>
      <c r="Q13" s="11" t="n"/>
      <c r="R13" s="11" t="n"/>
      <c r="S13" s="11" t="n"/>
      <c r="T13" s="11">
        <f>IF(OR(Q13="",R13=""),"",IFERROR(INDEX(LAYOUT!$D$2:$D$80,MATCH(Q13&amp;"|"&amp;R13,LAYOUT!$E$2:$E$80,0)),""))</f>
        <v/>
      </c>
      <c r="U13" s="12">
        <f>IF(AND(Q13="",R13=""),IF(AND(L13="",M13="",V13="",W13=""),IF(OR($D13&lt;&gt;"",$E13&lt;&gt;""),"Belum ditempatkan",""),""),IF(Q13="","CEK JENIS FIXTURE kosong",IF(LEFT(Q13,4)&lt;&gt;"Wall","CEK Fixture 2 hanya Wall",IF(R13="","CEK SHELVING KE kosong",IF(ISNA(MATCH(Q13&amp;"|"&amp;R13,LAYOUT!$E$2:$E$80,0)),"CEK SHELVING KE di luar layout",IF($I13="","CEK SERIES kosong",IF(AND(S13&lt;&gt;"",NOT(ISNUMBER(S13))),"CEK URUTAN DISPLAY harus angka",IF($D13="","Zona STOCK",IF($E13="","CEK SKU DESCRIPTION kosong",IF(COUNTIFS($I$2:$I$500,$I13,Q$2:Q$500,"&lt;&gt;"&amp;Q13,Q$2:Q$500,"&lt;&gt;")&gt;0,"CEK jenis fixture beda dalam satu series","OK"))))))))))</f>
        <v/>
      </c>
      <c r="V13" s="11" t="inlineStr">
        <is>
          <t>Wall 3 Shelving + 2 Gantungan</t>
        </is>
      </c>
      <c r="W13" s="11" t="n">
        <v>3</v>
      </c>
      <c r="X13" s="11" t="n"/>
      <c r="Y13" s="11">
        <f>IF(OR(V13="",W13=""),"",IFERROR(INDEX(LAYOUT!$D$2:$D$80,MATCH(V13&amp;"|"&amp;W13,LAYOUT!$E$2:$E$80,0)),""))</f>
        <v/>
      </c>
      <c r="Z13" s="12">
        <f>IF(AND(V13="",W13=""),IF(AND(L13="",M13="",Q13="",R13=""),IF(OR($D13&lt;&gt;"",$E13&lt;&gt;""),"Belum ditempatkan",""),""),IF(V13="","CEK JENIS FIXTURE kosong",IF(LEFT(V13,4)&lt;&gt;"Wall","CEK Fixture 3 hanya Wall",IF(W13="","CEK SHELVING KE kosong",IF(ISNA(MATCH(V13&amp;"|"&amp;W13,LAYOUT!$E$2:$E$80,0)),"CEK SHELVING KE di luar layout",IF($I13="","CEK SERIES kosong",IF(AND(X13&lt;&gt;"",NOT(ISNUMBER(X13))),"CEK URUTAN DISPLAY harus angka",IF($D13="","Zona STOCK",IF($E13="","CEK SKU DESCRIPTION kosong",IF(COUNTIFS($I$2:$I$500,$I13,V$2:V$500,"&lt;&gt;"&amp;V13,V$2:V$500,"&lt;&gt;")&gt;0,"CEK jenis fixture beda dalam satu series","OK"))))))))))</f>
        <v/>
      </c>
      <c r="AA13" s="12" t="n"/>
      <c r="AB13" s="11" t="n"/>
      <c r="AC13" s="11" t="n"/>
      <c r="AD13" s="11" t="n"/>
      <c r="AE13" s="11" t="n"/>
      <c r="AF13" s="11" t="n"/>
      <c r="AG13" s="11" t="n"/>
      <c r="AH13" s="12" t="n"/>
      <c r="AI13" s="12" t="n"/>
    </row>
    <row r="14">
      <c r="A14" s="10" t="inlineStr">
        <is>
          <t>Homeware</t>
        </is>
      </c>
      <c r="B14" s="10" t="inlineStr">
        <is>
          <t>Tableware</t>
        </is>
      </c>
      <c r="C14" s="10" t="inlineStr">
        <is>
          <t>Serving Set</t>
        </is>
      </c>
      <c r="D14" s="10" t="inlineStr">
        <is>
          <t>10681574</t>
        </is>
      </c>
      <c r="E14" s="10" t="inlineStr">
        <is>
          <t>SERVING GLASS RND TWO RACK ZIA GOLD</t>
        </is>
      </c>
      <c r="F14" s="10" t="n"/>
      <c r="G14" s="10" t="inlineStr">
        <is>
          <t>MAKAN</t>
        </is>
      </c>
      <c r="H14" s="10" t="inlineStr">
        <is>
          <t>A2. SERVINGWARE</t>
        </is>
      </c>
      <c r="I14" s="10" t="inlineStr">
        <is>
          <t>W/GOLD RACK GLASS</t>
        </is>
      </c>
      <c r="J14" s="10" t="n"/>
      <c r="K14" s="10" t="n"/>
      <c r="L14" s="11" t="inlineStr">
        <is>
          <t>Gondola 3 Shelving + 1 Gantungan</t>
        </is>
      </c>
      <c r="M14" s="11" t="n">
        <v>2</v>
      </c>
      <c r="N14" s="11" t="n"/>
      <c r="O14" s="11">
        <f>IF(OR(L14="",M14=""),"",IFERROR(INDEX(LAYOUT!$D$2:$D$80,MATCH(L14&amp;"|"&amp;M14,LAYOUT!$E$2:$E$80,0)),""))</f>
        <v/>
      </c>
      <c r="P14" s="12">
        <f>IF(AND(L14="",M14=""),IF(AND(Q14="",R14="",V14="",W14=""),IF(OR($D14&lt;&gt;"",$E14&lt;&gt;""),"Belum ditempatkan",""),""),IF(L14="","CEK JENIS FIXTURE kosong",IF(AND(LEFT(L14,7)&lt;&gt;"Gondola",LEFT(L14,6)&lt;&gt;"Endcap"),"CEK Fixture 1 hanya Gondola atau Endcap",IF(M14="","CEK SHELVING KE kosong",IF(ISNA(MATCH(L14&amp;"|"&amp;M14,LAYOUT!$E$2:$E$80,0)),"CEK SHELVING KE di luar layout",IF($I14="","CEK SERIES kosong",IF(AND(N14&lt;&gt;"",NOT(ISNUMBER(N14))),"CEK URUTAN DISPLAY harus angka",IF($D14="","Zona STOCK",IF($E14="","CEK SKU DESCRIPTION kosong",IF(COUNTIFS($I$2:$I$500,$I14,L$2:L$500,"&lt;&gt;"&amp;L14,L$2:L$500,"&lt;&gt;")&gt;0,"CEK jenis fixture beda dalam satu series","OK"))))))))))</f>
        <v/>
      </c>
      <c r="Q14" s="11" t="inlineStr">
        <is>
          <t>Wall 5 Shelving</t>
        </is>
      </c>
      <c r="R14" s="11" t="n">
        <v>3</v>
      </c>
      <c r="S14" s="11" t="n"/>
      <c r="T14" s="11">
        <f>IF(OR(Q14="",R14=""),"",IFERROR(INDEX(LAYOUT!$D$2:$D$80,MATCH(Q14&amp;"|"&amp;R14,LAYOUT!$E$2:$E$80,0)),""))</f>
        <v/>
      </c>
      <c r="U14" s="12">
        <f>IF(AND(Q14="",R14=""),IF(AND(L14="",M14="",V14="",W14=""),IF(OR($D14&lt;&gt;"",$E14&lt;&gt;""),"Belum ditempatkan",""),""),IF(Q14="","CEK JENIS FIXTURE kosong",IF(LEFT(Q14,4)&lt;&gt;"Wall","CEK Fixture 2 hanya Wall",IF(R14="","CEK SHELVING KE kosong",IF(ISNA(MATCH(Q14&amp;"|"&amp;R14,LAYOUT!$E$2:$E$80,0)),"CEK SHELVING KE di luar layout",IF($I14="","CEK SERIES kosong",IF(AND(S14&lt;&gt;"",NOT(ISNUMBER(S14))),"CEK URUTAN DISPLAY harus angka",IF($D14="","Zona STOCK",IF($E14="","CEK SKU DESCRIPTION kosong",IF(COUNTIFS($I$2:$I$500,$I14,Q$2:Q$500,"&lt;&gt;"&amp;Q14,Q$2:Q$500,"&lt;&gt;")&gt;0,"CEK jenis fixture beda dalam satu series","OK"))))))))))</f>
        <v/>
      </c>
      <c r="V14" s="11" t="inlineStr">
        <is>
          <t>Wall 3 Shelving + 2 Gantungan</t>
        </is>
      </c>
      <c r="W14" s="11" t="n">
        <v>1</v>
      </c>
      <c r="X14" s="11" t="n"/>
      <c r="Y14" s="11">
        <f>IF(OR(V14="",W14=""),"",IFERROR(INDEX(LAYOUT!$D$2:$D$80,MATCH(V14&amp;"|"&amp;W14,LAYOUT!$E$2:$E$80,0)),""))</f>
        <v/>
      </c>
      <c r="Z14" s="12">
        <f>IF(AND(V14="",W14=""),IF(AND(L14="",M14="",Q14="",R14=""),IF(OR($D14&lt;&gt;"",$E14&lt;&gt;""),"Belum ditempatkan",""),""),IF(V14="","CEK JENIS FIXTURE kosong",IF(LEFT(V14,4)&lt;&gt;"Wall","CEK Fixture 3 hanya Wall",IF(W14="","CEK SHELVING KE kosong",IF(ISNA(MATCH(V14&amp;"|"&amp;W14,LAYOUT!$E$2:$E$80,0)),"CEK SHELVING KE di luar layout",IF($I14="","CEK SERIES kosong",IF(AND(X14&lt;&gt;"",NOT(ISNUMBER(X14))),"CEK URUTAN DISPLAY harus angka",IF($D14="","Zona STOCK",IF($E14="","CEK SKU DESCRIPTION kosong",IF(COUNTIFS($I$2:$I$500,$I14,V$2:V$500,"&lt;&gt;"&amp;V14,V$2:V$500,"&lt;&gt;")&gt;0,"CEK jenis fixture beda dalam satu series","OK"))))))))))</f>
        <v/>
      </c>
      <c r="AA14" s="12" t="n"/>
      <c r="AB14" s="11" t="n"/>
      <c r="AC14" s="11" t="n"/>
      <c r="AD14" s="11" t="n"/>
      <c r="AE14" s="11" t="n"/>
      <c r="AF14" s="11" t="n"/>
      <c r="AG14" s="11" t="n"/>
      <c r="AH14" s="12" t="n"/>
      <c r="AI14" s="12" t="n"/>
    </row>
    <row r="15">
      <c r="A15" s="10" t="inlineStr">
        <is>
          <t>Homeware</t>
        </is>
      </c>
      <c r="B15" s="10" t="inlineStr">
        <is>
          <t>Tableware</t>
        </is>
      </c>
      <c r="C15" s="10" t="inlineStr">
        <is>
          <t>Serving Set</t>
        </is>
      </c>
      <c r="D15" s="10" t="inlineStr">
        <is>
          <t>10470029</t>
        </is>
      </c>
      <c r="E15" s="10" t="inlineStr">
        <is>
          <t>SERVING SET W/RACK OCTAGON MARBLE (4)</t>
        </is>
      </c>
      <c r="F15" s="10" t="n"/>
      <c r="G15" s="10" t="inlineStr">
        <is>
          <t>MAKAN</t>
        </is>
      </c>
      <c r="H15" s="10" t="inlineStr">
        <is>
          <t>A2. SERVINGWARE</t>
        </is>
      </c>
      <c r="I15" s="10" t="inlineStr">
        <is>
          <t>W/GOLD RACK GLASS</t>
        </is>
      </c>
      <c r="J15" s="10" t="n"/>
      <c r="K15" s="10" t="n"/>
      <c r="L15" s="11" t="inlineStr">
        <is>
          <t>Gondola 3 Shelving + 1 Gantungan</t>
        </is>
      </c>
      <c r="M15" s="11" t="n">
        <v>2</v>
      </c>
      <c r="N15" s="11" t="n"/>
      <c r="O15" s="11">
        <f>IF(OR(L15="",M15=""),"",IFERROR(INDEX(LAYOUT!$D$2:$D$80,MATCH(L15&amp;"|"&amp;M15,LAYOUT!$E$2:$E$80,0)),""))</f>
        <v/>
      </c>
      <c r="P15" s="12">
        <f>IF(AND(L15="",M15=""),IF(AND(Q15="",R15="",V15="",W15=""),IF(OR($D15&lt;&gt;"",$E15&lt;&gt;""),"Belum ditempatkan",""),""),IF(L15="","CEK JENIS FIXTURE kosong",IF(AND(LEFT(L15,7)&lt;&gt;"Gondola",LEFT(L15,6)&lt;&gt;"Endcap"),"CEK Fixture 1 hanya Gondola atau Endcap",IF(M15="","CEK SHELVING KE kosong",IF(ISNA(MATCH(L15&amp;"|"&amp;M15,LAYOUT!$E$2:$E$80,0)),"CEK SHELVING KE di luar layout",IF($I15="","CEK SERIES kosong",IF(AND(N15&lt;&gt;"",NOT(ISNUMBER(N15))),"CEK URUTAN DISPLAY harus angka",IF($D15="","Zona STOCK",IF($E15="","CEK SKU DESCRIPTION kosong",IF(COUNTIFS($I$2:$I$500,$I15,L$2:L$500,"&lt;&gt;"&amp;L15,L$2:L$500,"&lt;&gt;")&gt;0,"CEK jenis fixture beda dalam satu series","OK"))))))))))</f>
        <v/>
      </c>
      <c r="Q15" s="11" t="inlineStr">
        <is>
          <t>Wall 5 Shelving</t>
        </is>
      </c>
      <c r="R15" s="11" t="n">
        <v>4</v>
      </c>
      <c r="S15" s="11" t="n"/>
      <c r="T15" s="11">
        <f>IF(OR(Q15="",R15=""),"",IFERROR(INDEX(LAYOUT!$D$2:$D$80,MATCH(Q15&amp;"|"&amp;R15,LAYOUT!$E$2:$E$80,0)),""))</f>
        <v/>
      </c>
      <c r="U15" s="12">
        <f>IF(AND(Q15="",R15=""),IF(AND(L15="",M15="",V15="",W15=""),IF(OR($D15&lt;&gt;"",$E15&lt;&gt;""),"Belum ditempatkan",""),""),IF(Q15="","CEK JENIS FIXTURE kosong",IF(LEFT(Q15,4)&lt;&gt;"Wall","CEK Fixture 2 hanya Wall",IF(R15="","CEK SHELVING KE kosong",IF(ISNA(MATCH(Q15&amp;"|"&amp;R15,LAYOUT!$E$2:$E$80,0)),"CEK SHELVING KE di luar layout",IF($I15="","CEK SERIES kosong",IF(AND(S15&lt;&gt;"",NOT(ISNUMBER(S15))),"CEK URUTAN DISPLAY harus angka",IF($D15="","Zona STOCK",IF($E15="","CEK SKU DESCRIPTION kosong",IF(COUNTIFS($I$2:$I$500,$I15,Q$2:Q$500,"&lt;&gt;"&amp;Q15,Q$2:Q$500,"&lt;&gt;")&gt;0,"CEK jenis fixture beda dalam satu series","OK"))))))))))</f>
        <v/>
      </c>
      <c r="V15" s="11" t="inlineStr">
        <is>
          <t>Wall 3 Shelving + 2 Gantungan</t>
        </is>
      </c>
      <c r="W15" s="11" t="n">
        <v>2</v>
      </c>
      <c r="X15" s="11" t="n"/>
      <c r="Y15" s="11">
        <f>IF(OR(V15="",W15=""),"",IFERROR(INDEX(LAYOUT!$D$2:$D$80,MATCH(V15&amp;"|"&amp;W15,LAYOUT!$E$2:$E$80,0)),""))</f>
        <v/>
      </c>
      <c r="Z15" s="12">
        <f>IF(AND(V15="",W15=""),IF(AND(L15="",M15="",Q15="",R15=""),IF(OR($D15&lt;&gt;"",$E15&lt;&gt;""),"Belum ditempatkan",""),""),IF(V15="","CEK JENIS FIXTURE kosong",IF(LEFT(V15,4)&lt;&gt;"Wall","CEK Fixture 3 hanya Wall",IF(W15="","CEK SHELVING KE kosong",IF(ISNA(MATCH(V15&amp;"|"&amp;W15,LAYOUT!$E$2:$E$80,0)),"CEK SHELVING KE di luar layout",IF($I15="","CEK SERIES kosong",IF(AND(X15&lt;&gt;"",NOT(ISNUMBER(X15))),"CEK URUTAN DISPLAY harus angka",IF($D15="","Zona STOCK",IF($E15="","CEK SKU DESCRIPTION kosong",IF(COUNTIFS($I$2:$I$500,$I15,V$2:V$500,"&lt;&gt;"&amp;V15,V$2:V$500,"&lt;&gt;")&gt;0,"CEK jenis fixture beda dalam satu series","OK"))))))))))</f>
        <v/>
      </c>
      <c r="AA15" s="12" t="n"/>
      <c r="AB15" s="11" t="n"/>
      <c r="AC15" s="11" t="n"/>
      <c r="AD15" s="11" t="n"/>
      <c r="AE15" s="11" t="n"/>
      <c r="AF15" s="11" t="n"/>
      <c r="AG15" s="11" t="n"/>
      <c r="AH15" s="12" t="n"/>
      <c r="AI15" s="12" t="n"/>
    </row>
    <row r="16">
      <c r="A16" s="10" t="inlineStr">
        <is>
          <t>Homeware</t>
        </is>
      </c>
      <c r="B16" s="10" t="inlineStr">
        <is>
          <t>Tableware</t>
        </is>
      </c>
      <c r="C16" s="10" t="inlineStr">
        <is>
          <t>Serving Set</t>
        </is>
      </c>
      <c r="D16" s="10" t="inlineStr">
        <is>
          <t>10470030</t>
        </is>
      </c>
      <c r="E16" s="10" t="inlineStr">
        <is>
          <t>SERVING SET RND DETACHABLE MARBLE (2)</t>
        </is>
      </c>
      <c r="F16" s="10" t="n"/>
      <c r="G16" s="10" t="inlineStr">
        <is>
          <t>MAKAN</t>
        </is>
      </c>
      <c r="H16" s="10" t="inlineStr">
        <is>
          <t>A2. SERVINGWARE</t>
        </is>
      </c>
      <c r="I16" s="10" t="inlineStr">
        <is>
          <t>W/GOLD RACK GLASS</t>
        </is>
      </c>
      <c r="J16" s="10" t="n"/>
      <c r="K16" s="10" t="n"/>
      <c r="L16" s="11" t="inlineStr">
        <is>
          <t>Gondola 3 Shelving + 1 Gantungan</t>
        </is>
      </c>
      <c r="M16" s="11" t="n">
        <v>3</v>
      </c>
      <c r="N16" s="11" t="n"/>
      <c r="O16" s="11">
        <f>IF(OR(L16="",M16=""),"",IFERROR(INDEX(LAYOUT!$D$2:$D$80,MATCH(L16&amp;"|"&amp;M16,LAYOUT!$E$2:$E$80,0)),""))</f>
        <v/>
      </c>
      <c r="P16" s="12">
        <f>IF(AND(L16="",M16=""),IF(AND(Q16="",R16="",V16="",W16=""),IF(OR($D16&lt;&gt;"",$E16&lt;&gt;""),"Belum ditempatkan",""),""),IF(L16="","CEK JENIS FIXTURE kosong",IF(AND(LEFT(L16,7)&lt;&gt;"Gondola",LEFT(L16,6)&lt;&gt;"Endcap"),"CEK Fixture 1 hanya Gondola atau Endcap",IF(M16="","CEK SHELVING KE kosong",IF(ISNA(MATCH(L16&amp;"|"&amp;M16,LAYOUT!$E$2:$E$80,0)),"CEK SHELVING KE di luar layout",IF($I16="","CEK SERIES kosong",IF(AND(N16&lt;&gt;"",NOT(ISNUMBER(N16))),"CEK URUTAN DISPLAY harus angka",IF($D16="","Zona STOCK",IF($E16="","CEK SKU DESCRIPTION kosong",IF(COUNTIFS($I$2:$I$500,$I16,L$2:L$500,"&lt;&gt;"&amp;L16,L$2:L$500,"&lt;&gt;")&gt;0,"CEK jenis fixture beda dalam satu series","OK"))))))))))</f>
        <v/>
      </c>
      <c r="Q16" s="11" t="inlineStr">
        <is>
          <t>Wall 5 Shelving</t>
        </is>
      </c>
      <c r="R16" s="11" t="n">
        <v>4</v>
      </c>
      <c r="S16" s="11" t="n"/>
      <c r="T16" s="11">
        <f>IF(OR(Q16="",R16=""),"",IFERROR(INDEX(LAYOUT!$D$2:$D$80,MATCH(Q16&amp;"|"&amp;R16,LAYOUT!$E$2:$E$80,0)),""))</f>
        <v/>
      </c>
      <c r="U16" s="12">
        <f>IF(AND(Q16="",R16=""),IF(AND(L16="",M16="",V16="",W16=""),IF(OR($D16&lt;&gt;"",$E16&lt;&gt;""),"Belum ditempatkan",""),""),IF(Q16="","CEK JENIS FIXTURE kosong",IF(LEFT(Q16,4)&lt;&gt;"Wall","CEK Fixture 2 hanya Wall",IF(R16="","CEK SHELVING KE kosong",IF(ISNA(MATCH(Q16&amp;"|"&amp;R16,LAYOUT!$E$2:$E$80,0)),"CEK SHELVING KE di luar layout",IF($I16="","CEK SERIES kosong",IF(AND(S16&lt;&gt;"",NOT(ISNUMBER(S16))),"CEK URUTAN DISPLAY harus angka",IF($D16="","Zona STOCK",IF($E16="","CEK SKU DESCRIPTION kosong",IF(COUNTIFS($I$2:$I$500,$I16,Q$2:Q$500,"&lt;&gt;"&amp;Q16,Q$2:Q$500,"&lt;&gt;")&gt;0,"CEK jenis fixture beda dalam satu series","OK"))))))))))</f>
        <v/>
      </c>
      <c r="V16" s="11" t="inlineStr">
        <is>
          <t>Wall 3 Shelving + 2 Gantungan</t>
        </is>
      </c>
      <c r="W16" s="11" t="n">
        <v>2</v>
      </c>
      <c r="X16" s="11" t="n"/>
      <c r="Y16" s="11">
        <f>IF(OR(V16="",W16=""),"",IFERROR(INDEX(LAYOUT!$D$2:$D$80,MATCH(V16&amp;"|"&amp;W16,LAYOUT!$E$2:$E$80,0)),""))</f>
        <v/>
      </c>
      <c r="Z16" s="12">
        <f>IF(AND(V16="",W16=""),IF(AND(L16="",M16="",Q16="",R16=""),IF(OR($D16&lt;&gt;"",$E16&lt;&gt;""),"Belum ditempatkan",""),""),IF(V16="","CEK JENIS FIXTURE kosong",IF(LEFT(V16,4)&lt;&gt;"Wall","CEK Fixture 3 hanya Wall",IF(W16="","CEK SHELVING KE kosong",IF(ISNA(MATCH(V16&amp;"|"&amp;W16,LAYOUT!$E$2:$E$80,0)),"CEK SHELVING KE di luar layout",IF($I16="","CEK SERIES kosong",IF(AND(X16&lt;&gt;"",NOT(ISNUMBER(X16))),"CEK URUTAN DISPLAY harus angka",IF($D16="","Zona STOCK",IF($E16="","CEK SKU DESCRIPTION kosong",IF(COUNTIFS($I$2:$I$500,$I16,V$2:V$500,"&lt;&gt;"&amp;V16,V$2:V$500,"&lt;&gt;")&gt;0,"CEK jenis fixture beda dalam satu series","OK"))))))))))</f>
        <v/>
      </c>
      <c r="AA16" s="12" t="n"/>
      <c r="AB16" s="11" t="n"/>
      <c r="AC16" s="11" t="n"/>
      <c r="AD16" s="11" t="n"/>
      <c r="AE16" s="11" t="n"/>
      <c r="AF16" s="11" t="n"/>
      <c r="AG16" s="11" t="n"/>
      <c r="AH16" s="12" t="n"/>
      <c r="AI16" s="12" t="n"/>
    </row>
    <row r="17">
      <c r="A17" s="10" t="inlineStr">
        <is>
          <t>Homeware</t>
        </is>
      </c>
      <c r="B17" s="10" t="inlineStr">
        <is>
          <t>Tableware</t>
        </is>
      </c>
      <c r="C17" s="10" t="inlineStr">
        <is>
          <t>Serving Set</t>
        </is>
      </c>
      <c r="D17" s="10" t="inlineStr">
        <is>
          <t>10470029</t>
        </is>
      </c>
      <c r="E17" s="10" t="inlineStr">
        <is>
          <t>SERVING SET W/RACK OCTAGON MARBLE (4)</t>
        </is>
      </c>
      <c r="F17" s="10" t="n"/>
      <c r="G17" s="10" t="inlineStr">
        <is>
          <t>MAKAN</t>
        </is>
      </c>
      <c r="H17" s="10" t="inlineStr">
        <is>
          <t>A2. SERVINGWARE</t>
        </is>
      </c>
      <c r="I17" s="10" t="inlineStr">
        <is>
          <t>SERVING GLASS BASIC</t>
        </is>
      </c>
      <c r="J17" s="10" t="n"/>
      <c r="K17" s="10" t="n"/>
      <c r="L17" s="11" t="inlineStr">
        <is>
          <t>Endcap 4 Shelving</t>
        </is>
      </c>
      <c r="M17" s="11" t="n">
        <v>1</v>
      </c>
      <c r="N17" s="11" t="n"/>
      <c r="O17" s="11">
        <f>IF(OR(L17="",M17=""),"",IFERROR(INDEX(LAYOUT!$D$2:$D$80,MATCH(L17&amp;"|"&amp;M17,LAYOUT!$E$2:$E$80,0)),""))</f>
        <v/>
      </c>
      <c r="P17" s="12">
        <f>IF(AND(L17="",M17=""),IF(AND(Q17="",R17="",V17="",W17=""),IF(OR($D17&lt;&gt;"",$E17&lt;&gt;""),"Belum ditempatkan",""),""),IF(L17="","CEK JENIS FIXTURE kosong",IF(AND(LEFT(L17,7)&lt;&gt;"Gondola",LEFT(L17,6)&lt;&gt;"Endcap"),"CEK Fixture 1 hanya Gondola atau Endcap",IF(M17="","CEK SHELVING KE kosong",IF(ISNA(MATCH(L17&amp;"|"&amp;M17,LAYOUT!$E$2:$E$80,0)),"CEK SHELVING KE di luar layout",IF($I17="","CEK SERIES kosong",IF(AND(N17&lt;&gt;"",NOT(ISNUMBER(N17))),"CEK URUTAN DISPLAY harus angka",IF($D17="","Zona STOCK",IF($E17="","CEK SKU DESCRIPTION kosong",IF(COUNTIFS($I$2:$I$500,$I17,L$2:L$500,"&lt;&gt;"&amp;L17,L$2:L$500,"&lt;&gt;")&gt;0,"CEK jenis fixture beda dalam satu series","OK"))))))))))</f>
        <v/>
      </c>
      <c r="Q17" s="11" t="inlineStr">
        <is>
          <t>Wall 6 Shelving</t>
        </is>
      </c>
      <c r="R17" s="11" t="n">
        <v>2</v>
      </c>
      <c r="S17" s="11" t="n"/>
      <c r="T17" s="11">
        <f>IF(OR(Q17="",R17=""),"",IFERROR(INDEX(LAYOUT!$D$2:$D$80,MATCH(Q17&amp;"|"&amp;R17,LAYOUT!$E$2:$E$80,0)),""))</f>
        <v/>
      </c>
      <c r="U17" s="12">
        <f>IF(AND(Q17="",R17=""),IF(AND(L17="",M17="",V17="",W17=""),IF(OR($D17&lt;&gt;"",$E17&lt;&gt;""),"Belum ditempatkan",""),""),IF(Q17="","CEK JENIS FIXTURE kosong",IF(LEFT(Q17,4)&lt;&gt;"Wall","CEK Fixture 2 hanya Wall",IF(R17="","CEK SHELVING KE kosong",IF(ISNA(MATCH(Q17&amp;"|"&amp;R17,LAYOUT!$E$2:$E$80,0)),"CEK SHELVING KE di luar layout",IF($I17="","CEK SERIES kosong",IF(AND(S17&lt;&gt;"",NOT(ISNUMBER(S17))),"CEK URUTAN DISPLAY harus angka",IF($D17="","Zona STOCK",IF($E17="","CEK SKU DESCRIPTION kosong",IF(COUNTIFS($I$2:$I$500,$I17,Q$2:Q$500,"&lt;&gt;"&amp;Q17,Q$2:Q$500,"&lt;&gt;")&gt;0,"CEK jenis fixture beda dalam satu series","OK"))))))))))</f>
        <v/>
      </c>
      <c r="V17" s="11" t="n"/>
      <c r="W17" s="11" t="n"/>
      <c r="X17" s="11" t="n"/>
      <c r="Y17" s="11">
        <f>IF(OR(V17="",W17=""),"",IFERROR(INDEX(LAYOUT!$D$2:$D$80,MATCH(V17&amp;"|"&amp;W17,LAYOUT!$E$2:$E$80,0)),""))</f>
        <v/>
      </c>
      <c r="Z17" s="12">
        <f>IF(AND(V17="",W17=""),IF(AND(L17="",M17="",Q17="",R17=""),IF(OR($D17&lt;&gt;"",$E17&lt;&gt;""),"Belum ditempatkan",""),""),IF(V17="","CEK JENIS FIXTURE kosong",IF(LEFT(V17,4)&lt;&gt;"Wall","CEK Fixture 3 hanya Wall",IF(W17="","CEK SHELVING KE kosong",IF(ISNA(MATCH(V17&amp;"|"&amp;W17,LAYOUT!$E$2:$E$80,0)),"CEK SHELVING KE di luar layout",IF($I17="","CEK SERIES kosong",IF(AND(X17&lt;&gt;"",NOT(ISNUMBER(X17))),"CEK URUTAN DISPLAY harus angka",IF($D17="","Zona STOCK",IF($E17="","CEK SKU DESCRIPTION kosong",IF(COUNTIFS($I$2:$I$500,$I17,V$2:V$500,"&lt;&gt;"&amp;V17,V$2:V$500,"&lt;&gt;")&gt;0,"CEK jenis fixture beda dalam satu series","OK"))))))))))</f>
        <v/>
      </c>
      <c r="AA17" s="12" t="n"/>
      <c r="AB17" s="11" t="n"/>
      <c r="AC17" s="11" t="n"/>
      <c r="AD17" s="11" t="n"/>
      <c r="AE17" s="11" t="n"/>
      <c r="AF17" s="11" t="n"/>
      <c r="AG17" s="11" t="n"/>
      <c r="AH17" s="12" t="n"/>
      <c r="AI17" s="12" t="n"/>
    </row>
    <row r="18">
      <c r="A18" s="10" t="inlineStr">
        <is>
          <t>Homeware</t>
        </is>
      </c>
      <c r="B18" s="10" t="inlineStr">
        <is>
          <t>Tableware</t>
        </is>
      </c>
      <c r="C18" s="10" t="inlineStr">
        <is>
          <t>Serving Set</t>
        </is>
      </c>
      <c r="D18" s="10" t="inlineStr">
        <is>
          <t>10470031</t>
        </is>
      </c>
      <c r="E18" s="10" t="inlineStr">
        <is>
          <t>SERVING SET W/RACK SQR MARBLE BLACK (3)</t>
        </is>
      </c>
      <c r="F18" s="10" t="n"/>
      <c r="G18" s="10" t="inlineStr">
        <is>
          <t>MAKAN</t>
        </is>
      </c>
      <c r="H18" s="10" t="inlineStr">
        <is>
          <t>A2. SERVINGWARE</t>
        </is>
      </c>
      <c r="I18" s="10" t="inlineStr">
        <is>
          <t>SERVING GLASS BASIC</t>
        </is>
      </c>
      <c r="J18" s="10" t="n"/>
      <c r="K18" s="10" t="n"/>
      <c r="L18" s="11" t="inlineStr">
        <is>
          <t>Endcap 4 Shelving</t>
        </is>
      </c>
      <c r="M18" s="11" t="n">
        <v>1</v>
      </c>
      <c r="N18" s="11" t="n"/>
      <c r="O18" s="11">
        <f>IF(OR(L18="",M18=""),"",IFERROR(INDEX(LAYOUT!$D$2:$D$80,MATCH(L18&amp;"|"&amp;M18,LAYOUT!$E$2:$E$80,0)),""))</f>
        <v/>
      </c>
      <c r="P18" s="12">
        <f>IF(AND(L18="",M18=""),IF(AND(Q18="",R18="",V18="",W18=""),IF(OR($D18&lt;&gt;"",$E18&lt;&gt;""),"Belum ditempatkan",""),""),IF(L18="","CEK JENIS FIXTURE kosong",IF(AND(LEFT(L18,7)&lt;&gt;"Gondola",LEFT(L18,6)&lt;&gt;"Endcap"),"CEK Fixture 1 hanya Gondola atau Endcap",IF(M18="","CEK SHELVING KE kosong",IF(ISNA(MATCH(L18&amp;"|"&amp;M18,LAYOUT!$E$2:$E$80,0)),"CEK SHELVING KE di luar layout",IF($I18="","CEK SERIES kosong",IF(AND(N18&lt;&gt;"",NOT(ISNUMBER(N18))),"CEK URUTAN DISPLAY harus angka",IF($D18="","Zona STOCK",IF($E18="","CEK SKU DESCRIPTION kosong",IF(COUNTIFS($I$2:$I$500,$I18,L$2:L$500,"&lt;&gt;"&amp;L18,L$2:L$500,"&lt;&gt;")&gt;0,"CEK jenis fixture beda dalam satu series","OK"))))))))))</f>
        <v/>
      </c>
      <c r="Q18" s="11" t="inlineStr">
        <is>
          <t>Wall 6 Shelving</t>
        </is>
      </c>
      <c r="R18" s="11" t="n">
        <v>2</v>
      </c>
      <c r="S18" s="11" t="n"/>
      <c r="T18" s="11">
        <f>IF(OR(Q18="",R18=""),"",IFERROR(INDEX(LAYOUT!$D$2:$D$80,MATCH(Q18&amp;"|"&amp;R18,LAYOUT!$E$2:$E$80,0)),""))</f>
        <v/>
      </c>
      <c r="U18" s="12">
        <f>IF(AND(Q18="",R18=""),IF(AND(L18="",M18="",V18="",W18=""),IF(OR($D18&lt;&gt;"",$E18&lt;&gt;""),"Belum ditempatkan",""),""),IF(Q18="","CEK JENIS FIXTURE kosong",IF(LEFT(Q18,4)&lt;&gt;"Wall","CEK Fixture 2 hanya Wall",IF(R18="","CEK SHELVING KE kosong",IF(ISNA(MATCH(Q18&amp;"|"&amp;R18,LAYOUT!$E$2:$E$80,0)),"CEK SHELVING KE di luar layout",IF($I18="","CEK SERIES kosong",IF(AND(S18&lt;&gt;"",NOT(ISNUMBER(S18))),"CEK URUTAN DISPLAY harus angka",IF($D18="","Zona STOCK",IF($E18="","CEK SKU DESCRIPTION kosong",IF(COUNTIFS($I$2:$I$500,$I18,Q$2:Q$500,"&lt;&gt;"&amp;Q18,Q$2:Q$500,"&lt;&gt;")&gt;0,"CEK jenis fixture beda dalam satu series","OK"))))))))))</f>
        <v/>
      </c>
      <c r="V18" s="11" t="n"/>
      <c r="W18" s="11" t="n"/>
      <c r="X18" s="11" t="n"/>
      <c r="Y18" s="11">
        <f>IF(OR(V18="",W18=""),"",IFERROR(INDEX(LAYOUT!$D$2:$D$80,MATCH(V18&amp;"|"&amp;W18,LAYOUT!$E$2:$E$80,0)),""))</f>
        <v/>
      </c>
      <c r="Z18" s="12">
        <f>IF(AND(V18="",W18=""),IF(AND(L18="",M18="",Q18="",R18=""),IF(OR($D18&lt;&gt;"",$E18&lt;&gt;""),"Belum ditempatkan",""),""),IF(V18="","CEK JENIS FIXTURE kosong",IF(LEFT(V18,4)&lt;&gt;"Wall","CEK Fixture 3 hanya Wall",IF(W18="","CEK SHELVING KE kosong",IF(ISNA(MATCH(V18&amp;"|"&amp;W18,LAYOUT!$E$2:$E$80,0)),"CEK SHELVING KE di luar layout",IF($I18="","CEK SERIES kosong",IF(AND(X18&lt;&gt;"",NOT(ISNUMBER(X18))),"CEK URUTAN DISPLAY harus angka",IF($D18="","Zona STOCK",IF($E18="","CEK SKU DESCRIPTION kosong",IF(COUNTIFS($I$2:$I$500,$I18,V$2:V$500,"&lt;&gt;"&amp;V18,V$2:V$500,"&lt;&gt;")&gt;0,"CEK jenis fixture beda dalam satu series","OK"))))))))))</f>
        <v/>
      </c>
      <c r="AA18" s="12" t="n"/>
      <c r="AB18" s="11" t="n"/>
      <c r="AC18" s="11" t="n"/>
      <c r="AD18" s="11" t="n"/>
      <c r="AE18" s="11" t="n"/>
      <c r="AF18" s="11" t="n"/>
      <c r="AG18" s="11" t="n"/>
      <c r="AH18" s="12" t="n"/>
      <c r="AI18" s="12" t="n"/>
    </row>
    <row r="19">
      <c r="A19" s="10" t="inlineStr">
        <is>
          <t>Homeware</t>
        </is>
      </c>
      <c r="B19" s="10" t="inlineStr">
        <is>
          <t>Tableware</t>
        </is>
      </c>
      <c r="C19" s="10" t="inlineStr">
        <is>
          <t>Serving Set</t>
        </is>
      </c>
      <c r="D19" s="10" t="inlineStr">
        <is>
          <t>10470031</t>
        </is>
      </c>
      <c r="E19" s="10" t="inlineStr">
        <is>
          <t>SERVING SET W/RACK SQR MARBLE BLACK (3)</t>
        </is>
      </c>
      <c r="F19" s="10" t="n"/>
      <c r="G19" s="10" t="inlineStr">
        <is>
          <t>MAKAN</t>
        </is>
      </c>
      <c r="H19" s="10" t="inlineStr">
        <is>
          <t>A2. SERVINGWARE</t>
        </is>
      </c>
      <c r="I19" s="10" t="inlineStr">
        <is>
          <t>SERVING GLASS BASIC</t>
        </is>
      </c>
      <c r="J19" s="10" t="n"/>
      <c r="K19" s="10" t="n"/>
      <c r="L19" s="11" t="n"/>
      <c r="M19" s="11" t="n"/>
      <c r="N19" s="11" t="n"/>
      <c r="O19" s="11">
        <f>IF(OR(L19="",M19=""),"",IFERROR(INDEX(LAYOUT!$D$2:$D$80,MATCH(L19&amp;"|"&amp;M19,LAYOUT!$E$2:$E$80,0)),""))</f>
        <v/>
      </c>
      <c r="P19" s="12">
        <f>IF(AND(L19="",M19=""),IF(AND(Q19="",R19="",V19="",W19=""),IF(OR($D19&lt;&gt;"",$E19&lt;&gt;""),"Belum ditempatkan",""),""),IF(L19="","CEK JENIS FIXTURE kosong",IF(AND(LEFT(L19,7)&lt;&gt;"Gondola",LEFT(L19,6)&lt;&gt;"Endcap"),"CEK Fixture 1 hanya Gondola atau Endcap",IF(M19="","CEK SHELVING KE kosong",IF(ISNA(MATCH(L19&amp;"|"&amp;M19,LAYOUT!$E$2:$E$80,0)),"CEK SHELVING KE di luar layout",IF($I19="","CEK SERIES kosong",IF(AND(N19&lt;&gt;"",NOT(ISNUMBER(N19))),"CEK URUTAN DISPLAY harus angka",IF($D19="","Zona STOCK",IF($E19="","CEK SKU DESCRIPTION kosong",IF(COUNTIFS($I$2:$I$500,$I19,L$2:L$500,"&lt;&gt;"&amp;L19,L$2:L$500,"&lt;&gt;")&gt;0,"CEK jenis fixture beda dalam satu series","OK"))))))))))</f>
        <v/>
      </c>
      <c r="Q19" s="11" t="inlineStr">
        <is>
          <t>Wall 6 Shelving</t>
        </is>
      </c>
      <c r="R19" s="11" t="n">
        <v>4</v>
      </c>
      <c r="S19" s="11" t="n">
        <v>2</v>
      </c>
      <c r="T19" s="11">
        <f>IF(OR(Q19="",R19=""),"",IFERROR(INDEX(LAYOUT!$D$2:$D$80,MATCH(Q19&amp;"|"&amp;R19,LAYOUT!$E$2:$E$80,0)),""))</f>
        <v/>
      </c>
      <c r="U19" s="12">
        <f>IF(AND(Q19="",R19=""),IF(AND(L19="",M19="",V19="",W19=""),IF(OR($D19&lt;&gt;"",$E19&lt;&gt;""),"Belum ditempatkan",""),""),IF(Q19="","CEK JENIS FIXTURE kosong",IF(LEFT(Q19,4)&lt;&gt;"Wall","CEK Fixture 2 hanya Wall",IF(R19="","CEK SHELVING KE kosong",IF(ISNA(MATCH(Q19&amp;"|"&amp;R19,LAYOUT!$E$2:$E$80,0)),"CEK SHELVING KE di luar layout",IF($I19="","CEK SERIES kosong",IF(AND(S19&lt;&gt;"",NOT(ISNUMBER(S19))),"CEK URUTAN DISPLAY harus angka",IF($D19="","Zona STOCK",IF($E19="","CEK SKU DESCRIPTION kosong",IF(COUNTIFS($I$2:$I$500,$I19,Q$2:Q$500,"&lt;&gt;"&amp;Q19,Q$2:Q$500,"&lt;&gt;")&gt;0,"CEK jenis fixture beda dalam satu series","OK"))))))))))</f>
        <v/>
      </c>
      <c r="V19" s="11" t="n"/>
      <c r="W19" s="11" t="n"/>
      <c r="X19" s="11" t="n"/>
      <c r="Y19" s="11">
        <f>IF(OR(V19="",W19=""),"",IFERROR(INDEX(LAYOUT!$D$2:$D$80,MATCH(V19&amp;"|"&amp;W19,LAYOUT!$E$2:$E$80,0)),""))</f>
        <v/>
      </c>
      <c r="Z19" s="12">
        <f>IF(AND(V19="",W19=""),IF(AND(L19="",M19="",Q19="",R19=""),IF(OR($D19&lt;&gt;"",$E19&lt;&gt;""),"Belum ditempatkan",""),""),IF(V19="","CEK JENIS FIXTURE kosong",IF(LEFT(V19,4)&lt;&gt;"Wall","CEK Fixture 3 hanya Wall",IF(W19="","CEK SHELVING KE kosong",IF(ISNA(MATCH(V19&amp;"|"&amp;W19,LAYOUT!$E$2:$E$80,0)),"CEK SHELVING KE di luar layout",IF($I19="","CEK SERIES kosong",IF(AND(X19&lt;&gt;"",NOT(ISNUMBER(X19))),"CEK URUTAN DISPLAY harus angka",IF($D19="","Zona STOCK",IF($E19="","CEK SKU DESCRIPTION kosong",IF(COUNTIFS($I$2:$I$500,$I19,V$2:V$500,"&lt;&gt;"&amp;V19,V$2:V$500,"&lt;&gt;")&gt;0,"CEK jenis fixture beda dalam satu series","OK"))))))))))</f>
        <v/>
      </c>
      <c r="AA19" s="12" t="n"/>
      <c r="AB19" s="11" t="n"/>
      <c r="AC19" s="11" t="n"/>
      <c r="AD19" s="11" t="n"/>
      <c r="AE19" s="11" t="n"/>
      <c r="AF19" s="11" t="n"/>
      <c r="AG19" s="11" t="n"/>
      <c r="AH19" s="12" t="n"/>
      <c r="AI19" s="12" t="n"/>
    </row>
    <row r="20">
      <c r="A20" s="10" t="inlineStr">
        <is>
          <t>Homeware</t>
        </is>
      </c>
      <c r="B20" s="10" t="inlineStr">
        <is>
          <t>Tableware</t>
        </is>
      </c>
      <c r="C20" s="10" t="inlineStr">
        <is>
          <t>Serving Set</t>
        </is>
      </c>
      <c r="D20" s="10" t="inlineStr">
        <is>
          <t>10681571</t>
        </is>
      </c>
      <c r="E20" s="10" t="inlineStr">
        <is>
          <t>SERVING GLASS SQR PLATER ZEVY GOLD</t>
        </is>
      </c>
      <c r="F20" s="10" t="n"/>
      <c r="G20" s="10" t="inlineStr">
        <is>
          <t>MAKAN</t>
        </is>
      </c>
      <c r="H20" s="10" t="inlineStr">
        <is>
          <t>A2. SERVINGWARE</t>
        </is>
      </c>
      <c r="I20" s="10" t="inlineStr">
        <is>
          <t>SERVING GLASS BASIC</t>
        </is>
      </c>
      <c r="J20" s="10" t="n"/>
      <c r="K20" s="10" t="n"/>
      <c r="L20" s="11" t="inlineStr">
        <is>
          <t>Endcap 4 Shelving</t>
        </is>
      </c>
      <c r="M20" s="11" t="n">
        <v>2</v>
      </c>
      <c r="N20" s="11" t="n"/>
      <c r="O20" s="11">
        <f>IF(OR(L20="",M20=""),"",IFERROR(INDEX(LAYOUT!$D$2:$D$80,MATCH(L20&amp;"|"&amp;M20,LAYOUT!$E$2:$E$80,0)),""))</f>
        <v/>
      </c>
      <c r="P20" s="12">
        <f>IF(AND(L20="",M20=""),IF(AND(Q20="",R20="",V20="",W20=""),IF(OR($D20&lt;&gt;"",$E20&lt;&gt;""),"Belum ditempatkan",""),""),IF(L20="","CEK JENIS FIXTURE kosong",IF(AND(LEFT(L20,7)&lt;&gt;"Gondola",LEFT(L20,6)&lt;&gt;"Endcap"),"CEK Fixture 1 hanya Gondola atau Endcap",IF(M20="","CEK SHELVING KE kosong",IF(ISNA(MATCH(L20&amp;"|"&amp;M20,LAYOUT!$E$2:$E$80,0)),"CEK SHELVING KE di luar layout",IF($I20="","CEK SERIES kosong",IF(AND(N20&lt;&gt;"",NOT(ISNUMBER(N20))),"CEK URUTAN DISPLAY harus angka",IF($D20="","Zona STOCK",IF($E20="","CEK SKU DESCRIPTION kosong",IF(COUNTIFS($I$2:$I$500,$I20,L$2:L$500,"&lt;&gt;"&amp;L20,L$2:L$500,"&lt;&gt;")&gt;0,"CEK jenis fixture beda dalam satu series","OK"))))))))))</f>
        <v/>
      </c>
      <c r="Q20" s="11" t="inlineStr">
        <is>
          <t>Wall 6 Shelving</t>
        </is>
      </c>
      <c r="R20" s="11" t="n">
        <v>3</v>
      </c>
      <c r="S20" s="11" t="n"/>
      <c r="T20" s="11">
        <f>IF(OR(Q20="",R20=""),"",IFERROR(INDEX(LAYOUT!$D$2:$D$80,MATCH(Q20&amp;"|"&amp;R20,LAYOUT!$E$2:$E$80,0)),""))</f>
        <v/>
      </c>
      <c r="U20" s="12">
        <f>IF(AND(Q20="",R20=""),IF(AND(L20="",M20="",V20="",W20=""),IF(OR($D20&lt;&gt;"",$E20&lt;&gt;""),"Belum ditempatkan",""),""),IF(Q20="","CEK JENIS FIXTURE kosong",IF(LEFT(Q20,4)&lt;&gt;"Wall","CEK Fixture 2 hanya Wall",IF(R20="","CEK SHELVING KE kosong",IF(ISNA(MATCH(Q20&amp;"|"&amp;R20,LAYOUT!$E$2:$E$80,0)),"CEK SHELVING KE di luar layout",IF($I20="","CEK SERIES kosong",IF(AND(S20&lt;&gt;"",NOT(ISNUMBER(S20))),"CEK URUTAN DISPLAY harus angka",IF($D20="","Zona STOCK",IF($E20="","CEK SKU DESCRIPTION kosong",IF(COUNTIFS($I$2:$I$500,$I20,Q$2:Q$500,"&lt;&gt;"&amp;Q20,Q$2:Q$500,"&lt;&gt;")&gt;0,"CEK jenis fixture beda dalam satu series","OK"))))))))))</f>
        <v/>
      </c>
      <c r="V20" s="11" t="n"/>
      <c r="W20" s="11" t="n"/>
      <c r="X20" s="11" t="n"/>
      <c r="Y20" s="11">
        <f>IF(OR(V20="",W20=""),"",IFERROR(INDEX(LAYOUT!$D$2:$D$80,MATCH(V20&amp;"|"&amp;W20,LAYOUT!$E$2:$E$80,0)),""))</f>
        <v/>
      </c>
      <c r="Z20" s="12">
        <f>IF(AND(V20="",W20=""),IF(AND(L20="",M20="",Q20="",R20=""),IF(OR($D20&lt;&gt;"",$E20&lt;&gt;""),"Belum ditempatkan",""),""),IF(V20="","CEK JENIS FIXTURE kosong",IF(LEFT(V20,4)&lt;&gt;"Wall","CEK Fixture 3 hanya Wall",IF(W20="","CEK SHELVING KE kosong",IF(ISNA(MATCH(V20&amp;"|"&amp;W20,LAYOUT!$E$2:$E$80,0)),"CEK SHELVING KE di luar layout",IF($I20="","CEK SERIES kosong",IF(AND(X20&lt;&gt;"",NOT(ISNUMBER(X20))),"CEK URUTAN DISPLAY harus angka",IF($D20="","Zona STOCK",IF($E20="","CEK SKU DESCRIPTION kosong",IF(COUNTIFS($I$2:$I$500,$I20,V$2:V$500,"&lt;&gt;"&amp;V20,V$2:V$500,"&lt;&gt;")&gt;0,"CEK jenis fixture beda dalam satu series","OK"))))))))))</f>
        <v/>
      </c>
      <c r="AA20" s="12" t="n"/>
      <c r="AB20" s="11" t="n"/>
      <c r="AC20" s="11" t="n"/>
      <c r="AD20" s="11" t="n"/>
      <c r="AE20" s="11" t="n"/>
      <c r="AF20" s="11" t="n"/>
      <c r="AG20" s="11" t="n"/>
      <c r="AH20" s="12" t="n"/>
      <c r="AI20" s="12" t="n"/>
    </row>
    <row r="21">
      <c r="A21" s="10" t="inlineStr">
        <is>
          <t>Homeware</t>
        </is>
      </c>
      <c r="B21" s="10" t="inlineStr">
        <is>
          <t>Tableware</t>
        </is>
      </c>
      <c r="C21" s="10" t="inlineStr">
        <is>
          <t>Serving Set</t>
        </is>
      </c>
      <c r="D21" s="10" t="inlineStr">
        <is>
          <t>10681573</t>
        </is>
      </c>
      <c r="E21" s="10" t="inlineStr">
        <is>
          <t>SERVING GLASS SQR TWO RACK ZENA GOLD</t>
        </is>
      </c>
      <c r="F21" s="10" t="n"/>
      <c r="G21" s="10" t="inlineStr">
        <is>
          <t>MAKAN</t>
        </is>
      </c>
      <c r="H21" s="10" t="inlineStr">
        <is>
          <t>A2. SERVINGWARE</t>
        </is>
      </c>
      <c r="I21" s="10" t="inlineStr">
        <is>
          <t>SERVING GLASS BASIC</t>
        </is>
      </c>
      <c r="J21" s="10" t="n"/>
      <c r="K21" s="10" t="n"/>
      <c r="L21" s="11" t="inlineStr">
        <is>
          <t>Endcap 4 Shelving</t>
        </is>
      </c>
      <c r="M21" s="11" t="n">
        <v>2</v>
      </c>
      <c r="N21" s="11" t="n"/>
      <c r="O21" s="11">
        <f>IF(OR(L21="",M21=""),"",IFERROR(INDEX(LAYOUT!$D$2:$D$80,MATCH(L21&amp;"|"&amp;M21,LAYOUT!$E$2:$E$80,0)),""))</f>
        <v/>
      </c>
      <c r="P21" s="12">
        <f>IF(AND(L21="",M21=""),IF(AND(Q21="",R21="",V21="",W21=""),IF(OR($D21&lt;&gt;"",$E21&lt;&gt;""),"Belum ditempatkan",""),""),IF(L21="","CEK JENIS FIXTURE kosong",IF(AND(LEFT(L21,7)&lt;&gt;"Gondola",LEFT(L21,6)&lt;&gt;"Endcap"),"CEK Fixture 1 hanya Gondola atau Endcap",IF(M21="","CEK SHELVING KE kosong",IF(ISNA(MATCH(L21&amp;"|"&amp;M21,LAYOUT!$E$2:$E$80,0)),"CEK SHELVING KE di luar layout",IF($I21="","CEK SERIES kosong",IF(AND(N21&lt;&gt;"",NOT(ISNUMBER(N21))),"CEK URUTAN DISPLAY harus angka",IF($D21="","Zona STOCK",IF($E21="","CEK SKU DESCRIPTION kosong",IF(COUNTIFS($I$2:$I$500,$I21,L$2:L$500,"&lt;&gt;"&amp;L21,L$2:L$500,"&lt;&gt;")&gt;0,"CEK jenis fixture beda dalam satu series","OK"))))))))))</f>
        <v/>
      </c>
      <c r="Q21" s="11" t="inlineStr">
        <is>
          <t>Wall 6 Shelving</t>
        </is>
      </c>
      <c r="R21" s="11" t="n">
        <v>3</v>
      </c>
      <c r="S21" s="11" t="n"/>
      <c r="T21" s="11">
        <f>IF(OR(Q21="",R21=""),"",IFERROR(INDEX(LAYOUT!$D$2:$D$80,MATCH(Q21&amp;"|"&amp;R21,LAYOUT!$E$2:$E$80,0)),""))</f>
        <v/>
      </c>
      <c r="U21" s="12">
        <f>IF(AND(Q21="",R21=""),IF(AND(L21="",M21="",V21="",W21=""),IF(OR($D21&lt;&gt;"",$E21&lt;&gt;""),"Belum ditempatkan",""),""),IF(Q21="","CEK JENIS FIXTURE kosong",IF(LEFT(Q21,4)&lt;&gt;"Wall","CEK Fixture 2 hanya Wall",IF(R21="","CEK SHELVING KE kosong",IF(ISNA(MATCH(Q21&amp;"|"&amp;R21,LAYOUT!$E$2:$E$80,0)),"CEK SHELVING KE di luar layout",IF($I21="","CEK SERIES kosong",IF(AND(S21&lt;&gt;"",NOT(ISNUMBER(S21))),"CEK URUTAN DISPLAY harus angka",IF($D21="","Zona STOCK",IF($E21="","CEK SKU DESCRIPTION kosong",IF(COUNTIFS($I$2:$I$500,$I21,Q$2:Q$500,"&lt;&gt;"&amp;Q21,Q$2:Q$500,"&lt;&gt;")&gt;0,"CEK jenis fixture beda dalam satu series","OK"))))))))))</f>
        <v/>
      </c>
      <c r="V21" s="11" t="n"/>
      <c r="W21" s="11" t="n"/>
      <c r="X21" s="11" t="n"/>
      <c r="Y21" s="11">
        <f>IF(OR(V21="",W21=""),"",IFERROR(INDEX(LAYOUT!$D$2:$D$80,MATCH(V21&amp;"|"&amp;W21,LAYOUT!$E$2:$E$80,0)),""))</f>
        <v/>
      </c>
      <c r="Z21" s="12">
        <f>IF(AND(V21="",W21=""),IF(AND(L21="",M21="",Q21="",R21=""),IF(OR($D21&lt;&gt;"",$E21&lt;&gt;""),"Belum ditempatkan",""),""),IF(V21="","CEK JENIS FIXTURE kosong",IF(LEFT(V21,4)&lt;&gt;"Wall","CEK Fixture 3 hanya Wall",IF(W21="","CEK SHELVING KE kosong",IF(ISNA(MATCH(V21&amp;"|"&amp;W21,LAYOUT!$E$2:$E$80,0)),"CEK SHELVING KE di luar layout",IF($I21="","CEK SERIES kosong",IF(AND(X21&lt;&gt;"",NOT(ISNUMBER(X21))),"CEK URUTAN DISPLAY harus angka",IF($D21="","Zona STOCK",IF($E21="","CEK SKU DESCRIPTION kosong",IF(COUNTIFS($I$2:$I$500,$I21,V$2:V$500,"&lt;&gt;"&amp;V21,V$2:V$500,"&lt;&gt;")&gt;0,"CEK jenis fixture beda dalam satu series","OK"))))))))))</f>
        <v/>
      </c>
      <c r="AA21" s="12" t="n"/>
      <c r="AB21" s="11" t="n"/>
      <c r="AC21" s="11" t="n"/>
      <c r="AD21" s="11" t="n"/>
      <c r="AE21" s="11" t="n"/>
      <c r="AF21" s="11" t="n"/>
      <c r="AG21" s="11" t="n"/>
      <c r="AH21" s="12" t="n"/>
      <c r="AI21" s="12" t="n"/>
    </row>
    <row r="22">
      <c r="A22" s="10" t="inlineStr">
        <is>
          <t>Homeware</t>
        </is>
      </c>
      <c r="B22" s="10" t="inlineStr">
        <is>
          <t>Tableware</t>
        </is>
      </c>
      <c r="C22" s="10" t="inlineStr">
        <is>
          <t>Serving Set</t>
        </is>
      </c>
      <c r="D22" s="10" t="inlineStr">
        <is>
          <t>10470033</t>
        </is>
      </c>
      <c r="E22" s="10" t="inlineStr">
        <is>
          <t>SERVING SET W/RACK CIRCLE BLACK (3)</t>
        </is>
      </c>
      <c r="F22" s="10" t="n"/>
      <c r="G22" s="10" t="inlineStr">
        <is>
          <t>MAKAN</t>
        </is>
      </c>
      <c r="H22" s="10" t="inlineStr">
        <is>
          <t>A2. SERVINGWARE</t>
        </is>
      </c>
      <c r="I22" s="10" t="inlineStr">
        <is>
          <t>SERVING GLASS BASIC</t>
        </is>
      </c>
      <c r="J22" s="10" t="n"/>
      <c r="K22" s="10" t="n"/>
      <c r="L22" s="11" t="inlineStr">
        <is>
          <t>Endcap 4 Shelving</t>
        </is>
      </c>
      <c r="M22" s="11" t="n">
        <v>3</v>
      </c>
      <c r="N22" s="11" t="n"/>
      <c r="O22" s="11">
        <f>IF(OR(L22="",M22=""),"",IFERROR(INDEX(LAYOUT!$D$2:$D$80,MATCH(L22&amp;"|"&amp;M22,LAYOUT!$E$2:$E$80,0)),""))</f>
        <v/>
      </c>
      <c r="P22" s="12">
        <f>IF(AND(L22="",M22=""),IF(AND(Q22="",R22="",V22="",W22=""),IF(OR($D22&lt;&gt;"",$E22&lt;&gt;""),"Belum ditempatkan",""),""),IF(L22="","CEK JENIS FIXTURE kosong",IF(AND(LEFT(L22,7)&lt;&gt;"Gondola",LEFT(L22,6)&lt;&gt;"Endcap"),"CEK Fixture 1 hanya Gondola atau Endcap",IF(M22="","CEK SHELVING KE kosong",IF(ISNA(MATCH(L22&amp;"|"&amp;M22,LAYOUT!$E$2:$E$80,0)),"CEK SHELVING KE di luar layout",IF($I22="","CEK SERIES kosong",IF(AND(N22&lt;&gt;"",NOT(ISNUMBER(N22))),"CEK URUTAN DISPLAY harus angka",IF($D22="","Zona STOCK",IF($E22="","CEK SKU DESCRIPTION kosong",IF(COUNTIFS($I$2:$I$500,$I22,L$2:L$500,"&lt;&gt;"&amp;L22,L$2:L$500,"&lt;&gt;")&gt;0,"CEK jenis fixture beda dalam satu series","OK"))))))))))</f>
        <v/>
      </c>
      <c r="Q22" s="11" t="inlineStr">
        <is>
          <t>Wall 6 Shelving</t>
        </is>
      </c>
      <c r="R22" s="11" t="n">
        <v>2</v>
      </c>
      <c r="S22" s="11" t="n"/>
      <c r="T22" s="11">
        <f>IF(OR(Q22="",R22=""),"",IFERROR(INDEX(LAYOUT!$D$2:$D$80,MATCH(Q22&amp;"|"&amp;R22,LAYOUT!$E$2:$E$80,0)),""))</f>
        <v/>
      </c>
      <c r="U22" s="12">
        <f>IF(AND(Q22="",R22=""),IF(AND(L22="",M22="",V22="",W22=""),IF(OR($D22&lt;&gt;"",$E22&lt;&gt;""),"Belum ditempatkan",""),""),IF(Q22="","CEK JENIS FIXTURE kosong",IF(LEFT(Q22,4)&lt;&gt;"Wall","CEK Fixture 2 hanya Wall",IF(R22="","CEK SHELVING KE kosong",IF(ISNA(MATCH(Q22&amp;"|"&amp;R22,LAYOUT!$E$2:$E$80,0)),"CEK SHELVING KE di luar layout",IF($I22="","CEK SERIES kosong",IF(AND(S22&lt;&gt;"",NOT(ISNUMBER(S22))),"CEK URUTAN DISPLAY harus angka",IF($D22="","Zona STOCK",IF($E22="","CEK SKU DESCRIPTION kosong",IF(COUNTIFS($I$2:$I$500,$I22,Q$2:Q$500,"&lt;&gt;"&amp;Q22,Q$2:Q$500,"&lt;&gt;")&gt;0,"CEK jenis fixture beda dalam satu series","OK"))))))))))</f>
        <v/>
      </c>
      <c r="V22" s="11" t="n"/>
      <c r="W22" s="11" t="n"/>
      <c r="X22" s="11" t="n"/>
      <c r="Y22" s="11">
        <f>IF(OR(V22="",W22=""),"",IFERROR(INDEX(LAYOUT!$D$2:$D$80,MATCH(V22&amp;"|"&amp;W22,LAYOUT!$E$2:$E$80,0)),""))</f>
        <v/>
      </c>
      <c r="Z22" s="12">
        <f>IF(AND(V22="",W22=""),IF(AND(L22="",M22="",Q22="",R22=""),IF(OR($D22&lt;&gt;"",$E22&lt;&gt;""),"Belum ditempatkan",""),""),IF(V22="","CEK JENIS FIXTURE kosong",IF(LEFT(V22,4)&lt;&gt;"Wall","CEK Fixture 3 hanya Wall",IF(W22="","CEK SHELVING KE kosong",IF(ISNA(MATCH(V22&amp;"|"&amp;W22,LAYOUT!$E$2:$E$80,0)),"CEK SHELVING KE di luar layout",IF($I22="","CEK SERIES kosong",IF(AND(X22&lt;&gt;"",NOT(ISNUMBER(X22))),"CEK URUTAN DISPLAY harus angka",IF($D22="","Zona STOCK",IF($E22="","CEK SKU DESCRIPTION kosong",IF(COUNTIFS($I$2:$I$500,$I22,V$2:V$500,"&lt;&gt;"&amp;V22,V$2:V$500,"&lt;&gt;")&gt;0,"CEK jenis fixture beda dalam satu series","OK"))))))))))</f>
        <v/>
      </c>
      <c r="AA22" s="12" t="n"/>
      <c r="AB22" s="11" t="n"/>
      <c r="AC22" s="11" t="n"/>
      <c r="AD22" s="11" t="n"/>
      <c r="AE22" s="11" t="n"/>
      <c r="AF22" s="11" t="n"/>
      <c r="AG22" s="11" t="n"/>
      <c r="AH22" s="12" t="n"/>
      <c r="AI22" s="12" t="n"/>
    </row>
    <row r="23">
      <c r="A23" s="10" t="inlineStr">
        <is>
          <t>Homeware</t>
        </is>
      </c>
      <c r="B23" s="10" t="inlineStr">
        <is>
          <t>Tableware</t>
        </is>
      </c>
      <c r="C23" s="10" t="inlineStr">
        <is>
          <t>Serving Set</t>
        </is>
      </c>
      <c r="D23" s="10" t="inlineStr">
        <is>
          <t>10681574</t>
        </is>
      </c>
      <c r="E23" s="10" t="inlineStr">
        <is>
          <t>SERVING GLASS RND TWO RACK ZIA GOLD</t>
        </is>
      </c>
      <c r="F23" s="10" t="n"/>
      <c r="G23" s="10" t="inlineStr">
        <is>
          <t>MAKAN</t>
        </is>
      </c>
      <c r="H23" s="10" t="inlineStr">
        <is>
          <t>A2. SERVINGWARE</t>
        </is>
      </c>
      <c r="I23" s="10" t="inlineStr">
        <is>
          <t>SERVING GLASS BASIC</t>
        </is>
      </c>
      <c r="J23" s="10" t="n"/>
      <c r="K23" s="10" t="n"/>
      <c r="L23" s="11" t="inlineStr">
        <is>
          <t>Endcap 4 Shelving</t>
        </is>
      </c>
      <c r="M23" s="11" t="n">
        <v>4</v>
      </c>
      <c r="N23" s="11" t="n"/>
      <c r="O23" s="11">
        <f>IF(OR(L23="",M23=""),"",IFERROR(INDEX(LAYOUT!$D$2:$D$80,MATCH(L23&amp;"|"&amp;M23,LAYOUT!$E$2:$E$80,0)),""))</f>
        <v/>
      </c>
      <c r="P23" s="12">
        <f>IF(AND(L23="",M23=""),IF(AND(Q23="",R23="",V23="",W23=""),IF(OR($D23&lt;&gt;"",$E23&lt;&gt;""),"Belum ditempatkan",""),""),IF(L23="","CEK JENIS FIXTURE kosong",IF(AND(LEFT(L23,7)&lt;&gt;"Gondola",LEFT(L23,6)&lt;&gt;"Endcap"),"CEK Fixture 1 hanya Gondola atau Endcap",IF(M23="","CEK SHELVING KE kosong",IF(ISNA(MATCH(L23&amp;"|"&amp;M23,LAYOUT!$E$2:$E$80,0)),"CEK SHELVING KE di luar layout",IF($I23="","CEK SERIES kosong",IF(AND(N23&lt;&gt;"",NOT(ISNUMBER(N23))),"CEK URUTAN DISPLAY harus angka",IF($D23="","Zona STOCK",IF($E23="","CEK SKU DESCRIPTION kosong",IF(COUNTIFS($I$2:$I$500,$I23,L$2:L$500,"&lt;&gt;"&amp;L23,L$2:L$500,"&lt;&gt;")&gt;0,"CEK jenis fixture beda dalam satu series","OK"))))))))))</f>
        <v/>
      </c>
      <c r="Q23" s="11" t="inlineStr">
        <is>
          <t>Wall 6 Shelving</t>
        </is>
      </c>
      <c r="R23" s="11" t="n">
        <v>3</v>
      </c>
      <c r="S23" s="11" t="n"/>
      <c r="T23" s="11">
        <f>IF(OR(Q23="",R23=""),"",IFERROR(INDEX(LAYOUT!$D$2:$D$80,MATCH(Q23&amp;"|"&amp;R23,LAYOUT!$E$2:$E$80,0)),""))</f>
        <v/>
      </c>
      <c r="U23" s="12">
        <f>IF(AND(Q23="",R23=""),IF(AND(L23="",M23="",V23="",W23=""),IF(OR($D23&lt;&gt;"",$E23&lt;&gt;""),"Belum ditempatkan",""),""),IF(Q23="","CEK JENIS FIXTURE kosong",IF(LEFT(Q23,4)&lt;&gt;"Wall","CEK Fixture 2 hanya Wall",IF(R23="","CEK SHELVING KE kosong",IF(ISNA(MATCH(Q23&amp;"|"&amp;R23,LAYOUT!$E$2:$E$80,0)),"CEK SHELVING KE di luar layout",IF($I23="","CEK SERIES kosong",IF(AND(S23&lt;&gt;"",NOT(ISNUMBER(S23))),"CEK URUTAN DISPLAY harus angka",IF($D23="","Zona STOCK",IF($E23="","CEK SKU DESCRIPTION kosong",IF(COUNTIFS($I$2:$I$500,$I23,Q$2:Q$500,"&lt;&gt;"&amp;Q23,Q$2:Q$500,"&lt;&gt;")&gt;0,"CEK jenis fixture beda dalam satu series","OK"))))))))))</f>
        <v/>
      </c>
      <c r="V23" s="11" t="n"/>
      <c r="W23" s="11" t="n"/>
      <c r="X23" s="11" t="n"/>
      <c r="Y23" s="11">
        <f>IF(OR(V23="",W23=""),"",IFERROR(INDEX(LAYOUT!$D$2:$D$80,MATCH(V23&amp;"|"&amp;W23,LAYOUT!$E$2:$E$80,0)),""))</f>
        <v/>
      </c>
      <c r="Z23" s="12">
        <f>IF(AND(V23="",W23=""),IF(AND(L23="",M23="",Q23="",R23=""),IF(OR($D23&lt;&gt;"",$E23&lt;&gt;""),"Belum ditempatkan",""),""),IF(V23="","CEK JENIS FIXTURE kosong",IF(LEFT(V23,4)&lt;&gt;"Wall","CEK Fixture 3 hanya Wall",IF(W23="","CEK SHELVING KE kosong",IF(ISNA(MATCH(V23&amp;"|"&amp;W23,LAYOUT!$E$2:$E$80,0)),"CEK SHELVING KE di luar layout",IF($I23="","CEK SERIES kosong",IF(AND(X23&lt;&gt;"",NOT(ISNUMBER(X23))),"CEK URUTAN DISPLAY harus angka",IF($D23="","Zona STOCK",IF($E23="","CEK SKU DESCRIPTION kosong",IF(COUNTIFS($I$2:$I$500,$I23,V$2:V$500,"&lt;&gt;"&amp;V23,V$2:V$500,"&lt;&gt;")&gt;0,"CEK jenis fixture beda dalam satu series","OK"))))))))))</f>
        <v/>
      </c>
      <c r="AA23" s="12" t="n"/>
      <c r="AB23" s="11" t="n"/>
      <c r="AC23" s="11" t="n"/>
      <c r="AD23" s="11" t="n"/>
      <c r="AE23" s="11" t="n"/>
      <c r="AF23" s="11" t="n"/>
      <c r="AG23" s="11" t="n"/>
      <c r="AH23" s="12" t="n"/>
      <c r="AI23" s="12" t="n"/>
    </row>
    <row r="24">
      <c r="A24" s="10" t="inlineStr">
        <is>
          <t>Homeware</t>
        </is>
      </c>
      <c r="B24" s="10" t="inlineStr">
        <is>
          <t>Tableware</t>
        </is>
      </c>
      <c r="C24" s="10" t="inlineStr">
        <is>
          <t>Serving Set</t>
        </is>
      </c>
      <c r="D24" s="10" t="inlineStr">
        <is>
          <t>10681574</t>
        </is>
      </c>
      <c r="E24" s="10" t="inlineStr">
        <is>
          <t>SERVING GLASS RND TWO RACK ZIA GOLD</t>
        </is>
      </c>
      <c r="F24" s="10" t="n"/>
      <c r="G24" s="10" t="inlineStr">
        <is>
          <t>MAKAN</t>
        </is>
      </c>
      <c r="H24" s="10" t="inlineStr">
        <is>
          <t>A2. SERVINGWARE</t>
        </is>
      </c>
      <c r="I24" s="10" t="inlineStr">
        <is>
          <t>SERVING GLASS BASIC</t>
        </is>
      </c>
      <c r="J24" s="10" t="n"/>
      <c r="K24" s="10" t="n"/>
      <c r="L24" s="11" t="n"/>
      <c r="M24" s="11" t="n"/>
      <c r="N24" s="11" t="n"/>
      <c r="O24" s="11">
        <f>IF(OR(L24="",M24=""),"",IFERROR(INDEX(LAYOUT!$D$2:$D$80,MATCH(L24&amp;"|"&amp;M24,LAYOUT!$E$2:$E$80,0)),""))</f>
        <v/>
      </c>
      <c r="P24" s="12">
        <f>IF(AND(L24="",M24=""),IF(AND(Q24="",R24="",V24="",W24=""),IF(OR($D24&lt;&gt;"",$E24&lt;&gt;""),"Belum ditempatkan",""),""),IF(L24="","CEK JENIS FIXTURE kosong",IF(AND(LEFT(L24,7)&lt;&gt;"Gondola",LEFT(L24,6)&lt;&gt;"Endcap"),"CEK Fixture 1 hanya Gondola atau Endcap",IF(M24="","CEK SHELVING KE kosong",IF(ISNA(MATCH(L24&amp;"|"&amp;M24,LAYOUT!$E$2:$E$80,0)),"CEK SHELVING KE di luar layout",IF($I24="","CEK SERIES kosong",IF(AND(N24&lt;&gt;"",NOT(ISNUMBER(N24))),"CEK URUTAN DISPLAY harus angka",IF($D24="","Zona STOCK",IF($E24="","CEK SKU DESCRIPTION kosong",IF(COUNTIFS($I$2:$I$500,$I24,L$2:L$500,"&lt;&gt;"&amp;L24,L$2:L$500,"&lt;&gt;")&gt;0,"CEK jenis fixture beda dalam satu series","OK"))))))))))</f>
        <v/>
      </c>
      <c r="Q24" s="11" t="inlineStr">
        <is>
          <t>Wall 6 Shelving</t>
        </is>
      </c>
      <c r="R24" s="11" t="n">
        <v>3</v>
      </c>
      <c r="S24" s="11" t="n">
        <v>2</v>
      </c>
      <c r="T24" s="11">
        <f>IF(OR(Q24="",R24=""),"",IFERROR(INDEX(LAYOUT!$D$2:$D$80,MATCH(Q24&amp;"|"&amp;R24,LAYOUT!$E$2:$E$80,0)),""))</f>
        <v/>
      </c>
      <c r="U24" s="12">
        <f>IF(AND(Q24="",R24=""),IF(AND(L24="",M24="",V24="",W24=""),IF(OR($D24&lt;&gt;"",$E24&lt;&gt;""),"Belum ditempatkan",""),""),IF(Q24="","CEK JENIS FIXTURE kosong",IF(LEFT(Q24,4)&lt;&gt;"Wall","CEK Fixture 2 hanya Wall",IF(R24="","CEK SHELVING KE kosong",IF(ISNA(MATCH(Q24&amp;"|"&amp;R24,LAYOUT!$E$2:$E$80,0)),"CEK SHELVING KE di luar layout",IF($I24="","CEK SERIES kosong",IF(AND(S24&lt;&gt;"",NOT(ISNUMBER(S24))),"CEK URUTAN DISPLAY harus angka",IF($D24="","Zona STOCK",IF($E24="","CEK SKU DESCRIPTION kosong",IF(COUNTIFS($I$2:$I$500,$I24,Q$2:Q$500,"&lt;&gt;"&amp;Q24,Q$2:Q$500,"&lt;&gt;")&gt;0,"CEK jenis fixture beda dalam satu series","OK"))))))))))</f>
        <v/>
      </c>
      <c r="V24" s="11" t="n"/>
      <c r="W24" s="11" t="n"/>
      <c r="X24" s="11" t="n"/>
      <c r="Y24" s="11">
        <f>IF(OR(V24="",W24=""),"",IFERROR(INDEX(LAYOUT!$D$2:$D$80,MATCH(V24&amp;"|"&amp;W24,LAYOUT!$E$2:$E$80,0)),""))</f>
        <v/>
      </c>
      <c r="Z24" s="12">
        <f>IF(AND(V24="",W24=""),IF(AND(L24="",M24="",Q24="",R24=""),IF(OR($D24&lt;&gt;"",$E24&lt;&gt;""),"Belum ditempatkan",""),""),IF(V24="","CEK JENIS FIXTURE kosong",IF(LEFT(V24,4)&lt;&gt;"Wall","CEK Fixture 3 hanya Wall",IF(W24="","CEK SHELVING KE kosong",IF(ISNA(MATCH(V24&amp;"|"&amp;W24,LAYOUT!$E$2:$E$80,0)),"CEK SHELVING KE di luar layout",IF($I24="","CEK SERIES kosong",IF(AND(X24&lt;&gt;"",NOT(ISNUMBER(X24))),"CEK URUTAN DISPLAY harus angka",IF($D24="","Zona STOCK",IF($E24="","CEK SKU DESCRIPTION kosong",IF(COUNTIFS($I$2:$I$500,$I24,V$2:V$500,"&lt;&gt;"&amp;V24,V$2:V$500,"&lt;&gt;")&gt;0,"CEK jenis fixture beda dalam satu series","OK"))))))))))</f>
        <v/>
      </c>
      <c r="AA24" s="12" t="n"/>
      <c r="AB24" s="11" t="n"/>
      <c r="AC24" s="11" t="n"/>
      <c r="AD24" s="11" t="n"/>
      <c r="AE24" s="11" t="n"/>
      <c r="AF24" s="11" t="n"/>
      <c r="AG24" s="11" t="n"/>
      <c r="AH24" s="12" t="n"/>
      <c r="AI24" s="12" t="n"/>
    </row>
    <row r="25">
      <c r="A25" s="10" t="inlineStr">
        <is>
          <t>Homeware</t>
        </is>
      </c>
      <c r="B25" s="10" t="inlineStr">
        <is>
          <t>Tableware</t>
        </is>
      </c>
      <c r="C25" s="10" t="inlineStr">
        <is>
          <t>Serving Set</t>
        </is>
      </c>
      <c r="D25" s="10" t="inlineStr">
        <is>
          <t>10681572</t>
        </is>
      </c>
      <c r="E25" s="10" t="inlineStr">
        <is>
          <t>SERVING GLASS OVAL PLATER ZOE GOLD</t>
        </is>
      </c>
      <c r="F25" s="10" t="n"/>
      <c r="G25" s="10" t="inlineStr">
        <is>
          <t>MAKAN</t>
        </is>
      </c>
      <c r="H25" s="10" t="inlineStr">
        <is>
          <t>A2. SERVINGWARE</t>
        </is>
      </c>
      <c r="I25" s="10" t="inlineStr">
        <is>
          <t>SERVING GLASS BASIC</t>
        </is>
      </c>
      <c r="J25" s="10" t="n"/>
      <c r="K25" s="10" t="n"/>
      <c r="L25" s="11" t="n"/>
      <c r="M25" s="11" t="n"/>
      <c r="N25" s="11" t="n"/>
      <c r="O25" s="11">
        <f>IF(OR(L25="",M25=""),"",IFERROR(INDEX(LAYOUT!$D$2:$D$80,MATCH(L25&amp;"|"&amp;M25,LAYOUT!$E$2:$E$80,0)),""))</f>
        <v/>
      </c>
      <c r="P25" s="12">
        <f>IF(AND(L25="",M25=""),IF(AND(Q25="",R25="",V25="",W25=""),IF(OR($D25&lt;&gt;"",$E25&lt;&gt;""),"Belum ditempatkan",""),""),IF(L25="","CEK JENIS FIXTURE kosong",IF(AND(LEFT(L25,7)&lt;&gt;"Gondola",LEFT(L25,6)&lt;&gt;"Endcap"),"CEK Fixture 1 hanya Gondola atau Endcap",IF(M25="","CEK SHELVING KE kosong",IF(ISNA(MATCH(L25&amp;"|"&amp;M25,LAYOUT!$E$2:$E$80,0)),"CEK SHELVING KE di luar layout",IF($I25="","CEK SERIES kosong",IF(AND(N25&lt;&gt;"",NOT(ISNUMBER(N25))),"CEK URUTAN DISPLAY harus angka",IF($D25="","Zona STOCK",IF($E25="","CEK SKU DESCRIPTION kosong",IF(COUNTIFS($I$2:$I$500,$I25,L$2:L$500,"&lt;&gt;"&amp;L25,L$2:L$500,"&lt;&gt;")&gt;0,"CEK jenis fixture beda dalam satu series","OK"))))))))))</f>
        <v/>
      </c>
      <c r="Q25" s="11" t="inlineStr">
        <is>
          <t>Wall 6 Shelving</t>
        </is>
      </c>
      <c r="R25" s="11" t="n">
        <v>1</v>
      </c>
      <c r="S25" s="11" t="n">
        <v>2</v>
      </c>
      <c r="T25" s="11">
        <f>IF(OR(Q25="",R25=""),"",IFERROR(INDEX(LAYOUT!$D$2:$D$80,MATCH(Q25&amp;"|"&amp;R25,LAYOUT!$E$2:$E$80,0)),""))</f>
        <v/>
      </c>
      <c r="U25" s="12">
        <f>IF(AND(Q25="",R25=""),IF(AND(L25="",M25="",V25="",W25=""),IF(OR($D25&lt;&gt;"",$E25&lt;&gt;""),"Belum ditempatkan",""),""),IF(Q25="","CEK JENIS FIXTURE kosong",IF(LEFT(Q25,4)&lt;&gt;"Wall","CEK Fixture 2 hanya Wall",IF(R25="","CEK SHELVING KE kosong",IF(ISNA(MATCH(Q25&amp;"|"&amp;R25,LAYOUT!$E$2:$E$80,0)),"CEK SHELVING KE di luar layout",IF($I25="","CEK SERIES kosong",IF(AND(S25&lt;&gt;"",NOT(ISNUMBER(S25))),"CEK URUTAN DISPLAY harus angka",IF($D25="","Zona STOCK",IF($E25="","CEK SKU DESCRIPTION kosong",IF(COUNTIFS($I$2:$I$500,$I25,Q$2:Q$500,"&lt;&gt;"&amp;Q25,Q$2:Q$500,"&lt;&gt;")&gt;0,"CEK jenis fixture beda dalam satu series","OK"))))))))))</f>
        <v/>
      </c>
      <c r="V25" s="11" t="n"/>
      <c r="W25" s="11" t="n"/>
      <c r="X25" s="11" t="n"/>
      <c r="Y25" s="11">
        <f>IF(OR(V25="",W25=""),"",IFERROR(INDEX(LAYOUT!$D$2:$D$80,MATCH(V25&amp;"|"&amp;W25,LAYOUT!$E$2:$E$80,0)),""))</f>
        <v/>
      </c>
      <c r="Z25" s="12">
        <f>IF(AND(V25="",W25=""),IF(AND(L25="",M25="",Q25="",R25=""),IF(OR($D25&lt;&gt;"",$E25&lt;&gt;""),"Belum ditempatkan",""),""),IF(V25="","CEK JENIS FIXTURE kosong",IF(LEFT(V25,4)&lt;&gt;"Wall","CEK Fixture 3 hanya Wall",IF(W25="","CEK SHELVING KE kosong",IF(ISNA(MATCH(V25&amp;"|"&amp;W25,LAYOUT!$E$2:$E$80,0)),"CEK SHELVING KE di luar layout",IF($I25="","CEK SERIES kosong",IF(AND(X25&lt;&gt;"",NOT(ISNUMBER(X25))),"CEK URUTAN DISPLAY harus angka",IF($D25="","Zona STOCK",IF($E25="","CEK SKU DESCRIPTION kosong",IF(COUNTIFS($I$2:$I$500,$I25,V$2:V$500,"&lt;&gt;"&amp;V25,V$2:V$500,"&lt;&gt;")&gt;0,"CEK jenis fixture beda dalam satu series","OK"))))))))))</f>
        <v/>
      </c>
      <c r="AA25" s="12" t="n"/>
      <c r="AB25" s="11" t="n"/>
      <c r="AC25" s="11" t="n"/>
      <c r="AD25" s="11" t="n"/>
      <c r="AE25" s="11" t="n"/>
      <c r="AF25" s="11" t="n"/>
      <c r="AG25" s="11" t="n"/>
      <c r="AH25" s="12" t="n"/>
      <c r="AI25" s="12" t="n"/>
    </row>
    <row r="26">
      <c r="A26" s="10" t="inlineStr">
        <is>
          <t>Homeware</t>
        </is>
      </c>
      <c r="B26" s="10" t="inlineStr">
        <is>
          <t>Tableware</t>
        </is>
      </c>
      <c r="C26" s="10" t="inlineStr">
        <is>
          <t>Serving Set</t>
        </is>
      </c>
      <c r="D26" s="10" t="inlineStr">
        <is>
          <t>10681572</t>
        </is>
      </c>
      <c r="E26" s="10" t="inlineStr">
        <is>
          <t>SERVING GLASS OVAL PLATER ZOE GOLD</t>
        </is>
      </c>
      <c r="F26" s="10" t="n"/>
      <c r="G26" s="10" t="inlineStr">
        <is>
          <t>MAKAN</t>
        </is>
      </c>
      <c r="H26" s="10" t="inlineStr">
        <is>
          <t>A2. SERVINGWARE</t>
        </is>
      </c>
      <c r="I26" s="10" t="inlineStr">
        <is>
          <t>SERVING GLASS BASIC</t>
        </is>
      </c>
      <c r="J26" s="10" t="n"/>
      <c r="K26" s="10" t="n"/>
      <c r="L26" s="11" t="n"/>
      <c r="M26" s="11" t="n"/>
      <c r="N26" s="11" t="n"/>
      <c r="O26" s="11">
        <f>IF(OR(L26="",M26=""),"",IFERROR(INDEX(LAYOUT!$D$2:$D$80,MATCH(L26&amp;"|"&amp;M26,LAYOUT!$E$2:$E$80,0)),""))</f>
        <v/>
      </c>
      <c r="P26" s="12">
        <f>IF(AND(L26="",M26=""),IF(AND(Q26="",R26="",V26="",W26=""),IF(OR($D26&lt;&gt;"",$E26&lt;&gt;""),"Belum ditempatkan",""),""),IF(L26="","CEK JENIS FIXTURE kosong",IF(AND(LEFT(L26,7)&lt;&gt;"Gondola",LEFT(L26,6)&lt;&gt;"Endcap"),"CEK Fixture 1 hanya Gondola atau Endcap",IF(M26="","CEK SHELVING KE kosong",IF(ISNA(MATCH(L26&amp;"|"&amp;M26,LAYOUT!$E$2:$E$80,0)),"CEK SHELVING KE di luar layout",IF($I26="","CEK SERIES kosong",IF(AND(N26&lt;&gt;"",NOT(ISNUMBER(N26))),"CEK URUTAN DISPLAY harus angka",IF($D26="","Zona STOCK",IF($E26="","CEK SKU DESCRIPTION kosong",IF(COUNTIFS($I$2:$I$500,$I26,L$2:L$500,"&lt;&gt;"&amp;L26,L$2:L$500,"&lt;&gt;")&gt;0,"CEK jenis fixture beda dalam satu series","OK"))))))))))</f>
        <v/>
      </c>
      <c r="Q26" s="11" t="inlineStr">
        <is>
          <t>Wall 6 Shelving</t>
        </is>
      </c>
      <c r="R26" s="11" t="n">
        <v>3</v>
      </c>
      <c r="S26" s="11" t="n">
        <v>2</v>
      </c>
      <c r="T26" s="11">
        <f>IF(OR(Q26="",R26=""),"",IFERROR(INDEX(LAYOUT!$D$2:$D$80,MATCH(Q26&amp;"|"&amp;R26,LAYOUT!$E$2:$E$80,0)),""))</f>
        <v/>
      </c>
      <c r="U26" s="12">
        <f>IF(AND(Q26="",R26=""),IF(AND(L26="",M26="",V26="",W26=""),IF(OR($D26&lt;&gt;"",$E26&lt;&gt;""),"Belum ditempatkan",""),""),IF(Q26="","CEK JENIS FIXTURE kosong",IF(LEFT(Q26,4)&lt;&gt;"Wall","CEK Fixture 2 hanya Wall",IF(R26="","CEK SHELVING KE kosong",IF(ISNA(MATCH(Q26&amp;"|"&amp;R26,LAYOUT!$E$2:$E$80,0)),"CEK SHELVING KE di luar layout",IF($I26="","CEK SERIES kosong",IF(AND(S26&lt;&gt;"",NOT(ISNUMBER(S26))),"CEK URUTAN DISPLAY harus angka",IF($D26="","Zona STOCK",IF($E26="","CEK SKU DESCRIPTION kosong",IF(COUNTIFS($I$2:$I$500,$I26,Q$2:Q$500,"&lt;&gt;"&amp;Q26,Q$2:Q$500,"&lt;&gt;")&gt;0,"CEK jenis fixture beda dalam satu series","OK"))))))))))</f>
        <v/>
      </c>
      <c r="V26" s="11" t="n"/>
      <c r="W26" s="11" t="n"/>
      <c r="X26" s="11" t="n"/>
      <c r="Y26" s="11">
        <f>IF(OR(V26="",W26=""),"",IFERROR(INDEX(LAYOUT!$D$2:$D$80,MATCH(V26&amp;"|"&amp;W26,LAYOUT!$E$2:$E$80,0)),""))</f>
        <v/>
      </c>
      <c r="Z26" s="12">
        <f>IF(AND(V26="",W26=""),IF(AND(L26="",M26="",Q26="",R26=""),IF(OR($D26&lt;&gt;"",$E26&lt;&gt;""),"Belum ditempatkan",""),""),IF(V26="","CEK JENIS FIXTURE kosong",IF(LEFT(V26,4)&lt;&gt;"Wall","CEK Fixture 3 hanya Wall",IF(W26="","CEK SHELVING KE kosong",IF(ISNA(MATCH(V26&amp;"|"&amp;W26,LAYOUT!$E$2:$E$80,0)),"CEK SHELVING KE di luar layout",IF($I26="","CEK SERIES kosong",IF(AND(X26&lt;&gt;"",NOT(ISNUMBER(X26))),"CEK URUTAN DISPLAY harus angka",IF($D26="","Zona STOCK",IF($E26="","CEK SKU DESCRIPTION kosong",IF(COUNTIFS($I$2:$I$500,$I26,V$2:V$500,"&lt;&gt;"&amp;V26,V$2:V$500,"&lt;&gt;")&gt;0,"CEK jenis fixture beda dalam satu series","OK"))))))))))</f>
        <v/>
      </c>
      <c r="AA26" s="12" t="n"/>
      <c r="AB26" s="11" t="n"/>
      <c r="AC26" s="11" t="n"/>
      <c r="AD26" s="11" t="n"/>
      <c r="AE26" s="11" t="n"/>
      <c r="AF26" s="11" t="n"/>
      <c r="AG26" s="11" t="n"/>
      <c r="AH26" s="12" t="n"/>
      <c r="AI26" s="12" t="n"/>
    </row>
    <row r="27">
      <c r="A27" s="10" t="inlineStr">
        <is>
          <t>Homeware</t>
        </is>
      </c>
      <c r="B27" s="10" t="inlineStr">
        <is>
          <t>Tableware</t>
        </is>
      </c>
      <c r="C27" s="10" t="inlineStr">
        <is>
          <t>Serving Set</t>
        </is>
      </c>
      <c r="D27" s="10" t="inlineStr">
        <is>
          <t>10470030</t>
        </is>
      </c>
      <c r="E27" s="10" t="inlineStr">
        <is>
          <t>SERVING SET RND DETACHABLE MARBLE (2)</t>
        </is>
      </c>
      <c r="F27" s="10" t="n"/>
      <c r="G27" s="10" t="inlineStr">
        <is>
          <t>MAKAN</t>
        </is>
      </c>
      <c r="H27" s="10" t="inlineStr">
        <is>
          <t>A2. SERVINGWARE</t>
        </is>
      </c>
      <c r="I27" s="10" t="inlineStr">
        <is>
          <t>SERVING GLASS BASIC</t>
        </is>
      </c>
      <c r="J27" s="10" t="n"/>
      <c r="K27" s="10" t="n"/>
      <c r="L27" s="11" t="n"/>
      <c r="M27" s="11" t="n"/>
      <c r="N27" s="11" t="n"/>
      <c r="O27" s="11">
        <f>IF(OR(L27="",M27=""),"",IFERROR(INDEX(LAYOUT!$D$2:$D$80,MATCH(L27&amp;"|"&amp;M27,LAYOUT!$E$2:$E$80,0)),""))</f>
        <v/>
      </c>
      <c r="P27" s="12">
        <f>IF(AND(L27="",M27=""),IF(AND(Q27="",R27="",V27="",W27=""),IF(OR($D27&lt;&gt;"",$E27&lt;&gt;""),"Belum ditempatkan",""),""),IF(L27="","CEK JENIS FIXTURE kosong",IF(AND(LEFT(L27,7)&lt;&gt;"Gondola",LEFT(L27,6)&lt;&gt;"Endcap"),"CEK Fixture 1 hanya Gondola atau Endcap",IF(M27="","CEK SHELVING KE kosong",IF(ISNA(MATCH(L27&amp;"|"&amp;M27,LAYOUT!$E$2:$E$80,0)),"CEK SHELVING KE di luar layout",IF($I27="","CEK SERIES kosong",IF(AND(N27&lt;&gt;"",NOT(ISNUMBER(N27))),"CEK URUTAN DISPLAY harus angka",IF($D27="","Zona STOCK",IF($E27="","CEK SKU DESCRIPTION kosong",IF(COUNTIFS($I$2:$I$500,$I27,L$2:L$500,"&lt;&gt;"&amp;L27,L$2:L$500,"&lt;&gt;")&gt;0,"CEK jenis fixture beda dalam satu series","OK"))))))))))</f>
        <v/>
      </c>
      <c r="Q27" s="11" t="inlineStr">
        <is>
          <t>Wall 6 Shelving</t>
        </is>
      </c>
      <c r="R27" s="11" t="n">
        <v>2</v>
      </c>
      <c r="S27" s="11" t="n">
        <v>2</v>
      </c>
      <c r="T27" s="11">
        <f>IF(OR(Q27="",R27=""),"",IFERROR(INDEX(LAYOUT!$D$2:$D$80,MATCH(Q27&amp;"|"&amp;R27,LAYOUT!$E$2:$E$80,0)),""))</f>
        <v/>
      </c>
      <c r="U27" s="12">
        <f>IF(AND(Q27="",R27=""),IF(AND(L27="",M27="",V27="",W27=""),IF(OR($D27&lt;&gt;"",$E27&lt;&gt;""),"Belum ditempatkan",""),""),IF(Q27="","CEK JENIS FIXTURE kosong",IF(LEFT(Q27,4)&lt;&gt;"Wall","CEK Fixture 2 hanya Wall",IF(R27="","CEK SHELVING KE kosong",IF(ISNA(MATCH(Q27&amp;"|"&amp;R27,LAYOUT!$E$2:$E$80,0)),"CEK SHELVING KE di luar layout",IF($I27="","CEK SERIES kosong",IF(AND(S27&lt;&gt;"",NOT(ISNUMBER(S27))),"CEK URUTAN DISPLAY harus angka",IF($D27="","Zona STOCK",IF($E27="","CEK SKU DESCRIPTION kosong",IF(COUNTIFS($I$2:$I$500,$I27,Q$2:Q$500,"&lt;&gt;"&amp;Q27,Q$2:Q$500,"&lt;&gt;")&gt;0,"CEK jenis fixture beda dalam satu series","OK"))))))))))</f>
        <v/>
      </c>
      <c r="V27" s="11" t="n"/>
      <c r="W27" s="11" t="n"/>
      <c r="X27" s="11" t="n"/>
      <c r="Y27" s="11">
        <f>IF(OR(V27="",W27=""),"",IFERROR(INDEX(LAYOUT!$D$2:$D$80,MATCH(V27&amp;"|"&amp;W27,LAYOUT!$E$2:$E$80,0)),""))</f>
        <v/>
      </c>
      <c r="Z27" s="12">
        <f>IF(AND(V27="",W27=""),IF(AND(L27="",M27="",Q27="",R27=""),IF(OR($D27&lt;&gt;"",$E27&lt;&gt;""),"Belum ditempatkan",""),""),IF(V27="","CEK JENIS FIXTURE kosong",IF(LEFT(V27,4)&lt;&gt;"Wall","CEK Fixture 3 hanya Wall",IF(W27="","CEK SHELVING KE kosong",IF(ISNA(MATCH(V27&amp;"|"&amp;W27,LAYOUT!$E$2:$E$80,0)),"CEK SHELVING KE di luar layout",IF($I27="","CEK SERIES kosong",IF(AND(X27&lt;&gt;"",NOT(ISNUMBER(X27))),"CEK URUTAN DISPLAY harus angka",IF($D27="","Zona STOCK",IF($E27="","CEK SKU DESCRIPTION kosong",IF(COUNTIFS($I$2:$I$500,$I27,V$2:V$500,"&lt;&gt;"&amp;V27,V$2:V$500,"&lt;&gt;")&gt;0,"CEK jenis fixture beda dalam satu series","OK"))))))))))</f>
        <v/>
      </c>
      <c r="AA27" s="12" t="n"/>
      <c r="AB27" s="11" t="n"/>
      <c r="AC27" s="11" t="n"/>
      <c r="AD27" s="11" t="n"/>
      <c r="AE27" s="11" t="n"/>
      <c r="AF27" s="11" t="n"/>
      <c r="AG27" s="11" t="n"/>
      <c r="AH27" s="12" t="n"/>
      <c r="AI27" s="12" t="n"/>
    </row>
    <row r="28">
      <c r="A28" s="10" t="inlineStr">
        <is>
          <t>Homeware</t>
        </is>
      </c>
      <c r="B28" s="10" t="inlineStr">
        <is>
          <t>Tableware</t>
        </is>
      </c>
      <c r="C28" s="10" t="inlineStr">
        <is>
          <t>Serving Set</t>
        </is>
      </c>
      <c r="D28" s="10" t="inlineStr">
        <is>
          <t>10470032</t>
        </is>
      </c>
      <c r="E28" s="10" t="inlineStr">
        <is>
          <t>SERVING SET W/RACK STACK WHITE (3)</t>
        </is>
      </c>
      <c r="F28" s="10" t="n"/>
      <c r="G28" s="10" t="inlineStr">
        <is>
          <t>MAKAN</t>
        </is>
      </c>
      <c r="H28" s="10" t="inlineStr">
        <is>
          <t>A2. SERVINGWARE</t>
        </is>
      </c>
      <c r="I28" s="10" t="inlineStr">
        <is>
          <t>SERVING GLASS BASIC</t>
        </is>
      </c>
      <c r="J28" s="10" t="n"/>
      <c r="K28" s="10" t="n"/>
      <c r="L28" s="11" t="n"/>
      <c r="M28" s="11" t="n"/>
      <c r="N28" s="11" t="n"/>
      <c r="O28" s="11">
        <f>IF(OR(L28="",M28=""),"",IFERROR(INDEX(LAYOUT!$D$2:$D$80,MATCH(L28&amp;"|"&amp;M28,LAYOUT!$E$2:$E$80,0)),""))</f>
        <v/>
      </c>
      <c r="P28" s="12">
        <f>IF(AND(L28="",M28=""),IF(AND(Q28="",R28="",V28="",W28=""),IF(OR($D28&lt;&gt;"",$E28&lt;&gt;""),"Belum ditempatkan",""),""),IF(L28="","CEK JENIS FIXTURE kosong",IF(AND(LEFT(L28,7)&lt;&gt;"Gondola",LEFT(L28,6)&lt;&gt;"Endcap"),"CEK Fixture 1 hanya Gondola atau Endcap",IF(M28="","CEK SHELVING KE kosong",IF(ISNA(MATCH(L28&amp;"|"&amp;M28,LAYOUT!$E$2:$E$80,0)),"CEK SHELVING KE di luar layout",IF($I28="","CEK SERIES kosong",IF(AND(N28&lt;&gt;"",NOT(ISNUMBER(N28))),"CEK URUTAN DISPLAY harus angka",IF($D28="","Zona STOCK",IF($E28="","CEK SKU DESCRIPTION kosong",IF(COUNTIFS($I$2:$I$500,$I28,L$2:L$500,"&lt;&gt;"&amp;L28,L$2:L$500,"&lt;&gt;")&gt;0,"CEK jenis fixture beda dalam satu series","OK"))))))))))</f>
        <v/>
      </c>
      <c r="Q28" s="11" t="inlineStr">
        <is>
          <t>Wall 6 Shelving</t>
        </is>
      </c>
      <c r="R28" s="11" t="n">
        <v>2</v>
      </c>
      <c r="S28" s="11" t="n">
        <v>2</v>
      </c>
      <c r="T28" s="11">
        <f>IF(OR(Q28="",R28=""),"",IFERROR(INDEX(LAYOUT!$D$2:$D$80,MATCH(Q28&amp;"|"&amp;R28,LAYOUT!$E$2:$E$80,0)),""))</f>
        <v/>
      </c>
      <c r="U28" s="12">
        <f>IF(AND(Q28="",R28=""),IF(AND(L28="",M28="",V28="",W28=""),IF(OR($D28&lt;&gt;"",$E28&lt;&gt;""),"Belum ditempatkan",""),""),IF(Q28="","CEK JENIS FIXTURE kosong",IF(LEFT(Q28,4)&lt;&gt;"Wall","CEK Fixture 2 hanya Wall",IF(R28="","CEK SHELVING KE kosong",IF(ISNA(MATCH(Q28&amp;"|"&amp;R28,LAYOUT!$E$2:$E$80,0)),"CEK SHELVING KE di luar layout",IF($I28="","CEK SERIES kosong",IF(AND(S28&lt;&gt;"",NOT(ISNUMBER(S28))),"CEK URUTAN DISPLAY harus angka",IF($D28="","Zona STOCK",IF($E28="","CEK SKU DESCRIPTION kosong",IF(COUNTIFS($I$2:$I$500,$I28,Q$2:Q$500,"&lt;&gt;"&amp;Q28,Q$2:Q$500,"&lt;&gt;")&gt;0,"CEK jenis fixture beda dalam satu series","OK"))))))))))</f>
        <v/>
      </c>
      <c r="V28" s="11" t="n"/>
      <c r="W28" s="11" t="n"/>
      <c r="X28" s="11" t="n"/>
      <c r="Y28" s="11">
        <f>IF(OR(V28="",W28=""),"",IFERROR(INDEX(LAYOUT!$D$2:$D$80,MATCH(V28&amp;"|"&amp;W28,LAYOUT!$E$2:$E$80,0)),""))</f>
        <v/>
      </c>
      <c r="Z28" s="12">
        <f>IF(AND(V28="",W28=""),IF(AND(L28="",M28="",Q28="",R28=""),IF(OR($D28&lt;&gt;"",$E28&lt;&gt;""),"Belum ditempatkan",""),""),IF(V28="","CEK JENIS FIXTURE kosong",IF(LEFT(V28,4)&lt;&gt;"Wall","CEK Fixture 3 hanya Wall",IF(W28="","CEK SHELVING KE kosong",IF(ISNA(MATCH(V28&amp;"|"&amp;W28,LAYOUT!$E$2:$E$80,0)),"CEK SHELVING KE di luar layout",IF($I28="","CEK SERIES kosong",IF(AND(X28&lt;&gt;"",NOT(ISNUMBER(X28))),"CEK URUTAN DISPLAY harus angka",IF($D28="","Zona STOCK",IF($E28="","CEK SKU DESCRIPTION kosong",IF(COUNTIFS($I$2:$I$500,$I28,V$2:V$500,"&lt;&gt;"&amp;V28,V$2:V$500,"&lt;&gt;")&gt;0,"CEK jenis fixture beda dalam satu series","OK"))))))))))</f>
        <v/>
      </c>
      <c r="AA28" s="12" t="n"/>
      <c r="AB28" s="11" t="n"/>
      <c r="AC28" s="11" t="n"/>
      <c r="AD28" s="11" t="n"/>
      <c r="AE28" s="11" t="n"/>
      <c r="AF28" s="11" t="n"/>
      <c r="AG28" s="11" t="n"/>
      <c r="AH28" s="12" t="n"/>
      <c r="AI28" s="12" t="n"/>
    </row>
    <row r="29">
      <c r="A29" s="10" t="inlineStr">
        <is>
          <t>Homeware</t>
        </is>
      </c>
      <c r="B29" s="10" t="inlineStr">
        <is>
          <t>Tableware</t>
        </is>
      </c>
      <c r="C29" s="10" t="inlineStr">
        <is>
          <t>Plates &amp; Bowls</t>
        </is>
      </c>
      <c r="D29" s="10" t="inlineStr">
        <is>
          <t>238181</t>
        </is>
      </c>
      <c r="E29" s="10" t="inlineStr">
        <is>
          <t>COUPE PLATE 16 CM SIMPLE PLUS</t>
        </is>
      </c>
      <c r="F29" s="10" t="n"/>
      <c r="G29" s="10" t="n"/>
      <c r="H29" s="10" t="n"/>
      <c r="I29" s="10" t="n"/>
      <c r="J29" s="10" t="n"/>
      <c r="K29" s="10" t="n"/>
      <c r="L29" s="11" t="n"/>
      <c r="M29" s="11" t="n"/>
      <c r="N29" s="11" t="n"/>
      <c r="O29" s="11">
        <f>IF(OR(L29="",M29=""),"",IFERROR(INDEX(LAYOUT!$D$2:$D$80,MATCH(L29&amp;"|"&amp;M29,LAYOUT!$E$2:$E$80,0)),""))</f>
        <v/>
      </c>
      <c r="P29" s="12">
        <f>IF(AND(L29="",M29=""),IF(AND(Q29="",R29="",V29="",W29=""),IF(OR($D29&lt;&gt;"",$E29&lt;&gt;""),"Belum ditempatkan",""),""),IF(L29="","CEK JENIS FIXTURE kosong",IF(AND(LEFT(L29,7)&lt;&gt;"Gondola",LEFT(L29,6)&lt;&gt;"Endcap"),"CEK Fixture 1 hanya Gondola atau Endcap",IF(M29="","CEK SHELVING KE kosong",IF(ISNA(MATCH(L29&amp;"|"&amp;M29,LAYOUT!$E$2:$E$80,0)),"CEK SHELVING KE di luar layout",IF($I29="","CEK SERIES kosong",IF(AND(N29&lt;&gt;"",NOT(ISNUMBER(N29))),"CEK URUTAN DISPLAY harus angka",IF($D29="","Zona STOCK",IF($E29="","CEK SKU DESCRIPTION kosong",IF(COUNTIFS($I$2:$I$500,$I29,L$2:L$500,"&lt;&gt;"&amp;L29,L$2:L$500,"&lt;&gt;")&gt;0,"CEK jenis fixture beda dalam satu series","OK"))))))))))</f>
        <v/>
      </c>
      <c r="Q29" s="11" t="n"/>
      <c r="R29" s="11" t="n"/>
      <c r="S29" s="11" t="n"/>
      <c r="T29" s="11">
        <f>IF(OR(Q29="",R29=""),"",IFERROR(INDEX(LAYOUT!$D$2:$D$80,MATCH(Q29&amp;"|"&amp;R29,LAYOUT!$E$2:$E$80,0)),""))</f>
        <v/>
      </c>
      <c r="U29" s="12">
        <f>IF(AND(Q29="",R29=""),IF(AND(L29="",M29="",V29="",W29=""),IF(OR($D29&lt;&gt;"",$E29&lt;&gt;""),"Belum ditempatkan",""),""),IF(Q29="","CEK JENIS FIXTURE kosong",IF(LEFT(Q29,4)&lt;&gt;"Wall","CEK Fixture 2 hanya Wall",IF(R29="","CEK SHELVING KE kosong",IF(ISNA(MATCH(Q29&amp;"|"&amp;R29,LAYOUT!$E$2:$E$80,0)),"CEK SHELVING KE di luar layout",IF($I29="","CEK SERIES kosong",IF(AND(S29&lt;&gt;"",NOT(ISNUMBER(S29))),"CEK URUTAN DISPLAY harus angka",IF($D29="","Zona STOCK",IF($E29="","CEK SKU DESCRIPTION kosong",IF(COUNTIFS($I$2:$I$500,$I29,Q$2:Q$500,"&lt;&gt;"&amp;Q29,Q$2:Q$500,"&lt;&gt;")&gt;0,"CEK jenis fixture beda dalam satu series","OK"))))))))))</f>
        <v/>
      </c>
      <c r="V29" s="11" t="n"/>
      <c r="W29" s="11" t="n"/>
      <c r="X29" s="11" t="n"/>
      <c r="Y29" s="11">
        <f>IF(OR(V29="",W29=""),"",IFERROR(INDEX(LAYOUT!$D$2:$D$80,MATCH(V29&amp;"|"&amp;W29,LAYOUT!$E$2:$E$80,0)),""))</f>
        <v/>
      </c>
      <c r="Z29" s="12">
        <f>IF(AND(V29="",W29=""),IF(AND(L29="",M29="",Q29="",R29=""),IF(OR($D29&lt;&gt;"",$E29&lt;&gt;""),"Belum ditempatkan",""),""),IF(V29="","CEK JENIS FIXTURE kosong",IF(LEFT(V29,4)&lt;&gt;"Wall","CEK Fixture 3 hanya Wall",IF(W29="","CEK SHELVING KE kosong",IF(ISNA(MATCH(V29&amp;"|"&amp;W29,LAYOUT!$E$2:$E$80,0)),"CEK SHELVING KE di luar layout",IF($I29="","CEK SERIES kosong",IF(AND(X29&lt;&gt;"",NOT(ISNUMBER(X29))),"CEK URUTAN DISPLAY harus angka",IF($D29="","Zona STOCK",IF($E29="","CEK SKU DESCRIPTION kosong",IF(COUNTIFS($I$2:$I$500,$I29,V$2:V$500,"&lt;&gt;"&amp;V29,V$2:V$500,"&lt;&gt;")&gt;0,"CEK jenis fixture beda dalam satu series","OK"))))))))))</f>
        <v/>
      </c>
      <c r="AA29" s="12" t="n"/>
      <c r="AB29" s="11" t="n"/>
      <c r="AC29" s="11" t="n"/>
      <c r="AD29" s="11" t="n"/>
      <c r="AE29" s="11" t="n"/>
      <c r="AF29" s="11" t="n"/>
      <c r="AG29" s="11" t="n"/>
      <c r="AH29" s="12" t="n"/>
      <c r="AI29" s="12" t="n"/>
    </row>
    <row r="30">
      <c r="A30" s="10" t="inlineStr">
        <is>
          <t>Homeware</t>
        </is>
      </c>
      <c r="B30" s="10" t="inlineStr">
        <is>
          <t>Cookware</t>
        </is>
      </c>
      <c r="C30" s="10" t="inlineStr">
        <is>
          <t>Casserole</t>
        </is>
      </c>
      <c r="D30" s="10" t="inlineStr">
        <is>
          <t>10445959</t>
        </is>
      </c>
      <c r="E30" s="10" t="inlineStr">
        <is>
          <t>CASSEROLE RECT GOLD MARBLE W/LID 33CM</t>
        </is>
      </c>
      <c r="F30" s="10" t="n"/>
      <c r="G30" s="10" t="inlineStr">
        <is>
          <t>MASAK</t>
        </is>
      </c>
      <c r="H30" s="10" t="inlineStr">
        <is>
          <t>B1. CASSEROLE</t>
        </is>
      </c>
      <c r="I30" s="10" t="inlineStr">
        <is>
          <t>GOLD MARBLE</t>
        </is>
      </c>
      <c r="J30" s="10" t="n"/>
      <c r="K30" s="10" t="n"/>
      <c r="L30" s="11" t="n"/>
      <c r="M30" s="11" t="n"/>
      <c r="N30" s="11" t="n"/>
      <c r="O30" s="11">
        <f>IF(OR(L30="",M30=""),"",IFERROR(INDEX(LAYOUT!$D$2:$D$80,MATCH(L30&amp;"|"&amp;M30,LAYOUT!$E$2:$E$80,0)),""))</f>
        <v/>
      </c>
      <c r="P30" s="12">
        <f>IF(AND(L30="",M30=""),IF(AND(Q30="",R30="",V30="",W30=""),IF(OR($D30&lt;&gt;"",$E30&lt;&gt;""),"Belum ditempatkan",""),""),IF(L30="","CEK JENIS FIXTURE kosong",IF(AND(LEFT(L30,7)&lt;&gt;"Gondola",LEFT(L30,6)&lt;&gt;"Endcap"),"CEK Fixture 1 hanya Gondola atau Endcap",IF(M30="","CEK SHELVING KE kosong",IF(ISNA(MATCH(L30&amp;"|"&amp;M30,LAYOUT!$E$2:$E$80,0)),"CEK SHELVING KE di luar layout",IF($I30="","CEK SERIES kosong",IF(AND(N30&lt;&gt;"",NOT(ISNUMBER(N30))),"CEK URUTAN DISPLAY harus angka",IF($D30="","Zona STOCK",IF($E30="","CEK SKU DESCRIPTION kosong",IF(COUNTIFS($I$2:$I$500,$I30,L$2:L$500,"&lt;&gt;"&amp;L30,L$2:L$500,"&lt;&gt;")&gt;0,"CEK jenis fixture beda dalam satu series","OK"))))))))))</f>
        <v/>
      </c>
      <c r="Q30" s="11" t="n"/>
      <c r="R30" s="11" t="n"/>
      <c r="S30" s="11" t="n"/>
      <c r="T30" s="11">
        <f>IF(OR(Q30="",R30=""),"",IFERROR(INDEX(LAYOUT!$D$2:$D$80,MATCH(Q30&amp;"|"&amp;R30,LAYOUT!$E$2:$E$80,0)),""))</f>
        <v/>
      </c>
      <c r="U30" s="12">
        <f>IF(AND(Q30="",R30=""),IF(AND(L30="",M30="",V30="",W30=""),IF(OR($D30&lt;&gt;"",$E30&lt;&gt;""),"Belum ditempatkan",""),""),IF(Q30="","CEK JENIS FIXTURE kosong",IF(LEFT(Q30,4)&lt;&gt;"Wall","CEK Fixture 2 hanya Wall",IF(R30="","CEK SHELVING KE kosong",IF(ISNA(MATCH(Q30&amp;"|"&amp;R30,LAYOUT!$E$2:$E$80,0)),"CEK SHELVING KE di luar layout",IF($I30="","CEK SERIES kosong",IF(AND(S30&lt;&gt;"",NOT(ISNUMBER(S30))),"CEK URUTAN DISPLAY harus angka",IF($D30="","Zona STOCK",IF($E30="","CEK SKU DESCRIPTION kosong",IF(COUNTIFS($I$2:$I$500,$I30,Q$2:Q$500,"&lt;&gt;"&amp;Q30,Q$2:Q$500,"&lt;&gt;")&gt;0,"CEK jenis fixture beda dalam satu series","OK"))))))))))</f>
        <v/>
      </c>
      <c r="V30" s="11" t="n"/>
      <c r="W30" s="11" t="n"/>
      <c r="X30" s="11" t="n"/>
      <c r="Y30" s="11">
        <f>IF(OR(V30="",W30=""),"",IFERROR(INDEX(LAYOUT!$D$2:$D$80,MATCH(V30&amp;"|"&amp;W30,LAYOUT!$E$2:$E$80,0)),""))</f>
        <v/>
      </c>
      <c r="Z30" s="12">
        <f>IF(AND(V30="",W30=""),IF(AND(L30="",M30="",Q30="",R30=""),IF(OR($D30&lt;&gt;"",$E30&lt;&gt;""),"Belum ditempatkan",""),""),IF(V30="","CEK JENIS FIXTURE kosong",IF(LEFT(V30,4)&lt;&gt;"Wall","CEK Fixture 3 hanya Wall",IF(W30="","CEK SHELVING KE kosong",IF(ISNA(MATCH(V30&amp;"|"&amp;W30,LAYOUT!$E$2:$E$80,0)),"CEK SHELVING KE di luar layout",IF($I30="","CEK SERIES kosong",IF(AND(X30&lt;&gt;"",NOT(ISNUMBER(X30))),"CEK URUTAN DISPLAY harus angka",IF($D30="","Zona STOCK",IF($E30="","CEK SKU DESCRIPTION kosong",IF(COUNTIFS($I$2:$I$500,$I30,V$2:V$500,"&lt;&gt;"&amp;V30,V$2:V$500,"&lt;&gt;")&gt;0,"CEK jenis fixture beda dalam satu series","OK"))))))))))</f>
        <v/>
      </c>
      <c r="AA30" s="12" t="n"/>
      <c r="AB30" s="11" t="n"/>
      <c r="AC30" s="11" t="n"/>
      <c r="AD30" s="11" t="n"/>
      <c r="AE30" s="11" t="n"/>
      <c r="AF30" s="11" t="n"/>
      <c r="AG30" s="11" t="n"/>
      <c r="AH30" s="12" t="n"/>
      <c r="AI30" s="12" t="n"/>
    </row>
    <row r="31">
      <c r="A31" s="10" t="inlineStr">
        <is>
          <t>Homeware</t>
        </is>
      </c>
      <c r="B31" s="10" t="inlineStr">
        <is>
          <t>Cookware</t>
        </is>
      </c>
      <c r="C31" s="10" t="inlineStr">
        <is>
          <t>Casserole</t>
        </is>
      </c>
      <c r="D31" s="10" t="inlineStr">
        <is>
          <t>10445960</t>
        </is>
      </c>
      <c r="E31" s="10" t="inlineStr">
        <is>
          <t>CASSEROLE OVAL GOLD MARBLE W/LID 33CM</t>
        </is>
      </c>
      <c r="F31" s="10" t="n"/>
      <c r="G31" s="10" t="inlineStr">
        <is>
          <t>MASAK</t>
        </is>
      </c>
      <c r="H31" s="10" t="inlineStr">
        <is>
          <t>B1. CASSEROLE</t>
        </is>
      </c>
      <c r="I31" s="10" t="inlineStr">
        <is>
          <t>GOLD MARBLE</t>
        </is>
      </c>
      <c r="J31" s="10" t="n"/>
      <c r="K31" s="10" t="n"/>
      <c r="L31" s="11" t="n"/>
      <c r="M31" s="11" t="n"/>
      <c r="N31" s="11" t="n"/>
      <c r="O31" s="11">
        <f>IF(OR(L31="",M31=""),"",IFERROR(INDEX(LAYOUT!$D$2:$D$80,MATCH(L31&amp;"|"&amp;M31,LAYOUT!$E$2:$E$80,0)),""))</f>
        <v/>
      </c>
      <c r="P31" s="12">
        <f>IF(AND(L31="",M31=""),IF(AND(Q31="",R31="",V31="",W31=""),IF(OR($D31&lt;&gt;"",$E31&lt;&gt;""),"Belum ditempatkan",""),""),IF(L31="","CEK JENIS FIXTURE kosong",IF(AND(LEFT(L31,7)&lt;&gt;"Gondola",LEFT(L31,6)&lt;&gt;"Endcap"),"CEK Fixture 1 hanya Gondola atau Endcap",IF(M31="","CEK SHELVING KE kosong",IF(ISNA(MATCH(L31&amp;"|"&amp;M31,LAYOUT!$E$2:$E$80,0)),"CEK SHELVING KE di luar layout",IF($I31="","CEK SERIES kosong",IF(AND(N31&lt;&gt;"",NOT(ISNUMBER(N31))),"CEK URUTAN DISPLAY harus angka",IF($D31="","Zona STOCK",IF($E31="","CEK SKU DESCRIPTION kosong",IF(COUNTIFS($I$2:$I$500,$I31,L$2:L$500,"&lt;&gt;"&amp;L31,L$2:L$500,"&lt;&gt;")&gt;0,"CEK jenis fixture beda dalam satu series","OK"))))))))))</f>
        <v/>
      </c>
      <c r="Q31" s="11" t="n"/>
      <c r="R31" s="11" t="n"/>
      <c r="S31" s="11" t="n"/>
      <c r="T31" s="11">
        <f>IF(OR(Q31="",R31=""),"",IFERROR(INDEX(LAYOUT!$D$2:$D$80,MATCH(Q31&amp;"|"&amp;R31,LAYOUT!$E$2:$E$80,0)),""))</f>
        <v/>
      </c>
      <c r="U31" s="12">
        <f>IF(AND(Q31="",R31=""),IF(AND(L31="",M31="",V31="",W31=""),IF(OR($D31&lt;&gt;"",$E31&lt;&gt;""),"Belum ditempatkan",""),""),IF(Q31="","CEK JENIS FIXTURE kosong",IF(LEFT(Q31,4)&lt;&gt;"Wall","CEK Fixture 2 hanya Wall",IF(R31="","CEK SHELVING KE kosong",IF(ISNA(MATCH(Q31&amp;"|"&amp;R31,LAYOUT!$E$2:$E$80,0)),"CEK SHELVING KE di luar layout",IF($I31="","CEK SERIES kosong",IF(AND(S31&lt;&gt;"",NOT(ISNUMBER(S31))),"CEK URUTAN DISPLAY harus angka",IF($D31="","Zona STOCK",IF($E31="","CEK SKU DESCRIPTION kosong",IF(COUNTIFS($I$2:$I$500,$I31,Q$2:Q$500,"&lt;&gt;"&amp;Q31,Q$2:Q$500,"&lt;&gt;")&gt;0,"CEK jenis fixture beda dalam satu series","OK"))))))))))</f>
        <v/>
      </c>
      <c r="V31" s="11" t="n"/>
      <c r="W31" s="11" t="n"/>
      <c r="X31" s="11" t="n"/>
      <c r="Y31" s="11">
        <f>IF(OR(V31="",W31=""),"",IFERROR(INDEX(LAYOUT!$D$2:$D$80,MATCH(V31&amp;"|"&amp;W31,LAYOUT!$E$2:$E$80,0)),""))</f>
        <v/>
      </c>
      <c r="Z31" s="12">
        <f>IF(AND(V31="",W31=""),IF(AND(L31="",M31="",Q31="",R31=""),IF(OR($D31&lt;&gt;"",$E31&lt;&gt;""),"Belum ditempatkan",""),""),IF(V31="","CEK JENIS FIXTURE kosong",IF(LEFT(V31,4)&lt;&gt;"Wall","CEK Fixture 3 hanya Wall",IF(W31="","CEK SHELVING KE kosong",IF(ISNA(MATCH(V31&amp;"|"&amp;W31,LAYOUT!$E$2:$E$80,0)),"CEK SHELVING KE di luar layout",IF($I31="","CEK SERIES kosong",IF(AND(X31&lt;&gt;"",NOT(ISNUMBER(X31))),"CEK URUTAN DISPLAY harus angka",IF($D31="","Zona STOCK",IF($E31="","CEK SKU DESCRIPTION kosong",IF(COUNTIFS($I$2:$I$500,$I31,V$2:V$500,"&lt;&gt;"&amp;V31,V$2:V$500,"&lt;&gt;")&gt;0,"CEK jenis fixture beda dalam satu series","OK"))))))))))</f>
        <v/>
      </c>
      <c r="AA31" s="12" t="n"/>
      <c r="AB31" s="11" t="n"/>
      <c r="AC31" s="11" t="n"/>
      <c r="AD31" s="11" t="n"/>
      <c r="AE31" s="11" t="n"/>
      <c r="AF31" s="11" t="n"/>
      <c r="AG31" s="11" t="n"/>
      <c r="AH31" s="12" t="n"/>
      <c r="AI31" s="12" t="n"/>
    </row>
    <row r="32">
      <c r="A32" s="10" t="inlineStr">
        <is>
          <t>Homeware</t>
        </is>
      </c>
      <c r="B32" s="10" t="inlineStr">
        <is>
          <t>Cookware</t>
        </is>
      </c>
      <c r="C32" s="10" t="inlineStr">
        <is>
          <t>Casserole</t>
        </is>
      </c>
      <c r="D32" s="10" t="inlineStr">
        <is>
          <t>10445961</t>
        </is>
      </c>
      <c r="E32" s="10" t="inlineStr">
        <is>
          <t>CASSEROLE ROUND GOLD MARBLE W/LID 33CM</t>
        </is>
      </c>
      <c r="F32" s="10" t="n"/>
      <c r="G32" s="10" t="inlineStr">
        <is>
          <t>MASAK</t>
        </is>
      </c>
      <c r="H32" s="10" t="inlineStr">
        <is>
          <t>B1. CASSEROLE</t>
        </is>
      </c>
      <c r="I32" s="10" t="inlineStr">
        <is>
          <t>GOLD MARBLE</t>
        </is>
      </c>
      <c r="J32" s="10" t="n"/>
      <c r="K32" s="10" t="n"/>
      <c r="L32" s="11" t="n"/>
      <c r="M32" s="11" t="n"/>
      <c r="N32" s="11" t="n"/>
      <c r="O32" s="11">
        <f>IF(OR(L32="",M32=""),"",IFERROR(INDEX(LAYOUT!$D$2:$D$80,MATCH(L32&amp;"|"&amp;M32,LAYOUT!$E$2:$E$80,0)),""))</f>
        <v/>
      </c>
      <c r="P32" s="12">
        <f>IF(AND(L32="",M32=""),IF(AND(Q32="",R32="",V32="",W32=""),IF(OR($D32&lt;&gt;"",$E32&lt;&gt;""),"Belum ditempatkan",""),""),IF(L32="","CEK JENIS FIXTURE kosong",IF(AND(LEFT(L32,7)&lt;&gt;"Gondola",LEFT(L32,6)&lt;&gt;"Endcap"),"CEK Fixture 1 hanya Gondola atau Endcap",IF(M32="","CEK SHELVING KE kosong",IF(ISNA(MATCH(L32&amp;"|"&amp;M32,LAYOUT!$E$2:$E$80,0)),"CEK SHELVING KE di luar layout",IF($I32="","CEK SERIES kosong",IF(AND(N32&lt;&gt;"",NOT(ISNUMBER(N32))),"CEK URUTAN DISPLAY harus angka",IF($D32="","Zona STOCK",IF($E32="","CEK SKU DESCRIPTION kosong",IF(COUNTIFS($I$2:$I$500,$I32,L$2:L$500,"&lt;&gt;"&amp;L32,L$2:L$500,"&lt;&gt;")&gt;0,"CEK jenis fixture beda dalam satu series","OK"))))))))))</f>
        <v/>
      </c>
      <c r="Q32" s="11" t="n"/>
      <c r="R32" s="11" t="n"/>
      <c r="S32" s="11" t="n"/>
      <c r="T32" s="11">
        <f>IF(OR(Q32="",R32=""),"",IFERROR(INDEX(LAYOUT!$D$2:$D$80,MATCH(Q32&amp;"|"&amp;R32,LAYOUT!$E$2:$E$80,0)),""))</f>
        <v/>
      </c>
      <c r="U32" s="12">
        <f>IF(AND(Q32="",R32=""),IF(AND(L32="",M32="",V32="",W32=""),IF(OR($D32&lt;&gt;"",$E32&lt;&gt;""),"Belum ditempatkan",""),""),IF(Q32="","CEK JENIS FIXTURE kosong",IF(LEFT(Q32,4)&lt;&gt;"Wall","CEK Fixture 2 hanya Wall",IF(R32="","CEK SHELVING KE kosong",IF(ISNA(MATCH(Q32&amp;"|"&amp;R32,LAYOUT!$E$2:$E$80,0)),"CEK SHELVING KE di luar layout",IF($I32="","CEK SERIES kosong",IF(AND(S32&lt;&gt;"",NOT(ISNUMBER(S32))),"CEK URUTAN DISPLAY harus angka",IF($D32="","Zona STOCK",IF($E32="","CEK SKU DESCRIPTION kosong",IF(COUNTIFS($I$2:$I$500,$I32,Q$2:Q$500,"&lt;&gt;"&amp;Q32,Q$2:Q$500,"&lt;&gt;")&gt;0,"CEK jenis fixture beda dalam satu series","OK"))))))))))</f>
        <v/>
      </c>
      <c r="V32" s="11" t="n"/>
      <c r="W32" s="11" t="n"/>
      <c r="X32" s="11" t="n"/>
      <c r="Y32" s="11">
        <f>IF(OR(V32="",W32=""),"",IFERROR(INDEX(LAYOUT!$D$2:$D$80,MATCH(V32&amp;"|"&amp;W32,LAYOUT!$E$2:$E$80,0)),""))</f>
        <v/>
      </c>
      <c r="Z32" s="12">
        <f>IF(AND(V32="",W32=""),IF(AND(L32="",M32="",Q32="",R32=""),IF(OR($D32&lt;&gt;"",$E32&lt;&gt;""),"Belum ditempatkan",""),""),IF(V32="","CEK JENIS FIXTURE kosong",IF(LEFT(V32,4)&lt;&gt;"Wall","CEK Fixture 3 hanya Wall",IF(W32="","CEK SHELVING KE kosong",IF(ISNA(MATCH(V32&amp;"|"&amp;W32,LAYOUT!$E$2:$E$80,0)),"CEK SHELVING KE di luar layout",IF($I32="","CEK SERIES kosong",IF(AND(X32&lt;&gt;"",NOT(ISNUMBER(X32))),"CEK URUTAN DISPLAY harus angka",IF($D32="","Zona STOCK",IF($E32="","CEK SKU DESCRIPTION kosong",IF(COUNTIFS($I$2:$I$500,$I32,V$2:V$500,"&lt;&gt;"&amp;V32,V$2:V$500,"&lt;&gt;")&gt;0,"CEK jenis fixture beda dalam satu series","OK"))))))))))</f>
        <v/>
      </c>
      <c r="AA32" s="12" t="n"/>
      <c r="AB32" s="11" t="n"/>
      <c r="AC32" s="11" t="n"/>
      <c r="AD32" s="11" t="n"/>
      <c r="AE32" s="11" t="n"/>
      <c r="AF32" s="11" t="n"/>
      <c r="AG32" s="11" t="n"/>
      <c r="AH32" s="12" t="n"/>
      <c r="AI32" s="12" t="n"/>
    </row>
    <row r="33">
      <c r="A33" s="10" t="inlineStr">
        <is>
          <t>Homeware</t>
        </is>
      </c>
      <c r="B33" s="10" t="inlineStr">
        <is>
          <t>Cookware</t>
        </is>
      </c>
      <c r="C33" s="10" t="inlineStr">
        <is>
          <t>Casserole</t>
        </is>
      </c>
      <c r="D33" s="10" t="inlineStr">
        <is>
          <t>10445962</t>
        </is>
      </c>
      <c r="E33" s="10" t="inlineStr">
        <is>
          <t>CASSEROLE SQUARE GOLD MARBLE W/LID 33CM</t>
        </is>
      </c>
      <c r="F33" s="10" t="n"/>
      <c r="G33" s="10" t="inlineStr">
        <is>
          <t>MASAK</t>
        </is>
      </c>
      <c r="H33" s="10" t="inlineStr">
        <is>
          <t>B1. CASSEROLE</t>
        </is>
      </c>
      <c r="I33" s="10" t="inlineStr">
        <is>
          <t>GOLD MARBLE</t>
        </is>
      </c>
      <c r="J33" s="10" t="n"/>
      <c r="K33" s="10" t="n"/>
      <c r="L33" s="11" t="n"/>
      <c r="M33" s="11" t="n"/>
      <c r="N33" s="11" t="n"/>
      <c r="O33" s="11">
        <f>IF(OR(L33="",M33=""),"",IFERROR(INDEX(LAYOUT!$D$2:$D$80,MATCH(L33&amp;"|"&amp;M33,LAYOUT!$E$2:$E$80,0)),""))</f>
        <v/>
      </c>
      <c r="P33" s="12">
        <f>IF(AND(L33="",M33=""),IF(AND(Q33="",R33="",V33="",W33=""),IF(OR($D33&lt;&gt;"",$E33&lt;&gt;""),"Belum ditempatkan",""),""),IF(L33="","CEK JENIS FIXTURE kosong",IF(AND(LEFT(L33,7)&lt;&gt;"Gondola",LEFT(L33,6)&lt;&gt;"Endcap"),"CEK Fixture 1 hanya Gondola atau Endcap",IF(M33="","CEK SHELVING KE kosong",IF(ISNA(MATCH(L33&amp;"|"&amp;M33,LAYOUT!$E$2:$E$80,0)),"CEK SHELVING KE di luar layout",IF($I33="","CEK SERIES kosong",IF(AND(N33&lt;&gt;"",NOT(ISNUMBER(N33))),"CEK URUTAN DISPLAY harus angka",IF($D33="","Zona STOCK",IF($E33="","CEK SKU DESCRIPTION kosong",IF(COUNTIFS($I$2:$I$500,$I33,L$2:L$500,"&lt;&gt;"&amp;L33,L$2:L$500,"&lt;&gt;")&gt;0,"CEK jenis fixture beda dalam satu series","OK"))))))))))</f>
        <v/>
      </c>
      <c r="Q33" s="11" t="n"/>
      <c r="R33" s="11" t="n"/>
      <c r="S33" s="11" t="n"/>
      <c r="T33" s="11">
        <f>IF(OR(Q33="",R33=""),"",IFERROR(INDEX(LAYOUT!$D$2:$D$80,MATCH(Q33&amp;"|"&amp;R33,LAYOUT!$E$2:$E$80,0)),""))</f>
        <v/>
      </c>
      <c r="U33" s="12">
        <f>IF(AND(Q33="",R33=""),IF(AND(L33="",M33="",V33="",W33=""),IF(OR($D33&lt;&gt;"",$E33&lt;&gt;""),"Belum ditempatkan",""),""),IF(Q33="","CEK JENIS FIXTURE kosong",IF(LEFT(Q33,4)&lt;&gt;"Wall","CEK Fixture 2 hanya Wall",IF(R33="","CEK SHELVING KE kosong",IF(ISNA(MATCH(Q33&amp;"|"&amp;R33,LAYOUT!$E$2:$E$80,0)),"CEK SHELVING KE di luar layout",IF($I33="","CEK SERIES kosong",IF(AND(S33&lt;&gt;"",NOT(ISNUMBER(S33))),"CEK URUTAN DISPLAY harus angka",IF($D33="","Zona STOCK",IF($E33="","CEK SKU DESCRIPTION kosong",IF(COUNTIFS($I$2:$I$500,$I33,Q$2:Q$500,"&lt;&gt;"&amp;Q33,Q$2:Q$500,"&lt;&gt;")&gt;0,"CEK jenis fixture beda dalam satu series","OK"))))))))))</f>
        <v/>
      </c>
      <c r="V33" s="11" t="n"/>
      <c r="W33" s="11" t="n"/>
      <c r="X33" s="11" t="n"/>
      <c r="Y33" s="11">
        <f>IF(OR(V33="",W33=""),"",IFERROR(INDEX(LAYOUT!$D$2:$D$80,MATCH(V33&amp;"|"&amp;W33,LAYOUT!$E$2:$E$80,0)),""))</f>
        <v/>
      </c>
      <c r="Z33" s="12">
        <f>IF(AND(V33="",W33=""),IF(AND(L33="",M33="",Q33="",R33=""),IF(OR($D33&lt;&gt;"",$E33&lt;&gt;""),"Belum ditempatkan",""),""),IF(V33="","CEK JENIS FIXTURE kosong",IF(LEFT(V33,4)&lt;&gt;"Wall","CEK Fixture 3 hanya Wall",IF(W33="","CEK SHELVING KE kosong",IF(ISNA(MATCH(V33&amp;"|"&amp;W33,LAYOUT!$E$2:$E$80,0)),"CEK SHELVING KE di luar layout",IF($I33="","CEK SERIES kosong",IF(AND(X33&lt;&gt;"",NOT(ISNUMBER(X33))),"CEK URUTAN DISPLAY harus angka",IF($D33="","Zona STOCK",IF($E33="","CEK SKU DESCRIPTION kosong",IF(COUNTIFS($I$2:$I$500,$I33,V$2:V$500,"&lt;&gt;"&amp;V33,V$2:V$500,"&lt;&gt;")&gt;0,"CEK jenis fixture beda dalam satu series","OK"))))))))))</f>
        <v/>
      </c>
      <c r="AA33" s="12" t="n"/>
      <c r="AB33" s="11" t="n"/>
      <c r="AC33" s="11" t="n"/>
      <c r="AD33" s="11" t="n"/>
      <c r="AE33" s="11" t="n"/>
      <c r="AF33" s="11" t="n"/>
      <c r="AG33" s="11" t="n"/>
      <c r="AH33" s="12" t="n"/>
      <c r="AI33" s="12" t="n"/>
    </row>
    <row r="34">
      <c r="A34" s="10" t="inlineStr">
        <is>
          <t>Homeware</t>
        </is>
      </c>
      <c r="B34" s="10" t="inlineStr">
        <is>
          <t>Storage</t>
        </is>
      </c>
      <c r="C34" s="10" t="inlineStr">
        <is>
          <t>Food Storage</t>
        </is>
      </c>
      <c r="D34" s="10" t="inlineStr">
        <is>
          <t>10680419</t>
        </is>
      </c>
      <c r="E34" s="10" t="inlineStr">
        <is>
          <t>MOSQUE DOME GLASS JAR SET OF 3 450ML</t>
        </is>
      </c>
      <c r="F34" s="10" t="n"/>
      <c r="G34" s="10" t="inlineStr">
        <is>
          <t>PENYIMPANAN</t>
        </is>
      </c>
      <c r="H34" s="10" t="inlineStr">
        <is>
          <t>E4. CANISTER</t>
        </is>
      </c>
      <c r="I34" s="10" t="inlineStr">
        <is>
          <t>GLASS FANCY</t>
        </is>
      </c>
      <c r="J34" s="10" t="n"/>
      <c r="K34" s="10" t="n"/>
      <c r="L34" s="11" t="n"/>
      <c r="M34" s="11" t="n"/>
      <c r="N34" s="11" t="n"/>
      <c r="O34" s="11">
        <f>IF(OR(L34="",M34=""),"",IFERROR(INDEX(LAYOUT!$D$2:$D$80,MATCH(L34&amp;"|"&amp;M34,LAYOUT!$E$2:$E$80,0)),""))</f>
        <v/>
      </c>
      <c r="P34" s="12">
        <f>IF(AND(L34="",M34=""),IF(AND(Q34="",R34="",V34="",W34=""),IF(OR($D34&lt;&gt;"",$E34&lt;&gt;""),"Belum ditempatkan",""),""),IF(L34="","CEK JENIS FIXTURE kosong",IF(AND(LEFT(L34,7)&lt;&gt;"Gondola",LEFT(L34,6)&lt;&gt;"Endcap"),"CEK Fixture 1 hanya Gondola atau Endcap",IF(M34="","CEK SHELVING KE kosong",IF(ISNA(MATCH(L34&amp;"|"&amp;M34,LAYOUT!$E$2:$E$80,0)),"CEK SHELVING KE di luar layout",IF($I34="","CEK SERIES kosong",IF(AND(N34&lt;&gt;"",NOT(ISNUMBER(N34))),"CEK URUTAN DISPLAY harus angka",IF($D34="","Zona STOCK",IF($E34="","CEK SKU DESCRIPTION kosong",IF(COUNTIFS($I$2:$I$500,$I34,L$2:L$500,"&lt;&gt;"&amp;L34,L$2:L$500,"&lt;&gt;")&gt;0,"CEK jenis fixture beda dalam satu series","OK"))))))))))</f>
        <v/>
      </c>
      <c r="Q34" s="11" t="n"/>
      <c r="R34" s="11" t="n"/>
      <c r="S34" s="11" t="n"/>
      <c r="T34" s="11">
        <f>IF(OR(Q34="",R34=""),"",IFERROR(INDEX(LAYOUT!$D$2:$D$80,MATCH(Q34&amp;"|"&amp;R34,LAYOUT!$E$2:$E$80,0)),""))</f>
        <v/>
      </c>
      <c r="U34" s="12">
        <f>IF(AND(Q34="",R34=""),IF(AND(L34="",M34="",V34="",W34=""),IF(OR($D34&lt;&gt;"",$E34&lt;&gt;""),"Belum ditempatkan",""),""),IF(Q34="","CEK JENIS FIXTURE kosong",IF(LEFT(Q34,4)&lt;&gt;"Wall","CEK Fixture 2 hanya Wall",IF(R34="","CEK SHELVING KE kosong",IF(ISNA(MATCH(Q34&amp;"|"&amp;R34,LAYOUT!$E$2:$E$80,0)),"CEK SHELVING KE di luar layout",IF($I34="","CEK SERIES kosong",IF(AND(S34&lt;&gt;"",NOT(ISNUMBER(S34))),"CEK URUTAN DISPLAY harus angka",IF($D34="","Zona STOCK",IF($E34="","CEK SKU DESCRIPTION kosong",IF(COUNTIFS($I$2:$I$500,$I34,Q$2:Q$500,"&lt;&gt;"&amp;Q34,Q$2:Q$500,"&lt;&gt;")&gt;0,"CEK jenis fixture beda dalam satu series","OK"))))))))))</f>
        <v/>
      </c>
      <c r="V34" s="11" t="n"/>
      <c r="W34" s="11" t="n"/>
      <c r="X34" s="11" t="n"/>
      <c r="Y34" s="11">
        <f>IF(OR(V34="",W34=""),"",IFERROR(INDEX(LAYOUT!$D$2:$D$80,MATCH(V34&amp;"|"&amp;W34,LAYOUT!$E$2:$E$80,0)),""))</f>
        <v/>
      </c>
      <c r="Z34" s="12">
        <f>IF(AND(V34="",W34=""),IF(AND(L34="",M34="",Q34="",R34=""),IF(OR($D34&lt;&gt;"",$E34&lt;&gt;""),"Belum ditempatkan",""),""),IF(V34="","CEK JENIS FIXTURE kosong",IF(LEFT(V34,4)&lt;&gt;"Wall","CEK Fixture 3 hanya Wall",IF(W34="","CEK SHELVING KE kosong",IF(ISNA(MATCH(V34&amp;"|"&amp;W34,LAYOUT!$E$2:$E$80,0)),"CEK SHELVING KE di luar layout",IF($I34="","CEK SERIES kosong",IF(AND(X34&lt;&gt;"",NOT(ISNUMBER(X34))),"CEK URUTAN DISPLAY harus angka",IF($D34="","Zona STOCK",IF($E34="","CEK SKU DESCRIPTION kosong",IF(COUNTIFS($I$2:$I$500,$I34,V$2:V$500,"&lt;&gt;"&amp;V34,V$2:V$500,"&lt;&gt;")&gt;0,"CEK jenis fixture beda dalam satu series","OK"))))))))))</f>
        <v/>
      </c>
      <c r="AA34" s="12" t="n"/>
      <c r="AB34" s="11" t="n"/>
      <c r="AC34" s="11" t="n"/>
      <c r="AD34" s="11" t="n"/>
      <c r="AE34" s="11" t="n"/>
      <c r="AF34" s="11" t="n"/>
      <c r="AG34" s="11" t="n"/>
      <c r="AH34" s="12" t="n"/>
      <c r="AI34" s="12" t="n"/>
    </row>
    <row r="35">
      <c r="A35" s="10" t="inlineStr">
        <is>
          <t>Homeware</t>
        </is>
      </c>
      <c r="B35" s="10" t="inlineStr">
        <is>
          <t>Drinkware</t>
        </is>
      </c>
      <c r="C35" s="10" t="inlineStr">
        <is>
          <t>Glassware</t>
        </is>
      </c>
      <c r="D35" s="10" t="inlineStr">
        <is>
          <t>10099887</t>
        </is>
      </c>
      <c r="E35" s="10" t="inlineStr">
        <is>
          <t>ELAN WATER GLASS SET 414ML (6)</t>
        </is>
      </c>
      <c r="F35" s="10" t="n"/>
      <c r="G35" s="10" t="inlineStr">
        <is>
          <t>MAKAN</t>
        </is>
      </c>
      <c r="H35" s="10" t="inlineStr">
        <is>
          <t>A1. GLASSWARE</t>
        </is>
      </c>
      <c r="I35" s="10" t="inlineStr">
        <is>
          <t>ELAN</t>
        </is>
      </c>
      <c r="J35" s="10" t="n"/>
      <c r="K35" s="10" t="n"/>
      <c r="L35" s="11" t="n"/>
      <c r="M35" s="11" t="n"/>
      <c r="N35" s="11" t="n"/>
      <c r="O35" s="11">
        <f>IF(OR(L35="",M35=""),"",IFERROR(INDEX(LAYOUT!$D$2:$D$80,MATCH(L35&amp;"|"&amp;M35,LAYOUT!$E$2:$E$80,0)),""))</f>
        <v/>
      </c>
      <c r="P35" s="12">
        <f>IF(AND(L35="",M35=""),IF(AND(Q35="",R35="",V35="",W35=""),IF(OR($D35&lt;&gt;"",$E35&lt;&gt;""),"Belum ditempatkan",""),""),IF(L35="","CEK JENIS FIXTURE kosong",IF(AND(LEFT(L35,7)&lt;&gt;"Gondola",LEFT(L35,6)&lt;&gt;"Endcap"),"CEK Fixture 1 hanya Gondola atau Endcap",IF(M35="","CEK SHELVING KE kosong",IF(ISNA(MATCH(L35&amp;"|"&amp;M35,LAYOUT!$E$2:$E$80,0)),"CEK SHELVING KE di luar layout",IF($I35="","CEK SERIES kosong",IF(AND(N35&lt;&gt;"",NOT(ISNUMBER(N35))),"CEK URUTAN DISPLAY harus angka",IF($D35="","Zona STOCK",IF($E35="","CEK SKU DESCRIPTION kosong",IF(COUNTIFS($I$2:$I$500,$I35,L$2:L$500,"&lt;&gt;"&amp;L35,L$2:L$500,"&lt;&gt;")&gt;0,"CEK jenis fixture beda dalam satu series","OK"))))))))))</f>
        <v/>
      </c>
      <c r="Q35" s="11" t="n"/>
      <c r="R35" s="11" t="n"/>
      <c r="S35" s="11" t="n"/>
      <c r="T35" s="11">
        <f>IF(OR(Q35="",R35=""),"",IFERROR(INDEX(LAYOUT!$D$2:$D$80,MATCH(Q35&amp;"|"&amp;R35,LAYOUT!$E$2:$E$80,0)),""))</f>
        <v/>
      </c>
      <c r="U35" s="12">
        <f>IF(AND(Q35="",R35=""),IF(AND(L35="",M35="",V35="",W35=""),IF(OR($D35&lt;&gt;"",$E35&lt;&gt;""),"Belum ditempatkan",""),""),IF(Q35="","CEK JENIS FIXTURE kosong",IF(LEFT(Q35,4)&lt;&gt;"Wall","CEK Fixture 2 hanya Wall",IF(R35="","CEK SHELVING KE kosong",IF(ISNA(MATCH(Q35&amp;"|"&amp;R35,LAYOUT!$E$2:$E$80,0)),"CEK SHELVING KE di luar layout",IF($I35="","CEK SERIES kosong",IF(AND(S35&lt;&gt;"",NOT(ISNUMBER(S35))),"CEK URUTAN DISPLAY harus angka",IF($D35="","Zona STOCK",IF($E35="","CEK SKU DESCRIPTION kosong",IF(COUNTIFS($I$2:$I$500,$I35,Q$2:Q$500,"&lt;&gt;"&amp;Q35,Q$2:Q$500,"&lt;&gt;")&gt;0,"CEK jenis fixture beda dalam satu series","OK"))))))))))</f>
        <v/>
      </c>
      <c r="V35" s="11" t="n"/>
      <c r="W35" s="11" t="n"/>
      <c r="X35" s="11" t="n"/>
      <c r="Y35" s="11">
        <f>IF(OR(V35="",W35=""),"",IFERROR(INDEX(LAYOUT!$D$2:$D$80,MATCH(V35&amp;"|"&amp;W35,LAYOUT!$E$2:$E$80,0)),""))</f>
        <v/>
      </c>
      <c r="Z35" s="12">
        <f>IF(AND(V35="",W35=""),IF(AND(L35="",M35="",Q35="",R35=""),IF(OR($D35&lt;&gt;"",$E35&lt;&gt;""),"Belum ditempatkan",""),""),IF(V35="","CEK JENIS FIXTURE kosong",IF(LEFT(V35,4)&lt;&gt;"Wall","CEK Fixture 3 hanya Wall",IF(W35="","CEK SHELVING KE kosong",IF(ISNA(MATCH(V35&amp;"|"&amp;W35,LAYOUT!$E$2:$E$80,0)),"CEK SHELVING KE di luar layout",IF($I35="","CEK SERIES kosong",IF(AND(X35&lt;&gt;"",NOT(ISNUMBER(X35))),"CEK URUTAN DISPLAY harus angka",IF($D35="","Zona STOCK",IF($E35="","CEK SKU DESCRIPTION kosong",IF(COUNTIFS($I$2:$I$500,$I35,V$2:V$500,"&lt;&gt;"&amp;V35,V$2:V$500,"&lt;&gt;")&gt;0,"CEK jenis fixture beda dalam satu series","OK"))))))))))</f>
        <v/>
      </c>
      <c r="AA35" s="12" t="n"/>
      <c r="AB35" s="11" t="n"/>
      <c r="AC35" s="11" t="n"/>
      <c r="AD35" s="11" t="n"/>
      <c r="AE35" s="11" t="n"/>
      <c r="AF35" s="11" t="n"/>
      <c r="AG35" s="11" t="n"/>
      <c r="AH35" s="12" t="n"/>
      <c r="AI35" s="12" t="n"/>
    </row>
    <row r="36">
      <c r="A36" s="10" t="inlineStr">
        <is>
          <t>Homeware</t>
        </is>
      </c>
      <c r="B36" s="10" t="inlineStr">
        <is>
          <t>Cookware</t>
        </is>
      </c>
      <c r="C36" s="10" t="inlineStr">
        <is>
          <t>Casserole</t>
        </is>
      </c>
      <c r="D36" s="10" t="inlineStr">
        <is>
          <t>10606307</t>
        </is>
      </c>
      <c r="E36" s="10" t="inlineStr">
        <is>
          <t>CASSEROLE RECT MARBLE W/RACK WHT 38CM</t>
        </is>
      </c>
      <c r="F36" s="10" t="n"/>
      <c r="G36" s="10" t="inlineStr">
        <is>
          <t>MASAK</t>
        </is>
      </c>
      <c r="H36" s="10" t="inlineStr">
        <is>
          <t>B1. CASSEROLE</t>
        </is>
      </c>
      <c r="I36" s="10" t="inlineStr">
        <is>
          <t>MARBLE W/RACK</t>
        </is>
      </c>
      <c r="J36" s="10" t="n"/>
      <c r="K36" s="10" t="n"/>
      <c r="L36" s="11" t="n"/>
      <c r="M36" s="11" t="n"/>
      <c r="N36" s="11" t="n"/>
      <c r="O36" s="11">
        <f>IF(OR(L36="",M36=""),"",IFERROR(INDEX(LAYOUT!$D$2:$D$80,MATCH(L36&amp;"|"&amp;M36,LAYOUT!$E$2:$E$80,0)),""))</f>
        <v/>
      </c>
      <c r="P36" s="12">
        <f>IF(AND(L36="",M36=""),IF(AND(Q36="",R36="",V36="",W36=""),IF(OR($D36&lt;&gt;"",$E36&lt;&gt;""),"Belum ditempatkan",""),""),IF(L36="","CEK JENIS FIXTURE kosong",IF(AND(LEFT(L36,7)&lt;&gt;"Gondola",LEFT(L36,6)&lt;&gt;"Endcap"),"CEK Fixture 1 hanya Gondola atau Endcap",IF(M36="","CEK SHELVING KE kosong",IF(ISNA(MATCH(L36&amp;"|"&amp;M36,LAYOUT!$E$2:$E$80,0)),"CEK SHELVING KE di luar layout",IF($I36="","CEK SERIES kosong",IF(AND(N36&lt;&gt;"",NOT(ISNUMBER(N36))),"CEK URUTAN DISPLAY harus angka",IF($D36="","Zona STOCK",IF($E36="","CEK SKU DESCRIPTION kosong",IF(COUNTIFS($I$2:$I$500,$I36,L$2:L$500,"&lt;&gt;"&amp;L36,L$2:L$500,"&lt;&gt;")&gt;0,"CEK jenis fixture beda dalam satu series","OK"))))))))))</f>
        <v/>
      </c>
      <c r="Q36" s="11" t="n"/>
      <c r="R36" s="11" t="n"/>
      <c r="S36" s="11" t="n"/>
      <c r="T36" s="11">
        <f>IF(OR(Q36="",R36=""),"",IFERROR(INDEX(LAYOUT!$D$2:$D$80,MATCH(Q36&amp;"|"&amp;R36,LAYOUT!$E$2:$E$80,0)),""))</f>
        <v/>
      </c>
      <c r="U36" s="12">
        <f>IF(AND(Q36="",R36=""),IF(AND(L36="",M36="",V36="",W36=""),IF(OR($D36&lt;&gt;"",$E36&lt;&gt;""),"Belum ditempatkan",""),""),IF(Q36="","CEK JENIS FIXTURE kosong",IF(LEFT(Q36,4)&lt;&gt;"Wall","CEK Fixture 2 hanya Wall",IF(R36="","CEK SHELVING KE kosong",IF(ISNA(MATCH(Q36&amp;"|"&amp;R36,LAYOUT!$E$2:$E$80,0)),"CEK SHELVING KE di luar layout",IF($I36="","CEK SERIES kosong",IF(AND(S36&lt;&gt;"",NOT(ISNUMBER(S36))),"CEK URUTAN DISPLAY harus angka",IF($D36="","Zona STOCK",IF($E36="","CEK SKU DESCRIPTION kosong",IF(COUNTIFS($I$2:$I$500,$I36,Q$2:Q$500,"&lt;&gt;"&amp;Q36,Q$2:Q$500,"&lt;&gt;")&gt;0,"CEK jenis fixture beda dalam satu series","OK"))))))))))</f>
        <v/>
      </c>
      <c r="V36" s="11" t="n"/>
      <c r="W36" s="11" t="n"/>
      <c r="X36" s="11" t="n"/>
      <c r="Y36" s="11">
        <f>IF(OR(V36="",W36=""),"",IFERROR(INDEX(LAYOUT!$D$2:$D$80,MATCH(V36&amp;"|"&amp;W36,LAYOUT!$E$2:$E$80,0)),""))</f>
        <v/>
      </c>
      <c r="Z36" s="12">
        <f>IF(AND(V36="",W36=""),IF(AND(L36="",M36="",Q36="",R36=""),IF(OR($D36&lt;&gt;"",$E36&lt;&gt;""),"Belum ditempatkan",""),""),IF(V36="","CEK JENIS FIXTURE kosong",IF(LEFT(V36,4)&lt;&gt;"Wall","CEK Fixture 3 hanya Wall",IF(W36="","CEK SHELVING KE kosong",IF(ISNA(MATCH(V36&amp;"|"&amp;W36,LAYOUT!$E$2:$E$80,0)),"CEK SHELVING KE di luar layout",IF($I36="","CEK SERIES kosong",IF(AND(X36&lt;&gt;"",NOT(ISNUMBER(X36))),"CEK URUTAN DISPLAY harus angka",IF($D36="","Zona STOCK",IF($E36="","CEK SKU DESCRIPTION kosong",IF(COUNTIFS($I$2:$I$500,$I36,V$2:V$500,"&lt;&gt;"&amp;V36,V$2:V$500,"&lt;&gt;")&gt;0,"CEK jenis fixture beda dalam satu series","OK"))))))))))</f>
        <v/>
      </c>
      <c r="AA36" s="12" t="n"/>
      <c r="AB36" s="11" t="n"/>
      <c r="AC36" s="11" t="n"/>
      <c r="AD36" s="11" t="n"/>
      <c r="AE36" s="11" t="n"/>
      <c r="AF36" s="11" t="n"/>
      <c r="AG36" s="11" t="n"/>
      <c r="AH36" s="12" t="n"/>
      <c r="AI36" s="12" t="n"/>
    </row>
    <row r="37">
      <c r="A37" s="10" t="inlineStr">
        <is>
          <t>Homeware</t>
        </is>
      </c>
      <c r="B37" s="10" t="inlineStr">
        <is>
          <t>Cookware</t>
        </is>
      </c>
      <c r="C37" s="10" t="inlineStr">
        <is>
          <t>Pots &amp; Pans</t>
        </is>
      </c>
      <c r="D37" s="10" t="inlineStr">
        <is>
          <t>10421603</t>
        </is>
      </c>
      <c r="E37" s="10" t="inlineStr">
        <is>
          <t>KINGSTON SAUCEPAN WITH LID 16CM GREEN</t>
        </is>
      </c>
      <c r="F37" s="10" t="n"/>
      <c r="G37" s="10" t="inlineStr">
        <is>
          <t>MASAK</t>
        </is>
      </c>
      <c r="H37" s="10" t="inlineStr">
        <is>
          <t>B2. COOKWARE</t>
        </is>
      </c>
      <c r="I37" s="10" t="inlineStr">
        <is>
          <t>KINGSTON</t>
        </is>
      </c>
      <c r="J37" s="10" t="n"/>
      <c r="K37" s="10" t="n"/>
      <c r="L37" s="11" t="n"/>
      <c r="M37" s="11" t="n"/>
      <c r="N37" s="11" t="n"/>
      <c r="O37" s="11">
        <f>IF(OR(L37="",M37=""),"",IFERROR(INDEX(LAYOUT!$D$2:$D$80,MATCH(L37&amp;"|"&amp;M37,LAYOUT!$E$2:$E$80,0)),""))</f>
        <v/>
      </c>
      <c r="P37" s="12">
        <f>IF(AND(L37="",M37=""),IF(AND(Q37="",R37="",V37="",W37=""),IF(OR($D37&lt;&gt;"",$E37&lt;&gt;""),"Belum ditempatkan",""),""),IF(L37="","CEK JENIS FIXTURE kosong",IF(AND(LEFT(L37,7)&lt;&gt;"Gondola",LEFT(L37,6)&lt;&gt;"Endcap"),"CEK Fixture 1 hanya Gondola atau Endcap",IF(M37="","CEK SHELVING KE kosong",IF(ISNA(MATCH(L37&amp;"|"&amp;M37,LAYOUT!$E$2:$E$80,0)),"CEK SHELVING KE di luar layout",IF($I37="","CEK SERIES kosong",IF(AND(N37&lt;&gt;"",NOT(ISNUMBER(N37))),"CEK URUTAN DISPLAY harus angka",IF($D37="","Zona STOCK",IF($E37="","CEK SKU DESCRIPTION kosong",IF(COUNTIFS($I$2:$I$500,$I37,L$2:L$500,"&lt;&gt;"&amp;L37,L$2:L$500,"&lt;&gt;")&gt;0,"CEK jenis fixture beda dalam satu series","OK"))))))))))</f>
        <v/>
      </c>
      <c r="Q37" s="11" t="n"/>
      <c r="R37" s="11" t="n"/>
      <c r="S37" s="11" t="n"/>
      <c r="T37" s="11">
        <f>IF(OR(Q37="",R37=""),"",IFERROR(INDEX(LAYOUT!$D$2:$D$80,MATCH(Q37&amp;"|"&amp;R37,LAYOUT!$E$2:$E$80,0)),""))</f>
        <v/>
      </c>
      <c r="U37" s="12">
        <f>IF(AND(Q37="",R37=""),IF(AND(L37="",M37="",V37="",W37=""),IF(OR($D37&lt;&gt;"",$E37&lt;&gt;""),"Belum ditempatkan",""),""),IF(Q37="","CEK JENIS FIXTURE kosong",IF(LEFT(Q37,4)&lt;&gt;"Wall","CEK Fixture 2 hanya Wall",IF(R37="","CEK SHELVING KE kosong",IF(ISNA(MATCH(Q37&amp;"|"&amp;R37,LAYOUT!$E$2:$E$80,0)),"CEK SHELVING KE di luar layout",IF($I37="","CEK SERIES kosong",IF(AND(S37&lt;&gt;"",NOT(ISNUMBER(S37))),"CEK URUTAN DISPLAY harus angka",IF($D37="","Zona STOCK",IF($E37="","CEK SKU DESCRIPTION kosong",IF(COUNTIFS($I$2:$I$500,$I37,Q$2:Q$500,"&lt;&gt;"&amp;Q37,Q$2:Q$500,"&lt;&gt;")&gt;0,"CEK jenis fixture beda dalam satu series","OK"))))))))))</f>
        <v/>
      </c>
      <c r="V37" s="11" t="n"/>
      <c r="W37" s="11" t="n"/>
      <c r="X37" s="11" t="n"/>
      <c r="Y37" s="11">
        <f>IF(OR(V37="",W37=""),"",IFERROR(INDEX(LAYOUT!$D$2:$D$80,MATCH(V37&amp;"|"&amp;W37,LAYOUT!$E$2:$E$80,0)),""))</f>
        <v/>
      </c>
      <c r="Z37" s="12">
        <f>IF(AND(V37="",W37=""),IF(AND(L37="",M37="",Q37="",R37=""),IF(OR($D37&lt;&gt;"",$E37&lt;&gt;""),"Belum ditempatkan",""),""),IF(V37="","CEK JENIS FIXTURE kosong",IF(LEFT(V37,4)&lt;&gt;"Wall","CEK Fixture 3 hanya Wall",IF(W37="","CEK SHELVING KE kosong",IF(ISNA(MATCH(V37&amp;"|"&amp;W37,LAYOUT!$E$2:$E$80,0)),"CEK SHELVING KE di luar layout",IF($I37="","CEK SERIES kosong",IF(AND(X37&lt;&gt;"",NOT(ISNUMBER(X37))),"CEK URUTAN DISPLAY harus angka",IF($D37="","Zona STOCK",IF($E37="","CEK SKU DESCRIPTION kosong",IF(COUNTIFS($I$2:$I$500,$I37,V$2:V$500,"&lt;&gt;"&amp;V37,V$2:V$500,"&lt;&gt;")&gt;0,"CEK jenis fixture beda dalam satu series","OK"))))))))))</f>
        <v/>
      </c>
      <c r="AA37" s="12" t="n"/>
      <c r="AB37" s="11" t="n"/>
      <c r="AC37" s="11" t="n"/>
      <c r="AD37" s="11" t="n"/>
      <c r="AE37" s="11" t="n"/>
      <c r="AF37" s="11" t="n"/>
      <c r="AG37" s="11" t="n"/>
      <c r="AH37" s="12" t="n"/>
      <c r="AI37" s="12" t="n"/>
    </row>
    <row r="38">
      <c r="A38" s="10" t="inlineStr">
        <is>
          <t>Homeware</t>
        </is>
      </c>
      <c r="B38" s="10" t="inlineStr">
        <is>
          <t>Cookware</t>
        </is>
      </c>
      <c r="C38" s="10" t="inlineStr">
        <is>
          <t>Pots &amp; Pans</t>
        </is>
      </c>
      <c r="D38" s="10" t="inlineStr">
        <is>
          <t>10421608</t>
        </is>
      </c>
      <c r="E38" s="10" t="inlineStr">
        <is>
          <t>KINGSTON CASSEROLE WITH LID 20 CM GREEN</t>
        </is>
      </c>
      <c r="F38" s="10" t="n"/>
      <c r="G38" s="10" t="inlineStr">
        <is>
          <t>MASAK</t>
        </is>
      </c>
      <c r="H38" s="10" t="inlineStr">
        <is>
          <t>B2. COOKWARE</t>
        </is>
      </c>
      <c r="I38" s="10" t="inlineStr">
        <is>
          <t>KINGSTON</t>
        </is>
      </c>
      <c r="J38" s="10" t="n"/>
      <c r="K38" s="10" t="n"/>
      <c r="L38" s="11" t="n"/>
      <c r="M38" s="11" t="n"/>
      <c r="N38" s="11" t="n"/>
      <c r="O38" s="11">
        <f>IF(OR(L38="",M38=""),"",IFERROR(INDEX(LAYOUT!$D$2:$D$80,MATCH(L38&amp;"|"&amp;M38,LAYOUT!$E$2:$E$80,0)),""))</f>
        <v/>
      </c>
      <c r="P38" s="12">
        <f>IF(AND(L38="",M38=""),IF(AND(Q38="",R38="",V38="",W38=""),IF(OR($D38&lt;&gt;"",$E38&lt;&gt;""),"Belum ditempatkan",""),""),IF(L38="","CEK JENIS FIXTURE kosong",IF(AND(LEFT(L38,7)&lt;&gt;"Gondola",LEFT(L38,6)&lt;&gt;"Endcap"),"CEK Fixture 1 hanya Gondola atau Endcap",IF(M38="","CEK SHELVING KE kosong",IF(ISNA(MATCH(L38&amp;"|"&amp;M38,LAYOUT!$E$2:$E$80,0)),"CEK SHELVING KE di luar layout",IF($I38="","CEK SERIES kosong",IF(AND(N38&lt;&gt;"",NOT(ISNUMBER(N38))),"CEK URUTAN DISPLAY harus angka",IF($D38="","Zona STOCK",IF($E38="","CEK SKU DESCRIPTION kosong",IF(COUNTIFS($I$2:$I$500,$I38,L$2:L$500,"&lt;&gt;"&amp;L38,L$2:L$500,"&lt;&gt;")&gt;0,"CEK jenis fixture beda dalam satu series","OK"))))))))))</f>
        <v/>
      </c>
      <c r="Q38" s="11" t="n"/>
      <c r="R38" s="11" t="n"/>
      <c r="S38" s="11" t="n"/>
      <c r="T38" s="11">
        <f>IF(OR(Q38="",R38=""),"",IFERROR(INDEX(LAYOUT!$D$2:$D$80,MATCH(Q38&amp;"|"&amp;R38,LAYOUT!$E$2:$E$80,0)),""))</f>
        <v/>
      </c>
      <c r="U38" s="12">
        <f>IF(AND(Q38="",R38=""),IF(AND(L38="",M38="",V38="",W38=""),IF(OR($D38&lt;&gt;"",$E38&lt;&gt;""),"Belum ditempatkan",""),""),IF(Q38="","CEK JENIS FIXTURE kosong",IF(LEFT(Q38,4)&lt;&gt;"Wall","CEK Fixture 2 hanya Wall",IF(R38="","CEK SHELVING KE kosong",IF(ISNA(MATCH(Q38&amp;"|"&amp;R38,LAYOUT!$E$2:$E$80,0)),"CEK SHELVING KE di luar layout",IF($I38="","CEK SERIES kosong",IF(AND(S38&lt;&gt;"",NOT(ISNUMBER(S38))),"CEK URUTAN DISPLAY harus angka",IF($D38="","Zona STOCK",IF($E38="","CEK SKU DESCRIPTION kosong",IF(COUNTIFS($I$2:$I$500,$I38,Q$2:Q$500,"&lt;&gt;"&amp;Q38,Q$2:Q$500,"&lt;&gt;")&gt;0,"CEK jenis fixture beda dalam satu series","OK"))))))))))</f>
        <v/>
      </c>
      <c r="V38" s="11" t="n"/>
      <c r="W38" s="11" t="n"/>
      <c r="X38" s="11" t="n"/>
      <c r="Y38" s="11">
        <f>IF(OR(V38="",W38=""),"",IFERROR(INDEX(LAYOUT!$D$2:$D$80,MATCH(V38&amp;"|"&amp;W38,LAYOUT!$E$2:$E$80,0)),""))</f>
        <v/>
      </c>
      <c r="Z38" s="12">
        <f>IF(AND(V38="",W38=""),IF(AND(L38="",M38="",Q38="",R38=""),IF(OR($D38&lt;&gt;"",$E38&lt;&gt;""),"Belum ditempatkan",""),""),IF(V38="","CEK JENIS FIXTURE kosong",IF(LEFT(V38,4)&lt;&gt;"Wall","CEK Fixture 3 hanya Wall",IF(W38="","CEK SHELVING KE kosong",IF(ISNA(MATCH(V38&amp;"|"&amp;W38,LAYOUT!$E$2:$E$80,0)),"CEK SHELVING KE di luar layout",IF($I38="","CEK SERIES kosong",IF(AND(X38&lt;&gt;"",NOT(ISNUMBER(X38))),"CEK URUTAN DISPLAY harus angka",IF($D38="","Zona STOCK",IF($E38="","CEK SKU DESCRIPTION kosong",IF(COUNTIFS($I$2:$I$500,$I38,V$2:V$500,"&lt;&gt;"&amp;V38,V$2:V$500,"&lt;&gt;")&gt;0,"CEK jenis fixture beda dalam satu series","OK"))))))))))</f>
        <v/>
      </c>
      <c r="AA38" s="12" t="n"/>
      <c r="AB38" s="11" t="n"/>
      <c r="AC38" s="11" t="n"/>
      <c r="AD38" s="11" t="n"/>
      <c r="AE38" s="11" t="n"/>
      <c r="AF38" s="11" t="n"/>
      <c r="AG38" s="11" t="n"/>
      <c r="AH38" s="12" t="n"/>
      <c r="AI38" s="12" t="n"/>
    </row>
    <row r="39">
      <c r="A39" s="10" t="inlineStr">
        <is>
          <t>Homeware</t>
        </is>
      </c>
      <c r="B39" s="10" t="inlineStr">
        <is>
          <t>Cookware</t>
        </is>
      </c>
      <c r="C39" s="10" t="inlineStr">
        <is>
          <t>Pots &amp; Pans</t>
        </is>
      </c>
      <c r="D39" s="10" t="inlineStr">
        <is>
          <t>10421610</t>
        </is>
      </c>
      <c r="E39" s="10" t="inlineStr">
        <is>
          <t>KINGSTON GRILL PAN 24CM GREEN</t>
        </is>
      </c>
      <c r="F39" s="10" t="n"/>
      <c r="G39" s="10" t="inlineStr">
        <is>
          <t>MASAK</t>
        </is>
      </c>
      <c r="H39" s="10" t="inlineStr">
        <is>
          <t>B2. COOKWARE</t>
        </is>
      </c>
      <c r="I39" s="10" t="inlineStr">
        <is>
          <t>KINGSTON</t>
        </is>
      </c>
      <c r="J39" s="10" t="n"/>
      <c r="K39" s="10" t="n"/>
      <c r="L39" s="11" t="n"/>
      <c r="M39" s="11" t="n"/>
      <c r="N39" s="11" t="n"/>
      <c r="O39" s="11">
        <f>IF(OR(L39="",M39=""),"",IFERROR(INDEX(LAYOUT!$D$2:$D$80,MATCH(L39&amp;"|"&amp;M39,LAYOUT!$E$2:$E$80,0)),""))</f>
        <v/>
      </c>
      <c r="P39" s="12">
        <f>IF(AND(L39="",M39=""),IF(AND(Q39="",R39="",V39="",W39=""),IF(OR($D39&lt;&gt;"",$E39&lt;&gt;""),"Belum ditempatkan",""),""),IF(L39="","CEK JENIS FIXTURE kosong",IF(AND(LEFT(L39,7)&lt;&gt;"Gondola",LEFT(L39,6)&lt;&gt;"Endcap"),"CEK Fixture 1 hanya Gondola atau Endcap",IF(M39="","CEK SHELVING KE kosong",IF(ISNA(MATCH(L39&amp;"|"&amp;M39,LAYOUT!$E$2:$E$80,0)),"CEK SHELVING KE di luar layout",IF($I39="","CEK SERIES kosong",IF(AND(N39&lt;&gt;"",NOT(ISNUMBER(N39))),"CEK URUTAN DISPLAY harus angka",IF($D39="","Zona STOCK",IF($E39="","CEK SKU DESCRIPTION kosong",IF(COUNTIFS($I$2:$I$500,$I39,L$2:L$500,"&lt;&gt;"&amp;L39,L$2:L$500,"&lt;&gt;")&gt;0,"CEK jenis fixture beda dalam satu series","OK"))))))))))</f>
        <v/>
      </c>
      <c r="Q39" s="11" t="n"/>
      <c r="R39" s="11" t="n"/>
      <c r="S39" s="11" t="n"/>
      <c r="T39" s="11">
        <f>IF(OR(Q39="",R39=""),"",IFERROR(INDEX(LAYOUT!$D$2:$D$80,MATCH(Q39&amp;"|"&amp;R39,LAYOUT!$E$2:$E$80,0)),""))</f>
        <v/>
      </c>
      <c r="U39" s="12">
        <f>IF(AND(Q39="",R39=""),IF(AND(L39="",M39="",V39="",W39=""),IF(OR($D39&lt;&gt;"",$E39&lt;&gt;""),"Belum ditempatkan",""),""),IF(Q39="","CEK JENIS FIXTURE kosong",IF(LEFT(Q39,4)&lt;&gt;"Wall","CEK Fixture 2 hanya Wall",IF(R39="","CEK SHELVING KE kosong",IF(ISNA(MATCH(Q39&amp;"|"&amp;R39,LAYOUT!$E$2:$E$80,0)),"CEK SHELVING KE di luar layout",IF($I39="","CEK SERIES kosong",IF(AND(S39&lt;&gt;"",NOT(ISNUMBER(S39))),"CEK URUTAN DISPLAY harus angka",IF($D39="","Zona STOCK",IF($E39="","CEK SKU DESCRIPTION kosong",IF(COUNTIFS($I$2:$I$500,$I39,Q$2:Q$500,"&lt;&gt;"&amp;Q39,Q$2:Q$500,"&lt;&gt;")&gt;0,"CEK jenis fixture beda dalam satu series","OK"))))))))))</f>
        <v/>
      </c>
      <c r="V39" s="11" t="n"/>
      <c r="W39" s="11" t="n"/>
      <c r="X39" s="11" t="n"/>
      <c r="Y39" s="11">
        <f>IF(OR(V39="",W39=""),"",IFERROR(INDEX(LAYOUT!$D$2:$D$80,MATCH(V39&amp;"|"&amp;W39,LAYOUT!$E$2:$E$80,0)),""))</f>
        <v/>
      </c>
      <c r="Z39" s="12">
        <f>IF(AND(V39="",W39=""),IF(AND(L39="",M39="",Q39="",R39=""),IF(OR($D39&lt;&gt;"",$E39&lt;&gt;""),"Belum ditempatkan",""),""),IF(V39="","CEK JENIS FIXTURE kosong",IF(LEFT(V39,4)&lt;&gt;"Wall","CEK Fixture 3 hanya Wall",IF(W39="","CEK SHELVING KE kosong",IF(ISNA(MATCH(V39&amp;"|"&amp;W39,LAYOUT!$E$2:$E$80,0)),"CEK SHELVING KE di luar layout",IF($I39="","CEK SERIES kosong",IF(AND(X39&lt;&gt;"",NOT(ISNUMBER(X39))),"CEK URUTAN DISPLAY harus angka",IF($D39="","Zona STOCK",IF($E39="","CEK SKU DESCRIPTION kosong",IF(COUNTIFS($I$2:$I$500,$I39,V$2:V$500,"&lt;&gt;"&amp;V39,V$2:V$500,"&lt;&gt;")&gt;0,"CEK jenis fixture beda dalam satu series","OK"))))))))))</f>
        <v/>
      </c>
      <c r="AA39" s="12" t="n"/>
      <c r="AB39" s="11" t="n"/>
      <c r="AC39" s="11" t="n"/>
      <c r="AD39" s="11" t="n"/>
      <c r="AE39" s="11" t="n"/>
      <c r="AF39" s="11" t="n"/>
      <c r="AG39" s="11" t="n"/>
      <c r="AH39" s="12" t="n"/>
      <c r="AI39" s="12" t="n"/>
    </row>
    <row r="40">
      <c r="A40" s="10" t="inlineStr">
        <is>
          <t>Homeware</t>
        </is>
      </c>
      <c r="B40" s="10" t="inlineStr">
        <is>
          <t>Cookware</t>
        </is>
      </c>
      <c r="C40" s="10" t="inlineStr">
        <is>
          <t>Pots &amp; Pans</t>
        </is>
      </c>
      <c r="D40" s="10" t="inlineStr">
        <is>
          <t>10421614</t>
        </is>
      </c>
      <c r="E40" s="10" t="inlineStr">
        <is>
          <t>KIRA WOK 2 HANDLE W LID AND UTENSIL BRN</t>
        </is>
      </c>
      <c r="F40" s="10" t="n"/>
      <c r="G40" s="10" t="inlineStr">
        <is>
          <t>MASAK</t>
        </is>
      </c>
      <c r="H40" s="10" t="inlineStr">
        <is>
          <t>B2. COOKWARE</t>
        </is>
      </c>
      <c r="I40" s="10" t="inlineStr">
        <is>
          <t>KIRA</t>
        </is>
      </c>
      <c r="J40" s="10" t="n"/>
      <c r="K40" s="10" t="n"/>
      <c r="L40" s="11" t="n"/>
      <c r="M40" s="11" t="n"/>
      <c r="N40" s="11" t="n"/>
      <c r="O40" s="11">
        <f>IF(OR(L40="",M40=""),"",IFERROR(INDEX(LAYOUT!$D$2:$D$80,MATCH(L40&amp;"|"&amp;M40,LAYOUT!$E$2:$E$80,0)),""))</f>
        <v/>
      </c>
      <c r="P40" s="12">
        <f>IF(AND(L40="",M40=""),IF(AND(Q40="",R40="",V40="",W40=""),IF(OR($D40&lt;&gt;"",$E40&lt;&gt;""),"Belum ditempatkan",""),""),IF(L40="","CEK JENIS FIXTURE kosong",IF(AND(LEFT(L40,7)&lt;&gt;"Gondola",LEFT(L40,6)&lt;&gt;"Endcap"),"CEK Fixture 1 hanya Gondola atau Endcap",IF(M40="","CEK SHELVING KE kosong",IF(ISNA(MATCH(L40&amp;"|"&amp;M40,LAYOUT!$E$2:$E$80,0)),"CEK SHELVING KE di luar layout",IF($I40="","CEK SERIES kosong",IF(AND(N40&lt;&gt;"",NOT(ISNUMBER(N40))),"CEK URUTAN DISPLAY harus angka",IF($D40="","Zona STOCK",IF($E40="","CEK SKU DESCRIPTION kosong",IF(COUNTIFS($I$2:$I$500,$I40,L$2:L$500,"&lt;&gt;"&amp;L40,L$2:L$500,"&lt;&gt;")&gt;0,"CEK jenis fixture beda dalam satu series","OK"))))))))))</f>
        <v/>
      </c>
      <c r="Q40" s="11" t="n"/>
      <c r="R40" s="11" t="n"/>
      <c r="S40" s="11" t="n"/>
      <c r="T40" s="11">
        <f>IF(OR(Q40="",R40=""),"",IFERROR(INDEX(LAYOUT!$D$2:$D$80,MATCH(Q40&amp;"|"&amp;R40,LAYOUT!$E$2:$E$80,0)),""))</f>
        <v/>
      </c>
      <c r="U40" s="12">
        <f>IF(AND(Q40="",R40=""),IF(AND(L40="",M40="",V40="",W40=""),IF(OR($D40&lt;&gt;"",$E40&lt;&gt;""),"Belum ditempatkan",""),""),IF(Q40="","CEK JENIS FIXTURE kosong",IF(LEFT(Q40,4)&lt;&gt;"Wall","CEK Fixture 2 hanya Wall",IF(R40="","CEK SHELVING KE kosong",IF(ISNA(MATCH(Q40&amp;"|"&amp;R40,LAYOUT!$E$2:$E$80,0)),"CEK SHELVING KE di luar layout",IF($I40="","CEK SERIES kosong",IF(AND(S40&lt;&gt;"",NOT(ISNUMBER(S40))),"CEK URUTAN DISPLAY harus angka",IF($D40="","Zona STOCK",IF($E40="","CEK SKU DESCRIPTION kosong",IF(COUNTIFS($I$2:$I$500,$I40,Q$2:Q$500,"&lt;&gt;"&amp;Q40,Q$2:Q$500,"&lt;&gt;")&gt;0,"CEK jenis fixture beda dalam satu series","OK"))))))))))</f>
        <v/>
      </c>
      <c r="V40" s="11" t="n"/>
      <c r="W40" s="11" t="n"/>
      <c r="X40" s="11" t="n"/>
      <c r="Y40" s="11">
        <f>IF(OR(V40="",W40=""),"",IFERROR(INDEX(LAYOUT!$D$2:$D$80,MATCH(V40&amp;"|"&amp;W40,LAYOUT!$E$2:$E$80,0)),""))</f>
        <v/>
      </c>
      <c r="Z40" s="12">
        <f>IF(AND(V40="",W40=""),IF(AND(L40="",M40="",Q40="",R40=""),IF(OR($D40&lt;&gt;"",$E40&lt;&gt;""),"Belum ditempatkan",""),""),IF(V40="","CEK JENIS FIXTURE kosong",IF(LEFT(V40,4)&lt;&gt;"Wall","CEK Fixture 3 hanya Wall",IF(W40="","CEK SHELVING KE kosong",IF(ISNA(MATCH(V40&amp;"|"&amp;W40,LAYOUT!$E$2:$E$80,0)),"CEK SHELVING KE di luar layout",IF($I40="","CEK SERIES kosong",IF(AND(X40&lt;&gt;"",NOT(ISNUMBER(X40))),"CEK URUTAN DISPLAY harus angka",IF($D40="","Zona STOCK",IF($E40="","CEK SKU DESCRIPTION kosong",IF(COUNTIFS($I$2:$I$500,$I40,V$2:V$500,"&lt;&gt;"&amp;V40,V$2:V$500,"&lt;&gt;")&gt;0,"CEK jenis fixture beda dalam satu series","OK"))))))))))</f>
        <v/>
      </c>
      <c r="AA40" s="12" t="n"/>
      <c r="AB40" s="11" t="n"/>
      <c r="AC40" s="11" t="n"/>
      <c r="AD40" s="11" t="n"/>
      <c r="AE40" s="11" t="n"/>
      <c r="AF40" s="11" t="n"/>
      <c r="AG40" s="11" t="n"/>
      <c r="AH40" s="12" t="n"/>
      <c r="AI40" s="12" t="n"/>
    </row>
    <row r="41">
      <c r="A41" s="10" t="inlineStr">
        <is>
          <t>Homeware</t>
        </is>
      </c>
      <c r="B41" s="10" t="inlineStr">
        <is>
          <t>Kitchenware</t>
        </is>
      </c>
      <c r="C41" s="10" t="inlineStr">
        <is>
          <t>Kitchen Tools</t>
        </is>
      </c>
      <c r="D41" s="10" t="inlineStr">
        <is>
          <t>10198149</t>
        </is>
      </c>
      <c r="E41" s="10" t="inlineStr">
        <is>
          <t>TANTA STRAINER DIA 10CM</t>
        </is>
      </c>
      <c r="F41" s="10" t="n"/>
      <c r="G41" s="10" t="inlineStr">
        <is>
          <t>ALAT MASAK</t>
        </is>
      </c>
      <c r="H41" s="10" t="inlineStr">
        <is>
          <t>C1. KITCHEN TOOLS</t>
        </is>
      </c>
      <c r="I41" s="10" t="inlineStr">
        <is>
          <t>TANTA S/S</t>
        </is>
      </c>
      <c r="J41" s="10" t="n"/>
      <c r="K41" s="10" t="n"/>
      <c r="L41" s="11" t="n"/>
      <c r="M41" s="11" t="n"/>
      <c r="N41" s="11" t="n"/>
      <c r="O41" s="11">
        <f>IF(OR(L41="",M41=""),"",IFERROR(INDEX(LAYOUT!$D$2:$D$80,MATCH(L41&amp;"|"&amp;M41,LAYOUT!$E$2:$E$80,0)),""))</f>
        <v/>
      </c>
      <c r="P41" s="12">
        <f>IF(AND(L41="",M41=""),IF(AND(Q41="",R41="",V41="",W41=""),IF(OR($D41&lt;&gt;"",$E41&lt;&gt;""),"Belum ditempatkan",""),""),IF(L41="","CEK JENIS FIXTURE kosong",IF(AND(LEFT(L41,7)&lt;&gt;"Gondola",LEFT(L41,6)&lt;&gt;"Endcap"),"CEK Fixture 1 hanya Gondola atau Endcap",IF(M41="","CEK SHELVING KE kosong",IF(ISNA(MATCH(L41&amp;"|"&amp;M41,LAYOUT!$E$2:$E$80,0)),"CEK SHELVING KE di luar layout",IF($I41="","CEK SERIES kosong",IF(AND(N41&lt;&gt;"",NOT(ISNUMBER(N41))),"CEK URUTAN DISPLAY harus angka",IF($D41="","Zona STOCK",IF($E41="","CEK SKU DESCRIPTION kosong",IF(COUNTIFS($I$2:$I$500,$I41,L$2:L$500,"&lt;&gt;"&amp;L41,L$2:L$500,"&lt;&gt;")&gt;0,"CEK jenis fixture beda dalam satu series","OK"))))))))))</f>
        <v/>
      </c>
      <c r="Q41" s="11" t="n"/>
      <c r="R41" s="11" t="n"/>
      <c r="S41" s="11" t="n"/>
      <c r="T41" s="11">
        <f>IF(OR(Q41="",R41=""),"",IFERROR(INDEX(LAYOUT!$D$2:$D$80,MATCH(Q41&amp;"|"&amp;R41,LAYOUT!$E$2:$E$80,0)),""))</f>
        <v/>
      </c>
      <c r="U41" s="12">
        <f>IF(AND(Q41="",R41=""),IF(AND(L41="",M41="",V41="",W41=""),IF(OR($D41&lt;&gt;"",$E41&lt;&gt;""),"Belum ditempatkan",""),""),IF(Q41="","CEK JENIS FIXTURE kosong",IF(LEFT(Q41,4)&lt;&gt;"Wall","CEK Fixture 2 hanya Wall",IF(R41="","CEK SHELVING KE kosong",IF(ISNA(MATCH(Q41&amp;"|"&amp;R41,LAYOUT!$E$2:$E$80,0)),"CEK SHELVING KE di luar layout",IF($I41="","CEK SERIES kosong",IF(AND(S41&lt;&gt;"",NOT(ISNUMBER(S41))),"CEK URUTAN DISPLAY harus angka",IF($D41="","Zona STOCK",IF($E41="","CEK SKU DESCRIPTION kosong",IF(COUNTIFS($I$2:$I$500,$I41,Q$2:Q$500,"&lt;&gt;"&amp;Q41,Q$2:Q$500,"&lt;&gt;")&gt;0,"CEK jenis fixture beda dalam satu series","OK"))))))))))</f>
        <v/>
      </c>
      <c r="V41" s="11" t="n"/>
      <c r="W41" s="11" t="n"/>
      <c r="X41" s="11" t="n"/>
      <c r="Y41" s="11">
        <f>IF(OR(V41="",W41=""),"",IFERROR(INDEX(LAYOUT!$D$2:$D$80,MATCH(V41&amp;"|"&amp;W41,LAYOUT!$E$2:$E$80,0)),""))</f>
        <v/>
      </c>
      <c r="Z41" s="12">
        <f>IF(AND(V41="",W41=""),IF(AND(L41="",M41="",Q41="",R41=""),IF(OR($D41&lt;&gt;"",$E41&lt;&gt;""),"Belum ditempatkan",""),""),IF(V41="","CEK JENIS FIXTURE kosong",IF(LEFT(V41,4)&lt;&gt;"Wall","CEK Fixture 3 hanya Wall",IF(W41="","CEK SHELVING KE kosong",IF(ISNA(MATCH(V41&amp;"|"&amp;W41,LAYOUT!$E$2:$E$80,0)),"CEK SHELVING KE di luar layout",IF($I41="","CEK SERIES kosong",IF(AND(X41&lt;&gt;"",NOT(ISNUMBER(X41))),"CEK URUTAN DISPLAY harus angka",IF($D41="","Zona STOCK",IF($E41="","CEK SKU DESCRIPTION kosong",IF(COUNTIFS($I$2:$I$500,$I41,V$2:V$500,"&lt;&gt;"&amp;V41,V$2:V$500,"&lt;&gt;")&gt;0,"CEK jenis fixture beda dalam satu series","OK"))))))))))</f>
        <v/>
      </c>
      <c r="AA41" s="12" t="n"/>
      <c r="AB41" s="11" t="n"/>
      <c r="AC41" s="11" t="n"/>
      <c r="AD41" s="11" t="n"/>
      <c r="AE41" s="11" t="n"/>
      <c r="AF41" s="11" t="n"/>
      <c r="AG41" s="11" t="n"/>
      <c r="AH41" s="12" t="n"/>
      <c r="AI41" s="12" t="n"/>
    </row>
    <row r="42">
      <c r="A42" s="10" t="inlineStr">
        <is>
          <t>Homeware</t>
        </is>
      </c>
      <c r="B42" s="10" t="inlineStr">
        <is>
          <t>Kitchenware</t>
        </is>
      </c>
      <c r="C42" s="10" t="inlineStr">
        <is>
          <t>Kitchen Tools</t>
        </is>
      </c>
      <c r="D42" s="10" t="inlineStr">
        <is>
          <t>10198150</t>
        </is>
      </c>
      <c r="E42" s="10" t="inlineStr">
        <is>
          <t>TANTA NYLON TONGS 9 INCH</t>
        </is>
      </c>
      <c r="F42" s="10" t="n"/>
      <c r="G42" s="10" t="inlineStr">
        <is>
          <t>ALAT MASAK</t>
        </is>
      </c>
      <c r="H42" s="10" t="inlineStr">
        <is>
          <t>C1. KITCHEN TOOLS</t>
        </is>
      </c>
      <c r="I42" s="10" t="inlineStr">
        <is>
          <t>TANTA NYLON</t>
        </is>
      </c>
      <c r="J42" s="10" t="n"/>
      <c r="K42" s="10" t="n"/>
      <c r="L42" s="11" t="n"/>
      <c r="M42" s="11" t="n"/>
      <c r="N42" s="11" t="n"/>
      <c r="O42" s="11">
        <f>IF(OR(L42="",M42=""),"",IFERROR(INDEX(LAYOUT!$D$2:$D$80,MATCH(L42&amp;"|"&amp;M42,LAYOUT!$E$2:$E$80,0)),""))</f>
        <v/>
      </c>
      <c r="P42" s="12">
        <f>IF(AND(L42="",M42=""),IF(AND(Q42="",R42="",V42="",W42=""),IF(OR($D42&lt;&gt;"",$E42&lt;&gt;""),"Belum ditempatkan",""),""),IF(L42="","CEK JENIS FIXTURE kosong",IF(AND(LEFT(L42,7)&lt;&gt;"Gondola",LEFT(L42,6)&lt;&gt;"Endcap"),"CEK Fixture 1 hanya Gondola atau Endcap",IF(M42="","CEK SHELVING KE kosong",IF(ISNA(MATCH(L42&amp;"|"&amp;M42,LAYOUT!$E$2:$E$80,0)),"CEK SHELVING KE di luar layout",IF($I42="","CEK SERIES kosong",IF(AND(N42&lt;&gt;"",NOT(ISNUMBER(N42))),"CEK URUTAN DISPLAY harus angka",IF($D42="","Zona STOCK",IF($E42="","CEK SKU DESCRIPTION kosong",IF(COUNTIFS($I$2:$I$500,$I42,L$2:L$500,"&lt;&gt;"&amp;L42,L$2:L$500,"&lt;&gt;")&gt;0,"CEK jenis fixture beda dalam satu series","OK"))))))))))</f>
        <v/>
      </c>
      <c r="Q42" s="11" t="n"/>
      <c r="R42" s="11" t="n"/>
      <c r="S42" s="11" t="n"/>
      <c r="T42" s="11">
        <f>IF(OR(Q42="",R42=""),"",IFERROR(INDEX(LAYOUT!$D$2:$D$80,MATCH(Q42&amp;"|"&amp;R42,LAYOUT!$E$2:$E$80,0)),""))</f>
        <v/>
      </c>
      <c r="U42" s="12">
        <f>IF(AND(Q42="",R42=""),IF(AND(L42="",M42="",V42="",W42=""),IF(OR($D42&lt;&gt;"",$E42&lt;&gt;""),"Belum ditempatkan",""),""),IF(Q42="","CEK JENIS FIXTURE kosong",IF(LEFT(Q42,4)&lt;&gt;"Wall","CEK Fixture 2 hanya Wall",IF(R42="","CEK SHELVING KE kosong",IF(ISNA(MATCH(Q42&amp;"|"&amp;R42,LAYOUT!$E$2:$E$80,0)),"CEK SHELVING KE di luar layout",IF($I42="","CEK SERIES kosong",IF(AND(S42&lt;&gt;"",NOT(ISNUMBER(S42))),"CEK URUTAN DISPLAY harus angka",IF($D42="","Zona STOCK",IF($E42="","CEK SKU DESCRIPTION kosong",IF(COUNTIFS($I$2:$I$500,$I42,Q$2:Q$500,"&lt;&gt;"&amp;Q42,Q$2:Q$500,"&lt;&gt;")&gt;0,"CEK jenis fixture beda dalam satu series","OK"))))))))))</f>
        <v/>
      </c>
      <c r="V42" s="11" t="n"/>
      <c r="W42" s="11" t="n"/>
      <c r="X42" s="11" t="n"/>
      <c r="Y42" s="11">
        <f>IF(OR(V42="",W42=""),"",IFERROR(INDEX(LAYOUT!$D$2:$D$80,MATCH(V42&amp;"|"&amp;W42,LAYOUT!$E$2:$E$80,0)),""))</f>
        <v/>
      </c>
      <c r="Z42" s="12">
        <f>IF(AND(V42="",W42=""),IF(AND(L42="",M42="",Q42="",R42=""),IF(OR($D42&lt;&gt;"",$E42&lt;&gt;""),"Belum ditempatkan",""),""),IF(V42="","CEK JENIS FIXTURE kosong",IF(LEFT(V42,4)&lt;&gt;"Wall","CEK Fixture 3 hanya Wall",IF(W42="","CEK SHELVING KE kosong",IF(ISNA(MATCH(V42&amp;"|"&amp;W42,LAYOUT!$E$2:$E$80,0)),"CEK SHELVING KE di luar layout",IF($I42="","CEK SERIES kosong",IF(AND(X42&lt;&gt;"",NOT(ISNUMBER(X42))),"CEK URUTAN DISPLAY harus angka",IF($D42="","Zona STOCK",IF($E42="","CEK SKU DESCRIPTION kosong",IF(COUNTIFS($I$2:$I$500,$I42,V$2:V$500,"&lt;&gt;"&amp;V42,V$2:V$500,"&lt;&gt;")&gt;0,"CEK jenis fixture beda dalam satu series","OK"))))))))))</f>
        <v/>
      </c>
      <c r="AA42" s="12" t="n"/>
      <c r="AB42" s="11" t="n"/>
      <c r="AC42" s="11" t="n"/>
      <c r="AD42" s="11" t="n"/>
      <c r="AE42" s="11" t="n"/>
      <c r="AF42" s="11" t="n"/>
      <c r="AG42" s="11" t="n"/>
      <c r="AH42" s="12" t="n"/>
      <c r="AI42" s="12" t="n"/>
    </row>
    <row r="43">
      <c r="A43" s="10" t="inlineStr">
        <is>
          <t>Homeware</t>
        </is>
      </c>
      <c r="B43" s="10" t="inlineStr">
        <is>
          <t>Kitchenware</t>
        </is>
      </c>
      <c r="C43" s="10" t="inlineStr">
        <is>
          <t>Kitchen Tools</t>
        </is>
      </c>
      <c r="D43" s="10" t="inlineStr">
        <is>
          <t>10198151</t>
        </is>
      </c>
      <c r="E43" s="10" t="inlineStr">
        <is>
          <t>TANTA NYLON TONGS 12 INCH</t>
        </is>
      </c>
      <c r="F43" s="10" t="n"/>
      <c r="G43" s="10" t="inlineStr">
        <is>
          <t>ALAT MASAK</t>
        </is>
      </c>
      <c r="H43" s="10" t="inlineStr">
        <is>
          <t>C1. KITCHEN TOOLS</t>
        </is>
      </c>
      <c r="I43" s="10" t="inlineStr">
        <is>
          <t>TANTA NYLON</t>
        </is>
      </c>
      <c r="J43" s="10" t="n"/>
      <c r="K43" s="10" t="n"/>
      <c r="L43" s="11" t="n"/>
      <c r="M43" s="11" t="n"/>
      <c r="N43" s="11" t="n"/>
      <c r="O43" s="11">
        <f>IF(OR(L43="",M43=""),"",IFERROR(INDEX(LAYOUT!$D$2:$D$80,MATCH(L43&amp;"|"&amp;M43,LAYOUT!$E$2:$E$80,0)),""))</f>
        <v/>
      </c>
      <c r="P43" s="12">
        <f>IF(AND(L43="",M43=""),IF(AND(Q43="",R43="",V43="",W43=""),IF(OR($D43&lt;&gt;"",$E43&lt;&gt;""),"Belum ditempatkan",""),""),IF(L43="","CEK JENIS FIXTURE kosong",IF(AND(LEFT(L43,7)&lt;&gt;"Gondola",LEFT(L43,6)&lt;&gt;"Endcap"),"CEK Fixture 1 hanya Gondola atau Endcap",IF(M43="","CEK SHELVING KE kosong",IF(ISNA(MATCH(L43&amp;"|"&amp;M43,LAYOUT!$E$2:$E$80,0)),"CEK SHELVING KE di luar layout",IF($I43="","CEK SERIES kosong",IF(AND(N43&lt;&gt;"",NOT(ISNUMBER(N43))),"CEK URUTAN DISPLAY harus angka",IF($D43="","Zona STOCK",IF($E43="","CEK SKU DESCRIPTION kosong",IF(COUNTIFS($I$2:$I$500,$I43,L$2:L$500,"&lt;&gt;"&amp;L43,L$2:L$500,"&lt;&gt;")&gt;0,"CEK jenis fixture beda dalam satu series","OK"))))))))))</f>
        <v/>
      </c>
      <c r="Q43" s="11" t="n"/>
      <c r="R43" s="11" t="n"/>
      <c r="S43" s="11" t="n"/>
      <c r="T43" s="11">
        <f>IF(OR(Q43="",R43=""),"",IFERROR(INDEX(LAYOUT!$D$2:$D$80,MATCH(Q43&amp;"|"&amp;R43,LAYOUT!$E$2:$E$80,0)),""))</f>
        <v/>
      </c>
      <c r="U43" s="12">
        <f>IF(AND(Q43="",R43=""),IF(AND(L43="",M43="",V43="",W43=""),IF(OR($D43&lt;&gt;"",$E43&lt;&gt;""),"Belum ditempatkan",""),""),IF(Q43="","CEK JENIS FIXTURE kosong",IF(LEFT(Q43,4)&lt;&gt;"Wall","CEK Fixture 2 hanya Wall",IF(R43="","CEK SHELVING KE kosong",IF(ISNA(MATCH(Q43&amp;"|"&amp;R43,LAYOUT!$E$2:$E$80,0)),"CEK SHELVING KE di luar layout",IF($I43="","CEK SERIES kosong",IF(AND(S43&lt;&gt;"",NOT(ISNUMBER(S43))),"CEK URUTAN DISPLAY harus angka",IF($D43="","Zona STOCK",IF($E43="","CEK SKU DESCRIPTION kosong",IF(COUNTIFS($I$2:$I$500,$I43,Q$2:Q$500,"&lt;&gt;"&amp;Q43,Q$2:Q$500,"&lt;&gt;")&gt;0,"CEK jenis fixture beda dalam satu series","OK"))))))))))</f>
        <v/>
      </c>
      <c r="V43" s="11" t="n"/>
      <c r="W43" s="11" t="n"/>
      <c r="X43" s="11" t="n"/>
      <c r="Y43" s="11">
        <f>IF(OR(V43="",W43=""),"",IFERROR(INDEX(LAYOUT!$D$2:$D$80,MATCH(V43&amp;"|"&amp;W43,LAYOUT!$E$2:$E$80,0)),""))</f>
        <v/>
      </c>
      <c r="Z43" s="12">
        <f>IF(AND(V43="",W43=""),IF(AND(L43="",M43="",Q43="",R43=""),IF(OR($D43&lt;&gt;"",$E43&lt;&gt;""),"Belum ditempatkan",""),""),IF(V43="","CEK JENIS FIXTURE kosong",IF(LEFT(V43,4)&lt;&gt;"Wall","CEK Fixture 3 hanya Wall",IF(W43="","CEK SHELVING KE kosong",IF(ISNA(MATCH(V43&amp;"|"&amp;W43,LAYOUT!$E$2:$E$80,0)),"CEK SHELVING KE di luar layout",IF($I43="","CEK SERIES kosong",IF(AND(X43&lt;&gt;"",NOT(ISNUMBER(X43))),"CEK URUTAN DISPLAY harus angka",IF($D43="","Zona STOCK",IF($E43="","CEK SKU DESCRIPTION kosong",IF(COUNTIFS($I$2:$I$500,$I43,V$2:V$500,"&lt;&gt;"&amp;V43,V$2:V$500,"&lt;&gt;")&gt;0,"CEK jenis fixture beda dalam satu series","OK"))))))))))</f>
        <v/>
      </c>
      <c r="AA43" s="12" t="n"/>
      <c r="AB43" s="11" t="n"/>
      <c r="AC43" s="11" t="n"/>
      <c r="AD43" s="11" t="n"/>
      <c r="AE43" s="11" t="n"/>
      <c r="AF43" s="11" t="n"/>
      <c r="AG43" s="11" t="n"/>
      <c r="AH43" s="12" t="n"/>
      <c r="AI43" s="12" t="n"/>
    </row>
    <row r="44">
      <c r="A44" s="10" t="inlineStr">
        <is>
          <t>Homeware</t>
        </is>
      </c>
      <c r="B44" s="10" t="inlineStr">
        <is>
          <t>Kitchenware</t>
        </is>
      </c>
      <c r="C44" s="10" t="inlineStr">
        <is>
          <t>Kitchen Tools</t>
        </is>
      </c>
      <c r="D44" s="10" t="inlineStr">
        <is>
          <t>10198152</t>
        </is>
      </c>
      <c r="E44" s="10" t="inlineStr">
        <is>
          <t>TANTA S/S SOLID TURNER M</t>
        </is>
      </c>
      <c r="F44" s="10" t="n"/>
      <c r="G44" s="10" t="inlineStr">
        <is>
          <t>ALAT MASAK</t>
        </is>
      </c>
      <c r="H44" s="10" t="inlineStr">
        <is>
          <t>C1. KITCHEN TOOLS</t>
        </is>
      </c>
      <c r="I44" s="10" t="inlineStr">
        <is>
          <t>TANTA S/S</t>
        </is>
      </c>
      <c r="J44" s="10" t="n"/>
      <c r="K44" s="10" t="n"/>
      <c r="L44" s="11" t="n"/>
      <c r="M44" s="11" t="n"/>
      <c r="N44" s="11" t="n"/>
      <c r="O44" s="11">
        <f>IF(OR(L44="",M44=""),"",IFERROR(INDEX(LAYOUT!$D$2:$D$80,MATCH(L44&amp;"|"&amp;M44,LAYOUT!$E$2:$E$80,0)),""))</f>
        <v/>
      </c>
      <c r="P44" s="12">
        <f>IF(AND(L44="",M44=""),IF(AND(Q44="",R44="",V44="",W44=""),IF(OR($D44&lt;&gt;"",$E44&lt;&gt;""),"Belum ditempatkan",""),""),IF(L44="","CEK JENIS FIXTURE kosong",IF(AND(LEFT(L44,7)&lt;&gt;"Gondola",LEFT(L44,6)&lt;&gt;"Endcap"),"CEK Fixture 1 hanya Gondola atau Endcap",IF(M44="","CEK SHELVING KE kosong",IF(ISNA(MATCH(L44&amp;"|"&amp;M44,LAYOUT!$E$2:$E$80,0)),"CEK SHELVING KE di luar layout",IF($I44="","CEK SERIES kosong",IF(AND(N44&lt;&gt;"",NOT(ISNUMBER(N44))),"CEK URUTAN DISPLAY harus angka",IF($D44="","Zona STOCK",IF($E44="","CEK SKU DESCRIPTION kosong",IF(COUNTIFS($I$2:$I$500,$I44,L$2:L$500,"&lt;&gt;"&amp;L44,L$2:L$500,"&lt;&gt;")&gt;0,"CEK jenis fixture beda dalam satu series","OK"))))))))))</f>
        <v/>
      </c>
      <c r="Q44" s="11" t="n"/>
      <c r="R44" s="11" t="n"/>
      <c r="S44" s="11" t="n"/>
      <c r="T44" s="11">
        <f>IF(OR(Q44="",R44=""),"",IFERROR(INDEX(LAYOUT!$D$2:$D$80,MATCH(Q44&amp;"|"&amp;R44,LAYOUT!$E$2:$E$80,0)),""))</f>
        <v/>
      </c>
      <c r="U44" s="12">
        <f>IF(AND(Q44="",R44=""),IF(AND(L44="",M44="",V44="",W44=""),IF(OR($D44&lt;&gt;"",$E44&lt;&gt;""),"Belum ditempatkan",""),""),IF(Q44="","CEK JENIS FIXTURE kosong",IF(LEFT(Q44,4)&lt;&gt;"Wall","CEK Fixture 2 hanya Wall",IF(R44="","CEK SHELVING KE kosong",IF(ISNA(MATCH(Q44&amp;"|"&amp;R44,LAYOUT!$E$2:$E$80,0)),"CEK SHELVING KE di luar layout",IF($I44="","CEK SERIES kosong",IF(AND(S44&lt;&gt;"",NOT(ISNUMBER(S44))),"CEK URUTAN DISPLAY harus angka",IF($D44="","Zona STOCK",IF($E44="","CEK SKU DESCRIPTION kosong",IF(COUNTIFS($I$2:$I$500,$I44,Q$2:Q$500,"&lt;&gt;"&amp;Q44,Q$2:Q$500,"&lt;&gt;")&gt;0,"CEK jenis fixture beda dalam satu series","OK"))))))))))</f>
        <v/>
      </c>
      <c r="V44" s="11" t="n"/>
      <c r="W44" s="11" t="n"/>
      <c r="X44" s="11" t="n"/>
      <c r="Y44" s="11">
        <f>IF(OR(V44="",W44=""),"",IFERROR(INDEX(LAYOUT!$D$2:$D$80,MATCH(V44&amp;"|"&amp;W44,LAYOUT!$E$2:$E$80,0)),""))</f>
        <v/>
      </c>
      <c r="Z44" s="12">
        <f>IF(AND(V44="",W44=""),IF(AND(L44="",M44="",Q44="",R44=""),IF(OR($D44&lt;&gt;"",$E44&lt;&gt;""),"Belum ditempatkan",""),""),IF(V44="","CEK JENIS FIXTURE kosong",IF(LEFT(V44,4)&lt;&gt;"Wall","CEK Fixture 3 hanya Wall",IF(W44="","CEK SHELVING KE kosong",IF(ISNA(MATCH(V44&amp;"|"&amp;W44,LAYOUT!$E$2:$E$80,0)),"CEK SHELVING KE di luar layout",IF($I44="","CEK SERIES kosong",IF(AND(X44&lt;&gt;"",NOT(ISNUMBER(X44))),"CEK URUTAN DISPLAY harus angka",IF($D44="","Zona STOCK",IF($E44="","CEK SKU DESCRIPTION kosong",IF(COUNTIFS($I$2:$I$500,$I44,V$2:V$500,"&lt;&gt;"&amp;V44,V$2:V$500,"&lt;&gt;")&gt;0,"CEK jenis fixture beda dalam satu series","OK"))))))))))</f>
        <v/>
      </c>
      <c r="AA44" s="12" t="n"/>
      <c r="AB44" s="11" t="n"/>
      <c r="AC44" s="11" t="n"/>
      <c r="AD44" s="11" t="n"/>
      <c r="AE44" s="11" t="n"/>
      <c r="AF44" s="11" t="n"/>
      <c r="AG44" s="11" t="n"/>
      <c r="AH44" s="12" t="n"/>
      <c r="AI44" s="12" t="n"/>
    </row>
    <row r="45">
      <c r="A45" s="10" t="inlineStr">
        <is>
          <t>Homeware</t>
        </is>
      </c>
      <c r="B45" s="10" t="inlineStr">
        <is>
          <t>Kitchenware</t>
        </is>
      </c>
      <c r="C45" s="10" t="inlineStr">
        <is>
          <t>Kitchen Tools</t>
        </is>
      </c>
      <c r="D45" s="10" t="inlineStr">
        <is>
          <t>10198154</t>
        </is>
      </c>
      <c r="E45" s="10" t="inlineStr">
        <is>
          <t>TANTA S/S LADLE</t>
        </is>
      </c>
      <c r="F45" s="10" t="n"/>
      <c r="G45" s="10" t="inlineStr">
        <is>
          <t>ALAT MASAK</t>
        </is>
      </c>
      <c r="H45" s="10" t="inlineStr">
        <is>
          <t>C1. KITCHEN TOOLS</t>
        </is>
      </c>
      <c r="I45" s="10" t="inlineStr">
        <is>
          <t>TANTA S/S</t>
        </is>
      </c>
      <c r="J45" s="10" t="n"/>
      <c r="K45" s="10" t="n"/>
      <c r="L45" s="11" t="n"/>
      <c r="M45" s="11" t="n"/>
      <c r="N45" s="11" t="n"/>
      <c r="O45" s="11">
        <f>IF(OR(L45="",M45=""),"",IFERROR(INDEX(LAYOUT!$D$2:$D$80,MATCH(L45&amp;"|"&amp;M45,LAYOUT!$E$2:$E$80,0)),""))</f>
        <v/>
      </c>
      <c r="P45" s="12">
        <f>IF(AND(L45="",M45=""),IF(AND(Q45="",R45="",V45="",W45=""),IF(OR($D45&lt;&gt;"",$E45&lt;&gt;""),"Belum ditempatkan",""),""),IF(L45="","CEK JENIS FIXTURE kosong",IF(AND(LEFT(L45,7)&lt;&gt;"Gondola",LEFT(L45,6)&lt;&gt;"Endcap"),"CEK Fixture 1 hanya Gondola atau Endcap",IF(M45="","CEK SHELVING KE kosong",IF(ISNA(MATCH(L45&amp;"|"&amp;M45,LAYOUT!$E$2:$E$80,0)),"CEK SHELVING KE di luar layout",IF($I45="","CEK SERIES kosong",IF(AND(N45&lt;&gt;"",NOT(ISNUMBER(N45))),"CEK URUTAN DISPLAY harus angka",IF($D45="","Zona STOCK",IF($E45="","CEK SKU DESCRIPTION kosong",IF(COUNTIFS($I$2:$I$500,$I45,L$2:L$500,"&lt;&gt;"&amp;L45,L$2:L$500,"&lt;&gt;")&gt;0,"CEK jenis fixture beda dalam satu series","OK"))))))))))</f>
        <v/>
      </c>
      <c r="Q45" s="11" t="n"/>
      <c r="R45" s="11" t="n"/>
      <c r="S45" s="11" t="n"/>
      <c r="T45" s="11">
        <f>IF(OR(Q45="",R45=""),"",IFERROR(INDEX(LAYOUT!$D$2:$D$80,MATCH(Q45&amp;"|"&amp;R45,LAYOUT!$E$2:$E$80,0)),""))</f>
        <v/>
      </c>
      <c r="U45" s="12">
        <f>IF(AND(Q45="",R45=""),IF(AND(L45="",M45="",V45="",W45=""),IF(OR($D45&lt;&gt;"",$E45&lt;&gt;""),"Belum ditempatkan",""),""),IF(Q45="","CEK JENIS FIXTURE kosong",IF(LEFT(Q45,4)&lt;&gt;"Wall","CEK Fixture 2 hanya Wall",IF(R45="","CEK SHELVING KE kosong",IF(ISNA(MATCH(Q45&amp;"|"&amp;R45,LAYOUT!$E$2:$E$80,0)),"CEK SHELVING KE di luar layout",IF($I45="","CEK SERIES kosong",IF(AND(S45&lt;&gt;"",NOT(ISNUMBER(S45))),"CEK URUTAN DISPLAY harus angka",IF($D45="","Zona STOCK",IF($E45="","CEK SKU DESCRIPTION kosong",IF(COUNTIFS($I$2:$I$500,$I45,Q$2:Q$500,"&lt;&gt;"&amp;Q45,Q$2:Q$500,"&lt;&gt;")&gt;0,"CEK jenis fixture beda dalam satu series","OK"))))))))))</f>
        <v/>
      </c>
      <c r="V45" s="11" t="n"/>
      <c r="W45" s="11" t="n"/>
      <c r="X45" s="11" t="n"/>
      <c r="Y45" s="11">
        <f>IF(OR(V45="",W45=""),"",IFERROR(INDEX(LAYOUT!$D$2:$D$80,MATCH(V45&amp;"|"&amp;W45,LAYOUT!$E$2:$E$80,0)),""))</f>
        <v/>
      </c>
      <c r="Z45" s="12">
        <f>IF(AND(V45="",W45=""),IF(AND(L45="",M45="",Q45="",R45=""),IF(OR($D45&lt;&gt;"",$E45&lt;&gt;""),"Belum ditempatkan",""),""),IF(V45="","CEK JENIS FIXTURE kosong",IF(LEFT(V45,4)&lt;&gt;"Wall","CEK Fixture 3 hanya Wall",IF(W45="","CEK SHELVING KE kosong",IF(ISNA(MATCH(V45&amp;"|"&amp;W45,LAYOUT!$E$2:$E$80,0)),"CEK SHELVING KE di luar layout",IF($I45="","CEK SERIES kosong",IF(AND(X45&lt;&gt;"",NOT(ISNUMBER(X45))),"CEK URUTAN DISPLAY harus angka",IF($D45="","Zona STOCK",IF($E45="","CEK SKU DESCRIPTION kosong",IF(COUNTIFS($I$2:$I$500,$I45,V$2:V$500,"&lt;&gt;"&amp;V45,V$2:V$500,"&lt;&gt;")&gt;0,"CEK jenis fixture beda dalam satu series","OK"))))))))))</f>
        <v/>
      </c>
      <c r="AA45" s="12" t="n"/>
      <c r="AB45" s="11" t="n"/>
      <c r="AC45" s="11" t="n"/>
      <c r="AD45" s="11" t="n"/>
      <c r="AE45" s="11" t="n"/>
      <c r="AF45" s="11" t="n"/>
      <c r="AG45" s="11" t="n"/>
      <c r="AH45" s="12" t="n"/>
      <c r="AI45" s="12" t="n"/>
    </row>
    <row r="46">
      <c r="A46" s="10" t="inlineStr">
        <is>
          <t>Homeware</t>
        </is>
      </c>
      <c r="B46" s="10" t="inlineStr">
        <is>
          <t>Kitchenware</t>
        </is>
      </c>
      <c r="C46" s="10" t="inlineStr">
        <is>
          <t>Kitchen Tools</t>
        </is>
      </c>
      <c r="D46" s="10" t="inlineStr">
        <is>
          <t>10198156</t>
        </is>
      </c>
      <c r="E46" s="10" t="inlineStr">
        <is>
          <t>TANTA NYLON SLOTTED TURNER M</t>
        </is>
      </c>
      <c r="F46" s="10" t="n"/>
      <c r="G46" s="10" t="inlineStr">
        <is>
          <t>ALAT MASAK</t>
        </is>
      </c>
      <c r="H46" s="10" t="inlineStr">
        <is>
          <t>C1. KITCHEN TOOLS</t>
        </is>
      </c>
      <c r="I46" s="10" t="inlineStr">
        <is>
          <t>TANTA NYLON</t>
        </is>
      </c>
      <c r="J46" s="10" t="n"/>
      <c r="K46" s="10" t="n"/>
      <c r="L46" s="11" t="n"/>
      <c r="M46" s="11" t="n"/>
      <c r="N46" s="11" t="n"/>
      <c r="O46" s="11">
        <f>IF(OR(L46="",M46=""),"",IFERROR(INDEX(LAYOUT!$D$2:$D$80,MATCH(L46&amp;"|"&amp;M46,LAYOUT!$E$2:$E$80,0)),""))</f>
        <v/>
      </c>
      <c r="P46" s="12">
        <f>IF(AND(L46="",M46=""),IF(AND(Q46="",R46="",V46="",W46=""),IF(OR($D46&lt;&gt;"",$E46&lt;&gt;""),"Belum ditempatkan",""),""),IF(L46="","CEK JENIS FIXTURE kosong",IF(AND(LEFT(L46,7)&lt;&gt;"Gondola",LEFT(L46,6)&lt;&gt;"Endcap"),"CEK Fixture 1 hanya Gondola atau Endcap",IF(M46="","CEK SHELVING KE kosong",IF(ISNA(MATCH(L46&amp;"|"&amp;M46,LAYOUT!$E$2:$E$80,0)),"CEK SHELVING KE di luar layout",IF($I46="","CEK SERIES kosong",IF(AND(N46&lt;&gt;"",NOT(ISNUMBER(N46))),"CEK URUTAN DISPLAY harus angka",IF($D46="","Zona STOCK",IF($E46="","CEK SKU DESCRIPTION kosong",IF(COUNTIFS($I$2:$I$500,$I46,L$2:L$500,"&lt;&gt;"&amp;L46,L$2:L$500,"&lt;&gt;")&gt;0,"CEK jenis fixture beda dalam satu series","OK"))))))))))</f>
        <v/>
      </c>
      <c r="Q46" s="11" t="n"/>
      <c r="R46" s="11" t="n"/>
      <c r="S46" s="11" t="n"/>
      <c r="T46" s="11">
        <f>IF(OR(Q46="",R46=""),"",IFERROR(INDEX(LAYOUT!$D$2:$D$80,MATCH(Q46&amp;"|"&amp;R46,LAYOUT!$E$2:$E$80,0)),""))</f>
        <v/>
      </c>
      <c r="U46" s="12">
        <f>IF(AND(Q46="",R46=""),IF(AND(L46="",M46="",V46="",W46=""),IF(OR($D46&lt;&gt;"",$E46&lt;&gt;""),"Belum ditempatkan",""),""),IF(Q46="","CEK JENIS FIXTURE kosong",IF(LEFT(Q46,4)&lt;&gt;"Wall","CEK Fixture 2 hanya Wall",IF(R46="","CEK SHELVING KE kosong",IF(ISNA(MATCH(Q46&amp;"|"&amp;R46,LAYOUT!$E$2:$E$80,0)),"CEK SHELVING KE di luar layout",IF($I46="","CEK SERIES kosong",IF(AND(S46&lt;&gt;"",NOT(ISNUMBER(S46))),"CEK URUTAN DISPLAY harus angka",IF($D46="","Zona STOCK",IF($E46="","CEK SKU DESCRIPTION kosong",IF(COUNTIFS($I$2:$I$500,$I46,Q$2:Q$500,"&lt;&gt;"&amp;Q46,Q$2:Q$500,"&lt;&gt;")&gt;0,"CEK jenis fixture beda dalam satu series","OK"))))))))))</f>
        <v/>
      </c>
      <c r="V46" s="11" t="n"/>
      <c r="W46" s="11" t="n"/>
      <c r="X46" s="11" t="n"/>
      <c r="Y46" s="11">
        <f>IF(OR(V46="",W46=""),"",IFERROR(INDEX(LAYOUT!$D$2:$D$80,MATCH(V46&amp;"|"&amp;W46,LAYOUT!$E$2:$E$80,0)),""))</f>
        <v/>
      </c>
      <c r="Z46" s="12">
        <f>IF(AND(V46="",W46=""),IF(AND(L46="",M46="",Q46="",R46=""),IF(OR($D46&lt;&gt;"",$E46&lt;&gt;""),"Belum ditempatkan",""),""),IF(V46="","CEK JENIS FIXTURE kosong",IF(LEFT(V46,4)&lt;&gt;"Wall","CEK Fixture 3 hanya Wall",IF(W46="","CEK SHELVING KE kosong",IF(ISNA(MATCH(V46&amp;"|"&amp;W46,LAYOUT!$E$2:$E$80,0)),"CEK SHELVING KE di luar layout",IF($I46="","CEK SERIES kosong",IF(AND(X46&lt;&gt;"",NOT(ISNUMBER(X46))),"CEK URUTAN DISPLAY harus angka",IF($D46="","Zona STOCK",IF($E46="","CEK SKU DESCRIPTION kosong",IF(COUNTIFS($I$2:$I$500,$I46,V$2:V$500,"&lt;&gt;"&amp;V46,V$2:V$500,"&lt;&gt;")&gt;0,"CEK jenis fixture beda dalam satu series","OK"))))))))))</f>
        <v/>
      </c>
      <c r="AA46" s="12" t="n"/>
      <c r="AB46" s="11" t="n"/>
      <c r="AC46" s="11" t="n"/>
      <c r="AD46" s="11" t="n"/>
      <c r="AE46" s="11" t="n"/>
      <c r="AF46" s="11" t="n"/>
      <c r="AG46" s="11" t="n"/>
      <c r="AH46" s="12" t="n"/>
      <c r="AI46" s="12" t="n"/>
    </row>
    <row r="47">
      <c r="A47" s="10" t="inlineStr">
        <is>
          <t>Homeware</t>
        </is>
      </c>
      <c r="B47" s="10" t="inlineStr">
        <is>
          <t>Kitchenware</t>
        </is>
      </c>
      <c r="C47" s="10" t="inlineStr">
        <is>
          <t>Kitchen Tools</t>
        </is>
      </c>
      <c r="D47" s="10" t="inlineStr">
        <is>
          <t>10198157</t>
        </is>
      </c>
      <c r="E47" s="10" t="inlineStr">
        <is>
          <t>TANTA NYLON SOLID TURNER L</t>
        </is>
      </c>
      <c r="F47" s="10" t="n"/>
      <c r="G47" s="10" t="inlineStr">
        <is>
          <t>ALAT MASAK</t>
        </is>
      </c>
      <c r="H47" s="10" t="inlineStr">
        <is>
          <t>C1. KITCHEN TOOLS</t>
        </is>
      </c>
      <c r="I47" s="10" t="inlineStr">
        <is>
          <t>TANTA NYLON</t>
        </is>
      </c>
      <c r="J47" s="10" t="n"/>
      <c r="K47" s="10" t="n"/>
      <c r="L47" s="11" t="n"/>
      <c r="M47" s="11" t="n"/>
      <c r="N47" s="11" t="n"/>
      <c r="O47" s="11">
        <f>IF(OR(L47="",M47=""),"",IFERROR(INDEX(LAYOUT!$D$2:$D$80,MATCH(L47&amp;"|"&amp;M47,LAYOUT!$E$2:$E$80,0)),""))</f>
        <v/>
      </c>
      <c r="P47" s="12">
        <f>IF(AND(L47="",M47=""),IF(AND(Q47="",R47="",V47="",W47=""),IF(OR($D47&lt;&gt;"",$E47&lt;&gt;""),"Belum ditempatkan",""),""),IF(L47="","CEK JENIS FIXTURE kosong",IF(AND(LEFT(L47,7)&lt;&gt;"Gondola",LEFT(L47,6)&lt;&gt;"Endcap"),"CEK Fixture 1 hanya Gondola atau Endcap",IF(M47="","CEK SHELVING KE kosong",IF(ISNA(MATCH(L47&amp;"|"&amp;M47,LAYOUT!$E$2:$E$80,0)),"CEK SHELVING KE di luar layout",IF($I47="","CEK SERIES kosong",IF(AND(N47&lt;&gt;"",NOT(ISNUMBER(N47))),"CEK URUTAN DISPLAY harus angka",IF($D47="","Zona STOCK",IF($E47="","CEK SKU DESCRIPTION kosong",IF(COUNTIFS($I$2:$I$500,$I47,L$2:L$500,"&lt;&gt;"&amp;L47,L$2:L$500,"&lt;&gt;")&gt;0,"CEK jenis fixture beda dalam satu series","OK"))))))))))</f>
        <v/>
      </c>
      <c r="Q47" s="11" t="n"/>
      <c r="R47" s="11" t="n"/>
      <c r="S47" s="11" t="n"/>
      <c r="T47" s="11">
        <f>IF(OR(Q47="",R47=""),"",IFERROR(INDEX(LAYOUT!$D$2:$D$80,MATCH(Q47&amp;"|"&amp;R47,LAYOUT!$E$2:$E$80,0)),""))</f>
        <v/>
      </c>
      <c r="U47" s="12">
        <f>IF(AND(Q47="",R47=""),IF(AND(L47="",M47="",V47="",W47=""),IF(OR($D47&lt;&gt;"",$E47&lt;&gt;""),"Belum ditempatkan",""),""),IF(Q47="","CEK JENIS FIXTURE kosong",IF(LEFT(Q47,4)&lt;&gt;"Wall","CEK Fixture 2 hanya Wall",IF(R47="","CEK SHELVING KE kosong",IF(ISNA(MATCH(Q47&amp;"|"&amp;R47,LAYOUT!$E$2:$E$80,0)),"CEK SHELVING KE di luar layout",IF($I47="","CEK SERIES kosong",IF(AND(S47&lt;&gt;"",NOT(ISNUMBER(S47))),"CEK URUTAN DISPLAY harus angka",IF($D47="","Zona STOCK",IF($E47="","CEK SKU DESCRIPTION kosong",IF(COUNTIFS($I$2:$I$500,$I47,Q$2:Q$500,"&lt;&gt;"&amp;Q47,Q$2:Q$500,"&lt;&gt;")&gt;0,"CEK jenis fixture beda dalam satu series","OK"))))))))))</f>
        <v/>
      </c>
      <c r="V47" s="11" t="n"/>
      <c r="W47" s="11" t="n"/>
      <c r="X47" s="11" t="n"/>
      <c r="Y47" s="11">
        <f>IF(OR(V47="",W47=""),"",IFERROR(INDEX(LAYOUT!$D$2:$D$80,MATCH(V47&amp;"|"&amp;W47,LAYOUT!$E$2:$E$80,0)),""))</f>
        <v/>
      </c>
      <c r="Z47" s="12">
        <f>IF(AND(V47="",W47=""),IF(AND(L47="",M47="",Q47="",R47=""),IF(OR($D47&lt;&gt;"",$E47&lt;&gt;""),"Belum ditempatkan",""),""),IF(V47="","CEK JENIS FIXTURE kosong",IF(LEFT(V47,4)&lt;&gt;"Wall","CEK Fixture 3 hanya Wall",IF(W47="","CEK SHELVING KE kosong",IF(ISNA(MATCH(V47&amp;"|"&amp;W47,LAYOUT!$E$2:$E$80,0)),"CEK SHELVING KE di luar layout",IF($I47="","CEK SERIES kosong",IF(AND(X47&lt;&gt;"",NOT(ISNUMBER(X47))),"CEK URUTAN DISPLAY harus angka",IF($D47="","Zona STOCK",IF($E47="","CEK SKU DESCRIPTION kosong",IF(COUNTIFS($I$2:$I$500,$I47,V$2:V$500,"&lt;&gt;"&amp;V47,V$2:V$500,"&lt;&gt;")&gt;0,"CEK jenis fixture beda dalam satu series","OK"))))))))))</f>
        <v/>
      </c>
      <c r="AA47" s="12" t="n"/>
      <c r="AB47" s="11" t="n"/>
      <c r="AC47" s="11" t="n"/>
      <c r="AD47" s="11" t="n"/>
      <c r="AE47" s="11" t="n"/>
      <c r="AF47" s="11" t="n"/>
      <c r="AG47" s="11" t="n"/>
      <c r="AH47" s="12" t="n"/>
      <c r="AI47" s="12" t="n"/>
    </row>
    <row r="48">
      <c r="A48" s="10" t="inlineStr">
        <is>
          <t>Homeware</t>
        </is>
      </c>
      <c r="B48" s="10" t="inlineStr">
        <is>
          <t>Kitchenware</t>
        </is>
      </c>
      <c r="C48" s="10" t="inlineStr">
        <is>
          <t>Kitchen Tools</t>
        </is>
      </c>
      <c r="D48" s="10" t="inlineStr">
        <is>
          <t>10198159</t>
        </is>
      </c>
      <c r="E48" s="10" t="inlineStr">
        <is>
          <t>TANTA NYLON LADLE</t>
        </is>
      </c>
      <c r="F48" s="10" t="n"/>
      <c r="G48" s="10" t="inlineStr">
        <is>
          <t>ALAT MASAK</t>
        </is>
      </c>
      <c r="H48" s="10" t="inlineStr">
        <is>
          <t>C1. KITCHEN TOOLS</t>
        </is>
      </c>
      <c r="I48" s="10" t="inlineStr">
        <is>
          <t>TANTA NYLON</t>
        </is>
      </c>
      <c r="J48" s="10" t="n"/>
      <c r="K48" s="10" t="n"/>
      <c r="L48" s="11" t="n"/>
      <c r="M48" s="11" t="n"/>
      <c r="N48" s="11" t="n"/>
      <c r="O48" s="11">
        <f>IF(OR(L48="",M48=""),"",IFERROR(INDEX(LAYOUT!$D$2:$D$80,MATCH(L48&amp;"|"&amp;M48,LAYOUT!$E$2:$E$80,0)),""))</f>
        <v/>
      </c>
      <c r="P48" s="12">
        <f>IF(AND(L48="",M48=""),IF(AND(Q48="",R48="",V48="",W48=""),IF(OR($D48&lt;&gt;"",$E48&lt;&gt;""),"Belum ditempatkan",""),""),IF(L48="","CEK JENIS FIXTURE kosong",IF(AND(LEFT(L48,7)&lt;&gt;"Gondola",LEFT(L48,6)&lt;&gt;"Endcap"),"CEK Fixture 1 hanya Gondola atau Endcap",IF(M48="","CEK SHELVING KE kosong",IF(ISNA(MATCH(L48&amp;"|"&amp;M48,LAYOUT!$E$2:$E$80,0)),"CEK SHELVING KE di luar layout",IF($I48="","CEK SERIES kosong",IF(AND(N48&lt;&gt;"",NOT(ISNUMBER(N48))),"CEK URUTAN DISPLAY harus angka",IF($D48="","Zona STOCK",IF($E48="","CEK SKU DESCRIPTION kosong",IF(COUNTIFS($I$2:$I$500,$I48,L$2:L$500,"&lt;&gt;"&amp;L48,L$2:L$500,"&lt;&gt;")&gt;0,"CEK jenis fixture beda dalam satu series","OK"))))))))))</f>
        <v/>
      </c>
      <c r="Q48" s="11" t="n"/>
      <c r="R48" s="11" t="n"/>
      <c r="S48" s="11" t="n"/>
      <c r="T48" s="11">
        <f>IF(OR(Q48="",R48=""),"",IFERROR(INDEX(LAYOUT!$D$2:$D$80,MATCH(Q48&amp;"|"&amp;R48,LAYOUT!$E$2:$E$80,0)),""))</f>
        <v/>
      </c>
      <c r="U48" s="12">
        <f>IF(AND(Q48="",R48=""),IF(AND(L48="",M48="",V48="",W48=""),IF(OR($D48&lt;&gt;"",$E48&lt;&gt;""),"Belum ditempatkan",""),""),IF(Q48="","CEK JENIS FIXTURE kosong",IF(LEFT(Q48,4)&lt;&gt;"Wall","CEK Fixture 2 hanya Wall",IF(R48="","CEK SHELVING KE kosong",IF(ISNA(MATCH(Q48&amp;"|"&amp;R48,LAYOUT!$E$2:$E$80,0)),"CEK SHELVING KE di luar layout",IF($I48="","CEK SERIES kosong",IF(AND(S48&lt;&gt;"",NOT(ISNUMBER(S48))),"CEK URUTAN DISPLAY harus angka",IF($D48="","Zona STOCK",IF($E48="","CEK SKU DESCRIPTION kosong",IF(COUNTIFS($I$2:$I$500,$I48,Q$2:Q$500,"&lt;&gt;"&amp;Q48,Q$2:Q$500,"&lt;&gt;")&gt;0,"CEK jenis fixture beda dalam satu series","OK"))))))))))</f>
        <v/>
      </c>
      <c r="V48" s="11" t="n"/>
      <c r="W48" s="11" t="n"/>
      <c r="X48" s="11" t="n"/>
      <c r="Y48" s="11">
        <f>IF(OR(V48="",W48=""),"",IFERROR(INDEX(LAYOUT!$D$2:$D$80,MATCH(V48&amp;"|"&amp;W48,LAYOUT!$E$2:$E$80,0)),""))</f>
        <v/>
      </c>
      <c r="Z48" s="12">
        <f>IF(AND(V48="",W48=""),IF(AND(L48="",M48="",Q48="",R48=""),IF(OR($D48&lt;&gt;"",$E48&lt;&gt;""),"Belum ditempatkan",""),""),IF(V48="","CEK JENIS FIXTURE kosong",IF(LEFT(V48,4)&lt;&gt;"Wall","CEK Fixture 3 hanya Wall",IF(W48="","CEK SHELVING KE kosong",IF(ISNA(MATCH(V48&amp;"|"&amp;W48,LAYOUT!$E$2:$E$80,0)),"CEK SHELVING KE di luar layout",IF($I48="","CEK SERIES kosong",IF(AND(X48&lt;&gt;"",NOT(ISNUMBER(X48))),"CEK URUTAN DISPLAY harus angka",IF($D48="","Zona STOCK",IF($E48="","CEK SKU DESCRIPTION kosong",IF(COUNTIFS($I$2:$I$500,$I48,V$2:V$500,"&lt;&gt;"&amp;V48,V$2:V$500,"&lt;&gt;")&gt;0,"CEK jenis fixture beda dalam satu series","OK"))))))))))</f>
        <v/>
      </c>
      <c r="AA48" s="12" t="n"/>
      <c r="AB48" s="11" t="n"/>
      <c r="AC48" s="11" t="n"/>
      <c r="AD48" s="11" t="n"/>
      <c r="AE48" s="11" t="n"/>
      <c r="AF48" s="11" t="n"/>
      <c r="AG48" s="11" t="n"/>
      <c r="AH48" s="12" t="n"/>
      <c r="AI48" s="12" t="n"/>
    </row>
    <row r="49">
      <c r="A49" s="10" t="inlineStr">
        <is>
          <t>Homeware</t>
        </is>
      </c>
      <c r="B49" s="10" t="inlineStr">
        <is>
          <t>Kitchenware</t>
        </is>
      </c>
      <c r="C49" s="10" t="inlineStr">
        <is>
          <t>Kitchen Tools</t>
        </is>
      </c>
      <c r="D49" s="10" t="inlineStr">
        <is>
          <t>10198160</t>
        </is>
      </c>
      <c r="E49" s="10" t="inlineStr">
        <is>
          <t>TANTA NYLON WHISK</t>
        </is>
      </c>
      <c r="F49" s="10" t="n"/>
      <c r="G49" s="10" t="inlineStr">
        <is>
          <t>ALAT MASAK</t>
        </is>
      </c>
      <c r="H49" s="10" t="inlineStr">
        <is>
          <t>C1. KITCHEN TOOLS</t>
        </is>
      </c>
      <c r="I49" s="10" t="inlineStr">
        <is>
          <t>TANTA NYLON</t>
        </is>
      </c>
      <c r="J49" s="10" t="n"/>
      <c r="K49" s="10" t="n"/>
      <c r="L49" s="11" t="n"/>
      <c r="M49" s="11" t="n"/>
      <c r="N49" s="11" t="n"/>
      <c r="O49" s="11">
        <f>IF(OR(L49="",M49=""),"",IFERROR(INDEX(LAYOUT!$D$2:$D$80,MATCH(L49&amp;"|"&amp;M49,LAYOUT!$E$2:$E$80,0)),""))</f>
        <v/>
      </c>
      <c r="P49" s="12">
        <f>IF(AND(L49="",M49=""),IF(AND(Q49="",R49="",V49="",W49=""),IF(OR($D49&lt;&gt;"",$E49&lt;&gt;""),"Belum ditempatkan",""),""),IF(L49="","CEK JENIS FIXTURE kosong",IF(AND(LEFT(L49,7)&lt;&gt;"Gondola",LEFT(L49,6)&lt;&gt;"Endcap"),"CEK Fixture 1 hanya Gondola atau Endcap",IF(M49="","CEK SHELVING KE kosong",IF(ISNA(MATCH(L49&amp;"|"&amp;M49,LAYOUT!$E$2:$E$80,0)),"CEK SHELVING KE di luar layout",IF($I49="","CEK SERIES kosong",IF(AND(N49&lt;&gt;"",NOT(ISNUMBER(N49))),"CEK URUTAN DISPLAY harus angka",IF($D49="","Zona STOCK",IF($E49="","CEK SKU DESCRIPTION kosong",IF(COUNTIFS($I$2:$I$500,$I49,L$2:L$500,"&lt;&gt;"&amp;L49,L$2:L$500,"&lt;&gt;")&gt;0,"CEK jenis fixture beda dalam satu series","OK"))))))))))</f>
        <v/>
      </c>
      <c r="Q49" s="11" t="n"/>
      <c r="R49" s="11" t="n"/>
      <c r="S49" s="11" t="n"/>
      <c r="T49" s="11">
        <f>IF(OR(Q49="",R49=""),"",IFERROR(INDEX(LAYOUT!$D$2:$D$80,MATCH(Q49&amp;"|"&amp;R49,LAYOUT!$E$2:$E$80,0)),""))</f>
        <v/>
      </c>
      <c r="U49" s="12">
        <f>IF(AND(Q49="",R49=""),IF(AND(L49="",M49="",V49="",W49=""),IF(OR($D49&lt;&gt;"",$E49&lt;&gt;""),"Belum ditempatkan",""),""),IF(Q49="","CEK JENIS FIXTURE kosong",IF(LEFT(Q49,4)&lt;&gt;"Wall","CEK Fixture 2 hanya Wall",IF(R49="","CEK SHELVING KE kosong",IF(ISNA(MATCH(Q49&amp;"|"&amp;R49,LAYOUT!$E$2:$E$80,0)),"CEK SHELVING KE di luar layout",IF($I49="","CEK SERIES kosong",IF(AND(S49&lt;&gt;"",NOT(ISNUMBER(S49))),"CEK URUTAN DISPLAY harus angka",IF($D49="","Zona STOCK",IF($E49="","CEK SKU DESCRIPTION kosong",IF(COUNTIFS($I$2:$I$500,$I49,Q$2:Q$500,"&lt;&gt;"&amp;Q49,Q$2:Q$500,"&lt;&gt;")&gt;0,"CEK jenis fixture beda dalam satu series","OK"))))))))))</f>
        <v/>
      </c>
      <c r="V49" s="11" t="n"/>
      <c r="W49" s="11" t="n"/>
      <c r="X49" s="11" t="n"/>
      <c r="Y49" s="11">
        <f>IF(OR(V49="",W49=""),"",IFERROR(INDEX(LAYOUT!$D$2:$D$80,MATCH(V49&amp;"|"&amp;W49,LAYOUT!$E$2:$E$80,0)),""))</f>
        <v/>
      </c>
      <c r="Z49" s="12">
        <f>IF(AND(V49="",W49=""),IF(AND(L49="",M49="",Q49="",R49=""),IF(OR($D49&lt;&gt;"",$E49&lt;&gt;""),"Belum ditempatkan",""),""),IF(V49="","CEK JENIS FIXTURE kosong",IF(LEFT(V49,4)&lt;&gt;"Wall","CEK Fixture 3 hanya Wall",IF(W49="","CEK SHELVING KE kosong",IF(ISNA(MATCH(V49&amp;"|"&amp;W49,LAYOUT!$E$2:$E$80,0)),"CEK SHELVING KE di luar layout",IF($I49="","CEK SERIES kosong",IF(AND(X49&lt;&gt;"",NOT(ISNUMBER(X49))),"CEK URUTAN DISPLAY harus angka",IF($D49="","Zona STOCK",IF($E49="","CEK SKU DESCRIPTION kosong",IF(COUNTIFS($I$2:$I$500,$I49,V$2:V$500,"&lt;&gt;"&amp;V49,V$2:V$500,"&lt;&gt;")&gt;0,"CEK jenis fixture beda dalam satu series","OK"))))))))))</f>
        <v/>
      </c>
      <c r="AA49" s="12" t="n"/>
      <c r="AB49" s="11" t="n"/>
      <c r="AC49" s="11" t="n"/>
      <c r="AD49" s="11" t="n"/>
      <c r="AE49" s="11" t="n"/>
      <c r="AF49" s="11" t="n"/>
      <c r="AG49" s="11" t="n"/>
      <c r="AH49" s="12" t="n"/>
      <c r="AI49" s="12" t="n"/>
    </row>
    <row r="50">
      <c r="A50" s="10" t="inlineStr">
        <is>
          <t>Homeware</t>
        </is>
      </c>
      <c r="B50" s="10" t="inlineStr">
        <is>
          <t>Drinkware</t>
        </is>
      </c>
      <c r="C50" s="10" t="inlineStr">
        <is>
          <t>Glassware</t>
        </is>
      </c>
      <c r="D50" s="10" t="inlineStr">
        <is>
          <t>10099940</t>
        </is>
      </c>
      <c r="E50" s="10" t="inlineStr">
        <is>
          <t>INVERNESS WATER GLASS SET 355ML (6)</t>
        </is>
      </c>
      <c r="F50" s="10" t="n"/>
      <c r="G50" s="10" t="inlineStr">
        <is>
          <t>MAKAN</t>
        </is>
      </c>
      <c r="H50" s="10" t="inlineStr">
        <is>
          <t>A1. GLASSWARE</t>
        </is>
      </c>
      <c r="I50" s="10" t="inlineStr">
        <is>
          <t>INVERNESS</t>
        </is>
      </c>
      <c r="J50" s="10" t="n"/>
      <c r="K50" s="10" t="n"/>
      <c r="L50" s="11" t="n"/>
      <c r="M50" s="11" t="n"/>
      <c r="N50" s="11" t="n"/>
      <c r="O50" s="11">
        <f>IF(OR(L50="",M50=""),"",IFERROR(INDEX(LAYOUT!$D$2:$D$80,MATCH(L50&amp;"|"&amp;M50,LAYOUT!$E$2:$E$80,0)),""))</f>
        <v/>
      </c>
      <c r="P50" s="12">
        <f>IF(AND(L50="",M50=""),IF(AND(Q50="",R50="",V50="",W50=""),IF(OR($D50&lt;&gt;"",$E50&lt;&gt;""),"Belum ditempatkan",""),""),IF(L50="","CEK JENIS FIXTURE kosong",IF(AND(LEFT(L50,7)&lt;&gt;"Gondola",LEFT(L50,6)&lt;&gt;"Endcap"),"CEK Fixture 1 hanya Gondola atau Endcap",IF(M50="","CEK SHELVING KE kosong",IF(ISNA(MATCH(L50&amp;"|"&amp;M50,LAYOUT!$E$2:$E$80,0)),"CEK SHELVING KE di luar layout",IF($I50="","CEK SERIES kosong",IF(AND(N50&lt;&gt;"",NOT(ISNUMBER(N50))),"CEK URUTAN DISPLAY harus angka",IF($D50="","Zona STOCK",IF($E50="","CEK SKU DESCRIPTION kosong",IF(COUNTIFS($I$2:$I$500,$I50,L$2:L$500,"&lt;&gt;"&amp;L50,L$2:L$500,"&lt;&gt;")&gt;0,"CEK jenis fixture beda dalam satu series","OK"))))))))))</f>
        <v/>
      </c>
      <c r="Q50" s="11" t="n"/>
      <c r="R50" s="11" t="n"/>
      <c r="S50" s="11" t="n"/>
      <c r="T50" s="11">
        <f>IF(OR(Q50="",R50=""),"",IFERROR(INDEX(LAYOUT!$D$2:$D$80,MATCH(Q50&amp;"|"&amp;R50,LAYOUT!$E$2:$E$80,0)),""))</f>
        <v/>
      </c>
      <c r="U50" s="12">
        <f>IF(AND(Q50="",R50=""),IF(AND(L50="",M50="",V50="",W50=""),IF(OR($D50&lt;&gt;"",$E50&lt;&gt;""),"Belum ditempatkan",""),""),IF(Q50="","CEK JENIS FIXTURE kosong",IF(LEFT(Q50,4)&lt;&gt;"Wall","CEK Fixture 2 hanya Wall",IF(R50="","CEK SHELVING KE kosong",IF(ISNA(MATCH(Q50&amp;"|"&amp;R50,LAYOUT!$E$2:$E$80,0)),"CEK SHELVING KE di luar layout",IF($I50="","CEK SERIES kosong",IF(AND(S50&lt;&gt;"",NOT(ISNUMBER(S50))),"CEK URUTAN DISPLAY harus angka",IF($D50="","Zona STOCK",IF($E50="","CEK SKU DESCRIPTION kosong",IF(COUNTIFS($I$2:$I$500,$I50,Q$2:Q$500,"&lt;&gt;"&amp;Q50,Q$2:Q$500,"&lt;&gt;")&gt;0,"CEK jenis fixture beda dalam satu series","OK"))))))))))</f>
        <v/>
      </c>
      <c r="V50" s="11" t="n"/>
      <c r="W50" s="11" t="n"/>
      <c r="X50" s="11" t="n"/>
      <c r="Y50" s="11">
        <f>IF(OR(V50="",W50=""),"",IFERROR(INDEX(LAYOUT!$D$2:$D$80,MATCH(V50&amp;"|"&amp;W50,LAYOUT!$E$2:$E$80,0)),""))</f>
        <v/>
      </c>
      <c r="Z50" s="12">
        <f>IF(AND(V50="",W50=""),IF(AND(L50="",M50="",Q50="",R50=""),IF(OR($D50&lt;&gt;"",$E50&lt;&gt;""),"Belum ditempatkan",""),""),IF(V50="","CEK JENIS FIXTURE kosong",IF(LEFT(V50,4)&lt;&gt;"Wall","CEK Fixture 3 hanya Wall",IF(W50="","CEK SHELVING KE kosong",IF(ISNA(MATCH(V50&amp;"|"&amp;W50,LAYOUT!$E$2:$E$80,0)),"CEK SHELVING KE di luar layout",IF($I50="","CEK SERIES kosong",IF(AND(X50&lt;&gt;"",NOT(ISNUMBER(X50))),"CEK URUTAN DISPLAY harus angka",IF($D50="","Zona STOCK",IF($E50="","CEK SKU DESCRIPTION kosong",IF(COUNTIFS($I$2:$I$500,$I50,V$2:V$500,"&lt;&gt;"&amp;V50,V$2:V$500,"&lt;&gt;")&gt;0,"CEK jenis fixture beda dalam satu series","OK"))))))))))</f>
        <v/>
      </c>
      <c r="AA50" s="12" t="n"/>
      <c r="AB50" s="11" t="n"/>
      <c r="AC50" s="11" t="n"/>
      <c r="AD50" s="11" t="n"/>
      <c r="AE50" s="11" t="n"/>
      <c r="AF50" s="11" t="n"/>
      <c r="AG50" s="11" t="n"/>
      <c r="AH50" s="12" t="n"/>
      <c r="AI50" s="12" t="n"/>
    </row>
    <row r="51">
      <c r="A51" s="10" t="inlineStr">
        <is>
          <t>Homeware</t>
        </is>
      </c>
      <c r="B51" s="10" t="inlineStr">
        <is>
          <t>Storage</t>
        </is>
      </c>
      <c r="C51" s="10" t="inlineStr">
        <is>
          <t>Food Storage</t>
        </is>
      </c>
      <c r="D51" s="10" t="inlineStr">
        <is>
          <t>10682153</t>
        </is>
      </c>
      <c r="E51" s="10" t="inlineStr">
        <is>
          <t>EID 2026 GLASS JAR SET OF 3 900ML</t>
        </is>
      </c>
      <c r="F51" s="10" t="n"/>
      <c r="G51" s="10" t="inlineStr">
        <is>
          <t>PENYIMPANAN</t>
        </is>
      </c>
      <c r="H51" s="10" t="inlineStr">
        <is>
          <t>E4. CANISTER</t>
        </is>
      </c>
      <c r="I51" s="10" t="inlineStr">
        <is>
          <t>GLASS FANCY</t>
        </is>
      </c>
      <c r="J51" s="10" t="n"/>
      <c r="K51" s="10" t="n"/>
      <c r="L51" s="11" t="n"/>
      <c r="M51" s="11" t="n"/>
      <c r="N51" s="11" t="n"/>
      <c r="O51" s="11">
        <f>IF(OR(L51="",M51=""),"",IFERROR(INDEX(LAYOUT!$D$2:$D$80,MATCH(L51&amp;"|"&amp;M51,LAYOUT!$E$2:$E$80,0)),""))</f>
        <v/>
      </c>
      <c r="P51" s="12">
        <f>IF(AND(L51="",M51=""),IF(AND(Q51="",R51="",V51="",W51=""),IF(OR($D51&lt;&gt;"",$E51&lt;&gt;""),"Belum ditempatkan",""),""),IF(L51="","CEK JENIS FIXTURE kosong",IF(AND(LEFT(L51,7)&lt;&gt;"Gondola",LEFT(L51,6)&lt;&gt;"Endcap"),"CEK Fixture 1 hanya Gondola atau Endcap",IF(M51="","CEK SHELVING KE kosong",IF(ISNA(MATCH(L51&amp;"|"&amp;M51,LAYOUT!$E$2:$E$80,0)),"CEK SHELVING KE di luar layout",IF($I51="","CEK SERIES kosong",IF(AND(N51&lt;&gt;"",NOT(ISNUMBER(N51))),"CEK URUTAN DISPLAY harus angka",IF($D51="","Zona STOCK",IF($E51="","CEK SKU DESCRIPTION kosong",IF(COUNTIFS($I$2:$I$500,$I51,L$2:L$500,"&lt;&gt;"&amp;L51,L$2:L$500,"&lt;&gt;")&gt;0,"CEK jenis fixture beda dalam satu series","OK"))))))))))</f>
        <v/>
      </c>
      <c r="Q51" s="11" t="n"/>
      <c r="R51" s="11" t="n"/>
      <c r="S51" s="11" t="n"/>
      <c r="T51" s="11">
        <f>IF(OR(Q51="",R51=""),"",IFERROR(INDEX(LAYOUT!$D$2:$D$80,MATCH(Q51&amp;"|"&amp;R51,LAYOUT!$E$2:$E$80,0)),""))</f>
        <v/>
      </c>
      <c r="U51" s="12">
        <f>IF(AND(Q51="",R51=""),IF(AND(L51="",M51="",V51="",W51=""),IF(OR($D51&lt;&gt;"",$E51&lt;&gt;""),"Belum ditempatkan",""),""),IF(Q51="","CEK JENIS FIXTURE kosong",IF(LEFT(Q51,4)&lt;&gt;"Wall","CEK Fixture 2 hanya Wall",IF(R51="","CEK SHELVING KE kosong",IF(ISNA(MATCH(Q51&amp;"|"&amp;R51,LAYOUT!$E$2:$E$80,0)),"CEK SHELVING KE di luar layout",IF($I51="","CEK SERIES kosong",IF(AND(S51&lt;&gt;"",NOT(ISNUMBER(S51))),"CEK URUTAN DISPLAY harus angka",IF($D51="","Zona STOCK",IF($E51="","CEK SKU DESCRIPTION kosong",IF(COUNTIFS($I$2:$I$500,$I51,Q$2:Q$500,"&lt;&gt;"&amp;Q51,Q$2:Q$500,"&lt;&gt;")&gt;0,"CEK jenis fixture beda dalam satu series","OK"))))))))))</f>
        <v/>
      </c>
      <c r="V51" s="11" t="n"/>
      <c r="W51" s="11" t="n"/>
      <c r="X51" s="11" t="n"/>
      <c r="Y51" s="11">
        <f>IF(OR(V51="",W51=""),"",IFERROR(INDEX(LAYOUT!$D$2:$D$80,MATCH(V51&amp;"|"&amp;W51,LAYOUT!$E$2:$E$80,0)),""))</f>
        <v/>
      </c>
      <c r="Z51" s="12">
        <f>IF(AND(V51="",W51=""),IF(AND(L51="",M51="",Q51="",R51=""),IF(OR($D51&lt;&gt;"",$E51&lt;&gt;""),"Belum ditempatkan",""),""),IF(V51="","CEK JENIS FIXTURE kosong",IF(LEFT(V51,4)&lt;&gt;"Wall","CEK Fixture 3 hanya Wall",IF(W51="","CEK SHELVING KE kosong",IF(ISNA(MATCH(V51&amp;"|"&amp;W51,LAYOUT!$E$2:$E$80,0)),"CEK SHELVING KE di luar layout",IF($I51="","CEK SERIES kosong",IF(AND(X51&lt;&gt;"",NOT(ISNUMBER(X51))),"CEK URUTAN DISPLAY harus angka",IF($D51="","Zona STOCK",IF($E51="","CEK SKU DESCRIPTION kosong",IF(COUNTIFS($I$2:$I$500,$I51,V$2:V$500,"&lt;&gt;"&amp;V51,V$2:V$500,"&lt;&gt;")&gt;0,"CEK jenis fixture beda dalam satu series","OK"))))))))))</f>
        <v/>
      </c>
      <c r="AA51" s="12" t="n"/>
      <c r="AB51" s="11" t="n"/>
      <c r="AC51" s="11" t="n"/>
      <c r="AD51" s="11" t="n"/>
      <c r="AE51" s="11" t="n"/>
      <c r="AF51" s="11" t="n"/>
      <c r="AG51" s="11" t="n"/>
      <c r="AH51" s="12" t="n"/>
      <c r="AI51" s="12" t="n"/>
    </row>
    <row r="52">
      <c r="A52" s="10" t="inlineStr">
        <is>
          <t>Homeware</t>
        </is>
      </c>
      <c r="B52" s="10" t="inlineStr">
        <is>
          <t>Storage</t>
        </is>
      </c>
      <c r="C52" s="10" t="inlineStr">
        <is>
          <t>Food Storage</t>
        </is>
      </c>
      <c r="D52" s="10" t="inlineStr">
        <is>
          <t>10682154</t>
        </is>
      </c>
      <c r="E52" s="10" t="inlineStr">
        <is>
          <t>GRETTA GLASS JAR SET OF 4 WITH RACK</t>
        </is>
      </c>
      <c r="F52" s="10" t="n"/>
      <c r="G52" s="10" t="inlineStr">
        <is>
          <t>PENYIMPANAN</t>
        </is>
      </c>
      <c r="H52" s="10" t="inlineStr">
        <is>
          <t>E4. CANISTER</t>
        </is>
      </c>
      <c r="I52" s="10" t="inlineStr">
        <is>
          <t>GLASS BASIC</t>
        </is>
      </c>
      <c r="J52" s="10" t="n"/>
      <c r="K52" s="10" t="n"/>
      <c r="L52" s="11" t="n"/>
      <c r="M52" s="11" t="n"/>
      <c r="N52" s="11" t="n"/>
      <c r="O52" s="11">
        <f>IF(OR(L52="",M52=""),"",IFERROR(INDEX(LAYOUT!$D$2:$D$80,MATCH(L52&amp;"|"&amp;M52,LAYOUT!$E$2:$E$80,0)),""))</f>
        <v/>
      </c>
      <c r="P52" s="12">
        <f>IF(AND(L52="",M52=""),IF(AND(Q52="",R52="",V52="",W52=""),IF(OR($D52&lt;&gt;"",$E52&lt;&gt;""),"Belum ditempatkan",""),""),IF(L52="","CEK JENIS FIXTURE kosong",IF(AND(LEFT(L52,7)&lt;&gt;"Gondola",LEFT(L52,6)&lt;&gt;"Endcap"),"CEK Fixture 1 hanya Gondola atau Endcap",IF(M52="","CEK SHELVING KE kosong",IF(ISNA(MATCH(L52&amp;"|"&amp;M52,LAYOUT!$E$2:$E$80,0)),"CEK SHELVING KE di luar layout",IF($I52="","CEK SERIES kosong",IF(AND(N52&lt;&gt;"",NOT(ISNUMBER(N52))),"CEK URUTAN DISPLAY harus angka",IF($D52="","Zona STOCK",IF($E52="","CEK SKU DESCRIPTION kosong",IF(COUNTIFS($I$2:$I$500,$I52,L$2:L$500,"&lt;&gt;"&amp;L52,L$2:L$500,"&lt;&gt;")&gt;0,"CEK jenis fixture beda dalam satu series","OK"))))))))))</f>
        <v/>
      </c>
      <c r="Q52" s="11" t="n"/>
      <c r="R52" s="11" t="n"/>
      <c r="S52" s="11" t="n"/>
      <c r="T52" s="11">
        <f>IF(OR(Q52="",R52=""),"",IFERROR(INDEX(LAYOUT!$D$2:$D$80,MATCH(Q52&amp;"|"&amp;R52,LAYOUT!$E$2:$E$80,0)),""))</f>
        <v/>
      </c>
      <c r="U52" s="12">
        <f>IF(AND(Q52="",R52=""),IF(AND(L52="",M52="",V52="",W52=""),IF(OR($D52&lt;&gt;"",$E52&lt;&gt;""),"Belum ditempatkan",""),""),IF(Q52="","CEK JENIS FIXTURE kosong",IF(LEFT(Q52,4)&lt;&gt;"Wall","CEK Fixture 2 hanya Wall",IF(R52="","CEK SHELVING KE kosong",IF(ISNA(MATCH(Q52&amp;"|"&amp;R52,LAYOUT!$E$2:$E$80,0)),"CEK SHELVING KE di luar layout",IF($I52="","CEK SERIES kosong",IF(AND(S52&lt;&gt;"",NOT(ISNUMBER(S52))),"CEK URUTAN DISPLAY harus angka",IF($D52="","Zona STOCK",IF($E52="","CEK SKU DESCRIPTION kosong",IF(COUNTIFS($I$2:$I$500,$I52,Q$2:Q$500,"&lt;&gt;"&amp;Q52,Q$2:Q$500,"&lt;&gt;")&gt;0,"CEK jenis fixture beda dalam satu series","OK"))))))))))</f>
        <v/>
      </c>
      <c r="V52" s="11" t="n"/>
      <c r="W52" s="11" t="n"/>
      <c r="X52" s="11" t="n"/>
      <c r="Y52" s="11">
        <f>IF(OR(V52="",W52=""),"",IFERROR(INDEX(LAYOUT!$D$2:$D$80,MATCH(V52&amp;"|"&amp;W52,LAYOUT!$E$2:$E$80,0)),""))</f>
        <v/>
      </c>
      <c r="Z52" s="12">
        <f>IF(AND(V52="",W52=""),IF(AND(L52="",M52="",Q52="",R52=""),IF(OR($D52&lt;&gt;"",$E52&lt;&gt;""),"Belum ditempatkan",""),""),IF(V52="","CEK JENIS FIXTURE kosong",IF(LEFT(V52,4)&lt;&gt;"Wall","CEK Fixture 3 hanya Wall",IF(W52="","CEK SHELVING KE kosong",IF(ISNA(MATCH(V52&amp;"|"&amp;W52,LAYOUT!$E$2:$E$80,0)),"CEK SHELVING KE di luar layout",IF($I52="","CEK SERIES kosong",IF(AND(X52&lt;&gt;"",NOT(ISNUMBER(X52))),"CEK URUTAN DISPLAY harus angka",IF($D52="","Zona STOCK",IF($E52="","CEK SKU DESCRIPTION kosong",IF(COUNTIFS($I$2:$I$500,$I52,V$2:V$500,"&lt;&gt;"&amp;V52,V$2:V$500,"&lt;&gt;")&gt;0,"CEK jenis fixture beda dalam satu series","OK"))))))))))</f>
        <v/>
      </c>
      <c r="AA52" s="12" t="n"/>
      <c r="AB52" s="11" t="n"/>
      <c r="AC52" s="11" t="n"/>
      <c r="AD52" s="11" t="n"/>
      <c r="AE52" s="11" t="n"/>
      <c r="AF52" s="11" t="n"/>
      <c r="AG52" s="11" t="n"/>
      <c r="AH52" s="12" t="n"/>
      <c r="AI52" s="12" t="n"/>
    </row>
    <row r="53">
      <c r="A53" s="10" t="inlineStr">
        <is>
          <t>Homeware</t>
        </is>
      </c>
      <c r="B53" s="10" t="inlineStr">
        <is>
          <t>Storage</t>
        </is>
      </c>
      <c r="C53" s="10" t="inlineStr">
        <is>
          <t>Food Storage</t>
        </is>
      </c>
      <c r="D53" s="10" t="inlineStr">
        <is>
          <t>10682155</t>
        </is>
      </c>
      <c r="E53" s="10" t="inlineStr">
        <is>
          <t>GRETTA GLASS JAR SET OF 3 WITH RACK</t>
        </is>
      </c>
      <c r="F53" s="10" t="n"/>
      <c r="G53" s="10" t="inlineStr">
        <is>
          <t>PENYIMPANAN</t>
        </is>
      </c>
      <c r="H53" s="10" t="inlineStr">
        <is>
          <t>E4. CANISTER</t>
        </is>
      </c>
      <c r="I53" s="10" t="inlineStr">
        <is>
          <t>GLASS BASIC</t>
        </is>
      </c>
      <c r="J53" s="10" t="n"/>
      <c r="K53" s="10" t="n"/>
      <c r="L53" s="11" t="n"/>
      <c r="M53" s="11" t="n"/>
      <c r="N53" s="11" t="n"/>
      <c r="O53" s="11">
        <f>IF(OR(L53="",M53=""),"",IFERROR(INDEX(LAYOUT!$D$2:$D$80,MATCH(L53&amp;"|"&amp;M53,LAYOUT!$E$2:$E$80,0)),""))</f>
        <v/>
      </c>
      <c r="P53" s="12">
        <f>IF(AND(L53="",M53=""),IF(AND(Q53="",R53="",V53="",W53=""),IF(OR($D53&lt;&gt;"",$E53&lt;&gt;""),"Belum ditempatkan",""),""),IF(L53="","CEK JENIS FIXTURE kosong",IF(AND(LEFT(L53,7)&lt;&gt;"Gondola",LEFT(L53,6)&lt;&gt;"Endcap"),"CEK Fixture 1 hanya Gondola atau Endcap",IF(M53="","CEK SHELVING KE kosong",IF(ISNA(MATCH(L53&amp;"|"&amp;M53,LAYOUT!$E$2:$E$80,0)),"CEK SHELVING KE di luar layout",IF($I53="","CEK SERIES kosong",IF(AND(N53&lt;&gt;"",NOT(ISNUMBER(N53))),"CEK URUTAN DISPLAY harus angka",IF($D53="","Zona STOCK",IF($E53="","CEK SKU DESCRIPTION kosong",IF(COUNTIFS($I$2:$I$500,$I53,L$2:L$500,"&lt;&gt;"&amp;L53,L$2:L$500,"&lt;&gt;")&gt;0,"CEK jenis fixture beda dalam satu series","OK"))))))))))</f>
        <v/>
      </c>
      <c r="Q53" s="11" t="n"/>
      <c r="R53" s="11" t="n"/>
      <c r="S53" s="11" t="n"/>
      <c r="T53" s="11">
        <f>IF(OR(Q53="",R53=""),"",IFERROR(INDEX(LAYOUT!$D$2:$D$80,MATCH(Q53&amp;"|"&amp;R53,LAYOUT!$E$2:$E$80,0)),""))</f>
        <v/>
      </c>
      <c r="U53" s="12">
        <f>IF(AND(Q53="",R53=""),IF(AND(L53="",M53="",V53="",W53=""),IF(OR($D53&lt;&gt;"",$E53&lt;&gt;""),"Belum ditempatkan",""),""),IF(Q53="","CEK JENIS FIXTURE kosong",IF(LEFT(Q53,4)&lt;&gt;"Wall","CEK Fixture 2 hanya Wall",IF(R53="","CEK SHELVING KE kosong",IF(ISNA(MATCH(Q53&amp;"|"&amp;R53,LAYOUT!$E$2:$E$80,0)),"CEK SHELVING KE di luar layout",IF($I53="","CEK SERIES kosong",IF(AND(S53&lt;&gt;"",NOT(ISNUMBER(S53))),"CEK URUTAN DISPLAY harus angka",IF($D53="","Zona STOCK",IF($E53="","CEK SKU DESCRIPTION kosong",IF(COUNTIFS($I$2:$I$500,$I53,Q$2:Q$500,"&lt;&gt;"&amp;Q53,Q$2:Q$500,"&lt;&gt;")&gt;0,"CEK jenis fixture beda dalam satu series","OK"))))))))))</f>
        <v/>
      </c>
      <c r="V53" s="11" t="n"/>
      <c r="W53" s="11" t="n"/>
      <c r="X53" s="11" t="n"/>
      <c r="Y53" s="11">
        <f>IF(OR(V53="",W53=""),"",IFERROR(INDEX(LAYOUT!$D$2:$D$80,MATCH(V53&amp;"|"&amp;W53,LAYOUT!$E$2:$E$80,0)),""))</f>
        <v/>
      </c>
      <c r="Z53" s="12">
        <f>IF(AND(V53="",W53=""),IF(AND(L53="",M53="",Q53="",R53=""),IF(OR($D53&lt;&gt;"",$E53&lt;&gt;""),"Belum ditempatkan",""),""),IF(V53="","CEK JENIS FIXTURE kosong",IF(LEFT(V53,4)&lt;&gt;"Wall","CEK Fixture 3 hanya Wall",IF(W53="","CEK SHELVING KE kosong",IF(ISNA(MATCH(V53&amp;"|"&amp;W53,LAYOUT!$E$2:$E$80,0)),"CEK SHELVING KE di luar layout",IF($I53="","CEK SERIES kosong",IF(AND(X53&lt;&gt;"",NOT(ISNUMBER(X53))),"CEK URUTAN DISPLAY harus angka",IF($D53="","Zona STOCK",IF($E53="","CEK SKU DESCRIPTION kosong",IF(COUNTIFS($I$2:$I$500,$I53,V$2:V$500,"&lt;&gt;"&amp;V53,V$2:V$500,"&lt;&gt;")&gt;0,"CEK jenis fixture beda dalam satu series","OK"))))))))))</f>
        <v/>
      </c>
      <c r="AA53" s="12" t="n"/>
      <c r="AB53" s="11" t="n"/>
      <c r="AC53" s="11" t="n"/>
      <c r="AD53" s="11" t="n"/>
      <c r="AE53" s="11" t="n"/>
      <c r="AF53" s="11" t="n"/>
      <c r="AG53" s="11" t="n"/>
      <c r="AH53" s="12" t="n"/>
      <c r="AI53" s="12" t="n"/>
    </row>
    <row r="54">
      <c r="A54" s="10" t="inlineStr">
        <is>
          <t>Homeware</t>
        </is>
      </c>
      <c r="B54" s="10" t="inlineStr">
        <is>
          <t>Storage</t>
        </is>
      </c>
      <c r="C54" s="10" t="inlineStr">
        <is>
          <t>Food Storage</t>
        </is>
      </c>
      <c r="D54" s="10" t="inlineStr">
        <is>
          <t>10681993</t>
        </is>
      </c>
      <c r="E54" s="10" t="inlineStr">
        <is>
          <t>POLLA RICE BIN 5KG BEIGE</t>
        </is>
      </c>
      <c r="F54" s="10" t="n"/>
      <c r="G54" s="10" t="inlineStr">
        <is>
          <t>MASAK</t>
        </is>
      </c>
      <c r="H54" s="10" t="inlineStr">
        <is>
          <t>D11. KITCHEN PLASTICWARE</t>
        </is>
      </c>
      <c r="I54" s="10" t="inlineStr">
        <is>
          <t>POLLA</t>
        </is>
      </c>
      <c r="J54" s="10" t="n"/>
      <c r="K54" s="10" t="n"/>
      <c r="L54" s="11" t="n"/>
      <c r="M54" s="11" t="n"/>
      <c r="N54" s="11" t="n"/>
      <c r="O54" s="11">
        <f>IF(OR(L54="",M54=""),"",IFERROR(INDEX(LAYOUT!$D$2:$D$80,MATCH(L54&amp;"|"&amp;M54,LAYOUT!$E$2:$E$80,0)),""))</f>
        <v/>
      </c>
      <c r="P54" s="12">
        <f>IF(AND(L54="",M54=""),IF(AND(Q54="",R54="",V54="",W54=""),IF(OR($D54&lt;&gt;"",$E54&lt;&gt;""),"Belum ditempatkan",""),""),IF(L54="","CEK JENIS FIXTURE kosong",IF(AND(LEFT(L54,7)&lt;&gt;"Gondola",LEFT(L54,6)&lt;&gt;"Endcap"),"CEK Fixture 1 hanya Gondola atau Endcap",IF(M54="","CEK SHELVING KE kosong",IF(ISNA(MATCH(L54&amp;"|"&amp;M54,LAYOUT!$E$2:$E$80,0)),"CEK SHELVING KE di luar layout",IF($I54="","CEK SERIES kosong",IF(AND(N54&lt;&gt;"",NOT(ISNUMBER(N54))),"CEK URUTAN DISPLAY harus angka",IF($D54="","Zona STOCK",IF($E54="","CEK SKU DESCRIPTION kosong",IF(COUNTIFS($I$2:$I$500,$I54,L$2:L$500,"&lt;&gt;"&amp;L54,L$2:L$500,"&lt;&gt;")&gt;0,"CEK jenis fixture beda dalam satu series","OK"))))))))))</f>
        <v/>
      </c>
      <c r="Q54" s="11" t="n"/>
      <c r="R54" s="11" t="n"/>
      <c r="S54" s="11" t="n"/>
      <c r="T54" s="11">
        <f>IF(OR(Q54="",R54=""),"",IFERROR(INDEX(LAYOUT!$D$2:$D$80,MATCH(Q54&amp;"|"&amp;R54,LAYOUT!$E$2:$E$80,0)),""))</f>
        <v/>
      </c>
      <c r="U54" s="12">
        <f>IF(AND(Q54="",R54=""),IF(AND(L54="",M54="",V54="",W54=""),IF(OR($D54&lt;&gt;"",$E54&lt;&gt;""),"Belum ditempatkan",""),""),IF(Q54="","CEK JENIS FIXTURE kosong",IF(LEFT(Q54,4)&lt;&gt;"Wall","CEK Fixture 2 hanya Wall",IF(R54="","CEK SHELVING KE kosong",IF(ISNA(MATCH(Q54&amp;"|"&amp;R54,LAYOUT!$E$2:$E$80,0)),"CEK SHELVING KE di luar layout",IF($I54="","CEK SERIES kosong",IF(AND(S54&lt;&gt;"",NOT(ISNUMBER(S54))),"CEK URUTAN DISPLAY harus angka",IF($D54="","Zona STOCK",IF($E54="","CEK SKU DESCRIPTION kosong",IF(COUNTIFS($I$2:$I$500,$I54,Q$2:Q$500,"&lt;&gt;"&amp;Q54,Q$2:Q$500,"&lt;&gt;")&gt;0,"CEK jenis fixture beda dalam satu series","OK"))))))))))</f>
        <v/>
      </c>
      <c r="V54" s="11" t="n"/>
      <c r="W54" s="11" t="n"/>
      <c r="X54" s="11" t="n"/>
      <c r="Y54" s="11">
        <f>IF(OR(V54="",W54=""),"",IFERROR(INDEX(LAYOUT!$D$2:$D$80,MATCH(V54&amp;"|"&amp;W54,LAYOUT!$E$2:$E$80,0)),""))</f>
        <v/>
      </c>
      <c r="Z54" s="12">
        <f>IF(AND(V54="",W54=""),IF(AND(L54="",M54="",Q54="",R54=""),IF(OR($D54&lt;&gt;"",$E54&lt;&gt;""),"Belum ditempatkan",""),""),IF(V54="","CEK JENIS FIXTURE kosong",IF(LEFT(V54,4)&lt;&gt;"Wall","CEK Fixture 3 hanya Wall",IF(W54="","CEK SHELVING KE kosong",IF(ISNA(MATCH(V54&amp;"|"&amp;W54,LAYOUT!$E$2:$E$80,0)),"CEK SHELVING KE di luar layout",IF($I54="","CEK SERIES kosong",IF(AND(X54&lt;&gt;"",NOT(ISNUMBER(X54))),"CEK URUTAN DISPLAY harus angka",IF($D54="","Zona STOCK",IF($E54="","CEK SKU DESCRIPTION kosong",IF(COUNTIFS($I$2:$I$500,$I54,V$2:V$500,"&lt;&gt;"&amp;V54,V$2:V$500,"&lt;&gt;")&gt;0,"CEK jenis fixture beda dalam satu series","OK"))))))))))</f>
        <v/>
      </c>
      <c r="AA54" s="12" t="n"/>
      <c r="AB54" s="11" t="n"/>
      <c r="AC54" s="11" t="n"/>
      <c r="AD54" s="11" t="n"/>
      <c r="AE54" s="11" t="n"/>
      <c r="AF54" s="11" t="n"/>
      <c r="AG54" s="11" t="n"/>
      <c r="AH54" s="12" t="n"/>
      <c r="AI54" s="12" t="n"/>
    </row>
    <row r="55">
      <c r="A55" s="10" t="inlineStr">
        <is>
          <t>Homeware</t>
        </is>
      </c>
      <c r="B55" s="10" t="inlineStr">
        <is>
          <t>Tableware</t>
        </is>
      </c>
      <c r="C55" s="10" t="inlineStr">
        <is>
          <t>Plates &amp; Bowls</t>
        </is>
      </c>
      <c r="D55" s="10" t="inlineStr">
        <is>
          <t>238182</t>
        </is>
      </c>
      <c r="E55" s="10" t="inlineStr">
        <is>
          <t>COUPLE PLATE 27CM SIMPLE PLUS</t>
        </is>
      </c>
      <c r="F55" s="10" t="n"/>
      <c r="G55" s="10" t="n"/>
      <c r="H55" s="10" t="n"/>
      <c r="I55" s="10" t="n"/>
      <c r="J55" s="10" t="n"/>
      <c r="K55" s="10" t="n"/>
      <c r="L55" s="11" t="n"/>
      <c r="M55" s="11" t="n"/>
      <c r="N55" s="11" t="n"/>
      <c r="O55" s="11">
        <f>IF(OR(L55="",M55=""),"",IFERROR(INDEX(LAYOUT!$D$2:$D$80,MATCH(L55&amp;"|"&amp;M55,LAYOUT!$E$2:$E$80,0)),""))</f>
        <v/>
      </c>
      <c r="P55" s="12">
        <f>IF(AND(L55="",M55=""),IF(AND(Q55="",R55="",V55="",W55=""),IF(OR($D55&lt;&gt;"",$E55&lt;&gt;""),"Belum ditempatkan",""),""),IF(L55="","CEK JENIS FIXTURE kosong",IF(AND(LEFT(L55,7)&lt;&gt;"Gondola",LEFT(L55,6)&lt;&gt;"Endcap"),"CEK Fixture 1 hanya Gondola atau Endcap",IF(M55="","CEK SHELVING KE kosong",IF(ISNA(MATCH(L55&amp;"|"&amp;M55,LAYOUT!$E$2:$E$80,0)),"CEK SHELVING KE di luar layout",IF($I55="","CEK SERIES kosong",IF(AND(N55&lt;&gt;"",NOT(ISNUMBER(N55))),"CEK URUTAN DISPLAY harus angka",IF($D55="","Zona STOCK",IF($E55="","CEK SKU DESCRIPTION kosong",IF(COUNTIFS($I$2:$I$500,$I55,L$2:L$500,"&lt;&gt;"&amp;L55,L$2:L$500,"&lt;&gt;")&gt;0,"CEK jenis fixture beda dalam satu series","OK"))))))))))</f>
        <v/>
      </c>
      <c r="Q55" s="11" t="n"/>
      <c r="R55" s="11" t="n"/>
      <c r="S55" s="11" t="n"/>
      <c r="T55" s="11">
        <f>IF(OR(Q55="",R55=""),"",IFERROR(INDEX(LAYOUT!$D$2:$D$80,MATCH(Q55&amp;"|"&amp;R55,LAYOUT!$E$2:$E$80,0)),""))</f>
        <v/>
      </c>
      <c r="U55" s="12">
        <f>IF(AND(Q55="",R55=""),IF(AND(L55="",M55="",V55="",W55=""),IF(OR($D55&lt;&gt;"",$E55&lt;&gt;""),"Belum ditempatkan",""),""),IF(Q55="","CEK JENIS FIXTURE kosong",IF(LEFT(Q55,4)&lt;&gt;"Wall","CEK Fixture 2 hanya Wall",IF(R55="","CEK SHELVING KE kosong",IF(ISNA(MATCH(Q55&amp;"|"&amp;R55,LAYOUT!$E$2:$E$80,0)),"CEK SHELVING KE di luar layout",IF($I55="","CEK SERIES kosong",IF(AND(S55&lt;&gt;"",NOT(ISNUMBER(S55))),"CEK URUTAN DISPLAY harus angka",IF($D55="","Zona STOCK",IF($E55="","CEK SKU DESCRIPTION kosong",IF(COUNTIFS($I$2:$I$500,$I55,Q$2:Q$500,"&lt;&gt;"&amp;Q55,Q$2:Q$500,"&lt;&gt;")&gt;0,"CEK jenis fixture beda dalam satu series","OK"))))))))))</f>
        <v/>
      </c>
      <c r="V55" s="11" t="n"/>
      <c r="W55" s="11" t="n"/>
      <c r="X55" s="11" t="n"/>
      <c r="Y55" s="11">
        <f>IF(OR(V55="",W55=""),"",IFERROR(INDEX(LAYOUT!$D$2:$D$80,MATCH(V55&amp;"|"&amp;W55,LAYOUT!$E$2:$E$80,0)),""))</f>
        <v/>
      </c>
      <c r="Z55" s="12">
        <f>IF(AND(V55="",W55=""),IF(AND(L55="",M55="",Q55="",R55=""),IF(OR($D55&lt;&gt;"",$E55&lt;&gt;""),"Belum ditempatkan",""),""),IF(V55="","CEK JENIS FIXTURE kosong",IF(LEFT(V55,4)&lt;&gt;"Wall","CEK Fixture 3 hanya Wall",IF(W55="","CEK SHELVING KE kosong",IF(ISNA(MATCH(V55&amp;"|"&amp;W55,LAYOUT!$E$2:$E$80,0)),"CEK SHELVING KE di luar layout",IF($I55="","CEK SERIES kosong",IF(AND(X55&lt;&gt;"",NOT(ISNUMBER(X55))),"CEK URUTAN DISPLAY harus angka",IF($D55="","Zona STOCK",IF($E55="","CEK SKU DESCRIPTION kosong",IF(COUNTIFS($I$2:$I$500,$I55,V$2:V$500,"&lt;&gt;"&amp;V55,V$2:V$500,"&lt;&gt;")&gt;0,"CEK jenis fixture beda dalam satu series","OK"))))))))))</f>
        <v/>
      </c>
      <c r="AA55" s="12" t="n"/>
      <c r="AB55" s="11" t="n"/>
      <c r="AC55" s="11" t="n"/>
      <c r="AD55" s="11" t="n"/>
      <c r="AE55" s="11" t="n"/>
      <c r="AF55" s="11" t="n"/>
      <c r="AG55" s="11" t="n"/>
      <c r="AH55" s="12" t="n"/>
      <c r="AI55" s="12" t="n"/>
    </row>
    <row r="56">
      <c r="A56" s="10" t="inlineStr">
        <is>
          <t>Homeware</t>
        </is>
      </c>
      <c r="B56" s="10" t="inlineStr">
        <is>
          <t>Tableware</t>
        </is>
      </c>
      <c r="C56" s="10" t="inlineStr">
        <is>
          <t>Plates &amp; Bowls</t>
        </is>
      </c>
      <c r="D56" s="10" t="inlineStr">
        <is>
          <t>238187</t>
        </is>
      </c>
      <c r="E56" s="10" t="inlineStr">
        <is>
          <t>RECT PLATE 14.5CMX22CM SIMPLE PLUS</t>
        </is>
      </c>
      <c r="F56" s="10" t="n"/>
      <c r="G56" s="10" t="n"/>
      <c r="H56" s="10" t="n"/>
      <c r="I56" s="10" t="n"/>
      <c r="J56" s="10" t="n"/>
      <c r="K56" s="10" t="n"/>
      <c r="L56" s="11" t="n"/>
      <c r="M56" s="11" t="n"/>
      <c r="N56" s="11" t="n"/>
      <c r="O56" s="11">
        <f>IF(OR(L56="",M56=""),"",IFERROR(INDEX(LAYOUT!$D$2:$D$80,MATCH(L56&amp;"|"&amp;M56,LAYOUT!$E$2:$E$80,0)),""))</f>
        <v/>
      </c>
      <c r="P56" s="12">
        <f>IF(AND(L56="",M56=""),IF(AND(Q56="",R56="",V56="",W56=""),IF(OR($D56&lt;&gt;"",$E56&lt;&gt;""),"Belum ditempatkan",""),""),IF(L56="","CEK JENIS FIXTURE kosong",IF(AND(LEFT(L56,7)&lt;&gt;"Gondola",LEFT(L56,6)&lt;&gt;"Endcap"),"CEK Fixture 1 hanya Gondola atau Endcap",IF(M56="","CEK SHELVING KE kosong",IF(ISNA(MATCH(L56&amp;"|"&amp;M56,LAYOUT!$E$2:$E$80,0)),"CEK SHELVING KE di luar layout",IF($I56="","CEK SERIES kosong",IF(AND(N56&lt;&gt;"",NOT(ISNUMBER(N56))),"CEK URUTAN DISPLAY harus angka",IF($D56="","Zona STOCK",IF($E56="","CEK SKU DESCRIPTION kosong",IF(COUNTIFS($I$2:$I$500,$I56,L$2:L$500,"&lt;&gt;"&amp;L56,L$2:L$500,"&lt;&gt;")&gt;0,"CEK jenis fixture beda dalam satu series","OK"))))))))))</f>
        <v/>
      </c>
      <c r="Q56" s="11" t="n"/>
      <c r="R56" s="11" t="n"/>
      <c r="S56" s="11" t="n"/>
      <c r="T56" s="11">
        <f>IF(OR(Q56="",R56=""),"",IFERROR(INDEX(LAYOUT!$D$2:$D$80,MATCH(Q56&amp;"|"&amp;R56,LAYOUT!$E$2:$E$80,0)),""))</f>
        <v/>
      </c>
      <c r="U56" s="12">
        <f>IF(AND(Q56="",R56=""),IF(AND(L56="",M56="",V56="",W56=""),IF(OR($D56&lt;&gt;"",$E56&lt;&gt;""),"Belum ditempatkan",""),""),IF(Q56="","CEK JENIS FIXTURE kosong",IF(LEFT(Q56,4)&lt;&gt;"Wall","CEK Fixture 2 hanya Wall",IF(R56="","CEK SHELVING KE kosong",IF(ISNA(MATCH(Q56&amp;"|"&amp;R56,LAYOUT!$E$2:$E$80,0)),"CEK SHELVING KE di luar layout",IF($I56="","CEK SERIES kosong",IF(AND(S56&lt;&gt;"",NOT(ISNUMBER(S56))),"CEK URUTAN DISPLAY harus angka",IF($D56="","Zona STOCK",IF($E56="","CEK SKU DESCRIPTION kosong",IF(COUNTIFS($I$2:$I$500,$I56,Q$2:Q$500,"&lt;&gt;"&amp;Q56,Q$2:Q$500,"&lt;&gt;")&gt;0,"CEK jenis fixture beda dalam satu series","OK"))))))))))</f>
        <v/>
      </c>
      <c r="V56" s="11" t="n"/>
      <c r="W56" s="11" t="n"/>
      <c r="X56" s="11" t="n"/>
      <c r="Y56" s="11">
        <f>IF(OR(V56="",W56=""),"",IFERROR(INDEX(LAYOUT!$D$2:$D$80,MATCH(V56&amp;"|"&amp;W56,LAYOUT!$E$2:$E$80,0)),""))</f>
        <v/>
      </c>
      <c r="Z56" s="12">
        <f>IF(AND(V56="",W56=""),IF(AND(L56="",M56="",Q56="",R56=""),IF(OR($D56&lt;&gt;"",$E56&lt;&gt;""),"Belum ditempatkan",""),""),IF(V56="","CEK JENIS FIXTURE kosong",IF(LEFT(V56,4)&lt;&gt;"Wall","CEK Fixture 3 hanya Wall",IF(W56="","CEK SHELVING KE kosong",IF(ISNA(MATCH(V56&amp;"|"&amp;W56,LAYOUT!$E$2:$E$80,0)),"CEK SHELVING KE di luar layout",IF($I56="","CEK SERIES kosong",IF(AND(X56&lt;&gt;"",NOT(ISNUMBER(X56))),"CEK URUTAN DISPLAY harus angka",IF($D56="","Zona STOCK",IF($E56="","CEK SKU DESCRIPTION kosong",IF(COUNTIFS($I$2:$I$500,$I56,V$2:V$500,"&lt;&gt;"&amp;V56,V$2:V$500,"&lt;&gt;")&gt;0,"CEK jenis fixture beda dalam satu series","OK"))))))))))</f>
        <v/>
      </c>
      <c r="AA56" s="12" t="n"/>
      <c r="AB56" s="11" t="n"/>
      <c r="AC56" s="11" t="n"/>
      <c r="AD56" s="11" t="n"/>
      <c r="AE56" s="11" t="n"/>
      <c r="AF56" s="11" t="n"/>
      <c r="AG56" s="11" t="n"/>
      <c r="AH56" s="12" t="n"/>
      <c r="AI56" s="12" t="n"/>
    </row>
    <row r="57">
      <c r="A57" s="10" t="inlineStr">
        <is>
          <t>Homeware</t>
        </is>
      </c>
      <c r="B57" s="10" t="inlineStr">
        <is>
          <t>Drinkware</t>
        </is>
      </c>
      <c r="C57" s="10" t="inlineStr">
        <is>
          <t>Cup &amp; Saucer</t>
        </is>
      </c>
      <c r="D57" s="10" t="inlineStr">
        <is>
          <t>238190</t>
        </is>
      </c>
      <c r="E57" s="10" t="inlineStr">
        <is>
          <t>CUP 100 CC W/SAUCER 12.5CM SIMPLE PLUS</t>
        </is>
      </c>
      <c r="F57" s="10" t="n"/>
      <c r="G57" s="10" t="n"/>
      <c r="H57" s="10" t="n"/>
      <c r="I57" s="10" t="n"/>
      <c r="J57" s="10" t="n"/>
      <c r="K57" s="10" t="n"/>
      <c r="L57" s="11" t="n"/>
      <c r="M57" s="11" t="n"/>
      <c r="N57" s="11" t="n"/>
      <c r="O57" s="11">
        <f>IF(OR(L57="",M57=""),"",IFERROR(INDEX(LAYOUT!$D$2:$D$80,MATCH(L57&amp;"|"&amp;M57,LAYOUT!$E$2:$E$80,0)),""))</f>
        <v/>
      </c>
      <c r="P57" s="12">
        <f>IF(AND(L57="",M57=""),IF(AND(Q57="",R57="",V57="",W57=""),IF(OR($D57&lt;&gt;"",$E57&lt;&gt;""),"Belum ditempatkan",""),""),IF(L57="","CEK JENIS FIXTURE kosong",IF(AND(LEFT(L57,7)&lt;&gt;"Gondola",LEFT(L57,6)&lt;&gt;"Endcap"),"CEK Fixture 1 hanya Gondola atau Endcap",IF(M57="","CEK SHELVING KE kosong",IF(ISNA(MATCH(L57&amp;"|"&amp;M57,LAYOUT!$E$2:$E$80,0)),"CEK SHELVING KE di luar layout",IF($I57="","CEK SERIES kosong",IF(AND(N57&lt;&gt;"",NOT(ISNUMBER(N57))),"CEK URUTAN DISPLAY harus angka",IF($D57="","Zona STOCK",IF($E57="","CEK SKU DESCRIPTION kosong",IF(COUNTIFS($I$2:$I$500,$I57,L$2:L$500,"&lt;&gt;"&amp;L57,L$2:L$500,"&lt;&gt;")&gt;0,"CEK jenis fixture beda dalam satu series","OK"))))))))))</f>
        <v/>
      </c>
      <c r="Q57" s="11" t="n"/>
      <c r="R57" s="11" t="n"/>
      <c r="S57" s="11" t="n"/>
      <c r="T57" s="11">
        <f>IF(OR(Q57="",R57=""),"",IFERROR(INDEX(LAYOUT!$D$2:$D$80,MATCH(Q57&amp;"|"&amp;R57,LAYOUT!$E$2:$E$80,0)),""))</f>
        <v/>
      </c>
      <c r="U57" s="12">
        <f>IF(AND(Q57="",R57=""),IF(AND(L57="",M57="",V57="",W57=""),IF(OR($D57&lt;&gt;"",$E57&lt;&gt;""),"Belum ditempatkan",""),""),IF(Q57="","CEK JENIS FIXTURE kosong",IF(LEFT(Q57,4)&lt;&gt;"Wall","CEK Fixture 2 hanya Wall",IF(R57="","CEK SHELVING KE kosong",IF(ISNA(MATCH(Q57&amp;"|"&amp;R57,LAYOUT!$E$2:$E$80,0)),"CEK SHELVING KE di luar layout",IF($I57="","CEK SERIES kosong",IF(AND(S57&lt;&gt;"",NOT(ISNUMBER(S57))),"CEK URUTAN DISPLAY harus angka",IF($D57="","Zona STOCK",IF($E57="","CEK SKU DESCRIPTION kosong",IF(COUNTIFS($I$2:$I$500,$I57,Q$2:Q$500,"&lt;&gt;"&amp;Q57,Q$2:Q$500,"&lt;&gt;")&gt;0,"CEK jenis fixture beda dalam satu series","OK"))))))))))</f>
        <v/>
      </c>
      <c r="V57" s="11" t="n"/>
      <c r="W57" s="11" t="n"/>
      <c r="X57" s="11" t="n"/>
      <c r="Y57" s="11">
        <f>IF(OR(V57="",W57=""),"",IFERROR(INDEX(LAYOUT!$D$2:$D$80,MATCH(V57&amp;"|"&amp;W57,LAYOUT!$E$2:$E$80,0)),""))</f>
        <v/>
      </c>
      <c r="Z57" s="12">
        <f>IF(AND(V57="",W57=""),IF(AND(L57="",M57="",Q57="",R57=""),IF(OR($D57&lt;&gt;"",$E57&lt;&gt;""),"Belum ditempatkan",""),""),IF(V57="","CEK JENIS FIXTURE kosong",IF(LEFT(V57,4)&lt;&gt;"Wall","CEK Fixture 3 hanya Wall",IF(W57="","CEK SHELVING KE kosong",IF(ISNA(MATCH(V57&amp;"|"&amp;W57,LAYOUT!$E$2:$E$80,0)),"CEK SHELVING KE di luar layout",IF($I57="","CEK SERIES kosong",IF(AND(X57&lt;&gt;"",NOT(ISNUMBER(X57))),"CEK URUTAN DISPLAY harus angka",IF($D57="","Zona STOCK",IF($E57="","CEK SKU DESCRIPTION kosong",IF(COUNTIFS($I$2:$I$500,$I57,V$2:V$500,"&lt;&gt;"&amp;V57,V$2:V$500,"&lt;&gt;")&gt;0,"CEK jenis fixture beda dalam satu series","OK"))))))))))</f>
        <v/>
      </c>
      <c r="AA57" s="12" t="n"/>
      <c r="AB57" s="11" t="n"/>
      <c r="AC57" s="11" t="n"/>
      <c r="AD57" s="11" t="n"/>
      <c r="AE57" s="11" t="n"/>
      <c r="AF57" s="11" t="n"/>
      <c r="AG57" s="11" t="n"/>
      <c r="AH57" s="12" t="n"/>
      <c r="AI57" s="12" t="n"/>
    </row>
    <row r="58">
      <c r="A58" s="10" t="inlineStr">
        <is>
          <t>Homeware</t>
        </is>
      </c>
      <c r="B58" s="10" t="inlineStr">
        <is>
          <t>Drinkware</t>
        </is>
      </c>
      <c r="C58" s="10" t="inlineStr">
        <is>
          <t>Cup &amp; Saucer</t>
        </is>
      </c>
      <c r="D58" s="10" t="inlineStr">
        <is>
          <t>238191</t>
        </is>
      </c>
      <c r="E58" s="10" t="inlineStr">
        <is>
          <t>CUP 200 CC W/SAUCER 15.5CM SIMPLE PLUS</t>
        </is>
      </c>
      <c r="F58" s="10" t="n"/>
      <c r="G58" s="10" t="n"/>
      <c r="H58" s="10" t="n"/>
      <c r="I58" s="10" t="n"/>
      <c r="J58" s="10" t="n"/>
      <c r="K58" s="10" t="n"/>
      <c r="L58" s="11" t="n"/>
      <c r="M58" s="11" t="n"/>
      <c r="N58" s="11" t="n"/>
      <c r="O58" s="11">
        <f>IF(OR(L58="",M58=""),"",IFERROR(INDEX(LAYOUT!$D$2:$D$80,MATCH(L58&amp;"|"&amp;M58,LAYOUT!$E$2:$E$80,0)),""))</f>
        <v/>
      </c>
      <c r="P58" s="12">
        <f>IF(AND(L58="",M58=""),IF(AND(Q58="",R58="",V58="",W58=""),IF(OR($D58&lt;&gt;"",$E58&lt;&gt;""),"Belum ditempatkan",""),""),IF(L58="","CEK JENIS FIXTURE kosong",IF(AND(LEFT(L58,7)&lt;&gt;"Gondola",LEFT(L58,6)&lt;&gt;"Endcap"),"CEK Fixture 1 hanya Gondola atau Endcap",IF(M58="","CEK SHELVING KE kosong",IF(ISNA(MATCH(L58&amp;"|"&amp;M58,LAYOUT!$E$2:$E$80,0)),"CEK SHELVING KE di luar layout",IF($I58="","CEK SERIES kosong",IF(AND(N58&lt;&gt;"",NOT(ISNUMBER(N58))),"CEK URUTAN DISPLAY harus angka",IF($D58="","Zona STOCK",IF($E58="","CEK SKU DESCRIPTION kosong",IF(COUNTIFS($I$2:$I$500,$I58,L$2:L$500,"&lt;&gt;"&amp;L58,L$2:L$500,"&lt;&gt;")&gt;0,"CEK jenis fixture beda dalam satu series","OK"))))))))))</f>
        <v/>
      </c>
      <c r="Q58" s="11" t="n"/>
      <c r="R58" s="11" t="n"/>
      <c r="S58" s="11" t="n"/>
      <c r="T58" s="11">
        <f>IF(OR(Q58="",R58=""),"",IFERROR(INDEX(LAYOUT!$D$2:$D$80,MATCH(Q58&amp;"|"&amp;R58,LAYOUT!$E$2:$E$80,0)),""))</f>
        <v/>
      </c>
      <c r="U58" s="12">
        <f>IF(AND(Q58="",R58=""),IF(AND(L58="",M58="",V58="",W58=""),IF(OR($D58&lt;&gt;"",$E58&lt;&gt;""),"Belum ditempatkan",""),""),IF(Q58="","CEK JENIS FIXTURE kosong",IF(LEFT(Q58,4)&lt;&gt;"Wall","CEK Fixture 2 hanya Wall",IF(R58="","CEK SHELVING KE kosong",IF(ISNA(MATCH(Q58&amp;"|"&amp;R58,LAYOUT!$E$2:$E$80,0)),"CEK SHELVING KE di luar layout",IF($I58="","CEK SERIES kosong",IF(AND(S58&lt;&gt;"",NOT(ISNUMBER(S58))),"CEK URUTAN DISPLAY harus angka",IF($D58="","Zona STOCK",IF($E58="","CEK SKU DESCRIPTION kosong",IF(COUNTIFS($I$2:$I$500,$I58,Q$2:Q$500,"&lt;&gt;"&amp;Q58,Q$2:Q$500,"&lt;&gt;")&gt;0,"CEK jenis fixture beda dalam satu series","OK"))))))))))</f>
        <v/>
      </c>
      <c r="V58" s="11" t="n"/>
      <c r="W58" s="11" t="n"/>
      <c r="X58" s="11" t="n"/>
      <c r="Y58" s="11">
        <f>IF(OR(V58="",W58=""),"",IFERROR(INDEX(LAYOUT!$D$2:$D$80,MATCH(V58&amp;"|"&amp;W58,LAYOUT!$E$2:$E$80,0)),""))</f>
        <v/>
      </c>
      <c r="Z58" s="12">
        <f>IF(AND(V58="",W58=""),IF(AND(L58="",M58="",Q58="",R58=""),IF(OR($D58&lt;&gt;"",$E58&lt;&gt;""),"Belum ditempatkan",""),""),IF(V58="","CEK JENIS FIXTURE kosong",IF(LEFT(V58,4)&lt;&gt;"Wall","CEK Fixture 3 hanya Wall",IF(W58="","CEK SHELVING KE kosong",IF(ISNA(MATCH(V58&amp;"|"&amp;W58,LAYOUT!$E$2:$E$80,0)),"CEK SHELVING KE di luar layout",IF($I58="","CEK SERIES kosong",IF(AND(X58&lt;&gt;"",NOT(ISNUMBER(X58))),"CEK URUTAN DISPLAY harus angka",IF($D58="","Zona STOCK",IF($E58="","CEK SKU DESCRIPTION kosong",IF(COUNTIFS($I$2:$I$500,$I58,V$2:V$500,"&lt;&gt;"&amp;V58,V$2:V$500,"&lt;&gt;")&gt;0,"CEK jenis fixture beda dalam satu series","OK"))))))))))</f>
        <v/>
      </c>
      <c r="AA58" s="12" t="n"/>
      <c r="AB58" s="11" t="n"/>
      <c r="AC58" s="11" t="n"/>
      <c r="AD58" s="11" t="n"/>
      <c r="AE58" s="11" t="n"/>
      <c r="AF58" s="11" t="n"/>
      <c r="AG58" s="11" t="n"/>
      <c r="AH58" s="12" t="n"/>
      <c r="AI58" s="12" t="n"/>
    </row>
    <row r="59">
      <c r="A59" s="10" t="inlineStr">
        <is>
          <t>Homeware</t>
        </is>
      </c>
      <c r="B59" s="10" t="inlineStr">
        <is>
          <t>Tableware</t>
        </is>
      </c>
      <c r="C59" s="10" t="inlineStr">
        <is>
          <t>Plates &amp; Bowls</t>
        </is>
      </c>
      <c r="D59" s="10" t="inlineStr">
        <is>
          <t>238192</t>
        </is>
      </c>
      <c r="E59" s="10" t="inlineStr">
        <is>
          <t>LOW BOWL 17 CM SIMPLE PLUS</t>
        </is>
      </c>
      <c r="F59" s="10" t="n"/>
      <c r="G59" s="10" t="n"/>
      <c r="H59" s="10" t="n"/>
      <c r="I59" s="10" t="n"/>
      <c r="J59" s="10" t="n"/>
      <c r="K59" s="10" t="n"/>
      <c r="L59" s="11" t="n"/>
      <c r="M59" s="11" t="n"/>
      <c r="N59" s="11" t="n"/>
      <c r="O59" s="11">
        <f>IF(OR(L59="",M59=""),"",IFERROR(INDEX(LAYOUT!$D$2:$D$80,MATCH(L59&amp;"|"&amp;M59,LAYOUT!$E$2:$E$80,0)),""))</f>
        <v/>
      </c>
      <c r="P59" s="12">
        <f>IF(AND(L59="",M59=""),IF(AND(Q59="",R59="",V59="",W59=""),IF(OR($D59&lt;&gt;"",$E59&lt;&gt;""),"Belum ditempatkan",""),""),IF(L59="","CEK JENIS FIXTURE kosong",IF(AND(LEFT(L59,7)&lt;&gt;"Gondola",LEFT(L59,6)&lt;&gt;"Endcap"),"CEK Fixture 1 hanya Gondola atau Endcap",IF(M59="","CEK SHELVING KE kosong",IF(ISNA(MATCH(L59&amp;"|"&amp;M59,LAYOUT!$E$2:$E$80,0)),"CEK SHELVING KE di luar layout",IF($I59="","CEK SERIES kosong",IF(AND(N59&lt;&gt;"",NOT(ISNUMBER(N59))),"CEK URUTAN DISPLAY harus angka",IF($D59="","Zona STOCK",IF($E59="","CEK SKU DESCRIPTION kosong",IF(COUNTIFS($I$2:$I$500,$I59,L$2:L$500,"&lt;&gt;"&amp;L59,L$2:L$500,"&lt;&gt;")&gt;0,"CEK jenis fixture beda dalam satu series","OK"))))))))))</f>
        <v/>
      </c>
      <c r="Q59" s="11" t="n"/>
      <c r="R59" s="11" t="n"/>
      <c r="S59" s="11" t="n"/>
      <c r="T59" s="11">
        <f>IF(OR(Q59="",R59=""),"",IFERROR(INDEX(LAYOUT!$D$2:$D$80,MATCH(Q59&amp;"|"&amp;R59,LAYOUT!$E$2:$E$80,0)),""))</f>
        <v/>
      </c>
      <c r="U59" s="12">
        <f>IF(AND(Q59="",R59=""),IF(AND(L59="",M59="",V59="",W59=""),IF(OR($D59&lt;&gt;"",$E59&lt;&gt;""),"Belum ditempatkan",""),""),IF(Q59="","CEK JENIS FIXTURE kosong",IF(LEFT(Q59,4)&lt;&gt;"Wall","CEK Fixture 2 hanya Wall",IF(R59="","CEK SHELVING KE kosong",IF(ISNA(MATCH(Q59&amp;"|"&amp;R59,LAYOUT!$E$2:$E$80,0)),"CEK SHELVING KE di luar layout",IF($I59="","CEK SERIES kosong",IF(AND(S59&lt;&gt;"",NOT(ISNUMBER(S59))),"CEK URUTAN DISPLAY harus angka",IF($D59="","Zona STOCK",IF($E59="","CEK SKU DESCRIPTION kosong",IF(COUNTIFS($I$2:$I$500,$I59,Q$2:Q$500,"&lt;&gt;"&amp;Q59,Q$2:Q$500,"&lt;&gt;")&gt;0,"CEK jenis fixture beda dalam satu series","OK"))))))))))</f>
        <v/>
      </c>
      <c r="V59" s="11" t="n"/>
      <c r="W59" s="11" t="n"/>
      <c r="X59" s="11" t="n"/>
      <c r="Y59" s="11">
        <f>IF(OR(V59="",W59=""),"",IFERROR(INDEX(LAYOUT!$D$2:$D$80,MATCH(V59&amp;"|"&amp;W59,LAYOUT!$E$2:$E$80,0)),""))</f>
        <v/>
      </c>
      <c r="Z59" s="12">
        <f>IF(AND(V59="",W59=""),IF(AND(L59="",M59="",Q59="",R59=""),IF(OR($D59&lt;&gt;"",$E59&lt;&gt;""),"Belum ditempatkan",""),""),IF(V59="","CEK JENIS FIXTURE kosong",IF(LEFT(V59,4)&lt;&gt;"Wall","CEK Fixture 3 hanya Wall",IF(W59="","CEK SHELVING KE kosong",IF(ISNA(MATCH(V59&amp;"|"&amp;W59,LAYOUT!$E$2:$E$80,0)),"CEK SHELVING KE di luar layout",IF($I59="","CEK SERIES kosong",IF(AND(X59&lt;&gt;"",NOT(ISNUMBER(X59))),"CEK URUTAN DISPLAY harus angka",IF($D59="","Zona STOCK",IF($E59="","CEK SKU DESCRIPTION kosong",IF(COUNTIFS($I$2:$I$500,$I59,V$2:V$500,"&lt;&gt;"&amp;V59,V$2:V$500,"&lt;&gt;")&gt;0,"CEK jenis fixture beda dalam satu series","OK"))))))))))</f>
        <v/>
      </c>
      <c r="AA59" s="12" t="n"/>
      <c r="AB59" s="11" t="n"/>
      <c r="AC59" s="11" t="n"/>
      <c r="AD59" s="11" t="n"/>
      <c r="AE59" s="11" t="n"/>
      <c r="AF59" s="11" t="n"/>
      <c r="AG59" s="11" t="n"/>
      <c r="AH59" s="12" t="n"/>
      <c r="AI59" s="12" t="n"/>
    </row>
    <row r="60">
      <c r="A60" s="10" t="inlineStr">
        <is>
          <t>Homeware</t>
        </is>
      </c>
      <c r="B60" s="10" t="inlineStr">
        <is>
          <t>Tableware</t>
        </is>
      </c>
      <c r="C60" s="10" t="inlineStr">
        <is>
          <t>Plates &amp; Bowls</t>
        </is>
      </c>
      <c r="D60" s="10" t="inlineStr">
        <is>
          <t>238193</t>
        </is>
      </c>
      <c r="E60" s="10" t="inlineStr">
        <is>
          <t>LOW BOWL 19 CM SIMPLE PLUS</t>
        </is>
      </c>
      <c r="F60" s="10" t="n"/>
      <c r="G60" s="10" t="n"/>
      <c r="H60" s="10" t="n"/>
      <c r="I60" s="10" t="n"/>
      <c r="J60" s="10" t="n"/>
      <c r="K60" s="10" t="n"/>
      <c r="L60" s="11" t="n"/>
      <c r="M60" s="11" t="n"/>
      <c r="N60" s="11" t="n"/>
      <c r="O60" s="11">
        <f>IF(OR(L60="",M60=""),"",IFERROR(INDEX(LAYOUT!$D$2:$D$80,MATCH(L60&amp;"|"&amp;M60,LAYOUT!$E$2:$E$80,0)),""))</f>
        <v/>
      </c>
      <c r="P60" s="12">
        <f>IF(AND(L60="",M60=""),IF(AND(Q60="",R60="",V60="",W60=""),IF(OR($D60&lt;&gt;"",$E60&lt;&gt;""),"Belum ditempatkan",""),""),IF(L60="","CEK JENIS FIXTURE kosong",IF(AND(LEFT(L60,7)&lt;&gt;"Gondola",LEFT(L60,6)&lt;&gt;"Endcap"),"CEK Fixture 1 hanya Gondola atau Endcap",IF(M60="","CEK SHELVING KE kosong",IF(ISNA(MATCH(L60&amp;"|"&amp;M60,LAYOUT!$E$2:$E$80,0)),"CEK SHELVING KE di luar layout",IF($I60="","CEK SERIES kosong",IF(AND(N60&lt;&gt;"",NOT(ISNUMBER(N60))),"CEK URUTAN DISPLAY harus angka",IF($D60="","Zona STOCK",IF($E60="","CEK SKU DESCRIPTION kosong",IF(COUNTIFS($I$2:$I$500,$I60,L$2:L$500,"&lt;&gt;"&amp;L60,L$2:L$500,"&lt;&gt;")&gt;0,"CEK jenis fixture beda dalam satu series","OK"))))))))))</f>
        <v/>
      </c>
      <c r="Q60" s="11" t="n"/>
      <c r="R60" s="11" t="n"/>
      <c r="S60" s="11" t="n"/>
      <c r="T60" s="11">
        <f>IF(OR(Q60="",R60=""),"",IFERROR(INDEX(LAYOUT!$D$2:$D$80,MATCH(Q60&amp;"|"&amp;R60,LAYOUT!$E$2:$E$80,0)),""))</f>
        <v/>
      </c>
      <c r="U60" s="12">
        <f>IF(AND(Q60="",R60=""),IF(AND(L60="",M60="",V60="",W60=""),IF(OR($D60&lt;&gt;"",$E60&lt;&gt;""),"Belum ditempatkan",""),""),IF(Q60="","CEK JENIS FIXTURE kosong",IF(LEFT(Q60,4)&lt;&gt;"Wall","CEK Fixture 2 hanya Wall",IF(R60="","CEK SHELVING KE kosong",IF(ISNA(MATCH(Q60&amp;"|"&amp;R60,LAYOUT!$E$2:$E$80,0)),"CEK SHELVING KE di luar layout",IF($I60="","CEK SERIES kosong",IF(AND(S60&lt;&gt;"",NOT(ISNUMBER(S60))),"CEK URUTAN DISPLAY harus angka",IF($D60="","Zona STOCK",IF($E60="","CEK SKU DESCRIPTION kosong",IF(COUNTIFS($I$2:$I$500,$I60,Q$2:Q$500,"&lt;&gt;"&amp;Q60,Q$2:Q$500,"&lt;&gt;")&gt;0,"CEK jenis fixture beda dalam satu series","OK"))))))))))</f>
        <v/>
      </c>
      <c r="V60" s="11" t="n"/>
      <c r="W60" s="11" t="n"/>
      <c r="X60" s="11" t="n"/>
      <c r="Y60" s="11">
        <f>IF(OR(V60="",W60=""),"",IFERROR(INDEX(LAYOUT!$D$2:$D$80,MATCH(V60&amp;"|"&amp;W60,LAYOUT!$E$2:$E$80,0)),""))</f>
        <v/>
      </c>
      <c r="Z60" s="12">
        <f>IF(AND(V60="",W60=""),IF(AND(L60="",M60="",Q60="",R60=""),IF(OR($D60&lt;&gt;"",$E60&lt;&gt;""),"Belum ditempatkan",""),""),IF(V60="","CEK JENIS FIXTURE kosong",IF(LEFT(V60,4)&lt;&gt;"Wall","CEK Fixture 3 hanya Wall",IF(W60="","CEK SHELVING KE kosong",IF(ISNA(MATCH(V60&amp;"|"&amp;W60,LAYOUT!$E$2:$E$80,0)),"CEK SHELVING KE di luar layout",IF($I60="","CEK SERIES kosong",IF(AND(X60&lt;&gt;"",NOT(ISNUMBER(X60))),"CEK URUTAN DISPLAY harus angka",IF($D60="","Zona STOCK",IF($E60="","CEK SKU DESCRIPTION kosong",IF(COUNTIFS($I$2:$I$500,$I60,V$2:V$500,"&lt;&gt;"&amp;V60,V$2:V$500,"&lt;&gt;")&gt;0,"CEK jenis fixture beda dalam satu series","OK"))))))))))</f>
        <v/>
      </c>
      <c r="AA60" s="12" t="n"/>
      <c r="AB60" s="11" t="n"/>
      <c r="AC60" s="11" t="n"/>
      <c r="AD60" s="11" t="n"/>
      <c r="AE60" s="11" t="n"/>
      <c r="AF60" s="11" t="n"/>
      <c r="AG60" s="11" t="n"/>
      <c r="AH60" s="12" t="n"/>
      <c r="AI60" s="12" t="n"/>
    </row>
    <row r="61">
      <c r="A61" s="10" t="n"/>
      <c r="B61" s="10" t="n"/>
      <c r="C61" s="10" t="n"/>
      <c r="D61" s="10" t="n"/>
      <c r="E61" s="10" t="n"/>
      <c r="F61" s="10" t="n"/>
      <c r="G61" s="10" t="n"/>
      <c r="H61" s="10" t="n"/>
      <c r="I61" s="10" t="n"/>
      <c r="J61" s="10" t="n"/>
      <c r="K61" s="10" t="n"/>
      <c r="L61" s="11" t="n"/>
      <c r="M61" s="11" t="n"/>
      <c r="N61" s="11" t="n"/>
      <c r="O61" s="11">
        <f>IF(OR(L61="",M61=""),"",IFERROR(INDEX(LAYOUT!$D$2:$D$80,MATCH(L61&amp;"|"&amp;M61,LAYOUT!$E$2:$E$80,0)),""))</f>
        <v/>
      </c>
      <c r="P61" s="12">
        <f>IF(AND(L61="",M61=""),IF(AND(Q61="",R61="",V61="",W61=""),IF(OR($D61&lt;&gt;"",$E61&lt;&gt;""),"Belum ditempatkan",""),""),IF(L61="","CEK JENIS FIXTURE kosong",IF(AND(LEFT(L61,7)&lt;&gt;"Gondola",LEFT(L61,6)&lt;&gt;"Endcap"),"CEK Fixture 1 hanya Gondola atau Endcap",IF(M61="","CEK SHELVING KE kosong",IF(ISNA(MATCH(L61&amp;"|"&amp;M61,LAYOUT!$E$2:$E$80,0)),"CEK SHELVING KE di luar layout",IF($I61="","CEK SERIES kosong",IF(AND(N61&lt;&gt;"",NOT(ISNUMBER(N61))),"CEK URUTAN DISPLAY harus angka",IF($D61="","Zona STOCK",IF($E61="","CEK SKU DESCRIPTION kosong",IF(COUNTIFS($I$2:$I$500,$I61,L$2:L$500,"&lt;&gt;"&amp;L61,L$2:L$500,"&lt;&gt;")&gt;0,"CEK jenis fixture beda dalam satu series","OK"))))))))))</f>
        <v/>
      </c>
      <c r="Q61" s="11" t="n"/>
      <c r="R61" s="11" t="n"/>
      <c r="S61" s="11" t="n"/>
      <c r="T61" s="11">
        <f>IF(OR(Q61="",R61=""),"",IFERROR(INDEX(LAYOUT!$D$2:$D$80,MATCH(Q61&amp;"|"&amp;R61,LAYOUT!$E$2:$E$80,0)),""))</f>
        <v/>
      </c>
      <c r="U61" s="12">
        <f>IF(AND(Q61="",R61=""),IF(AND(L61="",M61="",V61="",W61=""),IF(OR($D61&lt;&gt;"",$E61&lt;&gt;""),"Belum ditempatkan",""),""),IF(Q61="","CEK JENIS FIXTURE kosong",IF(LEFT(Q61,4)&lt;&gt;"Wall","CEK Fixture 2 hanya Wall",IF(R61="","CEK SHELVING KE kosong",IF(ISNA(MATCH(Q61&amp;"|"&amp;R61,LAYOUT!$E$2:$E$80,0)),"CEK SHELVING KE di luar layout",IF($I61="","CEK SERIES kosong",IF(AND(S61&lt;&gt;"",NOT(ISNUMBER(S61))),"CEK URUTAN DISPLAY harus angka",IF($D61="","Zona STOCK",IF($E61="","CEK SKU DESCRIPTION kosong",IF(COUNTIFS($I$2:$I$500,$I61,Q$2:Q$500,"&lt;&gt;"&amp;Q61,Q$2:Q$500,"&lt;&gt;")&gt;0,"CEK jenis fixture beda dalam satu series","OK"))))))))))</f>
        <v/>
      </c>
      <c r="V61" s="11" t="n"/>
      <c r="W61" s="11" t="n"/>
      <c r="X61" s="11" t="n"/>
      <c r="Y61" s="11">
        <f>IF(OR(V61="",W61=""),"",IFERROR(INDEX(LAYOUT!$D$2:$D$80,MATCH(V61&amp;"|"&amp;W61,LAYOUT!$E$2:$E$80,0)),""))</f>
        <v/>
      </c>
      <c r="Z61" s="12">
        <f>IF(AND(V61="",W61=""),IF(AND(L61="",M61="",Q61="",R61=""),IF(OR($D61&lt;&gt;"",$E61&lt;&gt;""),"Belum ditempatkan",""),""),IF(V61="","CEK JENIS FIXTURE kosong",IF(LEFT(V61,4)&lt;&gt;"Wall","CEK Fixture 3 hanya Wall",IF(W61="","CEK SHELVING KE kosong",IF(ISNA(MATCH(V61&amp;"|"&amp;W61,LAYOUT!$E$2:$E$80,0)),"CEK SHELVING KE di luar layout",IF($I61="","CEK SERIES kosong",IF(AND(X61&lt;&gt;"",NOT(ISNUMBER(X61))),"CEK URUTAN DISPLAY harus angka",IF($D61="","Zona STOCK",IF($E61="","CEK SKU DESCRIPTION kosong",IF(COUNTIFS($I$2:$I$500,$I61,V$2:V$500,"&lt;&gt;"&amp;V61,V$2:V$500,"&lt;&gt;")&gt;0,"CEK jenis fixture beda dalam satu series","OK"))))))))))</f>
        <v/>
      </c>
      <c r="AA61" s="12" t="n"/>
      <c r="AB61" s="11" t="n"/>
      <c r="AC61" s="11" t="n"/>
      <c r="AD61" s="11" t="n"/>
      <c r="AE61" s="11" t="n"/>
      <c r="AF61" s="11" t="n"/>
      <c r="AG61" s="11" t="n"/>
      <c r="AH61" s="12" t="n"/>
      <c r="AI61" s="12" t="n"/>
    </row>
    <row r="62">
      <c r="A62" s="10" t="n"/>
      <c r="B62" s="10" t="n"/>
      <c r="C62" s="10" t="n"/>
      <c r="D62" s="10" t="n"/>
      <c r="E62" s="10" t="n"/>
      <c r="F62" s="10" t="n"/>
      <c r="G62" s="10" t="n"/>
      <c r="H62" s="10" t="n"/>
      <c r="I62" s="10" t="n"/>
      <c r="J62" s="10" t="n"/>
      <c r="K62" s="10" t="n"/>
      <c r="L62" s="11" t="n"/>
      <c r="M62" s="11" t="n"/>
      <c r="N62" s="11" t="n"/>
      <c r="O62" s="11">
        <f>IF(OR(L62="",M62=""),"",IFERROR(INDEX(LAYOUT!$D$2:$D$80,MATCH(L62&amp;"|"&amp;M62,LAYOUT!$E$2:$E$80,0)),""))</f>
        <v/>
      </c>
      <c r="P62" s="12">
        <f>IF(AND(L62="",M62=""),IF(AND(Q62="",R62="",V62="",W62=""),IF(OR($D62&lt;&gt;"",$E62&lt;&gt;""),"Belum ditempatkan",""),""),IF(L62="","CEK JENIS FIXTURE kosong",IF(AND(LEFT(L62,7)&lt;&gt;"Gondola",LEFT(L62,6)&lt;&gt;"Endcap"),"CEK Fixture 1 hanya Gondola atau Endcap",IF(M62="","CEK SHELVING KE kosong",IF(ISNA(MATCH(L62&amp;"|"&amp;M62,LAYOUT!$E$2:$E$80,0)),"CEK SHELVING KE di luar layout",IF($I62="","CEK SERIES kosong",IF(AND(N62&lt;&gt;"",NOT(ISNUMBER(N62))),"CEK URUTAN DISPLAY harus angka",IF($D62="","Zona STOCK",IF($E62="","CEK SKU DESCRIPTION kosong",IF(COUNTIFS($I$2:$I$500,$I62,L$2:L$500,"&lt;&gt;"&amp;L62,L$2:L$500,"&lt;&gt;")&gt;0,"CEK jenis fixture beda dalam satu series","OK"))))))))))</f>
        <v/>
      </c>
      <c r="Q62" s="11" t="n"/>
      <c r="R62" s="11" t="n"/>
      <c r="S62" s="11" t="n"/>
      <c r="T62" s="11">
        <f>IF(OR(Q62="",R62=""),"",IFERROR(INDEX(LAYOUT!$D$2:$D$80,MATCH(Q62&amp;"|"&amp;R62,LAYOUT!$E$2:$E$80,0)),""))</f>
        <v/>
      </c>
      <c r="U62" s="12">
        <f>IF(AND(Q62="",R62=""),IF(AND(L62="",M62="",V62="",W62=""),IF(OR($D62&lt;&gt;"",$E62&lt;&gt;""),"Belum ditempatkan",""),""),IF(Q62="","CEK JENIS FIXTURE kosong",IF(LEFT(Q62,4)&lt;&gt;"Wall","CEK Fixture 2 hanya Wall",IF(R62="","CEK SHELVING KE kosong",IF(ISNA(MATCH(Q62&amp;"|"&amp;R62,LAYOUT!$E$2:$E$80,0)),"CEK SHELVING KE di luar layout",IF($I62="","CEK SERIES kosong",IF(AND(S62&lt;&gt;"",NOT(ISNUMBER(S62))),"CEK URUTAN DISPLAY harus angka",IF($D62="","Zona STOCK",IF($E62="","CEK SKU DESCRIPTION kosong",IF(COUNTIFS($I$2:$I$500,$I62,Q$2:Q$500,"&lt;&gt;"&amp;Q62,Q$2:Q$500,"&lt;&gt;")&gt;0,"CEK jenis fixture beda dalam satu series","OK"))))))))))</f>
        <v/>
      </c>
      <c r="V62" s="11" t="n"/>
      <c r="W62" s="11" t="n"/>
      <c r="X62" s="11" t="n"/>
      <c r="Y62" s="11">
        <f>IF(OR(V62="",W62=""),"",IFERROR(INDEX(LAYOUT!$D$2:$D$80,MATCH(V62&amp;"|"&amp;W62,LAYOUT!$E$2:$E$80,0)),""))</f>
        <v/>
      </c>
      <c r="Z62" s="12">
        <f>IF(AND(V62="",W62=""),IF(AND(L62="",M62="",Q62="",R62=""),IF(OR($D62&lt;&gt;"",$E62&lt;&gt;""),"Belum ditempatkan",""),""),IF(V62="","CEK JENIS FIXTURE kosong",IF(LEFT(V62,4)&lt;&gt;"Wall","CEK Fixture 3 hanya Wall",IF(W62="","CEK SHELVING KE kosong",IF(ISNA(MATCH(V62&amp;"|"&amp;W62,LAYOUT!$E$2:$E$80,0)),"CEK SHELVING KE di luar layout",IF($I62="","CEK SERIES kosong",IF(AND(X62&lt;&gt;"",NOT(ISNUMBER(X62))),"CEK URUTAN DISPLAY harus angka",IF($D62="","Zona STOCK",IF($E62="","CEK SKU DESCRIPTION kosong",IF(COUNTIFS($I$2:$I$500,$I62,V$2:V$500,"&lt;&gt;"&amp;V62,V$2:V$500,"&lt;&gt;")&gt;0,"CEK jenis fixture beda dalam satu series","OK"))))))))))</f>
        <v/>
      </c>
      <c r="AA62" s="12" t="n"/>
      <c r="AB62" s="11" t="n"/>
      <c r="AC62" s="11" t="n"/>
      <c r="AD62" s="11" t="n"/>
      <c r="AE62" s="11" t="n"/>
      <c r="AF62" s="11" t="n"/>
      <c r="AG62" s="11" t="n"/>
      <c r="AH62" s="12" t="n"/>
      <c r="AI62" s="12" t="n"/>
    </row>
    <row r="63">
      <c r="A63" s="10" t="n"/>
      <c r="B63" s="10" t="n"/>
      <c r="C63" s="10" t="n"/>
      <c r="D63" s="10" t="n"/>
      <c r="E63" s="10" t="n"/>
      <c r="F63" s="10" t="n"/>
      <c r="G63" s="10" t="n"/>
      <c r="H63" s="10" t="n"/>
      <c r="I63" s="10" t="n"/>
      <c r="J63" s="10" t="n"/>
      <c r="K63" s="10" t="n"/>
      <c r="L63" s="11" t="n"/>
      <c r="M63" s="11" t="n"/>
      <c r="N63" s="11" t="n"/>
      <c r="O63" s="11">
        <f>IF(OR(L63="",M63=""),"",IFERROR(INDEX(LAYOUT!$D$2:$D$80,MATCH(L63&amp;"|"&amp;M63,LAYOUT!$E$2:$E$80,0)),""))</f>
        <v/>
      </c>
      <c r="P63" s="12">
        <f>IF(AND(L63="",M63=""),IF(AND(Q63="",R63="",V63="",W63=""),IF(OR($D63&lt;&gt;"",$E63&lt;&gt;""),"Belum ditempatkan",""),""),IF(L63="","CEK JENIS FIXTURE kosong",IF(AND(LEFT(L63,7)&lt;&gt;"Gondola",LEFT(L63,6)&lt;&gt;"Endcap"),"CEK Fixture 1 hanya Gondola atau Endcap",IF(M63="","CEK SHELVING KE kosong",IF(ISNA(MATCH(L63&amp;"|"&amp;M63,LAYOUT!$E$2:$E$80,0)),"CEK SHELVING KE di luar layout",IF($I63="","CEK SERIES kosong",IF(AND(N63&lt;&gt;"",NOT(ISNUMBER(N63))),"CEK URUTAN DISPLAY harus angka",IF($D63="","Zona STOCK",IF($E63="","CEK SKU DESCRIPTION kosong",IF(COUNTIFS($I$2:$I$500,$I63,L$2:L$500,"&lt;&gt;"&amp;L63,L$2:L$500,"&lt;&gt;")&gt;0,"CEK jenis fixture beda dalam satu series","OK"))))))))))</f>
        <v/>
      </c>
      <c r="Q63" s="11" t="n"/>
      <c r="R63" s="11" t="n"/>
      <c r="S63" s="11" t="n"/>
      <c r="T63" s="11">
        <f>IF(OR(Q63="",R63=""),"",IFERROR(INDEX(LAYOUT!$D$2:$D$80,MATCH(Q63&amp;"|"&amp;R63,LAYOUT!$E$2:$E$80,0)),""))</f>
        <v/>
      </c>
      <c r="U63" s="12">
        <f>IF(AND(Q63="",R63=""),IF(AND(L63="",M63="",V63="",W63=""),IF(OR($D63&lt;&gt;"",$E63&lt;&gt;""),"Belum ditempatkan",""),""),IF(Q63="","CEK JENIS FIXTURE kosong",IF(LEFT(Q63,4)&lt;&gt;"Wall","CEK Fixture 2 hanya Wall",IF(R63="","CEK SHELVING KE kosong",IF(ISNA(MATCH(Q63&amp;"|"&amp;R63,LAYOUT!$E$2:$E$80,0)),"CEK SHELVING KE di luar layout",IF($I63="","CEK SERIES kosong",IF(AND(S63&lt;&gt;"",NOT(ISNUMBER(S63))),"CEK URUTAN DISPLAY harus angka",IF($D63="","Zona STOCK",IF($E63="","CEK SKU DESCRIPTION kosong",IF(COUNTIFS($I$2:$I$500,$I63,Q$2:Q$500,"&lt;&gt;"&amp;Q63,Q$2:Q$500,"&lt;&gt;")&gt;0,"CEK jenis fixture beda dalam satu series","OK"))))))))))</f>
        <v/>
      </c>
      <c r="V63" s="11" t="n"/>
      <c r="W63" s="11" t="n"/>
      <c r="X63" s="11" t="n"/>
      <c r="Y63" s="11">
        <f>IF(OR(V63="",W63=""),"",IFERROR(INDEX(LAYOUT!$D$2:$D$80,MATCH(V63&amp;"|"&amp;W63,LAYOUT!$E$2:$E$80,0)),""))</f>
        <v/>
      </c>
      <c r="Z63" s="12">
        <f>IF(AND(V63="",W63=""),IF(AND(L63="",M63="",Q63="",R63=""),IF(OR($D63&lt;&gt;"",$E63&lt;&gt;""),"Belum ditempatkan",""),""),IF(V63="","CEK JENIS FIXTURE kosong",IF(LEFT(V63,4)&lt;&gt;"Wall","CEK Fixture 3 hanya Wall",IF(W63="","CEK SHELVING KE kosong",IF(ISNA(MATCH(V63&amp;"|"&amp;W63,LAYOUT!$E$2:$E$80,0)),"CEK SHELVING KE di luar layout",IF($I63="","CEK SERIES kosong",IF(AND(X63&lt;&gt;"",NOT(ISNUMBER(X63))),"CEK URUTAN DISPLAY harus angka",IF($D63="","Zona STOCK",IF($E63="","CEK SKU DESCRIPTION kosong",IF(COUNTIFS($I$2:$I$500,$I63,V$2:V$500,"&lt;&gt;"&amp;V63,V$2:V$500,"&lt;&gt;")&gt;0,"CEK jenis fixture beda dalam satu series","OK"))))))))))</f>
        <v/>
      </c>
      <c r="AA63" s="12" t="n"/>
      <c r="AB63" s="11" t="n"/>
      <c r="AC63" s="11" t="n"/>
      <c r="AD63" s="11" t="n"/>
      <c r="AE63" s="11" t="n"/>
      <c r="AF63" s="11" t="n"/>
      <c r="AG63" s="11" t="n"/>
      <c r="AH63" s="12" t="n"/>
      <c r="AI63" s="12" t="n"/>
    </row>
    <row r="64">
      <c r="A64" s="10" t="n"/>
      <c r="B64" s="10" t="n"/>
      <c r="C64" s="10" t="n"/>
      <c r="D64" s="10" t="n"/>
      <c r="E64" s="10" t="n"/>
      <c r="F64" s="10" t="n"/>
      <c r="G64" s="10" t="n"/>
      <c r="H64" s="10" t="n"/>
      <c r="I64" s="10" t="n"/>
      <c r="J64" s="10" t="n"/>
      <c r="K64" s="10" t="n"/>
      <c r="L64" s="11" t="n"/>
      <c r="M64" s="11" t="n"/>
      <c r="N64" s="11" t="n"/>
      <c r="O64" s="11">
        <f>IF(OR(L64="",M64=""),"",IFERROR(INDEX(LAYOUT!$D$2:$D$80,MATCH(L64&amp;"|"&amp;M64,LAYOUT!$E$2:$E$80,0)),""))</f>
        <v/>
      </c>
      <c r="P64" s="12">
        <f>IF(AND(L64="",M64=""),IF(AND(Q64="",R64="",V64="",W64=""),IF(OR($D64&lt;&gt;"",$E64&lt;&gt;""),"Belum ditempatkan",""),""),IF(L64="","CEK JENIS FIXTURE kosong",IF(AND(LEFT(L64,7)&lt;&gt;"Gondola",LEFT(L64,6)&lt;&gt;"Endcap"),"CEK Fixture 1 hanya Gondola atau Endcap",IF(M64="","CEK SHELVING KE kosong",IF(ISNA(MATCH(L64&amp;"|"&amp;M64,LAYOUT!$E$2:$E$80,0)),"CEK SHELVING KE di luar layout",IF($I64="","CEK SERIES kosong",IF(AND(N64&lt;&gt;"",NOT(ISNUMBER(N64))),"CEK URUTAN DISPLAY harus angka",IF($D64="","Zona STOCK",IF($E64="","CEK SKU DESCRIPTION kosong",IF(COUNTIFS($I$2:$I$500,$I64,L$2:L$500,"&lt;&gt;"&amp;L64,L$2:L$500,"&lt;&gt;")&gt;0,"CEK jenis fixture beda dalam satu series","OK"))))))))))</f>
        <v/>
      </c>
      <c r="Q64" s="11" t="n"/>
      <c r="R64" s="11" t="n"/>
      <c r="S64" s="11" t="n"/>
      <c r="T64" s="11">
        <f>IF(OR(Q64="",R64=""),"",IFERROR(INDEX(LAYOUT!$D$2:$D$80,MATCH(Q64&amp;"|"&amp;R64,LAYOUT!$E$2:$E$80,0)),""))</f>
        <v/>
      </c>
      <c r="U64" s="12">
        <f>IF(AND(Q64="",R64=""),IF(AND(L64="",M64="",V64="",W64=""),IF(OR($D64&lt;&gt;"",$E64&lt;&gt;""),"Belum ditempatkan",""),""),IF(Q64="","CEK JENIS FIXTURE kosong",IF(LEFT(Q64,4)&lt;&gt;"Wall","CEK Fixture 2 hanya Wall",IF(R64="","CEK SHELVING KE kosong",IF(ISNA(MATCH(Q64&amp;"|"&amp;R64,LAYOUT!$E$2:$E$80,0)),"CEK SHELVING KE di luar layout",IF($I64="","CEK SERIES kosong",IF(AND(S64&lt;&gt;"",NOT(ISNUMBER(S64))),"CEK URUTAN DISPLAY harus angka",IF($D64="","Zona STOCK",IF($E64="","CEK SKU DESCRIPTION kosong",IF(COUNTIFS($I$2:$I$500,$I64,Q$2:Q$500,"&lt;&gt;"&amp;Q64,Q$2:Q$500,"&lt;&gt;")&gt;0,"CEK jenis fixture beda dalam satu series","OK"))))))))))</f>
        <v/>
      </c>
      <c r="V64" s="11" t="n"/>
      <c r="W64" s="11" t="n"/>
      <c r="X64" s="11" t="n"/>
      <c r="Y64" s="11">
        <f>IF(OR(V64="",W64=""),"",IFERROR(INDEX(LAYOUT!$D$2:$D$80,MATCH(V64&amp;"|"&amp;W64,LAYOUT!$E$2:$E$80,0)),""))</f>
        <v/>
      </c>
      <c r="Z64" s="12">
        <f>IF(AND(V64="",W64=""),IF(AND(L64="",M64="",Q64="",R64=""),IF(OR($D64&lt;&gt;"",$E64&lt;&gt;""),"Belum ditempatkan",""),""),IF(V64="","CEK JENIS FIXTURE kosong",IF(LEFT(V64,4)&lt;&gt;"Wall","CEK Fixture 3 hanya Wall",IF(W64="","CEK SHELVING KE kosong",IF(ISNA(MATCH(V64&amp;"|"&amp;W64,LAYOUT!$E$2:$E$80,0)),"CEK SHELVING KE di luar layout",IF($I64="","CEK SERIES kosong",IF(AND(X64&lt;&gt;"",NOT(ISNUMBER(X64))),"CEK URUTAN DISPLAY harus angka",IF($D64="","Zona STOCK",IF($E64="","CEK SKU DESCRIPTION kosong",IF(COUNTIFS($I$2:$I$500,$I64,V$2:V$500,"&lt;&gt;"&amp;V64,V$2:V$500,"&lt;&gt;")&gt;0,"CEK jenis fixture beda dalam satu series","OK"))))))))))</f>
        <v/>
      </c>
      <c r="AA64" s="12" t="n"/>
      <c r="AB64" s="11" t="n"/>
      <c r="AC64" s="11" t="n"/>
      <c r="AD64" s="11" t="n"/>
      <c r="AE64" s="11" t="n"/>
      <c r="AF64" s="11" t="n"/>
      <c r="AG64" s="11" t="n"/>
      <c r="AH64" s="12" t="n"/>
      <c r="AI64" s="12" t="n"/>
    </row>
    <row r="65">
      <c r="A65" s="10" t="n"/>
      <c r="B65" s="10" t="n"/>
      <c r="C65" s="10" t="n"/>
      <c r="D65" s="10" t="n"/>
      <c r="E65" s="10" t="n"/>
      <c r="F65" s="10" t="n"/>
      <c r="G65" s="10" t="n"/>
      <c r="H65" s="10" t="n"/>
      <c r="I65" s="10" t="n"/>
      <c r="J65" s="10" t="n"/>
      <c r="K65" s="10" t="n"/>
      <c r="L65" s="11" t="n"/>
      <c r="M65" s="11" t="n"/>
      <c r="N65" s="11" t="n"/>
      <c r="O65" s="11">
        <f>IF(OR(L65="",M65=""),"",IFERROR(INDEX(LAYOUT!$D$2:$D$80,MATCH(L65&amp;"|"&amp;M65,LAYOUT!$E$2:$E$80,0)),""))</f>
        <v/>
      </c>
      <c r="P65" s="12">
        <f>IF(AND(L65="",M65=""),IF(AND(Q65="",R65="",V65="",W65=""),IF(OR($D65&lt;&gt;"",$E65&lt;&gt;""),"Belum ditempatkan",""),""),IF(L65="","CEK JENIS FIXTURE kosong",IF(AND(LEFT(L65,7)&lt;&gt;"Gondola",LEFT(L65,6)&lt;&gt;"Endcap"),"CEK Fixture 1 hanya Gondola atau Endcap",IF(M65="","CEK SHELVING KE kosong",IF(ISNA(MATCH(L65&amp;"|"&amp;M65,LAYOUT!$E$2:$E$80,0)),"CEK SHELVING KE di luar layout",IF($I65="","CEK SERIES kosong",IF(AND(N65&lt;&gt;"",NOT(ISNUMBER(N65))),"CEK URUTAN DISPLAY harus angka",IF($D65="","Zona STOCK",IF($E65="","CEK SKU DESCRIPTION kosong",IF(COUNTIFS($I$2:$I$500,$I65,L$2:L$500,"&lt;&gt;"&amp;L65,L$2:L$500,"&lt;&gt;")&gt;0,"CEK jenis fixture beda dalam satu series","OK"))))))))))</f>
        <v/>
      </c>
      <c r="Q65" s="11" t="n"/>
      <c r="R65" s="11" t="n"/>
      <c r="S65" s="11" t="n"/>
      <c r="T65" s="11">
        <f>IF(OR(Q65="",R65=""),"",IFERROR(INDEX(LAYOUT!$D$2:$D$80,MATCH(Q65&amp;"|"&amp;R65,LAYOUT!$E$2:$E$80,0)),""))</f>
        <v/>
      </c>
      <c r="U65" s="12">
        <f>IF(AND(Q65="",R65=""),IF(AND(L65="",M65="",V65="",W65=""),IF(OR($D65&lt;&gt;"",$E65&lt;&gt;""),"Belum ditempatkan",""),""),IF(Q65="","CEK JENIS FIXTURE kosong",IF(LEFT(Q65,4)&lt;&gt;"Wall","CEK Fixture 2 hanya Wall",IF(R65="","CEK SHELVING KE kosong",IF(ISNA(MATCH(Q65&amp;"|"&amp;R65,LAYOUT!$E$2:$E$80,0)),"CEK SHELVING KE di luar layout",IF($I65="","CEK SERIES kosong",IF(AND(S65&lt;&gt;"",NOT(ISNUMBER(S65))),"CEK URUTAN DISPLAY harus angka",IF($D65="","Zona STOCK",IF($E65="","CEK SKU DESCRIPTION kosong",IF(COUNTIFS($I$2:$I$500,$I65,Q$2:Q$500,"&lt;&gt;"&amp;Q65,Q$2:Q$500,"&lt;&gt;")&gt;0,"CEK jenis fixture beda dalam satu series","OK"))))))))))</f>
        <v/>
      </c>
      <c r="V65" s="11" t="n"/>
      <c r="W65" s="11" t="n"/>
      <c r="X65" s="11" t="n"/>
      <c r="Y65" s="11">
        <f>IF(OR(V65="",W65=""),"",IFERROR(INDEX(LAYOUT!$D$2:$D$80,MATCH(V65&amp;"|"&amp;W65,LAYOUT!$E$2:$E$80,0)),""))</f>
        <v/>
      </c>
      <c r="Z65" s="12">
        <f>IF(AND(V65="",W65=""),IF(AND(L65="",M65="",Q65="",R65=""),IF(OR($D65&lt;&gt;"",$E65&lt;&gt;""),"Belum ditempatkan",""),""),IF(V65="","CEK JENIS FIXTURE kosong",IF(LEFT(V65,4)&lt;&gt;"Wall","CEK Fixture 3 hanya Wall",IF(W65="","CEK SHELVING KE kosong",IF(ISNA(MATCH(V65&amp;"|"&amp;W65,LAYOUT!$E$2:$E$80,0)),"CEK SHELVING KE di luar layout",IF($I65="","CEK SERIES kosong",IF(AND(X65&lt;&gt;"",NOT(ISNUMBER(X65))),"CEK URUTAN DISPLAY harus angka",IF($D65="","Zona STOCK",IF($E65="","CEK SKU DESCRIPTION kosong",IF(COUNTIFS($I$2:$I$500,$I65,V$2:V$500,"&lt;&gt;"&amp;V65,V$2:V$500,"&lt;&gt;")&gt;0,"CEK jenis fixture beda dalam satu series","OK"))))))))))</f>
        <v/>
      </c>
      <c r="AA65" s="12" t="n"/>
      <c r="AB65" s="11" t="n"/>
      <c r="AC65" s="11" t="n"/>
      <c r="AD65" s="11" t="n"/>
      <c r="AE65" s="11" t="n"/>
      <c r="AF65" s="11" t="n"/>
      <c r="AG65" s="11" t="n"/>
      <c r="AH65" s="12" t="n"/>
      <c r="AI65" s="12" t="n"/>
    </row>
    <row r="66">
      <c r="A66" s="10" t="n"/>
      <c r="B66" s="10" t="n"/>
      <c r="C66" s="10" t="n"/>
      <c r="D66" s="10" t="n"/>
      <c r="E66" s="10" t="n"/>
      <c r="F66" s="10" t="n"/>
      <c r="G66" s="10" t="n"/>
      <c r="H66" s="10" t="n"/>
      <c r="I66" s="10" t="n"/>
      <c r="J66" s="10" t="n"/>
      <c r="K66" s="10" t="n"/>
      <c r="L66" s="11" t="n"/>
      <c r="M66" s="11" t="n"/>
      <c r="N66" s="11" t="n"/>
      <c r="O66" s="11">
        <f>IF(OR(L66="",M66=""),"",IFERROR(INDEX(LAYOUT!$D$2:$D$80,MATCH(L66&amp;"|"&amp;M66,LAYOUT!$E$2:$E$80,0)),""))</f>
        <v/>
      </c>
      <c r="P66" s="12">
        <f>IF(AND(L66="",M66=""),IF(AND(Q66="",R66="",V66="",W66=""),IF(OR($D66&lt;&gt;"",$E66&lt;&gt;""),"Belum ditempatkan",""),""),IF(L66="","CEK JENIS FIXTURE kosong",IF(AND(LEFT(L66,7)&lt;&gt;"Gondola",LEFT(L66,6)&lt;&gt;"Endcap"),"CEK Fixture 1 hanya Gondola atau Endcap",IF(M66="","CEK SHELVING KE kosong",IF(ISNA(MATCH(L66&amp;"|"&amp;M66,LAYOUT!$E$2:$E$80,0)),"CEK SHELVING KE di luar layout",IF($I66="","CEK SERIES kosong",IF(AND(N66&lt;&gt;"",NOT(ISNUMBER(N66))),"CEK URUTAN DISPLAY harus angka",IF($D66="","Zona STOCK",IF($E66="","CEK SKU DESCRIPTION kosong",IF(COUNTIFS($I$2:$I$500,$I66,L$2:L$500,"&lt;&gt;"&amp;L66,L$2:L$500,"&lt;&gt;")&gt;0,"CEK jenis fixture beda dalam satu series","OK"))))))))))</f>
        <v/>
      </c>
      <c r="Q66" s="11" t="n"/>
      <c r="R66" s="11" t="n"/>
      <c r="S66" s="11" t="n"/>
      <c r="T66" s="11">
        <f>IF(OR(Q66="",R66=""),"",IFERROR(INDEX(LAYOUT!$D$2:$D$80,MATCH(Q66&amp;"|"&amp;R66,LAYOUT!$E$2:$E$80,0)),""))</f>
        <v/>
      </c>
      <c r="U66" s="12">
        <f>IF(AND(Q66="",R66=""),IF(AND(L66="",M66="",V66="",W66=""),IF(OR($D66&lt;&gt;"",$E66&lt;&gt;""),"Belum ditempatkan",""),""),IF(Q66="","CEK JENIS FIXTURE kosong",IF(LEFT(Q66,4)&lt;&gt;"Wall","CEK Fixture 2 hanya Wall",IF(R66="","CEK SHELVING KE kosong",IF(ISNA(MATCH(Q66&amp;"|"&amp;R66,LAYOUT!$E$2:$E$80,0)),"CEK SHELVING KE di luar layout",IF($I66="","CEK SERIES kosong",IF(AND(S66&lt;&gt;"",NOT(ISNUMBER(S66))),"CEK URUTAN DISPLAY harus angka",IF($D66="","Zona STOCK",IF($E66="","CEK SKU DESCRIPTION kosong",IF(COUNTIFS($I$2:$I$500,$I66,Q$2:Q$500,"&lt;&gt;"&amp;Q66,Q$2:Q$500,"&lt;&gt;")&gt;0,"CEK jenis fixture beda dalam satu series","OK"))))))))))</f>
        <v/>
      </c>
      <c r="V66" s="11" t="n"/>
      <c r="W66" s="11" t="n"/>
      <c r="X66" s="11" t="n"/>
      <c r="Y66" s="11">
        <f>IF(OR(V66="",W66=""),"",IFERROR(INDEX(LAYOUT!$D$2:$D$80,MATCH(V66&amp;"|"&amp;W66,LAYOUT!$E$2:$E$80,0)),""))</f>
        <v/>
      </c>
      <c r="Z66" s="12">
        <f>IF(AND(V66="",W66=""),IF(AND(L66="",M66="",Q66="",R66=""),IF(OR($D66&lt;&gt;"",$E66&lt;&gt;""),"Belum ditempatkan",""),""),IF(V66="","CEK JENIS FIXTURE kosong",IF(LEFT(V66,4)&lt;&gt;"Wall","CEK Fixture 3 hanya Wall",IF(W66="","CEK SHELVING KE kosong",IF(ISNA(MATCH(V66&amp;"|"&amp;W66,LAYOUT!$E$2:$E$80,0)),"CEK SHELVING KE di luar layout",IF($I66="","CEK SERIES kosong",IF(AND(X66&lt;&gt;"",NOT(ISNUMBER(X66))),"CEK URUTAN DISPLAY harus angka",IF($D66="","Zona STOCK",IF($E66="","CEK SKU DESCRIPTION kosong",IF(COUNTIFS($I$2:$I$500,$I66,V$2:V$500,"&lt;&gt;"&amp;V66,V$2:V$500,"&lt;&gt;")&gt;0,"CEK jenis fixture beda dalam satu series","OK"))))))))))</f>
        <v/>
      </c>
      <c r="AA66" s="12" t="n"/>
      <c r="AB66" s="11" t="n"/>
      <c r="AC66" s="11" t="n"/>
      <c r="AD66" s="11" t="n"/>
      <c r="AE66" s="11" t="n"/>
      <c r="AF66" s="11" t="n"/>
      <c r="AG66" s="11" t="n"/>
      <c r="AH66" s="12" t="n"/>
      <c r="AI66" s="12" t="n"/>
    </row>
    <row r="67">
      <c r="A67" s="10" t="n"/>
      <c r="B67" s="10" t="n"/>
      <c r="C67" s="10" t="n"/>
      <c r="D67" s="10" t="n"/>
      <c r="E67" s="10" t="n"/>
      <c r="F67" s="10" t="n"/>
      <c r="G67" s="10" t="n"/>
      <c r="H67" s="10" t="n"/>
      <c r="I67" s="10" t="n"/>
      <c r="J67" s="10" t="n"/>
      <c r="K67" s="10" t="n"/>
      <c r="L67" s="11" t="n"/>
      <c r="M67" s="11" t="n"/>
      <c r="N67" s="11" t="n"/>
      <c r="O67" s="11">
        <f>IF(OR(L67="",M67=""),"",IFERROR(INDEX(LAYOUT!$D$2:$D$80,MATCH(L67&amp;"|"&amp;M67,LAYOUT!$E$2:$E$80,0)),""))</f>
        <v/>
      </c>
      <c r="P67" s="12">
        <f>IF(AND(L67="",M67=""),IF(AND(Q67="",R67="",V67="",W67=""),IF(OR($D67&lt;&gt;"",$E67&lt;&gt;""),"Belum ditempatkan",""),""),IF(L67="","CEK JENIS FIXTURE kosong",IF(AND(LEFT(L67,7)&lt;&gt;"Gondola",LEFT(L67,6)&lt;&gt;"Endcap"),"CEK Fixture 1 hanya Gondola atau Endcap",IF(M67="","CEK SHELVING KE kosong",IF(ISNA(MATCH(L67&amp;"|"&amp;M67,LAYOUT!$E$2:$E$80,0)),"CEK SHELVING KE di luar layout",IF($I67="","CEK SERIES kosong",IF(AND(N67&lt;&gt;"",NOT(ISNUMBER(N67))),"CEK URUTAN DISPLAY harus angka",IF($D67="","Zona STOCK",IF($E67="","CEK SKU DESCRIPTION kosong",IF(COUNTIFS($I$2:$I$500,$I67,L$2:L$500,"&lt;&gt;"&amp;L67,L$2:L$500,"&lt;&gt;")&gt;0,"CEK jenis fixture beda dalam satu series","OK"))))))))))</f>
        <v/>
      </c>
      <c r="Q67" s="11" t="n"/>
      <c r="R67" s="11" t="n"/>
      <c r="S67" s="11" t="n"/>
      <c r="T67" s="11">
        <f>IF(OR(Q67="",R67=""),"",IFERROR(INDEX(LAYOUT!$D$2:$D$80,MATCH(Q67&amp;"|"&amp;R67,LAYOUT!$E$2:$E$80,0)),""))</f>
        <v/>
      </c>
      <c r="U67" s="12">
        <f>IF(AND(Q67="",R67=""),IF(AND(L67="",M67="",V67="",W67=""),IF(OR($D67&lt;&gt;"",$E67&lt;&gt;""),"Belum ditempatkan",""),""),IF(Q67="","CEK JENIS FIXTURE kosong",IF(LEFT(Q67,4)&lt;&gt;"Wall","CEK Fixture 2 hanya Wall",IF(R67="","CEK SHELVING KE kosong",IF(ISNA(MATCH(Q67&amp;"|"&amp;R67,LAYOUT!$E$2:$E$80,0)),"CEK SHELVING KE di luar layout",IF($I67="","CEK SERIES kosong",IF(AND(S67&lt;&gt;"",NOT(ISNUMBER(S67))),"CEK URUTAN DISPLAY harus angka",IF($D67="","Zona STOCK",IF($E67="","CEK SKU DESCRIPTION kosong",IF(COUNTIFS($I$2:$I$500,$I67,Q$2:Q$500,"&lt;&gt;"&amp;Q67,Q$2:Q$500,"&lt;&gt;")&gt;0,"CEK jenis fixture beda dalam satu series","OK"))))))))))</f>
        <v/>
      </c>
      <c r="V67" s="11" t="n"/>
      <c r="W67" s="11" t="n"/>
      <c r="X67" s="11" t="n"/>
      <c r="Y67" s="11">
        <f>IF(OR(V67="",W67=""),"",IFERROR(INDEX(LAYOUT!$D$2:$D$80,MATCH(V67&amp;"|"&amp;W67,LAYOUT!$E$2:$E$80,0)),""))</f>
        <v/>
      </c>
      <c r="Z67" s="12">
        <f>IF(AND(V67="",W67=""),IF(AND(L67="",M67="",Q67="",R67=""),IF(OR($D67&lt;&gt;"",$E67&lt;&gt;""),"Belum ditempatkan",""),""),IF(V67="","CEK JENIS FIXTURE kosong",IF(LEFT(V67,4)&lt;&gt;"Wall","CEK Fixture 3 hanya Wall",IF(W67="","CEK SHELVING KE kosong",IF(ISNA(MATCH(V67&amp;"|"&amp;W67,LAYOUT!$E$2:$E$80,0)),"CEK SHELVING KE di luar layout",IF($I67="","CEK SERIES kosong",IF(AND(X67&lt;&gt;"",NOT(ISNUMBER(X67))),"CEK URUTAN DISPLAY harus angka",IF($D67="","Zona STOCK",IF($E67="","CEK SKU DESCRIPTION kosong",IF(COUNTIFS($I$2:$I$500,$I67,V$2:V$500,"&lt;&gt;"&amp;V67,V$2:V$500,"&lt;&gt;")&gt;0,"CEK jenis fixture beda dalam satu series","OK"))))))))))</f>
        <v/>
      </c>
      <c r="AA67" s="12" t="n"/>
      <c r="AB67" s="11" t="n"/>
      <c r="AC67" s="11" t="n"/>
      <c r="AD67" s="11" t="n"/>
      <c r="AE67" s="11" t="n"/>
      <c r="AF67" s="11" t="n"/>
      <c r="AG67" s="11" t="n"/>
      <c r="AH67" s="12" t="n"/>
      <c r="AI67" s="12" t="n"/>
    </row>
    <row r="68">
      <c r="A68" s="10" t="n"/>
      <c r="B68" s="10" t="n"/>
      <c r="C68" s="10" t="n"/>
      <c r="D68" s="10" t="n"/>
      <c r="E68" s="10" t="n"/>
      <c r="F68" s="10" t="n"/>
      <c r="G68" s="10" t="n"/>
      <c r="H68" s="10" t="n"/>
      <c r="I68" s="10" t="n"/>
      <c r="J68" s="10" t="n"/>
      <c r="K68" s="10" t="n"/>
      <c r="L68" s="11" t="n"/>
      <c r="M68" s="11" t="n"/>
      <c r="N68" s="11" t="n"/>
      <c r="O68" s="11">
        <f>IF(OR(L68="",M68=""),"",IFERROR(INDEX(LAYOUT!$D$2:$D$80,MATCH(L68&amp;"|"&amp;M68,LAYOUT!$E$2:$E$80,0)),""))</f>
        <v/>
      </c>
      <c r="P68" s="12">
        <f>IF(AND(L68="",M68=""),IF(AND(Q68="",R68="",V68="",W68=""),IF(OR($D68&lt;&gt;"",$E68&lt;&gt;""),"Belum ditempatkan",""),""),IF(L68="","CEK JENIS FIXTURE kosong",IF(AND(LEFT(L68,7)&lt;&gt;"Gondola",LEFT(L68,6)&lt;&gt;"Endcap"),"CEK Fixture 1 hanya Gondola atau Endcap",IF(M68="","CEK SHELVING KE kosong",IF(ISNA(MATCH(L68&amp;"|"&amp;M68,LAYOUT!$E$2:$E$80,0)),"CEK SHELVING KE di luar layout",IF($I68="","CEK SERIES kosong",IF(AND(N68&lt;&gt;"",NOT(ISNUMBER(N68))),"CEK URUTAN DISPLAY harus angka",IF($D68="","Zona STOCK",IF($E68="","CEK SKU DESCRIPTION kosong",IF(COUNTIFS($I$2:$I$500,$I68,L$2:L$500,"&lt;&gt;"&amp;L68,L$2:L$500,"&lt;&gt;")&gt;0,"CEK jenis fixture beda dalam satu series","OK"))))))))))</f>
        <v/>
      </c>
      <c r="Q68" s="11" t="n"/>
      <c r="R68" s="11" t="n"/>
      <c r="S68" s="11" t="n"/>
      <c r="T68" s="11">
        <f>IF(OR(Q68="",R68=""),"",IFERROR(INDEX(LAYOUT!$D$2:$D$80,MATCH(Q68&amp;"|"&amp;R68,LAYOUT!$E$2:$E$80,0)),""))</f>
        <v/>
      </c>
      <c r="U68" s="12">
        <f>IF(AND(Q68="",R68=""),IF(AND(L68="",M68="",V68="",W68=""),IF(OR($D68&lt;&gt;"",$E68&lt;&gt;""),"Belum ditempatkan",""),""),IF(Q68="","CEK JENIS FIXTURE kosong",IF(LEFT(Q68,4)&lt;&gt;"Wall","CEK Fixture 2 hanya Wall",IF(R68="","CEK SHELVING KE kosong",IF(ISNA(MATCH(Q68&amp;"|"&amp;R68,LAYOUT!$E$2:$E$80,0)),"CEK SHELVING KE di luar layout",IF($I68="","CEK SERIES kosong",IF(AND(S68&lt;&gt;"",NOT(ISNUMBER(S68))),"CEK URUTAN DISPLAY harus angka",IF($D68="","Zona STOCK",IF($E68="","CEK SKU DESCRIPTION kosong",IF(COUNTIFS($I$2:$I$500,$I68,Q$2:Q$500,"&lt;&gt;"&amp;Q68,Q$2:Q$500,"&lt;&gt;")&gt;0,"CEK jenis fixture beda dalam satu series","OK"))))))))))</f>
        <v/>
      </c>
      <c r="V68" s="11" t="n"/>
      <c r="W68" s="11" t="n"/>
      <c r="X68" s="11" t="n"/>
      <c r="Y68" s="11">
        <f>IF(OR(V68="",W68=""),"",IFERROR(INDEX(LAYOUT!$D$2:$D$80,MATCH(V68&amp;"|"&amp;W68,LAYOUT!$E$2:$E$80,0)),""))</f>
        <v/>
      </c>
      <c r="Z68" s="12">
        <f>IF(AND(V68="",W68=""),IF(AND(L68="",M68="",Q68="",R68=""),IF(OR($D68&lt;&gt;"",$E68&lt;&gt;""),"Belum ditempatkan",""),""),IF(V68="","CEK JENIS FIXTURE kosong",IF(LEFT(V68,4)&lt;&gt;"Wall","CEK Fixture 3 hanya Wall",IF(W68="","CEK SHELVING KE kosong",IF(ISNA(MATCH(V68&amp;"|"&amp;W68,LAYOUT!$E$2:$E$80,0)),"CEK SHELVING KE di luar layout",IF($I68="","CEK SERIES kosong",IF(AND(X68&lt;&gt;"",NOT(ISNUMBER(X68))),"CEK URUTAN DISPLAY harus angka",IF($D68="","Zona STOCK",IF($E68="","CEK SKU DESCRIPTION kosong",IF(COUNTIFS($I$2:$I$500,$I68,V$2:V$500,"&lt;&gt;"&amp;V68,V$2:V$500,"&lt;&gt;")&gt;0,"CEK jenis fixture beda dalam satu series","OK"))))))))))</f>
        <v/>
      </c>
      <c r="AA68" s="12" t="n"/>
      <c r="AB68" s="11" t="n"/>
      <c r="AC68" s="11" t="n"/>
      <c r="AD68" s="11" t="n"/>
      <c r="AE68" s="11" t="n"/>
      <c r="AF68" s="11" t="n"/>
      <c r="AG68" s="11" t="n"/>
      <c r="AH68" s="12" t="n"/>
      <c r="AI68" s="12" t="n"/>
    </row>
    <row r="69">
      <c r="A69" s="10" t="n"/>
      <c r="B69" s="10" t="n"/>
      <c r="C69" s="10" t="n"/>
      <c r="D69" s="10" t="n"/>
      <c r="E69" s="10" t="n"/>
      <c r="F69" s="10" t="n"/>
      <c r="G69" s="10" t="n"/>
      <c r="H69" s="10" t="n"/>
      <c r="I69" s="10" t="n"/>
      <c r="J69" s="10" t="n"/>
      <c r="K69" s="10" t="n"/>
      <c r="L69" s="11" t="n"/>
      <c r="M69" s="11" t="n"/>
      <c r="N69" s="11" t="n"/>
      <c r="O69" s="11">
        <f>IF(OR(L69="",M69=""),"",IFERROR(INDEX(LAYOUT!$D$2:$D$80,MATCH(L69&amp;"|"&amp;M69,LAYOUT!$E$2:$E$80,0)),""))</f>
        <v/>
      </c>
      <c r="P69" s="12">
        <f>IF(AND(L69="",M69=""),IF(AND(Q69="",R69="",V69="",W69=""),IF(OR($D69&lt;&gt;"",$E69&lt;&gt;""),"Belum ditempatkan",""),""),IF(L69="","CEK JENIS FIXTURE kosong",IF(AND(LEFT(L69,7)&lt;&gt;"Gondola",LEFT(L69,6)&lt;&gt;"Endcap"),"CEK Fixture 1 hanya Gondola atau Endcap",IF(M69="","CEK SHELVING KE kosong",IF(ISNA(MATCH(L69&amp;"|"&amp;M69,LAYOUT!$E$2:$E$80,0)),"CEK SHELVING KE di luar layout",IF($I69="","CEK SERIES kosong",IF(AND(N69&lt;&gt;"",NOT(ISNUMBER(N69))),"CEK URUTAN DISPLAY harus angka",IF($D69="","Zona STOCK",IF($E69="","CEK SKU DESCRIPTION kosong",IF(COUNTIFS($I$2:$I$500,$I69,L$2:L$500,"&lt;&gt;"&amp;L69,L$2:L$500,"&lt;&gt;")&gt;0,"CEK jenis fixture beda dalam satu series","OK"))))))))))</f>
        <v/>
      </c>
      <c r="Q69" s="11" t="n"/>
      <c r="R69" s="11" t="n"/>
      <c r="S69" s="11" t="n"/>
      <c r="T69" s="11">
        <f>IF(OR(Q69="",R69=""),"",IFERROR(INDEX(LAYOUT!$D$2:$D$80,MATCH(Q69&amp;"|"&amp;R69,LAYOUT!$E$2:$E$80,0)),""))</f>
        <v/>
      </c>
      <c r="U69" s="12">
        <f>IF(AND(Q69="",R69=""),IF(AND(L69="",M69="",V69="",W69=""),IF(OR($D69&lt;&gt;"",$E69&lt;&gt;""),"Belum ditempatkan",""),""),IF(Q69="","CEK JENIS FIXTURE kosong",IF(LEFT(Q69,4)&lt;&gt;"Wall","CEK Fixture 2 hanya Wall",IF(R69="","CEK SHELVING KE kosong",IF(ISNA(MATCH(Q69&amp;"|"&amp;R69,LAYOUT!$E$2:$E$80,0)),"CEK SHELVING KE di luar layout",IF($I69="","CEK SERIES kosong",IF(AND(S69&lt;&gt;"",NOT(ISNUMBER(S69))),"CEK URUTAN DISPLAY harus angka",IF($D69="","Zona STOCK",IF($E69="","CEK SKU DESCRIPTION kosong",IF(COUNTIFS($I$2:$I$500,$I69,Q$2:Q$500,"&lt;&gt;"&amp;Q69,Q$2:Q$500,"&lt;&gt;")&gt;0,"CEK jenis fixture beda dalam satu series","OK"))))))))))</f>
        <v/>
      </c>
      <c r="V69" s="11" t="n"/>
      <c r="W69" s="11" t="n"/>
      <c r="X69" s="11" t="n"/>
      <c r="Y69" s="11">
        <f>IF(OR(V69="",W69=""),"",IFERROR(INDEX(LAYOUT!$D$2:$D$80,MATCH(V69&amp;"|"&amp;W69,LAYOUT!$E$2:$E$80,0)),""))</f>
        <v/>
      </c>
      <c r="Z69" s="12">
        <f>IF(AND(V69="",W69=""),IF(AND(L69="",M69="",Q69="",R69=""),IF(OR($D69&lt;&gt;"",$E69&lt;&gt;""),"Belum ditempatkan",""),""),IF(V69="","CEK JENIS FIXTURE kosong",IF(LEFT(V69,4)&lt;&gt;"Wall","CEK Fixture 3 hanya Wall",IF(W69="","CEK SHELVING KE kosong",IF(ISNA(MATCH(V69&amp;"|"&amp;W69,LAYOUT!$E$2:$E$80,0)),"CEK SHELVING KE di luar layout",IF($I69="","CEK SERIES kosong",IF(AND(X69&lt;&gt;"",NOT(ISNUMBER(X69))),"CEK URUTAN DISPLAY harus angka",IF($D69="","Zona STOCK",IF($E69="","CEK SKU DESCRIPTION kosong",IF(COUNTIFS($I$2:$I$500,$I69,V$2:V$500,"&lt;&gt;"&amp;V69,V$2:V$500,"&lt;&gt;")&gt;0,"CEK jenis fixture beda dalam satu series","OK"))))))))))</f>
        <v/>
      </c>
      <c r="AA69" s="12" t="n"/>
      <c r="AB69" s="11" t="n"/>
      <c r="AC69" s="11" t="n"/>
      <c r="AD69" s="11" t="n"/>
      <c r="AE69" s="11" t="n"/>
      <c r="AF69" s="11" t="n"/>
      <c r="AG69" s="11" t="n"/>
      <c r="AH69" s="12" t="n"/>
      <c r="AI69" s="12" t="n"/>
    </row>
    <row r="70">
      <c r="A70" s="10" t="n"/>
      <c r="B70" s="10" t="n"/>
      <c r="C70" s="10" t="n"/>
      <c r="D70" s="10" t="n"/>
      <c r="E70" s="10" t="n"/>
      <c r="F70" s="10" t="n"/>
      <c r="G70" s="10" t="n"/>
      <c r="H70" s="10" t="n"/>
      <c r="I70" s="10" t="n"/>
      <c r="J70" s="10" t="n"/>
      <c r="K70" s="10" t="n"/>
      <c r="L70" s="11" t="n"/>
      <c r="M70" s="11" t="n"/>
      <c r="N70" s="11" t="n"/>
      <c r="O70" s="11">
        <f>IF(OR(L70="",M70=""),"",IFERROR(INDEX(LAYOUT!$D$2:$D$80,MATCH(L70&amp;"|"&amp;M70,LAYOUT!$E$2:$E$80,0)),""))</f>
        <v/>
      </c>
      <c r="P70" s="12">
        <f>IF(AND(L70="",M70=""),IF(AND(Q70="",R70="",V70="",W70=""),IF(OR($D70&lt;&gt;"",$E70&lt;&gt;""),"Belum ditempatkan",""),""),IF(L70="","CEK JENIS FIXTURE kosong",IF(AND(LEFT(L70,7)&lt;&gt;"Gondola",LEFT(L70,6)&lt;&gt;"Endcap"),"CEK Fixture 1 hanya Gondola atau Endcap",IF(M70="","CEK SHELVING KE kosong",IF(ISNA(MATCH(L70&amp;"|"&amp;M70,LAYOUT!$E$2:$E$80,0)),"CEK SHELVING KE di luar layout",IF($I70="","CEK SERIES kosong",IF(AND(N70&lt;&gt;"",NOT(ISNUMBER(N70))),"CEK URUTAN DISPLAY harus angka",IF($D70="","Zona STOCK",IF($E70="","CEK SKU DESCRIPTION kosong",IF(COUNTIFS($I$2:$I$500,$I70,L$2:L$500,"&lt;&gt;"&amp;L70,L$2:L$500,"&lt;&gt;")&gt;0,"CEK jenis fixture beda dalam satu series","OK"))))))))))</f>
        <v/>
      </c>
      <c r="Q70" s="11" t="n"/>
      <c r="R70" s="11" t="n"/>
      <c r="S70" s="11" t="n"/>
      <c r="T70" s="11">
        <f>IF(OR(Q70="",R70=""),"",IFERROR(INDEX(LAYOUT!$D$2:$D$80,MATCH(Q70&amp;"|"&amp;R70,LAYOUT!$E$2:$E$80,0)),""))</f>
        <v/>
      </c>
      <c r="U70" s="12">
        <f>IF(AND(Q70="",R70=""),IF(AND(L70="",M70="",V70="",W70=""),IF(OR($D70&lt;&gt;"",$E70&lt;&gt;""),"Belum ditempatkan",""),""),IF(Q70="","CEK JENIS FIXTURE kosong",IF(LEFT(Q70,4)&lt;&gt;"Wall","CEK Fixture 2 hanya Wall",IF(R70="","CEK SHELVING KE kosong",IF(ISNA(MATCH(Q70&amp;"|"&amp;R70,LAYOUT!$E$2:$E$80,0)),"CEK SHELVING KE di luar layout",IF($I70="","CEK SERIES kosong",IF(AND(S70&lt;&gt;"",NOT(ISNUMBER(S70))),"CEK URUTAN DISPLAY harus angka",IF($D70="","Zona STOCK",IF($E70="","CEK SKU DESCRIPTION kosong",IF(COUNTIFS($I$2:$I$500,$I70,Q$2:Q$500,"&lt;&gt;"&amp;Q70,Q$2:Q$500,"&lt;&gt;")&gt;0,"CEK jenis fixture beda dalam satu series","OK"))))))))))</f>
        <v/>
      </c>
      <c r="V70" s="11" t="n"/>
      <c r="W70" s="11" t="n"/>
      <c r="X70" s="11" t="n"/>
      <c r="Y70" s="11">
        <f>IF(OR(V70="",W70=""),"",IFERROR(INDEX(LAYOUT!$D$2:$D$80,MATCH(V70&amp;"|"&amp;W70,LAYOUT!$E$2:$E$80,0)),""))</f>
        <v/>
      </c>
      <c r="Z70" s="12">
        <f>IF(AND(V70="",W70=""),IF(AND(L70="",M70="",Q70="",R70=""),IF(OR($D70&lt;&gt;"",$E70&lt;&gt;""),"Belum ditempatkan",""),""),IF(V70="","CEK JENIS FIXTURE kosong",IF(LEFT(V70,4)&lt;&gt;"Wall","CEK Fixture 3 hanya Wall",IF(W70="","CEK SHELVING KE kosong",IF(ISNA(MATCH(V70&amp;"|"&amp;W70,LAYOUT!$E$2:$E$80,0)),"CEK SHELVING KE di luar layout",IF($I70="","CEK SERIES kosong",IF(AND(X70&lt;&gt;"",NOT(ISNUMBER(X70))),"CEK URUTAN DISPLAY harus angka",IF($D70="","Zona STOCK",IF($E70="","CEK SKU DESCRIPTION kosong",IF(COUNTIFS($I$2:$I$500,$I70,V$2:V$500,"&lt;&gt;"&amp;V70,V$2:V$500,"&lt;&gt;")&gt;0,"CEK jenis fixture beda dalam satu series","OK"))))))))))</f>
        <v/>
      </c>
      <c r="AA70" s="12" t="n"/>
      <c r="AB70" s="11" t="n"/>
      <c r="AC70" s="11" t="n"/>
      <c r="AD70" s="11" t="n"/>
      <c r="AE70" s="11" t="n"/>
      <c r="AF70" s="11" t="n"/>
      <c r="AG70" s="11" t="n"/>
      <c r="AH70" s="12" t="n"/>
      <c r="AI70" s="12" t="n"/>
    </row>
    <row r="71">
      <c r="A71" s="10" t="n"/>
      <c r="B71" s="10" t="n"/>
      <c r="C71" s="10" t="n"/>
      <c r="D71" s="10" t="n"/>
      <c r="E71" s="10" t="n"/>
      <c r="F71" s="10" t="n"/>
      <c r="G71" s="10" t="n"/>
      <c r="H71" s="10" t="n"/>
      <c r="I71" s="10" t="n"/>
      <c r="J71" s="10" t="n"/>
      <c r="K71" s="10" t="n"/>
      <c r="L71" s="11" t="n"/>
      <c r="M71" s="11" t="n"/>
      <c r="N71" s="11" t="n"/>
      <c r="O71" s="11">
        <f>IF(OR(L71="",M71=""),"",IFERROR(INDEX(LAYOUT!$D$2:$D$80,MATCH(L71&amp;"|"&amp;M71,LAYOUT!$E$2:$E$80,0)),""))</f>
        <v/>
      </c>
      <c r="P71" s="12">
        <f>IF(AND(L71="",M71=""),IF(AND(Q71="",R71="",V71="",W71=""),IF(OR($D71&lt;&gt;"",$E71&lt;&gt;""),"Belum ditempatkan",""),""),IF(L71="","CEK JENIS FIXTURE kosong",IF(AND(LEFT(L71,7)&lt;&gt;"Gondola",LEFT(L71,6)&lt;&gt;"Endcap"),"CEK Fixture 1 hanya Gondola atau Endcap",IF(M71="","CEK SHELVING KE kosong",IF(ISNA(MATCH(L71&amp;"|"&amp;M71,LAYOUT!$E$2:$E$80,0)),"CEK SHELVING KE di luar layout",IF($I71="","CEK SERIES kosong",IF(AND(N71&lt;&gt;"",NOT(ISNUMBER(N71))),"CEK URUTAN DISPLAY harus angka",IF($D71="","Zona STOCK",IF($E71="","CEK SKU DESCRIPTION kosong",IF(COUNTIFS($I$2:$I$500,$I71,L$2:L$500,"&lt;&gt;"&amp;L71,L$2:L$500,"&lt;&gt;")&gt;0,"CEK jenis fixture beda dalam satu series","OK"))))))))))</f>
        <v/>
      </c>
      <c r="Q71" s="11" t="n"/>
      <c r="R71" s="11" t="n"/>
      <c r="S71" s="11" t="n"/>
      <c r="T71" s="11">
        <f>IF(OR(Q71="",R71=""),"",IFERROR(INDEX(LAYOUT!$D$2:$D$80,MATCH(Q71&amp;"|"&amp;R71,LAYOUT!$E$2:$E$80,0)),""))</f>
        <v/>
      </c>
      <c r="U71" s="12">
        <f>IF(AND(Q71="",R71=""),IF(AND(L71="",M71="",V71="",W71=""),IF(OR($D71&lt;&gt;"",$E71&lt;&gt;""),"Belum ditempatkan",""),""),IF(Q71="","CEK JENIS FIXTURE kosong",IF(LEFT(Q71,4)&lt;&gt;"Wall","CEK Fixture 2 hanya Wall",IF(R71="","CEK SHELVING KE kosong",IF(ISNA(MATCH(Q71&amp;"|"&amp;R71,LAYOUT!$E$2:$E$80,0)),"CEK SHELVING KE di luar layout",IF($I71="","CEK SERIES kosong",IF(AND(S71&lt;&gt;"",NOT(ISNUMBER(S71))),"CEK URUTAN DISPLAY harus angka",IF($D71="","Zona STOCK",IF($E71="","CEK SKU DESCRIPTION kosong",IF(COUNTIFS($I$2:$I$500,$I71,Q$2:Q$500,"&lt;&gt;"&amp;Q71,Q$2:Q$500,"&lt;&gt;")&gt;0,"CEK jenis fixture beda dalam satu series","OK"))))))))))</f>
        <v/>
      </c>
      <c r="V71" s="11" t="n"/>
      <c r="W71" s="11" t="n"/>
      <c r="X71" s="11" t="n"/>
      <c r="Y71" s="11">
        <f>IF(OR(V71="",W71=""),"",IFERROR(INDEX(LAYOUT!$D$2:$D$80,MATCH(V71&amp;"|"&amp;W71,LAYOUT!$E$2:$E$80,0)),""))</f>
        <v/>
      </c>
      <c r="Z71" s="12">
        <f>IF(AND(V71="",W71=""),IF(AND(L71="",M71="",Q71="",R71=""),IF(OR($D71&lt;&gt;"",$E71&lt;&gt;""),"Belum ditempatkan",""),""),IF(V71="","CEK JENIS FIXTURE kosong",IF(LEFT(V71,4)&lt;&gt;"Wall","CEK Fixture 3 hanya Wall",IF(W71="","CEK SHELVING KE kosong",IF(ISNA(MATCH(V71&amp;"|"&amp;W71,LAYOUT!$E$2:$E$80,0)),"CEK SHELVING KE di luar layout",IF($I71="","CEK SERIES kosong",IF(AND(X71&lt;&gt;"",NOT(ISNUMBER(X71))),"CEK URUTAN DISPLAY harus angka",IF($D71="","Zona STOCK",IF($E71="","CEK SKU DESCRIPTION kosong",IF(COUNTIFS($I$2:$I$500,$I71,V$2:V$500,"&lt;&gt;"&amp;V71,V$2:V$500,"&lt;&gt;")&gt;0,"CEK jenis fixture beda dalam satu series","OK"))))))))))</f>
        <v/>
      </c>
      <c r="AA71" s="12" t="n"/>
      <c r="AB71" s="11" t="n"/>
      <c r="AC71" s="11" t="n"/>
      <c r="AD71" s="11" t="n"/>
      <c r="AE71" s="11" t="n"/>
      <c r="AF71" s="11" t="n"/>
      <c r="AG71" s="11" t="n"/>
      <c r="AH71" s="12" t="n"/>
      <c r="AI71" s="12" t="n"/>
    </row>
    <row r="72">
      <c r="A72" s="10" t="n"/>
      <c r="B72" s="10" t="n"/>
      <c r="C72" s="10" t="n"/>
      <c r="D72" s="10" t="n"/>
      <c r="E72" s="10" t="n"/>
      <c r="F72" s="10" t="n"/>
      <c r="G72" s="10" t="n"/>
      <c r="H72" s="10" t="n"/>
      <c r="I72" s="10" t="n"/>
      <c r="J72" s="10" t="n"/>
      <c r="K72" s="10" t="n"/>
      <c r="L72" s="11" t="n"/>
      <c r="M72" s="11" t="n"/>
      <c r="N72" s="11" t="n"/>
      <c r="O72" s="11">
        <f>IF(OR(L72="",M72=""),"",IFERROR(INDEX(LAYOUT!$D$2:$D$80,MATCH(L72&amp;"|"&amp;M72,LAYOUT!$E$2:$E$80,0)),""))</f>
        <v/>
      </c>
      <c r="P72" s="12">
        <f>IF(AND(L72="",M72=""),IF(AND(Q72="",R72="",V72="",W72=""),IF(OR($D72&lt;&gt;"",$E72&lt;&gt;""),"Belum ditempatkan",""),""),IF(L72="","CEK JENIS FIXTURE kosong",IF(AND(LEFT(L72,7)&lt;&gt;"Gondola",LEFT(L72,6)&lt;&gt;"Endcap"),"CEK Fixture 1 hanya Gondola atau Endcap",IF(M72="","CEK SHELVING KE kosong",IF(ISNA(MATCH(L72&amp;"|"&amp;M72,LAYOUT!$E$2:$E$80,0)),"CEK SHELVING KE di luar layout",IF($I72="","CEK SERIES kosong",IF(AND(N72&lt;&gt;"",NOT(ISNUMBER(N72))),"CEK URUTAN DISPLAY harus angka",IF($D72="","Zona STOCK",IF($E72="","CEK SKU DESCRIPTION kosong",IF(COUNTIFS($I$2:$I$500,$I72,L$2:L$500,"&lt;&gt;"&amp;L72,L$2:L$500,"&lt;&gt;")&gt;0,"CEK jenis fixture beda dalam satu series","OK"))))))))))</f>
        <v/>
      </c>
      <c r="Q72" s="11" t="n"/>
      <c r="R72" s="11" t="n"/>
      <c r="S72" s="11" t="n"/>
      <c r="T72" s="11">
        <f>IF(OR(Q72="",R72=""),"",IFERROR(INDEX(LAYOUT!$D$2:$D$80,MATCH(Q72&amp;"|"&amp;R72,LAYOUT!$E$2:$E$80,0)),""))</f>
        <v/>
      </c>
      <c r="U72" s="12">
        <f>IF(AND(Q72="",R72=""),IF(AND(L72="",M72="",V72="",W72=""),IF(OR($D72&lt;&gt;"",$E72&lt;&gt;""),"Belum ditempatkan",""),""),IF(Q72="","CEK JENIS FIXTURE kosong",IF(LEFT(Q72,4)&lt;&gt;"Wall","CEK Fixture 2 hanya Wall",IF(R72="","CEK SHELVING KE kosong",IF(ISNA(MATCH(Q72&amp;"|"&amp;R72,LAYOUT!$E$2:$E$80,0)),"CEK SHELVING KE di luar layout",IF($I72="","CEK SERIES kosong",IF(AND(S72&lt;&gt;"",NOT(ISNUMBER(S72))),"CEK URUTAN DISPLAY harus angka",IF($D72="","Zona STOCK",IF($E72="","CEK SKU DESCRIPTION kosong",IF(COUNTIFS($I$2:$I$500,$I72,Q$2:Q$500,"&lt;&gt;"&amp;Q72,Q$2:Q$500,"&lt;&gt;")&gt;0,"CEK jenis fixture beda dalam satu series","OK"))))))))))</f>
        <v/>
      </c>
      <c r="V72" s="11" t="n"/>
      <c r="W72" s="11" t="n"/>
      <c r="X72" s="11" t="n"/>
      <c r="Y72" s="11">
        <f>IF(OR(V72="",W72=""),"",IFERROR(INDEX(LAYOUT!$D$2:$D$80,MATCH(V72&amp;"|"&amp;W72,LAYOUT!$E$2:$E$80,0)),""))</f>
        <v/>
      </c>
      <c r="Z72" s="12">
        <f>IF(AND(V72="",W72=""),IF(AND(L72="",M72="",Q72="",R72=""),IF(OR($D72&lt;&gt;"",$E72&lt;&gt;""),"Belum ditempatkan",""),""),IF(V72="","CEK JENIS FIXTURE kosong",IF(LEFT(V72,4)&lt;&gt;"Wall","CEK Fixture 3 hanya Wall",IF(W72="","CEK SHELVING KE kosong",IF(ISNA(MATCH(V72&amp;"|"&amp;W72,LAYOUT!$E$2:$E$80,0)),"CEK SHELVING KE di luar layout",IF($I72="","CEK SERIES kosong",IF(AND(X72&lt;&gt;"",NOT(ISNUMBER(X72))),"CEK URUTAN DISPLAY harus angka",IF($D72="","Zona STOCK",IF($E72="","CEK SKU DESCRIPTION kosong",IF(COUNTIFS($I$2:$I$500,$I72,V$2:V$500,"&lt;&gt;"&amp;V72,V$2:V$500,"&lt;&gt;")&gt;0,"CEK jenis fixture beda dalam satu series","OK"))))))))))</f>
        <v/>
      </c>
      <c r="AA72" s="12" t="n"/>
      <c r="AB72" s="11" t="n"/>
      <c r="AC72" s="11" t="n"/>
      <c r="AD72" s="11" t="n"/>
      <c r="AE72" s="11" t="n"/>
      <c r="AF72" s="11" t="n"/>
      <c r="AG72" s="11" t="n"/>
      <c r="AH72" s="12" t="n"/>
      <c r="AI72" s="12" t="n"/>
    </row>
    <row r="73">
      <c r="A73" s="10" t="n"/>
      <c r="B73" s="10" t="n"/>
      <c r="C73" s="10" t="n"/>
      <c r="D73" s="10" t="n"/>
      <c r="E73" s="10" t="n"/>
      <c r="F73" s="10" t="n"/>
      <c r="G73" s="10" t="n"/>
      <c r="H73" s="10" t="n"/>
      <c r="I73" s="10" t="n"/>
      <c r="J73" s="10" t="n"/>
      <c r="K73" s="10" t="n"/>
      <c r="L73" s="11" t="n"/>
      <c r="M73" s="11" t="n"/>
      <c r="N73" s="11" t="n"/>
      <c r="O73" s="11">
        <f>IF(OR(L73="",M73=""),"",IFERROR(INDEX(LAYOUT!$D$2:$D$80,MATCH(L73&amp;"|"&amp;M73,LAYOUT!$E$2:$E$80,0)),""))</f>
        <v/>
      </c>
      <c r="P73" s="12">
        <f>IF(AND(L73="",M73=""),IF(AND(Q73="",R73="",V73="",W73=""),IF(OR($D73&lt;&gt;"",$E73&lt;&gt;""),"Belum ditempatkan",""),""),IF(L73="","CEK JENIS FIXTURE kosong",IF(AND(LEFT(L73,7)&lt;&gt;"Gondola",LEFT(L73,6)&lt;&gt;"Endcap"),"CEK Fixture 1 hanya Gondola atau Endcap",IF(M73="","CEK SHELVING KE kosong",IF(ISNA(MATCH(L73&amp;"|"&amp;M73,LAYOUT!$E$2:$E$80,0)),"CEK SHELVING KE di luar layout",IF($I73="","CEK SERIES kosong",IF(AND(N73&lt;&gt;"",NOT(ISNUMBER(N73))),"CEK URUTAN DISPLAY harus angka",IF($D73="","Zona STOCK",IF($E73="","CEK SKU DESCRIPTION kosong",IF(COUNTIFS($I$2:$I$500,$I73,L$2:L$500,"&lt;&gt;"&amp;L73,L$2:L$500,"&lt;&gt;")&gt;0,"CEK jenis fixture beda dalam satu series","OK"))))))))))</f>
        <v/>
      </c>
      <c r="Q73" s="11" t="n"/>
      <c r="R73" s="11" t="n"/>
      <c r="S73" s="11" t="n"/>
      <c r="T73" s="11">
        <f>IF(OR(Q73="",R73=""),"",IFERROR(INDEX(LAYOUT!$D$2:$D$80,MATCH(Q73&amp;"|"&amp;R73,LAYOUT!$E$2:$E$80,0)),""))</f>
        <v/>
      </c>
      <c r="U73" s="12">
        <f>IF(AND(Q73="",R73=""),IF(AND(L73="",M73="",V73="",W73=""),IF(OR($D73&lt;&gt;"",$E73&lt;&gt;""),"Belum ditempatkan",""),""),IF(Q73="","CEK JENIS FIXTURE kosong",IF(LEFT(Q73,4)&lt;&gt;"Wall","CEK Fixture 2 hanya Wall",IF(R73="","CEK SHELVING KE kosong",IF(ISNA(MATCH(Q73&amp;"|"&amp;R73,LAYOUT!$E$2:$E$80,0)),"CEK SHELVING KE di luar layout",IF($I73="","CEK SERIES kosong",IF(AND(S73&lt;&gt;"",NOT(ISNUMBER(S73))),"CEK URUTAN DISPLAY harus angka",IF($D73="","Zona STOCK",IF($E73="","CEK SKU DESCRIPTION kosong",IF(COUNTIFS($I$2:$I$500,$I73,Q$2:Q$500,"&lt;&gt;"&amp;Q73,Q$2:Q$500,"&lt;&gt;")&gt;0,"CEK jenis fixture beda dalam satu series","OK"))))))))))</f>
        <v/>
      </c>
      <c r="V73" s="11" t="n"/>
      <c r="W73" s="11" t="n"/>
      <c r="X73" s="11" t="n"/>
      <c r="Y73" s="11">
        <f>IF(OR(V73="",W73=""),"",IFERROR(INDEX(LAYOUT!$D$2:$D$80,MATCH(V73&amp;"|"&amp;W73,LAYOUT!$E$2:$E$80,0)),""))</f>
        <v/>
      </c>
      <c r="Z73" s="12">
        <f>IF(AND(V73="",W73=""),IF(AND(L73="",M73="",Q73="",R73=""),IF(OR($D73&lt;&gt;"",$E73&lt;&gt;""),"Belum ditempatkan",""),""),IF(V73="","CEK JENIS FIXTURE kosong",IF(LEFT(V73,4)&lt;&gt;"Wall","CEK Fixture 3 hanya Wall",IF(W73="","CEK SHELVING KE kosong",IF(ISNA(MATCH(V73&amp;"|"&amp;W73,LAYOUT!$E$2:$E$80,0)),"CEK SHELVING KE di luar layout",IF($I73="","CEK SERIES kosong",IF(AND(X73&lt;&gt;"",NOT(ISNUMBER(X73))),"CEK URUTAN DISPLAY harus angka",IF($D73="","Zona STOCK",IF($E73="","CEK SKU DESCRIPTION kosong",IF(COUNTIFS($I$2:$I$500,$I73,V$2:V$500,"&lt;&gt;"&amp;V73,V$2:V$500,"&lt;&gt;")&gt;0,"CEK jenis fixture beda dalam satu series","OK"))))))))))</f>
        <v/>
      </c>
      <c r="AA73" s="12" t="n"/>
      <c r="AB73" s="11" t="n"/>
      <c r="AC73" s="11" t="n"/>
      <c r="AD73" s="11" t="n"/>
      <c r="AE73" s="11" t="n"/>
      <c r="AF73" s="11" t="n"/>
      <c r="AG73" s="11" t="n"/>
      <c r="AH73" s="12" t="n"/>
      <c r="AI73" s="12" t="n"/>
    </row>
    <row r="74">
      <c r="A74" s="10" t="n"/>
      <c r="B74" s="10" t="n"/>
      <c r="C74" s="10" t="n"/>
      <c r="D74" s="10" t="n"/>
      <c r="E74" s="10" t="n"/>
      <c r="F74" s="10" t="n"/>
      <c r="G74" s="10" t="n"/>
      <c r="H74" s="10" t="n"/>
      <c r="I74" s="10" t="n"/>
      <c r="J74" s="10" t="n"/>
      <c r="K74" s="10" t="n"/>
      <c r="L74" s="11" t="n"/>
      <c r="M74" s="11" t="n"/>
      <c r="N74" s="11" t="n"/>
      <c r="O74" s="11">
        <f>IF(OR(L74="",M74=""),"",IFERROR(INDEX(LAYOUT!$D$2:$D$80,MATCH(L74&amp;"|"&amp;M74,LAYOUT!$E$2:$E$80,0)),""))</f>
        <v/>
      </c>
      <c r="P74" s="12">
        <f>IF(AND(L74="",M74=""),IF(AND(Q74="",R74="",V74="",W74=""),IF(OR($D74&lt;&gt;"",$E74&lt;&gt;""),"Belum ditempatkan",""),""),IF(L74="","CEK JENIS FIXTURE kosong",IF(AND(LEFT(L74,7)&lt;&gt;"Gondola",LEFT(L74,6)&lt;&gt;"Endcap"),"CEK Fixture 1 hanya Gondola atau Endcap",IF(M74="","CEK SHELVING KE kosong",IF(ISNA(MATCH(L74&amp;"|"&amp;M74,LAYOUT!$E$2:$E$80,0)),"CEK SHELVING KE di luar layout",IF($I74="","CEK SERIES kosong",IF(AND(N74&lt;&gt;"",NOT(ISNUMBER(N74))),"CEK URUTAN DISPLAY harus angka",IF($D74="","Zona STOCK",IF($E74="","CEK SKU DESCRIPTION kosong",IF(COUNTIFS($I$2:$I$500,$I74,L$2:L$500,"&lt;&gt;"&amp;L74,L$2:L$500,"&lt;&gt;")&gt;0,"CEK jenis fixture beda dalam satu series","OK"))))))))))</f>
        <v/>
      </c>
      <c r="Q74" s="11" t="n"/>
      <c r="R74" s="11" t="n"/>
      <c r="S74" s="11" t="n"/>
      <c r="T74" s="11">
        <f>IF(OR(Q74="",R74=""),"",IFERROR(INDEX(LAYOUT!$D$2:$D$80,MATCH(Q74&amp;"|"&amp;R74,LAYOUT!$E$2:$E$80,0)),""))</f>
        <v/>
      </c>
      <c r="U74" s="12">
        <f>IF(AND(Q74="",R74=""),IF(AND(L74="",M74="",V74="",W74=""),IF(OR($D74&lt;&gt;"",$E74&lt;&gt;""),"Belum ditempatkan",""),""),IF(Q74="","CEK JENIS FIXTURE kosong",IF(LEFT(Q74,4)&lt;&gt;"Wall","CEK Fixture 2 hanya Wall",IF(R74="","CEK SHELVING KE kosong",IF(ISNA(MATCH(Q74&amp;"|"&amp;R74,LAYOUT!$E$2:$E$80,0)),"CEK SHELVING KE di luar layout",IF($I74="","CEK SERIES kosong",IF(AND(S74&lt;&gt;"",NOT(ISNUMBER(S74))),"CEK URUTAN DISPLAY harus angka",IF($D74="","Zona STOCK",IF($E74="","CEK SKU DESCRIPTION kosong",IF(COUNTIFS($I$2:$I$500,$I74,Q$2:Q$500,"&lt;&gt;"&amp;Q74,Q$2:Q$500,"&lt;&gt;")&gt;0,"CEK jenis fixture beda dalam satu series","OK"))))))))))</f>
        <v/>
      </c>
      <c r="V74" s="11" t="n"/>
      <c r="W74" s="11" t="n"/>
      <c r="X74" s="11" t="n"/>
      <c r="Y74" s="11">
        <f>IF(OR(V74="",W74=""),"",IFERROR(INDEX(LAYOUT!$D$2:$D$80,MATCH(V74&amp;"|"&amp;W74,LAYOUT!$E$2:$E$80,0)),""))</f>
        <v/>
      </c>
      <c r="Z74" s="12">
        <f>IF(AND(V74="",W74=""),IF(AND(L74="",M74="",Q74="",R74=""),IF(OR($D74&lt;&gt;"",$E74&lt;&gt;""),"Belum ditempatkan",""),""),IF(V74="","CEK JENIS FIXTURE kosong",IF(LEFT(V74,4)&lt;&gt;"Wall","CEK Fixture 3 hanya Wall",IF(W74="","CEK SHELVING KE kosong",IF(ISNA(MATCH(V74&amp;"|"&amp;W74,LAYOUT!$E$2:$E$80,0)),"CEK SHELVING KE di luar layout",IF($I74="","CEK SERIES kosong",IF(AND(X74&lt;&gt;"",NOT(ISNUMBER(X74))),"CEK URUTAN DISPLAY harus angka",IF($D74="","Zona STOCK",IF($E74="","CEK SKU DESCRIPTION kosong",IF(COUNTIFS($I$2:$I$500,$I74,V$2:V$500,"&lt;&gt;"&amp;V74,V$2:V$500,"&lt;&gt;")&gt;0,"CEK jenis fixture beda dalam satu series","OK"))))))))))</f>
        <v/>
      </c>
      <c r="AA74" s="12" t="n"/>
      <c r="AB74" s="11" t="n"/>
      <c r="AC74" s="11" t="n"/>
      <c r="AD74" s="11" t="n"/>
      <c r="AE74" s="11" t="n"/>
      <c r="AF74" s="11" t="n"/>
      <c r="AG74" s="11" t="n"/>
      <c r="AH74" s="12" t="n"/>
      <c r="AI74" s="12" t="n"/>
    </row>
    <row r="75">
      <c r="A75" s="10" t="n"/>
      <c r="B75" s="10" t="n"/>
      <c r="C75" s="10" t="n"/>
      <c r="D75" s="10" t="n"/>
      <c r="E75" s="10" t="n"/>
      <c r="F75" s="10" t="n"/>
      <c r="G75" s="10" t="n"/>
      <c r="H75" s="10" t="n"/>
      <c r="I75" s="10" t="n"/>
      <c r="J75" s="10" t="n"/>
      <c r="K75" s="10" t="n"/>
      <c r="L75" s="11" t="n"/>
      <c r="M75" s="11" t="n"/>
      <c r="N75" s="11" t="n"/>
      <c r="O75" s="11">
        <f>IF(OR(L75="",M75=""),"",IFERROR(INDEX(LAYOUT!$D$2:$D$80,MATCH(L75&amp;"|"&amp;M75,LAYOUT!$E$2:$E$80,0)),""))</f>
        <v/>
      </c>
      <c r="P75" s="12">
        <f>IF(AND(L75="",M75=""),IF(AND(Q75="",R75="",V75="",W75=""),IF(OR($D75&lt;&gt;"",$E75&lt;&gt;""),"Belum ditempatkan",""),""),IF(L75="","CEK JENIS FIXTURE kosong",IF(AND(LEFT(L75,7)&lt;&gt;"Gondola",LEFT(L75,6)&lt;&gt;"Endcap"),"CEK Fixture 1 hanya Gondola atau Endcap",IF(M75="","CEK SHELVING KE kosong",IF(ISNA(MATCH(L75&amp;"|"&amp;M75,LAYOUT!$E$2:$E$80,0)),"CEK SHELVING KE di luar layout",IF($I75="","CEK SERIES kosong",IF(AND(N75&lt;&gt;"",NOT(ISNUMBER(N75))),"CEK URUTAN DISPLAY harus angka",IF($D75="","Zona STOCK",IF($E75="","CEK SKU DESCRIPTION kosong",IF(COUNTIFS($I$2:$I$500,$I75,L$2:L$500,"&lt;&gt;"&amp;L75,L$2:L$500,"&lt;&gt;")&gt;0,"CEK jenis fixture beda dalam satu series","OK"))))))))))</f>
        <v/>
      </c>
      <c r="Q75" s="11" t="n"/>
      <c r="R75" s="11" t="n"/>
      <c r="S75" s="11" t="n"/>
      <c r="T75" s="11">
        <f>IF(OR(Q75="",R75=""),"",IFERROR(INDEX(LAYOUT!$D$2:$D$80,MATCH(Q75&amp;"|"&amp;R75,LAYOUT!$E$2:$E$80,0)),""))</f>
        <v/>
      </c>
      <c r="U75" s="12">
        <f>IF(AND(Q75="",R75=""),IF(AND(L75="",M75="",V75="",W75=""),IF(OR($D75&lt;&gt;"",$E75&lt;&gt;""),"Belum ditempatkan",""),""),IF(Q75="","CEK JENIS FIXTURE kosong",IF(LEFT(Q75,4)&lt;&gt;"Wall","CEK Fixture 2 hanya Wall",IF(R75="","CEK SHELVING KE kosong",IF(ISNA(MATCH(Q75&amp;"|"&amp;R75,LAYOUT!$E$2:$E$80,0)),"CEK SHELVING KE di luar layout",IF($I75="","CEK SERIES kosong",IF(AND(S75&lt;&gt;"",NOT(ISNUMBER(S75))),"CEK URUTAN DISPLAY harus angka",IF($D75="","Zona STOCK",IF($E75="","CEK SKU DESCRIPTION kosong",IF(COUNTIFS($I$2:$I$500,$I75,Q$2:Q$500,"&lt;&gt;"&amp;Q75,Q$2:Q$500,"&lt;&gt;")&gt;0,"CEK jenis fixture beda dalam satu series","OK"))))))))))</f>
        <v/>
      </c>
      <c r="V75" s="11" t="n"/>
      <c r="W75" s="11" t="n"/>
      <c r="X75" s="11" t="n"/>
      <c r="Y75" s="11">
        <f>IF(OR(V75="",W75=""),"",IFERROR(INDEX(LAYOUT!$D$2:$D$80,MATCH(V75&amp;"|"&amp;W75,LAYOUT!$E$2:$E$80,0)),""))</f>
        <v/>
      </c>
      <c r="Z75" s="12">
        <f>IF(AND(V75="",W75=""),IF(AND(L75="",M75="",Q75="",R75=""),IF(OR($D75&lt;&gt;"",$E75&lt;&gt;""),"Belum ditempatkan",""),""),IF(V75="","CEK JENIS FIXTURE kosong",IF(LEFT(V75,4)&lt;&gt;"Wall","CEK Fixture 3 hanya Wall",IF(W75="","CEK SHELVING KE kosong",IF(ISNA(MATCH(V75&amp;"|"&amp;W75,LAYOUT!$E$2:$E$80,0)),"CEK SHELVING KE di luar layout",IF($I75="","CEK SERIES kosong",IF(AND(X75&lt;&gt;"",NOT(ISNUMBER(X75))),"CEK URUTAN DISPLAY harus angka",IF($D75="","Zona STOCK",IF($E75="","CEK SKU DESCRIPTION kosong",IF(COUNTIFS($I$2:$I$500,$I75,V$2:V$500,"&lt;&gt;"&amp;V75,V$2:V$500,"&lt;&gt;")&gt;0,"CEK jenis fixture beda dalam satu series","OK"))))))))))</f>
        <v/>
      </c>
      <c r="AA75" s="12" t="n"/>
      <c r="AB75" s="11" t="n"/>
      <c r="AC75" s="11" t="n"/>
      <c r="AD75" s="11" t="n"/>
      <c r="AE75" s="11" t="n"/>
      <c r="AF75" s="11" t="n"/>
      <c r="AG75" s="11" t="n"/>
      <c r="AH75" s="12" t="n"/>
      <c r="AI75" s="12" t="n"/>
    </row>
    <row r="76">
      <c r="A76" s="10" t="n"/>
      <c r="B76" s="10" t="n"/>
      <c r="C76" s="10" t="n"/>
      <c r="D76" s="10" t="n"/>
      <c r="E76" s="10" t="n"/>
      <c r="F76" s="10" t="n"/>
      <c r="G76" s="10" t="n"/>
      <c r="H76" s="10" t="n"/>
      <c r="I76" s="10" t="n"/>
      <c r="J76" s="10" t="n"/>
      <c r="K76" s="10" t="n"/>
      <c r="L76" s="11" t="n"/>
      <c r="M76" s="11" t="n"/>
      <c r="N76" s="11" t="n"/>
      <c r="O76" s="11">
        <f>IF(OR(L76="",M76=""),"",IFERROR(INDEX(LAYOUT!$D$2:$D$80,MATCH(L76&amp;"|"&amp;M76,LAYOUT!$E$2:$E$80,0)),""))</f>
        <v/>
      </c>
      <c r="P76" s="12">
        <f>IF(AND(L76="",M76=""),IF(AND(Q76="",R76="",V76="",W76=""),IF(OR($D76&lt;&gt;"",$E76&lt;&gt;""),"Belum ditempatkan",""),""),IF(L76="","CEK JENIS FIXTURE kosong",IF(AND(LEFT(L76,7)&lt;&gt;"Gondola",LEFT(L76,6)&lt;&gt;"Endcap"),"CEK Fixture 1 hanya Gondola atau Endcap",IF(M76="","CEK SHELVING KE kosong",IF(ISNA(MATCH(L76&amp;"|"&amp;M76,LAYOUT!$E$2:$E$80,0)),"CEK SHELVING KE di luar layout",IF($I76="","CEK SERIES kosong",IF(AND(N76&lt;&gt;"",NOT(ISNUMBER(N76))),"CEK URUTAN DISPLAY harus angka",IF($D76="","Zona STOCK",IF($E76="","CEK SKU DESCRIPTION kosong",IF(COUNTIFS($I$2:$I$500,$I76,L$2:L$500,"&lt;&gt;"&amp;L76,L$2:L$500,"&lt;&gt;")&gt;0,"CEK jenis fixture beda dalam satu series","OK"))))))))))</f>
        <v/>
      </c>
      <c r="Q76" s="11" t="n"/>
      <c r="R76" s="11" t="n"/>
      <c r="S76" s="11" t="n"/>
      <c r="T76" s="11">
        <f>IF(OR(Q76="",R76=""),"",IFERROR(INDEX(LAYOUT!$D$2:$D$80,MATCH(Q76&amp;"|"&amp;R76,LAYOUT!$E$2:$E$80,0)),""))</f>
        <v/>
      </c>
      <c r="U76" s="12">
        <f>IF(AND(Q76="",R76=""),IF(AND(L76="",M76="",V76="",W76=""),IF(OR($D76&lt;&gt;"",$E76&lt;&gt;""),"Belum ditempatkan",""),""),IF(Q76="","CEK JENIS FIXTURE kosong",IF(LEFT(Q76,4)&lt;&gt;"Wall","CEK Fixture 2 hanya Wall",IF(R76="","CEK SHELVING KE kosong",IF(ISNA(MATCH(Q76&amp;"|"&amp;R76,LAYOUT!$E$2:$E$80,0)),"CEK SHELVING KE di luar layout",IF($I76="","CEK SERIES kosong",IF(AND(S76&lt;&gt;"",NOT(ISNUMBER(S76))),"CEK URUTAN DISPLAY harus angka",IF($D76="","Zona STOCK",IF($E76="","CEK SKU DESCRIPTION kosong",IF(COUNTIFS($I$2:$I$500,$I76,Q$2:Q$500,"&lt;&gt;"&amp;Q76,Q$2:Q$500,"&lt;&gt;")&gt;0,"CEK jenis fixture beda dalam satu series","OK"))))))))))</f>
        <v/>
      </c>
      <c r="V76" s="11" t="n"/>
      <c r="W76" s="11" t="n"/>
      <c r="X76" s="11" t="n"/>
      <c r="Y76" s="11">
        <f>IF(OR(V76="",W76=""),"",IFERROR(INDEX(LAYOUT!$D$2:$D$80,MATCH(V76&amp;"|"&amp;W76,LAYOUT!$E$2:$E$80,0)),""))</f>
        <v/>
      </c>
      <c r="Z76" s="12">
        <f>IF(AND(V76="",W76=""),IF(AND(L76="",M76="",Q76="",R76=""),IF(OR($D76&lt;&gt;"",$E76&lt;&gt;""),"Belum ditempatkan",""),""),IF(V76="","CEK JENIS FIXTURE kosong",IF(LEFT(V76,4)&lt;&gt;"Wall","CEK Fixture 3 hanya Wall",IF(W76="","CEK SHELVING KE kosong",IF(ISNA(MATCH(V76&amp;"|"&amp;W76,LAYOUT!$E$2:$E$80,0)),"CEK SHELVING KE di luar layout",IF($I76="","CEK SERIES kosong",IF(AND(X76&lt;&gt;"",NOT(ISNUMBER(X76))),"CEK URUTAN DISPLAY harus angka",IF($D76="","Zona STOCK",IF($E76="","CEK SKU DESCRIPTION kosong",IF(COUNTIFS($I$2:$I$500,$I76,V$2:V$500,"&lt;&gt;"&amp;V76,V$2:V$500,"&lt;&gt;")&gt;0,"CEK jenis fixture beda dalam satu series","OK"))))))))))</f>
        <v/>
      </c>
      <c r="AA76" s="12" t="n"/>
      <c r="AB76" s="11" t="n"/>
      <c r="AC76" s="11" t="n"/>
      <c r="AD76" s="11" t="n"/>
      <c r="AE76" s="11" t="n"/>
      <c r="AF76" s="11" t="n"/>
      <c r="AG76" s="11" t="n"/>
      <c r="AH76" s="12" t="n"/>
      <c r="AI76" s="12" t="n"/>
    </row>
    <row r="77">
      <c r="A77" s="10" t="n"/>
      <c r="B77" s="10" t="n"/>
      <c r="C77" s="10" t="n"/>
      <c r="D77" s="10" t="n"/>
      <c r="E77" s="10" t="n"/>
      <c r="F77" s="10" t="n"/>
      <c r="G77" s="10" t="n"/>
      <c r="H77" s="10" t="n"/>
      <c r="I77" s="10" t="n"/>
      <c r="J77" s="10" t="n"/>
      <c r="K77" s="10" t="n"/>
      <c r="L77" s="11" t="n"/>
      <c r="M77" s="11" t="n"/>
      <c r="N77" s="11" t="n"/>
      <c r="O77" s="11">
        <f>IF(OR(L77="",M77=""),"",IFERROR(INDEX(LAYOUT!$D$2:$D$80,MATCH(L77&amp;"|"&amp;M77,LAYOUT!$E$2:$E$80,0)),""))</f>
        <v/>
      </c>
      <c r="P77" s="12">
        <f>IF(AND(L77="",M77=""),IF(AND(Q77="",R77="",V77="",W77=""),IF(OR($D77&lt;&gt;"",$E77&lt;&gt;""),"Belum ditempatkan",""),""),IF(L77="","CEK JENIS FIXTURE kosong",IF(AND(LEFT(L77,7)&lt;&gt;"Gondola",LEFT(L77,6)&lt;&gt;"Endcap"),"CEK Fixture 1 hanya Gondola atau Endcap",IF(M77="","CEK SHELVING KE kosong",IF(ISNA(MATCH(L77&amp;"|"&amp;M77,LAYOUT!$E$2:$E$80,0)),"CEK SHELVING KE di luar layout",IF($I77="","CEK SERIES kosong",IF(AND(N77&lt;&gt;"",NOT(ISNUMBER(N77))),"CEK URUTAN DISPLAY harus angka",IF($D77="","Zona STOCK",IF($E77="","CEK SKU DESCRIPTION kosong",IF(COUNTIFS($I$2:$I$500,$I77,L$2:L$500,"&lt;&gt;"&amp;L77,L$2:L$500,"&lt;&gt;")&gt;0,"CEK jenis fixture beda dalam satu series","OK"))))))))))</f>
        <v/>
      </c>
      <c r="Q77" s="11" t="n"/>
      <c r="R77" s="11" t="n"/>
      <c r="S77" s="11" t="n"/>
      <c r="T77" s="11">
        <f>IF(OR(Q77="",R77=""),"",IFERROR(INDEX(LAYOUT!$D$2:$D$80,MATCH(Q77&amp;"|"&amp;R77,LAYOUT!$E$2:$E$80,0)),""))</f>
        <v/>
      </c>
      <c r="U77" s="12">
        <f>IF(AND(Q77="",R77=""),IF(AND(L77="",M77="",V77="",W77=""),IF(OR($D77&lt;&gt;"",$E77&lt;&gt;""),"Belum ditempatkan",""),""),IF(Q77="","CEK JENIS FIXTURE kosong",IF(LEFT(Q77,4)&lt;&gt;"Wall","CEK Fixture 2 hanya Wall",IF(R77="","CEK SHELVING KE kosong",IF(ISNA(MATCH(Q77&amp;"|"&amp;R77,LAYOUT!$E$2:$E$80,0)),"CEK SHELVING KE di luar layout",IF($I77="","CEK SERIES kosong",IF(AND(S77&lt;&gt;"",NOT(ISNUMBER(S77))),"CEK URUTAN DISPLAY harus angka",IF($D77="","Zona STOCK",IF($E77="","CEK SKU DESCRIPTION kosong",IF(COUNTIFS($I$2:$I$500,$I77,Q$2:Q$500,"&lt;&gt;"&amp;Q77,Q$2:Q$500,"&lt;&gt;")&gt;0,"CEK jenis fixture beda dalam satu series","OK"))))))))))</f>
        <v/>
      </c>
      <c r="V77" s="11" t="n"/>
      <c r="W77" s="11" t="n"/>
      <c r="X77" s="11" t="n"/>
      <c r="Y77" s="11">
        <f>IF(OR(V77="",W77=""),"",IFERROR(INDEX(LAYOUT!$D$2:$D$80,MATCH(V77&amp;"|"&amp;W77,LAYOUT!$E$2:$E$80,0)),""))</f>
        <v/>
      </c>
      <c r="Z77" s="12">
        <f>IF(AND(V77="",W77=""),IF(AND(L77="",M77="",Q77="",R77=""),IF(OR($D77&lt;&gt;"",$E77&lt;&gt;""),"Belum ditempatkan",""),""),IF(V77="","CEK JENIS FIXTURE kosong",IF(LEFT(V77,4)&lt;&gt;"Wall","CEK Fixture 3 hanya Wall",IF(W77="","CEK SHELVING KE kosong",IF(ISNA(MATCH(V77&amp;"|"&amp;W77,LAYOUT!$E$2:$E$80,0)),"CEK SHELVING KE di luar layout",IF($I77="","CEK SERIES kosong",IF(AND(X77&lt;&gt;"",NOT(ISNUMBER(X77))),"CEK URUTAN DISPLAY harus angka",IF($D77="","Zona STOCK",IF($E77="","CEK SKU DESCRIPTION kosong",IF(COUNTIFS($I$2:$I$500,$I77,V$2:V$500,"&lt;&gt;"&amp;V77,V$2:V$500,"&lt;&gt;")&gt;0,"CEK jenis fixture beda dalam satu series","OK"))))))))))</f>
        <v/>
      </c>
      <c r="AA77" s="12" t="n"/>
      <c r="AB77" s="11" t="n"/>
      <c r="AC77" s="11" t="n"/>
      <c r="AD77" s="11" t="n"/>
      <c r="AE77" s="11" t="n"/>
      <c r="AF77" s="11" t="n"/>
      <c r="AG77" s="11" t="n"/>
      <c r="AH77" s="12" t="n"/>
      <c r="AI77" s="12" t="n"/>
    </row>
    <row r="78">
      <c r="A78" s="10" t="n"/>
      <c r="B78" s="10" t="n"/>
      <c r="C78" s="10" t="n"/>
      <c r="D78" s="10" t="n"/>
      <c r="E78" s="10" t="n"/>
      <c r="F78" s="10" t="n"/>
      <c r="G78" s="10" t="n"/>
      <c r="H78" s="10" t="n"/>
      <c r="I78" s="10" t="n"/>
      <c r="J78" s="10" t="n"/>
      <c r="K78" s="10" t="n"/>
      <c r="L78" s="11" t="n"/>
      <c r="M78" s="11" t="n"/>
      <c r="N78" s="11" t="n"/>
      <c r="O78" s="11">
        <f>IF(OR(L78="",M78=""),"",IFERROR(INDEX(LAYOUT!$D$2:$D$80,MATCH(L78&amp;"|"&amp;M78,LAYOUT!$E$2:$E$80,0)),""))</f>
        <v/>
      </c>
      <c r="P78" s="12">
        <f>IF(AND(L78="",M78=""),IF(AND(Q78="",R78="",V78="",W78=""),IF(OR($D78&lt;&gt;"",$E78&lt;&gt;""),"Belum ditempatkan",""),""),IF(L78="","CEK JENIS FIXTURE kosong",IF(AND(LEFT(L78,7)&lt;&gt;"Gondola",LEFT(L78,6)&lt;&gt;"Endcap"),"CEK Fixture 1 hanya Gondola atau Endcap",IF(M78="","CEK SHELVING KE kosong",IF(ISNA(MATCH(L78&amp;"|"&amp;M78,LAYOUT!$E$2:$E$80,0)),"CEK SHELVING KE di luar layout",IF($I78="","CEK SERIES kosong",IF(AND(N78&lt;&gt;"",NOT(ISNUMBER(N78))),"CEK URUTAN DISPLAY harus angka",IF($D78="","Zona STOCK",IF($E78="","CEK SKU DESCRIPTION kosong",IF(COUNTIFS($I$2:$I$500,$I78,L$2:L$500,"&lt;&gt;"&amp;L78,L$2:L$500,"&lt;&gt;")&gt;0,"CEK jenis fixture beda dalam satu series","OK"))))))))))</f>
        <v/>
      </c>
      <c r="Q78" s="11" t="n"/>
      <c r="R78" s="11" t="n"/>
      <c r="S78" s="11" t="n"/>
      <c r="T78" s="11">
        <f>IF(OR(Q78="",R78=""),"",IFERROR(INDEX(LAYOUT!$D$2:$D$80,MATCH(Q78&amp;"|"&amp;R78,LAYOUT!$E$2:$E$80,0)),""))</f>
        <v/>
      </c>
      <c r="U78" s="12">
        <f>IF(AND(Q78="",R78=""),IF(AND(L78="",M78="",V78="",W78=""),IF(OR($D78&lt;&gt;"",$E78&lt;&gt;""),"Belum ditempatkan",""),""),IF(Q78="","CEK JENIS FIXTURE kosong",IF(LEFT(Q78,4)&lt;&gt;"Wall","CEK Fixture 2 hanya Wall",IF(R78="","CEK SHELVING KE kosong",IF(ISNA(MATCH(Q78&amp;"|"&amp;R78,LAYOUT!$E$2:$E$80,0)),"CEK SHELVING KE di luar layout",IF($I78="","CEK SERIES kosong",IF(AND(S78&lt;&gt;"",NOT(ISNUMBER(S78))),"CEK URUTAN DISPLAY harus angka",IF($D78="","Zona STOCK",IF($E78="","CEK SKU DESCRIPTION kosong",IF(COUNTIFS($I$2:$I$500,$I78,Q$2:Q$500,"&lt;&gt;"&amp;Q78,Q$2:Q$500,"&lt;&gt;")&gt;0,"CEK jenis fixture beda dalam satu series","OK"))))))))))</f>
        <v/>
      </c>
      <c r="V78" s="11" t="n"/>
      <c r="W78" s="11" t="n"/>
      <c r="X78" s="11" t="n"/>
      <c r="Y78" s="11">
        <f>IF(OR(V78="",W78=""),"",IFERROR(INDEX(LAYOUT!$D$2:$D$80,MATCH(V78&amp;"|"&amp;W78,LAYOUT!$E$2:$E$80,0)),""))</f>
        <v/>
      </c>
      <c r="Z78" s="12">
        <f>IF(AND(V78="",W78=""),IF(AND(L78="",M78="",Q78="",R78=""),IF(OR($D78&lt;&gt;"",$E78&lt;&gt;""),"Belum ditempatkan",""),""),IF(V78="","CEK JENIS FIXTURE kosong",IF(LEFT(V78,4)&lt;&gt;"Wall","CEK Fixture 3 hanya Wall",IF(W78="","CEK SHELVING KE kosong",IF(ISNA(MATCH(V78&amp;"|"&amp;W78,LAYOUT!$E$2:$E$80,0)),"CEK SHELVING KE di luar layout",IF($I78="","CEK SERIES kosong",IF(AND(X78&lt;&gt;"",NOT(ISNUMBER(X78))),"CEK URUTAN DISPLAY harus angka",IF($D78="","Zona STOCK",IF($E78="","CEK SKU DESCRIPTION kosong",IF(COUNTIFS($I$2:$I$500,$I78,V$2:V$500,"&lt;&gt;"&amp;V78,V$2:V$500,"&lt;&gt;")&gt;0,"CEK jenis fixture beda dalam satu series","OK"))))))))))</f>
        <v/>
      </c>
      <c r="AA78" s="12" t="n"/>
      <c r="AB78" s="11" t="n"/>
      <c r="AC78" s="11" t="n"/>
      <c r="AD78" s="11" t="n"/>
      <c r="AE78" s="11" t="n"/>
      <c r="AF78" s="11" t="n"/>
      <c r="AG78" s="11" t="n"/>
      <c r="AH78" s="12" t="n"/>
      <c r="AI78" s="12" t="n"/>
    </row>
    <row r="79">
      <c r="A79" s="10" t="n"/>
      <c r="B79" s="10" t="n"/>
      <c r="C79" s="10" t="n"/>
      <c r="D79" s="10" t="n"/>
      <c r="E79" s="10" t="n"/>
      <c r="F79" s="10" t="n"/>
      <c r="G79" s="10" t="n"/>
      <c r="H79" s="10" t="n"/>
      <c r="I79" s="10" t="n"/>
      <c r="J79" s="10" t="n"/>
      <c r="K79" s="10" t="n"/>
      <c r="L79" s="11" t="n"/>
      <c r="M79" s="11" t="n"/>
      <c r="N79" s="11" t="n"/>
      <c r="O79" s="11">
        <f>IF(OR(L79="",M79=""),"",IFERROR(INDEX(LAYOUT!$D$2:$D$80,MATCH(L79&amp;"|"&amp;M79,LAYOUT!$E$2:$E$80,0)),""))</f>
        <v/>
      </c>
      <c r="P79" s="12">
        <f>IF(AND(L79="",M79=""),IF(AND(Q79="",R79="",V79="",W79=""),IF(OR($D79&lt;&gt;"",$E79&lt;&gt;""),"Belum ditempatkan",""),""),IF(L79="","CEK JENIS FIXTURE kosong",IF(AND(LEFT(L79,7)&lt;&gt;"Gondola",LEFT(L79,6)&lt;&gt;"Endcap"),"CEK Fixture 1 hanya Gondola atau Endcap",IF(M79="","CEK SHELVING KE kosong",IF(ISNA(MATCH(L79&amp;"|"&amp;M79,LAYOUT!$E$2:$E$80,0)),"CEK SHELVING KE di luar layout",IF($I79="","CEK SERIES kosong",IF(AND(N79&lt;&gt;"",NOT(ISNUMBER(N79))),"CEK URUTAN DISPLAY harus angka",IF($D79="","Zona STOCK",IF($E79="","CEK SKU DESCRIPTION kosong",IF(COUNTIFS($I$2:$I$500,$I79,L$2:L$500,"&lt;&gt;"&amp;L79,L$2:L$500,"&lt;&gt;")&gt;0,"CEK jenis fixture beda dalam satu series","OK"))))))))))</f>
        <v/>
      </c>
      <c r="Q79" s="11" t="n"/>
      <c r="R79" s="11" t="n"/>
      <c r="S79" s="11" t="n"/>
      <c r="T79" s="11">
        <f>IF(OR(Q79="",R79=""),"",IFERROR(INDEX(LAYOUT!$D$2:$D$80,MATCH(Q79&amp;"|"&amp;R79,LAYOUT!$E$2:$E$80,0)),""))</f>
        <v/>
      </c>
      <c r="U79" s="12">
        <f>IF(AND(Q79="",R79=""),IF(AND(L79="",M79="",V79="",W79=""),IF(OR($D79&lt;&gt;"",$E79&lt;&gt;""),"Belum ditempatkan",""),""),IF(Q79="","CEK JENIS FIXTURE kosong",IF(LEFT(Q79,4)&lt;&gt;"Wall","CEK Fixture 2 hanya Wall",IF(R79="","CEK SHELVING KE kosong",IF(ISNA(MATCH(Q79&amp;"|"&amp;R79,LAYOUT!$E$2:$E$80,0)),"CEK SHELVING KE di luar layout",IF($I79="","CEK SERIES kosong",IF(AND(S79&lt;&gt;"",NOT(ISNUMBER(S79))),"CEK URUTAN DISPLAY harus angka",IF($D79="","Zona STOCK",IF($E79="","CEK SKU DESCRIPTION kosong",IF(COUNTIFS($I$2:$I$500,$I79,Q$2:Q$500,"&lt;&gt;"&amp;Q79,Q$2:Q$500,"&lt;&gt;")&gt;0,"CEK jenis fixture beda dalam satu series","OK"))))))))))</f>
        <v/>
      </c>
      <c r="V79" s="11" t="n"/>
      <c r="W79" s="11" t="n"/>
      <c r="X79" s="11" t="n"/>
      <c r="Y79" s="11">
        <f>IF(OR(V79="",W79=""),"",IFERROR(INDEX(LAYOUT!$D$2:$D$80,MATCH(V79&amp;"|"&amp;W79,LAYOUT!$E$2:$E$80,0)),""))</f>
        <v/>
      </c>
      <c r="Z79" s="12">
        <f>IF(AND(V79="",W79=""),IF(AND(L79="",M79="",Q79="",R79=""),IF(OR($D79&lt;&gt;"",$E79&lt;&gt;""),"Belum ditempatkan",""),""),IF(V79="","CEK JENIS FIXTURE kosong",IF(LEFT(V79,4)&lt;&gt;"Wall","CEK Fixture 3 hanya Wall",IF(W79="","CEK SHELVING KE kosong",IF(ISNA(MATCH(V79&amp;"|"&amp;W79,LAYOUT!$E$2:$E$80,0)),"CEK SHELVING KE di luar layout",IF($I79="","CEK SERIES kosong",IF(AND(X79&lt;&gt;"",NOT(ISNUMBER(X79))),"CEK URUTAN DISPLAY harus angka",IF($D79="","Zona STOCK",IF($E79="","CEK SKU DESCRIPTION kosong",IF(COUNTIFS($I$2:$I$500,$I79,V$2:V$500,"&lt;&gt;"&amp;V79,V$2:V$500,"&lt;&gt;")&gt;0,"CEK jenis fixture beda dalam satu series","OK"))))))))))</f>
        <v/>
      </c>
      <c r="AA79" s="12" t="n"/>
      <c r="AB79" s="11" t="n"/>
      <c r="AC79" s="11" t="n"/>
      <c r="AD79" s="11" t="n"/>
      <c r="AE79" s="11" t="n"/>
      <c r="AF79" s="11" t="n"/>
      <c r="AG79" s="11" t="n"/>
      <c r="AH79" s="12" t="n"/>
      <c r="AI79" s="12" t="n"/>
    </row>
    <row r="80">
      <c r="A80" s="10" t="n"/>
      <c r="B80" s="10" t="n"/>
      <c r="C80" s="10" t="n"/>
      <c r="D80" s="10" t="n"/>
      <c r="E80" s="10" t="n"/>
      <c r="F80" s="10" t="n"/>
      <c r="G80" s="10" t="n"/>
      <c r="H80" s="10" t="n"/>
      <c r="I80" s="10" t="n"/>
      <c r="J80" s="10" t="n"/>
      <c r="K80" s="10" t="n"/>
      <c r="L80" s="11" t="n"/>
      <c r="M80" s="11" t="n"/>
      <c r="N80" s="11" t="n"/>
      <c r="O80" s="11">
        <f>IF(OR(L80="",M80=""),"",IFERROR(INDEX(LAYOUT!$D$2:$D$80,MATCH(L80&amp;"|"&amp;M80,LAYOUT!$E$2:$E$80,0)),""))</f>
        <v/>
      </c>
      <c r="P80" s="12">
        <f>IF(AND(L80="",M80=""),IF(AND(Q80="",R80="",V80="",W80=""),IF(OR($D80&lt;&gt;"",$E80&lt;&gt;""),"Belum ditempatkan",""),""),IF(L80="","CEK JENIS FIXTURE kosong",IF(AND(LEFT(L80,7)&lt;&gt;"Gondola",LEFT(L80,6)&lt;&gt;"Endcap"),"CEK Fixture 1 hanya Gondola atau Endcap",IF(M80="","CEK SHELVING KE kosong",IF(ISNA(MATCH(L80&amp;"|"&amp;M80,LAYOUT!$E$2:$E$80,0)),"CEK SHELVING KE di luar layout",IF($I80="","CEK SERIES kosong",IF(AND(N80&lt;&gt;"",NOT(ISNUMBER(N80))),"CEK URUTAN DISPLAY harus angka",IF($D80="","Zona STOCK",IF($E80="","CEK SKU DESCRIPTION kosong",IF(COUNTIFS($I$2:$I$500,$I80,L$2:L$500,"&lt;&gt;"&amp;L80,L$2:L$500,"&lt;&gt;")&gt;0,"CEK jenis fixture beda dalam satu series","OK"))))))))))</f>
        <v/>
      </c>
      <c r="Q80" s="11" t="n"/>
      <c r="R80" s="11" t="n"/>
      <c r="S80" s="11" t="n"/>
      <c r="T80" s="11">
        <f>IF(OR(Q80="",R80=""),"",IFERROR(INDEX(LAYOUT!$D$2:$D$80,MATCH(Q80&amp;"|"&amp;R80,LAYOUT!$E$2:$E$80,0)),""))</f>
        <v/>
      </c>
      <c r="U80" s="12">
        <f>IF(AND(Q80="",R80=""),IF(AND(L80="",M80="",V80="",W80=""),IF(OR($D80&lt;&gt;"",$E80&lt;&gt;""),"Belum ditempatkan",""),""),IF(Q80="","CEK JENIS FIXTURE kosong",IF(LEFT(Q80,4)&lt;&gt;"Wall","CEK Fixture 2 hanya Wall",IF(R80="","CEK SHELVING KE kosong",IF(ISNA(MATCH(Q80&amp;"|"&amp;R80,LAYOUT!$E$2:$E$80,0)),"CEK SHELVING KE di luar layout",IF($I80="","CEK SERIES kosong",IF(AND(S80&lt;&gt;"",NOT(ISNUMBER(S80))),"CEK URUTAN DISPLAY harus angka",IF($D80="","Zona STOCK",IF($E80="","CEK SKU DESCRIPTION kosong",IF(COUNTIFS($I$2:$I$500,$I80,Q$2:Q$500,"&lt;&gt;"&amp;Q80,Q$2:Q$500,"&lt;&gt;")&gt;0,"CEK jenis fixture beda dalam satu series","OK"))))))))))</f>
        <v/>
      </c>
      <c r="V80" s="11" t="n"/>
      <c r="W80" s="11" t="n"/>
      <c r="X80" s="11" t="n"/>
      <c r="Y80" s="11">
        <f>IF(OR(V80="",W80=""),"",IFERROR(INDEX(LAYOUT!$D$2:$D$80,MATCH(V80&amp;"|"&amp;W80,LAYOUT!$E$2:$E$80,0)),""))</f>
        <v/>
      </c>
      <c r="Z80" s="12">
        <f>IF(AND(V80="",W80=""),IF(AND(L80="",M80="",Q80="",R80=""),IF(OR($D80&lt;&gt;"",$E80&lt;&gt;""),"Belum ditempatkan",""),""),IF(V80="","CEK JENIS FIXTURE kosong",IF(LEFT(V80,4)&lt;&gt;"Wall","CEK Fixture 3 hanya Wall",IF(W80="","CEK SHELVING KE kosong",IF(ISNA(MATCH(V80&amp;"|"&amp;W80,LAYOUT!$E$2:$E$80,0)),"CEK SHELVING KE di luar layout",IF($I80="","CEK SERIES kosong",IF(AND(X80&lt;&gt;"",NOT(ISNUMBER(X80))),"CEK URUTAN DISPLAY harus angka",IF($D80="","Zona STOCK",IF($E80="","CEK SKU DESCRIPTION kosong",IF(COUNTIFS($I$2:$I$500,$I80,V$2:V$500,"&lt;&gt;"&amp;V80,V$2:V$500,"&lt;&gt;")&gt;0,"CEK jenis fixture beda dalam satu series","OK"))))))))))</f>
        <v/>
      </c>
      <c r="AA80" s="12" t="n"/>
      <c r="AB80" s="11" t="n"/>
      <c r="AC80" s="11" t="n"/>
      <c r="AD80" s="11" t="n"/>
      <c r="AE80" s="11" t="n"/>
      <c r="AF80" s="11" t="n"/>
      <c r="AG80" s="11" t="n"/>
      <c r="AH80" s="12" t="n"/>
      <c r="AI80" s="12" t="n"/>
    </row>
    <row r="81">
      <c r="A81" s="10" t="n"/>
      <c r="B81" s="10" t="n"/>
      <c r="C81" s="10" t="n"/>
      <c r="D81" s="10" t="n"/>
      <c r="E81" s="10" t="n"/>
      <c r="F81" s="10" t="n"/>
      <c r="G81" s="10" t="n"/>
      <c r="H81" s="10" t="n"/>
      <c r="I81" s="10" t="n"/>
      <c r="J81" s="10" t="n"/>
      <c r="K81" s="10" t="n"/>
      <c r="L81" s="11" t="n"/>
      <c r="M81" s="11" t="n"/>
      <c r="N81" s="11" t="n"/>
      <c r="O81" s="11">
        <f>IF(OR(L81="",M81=""),"",IFERROR(INDEX(LAYOUT!$D$2:$D$80,MATCH(L81&amp;"|"&amp;M81,LAYOUT!$E$2:$E$80,0)),""))</f>
        <v/>
      </c>
      <c r="P81" s="12">
        <f>IF(AND(L81="",M81=""),IF(AND(Q81="",R81="",V81="",W81=""),IF(OR($D81&lt;&gt;"",$E81&lt;&gt;""),"Belum ditempatkan",""),""),IF(L81="","CEK JENIS FIXTURE kosong",IF(AND(LEFT(L81,7)&lt;&gt;"Gondola",LEFT(L81,6)&lt;&gt;"Endcap"),"CEK Fixture 1 hanya Gondola atau Endcap",IF(M81="","CEK SHELVING KE kosong",IF(ISNA(MATCH(L81&amp;"|"&amp;M81,LAYOUT!$E$2:$E$80,0)),"CEK SHELVING KE di luar layout",IF($I81="","CEK SERIES kosong",IF(AND(N81&lt;&gt;"",NOT(ISNUMBER(N81))),"CEK URUTAN DISPLAY harus angka",IF($D81="","Zona STOCK",IF($E81="","CEK SKU DESCRIPTION kosong",IF(COUNTIFS($I$2:$I$500,$I81,L$2:L$500,"&lt;&gt;"&amp;L81,L$2:L$500,"&lt;&gt;")&gt;0,"CEK jenis fixture beda dalam satu series","OK"))))))))))</f>
        <v/>
      </c>
      <c r="Q81" s="11" t="n"/>
      <c r="R81" s="11" t="n"/>
      <c r="S81" s="11" t="n"/>
      <c r="T81" s="11">
        <f>IF(OR(Q81="",R81=""),"",IFERROR(INDEX(LAYOUT!$D$2:$D$80,MATCH(Q81&amp;"|"&amp;R81,LAYOUT!$E$2:$E$80,0)),""))</f>
        <v/>
      </c>
      <c r="U81" s="12">
        <f>IF(AND(Q81="",R81=""),IF(AND(L81="",M81="",V81="",W81=""),IF(OR($D81&lt;&gt;"",$E81&lt;&gt;""),"Belum ditempatkan",""),""),IF(Q81="","CEK JENIS FIXTURE kosong",IF(LEFT(Q81,4)&lt;&gt;"Wall","CEK Fixture 2 hanya Wall",IF(R81="","CEK SHELVING KE kosong",IF(ISNA(MATCH(Q81&amp;"|"&amp;R81,LAYOUT!$E$2:$E$80,0)),"CEK SHELVING KE di luar layout",IF($I81="","CEK SERIES kosong",IF(AND(S81&lt;&gt;"",NOT(ISNUMBER(S81))),"CEK URUTAN DISPLAY harus angka",IF($D81="","Zona STOCK",IF($E81="","CEK SKU DESCRIPTION kosong",IF(COUNTIFS($I$2:$I$500,$I81,Q$2:Q$500,"&lt;&gt;"&amp;Q81,Q$2:Q$500,"&lt;&gt;")&gt;0,"CEK jenis fixture beda dalam satu series","OK"))))))))))</f>
        <v/>
      </c>
      <c r="V81" s="11" t="n"/>
      <c r="W81" s="11" t="n"/>
      <c r="X81" s="11" t="n"/>
      <c r="Y81" s="11">
        <f>IF(OR(V81="",W81=""),"",IFERROR(INDEX(LAYOUT!$D$2:$D$80,MATCH(V81&amp;"|"&amp;W81,LAYOUT!$E$2:$E$80,0)),""))</f>
        <v/>
      </c>
      <c r="Z81" s="12">
        <f>IF(AND(V81="",W81=""),IF(AND(L81="",M81="",Q81="",R81=""),IF(OR($D81&lt;&gt;"",$E81&lt;&gt;""),"Belum ditempatkan",""),""),IF(V81="","CEK JENIS FIXTURE kosong",IF(LEFT(V81,4)&lt;&gt;"Wall","CEK Fixture 3 hanya Wall",IF(W81="","CEK SHELVING KE kosong",IF(ISNA(MATCH(V81&amp;"|"&amp;W81,LAYOUT!$E$2:$E$80,0)),"CEK SHELVING KE di luar layout",IF($I81="","CEK SERIES kosong",IF(AND(X81&lt;&gt;"",NOT(ISNUMBER(X81))),"CEK URUTAN DISPLAY harus angka",IF($D81="","Zona STOCK",IF($E81="","CEK SKU DESCRIPTION kosong",IF(COUNTIFS($I$2:$I$500,$I81,V$2:V$500,"&lt;&gt;"&amp;V81,V$2:V$500,"&lt;&gt;")&gt;0,"CEK jenis fixture beda dalam satu series","OK"))))))))))</f>
        <v/>
      </c>
      <c r="AA81" s="12" t="n"/>
      <c r="AB81" s="11" t="n"/>
      <c r="AC81" s="11" t="n"/>
      <c r="AD81" s="11" t="n"/>
      <c r="AE81" s="11" t="n"/>
      <c r="AF81" s="11" t="n"/>
      <c r="AG81" s="11" t="n"/>
      <c r="AH81" s="12" t="n"/>
      <c r="AI81" s="12" t="n"/>
    </row>
    <row r="82">
      <c r="A82" s="10" t="n"/>
      <c r="B82" s="10" t="n"/>
      <c r="C82" s="10" t="n"/>
      <c r="D82" s="10" t="n"/>
      <c r="E82" s="10" t="n"/>
      <c r="F82" s="10" t="n"/>
      <c r="G82" s="10" t="n"/>
      <c r="H82" s="10" t="n"/>
      <c r="I82" s="10" t="n"/>
      <c r="J82" s="10" t="n"/>
      <c r="K82" s="10" t="n"/>
      <c r="L82" s="11" t="n"/>
      <c r="M82" s="11" t="n"/>
      <c r="N82" s="11" t="n"/>
      <c r="O82" s="11">
        <f>IF(OR(L82="",M82=""),"",IFERROR(INDEX(LAYOUT!$D$2:$D$80,MATCH(L82&amp;"|"&amp;M82,LAYOUT!$E$2:$E$80,0)),""))</f>
        <v/>
      </c>
      <c r="P82" s="12">
        <f>IF(AND(L82="",M82=""),IF(AND(Q82="",R82="",V82="",W82=""),IF(OR($D82&lt;&gt;"",$E82&lt;&gt;""),"Belum ditempatkan",""),""),IF(L82="","CEK JENIS FIXTURE kosong",IF(AND(LEFT(L82,7)&lt;&gt;"Gondola",LEFT(L82,6)&lt;&gt;"Endcap"),"CEK Fixture 1 hanya Gondola atau Endcap",IF(M82="","CEK SHELVING KE kosong",IF(ISNA(MATCH(L82&amp;"|"&amp;M82,LAYOUT!$E$2:$E$80,0)),"CEK SHELVING KE di luar layout",IF($I82="","CEK SERIES kosong",IF(AND(N82&lt;&gt;"",NOT(ISNUMBER(N82))),"CEK URUTAN DISPLAY harus angka",IF($D82="","Zona STOCK",IF($E82="","CEK SKU DESCRIPTION kosong",IF(COUNTIFS($I$2:$I$500,$I82,L$2:L$500,"&lt;&gt;"&amp;L82,L$2:L$500,"&lt;&gt;")&gt;0,"CEK jenis fixture beda dalam satu series","OK"))))))))))</f>
        <v/>
      </c>
      <c r="Q82" s="11" t="n"/>
      <c r="R82" s="11" t="n"/>
      <c r="S82" s="11" t="n"/>
      <c r="T82" s="11">
        <f>IF(OR(Q82="",R82=""),"",IFERROR(INDEX(LAYOUT!$D$2:$D$80,MATCH(Q82&amp;"|"&amp;R82,LAYOUT!$E$2:$E$80,0)),""))</f>
        <v/>
      </c>
      <c r="U82" s="12">
        <f>IF(AND(Q82="",R82=""),IF(AND(L82="",M82="",V82="",W82=""),IF(OR($D82&lt;&gt;"",$E82&lt;&gt;""),"Belum ditempatkan",""),""),IF(Q82="","CEK JENIS FIXTURE kosong",IF(LEFT(Q82,4)&lt;&gt;"Wall","CEK Fixture 2 hanya Wall",IF(R82="","CEK SHELVING KE kosong",IF(ISNA(MATCH(Q82&amp;"|"&amp;R82,LAYOUT!$E$2:$E$80,0)),"CEK SHELVING KE di luar layout",IF($I82="","CEK SERIES kosong",IF(AND(S82&lt;&gt;"",NOT(ISNUMBER(S82))),"CEK URUTAN DISPLAY harus angka",IF($D82="","Zona STOCK",IF($E82="","CEK SKU DESCRIPTION kosong",IF(COUNTIFS($I$2:$I$500,$I82,Q$2:Q$500,"&lt;&gt;"&amp;Q82,Q$2:Q$500,"&lt;&gt;")&gt;0,"CEK jenis fixture beda dalam satu series","OK"))))))))))</f>
        <v/>
      </c>
      <c r="V82" s="11" t="n"/>
      <c r="W82" s="11" t="n"/>
      <c r="X82" s="11" t="n"/>
      <c r="Y82" s="11">
        <f>IF(OR(V82="",W82=""),"",IFERROR(INDEX(LAYOUT!$D$2:$D$80,MATCH(V82&amp;"|"&amp;W82,LAYOUT!$E$2:$E$80,0)),""))</f>
        <v/>
      </c>
      <c r="Z82" s="12">
        <f>IF(AND(V82="",W82=""),IF(AND(L82="",M82="",Q82="",R82=""),IF(OR($D82&lt;&gt;"",$E82&lt;&gt;""),"Belum ditempatkan",""),""),IF(V82="","CEK JENIS FIXTURE kosong",IF(LEFT(V82,4)&lt;&gt;"Wall","CEK Fixture 3 hanya Wall",IF(W82="","CEK SHELVING KE kosong",IF(ISNA(MATCH(V82&amp;"|"&amp;W82,LAYOUT!$E$2:$E$80,0)),"CEK SHELVING KE di luar layout",IF($I82="","CEK SERIES kosong",IF(AND(X82&lt;&gt;"",NOT(ISNUMBER(X82))),"CEK URUTAN DISPLAY harus angka",IF($D82="","Zona STOCK",IF($E82="","CEK SKU DESCRIPTION kosong",IF(COUNTIFS($I$2:$I$500,$I82,V$2:V$500,"&lt;&gt;"&amp;V82,V$2:V$500,"&lt;&gt;")&gt;0,"CEK jenis fixture beda dalam satu series","OK"))))))))))</f>
        <v/>
      </c>
      <c r="AA82" s="12" t="n"/>
      <c r="AB82" s="11" t="n"/>
      <c r="AC82" s="11" t="n"/>
      <c r="AD82" s="11" t="n"/>
      <c r="AE82" s="11" t="n"/>
      <c r="AF82" s="11" t="n"/>
      <c r="AG82" s="11" t="n"/>
      <c r="AH82" s="12" t="n"/>
      <c r="AI82" s="12" t="n"/>
    </row>
    <row r="83">
      <c r="A83" s="10" t="n"/>
      <c r="B83" s="10" t="n"/>
      <c r="C83" s="10" t="n"/>
      <c r="D83" s="10" t="n"/>
      <c r="E83" s="10" t="n"/>
      <c r="F83" s="10" t="n"/>
      <c r="G83" s="10" t="n"/>
      <c r="H83" s="10" t="n"/>
      <c r="I83" s="10" t="n"/>
      <c r="J83" s="10" t="n"/>
      <c r="K83" s="10" t="n"/>
      <c r="L83" s="11" t="n"/>
      <c r="M83" s="11" t="n"/>
      <c r="N83" s="11" t="n"/>
      <c r="O83" s="11">
        <f>IF(OR(L83="",M83=""),"",IFERROR(INDEX(LAYOUT!$D$2:$D$80,MATCH(L83&amp;"|"&amp;M83,LAYOUT!$E$2:$E$80,0)),""))</f>
        <v/>
      </c>
      <c r="P83" s="12">
        <f>IF(AND(L83="",M83=""),IF(AND(Q83="",R83="",V83="",W83=""),IF(OR($D83&lt;&gt;"",$E83&lt;&gt;""),"Belum ditempatkan",""),""),IF(L83="","CEK JENIS FIXTURE kosong",IF(AND(LEFT(L83,7)&lt;&gt;"Gondola",LEFT(L83,6)&lt;&gt;"Endcap"),"CEK Fixture 1 hanya Gondola atau Endcap",IF(M83="","CEK SHELVING KE kosong",IF(ISNA(MATCH(L83&amp;"|"&amp;M83,LAYOUT!$E$2:$E$80,0)),"CEK SHELVING KE di luar layout",IF($I83="","CEK SERIES kosong",IF(AND(N83&lt;&gt;"",NOT(ISNUMBER(N83))),"CEK URUTAN DISPLAY harus angka",IF($D83="","Zona STOCK",IF($E83="","CEK SKU DESCRIPTION kosong",IF(COUNTIFS($I$2:$I$500,$I83,L$2:L$500,"&lt;&gt;"&amp;L83,L$2:L$500,"&lt;&gt;")&gt;0,"CEK jenis fixture beda dalam satu series","OK"))))))))))</f>
        <v/>
      </c>
      <c r="Q83" s="11" t="n"/>
      <c r="R83" s="11" t="n"/>
      <c r="S83" s="11" t="n"/>
      <c r="T83" s="11">
        <f>IF(OR(Q83="",R83=""),"",IFERROR(INDEX(LAYOUT!$D$2:$D$80,MATCH(Q83&amp;"|"&amp;R83,LAYOUT!$E$2:$E$80,0)),""))</f>
        <v/>
      </c>
      <c r="U83" s="12">
        <f>IF(AND(Q83="",R83=""),IF(AND(L83="",M83="",V83="",W83=""),IF(OR($D83&lt;&gt;"",$E83&lt;&gt;""),"Belum ditempatkan",""),""),IF(Q83="","CEK JENIS FIXTURE kosong",IF(LEFT(Q83,4)&lt;&gt;"Wall","CEK Fixture 2 hanya Wall",IF(R83="","CEK SHELVING KE kosong",IF(ISNA(MATCH(Q83&amp;"|"&amp;R83,LAYOUT!$E$2:$E$80,0)),"CEK SHELVING KE di luar layout",IF($I83="","CEK SERIES kosong",IF(AND(S83&lt;&gt;"",NOT(ISNUMBER(S83))),"CEK URUTAN DISPLAY harus angka",IF($D83="","Zona STOCK",IF($E83="","CEK SKU DESCRIPTION kosong",IF(COUNTIFS($I$2:$I$500,$I83,Q$2:Q$500,"&lt;&gt;"&amp;Q83,Q$2:Q$500,"&lt;&gt;")&gt;0,"CEK jenis fixture beda dalam satu series","OK"))))))))))</f>
        <v/>
      </c>
      <c r="V83" s="11" t="n"/>
      <c r="W83" s="11" t="n"/>
      <c r="X83" s="11" t="n"/>
      <c r="Y83" s="11">
        <f>IF(OR(V83="",W83=""),"",IFERROR(INDEX(LAYOUT!$D$2:$D$80,MATCH(V83&amp;"|"&amp;W83,LAYOUT!$E$2:$E$80,0)),""))</f>
        <v/>
      </c>
      <c r="Z83" s="12">
        <f>IF(AND(V83="",W83=""),IF(AND(L83="",M83="",Q83="",R83=""),IF(OR($D83&lt;&gt;"",$E83&lt;&gt;""),"Belum ditempatkan",""),""),IF(V83="","CEK JENIS FIXTURE kosong",IF(LEFT(V83,4)&lt;&gt;"Wall","CEK Fixture 3 hanya Wall",IF(W83="","CEK SHELVING KE kosong",IF(ISNA(MATCH(V83&amp;"|"&amp;W83,LAYOUT!$E$2:$E$80,0)),"CEK SHELVING KE di luar layout",IF($I83="","CEK SERIES kosong",IF(AND(X83&lt;&gt;"",NOT(ISNUMBER(X83))),"CEK URUTAN DISPLAY harus angka",IF($D83="","Zona STOCK",IF($E83="","CEK SKU DESCRIPTION kosong",IF(COUNTIFS($I$2:$I$500,$I83,V$2:V$500,"&lt;&gt;"&amp;V83,V$2:V$500,"&lt;&gt;")&gt;0,"CEK jenis fixture beda dalam satu series","OK"))))))))))</f>
        <v/>
      </c>
      <c r="AA83" s="12" t="n"/>
      <c r="AB83" s="11" t="n"/>
      <c r="AC83" s="11" t="n"/>
      <c r="AD83" s="11" t="n"/>
      <c r="AE83" s="11" t="n"/>
      <c r="AF83" s="11" t="n"/>
      <c r="AG83" s="11" t="n"/>
      <c r="AH83" s="12" t="n"/>
      <c r="AI83" s="12" t="n"/>
    </row>
    <row r="84">
      <c r="A84" s="10" t="n"/>
      <c r="B84" s="10" t="n"/>
      <c r="C84" s="10" t="n"/>
      <c r="D84" s="10" t="n"/>
      <c r="E84" s="10" t="n"/>
      <c r="F84" s="10" t="n"/>
      <c r="G84" s="10" t="n"/>
      <c r="H84" s="10" t="n"/>
      <c r="I84" s="10" t="n"/>
      <c r="J84" s="10" t="n"/>
      <c r="K84" s="10" t="n"/>
      <c r="L84" s="11" t="n"/>
      <c r="M84" s="11" t="n"/>
      <c r="N84" s="11" t="n"/>
      <c r="O84" s="11">
        <f>IF(OR(L84="",M84=""),"",IFERROR(INDEX(LAYOUT!$D$2:$D$80,MATCH(L84&amp;"|"&amp;M84,LAYOUT!$E$2:$E$80,0)),""))</f>
        <v/>
      </c>
      <c r="P84" s="12">
        <f>IF(AND(L84="",M84=""),IF(AND(Q84="",R84="",V84="",W84=""),IF(OR($D84&lt;&gt;"",$E84&lt;&gt;""),"Belum ditempatkan",""),""),IF(L84="","CEK JENIS FIXTURE kosong",IF(AND(LEFT(L84,7)&lt;&gt;"Gondola",LEFT(L84,6)&lt;&gt;"Endcap"),"CEK Fixture 1 hanya Gondola atau Endcap",IF(M84="","CEK SHELVING KE kosong",IF(ISNA(MATCH(L84&amp;"|"&amp;M84,LAYOUT!$E$2:$E$80,0)),"CEK SHELVING KE di luar layout",IF($I84="","CEK SERIES kosong",IF(AND(N84&lt;&gt;"",NOT(ISNUMBER(N84))),"CEK URUTAN DISPLAY harus angka",IF($D84="","Zona STOCK",IF($E84="","CEK SKU DESCRIPTION kosong",IF(COUNTIFS($I$2:$I$500,$I84,L$2:L$500,"&lt;&gt;"&amp;L84,L$2:L$500,"&lt;&gt;")&gt;0,"CEK jenis fixture beda dalam satu series","OK"))))))))))</f>
        <v/>
      </c>
      <c r="Q84" s="11" t="n"/>
      <c r="R84" s="11" t="n"/>
      <c r="S84" s="11" t="n"/>
      <c r="T84" s="11">
        <f>IF(OR(Q84="",R84=""),"",IFERROR(INDEX(LAYOUT!$D$2:$D$80,MATCH(Q84&amp;"|"&amp;R84,LAYOUT!$E$2:$E$80,0)),""))</f>
        <v/>
      </c>
      <c r="U84" s="12">
        <f>IF(AND(Q84="",R84=""),IF(AND(L84="",M84="",V84="",W84=""),IF(OR($D84&lt;&gt;"",$E84&lt;&gt;""),"Belum ditempatkan",""),""),IF(Q84="","CEK JENIS FIXTURE kosong",IF(LEFT(Q84,4)&lt;&gt;"Wall","CEK Fixture 2 hanya Wall",IF(R84="","CEK SHELVING KE kosong",IF(ISNA(MATCH(Q84&amp;"|"&amp;R84,LAYOUT!$E$2:$E$80,0)),"CEK SHELVING KE di luar layout",IF($I84="","CEK SERIES kosong",IF(AND(S84&lt;&gt;"",NOT(ISNUMBER(S84))),"CEK URUTAN DISPLAY harus angka",IF($D84="","Zona STOCK",IF($E84="","CEK SKU DESCRIPTION kosong",IF(COUNTIFS($I$2:$I$500,$I84,Q$2:Q$500,"&lt;&gt;"&amp;Q84,Q$2:Q$500,"&lt;&gt;")&gt;0,"CEK jenis fixture beda dalam satu series","OK"))))))))))</f>
        <v/>
      </c>
      <c r="V84" s="11" t="n"/>
      <c r="W84" s="11" t="n"/>
      <c r="X84" s="11" t="n"/>
      <c r="Y84" s="11">
        <f>IF(OR(V84="",W84=""),"",IFERROR(INDEX(LAYOUT!$D$2:$D$80,MATCH(V84&amp;"|"&amp;W84,LAYOUT!$E$2:$E$80,0)),""))</f>
        <v/>
      </c>
      <c r="Z84" s="12">
        <f>IF(AND(V84="",W84=""),IF(AND(L84="",M84="",Q84="",R84=""),IF(OR($D84&lt;&gt;"",$E84&lt;&gt;""),"Belum ditempatkan",""),""),IF(V84="","CEK JENIS FIXTURE kosong",IF(LEFT(V84,4)&lt;&gt;"Wall","CEK Fixture 3 hanya Wall",IF(W84="","CEK SHELVING KE kosong",IF(ISNA(MATCH(V84&amp;"|"&amp;W84,LAYOUT!$E$2:$E$80,0)),"CEK SHELVING KE di luar layout",IF($I84="","CEK SERIES kosong",IF(AND(X84&lt;&gt;"",NOT(ISNUMBER(X84))),"CEK URUTAN DISPLAY harus angka",IF($D84="","Zona STOCK",IF($E84="","CEK SKU DESCRIPTION kosong",IF(COUNTIFS($I$2:$I$500,$I84,V$2:V$500,"&lt;&gt;"&amp;V84,V$2:V$500,"&lt;&gt;")&gt;0,"CEK jenis fixture beda dalam satu series","OK"))))))))))</f>
        <v/>
      </c>
      <c r="AA84" s="12" t="n"/>
      <c r="AB84" s="11" t="n"/>
      <c r="AC84" s="11" t="n"/>
      <c r="AD84" s="11" t="n"/>
      <c r="AE84" s="11" t="n"/>
      <c r="AF84" s="11" t="n"/>
      <c r="AG84" s="11" t="n"/>
      <c r="AH84" s="12" t="n"/>
      <c r="AI84" s="12" t="n"/>
    </row>
    <row r="85">
      <c r="A85" s="10" t="n"/>
      <c r="B85" s="10" t="n"/>
      <c r="C85" s="10" t="n"/>
      <c r="D85" s="10" t="n"/>
      <c r="E85" s="10" t="n"/>
      <c r="F85" s="10" t="n"/>
      <c r="G85" s="10" t="n"/>
      <c r="H85" s="10" t="n"/>
      <c r="I85" s="10" t="n"/>
      <c r="J85" s="10" t="n"/>
      <c r="K85" s="10" t="n"/>
      <c r="L85" s="11" t="n"/>
      <c r="M85" s="11" t="n"/>
      <c r="N85" s="11" t="n"/>
      <c r="O85" s="11">
        <f>IF(OR(L85="",M85=""),"",IFERROR(INDEX(LAYOUT!$D$2:$D$80,MATCH(L85&amp;"|"&amp;M85,LAYOUT!$E$2:$E$80,0)),""))</f>
        <v/>
      </c>
      <c r="P85" s="12">
        <f>IF(AND(L85="",M85=""),IF(AND(Q85="",R85="",V85="",W85=""),IF(OR($D85&lt;&gt;"",$E85&lt;&gt;""),"Belum ditempatkan",""),""),IF(L85="","CEK JENIS FIXTURE kosong",IF(AND(LEFT(L85,7)&lt;&gt;"Gondola",LEFT(L85,6)&lt;&gt;"Endcap"),"CEK Fixture 1 hanya Gondola atau Endcap",IF(M85="","CEK SHELVING KE kosong",IF(ISNA(MATCH(L85&amp;"|"&amp;M85,LAYOUT!$E$2:$E$80,0)),"CEK SHELVING KE di luar layout",IF($I85="","CEK SERIES kosong",IF(AND(N85&lt;&gt;"",NOT(ISNUMBER(N85))),"CEK URUTAN DISPLAY harus angka",IF($D85="","Zona STOCK",IF($E85="","CEK SKU DESCRIPTION kosong",IF(COUNTIFS($I$2:$I$500,$I85,L$2:L$500,"&lt;&gt;"&amp;L85,L$2:L$500,"&lt;&gt;")&gt;0,"CEK jenis fixture beda dalam satu series","OK"))))))))))</f>
        <v/>
      </c>
      <c r="Q85" s="11" t="n"/>
      <c r="R85" s="11" t="n"/>
      <c r="S85" s="11" t="n"/>
      <c r="T85" s="11">
        <f>IF(OR(Q85="",R85=""),"",IFERROR(INDEX(LAYOUT!$D$2:$D$80,MATCH(Q85&amp;"|"&amp;R85,LAYOUT!$E$2:$E$80,0)),""))</f>
        <v/>
      </c>
      <c r="U85" s="12">
        <f>IF(AND(Q85="",R85=""),IF(AND(L85="",M85="",V85="",W85=""),IF(OR($D85&lt;&gt;"",$E85&lt;&gt;""),"Belum ditempatkan",""),""),IF(Q85="","CEK JENIS FIXTURE kosong",IF(LEFT(Q85,4)&lt;&gt;"Wall","CEK Fixture 2 hanya Wall",IF(R85="","CEK SHELVING KE kosong",IF(ISNA(MATCH(Q85&amp;"|"&amp;R85,LAYOUT!$E$2:$E$80,0)),"CEK SHELVING KE di luar layout",IF($I85="","CEK SERIES kosong",IF(AND(S85&lt;&gt;"",NOT(ISNUMBER(S85))),"CEK URUTAN DISPLAY harus angka",IF($D85="","Zona STOCK",IF($E85="","CEK SKU DESCRIPTION kosong",IF(COUNTIFS($I$2:$I$500,$I85,Q$2:Q$500,"&lt;&gt;"&amp;Q85,Q$2:Q$500,"&lt;&gt;")&gt;0,"CEK jenis fixture beda dalam satu series","OK"))))))))))</f>
        <v/>
      </c>
      <c r="V85" s="11" t="n"/>
      <c r="W85" s="11" t="n"/>
      <c r="X85" s="11" t="n"/>
      <c r="Y85" s="11">
        <f>IF(OR(V85="",W85=""),"",IFERROR(INDEX(LAYOUT!$D$2:$D$80,MATCH(V85&amp;"|"&amp;W85,LAYOUT!$E$2:$E$80,0)),""))</f>
        <v/>
      </c>
      <c r="Z85" s="12">
        <f>IF(AND(V85="",W85=""),IF(AND(L85="",M85="",Q85="",R85=""),IF(OR($D85&lt;&gt;"",$E85&lt;&gt;""),"Belum ditempatkan",""),""),IF(V85="","CEK JENIS FIXTURE kosong",IF(LEFT(V85,4)&lt;&gt;"Wall","CEK Fixture 3 hanya Wall",IF(W85="","CEK SHELVING KE kosong",IF(ISNA(MATCH(V85&amp;"|"&amp;W85,LAYOUT!$E$2:$E$80,0)),"CEK SHELVING KE di luar layout",IF($I85="","CEK SERIES kosong",IF(AND(X85&lt;&gt;"",NOT(ISNUMBER(X85))),"CEK URUTAN DISPLAY harus angka",IF($D85="","Zona STOCK",IF($E85="","CEK SKU DESCRIPTION kosong",IF(COUNTIFS($I$2:$I$500,$I85,V$2:V$500,"&lt;&gt;"&amp;V85,V$2:V$500,"&lt;&gt;")&gt;0,"CEK jenis fixture beda dalam satu series","OK"))))))))))</f>
        <v/>
      </c>
      <c r="AA85" s="12" t="n"/>
      <c r="AB85" s="11" t="n"/>
      <c r="AC85" s="11" t="n"/>
      <c r="AD85" s="11" t="n"/>
      <c r="AE85" s="11" t="n"/>
      <c r="AF85" s="11" t="n"/>
      <c r="AG85" s="11" t="n"/>
      <c r="AH85" s="12" t="n"/>
      <c r="AI85" s="12" t="n"/>
    </row>
    <row r="86">
      <c r="A86" s="10" t="n"/>
      <c r="B86" s="10" t="n"/>
      <c r="C86" s="10" t="n"/>
      <c r="D86" s="10" t="n"/>
      <c r="E86" s="10" t="n"/>
      <c r="F86" s="10" t="n"/>
      <c r="G86" s="10" t="n"/>
      <c r="H86" s="10" t="n"/>
      <c r="I86" s="10" t="n"/>
      <c r="J86" s="10" t="n"/>
      <c r="K86" s="10" t="n"/>
      <c r="L86" s="11" t="n"/>
      <c r="M86" s="11" t="n"/>
      <c r="N86" s="11" t="n"/>
      <c r="O86" s="11">
        <f>IF(OR(L86="",M86=""),"",IFERROR(INDEX(LAYOUT!$D$2:$D$80,MATCH(L86&amp;"|"&amp;M86,LAYOUT!$E$2:$E$80,0)),""))</f>
        <v/>
      </c>
      <c r="P86" s="12">
        <f>IF(AND(L86="",M86=""),IF(AND(Q86="",R86="",V86="",W86=""),IF(OR($D86&lt;&gt;"",$E86&lt;&gt;""),"Belum ditempatkan",""),""),IF(L86="","CEK JENIS FIXTURE kosong",IF(AND(LEFT(L86,7)&lt;&gt;"Gondola",LEFT(L86,6)&lt;&gt;"Endcap"),"CEK Fixture 1 hanya Gondola atau Endcap",IF(M86="","CEK SHELVING KE kosong",IF(ISNA(MATCH(L86&amp;"|"&amp;M86,LAYOUT!$E$2:$E$80,0)),"CEK SHELVING KE di luar layout",IF($I86="","CEK SERIES kosong",IF(AND(N86&lt;&gt;"",NOT(ISNUMBER(N86))),"CEK URUTAN DISPLAY harus angka",IF($D86="","Zona STOCK",IF($E86="","CEK SKU DESCRIPTION kosong",IF(COUNTIFS($I$2:$I$500,$I86,L$2:L$500,"&lt;&gt;"&amp;L86,L$2:L$500,"&lt;&gt;")&gt;0,"CEK jenis fixture beda dalam satu series","OK"))))))))))</f>
        <v/>
      </c>
      <c r="Q86" s="11" t="n"/>
      <c r="R86" s="11" t="n"/>
      <c r="S86" s="11" t="n"/>
      <c r="T86" s="11">
        <f>IF(OR(Q86="",R86=""),"",IFERROR(INDEX(LAYOUT!$D$2:$D$80,MATCH(Q86&amp;"|"&amp;R86,LAYOUT!$E$2:$E$80,0)),""))</f>
        <v/>
      </c>
      <c r="U86" s="12">
        <f>IF(AND(Q86="",R86=""),IF(AND(L86="",M86="",V86="",W86=""),IF(OR($D86&lt;&gt;"",$E86&lt;&gt;""),"Belum ditempatkan",""),""),IF(Q86="","CEK JENIS FIXTURE kosong",IF(LEFT(Q86,4)&lt;&gt;"Wall","CEK Fixture 2 hanya Wall",IF(R86="","CEK SHELVING KE kosong",IF(ISNA(MATCH(Q86&amp;"|"&amp;R86,LAYOUT!$E$2:$E$80,0)),"CEK SHELVING KE di luar layout",IF($I86="","CEK SERIES kosong",IF(AND(S86&lt;&gt;"",NOT(ISNUMBER(S86))),"CEK URUTAN DISPLAY harus angka",IF($D86="","Zona STOCK",IF($E86="","CEK SKU DESCRIPTION kosong",IF(COUNTIFS($I$2:$I$500,$I86,Q$2:Q$500,"&lt;&gt;"&amp;Q86,Q$2:Q$500,"&lt;&gt;")&gt;0,"CEK jenis fixture beda dalam satu series","OK"))))))))))</f>
        <v/>
      </c>
      <c r="V86" s="11" t="n"/>
      <c r="W86" s="11" t="n"/>
      <c r="X86" s="11" t="n"/>
      <c r="Y86" s="11">
        <f>IF(OR(V86="",W86=""),"",IFERROR(INDEX(LAYOUT!$D$2:$D$80,MATCH(V86&amp;"|"&amp;W86,LAYOUT!$E$2:$E$80,0)),""))</f>
        <v/>
      </c>
      <c r="Z86" s="12">
        <f>IF(AND(V86="",W86=""),IF(AND(L86="",M86="",Q86="",R86=""),IF(OR($D86&lt;&gt;"",$E86&lt;&gt;""),"Belum ditempatkan",""),""),IF(V86="","CEK JENIS FIXTURE kosong",IF(LEFT(V86,4)&lt;&gt;"Wall","CEK Fixture 3 hanya Wall",IF(W86="","CEK SHELVING KE kosong",IF(ISNA(MATCH(V86&amp;"|"&amp;W86,LAYOUT!$E$2:$E$80,0)),"CEK SHELVING KE di luar layout",IF($I86="","CEK SERIES kosong",IF(AND(X86&lt;&gt;"",NOT(ISNUMBER(X86))),"CEK URUTAN DISPLAY harus angka",IF($D86="","Zona STOCK",IF($E86="","CEK SKU DESCRIPTION kosong",IF(COUNTIFS($I$2:$I$500,$I86,V$2:V$500,"&lt;&gt;"&amp;V86,V$2:V$500,"&lt;&gt;")&gt;0,"CEK jenis fixture beda dalam satu series","OK"))))))))))</f>
        <v/>
      </c>
      <c r="AA86" s="12" t="n"/>
      <c r="AB86" s="11" t="n"/>
      <c r="AC86" s="11" t="n"/>
      <c r="AD86" s="11" t="n"/>
      <c r="AE86" s="11" t="n"/>
      <c r="AF86" s="11" t="n"/>
      <c r="AG86" s="11" t="n"/>
      <c r="AH86" s="12" t="n"/>
      <c r="AI86" s="12" t="n"/>
    </row>
    <row r="87">
      <c r="A87" s="10" t="n"/>
      <c r="B87" s="10" t="n"/>
      <c r="C87" s="10" t="n"/>
      <c r="D87" s="10" t="n"/>
      <c r="E87" s="10" t="n"/>
      <c r="F87" s="10" t="n"/>
      <c r="G87" s="10" t="n"/>
      <c r="H87" s="10" t="n"/>
      <c r="I87" s="10" t="n"/>
      <c r="J87" s="10" t="n"/>
      <c r="K87" s="10" t="n"/>
      <c r="L87" s="11" t="n"/>
      <c r="M87" s="11" t="n"/>
      <c r="N87" s="11" t="n"/>
      <c r="O87" s="11">
        <f>IF(OR(L87="",M87=""),"",IFERROR(INDEX(LAYOUT!$D$2:$D$80,MATCH(L87&amp;"|"&amp;M87,LAYOUT!$E$2:$E$80,0)),""))</f>
        <v/>
      </c>
      <c r="P87" s="12">
        <f>IF(AND(L87="",M87=""),IF(AND(Q87="",R87="",V87="",W87=""),IF(OR($D87&lt;&gt;"",$E87&lt;&gt;""),"Belum ditempatkan",""),""),IF(L87="","CEK JENIS FIXTURE kosong",IF(AND(LEFT(L87,7)&lt;&gt;"Gondola",LEFT(L87,6)&lt;&gt;"Endcap"),"CEK Fixture 1 hanya Gondola atau Endcap",IF(M87="","CEK SHELVING KE kosong",IF(ISNA(MATCH(L87&amp;"|"&amp;M87,LAYOUT!$E$2:$E$80,0)),"CEK SHELVING KE di luar layout",IF($I87="","CEK SERIES kosong",IF(AND(N87&lt;&gt;"",NOT(ISNUMBER(N87))),"CEK URUTAN DISPLAY harus angka",IF($D87="","Zona STOCK",IF($E87="","CEK SKU DESCRIPTION kosong",IF(COUNTIFS($I$2:$I$500,$I87,L$2:L$500,"&lt;&gt;"&amp;L87,L$2:L$500,"&lt;&gt;")&gt;0,"CEK jenis fixture beda dalam satu series","OK"))))))))))</f>
        <v/>
      </c>
      <c r="Q87" s="11" t="n"/>
      <c r="R87" s="11" t="n"/>
      <c r="S87" s="11" t="n"/>
      <c r="T87" s="11">
        <f>IF(OR(Q87="",R87=""),"",IFERROR(INDEX(LAYOUT!$D$2:$D$80,MATCH(Q87&amp;"|"&amp;R87,LAYOUT!$E$2:$E$80,0)),""))</f>
        <v/>
      </c>
      <c r="U87" s="12">
        <f>IF(AND(Q87="",R87=""),IF(AND(L87="",M87="",V87="",W87=""),IF(OR($D87&lt;&gt;"",$E87&lt;&gt;""),"Belum ditempatkan",""),""),IF(Q87="","CEK JENIS FIXTURE kosong",IF(LEFT(Q87,4)&lt;&gt;"Wall","CEK Fixture 2 hanya Wall",IF(R87="","CEK SHELVING KE kosong",IF(ISNA(MATCH(Q87&amp;"|"&amp;R87,LAYOUT!$E$2:$E$80,0)),"CEK SHELVING KE di luar layout",IF($I87="","CEK SERIES kosong",IF(AND(S87&lt;&gt;"",NOT(ISNUMBER(S87))),"CEK URUTAN DISPLAY harus angka",IF($D87="","Zona STOCK",IF($E87="","CEK SKU DESCRIPTION kosong",IF(COUNTIFS($I$2:$I$500,$I87,Q$2:Q$500,"&lt;&gt;"&amp;Q87,Q$2:Q$500,"&lt;&gt;")&gt;0,"CEK jenis fixture beda dalam satu series","OK"))))))))))</f>
        <v/>
      </c>
      <c r="V87" s="11" t="n"/>
      <c r="W87" s="11" t="n"/>
      <c r="X87" s="11" t="n"/>
      <c r="Y87" s="11">
        <f>IF(OR(V87="",W87=""),"",IFERROR(INDEX(LAYOUT!$D$2:$D$80,MATCH(V87&amp;"|"&amp;W87,LAYOUT!$E$2:$E$80,0)),""))</f>
        <v/>
      </c>
      <c r="Z87" s="12">
        <f>IF(AND(V87="",W87=""),IF(AND(L87="",M87="",Q87="",R87=""),IF(OR($D87&lt;&gt;"",$E87&lt;&gt;""),"Belum ditempatkan",""),""),IF(V87="","CEK JENIS FIXTURE kosong",IF(LEFT(V87,4)&lt;&gt;"Wall","CEK Fixture 3 hanya Wall",IF(W87="","CEK SHELVING KE kosong",IF(ISNA(MATCH(V87&amp;"|"&amp;W87,LAYOUT!$E$2:$E$80,0)),"CEK SHELVING KE di luar layout",IF($I87="","CEK SERIES kosong",IF(AND(X87&lt;&gt;"",NOT(ISNUMBER(X87))),"CEK URUTAN DISPLAY harus angka",IF($D87="","Zona STOCK",IF($E87="","CEK SKU DESCRIPTION kosong",IF(COUNTIFS($I$2:$I$500,$I87,V$2:V$500,"&lt;&gt;"&amp;V87,V$2:V$500,"&lt;&gt;")&gt;0,"CEK jenis fixture beda dalam satu series","OK"))))))))))</f>
        <v/>
      </c>
      <c r="AA87" s="12" t="n"/>
      <c r="AB87" s="11" t="n"/>
      <c r="AC87" s="11" t="n"/>
      <c r="AD87" s="11" t="n"/>
      <c r="AE87" s="11" t="n"/>
      <c r="AF87" s="11" t="n"/>
      <c r="AG87" s="11" t="n"/>
      <c r="AH87" s="12" t="n"/>
      <c r="AI87" s="12" t="n"/>
    </row>
    <row r="88">
      <c r="A88" s="10" t="n"/>
      <c r="B88" s="10" t="n"/>
      <c r="C88" s="10" t="n"/>
      <c r="D88" s="10" t="n"/>
      <c r="E88" s="10" t="n"/>
      <c r="F88" s="10" t="n"/>
      <c r="G88" s="10" t="n"/>
      <c r="H88" s="10" t="n"/>
      <c r="I88" s="10" t="n"/>
      <c r="J88" s="10" t="n"/>
      <c r="K88" s="10" t="n"/>
      <c r="L88" s="11" t="n"/>
      <c r="M88" s="11" t="n"/>
      <c r="N88" s="11" t="n"/>
      <c r="O88" s="11">
        <f>IF(OR(L88="",M88=""),"",IFERROR(INDEX(LAYOUT!$D$2:$D$80,MATCH(L88&amp;"|"&amp;M88,LAYOUT!$E$2:$E$80,0)),""))</f>
        <v/>
      </c>
      <c r="P88" s="12">
        <f>IF(AND(L88="",M88=""),IF(AND(Q88="",R88="",V88="",W88=""),IF(OR($D88&lt;&gt;"",$E88&lt;&gt;""),"Belum ditempatkan",""),""),IF(L88="","CEK JENIS FIXTURE kosong",IF(AND(LEFT(L88,7)&lt;&gt;"Gondola",LEFT(L88,6)&lt;&gt;"Endcap"),"CEK Fixture 1 hanya Gondola atau Endcap",IF(M88="","CEK SHELVING KE kosong",IF(ISNA(MATCH(L88&amp;"|"&amp;M88,LAYOUT!$E$2:$E$80,0)),"CEK SHELVING KE di luar layout",IF($I88="","CEK SERIES kosong",IF(AND(N88&lt;&gt;"",NOT(ISNUMBER(N88))),"CEK URUTAN DISPLAY harus angka",IF($D88="","Zona STOCK",IF($E88="","CEK SKU DESCRIPTION kosong",IF(COUNTIFS($I$2:$I$500,$I88,L$2:L$500,"&lt;&gt;"&amp;L88,L$2:L$500,"&lt;&gt;")&gt;0,"CEK jenis fixture beda dalam satu series","OK"))))))))))</f>
        <v/>
      </c>
      <c r="Q88" s="11" t="n"/>
      <c r="R88" s="11" t="n"/>
      <c r="S88" s="11" t="n"/>
      <c r="T88" s="11">
        <f>IF(OR(Q88="",R88=""),"",IFERROR(INDEX(LAYOUT!$D$2:$D$80,MATCH(Q88&amp;"|"&amp;R88,LAYOUT!$E$2:$E$80,0)),""))</f>
        <v/>
      </c>
      <c r="U88" s="12">
        <f>IF(AND(Q88="",R88=""),IF(AND(L88="",M88="",V88="",W88=""),IF(OR($D88&lt;&gt;"",$E88&lt;&gt;""),"Belum ditempatkan",""),""),IF(Q88="","CEK JENIS FIXTURE kosong",IF(LEFT(Q88,4)&lt;&gt;"Wall","CEK Fixture 2 hanya Wall",IF(R88="","CEK SHELVING KE kosong",IF(ISNA(MATCH(Q88&amp;"|"&amp;R88,LAYOUT!$E$2:$E$80,0)),"CEK SHELVING KE di luar layout",IF($I88="","CEK SERIES kosong",IF(AND(S88&lt;&gt;"",NOT(ISNUMBER(S88))),"CEK URUTAN DISPLAY harus angka",IF($D88="","Zona STOCK",IF($E88="","CEK SKU DESCRIPTION kosong",IF(COUNTIFS($I$2:$I$500,$I88,Q$2:Q$500,"&lt;&gt;"&amp;Q88,Q$2:Q$500,"&lt;&gt;")&gt;0,"CEK jenis fixture beda dalam satu series","OK"))))))))))</f>
        <v/>
      </c>
      <c r="V88" s="11" t="n"/>
      <c r="W88" s="11" t="n"/>
      <c r="X88" s="11" t="n"/>
      <c r="Y88" s="11">
        <f>IF(OR(V88="",W88=""),"",IFERROR(INDEX(LAYOUT!$D$2:$D$80,MATCH(V88&amp;"|"&amp;W88,LAYOUT!$E$2:$E$80,0)),""))</f>
        <v/>
      </c>
      <c r="Z88" s="12">
        <f>IF(AND(V88="",W88=""),IF(AND(L88="",M88="",Q88="",R88=""),IF(OR($D88&lt;&gt;"",$E88&lt;&gt;""),"Belum ditempatkan",""),""),IF(V88="","CEK JENIS FIXTURE kosong",IF(LEFT(V88,4)&lt;&gt;"Wall","CEK Fixture 3 hanya Wall",IF(W88="","CEK SHELVING KE kosong",IF(ISNA(MATCH(V88&amp;"|"&amp;W88,LAYOUT!$E$2:$E$80,0)),"CEK SHELVING KE di luar layout",IF($I88="","CEK SERIES kosong",IF(AND(X88&lt;&gt;"",NOT(ISNUMBER(X88))),"CEK URUTAN DISPLAY harus angka",IF($D88="","Zona STOCK",IF($E88="","CEK SKU DESCRIPTION kosong",IF(COUNTIFS($I$2:$I$500,$I88,V$2:V$500,"&lt;&gt;"&amp;V88,V$2:V$500,"&lt;&gt;")&gt;0,"CEK jenis fixture beda dalam satu series","OK"))))))))))</f>
        <v/>
      </c>
      <c r="AA88" s="12" t="n"/>
      <c r="AB88" s="11" t="n"/>
      <c r="AC88" s="11" t="n"/>
      <c r="AD88" s="11" t="n"/>
      <c r="AE88" s="11" t="n"/>
      <c r="AF88" s="11" t="n"/>
      <c r="AG88" s="11" t="n"/>
      <c r="AH88" s="12" t="n"/>
      <c r="AI88" s="12" t="n"/>
    </row>
    <row r="89">
      <c r="A89" s="10" t="n"/>
      <c r="B89" s="10" t="n"/>
      <c r="C89" s="10" t="n"/>
      <c r="D89" s="10" t="n"/>
      <c r="E89" s="10" t="n"/>
      <c r="F89" s="10" t="n"/>
      <c r="G89" s="10" t="n"/>
      <c r="H89" s="10" t="n"/>
      <c r="I89" s="10" t="n"/>
      <c r="J89" s="10" t="n"/>
      <c r="K89" s="10" t="n"/>
      <c r="L89" s="11" t="n"/>
      <c r="M89" s="11" t="n"/>
      <c r="N89" s="11" t="n"/>
      <c r="O89" s="11">
        <f>IF(OR(L89="",M89=""),"",IFERROR(INDEX(LAYOUT!$D$2:$D$80,MATCH(L89&amp;"|"&amp;M89,LAYOUT!$E$2:$E$80,0)),""))</f>
        <v/>
      </c>
      <c r="P89" s="12">
        <f>IF(AND(L89="",M89=""),IF(AND(Q89="",R89="",V89="",W89=""),IF(OR($D89&lt;&gt;"",$E89&lt;&gt;""),"Belum ditempatkan",""),""),IF(L89="","CEK JENIS FIXTURE kosong",IF(AND(LEFT(L89,7)&lt;&gt;"Gondola",LEFT(L89,6)&lt;&gt;"Endcap"),"CEK Fixture 1 hanya Gondola atau Endcap",IF(M89="","CEK SHELVING KE kosong",IF(ISNA(MATCH(L89&amp;"|"&amp;M89,LAYOUT!$E$2:$E$80,0)),"CEK SHELVING KE di luar layout",IF($I89="","CEK SERIES kosong",IF(AND(N89&lt;&gt;"",NOT(ISNUMBER(N89))),"CEK URUTAN DISPLAY harus angka",IF($D89="","Zona STOCK",IF($E89="","CEK SKU DESCRIPTION kosong",IF(COUNTIFS($I$2:$I$500,$I89,L$2:L$500,"&lt;&gt;"&amp;L89,L$2:L$500,"&lt;&gt;")&gt;0,"CEK jenis fixture beda dalam satu series","OK"))))))))))</f>
        <v/>
      </c>
      <c r="Q89" s="11" t="n"/>
      <c r="R89" s="11" t="n"/>
      <c r="S89" s="11" t="n"/>
      <c r="T89" s="11">
        <f>IF(OR(Q89="",R89=""),"",IFERROR(INDEX(LAYOUT!$D$2:$D$80,MATCH(Q89&amp;"|"&amp;R89,LAYOUT!$E$2:$E$80,0)),""))</f>
        <v/>
      </c>
      <c r="U89" s="12">
        <f>IF(AND(Q89="",R89=""),IF(AND(L89="",M89="",V89="",W89=""),IF(OR($D89&lt;&gt;"",$E89&lt;&gt;""),"Belum ditempatkan",""),""),IF(Q89="","CEK JENIS FIXTURE kosong",IF(LEFT(Q89,4)&lt;&gt;"Wall","CEK Fixture 2 hanya Wall",IF(R89="","CEK SHELVING KE kosong",IF(ISNA(MATCH(Q89&amp;"|"&amp;R89,LAYOUT!$E$2:$E$80,0)),"CEK SHELVING KE di luar layout",IF($I89="","CEK SERIES kosong",IF(AND(S89&lt;&gt;"",NOT(ISNUMBER(S89))),"CEK URUTAN DISPLAY harus angka",IF($D89="","Zona STOCK",IF($E89="","CEK SKU DESCRIPTION kosong",IF(COUNTIFS($I$2:$I$500,$I89,Q$2:Q$500,"&lt;&gt;"&amp;Q89,Q$2:Q$500,"&lt;&gt;")&gt;0,"CEK jenis fixture beda dalam satu series","OK"))))))))))</f>
        <v/>
      </c>
      <c r="V89" s="11" t="n"/>
      <c r="W89" s="11" t="n"/>
      <c r="X89" s="11" t="n"/>
      <c r="Y89" s="11">
        <f>IF(OR(V89="",W89=""),"",IFERROR(INDEX(LAYOUT!$D$2:$D$80,MATCH(V89&amp;"|"&amp;W89,LAYOUT!$E$2:$E$80,0)),""))</f>
        <v/>
      </c>
      <c r="Z89" s="12">
        <f>IF(AND(V89="",W89=""),IF(AND(L89="",M89="",Q89="",R89=""),IF(OR($D89&lt;&gt;"",$E89&lt;&gt;""),"Belum ditempatkan",""),""),IF(V89="","CEK JENIS FIXTURE kosong",IF(LEFT(V89,4)&lt;&gt;"Wall","CEK Fixture 3 hanya Wall",IF(W89="","CEK SHELVING KE kosong",IF(ISNA(MATCH(V89&amp;"|"&amp;W89,LAYOUT!$E$2:$E$80,0)),"CEK SHELVING KE di luar layout",IF($I89="","CEK SERIES kosong",IF(AND(X89&lt;&gt;"",NOT(ISNUMBER(X89))),"CEK URUTAN DISPLAY harus angka",IF($D89="","Zona STOCK",IF($E89="","CEK SKU DESCRIPTION kosong",IF(COUNTIFS($I$2:$I$500,$I89,V$2:V$500,"&lt;&gt;"&amp;V89,V$2:V$500,"&lt;&gt;")&gt;0,"CEK jenis fixture beda dalam satu series","OK"))))))))))</f>
        <v/>
      </c>
      <c r="AA89" s="12" t="n"/>
      <c r="AB89" s="11" t="n"/>
      <c r="AC89" s="11" t="n"/>
      <c r="AD89" s="11" t="n"/>
      <c r="AE89" s="11" t="n"/>
      <c r="AF89" s="11" t="n"/>
      <c r="AG89" s="11" t="n"/>
      <c r="AH89" s="12" t="n"/>
      <c r="AI89" s="12" t="n"/>
    </row>
    <row r="90">
      <c r="A90" s="10" t="n"/>
      <c r="B90" s="10" t="n"/>
      <c r="C90" s="10" t="n"/>
      <c r="D90" s="10" t="n"/>
      <c r="E90" s="10" t="n"/>
      <c r="F90" s="10" t="n"/>
      <c r="G90" s="10" t="n"/>
      <c r="H90" s="10" t="n"/>
      <c r="I90" s="10" t="n"/>
      <c r="J90" s="10" t="n"/>
      <c r="K90" s="10" t="n"/>
      <c r="L90" s="11" t="n"/>
      <c r="M90" s="11" t="n"/>
      <c r="N90" s="11" t="n"/>
      <c r="O90" s="11">
        <f>IF(OR(L90="",M90=""),"",IFERROR(INDEX(LAYOUT!$D$2:$D$80,MATCH(L90&amp;"|"&amp;M90,LAYOUT!$E$2:$E$80,0)),""))</f>
        <v/>
      </c>
      <c r="P90" s="12">
        <f>IF(AND(L90="",M90=""),IF(AND(Q90="",R90="",V90="",W90=""),IF(OR($D90&lt;&gt;"",$E90&lt;&gt;""),"Belum ditempatkan",""),""),IF(L90="","CEK JENIS FIXTURE kosong",IF(AND(LEFT(L90,7)&lt;&gt;"Gondola",LEFT(L90,6)&lt;&gt;"Endcap"),"CEK Fixture 1 hanya Gondola atau Endcap",IF(M90="","CEK SHELVING KE kosong",IF(ISNA(MATCH(L90&amp;"|"&amp;M90,LAYOUT!$E$2:$E$80,0)),"CEK SHELVING KE di luar layout",IF($I90="","CEK SERIES kosong",IF(AND(N90&lt;&gt;"",NOT(ISNUMBER(N90))),"CEK URUTAN DISPLAY harus angka",IF($D90="","Zona STOCK",IF($E90="","CEK SKU DESCRIPTION kosong",IF(COUNTIFS($I$2:$I$500,$I90,L$2:L$500,"&lt;&gt;"&amp;L90,L$2:L$500,"&lt;&gt;")&gt;0,"CEK jenis fixture beda dalam satu series","OK"))))))))))</f>
        <v/>
      </c>
      <c r="Q90" s="11" t="n"/>
      <c r="R90" s="11" t="n"/>
      <c r="S90" s="11" t="n"/>
      <c r="T90" s="11">
        <f>IF(OR(Q90="",R90=""),"",IFERROR(INDEX(LAYOUT!$D$2:$D$80,MATCH(Q90&amp;"|"&amp;R90,LAYOUT!$E$2:$E$80,0)),""))</f>
        <v/>
      </c>
      <c r="U90" s="12">
        <f>IF(AND(Q90="",R90=""),IF(AND(L90="",M90="",V90="",W90=""),IF(OR($D90&lt;&gt;"",$E90&lt;&gt;""),"Belum ditempatkan",""),""),IF(Q90="","CEK JENIS FIXTURE kosong",IF(LEFT(Q90,4)&lt;&gt;"Wall","CEK Fixture 2 hanya Wall",IF(R90="","CEK SHELVING KE kosong",IF(ISNA(MATCH(Q90&amp;"|"&amp;R90,LAYOUT!$E$2:$E$80,0)),"CEK SHELVING KE di luar layout",IF($I90="","CEK SERIES kosong",IF(AND(S90&lt;&gt;"",NOT(ISNUMBER(S90))),"CEK URUTAN DISPLAY harus angka",IF($D90="","Zona STOCK",IF($E90="","CEK SKU DESCRIPTION kosong",IF(COUNTIFS($I$2:$I$500,$I90,Q$2:Q$500,"&lt;&gt;"&amp;Q90,Q$2:Q$500,"&lt;&gt;")&gt;0,"CEK jenis fixture beda dalam satu series","OK"))))))))))</f>
        <v/>
      </c>
      <c r="V90" s="11" t="n"/>
      <c r="W90" s="11" t="n"/>
      <c r="X90" s="11" t="n"/>
      <c r="Y90" s="11">
        <f>IF(OR(V90="",W90=""),"",IFERROR(INDEX(LAYOUT!$D$2:$D$80,MATCH(V90&amp;"|"&amp;W90,LAYOUT!$E$2:$E$80,0)),""))</f>
        <v/>
      </c>
      <c r="Z90" s="12">
        <f>IF(AND(V90="",W90=""),IF(AND(L90="",M90="",Q90="",R90=""),IF(OR($D90&lt;&gt;"",$E90&lt;&gt;""),"Belum ditempatkan",""),""),IF(V90="","CEK JENIS FIXTURE kosong",IF(LEFT(V90,4)&lt;&gt;"Wall","CEK Fixture 3 hanya Wall",IF(W90="","CEK SHELVING KE kosong",IF(ISNA(MATCH(V90&amp;"|"&amp;W90,LAYOUT!$E$2:$E$80,0)),"CEK SHELVING KE di luar layout",IF($I90="","CEK SERIES kosong",IF(AND(X90&lt;&gt;"",NOT(ISNUMBER(X90))),"CEK URUTAN DISPLAY harus angka",IF($D90="","Zona STOCK",IF($E90="","CEK SKU DESCRIPTION kosong",IF(COUNTIFS($I$2:$I$500,$I90,V$2:V$500,"&lt;&gt;"&amp;V90,V$2:V$500,"&lt;&gt;")&gt;0,"CEK jenis fixture beda dalam satu series","OK"))))))))))</f>
        <v/>
      </c>
      <c r="AA90" s="12" t="n"/>
      <c r="AB90" s="11" t="n"/>
      <c r="AC90" s="11" t="n"/>
      <c r="AD90" s="11" t="n"/>
      <c r="AE90" s="11" t="n"/>
      <c r="AF90" s="11" t="n"/>
      <c r="AG90" s="11" t="n"/>
      <c r="AH90" s="12" t="n"/>
      <c r="AI90" s="12" t="n"/>
    </row>
    <row r="91">
      <c r="A91" s="10" t="n"/>
      <c r="B91" s="10" t="n"/>
      <c r="C91" s="10" t="n"/>
      <c r="D91" s="10" t="n"/>
      <c r="E91" s="10" t="n"/>
      <c r="F91" s="10" t="n"/>
      <c r="G91" s="10" t="n"/>
      <c r="H91" s="10" t="n"/>
      <c r="I91" s="10" t="n"/>
      <c r="J91" s="10" t="n"/>
      <c r="K91" s="10" t="n"/>
      <c r="L91" s="11" t="n"/>
      <c r="M91" s="11" t="n"/>
      <c r="N91" s="11" t="n"/>
      <c r="O91" s="11">
        <f>IF(OR(L91="",M91=""),"",IFERROR(INDEX(LAYOUT!$D$2:$D$80,MATCH(L91&amp;"|"&amp;M91,LAYOUT!$E$2:$E$80,0)),""))</f>
        <v/>
      </c>
      <c r="P91" s="12">
        <f>IF(AND(L91="",M91=""),IF(AND(Q91="",R91="",V91="",W91=""),IF(OR($D91&lt;&gt;"",$E91&lt;&gt;""),"Belum ditempatkan",""),""),IF(L91="","CEK JENIS FIXTURE kosong",IF(AND(LEFT(L91,7)&lt;&gt;"Gondola",LEFT(L91,6)&lt;&gt;"Endcap"),"CEK Fixture 1 hanya Gondola atau Endcap",IF(M91="","CEK SHELVING KE kosong",IF(ISNA(MATCH(L91&amp;"|"&amp;M91,LAYOUT!$E$2:$E$80,0)),"CEK SHELVING KE di luar layout",IF($I91="","CEK SERIES kosong",IF(AND(N91&lt;&gt;"",NOT(ISNUMBER(N91))),"CEK URUTAN DISPLAY harus angka",IF($D91="","Zona STOCK",IF($E91="","CEK SKU DESCRIPTION kosong",IF(COUNTIFS($I$2:$I$500,$I91,L$2:L$500,"&lt;&gt;"&amp;L91,L$2:L$500,"&lt;&gt;")&gt;0,"CEK jenis fixture beda dalam satu series","OK"))))))))))</f>
        <v/>
      </c>
      <c r="Q91" s="11" t="n"/>
      <c r="R91" s="11" t="n"/>
      <c r="S91" s="11" t="n"/>
      <c r="T91" s="11">
        <f>IF(OR(Q91="",R91=""),"",IFERROR(INDEX(LAYOUT!$D$2:$D$80,MATCH(Q91&amp;"|"&amp;R91,LAYOUT!$E$2:$E$80,0)),""))</f>
        <v/>
      </c>
      <c r="U91" s="12">
        <f>IF(AND(Q91="",R91=""),IF(AND(L91="",M91="",V91="",W91=""),IF(OR($D91&lt;&gt;"",$E91&lt;&gt;""),"Belum ditempatkan",""),""),IF(Q91="","CEK JENIS FIXTURE kosong",IF(LEFT(Q91,4)&lt;&gt;"Wall","CEK Fixture 2 hanya Wall",IF(R91="","CEK SHELVING KE kosong",IF(ISNA(MATCH(Q91&amp;"|"&amp;R91,LAYOUT!$E$2:$E$80,0)),"CEK SHELVING KE di luar layout",IF($I91="","CEK SERIES kosong",IF(AND(S91&lt;&gt;"",NOT(ISNUMBER(S91))),"CEK URUTAN DISPLAY harus angka",IF($D91="","Zona STOCK",IF($E91="","CEK SKU DESCRIPTION kosong",IF(COUNTIFS($I$2:$I$500,$I91,Q$2:Q$500,"&lt;&gt;"&amp;Q91,Q$2:Q$500,"&lt;&gt;")&gt;0,"CEK jenis fixture beda dalam satu series","OK"))))))))))</f>
        <v/>
      </c>
      <c r="V91" s="11" t="n"/>
      <c r="W91" s="11" t="n"/>
      <c r="X91" s="11" t="n"/>
      <c r="Y91" s="11">
        <f>IF(OR(V91="",W91=""),"",IFERROR(INDEX(LAYOUT!$D$2:$D$80,MATCH(V91&amp;"|"&amp;W91,LAYOUT!$E$2:$E$80,0)),""))</f>
        <v/>
      </c>
      <c r="Z91" s="12">
        <f>IF(AND(V91="",W91=""),IF(AND(L91="",M91="",Q91="",R91=""),IF(OR($D91&lt;&gt;"",$E91&lt;&gt;""),"Belum ditempatkan",""),""),IF(V91="","CEK JENIS FIXTURE kosong",IF(LEFT(V91,4)&lt;&gt;"Wall","CEK Fixture 3 hanya Wall",IF(W91="","CEK SHELVING KE kosong",IF(ISNA(MATCH(V91&amp;"|"&amp;W91,LAYOUT!$E$2:$E$80,0)),"CEK SHELVING KE di luar layout",IF($I91="","CEK SERIES kosong",IF(AND(X91&lt;&gt;"",NOT(ISNUMBER(X91))),"CEK URUTAN DISPLAY harus angka",IF($D91="","Zona STOCK",IF($E91="","CEK SKU DESCRIPTION kosong",IF(COUNTIFS($I$2:$I$500,$I91,V$2:V$500,"&lt;&gt;"&amp;V91,V$2:V$500,"&lt;&gt;")&gt;0,"CEK jenis fixture beda dalam satu series","OK"))))))))))</f>
        <v/>
      </c>
      <c r="AA91" s="12" t="n"/>
      <c r="AB91" s="11" t="n"/>
      <c r="AC91" s="11" t="n"/>
      <c r="AD91" s="11" t="n"/>
      <c r="AE91" s="11" t="n"/>
      <c r="AF91" s="11" t="n"/>
      <c r="AG91" s="11" t="n"/>
      <c r="AH91" s="12" t="n"/>
      <c r="AI91" s="12" t="n"/>
    </row>
    <row r="92">
      <c r="A92" s="10" t="n"/>
      <c r="B92" s="10" t="n"/>
      <c r="C92" s="10" t="n"/>
      <c r="D92" s="10" t="n"/>
      <c r="E92" s="10" t="n"/>
      <c r="F92" s="10" t="n"/>
      <c r="G92" s="10" t="n"/>
      <c r="H92" s="10" t="n"/>
      <c r="I92" s="10" t="n"/>
      <c r="J92" s="10" t="n"/>
      <c r="K92" s="10" t="n"/>
      <c r="L92" s="11" t="n"/>
      <c r="M92" s="11" t="n"/>
      <c r="N92" s="11" t="n"/>
      <c r="O92" s="11">
        <f>IF(OR(L92="",M92=""),"",IFERROR(INDEX(LAYOUT!$D$2:$D$80,MATCH(L92&amp;"|"&amp;M92,LAYOUT!$E$2:$E$80,0)),""))</f>
        <v/>
      </c>
      <c r="P92" s="12">
        <f>IF(AND(L92="",M92=""),IF(AND(Q92="",R92="",V92="",W92=""),IF(OR($D92&lt;&gt;"",$E92&lt;&gt;""),"Belum ditempatkan",""),""),IF(L92="","CEK JENIS FIXTURE kosong",IF(AND(LEFT(L92,7)&lt;&gt;"Gondola",LEFT(L92,6)&lt;&gt;"Endcap"),"CEK Fixture 1 hanya Gondola atau Endcap",IF(M92="","CEK SHELVING KE kosong",IF(ISNA(MATCH(L92&amp;"|"&amp;M92,LAYOUT!$E$2:$E$80,0)),"CEK SHELVING KE di luar layout",IF($I92="","CEK SERIES kosong",IF(AND(N92&lt;&gt;"",NOT(ISNUMBER(N92))),"CEK URUTAN DISPLAY harus angka",IF($D92="","Zona STOCK",IF($E92="","CEK SKU DESCRIPTION kosong",IF(COUNTIFS($I$2:$I$500,$I92,L$2:L$500,"&lt;&gt;"&amp;L92,L$2:L$500,"&lt;&gt;")&gt;0,"CEK jenis fixture beda dalam satu series","OK"))))))))))</f>
        <v/>
      </c>
      <c r="Q92" s="11" t="n"/>
      <c r="R92" s="11" t="n"/>
      <c r="S92" s="11" t="n"/>
      <c r="T92" s="11">
        <f>IF(OR(Q92="",R92=""),"",IFERROR(INDEX(LAYOUT!$D$2:$D$80,MATCH(Q92&amp;"|"&amp;R92,LAYOUT!$E$2:$E$80,0)),""))</f>
        <v/>
      </c>
      <c r="U92" s="12">
        <f>IF(AND(Q92="",R92=""),IF(AND(L92="",M92="",V92="",W92=""),IF(OR($D92&lt;&gt;"",$E92&lt;&gt;""),"Belum ditempatkan",""),""),IF(Q92="","CEK JENIS FIXTURE kosong",IF(LEFT(Q92,4)&lt;&gt;"Wall","CEK Fixture 2 hanya Wall",IF(R92="","CEK SHELVING KE kosong",IF(ISNA(MATCH(Q92&amp;"|"&amp;R92,LAYOUT!$E$2:$E$80,0)),"CEK SHELVING KE di luar layout",IF($I92="","CEK SERIES kosong",IF(AND(S92&lt;&gt;"",NOT(ISNUMBER(S92))),"CEK URUTAN DISPLAY harus angka",IF($D92="","Zona STOCK",IF($E92="","CEK SKU DESCRIPTION kosong",IF(COUNTIFS($I$2:$I$500,$I92,Q$2:Q$500,"&lt;&gt;"&amp;Q92,Q$2:Q$500,"&lt;&gt;")&gt;0,"CEK jenis fixture beda dalam satu series","OK"))))))))))</f>
        <v/>
      </c>
      <c r="V92" s="11" t="n"/>
      <c r="W92" s="11" t="n"/>
      <c r="X92" s="11" t="n"/>
      <c r="Y92" s="11">
        <f>IF(OR(V92="",W92=""),"",IFERROR(INDEX(LAYOUT!$D$2:$D$80,MATCH(V92&amp;"|"&amp;W92,LAYOUT!$E$2:$E$80,0)),""))</f>
        <v/>
      </c>
      <c r="Z92" s="12">
        <f>IF(AND(V92="",W92=""),IF(AND(L92="",M92="",Q92="",R92=""),IF(OR($D92&lt;&gt;"",$E92&lt;&gt;""),"Belum ditempatkan",""),""),IF(V92="","CEK JENIS FIXTURE kosong",IF(LEFT(V92,4)&lt;&gt;"Wall","CEK Fixture 3 hanya Wall",IF(W92="","CEK SHELVING KE kosong",IF(ISNA(MATCH(V92&amp;"|"&amp;W92,LAYOUT!$E$2:$E$80,0)),"CEK SHELVING KE di luar layout",IF($I92="","CEK SERIES kosong",IF(AND(X92&lt;&gt;"",NOT(ISNUMBER(X92))),"CEK URUTAN DISPLAY harus angka",IF($D92="","Zona STOCK",IF($E92="","CEK SKU DESCRIPTION kosong",IF(COUNTIFS($I$2:$I$500,$I92,V$2:V$500,"&lt;&gt;"&amp;V92,V$2:V$500,"&lt;&gt;")&gt;0,"CEK jenis fixture beda dalam satu series","OK"))))))))))</f>
        <v/>
      </c>
      <c r="AA92" s="12" t="n"/>
      <c r="AB92" s="11" t="n"/>
      <c r="AC92" s="11" t="n"/>
      <c r="AD92" s="11" t="n"/>
      <c r="AE92" s="11" t="n"/>
      <c r="AF92" s="11" t="n"/>
      <c r="AG92" s="11" t="n"/>
      <c r="AH92" s="12" t="n"/>
      <c r="AI92" s="12" t="n"/>
    </row>
    <row r="93">
      <c r="A93" s="10" t="n"/>
      <c r="B93" s="10" t="n"/>
      <c r="C93" s="10" t="n"/>
      <c r="D93" s="10" t="n"/>
      <c r="E93" s="10" t="n"/>
      <c r="F93" s="10" t="n"/>
      <c r="G93" s="10" t="n"/>
      <c r="H93" s="10" t="n"/>
      <c r="I93" s="10" t="n"/>
      <c r="J93" s="10" t="n"/>
      <c r="K93" s="10" t="n"/>
      <c r="L93" s="11" t="n"/>
      <c r="M93" s="11" t="n"/>
      <c r="N93" s="11" t="n"/>
      <c r="O93" s="11">
        <f>IF(OR(L93="",M93=""),"",IFERROR(INDEX(LAYOUT!$D$2:$D$80,MATCH(L93&amp;"|"&amp;M93,LAYOUT!$E$2:$E$80,0)),""))</f>
        <v/>
      </c>
      <c r="P93" s="12">
        <f>IF(AND(L93="",M93=""),IF(AND(Q93="",R93="",V93="",W93=""),IF(OR($D93&lt;&gt;"",$E93&lt;&gt;""),"Belum ditempatkan",""),""),IF(L93="","CEK JENIS FIXTURE kosong",IF(AND(LEFT(L93,7)&lt;&gt;"Gondola",LEFT(L93,6)&lt;&gt;"Endcap"),"CEK Fixture 1 hanya Gondola atau Endcap",IF(M93="","CEK SHELVING KE kosong",IF(ISNA(MATCH(L93&amp;"|"&amp;M93,LAYOUT!$E$2:$E$80,0)),"CEK SHELVING KE di luar layout",IF($I93="","CEK SERIES kosong",IF(AND(N93&lt;&gt;"",NOT(ISNUMBER(N93))),"CEK URUTAN DISPLAY harus angka",IF($D93="","Zona STOCK",IF($E93="","CEK SKU DESCRIPTION kosong",IF(COUNTIFS($I$2:$I$500,$I93,L$2:L$500,"&lt;&gt;"&amp;L93,L$2:L$500,"&lt;&gt;")&gt;0,"CEK jenis fixture beda dalam satu series","OK"))))))))))</f>
        <v/>
      </c>
      <c r="Q93" s="11" t="n"/>
      <c r="R93" s="11" t="n"/>
      <c r="S93" s="11" t="n"/>
      <c r="T93" s="11">
        <f>IF(OR(Q93="",R93=""),"",IFERROR(INDEX(LAYOUT!$D$2:$D$80,MATCH(Q93&amp;"|"&amp;R93,LAYOUT!$E$2:$E$80,0)),""))</f>
        <v/>
      </c>
      <c r="U93" s="12">
        <f>IF(AND(Q93="",R93=""),IF(AND(L93="",M93="",V93="",W93=""),IF(OR($D93&lt;&gt;"",$E93&lt;&gt;""),"Belum ditempatkan",""),""),IF(Q93="","CEK JENIS FIXTURE kosong",IF(LEFT(Q93,4)&lt;&gt;"Wall","CEK Fixture 2 hanya Wall",IF(R93="","CEK SHELVING KE kosong",IF(ISNA(MATCH(Q93&amp;"|"&amp;R93,LAYOUT!$E$2:$E$80,0)),"CEK SHELVING KE di luar layout",IF($I93="","CEK SERIES kosong",IF(AND(S93&lt;&gt;"",NOT(ISNUMBER(S93))),"CEK URUTAN DISPLAY harus angka",IF($D93="","Zona STOCK",IF($E93="","CEK SKU DESCRIPTION kosong",IF(COUNTIFS($I$2:$I$500,$I93,Q$2:Q$500,"&lt;&gt;"&amp;Q93,Q$2:Q$500,"&lt;&gt;")&gt;0,"CEK jenis fixture beda dalam satu series","OK"))))))))))</f>
        <v/>
      </c>
      <c r="V93" s="11" t="n"/>
      <c r="W93" s="11" t="n"/>
      <c r="X93" s="11" t="n"/>
      <c r="Y93" s="11">
        <f>IF(OR(V93="",W93=""),"",IFERROR(INDEX(LAYOUT!$D$2:$D$80,MATCH(V93&amp;"|"&amp;W93,LAYOUT!$E$2:$E$80,0)),""))</f>
        <v/>
      </c>
      <c r="Z93" s="12">
        <f>IF(AND(V93="",W93=""),IF(AND(L93="",M93="",Q93="",R93=""),IF(OR($D93&lt;&gt;"",$E93&lt;&gt;""),"Belum ditempatkan",""),""),IF(V93="","CEK JENIS FIXTURE kosong",IF(LEFT(V93,4)&lt;&gt;"Wall","CEK Fixture 3 hanya Wall",IF(W93="","CEK SHELVING KE kosong",IF(ISNA(MATCH(V93&amp;"|"&amp;W93,LAYOUT!$E$2:$E$80,0)),"CEK SHELVING KE di luar layout",IF($I93="","CEK SERIES kosong",IF(AND(X93&lt;&gt;"",NOT(ISNUMBER(X93))),"CEK URUTAN DISPLAY harus angka",IF($D93="","Zona STOCK",IF($E93="","CEK SKU DESCRIPTION kosong",IF(COUNTIFS($I$2:$I$500,$I93,V$2:V$500,"&lt;&gt;"&amp;V93,V$2:V$500,"&lt;&gt;")&gt;0,"CEK jenis fixture beda dalam satu series","OK"))))))))))</f>
        <v/>
      </c>
      <c r="AA93" s="12" t="n"/>
      <c r="AB93" s="11" t="n"/>
      <c r="AC93" s="11" t="n"/>
      <c r="AD93" s="11" t="n"/>
      <c r="AE93" s="11" t="n"/>
      <c r="AF93" s="11" t="n"/>
      <c r="AG93" s="11" t="n"/>
      <c r="AH93" s="12" t="n"/>
      <c r="AI93" s="12" t="n"/>
    </row>
    <row r="94">
      <c r="A94" s="10" t="n"/>
      <c r="B94" s="10" t="n"/>
      <c r="C94" s="10" t="n"/>
      <c r="D94" s="10" t="n"/>
      <c r="E94" s="10" t="n"/>
      <c r="F94" s="10" t="n"/>
      <c r="G94" s="10" t="n"/>
      <c r="H94" s="10" t="n"/>
      <c r="I94" s="10" t="n"/>
      <c r="J94" s="10" t="n"/>
      <c r="K94" s="10" t="n"/>
      <c r="L94" s="11" t="n"/>
      <c r="M94" s="11" t="n"/>
      <c r="N94" s="11" t="n"/>
      <c r="O94" s="11">
        <f>IF(OR(L94="",M94=""),"",IFERROR(INDEX(LAYOUT!$D$2:$D$80,MATCH(L94&amp;"|"&amp;M94,LAYOUT!$E$2:$E$80,0)),""))</f>
        <v/>
      </c>
      <c r="P94" s="12">
        <f>IF(AND(L94="",M94=""),IF(AND(Q94="",R94="",V94="",W94=""),IF(OR($D94&lt;&gt;"",$E94&lt;&gt;""),"Belum ditempatkan",""),""),IF(L94="","CEK JENIS FIXTURE kosong",IF(AND(LEFT(L94,7)&lt;&gt;"Gondola",LEFT(L94,6)&lt;&gt;"Endcap"),"CEK Fixture 1 hanya Gondola atau Endcap",IF(M94="","CEK SHELVING KE kosong",IF(ISNA(MATCH(L94&amp;"|"&amp;M94,LAYOUT!$E$2:$E$80,0)),"CEK SHELVING KE di luar layout",IF($I94="","CEK SERIES kosong",IF(AND(N94&lt;&gt;"",NOT(ISNUMBER(N94))),"CEK URUTAN DISPLAY harus angka",IF($D94="","Zona STOCK",IF($E94="","CEK SKU DESCRIPTION kosong",IF(COUNTIFS($I$2:$I$500,$I94,L$2:L$500,"&lt;&gt;"&amp;L94,L$2:L$500,"&lt;&gt;")&gt;0,"CEK jenis fixture beda dalam satu series","OK"))))))))))</f>
        <v/>
      </c>
      <c r="Q94" s="11" t="n"/>
      <c r="R94" s="11" t="n"/>
      <c r="S94" s="11" t="n"/>
      <c r="T94" s="11">
        <f>IF(OR(Q94="",R94=""),"",IFERROR(INDEX(LAYOUT!$D$2:$D$80,MATCH(Q94&amp;"|"&amp;R94,LAYOUT!$E$2:$E$80,0)),""))</f>
        <v/>
      </c>
      <c r="U94" s="12">
        <f>IF(AND(Q94="",R94=""),IF(AND(L94="",M94="",V94="",W94=""),IF(OR($D94&lt;&gt;"",$E94&lt;&gt;""),"Belum ditempatkan",""),""),IF(Q94="","CEK JENIS FIXTURE kosong",IF(LEFT(Q94,4)&lt;&gt;"Wall","CEK Fixture 2 hanya Wall",IF(R94="","CEK SHELVING KE kosong",IF(ISNA(MATCH(Q94&amp;"|"&amp;R94,LAYOUT!$E$2:$E$80,0)),"CEK SHELVING KE di luar layout",IF($I94="","CEK SERIES kosong",IF(AND(S94&lt;&gt;"",NOT(ISNUMBER(S94))),"CEK URUTAN DISPLAY harus angka",IF($D94="","Zona STOCK",IF($E94="","CEK SKU DESCRIPTION kosong",IF(COUNTIFS($I$2:$I$500,$I94,Q$2:Q$500,"&lt;&gt;"&amp;Q94,Q$2:Q$500,"&lt;&gt;")&gt;0,"CEK jenis fixture beda dalam satu series","OK"))))))))))</f>
        <v/>
      </c>
      <c r="V94" s="11" t="n"/>
      <c r="W94" s="11" t="n"/>
      <c r="X94" s="11" t="n"/>
      <c r="Y94" s="11">
        <f>IF(OR(V94="",W94=""),"",IFERROR(INDEX(LAYOUT!$D$2:$D$80,MATCH(V94&amp;"|"&amp;W94,LAYOUT!$E$2:$E$80,0)),""))</f>
        <v/>
      </c>
      <c r="Z94" s="12">
        <f>IF(AND(V94="",W94=""),IF(AND(L94="",M94="",Q94="",R94=""),IF(OR($D94&lt;&gt;"",$E94&lt;&gt;""),"Belum ditempatkan",""),""),IF(V94="","CEK JENIS FIXTURE kosong",IF(LEFT(V94,4)&lt;&gt;"Wall","CEK Fixture 3 hanya Wall",IF(W94="","CEK SHELVING KE kosong",IF(ISNA(MATCH(V94&amp;"|"&amp;W94,LAYOUT!$E$2:$E$80,0)),"CEK SHELVING KE di luar layout",IF($I94="","CEK SERIES kosong",IF(AND(X94&lt;&gt;"",NOT(ISNUMBER(X94))),"CEK URUTAN DISPLAY harus angka",IF($D94="","Zona STOCK",IF($E94="","CEK SKU DESCRIPTION kosong",IF(COUNTIFS($I$2:$I$500,$I94,V$2:V$500,"&lt;&gt;"&amp;V94,V$2:V$500,"&lt;&gt;")&gt;0,"CEK jenis fixture beda dalam satu series","OK"))))))))))</f>
        <v/>
      </c>
      <c r="AA94" s="12" t="n"/>
      <c r="AB94" s="11" t="n"/>
      <c r="AC94" s="11" t="n"/>
      <c r="AD94" s="11" t="n"/>
      <c r="AE94" s="11" t="n"/>
      <c r="AF94" s="11" t="n"/>
      <c r="AG94" s="11" t="n"/>
      <c r="AH94" s="12" t="n"/>
      <c r="AI94" s="12" t="n"/>
    </row>
    <row r="95">
      <c r="A95" s="10" t="n"/>
      <c r="B95" s="10" t="n"/>
      <c r="C95" s="10" t="n"/>
      <c r="D95" s="10" t="n"/>
      <c r="E95" s="10" t="n"/>
      <c r="F95" s="10" t="n"/>
      <c r="G95" s="10" t="n"/>
      <c r="H95" s="10" t="n"/>
      <c r="I95" s="10" t="n"/>
      <c r="J95" s="10" t="n"/>
      <c r="K95" s="10" t="n"/>
      <c r="L95" s="11" t="n"/>
      <c r="M95" s="11" t="n"/>
      <c r="N95" s="11" t="n"/>
      <c r="O95" s="11">
        <f>IF(OR(L95="",M95=""),"",IFERROR(INDEX(LAYOUT!$D$2:$D$80,MATCH(L95&amp;"|"&amp;M95,LAYOUT!$E$2:$E$80,0)),""))</f>
        <v/>
      </c>
      <c r="P95" s="12">
        <f>IF(AND(L95="",M95=""),IF(AND(Q95="",R95="",V95="",W95=""),IF(OR($D95&lt;&gt;"",$E95&lt;&gt;""),"Belum ditempatkan",""),""),IF(L95="","CEK JENIS FIXTURE kosong",IF(AND(LEFT(L95,7)&lt;&gt;"Gondola",LEFT(L95,6)&lt;&gt;"Endcap"),"CEK Fixture 1 hanya Gondola atau Endcap",IF(M95="","CEK SHELVING KE kosong",IF(ISNA(MATCH(L95&amp;"|"&amp;M95,LAYOUT!$E$2:$E$80,0)),"CEK SHELVING KE di luar layout",IF($I95="","CEK SERIES kosong",IF(AND(N95&lt;&gt;"",NOT(ISNUMBER(N95))),"CEK URUTAN DISPLAY harus angka",IF($D95="","Zona STOCK",IF($E95="","CEK SKU DESCRIPTION kosong",IF(COUNTIFS($I$2:$I$500,$I95,L$2:L$500,"&lt;&gt;"&amp;L95,L$2:L$500,"&lt;&gt;")&gt;0,"CEK jenis fixture beda dalam satu series","OK"))))))))))</f>
        <v/>
      </c>
      <c r="Q95" s="11" t="n"/>
      <c r="R95" s="11" t="n"/>
      <c r="S95" s="11" t="n"/>
      <c r="T95" s="11">
        <f>IF(OR(Q95="",R95=""),"",IFERROR(INDEX(LAYOUT!$D$2:$D$80,MATCH(Q95&amp;"|"&amp;R95,LAYOUT!$E$2:$E$80,0)),""))</f>
        <v/>
      </c>
      <c r="U95" s="12">
        <f>IF(AND(Q95="",R95=""),IF(AND(L95="",M95="",V95="",W95=""),IF(OR($D95&lt;&gt;"",$E95&lt;&gt;""),"Belum ditempatkan",""),""),IF(Q95="","CEK JENIS FIXTURE kosong",IF(LEFT(Q95,4)&lt;&gt;"Wall","CEK Fixture 2 hanya Wall",IF(R95="","CEK SHELVING KE kosong",IF(ISNA(MATCH(Q95&amp;"|"&amp;R95,LAYOUT!$E$2:$E$80,0)),"CEK SHELVING KE di luar layout",IF($I95="","CEK SERIES kosong",IF(AND(S95&lt;&gt;"",NOT(ISNUMBER(S95))),"CEK URUTAN DISPLAY harus angka",IF($D95="","Zona STOCK",IF($E95="","CEK SKU DESCRIPTION kosong",IF(COUNTIFS($I$2:$I$500,$I95,Q$2:Q$500,"&lt;&gt;"&amp;Q95,Q$2:Q$500,"&lt;&gt;")&gt;0,"CEK jenis fixture beda dalam satu series","OK"))))))))))</f>
        <v/>
      </c>
      <c r="V95" s="11" t="n"/>
      <c r="W95" s="11" t="n"/>
      <c r="X95" s="11" t="n"/>
      <c r="Y95" s="11">
        <f>IF(OR(V95="",W95=""),"",IFERROR(INDEX(LAYOUT!$D$2:$D$80,MATCH(V95&amp;"|"&amp;W95,LAYOUT!$E$2:$E$80,0)),""))</f>
        <v/>
      </c>
      <c r="Z95" s="12">
        <f>IF(AND(V95="",W95=""),IF(AND(L95="",M95="",Q95="",R95=""),IF(OR($D95&lt;&gt;"",$E95&lt;&gt;""),"Belum ditempatkan",""),""),IF(V95="","CEK JENIS FIXTURE kosong",IF(LEFT(V95,4)&lt;&gt;"Wall","CEK Fixture 3 hanya Wall",IF(W95="","CEK SHELVING KE kosong",IF(ISNA(MATCH(V95&amp;"|"&amp;W95,LAYOUT!$E$2:$E$80,0)),"CEK SHELVING KE di luar layout",IF($I95="","CEK SERIES kosong",IF(AND(X95&lt;&gt;"",NOT(ISNUMBER(X95))),"CEK URUTAN DISPLAY harus angka",IF($D95="","Zona STOCK",IF($E95="","CEK SKU DESCRIPTION kosong",IF(COUNTIFS($I$2:$I$500,$I95,V$2:V$500,"&lt;&gt;"&amp;V95,V$2:V$500,"&lt;&gt;")&gt;0,"CEK jenis fixture beda dalam satu series","OK"))))))))))</f>
        <v/>
      </c>
      <c r="AA95" s="12" t="n"/>
      <c r="AB95" s="11" t="n"/>
      <c r="AC95" s="11" t="n"/>
      <c r="AD95" s="11" t="n"/>
      <c r="AE95" s="11" t="n"/>
      <c r="AF95" s="11" t="n"/>
      <c r="AG95" s="11" t="n"/>
      <c r="AH95" s="12" t="n"/>
      <c r="AI95" s="12" t="n"/>
    </row>
    <row r="96">
      <c r="A96" s="10" t="n"/>
      <c r="B96" s="10" t="n"/>
      <c r="C96" s="10" t="n"/>
      <c r="D96" s="10" t="n"/>
      <c r="E96" s="10" t="n"/>
      <c r="F96" s="10" t="n"/>
      <c r="G96" s="10" t="n"/>
      <c r="H96" s="10" t="n"/>
      <c r="I96" s="10" t="n"/>
      <c r="J96" s="10" t="n"/>
      <c r="K96" s="10" t="n"/>
      <c r="L96" s="11" t="n"/>
      <c r="M96" s="11" t="n"/>
      <c r="N96" s="11" t="n"/>
      <c r="O96" s="11">
        <f>IF(OR(L96="",M96=""),"",IFERROR(INDEX(LAYOUT!$D$2:$D$80,MATCH(L96&amp;"|"&amp;M96,LAYOUT!$E$2:$E$80,0)),""))</f>
        <v/>
      </c>
      <c r="P96" s="12">
        <f>IF(AND(L96="",M96=""),IF(AND(Q96="",R96="",V96="",W96=""),IF(OR($D96&lt;&gt;"",$E96&lt;&gt;""),"Belum ditempatkan",""),""),IF(L96="","CEK JENIS FIXTURE kosong",IF(AND(LEFT(L96,7)&lt;&gt;"Gondola",LEFT(L96,6)&lt;&gt;"Endcap"),"CEK Fixture 1 hanya Gondola atau Endcap",IF(M96="","CEK SHELVING KE kosong",IF(ISNA(MATCH(L96&amp;"|"&amp;M96,LAYOUT!$E$2:$E$80,0)),"CEK SHELVING KE di luar layout",IF($I96="","CEK SERIES kosong",IF(AND(N96&lt;&gt;"",NOT(ISNUMBER(N96))),"CEK URUTAN DISPLAY harus angka",IF($D96="","Zona STOCK",IF($E96="","CEK SKU DESCRIPTION kosong",IF(COUNTIFS($I$2:$I$500,$I96,L$2:L$500,"&lt;&gt;"&amp;L96,L$2:L$500,"&lt;&gt;")&gt;0,"CEK jenis fixture beda dalam satu series","OK"))))))))))</f>
        <v/>
      </c>
      <c r="Q96" s="11" t="n"/>
      <c r="R96" s="11" t="n"/>
      <c r="S96" s="11" t="n"/>
      <c r="T96" s="11">
        <f>IF(OR(Q96="",R96=""),"",IFERROR(INDEX(LAYOUT!$D$2:$D$80,MATCH(Q96&amp;"|"&amp;R96,LAYOUT!$E$2:$E$80,0)),""))</f>
        <v/>
      </c>
      <c r="U96" s="12">
        <f>IF(AND(Q96="",R96=""),IF(AND(L96="",M96="",V96="",W96=""),IF(OR($D96&lt;&gt;"",$E96&lt;&gt;""),"Belum ditempatkan",""),""),IF(Q96="","CEK JENIS FIXTURE kosong",IF(LEFT(Q96,4)&lt;&gt;"Wall","CEK Fixture 2 hanya Wall",IF(R96="","CEK SHELVING KE kosong",IF(ISNA(MATCH(Q96&amp;"|"&amp;R96,LAYOUT!$E$2:$E$80,0)),"CEK SHELVING KE di luar layout",IF($I96="","CEK SERIES kosong",IF(AND(S96&lt;&gt;"",NOT(ISNUMBER(S96))),"CEK URUTAN DISPLAY harus angka",IF($D96="","Zona STOCK",IF($E96="","CEK SKU DESCRIPTION kosong",IF(COUNTIFS($I$2:$I$500,$I96,Q$2:Q$500,"&lt;&gt;"&amp;Q96,Q$2:Q$500,"&lt;&gt;")&gt;0,"CEK jenis fixture beda dalam satu series","OK"))))))))))</f>
        <v/>
      </c>
      <c r="V96" s="11" t="n"/>
      <c r="W96" s="11" t="n"/>
      <c r="X96" s="11" t="n"/>
      <c r="Y96" s="11">
        <f>IF(OR(V96="",W96=""),"",IFERROR(INDEX(LAYOUT!$D$2:$D$80,MATCH(V96&amp;"|"&amp;W96,LAYOUT!$E$2:$E$80,0)),""))</f>
        <v/>
      </c>
      <c r="Z96" s="12">
        <f>IF(AND(V96="",W96=""),IF(AND(L96="",M96="",Q96="",R96=""),IF(OR($D96&lt;&gt;"",$E96&lt;&gt;""),"Belum ditempatkan",""),""),IF(V96="","CEK JENIS FIXTURE kosong",IF(LEFT(V96,4)&lt;&gt;"Wall","CEK Fixture 3 hanya Wall",IF(W96="","CEK SHELVING KE kosong",IF(ISNA(MATCH(V96&amp;"|"&amp;W96,LAYOUT!$E$2:$E$80,0)),"CEK SHELVING KE di luar layout",IF($I96="","CEK SERIES kosong",IF(AND(X96&lt;&gt;"",NOT(ISNUMBER(X96))),"CEK URUTAN DISPLAY harus angka",IF($D96="","Zona STOCK",IF($E96="","CEK SKU DESCRIPTION kosong",IF(COUNTIFS($I$2:$I$500,$I96,V$2:V$500,"&lt;&gt;"&amp;V96,V$2:V$500,"&lt;&gt;")&gt;0,"CEK jenis fixture beda dalam satu series","OK"))))))))))</f>
        <v/>
      </c>
      <c r="AA96" s="12" t="n"/>
      <c r="AB96" s="11" t="n"/>
      <c r="AC96" s="11" t="n"/>
      <c r="AD96" s="11" t="n"/>
      <c r="AE96" s="11" t="n"/>
      <c r="AF96" s="11" t="n"/>
      <c r="AG96" s="11" t="n"/>
      <c r="AH96" s="12" t="n"/>
      <c r="AI96" s="12" t="n"/>
    </row>
    <row r="97">
      <c r="A97" s="10" t="n"/>
      <c r="B97" s="10" t="n"/>
      <c r="C97" s="10" t="n"/>
      <c r="D97" s="10" t="n"/>
      <c r="E97" s="10" t="n"/>
      <c r="F97" s="10" t="n"/>
      <c r="G97" s="10" t="n"/>
      <c r="H97" s="10" t="n"/>
      <c r="I97" s="10" t="n"/>
      <c r="J97" s="10" t="n"/>
      <c r="K97" s="10" t="n"/>
      <c r="L97" s="11" t="n"/>
      <c r="M97" s="11" t="n"/>
      <c r="N97" s="11" t="n"/>
      <c r="O97" s="11">
        <f>IF(OR(L97="",M97=""),"",IFERROR(INDEX(LAYOUT!$D$2:$D$80,MATCH(L97&amp;"|"&amp;M97,LAYOUT!$E$2:$E$80,0)),""))</f>
        <v/>
      </c>
      <c r="P97" s="12">
        <f>IF(AND(L97="",M97=""),IF(AND(Q97="",R97="",V97="",W97=""),IF(OR($D97&lt;&gt;"",$E97&lt;&gt;""),"Belum ditempatkan",""),""),IF(L97="","CEK JENIS FIXTURE kosong",IF(AND(LEFT(L97,7)&lt;&gt;"Gondola",LEFT(L97,6)&lt;&gt;"Endcap"),"CEK Fixture 1 hanya Gondola atau Endcap",IF(M97="","CEK SHELVING KE kosong",IF(ISNA(MATCH(L97&amp;"|"&amp;M97,LAYOUT!$E$2:$E$80,0)),"CEK SHELVING KE di luar layout",IF($I97="","CEK SERIES kosong",IF(AND(N97&lt;&gt;"",NOT(ISNUMBER(N97))),"CEK URUTAN DISPLAY harus angka",IF($D97="","Zona STOCK",IF($E97="","CEK SKU DESCRIPTION kosong",IF(COUNTIFS($I$2:$I$500,$I97,L$2:L$500,"&lt;&gt;"&amp;L97,L$2:L$500,"&lt;&gt;")&gt;0,"CEK jenis fixture beda dalam satu series","OK"))))))))))</f>
        <v/>
      </c>
      <c r="Q97" s="11" t="n"/>
      <c r="R97" s="11" t="n"/>
      <c r="S97" s="11" t="n"/>
      <c r="T97" s="11">
        <f>IF(OR(Q97="",R97=""),"",IFERROR(INDEX(LAYOUT!$D$2:$D$80,MATCH(Q97&amp;"|"&amp;R97,LAYOUT!$E$2:$E$80,0)),""))</f>
        <v/>
      </c>
      <c r="U97" s="12">
        <f>IF(AND(Q97="",R97=""),IF(AND(L97="",M97="",V97="",W97=""),IF(OR($D97&lt;&gt;"",$E97&lt;&gt;""),"Belum ditempatkan",""),""),IF(Q97="","CEK JENIS FIXTURE kosong",IF(LEFT(Q97,4)&lt;&gt;"Wall","CEK Fixture 2 hanya Wall",IF(R97="","CEK SHELVING KE kosong",IF(ISNA(MATCH(Q97&amp;"|"&amp;R97,LAYOUT!$E$2:$E$80,0)),"CEK SHELVING KE di luar layout",IF($I97="","CEK SERIES kosong",IF(AND(S97&lt;&gt;"",NOT(ISNUMBER(S97))),"CEK URUTAN DISPLAY harus angka",IF($D97="","Zona STOCK",IF($E97="","CEK SKU DESCRIPTION kosong",IF(COUNTIFS($I$2:$I$500,$I97,Q$2:Q$500,"&lt;&gt;"&amp;Q97,Q$2:Q$500,"&lt;&gt;")&gt;0,"CEK jenis fixture beda dalam satu series","OK"))))))))))</f>
        <v/>
      </c>
      <c r="V97" s="11" t="n"/>
      <c r="W97" s="11" t="n"/>
      <c r="X97" s="11" t="n"/>
      <c r="Y97" s="11">
        <f>IF(OR(V97="",W97=""),"",IFERROR(INDEX(LAYOUT!$D$2:$D$80,MATCH(V97&amp;"|"&amp;W97,LAYOUT!$E$2:$E$80,0)),""))</f>
        <v/>
      </c>
      <c r="Z97" s="12">
        <f>IF(AND(V97="",W97=""),IF(AND(L97="",M97="",Q97="",R97=""),IF(OR($D97&lt;&gt;"",$E97&lt;&gt;""),"Belum ditempatkan",""),""),IF(V97="","CEK JENIS FIXTURE kosong",IF(LEFT(V97,4)&lt;&gt;"Wall","CEK Fixture 3 hanya Wall",IF(W97="","CEK SHELVING KE kosong",IF(ISNA(MATCH(V97&amp;"|"&amp;W97,LAYOUT!$E$2:$E$80,0)),"CEK SHELVING KE di luar layout",IF($I97="","CEK SERIES kosong",IF(AND(X97&lt;&gt;"",NOT(ISNUMBER(X97))),"CEK URUTAN DISPLAY harus angka",IF($D97="","Zona STOCK",IF($E97="","CEK SKU DESCRIPTION kosong",IF(COUNTIFS($I$2:$I$500,$I97,V$2:V$500,"&lt;&gt;"&amp;V97,V$2:V$500,"&lt;&gt;")&gt;0,"CEK jenis fixture beda dalam satu series","OK"))))))))))</f>
        <v/>
      </c>
      <c r="AA97" s="12" t="n"/>
      <c r="AB97" s="11" t="n"/>
      <c r="AC97" s="11" t="n"/>
      <c r="AD97" s="11" t="n"/>
      <c r="AE97" s="11" t="n"/>
      <c r="AF97" s="11" t="n"/>
      <c r="AG97" s="11" t="n"/>
      <c r="AH97" s="12" t="n"/>
      <c r="AI97" s="12" t="n"/>
    </row>
    <row r="98">
      <c r="A98" s="10" t="n"/>
      <c r="B98" s="10" t="n"/>
      <c r="C98" s="10" t="n"/>
      <c r="D98" s="10" t="n"/>
      <c r="E98" s="10" t="n"/>
      <c r="F98" s="10" t="n"/>
      <c r="G98" s="10" t="n"/>
      <c r="H98" s="10" t="n"/>
      <c r="I98" s="10" t="n"/>
      <c r="J98" s="10" t="n"/>
      <c r="K98" s="10" t="n"/>
      <c r="L98" s="11" t="n"/>
      <c r="M98" s="11" t="n"/>
      <c r="N98" s="11" t="n"/>
      <c r="O98" s="11">
        <f>IF(OR(L98="",M98=""),"",IFERROR(INDEX(LAYOUT!$D$2:$D$80,MATCH(L98&amp;"|"&amp;M98,LAYOUT!$E$2:$E$80,0)),""))</f>
        <v/>
      </c>
      <c r="P98" s="12">
        <f>IF(AND(L98="",M98=""),IF(AND(Q98="",R98="",V98="",W98=""),IF(OR($D98&lt;&gt;"",$E98&lt;&gt;""),"Belum ditempatkan",""),""),IF(L98="","CEK JENIS FIXTURE kosong",IF(AND(LEFT(L98,7)&lt;&gt;"Gondola",LEFT(L98,6)&lt;&gt;"Endcap"),"CEK Fixture 1 hanya Gondola atau Endcap",IF(M98="","CEK SHELVING KE kosong",IF(ISNA(MATCH(L98&amp;"|"&amp;M98,LAYOUT!$E$2:$E$80,0)),"CEK SHELVING KE di luar layout",IF($I98="","CEK SERIES kosong",IF(AND(N98&lt;&gt;"",NOT(ISNUMBER(N98))),"CEK URUTAN DISPLAY harus angka",IF($D98="","Zona STOCK",IF($E98="","CEK SKU DESCRIPTION kosong",IF(COUNTIFS($I$2:$I$500,$I98,L$2:L$500,"&lt;&gt;"&amp;L98,L$2:L$500,"&lt;&gt;")&gt;0,"CEK jenis fixture beda dalam satu series","OK"))))))))))</f>
        <v/>
      </c>
      <c r="Q98" s="11" t="n"/>
      <c r="R98" s="11" t="n"/>
      <c r="S98" s="11" t="n"/>
      <c r="T98" s="11">
        <f>IF(OR(Q98="",R98=""),"",IFERROR(INDEX(LAYOUT!$D$2:$D$80,MATCH(Q98&amp;"|"&amp;R98,LAYOUT!$E$2:$E$80,0)),""))</f>
        <v/>
      </c>
      <c r="U98" s="12">
        <f>IF(AND(Q98="",R98=""),IF(AND(L98="",M98="",V98="",W98=""),IF(OR($D98&lt;&gt;"",$E98&lt;&gt;""),"Belum ditempatkan",""),""),IF(Q98="","CEK JENIS FIXTURE kosong",IF(LEFT(Q98,4)&lt;&gt;"Wall","CEK Fixture 2 hanya Wall",IF(R98="","CEK SHELVING KE kosong",IF(ISNA(MATCH(Q98&amp;"|"&amp;R98,LAYOUT!$E$2:$E$80,0)),"CEK SHELVING KE di luar layout",IF($I98="","CEK SERIES kosong",IF(AND(S98&lt;&gt;"",NOT(ISNUMBER(S98))),"CEK URUTAN DISPLAY harus angka",IF($D98="","Zona STOCK",IF($E98="","CEK SKU DESCRIPTION kosong",IF(COUNTIFS($I$2:$I$500,$I98,Q$2:Q$500,"&lt;&gt;"&amp;Q98,Q$2:Q$500,"&lt;&gt;")&gt;0,"CEK jenis fixture beda dalam satu series","OK"))))))))))</f>
        <v/>
      </c>
      <c r="V98" s="11" t="n"/>
      <c r="W98" s="11" t="n"/>
      <c r="X98" s="11" t="n"/>
      <c r="Y98" s="11">
        <f>IF(OR(V98="",W98=""),"",IFERROR(INDEX(LAYOUT!$D$2:$D$80,MATCH(V98&amp;"|"&amp;W98,LAYOUT!$E$2:$E$80,0)),""))</f>
        <v/>
      </c>
      <c r="Z98" s="12">
        <f>IF(AND(V98="",W98=""),IF(AND(L98="",M98="",Q98="",R98=""),IF(OR($D98&lt;&gt;"",$E98&lt;&gt;""),"Belum ditempatkan",""),""),IF(V98="","CEK JENIS FIXTURE kosong",IF(LEFT(V98,4)&lt;&gt;"Wall","CEK Fixture 3 hanya Wall",IF(W98="","CEK SHELVING KE kosong",IF(ISNA(MATCH(V98&amp;"|"&amp;W98,LAYOUT!$E$2:$E$80,0)),"CEK SHELVING KE di luar layout",IF($I98="","CEK SERIES kosong",IF(AND(X98&lt;&gt;"",NOT(ISNUMBER(X98))),"CEK URUTAN DISPLAY harus angka",IF($D98="","Zona STOCK",IF($E98="","CEK SKU DESCRIPTION kosong",IF(COUNTIFS($I$2:$I$500,$I98,V$2:V$500,"&lt;&gt;"&amp;V98,V$2:V$500,"&lt;&gt;")&gt;0,"CEK jenis fixture beda dalam satu series","OK"))))))))))</f>
        <v/>
      </c>
      <c r="AA98" s="12" t="n"/>
      <c r="AB98" s="11" t="n"/>
      <c r="AC98" s="11" t="n"/>
      <c r="AD98" s="11" t="n"/>
      <c r="AE98" s="11" t="n"/>
      <c r="AF98" s="11" t="n"/>
      <c r="AG98" s="11" t="n"/>
      <c r="AH98" s="12" t="n"/>
      <c r="AI98" s="12" t="n"/>
    </row>
    <row r="99">
      <c r="A99" s="10" t="n"/>
      <c r="B99" s="10" t="n"/>
      <c r="C99" s="10" t="n"/>
      <c r="D99" s="10" t="n"/>
      <c r="E99" s="10" t="n"/>
      <c r="F99" s="10" t="n"/>
      <c r="G99" s="10" t="n"/>
      <c r="H99" s="10" t="n"/>
      <c r="I99" s="10" t="n"/>
      <c r="J99" s="10" t="n"/>
      <c r="K99" s="10" t="n"/>
      <c r="L99" s="11" t="n"/>
      <c r="M99" s="11" t="n"/>
      <c r="N99" s="11" t="n"/>
      <c r="O99" s="11">
        <f>IF(OR(L99="",M99=""),"",IFERROR(INDEX(LAYOUT!$D$2:$D$80,MATCH(L99&amp;"|"&amp;M99,LAYOUT!$E$2:$E$80,0)),""))</f>
        <v/>
      </c>
      <c r="P99" s="12">
        <f>IF(AND(L99="",M99=""),IF(AND(Q99="",R99="",V99="",W99=""),IF(OR($D99&lt;&gt;"",$E99&lt;&gt;""),"Belum ditempatkan",""),""),IF(L99="","CEK JENIS FIXTURE kosong",IF(AND(LEFT(L99,7)&lt;&gt;"Gondola",LEFT(L99,6)&lt;&gt;"Endcap"),"CEK Fixture 1 hanya Gondola atau Endcap",IF(M99="","CEK SHELVING KE kosong",IF(ISNA(MATCH(L99&amp;"|"&amp;M99,LAYOUT!$E$2:$E$80,0)),"CEK SHELVING KE di luar layout",IF($I99="","CEK SERIES kosong",IF(AND(N99&lt;&gt;"",NOT(ISNUMBER(N99))),"CEK URUTAN DISPLAY harus angka",IF($D99="","Zona STOCK",IF($E99="","CEK SKU DESCRIPTION kosong",IF(COUNTIFS($I$2:$I$500,$I99,L$2:L$500,"&lt;&gt;"&amp;L99,L$2:L$500,"&lt;&gt;")&gt;0,"CEK jenis fixture beda dalam satu series","OK"))))))))))</f>
        <v/>
      </c>
      <c r="Q99" s="11" t="n"/>
      <c r="R99" s="11" t="n"/>
      <c r="S99" s="11" t="n"/>
      <c r="T99" s="11">
        <f>IF(OR(Q99="",R99=""),"",IFERROR(INDEX(LAYOUT!$D$2:$D$80,MATCH(Q99&amp;"|"&amp;R99,LAYOUT!$E$2:$E$80,0)),""))</f>
        <v/>
      </c>
      <c r="U99" s="12">
        <f>IF(AND(Q99="",R99=""),IF(AND(L99="",M99="",V99="",W99=""),IF(OR($D99&lt;&gt;"",$E99&lt;&gt;""),"Belum ditempatkan",""),""),IF(Q99="","CEK JENIS FIXTURE kosong",IF(LEFT(Q99,4)&lt;&gt;"Wall","CEK Fixture 2 hanya Wall",IF(R99="","CEK SHELVING KE kosong",IF(ISNA(MATCH(Q99&amp;"|"&amp;R99,LAYOUT!$E$2:$E$80,0)),"CEK SHELVING KE di luar layout",IF($I99="","CEK SERIES kosong",IF(AND(S99&lt;&gt;"",NOT(ISNUMBER(S99))),"CEK URUTAN DISPLAY harus angka",IF($D99="","Zona STOCK",IF($E99="","CEK SKU DESCRIPTION kosong",IF(COUNTIFS($I$2:$I$500,$I99,Q$2:Q$500,"&lt;&gt;"&amp;Q99,Q$2:Q$500,"&lt;&gt;")&gt;0,"CEK jenis fixture beda dalam satu series","OK"))))))))))</f>
        <v/>
      </c>
      <c r="V99" s="11" t="n"/>
      <c r="W99" s="11" t="n"/>
      <c r="X99" s="11" t="n"/>
      <c r="Y99" s="11">
        <f>IF(OR(V99="",W99=""),"",IFERROR(INDEX(LAYOUT!$D$2:$D$80,MATCH(V99&amp;"|"&amp;W99,LAYOUT!$E$2:$E$80,0)),""))</f>
        <v/>
      </c>
      <c r="Z99" s="12">
        <f>IF(AND(V99="",W99=""),IF(AND(L99="",M99="",Q99="",R99=""),IF(OR($D99&lt;&gt;"",$E99&lt;&gt;""),"Belum ditempatkan",""),""),IF(V99="","CEK JENIS FIXTURE kosong",IF(LEFT(V99,4)&lt;&gt;"Wall","CEK Fixture 3 hanya Wall",IF(W99="","CEK SHELVING KE kosong",IF(ISNA(MATCH(V99&amp;"|"&amp;W99,LAYOUT!$E$2:$E$80,0)),"CEK SHELVING KE di luar layout",IF($I99="","CEK SERIES kosong",IF(AND(X99&lt;&gt;"",NOT(ISNUMBER(X99))),"CEK URUTAN DISPLAY harus angka",IF($D99="","Zona STOCK",IF($E99="","CEK SKU DESCRIPTION kosong",IF(COUNTIFS($I$2:$I$500,$I99,V$2:V$500,"&lt;&gt;"&amp;V99,V$2:V$500,"&lt;&gt;")&gt;0,"CEK jenis fixture beda dalam satu series","OK"))))))))))</f>
        <v/>
      </c>
      <c r="AA99" s="12" t="n"/>
      <c r="AB99" s="11" t="n"/>
      <c r="AC99" s="11" t="n"/>
      <c r="AD99" s="11" t="n"/>
      <c r="AE99" s="11" t="n"/>
      <c r="AF99" s="11" t="n"/>
      <c r="AG99" s="11" t="n"/>
      <c r="AH99" s="12" t="n"/>
      <c r="AI99" s="12" t="n"/>
    </row>
    <row r="100">
      <c r="A100" s="10" t="n"/>
      <c r="B100" s="10" t="n"/>
      <c r="C100" s="10" t="n"/>
      <c r="D100" s="10" t="n"/>
      <c r="E100" s="10" t="n"/>
      <c r="F100" s="10" t="n"/>
      <c r="G100" s="10" t="n"/>
      <c r="H100" s="10" t="n"/>
      <c r="I100" s="10" t="n"/>
      <c r="J100" s="10" t="n"/>
      <c r="K100" s="10" t="n"/>
      <c r="L100" s="11" t="n"/>
      <c r="M100" s="11" t="n"/>
      <c r="N100" s="11" t="n"/>
      <c r="O100" s="11">
        <f>IF(OR(L100="",M100=""),"",IFERROR(INDEX(LAYOUT!$D$2:$D$80,MATCH(L100&amp;"|"&amp;M100,LAYOUT!$E$2:$E$80,0)),""))</f>
        <v/>
      </c>
      <c r="P100" s="12">
        <f>IF(AND(L100="",M100=""),IF(AND(Q100="",R100="",V100="",W100=""),IF(OR($D100&lt;&gt;"",$E100&lt;&gt;""),"Belum ditempatkan",""),""),IF(L100="","CEK JENIS FIXTURE kosong",IF(AND(LEFT(L100,7)&lt;&gt;"Gondola",LEFT(L100,6)&lt;&gt;"Endcap"),"CEK Fixture 1 hanya Gondola atau Endcap",IF(M100="","CEK SHELVING KE kosong",IF(ISNA(MATCH(L100&amp;"|"&amp;M100,LAYOUT!$E$2:$E$80,0)),"CEK SHELVING KE di luar layout",IF($I100="","CEK SERIES kosong",IF(AND(N100&lt;&gt;"",NOT(ISNUMBER(N100))),"CEK URUTAN DISPLAY harus angka",IF($D100="","Zona STOCK",IF($E100="","CEK SKU DESCRIPTION kosong",IF(COUNTIFS($I$2:$I$500,$I100,L$2:L$500,"&lt;&gt;"&amp;L100,L$2:L$500,"&lt;&gt;")&gt;0,"CEK jenis fixture beda dalam satu series","OK"))))))))))</f>
        <v/>
      </c>
      <c r="Q100" s="11" t="n"/>
      <c r="R100" s="11" t="n"/>
      <c r="S100" s="11" t="n"/>
      <c r="T100" s="11">
        <f>IF(OR(Q100="",R100=""),"",IFERROR(INDEX(LAYOUT!$D$2:$D$80,MATCH(Q100&amp;"|"&amp;R100,LAYOUT!$E$2:$E$80,0)),""))</f>
        <v/>
      </c>
      <c r="U100" s="12">
        <f>IF(AND(Q100="",R100=""),IF(AND(L100="",M100="",V100="",W100=""),IF(OR($D100&lt;&gt;"",$E100&lt;&gt;""),"Belum ditempatkan",""),""),IF(Q100="","CEK JENIS FIXTURE kosong",IF(LEFT(Q100,4)&lt;&gt;"Wall","CEK Fixture 2 hanya Wall",IF(R100="","CEK SHELVING KE kosong",IF(ISNA(MATCH(Q100&amp;"|"&amp;R100,LAYOUT!$E$2:$E$80,0)),"CEK SHELVING KE di luar layout",IF($I100="","CEK SERIES kosong",IF(AND(S100&lt;&gt;"",NOT(ISNUMBER(S100))),"CEK URUTAN DISPLAY harus angka",IF($D100="","Zona STOCK",IF($E100="","CEK SKU DESCRIPTION kosong",IF(COUNTIFS($I$2:$I$500,$I100,Q$2:Q$500,"&lt;&gt;"&amp;Q100,Q$2:Q$500,"&lt;&gt;")&gt;0,"CEK jenis fixture beda dalam satu series","OK"))))))))))</f>
        <v/>
      </c>
      <c r="V100" s="11" t="n"/>
      <c r="W100" s="11" t="n"/>
      <c r="X100" s="11" t="n"/>
      <c r="Y100" s="11">
        <f>IF(OR(V100="",W100=""),"",IFERROR(INDEX(LAYOUT!$D$2:$D$80,MATCH(V100&amp;"|"&amp;W100,LAYOUT!$E$2:$E$80,0)),""))</f>
        <v/>
      </c>
      <c r="Z100" s="12">
        <f>IF(AND(V100="",W100=""),IF(AND(L100="",M100="",Q100="",R100=""),IF(OR($D100&lt;&gt;"",$E100&lt;&gt;""),"Belum ditempatkan",""),""),IF(V100="","CEK JENIS FIXTURE kosong",IF(LEFT(V100,4)&lt;&gt;"Wall","CEK Fixture 3 hanya Wall",IF(W100="","CEK SHELVING KE kosong",IF(ISNA(MATCH(V100&amp;"|"&amp;W100,LAYOUT!$E$2:$E$80,0)),"CEK SHELVING KE di luar layout",IF($I100="","CEK SERIES kosong",IF(AND(X100&lt;&gt;"",NOT(ISNUMBER(X100))),"CEK URUTAN DISPLAY harus angka",IF($D100="","Zona STOCK",IF($E100="","CEK SKU DESCRIPTION kosong",IF(COUNTIFS($I$2:$I$500,$I100,V$2:V$500,"&lt;&gt;"&amp;V100,V$2:V$500,"&lt;&gt;")&gt;0,"CEK jenis fixture beda dalam satu series","OK"))))))))))</f>
        <v/>
      </c>
      <c r="AA100" s="12" t="n"/>
      <c r="AB100" s="11" t="n"/>
      <c r="AC100" s="11" t="n"/>
      <c r="AD100" s="11" t="n"/>
      <c r="AE100" s="11" t="n"/>
      <c r="AF100" s="11" t="n"/>
      <c r="AG100" s="11" t="n"/>
      <c r="AH100" s="12" t="n"/>
      <c r="AI100" s="12" t="n"/>
    </row>
    <row r="101">
      <c r="A101" s="10" t="n"/>
      <c r="B101" s="10" t="n"/>
      <c r="C101" s="10" t="n"/>
      <c r="D101" s="10" t="n"/>
      <c r="E101" s="10" t="n"/>
      <c r="F101" s="10" t="n"/>
      <c r="G101" s="10" t="n"/>
      <c r="H101" s="10" t="n"/>
      <c r="I101" s="10" t="n"/>
      <c r="J101" s="10" t="n"/>
      <c r="K101" s="10" t="n"/>
      <c r="L101" s="11" t="n"/>
      <c r="M101" s="11" t="n"/>
      <c r="N101" s="11" t="n"/>
      <c r="O101" s="11">
        <f>IF(OR(L101="",M101=""),"",IFERROR(INDEX(LAYOUT!$D$2:$D$80,MATCH(L101&amp;"|"&amp;M101,LAYOUT!$E$2:$E$80,0)),""))</f>
        <v/>
      </c>
      <c r="P101" s="12">
        <f>IF(AND(L101="",M101=""),IF(AND(Q101="",R101="",V101="",W101=""),IF(OR($D101&lt;&gt;"",$E101&lt;&gt;""),"Belum ditempatkan",""),""),IF(L101="","CEK JENIS FIXTURE kosong",IF(AND(LEFT(L101,7)&lt;&gt;"Gondola",LEFT(L101,6)&lt;&gt;"Endcap"),"CEK Fixture 1 hanya Gondola atau Endcap",IF(M101="","CEK SHELVING KE kosong",IF(ISNA(MATCH(L101&amp;"|"&amp;M101,LAYOUT!$E$2:$E$80,0)),"CEK SHELVING KE di luar layout",IF($I101="","CEK SERIES kosong",IF(AND(N101&lt;&gt;"",NOT(ISNUMBER(N101))),"CEK URUTAN DISPLAY harus angka",IF($D101="","Zona STOCK",IF($E101="","CEK SKU DESCRIPTION kosong",IF(COUNTIFS($I$2:$I$500,$I101,L$2:L$500,"&lt;&gt;"&amp;L101,L$2:L$500,"&lt;&gt;")&gt;0,"CEK jenis fixture beda dalam satu series","OK"))))))))))</f>
        <v/>
      </c>
      <c r="Q101" s="11" t="n"/>
      <c r="R101" s="11" t="n"/>
      <c r="S101" s="11" t="n"/>
      <c r="T101" s="11">
        <f>IF(OR(Q101="",R101=""),"",IFERROR(INDEX(LAYOUT!$D$2:$D$80,MATCH(Q101&amp;"|"&amp;R101,LAYOUT!$E$2:$E$80,0)),""))</f>
        <v/>
      </c>
      <c r="U101" s="12">
        <f>IF(AND(Q101="",R101=""),IF(AND(L101="",M101="",V101="",W101=""),IF(OR($D101&lt;&gt;"",$E101&lt;&gt;""),"Belum ditempatkan",""),""),IF(Q101="","CEK JENIS FIXTURE kosong",IF(LEFT(Q101,4)&lt;&gt;"Wall","CEK Fixture 2 hanya Wall",IF(R101="","CEK SHELVING KE kosong",IF(ISNA(MATCH(Q101&amp;"|"&amp;R101,LAYOUT!$E$2:$E$80,0)),"CEK SHELVING KE di luar layout",IF($I101="","CEK SERIES kosong",IF(AND(S101&lt;&gt;"",NOT(ISNUMBER(S101))),"CEK URUTAN DISPLAY harus angka",IF($D101="","Zona STOCK",IF($E101="","CEK SKU DESCRIPTION kosong",IF(COUNTIFS($I$2:$I$500,$I101,Q$2:Q$500,"&lt;&gt;"&amp;Q101,Q$2:Q$500,"&lt;&gt;")&gt;0,"CEK jenis fixture beda dalam satu series","OK"))))))))))</f>
        <v/>
      </c>
      <c r="V101" s="11" t="n"/>
      <c r="W101" s="11" t="n"/>
      <c r="X101" s="11" t="n"/>
      <c r="Y101" s="11">
        <f>IF(OR(V101="",W101=""),"",IFERROR(INDEX(LAYOUT!$D$2:$D$80,MATCH(V101&amp;"|"&amp;W101,LAYOUT!$E$2:$E$80,0)),""))</f>
        <v/>
      </c>
      <c r="Z101" s="12">
        <f>IF(AND(V101="",W101=""),IF(AND(L101="",M101="",Q101="",R101=""),IF(OR($D101&lt;&gt;"",$E101&lt;&gt;""),"Belum ditempatkan",""),""),IF(V101="","CEK JENIS FIXTURE kosong",IF(LEFT(V101,4)&lt;&gt;"Wall","CEK Fixture 3 hanya Wall",IF(W101="","CEK SHELVING KE kosong",IF(ISNA(MATCH(V101&amp;"|"&amp;W101,LAYOUT!$E$2:$E$80,0)),"CEK SHELVING KE di luar layout",IF($I101="","CEK SERIES kosong",IF(AND(X101&lt;&gt;"",NOT(ISNUMBER(X101))),"CEK URUTAN DISPLAY harus angka",IF($D101="","Zona STOCK",IF($E101="","CEK SKU DESCRIPTION kosong",IF(COUNTIFS($I$2:$I$500,$I101,V$2:V$500,"&lt;&gt;"&amp;V101,V$2:V$500,"&lt;&gt;")&gt;0,"CEK jenis fixture beda dalam satu series","OK"))))))))))</f>
        <v/>
      </c>
      <c r="AA101" s="12" t="n"/>
      <c r="AB101" s="11" t="n"/>
      <c r="AC101" s="11" t="n"/>
      <c r="AD101" s="11" t="n"/>
      <c r="AE101" s="11" t="n"/>
      <c r="AF101" s="11" t="n"/>
      <c r="AG101" s="11" t="n"/>
      <c r="AH101" s="12" t="n"/>
      <c r="AI101" s="12" t="n"/>
    </row>
    <row r="102">
      <c r="A102" s="10" t="n"/>
      <c r="B102" s="10" t="n"/>
      <c r="C102" s="10" t="n"/>
      <c r="D102" s="10" t="n"/>
      <c r="E102" s="10" t="n"/>
      <c r="F102" s="10" t="n"/>
      <c r="G102" s="10" t="n"/>
      <c r="H102" s="10" t="n"/>
      <c r="I102" s="10" t="n"/>
      <c r="J102" s="10" t="n"/>
      <c r="K102" s="10" t="n"/>
      <c r="L102" s="11" t="n"/>
      <c r="M102" s="11" t="n"/>
      <c r="N102" s="11" t="n"/>
      <c r="O102" s="11">
        <f>IF(OR(L102="",M102=""),"",IFERROR(INDEX(LAYOUT!$D$2:$D$80,MATCH(L102&amp;"|"&amp;M102,LAYOUT!$E$2:$E$80,0)),""))</f>
        <v/>
      </c>
      <c r="P102" s="12">
        <f>IF(AND(L102="",M102=""),IF(AND(Q102="",R102="",V102="",W102=""),IF(OR($D102&lt;&gt;"",$E102&lt;&gt;""),"Belum ditempatkan",""),""),IF(L102="","CEK JENIS FIXTURE kosong",IF(AND(LEFT(L102,7)&lt;&gt;"Gondola",LEFT(L102,6)&lt;&gt;"Endcap"),"CEK Fixture 1 hanya Gondola atau Endcap",IF(M102="","CEK SHELVING KE kosong",IF(ISNA(MATCH(L102&amp;"|"&amp;M102,LAYOUT!$E$2:$E$80,0)),"CEK SHELVING KE di luar layout",IF($I102="","CEK SERIES kosong",IF(AND(N102&lt;&gt;"",NOT(ISNUMBER(N102))),"CEK URUTAN DISPLAY harus angka",IF($D102="","Zona STOCK",IF($E102="","CEK SKU DESCRIPTION kosong",IF(COUNTIFS($I$2:$I$500,$I102,L$2:L$500,"&lt;&gt;"&amp;L102,L$2:L$500,"&lt;&gt;")&gt;0,"CEK jenis fixture beda dalam satu series","OK"))))))))))</f>
        <v/>
      </c>
      <c r="Q102" s="11" t="n"/>
      <c r="R102" s="11" t="n"/>
      <c r="S102" s="11" t="n"/>
      <c r="T102" s="11">
        <f>IF(OR(Q102="",R102=""),"",IFERROR(INDEX(LAYOUT!$D$2:$D$80,MATCH(Q102&amp;"|"&amp;R102,LAYOUT!$E$2:$E$80,0)),""))</f>
        <v/>
      </c>
      <c r="U102" s="12">
        <f>IF(AND(Q102="",R102=""),IF(AND(L102="",M102="",V102="",W102=""),IF(OR($D102&lt;&gt;"",$E102&lt;&gt;""),"Belum ditempatkan",""),""),IF(Q102="","CEK JENIS FIXTURE kosong",IF(LEFT(Q102,4)&lt;&gt;"Wall","CEK Fixture 2 hanya Wall",IF(R102="","CEK SHELVING KE kosong",IF(ISNA(MATCH(Q102&amp;"|"&amp;R102,LAYOUT!$E$2:$E$80,0)),"CEK SHELVING KE di luar layout",IF($I102="","CEK SERIES kosong",IF(AND(S102&lt;&gt;"",NOT(ISNUMBER(S102))),"CEK URUTAN DISPLAY harus angka",IF($D102="","Zona STOCK",IF($E102="","CEK SKU DESCRIPTION kosong",IF(COUNTIFS($I$2:$I$500,$I102,Q$2:Q$500,"&lt;&gt;"&amp;Q102,Q$2:Q$500,"&lt;&gt;")&gt;0,"CEK jenis fixture beda dalam satu series","OK"))))))))))</f>
        <v/>
      </c>
      <c r="V102" s="11" t="n"/>
      <c r="W102" s="11" t="n"/>
      <c r="X102" s="11" t="n"/>
      <c r="Y102" s="11">
        <f>IF(OR(V102="",W102=""),"",IFERROR(INDEX(LAYOUT!$D$2:$D$80,MATCH(V102&amp;"|"&amp;W102,LAYOUT!$E$2:$E$80,0)),""))</f>
        <v/>
      </c>
      <c r="Z102" s="12">
        <f>IF(AND(V102="",W102=""),IF(AND(L102="",M102="",Q102="",R102=""),IF(OR($D102&lt;&gt;"",$E102&lt;&gt;""),"Belum ditempatkan",""),""),IF(V102="","CEK JENIS FIXTURE kosong",IF(LEFT(V102,4)&lt;&gt;"Wall","CEK Fixture 3 hanya Wall",IF(W102="","CEK SHELVING KE kosong",IF(ISNA(MATCH(V102&amp;"|"&amp;W102,LAYOUT!$E$2:$E$80,0)),"CEK SHELVING KE di luar layout",IF($I102="","CEK SERIES kosong",IF(AND(X102&lt;&gt;"",NOT(ISNUMBER(X102))),"CEK URUTAN DISPLAY harus angka",IF($D102="","Zona STOCK",IF($E102="","CEK SKU DESCRIPTION kosong",IF(COUNTIFS($I$2:$I$500,$I102,V$2:V$500,"&lt;&gt;"&amp;V102,V$2:V$500,"&lt;&gt;")&gt;0,"CEK jenis fixture beda dalam satu series","OK"))))))))))</f>
        <v/>
      </c>
      <c r="AA102" s="12" t="n"/>
      <c r="AB102" s="11" t="n"/>
      <c r="AC102" s="11" t="n"/>
      <c r="AD102" s="11" t="n"/>
      <c r="AE102" s="11" t="n"/>
      <c r="AF102" s="11" t="n"/>
      <c r="AG102" s="11" t="n"/>
      <c r="AH102" s="12" t="n"/>
      <c r="AI102" s="12" t="n"/>
    </row>
    <row r="103">
      <c r="A103" s="10" t="n"/>
      <c r="B103" s="10" t="n"/>
      <c r="C103" s="10" t="n"/>
      <c r="D103" s="10" t="n"/>
      <c r="E103" s="10" t="n"/>
      <c r="F103" s="10" t="n"/>
      <c r="G103" s="10" t="n"/>
      <c r="H103" s="10" t="n"/>
      <c r="I103" s="10" t="n"/>
      <c r="J103" s="10" t="n"/>
      <c r="K103" s="10" t="n"/>
      <c r="L103" s="11" t="n"/>
      <c r="M103" s="11" t="n"/>
      <c r="N103" s="11" t="n"/>
      <c r="O103" s="11">
        <f>IF(OR(L103="",M103=""),"",IFERROR(INDEX(LAYOUT!$D$2:$D$80,MATCH(L103&amp;"|"&amp;M103,LAYOUT!$E$2:$E$80,0)),""))</f>
        <v/>
      </c>
      <c r="P103" s="12">
        <f>IF(AND(L103="",M103=""),IF(AND(Q103="",R103="",V103="",W103=""),IF(OR($D103&lt;&gt;"",$E103&lt;&gt;""),"Belum ditempatkan",""),""),IF(L103="","CEK JENIS FIXTURE kosong",IF(AND(LEFT(L103,7)&lt;&gt;"Gondola",LEFT(L103,6)&lt;&gt;"Endcap"),"CEK Fixture 1 hanya Gondola atau Endcap",IF(M103="","CEK SHELVING KE kosong",IF(ISNA(MATCH(L103&amp;"|"&amp;M103,LAYOUT!$E$2:$E$80,0)),"CEK SHELVING KE di luar layout",IF($I103="","CEK SERIES kosong",IF(AND(N103&lt;&gt;"",NOT(ISNUMBER(N103))),"CEK URUTAN DISPLAY harus angka",IF($D103="","Zona STOCK",IF($E103="","CEK SKU DESCRIPTION kosong",IF(COUNTIFS($I$2:$I$500,$I103,L$2:L$500,"&lt;&gt;"&amp;L103,L$2:L$500,"&lt;&gt;")&gt;0,"CEK jenis fixture beda dalam satu series","OK"))))))))))</f>
        <v/>
      </c>
      <c r="Q103" s="11" t="n"/>
      <c r="R103" s="11" t="n"/>
      <c r="S103" s="11" t="n"/>
      <c r="T103" s="11">
        <f>IF(OR(Q103="",R103=""),"",IFERROR(INDEX(LAYOUT!$D$2:$D$80,MATCH(Q103&amp;"|"&amp;R103,LAYOUT!$E$2:$E$80,0)),""))</f>
        <v/>
      </c>
      <c r="U103" s="12">
        <f>IF(AND(Q103="",R103=""),IF(AND(L103="",M103="",V103="",W103=""),IF(OR($D103&lt;&gt;"",$E103&lt;&gt;""),"Belum ditempatkan",""),""),IF(Q103="","CEK JENIS FIXTURE kosong",IF(LEFT(Q103,4)&lt;&gt;"Wall","CEK Fixture 2 hanya Wall",IF(R103="","CEK SHELVING KE kosong",IF(ISNA(MATCH(Q103&amp;"|"&amp;R103,LAYOUT!$E$2:$E$80,0)),"CEK SHELVING KE di luar layout",IF($I103="","CEK SERIES kosong",IF(AND(S103&lt;&gt;"",NOT(ISNUMBER(S103))),"CEK URUTAN DISPLAY harus angka",IF($D103="","Zona STOCK",IF($E103="","CEK SKU DESCRIPTION kosong",IF(COUNTIFS($I$2:$I$500,$I103,Q$2:Q$500,"&lt;&gt;"&amp;Q103,Q$2:Q$500,"&lt;&gt;")&gt;0,"CEK jenis fixture beda dalam satu series","OK"))))))))))</f>
        <v/>
      </c>
      <c r="V103" s="11" t="n"/>
      <c r="W103" s="11" t="n"/>
      <c r="X103" s="11" t="n"/>
      <c r="Y103" s="11">
        <f>IF(OR(V103="",W103=""),"",IFERROR(INDEX(LAYOUT!$D$2:$D$80,MATCH(V103&amp;"|"&amp;W103,LAYOUT!$E$2:$E$80,0)),""))</f>
        <v/>
      </c>
      <c r="Z103" s="12">
        <f>IF(AND(V103="",W103=""),IF(AND(L103="",M103="",Q103="",R103=""),IF(OR($D103&lt;&gt;"",$E103&lt;&gt;""),"Belum ditempatkan",""),""),IF(V103="","CEK JENIS FIXTURE kosong",IF(LEFT(V103,4)&lt;&gt;"Wall","CEK Fixture 3 hanya Wall",IF(W103="","CEK SHELVING KE kosong",IF(ISNA(MATCH(V103&amp;"|"&amp;W103,LAYOUT!$E$2:$E$80,0)),"CEK SHELVING KE di luar layout",IF($I103="","CEK SERIES kosong",IF(AND(X103&lt;&gt;"",NOT(ISNUMBER(X103))),"CEK URUTAN DISPLAY harus angka",IF($D103="","Zona STOCK",IF($E103="","CEK SKU DESCRIPTION kosong",IF(COUNTIFS($I$2:$I$500,$I103,V$2:V$500,"&lt;&gt;"&amp;V103,V$2:V$500,"&lt;&gt;")&gt;0,"CEK jenis fixture beda dalam satu series","OK"))))))))))</f>
        <v/>
      </c>
      <c r="AA103" s="12" t="n"/>
      <c r="AB103" s="11" t="n"/>
      <c r="AC103" s="11" t="n"/>
      <c r="AD103" s="11" t="n"/>
      <c r="AE103" s="11" t="n"/>
      <c r="AF103" s="11" t="n"/>
      <c r="AG103" s="11" t="n"/>
      <c r="AH103" s="12" t="n"/>
      <c r="AI103" s="12" t="n"/>
    </row>
    <row r="104">
      <c r="A104" s="10" t="n"/>
      <c r="B104" s="10" t="n"/>
      <c r="C104" s="10" t="n"/>
      <c r="D104" s="10" t="n"/>
      <c r="E104" s="10" t="n"/>
      <c r="F104" s="10" t="n"/>
      <c r="G104" s="10" t="n"/>
      <c r="H104" s="10" t="n"/>
      <c r="I104" s="10" t="n"/>
      <c r="J104" s="10" t="n"/>
      <c r="K104" s="10" t="n"/>
      <c r="L104" s="11" t="n"/>
      <c r="M104" s="11" t="n"/>
      <c r="N104" s="11" t="n"/>
      <c r="O104" s="11">
        <f>IF(OR(L104="",M104=""),"",IFERROR(INDEX(LAYOUT!$D$2:$D$80,MATCH(L104&amp;"|"&amp;M104,LAYOUT!$E$2:$E$80,0)),""))</f>
        <v/>
      </c>
      <c r="P104" s="12">
        <f>IF(AND(L104="",M104=""),IF(AND(Q104="",R104="",V104="",W104=""),IF(OR($D104&lt;&gt;"",$E104&lt;&gt;""),"Belum ditempatkan",""),""),IF(L104="","CEK JENIS FIXTURE kosong",IF(AND(LEFT(L104,7)&lt;&gt;"Gondola",LEFT(L104,6)&lt;&gt;"Endcap"),"CEK Fixture 1 hanya Gondola atau Endcap",IF(M104="","CEK SHELVING KE kosong",IF(ISNA(MATCH(L104&amp;"|"&amp;M104,LAYOUT!$E$2:$E$80,0)),"CEK SHELVING KE di luar layout",IF($I104="","CEK SERIES kosong",IF(AND(N104&lt;&gt;"",NOT(ISNUMBER(N104))),"CEK URUTAN DISPLAY harus angka",IF($D104="","Zona STOCK",IF($E104="","CEK SKU DESCRIPTION kosong",IF(COUNTIFS($I$2:$I$500,$I104,L$2:L$500,"&lt;&gt;"&amp;L104,L$2:L$500,"&lt;&gt;")&gt;0,"CEK jenis fixture beda dalam satu series","OK"))))))))))</f>
        <v/>
      </c>
      <c r="Q104" s="11" t="n"/>
      <c r="R104" s="11" t="n"/>
      <c r="S104" s="11" t="n"/>
      <c r="T104" s="11">
        <f>IF(OR(Q104="",R104=""),"",IFERROR(INDEX(LAYOUT!$D$2:$D$80,MATCH(Q104&amp;"|"&amp;R104,LAYOUT!$E$2:$E$80,0)),""))</f>
        <v/>
      </c>
      <c r="U104" s="12">
        <f>IF(AND(Q104="",R104=""),IF(AND(L104="",M104="",V104="",W104=""),IF(OR($D104&lt;&gt;"",$E104&lt;&gt;""),"Belum ditempatkan",""),""),IF(Q104="","CEK JENIS FIXTURE kosong",IF(LEFT(Q104,4)&lt;&gt;"Wall","CEK Fixture 2 hanya Wall",IF(R104="","CEK SHELVING KE kosong",IF(ISNA(MATCH(Q104&amp;"|"&amp;R104,LAYOUT!$E$2:$E$80,0)),"CEK SHELVING KE di luar layout",IF($I104="","CEK SERIES kosong",IF(AND(S104&lt;&gt;"",NOT(ISNUMBER(S104))),"CEK URUTAN DISPLAY harus angka",IF($D104="","Zona STOCK",IF($E104="","CEK SKU DESCRIPTION kosong",IF(COUNTIFS($I$2:$I$500,$I104,Q$2:Q$500,"&lt;&gt;"&amp;Q104,Q$2:Q$500,"&lt;&gt;")&gt;0,"CEK jenis fixture beda dalam satu series","OK"))))))))))</f>
        <v/>
      </c>
      <c r="V104" s="11" t="n"/>
      <c r="W104" s="11" t="n"/>
      <c r="X104" s="11" t="n"/>
      <c r="Y104" s="11">
        <f>IF(OR(V104="",W104=""),"",IFERROR(INDEX(LAYOUT!$D$2:$D$80,MATCH(V104&amp;"|"&amp;W104,LAYOUT!$E$2:$E$80,0)),""))</f>
        <v/>
      </c>
      <c r="Z104" s="12">
        <f>IF(AND(V104="",W104=""),IF(AND(L104="",M104="",Q104="",R104=""),IF(OR($D104&lt;&gt;"",$E104&lt;&gt;""),"Belum ditempatkan",""),""),IF(V104="","CEK JENIS FIXTURE kosong",IF(LEFT(V104,4)&lt;&gt;"Wall","CEK Fixture 3 hanya Wall",IF(W104="","CEK SHELVING KE kosong",IF(ISNA(MATCH(V104&amp;"|"&amp;W104,LAYOUT!$E$2:$E$80,0)),"CEK SHELVING KE di luar layout",IF($I104="","CEK SERIES kosong",IF(AND(X104&lt;&gt;"",NOT(ISNUMBER(X104))),"CEK URUTAN DISPLAY harus angka",IF($D104="","Zona STOCK",IF($E104="","CEK SKU DESCRIPTION kosong",IF(COUNTIFS($I$2:$I$500,$I104,V$2:V$500,"&lt;&gt;"&amp;V104,V$2:V$500,"&lt;&gt;")&gt;0,"CEK jenis fixture beda dalam satu series","OK"))))))))))</f>
        <v/>
      </c>
      <c r="AA104" s="12" t="n"/>
      <c r="AB104" s="11" t="n"/>
      <c r="AC104" s="11" t="n"/>
      <c r="AD104" s="11" t="n"/>
      <c r="AE104" s="11" t="n"/>
      <c r="AF104" s="11" t="n"/>
      <c r="AG104" s="11" t="n"/>
      <c r="AH104" s="12" t="n"/>
      <c r="AI104" s="12" t="n"/>
    </row>
    <row r="105">
      <c r="A105" s="10" t="n"/>
      <c r="B105" s="10" t="n"/>
      <c r="C105" s="10" t="n"/>
      <c r="D105" s="10" t="n"/>
      <c r="E105" s="10" t="n"/>
      <c r="F105" s="10" t="n"/>
      <c r="G105" s="10" t="n"/>
      <c r="H105" s="10" t="n"/>
      <c r="I105" s="10" t="n"/>
      <c r="J105" s="10" t="n"/>
      <c r="K105" s="10" t="n"/>
      <c r="L105" s="11" t="n"/>
      <c r="M105" s="11" t="n"/>
      <c r="N105" s="11" t="n"/>
      <c r="O105" s="11">
        <f>IF(OR(L105="",M105=""),"",IFERROR(INDEX(LAYOUT!$D$2:$D$80,MATCH(L105&amp;"|"&amp;M105,LAYOUT!$E$2:$E$80,0)),""))</f>
        <v/>
      </c>
      <c r="P105" s="12">
        <f>IF(AND(L105="",M105=""),IF(AND(Q105="",R105="",V105="",W105=""),IF(OR($D105&lt;&gt;"",$E105&lt;&gt;""),"Belum ditempatkan",""),""),IF(L105="","CEK JENIS FIXTURE kosong",IF(AND(LEFT(L105,7)&lt;&gt;"Gondola",LEFT(L105,6)&lt;&gt;"Endcap"),"CEK Fixture 1 hanya Gondola atau Endcap",IF(M105="","CEK SHELVING KE kosong",IF(ISNA(MATCH(L105&amp;"|"&amp;M105,LAYOUT!$E$2:$E$80,0)),"CEK SHELVING KE di luar layout",IF($I105="","CEK SERIES kosong",IF(AND(N105&lt;&gt;"",NOT(ISNUMBER(N105))),"CEK URUTAN DISPLAY harus angka",IF($D105="","Zona STOCK",IF($E105="","CEK SKU DESCRIPTION kosong",IF(COUNTIFS($I$2:$I$500,$I105,L$2:L$500,"&lt;&gt;"&amp;L105,L$2:L$500,"&lt;&gt;")&gt;0,"CEK jenis fixture beda dalam satu series","OK"))))))))))</f>
        <v/>
      </c>
      <c r="Q105" s="11" t="n"/>
      <c r="R105" s="11" t="n"/>
      <c r="S105" s="11" t="n"/>
      <c r="T105" s="11">
        <f>IF(OR(Q105="",R105=""),"",IFERROR(INDEX(LAYOUT!$D$2:$D$80,MATCH(Q105&amp;"|"&amp;R105,LAYOUT!$E$2:$E$80,0)),""))</f>
        <v/>
      </c>
      <c r="U105" s="12">
        <f>IF(AND(Q105="",R105=""),IF(AND(L105="",M105="",V105="",W105=""),IF(OR($D105&lt;&gt;"",$E105&lt;&gt;""),"Belum ditempatkan",""),""),IF(Q105="","CEK JENIS FIXTURE kosong",IF(LEFT(Q105,4)&lt;&gt;"Wall","CEK Fixture 2 hanya Wall",IF(R105="","CEK SHELVING KE kosong",IF(ISNA(MATCH(Q105&amp;"|"&amp;R105,LAYOUT!$E$2:$E$80,0)),"CEK SHELVING KE di luar layout",IF($I105="","CEK SERIES kosong",IF(AND(S105&lt;&gt;"",NOT(ISNUMBER(S105))),"CEK URUTAN DISPLAY harus angka",IF($D105="","Zona STOCK",IF($E105="","CEK SKU DESCRIPTION kosong",IF(COUNTIFS($I$2:$I$500,$I105,Q$2:Q$500,"&lt;&gt;"&amp;Q105,Q$2:Q$500,"&lt;&gt;")&gt;0,"CEK jenis fixture beda dalam satu series","OK"))))))))))</f>
        <v/>
      </c>
      <c r="V105" s="11" t="n"/>
      <c r="W105" s="11" t="n"/>
      <c r="X105" s="11" t="n"/>
      <c r="Y105" s="11">
        <f>IF(OR(V105="",W105=""),"",IFERROR(INDEX(LAYOUT!$D$2:$D$80,MATCH(V105&amp;"|"&amp;W105,LAYOUT!$E$2:$E$80,0)),""))</f>
        <v/>
      </c>
      <c r="Z105" s="12">
        <f>IF(AND(V105="",W105=""),IF(AND(L105="",M105="",Q105="",R105=""),IF(OR($D105&lt;&gt;"",$E105&lt;&gt;""),"Belum ditempatkan",""),""),IF(V105="","CEK JENIS FIXTURE kosong",IF(LEFT(V105,4)&lt;&gt;"Wall","CEK Fixture 3 hanya Wall",IF(W105="","CEK SHELVING KE kosong",IF(ISNA(MATCH(V105&amp;"|"&amp;W105,LAYOUT!$E$2:$E$80,0)),"CEK SHELVING KE di luar layout",IF($I105="","CEK SERIES kosong",IF(AND(X105&lt;&gt;"",NOT(ISNUMBER(X105))),"CEK URUTAN DISPLAY harus angka",IF($D105="","Zona STOCK",IF($E105="","CEK SKU DESCRIPTION kosong",IF(COUNTIFS($I$2:$I$500,$I105,V$2:V$500,"&lt;&gt;"&amp;V105,V$2:V$500,"&lt;&gt;")&gt;0,"CEK jenis fixture beda dalam satu series","OK"))))))))))</f>
        <v/>
      </c>
      <c r="AA105" s="12" t="n"/>
      <c r="AB105" s="11" t="n"/>
      <c r="AC105" s="11" t="n"/>
      <c r="AD105" s="11" t="n"/>
      <c r="AE105" s="11" t="n"/>
      <c r="AF105" s="11" t="n"/>
      <c r="AG105" s="11" t="n"/>
      <c r="AH105" s="12" t="n"/>
      <c r="AI105" s="12" t="n"/>
    </row>
    <row r="106">
      <c r="A106" s="10" t="n"/>
      <c r="B106" s="10" t="n"/>
      <c r="C106" s="10" t="n"/>
      <c r="D106" s="10" t="n"/>
      <c r="E106" s="10" t="n"/>
      <c r="F106" s="10" t="n"/>
      <c r="G106" s="10" t="n"/>
      <c r="H106" s="10" t="n"/>
      <c r="I106" s="10" t="n"/>
      <c r="J106" s="10" t="n"/>
      <c r="K106" s="10" t="n"/>
      <c r="L106" s="11" t="n"/>
      <c r="M106" s="11" t="n"/>
      <c r="N106" s="11" t="n"/>
      <c r="O106" s="11">
        <f>IF(OR(L106="",M106=""),"",IFERROR(INDEX(LAYOUT!$D$2:$D$80,MATCH(L106&amp;"|"&amp;M106,LAYOUT!$E$2:$E$80,0)),""))</f>
        <v/>
      </c>
      <c r="P106" s="12">
        <f>IF(AND(L106="",M106=""),IF(AND(Q106="",R106="",V106="",W106=""),IF(OR($D106&lt;&gt;"",$E106&lt;&gt;""),"Belum ditempatkan",""),""),IF(L106="","CEK JENIS FIXTURE kosong",IF(AND(LEFT(L106,7)&lt;&gt;"Gondola",LEFT(L106,6)&lt;&gt;"Endcap"),"CEK Fixture 1 hanya Gondola atau Endcap",IF(M106="","CEK SHELVING KE kosong",IF(ISNA(MATCH(L106&amp;"|"&amp;M106,LAYOUT!$E$2:$E$80,0)),"CEK SHELVING KE di luar layout",IF($I106="","CEK SERIES kosong",IF(AND(N106&lt;&gt;"",NOT(ISNUMBER(N106))),"CEK URUTAN DISPLAY harus angka",IF($D106="","Zona STOCK",IF($E106="","CEK SKU DESCRIPTION kosong",IF(COUNTIFS($I$2:$I$500,$I106,L$2:L$500,"&lt;&gt;"&amp;L106,L$2:L$500,"&lt;&gt;")&gt;0,"CEK jenis fixture beda dalam satu series","OK"))))))))))</f>
        <v/>
      </c>
      <c r="Q106" s="11" t="n"/>
      <c r="R106" s="11" t="n"/>
      <c r="S106" s="11" t="n"/>
      <c r="T106" s="11">
        <f>IF(OR(Q106="",R106=""),"",IFERROR(INDEX(LAYOUT!$D$2:$D$80,MATCH(Q106&amp;"|"&amp;R106,LAYOUT!$E$2:$E$80,0)),""))</f>
        <v/>
      </c>
      <c r="U106" s="12">
        <f>IF(AND(Q106="",R106=""),IF(AND(L106="",M106="",V106="",W106=""),IF(OR($D106&lt;&gt;"",$E106&lt;&gt;""),"Belum ditempatkan",""),""),IF(Q106="","CEK JENIS FIXTURE kosong",IF(LEFT(Q106,4)&lt;&gt;"Wall","CEK Fixture 2 hanya Wall",IF(R106="","CEK SHELVING KE kosong",IF(ISNA(MATCH(Q106&amp;"|"&amp;R106,LAYOUT!$E$2:$E$80,0)),"CEK SHELVING KE di luar layout",IF($I106="","CEK SERIES kosong",IF(AND(S106&lt;&gt;"",NOT(ISNUMBER(S106))),"CEK URUTAN DISPLAY harus angka",IF($D106="","Zona STOCK",IF($E106="","CEK SKU DESCRIPTION kosong",IF(COUNTIFS($I$2:$I$500,$I106,Q$2:Q$500,"&lt;&gt;"&amp;Q106,Q$2:Q$500,"&lt;&gt;")&gt;0,"CEK jenis fixture beda dalam satu series","OK"))))))))))</f>
        <v/>
      </c>
      <c r="V106" s="11" t="n"/>
      <c r="W106" s="11" t="n"/>
      <c r="X106" s="11" t="n"/>
      <c r="Y106" s="11">
        <f>IF(OR(V106="",W106=""),"",IFERROR(INDEX(LAYOUT!$D$2:$D$80,MATCH(V106&amp;"|"&amp;W106,LAYOUT!$E$2:$E$80,0)),""))</f>
        <v/>
      </c>
      <c r="Z106" s="12">
        <f>IF(AND(V106="",W106=""),IF(AND(L106="",M106="",Q106="",R106=""),IF(OR($D106&lt;&gt;"",$E106&lt;&gt;""),"Belum ditempatkan",""),""),IF(V106="","CEK JENIS FIXTURE kosong",IF(LEFT(V106,4)&lt;&gt;"Wall","CEK Fixture 3 hanya Wall",IF(W106="","CEK SHELVING KE kosong",IF(ISNA(MATCH(V106&amp;"|"&amp;W106,LAYOUT!$E$2:$E$80,0)),"CEK SHELVING KE di luar layout",IF($I106="","CEK SERIES kosong",IF(AND(X106&lt;&gt;"",NOT(ISNUMBER(X106))),"CEK URUTAN DISPLAY harus angka",IF($D106="","Zona STOCK",IF($E106="","CEK SKU DESCRIPTION kosong",IF(COUNTIFS($I$2:$I$500,$I106,V$2:V$500,"&lt;&gt;"&amp;V106,V$2:V$500,"&lt;&gt;")&gt;0,"CEK jenis fixture beda dalam satu series","OK"))))))))))</f>
        <v/>
      </c>
      <c r="AA106" s="12" t="n"/>
      <c r="AB106" s="11" t="n"/>
      <c r="AC106" s="11" t="n"/>
      <c r="AD106" s="11" t="n"/>
      <c r="AE106" s="11" t="n"/>
      <c r="AF106" s="11" t="n"/>
      <c r="AG106" s="11" t="n"/>
      <c r="AH106" s="12" t="n"/>
      <c r="AI106" s="12" t="n"/>
    </row>
    <row r="107">
      <c r="A107" s="10" t="n"/>
      <c r="B107" s="10" t="n"/>
      <c r="C107" s="10" t="n"/>
      <c r="D107" s="10" t="n"/>
      <c r="E107" s="10" t="n"/>
      <c r="F107" s="10" t="n"/>
      <c r="G107" s="10" t="n"/>
      <c r="H107" s="10" t="n"/>
      <c r="I107" s="10" t="n"/>
      <c r="J107" s="10" t="n"/>
      <c r="K107" s="10" t="n"/>
      <c r="L107" s="11" t="n"/>
      <c r="M107" s="11" t="n"/>
      <c r="N107" s="11" t="n"/>
      <c r="O107" s="11">
        <f>IF(OR(L107="",M107=""),"",IFERROR(INDEX(LAYOUT!$D$2:$D$80,MATCH(L107&amp;"|"&amp;M107,LAYOUT!$E$2:$E$80,0)),""))</f>
        <v/>
      </c>
      <c r="P107" s="12">
        <f>IF(AND(L107="",M107=""),IF(AND(Q107="",R107="",V107="",W107=""),IF(OR($D107&lt;&gt;"",$E107&lt;&gt;""),"Belum ditempatkan",""),""),IF(L107="","CEK JENIS FIXTURE kosong",IF(AND(LEFT(L107,7)&lt;&gt;"Gondola",LEFT(L107,6)&lt;&gt;"Endcap"),"CEK Fixture 1 hanya Gondola atau Endcap",IF(M107="","CEK SHELVING KE kosong",IF(ISNA(MATCH(L107&amp;"|"&amp;M107,LAYOUT!$E$2:$E$80,0)),"CEK SHELVING KE di luar layout",IF($I107="","CEK SERIES kosong",IF(AND(N107&lt;&gt;"",NOT(ISNUMBER(N107))),"CEK URUTAN DISPLAY harus angka",IF($D107="","Zona STOCK",IF($E107="","CEK SKU DESCRIPTION kosong",IF(COUNTIFS($I$2:$I$500,$I107,L$2:L$500,"&lt;&gt;"&amp;L107,L$2:L$500,"&lt;&gt;")&gt;0,"CEK jenis fixture beda dalam satu series","OK"))))))))))</f>
        <v/>
      </c>
      <c r="Q107" s="11" t="n"/>
      <c r="R107" s="11" t="n"/>
      <c r="S107" s="11" t="n"/>
      <c r="T107" s="11">
        <f>IF(OR(Q107="",R107=""),"",IFERROR(INDEX(LAYOUT!$D$2:$D$80,MATCH(Q107&amp;"|"&amp;R107,LAYOUT!$E$2:$E$80,0)),""))</f>
        <v/>
      </c>
      <c r="U107" s="12">
        <f>IF(AND(Q107="",R107=""),IF(AND(L107="",M107="",V107="",W107=""),IF(OR($D107&lt;&gt;"",$E107&lt;&gt;""),"Belum ditempatkan",""),""),IF(Q107="","CEK JENIS FIXTURE kosong",IF(LEFT(Q107,4)&lt;&gt;"Wall","CEK Fixture 2 hanya Wall",IF(R107="","CEK SHELVING KE kosong",IF(ISNA(MATCH(Q107&amp;"|"&amp;R107,LAYOUT!$E$2:$E$80,0)),"CEK SHELVING KE di luar layout",IF($I107="","CEK SERIES kosong",IF(AND(S107&lt;&gt;"",NOT(ISNUMBER(S107))),"CEK URUTAN DISPLAY harus angka",IF($D107="","Zona STOCK",IF($E107="","CEK SKU DESCRIPTION kosong",IF(COUNTIFS($I$2:$I$500,$I107,Q$2:Q$500,"&lt;&gt;"&amp;Q107,Q$2:Q$500,"&lt;&gt;")&gt;0,"CEK jenis fixture beda dalam satu series","OK"))))))))))</f>
        <v/>
      </c>
      <c r="V107" s="11" t="n"/>
      <c r="W107" s="11" t="n"/>
      <c r="X107" s="11" t="n"/>
      <c r="Y107" s="11">
        <f>IF(OR(V107="",W107=""),"",IFERROR(INDEX(LAYOUT!$D$2:$D$80,MATCH(V107&amp;"|"&amp;W107,LAYOUT!$E$2:$E$80,0)),""))</f>
        <v/>
      </c>
      <c r="Z107" s="12">
        <f>IF(AND(V107="",W107=""),IF(AND(L107="",M107="",Q107="",R107=""),IF(OR($D107&lt;&gt;"",$E107&lt;&gt;""),"Belum ditempatkan",""),""),IF(V107="","CEK JENIS FIXTURE kosong",IF(LEFT(V107,4)&lt;&gt;"Wall","CEK Fixture 3 hanya Wall",IF(W107="","CEK SHELVING KE kosong",IF(ISNA(MATCH(V107&amp;"|"&amp;W107,LAYOUT!$E$2:$E$80,0)),"CEK SHELVING KE di luar layout",IF($I107="","CEK SERIES kosong",IF(AND(X107&lt;&gt;"",NOT(ISNUMBER(X107))),"CEK URUTAN DISPLAY harus angka",IF($D107="","Zona STOCK",IF($E107="","CEK SKU DESCRIPTION kosong",IF(COUNTIFS($I$2:$I$500,$I107,V$2:V$500,"&lt;&gt;"&amp;V107,V$2:V$500,"&lt;&gt;")&gt;0,"CEK jenis fixture beda dalam satu series","OK"))))))))))</f>
        <v/>
      </c>
      <c r="AA107" s="12" t="n"/>
      <c r="AB107" s="11" t="n"/>
      <c r="AC107" s="11" t="n"/>
      <c r="AD107" s="11" t="n"/>
      <c r="AE107" s="11" t="n"/>
      <c r="AF107" s="11" t="n"/>
      <c r="AG107" s="11" t="n"/>
      <c r="AH107" s="12" t="n"/>
      <c r="AI107" s="12" t="n"/>
    </row>
    <row r="108">
      <c r="A108" s="10" t="n"/>
      <c r="B108" s="10" t="n"/>
      <c r="C108" s="10" t="n"/>
      <c r="D108" s="10" t="n"/>
      <c r="E108" s="10" t="n"/>
      <c r="F108" s="10" t="n"/>
      <c r="G108" s="10" t="n"/>
      <c r="H108" s="10" t="n"/>
      <c r="I108" s="10" t="n"/>
      <c r="J108" s="10" t="n"/>
      <c r="K108" s="10" t="n"/>
      <c r="L108" s="11" t="n"/>
      <c r="M108" s="11" t="n"/>
      <c r="N108" s="11" t="n"/>
      <c r="O108" s="11">
        <f>IF(OR(L108="",M108=""),"",IFERROR(INDEX(LAYOUT!$D$2:$D$80,MATCH(L108&amp;"|"&amp;M108,LAYOUT!$E$2:$E$80,0)),""))</f>
        <v/>
      </c>
      <c r="P108" s="12">
        <f>IF(AND(L108="",M108=""),IF(AND(Q108="",R108="",V108="",W108=""),IF(OR($D108&lt;&gt;"",$E108&lt;&gt;""),"Belum ditempatkan",""),""),IF(L108="","CEK JENIS FIXTURE kosong",IF(AND(LEFT(L108,7)&lt;&gt;"Gondola",LEFT(L108,6)&lt;&gt;"Endcap"),"CEK Fixture 1 hanya Gondola atau Endcap",IF(M108="","CEK SHELVING KE kosong",IF(ISNA(MATCH(L108&amp;"|"&amp;M108,LAYOUT!$E$2:$E$80,0)),"CEK SHELVING KE di luar layout",IF($I108="","CEK SERIES kosong",IF(AND(N108&lt;&gt;"",NOT(ISNUMBER(N108))),"CEK URUTAN DISPLAY harus angka",IF($D108="","Zona STOCK",IF($E108="","CEK SKU DESCRIPTION kosong",IF(COUNTIFS($I$2:$I$500,$I108,L$2:L$500,"&lt;&gt;"&amp;L108,L$2:L$500,"&lt;&gt;")&gt;0,"CEK jenis fixture beda dalam satu series","OK"))))))))))</f>
        <v/>
      </c>
      <c r="Q108" s="11" t="n"/>
      <c r="R108" s="11" t="n"/>
      <c r="S108" s="11" t="n"/>
      <c r="T108" s="11">
        <f>IF(OR(Q108="",R108=""),"",IFERROR(INDEX(LAYOUT!$D$2:$D$80,MATCH(Q108&amp;"|"&amp;R108,LAYOUT!$E$2:$E$80,0)),""))</f>
        <v/>
      </c>
      <c r="U108" s="12">
        <f>IF(AND(Q108="",R108=""),IF(AND(L108="",M108="",V108="",W108=""),IF(OR($D108&lt;&gt;"",$E108&lt;&gt;""),"Belum ditempatkan",""),""),IF(Q108="","CEK JENIS FIXTURE kosong",IF(LEFT(Q108,4)&lt;&gt;"Wall","CEK Fixture 2 hanya Wall",IF(R108="","CEK SHELVING KE kosong",IF(ISNA(MATCH(Q108&amp;"|"&amp;R108,LAYOUT!$E$2:$E$80,0)),"CEK SHELVING KE di luar layout",IF($I108="","CEK SERIES kosong",IF(AND(S108&lt;&gt;"",NOT(ISNUMBER(S108))),"CEK URUTAN DISPLAY harus angka",IF($D108="","Zona STOCK",IF($E108="","CEK SKU DESCRIPTION kosong",IF(COUNTIFS($I$2:$I$500,$I108,Q$2:Q$500,"&lt;&gt;"&amp;Q108,Q$2:Q$500,"&lt;&gt;")&gt;0,"CEK jenis fixture beda dalam satu series","OK"))))))))))</f>
        <v/>
      </c>
      <c r="V108" s="11" t="n"/>
      <c r="W108" s="11" t="n"/>
      <c r="X108" s="11" t="n"/>
      <c r="Y108" s="11">
        <f>IF(OR(V108="",W108=""),"",IFERROR(INDEX(LAYOUT!$D$2:$D$80,MATCH(V108&amp;"|"&amp;W108,LAYOUT!$E$2:$E$80,0)),""))</f>
        <v/>
      </c>
      <c r="Z108" s="12">
        <f>IF(AND(V108="",W108=""),IF(AND(L108="",M108="",Q108="",R108=""),IF(OR($D108&lt;&gt;"",$E108&lt;&gt;""),"Belum ditempatkan",""),""),IF(V108="","CEK JENIS FIXTURE kosong",IF(LEFT(V108,4)&lt;&gt;"Wall","CEK Fixture 3 hanya Wall",IF(W108="","CEK SHELVING KE kosong",IF(ISNA(MATCH(V108&amp;"|"&amp;W108,LAYOUT!$E$2:$E$80,0)),"CEK SHELVING KE di luar layout",IF($I108="","CEK SERIES kosong",IF(AND(X108&lt;&gt;"",NOT(ISNUMBER(X108))),"CEK URUTAN DISPLAY harus angka",IF($D108="","Zona STOCK",IF($E108="","CEK SKU DESCRIPTION kosong",IF(COUNTIFS($I$2:$I$500,$I108,V$2:V$500,"&lt;&gt;"&amp;V108,V$2:V$500,"&lt;&gt;")&gt;0,"CEK jenis fixture beda dalam satu series","OK"))))))))))</f>
        <v/>
      </c>
      <c r="AA108" s="12" t="n"/>
      <c r="AB108" s="11" t="n"/>
      <c r="AC108" s="11" t="n"/>
      <c r="AD108" s="11" t="n"/>
      <c r="AE108" s="11" t="n"/>
      <c r="AF108" s="11" t="n"/>
      <c r="AG108" s="11" t="n"/>
      <c r="AH108" s="12" t="n"/>
      <c r="AI108" s="12" t="n"/>
    </row>
    <row r="109">
      <c r="A109" s="10" t="n"/>
      <c r="B109" s="10" t="n"/>
      <c r="C109" s="10" t="n"/>
      <c r="D109" s="10" t="n"/>
      <c r="E109" s="10" t="n"/>
      <c r="F109" s="10" t="n"/>
      <c r="G109" s="10" t="n"/>
      <c r="H109" s="10" t="n"/>
      <c r="I109" s="10" t="n"/>
      <c r="J109" s="10" t="n"/>
      <c r="K109" s="10" t="n"/>
      <c r="L109" s="11" t="n"/>
      <c r="M109" s="11" t="n"/>
      <c r="N109" s="11" t="n"/>
      <c r="O109" s="11">
        <f>IF(OR(L109="",M109=""),"",IFERROR(INDEX(LAYOUT!$D$2:$D$80,MATCH(L109&amp;"|"&amp;M109,LAYOUT!$E$2:$E$80,0)),""))</f>
        <v/>
      </c>
      <c r="P109" s="12">
        <f>IF(AND(L109="",M109=""),IF(AND(Q109="",R109="",V109="",W109=""),IF(OR($D109&lt;&gt;"",$E109&lt;&gt;""),"Belum ditempatkan",""),""),IF(L109="","CEK JENIS FIXTURE kosong",IF(AND(LEFT(L109,7)&lt;&gt;"Gondola",LEFT(L109,6)&lt;&gt;"Endcap"),"CEK Fixture 1 hanya Gondola atau Endcap",IF(M109="","CEK SHELVING KE kosong",IF(ISNA(MATCH(L109&amp;"|"&amp;M109,LAYOUT!$E$2:$E$80,0)),"CEK SHELVING KE di luar layout",IF($I109="","CEK SERIES kosong",IF(AND(N109&lt;&gt;"",NOT(ISNUMBER(N109))),"CEK URUTAN DISPLAY harus angka",IF($D109="","Zona STOCK",IF($E109="","CEK SKU DESCRIPTION kosong",IF(COUNTIFS($I$2:$I$500,$I109,L$2:L$500,"&lt;&gt;"&amp;L109,L$2:L$500,"&lt;&gt;")&gt;0,"CEK jenis fixture beda dalam satu series","OK"))))))))))</f>
        <v/>
      </c>
      <c r="Q109" s="11" t="n"/>
      <c r="R109" s="11" t="n"/>
      <c r="S109" s="11" t="n"/>
      <c r="T109" s="11">
        <f>IF(OR(Q109="",R109=""),"",IFERROR(INDEX(LAYOUT!$D$2:$D$80,MATCH(Q109&amp;"|"&amp;R109,LAYOUT!$E$2:$E$80,0)),""))</f>
        <v/>
      </c>
      <c r="U109" s="12">
        <f>IF(AND(Q109="",R109=""),IF(AND(L109="",M109="",V109="",W109=""),IF(OR($D109&lt;&gt;"",$E109&lt;&gt;""),"Belum ditempatkan",""),""),IF(Q109="","CEK JENIS FIXTURE kosong",IF(LEFT(Q109,4)&lt;&gt;"Wall","CEK Fixture 2 hanya Wall",IF(R109="","CEK SHELVING KE kosong",IF(ISNA(MATCH(Q109&amp;"|"&amp;R109,LAYOUT!$E$2:$E$80,0)),"CEK SHELVING KE di luar layout",IF($I109="","CEK SERIES kosong",IF(AND(S109&lt;&gt;"",NOT(ISNUMBER(S109))),"CEK URUTAN DISPLAY harus angka",IF($D109="","Zona STOCK",IF($E109="","CEK SKU DESCRIPTION kosong",IF(COUNTIFS($I$2:$I$500,$I109,Q$2:Q$500,"&lt;&gt;"&amp;Q109,Q$2:Q$500,"&lt;&gt;")&gt;0,"CEK jenis fixture beda dalam satu series","OK"))))))))))</f>
        <v/>
      </c>
      <c r="V109" s="11" t="n"/>
      <c r="W109" s="11" t="n"/>
      <c r="X109" s="11" t="n"/>
      <c r="Y109" s="11">
        <f>IF(OR(V109="",W109=""),"",IFERROR(INDEX(LAYOUT!$D$2:$D$80,MATCH(V109&amp;"|"&amp;W109,LAYOUT!$E$2:$E$80,0)),""))</f>
        <v/>
      </c>
      <c r="Z109" s="12">
        <f>IF(AND(V109="",W109=""),IF(AND(L109="",M109="",Q109="",R109=""),IF(OR($D109&lt;&gt;"",$E109&lt;&gt;""),"Belum ditempatkan",""),""),IF(V109="","CEK JENIS FIXTURE kosong",IF(LEFT(V109,4)&lt;&gt;"Wall","CEK Fixture 3 hanya Wall",IF(W109="","CEK SHELVING KE kosong",IF(ISNA(MATCH(V109&amp;"|"&amp;W109,LAYOUT!$E$2:$E$80,0)),"CEK SHELVING KE di luar layout",IF($I109="","CEK SERIES kosong",IF(AND(X109&lt;&gt;"",NOT(ISNUMBER(X109))),"CEK URUTAN DISPLAY harus angka",IF($D109="","Zona STOCK",IF($E109="","CEK SKU DESCRIPTION kosong",IF(COUNTIFS($I$2:$I$500,$I109,V$2:V$500,"&lt;&gt;"&amp;V109,V$2:V$500,"&lt;&gt;")&gt;0,"CEK jenis fixture beda dalam satu series","OK"))))))))))</f>
        <v/>
      </c>
      <c r="AA109" s="12" t="n"/>
      <c r="AB109" s="11" t="n"/>
      <c r="AC109" s="11" t="n"/>
      <c r="AD109" s="11" t="n"/>
      <c r="AE109" s="11" t="n"/>
      <c r="AF109" s="11" t="n"/>
      <c r="AG109" s="11" t="n"/>
      <c r="AH109" s="12" t="n"/>
      <c r="AI109" s="12" t="n"/>
    </row>
    <row r="110">
      <c r="A110" s="10" t="n"/>
      <c r="B110" s="10" t="n"/>
      <c r="C110" s="10" t="n"/>
      <c r="D110" s="10" t="n"/>
      <c r="E110" s="10" t="n"/>
      <c r="F110" s="10" t="n"/>
      <c r="G110" s="10" t="n"/>
      <c r="H110" s="10" t="n"/>
      <c r="I110" s="10" t="n"/>
      <c r="J110" s="10" t="n"/>
      <c r="K110" s="10" t="n"/>
      <c r="L110" s="11" t="n"/>
      <c r="M110" s="11" t="n"/>
      <c r="N110" s="11" t="n"/>
      <c r="O110" s="11">
        <f>IF(OR(L110="",M110=""),"",IFERROR(INDEX(LAYOUT!$D$2:$D$80,MATCH(L110&amp;"|"&amp;M110,LAYOUT!$E$2:$E$80,0)),""))</f>
        <v/>
      </c>
      <c r="P110" s="12">
        <f>IF(AND(L110="",M110=""),IF(AND(Q110="",R110="",V110="",W110=""),IF(OR($D110&lt;&gt;"",$E110&lt;&gt;""),"Belum ditempatkan",""),""),IF(L110="","CEK JENIS FIXTURE kosong",IF(AND(LEFT(L110,7)&lt;&gt;"Gondola",LEFT(L110,6)&lt;&gt;"Endcap"),"CEK Fixture 1 hanya Gondola atau Endcap",IF(M110="","CEK SHELVING KE kosong",IF(ISNA(MATCH(L110&amp;"|"&amp;M110,LAYOUT!$E$2:$E$80,0)),"CEK SHELVING KE di luar layout",IF($I110="","CEK SERIES kosong",IF(AND(N110&lt;&gt;"",NOT(ISNUMBER(N110))),"CEK URUTAN DISPLAY harus angka",IF($D110="","Zona STOCK",IF($E110="","CEK SKU DESCRIPTION kosong",IF(COUNTIFS($I$2:$I$500,$I110,L$2:L$500,"&lt;&gt;"&amp;L110,L$2:L$500,"&lt;&gt;")&gt;0,"CEK jenis fixture beda dalam satu series","OK"))))))))))</f>
        <v/>
      </c>
      <c r="Q110" s="11" t="n"/>
      <c r="R110" s="11" t="n"/>
      <c r="S110" s="11" t="n"/>
      <c r="T110" s="11">
        <f>IF(OR(Q110="",R110=""),"",IFERROR(INDEX(LAYOUT!$D$2:$D$80,MATCH(Q110&amp;"|"&amp;R110,LAYOUT!$E$2:$E$80,0)),""))</f>
        <v/>
      </c>
      <c r="U110" s="12">
        <f>IF(AND(Q110="",R110=""),IF(AND(L110="",M110="",V110="",W110=""),IF(OR($D110&lt;&gt;"",$E110&lt;&gt;""),"Belum ditempatkan",""),""),IF(Q110="","CEK JENIS FIXTURE kosong",IF(LEFT(Q110,4)&lt;&gt;"Wall","CEK Fixture 2 hanya Wall",IF(R110="","CEK SHELVING KE kosong",IF(ISNA(MATCH(Q110&amp;"|"&amp;R110,LAYOUT!$E$2:$E$80,0)),"CEK SHELVING KE di luar layout",IF($I110="","CEK SERIES kosong",IF(AND(S110&lt;&gt;"",NOT(ISNUMBER(S110))),"CEK URUTAN DISPLAY harus angka",IF($D110="","Zona STOCK",IF($E110="","CEK SKU DESCRIPTION kosong",IF(COUNTIFS($I$2:$I$500,$I110,Q$2:Q$500,"&lt;&gt;"&amp;Q110,Q$2:Q$500,"&lt;&gt;")&gt;0,"CEK jenis fixture beda dalam satu series","OK"))))))))))</f>
        <v/>
      </c>
      <c r="V110" s="11" t="n"/>
      <c r="W110" s="11" t="n"/>
      <c r="X110" s="11" t="n"/>
      <c r="Y110" s="11">
        <f>IF(OR(V110="",W110=""),"",IFERROR(INDEX(LAYOUT!$D$2:$D$80,MATCH(V110&amp;"|"&amp;W110,LAYOUT!$E$2:$E$80,0)),""))</f>
        <v/>
      </c>
      <c r="Z110" s="12">
        <f>IF(AND(V110="",W110=""),IF(AND(L110="",M110="",Q110="",R110=""),IF(OR($D110&lt;&gt;"",$E110&lt;&gt;""),"Belum ditempatkan",""),""),IF(V110="","CEK JENIS FIXTURE kosong",IF(LEFT(V110,4)&lt;&gt;"Wall","CEK Fixture 3 hanya Wall",IF(W110="","CEK SHELVING KE kosong",IF(ISNA(MATCH(V110&amp;"|"&amp;W110,LAYOUT!$E$2:$E$80,0)),"CEK SHELVING KE di luar layout",IF($I110="","CEK SERIES kosong",IF(AND(X110&lt;&gt;"",NOT(ISNUMBER(X110))),"CEK URUTAN DISPLAY harus angka",IF($D110="","Zona STOCK",IF($E110="","CEK SKU DESCRIPTION kosong",IF(COUNTIFS($I$2:$I$500,$I110,V$2:V$500,"&lt;&gt;"&amp;V110,V$2:V$500,"&lt;&gt;")&gt;0,"CEK jenis fixture beda dalam satu series","OK"))))))))))</f>
        <v/>
      </c>
      <c r="AA110" s="12" t="n"/>
      <c r="AB110" s="11" t="n"/>
      <c r="AC110" s="11" t="n"/>
      <c r="AD110" s="11" t="n"/>
      <c r="AE110" s="11" t="n"/>
      <c r="AF110" s="11" t="n"/>
      <c r="AG110" s="11" t="n"/>
      <c r="AH110" s="12" t="n"/>
      <c r="AI110" s="12" t="n"/>
    </row>
    <row r="111">
      <c r="A111" s="10" t="n"/>
      <c r="B111" s="10" t="n"/>
      <c r="C111" s="10" t="n"/>
      <c r="D111" s="10" t="n"/>
      <c r="E111" s="10" t="n"/>
      <c r="F111" s="10" t="n"/>
      <c r="G111" s="10" t="n"/>
      <c r="H111" s="10" t="n"/>
      <c r="I111" s="10" t="n"/>
      <c r="J111" s="10" t="n"/>
      <c r="K111" s="10" t="n"/>
      <c r="L111" s="11" t="n"/>
      <c r="M111" s="11" t="n"/>
      <c r="N111" s="11" t="n"/>
      <c r="O111" s="11">
        <f>IF(OR(L111="",M111=""),"",IFERROR(INDEX(LAYOUT!$D$2:$D$80,MATCH(L111&amp;"|"&amp;M111,LAYOUT!$E$2:$E$80,0)),""))</f>
        <v/>
      </c>
      <c r="P111" s="12">
        <f>IF(AND(L111="",M111=""),IF(AND(Q111="",R111="",V111="",W111=""),IF(OR($D111&lt;&gt;"",$E111&lt;&gt;""),"Belum ditempatkan",""),""),IF(L111="","CEK JENIS FIXTURE kosong",IF(AND(LEFT(L111,7)&lt;&gt;"Gondola",LEFT(L111,6)&lt;&gt;"Endcap"),"CEK Fixture 1 hanya Gondola atau Endcap",IF(M111="","CEK SHELVING KE kosong",IF(ISNA(MATCH(L111&amp;"|"&amp;M111,LAYOUT!$E$2:$E$80,0)),"CEK SHELVING KE di luar layout",IF($I111="","CEK SERIES kosong",IF(AND(N111&lt;&gt;"",NOT(ISNUMBER(N111))),"CEK URUTAN DISPLAY harus angka",IF($D111="","Zona STOCK",IF($E111="","CEK SKU DESCRIPTION kosong",IF(COUNTIFS($I$2:$I$500,$I111,L$2:L$500,"&lt;&gt;"&amp;L111,L$2:L$500,"&lt;&gt;")&gt;0,"CEK jenis fixture beda dalam satu series","OK"))))))))))</f>
        <v/>
      </c>
      <c r="Q111" s="11" t="n"/>
      <c r="R111" s="11" t="n"/>
      <c r="S111" s="11" t="n"/>
      <c r="T111" s="11">
        <f>IF(OR(Q111="",R111=""),"",IFERROR(INDEX(LAYOUT!$D$2:$D$80,MATCH(Q111&amp;"|"&amp;R111,LAYOUT!$E$2:$E$80,0)),""))</f>
        <v/>
      </c>
      <c r="U111" s="12">
        <f>IF(AND(Q111="",R111=""),IF(AND(L111="",M111="",V111="",W111=""),IF(OR($D111&lt;&gt;"",$E111&lt;&gt;""),"Belum ditempatkan",""),""),IF(Q111="","CEK JENIS FIXTURE kosong",IF(LEFT(Q111,4)&lt;&gt;"Wall","CEK Fixture 2 hanya Wall",IF(R111="","CEK SHELVING KE kosong",IF(ISNA(MATCH(Q111&amp;"|"&amp;R111,LAYOUT!$E$2:$E$80,0)),"CEK SHELVING KE di luar layout",IF($I111="","CEK SERIES kosong",IF(AND(S111&lt;&gt;"",NOT(ISNUMBER(S111))),"CEK URUTAN DISPLAY harus angka",IF($D111="","Zona STOCK",IF($E111="","CEK SKU DESCRIPTION kosong",IF(COUNTIFS($I$2:$I$500,$I111,Q$2:Q$500,"&lt;&gt;"&amp;Q111,Q$2:Q$500,"&lt;&gt;")&gt;0,"CEK jenis fixture beda dalam satu series","OK"))))))))))</f>
        <v/>
      </c>
      <c r="V111" s="11" t="n"/>
      <c r="W111" s="11" t="n"/>
      <c r="X111" s="11" t="n"/>
      <c r="Y111" s="11">
        <f>IF(OR(V111="",W111=""),"",IFERROR(INDEX(LAYOUT!$D$2:$D$80,MATCH(V111&amp;"|"&amp;W111,LAYOUT!$E$2:$E$80,0)),""))</f>
        <v/>
      </c>
      <c r="Z111" s="12">
        <f>IF(AND(V111="",W111=""),IF(AND(L111="",M111="",Q111="",R111=""),IF(OR($D111&lt;&gt;"",$E111&lt;&gt;""),"Belum ditempatkan",""),""),IF(V111="","CEK JENIS FIXTURE kosong",IF(LEFT(V111,4)&lt;&gt;"Wall","CEK Fixture 3 hanya Wall",IF(W111="","CEK SHELVING KE kosong",IF(ISNA(MATCH(V111&amp;"|"&amp;W111,LAYOUT!$E$2:$E$80,0)),"CEK SHELVING KE di luar layout",IF($I111="","CEK SERIES kosong",IF(AND(X111&lt;&gt;"",NOT(ISNUMBER(X111))),"CEK URUTAN DISPLAY harus angka",IF($D111="","Zona STOCK",IF($E111="","CEK SKU DESCRIPTION kosong",IF(COUNTIFS($I$2:$I$500,$I111,V$2:V$500,"&lt;&gt;"&amp;V111,V$2:V$500,"&lt;&gt;")&gt;0,"CEK jenis fixture beda dalam satu series","OK"))))))))))</f>
        <v/>
      </c>
      <c r="AA111" s="12" t="n"/>
      <c r="AB111" s="11" t="n"/>
      <c r="AC111" s="11" t="n"/>
      <c r="AD111" s="11" t="n"/>
      <c r="AE111" s="11" t="n"/>
      <c r="AF111" s="11" t="n"/>
      <c r="AG111" s="11" t="n"/>
      <c r="AH111" s="12" t="n"/>
      <c r="AI111" s="12" t="n"/>
    </row>
    <row r="112">
      <c r="A112" s="10" t="n"/>
      <c r="B112" s="10" t="n"/>
      <c r="C112" s="10" t="n"/>
      <c r="D112" s="10" t="n"/>
      <c r="E112" s="10" t="n"/>
      <c r="F112" s="10" t="n"/>
      <c r="G112" s="10" t="n"/>
      <c r="H112" s="10" t="n"/>
      <c r="I112" s="10" t="n"/>
      <c r="J112" s="10" t="n"/>
      <c r="K112" s="10" t="n"/>
      <c r="L112" s="11" t="n"/>
      <c r="M112" s="11" t="n"/>
      <c r="N112" s="11" t="n"/>
      <c r="O112" s="11">
        <f>IF(OR(L112="",M112=""),"",IFERROR(INDEX(LAYOUT!$D$2:$D$80,MATCH(L112&amp;"|"&amp;M112,LAYOUT!$E$2:$E$80,0)),""))</f>
        <v/>
      </c>
      <c r="P112" s="12">
        <f>IF(AND(L112="",M112=""),IF(AND(Q112="",R112="",V112="",W112=""),IF(OR($D112&lt;&gt;"",$E112&lt;&gt;""),"Belum ditempatkan",""),""),IF(L112="","CEK JENIS FIXTURE kosong",IF(AND(LEFT(L112,7)&lt;&gt;"Gondola",LEFT(L112,6)&lt;&gt;"Endcap"),"CEK Fixture 1 hanya Gondola atau Endcap",IF(M112="","CEK SHELVING KE kosong",IF(ISNA(MATCH(L112&amp;"|"&amp;M112,LAYOUT!$E$2:$E$80,0)),"CEK SHELVING KE di luar layout",IF($I112="","CEK SERIES kosong",IF(AND(N112&lt;&gt;"",NOT(ISNUMBER(N112))),"CEK URUTAN DISPLAY harus angka",IF($D112="","Zona STOCK",IF($E112="","CEK SKU DESCRIPTION kosong",IF(COUNTIFS($I$2:$I$500,$I112,L$2:L$500,"&lt;&gt;"&amp;L112,L$2:L$500,"&lt;&gt;")&gt;0,"CEK jenis fixture beda dalam satu series","OK"))))))))))</f>
        <v/>
      </c>
      <c r="Q112" s="11" t="n"/>
      <c r="R112" s="11" t="n"/>
      <c r="S112" s="11" t="n"/>
      <c r="T112" s="11">
        <f>IF(OR(Q112="",R112=""),"",IFERROR(INDEX(LAYOUT!$D$2:$D$80,MATCH(Q112&amp;"|"&amp;R112,LAYOUT!$E$2:$E$80,0)),""))</f>
        <v/>
      </c>
      <c r="U112" s="12">
        <f>IF(AND(Q112="",R112=""),IF(AND(L112="",M112="",V112="",W112=""),IF(OR($D112&lt;&gt;"",$E112&lt;&gt;""),"Belum ditempatkan",""),""),IF(Q112="","CEK JENIS FIXTURE kosong",IF(LEFT(Q112,4)&lt;&gt;"Wall","CEK Fixture 2 hanya Wall",IF(R112="","CEK SHELVING KE kosong",IF(ISNA(MATCH(Q112&amp;"|"&amp;R112,LAYOUT!$E$2:$E$80,0)),"CEK SHELVING KE di luar layout",IF($I112="","CEK SERIES kosong",IF(AND(S112&lt;&gt;"",NOT(ISNUMBER(S112))),"CEK URUTAN DISPLAY harus angka",IF($D112="","Zona STOCK",IF($E112="","CEK SKU DESCRIPTION kosong",IF(COUNTIFS($I$2:$I$500,$I112,Q$2:Q$500,"&lt;&gt;"&amp;Q112,Q$2:Q$500,"&lt;&gt;")&gt;0,"CEK jenis fixture beda dalam satu series","OK"))))))))))</f>
        <v/>
      </c>
      <c r="V112" s="11" t="n"/>
      <c r="W112" s="11" t="n"/>
      <c r="X112" s="11" t="n"/>
      <c r="Y112" s="11">
        <f>IF(OR(V112="",W112=""),"",IFERROR(INDEX(LAYOUT!$D$2:$D$80,MATCH(V112&amp;"|"&amp;W112,LAYOUT!$E$2:$E$80,0)),""))</f>
        <v/>
      </c>
      <c r="Z112" s="12">
        <f>IF(AND(V112="",W112=""),IF(AND(L112="",M112="",Q112="",R112=""),IF(OR($D112&lt;&gt;"",$E112&lt;&gt;""),"Belum ditempatkan",""),""),IF(V112="","CEK JENIS FIXTURE kosong",IF(LEFT(V112,4)&lt;&gt;"Wall","CEK Fixture 3 hanya Wall",IF(W112="","CEK SHELVING KE kosong",IF(ISNA(MATCH(V112&amp;"|"&amp;W112,LAYOUT!$E$2:$E$80,0)),"CEK SHELVING KE di luar layout",IF($I112="","CEK SERIES kosong",IF(AND(X112&lt;&gt;"",NOT(ISNUMBER(X112))),"CEK URUTAN DISPLAY harus angka",IF($D112="","Zona STOCK",IF($E112="","CEK SKU DESCRIPTION kosong",IF(COUNTIFS($I$2:$I$500,$I112,V$2:V$500,"&lt;&gt;"&amp;V112,V$2:V$500,"&lt;&gt;")&gt;0,"CEK jenis fixture beda dalam satu series","OK"))))))))))</f>
        <v/>
      </c>
      <c r="AA112" s="12" t="n"/>
      <c r="AB112" s="11" t="n"/>
      <c r="AC112" s="11" t="n"/>
      <c r="AD112" s="11" t="n"/>
      <c r="AE112" s="11" t="n"/>
      <c r="AF112" s="11" t="n"/>
      <c r="AG112" s="11" t="n"/>
      <c r="AH112" s="12" t="n"/>
      <c r="AI112" s="12" t="n"/>
    </row>
    <row r="113">
      <c r="A113" s="10" t="n"/>
      <c r="B113" s="10" t="n"/>
      <c r="C113" s="10" t="n"/>
      <c r="D113" s="10" t="n"/>
      <c r="E113" s="10" t="n"/>
      <c r="F113" s="10" t="n"/>
      <c r="G113" s="10" t="n"/>
      <c r="H113" s="10" t="n"/>
      <c r="I113" s="10" t="n"/>
      <c r="J113" s="10" t="n"/>
      <c r="K113" s="10" t="n"/>
      <c r="L113" s="11" t="n"/>
      <c r="M113" s="11" t="n"/>
      <c r="N113" s="11" t="n"/>
      <c r="O113" s="11">
        <f>IF(OR(L113="",M113=""),"",IFERROR(INDEX(LAYOUT!$D$2:$D$80,MATCH(L113&amp;"|"&amp;M113,LAYOUT!$E$2:$E$80,0)),""))</f>
        <v/>
      </c>
      <c r="P113" s="12">
        <f>IF(AND(L113="",M113=""),IF(AND(Q113="",R113="",V113="",W113=""),IF(OR($D113&lt;&gt;"",$E113&lt;&gt;""),"Belum ditempatkan",""),""),IF(L113="","CEK JENIS FIXTURE kosong",IF(AND(LEFT(L113,7)&lt;&gt;"Gondola",LEFT(L113,6)&lt;&gt;"Endcap"),"CEK Fixture 1 hanya Gondola atau Endcap",IF(M113="","CEK SHELVING KE kosong",IF(ISNA(MATCH(L113&amp;"|"&amp;M113,LAYOUT!$E$2:$E$80,0)),"CEK SHELVING KE di luar layout",IF($I113="","CEK SERIES kosong",IF(AND(N113&lt;&gt;"",NOT(ISNUMBER(N113))),"CEK URUTAN DISPLAY harus angka",IF($D113="","Zona STOCK",IF($E113="","CEK SKU DESCRIPTION kosong",IF(COUNTIFS($I$2:$I$500,$I113,L$2:L$500,"&lt;&gt;"&amp;L113,L$2:L$500,"&lt;&gt;")&gt;0,"CEK jenis fixture beda dalam satu series","OK"))))))))))</f>
        <v/>
      </c>
      <c r="Q113" s="11" t="n"/>
      <c r="R113" s="11" t="n"/>
      <c r="S113" s="11" t="n"/>
      <c r="T113" s="11">
        <f>IF(OR(Q113="",R113=""),"",IFERROR(INDEX(LAYOUT!$D$2:$D$80,MATCH(Q113&amp;"|"&amp;R113,LAYOUT!$E$2:$E$80,0)),""))</f>
        <v/>
      </c>
      <c r="U113" s="12">
        <f>IF(AND(Q113="",R113=""),IF(AND(L113="",M113="",V113="",W113=""),IF(OR($D113&lt;&gt;"",$E113&lt;&gt;""),"Belum ditempatkan",""),""),IF(Q113="","CEK JENIS FIXTURE kosong",IF(LEFT(Q113,4)&lt;&gt;"Wall","CEK Fixture 2 hanya Wall",IF(R113="","CEK SHELVING KE kosong",IF(ISNA(MATCH(Q113&amp;"|"&amp;R113,LAYOUT!$E$2:$E$80,0)),"CEK SHELVING KE di luar layout",IF($I113="","CEK SERIES kosong",IF(AND(S113&lt;&gt;"",NOT(ISNUMBER(S113))),"CEK URUTAN DISPLAY harus angka",IF($D113="","Zona STOCK",IF($E113="","CEK SKU DESCRIPTION kosong",IF(COUNTIFS($I$2:$I$500,$I113,Q$2:Q$500,"&lt;&gt;"&amp;Q113,Q$2:Q$500,"&lt;&gt;")&gt;0,"CEK jenis fixture beda dalam satu series","OK"))))))))))</f>
        <v/>
      </c>
      <c r="V113" s="11" t="n"/>
      <c r="W113" s="11" t="n"/>
      <c r="X113" s="11" t="n"/>
      <c r="Y113" s="11">
        <f>IF(OR(V113="",W113=""),"",IFERROR(INDEX(LAYOUT!$D$2:$D$80,MATCH(V113&amp;"|"&amp;W113,LAYOUT!$E$2:$E$80,0)),""))</f>
        <v/>
      </c>
      <c r="Z113" s="12">
        <f>IF(AND(V113="",W113=""),IF(AND(L113="",M113="",Q113="",R113=""),IF(OR($D113&lt;&gt;"",$E113&lt;&gt;""),"Belum ditempatkan",""),""),IF(V113="","CEK JENIS FIXTURE kosong",IF(LEFT(V113,4)&lt;&gt;"Wall","CEK Fixture 3 hanya Wall",IF(W113="","CEK SHELVING KE kosong",IF(ISNA(MATCH(V113&amp;"|"&amp;W113,LAYOUT!$E$2:$E$80,0)),"CEK SHELVING KE di luar layout",IF($I113="","CEK SERIES kosong",IF(AND(X113&lt;&gt;"",NOT(ISNUMBER(X113))),"CEK URUTAN DISPLAY harus angka",IF($D113="","Zona STOCK",IF($E113="","CEK SKU DESCRIPTION kosong",IF(COUNTIFS($I$2:$I$500,$I113,V$2:V$500,"&lt;&gt;"&amp;V113,V$2:V$500,"&lt;&gt;")&gt;0,"CEK jenis fixture beda dalam satu series","OK"))))))))))</f>
        <v/>
      </c>
      <c r="AA113" s="12" t="n"/>
      <c r="AB113" s="11" t="n"/>
      <c r="AC113" s="11" t="n"/>
      <c r="AD113" s="11" t="n"/>
      <c r="AE113" s="11" t="n"/>
      <c r="AF113" s="11" t="n"/>
      <c r="AG113" s="11" t="n"/>
      <c r="AH113" s="12" t="n"/>
      <c r="AI113" s="12" t="n"/>
    </row>
    <row r="114">
      <c r="A114" s="10" t="n"/>
      <c r="B114" s="10" t="n"/>
      <c r="C114" s="10" t="n"/>
      <c r="D114" s="10" t="n"/>
      <c r="E114" s="10" t="n"/>
      <c r="F114" s="10" t="n"/>
      <c r="G114" s="10" t="n"/>
      <c r="H114" s="10" t="n"/>
      <c r="I114" s="10" t="n"/>
      <c r="J114" s="10" t="n"/>
      <c r="K114" s="10" t="n"/>
      <c r="L114" s="11" t="n"/>
      <c r="M114" s="11" t="n"/>
      <c r="N114" s="11" t="n"/>
      <c r="O114" s="11">
        <f>IF(OR(L114="",M114=""),"",IFERROR(INDEX(LAYOUT!$D$2:$D$80,MATCH(L114&amp;"|"&amp;M114,LAYOUT!$E$2:$E$80,0)),""))</f>
        <v/>
      </c>
      <c r="P114" s="12">
        <f>IF(AND(L114="",M114=""),IF(AND(Q114="",R114="",V114="",W114=""),IF(OR($D114&lt;&gt;"",$E114&lt;&gt;""),"Belum ditempatkan",""),""),IF(L114="","CEK JENIS FIXTURE kosong",IF(AND(LEFT(L114,7)&lt;&gt;"Gondola",LEFT(L114,6)&lt;&gt;"Endcap"),"CEK Fixture 1 hanya Gondola atau Endcap",IF(M114="","CEK SHELVING KE kosong",IF(ISNA(MATCH(L114&amp;"|"&amp;M114,LAYOUT!$E$2:$E$80,0)),"CEK SHELVING KE di luar layout",IF($I114="","CEK SERIES kosong",IF(AND(N114&lt;&gt;"",NOT(ISNUMBER(N114))),"CEK URUTAN DISPLAY harus angka",IF($D114="","Zona STOCK",IF($E114="","CEK SKU DESCRIPTION kosong",IF(COUNTIFS($I$2:$I$500,$I114,L$2:L$500,"&lt;&gt;"&amp;L114,L$2:L$500,"&lt;&gt;")&gt;0,"CEK jenis fixture beda dalam satu series","OK"))))))))))</f>
        <v/>
      </c>
      <c r="Q114" s="11" t="n"/>
      <c r="R114" s="11" t="n"/>
      <c r="S114" s="11" t="n"/>
      <c r="T114" s="11">
        <f>IF(OR(Q114="",R114=""),"",IFERROR(INDEX(LAYOUT!$D$2:$D$80,MATCH(Q114&amp;"|"&amp;R114,LAYOUT!$E$2:$E$80,0)),""))</f>
        <v/>
      </c>
      <c r="U114" s="12">
        <f>IF(AND(Q114="",R114=""),IF(AND(L114="",M114="",V114="",W114=""),IF(OR($D114&lt;&gt;"",$E114&lt;&gt;""),"Belum ditempatkan",""),""),IF(Q114="","CEK JENIS FIXTURE kosong",IF(LEFT(Q114,4)&lt;&gt;"Wall","CEK Fixture 2 hanya Wall",IF(R114="","CEK SHELVING KE kosong",IF(ISNA(MATCH(Q114&amp;"|"&amp;R114,LAYOUT!$E$2:$E$80,0)),"CEK SHELVING KE di luar layout",IF($I114="","CEK SERIES kosong",IF(AND(S114&lt;&gt;"",NOT(ISNUMBER(S114))),"CEK URUTAN DISPLAY harus angka",IF($D114="","Zona STOCK",IF($E114="","CEK SKU DESCRIPTION kosong",IF(COUNTIFS($I$2:$I$500,$I114,Q$2:Q$500,"&lt;&gt;"&amp;Q114,Q$2:Q$500,"&lt;&gt;")&gt;0,"CEK jenis fixture beda dalam satu series","OK"))))))))))</f>
        <v/>
      </c>
      <c r="V114" s="11" t="n"/>
      <c r="W114" s="11" t="n"/>
      <c r="X114" s="11" t="n"/>
      <c r="Y114" s="11">
        <f>IF(OR(V114="",W114=""),"",IFERROR(INDEX(LAYOUT!$D$2:$D$80,MATCH(V114&amp;"|"&amp;W114,LAYOUT!$E$2:$E$80,0)),""))</f>
        <v/>
      </c>
      <c r="Z114" s="12">
        <f>IF(AND(V114="",W114=""),IF(AND(L114="",M114="",Q114="",R114=""),IF(OR($D114&lt;&gt;"",$E114&lt;&gt;""),"Belum ditempatkan",""),""),IF(V114="","CEK JENIS FIXTURE kosong",IF(LEFT(V114,4)&lt;&gt;"Wall","CEK Fixture 3 hanya Wall",IF(W114="","CEK SHELVING KE kosong",IF(ISNA(MATCH(V114&amp;"|"&amp;W114,LAYOUT!$E$2:$E$80,0)),"CEK SHELVING KE di luar layout",IF($I114="","CEK SERIES kosong",IF(AND(X114&lt;&gt;"",NOT(ISNUMBER(X114))),"CEK URUTAN DISPLAY harus angka",IF($D114="","Zona STOCK",IF($E114="","CEK SKU DESCRIPTION kosong",IF(COUNTIFS($I$2:$I$500,$I114,V$2:V$500,"&lt;&gt;"&amp;V114,V$2:V$500,"&lt;&gt;")&gt;0,"CEK jenis fixture beda dalam satu series","OK"))))))))))</f>
        <v/>
      </c>
      <c r="AA114" s="12" t="n"/>
      <c r="AB114" s="11" t="n"/>
      <c r="AC114" s="11" t="n"/>
      <c r="AD114" s="11" t="n"/>
      <c r="AE114" s="11" t="n"/>
      <c r="AF114" s="11" t="n"/>
      <c r="AG114" s="11" t="n"/>
      <c r="AH114" s="12" t="n"/>
      <c r="AI114" s="12" t="n"/>
    </row>
    <row r="115">
      <c r="A115" s="10" t="n"/>
      <c r="B115" s="10" t="n"/>
      <c r="C115" s="10" t="n"/>
      <c r="D115" s="10" t="n"/>
      <c r="E115" s="10" t="n"/>
      <c r="F115" s="10" t="n"/>
      <c r="G115" s="10" t="n"/>
      <c r="H115" s="10" t="n"/>
      <c r="I115" s="10" t="n"/>
      <c r="J115" s="10" t="n"/>
      <c r="K115" s="10" t="n"/>
      <c r="L115" s="11" t="n"/>
      <c r="M115" s="11" t="n"/>
      <c r="N115" s="11" t="n"/>
      <c r="O115" s="11">
        <f>IF(OR(L115="",M115=""),"",IFERROR(INDEX(LAYOUT!$D$2:$D$80,MATCH(L115&amp;"|"&amp;M115,LAYOUT!$E$2:$E$80,0)),""))</f>
        <v/>
      </c>
      <c r="P115" s="12">
        <f>IF(AND(L115="",M115=""),IF(AND(Q115="",R115="",V115="",W115=""),IF(OR($D115&lt;&gt;"",$E115&lt;&gt;""),"Belum ditempatkan",""),""),IF(L115="","CEK JENIS FIXTURE kosong",IF(AND(LEFT(L115,7)&lt;&gt;"Gondola",LEFT(L115,6)&lt;&gt;"Endcap"),"CEK Fixture 1 hanya Gondola atau Endcap",IF(M115="","CEK SHELVING KE kosong",IF(ISNA(MATCH(L115&amp;"|"&amp;M115,LAYOUT!$E$2:$E$80,0)),"CEK SHELVING KE di luar layout",IF($I115="","CEK SERIES kosong",IF(AND(N115&lt;&gt;"",NOT(ISNUMBER(N115))),"CEK URUTAN DISPLAY harus angka",IF($D115="","Zona STOCK",IF($E115="","CEK SKU DESCRIPTION kosong",IF(COUNTIFS($I$2:$I$500,$I115,L$2:L$500,"&lt;&gt;"&amp;L115,L$2:L$500,"&lt;&gt;")&gt;0,"CEK jenis fixture beda dalam satu series","OK"))))))))))</f>
        <v/>
      </c>
      <c r="Q115" s="11" t="n"/>
      <c r="R115" s="11" t="n"/>
      <c r="S115" s="11" t="n"/>
      <c r="T115" s="11">
        <f>IF(OR(Q115="",R115=""),"",IFERROR(INDEX(LAYOUT!$D$2:$D$80,MATCH(Q115&amp;"|"&amp;R115,LAYOUT!$E$2:$E$80,0)),""))</f>
        <v/>
      </c>
      <c r="U115" s="12">
        <f>IF(AND(Q115="",R115=""),IF(AND(L115="",M115="",V115="",W115=""),IF(OR($D115&lt;&gt;"",$E115&lt;&gt;""),"Belum ditempatkan",""),""),IF(Q115="","CEK JENIS FIXTURE kosong",IF(LEFT(Q115,4)&lt;&gt;"Wall","CEK Fixture 2 hanya Wall",IF(R115="","CEK SHELVING KE kosong",IF(ISNA(MATCH(Q115&amp;"|"&amp;R115,LAYOUT!$E$2:$E$80,0)),"CEK SHELVING KE di luar layout",IF($I115="","CEK SERIES kosong",IF(AND(S115&lt;&gt;"",NOT(ISNUMBER(S115))),"CEK URUTAN DISPLAY harus angka",IF($D115="","Zona STOCK",IF($E115="","CEK SKU DESCRIPTION kosong",IF(COUNTIFS($I$2:$I$500,$I115,Q$2:Q$500,"&lt;&gt;"&amp;Q115,Q$2:Q$500,"&lt;&gt;")&gt;0,"CEK jenis fixture beda dalam satu series","OK"))))))))))</f>
        <v/>
      </c>
      <c r="V115" s="11" t="n"/>
      <c r="W115" s="11" t="n"/>
      <c r="X115" s="11" t="n"/>
      <c r="Y115" s="11">
        <f>IF(OR(V115="",W115=""),"",IFERROR(INDEX(LAYOUT!$D$2:$D$80,MATCH(V115&amp;"|"&amp;W115,LAYOUT!$E$2:$E$80,0)),""))</f>
        <v/>
      </c>
      <c r="Z115" s="12">
        <f>IF(AND(V115="",W115=""),IF(AND(L115="",M115="",Q115="",R115=""),IF(OR($D115&lt;&gt;"",$E115&lt;&gt;""),"Belum ditempatkan",""),""),IF(V115="","CEK JENIS FIXTURE kosong",IF(LEFT(V115,4)&lt;&gt;"Wall","CEK Fixture 3 hanya Wall",IF(W115="","CEK SHELVING KE kosong",IF(ISNA(MATCH(V115&amp;"|"&amp;W115,LAYOUT!$E$2:$E$80,0)),"CEK SHELVING KE di luar layout",IF($I115="","CEK SERIES kosong",IF(AND(X115&lt;&gt;"",NOT(ISNUMBER(X115))),"CEK URUTAN DISPLAY harus angka",IF($D115="","Zona STOCK",IF($E115="","CEK SKU DESCRIPTION kosong",IF(COUNTIFS($I$2:$I$500,$I115,V$2:V$500,"&lt;&gt;"&amp;V115,V$2:V$500,"&lt;&gt;")&gt;0,"CEK jenis fixture beda dalam satu series","OK"))))))))))</f>
        <v/>
      </c>
      <c r="AA115" s="12" t="n"/>
      <c r="AB115" s="11" t="n"/>
      <c r="AC115" s="11" t="n"/>
      <c r="AD115" s="11" t="n"/>
      <c r="AE115" s="11" t="n"/>
      <c r="AF115" s="11" t="n"/>
      <c r="AG115" s="11" t="n"/>
      <c r="AH115" s="12" t="n"/>
      <c r="AI115" s="12" t="n"/>
    </row>
    <row r="116">
      <c r="A116" s="10" t="n"/>
      <c r="B116" s="10" t="n"/>
      <c r="C116" s="10" t="n"/>
      <c r="D116" s="10" t="n"/>
      <c r="E116" s="10" t="n"/>
      <c r="F116" s="10" t="n"/>
      <c r="G116" s="10" t="n"/>
      <c r="H116" s="10" t="n"/>
      <c r="I116" s="10" t="n"/>
      <c r="J116" s="10" t="n"/>
      <c r="K116" s="10" t="n"/>
      <c r="L116" s="11" t="n"/>
      <c r="M116" s="11" t="n"/>
      <c r="N116" s="11" t="n"/>
      <c r="O116" s="11">
        <f>IF(OR(L116="",M116=""),"",IFERROR(INDEX(LAYOUT!$D$2:$D$80,MATCH(L116&amp;"|"&amp;M116,LAYOUT!$E$2:$E$80,0)),""))</f>
        <v/>
      </c>
      <c r="P116" s="12">
        <f>IF(AND(L116="",M116=""),IF(AND(Q116="",R116="",V116="",W116=""),IF(OR($D116&lt;&gt;"",$E116&lt;&gt;""),"Belum ditempatkan",""),""),IF(L116="","CEK JENIS FIXTURE kosong",IF(AND(LEFT(L116,7)&lt;&gt;"Gondola",LEFT(L116,6)&lt;&gt;"Endcap"),"CEK Fixture 1 hanya Gondola atau Endcap",IF(M116="","CEK SHELVING KE kosong",IF(ISNA(MATCH(L116&amp;"|"&amp;M116,LAYOUT!$E$2:$E$80,0)),"CEK SHELVING KE di luar layout",IF($I116="","CEK SERIES kosong",IF(AND(N116&lt;&gt;"",NOT(ISNUMBER(N116))),"CEK URUTAN DISPLAY harus angka",IF($D116="","Zona STOCK",IF($E116="","CEK SKU DESCRIPTION kosong",IF(COUNTIFS($I$2:$I$500,$I116,L$2:L$500,"&lt;&gt;"&amp;L116,L$2:L$500,"&lt;&gt;")&gt;0,"CEK jenis fixture beda dalam satu series","OK"))))))))))</f>
        <v/>
      </c>
      <c r="Q116" s="11" t="n"/>
      <c r="R116" s="11" t="n"/>
      <c r="S116" s="11" t="n"/>
      <c r="T116" s="11">
        <f>IF(OR(Q116="",R116=""),"",IFERROR(INDEX(LAYOUT!$D$2:$D$80,MATCH(Q116&amp;"|"&amp;R116,LAYOUT!$E$2:$E$80,0)),""))</f>
        <v/>
      </c>
      <c r="U116" s="12">
        <f>IF(AND(Q116="",R116=""),IF(AND(L116="",M116="",V116="",W116=""),IF(OR($D116&lt;&gt;"",$E116&lt;&gt;""),"Belum ditempatkan",""),""),IF(Q116="","CEK JENIS FIXTURE kosong",IF(LEFT(Q116,4)&lt;&gt;"Wall","CEK Fixture 2 hanya Wall",IF(R116="","CEK SHELVING KE kosong",IF(ISNA(MATCH(Q116&amp;"|"&amp;R116,LAYOUT!$E$2:$E$80,0)),"CEK SHELVING KE di luar layout",IF($I116="","CEK SERIES kosong",IF(AND(S116&lt;&gt;"",NOT(ISNUMBER(S116))),"CEK URUTAN DISPLAY harus angka",IF($D116="","Zona STOCK",IF($E116="","CEK SKU DESCRIPTION kosong",IF(COUNTIFS($I$2:$I$500,$I116,Q$2:Q$500,"&lt;&gt;"&amp;Q116,Q$2:Q$500,"&lt;&gt;")&gt;0,"CEK jenis fixture beda dalam satu series","OK"))))))))))</f>
        <v/>
      </c>
      <c r="V116" s="11" t="n"/>
      <c r="W116" s="11" t="n"/>
      <c r="X116" s="11" t="n"/>
      <c r="Y116" s="11">
        <f>IF(OR(V116="",W116=""),"",IFERROR(INDEX(LAYOUT!$D$2:$D$80,MATCH(V116&amp;"|"&amp;W116,LAYOUT!$E$2:$E$80,0)),""))</f>
        <v/>
      </c>
      <c r="Z116" s="12">
        <f>IF(AND(V116="",W116=""),IF(AND(L116="",M116="",Q116="",R116=""),IF(OR($D116&lt;&gt;"",$E116&lt;&gt;""),"Belum ditempatkan",""),""),IF(V116="","CEK JENIS FIXTURE kosong",IF(LEFT(V116,4)&lt;&gt;"Wall","CEK Fixture 3 hanya Wall",IF(W116="","CEK SHELVING KE kosong",IF(ISNA(MATCH(V116&amp;"|"&amp;W116,LAYOUT!$E$2:$E$80,0)),"CEK SHELVING KE di luar layout",IF($I116="","CEK SERIES kosong",IF(AND(X116&lt;&gt;"",NOT(ISNUMBER(X116))),"CEK URUTAN DISPLAY harus angka",IF($D116="","Zona STOCK",IF($E116="","CEK SKU DESCRIPTION kosong",IF(COUNTIFS($I$2:$I$500,$I116,V$2:V$500,"&lt;&gt;"&amp;V116,V$2:V$500,"&lt;&gt;")&gt;0,"CEK jenis fixture beda dalam satu series","OK"))))))))))</f>
        <v/>
      </c>
      <c r="AA116" s="12" t="n"/>
      <c r="AB116" s="11" t="n"/>
      <c r="AC116" s="11" t="n"/>
      <c r="AD116" s="11" t="n"/>
      <c r="AE116" s="11" t="n"/>
      <c r="AF116" s="11" t="n"/>
      <c r="AG116" s="11" t="n"/>
      <c r="AH116" s="12" t="n"/>
      <c r="AI116" s="12" t="n"/>
    </row>
    <row r="117">
      <c r="A117" s="10" t="n"/>
      <c r="B117" s="10" t="n"/>
      <c r="C117" s="10" t="n"/>
      <c r="D117" s="10" t="n"/>
      <c r="E117" s="10" t="n"/>
      <c r="F117" s="10" t="n"/>
      <c r="G117" s="10" t="n"/>
      <c r="H117" s="10" t="n"/>
      <c r="I117" s="10" t="n"/>
      <c r="J117" s="10" t="n"/>
      <c r="K117" s="10" t="n"/>
      <c r="L117" s="11" t="n"/>
      <c r="M117" s="11" t="n"/>
      <c r="N117" s="11" t="n"/>
      <c r="O117" s="11">
        <f>IF(OR(L117="",M117=""),"",IFERROR(INDEX(LAYOUT!$D$2:$D$80,MATCH(L117&amp;"|"&amp;M117,LAYOUT!$E$2:$E$80,0)),""))</f>
        <v/>
      </c>
      <c r="P117" s="12">
        <f>IF(AND(L117="",M117=""),IF(AND(Q117="",R117="",V117="",W117=""),IF(OR($D117&lt;&gt;"",$E117&lt;&gt;""),"Belum ditempatkan",""),""),IF(L117="","CEK JENIS FIXTURE kosong",IF(AND(LEFT(L117,7)&lt;&gt;"Gondola",LEFT(L117,6)&lt;&gt;"Endcap"),"CEK Fixture 1 hanya Gondola atau Endcap",IF(M117="","CEK SHELVING KE kosong",IF(ISNA(MATCH(L117&amp;"|"&amp;M117,LAYOUT!$E$2:$E$80,0)),"CEK SHELVING KE di luar layout",IF($I117="","CEK SERIES kosong",IF(AND(N117&lt;&gt;"",NOT(ISNUMBER(N117))),"CEK URUTAN DISPLAY harus angka",IF($D117="","Zona STOCK",IF($E117="","CEK SKU DESCRIPTION kosong",IF(COUNTIFS($I$2:$I$500,$I117,L$2:L$500,"&lt;&gt;"&amp;L117,L$2:L$500,"&lt;&gt;")&gt;0,"CEK jenis fixture beda dalam satu series","OK"))))))))))</f>
        <v/>
      </c>
      <c r="Q117" s="11" t="n"/>
      <c r="R117" s="11" t="n"/>
      <c r="S117" s="11" t="n"/>
      <c r="T117" s="11">
        <f>IF(OR(Q117="",R117=""),"",IFERROR(INDEX(LAYOUT!$D$2:$D$80,MATCH(Q117&amp;"|"&amp;R117,LAYOUT!$E$2:$E$80,0)),""))</f>
        <v/>
      </c>
      <c r="U117" s="12">
        <f>IF(AND(Q117="",R117=""),IF(AND(L117="",M117="",V117="",W117=""),IF(OR($D117&lt;&gt;"",$E117&lt;&gt;""),"Belum ditempatkan",""),""),IF(Q117="","CEK JENIS FIXTURE kosong",IF(LEFT(Q117,4)&lt;&gt;"Wall","CEK Fixture 2 hanya Wall",IF(R117="","CEK SHELVING KE kosong",IF(ISNA(MATCH(Q117&amp;"|"&amp;R117,LAYOUT!$E$2:$E$80,0)),"CEK SHELVING KE di luar layout",IF($I117="","CEK SERIES kosong",IF(AND(S117&lt;&gt;"",NOT(ISNUMBER(S117))),"CEK URUTAN DISPLAY harus angka",IF($D117="","Zona STOCK",IF($E117="","CEK SKU DESCRIPTION kosong",IF(COUNTIFS($I$2:$I$500,$I117,Q$2:Q$500,"&lt;&gt;"&amp;Q117,Q$2:Q$500,"&lt;&gt;")&gt;0,"CEK jenis fixture beda dalam satu series","OK"))))))))))</f>
        <v/>
      </c>
      <c r="V117" s="11" t="n"/>
      <c r="W117" s="11" t="n"/>
      <c r="X117" s="11" t="n"/>
      <c r="Y117" s="11">
        <f>IF(OR(V117="",W117=""),"",IFERROR(INDEX(LAYOUT!$D$2:$D$80,MATCH(V117&amp;"|"&amp;W117,LAYOUT!$E$2:$E$80,0)),""))</f>
        <v/>
      </c>
      <c r="Z117" s="12">
        <f>IF(AND(V117="",W117=""),IF(AND(L117="",M117="",Q117="",R117=""),IF(OR($D117&lt;&gt;"",$E117&lt;&gt;""),"Belum ditempatkan",""),""),IF(V117="","CEK JENIS FIXTURE kosong",IF(LEFT(V117,4)&lt;&gt;"Wall","CEK Fixture 3 hanya Wall",IF(W117="","CEK SHELVING KE kosong",IF(ISNA(MATCH(V117&amp;"|"&amp;W117,LAYOUT!$E$2:$E$80,0)),"CEK SHELVING KE di luar layout",IF($I117="","CEK SERIES kosong",IF(AND(X117&lt;&gt;"",NOT(ISNUMBER(X117))),"CEK URUTAN DISPLAY harus angka",IF($D117="","Zona STOCK",IF($E117="","CEK SKU DESCRIPTION kosong",IF(COUNTIFS($I$2:$I$500,$I117,V$2:V$500,"&lt;&gt;"&amp;V117,V$2:V$500,"&lt;&gt;")&gt;0,"CEK jenis fixture beda dalam satu series","OK"))))))))))</f>
        <v/>
      </c>
      <c r="AA117" s="12" t="n"/>
      <c r="AB117" s="11" t="n"/>
      <c r="AC117" s="11" t="n"/>
      <c r="AD117" s="11" t="n"/>
      <c r="AE117" s="11" t="n"/>
      <c r="AF117" s="11" t="n"/>
      <c r="AG117" s="11" t="n"/>
      <c r="AH117" s="12" t="n"/>
      <c r="AI117" s="12" t="n"/>
    </row>
    <row r="118">
      <c r="A118" s="10" t="n"/>
      <c r="B118" s="10" t="n"/>
      <c r="C118" s="10" t="n"/>
      <c r="D118" s="10" t="n"/>
      <c r="E118" s="10" t="n"/>
      <c r="F118" s="10" t="n"/>
      <c r="G118" s="10" t="n"/>
      <c r="H118" s="10" t="n"/>
      <c r="I118" s="10" t="n"/>
      <c r="J118" s="10" t="n"/>
      <c r="K118" s="10" t="n"/>
      <c r="L118" s="11" t="n"/>
      <c r="M118" s="11" t="n"/>
      <c r="N118" s="11" t="n"/>
      <c r="O118" s="11">
        <f>IF(OR(L118="",M118=""),"",IFERROR(INDEX(LAYOUT!$D$2:$D$80,MATCH(L118&amp;"|"&amp;M118,LAYOUT!$E$2:$E$80,0)),""))</f>
        <v/>
      </c>
      <c r="P118" s="12">
        <f>IF(AND(L118="",M118=""),IF(AND(Q118="",R118="",V118="",W118=""),IF(OR($D118&lt;&gt;"",$E118&lt;&gt;""),"Belum ditempatkan",""),""),IF(L118="","CEK JENIS FIXTURE kosong",IF(AND(LEFT(L118,7)&lt;&gt;"Gondola",LEFT(L118,6)&lt;&gt;"Endcap"),"CEK Fixture 1 hanya Gondola atau Endcap",IF(M118="","CEK SHELVING KE kosong",IF(ISNA(MATCH(L118&amp;"|"&amp;M118,LAYOUT!$E$2:$E$80,0)),"CEK SHELVING KE di luar layout",IF($I118="","CEK SERIES kosong",IF(AND(N118&lt;&gt;"",NOT(ISNUMBER(N118))),"CEK URUTAN DISPLAY harus angka",IF($D118="","Zona STOCK",IF($E118="","CEK SKU DESCRIPTION kosong",IF(COUNTIFS($I$2:$I$500,$I118,L$2:L$500,"&lt;&gt;"&amp;L118,L$2:L$500,"&lt;&gt;")&gt;0,"CEK jenis fixture beda dalam satu series","OK"))))))))))</f>
        <v/>
      </c>
      <c r="Q118" s="11" t="n"/>
      <c r="R118" s="11" t="n"/>
      <c r="S118" s="11" t="n"/>
      <c r="T118" s="11">
        <f>IF(OR(Q118="",R118=""),"",IFERROR(INDEX(LAYOUT!$D$2:$D$80,MATCH(Q118&amp;"|"&amp;R118,LAYOUT!$E$2:$E$80,0)),""))</f>
        <v/>
      </c>
      <c r="U118" s="12">
        <f>IF(AND(Q118="",R118=""),IF(AND(L118="",M118="",V118="",W118=""),IF(OR($D118&lt;&gt;"",$E118&lt;&gt;""),"Belum ditempatkan",""),""),IF(Q118="","CEK JENIS FIXTURE kosong",IF(LEFT(Q118,4)&lt;&gt;"Wall","CEK Fixture 2 hanya Wall",IF(R118="","CEK SHELVING KE kosong",IF(ISNA(MATCH(Q118&amp;"|"&amp;R118,LAYOUT!$E$2:$E$80,0)),"CEK SHELVING KE di luar layout",IF($I118="","CEK SERIES kosong",IF(AND(S118&lt;&gt;"",NOT(ISNUMBER(S118))),"CEK URUTAN DISPLAY harus angka",IF($D118="","Zona STOCK",IF($E118="","CEK SKU DESCRIPTION kosong",IF(COUNTIFS($I$2:$I$500,$I118,Q$2:Q$500,"&lt;&gt;"&amp;Q118,Q$2:Q$500,"&lt;&gt;")&gt;0,"CEK jenis fixture beda dalam satu series","OK"))))))))))</f>
        <v/>
      </c>
      <c r="V118" s="11" t="n"/>
      <c r="W118" s="11" t="n"/>
      <c r="X118" s="11" t="n"/>
      <c r="Y118" s="11">
        <f>IF(OR(V118="",W118=""),"",IFERROR(INDEX(LAYOUT!$D$2:$D$80,MATCH(V118&amp;"|"&amp;W118,LAYOUT!$E$2:$E$80,0)),""))</f>
        <v/>
      </c>
      <c r="Z118" s="12">
        <f>IF(AND(V118="",W118=""),IF(AND(L118="",M118="",Q118="",R118=""),IF(OR($D118&lt;&gt;"",$E118&lt;&gt;""),"Belum ditempatkan",""),""),IF(V118="","CEK JENIS FIXTURE kosong",IF(LEFT(V118,4)&lt;&gt;"Wall","CEK Fixture 3 hanya Wall",IF(W118="","CEK SHELVING KE kosong",IF(ISNA(MATCH(V118&amp;"|"&amp;W118,LAYOUT!$E$2:$E$80,0)),"CEK SHELVING KE di luar layout",IF($I118="","CEK SERIES kosong",IF(AND(X118&lt;&gt;"",NOT(ISNUMBER(X118))),"CEK URUTAN DISPLAY harus angka",IF($D118="","Zona STOCK",IF($E118="","CEK SKU DESCRIPTION kosong",IF(COUNTIFS($I$2:$I$500,$I118,V$2:V$500,"&lt;&gt;"&amp;V118,V$2:V$500,"&lt;&gt;")&gt;0,"CEK jenis fixture beda dalam satu series","OK"))))))))))</f>
        <v/>
      </c>
      <c r="AA118" s="12" t="n"/>
      <c r="AB118" s="11" t="n"/>
      <c r="AC118" s="11" t="n"/>
      <c r="AD118" s="11" t="n"/>
      <c r="AE118" s="11" t="n"/>
      <c r="AF118" s="11" t="n"/>
      <c r="AG118" s="11" t="n"/>
      <c r="AH118" s="12" t="n"/>
      <c r="AI118" s="12" t="n"/>
    </row>
    <row r="119">
      <c r="A119" s="10" t="n"/>
      <c r="B119" s="10" t="n"/>
      <c r="C119" s="10" t="n"/>
      <c r="D119" s="10" t="n"/>
      <c r="E119" s="10" t="n"/>
      <c r="F119" s="10" t="n"/>
      <c r="G119" s="10" t="n"/>
      <c r="H119" s="10" t="n"/>
      <c r="I119" s="10" t="n"/>
      <c r="J119" s="10" t="n"/>
      <c r="K119" s="10" t="n"/>
      <c r="L119" s="11" t="n"/>
      <c r="M119" s="11" t="n"/>
      <c r="N119" s="11" t="n"/>
      <c r="O119" s="11">
        <f>IF(OR(L119="",M119=""),"",IFERROR(INDEX(LAYOUT!$D$2:$D$80,MATCH(L119&amp;"|"&amp;M119,LAYOUT!$E$2:$E$80,0)),""))</f>
        <v/>
      </c>
      <c r="P119" s="12">
        <f>IF(AND(L119="",M119=""),IF(AND(Q119="",R119="",V119="",W119=""),IF(OR($D119&lt;&gt;"",$E119&lt;&gt;""),"Belum ditempatkan",""),""),IF(L119="","CEK JENIS FIXTURE kosong",IF(AND(LEFT(L119,7)&lt;&gt;"Gondola",LEFT(L119,6)&lt;&gt;"Endcap"),"CEK Fixture 1 hanya Gondola atau Endcap",IF(M119="","CEK SHELVING KE kosong",IF(ISNA(MATCH(L119&amp;"|"&amp;M119,LAYOUT!$E$2:$E$80,0)),"CEK SHELVING KE di luar layout",IF($I119="","CEK SERIES kosong",IF(AND(N119&lt;&gt;"",NOT(ISNUMBER(N119))),"CEK URUTAN DISPLAY harus angka",IF($D119="","Zona STOCK",IF($E119="","CEK SKU DESCRIPTION kosong",IF(COUNTIFS($I$2:$I$500,$I119,L$2:L$500,"&lt;&gt;"&amp;L119,L$2:L$500,"&lt;&gt;")&gt;0,"CEK jenis fixture beda dalam satu series","OK"))))))))))</f>
        <v/>
      </c>
      <c r="Q119" s="11" t="n"/>
      <c r="R119" s="11" t="n"/>
      <c r="S119" s="11" t="n"/>
      <c r="T119" s="11">
        <f>IF(OR(Q119="",R119=""),"",IFERROR(INDEX(LAYOUT!$D$2:$D$80,MATCH(Q119&amp;"|"&amp;R119,LAYOUT!$E$2:$E$80,0)),""))</f>
        <v/>
      </c>
      <c r="U119" s="12">
        <f>IF(AND(Q119="",R119=""),IF(AND(L119="",M119="",V119="",W119=""),IF(OR($D119&lt;&gt;"",$E119&lt;&gt;""),"Belum ditempatkan",""),""),IF(Q119="","CEK JENIS FIXTURE kosong",IF(LEFT(Q119,4)&lt;&gt;"Wall","CEK Fixture 2 hanya Wall",IF(R119="","CEK SHELVING KE kosong",IF(ISNA(MATCH(Q119&amp;"|"&amp;R119,LAYOUT!$E$2:$E$80,0)),"CEK SHELVING KE di luar layout",IF($I119="","CEK SERIES kosong",IF(AND(S119&lt;&gt;"",NOT(ISNUMBER(S119))),"CEK URUTAN DISPLAY harus angka",IF($D119="","Zona STOCK",IF($E119="","CEK SKU DESCRIPTION kosong",IF(COUNTIFS($I$2:$I$500,$I119,Q$2:Q$500,"&lt;&gt;"&amp;Q119,Q$2:Q$500,"&lt;&gt;")&gt;0,"CEK jenis fixture beda dalam satu series","OK"))))))))))</f>
        <v/>
      </c>
      <c r="V119" s="11" t="n"/>
      <c r="W119" s="11" t="n"/>
      <c r="X119" s="11" t="n"/>
      <c r="Y119" s="11">
        <f>IF(OR(V119="",W119=""),"",IFERROR(INDEX(LAYOUT!$D$2:$D$80,MATCH(V119&amp;"|"&amp;W119,LAYOUT!$E$2:$E$80,0)),""))</f>
        <v/>
      </c>
      <c r="Z119" s="12">
        <f>IF(AND(V119="",W119=""),IF(AND(L119="",M119="",Q119="",R119=""),IF(OR($D119&lt;&gt;"",$E119&lt;&gt;""),"Belum ditempatkan",""),""),IF(V119="","CEK JENIS FIXTURE kosong",IF(LEFT(V119,4)&lt;&gt;"Wall","CEK Fixture 3 hanya Wall",IF(W119="","CEK SHELVING KE kosong",IF(ISNA(MATCH(V119&amp;"|"&amp;W119,LAYOUT!$E$2:$E$80,0)),"CEK SHELVING KE di luar layout",IF($I119="","CEK SERIES kosong",IF(AND(X119&lt;&gt;"",NOT(ISNUMBER(X119))),"CEK URUTAN DISPLAY harus angka",IF($D119="","Zona STOCK",IF($E119="","CEK SKU DESCRIPTION kosong",IF(COUNTIFS($I$2:$I$500,$I119,V$2:V$500,"&lt;&gt;"&amp;V119,V$2:V$500,"&lt;&gt;")&gt;0,"CEK jenis fixture beda dalam satu series","OK"))))))))))</f>
        <v/>
      </c>
      <c r="AA119" s="12" t="n"/>
      <c r="AB119" s="11" t="n"/>
      <c r="AC119" s="11" t="n"/>
      <c r="AD119" s="11" t="n"/>
      <c r="AE119" s="11" t="n"/>
      <c r="AF119" s="11" t="n"/>
      <c r="AG119" s="11" t="n"/>
      <c r="AH119" s="12" t="n"/>
      <c r="AI119" s="12" t="n"/>
    </row>
    <row r="120">
      <c r="A120" s="10" t="n"/>
      <c r="B120" s="10" t="n"/>
      <c r="C120" s="10" t="n"/>
      <c r="D120" s="10" t="n"/>
      <c r="E120" s="10" t="n"/>
      <c r="F120" s="10" t="n"/>
      <c r="G120" s="10" t="n"/>
      <c r="H120" s="10" t="n"/>
      <c r="I120" s="10" t="n"/>
      <c r="J120" s="10" t="n"/>
      <c r="K120" s="10" t="n"/>
      <c r="L120" s="11" t="n"/>
      <c r="M120" s="11" t="n"/>
      <c r="N120" s="11" t="n"/>
      <c r="O120" s="11">
        <f>IF(OR(L120="",M120=""),"",IFERROR(INDEX(LAYOUT!$D$2:$D$80,MATCH(L120&amp;"|"&amp;M120,LAYOUT!$E$2:$E$80,0)),""))</f>
        <v/>
      </c>
      <c r="P120" s="12">
        <f>IF(AND(L120="",M120=""),IF(AND(Q120="",R120="",V120="",W120=""),IF(OR($D120&lt;&gt;"",$E120&lt;&gt;""),"Belum ditempatkan",""),""),IF(L120="","CEK JENIS FIXTURE kosong",IF(AND(LEFT(L120,7)&lt;&gt;"Gondola",LEFT(L120,6)&lt;&gt;"Endcap"),"CEK Fixture 1 hanya Gondola atau Endcap",IF(M120="","CEK SHELVING KE kosong",IF(ISNA(MATCH(L120&amp;"|"&amp;M120,LAYOUT!$E$2:$E$80,0)),"CEK SHELVING KE di luar layout",IF($I120="","CEK SERIES kosong",IF(AND(N120&lt;&gt;"",NOT(ISNUMBER(N120))),"CEK URUTAN DISPLAY harus angka",IF($D120="","Zona STOCK",IF($E120="","CEK SKU DESCRIPTION kosong",IF(COUNTIFS($I$2:$I$500,$I120,L$2:L$500,"&lt;&gt;"&amp;L120,L$2:L$500,"&lt;&gt;")&gt;0,"CEK jenis fixture beda dalam satu series","OK"))))))))))</f>
        <v/>
      </c>
      <c r="Q120" s="11" t="n"/>
      <c r="R120" s="11" t="n"/>
      <c r="S120" s="11" t="n"/>
      <c r="T120" s="11">
        <f>IF(OR(Q120="",R120=""),"",IFERROR(INDEX(LAYOUT!$D$2:$D$80,MATCH(Q120&amp;"|"&amp;R120,LAYOUT!$E$2:$E$80,0)),""))</f>
        <v/>
      </c>
      <c r="U120" s="12">
        <f>IF(AND(Q120="",R120=""),IF(AND(L120="",M120="",V120="",W120=""),IF(OR($D120&lt;&gt;"",$E120&lt;&gt;""),"Belum ditempatkan",""),""),IF(Q120="","CEK JENIS FIXTURE kosong",IF(LEFT(Q120,4)&lt;&gt;"Wall","CEK Fixture 2 hanya Wall",IF(R120="","CEK SHELVING KE kosong",IF(ISNA(MATCH(Q120&amp;"|"&amp;R120,LAYOUT!$E$2:$E$80,0)),"CEK SHELVING KE di luar layout",IF($I120="","CEK SERIES kosong",IF(AND(S120&lt;&gt;"",NOT(ISNUMBER(S120))),"CEK URUTAN DISPLAY harus angka",IF($D120="","Zona STOCK",IF($E120="","CEK SKU DESCRIPTION kosong",IF(COUNTIFS($I$2:$I$500,$I120,Q$2:Q$500,"&lt;&gt;"&amp;Q120,Q$2:Q$500,"&lt;&gt;")&gt;0,"CEK jenis fixture beda dalam satu series","OK"))))))))))</f>
        <v/>
      </c>
      <c r="V120" s="11" t="n"/>
      <c r="W120" s="11" t="n"/>
      <c r="X120" s="11" t="n"/>
      <c r="Y120" s="11">
        <f>IF(OR(V120="",W120=""),"",IFERROR(INDEX(LAYOUT!$D$2:$D$80,MATCH(V120&amp;"|"&amp;W120,LAYOUT!$E$2:$E$80,0)),""))</f>
        <v/>
      </c>
      <c r="Z120" s="12">
        <f>IF(AND(V120="",W120=""),IF(AND(L120="",M120="",Q120="",R120=""),IF(OR($D120&lt;&gt;"",$E120&lt;&gt;""),"Belum ditempatkan",""),""),IF(V120="","CEK JENIS FIXTURE kosong",IF(LEFT(V120,4)&lt;&gt;"Wall","CEK Fixture 3 hanya Wall",IF(W120="","CEK SHELVING KE kosong",IF(ISNA(MATCH(V120&amp;"|"&amp;W120,LAYOUT!$E$2:$E$80,0)),"CEK SHELVING KE di luar layout",IF($I120="","CEK SERIES kosong",IF(AND(X120&lt;&gt;"",NOT(ISNUMBER(X120))),"CEK URUTAN DISPLAY harus angka",IF($D120="","Zona STOCK",IF($E120="","CEK SKU DESCRIPTION kosong",IF(COUNTIFS($I$2:$I$500,$I120,V$2:V$500,"&lt;&gt;"&amp;V120,V$2:V$500,"&lt;&gt;")&gt;0,"CEK jenis fixture beda dalam satu series","OK"))))))))))</f>
        <v/>
      </c>
      <c r="AA120" s="12" t="n"/>
      <c r="AB120" s="11" t="n"/>
      <c r="AC120" s="11" t="n"/>
      <c r="AD120" s="11" t="n"/>
      <c r="AE120" s="11" t="n"/>
      <c r="AF120" s="11" t="n"/>
      <c r="AG120" s="11" t="n"/>
      <c r="AH120" s="12" t="n"/>
      <c r="AI120" s="12" t="n"/>
    </row>
    <row r="121">
      <c r="A121" s="10" t="n"/>
      <c r="B121" s="10" t="n"/>
      <c r="C121" s="10" t="n"/>
      <c r="D121" s="10" t="n"/>
      <c r="E121" s="10" t="n"/>
      <c r="F121" s="10" t="n"/>
      <c r="G121" s="10" t="n"/>
      <c r="H121" s="10" t="n"/>
      <c r="I121" s="10" t="n"/>
      <c r="J121" s="10" t="n"/>
      <c r="K121" s="10" t="n"/>
      <c r="L121" s="11" t="n"/>
      <c r="M121" s="11" t="n"/>
      <c r="N121" s="11" t="n"/>
      <c r="O121" s="11">
        <f>IF(OR(L121="",M121=""),"",IFERROR(INDEX(LAYOUT!$D$2:$D$80,MATCH(L121&amp;"|"&amp;M121,LAYOUT!$E$2:$E$80,0)),""))</f>
        <v/>
      </c>
      <c r="P121" s="12">
        <f>IF(AND(L121="",M121=""),IF(AND(Q121="",R121="",V121="",W121=""),IF(OR($D121&lt;&gt;"",$E121&lt;&gt;""),"Belum ditempatkan",""),""),IF(L121="","CEK JENIS FIXTURE kosong",IF(AND(LEFT(L121,7)&lt;&gt;"Gondola",LEFT(L121,6)&lt;&gt;"Endcap"),"CEK Fixture 1 hanya Gondola atau Endcap",IF(M121="","CEK SHELVING KE kosong",IF(ISNA(MATCH(L121&amp;"|"&amp;M121,LAYOUT!$E$2:$E$80,0)),"CEK SHELVING KE di luar layout",IF($I121="","CEK SERIES kosong",IF(AND(N121&lt;&gt;"",NOT(ISNUMBER(N121))),"CEK URUTAN DISPLAY harus angka",IF($D121="","Zona STOCK",IF($E121="","CEK SKU DESCRIPTION kosong",IF(COUNTIFS($I$2:$I$500,$I121,L$2:L$500,"&lt;&gt;"&amp;L121,L$2:L$500,"&lt;&gt;")&gt;0,"CEK jenis fixture beda dalam satu series","OK"))))))))))</f>
        <v/>
      </c>
      <c r="Q121" s="11" t="n"/>
      <c r="R121" s="11" t="n"/>
      <c r="S121" s="11" t="n"/>
      <c r="T121" s="11">
        <f>IF(OR(Q121="",R121=""),"",IFERROR(INDEX(LAYOUT!$D$2:$D$80,MATCH(Q121&amp;"|"&amp;R121,LAYOUT!$E$2:$E$80,0)),""))</f>
        <v/>
      </c>
      <c r="U121" s="12">
        <f>IF(AND(Q121="",R121=""),IF(AND(L121="",M121="",V121="",W121=""),IF(OR($D121&lt;&gt;"",$E121&lt;&gt;""),"Belum ditempatkan",""),""),IF(Q121="","CEK JENIS FIXTURE kosong",IF(LEFT(Q121,4)&lt;&gt;"Wall","CEK Fixture 2 hanya Wall",IF(R121="","CEK SHELVING KE kosong",IF(ISNA(MATCH(Q121&amp;"|"&amp;R121,LAYOUT!$E$2:$E$80,0)),"CEK SHELVING KE di luar layout",IF($I121="","CEK SERIES kosong",IF(AND(S121&lt;&gt;"",NOT(ISNUMBER(S121))),"CEK URUTAN DISPLAY harus angka",IF($D121="","Zona STOCK",IF($E121="","CEK SKU DESCRIPTION kosong",IF(COUNTIFS($I$2:$I$500,$I121,Q$2:Q$500,"&lt;&gt;"&amp;Q121,Q$2:Q$500,"&lt;&gt;")&gt;0,"CEK jenis fixture beda dalam satu series","OK"))))))))))</f>
        <v/>
      </c>
      <c r="V121" s="11" t="n"/>
      <c r="W121" s="11" t="n"/>
      <c r="X121" s="11" t="n"/>
      <c r="Y121" s="11">
        <f>IF(OR(V121="",W121=""),"",IFERROR(INDEX(LAYOUT!$D$2:$D$80,MATCH(V121&amp;"|"&amp;W121,LAYOUT!$E$2:$E$80,0)),""))</f>
        <v/>
      </c>
      <c r="Z121" s="12">
        <f>IF(AND(V121="",W121=""),IF(AND(L121="",M121="",Q121="",R121=""),IF(OR($D121&lt;&gt;"",$E121&lt;&gt;""),"Belum ditempatkan",""),""),IF(V121="","CEK JENIS FIXTURE kosong",IF(LEFT(V121,4)&lt;&gt;"Wall","CEK Fixture 3 hanya Wall",IF(W121="","CEK SHELVING KE kosong",IF(ISNA(MATCH(V121&amp;"|"&amp;W121,LAYOUT!$E$2:$E$80,0)),"CEK SHELVING KE di luar layout",IF($I121="","CEK SERIES kosong",IF(AND(X121&lt;&gt;"",NOT(ISNUMBER(X121))),"CEK URUTAN DISPLAY harus angka",IF($D121="","Zona STOCK",IF($E121="","CEK SKU DESCRIPTION kosong",IF(COUNTIFS($I$2:$I$500,$I121,V$2:V$500,"&lt;&gt;"&amp;V121,V$2:V$500,"&lt;&gt;")&gt;0,"CEK jenis fixture beda dalam satu series","OK"))))))))))</f>
        <v/>
      </c>
      <c r="AA121" s="12" t="n"/>
      <c r="AB121" s="11" t="n"/>
      <c r="AC121" s="11" t="n"/>
      <c r="AD121" s="11" t="n"/>
      <c r="AE121" s="11" t="n"/>
      <c r="AF121" s="11" t="n"/>
      <c r="AG121" s="11" t="n"/>
      <c r="AH121" s="12" t="n"/>
      <c r="AI121" s="12" t="n"/>
    </row>
    <row r="122">
      <c r="A122" s="10" t="n"/>
      <c r="B122" s="10" t="n"/>
      <c r="C122" s="10" t="n"/>
      <c r="D122" s="10" t="n"/>
      <c r="E122" s="10" t="n"/>
      <c r="F122" s="10" t="n"/>
      <c r="G122" s="10" t="n"/>
      <c r="H122" s="10" t="n"/>
      <c r="I122" s="10" t="n"/>
      <c r="J122" s="10" t="n"/>
      <c r="K122" s="10" t="n"/>
      <c r="L122" s="11" t="n"/>
      <c r="M122" s="11" t="n"/>
      <c r="N122" s="11" t="n"/>
      <c r="O122" s="11">
        <f>IF(OR(L122="",M122=""),"",IFERROR(INDEX(LAYOUT!$D$2:$D$80,MATCH(L122&amp;"|"&amp;M122,LAYOUT!$E$2:$E$80,0)),""))</f>
        <v/>
      </c>
      <c r="P122" s="12">
        <f>IF(AND(L122="",M122=""),IF(AND(Q122="",R122="",V122="",W122=""),IF(OR($D122&lt;&gt;"",$E122&lt;&gt;""),"Belum ditempatkan",""),""),IF(L122="","CEK JENIS FIXTURE kosong",IF(AND(LEFT(L122,7)&lt;&gt;"Gondola",LEFT(L122,6)&lt;&gt;"Endcap"),"CEK Fixture 1 hanya Gondola atau Endcap",IF(M122="","CEK SHELVING KE kosong",IF(ISNA(MATCH(L122&amp;"|"&amp;M122,LAYOUT!$E$2:$E$80,0)),"CEK SHELVING KE di luar layout",IF($I122="","CEK SERIES kosong",IF(AND(N122&lt;&gt;"",NOT(ISNUMBER(N122))),"CEK URUTAN DISPLAY harus angka",IF($D122="","Zona STOCK",IF($E122="","CEK SKU DESCRIPTION kosong",IF(COUNTIFS($I$2:$I$500,$I122,L$2:L$500,"&lt;&gt;"&amp;L122,L$2:L$500,"&lt;&gt;")&gt;0,"CEK jenis fixture beda dalam satu series","OK"))))))))))</f>
        <v/>
      </c>
      <c r="Q122" s="11" t="n"/>
      <c r="R122" s="11" t="n"/>
      <c r="S122" s="11" t="n"/>
      <c r="T122" s="11">
        <f>IF(OR(Q122="",R122=""),"",IFERROR(INDEX(LAYOUT!$D$2:$D$80,MATCH(Q122&amp;"|"&amp;R122,LAYOUT!$E$2:$E$80,0)),""))</f>
        <v/>
      </c>
      <c r="U122" s="12">
        <f>IF(AND(Q122="",R122=""),IF(AND(L122="",M122="",V122="",W122=""),IF(OR($D122&lt;&gt;"",$E122&lt;&gt;""),"Belum ditempatkan",""),""),IF(Q122="","CEK JENIS FIXTURE kosong",IF(LEFT(Q122,4)&lt;&gt;"Wall","CEK Fixture 2 hanya Wall",IF(R122="","CEK SHELVING KE kosong",IF(ISNA(MATCH(Q122&amp;"|"&amp;R122,LAYOUT!$E$2:$E$80,0)),"CEK SHELVING KE di luar layout",IF($I122="","CEK SERIES kosong",IF(AND(S122&lt;&gt;"",NOT(ISNUMBER(S122))),"CEK URUTAN DISPLAY harus angka",IF($D122="","Zona STOCK",IF($E122="","CEK SKU DESCRIPTION kosong",IF(COUNTIFS($I$2:$I$500,$I122,Q$2:Q$500,"&lt;&gt;"&amp;Q122,Q$2:Q$500,"&lt;&gt;")&gt;0,"CEK jenis fixture beda dalam satu series","OK"))))))))))</f>
        <v/>
      </c>
      <c r="V122" s="11" t="n"/>
      <c r="W122" s="11" t="n"/>
      <c r="X122" s="11" t="n"/>
      <c r="Y122" s="11">
        <f>IF(OR(V122="",W122=""),"",IFERROR(INDEX(LAYOUT!$D$2:$D$80,MATCH(V122&amp;"|"&amp;W122,LAYOUT!$E$2:$E$80,0)),""))</f>
        <v/>
      </c>
      <c r="Z122" s="12">
        <f>IF(AND(V122="",W122=""),IF(AND(L122="",M122="",Q122="",R122=""),IF(OR($D122&lt;&gt;"",$E122&lt;&gt;""),"Belum ditempatkan",""),""),IF(V122="","CEK JENIS FIXTURE kosong",IF(LEFT(V122,4)&lt;&gt;"Wall","CEK Fixture 3 hanya Wall",IF(W122="","CEK SHELVING KE kosong",IF(ISNA(MATCH(V122&amp;"|"&amp;W122,LAYOUT!$E$2:$E$80,0)),"CEK SHELVING KE di luar layout",IF($I122="","CEK SERIES kosong",IF(AND(X122&lt;&gt;"",NOT(ISNUMBER(X122))),"CEK URUTAN DISPLAY harus angka",IF($D122="","Zona STOCK",IF($E122="","CEK SKU DESCRIPTION kosong",IF(COUNTIFS($I$2:$I$500,$I122,V$2:V$500,"&lt;&gt;"&amp;V122,V$2:V$500,"&lt;&gt;")&gt;0,"CEK jenis fixture beda dalam satu series","OK"))))))))))</f>
        <v/>
      </c>
      <c r="AA122" s="12" t="n"/>
      <c r="AB122" s="11" t="n"/>
      <c r="AC122" s="11" t="n"/>
      <c r="AD122" s="11" t="n"/>
      <c r="AE122" s="11" t="n"/>
      <c r="AF122" s="11" t="n"/>
      <c r="AG122" s="11" t="n"/>
      <c r="AH122" s="12" t="n"/>
      <c r="AI122" s="12" t="n"/>
    </row>
    <row r="123">
      <c r="A123" s="10" t="n"/>
      <c r="B123" s="10" t="n"/>
      <c r="C123" s="10" t="n"/>
      <c r="D123" s="10" t="n"/>
      <c r="E123" s="10" t="n"/>
      <c r="F123" s="10" t="n"/>
      <c r="G123" s="10" t="n"/>
      <c r="H123" s="10" t="n"/>
      <c r="I123" s="10" t="n"/>
      <c r="J123" s="10" t="n"/>
      <c r="K123" s="10" t="n"/>
      <c r="L123" s="11" t="n"/>
      <c r="M123" s="11" t="n"/>
      <c r="N123" s="11" t="n"/>
      <c r="O123" s="11">
        <f>IF(OR(L123="",M123=""),"",IFERROR(INDEX(LAYOUT!$D$2:$D$80,MATCH(L123&amp;"|"&amp;M123,LAYOUT!$E$2:$E$80,0)),""))</f>
        <v/>
      </c>
      <c r="P123" s="12">
        <f>IF(AND(L123="",M123=""),IF(AND(Q123="",R123="",V123="",W123=""),IF(OR($D123&lt;&gt;"",$E123&lt;&gt;""),"Belum ditempatkan",""),""),IF(L123="","CEK JENIS FIXTURE kosong",IF(AND(LEFT(L123,7)&lt;&gt;"Gondola",LEFT(L123,6)&lt;&gt;"Endcap"),"CEK Fixture 1 hanya Gondola atau Endcap",IF(M123="","CEK SHELVING KE kosong",IF(ISNA(MATCH(L123&amp;"|"&amp;M123,LAYOUT!$E$2:$E$80,0)),"CEK SHELVING KE di luar layout",IF($I123="","CEK SERIES kosong",IF(AND(N123&lt;&gt;"",NOT(ISNUMBER(N123))),"CEK URUTAN DISPLAY harus angka",IF($D123="","Zona STOCK",IF($E123="","CEK SKU DESCRIPTION kosong",IF(COUNTIFS($I$2:$I$500,$I123,L$2:L$500,"&lt;&gt;"&amp;L123,L$2:L$500,"&lt;&gt;")&gt;0,"CEK jenis fixture beda dalam satu series","OK"))))))))))</f>
        <v/>
      </c>
      <c r="Q123" s="11" t="n"/>
      <c r="R123" s="11" t="n"/>
      <c r="S123" s="11" t="n"/>
      <c r="T123" s="11">
        <f>IF(OR(Q123="",R123=""),"",IFERROR(INDEX(LAYOUT!$D$2:$D$80,MATCH(Q123&amp;"|"&amp;R123,LAYOUT!$E$2:$E$80,0)),""))</f>
        <v/>
      </c>
      <c r="U123" s="12">
        <f>IF(AND(Q123="",R123=""),IF(AND(L123="",M123="",V123="",W123=""),IF(OR($D123&lt;&gt;"",$E123&lt;&gt;""),"Belum ditempatkan",""),""),IF(Q123="","CEK JENIS FIXTURE kosong",IF(LEFT(Q123,4)&lt;&gt;"Wall","CEK Fixture 2 hanya Wall",IF(R123="","CEK SHELVING KE kosong",IF(ISNA(MATCH(Q123&amp;"|"&amp;R123,LAYOUT!$E$2:$E$80,0)),"CEK SHELVING KE di luar layout",IF($I123="","CEK SERIES kosong",IF(AND(S123&lt;&gt;"",NOT(ISNUMBER(S123))),"CEK URUTAN DISPLAY harus angka",IF($D123="","Zona STOCK",IF($E123="","CEK SKU DESCRIPTION kosong",IF(COUNTIFS($I$2:$I$500,$I123,Q$2:Q$500,"&lt;&gt;"&amp;Q123,Q$2:Q$500,"&lt;&gt;")&gt;0,"CEK jenis fixture beda dalam satu series","OK"))))))))))</f>
        <v/>
      </c>
      <c r="V123" s="11" t="n"/>
      <c r="W123" s="11" t="n"/>
      <c r="X123" s="11" t="n"/>
      <c r="Y123" s="11">
        <f>IF(OR(V123="",W123=""),"",IFERROR(INDEX(LAYOUT!$D$2:$D$80,MATCH(V123&amp;"|"&amp;W123,LAYOUT!$E$2:$E$80,0)),""))</f>
        <v/>
      </c>
      <c r="Z123" s="12">
        <f>IF(AND(V123="",W123=""),IF(AND(L123="",M123="",Q123="",R123=""),IF(OR($D123&lt;&gt;"",$E123&lt;&gt;""),"Belum ditempatkan",""),""),IF(V123="","CEK JENIS FIXTURE kosong",IF(LEFT(V123,4)&lt;&gt;"Wall","CEK Fixture 3 hanya Wall",IF(W123="","CEK SHELVING KE kosong",IF(ISNA(MATCH(V123&amp;"|"&amp;W123,LAYOUT!$E$2:$E$80,0)),"CEK SHELVING KE di luar layout",IF($I123="","CEK SERIES kosong",IF(AND(X123&lt;&gt;"",NOT(ISNUMBER(X123))),"CEK URUTAN DISPLAY harus angka",IF($D123="","Zona STOCK",IF($E123="","CEK SKU DESCRIPTION kosong",IF(COUNTIFS($I$2:$I$500,$I123,V$2:V$500,"&lt;&gt;"&amp;V123,V$2:V$500,"&lt;&gt;")&gt;0,"CEK jenis fixture beda dalam satu series","OK"))))))))))</f>
        <v/>
      </c>
      <c r="AA123" s="12" t="n"/>
      <c r="AB123" s="11" t="n"/>
      <c r="AC123" s="11" t="n"/>
      <c r="AD123" s="11" t="n"/>
      <c r="AE123" s="11" t="n"/>
      <c r="AF123" s="11" t="n"/>
      <c r="AG123" s="11" t="n"/>
      <c r="AH123" s="12" t="n"/>
      <c r="AI123" s="12" t="n"/>
    </row>
    <row r="124">
      <c r="A124" s="10" t="n"/>
      <c r="B124" s="10" t="n"/>
      <c r="C124" s="10" t="n"/>
      <c r="D124" s="10" t="n"/>
      <c r="E124" s="10" t="n"/>
      <c r="F124" s="10" t="n"/>
      <c r="G124" s="10" t="n"/>
      <c r="H124" s="10" t="n"/>
      <c r="I124" s="10" t="n"/>
      <c r="J124" s="10" t="n"/>
      <c r="K124" s="10" t="n"/>
      <c r="L124" s="11" t="n"/>
      <c r="M124" s="11" t="n"/>
      <c r="N124" s="11" t="n"/>
      <c r="O124" s="11">
        <f>IF(OR(L124="",M124=""),"",IFERROR(INDEX(LAYOUT!$D$2:$D$80,MATCH(L124&amp;"|"&amp;M124,LAYOUT!$E$2:$E$80,0)),""))</f>
        <v/>
      </c>
      <c r="P124" s="12">
        <f>IF(AND(L124="",M124=""),IF(AND(Q124="",R124="",V124="",W124=""),IF(OR($D124&lt;&gt;"",$E124&lt;&gt;""),"Belum ditempatkan",""),""),IF(L124="","CEK JENIS FIXTURE kosong",IF(AND(LEFT(L124,7)&lt;&gt;"Gondola",LEFT(L124,6)&lt;&gt;"Endcap"),"CEK Fixture 1 hanya Gondola atau Endcap",IF(M124="","CEK SHELVING KE kosong",IF(ISNA(MATCH(L124&amp;"|"&amp;M124,LAYOUT!$E$2:$E$80,0)),"CEK SHELVING KE di luar layout",IF($I124="","CEK SERIES kosong",IF(AND(N124&lt;&gt;"",NOT(ISNUMBER(N124))),"CEK URUTAN DISPLAY harus angka",IF($D124="","Zona STOCK",IF($E124="","CEK SKU DESCRIPTION kosong",IF(COUNTIFS($I$2:$I$500,$I124,L$2:L$500,"&lt;&gt;"&amp;L124,L$2:L$500,"&lt;&gt;")&gt;0,"CEK jenis fixture beda dalam satu series","OK"))))))))))</f>
        <v/>
      </c>
      <c r="Q124" s="11" t="n"/>
      <c r="R124" s="11" t="n"/>
      <c r="S124" s="11" t="n"/>
      <c r="T124" s="11">
        <f>IF(OR(Q124="",R124=""),"",IFERROR(INDEX(LAYOUT!$D$2:$D$80,MATCH(Q124&amp;"|"&amp;R124,LAYOUT!$E$2:$E$80,0)),""))</f>
        <v/>
      </c>
      <c r="U124" s="12">
        <f>IF(AND(Q124="",R124=""),IF(AND(L124="",M124="",V124="",W124=""),IF(OR($D124&lt;&gt;"",$E124&lt;&gt;""),"Belum ditempatkan",""),""),IF(Q124="","CEK JENIS FIXTURE kosong",IF(LEFT(Q124,4)&lt;&gt;"Wall","CEK Fixture 2 hanya Wall",IF(R124="","CEK SHELVING KE kosong",IF(ISNA(MATCH(Q124&amp;"|"&amp;R124,LAYOUT!$E$2:$E$80,0)),"CEK SHELVING KE di luar layout",IF($I124="","CEK SERIES kosong",IF(AND(S124&lt;&gt;"",NOT(ISNUMBER(S124))),"CEK URUTAN DISPLAY harus angka",IF($D124="","Zona STOCK",IF($E124="","CEK SKU DESCRIPTION kosong",IF(COUNTIFS($I$2:$I$500,$I124,Q$2:Q$500,"&lt;&gt;"&amp;Q124,Q$2:Q$500,"&lt;&gt;")&gt;0,"CEK jenis fixture beda dalam satu series","OK"))))))))))</f>
        <v/>
      </c>
      <c r="V124" s="11" t="n"/>
      <c r="W124" s="11" t="n"/>
      <c r="X124" s="11" t="n"/>
      <c r="Y124" s="11">
        <f>IF(OR(V124="",W124=""),"",IFERROR(INDEX(LAYOUT!$D$2:$D$80,MATCH(V124&amp;"|"&amp;W124,LAYOUT!$E$2:$E$80,0)),""))</f>
        <v/>
      </c>
      <c r="Z124" s="12">
        <f>IF(AND(V124="",W124=""),IF(AND(L124="",M124="",Q124="",R124=""),IF(OR($D124&lt;&gt;"",$E124&lt;&gt;""),"Belum ditempatkan",""),""),IF(V124="","CEK JENIS FIXTURE kosong",IF(LEFT(V124,4)&lt;&gt;"Wall","CEK Fixture 3 hanya Wall",IF(W124="","CEK SHELVING KE kosong",IF(ISNA(MATCH(V124&amp;"|"&amp;W124,LAYOUT!$E$2:$E$80,0)),"CEK SHELVING KE di luar layout",IF($I124="","CEK SERIES kosong",IF(AND(X124&lt;&gt;"",NOT(ISNUMBER(X124))),"CEK URUTAN DISPLAY harus angka",IF($D124="","Zona STOCK",IF($E124="","CEK SKU DESCRIPTION kosong",IF(COUNTIFS($I$2:$I$500,$I124,V$2:V$500,"&lt;&gt;"&amp;V124,V$2:V$500,"&lt;&gt;")&gt;0,"CEK jenis fixture beda dalam satu series","OK"))))))))))</f>
        <v/>
      </c>
      <c r="AA124" s="12" t="n"/>
      <c r="AB124" s="11" t="n"/>
      <c r="AC124" s="11" t="n"/>
      <c r="AD124" s="11" t="n"/>
      <c r="AE124" s="11" t="n"/>
      <c r="AF124" s="11" t="n"/>
      <c r="AG124" s="11" t="n"/>
      <c r="AH124" s="12" t="n"/>
      <c r="AI124" s="12" t="n"/>
    </row>
    <row r="125">
      <c r="A125" s="10" t="n"/>
      <c r="B125" s="10" t="n"/>
      <c r="C125" s="10" t="n"/>
      <c r="D125" s="10" t="n"/>
      <c r="E125" s="10" t="n"/>
      <c r="F125" s="10" t="n"/>
      <c r="G125" s="10" t="n"/>
      <c r="H125" s="10" t="n"/>
      <c r="I125" s="10" t="n"/>
      <c r="J125" s="10" t="n"/>
      <c r="K125" s="10" t="n"/>
      <c r="L125" s="11" t="n"/>
      <c r="M125" s="11" t="n"/>
      <c r="N125" s="11" t="n"/>
      <c r="O125" s="11">
        <f>IF(OR(L125="",M125=""),"",IFERROR(INDEX(LAYOUT!$D$2:$D$80,MATCH(L125&amp;"|"&amp;M125,LAYOUT!$E$2:$E$80,0)),""))</f>
        <v/>
      </c>
      <c r="P125" s="12">
        <f>IF(AND(L125="",M125=""),IF(AND(Q125="",R125="",V125="",W125=""),IF(OR($D125&lt;&gt;"",$E125&lt;&gt;""),"Belum ditempatkan",""),""),IF(L125="","CEK JENIS FIXTURE kosong",IF(AND(LEFT(L125,7)&lt;&gt;"Gondola",LEFT(L125,6)&lt;&gt;"Endcap"),"CEK Fixture 1 hanya Gondola atau Endcap",IF(M125="","CEK SHELVING KE kosong",IF(ISNA(MATCH(L125&amp;"|"&amp;M125,LAYOUT!$E$2:$E$80,0)),"CEK SHELVING KE di luar layout",IF($I125="","CEK SERIES kosong",IF(AND(N125&lt;&gt;"",NOT(ISNUMBER(N125))),"CEK URUTAN DISPLAY harus angka",IF($D125="","Zona STOCK",IF($E125="","CEK SKU DESCRIPTION kosong",IF(COUNTIFS($I$2:$I$500,$I125,L$2:L$500,"&lt;&gt;"&amp;L125,L$2:L$500,"&lt;&gt;")&gt;0,"CEK jenis fixture beda dalam satu series","OK"))))))))))</f>
        <v/>
      </c>
      <c r="Q125" s="11" t="n"/>
      <c r="R125" s="11" t="n"/>
      <c r="S125" s="11" t="n"/>
      <c r="T125" s="11">
        <f>IF(OR(Q125="",R125=""),"",IFERROR(INDEX(LAYOUT!$D$2:$D$80,MATCH(Q125&amp;"|"&amp;R125,LAYOUT!$E$2:$E$80,0)),""))</f>
        <v/>
      </c>
      <c r="U125" s="12">
        <f>IF(AND(Q125="",R125=""),IF(AND(L125="",M125="",V125="",W125=""),IF(OR($D125&lt;&gt;"",$E125&lt;&gt;""),"Belum ditempatkan",""),""),IF(Q125="","CEK JENIS FIXTURE kosong",IF(LEFT(Q125,4)&lt;&gt;"Wall","CEK Fixture 2 hanya Wall",IF(R125="","CEK SHELVING KE kosong",IF(ISNA(MATCH(Q125&amp;"|"&amp;R125,LAYOUT!$E$2:$E$80,0)),"CEK SHELVING KE di luar layout",IF($I125="","CEK SERIES kosong",IF(AND(S125&lt;&gt;"",NOT(ISNUMBER(S125))),"CEK URUTAN DISPLAY harus angka",IF($D125="","Zona STOCK",IF($E125="","CEK SKU DESCRIPTION kosong",IF(COUNTIFS($I$2:$I$500,$I125,Q$2:Q$500,"&lt;&gt;"&amp;Q125,Q$2:Q$500,"&lt;&gt;")&gt;0,"CEK jenis fixture beda dalam satu series","OK"))))))))))</f>
        <v/>
      </c>
      <c r="V125" s="11" t="n"/>
      <c r="W125" s="11" t="n"/>
      <c r="X125" s="11" t="n"/>
      <c r="Y125" s="11">
        <f>IF(OR(V125="",W125=""),"",IFERROR(INDEX(LAYOUT!$D$2:$D$80,MATCH(V125&amp;"|"&amp;W125,LAYOUT!$E$2:$E$80,0)),""))</f>
        <v/>
      </c>
      <c r="Z125" s="12">
        <f>IF(AND(V125="",W125=""),IF(AND(L125="",M125="",Q125="",R125=""),IF(OR($D125&lt;&gt;"",$E125&lt;&gt;""),"Belum ditempatkan",""),""),IF(V125="","CEK JENIS FIXTURE kosong",IF(LEFT(V125,4)&lt;&gt;"Wall","CEK Fixture 3 hanya Wall",IF(W125="","CEK SHELVING KE kosong",IF(ISNA(MATCH(V125&amp;"|"&amp;W125,LAYOUT!$E$2:$E$80,0)),"CEK SHELVING KE di luar layout",IF($I125="","CEK SERIES kosong",IF(AND(X125&lt;&gt;"",NOT(ISNUMBER(X125))),"CEK URUTAN DISPLAY harus angka",IF($D125="","Zona STOCK",IF($E125="","CEK SKU DESCRIPTION kosong",IF(COUNTIFS($I$2:$I$500,$I125,V$2:V$500,"&lt;&gt;"&amp;V125,V$2:V$500,"&lt;&gt;")&gt;0,"CEK jenis fixture beda dalam satu series","OK"))))))))))</f>
        <v/>
      </c>
      <c r="AA125" s="12" t="n"/>
      <c r="AB125" s="11" t="n"/>
      <c r="AC125" s="11" t="n"/>
      <c r="AD125" s="11" t="n"/>
      <c r="AE125" s="11" t="n"/>
      <c r="AF125" s="11" t="n"/>
      <c r="AG125" s="11" t="n"/>
      <c r="AH125" s="12" t="n"/>
      <c r="AI125" s="12" t="n"/>
    </row>
    <row r="126">
      <c r="A126" s="10" t="n"/>
      <c r="B126" s="10" t="n"/>
      <c r="C126" s="10" t="n"/>
      <c r="D126" s="10" t="n"/>
      <c r="E126" s="10" t="n"/>
      <c r="F126" s="10" t="n"/>
      <c r="G126" s="10" t="n"/>
      <c r="H126" s="10" t="n"/>
      <c r="I126" s="10" t="n"/>
      <c r="J126" s="10" t="n"/>
      <c r="K126" s="10" t="n"/>
      <c r="L126" s="11" t="n"/>
      <c r="M126" s="11" t="n"/>
      <c r="N126" s="11" t="n"/>
      <c r="O126" s="11">
        <f>IF(OR(L126="",M126=""),"",IFERROR(INDEX(LAYOUT!$D$2:$D$80,MATCH(L126&amp;"|"&amp;M126,LAYOUT!$E$2:$E$80,0)),""))</f>
        <v/>
      </c>
      <c r="P126" s="12">
        <f>IF(AND(L126="",M126=""),IF(AND(Q126="",R126="",V126="",W126=""),IF(OR($D126&lt;&gt;"",$E126&lt;&gt;""),"Belum ditempatkan",""),""),IF(L126="","CEK JENIS FIXTURE kosong",IF(AND(LEFT(L126,7)&lt;&gt;"Gondola",LEFT(L126,6)&lt;&gt;"Endcap"),"CEK Fixture 1 hanya Gondola atau Endcap",IF(M126="","CEK SHELVING KE kosong",IF(ISNA(MATCH(L126&amp;"|"&amp;M126,LAYOUT!$E$2:$E$80,0)),"CEK SHELVING KE di luar layout",IF($I126="","CEK SERIES kosong",IF(AND(N126&lt;&gt;"",NOT(ISNUMBER(N126))),"CEK URUTAN DISPLAY harus angka",IF($D126="","Zona STOCK",IF($E126="","CEK SKU DESCRIPTION kosong",IF(COUNTIFS($I$2:$I$500,$I126,L$2:L$500,"&lt;&gt;"&amp;L126,L$2:L$500,"&lt;&gt;")&gt;0,"CEK jenis fixture beda dalam satu series","OK"))))))))))</f>
        <v/>
      </c>
      <c r="Q126" s="11" t="n"/>
      <c r="R126" s="11" t="n"/>
      <c r="S126" s="11" t="n"/>
      <c r="T126" s="11">
        <f>IF(OR(Q126="",R126=""),"",IFERROR(INDEX(LAYOUT!$D$2:$D$80,MATCH(Q126&amp;"|"&amp;R126,LAYOUT!$E$2:$E$80,0)),""))</f>
        <v/>
      </c>
      <c r="U126" s="12">
        <f>IF(AND(Q126="",R126=""),IF(AND(L126="",M126="",V126="",W126=""),IF(OR($D126&lt;&gt;"",$E126&lt;&gt;""),"Belum ditempatkan",""),""),IF(Q126="","CEK JENIS FIXTURE kosong",IF(LEFT(Q126,4)&lt;&gt;"Wall","CEK Fixture 2 hanya Wall",IF(R126="","CEK SHELVING KE kosong",IF(ISNA(MATCH(Q126&amp;"|"&amp;R126,LAYOUT!$E$2:$E$80,0)),"CEK SHELVING KE di luar layout",IF($I126="","CEK SERIES kosong",IF(AND(S126&lt;&gt;"",NOT(ISNUMBER(S126))),"CEK URUTAN DISPLAY harus angka",IF($D126="","Zona STOCK",IF($E126="","CEK SKU DESCRIPTION kosong",IF(COUNTIFS($I$2:$I$500,$I126,Q$2:Q$500,"&lt;&gt;"&amp;Q126,Q$2:Q$500,"&lt;&gt;")&gt;0,"CEK jenis fixture beda dalam satu series","OK"))))))))))</f>
        <v/>
      </c>
      <c r="V126" s="11" t="n"/>
      <c r="W126" s="11" t="n"/>
      <c r="X126" s="11" t="n"/>
      <c r="Y126" s="11">
        <f>IF(OR(V126="",W126=""),"",IFERROR(INDEX(LAYOUT!$D$2:$D$80,MATCH(V126&amp;"|"&amp;W126,LAYOUT!$E$2:$E$80,0)),""))</f>
        <v/>
      </c>
      <c r="Z126" s="12">
        <f>IF(AND(V126="",W126=""),IF(AND(L126="",M126="",Q126="",R126=""),IF(OR($D126&lt;&gt;"",$E126&lt;&gt;""),"Belum ditempatkan",""),""),IF(V126="","CEK JENIS FIXTURE kosong",IF(LEFT(V126,4)&lt;&gt;"Wall","CEK Fixture 3 hanya Wall",IF(W126="","CEK SHELVING KE kosong",IF(ISNA(MATCH(V126&amp;"|"&amp;W126,LAYOUT!$E$2:$E$80,0)),"CEK SHELVING KE di luar layout",IF($I126="","CEK SERIES kosong",IF(AND(X126&lt;&gt;"",NOT(ISNUMBER(X126))),"CEK URUTAN DISPLAY harus angka",IF($D126="","Zona STOCK",IF($E126="","CEK SKU DESCRIPTION kosong",IF(COUNTIFS($I$2:$I$500,$I126,V$2:V$500,"&lt;&gt;"&amp;V126,V$2:V$500,"&lt;&gt;")&gt;0,"CEK jenis fixture beda dalam satu series","OK"))))))))))</f>
        <v/>
      </c>
      <c r="AA126" s="12" t="n"/>
      <c r="AB126" s="11" t="n"/>
      <c r="AC126" s="11" t="n"/>
      <c r="AD126" s="11" t="n"/>
      <c r="AE126" s="11" t="n"/>
      <c r="AF126" s="11" t="n"/>
      <c r="AG126" s="11" t="n"/>
      <c r="AH126" s="12" t="n"/>
      <c r="AI126" s="12" t="n"/>
    </row>
    <row r="127">
      <c r="A127" s="10" t="n"/>
      <c r="B127" s="10" t="n"/>
      <c r="C127" s="10" t="n"/>
      <c r="D127" s="10" t="n"/>
      <c r="E127" s="10" t="n"/>
      <c r="F127" s="10" t="n"/>
      <c r="G127" s="10" t="n"/>
      <c r="H127" s="10" t="n"/>
      <c r="I127" s="10" t="n"/>
      <c r="J127" s="10" t="n"/>
      <c r="K127" s="10" t="n"/>
      <c r="L127" s="11" t="n"/>
      <c r="M127" s="11" t="n"/>
      <c r="N127" s="11" t="n"/>
      <c r="O127" s="11">
        <f>IF(OR(L127="",M127=""),"",IFERROR(INDEX(LAYOUT!$D$2:$D$80,MATCH(L127&amp;"|"&amp;M127,LAYOUT!$E$2:$E$80,0)),""))</f>
        <v/>
      </c>
      <c r="P127" s="12">
        <f>IF(AND(L127="",M127=""),IF(AND(Q127="",R127="",V127="",W127=""),IF(OR($D127&lt;&gt;"",$E127&lt;&gt;""),"Belum ditempatkan",""),""),IF(L127="","CEK JENIS FIXTURE kosong",IF(AND(LEFT(L127,7)&lt;&gt;"Gondola",LEFT(L127,6)&lt;&gt;"Endcap"),"CEK Fixture 1 hanya Gondola atau Endcap",IF(M127="","CEK SHELVING KE kosong",IF(ISNA(MATCH(L127&amp;"|"&amp;M127,LAYOUT!$E$2:$E$80,0)),"CEK SHELVING KE di luar layout",IF($I127="","CEK SERIES kosong",IF(AND(N127&lt;&gt;"",NOT(ISNUMBER(N127))),"CEK URUTAN DISPLAY harus angka",IF($D127="","Zona STOCK",IF($E127="","CEK SKU DESCRIPTION kosong",IF(COUNTIFS($I$2:$I$500,$I127,L$2:L$500,"&lt;&gt;"&amp;L127,L$2:L$500,"&lt;&gt;")&gt;0,"CEK jenis fixture beda dalam satu series","OK"))))))))))</f>
        <v/>
      </c>
      <c r="Q127" s="11" t="n"/>
      <c r="R127" s="11" t="n"/>
      <c r="S127" s="11" t="n"/>
      <c r="T127" s="11">
        <f>IF(OR(Q127="",R127=""),"",IFERROR(INDEX(LAYOUT!$D$2:$D$80,MATCH(Q127&amp;"|"&amp;R127,LAYOUT!$E$2:$E$80,0)),""))</f>
        <v/>
      </c>
      <c r="U127" s="12">
        <f>IF(AND(Q127="",R127=""),IF(AND(L127="",M127="",V127="",W127=""),IF(OR($D127&lt;&gt;"",$E127&lt;&gt;""),"Belum ditempatkan",""),""),IF(Q127="","CEK JENIS FIXTURE kosong",IF(LEFT(Q127,4)&lt;&gt;"Wall","CEK Fixture 2 hanya Wall",IF(R127="","CEK SHELVING KE kosong",IF(ISNA(MATCH(Q127&amp;"|"&amp;R127,LAYOUT!$E$2:$E$80,0)),"CEK SHELVING KE di luar layout",IF($I127="","CEK SERIES kosong",IF(AND(S127&lt;&gt;"",NOT(ISNUMBER(S127))),"CEK URUTAN DISPLAY harus angka",IF($D127="","Zona STOCK",IF($E127="","CEK SKU DESCRIPTION kosong",IF(COUNTIFS($I$2:$I$500,$I127,Q$2:Q$500,"&lt;&gt;"&amp;Q127,Q$2:Q$500,"&lt;&gt;")&gt;0,"CEK jenis fixture beda dalam satu series","OK"))))))))))</f>
        <v/>
      </c>
      <c r="V127" s="11" t="n"/>
      <c r="W127" s="11" t="n"/>
      <c r="X127" s="11" t="n"/>
      <c r="Y127" s="11">
        <f>IF(OR(V127="",W127=""),"",IFERROR(INDEX(LAYOUT!$D$2:$D$80,MATCH(V127&amp;"|"&amp;W127,LAYOUT!$E$2:$E$80,0)),""))</f>
        <v/>
      </c>
      <c r="Z127" s="12">
        <f>IF(AND(V127="",W127=""),IF(AND(L127="",M127="",Q127="",R127=""),IF(OR($D127&lt;&gt;"",$E127&lt;&gt;""),"Belum ditempatkan",""),""),IF(V127="","CEK JENIS FIXTURE kosong",IF(LEFT(V127,4)&lt;&gt;"Wall","CEK Fixture 3 hanya Wall",IF(W127="","CEK SHELVING KE kosong",IF(ISNA(MATCH(V127&amp;"|"&amp;W127,LAYOUT!$E$2:$E$80,0)),"CEK SHELVING KE di luar layout",IF($I127="","CEK SERIES kosong",IF(AND(X127&lt;&gt;"",NOT(ISNUMBER(X127))),"CEK URUTAN DISPLAY harus angka",IF($D127="","Zona STOCK",IF($E127="","CEK SKU DESCRIPTION kosong",IF(COUNTIFS($I$2:$I$500,$I127,V$2:V$500,"&lt;&gt;"&amp;V127,V$2:V$500,"&lt;&gt;")&gt;0,"CEK jenis fixture beda dalam satu series","OK"))))))))))</f>
        <v/>
      </c>
      <c r="AA127" s="12" t="n"/>
      <c r="AB127" s="11" t="n"/>
      <c r="AC127" s="11" t="n"/>
      <c r="AD127" s="11" t="n"/>
      <c r="AE127" s="11" t="n"/>
      <c r="AF127" s="11" t="n"/>
      <c r="AG127" s="11" t="n"/>
      <c r="AH127" s="12" t="n"/>
      <c r="AI127" s="12" t="n"/>
    </row>
    <row r="128">
      <c r="A128" s="10" t="n"/>
      <c r="B128" s="10" t="n"/>
      <c r="C128" s="10" t="n"/>
      <c r="D128" s="10" t="n"/>
      <c r="E128" s="10" t="n"/>
      <c r="F128" s="10" t="n"/>
      <c r="G128" s="10" t="n"/>
      <c r="H128" s="10" t="n"/>
      <c r="I128" s="10" t="n"/>
      <c r="J128" s="10" t="n"/>
      <c r="K128" s="10" t="n"/>
      <c r="L128" s="11" t="n"/>
      <c r="M128" s="11" t="n"/>
      <c r="N128" s="11" t="n"/>
      <c r="O128" s="11">
        <f>IF(OR(L128="",M128=""),"",IFERROR(INDEX(LAYOUT!$D$2:$D$80,MATCH(L128&amp;"|"&amp;M128,LAYOUT!$E$2:$E$80,0)),""))</f>
        <v/>
      </c>
      <c r="P128" s="12">
        <f>IF(AND(L128="",M128=""),IF(AND(Q128="",R128="",V128="",W128=""),IF(OR($D128&lt;&gt;"",$E128&lt;&gt;""),"Belum ditempatkan",""),""),IF(L128="","CEK JENIS FIXTURE kosong",IF(AND(LEFT(L128,7)&lt;&gt;"Gondola",LEFT(L128,6)&lt;&gt;"Endcap"),"CEK Fixture 1 hanya Gondola atau Endcap",IF(M128="","CEK SHELVING KE kosong",IF(ISNA(MATCH(L128&amp;"|"&amp;M128,LAYOUT!$E$2:$E$80,0)),"CEK SHELVING KE di luar layout",IF($I128="","CEK SERIES kosong",IF(AND(N128&lt;&gt;"",NOT(ISNUMBER(N128))),"CEK URUTAN DISPLAY harus angka",IF($D128="","Zona STOCK",IF($E128="","CEK SKU DESCRIPTION kosong",IF(COUNTIFS($I$2:$I$500,$I128,L$2:L$500,"&lt;&gt;"&amp;L128,L$2:L$500,"&lt;&gt;")&gt;0,"CEK jenis fixture beda dalam satu series","OK"))))))))))</f>
        <v/>
      </c>
      <c r="Q128" s="11" t="n"/>
      <c r="R128" s="11" t="n"/>
      <c r="S128" s="11" t="n"/>
      <c r="T128" s="11">
        <f>IF(OR(Q128="",R128=""),"",IFERROR(INDEX(LAYOUT!$D$2:$D$80,MATCH(Q128&amp;"|"&amp;R128,LAYOUT!$E$2:$E$80,0)),""))</f>
        <v/>
      </c>
      <c r="U128" s="12">
        <f>IF(AND(Q128="",R128=""),IF(AND(L128="",M128="",V128="",W128=""),IF(OR($D128&lt;&gt;"",$E128&lt;&gt;""),"Belum ditempatkan",""),""),IF(Q128="","CEK JENIS FIXTURE kosong",IF(LEFT(Q128,4)&lt;&gt;"Wall","CEK Fixture 2 hanya Wall",IF(R128="","CEK SHELVING KE kosong",IF(ISNA(MATCH(Q128&amp;"|"&amp;R128,LAYOUT!$E$2:$E$80,0)),"CEK SHELVING KE di luar layout",IF($I128="","CEK SERIES kosong",IF(AND(S128&lt;&gt;"",NOT(ISNUMBER(S128))),"CEK URUTAN DISPLAY harus angka",IF($D128="","Zona STOCK",IF($E128="","CEK SKU DESCRIPTION kosong",IF(COUNTIFS($I$2:$I$500,$I128,Q$2:Q$500,"&lt;&gt;"&amp;Q128,Q$2:Q$500,"&lt;&gt;")&gt;0,"CEK jenis fixture beda dalam satu series","OK"))))))))))</f>
        <v/>
      </c>
      <c r="V128" s="11" t="n"/>
      <c r="W128" s="11" t="n"/>
      <c r="X128" s="11" t="n"/>
      <c r="Y128" s="11">
        <f>IF(OR(V128="",W128=""),"",IFERROR(INDEX(LAYOUT!$D$2:$D$80,MATCH(V128&amp;"|"&amp;W128,LAYOUT!$E$2:$E$80,0)),""))</f>
        <v/>
      </c>
      <c r="Z128" s="12">
        <f>IF(AND(V128="",W128=""),IF(AND(L128="",M128="",Q128="",R128=""),IF(OR($D128&lt;&gt;"",$E128&lt;&gt;""),"Belum ditempatkan",""),""),IF(V128="","CEK JENIS FIXTURE kosong",IF(LEFT(V128,4)&lt;&gt;"Wall","CEK Fixture 3 hanya Wall",IF(W128="","CEK SHELVING KE kosong",IF(ISNA(MATCH(V128&amp;"|"&amp;W128,LAYOUT!$E$2:$E$80,0)),"CEK SHELVING KE di luar layout",IF($I128="","CEK SERIES kosong",IF(AND(X128&lt;&gt;"",NOT(ISNUMBER(X128))),"CEK URUTAN DISPLAY harus angka",IF($D128="","Zona STOCK",IF($E128="","CEK SKU DESCRIPTION kosong",IF(COUNTIFS($I$2:$I$500,$I128,V$2:V$500,"&lt;&gt;"&amp;V128,V$2:V$500,"&lt;&gt;")&gt;0,"CEK jenis fixture beda dalam satu series","OK"))))))))))</f>
        <v/>
      </c>
      <c r="AA128" s="12" t="n"/>
      <c r="AB128" s="11" t="n"/>
      <c r="AC128" s="11" t="n"/>
      <c r="AD128" s="11" t="n"/>
      <c r="AE128" s="11" t="n"/>
      <c r="AF128" s="11" t="n"/>
      <c r="AG128" s="11" t="n"/>
      <c r="AH128" s="12" t="n"/>
      <c r="AI128" s="12" t="n"/>
    </row>
    <row r="129">
      <c r="A129" s="10" t="n"/>
      <c r="B129" s="10" t="n"/>
      <c r="C129" s="10" t="n"/>
      <c r="D129" s="10" t="n"/>
      <c r="E129" s="10" t="n"/>
      <c r="F129" s="10" t="n"/>
      <c r="G129" s="10" t="n"/>
      <c r="H129" s="10" t="n"/>
      <c r="I129" s="10" t="n"/>
      <c r="J129" s="10" t="n"/>
      <c r="K129" s="10" t="n"/>
      <c r="L129" s="11" t="n"/>
      <c r="M129" s="11" t="n"/>
      <c r="N129" s="11" t="n"/>
      <c r="O129" s="11">
        <f>IF(OR(L129="",M129=""),"",IFERROR(INDEX(LAYOUT!$D$2:$D$80,MATCH(L129&amp;"|"&amp;M129,LAYOUT!$E$2:$E$80,0)),""))</f>
        <v/>
      </c>
      <c r="P129" s="12">
        <f>IF(AND(L129="",M129=""),IF(AND(Q129="",R129="",V129="",W129=""),IF(OR($D129&lt;&gt;"",$E129&lt;&gt;""),"Belum ditempatkan",""),""),IF(L129="","CEK JENIS FIXTURE kosong",IF(AND(LEFT(L129,7)&lt;&gt;"Gondola",LEFT(L129,6)&lt;&gt;"Endcap"),"CEK Fixture 1 hanya Gondola atau Endcap",IF(M129="","CEK SHELVING KE kosong",IF(ISNA(MATCH(L129&amp;"|"&amp;M129,LAYOUT!$E$2:$E$80,0)),"CEK SHELVING KE di luar layout",IF($I129="","CEK SERIES kosong",IF(AND(N129&lt;&gt;"",NOT(ISNUMBER(N129))),"CEK URUTAN DISPLAY harus angka",IF($D129="","Zona STOCK",IF($E129="","CEK SKU DESCRIPTION kosong",IF(COUNTIFS($I$2:$I$500,$I129,L$2:L$500,"&lt;&gt;"&amp;L129,L$2:L$500,"&lt;&gt;")&gt;0,"CEK jenis fixture beda dalam satu series","OK"))))))))))</f>
        <v/>
      </c>
      <c r="Q129" s="11" t="n"/>
      <c r="R129" s="11" t="n"/>
      <c r="S129" s="11" t="n"/>
      <c r="T129" s="11">
        <f>IF(OR(Q129="",R129=""),"",IFERROR(INDEX(LAYOUT!$D$2:$D$80,MATCH(Q129&amp;"|"&amp;R129,LAYOUT!$E$2:$E$80,0)),""))</f>
        <v/>
      </c>
      <c r="U129" s="12">
        <f>IF(AND(Q129="",R129=""),IF(AND(L129="",M129="",V129="",W129=""),IF(OR($D129&lt;&gt;"",$E129&lt;&gt;""),"Belum ditempatkan",""),""),IF(Q129="","CEK JENIS FIXTURE kosong",IF(LEFT(Q129,4)&lt;&gt;"Wall","CEK Fixture 2 hanya Wall",IF(R129="","CEK SHELVING KE kosong",IF(ISNA(MATCH(Q129&amp;"|"&amp;R129,LAYOUT!$E$2:$E$80,0)),"CEK SHELVING KE di luar layout",IF($I129="","CEK SERIES kosong",IF(AND(S129&lt;&gt;"",NOT(ISNUMBER(S129))),"CEK URUTAN DISPLAY harus angka",IF($D129="","Zona STOCK",IF($E129="","CEK SKU DESCRIPTION kosong",IF(COUNTIFS($I$2:$I$500,$I129,Q$2:Q$500,"&lt;&gt;"&amp;Q129,Q$2:Q$500,"&lt;&gt;")&gt;0,"CEK jenis fixture beda dalam satu series","OK"))))))))))</f>
        <v/>
      </c>
      <c r="V129" s="11" t="n"/>
      <c r="W129" s="11" t="n"/>
      <c r="X129" s="11" t="n"/>
      <c r="Y129" s="11">
        <f>IF(OR(V129="",W129=""),"",IFERROR(INDEX(LAYOUT!$D$2:$D$80,MATCH(V129&amp;"|"&amp;W129,LAYOUT!$E$2:$E$80,0)),""))</f>
        <v/>
      </c>
      <c r="Z129" s="12">
        <f>IF(AND(V129="",W129=""),IF(AND(L129="",M129="",Q129="",R129=""),IF(OR($D129&lt;&gt;"",$E129&lt;&gt;""),"Belum ditempatkan",""),""),IF(V129="","CEK JENIS FIXTURE kosong",IF(LEFT(V129,4)&lt;&gt;"Wall","CEK Fixture 3 hanya Wall",IF(W129="","CEK SHELVING KE kosong",IF(ISNA(MATCH(V129&amp;"|"&amp;W129,LAYOUT!$E$2:$E$80,0)),"CEK SHELVING KE di luar layout",IF($I129="","CEK SERIES kosong",IF(AND(X129&lt;&gt;"",NOT(ISNUMBER(X129))),"CEK URUTAN DISPLAY harus angka",IF($D129="","Zona STOCK",IF($E129="","CEK SKU DESCRIPTION kosong",IF(COUNTIFS($I$2:$I$500,$I129,V$2:V$500,"&lt;&gt;"&amp;V129,V$2:V$500,"&lt;&gt;")&gt;0,"CEK jenis fixture beda dalam satu series","OK"))))))))))</f>
        <v/>
      </c>
      <c r="AA129" s="12" t="n"/>
      <c r="AB129" s="11" t="n"/>
      <c r="AC129" s="11" t="n"/>
      <c r="AD129" s="11" t="n"/>
      <c r="AE129" s="11" t="n"/>
      <c r="AF129" s="11" t="n"/>
      <c r="AG129" s="11" t="n"/>
      <c r="AH129" s="12" t="n"/>
      <c r="AI129" s="12" t="n"/>
    </row>
    <row r="130">
      <c r="A130" s="10" t="n"/>
      <c r="B130" s="10" t="n"/>
      <c r="C130" s="10" t="n"/>
      <c r="D130" s="10" t="n"/>
      <c r="E130" s="10" t="n"/>
      <c r="F130" s="10" t="n"/>
      <c r="G130" s="10" t="n"/>
      <c r="H130" s="10" t="n"/>
      <c r="I130" s="10" t="n"/>
      <c r="J130" s="10" t="n"/>
      <c r="K130" s="10" t="n"/>
      <c r="L130" s="11" t="n"/>
      <c r="M130" s="11" t="n"/>
      <c r="N130" s="11" t="n"/>
      <c r="O130" s="11">
        <f>IF(OR(L130="",M130=""),"",IFERROR(INDEX(LAYOUT!$D$2:$D$80,MATCH(L130&amp;"|"&amp;M130,LAYOUT!$E$2:$E$80,0)),""))</f>
        <v/>
      </c>
      <c r="P130" s="12">
        <f>IF(AND(L130="",M130=""),IF(AND(Q130="",R130="",V130="",W130=""),IF(OR($D130&lt;&gt;"",$E130&lt;&gt;""),"Belum ditempatkan",""),""),IF(L130="","CEK JENIS FIXTURE kosong",IF(AND(LEFT(L130,7)&lt;&gt;"Gondola",LEFT(L130,6)&lt;&gt;"Endcap"),"CEK Fixture 1 hanya Gondola atau Endcap",IF(M130="","CEK SHELVING KE kosong",IF(ISNA(MATCH(L130&amp;"|"&amp;M130,LAYOUT!$E$2:$E$80,0)),"CEK SHELVING KE di luar layout",IF($I130="","CEK SERIES kosong",IF(AND(N130&lt;&gt;"",NOT(ISNUMBER(N130))),"CEK URUTAN DISPLAY harus angka",IF($D130="","Zona STOCK",IF($E130="","CEK SKU DESCRIPTION kosong",IF(COUNTIFS($I$2:$I$500,$I130,L$2:L$500,"&lt;&gt;"&amp;L130,L$2:L$500,"&lt;&gt;")&gt;0,"CEK jenis fixture beda dalam satu series","OK"))))))))))</f>
        <v/>
      </c>
      <c r="Q130" s="11" t="n"/>
      <c r="R130" s="11" t="n"/>
      <c r="S130" s="11" t="n"/>
      <c r="T130" s="11">
        <f>IF(OR(Q130="",R130=""),"",IFERROR(INDEX(LAYOUT!$D$2:$D$80,MATCH(Q130&amp;"|"&amp;R130,LAYOUT!$E$2:$E$80,0)),""))</f>
        <v/>
      </c>
      <c r="U130" s="12">
        <f>IF(AND(Q130="",R130=""),IF(AND(L130="",M130="",V130="",W130=""),IF(OR($D130&lt;&gt;"",$E130&lt;&gt;""),"Belum ditempatkan",""),""),IF(Q130="","CEK JENIS FIXTURE kosong",IF(LEFT(Q130,4)&lt;&gt;"Wall","CEK Fixture 2 hanya Wall",IF(R130="","CEK SHELVING KE kosong",IF(ISNA(MATCH(Q130&amp;"|"&amp;R130,LAYOUT!$E$2:$E$80,0)),"CEK SHELVING KE di luar layout",IF($I130="","CEK SERIES kosong",IF(AND(S130&lt;&gt;"",NOT(ISNUMBER(S130))),"CEK URUTAN DISPLAY harus angka",IF($D130="","Zona STOCK",IF($E130="","CEK SKU DESCRIPTION kosong",IF(COUNTIFS($I$2:$I$500,$I130,Q$2:Q$500,"&lt;&gt;"&amp;Q130,Q$2:Q$500,"&lt;&gt;")&gt;0,"CEK jenis fixture beda dalam satu series","OK"))))))))))</f>
        <v/>
      </c>
      <c r="V130" s="11" t="n"/>
      <c r="W130" s="11" t="n"/>
      <c r="X130" s="11" t="n"/>
      <c r="Y130" s="11">
        <f>IF(OR(V130="",W130=""),"",IFERROR(INDEX(LAYOUT!$D$2:$D$80,MATCH(V130&amp;"|"&amp;W130,LAYOUT!$E$2:$E$80,0)),""))</f>
        <v/>
      </c>
      <c r="Z130" s="12">
        <f>IF(AND(V130="",W130=""),IF(AND(L130="",M130="",Q130="",R130=""),IF(OR($D130&lt;&gt;"",$E130&lt;&gt;""),"Belum ditempatkan",""),""),IF(V130="","CEK JENIS FIXTURE kosong",IF(LEFT(V130,4)&lt;&gt;"Wall","CEK Fixture 3 hanya Wall",IF(W130="","CEK SHELVING KE kosong",IF(ISNA(MATCH(V130&amp;"|"&amp;W130,LAYOUT!$E$2:$E$80,0)),"CEK SHELVING KE di luar layout",IF($I130="","CEK SERIES kosong",IF(AND(X130&lt;&gt;"",NOT(ISNUMBER(X130))),"CEK URUTAN DISPLAY harus angka",IF($D130="","Zona STOCK",IF($E130="","CEK SKU DESCRIPTION kosong",IF(COUNTIFS($I$2:$I$500,$I130,V$2:V$500,"&lt;&gt;"&amp;V130,V$2:V$500,"&lt;&gt;")&gt;0,"CEK jenis fixture beda dalam satu series","OK"))))))))))</f>
        <v/>
      </c>
      <c r="AA130" s="12" t="n"/>
      <c r="AB130" s="11" t="n"/>
      <c r="AC130" s="11" t="n"/>
      <c r="AD130" s="11" t="n"/>
      <c r="AE130" s="11" t="n"/>
      <c r="AF130" s="11" t="n"/>
      <c r="AG130" s="11" t="n"/>
      <c r="AH130" s="12" t="n"/>
      <c r="AI130" s="12" t="n"/>
    </row>
    <row r="131">
      <c r="A131" s="10" t="n"/>
      <c r="B131" s="10" t="n"/>
      <c r="C131" s="10" t="n"/>
      <c r="D131" s="10" t="n"/>
      <c r="E131" s="10" t="n"/>
      <c r="F131" s="10" t="n"/>
      <c r="G131" s="10" t="n"/>
      <c r="H131" s="10" t="n"/>
      <c r="I131" s="10" t="n"/>
      <c r="J131" s="10" t="n"/>
      <c r="K131" s="10" t="n"/>
      <c r="L131" s="11" t="n"/>
      <c r="M131" s="11" t="n"/>
      <c r="N131" s="11" t="n"/>
      <c r="O131" s="11">
        <f>IF(OR(L131="",M131=""),"",IFERROR(INDEX(LAYOUT!$D$2:$D$80,MATCH(L131&amp;"|"&amp;M131,LAYOUT!$E$2:$E$80,0)),""))</f>
        <v/>
      </c>
      <c r="P131" s="12">
        <f>IF(AND(L131="",M131=""),IF(AND(Q131="",R131="",V131="",W131=""),IF(OR($D131&lt;&gt;"",$E131&lt;&gt;""),"Belum ditempatkan",""),""),IF(L131="","CEK JENIS FIXTURE kosong",IF(AND(LEFT(L131,7)&lt;&gt;"Gondola",LEFT(L131,6)&lt;&gt;"Endcap"),"CEK Fixture 1 hanya Gondola atau Endcap",IF(M131="","CEK SHELVING KE kosong",IF(ISNA(MATCH(L131&amp;"|"&amp;M131,LAYOUT!$E$2:$E$80,0)),"CEK SHELVING KE di luar layout",IF($I131="","CEK SERIES kosong",IF(AND(N131&lt;&gt;"",NOT(ISNUMBER(N131))),"CEK URUTAN DISPLAY harus angka",IF($D131="","Zona STOCK",IF($E131="","CEK SKU DESCRIPTION kosong",IF(COUNTIFS($I$2:$I$500,$I131,L$2:L$500,"&lt;&gt;"&amp;L131,L$2:L$500,"&lt;&gt;")&gt;0,"CEK jenis fixture beda dalam satu series","OK"))))))))))</f>
        <v/>
      </c>
      <c r="Q131" s="11" t="n"/>
      <c r="R131" s="11" t="n"/>
      <c r="S131" s="11" t="n"/>
      <c r="T131" s="11">
        <f>IF(OR(Q131="",R131=""),"",IFERROR(INDEX(LAYOUT!$D$2:$D$80,MATCH(Q131&amp;"|"&amp;R131,LAYOUT!$E$2:$E$80,0)),""))</f>
        <v/>
      </c>
      <c r="U131" s="12">
        <f>IF(AND(Q131="",R131=""),IF(AND(L131="",M131="",V131="",W131=""),IF(OR($D131&lt;&gt;"",$E131&lt;&gt;""),"Belum ditempatkan",""),""),IF(Q131="","CEK JENIS FIXTURE kosong",IF(LEFT(Q131,4)&lt;&gt;"Wall","CEK Fixture 2 hanya Wall",IF(R131="","CEK SHELVING KE kosong",IF(ISNA(MATCH(Q131&amp;"|"&amp;R131,LAYOUT!$E$2:$E$80,0)),"CEK SHELVING KE di luar layout",IF($I131="","CEK SERIES kosong",IF(AND(S131&lt;&gt;"",NOT(ISNUMBER(S131))),"CEK URUTAN DISPLAY harus angka",IF($D131="","Zona STOCK",IF($E131="","CEK SKU DESCRIPTION kosong",IF(COUNTIFS($I$2:$I$500,$I131,Q$2:Q$500,"&lt;&gt;"&amp;Q131,Q$2:Q$500,"&lt;&gt;")&gt;0,"CEK jenis fixture beda dalam satu series","OK"))))))))))</f>
        <v/>
      </c>
      <c r="V131" s="11" t="n"/>
      <c r="W131" s="11" t="n"/>
      <c r="X131" s="11" t="n"/>
      <c r="Y131" s="11">
        <f>IF(OR(V131="",W131=""),"",IFERROR(INDEX(LAYOUT!$D$2:$D$80,MATCH(V131&amp;"|"&amp;W131,LAYOUT!$E$2:$E$80,0)),""))</f>
        <v/>
      </c>
      <c r="Z131" s="12">
        <f>IF(AND(V131="",W131=""),IF(AND(L131="",M131="",Q131="",R131=""),IF(OR($D131&lt;&gt;"",$E131&lt;&gt;""),"Belum ditempatkan",""),""),IF(V131="","CEK JENIS FIXTURE kosong",IF(LEFT(V131,4)&lt;&gt;"Wall","CEK Fixture 3 hanya Wall",IF(W131="","CEK SHELVING KE kosong",IF(ISNA(MATCH(V131&amp;"|"&amp;W131,LAYOUT!$E$2:$E$80,0)),"CEK SHELVING KE di luar layout",IF($I131="","CEK SERIES kosong",IF(AND(X131&lt;&gt;"",NOT(ISNUMBER(X131))),"CEK URUTAN DISPLAY harus angka",IF($D131="","Zona STOCK",IF($E131="","CEK SKU DESCRIPTION kosong",IF(COUNTIFS($I$2:$I$500,$I131,V$2:V$500,"&lt;&gt;"&amp;V131,V$2:V$500,"&lt;&gt;")&gt;0,"CEK jenis fixture beda dalam satu series","OK"))))))))))</f>
        <v/>
      </c>
      <c r="AA131" s="12" t="n"/>
      <c r="AB131" s="11" t="n"/>
      <c r="AC131" s="11" t="n"/>
      <c r="AD131" s="11" t="n"/>
      <c r="AE131" s="11" t="n"/>
      <c r="AF131" s="11" t="n"/>
      <c r="AG131" s="11" t="n"/>
      <c r="AH131" s="12" t="n"/>
      <c r="AI131" s="12" t="n"/>
    </row>
    <row r="132">
      <c r="A132" s="10" t="n"/>
      <c r="B132" s="10" t="n"/>
      <c r="C132" s="10" t="n"/>
      <c r="D132" s="10" t="n"/>
      <c r="E132" s="10" t="n"/>
      <c r="F132" s="10" t="n"/>
      <c r="G132" s="10" t="n"/>
      <c r="H132" s="10" t="n"/>
      <c r="I132" s="10" t="n"/>
      <c r="J132" s="10" t="n"/>
      <c r="K132" s="10" t="n"/>
      <c r="L132" s="11" t="n"/>
      <c r="M132" s="11" t="n"/>
      <c r="N132" s="11" t="n"/>
      <c r="O132" s="11">
        <f>IF(OR(L132="",M132=""),"",IFERROR(INDEX(LAYOUT!$D$2:$D$80,MATCH(L132&amp;"|"&amp;M132,LAYOUT!$E$2:$E$80,0)),""))</f>
        <v/>
      </c>
      <c r="P132" s="12">
        <f>IF(AND(L132="",M132=""),IF(AND(Q132="",R132="",V132="",W132=""),IF(OR($D132&lt;&gt;"",$E132&lt;&gt;""),"Belum ditempatkan",""),""),IF(L132="","CEK JENIS FIXTURE kosong",IF(AND(LEFT(L132,7)&lt;&gt;"Gondola",LEFT(L132,6)&lt;&gt;"Endcap"),"CEK Fixture 1 hanya Gondola atau Endcap",IF(M132="","CEK SHELVING KE kosong",IF(ISNA(MATCH(L132&amp;"|"&amp;M132,LAYOUT!$E$2:$E$80,0)),"CEK SHELVING KE di luar layout",IF($I132="","CEK SERIES kosong",IF(AND(N132&lt;&gt;"",NOT(ISNUMBER(N132))),"CEK URUTAN DISPLAY harus angka",IF($D132="","Zona STOCK",IF($E132="","CEK SKU DESCRIPTION kosong",IF(COUNTIFS($I$2:$I$500,$I132,L$2:L$500,"&lt;&gt;"&amp;L132,L$2:L$500,"&lt;&gt;")&gt;0,"CEK jenis fixture beda dalam satu series","OK"))))))))))</f>
        <v/>
      </c>
      <c r="Q132" s="11" t="n"/>
      <c r="R132" s="11" t="n"/>
      <c r="S132" s="11" t="n"/>
      <c r="T132" s="11">
        <f>IF(OR(Q132="",R132=""),"",IFERROR(INDEX(LAYOUT!$D$2:$D$80,MATCH(Q132&amp;"|"&amp;R132,LAYOUT!$E$2:$E$80,0)),""))</f>
        <v/>
      </c>
      <c r="U132" s="12">
        <f>IF(AND(Q132="",R132=""),IF(AND(L132="",M132="",V132="",W132=""),IF(OR($D132&lt;&gt;"",$E132&lt;&gt;""),"Belum ditempatkan",""),""),IF(Q132="","CEK JENIS FIXTURE kosong",IF(LEFT(Q132,4)&lt;&gt;"Wall","CEK Fixture 2 hanya Wall",IF(R132="","CEK SHELVING KE kosong",IF(ISNA(MATCH(Q132&amp;"|"&amp;R132,LAYOUT!$E$2:$E$80,0)),"CEK SHELVING KE di luar layout",IF($I132="","CEK SERIES kosong",IF(AND(S132&lt;&gt;"",NOT(ISNUMBER(S132))),"CEK URUTAN DISPLAY harus angka",IF($D132="","Zona STOCK",IF($E132="","CEK SKU DESCRIPTION kosong",IF(COUNTIFS($I$2:$I$500,$I132,Q$2:Q$500,"&lt;&gt;"&amp;Q132,Q$2:Q$500,"&lt;&gt;")&gt;0,"CEK jenis fixture beda dalam satu series","OK"))))))))))</f>
        <v/>
      </c>
      <c r="V132" s="11" t="n"/>
      <c r="W132" s="11" t="n"/>
      <c r="X132" s="11" t="n"/>
      <c r="Y132" s="11">
        <f>IF(OR(V132="",W132=""),"",IFERROR(INDEX(LAYOUT!$D$2:$D$80,MATCH(V132&amp;"|"&amp;W132,LAYOUT!$E$2:$E$80,0)),""))</f>
        <v/>
      </c>
      <c r="Z132" s="12">
        <f>IF(AND(V132="",W132=""),IF(AND(L132="",M132="",Q132="",R132=""),IF(OR($D132&lt;&gt;"",$E132&lt;&gt;""),"Belum ditempatkan",""),""),IF(V132="","CEK JENIS FIXTURE kosong",IF(LEFT(V132,4)&lt;&gt;"Wall","CEK Fixture 3 hanya Wall",IF(W132="","CEK SHELVING KE kosong",IF(ISNA(MATCH(V132&amp;"|"&amp;W132,LAYOUT!$E$2:$E$80,0)),"CEK SHELVING KE di luar layout",IF($I132="","CEK SERIES kosong",IF(AND(X132&lt;&gt;"",NOT(ISNUMBER(X132))),"CEK URUTAN DISPLAY harus angka",IF($D132="","Zona STOCK",IF($E132="","CEK SKU DESCRIPTION kosong",IF(COUNTIFS($I$2:$I$500,$I132,V$2:V$500,"&lt;&gt;"&amp;V132,V$2:V$500,"&lt;&gt;")&gt;0,"CEK jenis fixture beda dalam satu series","OK"))))))))))</f>
        <v/>
      </c>
      <c r="AA132" s="12" t="n"/>
      <c r="AB132" s="11" t="n"/>
      <c r="AC132" s="11" t="n"/>
      <c r="AD132" s="11" t="n"/>
      <c r="AE132" s="11" t="n"/>
      <c r="AF132" s="11" t="n"/>
      <c r="AG132" s="11" t="n"/>
      <c r="AH132" s="12" t="n"/>
      <c r="AI132" s="12" t="n"/>
    </row>
    <row r="133">
      <c r="A133" s="10" t="n"/>
      <c r="B133" s="10" t="n"/>
      <c r="C133" s="10" t="n"/>
      <c r="D133" s="10" t="n"/>
      <c r="E133" s="10" t="n"/>
      <c r="F133" s="10" t="n"/>
      <c r="G133" s="10" t="n"/>
      <c r="H133" s="10" t="n"/>
      <c r="I133" s="10" t="n"/>
      <c r="J133" s="10" t="n"/>
      <c r="K133" s="10" t="n"/>
      <c r="L133" s="11" t="n"/>
      <c r="M133" s="11" t="n"/>
      <c r="N133" s="11" t="n"/>
      <c r="O133" s="11">
        <f>IF(OR(L133="",M133=""),"",IFERROR(INDEX(LAYOUT!$D$2:$D$80,MATCH(L133&amp;"|"&amp;M133,LAYOUT!$E$2:$E$80,0)),""))</f>
        <v/>
      </c>
      <c r="P133" s="12">
        <f>IF(AND(L133="",M133=""),IF(AND(Q133="",R133="",V133="",W133=""),IF(OR($D133&lt;&gt;"",$E133&lt;&gt;""),"Belum ditempatkan",""),""),IF(L133="","CEK JENIS FIXTURE kosong",IF(AND(LEFT(L133,7)&lt;&gt;"Gondola",LEFT(L133,6)&lt;&gt;"Endcap"),"CEK Fixture 1 hanya Gondola atau Endcap",IF(M133="","CEK SHELVING KE kosong",IF(ISNA(MATCH(L133&amp;"|"&amp;M133,LAYOUT!$E$2:$E$80,0)),"CEK SHELVING KE di luar layout",IF($I133="","CEK SERIES kosong",IF(AND(N133&lt;&gt;"",NOT(ISNUMBER(N133))),"CEK URUTAN DISPLAY harus angka",IF($D133="","Zona STOCK",IF($E133="","CEK SKU DESCRIPTION kosong",IF(COUNTIFS($I$2:$I$500,$I133,L$2:L$500,"&lt;&gt;"&amp;L133,L$2:L$500,"&lt;&gt;")&gt;0,"CEK jenis fixture beda dalam satu series","OK"))))))))))</f>
        <v/>
      </c>
      <c r="Q133" s="11" t="n"/>
      <c r="R133" s="11" t="n"/>
      <c r="S133" s="11" t="n"/>
      <c r="T133" s="11">
        <f>IF(OR(Q133="",R133=""),"",IFERROR(INDEX(LAYOUT!$D$2:$D$80,MATCH(Q133&amp;"|"&amp;R133,LAYOUT!$E$2:$E$80,0)),""))</f>
        <v/>
      </c>
      <c r="U133" s="12">
        <f>IF(AND(Q133="",R133=""),IF(AND(L133="",M133="",V133="",W133=""),IF(OR($D133&lt;&gt;"",$E133&lt;&gt;""),"Belum ditempatkan",""),""),IF(Q133="","CEK JENIS FIXTURE kosong",IF(LEFT(Q133,4)&lt;&gt;"Wall","CEK Fixture 2 hanya Wall",IF(R133="","CEK SHELVING KE kosong",IF(ISNA(MATCH(Q133&amp;"|"&amp;R133,LAYOUT!$E$2:$E$80,0)),"CEK SHELVING KE di luar layout",IF($I133="","CEK SERIES kosong",IF(AND(S133&lt;&gt;"",NOT(ISNUMBER(S133))),"CEK URUTAN DISPLAY harus angka",IF($D133="","Zona STOCK",IF($E133="","CEK SKU DESCRIPTION kosong",IF(COUNTIFS($I$2:$I$500,$I133,Q$2:Q$500,"&lt;&gt;"&amp;Q133,Q$2:Q$500,"&lt;&gt;")&gt;0,"CEK jenis fixture beda dalam satu series","OK"))))))))))</f>
        <v/>
      </c>
      <c r="V133" s="11" t="n"/>
      <c r="W133" s="11" t="n"/>
      <c r="X133" s="11" t="n"/>
      <c r="Y133" s="11">
        <f>IF(OR(V133="",W133=""),"",IFERROR(INDEX(LAYOUT!$D$2:$D$80,MATCH(V133&amp;"|"&amp;W133,LAYOUT!$E$2:$E$80,0)),""))</f>
        <v/>
      </c>
      <c r="Z133" s="12">
        <f>IF(AND(V133="",W133=""),IF(AND(L133="",M133="",Q133="",R133=""),IF(OR($D133&lt;&gt;"",$E133&lt;&gt;""),"Belum ditempatkan",""),""),IF(V133="","CEK JENIS FIXTURE kosong",IF(LEFT(V133,4)&lt;&gt;"Wall","CEK Fixture 3 hanya Wall",IF(W133="","CEK SHELVING KE kosong",IF(ISNA(MATCH(V133&amp;"|"&amp;W133,LAYOUT!$E$2:$E$80,0)),"CEK SHELVING KE di luar layout",IF($I133="","CEK SERIES kosong",IF(AND(X133&lt;&gt;"",NOT(ISNUMBER(X133))),"CEK URUTAN DISPLAY harus angka",IF($D133="","Zona STOCK",IF($E133="","CEK SKU DESCRIPTION kosong",IF(COUNTIFS($I$2:$I$500,$I133,V$2:V$500,"&lt;&gt;"&amp;V133,V$2:V$500,"&lt;&gt;")&gt;0,"CEK jenis fixture beda dalam satu series","OK"))))))))))</f>
        <v/>
      </c>
      <c r="AA133" s="12" t="n"/>
      <c r="AB133" s="11" t="n"/>
      <c r="AC133" s="11" t="n"/>
      <c r="AD133" s="11" t="n"/>
      <c r="AE133" s="11" t="n"/>
      <c r="AF133" s="11" t="n"/>
      <c r="AG133" s="11" t="n"/>
      <c r="AH133" s="12" t="n"/>
      <c r="AI133" s="12" t="n"/>
    </row>
    <row r="134">
      <c r="A134" s="10" t="n"/>
      <c r="B134" s="10" t="n"/>
      <c r="C134" s="10" t="n"/>
      <c r="D134" s="10" t="n"/>
      <c r="E134" s="10" t="n"/>
      <c r="F134" s="10" t="n"/>
      <c r="G134" s="10" t="n"/>
      <c r="H134" s="10" t="n"/>
      <c r="I134" s="10" t="n"/>
      <c r="J134" s="10" t="n"/>
      <c r="K134" s="10" t="n"/>
      <c r="L134" s="11" t="n"/>
      <c r="M134" s="11" t="n"/>
      <c r="N134" s="11" t="n"/>
      <c r="O134" s="11">
        <f>IF(OR(L134="",M134=""),"",IFERROR(INDEX(LAYOUT!$D$2:$D$80,MATCH(L134&amp;"|"&amp;M134,LAYOUT!$E$2:$E$80,0)),""))</f>
        <v/>
      </c>
      <c r="P134" s="12">
        <f>IF(AND(L134="",M134=""),IF(AND(Q134="",R134="",V134="",W134=""),IF(OR($D134&lt;&gt;"",$E134&lt;&gt;""),"Belum ditempatkan",""),""),IF(L134="","CEK JENIS FIXTURE kosong",IF(AND(LEFT(L134,7)&lt;&gt;"Gondola",LEFT(L134,6)&lt;&gt;"Endcap"),"CEK Fixture 1 hanya Gondola atau Endcap",IF(M134="","CEK SHELVING KE kosong",IF(ISNA(MATCH(L134&amp;"|"&amp;M134,LAYOUT!$E$2:$E$80,0)),"CEK SHELVING KE di luar layout",IF($I134="","CEK SERIES kosong",IF(AND(N134&lt;&gt;"",NOT(ISNUMBER(N134))),"CEK URUTAN DISPLAY harus angka",IF($D134="","Zona STOCK",IF($E134="","CEK SKU DESCRIPTION kosong",IF(COUNTIFS($I$2:$I$500,$I134,L$2:L$500,"&lt;&gt;"&amp;L134,L$2:L$500,"&lt;&gt;")&gt;0,"CEK jenis fixture beda dalam satu series","OK"))))))))))</f>
        <v/>
      </c>
      <c r="Q134" s="11" t="n"/>
      <c r="R134" s="11" t="n"/>
      <c r="S134" s="11" t="n"/>
      <c r="T134" s="11">
        <f>IF(OR(Q134="",R134=""),"",IFERROR(INDEX(LAYOUT!$D$2:$D$80,MATCH(Q134&amp;"|"&amp;R134,LAYOUT!$E$2:$E$80,0)),""))</f>
        <v/>
      </c>
      <c r="U134" s="12">
        <f>IF(AND(Q134="",R134=""),IF(AND(L134="",M134="",V134="",W134=""),IF(OR($D134&lt;&gt;"",$E134&lt;&gt;""),"Belum ditempatkan",""),""),IF(Q134="","CEK JENIS FIXTURE kosong",IF(LEFT(Q134,4)&lt;&gt;"Wall","CEK Fixture 2 hanya Wall",IF(R134="","CEK SHELVING KE kosong",IF(ISNA(MATCH(Q134&amp;"|"&amp;R134,LAYOUT!$E$2:$E$80,0)),"CEK SHELVING KE di luar layout",IF($I134="","CEK SERIES kosong",IF(AND(S134&lt;&gt;"",NOT(ISNUMBER(S134))),"CEK URUTAN DISPLAY harus angka",IF($D134="","Zona STOCK",IF($E134="","CEK SKU DESCRIPTION kosong",IF(COUNTIFS($I$2:$I$500,$I134,Q$2:Q$500,"&lt;&gt;"&amp;Q134,Q$2:Q$500,"&lt;&gt;")&gt;0,"CEK jenis fixture beda dalam satu series","OK"))))))))))</f>
        <v/>
      </c>
      <c r="V134" s="11" t="n"/>
      <c r="W134" s="11" t="n"/>
      <c r="X134" s="11" t="n"/>
      <c r="Y134" s="11">
        <f>IF(OR(V134="",W134=""),"",IFERROR(INDEX(LAYOUT!$D$2:$D$80,MATCH(V134&amp;"|"&amp;W134,LAYOUT!$E$2:$E$80,0)),""))</f>
        <v/>
      </c>
      <c r="Z134" s="12">
        <f>IF(AND(V134="",W134=""),IF(AND(L134="",M134="",Q134="",R134=""),IF(OR($D134&lt;&gt;"",$E134&lt;&gt;""),"Belum ditempatkan",""),""),IF(V134="","CEK JENIS FIXTURE kosong",IF(LEFT(V134,4)&lt;&gt;"Wall","CEK Fixture 3 hanya Wall",IF(W134="","CEK SHELVING KE kosong",IF(ISNA(MATCH(V134&amp;"|"&amp;W134,LAYOUT!$E$2:$E$80,0)),"CEK SHELVING KE di luar layout",IF($I134="","CEK SERIES kosong",IF(AND(X134&lt;&gt;"",NOT(ISNUMBER(X134))),"CEK URUTAN DISPLAY harus angka",IF($D134="","Zona STOCK",IF($E134="","CEK SKU DESCRIPTION kosong",IF(COUNTIFS($I$2:$I$500,$I134,V$2:V$500,"&lt;&gt;"&amp;V134,V$2:V$500,"&lt;&gt;")&gt;0,"CEK jenis fixture beda dalam satu series","OK"))))))))))</f>
        <v/>
      </c>
      <c r="AA134" s="12" t="n"/>
      <c r="AB134" s="11" t="n"/>
      <c r="AC134" s="11" t="n"/>
      <c r="AD134" s="11" t="n"/>
      <c r="AE134" s="11" t="n"/>
      <c r="AF134" s="11" t="n"/>
      <c r="AG134" s="11" t="n"/>
      <c r="AH134" s="12" t="n"/>
      <c r="AI134" s="12" t="n"/>
    </row>
    <row r="135">
      <c r="A135" s="10" t="n"/>
      <c r="B135" s="10" t="n"/>
      <c r="C135" s="10" t="n"/>
      <c r="D135" s="10" t="n"/>
      <c r="E135" s="10" t="n"/>
      <c r="F135" s="10" t="n"/>
      <c r="G135" s="10" t="n"/>
      <c r="H135" s="10" t="n"/>
      <c r="I135" s="10" t="n"/>
      <c r="J135" s="10" t="n"/>
      <c r="K135" s="10" t="n"/>
      <c r="L135" s="11" t="n"/>
      <c r="M135" s="11" t="n"/>
      <c r="N135" s="11" t="n"/>
      <c r="O135" s="11">
        <f>IF(OR(L135="",M135=""),"",IFERROR(INDEX(LAYOUT!$D$2:$D$80,MATCH(L135&amp;"|"&amp;M135,LAYOUT!$E$2:$E$80,0)),""))</f>
        <v/>
      </c>
      <c r="P135" s="12">
        <f>IF(AND(L135="",M135=""),IF(AND(Q135="",R135="",V135="",W135=""),IF(OR($D135&lt;&gt;"",$E135&lt;&gt;""),"Belum ditempatkan",""),""),IF(L135="","CEK JENIS FIXTURE kosong",IF(AND(LEFT(L135,7)&lt;&gt;"Gondola",LEFT(L135,6)&lt;&gt;"Endcap"),"CEK Fixture 1 hanya Gondola atau Endcap",IF(M135="","CEK SHELVING KE kosong",IF(ISNA(MATCH(L135&amp;"|"&amp;M135,LAYOUT!$E$2:$E$80,0)),"CEK SHELVING KE di luar layout",IF($I135="","CEK SERIES kosong",IF(AND(N135&lt;&gt;"",NOT(ISNUMBER(N135))),"CEK URUTAN DISPLAY harus angka",IF($D135="","Zona STOCK",IF($E135="","CEK SKU DESCRIPTION kosong",IF(COUNTIFS($I$2:$I$500,$I135,L$2:L$500,"&lt;&gt;"&amp;L135,L$2:L$500,"&lt;&gt;")&gt;0,"CEK jenis fixture beda dalam satu series","OK"))))))))))</f>
        <v/>
      </c>
      <c r="Q135" s="11" t="n"/>
      <c r="R135" s="11" t="n"/>
      <c r="S135" s="11" t="n"/>
      <c r="T135" s="11">
        <f>IF(OR(Q135="",R135=""),"",IFERROR(INDEX(LAYOUT!$D$2:$D$80,MATCH(Q135&amp;"|"&amp;R135,LAYOUT!$E$2:$E$80,0)),""))</f>
        <v/>
      </c>
      <c r="U135" s="12">
        <f>IF(AND(Q135="",R135=""),IF(AND(L135="",M135="",V135="",W135=""),IF(OR($D135&lt;&gt;"",$E135&lt;&gt;""),"Belum ditempatkan",""),""),IF(Q135="","CEK JENIS FIXTURE kosong",IF(LEFT(Q135,4)&lt;&gt;"Wall","CEK Fixture 2 hanya Wall",IF(R135="","CEK SHELVING KE kosong",IF(ISNA(MATCH(Q135&amp;"|"&amp;R135,LAYOUT!$E$2:$E$80,0)),"CEK SHELVING KE di luar layout",IF($I135="","CEK SERIES kosong",IF(AND(S135&lt;&gt;"",NOT(ISNUMBER(S135))),"CEK URUTAN DISPLAY harus angka",IF($D135="","Zona STOCK",IF($E135="","CEK SKU DESCRIPTION kosong",IF(COUNTIFS($I$2:$I$500,$I135,Q$2:Q$500,"&lt;&gt;"&amp;Q135,Q$2:Q$500,"&lt;&gt;")&gt;0,"CEK jenis fixture beda dalam satu series","OK"))))))))))</f>
        <v/>
      </c>
      <c r="V135" s="11" t="n"/>
      <c r="W135" s="11" t="n"/>
      <c r="X135" s="11" t="n"/>
      <c r="Y135" s="11">
        <f>IF(OR(V135="",W135=""),"",IFERROR(INDEX(LAYOUT!$D$2:$D$80,MATCH(V135&amp;"|"&amp;W135,LAYOUT!$E$2:$E$80,0)),""))</f>
        <v/>
      </c>
      <c r="Z135" s="12">
        <f>IF(AND(V135="",W135=""),IF(AND(L135="",M135="",Q135="",R135=""),IF(OR($D135&lt;&gt;"",$E135&lt;&gt;""),"Belum ditempatkan",""),""),IF(V135="","CEK JENIS FIXTURE kosong",IF(LEFT(V135,4)&lt;&gt;"Wall","CEK Fixture 3 hanya Wall",IF(W135="","CEK SHELVING KE kosong",IF(ISNA(MATCH(V135&amp;"|"&amp;W135,LAYOUT!$E$2:$E$80,0)),"CEK SHELVING KE di luar layout",IF($I135="","CEK SERIES kosong",IF(AND(X135&lt;&gt;"",NOT(ISNUMBER(X135))),"CEK URUTAN DISPLAY harus angka",IF($D135="","Zona STOCK",IF($E135="","CEK SKU DESCRIPTION kosong",IF(COUNTIFS($I$2:$I$500,$I135,V$2:V$500,"&lt;&gt;"&amp;V135,V$2:V$500,"&lt;&gt;")&gt;0,"CEK jenis fixture beda dalam satu series","OK"))))))))))</f>
        <v/>
      </c>
      <c r="AA135" s="12" t="n"/>
      <c r="AB135" s="11" t="n"/>
      <c r="AC135" s="11" t="n"/>
      <c r="AD135" s="11" t="n"/>
      <c r="AE135" s="11" t="n"/>
      <c r="AF135" s="11" t="n"/>
      <c r="AG135" s="11" t="n"/>
      <c r="AH135" s="12" t="n"/>
      <c r="AI135" s="12" t="n"/>
    </row>
    <row r="136">
      <c r="A136" s="10" t="n"/>
      <c r="B136" s="10" t="n"/>
      <c r="C136" s="10" t="n"/>
      <c r="D136" s="10" t="n"/>
      <c r="E136" s="10" t="n"/>
      <c r="F136" s="10" t="n"/>
      <c r="G136" s="10" t="n"/>
      <c r="H136" s="10" t="n"/>
      <c r="I136" s="10" t="n"/>
      <c r="J136" s="10" t="n"/>
      <c r="K136" s="10" t="n"/>
      <c r="L136" s="11" t="n"/>
      <c r="M136" s="11" t="n"/>
      <c r="N136" s="11" t="n"/>
      <c r="O136" s="11">
        <f>IF(OR(L136="",M136=""),"",IFERROR(INDEX(LAYOUT!$D$2:$D$80,MATCH(L136&amp;"|"&amp;M136,LAYOUT!$E$2:$E$80,0)),""))</f>
        <v/>
      </c>
      <c r="P136" s="12">
        <f>IF(AND(L136="",M136=""),IF(AND(Q136="",R136="",V136="",W136=""),IF(OR($D136&lt;&gt;"",$E136&lt;&gt;""),"Belum ditempatkan",""),""),IF(L136="","CEK JENIS FIXTURE kosong",IF(AND(LEFT(L136,7)&lt;&gt;"Gondola",LEFT(L136,6)&lt;&gt;"Endcap"),"CEK Fixture 1 hanya Gondola atau Endcap",IF(M136="","CEK SHELVING KE kosong",IF(ISNA(MATCH(L136&amp;"|"&amp;M136,LAYOUT!$E$2:$E$80,0)),"CEK SHELVING KE di luar layout",IF($I136="","CEK SERIES kosong",IF(AND(N136&lt;&gt;"",NOT(ISNUMBER(N136))),"CEK URUTAN DISPLAY harus angka",IF($D136="","Zona STOCK",IF($E136="","CEK SKU DESCRIPTION kosong",IF(COUNTIFS($I$2:$I$500,$I136,L$2:L$500,"&lt;&gt;"&amp;L136,L$2:L$500,"&lt;&gt;")&gt;0,"CEK jenis fixture beda dalam satu series","OK"))))))))))</f>
        <v/>
      </c>
      <c r="Q136" s="11" t="n"/>
      <c r="R136" s="11" t="n"/>
      <c r="S136" s="11" t="n"/>
      <c r="T136" s="11">
        <f>IF(OR(Q136="",R136=""),"",IFERROR(INDEX(LAYOUT!$D$2:$D$80,MATCH(Q136&amp;"|"&amp;R136,LAYOUT!$E$2:$E$80,0)),""))</f>
        <v/>
      </c>
      <c r="U136" s="12">
        <f>IF(AND(Q136="",R136=""),IF(AND(L136="",M136="",V136="",W136=""),IF(OR($D136&lt;&gt;"",$E136&lt;&gt;""),"Belum ditempatkan",""),""),IF(Q136="","CEK JENIS FIXTURE kosong",IF(LEFT(Q136,4)&lt;&gt;"Wall","CEK Fixture 2 hanya Wall",IF(R136="","CEK SHELVING KE kosong",IF(ISNA(MATCH(Q136&amp;"|"&amp;R136,LAYOUT!$E$2:$E$80,0)),"CEK SHELVING KE di luar layout",IF($I136="","CEK SERIES kosong",IF(AND(S136&lt;&gt;"",NOT(ISNUMBER(S136))),"CEK URUTAN DISPLAY harus angka",IF($D136="","Zona STOCK",IF($E136="","CEK SKU DESCRIPTION kosong",IF(COUNTIFS($I$2:$I$500,$I136,Q$2:Q$500,"&lt;&gt;"&amp;Q136,Q$2:Q$500,"&lt;&gt;")&gt;0,"CEK jenis fixture beda dalam satu series","OK"))))))))))</f>
        <v/>
      </c>
      <c r="V136" s="11" t="n"/>
      <c r="W136" s="11" t="n"/>
      <c r="X136" s="11" t="n"/>
      <c r="Y136" s="11">
        <f>IF(OR(V136="",W136=""),"",IFERROR(INDEX(LAYOUT!$D$2:$D$80,MATCH(V136&amp;"|"&amp;W136,LAYOUT!$E$2:$E$80,0)),""))</f>
        <v/>
      </c>
      <c r="Z136" s="12">
        <f>IF(AND(V136="",W136=""),IF(AND(L136="",M136="",Q136="",R136=""),IF(OR($D136&lt;&gt;"",$E136&lt;&gt;""),"Belum ditempatkan",""),""),IF(V136="","CEK JENIS FIXTURE kosong",IF(LEFT(V136,4)&lt;&gt;"Wall","CEK Fixture 3 hanya Wall",IF(W136="","CEK SHELVING KE kosong",IF(ISNA(MATCH(V136&amp;"|"&amp;W136,LAYOUT!$E$2:$E$80,0)),"CEK SHELVING KE di luar layout",IF($I136="","CEK SERIES kosong",IF(AND(X136&lt;&gt;"",NOT(ISNUMBER(X136))),"CEK URUTAN DISPLAY harus angka",IF($D136="","Zona STOCK",IF($E136="","CEK SKU DESCRIPTION kosong",IF(COUNTIFS($I$2:$I$500,$I136,V$2:V$500,"&lt;&gt;"&amp;V136,V$2:V$500,"&lt;&gt;")&gt;0,"CEK jenis fixture beda dalam satu series","OK"))))))))))</f>
        <v/>
      </c>
      <c r="AA136" s="12" t="n"/>
      <c r="AB136" s="11" t="n"/>
      <c r="AC136" s="11" t="n"/>
      <c r="AD136" s="11" t="n"/>
      <c r="AE136" s="11" t="n"/>
      <c r="AF136" s="11" t="n"/>
      <c r="AG136" s="11" t="n"/>
      <c r="AH136" s="12" t="n"/>
      <c r="AI136" s="12" t="n"/>
    </row>
    <row r="137">
      <c r="A137" s="10" t="n"/>
      <c r="B137" s="10" t="n"/>
      <c r="C137" s="10" t="n"/>
      <c r="D137" s="10" t="n"/>
      <c r="E137" s="10" t="n"/>
      <c r="F137" s="10" t="n"/>
      <c r="G137" s="10" t="n"/>
      <c r="H137" s="10" t="n"/>
      <c r="I137" s="10" t="n"/>
      <c r="J137" s="10" t="n"/>
      <c r="K137" s="10" t="n"/>
      <c r="L137" s="11" t="n"/>
      <c r="M137" s="11" t="n"/>
      <c r="N137" s="11" t="n"/>
      <c r="O137" s="11">
        <f>IF(OR(L137="",M137=""),"",IFERROR(INDEX(LAYOUT!$D$2:$D$80,MATCH(L137&amp;"|"&amp;M137,LAYOUT!$E$2:$E$80,0)),""))</f>
        <v/>
      </c>
      <c r="P137" s="12">
        <f>IF(AND(L137="",M137=""),IF(AND(Q137="",R137="",V137="",W137=""),IF(OR($D137&lt;&gt;"",$E137&lt;&gt;""),"Belum ditempatkan",""),""),IF(L137="","CEK JENIS FIXTURE kosong",IF(AND(LEFT(L137,7)&lt;&gt;"Gondola",LEFT(L137,6)&lt;&gt;"Endcap"),"CEK Fixture 1 hanya Gondola atau Endcap",IF(M137="","CEK SHELVING KE kosong",IF(ISNA(MATCH(L137&amp;"|"&amp;M137,LAYOUT!$E$2:$E$80,0)),"CEK SHELVING KE di luar layout",IF($I137="","CEK SERIES kosong",IF(AND(N137&lt;&gt;"",NOT(ISNUMBER(N137))),"CEK URUTAN DISPLAY harus angka",IF($D137="","Zona STOCK",IF($E137="","CEK SKU DESCRIPTION kosong",IF(COUNTIFS($I$2:$I$500,$I137,L$2:L$500,"&lt;&gt;"&amp;L137,L$2:L$500,"&lt;&gt;")&gt;0,"CEK jenis fixture beda dalam satu series","OK"))))))))))</f>
        <v/>
      </c>
      <c r="Q137" s="11" t="n"/>
      <c r="R137" s="11" t="n"/>
      <c r="S137" s="11" t="n"/>
      <c r="T137" s="11">
        <f>IF(OR(Q137="",R137=""),"",IFERROR(INDEX(LAYOUT!$D$2:$D$80,MATCH(Q137&amp;"|"&amp;R137,LAYOUT!$E$2:$E$80,0)),""))</f>
        <v/>
      </c>
      <c r="U137" s="12">
        <f>IF(AND(Q137="",R137=""),IF(AND(L137="",M137="",V137="",W137=""),IF(OR($D137&lt;&gt;"",$E137&lt;&gt;""),"Belum ditempatkan",""),""),IF(Q137="","CEK JENIS FIXTURE kosong",IF(LEFT(Q137,4)&lt;&gt;"Wall","CEK Fixture 2 hanya Wall",IF(R137="","CEK SHELVING KE kosong",IF(ISNA(MATCH(Q137&amp;"|"&amp;R137,LAYOUT!$E$2:$E$80,0)),"CEK SHELVING KE di luar layout",IF($I137="","CEK SERIES kosong",IF(AND(S137&lt;&gt;"",NOT(ISNUMBER(S137))),"CEK URUTAN DISPLAY harus angka",IF($D137="","Zona STOCK",IF($E137="","CEK SKU DESCRIPTION kosong",IF(COUNTIFS($I$2:$I$500,$I137,Q$2:Q$500,"&lt;&gt;"&amp;Q137,Q$2:Q$500,"&lt;&gt;")&gt;0,"CEK jenis fixture beda dalam satu series","OK"))))))))))</f>
        <v/>
      </c>
      <c r="V137" s="11" t="n"/>
      <c r="W137" s="11" t="n"/>
      <c r="X137" s="11" t="n"/>
      <c r="Y137" s="11">
        <f>IF(OR(V137="",W137=""),"",IFERROR(INDEX(LAYOUT!$D$2:$D$80,MATCH(V137&amp;"|"&amp;W137,LAYOUT!$E$2:$E$80,0)),""))</f>
        <v/>
      </c>
      <c r="Z137" s="12">
        <f>IF(AND(V137="",W137=""),IF(AND(L137="",M137="",Q137="",R137=""),IF(OR($D137&lt;&gt;"",$E137&lt;&gt;""),"Belum ditempatkan",""),""),IF(V137="","CEK JENIS FIXTURE kosong",IF(LEFT(V137,4)&lt;&gt;"Wall","CEK Fixture 3 hanya Wall",IF(W137="","CEK SHELVING KE kosong",IF(ISNA(MATCH(V137&amp;"|"&amp;W137,LAYOUT!$E$2:$E$80,0)),"CEK SHELVING KE di luar layout",IF($I137="","CEK SERIES kosong",IF(AND(X137&lt;&gt;"",NOT(ISNUMBER(X137))),"CEK URUTAN DISPLAY harus angka",IF($D137="","Zona STOCK",IF($E137="","CEK SKU DESCRIPTION kosong",IF(COUNTIFS($I$2:$I$500,$I137,V$2:V$500,"&lt;&gt;"&amp;V137,V$2:V$500,"&lt;&gt;")&gt;0,"CEK jenis fixture beda dalam satu series","OK"))))))))))</f>
        <v/>
      </c>
      <c r="AA137" s="12" t="n"/>
      <c r="AB137" s="11" t="n"/>
      <c r="AC137" s="11" t="n"/>
      <c r="AD137" s="11" t="n"/>
      <c r="AE137" s="11" t="n"/>
      <c r="AF137" s="11" t="n"/>
      <c r="AG137" s="11" t="n"/>
      <c r="AH137" s="12" t="n"/>
      <c r="AI137" s="12" t="n"/>
    </row>
    <row r="138">
      <c r="A138" s="10" t="n"/>
      <c r="B138" s="10" t="n"/>
      <c r="C138" s="10" t="n"/>
      <c r="D138" s="10" t="n"/>
      <c r="E138" s="10" t="n"/>
      <c r="F138" s="10" t="n"/>
      <c r="G138" s="10" t="n"/>
      <c r="H138" s="10" t="n"/>
      <c r="I138" s="10" t="n"/>
      <c r="J138" s="10" t="n"/>
      <c r="K138" s="10" t="n"/>
      <c r="L138" s="11" t="n"/>
      <c r="M138" s="11" t="n"/>
      <c r="N138" s="11" t="n"/>
      <c r="O138" s="11">
        <f>IF(OR(L138="",M138=""),"",IFERROR(INDEX(LAYOUT!$D$2:$D$80,MATCH(L138&amp;"|"&amp;M138,LAYOUT!$E$2:$E$80,0)),""))</f>
        <v/>
      </c>
      <c r="P138" s="12">
        <f>IF(AND(L138="",M138=""),IF(AND(Q138="",R138="",V138="",W138=""),IF(OR($D138&lt;&gt;"",$E138&lt;&gt;""),"Belum ditempatkan",""),""),IF(L138="","CEK JENIS FIXTURE kosong",IF(AND(LEFT(L138,7)&lt;&gt;"Gondola",LEFT(L138,6)&lt;&gt;"Endcap"),"CEK Fixture 1 hanya Gondola atau Endcap",IF(M138="","CEK SHELVING KE kosong",IF(ISNA(MATCH(L138&amp;"|"&amp;M138,LAYOUT!$E$2:$E$80,0)),"CEK SHELVING KE di luar layout",IF($I138="","CEK SERIES kosong",IF(AND(N138&lt;&gt;"",NOT(ISNUMBER(N138))),"CEK URUTAN DISPLAY harus angka",IF($D138="","Zona STOCK",IF($E138="","CEK SKU DESCRIPTION kosong",IF(COUNTIFS($I$2:$I$500,$I138,L$2:L$500,"&lt;&gt;"&amp;L138,L$2:L$500,"&lt;&gt;")&gt;0,"CEK jenis fixture beda dalam satu series","OK"))))))))))</f>
        <v/>
      </c>
      <c r="Q138" s="11" t="n"/>
      <c r="R138" s="11" t="n"/>
      <c r="S138" s="11" t="n"/>
      <c r="T138" s="11">
        <f>IF(OR(Q138="",R138=""),"",IFERROR(INDEX(LAYOUT!$D$2:$D$80,MATCH(Q138&amp;"|"&amp;R138,LAYOUT!$E$2:$E$80,0)),""))</f>
        <v/>
      </c>
      <c r="U138" s="12">
        <f>IF(AND(Q138="",R138=""),IF(AND(L138="",M138="",V138="",W138=""),IF(OR($D138&lt;&gt;"",$E138&lt;&gt;""),"Belum ditempatkan",""),""),IF(Q138="","CEK JENIS FIXTURE kosong",IF(LEFT(Q138,4)&lt;&gt;"Wall","CEK Fixture 2 hanya Wall",IF(R138="","CEK SHELVING KE kosong",IF(ISNA(MATCH(Q138&amp;"|"&amp;R138,LAYOUT!$E$2:$E$80,0)),"CEK SHELVING KE di luar layout",IF($I138="","CEK SERIES kosong",IF(AND(S138&lt;&gt;"",NOT(ISNUMBER(S138))),"CEK URUTAN DISPLAY harus angka",IF($D138="","Zona STOCK",IF($E138="","CEK SKU DESCRIPTION kosong",IF(COUNTIFS($I$2:$I$500,$I138,Q$2:Q$500,"&lt;&gt;"&amp;Q138,Q$2:Q$500,"&lt;&gt;")&gt;0,"CEK jenis fixture beda dalam satu series","OK"))))))))))</f>
        <v/>
      </c>
      <c r="V138" s="11" t="n"/>
      <c r="W138" s="11" t="n"/>
      <c r="X138" s="11" t="n"/>
      <c r="Y138" s="11">
        <f>IF(OR(V138="",W138=""),"",IFERROR(INDEX(LAYOUT!$D$2:$D$80,MATCH(V138&amp;"|"&amp;W138,LAYOUT!$E$2:$E$80,0)),""))</f>
        <v/>
      </c>
      <c r="Z138" s="12">
        <f>IF(AND(V138="",W138=""),IF(AND(L138="",M138="",Q138="",R138=""),IF(OR($D138&lt;&gt;"",$E138&lt;&gt;""),"Belum ditempatkan",""),""),IF(V138="","CEK JENIS FIXTURE kosong",IF(LEFT(V138,4)&lt;&gt;"Wall","CEK Fixture 3 hanya Wall",IF(W138="","CEK SHELVING KE kosong",IF(ISNA(MATCH(V138&amp;"|"&amp;W138,LAYOUT!$E$2:$E$80,0)),"CEK SHELVING KE di luar layout",IF($I138="","CEK SERIES kosong",IF(AND(X138&lt;&gt;"",NOT(ISNUMBER(X138))),"CEK URUTAN DISPLAY harus angka",IF($D138="","Zona STOCK",IF($E138="","CEK SKU DESCRIPTION kosong",IF(COUNTIFS($I$2:$I$500,$I138,V$2:V$500,"&lt;&gt;"&amp;V138,V$2:V$500,"&lt;&gt;")&gt;0,"CEK jenis fixture beda dalam satu series","OK"))))))))))</f>
        <v/>
      </c>
      <c r="AA138" s="12" t="n"/>
      <c r="AB138" s="11" t="n"/>
      <c r="AC138" s="11" t="n"/>
      <c r="AD138" s="11" t="n"/>
      <c r="AE138" s="11" t="n"/>
      <c r="AF138" s="11" t="n"/>
      <c r="AG138" s="11" t="n"/>
      <c r="AH138" s="12" t="n"/>
      <c r="AI138" s="12" t="n"/>
    </row>
    <row r="139">
      <c r="A139" s="10" t="n"/>
      <c r="B139" s="10" t="n"/>
      <c r="C139" s="10" t="n"/>
      <c r="D139" s="10" t="n"/>
      <c r="E139" s="10" t="n"/>
      <c r="F139" s="10" t="n"/>
      <c r="G139" s="10" t="n"/>
      <c r="H139" s="10" t="n"/>
      <c r="I139" s="10" t="n"/>
      <c r="J139" s="10" t="n"/>
      <c r="K139" s="10" t="n"/>
      <c r="L139" s="11" t="n"/>
      <c r="M139" s="11" t="n"/>
      <c r="N139" s="11" t="n"/>
      <c r="O139" s="11">
        <f>IF(OR(L139="",M139=""),"",IFERROR(INDEX(LAYOUT!$D$2:$D$80,MATCH(L139&amp;"|"&amp;M139,LAYOUT!$E$2:$E$80,0)),""))</f>
        <v/>
      </c>
      <c r="P139" s="12">
        <f>IF(AND(L139="",M139=""),IF(AND(Q139="",R139="",V139="",W139=""),IF(OR($D139&lt;&gt;"",$E139&lt;&gt;""),"Belum ditempatkan",""),""),IF(L139="","CEK JENIS FIXTURE kosong",IF(AND(LEFT(L139,7)&lt;&gt;"Gondola",LEFT(L139,6)&lt;&gt;"Endcap"),"CEK Fixture 1 hanya Gondola atau Endcap",IF(M139="","CEK SHELVING KE kosong",IF(ISNA(MATCH(L139&amp;"|"&amp;M139,LAYOUT!$E$2:$E$80,0)),"CEK SHELVING KE di luar layout",IF($I139="","CEK SERIES kosong",IF(AND(N139&lt;&gt;"",NOT(ISNUMBER(N139))),"CEK URUTAN DISPLAY harus angka",IF($D139="","Zona STOCK",IF($E139="","CEK SKU DESCRIPTION kosong",IF(COUNTIFS($I$2:$I$500,$I139,L$2:L$500,"&lt;&gt;"&amp;L139,L$2:L$500,"&lt;&gt;")&gt;0,"CEK jenis fixture beda dalam satu series","OK"))))))))))</f>
        <v/>
      </c>
      <c r="Q139" s="11" t="n"/>
      <c r="R139" s="11" t="n"/>
      <c r="S139" s="11" t="n"/>
      <c r="T139" s="11">
        <f>IF(OR(Q139="",R139=""),"",IFERROR(INDEX(LAYOUT!$D$2:$D$80,MATCH(Q139&amp;"|"&amp;R139,LAYOUT!$E$2:$E$80,0)),""))</f>
        <v/>
      </c>
      <c r="U139" s="12">
        <f>IF(AND(Q139="",R139=""),IF(AND(L139="",M139="",V139="",W139=""),IF(OR($D139&lt;&gt;"",$E139&lt;&gt;""),"Belum ditempatkan",""),""),IF(Q139="","CEK JENIS FIXTURE kosong",IF(LEFT(Q139,4)&lt;&gt;"Wall","CEK Fixture 2 hanya Wall",IF(R139="","CEK SHELVING KE kosong",IF(ISNA(MATCH(Q139&amp;"|"&amp;R139,LAYOUT!$E$2:$E$80,0)),"CEK SHELVING KE di luar layout",IF($I139="","CEK SERIES kosong",IF(AND(S139&lt;&gt;"",NOT(ISNUMBER(S139))),"CEK URUTAN DISPLAY harus angka",IF($D139="","Zona STOCK",IF($E139="","CEK SKU DESCRIPTION kosong",IF(COUNTIFS($I$2:$I$500,$I139,Q$2:Q$500,"&lt;&gt;"&amp;Q139,Q$2:Q$500,"&lt;&gt;")&gt;0,"CEK jenis fixture beda dalam satu series","OK"))))))))))</f>
        <v/>
      </c>
      <c r="V139" s="11" t="n"/>
      <c r="W139" s="11" t="n"/>
      <c r="X139" s="11" t="n"/>
      <c r="Y139" s="11">
        <f>IF(OR(V139="",W139=""),"",IFERROR(INDEX(LAYOUT!$D$2:$D$80,MATCH(V139&amp;"|"&amp;W139,LAYOUT!$E$2:$E$80,0)),""))</f>
        <v/>
      </c>
      <c r="Z139" s="12">
        <f>IF(AND(V139="",W139=""),IF(AND(L139="",M139="",Q139="",R139=""),IF(OR($D139&lt;&gt;"",$E139&lt;&gt;""),"Belum ditempatkan",""),""),IF(V139="","CEK JENIS FIXTURE kosong",IF(LEFT(V139,4)&lt;&gt;"Wall","CEK Fixture 3 hanya Wall",IF(W139="","CEK SHELVING KE kosong",IF(ISNA(MATCH(V139&amp;"|"&amp;W139,LAYOUT!$E$2:$E$80,0)),"CEK SHELVING KE di luar layout",IF($I139="","CEK SERIES kosong",IF(AND(X139&lt;&gt;"",NOT(ISNUMBER(X139))),"CEK URUTAN DISPLAY harus angka",IF($D139="","Zona STOCK",IF($E139="","CEK SKU DESCRIPTION kosong",IF(COUNTIFS($I$2:$I$500,$I139,V$2:V$500,"&lt;&gt;"&amp;V139,V$2:V$500,"&lt;&gt;")&gt;0,"CEK jenis fixture beda dalam satu series","OK"))))))))))</f>
        <v/>
      </c>
      <c r="AA139" s="12" t="n"/>
      <c r="AB139" s="11" t="n"/>
      <c r="AC139" s="11" t="n"/>
      <c r="AD139" s="11" t="n"/>
      <c r="AE139" s="11" t="n"/>
      <c r="AF139" s="11" t="n"/>
      <c r="AG139" s="11" t="n"/>
      <c r="AH139" s="12" t="n"/>
      <c r="AI139" s="12" t="n"/>
    </row>
    <row r="140">
      <c r="A140" s="10" t="n"/>
      <c r="B140" s="10" t="n"/>
      <c r="C140" s="10" t="n"/>
      <c r="D140" s="10" t="n"/>
      <c r="E140" s="10" t="n"/>
      <c r="F140" s="10" t="n"/>
      <c r="G140" s="10" t="n"/>
      <c r="H140" s="10" t="n"/>
      <c r="I140" s="10" t="n"/>
      <c r="J140" s="10" t="n"/>
      <c r="K140" s="10" t="n"/>
      <c r="L140" s="11" t="n"/>
      <c r="M140" s="11" t="n"/>
      <c r="N140" s="11" t="n"/>
      <c r="O140" s="11">
        <f>IF(OR(L140="",M140=""),"",IFERROR(INDEX(LAYOUT!$D$2:$D$80,MATCH(L140&amp;"|"&amp;M140,LAYOUT!$E$2:$E$80,0)),""))</f>
        <v/>
      </c>
      <c r="P140" s="12">
        <f>IF(AND(L140="",M140=""),IF(AND(Q140="",R140="",V140="",W140=""),IF(OR($D140&lt;&gt;"",$E140&lt;&gt;""),"Belum ditempatkan",""),""),IF(L140="","CEK JENIS FIXTURE kosong",IF(AND(LEFT(L140,7)&lt;&gt;"Gondola",LEFT(L140,6)&lt;&gt;"Endcap"),"CEK Fixture 1 hanya Gondola atau Endcap",IF(M140="","CEK SHELVING KE kosong",IF(ISNA(MATCH(L140&amp;"|"&amp;M140,LAYOUT!$E$2:$E$80,0)),"CEK SHELVING KE di luar layout",IF($I140="","CEK SERIES kosong",IF(AND(N140&lt;&gt;"",NOT(ISNUMBER(N140))),"CEK URUTAN DISPLAY harus angka",IF($D140="","Zona STOCK",IF($E140="","CEK SKU DESCRIPTION kosong",IF(COUNTIFS($I$2:$I$500,$I140,L$2:L$500,"&lt;&gt;"&amp;L140,L$2:L$500,"&lt;&gt;")&gt;0,"CEK jenis fixture beda dalam satu series","OK"))))))))))</f>
        <v/>
      </c>
      <c r="Q140" s="11" t="n"/>
      <c r="R140" s="11" t="n"/>
      <c r="S140" s="11" t="n"/>
      <c r="T140" s="11">
        <f>IF(OR(Q140="",R140=""),"",IFERROR(INDEX(LAYOUT!$D$2:$D$80,MATCH(Q140&amp;"|"&amp;R140,LAYOUT!$E$2:$E$80,0)),""))</f>
        <v/>
      </c>
      <c r="U140" s="12">
        <f>IF(AND(Q140="",R140=""),IF(AND(L140="",M140="",V140="",W140=""),IF(OR($D140&lt;&gt;"",$E140&lt;&gt;""),"Belum ditempatkan",""),""),IF(Q140="","CEK JENIS FIXTURE kosong",IF(LEFT(Q140,4)&lt;&gt;"Wall","CEK Fixture 2 hanya Wall",IF(R140="","CEK SHELVING KE kosong",IF(ISNA(MATCH(Q140&amp;"|"&amp;R140,LAYOUT!$E$2:$E$80,0)),"CEK SHELVING KE di luar layout",IF($I140="","CEK SERIES kosong",IF(AND(S140&lt;&gt;"",NOT(ISNUMBER(S140))),"CEK URUTAN DISPLAY harus angka",IF($D140="","Zona STOCK",IF($E140="","CEK SKU DESCRIPTION kosong",IF(COUNTIFS($I$2:$I$500,$I140,Q$2:Q$500,"&lt;&gt;"&amp;Q140,Q$2:Q$500,"&lt;&gt;")&gt;0,"CEK jenis fixture beda dalam satu series","OK"))))))))))</f>
        <v/>
      </c>
      <c r="V140" s="11" t="n"/>
      <c r="W140" s="11" t="n"/>
      <c r="X140" s="11" t="n"/>
      <c r="Y140" s="11">
        <f>IF(OR(V140="",W140=""),"",IFERROR(INDEX(LAYOUT!$D$2:$D$80,MATCH(V140&amp;"|"&amp;W140,LAYOUT!$E$2:$E$80,0)),""))</f>
        <v/>
      </c>
      <c r="Z140" s="12">
        <f>IF(AND(V140="",W140=""),IF(AND(L140="",M140="",Q140="",R140=""),IF(OR($D140&lt;&gt;"",$E140&lt;&gt;""),"Belum ditempatkan",""),""),IF(V140="","CEK JENIS FIXTURE kosong",IF(LEFT(V140,4)&lt;&gt;"Wall","CEK Fixture 3 hanya Wall",IF(W140="","CEK SHELVING KE kosong",IF(ISNA(MATCH(V140&amp;"|"&amp;W140,LAYOUT!$E$2:$E$80,0)),"CEK SHELVING KE di luar layout",IF($I140="","CEK SERIES kosong",IF(AND(X140&lt;&gt;"",NOT(ISNUMBER(X140))),"CEK URUTAN DISPLAY harus angka",IF($D140="","Zona STOCK",IF($E140="","CEK SKU DESCRIPTION kosong",IF(COUNTIFS($I$2:$I$500,$I140,V$2:V$500,"&lt;&gt;"&amp;V140,V$2:V$500,"&lt;&gt;")&gt;0,"CEK jenis fixture beda dalam satu series","OK"))))))))))</f>
        <v/>
      </c>
      <c r="AA140" s="12" t="n"/>
      <c r="AB140" s="11" t="n"/>
      <c r="AC140" s="11" t="n"/>
      <c r="AD140" s="11" t="n"/>
      <c r="AE140" s="11" t="n"/>
      <c r="AF140" s="11" t="n"/>
      <c r="AG140" s="11" t="n"/>
      <c r="AH140" s="12" t="n"/>
      <c r="AI140" s="12" t="n"/>
    </row>
    <row r="141">
      <c r="A141" s="10" t="n"/>
      <c r="B141" s="10" t="n"/>
      <c r="C141" s="10" t="n"/>
      <c r="D141" s="10" t="n"/>
      <c r="E141" s="10" t="n"/>
      <c r="F141" s="10" t="n"/>
      <c r="G141" s="10" t="n"/>
      <c r="H141" s="10" t="n"/>
      <c r="I141" s="10" t="n"/>
      <c r="J141" s="10" t="n"/>
      <c r="K141" s="10" t="n"/>
      <c r="L141" s="11" t="n"/>
      <c r="M141" s="11" t="n"/>
      <c r="N141" s="11" t="n"/>
      <c r="O141" s="11">
        <f>IF(OR(L141="",M141=""),"",IFERROR(INDEX(LAYOUT!$D$2:$D$80,MATCH(L141&amp;"|"&amp;M141,LAYOUT!$E$2:$E$80,0)),""))</f>
        <v/>
      </c>
      <c r="P141" s="12">
        <f>IF(AND(L141="",M141=""),IF(AND(Q141="",R141="",V141="",W141=""),IF(OR($D141&lt;&gt;"",$E141&lt;&gt;""),"Belum ditempatkan",""),""),IF(L141="","CEK JENIS FIXTURE kosong",IF(AND(LEFT(L141,7)&lt;&gt;"Gondola",LEFT(L141,6)&lt;&gt;"Endcap"),"CEK Fixture 1 hanya Gondola atau Endcap",IF(M141="","CEK SHELVING KE kosong",IF(ISNA(MATCH(L141&amp;"|"&amp;M141,LAYOUT!$E$2:$E$80,0)),"CEK SHELVING KE di luar layout",IF($I141="","CEK SERIES kosong",IF(AND(N141&lt;&gt;"",NOT(ISNUMBER(N141))),"CEK URUTAN DISPLAY harus angka",IF($D141="","Zona STOCK",IF($E141="","CEK SKU DESCRIPTION kosong",IF(COUNTIFS($I$2:$I$500,$I141,L$2:L$500,"&lt;&gt;"&amp;L141,L$2:L$500,"&lt;&gt;")&gt;0,"CEK jenis fixture beda dalam satu series","OK"))))))))))</f>
        <v/>
      </c>
      <c r="Q141" s="11" t="n"/>
      <c r="R141" s="11" t="n"/>
      <c r="S141" s="11" t="n"/>
      <c r="T141" s="11">
        <f>IF(OR(Q141="",R141=""),"",IFERROR(INDEX(LAYOUT!$D$2:$D$80,MATCH(Q141&amp;"|"&amp;R141,LAYOUT!$E$2:$E$80,0)),""))</f>
        <v/>
      </c>
      <c r="U141" s="12">
        <f>IF(AND(Q141="",R141=""),IF(AND(L141="",M141="",V141="",W141=""),IF(OR($D141&lt;&gt;"",$E141&lt;&gt;""),"Belum ditempatkan",""),""),IF(Q141="","CEK JENIS FIXTURE kosong",IF(LEFT(Q141,4)&lt;&gt;"Wall","CEK Fixture 2 hanya Wall",IF(R141="","CEK SHELVING KE kosong",IF(ISNA(MATCH(Q141&amp;"|"&amp;R141,LAYOUT!$E$2:$E$80,0)),"CEK SHELVING KE di luar layout",IF($I141="","CEK SERIES kosong",IF(AND(S141&lt;&gt;"",NOT(ISNUMBER(S141))),"CEK URUTAN DISPLAY harus angka",IF($D141="","Zona STOCK",IF($E141="","CEK SKU DESCRIPTION kosong",IF(COUNTIFS($I$2:$I$500,$I141,Q$2:Q$500,"&lt;&gt;"&amp;Q141,Q$2:Q$500,"&lt;&gt;")&gt;0,"CEK jenis fixture beda dalam satu series","OK"))))))))))</f>
        <v/>
      </c>
      <c r="V141" s="11" t="n"/>
      <c r="W141" s="11" t="n"/>
      <c r="X141" s="11" t="n"/>
      <c r="Y141" s="11">
        <f>IF(OR(V141="",W141=""),"",IFERROR(INDEX(LAYOUT!$D$2:$D$80,MATCH(V141&amp;"|"&amp;W141,LAYOUT!$E$2:$E$80,0)),""))</f>
        <v/>
      </c>
      <c r="Z141" s="12">
        <f>IF(AND(V141="",W141=""),IF(AND(L141="",M141="",Q141="",R141=""),IF(OR($D141&lt;&gt;"",$E141&lt;&gt;""),"Belum ditempatkan",""),""),IF(V141="","CEK JENIS FIXTURE kosong",IF(LEFT(V141,4)&lt;&gt;"Wall","CEK Fixture 3 hanya Wall",IF(W141="","CEK SHELVING KE kosong",IF(ISNA(MATCH(V141&amp;"|"&amp;W141,LAYOUT!$E$2:$E$80,0)),"CEK SHELVING KE di luar layout",IF($I141="","CEK SERIES kosong",IF(AND(X141&lt;&gt;"",NOT(ISNUMBER(X141))),"CEK URUTAN DISPLAY harus angka",IF($D141="","Zona STOCK",IF($E141="","CEK SKU DESCRIPTION kosong",IF(COUNTIFS($I$2:$I$500,$I141,V$2:V$500,"&lt;&gt;"&amp;V141,V$2:V$500,"&lt;&gt;")&gt;0,"CEK jenis fixture beda dalam satu series","OK"))))))))))</f>
        <v/>
      </c>
      <c r="AA141" s="12" t="n"/>
      <c r="AB141" s="11" t="n"/>
      <c r="AC141" s="11" t="n"/>
      <c r="AD141" s="11" t="n"/>
      <c r="AE141" s="11" t="n"/>
      <c r="AF141" s="11" t="n"/>
      <c r="AG141" s="11" t="n"/>
      <c r="AH141" s="12" t="n"/>
      <c r="AI141" s="12" t="n"/>
    </row>
    <row r="142">
      <c r="A142" s="10" t="n"/>
      <c r="B142" s="10" t="n"/>
      <c r="C142" s="10" t="n"/>
      <c r="D142" s="10" t="n"/>
      <c r="E142" s="10" t="n"/>
      <c r="F142" s="10" t="n"/>
      <c r="G142" s="10" t="n"/>
      <c r="H142" s="10" t="n"/>
      <c r="I142" s="10" t="n"/>
      <c r="J142" s="10" t="n"/>
      <c r="K142" s="10" t="n"/>
      <c r="L142" s="11" t="n"/>
      <c r="M142" s="11" t="n"/>
      <c r="N142" s="11" t="n"/>
      <c r="O142" s="11">
        <f>IF(OR(L142="",M142=""),"",IFERROR(INDEX(LAYOUT!$D$2:$D$80,MATCH(L142&amp;"|"&amp;M142,LAYOUT!$E$2:$E$80,0)),""))</f>
        <v/>
      </c>
      <c r="P142" s="12">
        <f>IF(AND(L142="",M142=""),IF(AND(Q142="",R142="",V142="",W142=""),IF(OR($D142&lt;&gt;"",$E142&lt;&gt;""),"Belum ditempatkan",""),""),IF(L142="","CEK JENIS FIXTURE kosong",IF(AND(LEFT(L142,7)&lt;&gt;"Gondola",LEFT(L142,6)&lt;&gt;"Endcap"),"CEK Fixture 1 hanya Gondola atau Endcap",IF(M142="","CEK SHELVING KE kosong",IF(ISNA(MATCH(L142&amp;"|"&amp;M142,LAYOUT!$E$2:$E$80,0)),"CEK SHELVING KE di luar layout",IF($I142="","CEK SERIES kosong",IF(AND(N142&lt;&gt;"",NOT(ISNUMBER(N142))),"CEK URUTAN DISPLAY harus angka",IF($D142="","Zona STOCK",IF($E142="","CEK SKU DESCRIPTION kosong",IF(COUNTIFS($I$2:$I$500,$I142,L$2:L$500,"&lt;&gt;"&amp;L142,L$2:L$500,"&lt;&gt;")&gt;0,"CEK jenis fixture beda dalam satu series","OK"))))))))))</f>
        <v/>
      </c>
      <c r="Q142" s="11" t="n"/>
      <c r="R142" s="11" t="n"/>
      <c r="S142" s="11" t="n"/>
      <c r="T142" s="11">
        <f>IF(OR(Q142="",R142=""),"",IFERROR(INDEX(LAYOUT!$D$2:$D$80,MATCH(Q142&amp;"|"&amp;R142,LAYOUT!$E$2:$E$80,0)),""))</f>
        <v/>
      </c>
      <c r="U142" s="12">
        <f>IF(AND(Q142="",R142=""),IF(AND(L142="",M142="",V142="",W142=""),IF(OR($D142&lt;&gt;"",$E142&lt;&gt;""),"Belum ditempatkan",""),""),IF(Q142="","CEK JENIS FIXTURE kosong",IF(LEFT(Q142,4)&lt;&gt;"Wall","CEK Fixture 2 hanya Wall",IF(R142="","CEK SHELVING KE kosong",IF(ISNA(MATCH(Q142&amp;"|"&amp;R142,LAYOUT!$E$2:$E$80,0)),"CEK SHELVING KE di luar layout",IF($I142="","CEK SERIES kosong",IF(AND(S142&lt;&gt;"",NOT(ISNUMBER(S142))),"CEK URUTAN DISPLAY harus angka",IF($D142="","Zona STOCK",IF($E142="","CEK SKU DESCRIPTION kosong",IF(COUNTIFS($I$2:$I$500,$I142,Q$2:Q$500,"&lt;&gt;"&amp;Q142,Q$2:Q$500,"&lt;&gt;")&gt;0,"CEK jenis fixture beda dalam satu series","OK"))))))))))</f>
        <v/>
      </c>
      <c r="V142" s="11" t="n"/>
      <c r="W142" s="11" t="n"/>
      <c r="X142" s="11" t="n"/>
      <c r="Y142" s="11">
        <f>IF(OR(V142="",W142=""),"",IFERROR(INDEX(LAYOUT!$D$2:$D$80,MATCH(V142&amp;"|"&amp;W142,LAYOUT!$E$2:$E$80,0)),""))</f>
        <v/>
      </c>
      <c r="Z142" s="12">
        <f>IF(AND(V142="",W142=""),IF(AND(L142="",M142="",Q142="",R142=""),IF(OR($D142&lt;&gt;"",$E142&lt;&gt;""),"Belum ditempatkan",""),""),IF(V142="","CEK JENIS FIXTURE kosong",IF(LEFT(V142,4)&lt;&gt;"Wall","CEK Fixture 3 hanya Wall",IF(W142="","CEK SHELVING KE kosong",IF(ISNA(MATCH(V142&amp;"|"&amp;W142,LAYOUT!$E$2:$E$80,0)),"CEK SHELVING KE di luar layout",IF($I142="","CEK SERIES kosong",IF(AND(X142&lt;&gt;"",NOT(ISNUMBER(X142))),"CEK URUTAN DISPLAY harus angka",IF($D142="","Zona STOCK",IF($E142="","CEK SKU DESCRIPTION kosong",IF(COUNTIFS($I$2:$I$500,$I142,V$2:V$500,"&lt;&gt;"&amp;V142,V$2:V$500,"&lt;&gt;")&gt;0,"CEK jenis fixture beda dalam satu series","OK"))))))))))</f>
        <v/>
      </c>
      <c r="AA142" s="12" t="n"/>
      <c r="AB142" s="11" t="n"/>
      <c r="AC142" s="11" t="n"/>
      <c r="AD142" s="11" t="n"/>
      <c r="AE142" s="11" t="n"/>
      <c r="AF142" s="11" t="n"/>
      <c r="AG142" s="11" t="n"/>
      <c r="AH142" s="12" t="n"/>
      <c r="AI142" s="12" t="n"/>
    </row>
    <row r="143">
      <c r="A143" s="10" t="n"/>
      <c r="B143" s="10" t="n"/>
      <c r="C143" s="10" t="n"/>
      <c r="D143" s="10" t="n"/>
      <c r="E143" s="10" t="n"/>
      <c r="F143" s="10" t="n"/>
      <c r="G143" s="10" t="n"/>
      <c r="H143" s="10" t="n"/>
      <c r="I143" s="10" t="n"/>
      <c r="J143" s="10" t="n"/>
      <c r="K143" s="10" t="n"/>
      <c r="L143" s="11" t="n"/>
      <c r="M143" s="11" t="n"/>
      <c r="N143" s="11" t="n"/>
      <c r="O143" s="11">
        <f>IF(OR(L143="",M143=""),"",IFERROR(INDEX(LAYOUT!$D$2:$D$80,MATCH(L143&amp;"|"&amp;M143,LAYOUT!$E$2:$E$80,0)),""))</f>
        <v/>
      </c>
      <c r="P143" s="12">
        <f>IF(AND(L143="",M143=""),IF(AND(Q143="",R143="",V143="",W143=""),IF(OR($D143&lt;&gt;"",$E143&lt;&gt;""),"Belum ditempatkan",""),""),IF(L143="","CEK JENIS FIXTURE kosong",IF(AND(LEFT(L143,7)&lt;&gt;"Gondola",LEFT(L143,6)&lt;&gt;"Endcap"),"CEK Fixture 1 hanya Gondola atau Endcap",IF(M143="","CEK SHELVING KE kosong",IF(ISNA(MATCH(L143&amp;"|"&amp;M143,LAYOUT!$E$2:$E$80,0)),"CEK SHELVING KE di luar layout",IF($I143="","CEK SERIES kosong",IF(AND(N143&lt;&gt;"",NOT(ISNUMBER(N143))),"CEK URUTAN DISPLAY harus angka",IF($D143="","Zona STOCK",IF($E143="","CEK SKU DESCRIPTION kosong",IF(COUNTIFS($I$2:$I$500,$I143,L$2:L$500,"&lt;&gt;"&amp;L143,L$2:L$500,"&lt;&gt;")&gt;0,"CEK jenis fixture beda dalam satu series","OK"))))))))))</f>
        <v/>
      </c>
      <c r="Q143" s="11" t="n"/>
      <c r="R143" s="11" t="n"/>
      <c r="S143" s="11" t="n"/>
      <c r="T143" s="11">
        <f>IF(OR(Q143="",R143=""),"",IFERROR(INDEX(LAYOUT!$D$2:$D$80,MATCH(Q143&amp;"|"&amp;R143,LAYOUT!$E$2:$E$80,0)),""))</f>
        <v/>
      </c>
      <c r="U143" s="12">
        <f>IF(AND(Q143="",R143=""),IF(AND(L143="",M143="",V143="",W143=""),IF(OR($D143&lt;&gt;"",$E143&lt;&gt;""),"Belum ditempatkan",""),""),IF(Q143="","CEK JENIS FIXTURE kosong",IF(LEFT(Q143,4)&lt;&gt;"Wall","CEK Fixture 2 hanya Wall",IF(R143="","CEK SHELVING KE kosong",IF(ISNA(MATCH(Q143&amp;"|"&amp;R143,LAYOUT!$E$2:$E$80,0)),"CEK SHELVING KE di luar layout",IF($I143="","CEK SERIES kosong",IF(AND(S143&lt;&gt;"",NOT(ISNUMBER(S143))),"CEK URUTAN DISPLAY harus angka",IF($D143="","Zona STOCK",IF($E143="","CEK SKU DESCRIPTION kosong",IF(COUNTIFS($I$2:$I$500,$I143,Q$2:Q$500,"&lt;&gt;"&amp;Q143,Q$2:Q$500,"&lt;&gt;")&gt;0,"CEK jenis fixture beda dalam satu series","OK"))))))))))</f>
        <v/>
      </c>
      <c r="V143" s="11" t="n"/>
      <c r="W143" s="11" t="n"/>
      <c r="X143" s="11" t="n"/>
      <c r="Y143" s="11">
        <f>IF(OR(V143="",W143=""),"",IFERROR(INDEX(LAYOUT!$D$2:$D$80,MATCH(V143&amp;"|"&amp;W143,LAYOUT!$E$2:$E$80,0)),""))</f>
        <v/>
      </c>
      <c r="Z143" s="12">
        <f>IF(AND(V143="",W143=""),IF(AND(L143="",M143="",Q143="",R143=""),IF(OR($D143&lt;&gt;"",$E143&lt;&gt;""),"Belum ditempatkan",""),""),IF(V143="","CEK JENIS FIXTURE kosong",IF(LEFT(V143,4)&lt;&gt;"Wall","CEK Fixture 3 hanya Wall",IF(W143="","CEK SHELVING KE kosong",IF(ISNA(MATCH(V143&amp;"|"&amp;W143,LAYOUT!$E$2:$E$80,0)),"CEK SHELVING KE di luar layout",IF($I143="","CEK SERIES kosong",IF(AND(X143&lt;&gt;"",NOT(ISNUMBER(X143))),"CEK URUTAN DISPLAY harus angka",IF($D143="","Zona STOCK",IF($E143="","CEK SKU DESCRIPTION kosong",IF(COUNTIFS($I$2:$I$500,$I143,V$2:V$500,"&lt;&gt;"&amp;V143,V$2:V$500,"&lt;&gt;")&gt;0,"CEK jenis fixture beda dalam satu series","OK"))))))))))</f>
        <v/>
      </c>
      <c r="AA143" s="12" t="n"/>
      <c r="AB143" s="11" t="n"/>
      <c r="AC143" s="11" t="n"/>
      <c r="AD143" s="11" t="n"/>
      <c r="AE143" s="11" t="n"/>
      <c r="AF143" s="11" t="n"/>
      <c r="AG143" s="11" t="n"/>
      <c r="AH143" s="12" t="n"/>
      <c r="AI143" s="12" t="n"/>
    </row>
    <row r="144">
      <c r="A144" s="10" t="n"/>
      <c r="B144" s="10" t="n"/>
      <c r="C144" s="10" t="n"/>
      <c r="D144" s="10" t="n"/>
      <c r="E144" s="10" t="n"/>
      <c r="F144" s="10" t="n"/>
      <c r="G144" s="10" t="n"/>
      <c r="H144" s="10" t="n"/>
      <c r="I144" s="10" t="n"/>
      <c r="J144" s="10" t="n"/>
      <c r="K144" s="10" t="n"/>
      <c r="L144" s="11" t="n"/>
      <c r="M144" s="11" t="n"/>
      <c r="N144" s="11" t="n"/>
      <c r="O144" s="11">
        <f>IF(OR(L144="",M144=""),"",IFERROR(INDEX(LAYOUT!$D$2:$D$80,MATCH(L144&amp;"|"&amp;M144,LAYOUT!$E$2:$E$80,0)),""))</f>
        <v/>
      </c>
      <c r="P144" s="12">
        <f>IF(AND(L144="",M144=""),IF(AND(Q144="",R144="",V144="",W144=""),IF(OR($D144&lt;&gt;"",$E144&lt;&gt;""),"Belum ditempatkan",""),""),IF(L144="","CEK JENIS FIXTURE kosong",IF(AND(LEFT(L144,7)&lt;&gt;"Gondola",LEFT(L144,6)&lt;&gt;"Endcap"),"CEK Fixture 1 hanya Gondola atau Endcap",IF(M144="","CEK SHELVING KE kosong",IF(ISNA(MATCH(L144&amp;"|"&amp;M144,LAYOUT!$E$2:$E$80,0)),"CEK SHELVING KE di luar layout",IF($I144="","CEK SERIES kosong",IF(AND(N144&lt;&gt;"",NOT(ISNUMBER(N144))),"CEK URUTAN DISPLAY harus angka",IF($D144="","Zona STOCK",IF($E144="","CEK SKU DESCRIPTION kosong",IF(COUNTIFS($I$2:$I$500,$I144,L$2:L$500,"&lt;&gt;"&amp;L144,L$2:L$500,"&lt;&gt;")&gt;0,"CEK jenis fixture beda dalam satu series","OK"))))))))))</f>
        <v/>
      </c>
      <c r="Q144" s="11" t="n"/>
      <c r="R144" s="11" t="n"/>
      <c r="S144" s="11" t="n"/>
      <c r="T144" s="11">
        <f>IF(OR(Q144="",R144=""),"",IFERROR(INDEX(LAYOUT!$D$2:$D$80,MATCH(Q144&amp;"|"&amp;R144,LAYOUT!$E$2:$E$80,0)),""))</f>
        <v/>
      </c>
      <c r="U144" s="12">
        <f>IF(AND(Q144="",R144=""),IF(AND(L144="",M144="",V144="",W144=""),IF(OR($D144&lt;&gt;"",$E144&lt;&gt;""),"Belum ditempatkan",""),""),IF(Q144="","CEK JENIS FIXTURE kosong",IF(LEFT(Q144,4)&lt;&gt;"Wall","CEK Fixture 2 hanya Wall",IF(R144="","CEK SHELVING KE kosong",IF(ISNA(MATCH(Q144&amp;"|"&amp;R144,LAYOUT!$E$2:$E$80,0)),"CEK SHELVING KE di luar layout",IF($I144="","CEK SERIES kosong",IF(AND(S144&lt;&gt;"",NOT(ISNUMBER(S144))),"CEK URUTAN DISPLAY harus angka",IF($D144="","Zona STOCK",IF($E144="","CEK SKU DESCRIPTION kosong",IF(COUNTIFS($I$2:$I$500,$I144,Q$2:Q$500,"&lt;&gt;"&amp;Q144,Q$2:Q$500,"&lt;&gt;")&gt;0,"CEK jenis fixture beda dalam satu series","OK"))))))))))</f>
        <v/>
      </c>
      <c r="V144" s="11" t="n"/>
      <c r="W144" s="11" t="n"/>
      <c r="X144" s="11" t="n"/>
      <c r="Y144" s="11">
        <f>IF(OR(V144="",W144=""),"",IFERROR(INDEX(LAYOUT!$D$2:$D$80,MATCH(V144&amp;"|"&amp;W144,LAYOUT!$E$2:$E$80,0)),""))</f>
        <v/>
      </c>
      <c r="Z144" s="12">
        <f>IF(AND(V144="",W144=""),IF(AND(L144="",M144="",Q144="",R144=""),IF(OR($D144&lt;&gt;"",$E144&lt;&gt;""),"Belum ditempatkan",""),""),IF(V144="","CEK JENIS FIXTURE kosong",IF(LEFT(V144,4)&lt;&gt;"Wall","CEK Fixture 3 hanya Wall",IF(W144="","CEK SHELVING KE kosong",IF(ISNA(MATCH(V144&amp;"|"&amp;W144,LAYOUT!$E$2:$E$80,0)),"CEK SHELVING KE di luar layout",IF($I144="","CEK SERIES kosong",IF(AND(X144&lt;&gt;"",NOT(ISNUMBER(X144))),"CEK URUTAN DISPLAY harus angka",IF($D144="","Zona STOCK",IF($E144="","CEK SKU DESCRIPTION kosong",IF(COUNTIFS($I$2:$I$500,$I144,V$2:V$500,"&lt;&gt;"&amp;V144,V$2:V$500,"&lt;&gt;")&gt;0,"CEK jenis fixture beda dalam satu series","OK"))))))))))</f>
        <v/>
      </c>
      <c r="AA144" s="12" t="n"/>
      <c r="AB144" s="11" t="n"/>
      <c r="AC144" s="11" t="n"/>
      <c r="AD144" s="11" t="n"/>
      <c r="AE144" s="11" t="n"/>
      <c r="AF144" s="11" t="n"/>
      <c r="AG144" s="11" t="n"/>
      <c r="AH144" s="12" t="n"/>
      <c r="AI144" s="12" t="n"/>
    </row>
    <row r="145">
      <c r="A145" s="10" t="n"/>
      <c r="B145" s="10" t="n"/>
      <c r="C145" s="10" t="n"/>
      <c r="D145" s="10" t="n"/>
      <c r="E145" s="10" t="n"/>
      <c r="F145" s="10" t="n"/>
      <c r="G145" s="10" t="n"/>
      <c r="H145" s="10" t="n"/>
      <c r="I145" s="10" t="n"/>
      <c r="J145" s="10" t="n"/>
      <c r="K145" s="10" t="n"/>
      <c r="L145" s="11" t="n"/>
      <c r="M145" s="11" t="n"/>
      <c r="N145" s="11" t="n"/>
      <c r="O145" s="11">
        <f>IF(OR(L145="",M145=""),"",IFERROR(INDEX(LAYOUT!$D$2:$D$80,MATCH(L145&amp;"|"&amp;M145,LAYOUT!$E$2:$E$80,0)),""))</f>
        <v/>
      </c>
      <c r="P145" s="12">
        <f>IF(AND(L145="",M145=""),IF(AND(Q145="",R145="",V145="",W145=""),IF(OR($D145&lt;&gt;"",$E145&lt;&gt;""),"Belum ditempatkan",""),""),IF(L145="","CEK JENIS FIXTURE kosong",IF(AND(LEFT(L145,7)&lt;&gt;"Gondola",LEFT(L145,6)&lt;&gt;"Endcap"),"CEK Fixture 1 hanya Gondola atau Endcap",IF(M145="","CEK SHELVING KE kosong",IF(ISNA(MATCH(L145&amp;"|"&amp;M145,LAYOUT!$E$2:$E$80,0)),"CEK SHELVING KE di luar layout",IF($I145="","CEK SERIES kosong",IF(AND(N145&lt;&gt;"",NOT(ISNUMBER(N145))),"CEK URUTAN DISPLAY harus angka",IF($D145="","Zona STOCK",IF($E145="","CEK SKU DESCRIPTION kosong",IF(COUNTIFS($I$2:$I$500,$I145,L$2:L$500,"&lt;&gt;"&amp;L145,L$2:L$500,"&lt;&gt;")&gt;0,"CEK jenis fixture beda dalam satu series","OK"))))))))))</f>
        <v/>
      </c>
      <c r="Q145" s="11" t="n"/>
      <c r="R145" s="11" t="n"/>
      <c r="S145" s="11" t="n"/>
      <c r="T145" s="11">
        <f>IF(OR(Q145="",R145=""),"",IFERROR(INDEX(LAYOUT!$D$2:$D$80,MATCH(Q145&amp;"|"&amp;R145,LAYOUT!$E$2:$E$80,0)),""))</f>
        <v/>
      </c>
      <c r="U145" s="12">
        <f>IF(AND(Q145="",R145=""),IF(AND(L145="",M145="",V145="",W145=""),IF(OR($D145&lt;&gt;"",$E145&lt;&gt;""),"Belum ditempatkan",""),""),IF(Q145="","CEK JENIS FIXTURE kosong",IF(LEFT(Q145,4)&lt;&gt;"Wall","CEK Fixture 2 hanya Wall",IF(R145="","CEK SHELVING KE kosong",IF(ISNA(MATCH(Q145&amp;"|"&amp;R145,LAYOUT!$E$2:$E$80,0)),"CEK SHELVING KE di luar layout",IF($I145="","CEK SERIES kosong",IF(AND(S145&lt;&gt;"",NOT(ISNUMBER(S145))),"CEK URUTAN DISPLAY harus angka",IF($D145="","Zona STOCK",IF($E145="","CEK SKU DESCRIPTION kosong",IF(COUNTIFS($I$2:$I$500,$I145,Q$2:Q$500,"&lt;&gt;"&amp;Q145,Q$2:Q$500,"&lt;&gt;")&gt;0,"CEK jenis fixture beda dalam satu series","OK"))))))))))</f>
        <v/>
      </c>
      <c r="V145" s="11" t="n"/>
      <c r="W145" s="11" t="n"/>
      <c r="X145" s="11" t="n"/>
      <c r="Y145" s="11">
        <f>IF(OR(V145="",W145=""),"",IFERROR(INDEX(LAYOUT!$D$2:$D$80,MATCH(V145&amp;"|"&amp;W145,LAYOUT!$E$2:$E$80,0)),""))</f>
        <v/>
      </c>
      <c r="Z145" s="12">
        <f>IF(AND(V145="",W145=""),IF(AND(L145="",M145="",Q145="",R145=""),IF(OR($D145&lt;&gt;"",$E145&lt;&gt;""),"Belum ditempatkan",""),""),IF(V145="","CEK JENIS FIXTURE kosong",IF(LEFT(V145,4)&lt;&gt;"Wall","CEK Fixture 3 hanya Wall",IF(W145="","CEK SHELVING KE kosong",IF(ISNA(MATCH(V145&amp;"|"&amp;W145,LAYOUT!$E$2:$E$80,0)),"CEK SHELVING KE di luar layout",IF($I145="","CEK SERIES kosong",IF(AND(X145&lt;&gt;"",NOT(ISNUMBER(X145))),"CEK URUTAN DISPLAY harus angka",IF($D145="","Zona STOCK",IF($E145="","CEK SKU DESCRIPTION kosong",IF(COUNTIFS($I$2:$I$500,$I145,V$2:V$500,"&lt;&gt;"&amp;V145,V$2:V$500,"&lt;&gt;")&gt;0,"CEK jenis fixture beda dalam satu series","OK"))))))))))</f>
        <v/>
      </c>
      <c r="AA145" s="12" t="n"/>
      <c r="AB145" s="11" t="n"/>
      <c r="AC145" s="11" t="n"/>
      <c r="AD145" s="11" t="n"/>
      <c r="AE145" s="11" t="n"/>
      <c r="AF145" s="11" t="n"/>
      <c r="AG145" s="11" t="n"/>
      <c r="AH145" s="12" t="n"/>
      <c r="AI145" s="12" t="n"/>
    </row>
    <row r="146">
      <c r="A146" s="10" t="n"/>
      <c r="B146" s="10" t="n"/>
      <c r="C146" s="10" t="n"/>
      <c r="D146" s="10" t="n"/>
      <c r="E146" s="10" t="n"/>
      <c r="F146" s="10" t="n"/>
      <c r="G146" s="10" t="n"/>
      <c r="H146" s="10" t="n"/>
      <c r="I146" s="10" t="n"/>
      <c r="J146" s="10" t="n"/>
      <c r="K146" s="10" t="n"/>
      <c r="L146" s="11" t="n"/>
      <c r="M146" s="11" t="n"/>
      <c r="N146" s="11" t="n"/>
      <c r="O146" s="11">
        <f>IF(OR(L146="",M146=""),"",IFERROR(INDEX(LAYOUT!$D$2:$D$80,MATCH(L146&amp;"|"&amp;M146,LAYOUT!$E$2:$E$80,0)),""))</f>
        <v/>
      </c>
      <c r="P146" s="12">
        <f>IF(AND(L146="",M146=""),IF(AND(Q146="",R146="",V146="",W146=""),IF(OR($D146&lt;&gt;"",$E146&lt;&gt;""),"Belum ditempatkan",""),""),IF(L146="","CEK JENIS FIXTURE kosong",IF(AND(LEFT(L146,7)&lt;&gt;"Gondola",LEFT(L146,6)&lt;&gt;"Endcap"),"CEK Fixture 1 hanya Gondola atau Endcap",IF(M146="","CEK SHELVING KE kosong",IF(ISNA(MATCH(L146&amp;"|"&amp;M146,LAYOUT!$E$2:$E$80,0)),"CEK SHELVING KE di luar layout",IF($I146="","CEK SERIES kosong",IF(AND(N146&lt;&gt;"",NOT(ISNUMBER(N146))),"CEK URUTAN DISPLAY harus angka",IF($D146="","Zona STOCK",IF($E146="","CEK SKU DESCRIPTION kosong",IF(COUNTIFS($I$2:$I$500,$I146,L$2:L$500,"&lt;&gt;"&amp;L146,L$2:L$500,"&lt;&gt;")&gt;0,"CEK jenis fixture beda dalam satu series","OK"))))))))))</f>
        <v/>
      </c>
      <c r="Q146" s="11" t="n"/>
      <c r="R146" s="11" t="n"/>
      <c r="S146" s="11" t="n"/>
      <c r="T146" s="11">
        <f>IF(OR(Q146="",R146=""),"",IFERROR(INDEX(LAYOUT!$D$2:$D$80,MATCH(Q146&amp;"|"&amp;R146,LAYOUT!$E$2:$E$80,0)),""))</f>
        <v/>
      </c>
      <c r="U146" s="12">
        <f>IF(AND(Q146="",R146=""),IF(AND(L146="",M146="",V146="",W146=""),IF(OR($D146&lt;&gt;"",$E146&lt;&gt;""),"Belum ditempatkan",""),""),IF(Q146="","CEK JENIS FIXTURE kosong",IF(LEFT(Q146,4)&lt;&gt;"Wall","CEK Fixture 2 hanya Wall",IF(R146="","CEK SHELVING KE kosong",IF(ISNA(MATCH(Q146&amp;"|"&amp;R146,LAYOUT!$E$2:$E$80,0)),"CEK SHELVING KE di luar layout",IF($I146="","CEK SERIES kosong",IF(AND(S146&lt;&gt;"",NOT(ISNUMBER(S146))),"CEK URUTAN DISPLAY harus angka",IF($D146="","Zona STOCK",IF($E146="","CEK SKU DESCRIPTION kosong",IF(COUNTIFS($I$2:$I$500,$I146,Q$2:Q$500,"&lt;&gt;"&amp;Q146,Q$2:Q$500,"&lt;&gt;")&gt;0,"CEK jenis fixture beda dalam satu series","OK"))))))))))</f>
        <v/>
      </c>
      <c r="V146" s="11" t="n"/>
      <c r="W146" s="11" t="n"/>
      <c r="X146" s="11" t="n"/>
      <c r="Y146" s="11">
        <f>IF(OR(V146="",W146=""),"",IFERROR(INDEX(LAYOUT!$D$2:$D$80,MATCH(V146&amp;"|"&amp;W146,LAYOUT!$E$2:$E$80,0)),""))</f>
        <v/>
      </c>
      <c r="Z146" s="12">
        <f>IF(AND(V146="",W146=""),IF(AND(L146="",M146="",Q146="",R146=""),IF(OR($D146&lt;&gt;"",$E146&lt;&gt;""),"Belum ditempatkan",""),""),IF(V146="","CEK JENIS FIXTURE kosong",IF(LEFT(V146,4)&lt;&gt;"Wall","CEK Fixture 3 hanya Wall",IF(W146="","CEK SHELVING KE kosong",IF(ISNA(MATCH(V146&amp;"|"&amp;W146,LAYOUT!$E$2:$E$80,0)),"CEK SHELVING KE di luar layout",IF($I146="","CEK SERIES kosong",IF(AND(X146&lt;&gt;"",NOT(ISNUMBER(X146))),"CEK URUTAN DISPLAY harus angka",IF($D146="","Zona STOCK",IF($E146="","CEK SKU DESCRIPTION kosong",IF(COUNTIFS($I$2:$I$500,$I146,V$2:V$500,"&lt;&gt;"&amp;V146,V$2:V$500,"&lt;&gt;")&gt;0,"CEK jenis fixture beda dalam satu series","OK"))))))))))</f>
        <v/>
      </c>
      <c r="AA146" s="12" t="n"/>
      <c r="AB146" s="11" t="n"/>
      <c r="AC146" s="11" t="n"/>
      <c r="AD146" s="11" t="n"/>
      <c r="AE146" s="11" t="n"/>
      <c r="AF146" s="11" t="n"/>
      <c r="AG146" s="11" t="n"/>
      <c r="AH146" s="12" t="n"/>
      <c r="AI146" s="12" t="n"/>
    </row>
    <row r="147">
      <c r="A147" s="10" t="n"/>
      <c r="B147" s="10" t="n"/>
      <c r="C147" s="10" t="n"/>
      <c r="D147" s="10" t="n"/>
      <c r="E147" s="10" t="n"/>
      <c r="F147" s="10" t="n"/>
      <c r="G147" s="10" t="n"/>
      <c r="H147" s="10" t="n"/>
      <c r="I147" s="10" t="n"/>
      <c r="J147" s="10" t="n"/>
      <c r="K147" s="10" t="n"/>
      <c r="L147" s="11" t="n"/>
      <c r="M147" s="11" t="n"/>
      <c r="N147" s="11" t="n"/>
      <c r="O147" s="11">
        <f>IF(OR(L147="",M147=""),"",IFERROR(INDEX(LAYOUT!$D$2:$D$80,MATCH(L147&amp;"|"&amp;M147,LAYOUT!$E$2:$E$80,0)),""))</f>
        <v/>
      </c>
      <c r="P147" s="12">
        <f>IF(AND(L147="",M147=""),IF(AND(Q147="",R147="",V147="",W147=""),IF(OR($D147&lt;&gt;"",$E147&lt;&gt;""),"Belum ditempatkan",""),""),IF(L147="","CEK JENIS FIXTURE kosong",IF(AND(LEFT(L147,7)&lt;&gt;"Gondola",LEFT(L147,6)&lt;&gt;"Endcap"),"CEK Fixture 1 hanya Gondola atau Endcap",IF(M147="","CEK SHELVING KE kosong",IF(ISNA(MATCH(L147&amp;"|"&amp;M147,LAYOUT!$E$2:$E$80,0)),"CEK SHELVING KE di luar layout",IF($I147="","CEK SERIES kosong",IF(AND(N147&lt;&gt;"",NOT(ISNUMBER(N147))),"CEK URUTAN DISPLAY harus angka",IF($D147="","Zona STOCK",IF($E147="","CEK SKU DESCRIPTION kosong",IF(COUNTIFS($I$2:$I$500,$I147,L$2:L$500,"&lt;&gt;"&amp;L147,L$2:L$500,"&lt;&gt;")&gt;0,"CEK jenis fixture beda dalam satu series","OK"))))))))))</f>
        <v/>
      </c>
      <c r="Q147" s="11" t="n"/>
      <c r="R147" s="11" t="n"/>
      <c r="S147" s="11" t="n"/>
      <c r="T147" s="11">
        <f>IF(OR(Q147="",R147=""),"",IFERROR(INDEX(LAYOUT!$D$2:$D$80,MATCH(Q147&amp;"|"&amp;R147,LAYOUT!$E$2:$E$80,0)),""))</f>
        <v/>
      </c>
      <c r="U147" s="12">
        <f>IF(AND(Q147="",R147=""),IF(AND(L147="",M147="",V147="",W147=""),IF(OR($D147&lt;&gt;"",$E147&lt;&gt;""),"Belum ditempatkan",""),""),IF(Q147="","CEK JENIS FIXTURE kosong",IF(LEFT(Q147,4)&lt;&gt;"Wall","CEK Fixture 2 hanya Wall",IF(R147="","CEK SHELVING KE kosong",IF(ISNA(MATCH(Q147&amp;"|"&amp;R147,LAYOUT!$E$2:$E$80,0)),"CEK SHELVING KE di luar layout",IF($I147="","CEK SERIES kosong",IF(AND(S147&lt;&gt;"",NOT(ISNUMBER(S147))),"CEK URUTAN DISPLAY harus angka",IF($D147="","Zona STOCK",IF($E147="","CEK SKU DESCRIPTION kosong",IF(COUNTIFS($I$2:$I$500,$I147,Q$2:Q$500,"&lt;&gt;"&amp;Q147,Q$2:Q$500,"&lt;&gt;")&gt;0,"CEK jenis fixture beda dalam satu series","OK"))))))))))</f>
        <v/>
      </c>
      <c r="V147" s="11" t="n"/>
      <c r="W147" s="11" t="n"/>
      <c r="X147" s="11" t="n"/>
      <c r="Y147" s="11">
        <f>IF(OR(V147="",W147=""),"",IFERROR(INDEX(LAYOUT!$D$2:$D$80,MATCH(V147&amp;"|"&amp;W147,LAYOUT!$E$2:$E$80,0)),""))</f>
        <v/>
      </c>
      <c r="Z147" s="12">
        <f>IF(AND(V147="",W147=""),IF(AND(L147="",M147="",Q147="",R147=""),IF(OR($D147&lt;&gt;"",$E147&lt;&gt;""),"Belum ditempatkan",""),""),IF(V147="","CEK JENIS FIXTURE kosong",IF(LEFT(V147,4)&lt;&gt;"Wall","CEK Fixture 3 hanya Wall",IF(W147="","CEK SHELVING KE kosong",IF(ISNA(MATCH(V147&amp;"|"&amp;W147,LAYOUT!$E$2:$E$80,0)),"CEK SHELVING KE di luar layout",IF($I147="","CEK SERIES kosong",IF(AND(X147&lt;&gt;"",NOT(ISNUMBER(X147))),"CEK URUTAN DISPLAY harus angka",IF($D147="","Zona STOCK",IF($E147="","CEK SKU DESCRIPTION kosong",IF(COUNTIFS($I$2:$I$500,$I147,V$2:V$500,"&lt;&gt;"&amp;V147,V$2:V$500,"&lt;&gt;")&gt;0,"CEK jenis fixture beda dalam satu series","OK"))))))))))</f>
        <v/>
      </c>
      <c r="AA147" s="12" t="n"/>
      <c r="AB147" s="11" t="n"/>
      <c r="AC147" s="11" t="n"/>
      <c r="AD147" s="11" t="n"/>
      <c r="AE147" s="11" t="n"/>
      <c r="AF147" s="11" t="n"/>
      <c r="AG147" s="11" t="n"/>
      <c r="AH147" s="12" t="n"/>
      <c r="AI147" s="12" t="n"/>
    </row>
    <row r="148">
      <c r="A148" s="10" t="n"/>
      <c r="B148" s="10" t="n"/>
      <c r="C148" s="10" t="n"/>
      <c r="D148" s="10" t="n"/>
      <c r="E148" s="10" t="n"/>
      <c r="F148" s="10" t="n"/>
      <c r="G148" s="10" t="n"/>
      <c r="H148" s="10" t="n"/>
      <c r="I148" s="10" t="n"/>
      <c r="J148" s="10" t="n"/>
      <c r="K148" s="10" t="n"/>
      <c r="L148" s="11" t="n"/>
      <c r="M148" s="11" t="n"/>
      <c r="N148" s="11" t="n"/>
      <c r="O148" s="11">
        <f>IF(OR(L148="",M148=""),"",IFERROR(INDEX(LAYOUT!$D$2:$D$80,MATCH(L148&amp;"|"&amp;M148,LAYOUT!$E$2:$E$80,0)),""))</f>
        <v/>
      </c>
      <c r="P148" s="12">
        <f>IF(AND(L148="",M148=""),IF(AND(Q148="",R148="",V148="",W148=""),IF(OR($D148&lt;&gt;"",$E148&lt;&gt;""),"Belum ditempatkan",""),""),IF(L148="","CEK JENIS FIXTURE kosong",IF(AND(LEFT(L148,7)&lt;&gt;"Gondola",LEFT(L148,6)&lt;&gt;"Endcap"),"CEK Fixture 1 hanya Gondola atau Endcap",IF(M148="","CEK SHELVING KE kosong",IF(ISNA(MATCH(L148&amp;"|"&amp;M148,LAYOUT!$E$2:$E$80,0)),"CEK SHELVING KE di luar layout",IF($I148="","CEK SERIES kosong",IF(AND(N148&lt;&gt;"",NOT(ISNUMBER(N148))),"CEK URUTAN DISPLAY harus angka",IF($D148="","Zona STOCK",IF($E148="","CEK SKU DESCRIPTION kosong",IF(COUNTIFS($I$2:$I$500,$I148,L$2:L$500,"&lt;&gt;"&amp;L148,L$2:L$500,"&lt;&gt;")&gt;0,"CEK jenis fixture beda dalam satu series","OK"))))))))))</f>
        <v/>
      </c>
      <c r="Q148" s="11" t="n"/>
      <c r="R148" s="11" t="n"/>
      <c r="S148" s="11" t="n"/>
      <c r="T148" s="11">
        <f>IF(OR(Q148="",R148=""),"",IFERROR(INDEX(LAYOUT!$D$2:$D$80,MATCH(Q148&amp;"|"&amp;R148,LAYOUT!$E$2:$E$80,0)),""))</f>
        <v/>
      </c>
      <c r="U148" s="12">
        <f>IF(AND(Q148="",R148=""),IF(AND(L148="",M148="",V148="",W148=""),IF(OR($D148&lt;&gt;"",$E148&lt;&gt;""),"Belum ditempatkan",""),""),IF(Q148="","CEK JENIS FIXTURE kosong",IF(LEFT(Q148,4)&lt;&gt;"Wall","CEK Fixture 2 hanya Wall",IF(R148="","CEK SHELVING KE kosong",IF(ISNA(MATCH(Q148&amp;"|"&amp;R148,LAYOUT!$E$2:$E$80,0)),"CEK SHELVING KE di luar layout",IF($I148="","CEK SERIES kosong",IF(AND(S148&lt;&gt;"",NOT(ISNUMBER(S148))),"CEK URUTAN DISPLAY harus angka",IF($D148="","Zona STOCK",IF($E148="","CEK SKU DESCRIPTION kosong",IF(COUNTIFS($I$2:$I$500,$I148,Q$2:Q$500,"&lt;&gt;"&amp;Q148,Q$2:Q$500,"&lt;&gt;")&gt;0,"CEK jenis fixture beda dalam satu series","OK"))))))))))</f>
        <v/>
      </c>
      <c r="V148" s="11" t="n"/>
      <c r="W148" s="11" t="n"/>
      <c r="X148" s="11" t="n"/>
      <c r="Y148" s="11">
        <f>IF(OR(V148="",W148=""),"",IFERROR(INDEX(LAYOUT!$D$2:$D$80,MATCH(V148&amp;"|"&amp;W148,LAYOUT!$E$2:$E$80,0)),""))</f>
        <v/>
      </c>
      <c r="Z148" s="12">
        <f>IF(AND(V148="",W148=""),IF(AND(L148="",M148="",Q148="",R148=""),IF(OR($D148&lt;&gt;"",$E148&lt;&gt;""),"Belum ditempatkan",""),""),IF(V148="","CEK JENIS FIXTURE kosong",IF(LEFT(V148,4)&lt;&gt;"Wall","CEK Fixture 3 hanya Wall",IF(W148="","CEK SHELVING KE kosong",IF(ISNA(MATCH(V148&amp;"|"&amp;W148,LAYOUT!$E$2:$E$80,0)),"CEK SHELVING KE di luar layout",IF($I148="","CEK SERIES kosong",IF(AND(X148&lt;&gt;"",NOT(ISNUMBER(X148))),"CEK URUTAN DISPLAY harus angka",IF($D148="","Zona STOCK",IF($E148="","CEK SKU DESCRIPTION kosong",IF(COUNTIFS($I$2:$I$500,$I148,V$2:V$500,"&lt;&gt;"&amp;V148,V$2:V$500,"&lt;&gt;")&gt;0,"CEK jenis fixture beda dalam satu series","OK"))))))))))</f>
        <v/>
      </c>
      <c r="AA148" s="12" t="n"/>
      <c r="AB148" s="11" t="n"/>
      <c r="AC148" s="11" t="n"/>
      <c r="AD148" s="11" t="n"/>
      <c r="AE148" s="11" t="n"/>
      <c r="AF148" s="11" t="n"/>
      <c r="AG148" s="11" t="n"/>
      <c r="AH148" s="12" t="n"/>
      <c r="AI148" s="12" t="n"/>
    </row>
    <row r="149">
      <c r="A149" s="10" t="n"/>
      <c r="B149" s="10" t="n"/>
      <c r="C149" s="10" t="n"/>
      <c r="D149" s="10" t="n"/>
      <c r="E149" s="10" t="n"/>
      <c r="F149" s="10" t="n"/>
      <c r="G149" s="10" t="n"/>
      <c r="H149" s="10" t="n"/>
      <c r="I149" s="10" t="n"/>
      <c r="J149" s="10" t="n"/>
      <c r="K149" s="10" t="n"/>
      <c r="L149" s="11" t="n"/>
      <c r="M149" s="11" t="n"/>
      <c r="N149" s="11" t="n"/>
      <c r="O149" s="11">
        <f>IF(OR(L149="",M149=""),"",IFERROR(INDEX(LAYOUT!$D$2:$D$80,MATCH(L149&amp;"|"&amp;M149,LAYOUT!$E$2:$E$80,0)),""))</f>
        <v/>
      </c>
      <c r="P149" s="12">
        <f>IF(AND(L149="",M149=""),IF(AND(Q149="",R149="",V149="",W149=""),IF(OR($D149&lt;&gt;"",$E149&lt;&gt;""),"Belum ditempatkan",""),""),IF(L149="","CEK JENIS FIXTURE kosong",IF(AND(LEFT(L149,7)&lt;&gt;"Gondola",LEFT(L149,6)&lt;&gt;"Endcap"),"CEK Fixture 1 hanya Gondola atau Endcap",IF(M149="","CEK SHELVING KE kosong",IF(ISNA(MATCH(L149&amp;"|"&amp;M149,LAYOUT!$E$2:$E$80,0)),"CEK SHELVING KE di luar layout",IF($I149="","CEK SERIES kosong",IF(AND(N149&lt;&gt;"",NOT(ISNUMBER(N149))),"CEK URUTAN DISPLAY harus angka",IF($D149="","Zona STOCK",IF($E149="","CEK SKU DESCRIPTION kosong",IF(COUNTIFS($I$2:$I$500,$I149,L$2:L$500,"&lt;&gt;"&amp;L149,L$2:L$500,"&lt;&gt;")&gt;0,"CEK jenis fixture beda dalam satu series","OK"))))))))))</f>
        <v/>
      </c>
      <c r="Q149" s="11" t="n"/>
      <c r="R149" s="11" t="n"/>
      <c r="S149" s="11" t="n"/>
      <c r="T149" s="11">
        <f>IF(OR(Q149="",R149=""),"",IFERROR(INDEX(LAYOUT!$D$2:$D$80,MATCH(Q149&amp;"|"&amp;R149,LAYOUT!$E$2:$E$80,0)),""))</f>
        <v/>
      </c>
      <c r="U149" s="12">
        <f>IF(AND(Q149="",R149=""),IF(AND(L149="",M149="",V149="",W149=""),IF(OR($D149&lt;&gt;"",$E149&lt;&gt;""),"Belum ditempatkan",""),""),IF(Q149="","CEK JENIS FIXTURE kosong",IF(LEFT(Q149,4)&lt;&gt;"Wall","CEK Fixture 2 hanya Wall",IF(R149="","CEK SHELVING KE kosong",IF(ISNA(MATCH(Q149&amp;"|"&amp;R149,LAYOUT!$E$2:$E$80,0)),"CEK SHELVING KE di luar layout",IF($I149="","CEK SERIES kosong",IF(AND(S149&lt;&gt;"",NOT(ISNUMBER(S149))),"CEK URUTAN DISPLAY harus angka",IF($D149="","Zona STOCK",IF($E149="","CEK SKU DESCRIPTION kosong",IF(COUNTIFS($I$2:$I$500,$I149,Q$2:Q$500,"&lt;&gt;"&amp;Q149,Q$2:Q$500,"&lt;&gt;")&gt;0,"CEK jenis fixture beda dalam satu series","OK"))))))))))</f>
        <v/>
      </c>
      <c r="V149" s="11" t="n"/>
      <c r="W149" s="11" t="n"/>
      <c r="X149" s="11" t="n"/>
      <c r="Y149" s="11">
        <f>IF(OR(V149="",W149=""),"",IFERROR(INDEX(LAYOUT!$D$2:$D$80,MATCH(V149&amp;"|"&amp;W149,LAYOUT!$E$2:$E$80,0)),""))</f>
        <v/>
      </c>
      <c r="Z149" s="12">
        <f>IF(AND(V149="",W149=""),IF(AND(L149="",M149="",Q149="",R149=""),IF(OR($D149&lt;&gt;"",$E149&lt;&gt;""),"Belum ditempatkan",""),""),IF(V149="","CEK JENIS FIXTURE kosong",IF(LEFT(V149,4)&lt;&gt;"Wall","CEK Fixture 3 hanya Wall",IF(W149="","CEK SHELVING KE kosong",IF(ISNA(MATCH(V149&amp;"|"&amp;W149,LAYOUT!$E$2:$E$80,0)),"CEK SHELVING KE di luar layout",IF($I149="","CEK SERIES kosong",IF(AND(X149&lt;&gt;"",NOT(ISNUMBER(X149))),"CEK URUTAN DISPLAY harus angka",IF($D149="","Zona STOCK",IF($E149="","CEK SKU DESCRIPTION kosong",IF(COUNTIFS($I$2:$I$500,$I149,V$2:V$500,"&lt;&gt;"&amp;V149,V$2:V$500,"&lt;&gt;")&gt;0,"CEK jenis fixture beda dalam satu series","OK"))))))))))</f>
        <v/>
      </c>
      <c r="AA149" s="12" t="n"/>
      <c r="AB149" s="11" t="n"/>
      <c r="AC149" s="11" t="n"/>
      <c r="AD149" s="11" t="n"/>
      <c r="AE149" s="11" t="n"/>
      <c r="AF149" s="11" t="n"/>
      <c r="AG149" s="11" t="n"/>
      <c r="AH149" s="12" t="n"/>
      <c r="AI149" s="12" t="n"/>
    </row>
    <row r="150">
      <c r="A150" s="10" t="n"/>
      <c r="B150" s="10" t="n"/>
      <c r="C150" s="10" t="n"/>
      <c r="D150" s="10" t="n"/>
      <c r="E150" s="10" t="n"/>
      <c r="F150" s="10" t="n"/>
      <c r="G150" s="10" t="n"/>
      <c r="H150" s="10" t="n"/>
      <c r="I150" s="10" t="n"/>
      <c r="J150" s="10" t="n"/>
      <c r="K150" s="10" t="n"/>
      <c r="L150" s="11" t="n"/>
      <c r="M150" s="11" t="n"/>
      <c r="N150" s="11" t="n"/>
      <c r="O150" s="11">
        <f>IF(OR(L150="",M150=""),"",IFERROR(INDEX(LAYOUT!$D$2:$D$80,MATCH(L150&amp;"|"&amp;M150,LAYOUT!$E$2:$E$80,0)),""))</f>
        <v/>
      </c>
      <c r="P150" s="12">
        <f>IF(AND(L150="",M150=""),IF(AND(Q150="",R150="",V150="",W150=""),IF(OR($D150&lt;&gt;"",$E150&lt;&gt;""),"Belum ditempatkan",""),""),IF(L150="","CEK JENIS FIXTURE kosong",IF(AND(LEFT(L150,7)&lt;&gt;"Gondola",LEFT(L150,6)&lt;&gt;"Endcap"),"CEK Fixture 1 hanya Gondola atau Endcap",IF(M150="","CEK SHELVING KE kosong",IF(ISNA(MATCH(L150&amp;"|"&amp;M150,LAYOUT!$E$2:$E$80,0)),"CEK SHELVING KE di luar layout",IF($I150="","CEK SERIES kosong",IF(AND(N150&lt;&gt;"",NOT(ISNUMBER(N150))),"CEK URUTAN DISPLAY harus angka",IF($D150="","Zona STOCK",IF($E150="","CEK SKU DESCRIPTION kosong",IF(COUNTIFS($I$2:$I$500,$I150,L$2:L$500,"&lt;&gt;"&amp;L150,L$2:L$500,"&lt;&gt;")&gt;0,"CEK jenis fixture beda dalam satu series","OK"))))))))))</f>
        <v/>
      </c>
      <c r="Q150" s="11" t="n"/>
      <c r="R150" s="11" t="n"/>
      <c r="S150" s="11" t="n"/>
      <c r="T150" s="11">
        <f>IF(OR(Q150="",R150=""),"",IFERROR(INDEX(LAYOUT!$D$2:$D$80,MATCH(Q150&amp;"|"&amp;R150,LAYOUT!$E$2:$E$80,0)),""))</f>
        <v/>
      </c>
      <c r="U150" s="12">
        <f>IF(AND(Q150="",R150=""),IF(AND(L150="",M150="",V150="",W150=""),IF(OR($D150&lt;&gt;"",$E150&lt;&gt;""),"Belum ditempatkan",""),""),IF(Q150="","CEK JENIS FIXTURE kosong",IF(LEFT(Q150,4)&lt;&gt;"Wall","CEK Fixture 2 hanya Wall",IF(R150="","CEK SHELVING KE kosong",IF(ISNA(MATCH(Q150&amp;"|"&amp;R150,LAYOUT!$E$2:$E$80,0)),"CEK SHELVING KE di luar layout",IF($I150="","CEK SERIES kosong",IF(AND(S150&lt;&gt;"",NOT(ISNUMBER(S150))),"CEK URUTAN DISPLAY harus angka",IF($D150="","Zona STOCK",IF($E150="","CEK SKU DESCRIPTION kosong",IF(COUNTIFS($I$2:$I$500,$I150,Q$2:Q$500,"&lt;&gt;"&amp;Q150,Q$2:Q$500,"&lt;&gt;")&gt;0,"CEK jenis fixture beda dalam satu series","OK"))))))))))</f>
        <v/>
      </c>
      <c r="V150" s="11" t="n"/>
      <c r="W150" s="11" t="n"/>
      <c r="X150" s="11" t="n"/>
      <c r="Y150" s="11">
        <f>IF(OR(V150="",W150=""),"",IFERROR(INDEX(LAYOUT!$D$2:$D$80,MATCH(V150&amp;"|"&amp;W150,LAYOUT!$E$2:$E$80,0)),""))</f>
        <v/>
      </c>
      <c r="Z150" s="12">
        <f>IF(AND(V150="",W150=""),IF(AND(L150="",M150="",Q150="",R150=""),IF(OR($D150&lt;&gt;"",$E150&lt;&gt;""),"Belum ditempatkan",""),""),IF(V150="","CEK JENIS FIXTURE kosong",IF(LEFT(V150,4)&lt;&gt;"Wall","CEK Fixture 3 hanya Wall",IF(W150="","CEK SHELVING KE kosong",IF(ISNA(MATCH(V150&amp;"|"&amp;W150,LAYOUT!$E$2:$E$80,0)),"CEK SHELVING KE di luar layout",IF($I150="","CEK SERIES kosong",IF(AND(X150&lt;&gt;"",NOT(ISNUMBER(X150))),"CEK URUTAN DISPLAY harus angka",IF($D150="","Zona STOCK",IF($E150="","CEK SKU DESCRIPTION kosong",IF(COUNTIFS($I$2:$I$500,$I150,V$2:V$500,"&lt;&gt;"&amp;V150,V$2:V$500,"&lt;&gt;")&gt;0,"CEK jenis fixture beda dalam satu series","OK"))))))))))</f>
        <v/>
      </c>
      <c r="AA150" s="12" t="n"/>
      <c r="AB150" s="11" t="n"/>
      <c r="AC150" s="11" t="n"/>
      <c r="AD150" s="11" t="n"/>
      <c r="AE150" s="11" t="n"/>
      <c r="AF150" s="11" t="n"/>
      <c r="AG150" s="11" t="n"/>
      <c r="AH150" s="12" t="n"/>
      <c r="AI150" s="12" t="n"/>
    </row>
    <row r="151">
      <c r="A151" s="10" t="n"/>
      <c r="B151" s="10" t="n"/>
      <c r="C151" s="10" t="n"/>
      <c r="D151" s="10" t="n"/>
      <c r="E151" s="10" t="n"/>
      <c r="F151" s="10" t="n"/>
      <c r="G151" s="10" t="n"/>
      <c r="H151" s="10" t="n"/>
      <c r="I151" s="10" t="n"/>
      <c r="J151" s="10" t="n"/>
      <c r="K151" s="10" t="n"/>
      <c r="L151" s="11" t="n"/>
      <c r="M151" s="11" t="n"/>
      <c r="N151" s="11" t="n"/>
      <c r="O151" s="11">
        <f>IF(OR(L151="",M151=""),"",IFERROR(INDEX(LAYOUT!$D$2:$D$80,MATCH(L151&amp;"|"&amp;M151,LAYOUT!$E$2:$E$80,0)),""))</f>
        <v/>
      </c>
      <c r="P151" s="12">
        <f>IF(AND(L151="",M151=""),IF(AND(Q151="",R151="",V151="",W151=""),IF(OR($D151&lt;&gt;"",$E151&lt;&gt;""),"Belum ditempatkan",""),""),IF(L151="","CEK JENIS FIXTURE kosong",IF(AND(LEFT(L151,7)&lt;&gt;"Gondola",LEFT(L151,6)&lt;&gt;"Endcap"),"CEK Fixture 1 hanya Gondola atau Endcap",IF(M151="","CEK SHELVING KE kosong",IF(ISNA(MATCH(L151&amp;"|"&amp;M151,LAYOUT!$E$2:$E$80,0)),"CEK SHELVING KE di luar layout",IF($I151="","CEK SERIES kosong",IF(AND(N151&lt;&gt;"",NOT(ISNUMBER(N151))),"CEK URUTAN DISPLAY harus angka",IF($D151="","Zona STOCK",IF($E151="","CEK SKU DESCRIPTION kosong",IF(COUNTIFS($I$2:$I$500,$I151,L$2:L$500,"&lt;&gt;"&amp;L151,L$2:L$500,"&lt;&gt;")&gt;0,"CEK jenis fixture beda dalam satu series","OK"))))))))))</f>
        <v/>
      </c>
      <c r="Q151" s="11" t="n"/>
      <c r="R151" s="11" t="n"/>
      <c r="S151" s="11" t="n"/>
      <c r="T151" s="11">
        <f>IF(OR(Q151="",R151=""),"",IFERROR(INDEX(LAYOUT!$D$2:$D$80,MATCH(Q151&amp;"|"&amp;R151,LAYOUT!$E$2:$E$80,0)),""))</f>
        <v/>
      </c>
      <c r="U151" s="12">
        <f>IF(AND(Q151="",R151=""),IF(AND(L151="",M151="",V151="",W151=""),IF(OR($D151&lt;&gt;"",$E151&lt;&gt;""),"Belum ditempatkan",""),""),IF(Q151="","CEK JENIS FIXTURE kosong",IF(LEFT(Q151,4)&lt;&gt;"Wall","CEK Fixture 2 hanya Wall",IF(R151="","CEK SHELVING KE kosong",IF(ISNA(MATCH(Q151&amp;"|"&amp;R151,LAYOUT!$E$2:$E$80,0)),"CEK SHELVING KE di luar layout",IF($I151="","CEK SERIES kosong",IF(AND(S151&lt;&gt;"",NOT(ISNUMBER(S151))),"CEK URUTAN DISPLAY harus angka",IF($D151="","Zona STOCK",IF($E151="","CEK SKU DESCRIPTION kosong",IF(COUNTIFS($I$2:$I$500,$I151,Q$2:Q$500,"&lt;&gt;"&amp;Q151,Q$2:Q$500,"&lt;&gt;")&gt;0,"CEK jenis fixture beda dalam satu series","OK"))))))))))</f>
        <v/>
      </c>
      <c r="V151" s="11" t="n"/>
      <c r="W151" s="11" t="n"/>
      <c r="X151" s="11" t="n"/>
      <c r="Y151" s="11">
        <f>IF(OR(V151="",W151=""),"",IFERROR(INDEX(LAYOUT!$D$2:$D$80,MATCH(V151&amp;"|"&amp;W151,LAYOUT!$E$2:$E$80,0)),""))</f>
        <v/>
      </c>
      <c r="Z151" s="12">
        <f>IF(AND(V151="",W151=""),IF(AND(L151="",M151="",Q151="",R151=""),IF(OR($D151&lt;&gt;"",$E151&lt;&gt;""),"Belum ditempatkan",""),""),IF(V151="","CEK JENIS FIXTURE kosong",IF(LEFT(V151,4)&lt;&gt;"Wall","CEK Fixture 3 hanya Wall",IF(W151="","CEK SHELVING KE kosong",IF(ISNA(MATCH(V151&amp;"|"&amp;W151,LAYOUT!$E$2:$E$80,0)),"CEK SHELVING KE di luar layout",IF($I151="","CEK SERIES kosong",IF(AND(X151&lt;&gt;"",NOT(ISNUMBER(X151))),"CEK URUTAN DISPLAY harus angka",IF($D151="","Zona STOCK",IF($E151="","CEK SKU DESCRIPTION kosong",IF(COUNTIFS($I$2:$I$500,$I151,V$2:V$500,"&lt;&gt;"&amp;V151,V$2:V$500,"&lt;&gt;")&gt;0,"CEK jenis fixture beda dalam satu series","OK"))))))))))</f>
        <v/>
      </c>
      <c r="AA151" s="12" t="n"/>
      <c r="AB151" s="11" t="n"/>
      <c r="AC151" s="11" t="n"/>
      <c r="AD151" s="11" t="n"/>
      <c r="AE151" s="11" t="n"/>
      <c r="AF151" s="11" t="n"/>
      <c r="AG151" s="11" t="n"/>
      <c r="AH151" s="12" t="n"/>
      <c r="AI151" s="12" t="n"/>
    </row>
    <row r="152">
      <c r="A152" s="10" t="n"/>
      <c r="B152" s="10" t="n"/>
      <c r="C152" s="10" t="n"/>
      <c r="D152" s="10" t="n"/>
      <c r="E152" s="10" t="n"/>
      <c r="F152" s="10" t="n"/>
      <c r="G152" s="10" t="n"/>
      <c r="H152" s="10" t="n"/>
      <c r="I152" s="10" t="n"/>
      <c r="J152" s="10" t="n"/>
      <c r="K152" s="10" t="n"/>
      <c r="L152" s="11" t="n"/>
      <c r="M152" s="11" t="n"/>
      <c r="N152" s="11" t="n"/>
      <c r="O152" s="11">
        <f>IF(OR(L152="",M152=""),"",IFERROR(INDEX(LAYOUT!$D$2:$D$80,MATCH(L152&amp;"|"&amp;M152,LAYOUT!$E$2:$E$80,0)),""))</f>
        <v/>
      </c>
      <c r="P152" s="12">
        <f>IF(AND(L152="",M152=""),IF(AND(Q152="",R152="",V152="",W152=""),IF(OR($D152&lt;&gt;"",$E152&lt;&gt;""),"Belum ditempatkan",""),""),IF(L152="","CEK JENIS FIXTURE kosong",IF(AND(LEFT(L152,7)&lt;&gt;"Gondola",LEFT(L152,6)&lt;&gt;"Endcap"),"CEK Fixture 1 hanya Gondola atau Endcap",IF(M152="","CEK SHELVING KE kosong",IF(ISNA(MATCH(L152&amp;"|"&amp;M152,LAYOUT!$E$2:$E$80,0)),"CEK SHELVING KE di luar layout",IF($I152="","CEK SERIES kosong",IF(AND(N152&lt;&gt;"",NOT(ISNUMBER(N152))),"CEK URUTAN DISPLAY harus angka",IF($D152="","Zona STOCK",IF($E152="","CEK SKU DESCRIPTION kosong",IF(COUNTIFS($I$2:$I$500,$I152,L$2:L$500,"&lt;&gt;"&amp;L152,L$2:L$500,"&lt;&gt;")&gt;0,"CEK jenis fixture beda dalam satu series","OK"))))))))))</f>
        <v/>
      </c>
      <c r="Q152" s="11" t="n"/>
      <c r="R152" s="11" t="n"/>
      <c r="S152" s="11" t="n"/>
      <c r="T152" s="11">
        <f>IF(OR(Q152="",R152=""),"",IFERROR(INDEX(LAYOUT!$D$2:$D$80,MATCH(Q152&amp;"|"&amp;R152,LAYOUT!$E$2:$E$80,0)),""))</f>
        <v/>
      </c>
      <c r="U152" s="12">
        <f>IF(AND(Q152="",R152=""),IF(AND(L152="",M152="",V152="",W152=""),IF(OR($D152&lt;&gt;"",$E152&lt;&gt;""),"Belum ditempatkan",""),""),IF(Q152="","CEK JENIS FIXTURE kosong",IF(LEFT(Q152,4)&lt;&gt;"Wall","CEK Fixture 2 hanya Wall",IF(R152="","CEK SHELVING KE kosong",IF(ISNA(MATCH(Q152&amp;"|"&amp;R152,LAYOUT!$E$2:$E$80,0)),"CEK SHELVING KE di luar layout",IF($I152="","CEK SERIES kosong",IF(AND(S152&lt;&gt;"",NOT(ISNUMBER(S152))),"CEK URUTAN DISPLAY harus angka",IF($D152="","Zona STOCK",IF($E152="","CEK SKU DESCRIPTION kosong",IF(COUNTIFS($I$2:$I$500,$I152,Q$2:Q$500,"&lt;&gt;"&amp;Q152,Q$2:Q$500,"&lt;&gt;")&gt;0,"CEK jenis fixture beda dalam satu series","OK"))))))))))</f>
        <v/>
      </c>
      <c r="V152" s="11" t="n"/>
      <c r="W152" s="11" t="n"/>
      <c r="X152" s="11" t="n"/>
      <c r="Y152" s="11">
        <f>IF(OR(V152="",W152=""),"",IFERROR(INDEX(LAYOUT!$D$2:$D$80,MATCH(V152&amp;"|"&amp;W152,LAYOUT!$E$2:$E$80,0)),""))</f>
        <v/>
      </c>
      <c r="Z152" s="12">
        <f>IF(AND(V152="",W152=""),IF(AND(L152="",M152="",Q152="",R152=""),IF(OR($D152&lt;&gt;"",$E152&lt;&gt;""),"Belum ditempatkan",""),""),IF(V152="","CEK JENIS FIXTURE kosong",IF(LEFT(V152,4)&lt;&gt;"Wall","CEK Fixture 3 hanya Wall",IF(W152="","CEK SHELVING KE kosong",IF(ISNA(MATCH(V152&amp;"|"&amp;W152,LAYOUT!$E$2:$E$80,0)),"CEK SHELVING KE di luar layout",IF($I152="","CEK SERIES kosong",IF(AND(X152&lt;&gt;"",NOT(ISNUMBER(X152))),"CEK URUTAN DISPLAY harus angka",IF($D152="","Zona STOCK",IF($E152="","CEK SKU DESCRIPTION kosong",IF(COUNTIFS($I$2:$I$500,$I152,V$2:V$500,"&lt;&gt;"&amp;V152,V$2:V$500,"&lt;&gt;")&gt;0,"CEK jenis fixture beda dalam satu series","OK"))))))))))</f>
        <v/>
      </c>
      <c r="AA152" s="12" t="n"/>
      <c r="AB152" s="11" t="n"/>
      <c r="AC152" s="11" t="n"/>
      <c r="AD152" s="11" t="n"/>
      <c r="AE152" s="11" t="n"/>
      <c r="AF152" s="11" t="n"/>
      <c r="AG152" s="11" t="n"/>
      <c r="AH152" s="12" t="n"/>
      <c r="AI152" s="12" t="n"/>
    </row>
    <row r="153">
      <c r="A153" s="10" t="n"/>
      <c r="B153" s="10" t="n"/>
      <c r="C153" s="10" t="n"/>
      <c r="D153" s="10" t="n"/>
      <c r="E153" s="10" t="n"/>
      <c r="F153" s="10" t="n"/>
      <c r="G153" s="10" t="n"/>
      <c r="H153" s="10" t="n"/>
      <c r="I153" s="10" t="n"/>
      <c r="J153" s="10" t="n"/>
      <c r="K153" s="10" t="n"/>
      <c r="L153" s="11" t="n"/>
      <c r="M153" s="11" t="n"/>
      <c r="N153" s="11" t="n"/>
      <c r="O153" s="11">
        <f>IF(OR(L153="",M153=""),"",IFERROR(INDEX(LAYOUT!$D$2:$D$80,MATCH(L153&amp;"|"&amp;M153,LAYOUT!$E$2:$E$80,0)),""))</f>
        <v/>
      </c>
      <c r="P153" s="12">
        <f>IF(AND(L153="",M153=""),IF(AND(Q153="",R153="",V153="",W153=""),IF(OR($D153&lt;&gt;"",$E153&lt;&gt;""),"Belum ditempatkan",""),""),IF(L153="","CEK JENIS FIXTURE kosong",IF(AND(LEFT(L153,7)&lt;&gt;"Gondola",LEFT(L153,6)&lt;&gt;"Endcap"),"CEK Fixture 1 hanya Gondola atau Endcap",IF(M153="","CEK SHELVING KE kosong",IF(ISNA(MATCH(L153&amp;"|"&amp;M153,LAYOUT!$E$2:$E$80,0)),"CEK SHELVING KE di luar layout",IF($I153="","CEK SERIES kosong",IF(AND(N153&lt;&gt;"",NOT(ISNUMBER(N153))),"CEK URUTAN DISPLAY harus angka",IF($D153="","Zona STOCK",IF($E153="","CEK SKU DESCRIPTION kosong",IF(COUNTIFS($I$2:$I$500,$I153,L$2:L$500,"&lt;&gt;"&amp;L153,L$2:L$500,"&lt;&gt;")&gt;0,"CEK jenis fixture beda dalam satu series","OK"))))))))))</f>
        <v/>
      </c>
      <c r="Q153" s="11" t="n"/>
      <c r="R153" s="11" t="n"/>
      <c r="S153" s="11" t="n"/>
      <c r="T153" s="11">
        <f>IF(OR(Q153="",R153=""),"",IFERROR(INDEX(LAYOUT!$D$2:$D$80,MATCH(Q153&amp;"|"&amp;R153,LAYOUT!$E$2:$E$80,0)),""))</f>
        <v/>
      </c>
      <c r="U153" s="12">
        <f>IF(AND(Q153="",R153=""),IF(AND(L153="",M153="",V153="",W153=""),IF(OR($D153&lt;&gt;"",$E153&lt;&gt;""),"Belum ditempatkan",""),""),IF(Q153="","CEK JENIS FIXTURE kosong",IF(LEFT(Q153,4)&lt;&gt;"Wall","CEK Fixture 2 hanya Wall",IF(R153="","CEK SHELVING KE kosong",IF(ISNA(MATCH(Q153&amp;"|"&amp;R153,LAYOUT!$E$2:$E$80,0)),"CEK SHELVING KE di luar layout",IF($I153="","CEK SERIES kosong",IF(AND(S153&lt;&gt;"",NOT(ISNUMBER(S153))),"CEK URUTAN DISPLAY harus angka",IF($D153="","Zona STOCK",IF($E153="","CEK SKU DESCRIPTION kosong",IF(COUNTIFS($I$2:$I$500,$I153,Q$2:Q$500,"&lt;&gt;"&amp;Q153,Q$2:Q$500,"&lt;&gt;")&gt;0,"CEK jenis fixture beda dalam satu series","OK"))))))))))</f>
        <v/>
      </c>
      <c r="V153" s="11" t="n"/>
      <c r="W153" s="11" t="n"/>
      <c r="X153" s="11" t="n"/>
      <c r="Y153" s="11">
        <f>IF(OR(V153="",W153=""),"",IFERROR(INDEX(LAYOUT!$D$2:$D$80,MATCH(V153&amp;"|"&amp;W153,LAYOUT!$E$2:$E$80,0)),""))</f>
        <v/>
      </c>
      <c r="Z153" s="12">
        <f>IF(AND(V153="",W153=""),IF(AND(L153="",M153="",Q153="",R153=""),IF(OR($D153&lt;&gt;"",$E153&lt;&gt;""),"Belum ditempatkan",""),""),IF(V153="","CEK JENIS FIXTURE kosong",IF(LEFT(V153,4)&lt;&gt;"Wall","CEK Fixture 3 hanya Wall",IF(W153="","CEK SHELVING KE kosong",IF(ISNA(MATCH(V153&amp;"|"&amp;W153,LAYOUT!$E$2:$E$80,0)),"CEK SHELVING KE di luar layout",IF($I153="","CEK SERIES kosong",IF(AND(X153&lt;&gt;"",NOT(ISNUMBER(X153))),"CEK URUTAN DISPLAY harus angka",IF($D153="","Zona STOCK",IF($E153="","CEK SKU DESCRIPTION kosong",IF(COUNTIFS($I$2:$I$500,$I153,V$2:V$500,"&lt;&gt;"&amp;V153,V$2:V$500,"&lt;&gt;")&gt;0,"CEK jenis fixture beda dalam satu series","OK"))))))))))</f>
        <v/>
      </c>
      <c r="AA153" s="12" t="n"/>
      <c r="AB153" s="11" t="n"/>
      <c r="AC153" s="11" t="n"/>
      <c r="AD153" s="11" t="n"/>
      <c r="AE153" s="11" t="n"/>
      <c r="AF153" s="11" t="n"/>
      <c r="AG153" s="11" t="n"/>
      <c r="AH153" s="12" t="n"/>
      <c r="AI153" s="12" t="n"/>
    </row>
    <row r="154">
      <c r="A154" s="10" t="n"/>
      <c r="B154" s="10" t="n"/>
      <c r="C154" s="10" t="n"/>
      <c r="D154" s="10" t="n"/>
      <c r="E154" s="10" t="n"/>
      <c r="F154" s="10" t="n"/>
      <c r="G154" s="10" t="n"/>
      <c r="H154" s="10" t="n"/>
      <c r="I154" s="10" t="n"/>
      <c r="J154" s="10" t="n"/>
      <c r="K154" s="10" t="n"/>
      <c r="L154" s="11" t="n"/>
      <c r="M154" s="11" t="n"/>
      <c r="N154" s="11" t="n"/>
      <c r="O154" s="11">
        <f>IF(OR(L154="",M154=""),"",IFERROR(INDEX(LAYOUT!$D$2:$D$80,MATCH(L154&amp;"|"&amp;M154,LAYOUT!$E$2:$E$80,0)),""))</f>
        <v/>
      </c>
      <c r="P154" s="12">
        <f>IF(AND(L154="",M154=""),IF(AND(Q154="",R154="",V154="",W154=""),IF(OR($D154&lt;&gt;"",$E154&lt;&gt;""),"Belum ditempatkan",""),""),IF(L154="","CEK JENIS FIXTURE kosong",IF(AND(LEFT(L154,7)&lt;&gt;"Gondola",LEFT(L154,6)&lt;&gt;"Endcap"),"CEK Fixture 1 hanya Gondola atau Endcap",IF(M154="","CEK SHELVING KE kosong",IF(ISNA(MATCH(L154&amp;"|"&amp;M154,LAYOUT!$E$2:$E$80,0)),"CEK SHELVING KE di luar layout",IF($I154="","CEK SERIES kosong",IF(AND(N154&lt;&gt;"",NOT(ISNUMBER(N154))),"CEK URUTAN DISPLAY harus angka",IF($D154="","Zona STOCK",IF($E154="","CEK SKU DESCRIPTION kosong",IF(COUNTIFS($I$2:$I$500,$I154,L$2:L$500,"&lt;&gt;"&amp;L154,L$2:L$500,"&lt;&gt;")&gt;0,"CEK jenis fixture beda dalam satu series","OK"))))))))))</f>
        <v/>
      </c>
      <c r="Q154" s="11" t="n"/>
      <c r="R154" s="11" t="n"/>
      <c r="S154" s="11" t="n"/>
      <c r="T154" s="11">
        <f>IF(OR(Q154="",R154=""),"",IFERROR(INDEX(LAYOUT!$D$2:$D$80,MATCH(Q154&amp;"|"&amp;R154,LAYOUT!$E$2:$E$80,0)),""))</f>
        <v/>
      </c>
      <c r="U154" s="12">
        <f>IF(AND(Q154="",R154=""),IF(AND(L154="",M154="",V154="",W154=""),IF(OR($D154&lt;&gt;"",$E154&lt;&gt;""),"Belum ditempatkan",""),""),IF(Q154="","CEK JENIS FIXTURE kosong",IF(LEFT(Q154,4)&lt;&gt;"Wall","CEK Fixture 2 hanya Wall",IF(R154="","CEK SHELVING KE kosong",IF(ISNA(MATCH(Q154&amp;"|"&amp;R154,LAYOUT!$E$2:$E$80,0)),"CEK SHELVING KE di luar layout",IF($I154="","CEK SERIES kosong",IF(AND(S154&lt;&gt;"",NOT(ISNUMBER(S154))),"CEK URUTAN DISPLAY harus angka",IF($D154="","Zona STOCK",IF($E154="","CEK SKU DESCRIPTION kosong",IF(COUNTIFS($I$2:$I$500,$I154,Q$2:Q$500,"&lt;&gt;"&amp;Q154,Q$2:Q$500,"&lt;&gt;")&gt;0,"CEK jenis fixture beda dalam satu series","OK"))))))))))</f>
        <v/>
      </c>
      <c r="V154" s="11" t="n"/>
      <c r="W154" s="11" t="n"/>
      <c r="X154" s="11" t="n"/>
      <c r="Y154" s="11">
        <f>IF(OR(V154="",W154=""),"",IFERROR(INDEX(LAYOUT!$D$2:$D$80,MATCH(V154&amp;"|"&amp;W154,LAYOUT!$E$2:$E$80,0)),""))</f>
        <v/>
      </c>
      <c r="Z154" s="12">
        <f>IF(AND(V154="",W154=""),IF(AND(L154="",M154="",Q154="",R154=""),IF(OR($D154&lt;&gt;"",$E154&lt;&gt;""),"Belum ditempatkan",""),""),IF(V154="","CEK JENIS FIXTURE kosong",IF(LEFT(V154,4)&lt;&gt;"Wall","CEK Fixture 3 hanya Wall",IF(W154="","CEK SHELVING KE kosong",IF(ISNA(MATCH(V154&amp;"|"&amp;W154,LAYOUT!$E$2:$E$80,0)),"CEK SHELVING KE di luar layout",IF($I154="","CEK SERIES kosong",IF(AND(X154&lt;&gt;"",NOT(ISNUMBER(X154))),"CEK URUTAN DISPLAY harus angka",IF($D154="","Zona STOCK",IF($E154="","CEK SKU DESCRIPTION kosong",IF(COUNTIFS($I$2:$I$500,$I154,V$2:V$500,"&lt;&gt;"&amp;V154,V$2:V$500,"&lt;&gt;")&gt;0,"CEK jenis fixture beda dalam satu series","OK"))))))))))</f>
        <v/>
      </c>
      <c r="AA154" s="12" t="n"/>
      <c r="AB154" s="11" t="n"/>
      <c r="AC154" s="11" t="n"/>
      <c r="AD154" s="11" t="n"/>
      <c r="AE154" s="11" t="n"/>
      <c r="AF154" s="11" t="n"/>
      <c r="AG154" s="11" t="n"/>
      <c r="AH154" s="12" t="n"/>
      <c r="AI154" s="12" t="n"/>
    </row>
    <row r="155">
      <c r="A155" s="10" t="n"/>
      <c r="B155" s="10" t="n"/>
      <c r="C155" s="10" t="n"/>
      <c r="D155" s="10" t="n"/>
      <c r="E155" s="10" t="n"/>
      <c r="F155" s="10" t="n"/>
      <c r="G155" s="10" t="n"/>
      <c r="H155" s="10" t="n"/>
      <c r="I155" s="10" t="n"/>
      <c r="J155" s="10" t="n"/>
      <c r="K155" s="10" t="n"/>
      <c r="L155" s="11" t="n"/>
      <c r="M155" s="11" t="n"/>
      <c r="N155" s="11" t="n"/>
      <c r="O155" s="11">
        <f>IF(OR(L155="",M155=""),"",IFERROR(INDEX(LAYOUT!$D$2:$D$80,MATCH(L155&amp;"|"&amp;M155,LAYOUT!$E$2:$E$80,0)),""))</f>
        <v/>
      </c>
      <c r="P155" s="12">
        <f>IF(AND(L155="",M155=""),IF(AND(Q155="",R155="",V155="",W155=""),IF(OR($D155&lt;&gt;"",$E155&lt;&gt;""),"Belum ditempatkan",""),""),IF(L155="","CEK JENIS FIXTURE kosong",IF(AND(LEFT(L155,7)&lt;&gt;"Gondola",LEFT(L155,6)&lt;&gt;"Endcap"),"CEK Fixture 1 hanya Gondola atau Endcap",IF(M155="","CEK SHELVING KE kosong",IF(ISNA(MATCH(L155&amp;"|"&amp;M155,LAYOUT!$E$2:$E$80,0)),"CEK SHELVING KE di luar layout",IF($I155="","CEK SERIES kosong",IF(AND(N155&lt;&gt;"",NOT(ISNUMBER(N155))),"CEK URUTAN DISPLAY harus angka",IF($D155="","Zona STOCK",IF($E155="","CEK SKU DESCRIPTION kosong",IF(COUNTIFS($I$2:$I$500,$I155,L$2:L$500,"&lt;&gt;"&amp;L155,L$2:L$500,"&lt;&gt;")&gt;0,"CEK jenis fixture beda dalam satu series","OK"))))))))))</f>
        <v/>
      </c>
      <c r="Q155" s="11" t="n"/>
      <c r="R155" s="11" t="n"/>
      <c r="S155" s="11" t="n"/>
      <c r="T155" s="11">
        <f>IF(OR(Q155="",R155=""),"",IFERROR(INDEX(LAYOUT!$D$2:$D$80,MATCH(Q155&amp;"|"&amp;R155,LAYOUT!$E$2:$E$80,0)),""))</f>
        <v/>
      </c>
      <c r="U155" s="12">
        <f>IF(AND(Q155="",R155=""),IF(AND(L155="",M155="",V155="",W155=""),IF(OR($D155&lt;&gt;"",$E155&lt;&gt;""),"Belum ditempatkan",""),""),IF(Q155="","CEK JENIS FIXTURE kosong",IF(LEFT(Q155,4)&lt;&gt;"Wall","CEK Fixture 2 hanya Wall",IF(R155="","CEK SHELVING KE kosong",IF(ISNA(MATCH(Q155&amp;"|"&amp;R155,LAYOUT!$E$2:$E$80,0)),"CEK SHELVING KE di luar layout",IF($I155="","CEK SERIES kosong",IF(AND(S155&lt;&gt;"",NOT(ISNUMBER(S155))),"CEK URUTAN DISPLAY harus angka",IF($D155="","Zona STOCK",IF($E155="","CEK SKU DESCRIPTION kosong",IF(COUNTIFS($I$2:$I$500,$I155,Q$2:Q$500,"&lt;&gt;"&amp;Q155,Q$2:Q$500,"&lt;&gt;")&gt;0,"CEK jenis fixture beda dalam satu series","OK"))))))))))</f>
        <v/>
      </c>
      <c r="V155" s="11" t="n"/>
      <c r="W155" s="11" t="n"/>
      <c r="X155" s="11" t="n"/>
      <c r="Y155" s="11">
        <f>IF(OR(V155="",W155=""),"",IFERROR(INDEX(LAYOUT!$D$2:$D$80,MATCH(V155&amp;"|"&amp;W155,LAYOUT!$E$2:$E$80,0)),""))</f>
        <v/>
      </c>
      <c r="Z155" s="12">
        <f>IF(AND(V155="",W155=""),IF(AND(L155="",M155="",Q155="",R155=""),IF(OR($D155&lt;&gt;"",$E155&lt;&gt;""),"Belum ditempatkan",""),""),IF(V155="","CEK JENIS FIXTURE kosong",IF(LEFT(V155,4)&lt;&gt;"Wall","CEK Fixture 3 hanya Wall",IF(W155="","CEK SHELVING KE kosong",IF(ISNA(MATCH(V155&amp;"|"&amp;W155,LAYOUT!$E$2:$E$80,0)),"CEK SHELVING KE di luar layout",IF($I155="","CEK SERIES kosong",IF(AND(X155&lt;&gt;"",NOT(ISNUMBER(X155))),"CEK URUTAN DISPLAY harus angka",IF($D155="","Zona STOCK",IF($E155="","CEK SKU DESCRIPTION kosong",IF(COUNTIFS($I$2:$I$500,$I155,V$2:V$500,"&lt;&gt;"&amp;V155,V$2:V$500,"&lt;&gt;")&gt;0,"CEK jenis fixture beda dalam satu series","OK"))))))))))</f>
        <v/>
      </c>
      <c r="AA155" s="12" t="n"/>
      <c r="AB155" s="11" t="n"/>
      <c r="AC155" s="11" t="n"/>
      <c r="AD155" s="11" t="n"/>
      <c r="AE155" s="11" t="n"/>
      <c r="AF155" s="11" t="n"/>
      <c r="AG155" s="11" t="n"/>
      <c r="AH155" s="12" t="n"/>
      <c r="AI155" s="12" t="n"/>
    </row>
    <row r="156">
      <c r="A156" s="10" t="n"/>
      <c r="B156" s="10" t="n"/>
      <c r="C156" s="10" t="n"/>
      <c r="D156" s="10" t="n"/>
      <c r="E156" s="10" t="n"/>
      <c r="F156" s="10" t="n"/>
      <c r="G156" s="10" t="n"/>
      <c r="H156" s="10" t="n"/>
      <c r="I156" s="10" t="n"/>
      <c r="J156" s="10" t="n"/>
      <c r="K156" s="10" t="n"/>
      <c r="L156" s="11" t="n"/>
      <c r="M156" s="11" t="n"/>
      <c r="N156" s="11" t="n"/>
      <c r="O156" s="11">
        <f>IF(OR(L156="",M156=""),"",IFERROR(INDEX(LAYOUT!$D$2:$D$80,MATCH(L156&amp;"|"&amp;M156,LAYOUT!$E$2:$E$80,0)),""))</f>
        <v/>
      </c>
      <c r="P156" s="12">
        <f>IF(AND(L156="",M156=""),IF(AND(Q156="",R156="",V156="",W156=""),IF(OR($D156&lt;&gt;"",$E156&lt;&gt;""),"Belum ditempatkan",""),""),IF(L156="","CEK JENIS FIXTURE kosong",IF(AND(LEFT(L156,7)&lt;&gt;"Gondola",LEFT(L156,6)&lt;&gt;"Endcap"),"CEK Fixture 1 hanya Gondola atau Endcap",IF(M156="","CEK SHELVING KE kosong",IF(ISNA(MATCH(L156&amp;"|"&amp;M156,LAYOUT!$E$2:$E$80,0)),"CEK SHELVING KE di luar layout",IF($I156="","CEK SERIES kosong",IF(AND(N156&lt;&gt;"",NOT(ISNUMBER(N156))),"CEK URUTAN DISPLAY harus angka",IF($D156="","Zona STOCK",IF($E156="","CEK SKU DESCRIPTION kosong",IF(COUNTIFS($I$2:$I$500,$I156,L$2:L$500,"&lt;&gt;"&amp;L156,L$2:L$500,"&lt;&gt;")&gt;0,"CEK jenis fixture beda dalam satu series","OK"))))))))))</f>
        <v/>
      </c>
      <c r="Q156" s="11" t="n"/>
      <c r="R156" s="11" t="n"/>
      <c r="S156" s="11" t="n"/>
      <c r="T156" s="11">
        <f>IF(OR(Q156="",R156=""),"",IFERROR(INDEX(LAYOUT!$D$2:$D$80,MATCH(Q156&amp;"|"&amp;R156,LAYOUT!$E$2:$E$80,0)),""))</f>
        <v/>
      </c>
      <c r="U156" s="12">
        <f>IF(AND(Q156="",R156=""),IF(AND(L156="",M156="",V156="",W156=""),IF(OR($D156&lt;&gt;"",$E156&lt;&gt;""),"Belum ditempatkan",""),""),IF(Q156="","CEK JENIS FIXTURE kosong",IF(LEFT(Q156,4)&lt;&gt;"Wall","CEK Fixture 2 hanya Wall",IF(R156="","CEK SHELVING KE kosong",IF(ISNA(MATCH(Q156&amp;"|"&amp;R156,LAYOUT!$E$2:$E$80,0)),"CEK SHELVING KE di luar layout",IF($I156="","CEK SERIES kosong",IF(AND(S156&lt;&gt;"",NOT(ISNUMBER(S156))),"CEK URUTAN DISPLAY harus angka",IF($D156="","Zona STOCK",IF($E156="","CEK SKU DESCRIPTION kosong",IF(COUNTIFS($I$2:$I$500,$I156,Q$2:Q$500,"&lt;&gt;"&amp;Q156,Q$2:Q$500,"&lt;&gt;")&gt;0,"CEK jenis fixture beda dalam satu series","OK"))))))))))</f>
        <v/>
      </c>
      <c r="V156" s="11" t="n"/>
      <c r="W156" s="11" t="n"/>
      <c r="X156" s="11" t="n"/>
      <c r="Y156" s="11">
        <f>IF(OR(V156="",W156=""),"",IFERROR(INDEX(LAYOUT!$D$2:$D$80,MATCH(V156&amp;"|"&amp;W156,LAYOUT!$E$2:$E$80,0)),""))</f>
        <v/>
      </c>
      <c r="Z156" s="12">
        <f>IF(AND(V156="",W156=""),IF(AND(L156="",M156="",Q156="",R156=""),IF(OR($D156&lt;&gt;"",$E156&lt;&gt;""),"Belum ditempatkan",""),""),IF(V156="","CEK JENIS FIXTURE kosong",IF(LEFT(V156,4)&lt;&gt;"Wall","CEK Fixture 3 hanya Wall",IF(W156="","CEK SHELVING KE kosong",IF(ISNA(MATCH(V156&amp;"|"&amp;W156,LAYOUT!$E$2:$E$80,0)),"CEK SHELVING KE di luar layout",IF($I156="","CEK SERIES kosong",IF(AND(X156&lt;&gt;"",NOT(ISNUMBER(X156))),"CEK URUTAN DISPLAY harus angka",IF($D156="","Zona STOCK",IF($E156="","CEK SKU DESCRIPTION kosong",IF(COUNTIFS($I$2:$I$500,$I156,V$2:V$500,"&lt;&gt;"&amp;V156,V$2:V$500,"&lt;&gt;")&gt;0,"CEK jenis fixture beda dalam satu series","OK"))))))))))</f>
        <v/>
      </c>
      <c r="AA156" s="12" t="n"/>
      <c r="AB156" s="11" t="n"/>
      <c r="AC156" s="11" t="n"/>
      <c r="AD156" s="11" t="n"/>
      <c r="AE156" s="11" t="n"/>
      <c r="AF156" s="11" t="n"/>
      <c r="AG156" s="11" t="n"/>
      <c r="AH156" s="12" t="n"/>
      <c r="AI156" s="12" t="n"/>
    </row>
    <row r="157">
      <c r="A157" s="10" t="n"/>
      <c r="B157" s="10" t="n"/>
      <c r="C157" s="10" t="n"/>
      <c r="D157" s="10" t="n"/>
      <c r="E157" s="10" t="n"/>
      <c r="F157" s="10" t="n"/>
      <c r="G157" s="10" t="n"/>
      <c r="H157" s="10" t="n"/>
      <c r="I157" s="10" t="n"/>
      <c r="J157" s="10" t="n"/>
      <c r="K157" s="10" t="n"/>
      <c r="L157" s="11" t="n"/>
      <c r="M157" s="11" t="n"/>
      <c r="N157" s="11" t="n"/>
      <c r="O157" s="11">
        <f>IF(OR(L157="",M157=""),"",IFERROR(INDEX(LAYOUT!$D$2:$D$80,MATCH(L157&amp;"|"&amp;M157,LAYOUT!$E$2:$E$80,0)),""))</f>
        <v/>
      </c>
      <c r="P157" s="12">
        <f>IF(AND(L157="",M157=""),IF(AND(Q157="",R157="",V157="",W157=""),IF(OR($D157&lt;&gt;"",$E157&lt;&gt;""),"Belum ditempatkan",""),""),IF(L157="","CEK JENIS FIXTURE kosong",IF(AND(LEFT(L157,7)&lt;&gt;"Gondola",LEFT(L157,6)&lt;&gt;"Endcap"),"CEK Fixture 1 hanya Gondola atau Endcap",IF(M157="","CEK SHELVING KE kosong",IF(ISNA(MATCH(L157&amp;"|"&amp;M157,LAYOUT!$E$2:$E$80,0)),"CEK SHELVING KE di luar layout",IF($I157="","CEK SERIES kosong",IF(AND(N157&lt;&gt;"",NOT(ISNUMBER(N157))),"CEK URUTAN DISPLAY harus angka",IF($D157="","Zona STOCK",IF($E157="","CEK SKU DESCRIPTION kosong",IF(COUNTIFS($I$2:$I$500,$I157,L$2:L$500,"&lt;&gt;"&amp;L157,L$2:L$500,"&lt;&gt;")&gt;0,"CEK jenis fixture beda dalam satu series","OK"))))))))))</f>
        <v/>
      </c>
      <c r="Q157" s="11" t="n"/>
      <c r="R157" s="11" t="n"/>
      <c r="S157" s="11" t="n"/>
      <c r="T157" s="11">
        <f>IF(OR(Q157="",R157=""),"",IFERROR(INDEX(LAYOUT!$D$2:$D$80,MATCH(Q157&amp;"|"&amp;R157,LAYOUT!$E$2:$E$80,0)),""))</f>
        <v/>
      </c>
      <c r="U157" s="12">
        <f>IF(AND(Q157="",R157=""),IF(AND(L157="",M157="",V157="",W157=""),IF(OR($D157&lt;&gt;"",$E157&lt;&gt;""),"Belum ditempatkan",""),""),IF(Q157="","CEK JENIS FIXTURE kosong",IF(LEFT(Q157,4)&lt;&gt;"Wall","CEK Fixture 2 hanya Wall",IF(R157="","CEK SHELVING KE kosong",IF(ISNA(MATCH(Q157&amp;"|"&amp;R157,LAYOUT!$E$2:$E$80,0)),"CEK SHELVING KE di luar layout",IF($I157="","CEK SERIES kosong",IF(AND(S157&lt;&gt;"",NOT(ISNUMBER(S157))),"CEK URUTAN DISPLAY harus angka",IF($D157="","Zona STOCK",IF($E157="","CEK SKU DESCRIPTION kosong",IF(COUNTIFS($I$2:$I$500,$I157,Q$2:Q$500,"&lt;&gt;"&amp;Q157,Q$2:Q$500,"&lt;&gt;")&gt;0,"CEK jenis fixture beda dalam satu series","OK"))))))))))</f>
        <v/>
      </c>
      <c r="V157" s="11" t="n"/>
      <c r="W157" s="11" t="n"/>
      <c r="X157" s="11" t="n"/>
      <c r="Y157" s="11">
        <f>IF(OR(V157="",W157=""),"",IFERROR(INDEX(LAYOUT!$D$2:$D$80,MATCH(V157&amp;"|"&amp;W157,LAYOUT!$E$2:$E$80,0)),""))</f>
        <v/>
      </c>
      <c r="Z157" s="12">
        <f>IF(AND(V157="",W157=""),IF(AND(L157="",M157="",Q157="",R157=""),IF(OR($D157&lt;&gt;"",$E157&lt;&gt;""),"Belum ditempatkan",""),""),IF(V157="","CEK JENIS FIXTURE kosong",IF(LEFT(V157,4)&lt;&gt;"Wall","CEK Fixture 3 hanya Wall",IF(W157="","CEK SHELVING KE kosong",IF(ISNA(MATCH(V157&amp;"|"&amp;W157,LAYOUT!$E$2:$E$80,0)),"CEK SHELVING KE di luar layout",IF($I157="","CEK SERIES kosong",IF(AND(X157&lt;&gt;"",NOT(ISNUMBER(X157))),"CEK URUTAN DISPLAY harus angka",IF($D157="","Zona STOCK",IF($E157="","CEK SKU DESCRIPTION kosong",IF(COUNTIFS($I$2:$I$500,$I157,V$2:V$500,"&lt;&gt;"&amp;V157,V$2:V$500,"&lt;&gt;")&gt;0,"CEK jenis fixture beda dalam satu series","OK"))))))))))</f>
        <v/>
      </c>
      <c r="AA157" s="12" t="n"/>
      <c r="AB157" s="11" t="n"/>
      <c r="AC157" s="11" t="n"/>
      <c r="AD157" s="11" t="n"/>
      <c r="AE157" s="11" t="n"/>
      <c r="AF157" s="11" t="n"/>
      <c r="AG157" s="11" t="n"/>
      <c r="AH157" s="12" t="n"/>
      <c r="AI157" s="12" t="n"/>
    </row>
    <row r="158">
      <c r="A158" s="10" t="n"/>
      <c r="B158" s="10" t="n"/>
      <c r="C158" s="10" t="n"/>
      <c r="D158" s="10" t="n"/>
      <c r="E158" s="10" t="n"/>
      <c r="F158" s="10" t="n"/>
      <c r="G158" s="10" t="n"/>
      <c r="H158" s="10" t="n"/>
      <c r="I158" s="10" t="n"/>
      <c r="J158" s="10" t="n"/>
      <c r="K158" s="10" t="n"/>
      <c r="L158" s="11" t="n"/>
      <c r="M158" s="11" t="n"/>
      <c r="N158" s="11" t="n"/>
      <c r="O158" s="11">
        <f>IF(OR(L158="",M158=""),"",IFERROR(INDEX(LAYOUT!$D$2:$D$80,MATCH(L158&amp;"|"&amp;M158,LAYOUT!$E$2:$E$80,0)),""))</f>
        <v/>
      </c>
      <c r="P158" s="12">
        <f>IF(AND(L158="",M158=""),IF(AND(Q158="",R158="",V158="",W158=""),IF(OR($D158&lt;&gt;"",$E158&lt;&gt;""),"Belum ditempatkan",""),""),IF(L158="","CEK JENIS FIXTURE kosong",IF(AND(LEFT(L158,7)&lt;&gt;"Gondola",LEFT(L158,6)&lt;&gt;"Endcap"),"CEK Fixture 1 hanya Gondola atau Endcap",IF(M158="","CEK SHELVING KE kosong",IF(ISNA(MATCH(L158&amp;"|"&amp;M158,LAYOUT!$E$2:$E$80,0)),"CEK SHELVING KE di luar layout",IF($I158="","CEK SERIES kosong",IF(AND(N158&lt;&gt;"",NOT(ISNUMBER(N158))),"CEK URUTAN DISPLAY harus angka",IF($D158="","Zona STOCK",IF($E158="","CEK SKU DESCRIPTION kosong",IF(COUNTIFS($I$2:$I$500,$I158,L$2:L$500,"&lt;&gt;"&amp;L158,L$2:L$500,"&lt;&gt;")&gt;0,"CEK jenis fixture beda dalam satu series","OK"))))))))))</f>
        <v/>
      </c>
      <c r="Q158" s="11" t="n"/>
      <c r="R158" s="11" t="n"/>
      <c r="S158" s="11" t="n"/>
      <c r="T158" s="11">
        <f>IF(OR(Q158="",R158=""),"",IFERROR(INDEX(LAYOUT!$D$2:$D$80,MATCH(Q158&amp;"|"&amp;R158,LAYOUT!$E$2:$E$80,0)),""))</f>
        <v/>
      </c>
      <c r="U158" s="12">
        <f>IF(AND(Q158="",R158=""),IF(AND(L158="",M158="",V158="",W158=""),IF(OR($D158&lt;&gt;"",$E158&lt;&gt;""),"Belum ditempatkan",""),""),IF(Q158="","CEK JENIS FIXTURE kosong",IF(LEFT(Q158,4)&lt;&gt;"Wall","CEK Fixture 2 hanya Wall",IF(R158="","CEK SHELVING KE kosong",IF(ISNA(MATCH(Q158&amp;"|"&amp;R158,LAYOUT!$E$2:$E$80,0)),"CEK SHELVING KE di luar layout",IF($I158="","CEK SERIES kosong",IF(AND(S158&lt;&gt;"",NOT(ISNUMBER(S158))),"CEK URUTAN DISPLAY harus angka",IF($D158="","Zona STOCK",IF($E158="","CEK SKU DESCRIPTION kosong",IF(COUNTIFS($I$2:$I$500,$I158,Q$2:Q$500,"&lt;&gt;"&amp;Q158,Q$2:Q$500,"&lt;&gt;")&gt;0,"CEK jenis fixture beda dalam satu series","OK"))))))))))</f>
        <v/>
      </c>
      <c r="V158" s="11" t="n"/>
      <c r="W158" s="11" t="n"/>
      <c r="X158" s="11" t="n"/>
      <c r="Y158" s="11">
        <f>IF(OR(V158="",W158=""),"",IFERROR(INDEX(LAYOUT!$D$2:$D$80,MATCH(V158&amp;"|"&amp;W158,LAYOUT!$E$2:$E$80,0)),""))</f>
        <v/>
      </c>
      <c r="Z158" s="12">
        <f>IF(AND(V158="",W158=""),IF(AND(L158="",M158="",Q158="",R158=""),IF(OR($D158&lt;&gt;"",$E158&lt;&gt;""),"Belum ditempatkan",""),""),IF(V158="","CEK JENIS FIXTURE kosong",IF(LEFT(V158,4)&lt;&gt;"Wall","CEK Fixture 3 hanya Wall",IF(W158="","CEK SHELVING KE kosong",IF(ISNA(MATCH(V158&amp;"|"&amp;W158,LAYOUT!$E$2:$E$80,0)),"CEK SHELVING KE di luar layout",IF($I158="","CEK SERIES kosong",IF(AND(X158&lt;&gt;"",NOT(ISNUMBER(X158))),"CEK URUTAN DISPLAY harus angka",IF($D158="","Zona STOCK",IF($E158="","CEK SKU DESCRIPTION kosong",IF(COUNTIFS($I$2:$I$500,$I158,V$2:V$500,"&lt;&gt;"&amp;V158,V$2:V$500,"&lt;&gt;")&gt;0,"CEK jenis fixture beda dalam satu series","OK"))))))))))</f>
        <v/>
      </c>
      <c r="AA158" s="12" t="n"/>
      <c r="AB158" s="11" t="n"/>
      <c r="AC158" s="11" t="n"/>
      <c r="AD158" s="11" t="n"/>
      <c r="AE158" s="11" t="n"/>
      <c r="AF158" s="11" t="n"/>
      <c r="AG158" s="11" t="n"/>
      <c r="AH158" s="12" t="n"/>
      <c r="AI158" s="12" t="n"/>
    </row>
    <row r="159">
      <c r="A159" s="10" t="n"/>
      <c r="B159" s="10" t="n"/>
      <c r="C159" s="10" t="n"/>
      <c r="D159" s="10" t="n"/>
      <c r="E159" s="10" t="n"/>
      <c r="F159" s="10" t="n"/>
      <c r="G159" s="10" t="n"/>
      <c r="H159" s="10" t="n"/>
      <c r="I159" s="10" t="n"/>
      <c r="J159" s="10" t="n"/>
      <c r="K159" s="10" t="n"/>
      <c r="L159" s="11" t="n"/>
      <c r="M159" s="11" t="n"/>
      <c r="N159" s="11" t="n"/>
      <c r="O159" s="11">
        <f>IF(OR(L159="",M159=""),"",IFERROR(INDEX(LAYOUT!$D$2:$D$80,MATCH(L159&amp;"|"&amp;M159,LAYOUT!$E$2:$E$80,0)),""))</f>
        <v/>
      </c>
      <c r="P159" s="12">
        <f>IF(AND(L159="",M159=""),IF(AND(Q159="",R159="",V159="",W159=""),IF(OR($D159&lt;&gt;"",$E159&lt;&gt;""),"Belum ditempatkan",""),""),IF(L159="","CEK JENIS FIXTURE kosong",IF(AND(LEFT(L159,7)&lt;&gt;"Gondola",LEFT(L159,6)&lt;&gt;"Endcap"),"CEK Fixture 1 hanya Gondola atau Endcap",IF(M159="","CEK SHELVING KE kosong",IF(ISNA(MATCH(L159&amp;"|"&amp;M159,LAYOUT!$E$2:$E$80,0)),"CEK SHELVING KE di luar layout",IF($I159="","CEK SERIES kosong",IF(AND(N159&lt;&gt;"",NOT(ISNUMBER(N159))),"CEK URUTAN DISPLAY harus angka",IF($D159="","Zona STOCK",IF($E159="","CEK SKU DESCRIPTION kosong",IF(COUNTIFS($I$2:$I$500,$I159,L$2:L$500,"&lt;&gt;"&amp;L159,L$2:L$500,"&lt;&gt;")&gt;0,"CEK jenis fixture beda dalam satu series","OK"))))))))))</f>
        <v/>
      </c>
      <c r="Q159" s="11" t="n"/>
      <c r="R159" s="11" t="n"/>
      <c r="S159" s="11" t="n"/>
      <c r="T159" s="11">
        <f>IF(OR(Q159="",R159=""),"",IFERROR(INDEX(LAYOUT!$D$2:$D$80,MATCH(Q159&amp;"|"&amp;R159,LAYOUT!$E$2:$E$80,0)),""))</f>
        <v/>
      </c>
      <c r="U159" s="12">
        <f>IF(AND(Q159="",R159=""),IF(AND(L159="",M159="",V159="",W159=""),IF(OR($D159&lt;&gt;"",$E159&lt;&gt;""),"Belum ditempatkan",""),""),IF(Q159="","CEK JENIS FIXTURE kosong",IF(LEFT(Q159,4)&lt;&gt;"Wall","CEK Fixture 2 hanya Wall",IF(R159="","CEK SHELVING KE kosong",IF(ISNA(MATCH(Q159&amp;"|"&amp;R159,LAYOUT!$E$2:$E$80,0)),"CEK SHELVING KE di luar layout",IF($I159="","CEK SERIES kosong",IF(AND(S159&lt;&gt;"",NOT(ISNUMBER(S159))),"CEK URUTAN DISPLAY harus angka",IF($D159="","Zona STOCK",IF($E159="","CEK SKU DESCRIPTION kosong",IF(COUNTIFS($I$2:$I$500,$I159,Q$2:Q$500,"&lt;&gt;"&amp;Q159,Q$2:Q$500,"&lt;&gt;")&gt;0,"CEK jenis fixture beda dalam satu series","OK"))))))))))</f>
        <v/>
      </c>
      <c r="V159" s="11" t="n"/>
      <c r="W159" s="11" t="n"/>
      <c r="X159" s="11" t="n"/>
      <c r="Y159" s="11">
        <f>IF(OR(V159="",W159=""),"",IFERROR(INDEX(LAYOUT!$D$2:$D$80,MATCH(V159&amp;"|"&amp;W159,LAYOUT!$E$2:$E$80,0)),""))</f>
        <v/>
      </c>
      <c r="Z159" s="12">
        <f>IF(AND(V159="",W159=""),IF(AND(L159="",M159="",Q159="",R159=""),IF(OR($D159&lt;&gt;"",$E159&lt;&gt;""),"Belum ditempatkan",""),""),IF(V159="","CEK JENIS FIXTURE kosong",IF(LEFT(V159,4)&lt;&gt;"Wall","CEK Fixture 3 hanya Wall",IF(W159="","CEK SHELVING KE kosong",IF(ISNA(MATCH(V159&amp;"|"&amp;W159,LAYOUT!$E$2:$E$80,0)),"CEK SHELVING KE di luar layout",IF($I159="","CEK SERIES kosong",IF(AND(X159&lt;&gt;"",NOT(ISNUMBER(X159))),"CEK URUTAN DISPLAY harus angka",IF($D159="","Zona STOCK",IF($E159="","CEK SKU DESCRIPTION kosong",IF(COUNTIFS($I$2:$I$500,$I159,V$2:V$500,"&lt;&gt;"&amp;V159,V$2:V$500,"&lt;&gt;")&gt;0,"CEK jenis fixture beda dalam satu series","OK"))))))))))</f>
        <v/>
      </c>
      <c r="AA159" s="12" t="n"/>
      <c r="AB159" s="11" t="n"/>
      <c r="AC159" s="11" t="n"/>
      <c r="AD159" s="11" t="n"/>
      <c r="AE159" s="11" t="n"/>
      <c r="AF159" s="11" t="n"/>
      <c r="AG159" s="11" t="n"/>
      <c r="AH159" s="12" t="n"/>
      <c r="AI159" s="12" t="n"/>
    </row>
    <row r="160">
      <c r="A160" s="10" t="n"/>
      <c r="B160" s="10" t="n"/>
      <c r="C160" s="10" t="n"/>
      <c r="D160" s="10" t="n"/>
      <c r="E160" s="10" t="n"/>
      <c r="F160" s="10" t="n"/>
      <c r="G160" s="10" t="n"/>
      <c r="H160" s="10" t="n"/>
      <c r="I160" s="10" t="n"/>
      <c r="J160" s="10" t="n"/>
      <c r="K160" s="10" t="n"/>
      <c r="L160" s="11" t="n"/>
      <c r="M160" s="11" t="n"/>
      <c r="N160" s="11" t="n"/>
      <c r="O160" s="11">
        <f>IF(OR(L160="",M160=""),"",IFERROR(INDEX(LAYOUT!$D$2:$D$80,MATCH(L160&amp;"|"&amp;M160,LAYOUT!$E$2:$E$80,0)),""))</f>
        <v/>
      </c>
      <c r="P160" s="12">
        <f>IF(AND(L160="",M160=""),IF(AND(Q160="",R160="",V160="",W160=""),IF(OR($D160&lt;&gt;"",$E160&lt;&gt;""),"Belum ditempatkan",""),""),IF(L160="","CEK JENIS FIXTURE kosong",IF(AND(LEFT(L160,7)&lt;&gt;"Gondola",LEFT(L160,6)&lt;&gt;"Endcap"),"CEK Fixture 1 hanya Gondola atau Endcap",IF(M160="","CEK SHELVING KE kosong",IF(ISNA(MATCH(L160&amp;"|"&amp;M160,LAYOUT!$E$2:$E$80,0)),"CEK SHELVING KE di luar layout",IF($I160="","CEK SERIES kosong",IF(AND(N160&lt;&gt;"",NOT(ISNUMBER(N160))),"CEK URUTAN DISPLAY harus angka",IF($D160="","Zona STOCK",IF($E160="","CEK SKU DESCRIPTION kosong",IF(COUNTIFS($I$2:$I$500,$I160,L$2:L$500,"&lt;&gt;"&amp;L160,L$2:L$500,"&lt;&gt;")&gt;0,"CEK jenis fixture beda dalam satu series","OK"))))))))))</f>
        <v/>
      </c>
      <c r="Q160" s="11" t="n"/>
      <c r="R160" s="11" t="n"/>
      <c r="S160" s="11" t="n"/>
      <c r="T160" s="11">
        <f>IF(OR(Q160="",R160=""),"",IFERROR(INDEX(LAYOUT!$D$2:$D$80,MATCH(Q160&amp;"|"&amp;R160,LAYOUT!$E$2:$E$80,0)),""))</f>
        <v/>
      </c>
      <c r="U160" s="12">
        <f>IF(AND(Q160="",R160=""),IF(AND(L160="",M160="",V160="",W160=""),IF(OR($D160&lt;&gt;"",$E160&lt;&gt;""),"Belum ditempatkan",""),""),IF(Q160="","CEK JENIS FIXTURE kosong",IF(LEFT(Q160,4)&lt;&gt;"Wall","CEK Fixture 2 hanya Wall",IF(R160="","CEK SHELVING KE kosong",IF(ISNA(MATCH(Q160&amp;"|"&amp;R160,LAYOUT!$E$2:$E$80,0)),"CEK SHELVING KE di luar layout",IF($I160="","CEK SERIES kosong",IF(AND(S160&lt;&gt;"",NOT(ISNUMBER(S160))),"CEK URUTAN DISPLAY harus angka",IF($D160="","Zona STOCK",IF($E160="","CEK SKU DESCRIPTION kosong",IF(COUNTIFS($I$2:$I$500,$I160,Q$2:Q$500,"&lt;&gt;"&amp;Q160,Q$2:Q$500,"&lt;&gt;")&gt;0,"CEK jenis fixture beda dalam satu series","OK"))))))))))</f>
        <v/>
      </c>
      <c r="V160" s="11" t="n"/>
      <c r="W160" s="11" t="n"/>
      <c r="X160" s="11" t="n"/>
      <c r="Y160" s="11">
        <f>IF(OR(V160="",W160=""),"",IFERROR(INDEX(LAYOUT!$D$2:$D$80,MATCH(V160&amp;"|"&amp;W160,LAYOUT!$E$2:$E$80,0)),""))</f>
        <v/>
      </c>
      <c r="Z160" s="12">
        <f>IF(AND(V160="",W160=""),IF(AND(L160="",M160="",Q160="",R160=""),IF(OR($D160&lt;&gt;"",$E160&lt;&gt;""),"Belum ditempatkan",""),""),IF(V160="","CEK JENIS FIXTURE kosong",IF(LEFT(V160,4)&lt;&gt;"Wall","CEK Fixture 3 hanya Wall",IF(W160="","CEK SHELVING KE kosong",IF(ISNA(MATCH(V160&amp;"|"&amp;W160,LAYOUT!$E$2:$E$80,0)),"CEK SHELVING KE di luar layout",IF($I160="","CEK SERIES kosong",IF(AND(X160&lt;&gt;"",NOT(ISNUMBER(X160))),"CEK URUTAN DISPLAY harus angka",IF($D160="","Zona STOCK",IF($E160="","CEK SKU DESCRIPTION kosong",IF(COUNTIFS($I$2:$I$500,$I160,V$2:V$500,"&lt;&gt;"&amp;V160,V$2:V$500,"&lt;&gt;")&gt;0,"CEK jenis fixture beda dalam satu series","OK"))))))))))</f>
        <v/>
      </c>
      <c r="AA160" s="12" t="n"/>
      <c r="AB160" s="11" t="n"/>
      <c r="AC160" s="11" t="n"/>
      <c r="AD160" s="11" t="n"/>
      <c r="AE160" s="11" t="n"/>
      <c r="AF160" s="11" t="n"/>
      <c r="AG160" s="11" t="n"/>
      <c r="AH160" s="12" t="n"/>
      <c r="AI160" s="12" t="n"/>
    </row>
    <row r="161">
      <c r="A161" s="10" t="n"/>
      <c r="B161" s="10" t="n"/>
      <c r="C161" s="10" t="n"/>
      <c r="D161" s="10" t="n"/>
      <c r="E161" s="10" t="n"/>
      <c r="F161" s="10" t="n"/>
      <c r="G161" s="10" t="n"/>
      <c r="H161" s="10" t="n"/>
      <c r="I161" s="10" t="n"/>
      <c r="J161" s="10" t="n"/>
      <c r="K161" s="10" t="n"/>
      <c r="L161" s="11" t="n"/>
      <c r="M161" s="11" t="n"/>
      <c r="N161" s="11" t="n"/>
      <c r="O161" s="11">
        <f>IF(OR(L161="",M161=""),"",IFERROR(INDEX(LAYOUT!$D$2:$D$80,MATCH(L161&amp;"|"&amp;M161,LAYOUT!$E$2:$E$80,0)),""))</f>
        <v/>
      </c>
      <c r="P161" s="12">
        <f>IF(AND(L161="",M161=""),IF(AND(Q161="",R161="",V161="",W161=""),IF(OR($D161&lt;&gt;"",$E161&lt;&gt;""),"Belum ditempatkan",""),""),IF(L161="","CEK JENIS FIXTURE kosong",IF(AND(LEFT(L161,7)&lt;&gt;"Gondola",LEFT(L161,6)&lt;&gt;"Endcap"),"CEK Fixture 1 hanya Gondola atau Endcap",IF(M161="","CEK SHELVING KE kosong",IF(ISNA(MATCH(L161&amp;"|"&amp;M161,LAYOUT!$E$2:$E$80,0)),"CEK SHELVING KE di luar layout",IF($I161="","CEK SERIES kosong",IF(AND(N161&lt;&gt;"",NOT(ISNUMBER(N161))),"CEK URUTAN DISPLAY harus angka",IF($D161="","Zona STOCK",IF($E161="","CEK SKU DESCRIPTION kosong",IF(COUNTIFS($I$2:$I$500,$I161,L$2:L$500,"&lt;&gt;"&amp;L161,L$2:L$500,"&lt;&gt;")&gt;0,"CEK jenis fixture beda dalam satu series","OK"))))))))))</f>
        <v/>
      </c>
      <c r="Q161" s="11" t="n"/>
      <c r="R161" s="11" t="n"/>
      <c r="S161" s="11" t="n"/>
      <c r="T161" s="11">
        <f>IF(OR(Q161="",R161=""),"",IFERROR(INDEX(LAYOUT!$D$2:$D$80,MATCH(Q161&amp;"|"&amp;R161,LAYOUT!$E$2:$E$80,0)),""))</f>
        <v/>
      </c>
      <c r="U161" s="12">
        <f>IF(AND(Q161="",R161=""),IF(AND(L161="",M161="",V161="",W161=""),IF(OR($D161&lt;&gt;"",$E161&lt;&gt;""),"Belum ditempatkan",""),""),IF(Q161="","CEK JENIS FIXTURE kosong",IF(LEFT(Q161,4)&lt;&gt;"Wall","CEK Fixture 2 hanya Wall",IF(R161="","CEK SHELVING KE kosong",IF(ISNA(MATCH(Q161&amp;"|"&amp;R161,LAYOUT!$E$2:$E$80,0)),"CEK SHELVING KE di luar layout",IF($I161="","CEK SERIES kosong",IF(AND(S161&lt;&gt;"",NOT(ISNUMBER(S161))),"CEK URUTAN DISPLAY harus angka",IF($D161="","Zona STOCK",IF($E161="","CEK SKU DESCRIPTION kosong",IF(COUNTIFS($I$2:$I$500,$I161,Q$2:Q$500,"&lt;&gt;"&amp;Q161,Q$2:Q$500,"&lt;&gt;")&gt;0,"CEK jenis fixture beda dalam satu series","OK"))))))))))</f>
        <v/>
      </c>
      <c r="V161" s="11" t="n"/>
      <c r="W161" s="11" t="n"/>
      <c r="X161" s="11" t="n"/>
      <c r="Y161" s="11">
        <f>IF(OR(V161="",W161=""),"",IFERROR(INDEX(LAYOUT!$D$2:$D$80,MATCH(V161&amp;"|"&amp;W161,LAYOUT!$E$2:$E$80,0)),""))</f>
        <v/>
      </c>
      <c r="Z161" s="12">
        <f>IF(AND(V161="",W161=""),IF(AND(L161="",M161="",Q161="",R161=""),IF(OR($D161&lt;&gt;"",$E161&lt;&gt;""),"Belum ditempatkan",""),""),IF(V161="","CEK JENIS FIXTURE kosong",IF(LEFT(V161,4)&lt;&gt;"Wall","CEK Fixture 3 hanya Wall",IF(W161="","CEK SHELVING KE kosong",IF(ISNA(MATCH(V161&amp;"|"&amp;W161,LAYOUT!$E$2:$E$80,0)),"CEK SHELVING KE di luar layout",IF($I161="","CEK SERIES kosong",IF(AND(X161&lt;&gt;"",NOT(ISNUMBER(X161))),"CEK URUTAN DISPLAY harus angka",IF($D161="","Zona STOCK",IF($E161="","CEK SKU DESCRIPTION kosong",IF(COUNTIFS($I$2:$I$500,$I161,V$2:V$500,"&lt;&gt;"&amp;V161,V$2:V$500,"&lt;&gt;")&gt;0,"CEK jenis fixture beda dalam satu series","OK"))))))))))</f>
        <v/>
      </c>
      <c r="AA161" s="12" t="n"/>
      <c r="AB161" s="11" t="n"/>
      <c r="AC161" s="11" t="n"/>
      <c r="AD161" s="11" t="n"/>
      <c r="AE161" s="11" t="n"/>
      <c r="AF161" s="11" t="n"/>
      <c r="AG161" s="11" t="n"/>
      <c r="AH161" s="12" t="n"/>
      <c r="AI161" s="12" t="n"/>
    </row>
    <row r="162">
      <c r="A162" s="10" t="n"/>
      <c r="B162" s="10" t="n"/>
      <c r="C162" s="10" t="n"/>
      <c r="D162" s="10" t="n"/>
      <c r="E162" s="10" t="n"/>
      <c r="F162" s="10" t="n"/>
      <c r="G162" s="10" t="n"/>
      <c r="H162" s="10" t="n"/>
      <c r="I162" s="10" t="n"/>
      <c r="J162" s="10" t="n"/>
      <c r="K162" s="10" t="n"/>
      <c r="L162" s="11" t="n"/>
      <c r="M162" s="11" t="n"/>
      <c r="N162" s="11" t="n"/>
      <c r="O162" s="11">
        <f>IF(OR(L162="",M162=""),"",IFERROR(INDEX(LAYOUT!$D$2:$D$80,MATCH(L162&amp;"|"&amp;M162,LAYOUT!$E$2:$E$80,0)),""))</f>
        <v/>
      </c>
      <c r="P162" s="12">
        <f>IF(AND(L162="",M162=""),IF(AND(Q162="",R162="",V162="",W162=""),IF(OR($D162&lt;&gt;"",$E162&lt;&gt;""),"Belum ditempatkan",""),""),IF(L162="","CEK JENIS FIXTURE kosong",IF(AND(LEFT(L162,7)&lt;&gt;"Gondola",LEFT(L162,6)&lt;&gt;"Endcap"),"CEK Fixture 1 hanya Gondola atau Endcap",IF(M162="","CEK SHELVING KE kosong",IF(ISNA(MATCH(L162&amp;"|"&amp;M162,LAYOUT!$E$2:$E$80,0)),"CEK SHELVING KE di luar layout",IF($I162="","CEK SERIES kosong",IF(AND(N162&lt;&gt;"",NOT(ISNUMBER(N162))),"CEK URUTAN DISPLAY harus angka",IF($D162="","Zona STOCK",IF($E162="","CEK SKU DESCRIPTION kosong",IF(COUNTIFS($I$2:$I$500,$I162,L$2:L$500,"&lt;&gt;"&amp;L162,L$2:L$500,"&lt;&gt;")&gt;0,"CEK jenis fixture beda dalam satu series","OK"))))))))))</f>
        <v/>
      </c>
      <c r="Q162" s="11" t="n"/>
      <c r="R162" s="11" t="n"/>
      <c r="S162" s="11" t="n"/>
      <c r="T162" s="11">
        <f>IF(OR(Q162="",R162=""),"",IFERROR(INDEX(LAYOUT!$D$2:$D$80,MATCH(Q162&amp;"|"&amp;R162,LAYOUT!$E$2:$E$80,0)),""))</f>
        <v/>
      </c>
      <c r="U162" s="12">
        <f>IF(AND(Q162="",R162=""),IF(AND(L162="",M162="",V162="",W162=""),IF(OR($D162&lt;&gt;"",$E162&lt;&gt;""),"Belum ditempatkan",""),""),IF(Q162="","CEK JENIS FIXTURE kosong",IF(LEFT(Q162,4)&lt;&gt;"Wall","CEK Fixture 2 hanya Wall",IF(R162="","CEK SHELVING KE kosong",IF(ISNA(MATCH(Q162&amp;"|"&amp;R162,LAYOUT!$E$2:$E$80,0)),"CEK SHELVING KE di luar layout",IF($I162="","CEK SERIES kosong",IF(AND(S162&lt;&gt;"",NOT(ISNUMBER(S162))),"CEK URUTAN DISPLAY harus angka",IF($D162="","Zona STOCK",IF($E162="","CEK SKU DESCRIPTION kosong",IF(COUNTIFS($I$2:$I$500,$I162,Q$2:Q$500,"&lt;&gt;"&amp;Q162,Q$2:Q$500,"&lt;&gt;")&gt;0,"CEK jenis fixture beda dalam satu series","OK"))))))))))</f>
        <v/>
      </c>
      <c r="V162" s="11" t="n"/>
      <c r="W162" s="11" t="n"/>
      <c r="X162" s="11" t="n"/>
      <c r="Y162" s="11">
        <f>IF(OR(V162="",W162=""),"",IFERROR(INDEX(LAYOUT!$D$2:$D$80,MATCH(V162&amp;"|"&amp;W162,LAYOUT!$E$2:$E$80,0)),""))</f>
        <v/>
      </c>
      <c r="Z162" s="12">
        <f>IF(AND(V162="",W162=""),IF(AND(L162="",M162="",Q162="",R162=""),IF(OR($D162&lt;&gt;"",$E162&lt;&gt;""),"Belum ditempatkan",""),""),IF(V162="","CEK JENIS FIXTURE kosong",IF(LEFT(V162,4)&lt;&gt;"Wall","CEK Fixture 3 hanya Wall",IF(W162="","CEK SHELVING KE kosong",IF(ISNA(MATCH(V162&amp;"|"&amp;W162,LAYOUT!$E$2:$E$80,0)),"CEK SHELVING KE di luar layout",IF($I162="","CEK SERIES kosong",IF(AND(X162&lt;&gt;"",NOT(ISNUMBER(X162))),"CEK URUTAN DISPLAY harus angka",IF($D162="","Zona STOCK",IF($E162="","CEK SKU DESCRIPTION kosong",IF(COUNTIFS($I$2:$I$500,$I162,V$2:V$500,"&lt;&gt;"&amp;V162,V$2:V$500,"&lt;&gt;")&gt;0,"CEK jenis fixture beda dalam satu series","OK"))))))))))</f>
        <v/>
      </c>
      <c r="AA162" s="12" t="n"/>
      <c r="AB162" s="11" t="n"/>
      <c r="AC162" s="11" t="n"/>
      <c r="AD162" s="11" t="n"/>
      <c r="AE162" s="11" t="n"/>
      <c r="AF162" s="11" t="n"/>
      <c r="AG162" s="11" t="n"/>
      <c r="AH162" s="12" t="n"/>
      <c r="AI162" s="12" t="n"/>
    </row>
    <row r="163">
      <c r="A163" s="10" t="n"/>
      <c r="B163" s="10" t="n"/>
      <c r="C163" s="10" t="n"/>
      <c r="D163" s="10" t="n"/>
      <c r="E163" s="10" t="n"/>
      <c r="F163" s="10" t="n"/>
      <c r="G163" s="10" t="n"/>
      <c r="H163" s="10" t="n"/>
      <c r="I163" s="10" t="n"/>
      <c r="J163" s="10" t="n"/>
      <c r="K163" s="10" t="n"/>
      <c r="L163" s="11" t="n"/>
      <c r="M163" s="11" t="n"/>
      <c r="N163" s="11" t="n"/>
      <c r="O163" s="11">
        <f>IF(OR(L163="",M163=""),"",IFERROR(INDEX(LAYOUT!$D$2:$D$80,MATCH(L163&amp;"|"&amp;M163,LAYOUT!$E$2:$E$80,0)),""))</f>
        <v/>
      </c>
      <c r="P163" s="12">
        <f>IF(AND(L163="",M163=""),IF(AND(Q163="",R163="",V163="",W163=""),IF(OR($D163&lt;&gt;"",$E163&lt;&gt;""),"Belum ditempatkan",""),""),IF(L163="","CEK JENIS FIXTURE kosong",IF(AND(LEFT(L163,7)&lt;&gt;"Gondola",LEFT(L163,6)&lt;&gt;"Endcap"),"CEK Fixture 1 hanya Gondola atau Endcap",IF(M163="","CEK SHELVING KE kosong",IF(ISNA(MATCH(L163&amp;"|"&amp;M163,LAYOUT!$E$2:$E$80,0)),"CEK SHELVING KE di luar layout",IF($I163="","CEK SERIES kosong",IF(AND(N163&lt;&gt;"",NOT(ISNUMBER(N163))),"CEK URUTAN DISPLAY harus angka",IF($D163="","Zona STOCK",IF($E163="","CEK SKU DESCRIPTION kosong",IF(COUNTIFS($I$2:$I$500,$I163,L$2:L$500,"&lt;&gt;"&amp;L163,L$2:L$500,"&lt;&gt;")&gt;0,"CEK jenis fixture beda dalam satu series","OK"))))))))))</f>
        <v/>
      </c>
      <c r="Q163" s="11" t="n"/>
      <c r="R163" s="11" t="n"/>
      <c r="S163" s="11" t="n"/>
      <c r="T163" s="11">
        <f>IF(OR(Q163="",R163=""),"",IFERROR(INDEX(LAYOUT!$D$2:$D$80,MATCH(Q163&amp;"|"&amp;R163,LAYOUT!$E$2:$E$80,0)),""))</f>
        <v/>
      </c>
      <c r="U163" s="12">
        <f>IF(AND(Q163="",R163=""),IF(AND(L163="",M163="",V163="",W163=""),IF(OR($D163&lt;&gt;"",$E163&lt;&gt;""),"Belum ditempatkan",""),""),IF(Q163="","CEK JENIS FIXTURE kosong",IF(LEFT(Q163,4)&lt;&gt;"Wall","CEK Fixture 2 hanya Wall",IF(R163="","CEK SHELVING KE kosong",IF(ISNA(MATCH(Q163&amp;"|"&amp;R163,LAYOUT!$E$2:$E$80,0)),"CEK SHELVING KE di luar layout",IF($I163="","CEK SERIES kosong",IF(AND(S163&lt;&gt;"",NOT(ISNUMBER(S163))),"CEK URUTAN DISPLAY harus angka",IF($D163="","Zona STOCK",IF($E163="","CEK SKU DESCRIPTION kosong",IF(COUNTIFS($I$2:$I$500,$I163,Q$2:Q$500,"&lt;&gt;"&amp;Q163,Q$2:Q$500,"&lt;&gt;")&gt;0,"CEK jenis fixture beda dalam satu series","OK"))))))))))</f>
        <v/>
      </c>
      <c r="V163" s="11" t="n"/>
      <c r="W163" s="11" t="n"/>
      <c r="X163" s="11" t="n"/>
      <c r="Y163" s="11">
        <f>IF(OR(V163="",W163=""),"",IFERROR(INDEX(LAYOUT!$D$2:$D$80,MATCH(V163&amp;"|"&amp;W163,LAYOUT!$E$2:$E$80,0)),""))</f>
        <v/>
      </c>
      <c r="Z163" s="12">
        <f>IF(AND(V163="",W163=""),IF(AND(L163="",M163="",Q163="",R163=""),IF(OR($D163&lt;&gt;"",$E163&lt;&gt;""),"Belum ditempatkan",""),""),IF(V163="","CEK JENIS FIXTURE kosong",IF(LEFT(V163,4)&lt;&gt;"Wall","CEK Fixture 3 hanya Wall",IF(W163="","CEK SHELVING KE kosong",IF(ISNA(MATCH(V163&amp;"|"&amp;W163,LAYOUT!$E$2:$E$80,0)),"CEK SHELVING KE di luar layout",IF($I163="","CEK SERIES kosong",IF(AND(X163&lt;&gt;"",NOT(ISNUMBER(X163))),"CEK URUTAN DISPLAY harus angka",IF($D163="","Zona STOCK",IF($E163="","CEK SKU DESCRIPTION kosong",IF(COUNTIFS($I$2:$I$500,$I163,V$2:V$500,"&lt;&gt;"&amp;V163,V$2:V$500,"&lt;&gt;")&gt;0,"CEK jenis fixture beda dalam satu series","OK"))))))))))</f>
        <v/>
      </c>
      <c r="AA163" s="12" t="n"/>
      <c r="AB163" s="11" t="n"/>
      <c r="AC163" s="11" t="n"/>
      <c r="AD163" s="11" t="n"/>
      <c r="AE163" s="11" t="n"/>
      <c r="AF163" s="11" t="n"/>
      <c r="AG163" s="11" t="n"/>
      <c r="AH163" s="12" t="n"/>
      <c r="AI163" s="12" t="n"/>
    </row>
    <row r="164">
      <c r="A164" s="10" t="n"/>
      <c r="B164" s="10" t="n"/>
      <c r="C164" s="10" t="n"/>
      <c r="D164" s="10" t="n"/>
      <c r="E164" s="10" t="n"/>
      <c r="F164" s="10" t="n"/>
      <c r="G164" s="10" t="n"/>
      <c r="H164" s="10" t="n"/>
      <c r="I164" s="10" t="n"/>
      <c r="J164" s="10" t="n"/>
      <c r="K164" s="10" t="n"/>
      <c r="L164" s="11" t="n"/>
      <c r="M164" s="11" t="n"/>
      <c r="N164" s="11" t="n"/>
      <c r="O164" s="11">
        <f>IF(OR(L164="",M164=""),"",IFERROR(INDEX(LAYOUT!$D$2:$D$80,MATCH(L164&amp;"|"&amp;M164,LAYOUT!$E$2:$E$80,0)),""))</f>
        <v/>
      </c>
      <c r="P164" s="12">
        <f>IF(AND(L164="",M164=""),IF(AND(Q164="",R164="",V164="",W164=""),IF(OR($D164&lt;&gt;"",$E164&lt;&gt;""),"Belum ditempatkan",""),""),IF(L164="","CEK JENIS FIXTURE kosong",IF(AND(LEFT(L164,7)&lt;&gt;"Gondola",LEFT(L164,6)&lt;&gt;"Endcap"),"CEK Fixture 1 hanya Gondola atau Endcap",IF(M164="","CEK SHELVING KE kosong",IF(ISNA(MATCH(L164&amp;"|"&amp;M164,LAYOUT!$E$2:$E$80,0)),"CEK SHELVING KE di luar layout",IF($I164="","CEK SERIES kosong",IF(AND(N164&lt;&gt;"",NOT(ISNUMBER(N164))),"CEK URUTAN DISPLAY harus angka",IF($D164="","Zona STOCK",IF($E164="","CEK SKU DESCRIPTION kosong",IF(COUNTIFS($I$2:$I$500,$I164,L$2:L$500,"&lt;&gt;"&amp;L164,L$2:L$500,"&lt;&gt;")&gt;0,"CEK jenis fixture beda dalam satu series","OK"))))))))))</f>
        <v/>
      </c>
      <c r="Q164" s="11" t="n"/>
      <c r="R164" s="11" t="n"/>
      <c r="S164" s="11" t="n"/>
      <c r="T164" s="11">
        <f>IF(OR(Q164="",R164=""),"",IFERROR(INDEX(LAYOUT!$D$2:$D$80,MATCH(Q164&amp;"|"&amp;R164,LAYOUT!$E$2:$E$80,0)),""))</f>
        <v/>
      </c>
      <c r="U164" s="12">
        <f>IF(AND(Q164="",R164=""),IF(AND(L164="",M164="",V164="",W164=""),IF(OR($D164&lt;&gt;"",$E164&lt;&gt;""),"Belum ditempatkan",""),""),IF(Q164="","CEK JENIS FIXTURE kosong",IF(LEFT(Q164,4)&lt;&gt;"Wall","CEK Fixture 2 hanya Wall",IF(R164="","CEK SHELVING KE kosong",IF(ISNA(MATCH(Q164&amp;"|"&amp;R164,LAYOUT!$E$2:$E$80,0)),"CEK SHELVING KE di luar layout",IF($I164="","CEK SERIES kosong",IF(AND(S164&lt;&gt;"",NOT(ISNUMBER(S164))),"CEK URUTAN DISPLAY harus angka",IF($D164="","Zona STOCK",IF($E164="","CEK SKU DESCRIPTION kosong",IF(COUNTIFS($I$2:$I$500,$I164,Q$2:Q$500,"&lt;&gt;"&amp;Q164,Q$2:Q$500,"&lt;&gt;")&gt;0,"CEK jenis fixture beda dalam satu series","OK"))))))))))</f>
        <v/>
      </c>
      <c r="V164" s="11" t="n"/>
      <c r="W164" s="11" t="n"/>
      <c r="X164" s="11" t="n"/>
      <c r="Y164" s="11">
        <f>IF(OR(V164="",W164=""),"",IFERROR(INDEX(LAYOUT!$D$2:$D$80,MATCH(V164&amp;"|"&amp;W164,LAYOUT!$E$2:$E$80,0)),""))</f>
        <v/>
      </c>
      <c r="Z164" s="12">
        <f>IF(AND(V164="",W164=""),IF(AND(L164="",M164="",Q164="",R164=""),IF(OR($D164&lt;&gt;"",$E164&lt;&gt;""),"Belum ditempatkan",""),""),IF(V164="","CEK JENIS FIXTURE kosong",IF(LEFT(V164,4)&lt;&gt;"Wall","CEK Fixture 3 hanya Wall",IF(W164="","CEK SHELVING KE kosong",IF(ISNA(MATCH(V164&amp;"|"&amp;W164,LAYOUT!$E$2:$E$80,0)),"CEK SHELVING KE di luar layout",IF($I164="","CEK SERIES kosong",IF(AND(X164&lt;&gt;"",NOT(ISNUMBER(X164))),"CEK URUTAN DISPLAY harus angka",IF($D164="","Zona STOCK",IF($E164="","CEK SKU DESCRIPTION kosong",IF(COUNTIFS($I$2:$I$500,$I164,V$2:V$500,"&lt;&gt;"&amp;V164,V$2:V$500,"&lt;&gt;")&gt;0,"CEK jenis fixture beda dalam satu series","OK"))))))))))</f>
        <v/>
      </c>
      <c r="AA164" s="12" t="n"/>
      <c r="AB164" s="11" t="n"/>
      <c r="AC164" s="11" t="n"/>
      <c r="AD164" s="11" t="n"/>
      <c r="AE164" s="11" t="n"/>
      <c r="AF164" s="11" t="n"/>
      <c r="AG164" s="11" t="n"/>
      <c r="AH164" s="12" t="n"/>
      <c r="AI164" s="12" t="n"/>
    </row>
    <row r="165">
      <c r="A165" s="10" t="n"/>
      <c r="B165" s="10" t="n"/>
      <c r="C165" s="10" t="n"/>
      <c r="D165" s="10" t="n"/>
      <c r="E165" s="10" t="n"/>
      <c r="F165" s="10" t="n"/>
      <c r="G165" s="10" t="n"/>
      <c r="H165" s="10" t="n"/>
      <c r="I165" s="10" t="n"/>
      <c r="J165" s="10" t="n"/>
      <c r="K165" s="10" t="n"/>
      <c r="L165" s="11" t="n"/>
      <c r="M165" s="11" t="n"/>
      <c r="N165" s="11" t="n"/>
      <c r="O165" s="11">
        <f>IF(OR(L165="",M165=""),"",IFERROR(INDEX(LAYOUT!$D$2:$D$80,MATCH(L165&amp;"|"&amp;M165,LAYOUT!$E$2:$E$80,0)),""))</f>
        <v/>
      </c>
      <c r="P165" s="12">
        <f>IF(AND(L165="",M165=""),IF(AND(Q165="",R165="",V165="",W165=""),IF(OR($D165&lt;&gt;"",$E165&lt;&gt;""),"Belum ditempatkan",""),""),IF(L165="","CEK JENIS FIXTURE kosong",IF(AND(LEFT(L165,7)&lt;&gt;"Gondola",LEFT(L165,6)&lt;&gt;"Endcap"),"CEK Fixture 1 hanya Gondola atau Endcap",IF(M165="","CEK SHELVING KE kosong",IF(ISNA(MATCH(L165&amp;"|"&amp;M165,LAYOUT!$E$2:$E$80,0)),"CEK SHELVING KE di luar layout",IF($I165="","CEK SERIES kosong",IF(AND(N165&lt;&gt;"",NOT(ISNUMBER(N165))),"CEK URUTAN DISPLAY harus angka",IF($D165="","Zona STOCK",IF($E165="","CEK SKU DESCRIPTION kosong",IF(COUNTIFS($I$2:$I$500,$I165,L$2:L$500,"&lt;&gt;"&amp;L165,L$2:L$500,"&lt;&gt;")&gt;0,"CEK jenis fixture beda dalam satu series","OK"))))))))))</f>
        <v/>
      </c>
      <c r="Q165" s="11" t="n"/>
      <c r="R165" s="11" t="n"/>
      <c r="S165" s="11" t="n"/>
      <c r="T165" s="11">
        <f>IF(OR(Q165="",R165=""),"",IFERROR(INDEX(LAYOUT!$D$2:$D$80,MATCH(Q165&amp;"|"&amp;R165,LAYOUT!$E$2:$E$80,0)),""))</f>
        <v/>
      </c>
      <c r="U165" s="12">
        <f>IF(AND(Q165="",R165=""),IF(AND(L165="",M165="",V165="",W165=""),IF(OR($D165&lt;&gt;"",$E165&lt;&gt;""),"Belum ditempatkan",""),""),IF(Q165="","CEK JENIS FIXTURE kosong",IF(LEFT(Q165,4)&lt;&gt;"Wall","CEK Fixture 2 hanya Wall",IF(R165="","CEK SHELVING KE kosong",IF(ISNA(MATCH(Q165&amp;"|"&amp;R165,LAYOUT!$E$2:$E$80,0)),"CEK SHELVING KE di luar layout",IF($I165="","CEK SERIES kosong",IF(AND(S165&lt;&gt;"",NOT(ISNUMBER(S165))),"CEK URUTAN DISPLAY harus angka",IF($D165="","Zona STOCK",IF($E165="","CEK SKU DESCRIPTION kosong",IF(COUNTIFS($I$2:$I$500,$I165,Q$2:Q$500,"&lt;&gt;"&amp;Q165,Q$2:Q$500,"&lt;&gt;")&gt;0,"CEK jenis fixture beda dalam satu series","OK"))))))))))</f>
        <v/>
      </c>
      <c r="V165" s="11" t="n"/>
      <c r="W165" s="11" t="n"/>
      <c r="X165" s="11" t="n"/>
      <c r="Y165" s="11">
        <f>IF(OR(V165="",W165=""),"",IFERROR(INDEX(LAYOUT!$D$2:$D$80,MATCH(V165&amp;"|"&amp;W165,LAYOUT!$E$2:$E$80,0)),""))</f>
        <v/>
      </c>
      <c r="Z165" s="12">
        <f>IF(AND(V165="",W165=""),IF(AND(L165="",M165="",Q165="",R165=""),IF(OR($D165&lt;&gt;"",$E165&lt;&gt;""),"Belum ditempatkan",""),""),IF(V165="","CEK JENIS FIXTURE kosong",IF(LEFT(V165,4)&lt;&gt;"Wall","CEK Fixture 3 hanya Wall",IF(W165="","CEK SHELVING KE kosong",IF(ISNA(MATCH(V165&amp;"|"&amp;W165,LAYOUT!$E$2:$E$80,0)),"CEK SHELVING KE di luar layout",IF($I165="","CEK SERIES kosong",IF(AND(X165&lt;&gt;"",NOT(ISNUMBER(X165))),"CEK URUTAN DISPLAY harus angka",IF($D165="","Zona STOCK",IF($E165="","CEK SKU DESCRIPTION kosong",IF(COUNTIFS($I$2:$I$500,$I165,V$2:V$500,"&lt;&gt;"&amp;V165,V$2:V$500,"&lt;&gt;")&gt;0,"CEK jenis fixture beda dalam satu series","OK"))))))))))</f>
        <v/>
      </c>
      <c r="AA165" s="12" t="n"/>
      <c r="AB165" s="11" t="n"/>
      <c r="AC165" s="11" t="n"/>
      <c r="AD165" s="11" t="n"/>
      <c r="AE165" s="11" t="n"/>
      <c r="AF165" s="11" t="n"/>
      <c r="AG165" s="11" t="n"/>
      <c r="AH165" s="12" t="n"/>
      <c r="AI165" s="12" t="n"/>
    </row>
    <row r="166">
      <c r="A166" s="10" t="n"/>
      <c r="B166" s="10" t="n"/>
      <c r="C166" s="10" t="n"/>
      <c r="D166" s="10" t="n"/>
      <c r="E166" s="10" t="n"/>
      <c r="F166" s="10" t="n"/>
      <c r="G166" s="10" t="n"/>
      <c r="H166" s="10" t="n"/>
      <c r="I166" s="10" t="n"/>
      <c r="J166" s="10" t="n"/>
      <c r="K166" s="10" t="n"/>
      <c r="L166" s="11" t="n"/>
      <c r="M166" s="11" t="n"/>
      <c r="N166" s="11" t="n"/>
      <c r="O166" s="11">
        <f>IF(OR(L166="",M166=""),"",IFERROR(INDEX(LAYOUT!$D$2:$D$80,MATCH(L166&amp;"|"&amp;M166,LAYOUT!$E$2:$E$80,0)),""))</f>
        <v/>
      </c>
      <c r="P166" s="12">
        <f>IF(AND(L166="",M166=""),IF(AND(Q166="",R166="",V166="",W166=""),IF(OR($D166&lt;&gt;"",$E166&lt;&gt;""),"Belum ditempatkan",""),""),IF(L166="","CEK JENIS FIXTURE kosong",IF(AND(LEFT(L166,7)&lt;&gt;"Gondola",LEFT(L166,6)&lt;&gt;"Endcap"),"CEK Fixture 1 hanya Gondola atau Endcap",IF(M166="","CEK SHELVING KE kosong",IF(ISNA(MATCH(L166&amp;"|"&amp;M166,LAYOUT!$E$2:$E$80,0)),"CEK SHELVING KE di luar layout",IF($I166="","CEK SERIES kosong",IF(AND(N166&lt;&gt;"",NOT(ISNUMBER(N166))),"CEK URUTAN DISPLAY harus angka",IF($D166="","Zona STOCK",IF($E166="","CEK SKU DESCRIPTION kosong",IF(COUNTIFS($I$2:$I$500,$I166,L$2:L$500,"&lt;&gt;"&amp;L166,L$2:L$500,"&lt;&gt;")&gt;0,"CEK jenis fixture beda dalam satu series","OK"))))))))))</f>
        <v/>
      </c>
      <c r="Q166" s="11" t="n"/>
      <c r="R166" s="11" t="n"/>
      <c r="S166" s="11" t="n"/>
      <c r="T166" s="11">
        <f>IF(OR(Q166="",R166=""),"",IFERROR(INDEX(LAYOUT!$D$2:$D$80,MATCH(Q166&amp;"|"&amp;R166,LAYOUT!$E$2:$E$80,0)),""))</f>
        <v/>
      </c>
      <c r="U166" s="12">
        <f>IF(AND(Q166="",R166=""),IF(AND(L166="",M166="",V166="",W166=""),IF(OR($D166&lt;&gt;"",$E166&lt;&gt;""),"Belum ditempatkan",""),""),IF(Q166="","CEK JENIS FIXTURE kosong",IF(LEFT(Q166,4)&lt;&gt;"Wall","CEK Fixture 2 hanya Wall",IF(R166="","CEK SHELVING KE kosong",IF(ISNA(MATCH(Q166&amp;"|"&amp;R166,LAYOUT!$E$2:$E$80,0)),"CEK SHELVING KE di luar layout",IF($I166="","CEK SERIES kosong",IF(AND(S166&lt;&gt;"",NOT(ISNUMBER(S166))),"CEK URUTAN DISPLAY harus angka",IF($D166="","Zona STOCK",IF($E166="","CEK SKU DESCRIPTION kosong",IF(COUNTIFS($I$2:$I$500,$I166,Q$2:Q$500,"&lt;&gt;"&amp;Q166,Q$2:Q$500,"&lt;&gt;")&gt;0,"CEK jenis fixture beda dalam satu series","OK"))))))))))</f>
        <v/>
      </c>
      <c r="V166" s="11" t="n"/>
      <c r="W166" s="11" t="n"/>
      <c r="X166" s="11" t="n"/>
      <c r="Y166" s="11">
        <f>IF(OR(V166="",W166=""),"",IFERROR(INDEX(LAYOUT!$D$2:$D$80,MATCH(V166&amp;"|"&amp;W166,LAYOUT!$E$2:$E$80,0)),""))</f>
        <v/>
      </c>
      <c r="Z166" s="12">
        <f>IF(AND(V166="",W166=""),IF(AND(L166="",M166="",Q166="",R166=""),IF(OR($D166&lt;&gt;"",$E166&lt;&gt;""),"Belum ditempatkan",""),""),IF(V166="","CEK JENIS FIXTURE kosong",IF(LEFT(V166,4)&lt;&gt;"Wall","CEK Fixture 3 hanya Wall",IF(W166="","CEK SHELVING KE kosong",IF(ISNA(MATCH(V166&amp;"|"&amp;W166,LAYOUT!$E$2:$E$80,0)),"CEK SHELVING KE di luar layout",IF($I166="","CEK SERIES kosong",IF(AND(X166&lt;&gt;"",NOT(ISNUMBER(X166))),"CEK URUTAN DISPLAY harus angka",IF($D166="","Zona STOCK",IF($E166="","CEK SKU DESCRIPTION kosong",IF(COUNTIFS($I$2:$I$500,$I166,V$2:V$500,"&lt;&gt;"&amp;V166,V$2:V$500,"&lt;&gt;")&gt;0,"CEK jenis fixture beda dalam satu series","OK"))))))))))</f>
        <v/>
      </c>
      <c r="AA166" s="12" t="n"/>
      <c r="AB166" s="11" t="n"/>
      <c r="AC166" s="11" t="n"/>
      <c r="AD166" s="11" t="n"/>
      <c r="AE166" s="11" t="n"/>
      <c r="AF166" s="11" t="n"/>
      <c r="AG166" s="11" t="n"/>
      <c r="AH166" s="12" t="n"/>
      <c r="AI166" s="12" t="n"/>
    </row>
    <row r="167">
      <c r="A167" s="10" t="n"/>
      <c r="B167" s="10" t="n"/>
      <c r="C167" s="10" t="n"/>
      <c r="D167" s="10" t="n"/>
      <c r="E167" s="10" t="n"/>
      <c r="F167" s="10" t="n"/>
      <c r="G167" s="10" t="n"/>
      <c r="H167" s="10" t="n"/>
      <c r="I167" s="10" t="n"/>
      <c r="J167" s="10" t="n"/>
      <c r="K167" s="10" t="n"/>
      <c r="L167" s="11" t="n"/>
      <c r="M167" s="11" t="n"/>
      <c r="N167" s="11" t="n"/>
      <c r="O167" s="11">
        <f>IF(OR(L167="",M167=""),"",IFERROR(INDEX(LAYOUT!$D$2:$D$80,MATCH(L167&amp;"|"&amp;M167,LAYOUT!$E$2:$E$80,0)),""))</f>
        <v/>
      </c>
      <c r="P167" s="12">
        <f>IF(AND(L167="",M167=""),IF(AND(Q167="",R167="",V167="",W167=""),IF(OR($D167&lt;&gt;"",$E167&lt;&gt;""),"Belum ditempatkan",""),""),IF(L167="","CEK JENIS FIXTURE kosong",IF(AND(LEFT(L167,7)&lt;&gt;"Gondola",LEFT(L167,6)&lt;&gt;"Endcap"),"CEK Fixture 1 hanya Gondola atau Endcap",IF(M167="","CEK SHELVING KE kosong",IF(ISNA(MATCH(L167&amp;"|"&amp;M167,LAYOUT!$E$2:$E$80,0)),"CEK SHELVING KE di luar layout",IF($I167="","CEK SERIES kosong",IF(AND(N167&lt;&gt;"",NOT(ISNUMBER(N167))),"CEK URUTAN DISPLAY harus angka",IF($D167="","Zona STOCK",IF($E167="","CEK SKU DESCRIPTION kosong",IF(COUNTIFS($I$2:$I$500,$I167,L$2:L$500,"&lt;&gt;"&amp;L167,L$2:L$500,"&lt;&gt;")&gt;0,"CEK jenis fixture beda dalam satu series","OK"))))))))))</f>
        <v/>
      </c>
      <c r="Q167" s="11" t="n"/>
      <c r="R167" s="11" t="n"/>
      <c r="S167" s="11" t="n"/>
      <c r="T167" s="11">
        <f>IF(OR(Q167="",R167=""),"",IFERROR(INDEX(LAYOUT!$D$2:$D$80,MATCH(Q167&amp;"|"&amp;R167,LAYOUT!$E$2:$E$80,0)),""))</f>
        <v/>
      </c>
      <c r="U167" s="12">
        <f>IF(AND(Q167="",R167=""),IF(AND(L167="",M167="",V167="",W167=""),IF(OR($D167&lt;&gt;"",$E167&lt;&gt;""),"Belum ditempatkan",""),""),IF(Q167="","CEK JENIS FIXTURE kosong",IF(LEFT(Q167,4)&lt;&gt;"Wall","CEK Fixture 2 hanya Wall",IF(R167="","CEK SHELVING KE kosong",IF(ISNA(MATCH(Q167&amp;"|"&amp;R167,LAYOUT!$E$2:$E$80,0)),"CEK SHELVING KE di luar layout",IF($I167="","CEK SERIES kosong",IF(AND(S167&lt;&gt;"",NOT(ISNUMBER(S167))),"CEK URUTAN DISPLAY harus angka",IF($D167="","Zona STOCK",IF($E167="","CEK SKU DESCRIPTION kosong",IF(COUNTIFS($I$2:$I$500,$I167,Q$2:Q$500,"&lt;&gt;"&amp;Q167,Q$2:Q$500,"&lt;&gt;")&gt;0,"CEK jenis fixture beda dalam satu series","OK"))))))))))</f>
        <v/>
      </c>
      <c r="V167" s="11" t="n"/>
      <c r="W167" s="11" t="n"/>
      <c r="X167" s="11" t="n"/>
      <c r="Y167" s="11">
        <f>IF(OR(V167="",W167=""),"",IFERROR(INDEX(LAYOUT!$D$2:$D$80,MATCH(V167&amp;"|"&amp;W167,LAYOUT!$E$2:$E$80,0)),""))</f>
        <v/>
      </c>
      <c r="Z167" s="12">
        <f>IF(AND(V167="",W167=""),IF(AND(L167="",M167="",Q167="",R167=""),IF(OR($D167&lt;&gt;"",$E167&lt;&gt;""),"Belum ditempatkan",""),""),IF(V167="","CEK JENIS FIXTURE kosong",IF(LEFT(V167,4)&lt;&gt;"Wall","CEK Fixture 3 hanya Wall",IF(W167="","CEK SHELVING KE kosong",IF(ISNA(MATCH(V167&amp;"|"&amp;W167,LAYOUT!$E$2:$E$80,0)),"CEK SHELVING KE di luar layout",IF($I167="","CEK SERIES kosong",IF(AND(X167&lt;&gt;"",NOT(ISNUMBER(X167))),"CEK URUTAN DISPLAY harus angka",IF($D167="","Zona STOCK",IF($E167="","CEK SKU DESCRIPTION kosong",IF(COUNTIFS($I$2:$I$500,$I167,V$2:V$500,"&lt;&gt;"&amp;V167,V$2:V$500,"&lt;&gt;")&gt;0,"CEK jenis fixture beda dalam satu series","OK"))))))))))</f>
        <v/>
      </c>
      <c r="AA167" s="12" t="n"/>
      <c r="AB167" s="11" t="n"/>
      <c r="AC167" s="11" t="n"/>
      <c r="AD167" s="11" t="n"/>
      <c r="AE167" s="11" t="n"/>
      <c r="AF167" s="11" t="n"/>
      <c r="AG167" s="11" t="n"/>
      <c r="AH167" s="12" t="n"/>
      <c r="AI167" s="12" t="n"/>
    </row>
    <row r="168">
      <c r="A168" s="10" t="n"/>
      <c r="B168" s="10" t="n"/>
      <c r="C168" s="10" t="n"/>
      <c r="D168" s="10" t="n"/>
      <c r="E168" s="10" t="n"/>
      <c r="F168" s="10" t="n"/>
      <c r="G168" s="10" t="n"/>
      <c r="H168" s="10" t="n"/>
      <c r="I168" s="10" t="n"/>
      <c r="J168" s="10" t="n"/>
      <c r="K168" s="10" t="n"/>
      <c r="L168" s="11" t="n"/>
      <c r="M168" s="11" t="n"/>
      <c r="N168" s="11" t="n"/>
      <c r="O168" s="11">
        <f>IF(OR(L168="",M168=""),"",IFERROR(INDEX(LAYOUT!$D$2:$D$80,MATCH(L168&amp;"|"&amp;M168,LAYOUT!$E$2:$E$80,0)),""))</f>
        <v/>
      </c>
      <c r="P168" s="12">
        <f>IF(AND(L168="",M168=""),IF(AND(Q168="",R168="",V168="",W168=""),IF(OR($D168&lt;&gt;"",$E168&lt;&gt;""),"Belum ditempatkan",""),""),IF(L168="","CEK JENIS FIXTURE kosong",IF(AND(LEFT(L168,7)&lt;&gt;"Gondola",LEFT(L168,6)&lt;&gt;"Endcap"),"CEK Fixture 1 hanya Gondola atau Endcap",IF(M168="","CEK SHELVING KE kosong",IF(ISNA(MATCH(L168&amp;"|"&amp;M168,LAYOUT!$E$2:$E$80,0)),"CEK SHELVING KE di luar layout",IF($I168="","CEK SERIES kosong",IF(AND(N168&lt;&gt;"",NOT(ISNUMBER(N168))),"CEK URUTAN DISPLAY harus angka",IF($D168="","Zona STOCK",IF($E168="","CEK SKU DESCRIPTION kosong",IF(COUNTIFS($I$2:$I$500,$I168,L$2:L$500,"&lt;&gt;"&amp;L168,L$2:L$500,"&lt;&gt;")&gt;0,"CEK jenis fixture beda dalam satu series","OK"))))))))))</f>
        <v/>
      </c>
      <c r="Q168" s="11" t="n"/>
      <c r="R168" s="11" t="n"/>
      <c r="S168" s="11" t="n"/>
      <c r="T168" s="11">
        <f>IF(OR(Q168="",R168=""),"",IFERROR(INDEX(LAYOUT!$D$2:$D$80,MATCH(Q168&amp;"|"&amp;R168,LAYOUT!$E$2:$E$80,0)),""))</f>
        <v/>
      </c>
      <c r="U168" s="12">
        <f>IF(AND(Q168="",R168=""),IF(AND(L168="",M168="",V168="",W168=""),IF(OR($D168&lt;&gt;"",$E168&lt;&gt;""),"Belum ditempatkan",""),""),IF(Q168="","CEK JENIS FIXTURE kosong",IF(LEFT(Q168,4)&lt;&gt;"Wall","CEK Fixture 2 hanya Wall",IF(R168="","CEK SHELVING KE kosong",IF(ISNA(MATCH(Q168&amp;"|"&amp;R168,LAYOUT!$E$2:$E$80,0)),"CEK SHELVING KE di luar layout",IF($I168="","CEK SERIES kosong",IF(AND(S168&lt;&gt;"",NOT(ISNUMBER(S168))),"CEK URUTAN DISPLAY harus angka",IF($D168="","Zona STOCK",IF($E168="","CEK SKU DESCRIPTION kosong",IF(COUNTIFS($I$2:$I$500,$I168,Q$2:Q$500,"&lt;&gt;"&amp;Q168,Q$2:Q$500,"&lt;&gt;")&gt;0,"CEK jenis fixture beda dalam satu series","OK"))))))))))</f>
        <v/>
      </c>
      <c r="V168" s="11" t="n"/>
      <c r="W168" s="11" t="n"/>
      <c r="X168" s="11" t="n"/>
      <c r="Y168" s="11">
        <f>IF(OR(V168="",W168=""),"",IFERROR(INDEX(LAYOUT!$D$2:$D$80,MATCH(V168&amp;"|"&amp;W168,LAYOUT!$E$2:$E$80,0)),""))</f>
        <v/>
      </c>
      <c r="Z168" s="12">
        <f>IF(AND(V168="",W168=""),IF(AND(L168="",M168="",Q168="",R168=""),IF(OR($D168&lt;&gt;"",$E168&lt;&gt;""),"Belum ditempatkan",""),""),IF(V168="","CEK JENIS FIXTURE kosong",IF(LEFT(V168,4)&lt;&gt;"Wall","CEK Fixture 3 hanya Wall",IF(W168="","CEK SHELVING KE kosong",IF(ISNA(MATCH(V168&amp;"|"&amp;W168,LAYOUT!$E$2:$E$80,0)),"CEK SHELVING KE di luar layout",IF($I168="","CEK SERIES kosong",IF(AND(X168&lt;&gt;"",NOT(ISNUMBER(X168))),"CEK URUTAN DISPLAY harus angka",IF($D168="","Zona STOCK",IF($E168="","CEK SKU DESCRIPTION kosong",IF(COUNTIFS($I$2:$I$500,$I168,V$2:V$500,"&lt;&gt;"&amp;V168,V$2:V$500,"&lt;&gt;")&gt;0,"CEK jenis fixture beda dalam satu series","OK"))))))))))</f>
        <v/>
      </c>
      <c r="AA168" s="12" t="n"/>
      <c r="AB168" s="11" t="n"/>
      <c r="AC168" s="11" t="n"/>
      <c r="AD168" s="11" t="n"/>
      <c r="AE168" s="11" t="n"/>
      <c r="AF168" s="11" t="n"/>
      <c r="AG168" s="11" t="n"/>
      <c r="AH168" s="12" t="n"/>
      <c r="AI168" s="12" t="n"/>
    </row>
    <row r="169">
      <c r="A169" s="10" t="n"/>
      <c r="B169" s="10" t="n"/>
      <c r="C169" s="10" t="n"/>
      <c r="D169" s="10" t="n"/>
      <c r="E169" s="10" t="n"/>
      <c r="F169" s="10" t="n"/>
      <c r="G169" s="10" t="n"/>
      <c r="H169" s="10" t="n"/>
      <c r="I169" s="10" t="n"/>
      <c r="J169" s="10" t="n"/>
      <c r="K169" s="10" t="n"/>
      <c r="L169" s="11" t="n"/>
      <c r="M169" s="11" t="n"/>
      <c r="N169" s="11" t="n"/>
      <c r="O169" s="11">
        <f>IF(OR(L169="",M169=""),"",IFERROR(INDEX(LAYOUT!$D$2:$D$80,MATCH(L169&amp;"|"&amp;M169,LAYOUT!$E$2:$E$80,0)),""))</f>
        <v/>
      </c>
      <c r="P169" s="12">
        <f>IF(AND(L169="",M169=""),IF(AND(Q169="",R169="",V169="",W169=""),IF(OR($D169&lt;&gt;"",$E169&lt;&gt;""),"Belum ditempatkan",""),""),IF(L169="","CEK JENIS FIXTURE kosong",IF(AND(LEFT(L169,7)&lt;&gt;"Gondola",LEFT(L169,6)&lt;&gt;"Endcap"),"CEK Fixture 1 hanya Gondola atau Endcap",IF(M169="","CEK SHELVING KE kosong",IF(ISNA(MATCH(L169&amp;"|"&amp;M169,LAYOUT!$E$2:$E$80,0)),"CEK SHELVING KE di luar layout",IF($I169="","CEK SERIES kosong",IF(AND(N169&lt;&gt;"",NOT(ISNUMBER(N169))),"CEK URUTAN DISPLAY harus angka",IF($D169="","Zona STOCK",IF($E169="","CEK SKU DESCRIPTION kosong",IF(COUNTIFS($I$2:$I$500,$I169,L$2:L$500,"&lt;&gt;"&amp;L169,L$2:L$500,"&lt;&gt;")&gt;0,"CEK jenis fixture beda dalam satu series","OK"))))))))))</f>
        <v/>
      </c>
      <c r="Q169" s="11" t="n"/>
      <c r="R169" s="11" t="n"/>
      <c r="S169" s="11" t="n"/>
      <c r="T169" s="11">
        <f>IF(OR(Q169="",R169=""),"",IFERROR(INDEX(LAYOUT!$D$2:$D$80,MATCH(Q169&amp;"|"&amp;R169,LAYOUT!$E$2:$E$80,0)),""))</f>
        <v/>
      </c>
      <c r="U169" s="12">
        <f>IF(AND(Q169="",R169=""),IF(AND(L169="",M169="",V169="",W169=""),IF(OR($D169&lt;&gt;"",$E169&lt;&gt;""),"Belum ditempatkan",""),""),IF(Q169="","CEK JENIS FIXTURE kosong",IF(LEFT(Q169,4)&lt;&gt;"Wall","CEK Fixture 2 hanya Wall",IF(R169="","CEK SHELVING KE kosong",IF(ISNA(MATCH(Q169&amp;"|"&amp;R169,LAYOUT!$E$2:$E$80,0)),"CEK SHELVING KE di luar layout",IF($I169="","CEK SERIES kosong",IF(AND(S169&lt;&gt;"",NOT(ISNUMBER(S169))),"CEK URUTAN DISPLAY harus angka",IF($D169="","Zona STOCK",IF($E169="","CEK SKU DESCRIPTION kosong",IF(COUNTIFS($I$2:$I$500,$I169,Q$2:Q$500,"&lt;&gt;"&amp;Q169,Q$2:Q$500,"&lt;&gt;")&gt;0,"CEK jenis fixture beda dalam satu series","OK"))))))))))</f>
        <v/>
      </c>
      <c r="V169" s="11" t="n"/>
      <c r="W169" s="11" t="n"/>
      <c r="X169" s="11" t="n"/>
      <c r="Y169" s="11">
        <f>IF(OR(V169="",W169=""),"",IFERROR(INDEX(LAYOUT!$D$2:$D$80,MATCH(V169&amp;"|"&amp;W169,LAYOUT!$E$2:$E$80,0)),""))</f>
        <v/>
      </c>
      <c r="Z169" s="12">
        <f>IF(AND(V169="",W169=""),IF(AND(L169="",M169="",Q169="",R169=""),IF(OR($D169&lt;&gt;"",$E169&lt;&gt;""),"Belum ditempatkan",""),""),IF(V169="","CEK JENIS FIXTURE kosong",IF(LEFT(V169,4)&lt;&gt;"Wall","CEK Fixture 3 hanya Wall",IF(W169="","CEK SHELVING KE kosong",IF(ISNA(MATCH(V169&amp;"|"&amp;W169,LAYOUT!$E$2:$E$80,0)),"CEK SHELVING KE di luar layout",IF($I169="","CEK SERIES kosong",IF(AND(X169&lt;&gt;"",NOT(ISNUMBER(X169))),"CEK URUTAN DISPLAY harus angka",IF($D169="","Zona STOCK",IF($E169="","CEK SKU DESCRIPTION kosong",IF(COUNTIFS($I$2:$I$500,$I169,V$2:V$500,"&lt;&gt;"&amp;V169,V$2:V$500,"&lt;&gt;")&gt;0,"CEK jenis fixture beda dalam satu series","OK"))))))))))</f>
        <v/>
      </c>
      <c r="AA169" s="12" t="n"/>
      <c r="AB169" s="11" t="n"/>
      <c r="AC169" s="11" t="n"/>
      <c r="AD169" s="11" t="n"/>
      <c r="AE169" s="11" t="n"/>
      <c r="AF169" s="11" t="n"/>
      <c r="AG169" s="11" t="n"/>
      <c r="AH169" s="12" t="n"/>
      <c r="AI169" s="12" t="n"/>
    </row>
    <row r="170">
      <c r="A170" s="10" t="n"/>
      <c r="B170" s="10" t="n"/>
      <c r="C170" s="10" t="n"/>
      <c r="D170" s="10" t="n"/>
      <c r="E170" s="10" t="n"/>
      <c r="F170" s="10" t="n"/>
      <c r="G170" s="10" t="n"/>
      <c r="H170" s="10" t="n"/>
      <c r="I170" s="10" t="n"/>
      <c r="J170" s="10" t="n"/>
      <c r="K170" s="10" t="n"/>
      <c r="L170" s="11" t="n"/>
      <c r="M170" s="11" t="n"/>
      <c r="N170" s="11" t="n"/>
      <c r="O170" s="11">
        <f>IF(OR(L170="",M170=""),"",IFERROR(INDEX(LAYOUT!$D$2:$D$80,MATCH(L170&amp;"|"&amp;M170,LAYOUT!$E$2:$E$80,0)),""))</f>
        <v/>
      </c>
      <c r="P170" s="12">
        <f>IF(AND(L170="",M170=""),IF(AND(Q170="",R170="",V170="",W170=""),IF(OR($D170&lt;&gt;"",$E170&lt;&gt;""),"Belum ditempatkan",""),""),IF(L170="","CEK JENIS FIXTURE kosong",IF(AND(LEFT(L170,7)&lt;&gt;"Gondola",LEFT(L170,6)&lt;&gt;"Endcap"),"CEK Fixture 1 hanya Gondola atau Endcap",IF(M170="","CEK SHELVING KE kosong",IF(ISNA(MATCH(L170&amp;"|"&amp;M170,LAYOUT!$E$2:$E$80,0)),"CEK SHELVING KE di luar layout",IF($I170="","CEK SERIES kosong",IF(AND(N170&lt;&gt;"",NOT(ISNUMBER(N170))),"CEK URUTAN DISPLAY harus angka",IF($D170="","Zona STOCK",IF($E170="","CEK SKU DESCRIPTION kosong",IF(COUNTIFS($I$2:$I$500,$I170,L$2:L$500,"&lt;&gt;"&amp;L170,L$2:L$500,"&lt;&gt;")&gt;0,"CEK jenis fixture beda dalam satu series","OK"))))))))))</f>
        <v/>
      </c>
      <c r="Q170" s="11" t="n"/>
      <c r="R170" s="11" t="n"/>
      <c r="S170" s="11" t="n"/>
      <c r="T170" s="11">
        <f>IF(OR(Q170="",R170=""),"",IFERROR(INDEX(LAYOUT!$D$2:$D$80,MATCH(Q170&amp;"|"&amp;R170,LAYOUT!$E$2:$E$80,0)),""))</f>
        <v/>
      </c>
      <c r="U170" s="12">
        <f>IF(AND(Q170="",R170=""),IF(AND(L170="",M170="",V170="",W170=""),IF(OR($D170&lt;&gt;"",$E170&lt;&gt;""),"Belum ditempatkan",""),""),IF(Q170="","CEK JENIS FIXTURE kosong",IF(LEFT(Q170,4)&lt;&gt;"Wall","CEK Fixture 2 hanya Wall",IF(R170="","CEK SHELVING KE kosong",IF(ISNA(MATCH(Q170&amp;"|"&amp;R170,LAYOUT!$E$2:$E$80,0)),"CEK SHELVING KE di luar layout",IF($I170="","CEK SERIES kosong",IF(AND(S170&lt;&gt;"",NOT(ISNUMBER(S170))),"CEK URUTAN DISPLAY harus angka",IF($D170="","Zona STOCK",IF($E170="","CEK SKU DESCRIPTION kosong",IF(COUNTIFS($I$2:$I$500,$I170,Q$2:Q$500,"&lt;&gt;"&amp;Q170,Q$2:Q$500,"&lt;&gt;")&gt;0,"CEK jenis fixture beda dalam satu series","OK"))))))))))</f>
        <v/>
      </c>
      <c r="V170" s="11" t="n"/>
      <c r="W170" s="11" t="n"/>
      <c r="X170" s="11" t="n"/>
      <c r="Y170" s="11">
        <f>IF(OR(V170="",W170=""),"",IFERROR(INDEX(LAYOUT!$D$2:$D$80,MATCH(V170&amp;"|"&amp;W170,LAYOUT!$E$2:$E$80,0)),""))</f>
        <v/>
      </c>
      <c r="Z170" s="12">
        <f>IF(AND(V170="",W170=""),IF(AND(L170="",M170="",Q170="",R170=""),IF(OR($D170&lt;&gt;"",$E170&lt;&gt;""),"Belum ditempatkan",""),""),IF(V170="","CEK JENIS FIXTURE kosong",IF(LEFT(V170,4)&lt;&gt;"Wall","CEK Fixture 3 hanya Wall",IF(W170="","CEK SHELVING KE kosong",IF(ISNA(MATCH(V170&amp;"|"&amp;W170,LAYOUT!$E$2:$E$80,0)),"CEK SHELVING KE di luar layout",IF($I170="","CEK SERIES kosong",IF(AND(X170&lt;&gt;"",NOT(ISNUMBER(X170))),"CEK URUTAN DISPLAY harus angka",IF($D170="","Zona STOCK",IF($E170="","CEK SKU DESCRIPTION kosong",IF(COUNTIFS($I$2:$I$500,$I170,V$2:V$500,"&lt;&gt;"&amp;V170,V$2:V$500,"&lt;&gt;")&gt;0,"CEK jenis fixture beda dalam satu series","OK"))))))))))</f>
        <v/>
      </c>
      <c r="AA170" s="12" t="n"/>
      <c r="AB170" s="11" t="n"/>
      <c r="AC170" s="11" t="n"/>
      <c r="AD170" s="11" t="n"/>
      <c r="AE170" s="11" t="n"/>
      <c r="AF170" s="11" t="n"/>
      <c r="AG170" s="11" t="n"/>
      <c r="AH170" s="12" t="n"/>
      <c r="AI170" s="12" t="n"/>
    </row>
    <row r="171">
      <c r="A171" s="10" t="n"/>
      <c r="B171" s="10" t="n"/>
      <c r="C171" s="10" t="n"/>
      <c r="D171" s="10" t="n"/>
      <c r="E171" s="10" t="n"/>
      <c r="F171" s="10" t="n"/>
      <c r="G171" s="10" t="n"/>
      <c r="H171" s="10" t="n"/>
      <c r="I171" s="10" t="n"/>
      <c r="J171" s="10" t="n"/>
      <c r="K171" s="10" t="n"/>
      <c r="L171" s="11" t="n"/>
      <c r="M171" s="11" t="n"/>
      <c r="N171" s="11" t="n"/>
      <c r="O171" s="11">
        <f>IF(OR(L171="",M171=""),"",IFERROR(INDEX(LAYOUT!$D$2:$D$80,MATCH(L171&amp;"|"&amp;M171,LAYOUT!$E$2:$E$80,0)),""))</f>
        <v/>
      </c>
      <c r="P171" s="12">
        <f>IF(AND(L171="",M171=""),IF(AND(Q171="",R171="",V171="",W171=""),IF(OR($D171&lt;&gt;"",$E171&lt;&gt;""),"Belum ditempatkan",""),""),IF(L171="","CEK JENIS FIXTURE kosong",IF(AND(LEFT(L171,7)&lt;&gt;"Gondola",LEFT(L171,6)&lt;&gt;"Endcap"),"CEK Fixture 1 hanya Gondola atau Endcap",IF(M171="","CEK SHELVING KE kosong",IF(ISNA(MATCH(L171&amp;"|"&amp;M171,LAYOUT!$E$2:$E$80,0)),"CEK SHELVING KE di luar layout",IF($I171="","CEK SERIES kosong",IF(AND(N171&lt;&gt;"",NOT(ISNUMBER(N171))),"CEK URUTAN DISPLAY harus angka",IF($D171="","Zona STOCK",IF($E171="","CEK SKU DESCRIPTION kosong",IF(COUNTIFS($I$2:$I$500,$I171,L$2:L$500,"&lt;&gt;"&amp;L171,L$2:L$500,"&lt;&gt;")&gt;0,"CEK jenis fixture beda dalam satu series","OK"))))))))))</f>
        <v/>
      </c>
      <c r="Q171" s="11" t="n"/>
      <c r="R171" s="11" t="n"/>
      <c r="S171" s="11" t="n"/>
      <c r="T171" s="11">
        <f>IF(OR(Q171="",R171=""),"",IFERROR(INDEX(LAYOUT!$D$2:$D$80,MATCH(Q171&amp;"|"&amp;R171,LAYOUT!$E$2:$E$80,0)),""))</f>
        <v/>
      </c>
      <c r="U171" s="12">
        <f>IF(AND(Q171="",R171=""),IF(AND(L171="",M171="",V171="",W171=""),IF(OR($D171&lt;&gt;"",$E171&lt;&gt;""),"Belum ditempatkan",""),""),IF(Q171="","CEK JENIS FIXTURE kosong",IF(LEFT(Q171,4)&lt;&gt;"Wall","CEK Fixture 2 hanya Wall",IF(R171="","CEK SHELVING KE kosong",IF(ISNA(MATCH(Q171&amp;"|"&amp;R171,LAYOUT!$E$2:$E$80,0)),"CEK SHELVING KE di luar layout",IF($I171="","CEK SERIES kosong",IF(AND(S171&lt;&gt;"",NOT(ISNUMBER(S171))),"CEK URUTAN DISPLAY harus angka",IF($D171="","Zona STOCK",IF($E171="","CEK SKU DESCRIPTION kosong",IF(COUNTIFS($I$2:$I$500,$I171,Q$2:Q$500,"&lt;&gt;"&amp;Q171,Q$2:Q$500,"&lt;&gt;")&gt;0,"CEK jenis fixture beda dalam satu series","OK"))))))))))</f>
        <v/>
      </c>
      <c r="V171" s="11" t="n"/>
      <c r="W171" s="11" t="n"/>
      <c r="X171" s="11" t="n"/>
      <c r="Y171" s="11">
        <f>IF(OR(V171="",W171=""),"",IFERROR(INDEX(LAYOUT!$D$2:$D$80,MATCH(V171&amp;"|"&amp;W171,LAYOUT!$E$2:$E$80,0)),""))</f>
        <v/>
      </c>
      <c r="Z171" s="12">
        <f>IF(AND(V171="",W171=""),IF(AND(L171="",M171="",Q171="",R171=""),IF(OR($D171&lt;&gt;"",$E171&lt;&gt;""),"Belum ditempatkan",""),""),IF(V171="","CEK JENIS FIXTURE kosong",IF(LEFT(V171,4)&lt;&gt;"Wall","CEK Fixture 3 hanya Wall",IF(W171="","CEK SHELVING KE kosong",IF(ISNA(MATCH(V171&amp;"|"&amp;W171,LAYOUT!$E$2:$E$80,0)),"CEK SHELVING KE di luar layout",IF($I171="","CEK SERIES kosong",IF(AND(X171&lt;&gt;"",NOT(ISNUMBER(X171))),"CEK URUTAN DISPLAY harus angka",IF($D171="","Zona STOCK",IF($E171="","CEK SKU DESCRIPTION kosong",IF(COUNTIFS($I$2:$I$500,$I171,V$2:V$500,"&lt;&gt;"&amp;V171,V$2:V$500,"&lt;&gt;")&gt;0,"CEK jenis fixture beda dalam satu series","OK"))))))))))</f>
        <v/>
      </c>
      <c r="AA171" s="12" t="n"/>
      <c r="AB171" s="11" t="n"/>
      <c r="AC171" s="11" t="n"/>
      <c r="AD171" s="11" t="n"/>
      <c r="AE171" s="11" t="n"/>
      <c r="AF171" s="11" t="n"/>
      <c r="AG171" s="11" t="n"/>
      <c r="AH171" s="12" t="n"/>
      <c r="AI171" s="12" t="n"/>
    </row>
    <row r="172">
      <c r="A172" s="10" t="n"/>
      <c r="B172" s="10" t="n"/>
      <c r="C172" s="10" t="n"/>
      <c r="D172" s="10" t="n"/>
      <c r="E172" s="10" t="n"/>
      <c r="F172" s="10" t="n"/>
      <c r="G172" s="10" t="n"/>
      <c r="H172" s="10" t="n"/>
      <c r="I172" s="10" t="n"/>
      <c r="J172" s="10" t="n"/>
      <c r="K172" s="10" t="n"/>
      <c r="L172" s="11" t="n"/>
      <c r="M172" s="11" t="n"/>
      <c r="N172" s="11" t="n"/>
      <c r="O172" s="11">
        <f>IF(OR(L172="",M172=""),"",IFERROR(INDEX(LAYOUT!$D$2:$D$80,MATCH(L172&amp;"|"&amp;M172,LAYOUT!$E$2:$E$80,0)),""))</f>
        <v/>
      </c>
      <c r="P172" s="12">
        <f>IF(AND(L172="",M172=""),IF(AND(Q172="",R172="",V172="",W172=""),IF(OR($D172&lt;&gt;"",$E172&lt;&gt;""),"Belum ditempatkan",""),""),IF(L172="","CEK JENIS FIXTURE kosong",IF(AND(LEFT(L172,7)&lt;&gt;"Gondola",LEFT(L172,6)&lt;&gt;"Endcap"),"CEK Fixture 1 hanya Gondola atau Endcap",IF(M172="","CEK SHELVING KE kosong",IF(ISNA(MATCH(L172&amp;"|"&amp;M172,LAYOUT!$E$2:$E$80,0)),"CEK SHELVING KE di luar layout",IF($I172="","CEK SERIES kosong",IF(AND(N172&lt;&gt;"",NOT(ISNUMBER(N172))),"CEK URUTAN DISPLAY harus angka",IF($D172="","Zona STOCK",IF($E172="","CEK SKU DESCRIPTION kosong",IF(COUNTIFS($I$2:$I$500,$I172,L$2:L$500,"&lt;&gt;"&amp;L172,L$2:L$500,"&lt;&gt;")&gt;0,"CEK jenis fixture beda dalam satu series","OK"))))))))))</f>
        <v/>
      </c>
      <c r="Q172" s="11" t="n"/>
      <c r="R172" s="11" t="n"/>
      <c r="S172" s="11" t="n"/>
      <c r="T172" s="11">
        <f>IF(OR(Q172="",R172=""),"",IFERROR(INDEX(LAYOUT!$D$2:$D$80,MATCH(Q172&amp;"|"&amp;R172,LAYOUT!$E$2:$E$80,0)),""))</f>
        <v/>
      </c>
      <c r="U172" s="12">
        <f>IF(AND(Q172="",R172=""),IF(AND(L172="",M172="",V172="",W172=""),IF(OR($D172&lt;&gt;"",$E172&lt;&gt;""),"Belum ditempatkan",""),""),IF(Q172="","CEK JENIS FIXTURE kosong",IF(LEFT(Q172,4)&lt;&gt;"Wall","CEK Fixture 2 hanya Wall",IF(R172="","CEK SHELVING KE kosong",IF(ISNA(MATCH(Q172&amp;"|"&amp;R172,LAYOUT!$E$2:$E$80,0)),"CEK SHELVING KE di luar layout",IF($I172="","CEK SERIES kosong",IF(AND(S172&lt;&gt;"",NOT(ISNUMBER(S172))),"CEK URUTAN DISPLAY harus angka",IF($D172="","Zona STOCK",IF($E172="","CEK SKU DESCRIPTION kosong",IF(COUNTIFS($I$2:$I$500,$I172,Q$2:Q$500,"&lt;&gt;"&amp;Q172,Q$2:Q$500,"&lt;&gt;")&gt;0,"CEK jenis fixture beda dalam satu series","OK"))))))))))</f>
        <v/>
      </c>
      <c r="V172" s="11" t="n"/>
      <c r="W172" s="11" t="n"/>
      <c r="X172" s="11" t="n"/>
      <c r="Y172" s="11">
        <f>IF(OR(V172="",W172=""),"",IFERROR(INDEX(LAYOUT!$D$2:$D$80,MATCH(V172&amp;"|"&amp;W172,LAYOUT!$E$2:$E$80,0)),""))</f>
        <v/>
      </c>
      <c r="Z172" s="12">
        <f>IF(AND(V172="",W172=""),IF(AND(L172="",M172="",Q172="",R172=""),IF(OR($D172&lt;&gt;"",$E172&lt;&gt;""),"Belum ditempatkan",""),""),IF(V172="","CEK JENIS FIXTURE kosong",IF(LEFT(V172,4)&lt;&gt;"Wall","CEK Fixture 3 hanya Wall",IF(W172="","CEK SHELVING KE kosong",IF(ISNA(MATCH(V172&amp;"|"&amp;W172,LAYOUT!$E$2:$E$80,0)),"CEK SHELVING KE di luar layout",IF($I172="","CEK SERIES kosong",IF(AND(X172&lt;&gt;"",NOT(ISNUMBER(X172))),"CEK URUTAN DISPLAY harus angka",IF($D172="","Zona STOCK",IF($E172="","CEK SKU DESCRIPTION kosong",IF(COUNTIFS($I$2:$I$500,$I172,V$2:V$500,"&lt;&gt;"&amp;V172,V$2:V$500,"&lt;&gt;")&gt;0,"CEK jenis fixture beda dalam satu series","OK"))))))))))</f>
        <v/>
      </c>
      <c r="AA172" s="12" t="n"/>
      <c r="AB172" s="11" t="n"/>
      <c r="AC172" s="11" t="n"/>
      <c r="AD172" s="11" t="n"/>
      <c r="AE172" s="11" t="n"/>
      <c r="AF172" s="11" t="n"/>
      <c r="AG172" s="11" t="n"/>
      <c r="AH172" s="12" t="n"/>
      <c r="AI172" s="12" t="n"/>
    </row>
    <row r="173">
      <c r="A173" s="10" t="n"/>
      <c r="B173" s="10" t="n"/>
      <c r="C173" s="10" t="n"/>
      <c r="D173" s="10" t="n"/>
      <c r="E173" s="10" t="n"/>
      <c r="F173" s="10" t="n"/>
      <c r="G173" s="10" t="n"/>
      <c r="H173" s="10" t="n"/>
      <c r="I173" s="10" t="n"/>
      <c r="J173" s="10" t="n"/>
      <c r="K173" s="10" t="n"/>
      <c r="L173" s="11" t="n"/>
      <c r="M173" s="11" t="n"/>
      <c r="N173" s="11" t="n"/>
      <c r="O173" s="11">
        <f>IF(OR(L173="",M173=""),"",IFERROR(INDEX(LAYOUT!$D$2:$D$80,MATCH(L173&amp;"|"&amp;M173,LAYOUT!$E$2:$E$80,0)),""))</f>
        <v/>
      </c>
      <c r="P173" s="12">
        <f>IF(AND(L173="",M173=""),IF(AND(Q173="",R173="",V173="",W173=""),IF(OR($D173&lt;&gt;"",$E173&lt;&gt;""),"Belum ditempatkan",""),""),IF(L173="","CEK JENIS FIXTURE kosong",IF(AND(LEFT(L173,7)&lt;&gt;"Gondola",LEFT(L173,6)&lt;&gt;"Endcap"),"CEK Fixture 1 hanya Gondola atau Endcap",IF(M173="","CEK SHELVING KE kosong",IF(ISNA(MATCH(L173&amp;"|"&amp;M173,LAYOUT!$E$2:$E$80,0)),"CEK SHELVING KE di luar layout",IF($I173="","CEK SERIES kosong",IF(AND(N173&lt;&gt;"",NOT(ISNUMBER(N173))),"CEK URUTAN DISPLAY harus angka",IF($D173="","Zona STOCK",IF($E173="","CEK SKU DESCRIPTION kosong",IF(COUNTIFS($I$2:$I$500,$I173,L$2:L$500,"&lt;&gt;"&amp;L173,L$2:L$500,"&lt;&gt;")&gt;0,"CEK jenis fixture beda dalam satu series","OK"))))))))))</f>
        <v/>
      </c>
      <c r="Q173" s="11" t="n"/>
      <c r="R173" s="11" t="n"/>
      <c r="S173" s="11" t="n"/>
      <c r="T173" s="11">
        <f>IF(OR(Q173="",R173=""),"",IFERROR(INDEX(LAYOUT!$D$2:$D$80,MATCH(Q173&amp;"|"&amp;R173,LAYOUT!$E$2:$E$80,0)),""))</f>
        <v/>
      </c>
      <c r="U173" s="12">
        <f>IF(AND(Q173="",R173=""),IF(AND(L173="",M173="",V173="",W173=""),IF(OR($D173&lt;&gt;"",$E173&lt;&gt;""),"Belum ditempatkan",""),""),IF(Q173="","CEK JENIS FIXTURE kosong",IF(LEFT(Q173,4)&lt;&gt;"Wall","CEK Fixture 2 hanya Wall",IF(R173="","CEK SHELVING KE kosong",IF(ISNA(MATCH(Q173&amp;"|"&amp;R173,LAYOUT!$E$2:$E$80,0)),"CEK SHELVING KE di luar layout",IF($I173="","CEK SERIES kosong",IF(AND(S173&lt;&gt;"",NOT(ISNUMBER(S173))),"CEK URUTAN DISPLAY harus angka",IF($D173="","Zona STOCK",IF($E173="","CEK SKU DESCRIPTION kosong",IF(COUNTIFS($I$2:$I$500,$I173,Q$2:Q$500,"&lt;&gt;"&amp;Q173,Q$2:Q$500,"&lt;&gt;")&gt;0,"CEK jenis fixture beda dalam satu series","OK"))))))))))</f>
        <v/>
      </c>
      <c r="V173" s="11" t="n"/>
      <c r="W173" s="11" t="n"/>
      <c r="X173" s="11" t="n"/>
      <c r="Y173" s="11">
        <f>IF(OR(V173="",W173=""),"",IFERROR(INDEX(LAYOUT!$D$2:$D$80,MATCH(V173&amp;"|"&amp;W173,LAYOUT!$E$2:$E$80,0)),""))</f>
        <v/>
      </c>
      <c r="Z173" s="12">
        <f>IF(AND(V173="",W173=""),IF(AND(L173="",M173="",Q173="",R173=""),IF(OR($D173&lt;&gt;"",$E173&lt;&gt;""),"Belum ditempatkan",""),""),IF(V173="","CEK JENIS FIXTURE kosong",IF(LEFT(V173,4)&lt;&gt;"Wall","CEK Fixture 3 hanya Wall",IF(W173="","CEK SHELVING KE kosong",IF(ISNA(MATCH(V173&amp;"|"&amp;W173,LAYOUT!$E$2:$E$80,0)),"CEK SHELVING KE di luar layout",IF($I173="","CEK SERIES kosong",IF(AND(X173&lt;&gt;"",NOT(ISNUMBER(X173))),"CEK URUTAN DISPLAY harus angka",IF($D173="","Zona STOCK",IF($E173="","CEK SKU DESCRIPTION kosong",IF(COUNTIFS($I$2:$I$500,$I173,V$2:V$500,"&lt;&gt;"&amp;V173,V$2:V$500,"&lt;&gt;")&gt;0,"CEK jenis fixture beda dalam satu series","OK"))))))))))</f>
        <v/>
      </c>
      <c r="AA173" s="12" t="n"/>
      <c r="AB173" s="11" t="n"/>
      <c r="AC173" s="11" t="n"/>
      <c r="AD173" s="11" t="n"/>
      <c r="AE173" s="11" t="n"/>
      <c r="AF173" s="11" t="n"/>
      <c r="AG173" s="11" t="n"/>
      <c r="AH173" s="12" t="n"/>
      <c r="AI173" s="12" t="n"/>
    </row>
    <row r="174">
      <c r="A174" s="10" t="n"/>
      <c r="B174" s="10" t="n"/>
      <c r="C174" s="10" t="n"/>
      <c r="D174" s="10" t="n"/>
      <c r="E174" s="10" t="n"/>
      <c r="F174" s="10" t="n"/>
      <c r="G174" s="10" t="n"/>
      <c r="H174" s="10" t="n"/>
      <c r="I174" s="10" t="n"/>
      <c r="J174" s="10" t="n"/>
      <c r="K174" s="10" t="n"/>
      <c r="L174" s="11" t="n"/>
      <c r="M174" s="11" t="n"/>
      <c r="N174" s="11" t="n"/>
      <c r="O174" s="11">
        <f>IF(OR(L174="",M174=""),"",IFERROR(INDEX(LAYOUT!$D$2:$D$80,MATCH(L174&amp;"|"&amp;M174,LAYOUT!$E$2:$E$80,0)),""))</f>
        <v/>
      </c>
      <c r="P174" s="12">
        <f>IF(AND(L174="",M174=""),IF(AND(Q174="",R174="",V174="",W174=""),IF(OR($D174&lt;&gt;"",$E174&lt;&gt;""),"Belum ditempatkan",""),""),IF(L174="","CEK JENIS FIXTURE kosong",IF(AND(LEFT(L174,7)&lt;&gt;"Gondola",LEFT(L174,6)&lt;&gt;"Endcap"),"CEK Fixture 1 hanya Gondola atau Endcap",IF(M174="","CEK SHELVING KE kosong",IF(ISNA(MATCH(L174&amp;"|"&amp;M174,LAYOUT!$E$2:$E$80,0)),"CEK SHELVING KE di luar layout",IF($I174="","CEK SERIES kosong",IF(AND(N174&lt;&gt;"",NOT(ISNUMBER(N174))),"CEK URUTAN DISPLAY harus angka",IF($D174="","Zona STOCK",IF($E174="","CEK SKU DESCRIPTION kosong",IF(COUNTIFS($I$2:$I$500,$I174,L$2:L$500,"&lt;&gt;"&amp;L174,L$2:L$500,"&lt;&gt;")&gt;0,"CEK jenis fixture beda dalam satu series","OK"))))))))))</f>
        <v/>
      </c>
      <c r="Q174" s="11" t="n"/>
      <c r="R174" s="11" t="n"/>
      <c r="S174" s="11" t="n"/>
      <c r="T174" s="11">
        <f>IF(OR(Q174="",R174=""),"",IFERROR(INDEX(LAYOUT!$D$2:$D$80,MATCH(Q174&amp;"|"&amp;R174,LAYOUT!$E$2:$E$80,0)),""))</f>
        <v/>
      </c>
      <c r="U174" s="12">
        <f>IF(AND(Q174="",R174=""),IF(AND(L174="",M174="",V174="",W174=""),IF(OR($D174&lt;&gt;"",$E174&lt;&gt;""),"Belum ditempatkan",""),""),IF(Q174="","CEK JENIS FIXTURE kosong",IF(LEFT(Q174,4)&lt;&gt;"Wall","CEK Fixture 2 hanya Wall",IF(R174="","CEK SHELVING KE kosong",IF(ISNA(MATCH(Q174&amp;"|"&amp;R174,LAYOUT!$E$2:$E$80,0)),"CEK SHELVING KE di luar layout",IF($I174="","CEK SERIES kosong",IF(AND(S174&lt;&gt;"",NOT(ISNUMBER(S174))),"CEK URUTAN DISPLAY harus angka",IF($D174="","Zona STOCK",IF($E174="","CEK SKU DESCRIPTION kosong",IF(COUNTIFS($I$2:$I$500,$I174,Q$2:Q$500,"&lt;&gt;"&amp;Q174,Q$2:Q$500,"&lt;&gt;")&gt;0,"CEK jenis fixture beda dalam satu series","OK"))))))))))</f>
        <v/>
      </c>
      <c r="V174" s="11" t="n"/>
      <c r="W174" s="11" t="n"/>
      <c r="X174" s="11" t="n"/>
      <c r="Y174" s="11">
        <f>IF(OR(V174="",W174=""),"",IFERROR(INDEX(LAYOUT!$D$2:$D$80,MATCH(V174&amp;"|"&amp;W174,LAYOUT!$E$2:$E$80,0)),""))</f>
        <v/>
      </c>
      <c r="Z174" s="12">
        <f>IF(AND(V174="",W174=""),IF(AND(L174="",M174="",Q174="",R174=""),IF(OR($D174&lt;&gt;"",$E174&lt;&gt;""),"Belum ditempatkan",""),""),IF(V174="","CEK JENIS FIXTURE kosong",IF(LEFT(V174,4)&lt;&gt;"Wall","CEK Fixture 3 hanya Wall",IF(W174="","CEK SHELVING KE kosong",IF(ISNA(MATCH(V174&amp;"|"&amp;W174,LAYOUT!$E$2:$E$80,0)),"CEK SHELVING KE di luar layout",IF($I174="","CEK SERIES kosong",IF(AND(X174&lt;&gt;"",NOT(ISNUMBER(X174))),"CEK URUTAN DISPLAY harus angka",IF($D174="","Zona STOCK",IF($E174="","CEK SKU DESCRIPTION kosong",IF(COUNTIFS($I$2:$I$500,$I174,V$2:V$500,"&lt;&gt;"&amp;V174,V$2:V$500,"&lt;&gt;")&gt;0,"CEK jenis fixture beda dalam satu series","OK"))))))))))</f>
        <v/>
      </c>
      <c r="AA174" s="12" t="n"/>
      <c r="AB174" s="11" t="n"/>
      <c r="AC174" s="11" t="n"/>
      <c r="AD174" s="11" t="n"/>
      <c r="AE174" s="11" t="n"/>
      <c r="AF174" s="11" t="n"/>
      <c r="AG174" s="11" t="n"/>
      <c r="AH174" s="12" t="n"/>
      <c r="AI174" s="12" t="n"/>
    </row>
    <row r="175">
      <c r="A175" s="10" t="n"/>
      <c r="B175" s="10" t="n"/>
      <c r="C175" s="10" t="n"/>
      <c r="D175" s="10" t="n"/>
      <c r="E175" s="10" t="n"/>
      <c r="F175" s="10" t="n"/>
      <c r="G175" s="10" t="n"/>
      <c r="H175" s="10" t="n"/>
      <c r="I175" s="10" t="n"/>
      <c r="J175" s="10" t="n"/>
      <c r="K175" s="10" t="n"/>
      <c r="L175" s="11" t="n"/>
      <c r="M175" s="11" t="n"/>
      <c r="N175" s="11" t="n"/>
      <c r="O175" s="11">
        <f>IF(OR(L175="",M175=""),"",IFERROR(INDEX(LAYOUT!$D$2:$D$80,MATCH(L175&amp;"|"&amp;M175,LAYOUT!$E$2:$E$80,0)),""))</f>
        <v/>
      </c>
      <c r="P175" s="12">
        <f>IF(AND(L175="",M175=""),IF(AND(Q175="",R175="",V175="",W175=""),IF(OR($D175&lt;&gt;"",$E175&lt;&gt;""),"Belum ditempatkan",""),""),IF(L175="","CEK JENIS FIXTURE kosong",IF(AND(LEFT(L175,7)&lt;&gt;"Gondola",LEFT(L175,6)&lt;&gt;"Endcap"),"CEK Fixture 1 hanya Gondola atau Endcap",IF(M175="","CEK SHELVING KE kosong",IF(ISNA(MATCH(L175&amp;"|"&amp;M175,LAYOUT!$E$2:$E$80,0)),"CEK SHELVING KE di luar layout",IF($I175="","CEK SERIES kosong",IF(AND(N175&lt;&gt;"",NOT(ISNUMBER(N175))),"CEK URUTAN DISPLAY harus angka",IF($D175="","Zona STOCK",IF($E175="","CEK SKU DESCRIPTION kosong",IF(COUNTIFS($I$2:$I$500,$I175,L$2:L$500,"&lt;&gt;"&amp;L175,L$2:L$500,"&lt;&gt;")&gt;0,"CEK jenis fixture beda dalam satu series","OK"))))))))))</f>
        <v/>
      </c>
      <c r="Q175" s="11" t="n"/>
      <c r="R175" s="11" t="n"/>
      <c r="S175" s="11" t="n"/>
      <c r="T175" s="11">
        <f>IF(OR(Q175="",R175=""),"",IFERROR(INDEX(LAYOUT!$D$2:$D$80,MATCH(Q175&amp;"|"&amp;R175,LAYOUT!$E$2:$E$80,0)),""))</f>
        <v/>
      </c>
      <c r="U175" s="12">
        <f>IF(AND(Q175="",R175=""),IF(AND(L175="",M175="",V175="",W175=""),IF(OR($D175&lt;&gt;"",$E175&lt;&gt;""),"Belum ditempatkan",""),""),IF(Q175="","CEK JENIS FIXTURE kosong",IF(LEFT(Q175,4)&lt;&gt;"Wall","CEK Fixture 2 hanya Wall",IF(R175="","CEK SHELVING KE kosong",IF(ISNA(MATCH(Q175&amp;"|"&amp;R175,LAYOUT!$E$2:$E$80,0)),"CEK SHELVING KE di luar layout",IF($I175="","CEK SERIES kosong",IF(AND(S175&lt;&gt;"",NOT(ISNUMBER(S175))),"CEK URUTAN DISPLAY harus angka",IF($D175="","Zona STOCK",IF($E175="","CEK SKU DESCRIPTION kosong",IF(COUNTIFS($I$2:$I$500,$I175,Q$2:Q$500,"&lt;&gt;"&amp;Q175,Q$2:Q$500,"&lt;&gt;")&gt;0,"CEK jenis fixture beda dalam satu series","OK"))))))))))</f>
        <v/>
      </c>
      <c r="V175" s="11" t="n"/>
      <c r="W175" s="11" t="n"/>
      <c r="X175" s="11" t="n"/>
      <c r="Y175" s="11">
        <f>IF(OR(V175="",W175=""),"",IFERROR(INDEX(LAYOUT!$D$2:$D$80,MATCH(V175&amp;"|"&amp;W175,LAYOUT!$E$2:$E$80,0)),""))</f>
        <v/>
      </c>
      <c r="Z175" s="12">
        <f>IF(AND(V175="",W175=""),IF(AND(L175="",M175="",Q175="",R175=""),IF(OR($D175&lt;&gt;"",$E175&lt;&gt;""),"Belum ditempatkan",""),""),IF(V175="","CEK JENIS FIXTURE kosong",IF(LEFT(V175,4)&lt;&gt;"Wall","CEK Fixture 3 hanya Wall",IF(W175="","CEK SHELVING KE kosong",IF(ISNA(MATCH(V175&amp;"|"&amp;W175,LAYOUT!$E$2:$E$80,0)),"CEK SHELVING KE di luar layout",IF($I175="","CEK SERIES kosong",IF(AND(X175&lt;&gt;"",NOT(ISNUMBER(X175))),"CEK URUTAN DISPLAY harus angka",IF($D175="","Zona STOCK",IF($E175="","CEK SKU DESCRIPTION kosong",IF(COUNTIFS($I$2:$I$500,$I175,V$2:V$500,"&lt;&gt;"&amp;V175,V$2:V$500,"&lt;&gt;")&gt;0,"CEK jenis fixture beda dalam satu series","OK"))))))))))</f>
        <v/>
      </c>
      <c r="AA175" s="12" t="n"/>
      <c r="AB175" s="11" t="n"/>
      <c r="AC175" s="11" t="n"/>
      <c r="AD175" s="11" t="n"/>
      <c r="AE175" s="11" t="n"/>
      <c r="AF175" s="11" t="n"/>
      <c r="AG175" s="11" t="n"/>
      <c r="AH175" s="12" t="n"/>
      <c r="AI175" s="12" t="n"/>
    </row>
    <row r="176">
      <c r="A176" s="10" t="n"/>
      <c r="B176" s="10" t="n"/>
      <c r="C176" s="10" t="n"/>
      <c r="D176" s="10" t="n"/>
      <c r="E176" s="10" t="n"/>
      <c r="F176" s="10" t="n"/>
      <c r="G176" s="10" t="n"/>
      <c r="H176" s="10" t="n"/>
      <c r="I176" s="10" t="n"/>
      <c r="J176" s="10" t="n"/>
      <c r="K176" s="10" t="n"/>
      <c r="L176" s="11" t="n"/>
      <c r="M176" s="11" t="n"/>
      <c r="N176" s="11" t="n"/>
      <c r="O176" s="11">
        <f>IF(OR(L176="",M176=""),"",IFERROR(INDEX(LAYOUT!$D$2:$D$80,MATCH(L176&amp;"|"&amp;M176,LAYOUT!$E$2:$E$80,0)),""))</f>
        <v/>
      </c>
      <c r="P176" s="12">
        <f>IF(AND(L176="",M176=""),IF(AND(Q176="",R176="",V176="",W176=""),IF(OR($D176&lt;&gt;"",$E176&lt;&gt;""),"Belum ditempatkan",""),""),IF(L176="","CEK JENIS FIXTURE kosong",IF(AND(LEFT(L176,7)&lt;&gt;"Gondola",LEFT(L176,6)&lt;&gt;"Endcap"),"CEK Fixture 1 hanya Gondola atau Endcap",IF(M176="","CEK SHELVING KE kosong",IF(ISNA(MATCH(L176&amp;"|"&amp;M176,LAYOUT!$E$2:$E$80,0)),"CEK SHELVING KE di luar layout",IF($I176="","CEK SERIES kosong",IF(AND(N176&lt;&gt;"",NOT(ISNUMBER(N176))),"CEK URUTAN DISPLAY harus angka",IF($D176="","Zona STOCK",IF($E176="","CEK SKU DESCRIPTION kosong",IF(COUNTIFS($I$2:$I$500,$I176,L$2:L$500,"&lt;&gt;"&amp;L176,L$2:L$500,"&lt;&gt;")&gt;0,"CEK jenis fixture beda dalam satu series","OK"))))))))))</f>
        <v/>
      </c>
      <c r="Q176" s="11" t="n"/>
      <c r="R176" s="11" t="n"/>
      <c r="S176" s="11" t="n"/>
      <c r="T176" s="11">
        <f>IF(OR(Q176="",R176=""),"",IFERROR(INDEX(LAYOUT!$D$2:$D$80,MATCH(Q176&amp;"|"&amp;R176,LAYOUT!$E$2:$E$80,0)),""))</f>
        <v/>
      </c>
      <c r="U176" s="12">
        <f>IF(AND(Q176="",R176=""),IF(AND(L176="",M176="",V176="",W176=""),IF(OR($D176&lt;&gt;"",$E176&lt;&gt;""),"Belum ditempatkan",""),""),IF(Q176="","CEK JENIS FIXTURE kosong",IF(LEFT(Q176,4)&lt;&gt;"Wall","CEK Fixture 2 hanya Wall",IF(R176="","CEK SHELVING KE kosong",IF(ISNA(MATCH(Q176&amp;"|"&amp;R176,LAYOUT!$E$2:$E$80,0)),"CEK SHELVING KE di luar layout",IF($I176="","CEK SERIES kosong",IF(AND(S176&lt;&gt;"",NOT(ISNUMBER(S176))),"CEK URUTAN DISPLAY harus angka",IF($D176="","Zona STOCK",IF($E176="","CEK SKU DESCRIPTION kosong",IF(COUNTIFS($I$2:$I$500,$I176,Q$2:Q$500,"&lt;&gt;"&amp;Q176,Q$2:Q$500,"&lt;&gt;")&gt;0,"CEK jenis fixture beda dalam satu series","OK"))))))))))</f>
        <v/>
      </c>
      <c r="V176" s="11" t="n"/>
      <c r="W176" s="11" t="n"/>
      <c r="X176" s="11" t="n"/>
      <c r="Y176" s="11">
        <f>IF(OR(V176="",W176=""),"",IFERROR(INDEX(LAYOUT!$D$2:$D$80,MATCH(V176&amp;"|"&amp;W176,LAYOUT!$E$2:$E$80,0)),""))</f>
        <v/>
      </c>
      <c r="Z176" s="12">
        <f>IF(AND(V176="",W176=""),IF(AND(L176="",M176="",Q176="",R176=""),IF(OR($D176&lt;&gt;"",$E176&lt;&gt;""),"Belum ditempatkan",""),""),IF(V176="","CEK JENIS FIXTURE kosong",IF(LEFT(V176,4)&lt;&gt;"Wall","CEK Fixture 3 hanya Wall",IF(W176="","CEK SHELVING KE kosong",IF(ISNA(MATCH(V176&amp;"|"&amp;W176,LAYOUT!$E$2:$E$80,0)),"CEK SHELVING KE di luar layout",IF($I176="","CEK SERIES kosong",IF(AND(X176&lt;&gt;"",NOT(ISNUMBER(X176))),"CEK URUTAN DISPLAY harus angka",IF($D176="","Zona STOCK",IF($E176="","CEK SKU DESCRIPTION kosong",IF(COUNTIFS($I$2:$I$500,$I176,V$2:V$500,"&lt;&gt;"&amp;V176,V$2:V$500,"&lt;&gt;")&gt;0,"CEK jenis fixture beda dalam satu series","OK"))))))))))</f>
        <v/>
      </c>
      <c r="AA176" s="12" t="n"/>
      <c r="AB176" s="11" t="n"/>
      <c r="AC176" s="11" t="n"/>
      <c r="AD176" s="11" t="n"/>
      <c r="AE176" s="11" t="n"/>
      <c r="AF176" s="11" t="n"/>
      <c r="AG176" s="11" t="n"/>
      <c r="AH176" s="12" t="n"/>
      <c r="AI176" s="12" t="n"/>
    </row>
    <row r="177">
      <c r="A177" s="10" t="n"/>
      <c r="B177" s="10" t="n"/>
      <c r="C177" s="10" t="n"/>
      <c r="D177" s="10" t="n"/>
      <c r="E177" s="10" t="n"/>
      <c r="F177" s="10" t="n"/>
      <c r="G177" s="10" t="n"/>
      <c r="H177" s="10" t="n"/>
      <c r="I177" s="10" t="n"/>
      <c r="J177" s="10" t="n"/>
      <c r="K177" s="10" t="n"/>
      <c r="L177" s="11" t="n"/>
      <c r="M177" s="11" t="n"/>
      <c r="N177" s="11" t="n"/>
      <c r="O177" s="11">
        <f>IF(OR(L177="",M177=""),"",IFERROR(INDEX(LAYOUT!$D$2:$D$80,MATCH(L177&amp;"|"&amp;M177,LAYOUT!$E$2:$E$80,0)),""))</f>
        <v/>
      </c>
      <c r="P177" s="12">
        <f>IF(AND(L177="",M177=""),IF(AND(Q177="",R177="",V177="",W177=""),IF(OR($D177&lt;&gt;"",$E177&lt;&gt;""),"Belum ditempatkan",""),""),IF(L177="","CEK JENIS FIXTURE kosong",IF(AND(LEFT(L177,7)&lt;&gt;"Gondola",LEFT(L177,6)&lt;&gt;"Endcap"),"CEK Fixture 1 hanya Gondola atau Endcap",IF(M177="","CEK SHELVING KE kosong",IF(ISNA(MATCH(L177&amp;"|"&amp;M177,LAYOUT!$E$2:$E$80,0)),"CEK SHELVING KE di luar layout",IF($I177="","CEK SERIES kosong",IF(AND(N177&lt;&gt;"",NOT(ISNUMBER(N177))),"CEK URUTAN DISPLAY harus angka",IF($D177="","Zona STOCK",IF($E177="","CEK SKU DESCRIPTION kosong",IF(COUNTIFS($I$2:$I$500,$I177,L$2:L$500,"&lt;&gt;"&amp;L177,L$2:L$500,"&lt;&gt;")&gt;0,"CEK jenis fixture beda dalam satu series","OK"))))))))))</f>
        <v/>
      </c>
      <c r="Q177" s="11" t="n"/>
      <c r="R177" s="11" t="n"/>
      <c r="S177" s="11" t="n"/>
      <c r="T177" s="11">
        <f>IF(OR(Q177="",R177=""),"",IFERROR(INDEX(LAYOUT!$D$2:$D$80,MATCH(Q177&amp;"|"&amp;R177,LAYOUT!$E$2:$E$80,0)),""))</f>
        <v/>
      </c>
      <c r="U177" s="12">
        <f>IF(AND(Q177="",R177=""),IF(AND(L177="",M177="",V177="",W177=""),IF(OR($D177&lt;&gt;"",$E177&lt;&gt;""),"Belum ditempatkan",""),""),IF(Q177="","CEK JENIS FIXTURE kosong",IF(LEFT(Q177,4)&lt;&gt;"Wall","CEK Fixture 2 hanya Wall",IF(R177="","CEK SHELVING KE kosong",IF(ISNA(MATCH(Q177&amp;"|"&amp;R177,LAYOUT!$E$2:$E$80,0)),"CEK SHELVING KE di luar layout",IF($I177="","CEK SERIES kosong",IF(AND(S177&lt;&gt;"",NOT(ISNUMBER(S177))),"CEK URUTAN DISPLAY harus angka",IF($D177="","Zona STOCK",IF($E177="","CEK SKU DESCRIPTION kosong",IF(COUNTIFS($I$2:$I$500,$I177,Q$2:Q$500,"&lt;&gt;"&amp;Q177,Q$2:Q$500,"&lt;&gt;")&gt;0,"CEK jenis fixture beda dalam satu series","OK"))))))))))</f>
        <v/>
      </c>
      <c r="V177" s="11" t="n"/>
      <c r="W177" s="11" t="n"/>
      <c r="X177" s="11" t="n"/>
      <c r="Y177" s="11">
        <f>IF(OR(V177="",W177=""),"",IFERROR(INDEX(LAYOUT!$D$2:$D$80,MATCH(V177&amp;"|"&amp;W177,LAYOUT!$E$2:$E$80,0)),""))</f>
        <v/>
      </c>
      <c r="Z177" s="12">
        <f>IF(AND(V177="",W177=""),IF(AND(L177="",M177="",Q177="",R177=""),IF(OR($D177&lt;&gt;"",$E177&lt;&gt;""),"Belum ditempatkan",""),""),IF(V177="","CEK JENIS FIXTURE kosong",IF(LEFT(V177,4)&lt;&gt;"Wall","CEK Fixture 3 hanya Wall",IF(W177="","CEK SHELVING KE kosong",IF(ISNA(MATCH(V177&amp;"|"&amp;W177,LAYOUT!$E$2:$E$80,0)),"CEK SHELVING KE di luar layout",IF($I177="","CEK SERIES kosong",IF(AND(X177&lt;&gt;"",NOT(ISNUMBER(X177))),"CEK URUTAN DISPLAY harus angka",IF($D177="","Zona STOCK",IF($E177="","CEK SKU DESCRIPTION kosong",IF(COUNTIFS($I$2:$I$500,$I177,V$2:V$500,"&lt;&gt;"&amp;V177,V$2:V$500,"&lt;&gt;")&gt;0,"CEK jenis fixture beda dalam satu series","OK"))))))))))</f>
        <v/>
      </c>
      <c r="AA177" s="12" t="n"/>
      <c r="AB177" s="11" t="n"/>
      <c r="AC177" s="11" t="n"/>
      <c r="AD177" s="11" t="n"/>
      <c r="AE177" s="11" t="n"/>
      <c r="AF177" s="11" t="n"/>
      <c r="AG177" s="11" t="n"/>
      <c r="AH177" s="12" t="n"/>
      <c r="AI177" s="12" t="n"/>
    </row>
    <row r="178">
      <c r="A178" s="10" t="n"/>
      <c r="B178" s="10" t="n"/>
      <c r="C178" s="10" t="n"/>
      <c r="D178" s="10" t="n"/>
      <c r="E178" s="10" t="n"/>
      <c r="F178" s="10" t="n"/>
      <c r="G178" s="10" t="n"/>
      <c r="H178" s="10" t="n"/>
      <c r="I178" s="10" t="n"/>
      <c r="J178" s="10" t="n"/>
      <c r="K178" s="10" t="n"/>
      <c r="L178" s="11" t="n"/>
      <c r="M178" s="11" t="n"/>
      <c r="N178" s="11" t="n"/>
      <c r="O178" s="11">
        <f>IF(OR(L178="",M178=""),"",IFERROR(INDEX(LAYOUT!$D$2:$D$80,MATCH(L178&amp;"|"&amp;M178,LAYOUT!$E$2:$E$80,0)),""))</f>
        <v/>
      </c>
      <c r="P178" s="12">
        <f>IF(AND(L178="",M178=""),IF(AND(Q178="",R178="",V178="",W178=""),IF(OR($D178&lt;&gt;"",$E178&lt;&gt;""),"Belum ditempatkan",""),""),IF(L178="","CEK JENIS FIXTURE kosong",IF(AND(LEFT(L178,7)&lt;&gt;"Gondola",LEFT(L178,6)&lt;&gt;"Endcap"),"CEK Fixture 1 hanya Gondola atau Endcap",IF(M178="","CEK SHELVING KE kosong",IF(ISNA(MATCH(L178&amp;"|"&amp;M178,LAYOUT!$E$2:$E$80,0)),"CEK SHELVING KE di luar layout",IF($I178="","CEK SERIES kosong",IF(AND(N178&lt;&gt;"",NOT(ISNUMBER(N178))),"CEK URUTAN DISPLAY harus angka",IF($D178="","Zona STOCK",IF($E178="","CEK SKU DESCRIPTION kosong",IF(COUNTIFS($I$2:$I$500,$I178,L$2:L$500,"&lt;&gt;"&amp;L178,L$2:L$500,"&lt;&gt;")&gt;0,"CEK jenis fixture beda dalam satu series","OK"))))))))))</f>
        <v/>
      </c>
      <c r="Q178" s="11" t="n"/>
      <c r="R178" s="11" t="n"/>
      <c r="S178" s="11" t="n"/>
      <c r="T178" s="11">
        <f>IF(OR(Q178="",R178=""),"",IFERROR(INDEX(LAYOUT!$D$2:$D$80,MATCH(Q178&amp;"|"&amp;R178,LAYOUT!$E$2:$E$80,0)),""))</f>
        <v/>
      </c>
      <c r="U178" s="12">
        <f>IF(AND(Q178="",R178=""),IF(AND(L178="",M178="",V178="",W178=""),IF(OR($D178&lt;&gt;"",$E178&lt;&gt;""),"Belum ditempatkan",""),""),IF(Q178="","CEK JENIS FIXTURE kosong",IF(LEFT(Q178,4)&lt;&gt;"Wall","CEK Fixture 2 hanya Wall",IF(R178="","CEK SHELVING KE kosong",IF(ISNA(MATCH(Q178&amp;"|"&amp;R178,LAYOUT!$E$2:$E$80,0)),"CEK SHELVING KE di luar layout",IF($I178="","CEK SERIES kosong",IF(AND(S178&lt;&gt;"",NOT(ISNUMBER(S178))),"CEK URUTAN DISPLAY harus angka",IF($D178="","Zona STOCK",IF($E178="","CEK SKU DESCRIPTION kosong",IF(COUNTIFS($I$2:$I$500,$I178,Q$2:Q$500,"&lt;&gt;"&amp;Q178,Q$2:Q$500,"&lt;&gt;")&gt;0,"CEK jenis fixture beda dalam satu series","OK"))))))))))</f>
        <v/>
      </c>
      <c r="V178" s="11" t="n"/>
      <c r="W178" s="11" t="n"/>
      <c r="X178" s="11" t="n"/>
      <c r="Y178" s="11">
        <f>IF(OR(V178="",W178=""),"",IFERROR(INDEX(LAYOUT!$D$2:$D$80,MATCH(V178&amp;"|"&amp;W178,LAYOUT!$E$2:$E$80,0)),""))</f>
        <v/>
      </c>
      <c r="Z178" s="12">
        <f>IF(AND(V178="",W178=""),IF(AND(L178="",M178="",Q178="",R178=""),IF(OR($D178&lt;&gt;"",$E178&lt;&gt;""),"Belum ditempatkan",""),""),IF(V178="","CEK JENIS FIXTURE kosong",IF(LEFT(V178,4)&lt;&gt;"Wall","CEK Fixture 3 hanya Wall",IF(W178="","CEK SHELVING KE kosong",IF(ISNA(MATCH(V178&amp;"|"&amp;W178,LAYOUT!$E$2:$E$80,0)),"CEK SHELVING KE di luar layout",IF($I178="","CEK SERIES kosong",IF(AND(X178&lt;&gt;"",NOT(ISNUMBER(X178))),"CEK URUTAN DISPLAY harus angka",IF($D178="","Zona STOCK",IF($E178="","CEK SKU DESCRIPTION kosong",IF(COUNTIFS($I$2:$I$500,$I178,V$2:V$500,"&lt;&gt;"&amp;V178,V$2:V$500,"&lt;&gt;")&gt;0,"CEK jenis fixture beda dalam satu series","OK"))))))))))</f>
        <v/>
      </c>
      <c r="AA178" s="12" t="n"/>
      <c r="AB178" s="11" t="n"/>
      <c r="AC178" s="11" t="n"/>
      <c r="AD178" s="11" t="n"/>
      <c r="AE178" s="11" t="n"/>
      <c r="AF178" s="11" t="n"/>
      <c r="AG178" s="11" t="n"/>
      <c r="AH178" s="12" t="n"/>
      <c r="AI178" s="12" t="n"/>
    </row>
    <row r="179">
      <c r="A179" s="10" t="n"/>
      <c r="B179" s="10" t="n"/>
      <c r="C179" s="10" t="n"/>
      <c r="D179" s="10" t="n"/>
      <c r="E179" s="10" t="n"/>
      <c r="F179" s="10" t="n"/>
      <c r="G179" s="10" t="n"/>
      <c r="H179" s="10" t="n"/>
      <c r="I179" s="10" t="n"/>
      <c r="J179" s="10" t="n"/>
      <c r="K179" s="10" t="n"/>
      <c r="L179" s="11" t="n"/>
      <c r="M179" s="11" t="n"/>
      <c r="N179" s="11" t="n"/>
      <c r="O179" s="11">
        <f>IF(OR(L179="",M179=""),"",IFERROR(INDEX(LAYOUT!$D$2:$D$80,MATCH(L179&amp;"|"&amp;M179,LAYOUT!$E$2:$E$80,0)),""))</f>
        <v/>
      </c>
      <c r="P179" s="12">
        <f>IF(AND(L179="",M179=""),IF(AND(Q179="",R179="",V179="",W179=""),IF(OR($D179&lt;&gt;"",$E179&lt;&gt;""),"Belum ditempatkan",""),""),IF(L179="","CEK JENIS FIXTURE kosong",IF(AND(LEFT(L179,7)&lt;&gt;"Gondola",LEFT(L179,6)&lt;&gt;"Endcap"),"CEK Fixture 1 hanya Gondola atau Endcap",IF(M179="","CEK SHELVING KE kosong",IF(ISNA(MATCH(L179&amp;"|"&amp;M179,LAYOUT!$E$2:$E$80,0)),"CEK SHELVING KE di luar layout",IF($I179="","CEK SERIES kosong",IF(AND(N179&lt;&gt;"",NOT(ISNUMBER(N179))),"CEK URUTAN DISPLAY harus angka",IF($D179="","Zona STOCK",IF($E179="","CEK SKU DESCRIPTION kosong",IF(COUNTIFS($I$2:$I$500,$I179,L$2:L$500,"&lt;&gt;"&amp;L179,L$2:L$500,"&lt;&gt;")&gt;0,"CEK jenis fixture beda dalam satu series","OK"))))))))))</f>
        <v/>
      </c>
      <c r="Q179" s="11" t="n"/>
      <c r="R179" s="11" t="n"/>
      <c r="S179" s="11" t="n"/>
      <c r="T179" s="11">
        <f>IF(OR(Q179="",R179=""),"",IFERROR(INDEX(LAYOUT!$D$2:$D$80,MATCH(Q179&amp;"|"&amp;R179,LAYOUT!$E$2:$E$80,0)),""))</f>
        <v/>
      </c>
      <c r="U179" s="12">
        <f>IF(AND(Q179="",R179=""),IF(AND(L179="",M179="",V179="",W179=""),IF(OR($D179&lt;&gt;"",$E179&lt;&gt;""),"Belum ditempatkan",""),""),IF(Q179="","CEK JENIS FIXTURE kosong",IF(LEFT(Q179,4)&lt;&gt;"Wall","CEK Fixture 2 hanya Wall",IF(R179="","CEK SHELVING KE kosong",IF(ISNA(MATCH(Q179&amp;"|"&amp;R179,LAYOUT!$E$2:$E$80,0)),"CEK SHELVING KE di luar layout",IF($I179="","CEK SERIES kosong",IF(AND(S179&lt;&gt;"",NOT(ISNUMBER(S179))),"CEK URUTAN DISPLAY harus angka",IF($D179="","Zona STOCK",IF($E179="","CEK SKU DESCRIPTION kosong",IF(COUNTIFS($I$2:$I$500,$I179,Q$2:Q$500,"&lt;&gt;"&amp;Q179,Q$2:Q$500,"&lt;&gt;")&gt;0,"CEK jenis fixture beda dalam satu series","OK"))))))))))</f>
        <v/>
      </c>
      <c r="V179" s="11" t="n"/>
      <c r="W179" s="11" t="n"/>
      <c r="X179" s="11" t="n"/>
      <c r="Y179" s="11">
        <f>IF(OR(V179="",W179=""),"",IFERROR(INDEX(LAYOUT!$D$2:$D$80,MATCH(V179&amp;"|"&amp;W179,LAYOUT!$E$2:$E$80,0)),""))</f>
        <v/>
      </c>
      <c r="Z179" s="12">
        <f>IF(AND(V179="",W179=""),IF(AND(L179="",M179="",Q179="",R179=""),IF(OR($D179&lt;&gt;"",$E179&lt;&gt;""),"Belum ditempatkan",""),""),IF(V179="","CEK JENIS FIXTURE kosong",IF(LEFT(V179,4)&lt;&gt;"Wall","CEK Fixture 3 hanya Wall",IF(W179="","CEK SHELVING KE kosong",IF(ISNA(MATCH(V179&amp;"|"&amp;W179,LAYOUT!$E$2:$E$80,0)),"CEK SHELVING KE di luar layout",IF($I179="","CEK SERIES kosong",IF(AND(X179&lt;&gt;"",NOT(ISNUMBER(X179))),"CEK URUTAN DISPLAY harus angka",IF($D179="","Zona STOCK",IF($E179="","CEK SKU DESCRIPTION kosong",IF(COUNTIFS($I$2:$I$500,$I179,V$2:V$500,"&lt;&gt;"&amp;V179,V$2:V$500,"&lt;&gt;")&gt;0,"CEK jenis fixture beda dalam satu series","OK"))))))))))</f>
        <v/>
      </c>
      <c r="AA179" s="12" t="n"/>
      <c r="AB179" s="11" t="n"/>
      <c r="AC179" s="11" t="n"/>
      <c r="AD179" s="11" t="n"/>
      <c r="AE179" s="11" t="n"/>
      <c r="AF179" s="11" t="n"/>
      <c r="AG179" s="11" t="n"/>
      <c r="AH179" s="12" t="n"/>
      <c r="AI179" s="12" t="n"/>
    </row>
    <row r="180">
      <c r="A180" s="10" t="n"/>
      <c r="B180" s="10" t="n"/>
      <c r="C180" s="10" t="n"/>
      <c r="D180" s="10" t="n"/>
      <c r="E180" s="10" t="n"/>
      <c r="F180" s="10" t="n"/>
      <c r="G180" s="10" t="n"/>
      <c r="H180" s="10" t="n"/>
      <c r="I180" s="10" t="n"/>
      <c r="J180" s="10" t="n"/>
      <c r="K180" s="10" t="n"/>
      <c r="L180" s="11" t="n"/>
      <c r="M180" s="11" t="n"/>
      <c r="N180" s="11" t="n"/>
      <c r="O180" s="11">
        <f>IF(OR(L180="",M180=""),"",IFERROR(INDEX(LAYOUT!$D$2:$D$80,MATCH(L180&amp;"|"&amp;M180,LAYOUT!$E$2:$E$80,0)),""))</f>
        <v/>
      </c>
      <c r="P180" s="12">
        <f>IF(AND(L180="",M180=""),IF(AND(Q180="",R180="",V180="",W180=""),IF(OR($D180&lt;&gt;"",$E180&lt;&gt;""),"Belum ditempatkan",""),""),IF(L180="","CEK JENIS FIXTURE kosong",IF(AND(LEFT(L180,7)&lt;&gt;"Gondola",LEFT(L180,6)&lt;&gt;"Endcap"),"CEK Fixture 1 hanya Gondola atau Endcap",IF(M180="","CEK SHELVING KE kosong",IF(ISNA(MATCH(L180&amp;"|"&amp;M180,LAYOUT!$E$2:$E$80,0)),"CEK SHELVING KE di luar layout",IF($I180="","CEK SERIES kosong",IF(AND(N180&lt;&gt;"",NOT(ISNUMBER(N180))),"CEK URUTAN DISPLAY harus angka",IF($D180="","Zona STOCK",IF($E180="","CEK SKU DESCRIPTION kosong",IF(COUNTIFS($I$2:$I$500,$I180,L$2:L$500,"&lt;&gt;"&amp;L180,L$2:L$500,"&lt;&gt;")&gt;0,"CEK jenis fixture beda dalam satu series","OK"))))))))))</f>
        <v/>
      </c>
      <c r="Q180" s="11" t="n"/>
      <c r="R180" s="11" t="n"/>
      <c r="S180" s="11" t="n"/>
      <c r="T180" s="11">
        <f>IF(OR(Q180="",R180=""),"",IFERROR(INDEX(LAYOUT!$D$2:$D$80,MATCH(Q180&amp;"|"&amp;R180,LAYOUT!$E$2:$E$80,0)),""))</f>
        <v/>
      </c>
      <c r="U180" s="12">
        <f>IF(AND(Q180="",R180=""),IF(AND(L180="",M180="",V180="",W180=""),IF(OR($D180&lt;&gt;"",$E180&lt;&gt;""),"Belum ditempatkan",""),""),IF(Q180="","CEK JENIS FIXTURE kosong",IF(LEFT(Q180,4)&lt;&gt;"Wall","CEK Fixture 2 hanya Wall",IF(R180="","CEK SHELVING KE kosong",IF(ISNA(MATCH(Q180&amp;"|"&amp;R180,LAYOUT!$E$2:$E$80,0)),"CEK SHELVING KE di luar layout",IF($I180="","CEK SERIES kosong",IF(AND(S180&lt;&gt;"",NOT(ISNUMBER(S180))),"CEK URUTAN DISPLAY harus angka",IF($D180="","Zona STOCK",IF($E180="","CEK SKU DESCRIPTION kosong",IF(COUNTIFS($I$2:$I$500,$I180,Q$2:Q$500,"&lt;&gt;"&amp;Q180,Q$2:Q$500,"&lt;&gt;")&gt;0,"CEK jenis fixture beda dalam satu series","OK"))))))))))</f>
        <v/>
      </c>
      <c r="V180" s="11" t="n"/>
      <c r="W180" s="11" t="n"/>
      <c r="X180" s="11" t="n"/>
      <c r="Y180" s="11">
        <f>IF(OR(V180="",W180=""),"",IFERROR(INDEX(LAYOUT!$D$2:$D$80,MATCH(V180&amp;"|"&amp;W180,LAYOUT!$E$2:$E$80,0)),""))</f>
        <v/>
      </c>
      <c r="Z180" s="12">
        <f>IF(AND(V180="",W180=""),IF(AND(L180="",M180="",Q180="",R180=""),IF(OR($D180&lt;&gt;"",$E180&lt;&gt;""),"Belum ditempatkan",""),""),IF(V180="","CEK JENIS FIXTURE kosong",IF(LEFT(V180,4)&lt;&gt;"Wall","CEK Fixture 3 hanya Wall",IF(W180="","CEK SHELVING KE kosong",IF(ISNA(MATCH(V180&amp;"|"&amp;W180,LAYOUT!$E$2:$E$80,0)),"CEK SHELVING KE di luar layout",IF($I180="","CEK SERIES kosong",IF(AND(X180&lt;&gt;"",NOT(ISNUMBER(X180))),"CEK URUTAN DISPLAY harus angka",IF($D180="","Zona STOCK",IF($E180="","CEK SKU DESCRIPTION kosong",IF(COUNTIFS($I$2:$I$500,$I180,V$2:V$500,"&lt;&gt;"&amp;V180,V$2:V$500,"&lt;&gt;")&gt;0,"CEK jenis fixture beda dalam satu series","OK"))))))))))</f>
        <v/>
      </c>
      <c r="AA180" s="12" t="n"/>
      <c r="AB180" s="11" t="n"/>
      <c r="AC180" s="11" t="n"/>
      <c r="AD180" s="11" t="n"/>
      <c r="AE180" s="11" t="n"/>
      <c r="AF180" s="11" t="n"/>
      <c r="AG180" s="11" t="n"/>
      <c r="AH180" s="12" t="n"/>
      <c r="AI180" s="12" t="n"/>
    </row>
    <row r="181">
      <c r="A181" s="10" t="n"/>
      <c r="B181" s="10" t="n"/>
      <c r="C181" s="10" t="n"/>
      <c r="D181" s="10" t="n"/>
      <c r="E181" s="10" t="n"/>
      <c r="F181" s="10" t="n"/>
      <c r="G181" s="10" t="n"/>
      <c r="H181" s="10" t="n"/>
      <c r="I181" s="10" t="n"/>
      <c r="J181" s="10" t="n"/>
      <c r="K181" s="10" t="n"/>
      <c r="L181" s="11" t="n"/>
      <c r="M181" s="11" t="n"/>
      <c r="N181" s="11" t="n"/>
      <c r="O181" s="11">
        <f>IF(OR(L181="",M181=""),"",IFERROR(INDEX(LAYOUT!$D$2:$D$80,MATCH(L181&amp;"|"&amp;M181,LAYOUT!$E$2:$E$80,0)),""))</f>
        <v/>
      </c>
      <c r="P181" s="12">
        <f>IF(AND(L181="",M181=""),IF(AND(Q181="",R181="",V181="",W181=""),IF(OR($D181&lt;&gt;"",$E181&lt;&gt;""),"Belum ditempatkan",""),""),IF(L181="","CEK JENIS FIXTURE kosong",IF(AND(LEFT(L181,7)&lt;&gt;"Gondola",LEFT(L181,6)&lt;&gt;"Endcap"),"CEK Fixture 1 hanya Gondola atau Endcap",IF(M181="","CEK SHELVING KE kosong",IF(ISNA(MATCH(L181&amp;"|"&amp;M181,LAYOUT!$E$2:$E$80,0)),"CEK SHELVING KE di luar layout",IF($I181="","CEK SERIES kosong",IF(AND(N181&lt;&gt;"",NOT(ISNUMBER(N181))),"CEK URUTAN DISPLAY harus angka",IF($D181="","Zona STOCK",IF($E181="","CEK SKU DESCRIPTION kosong",IF(COUNTIFS($I$2:$I$500,$I181,L$2:L$500,"&lt;&gt;"&amp;L181,L$2:L$500,"&lt;&gt;")&gt;0,"CEK jenis fixture beda dalam satu series","OK"))))))))))</f>
        <v/>
      </c>
      <c r="Q181" s="11" t="n"/>
      <c r="R181" s="11" t="n"/>
      <c r="S181" s="11" t="n"/>
      <c r="T181" s="11">
        <f>IF(OR(Q181="",R181=""),"",IFERROR(INDEX(LAYOUT!$D$2:$D$80,MATCH(Q181&amp;"|"&amp;R181,LAYOUT!$E$2:$E$80,0)),""))</f>
        <v/>
      </c>
      <c r="U181" s="12">
        <f>IF(AND(Q181="",R181=""),IF(AND(L181="",M181="",V181="",W181=""),IF(OR($D181&lt;&gt;"",$E181&lt;&gt;""),"Belum ditempatkan",""),""),IF(Q181="","CEK JENIS FIXTURE kosong",IF(LEFT(Q181,4)&lt;&gt;"Wall","CEK Fixture 2 hanya Wall",IF(R181="","CEK SHELVING KE kosong",IF(ISNA(MATCH(Q181&amp;"|"&amp;R181,LAYOUT!$E$2:$E$80,0)),"CEK SHELVING KE di luar layout",IF($I181="","CEK SERIES kosong",IF(AND(S181&lt;&gt;"",NOT(ISNUMBER(S181))),"CEK URUTAN DISPLAY harus angka",IF($D181="","Zona STOCK",IF($E181="","CEK SKU DESCRIPTION kosong",IF(COUNTIFS($I$2:$I$500,$I181,Q$2:Q$500,"&lt;&gt;"&amp;Q181,Q$2:Q$500,"&lt;&gt;")&gt;0,"CEK jenis fixture beda dalam satu series","OK"))))))))))</f>
        <v/>
      </c>
      <c r="V181" s="11" t="n"/>
      <c r="W181" s="11" t="n"/>
      <c r="X181" s="11" t="n"/>
      <c r="Y181" s="11">
        <f>IF(OR(V181="",W181=""),"",IFERROR(INDEX(LAYOUT!$D$2:$D$80,MATCH(V181&amp;"|"&amp;W181,LAYOUT!$E$2:$E$80,0)),""))</f>
        <v/>
      </c>
      <c r="Z181" s="12">
        <f>IF(AND(V181="",W181=""),IF(AND(L181="",M181="",Q181="",R181=""),IF(OR($D181&lt;&gt;"",$E181&lt;&gt;""),"Belum ditempatkan",""),""),IF(V181="","CEK JENIS FIXTURE kosong",IF(LEFT(V181,4)&lt;&gt;"Wall","CEK Fixture 3 hanya Wall",IF(W181="","CEK SHELVING KE kosong",IF(ISNA(MATCH(V181&amp;"|"&amp;W181,LAYOUT!$E$2:$E$80,0)),"CEK SHELVING KE di luar layout",IF($I181="","CEK SERIES kosong",IF(AND(X181&lt;&gt;"",NOT(ISNUMBER(X181))),"CEK URUTAN DISPLAY harus angka",IF($D181="","Zona STOCK",IF($E181="","CEK SKU DESCRIPTION kosong",IF(COUNTIFS($I$2:$I$500,$I181,V$2:V$500,"&lt;&gt;"&amp;V181,V$2:V$500,"&lt;&gt;")&gt;0,"CEK jenis fixture beda dalam satu series","OK"))))))))))</f>
        <v/>
      </c>
      <c r="AA181" s="12" t="n"/>
      <c r="AB181" s="11" t="n"/>
      <c r="AC181" s="11" t="n"/>
      <c r="AD181" s="11" t="n"/>
      <c r="AE181" s="11" t="n"/>
      <c r="AF181" s="11" t="n"/>
      <c r="AG181" s="11" t="n"/>
      <c r="AH181" s="12" t="n"/>
      <c r="AI181" s="12" t="n"/>
    </row>
    <row r="182">
      <c r="A182" s="10" t="n"/>
      <c r="B182" s="10" t="n"/>
      <c r="C182" s="10" t="n"/>
      <c r="D182" s="10" t="n"/>
      <c r="E182" s="10" t="n"/>
      <c r="F182" s="10" t="n"/>
      <c r="G182" s="10" t="n"/>
      <c r="H182" s="10" t="n"/>
      <c r="I182" s="10" t="n"/>
      <c r="J182" s="10" t="n"/>
      <c r="K182" s="10" t="n"/>
      <c r="L182" s="11" t="n"/>
      <c r="M182" s="11" t="n"/>
      <c r="N182" s="11" t="n"/>
      <c r="O182" s="11">
        <f>IF(OR(L182="",M182=""),"",IFERROR(INDEX(LAYOUT!$D$2:$D$80,MATCH(L182&amp;"|"&amp;M182,LAYOUT!$E$2:$E$80,0)),""))</f>
        <v/>
      </c>
      <c r="P182" s="12">
        <f>IF(AND(L182="",M182=""),IF(AND(Q182="",R182="",V182="",W182=""),IF(OR($D182&lt;&gt;"",$E182&lt;&gt;""),"Belum ditempatkan",""),""),IF(L182="","CEK JENIS FIXTURE kosong",IF(AND(LEFT(L182,7)&lt;&gt;"Gondola",LEFT(L182,6)&lt;&gt;"Endcap"),"CEK Fixture 1 hanya Gondola atau Endcap",IF(M182="","CEK SHELVING KE kosong",IF(ISNA(MATCH(L182&amp;"|"&amp;M182,LAYOUT!$E$2:$E$80,0)),"CEK SHELVING KE di luar layout",IF($I182="","CEK SERIES kosong",IF(AND(N182&lt;&gt;"",NOT(ISNUMBER(N182))),"CEK URUTAN DISPLAY harus angka",IF($D182="","Zona STOCK",IF($E182="","CEK SKU DESCRIPTION kosong",IF(COUNTIFS($I$2:$I$500,$I182,L$2:L$500,"&lt;&gt;"&amp;L182,L$2:L$500,"&lt;&gt;")&gt;0,"CEK jenis fixture beda dalam satu series","OK"))))))))))</f>
        <v/>
      </c>
      <c r="Q182" s="11" t="n"/>
      <c r="R182" s="11" t="n"/>
      <c r="S182" s="11" t="n"/>
      <c r="T182" s="11">
        <f>IF(OR(Q182="",R182=""),"",IFERROR(INDEX(LAYOUT!$D$2:$D$80,MATCH(Q182&amp;"|"&amp;R182,LAYOUT!$E$2:$E$80,0)),""))</f>
        <v/>
      </c>
      <c r="U182" s="12">
        <f>IF(AND(Q182="",R182=""),IF(AND(L182="",M182="",V182="",W182=""),IF(OR($D182&lt;&gt;"",$E182&lt;&gt;""),"Belum ditempatkan",""),""),IF(Q182="","CEK JENIS FIXTURE kosong",IF(LEFT(Q182,4)&lt;&gt;"Wall","CEK Fixture 2 hanya Wall",IF(R182="","CEK SHELVING KE kosong",IF(ISNA(MATCH(Q182&amp;"|"&amp;R182,LAYOUT!$E$2:$E$80,0)),"CEK SHELVING KE di luar layout",IF($I182="","CEK SERIES kosong",IF(AND(S182&lt;&gt;"",NOT(ISNUMBER(S182))),"CEK URUTAN DISPLAY harus angka",IF($D182="","Zona STOCK",IF($E182="","CEK SKU DESCRIPTION kosong",IF(COUNTIFS($I$2:$I$500,$I182,Q$2:Q$500,"&lt;&gt;"&amp;Q182,Q$2:Q$500,"&lt;&gt;")&gt;0,"CEK jenis fixture beda dalam satu series","OK"))))))))))</f>
        <v/>
      </c>
      <c r="V182" s="11" t="n"/>
      <c r="W182" s="11" t="n"/>
      <c r="X182" s="11" t="n"/>
      <c r="Y182" s="11">
        <f>IF(OR(V182="",W182=""),"",IFERROR(INDEX(LAYOUT!$D$2:$D$80,MATCH(V182&amp;"|"&amp;W182,LAYOUT!$E$2:$E$80,0)),""))</f>
        <v/>
      </c>
      <c r="Z182" s="12">
        <f>IF(AND(V182="",W182=""),IF(AND(L182="",M182="",Q182="",R182=""),IF(OR($D182&lt;&gt;"",$E182&lt;&gt;""),"Belum ditempatkan",""),""),IF(V182="","CEK JENIS FIXTURE kosong",IF(LEFT(V182,4)&lt;&gt;"Wall","CEK Fixture 3 hanya Wall",IF(W182="","CEK SHELVING KE kosong",IF(ISNA(MATCH(V182&amp;"|"&amp;W182,LAYOUT!$E$2:$E$80,0)),"CEK SHELVING KE di luar layout",IF($I182="","CEK SERIES kosong",IF(AND(X182&lt;&gt;"",NOT(ISNUMBER(X182))),"CEK URUTAN DISPLAY harus angka",IF($D182="","Zona STOCK",IF($E182="","CEK SKU DESCRIPTION kosong",IF(COUNTIFS($I$2:$I$500,$I182,V$2:V$500,"&lt;&gt;"&amp;V182,V$2:V$500,"&lt;&gt;")&gt;0,"CEK jenis fixture beda dalam satu series","OK"))))))))))</f>
        <v/>
      </c>
      <c r="AA182" s="12" t="n"/>
      <c r="AB182" s="11" t="n"/>
      <c r="AC182" s="11" t="n"/>
      <c r="AD182" s="11" t="n"/>
      <c r="AE182" s="11" t="n"/>
      <c r="AF182" s="11" t="n"/>
      <c r="AG182" s="11" t="n"/>
      <c r="AH182" s="12" t="n"/>
      <c r="AI182" s="12" t="n"/>
    </row>
    <row r="183">
      <c r="A183" s="10" t="n"/>
      <c r="B183" s="10" t="n"/>
      <c r="C183" s="10" t="n"/>
      <c r="D183" s="10" t="n"/>
      <c r="E183" s="10" t="n"/>
      <c r="F183" s="10" t="n"/>
      <c r="G183" s="10" t="n"/>
      <c r="H183" s="10" t="n"/>
      <c r="I183" s="10" t="n"/>
      <c r="J183" s="10" t="n"/>
      <c r="K183" s="10" t="n"/>
      <c r="L183" s="11" t="n"/>
      <c r="M183" s="11" t="n"/>
      <c r="N183" s="11" t="n"/>
      <c r="O183" s="11">
        <f>IF(OR(L183="",M183=""),"",IFERROR(INDEX(LAYOUT!$D$2:$D$80,MATCH(L183&amp;"|"&amp;M183,LAYOUT!$E$2:$E$80,0)),""))</f>
        <v/>
      </c>
      <c r="P183" s="12">
        <f>IF(AND(L183="",M183=""),IF(AND(Q183="",R183="",V183="",W183=""),IF(OR($D183&lt;&gt;"",$E183&lt;&gt;""),"Belum ditempatkan",""),""),IF(L183="","CEK JENIS FIXTURE kosong",IF(AND(LEFT(L183,7)&lt;&gt;"Gondola",LEFT(L183,6)&lt;&gt;"Endcap"),"CEK Fixture 1 hanya Gondola atau Endcap",IF(M183="","CEK SHELVING KE kosong",IF(ISNA(MATCH(L183&amp;"|"&amp;M183,LAYOUT!$E$2:$E$80,0)),"CEK SHELVING KE di luar layout",IF($I183="","CEK SERIES kosong",IF(AND(N183&lt;&gt;"",NOT(ISNUMBER(N183))),"CEK URUTAN DISPLAY harus angka",IF($D183="","Zona STOCK",IF($E183="","CEK SKU DESCRIPTION kosong",IF(COUNTIFS($I$2:$I$500,$I183,L$2:L$500,"&lt;&gt;"&amp;L183,L$2:L$500,"&lt;&gt;")&gt;0,"CEK jenis fixture beda dalam satu series","OK"))))))))))</f>
        <v/>
      </c>
      <c r="Q183" s="11" t="n"/>
      <c r="R183" s="11" t="n"/>
      <c r="S183" s="11" t="n"/>
      <c r="T183" s="11">
        <f>IF(OR(Q183="",R183=""),"",IFERROR(INDEX(LAYOUT!$D$2:$D$80,MATCH(Q183&amp;"|"&amp;R183,LAYOUT!$E$2:$E$80,0)),""))</f>
        <v/>
      </c>
      <c r="U183" s="12">
        <f>IF(AND(Q183="",R183=""),IF(AND(L183="",M183="",V183="",W183=""),IF(OR($D183&lt;&gt;"",$E183&lt;&gt;""),"Belum ditempatkan",""),""),IF(Q183="","CEK JENIS FIXTURE kosong",IF(LEFT(Q183,4)&lt;&gt;"Wall","CEK Fixture 2 hanya Wall",IF(R183="","CEK SHELVING KE kosong",IF(ISNA(MATCH(Q183&amp;"|"&amp;R183,LAYOUT!$E$2:$E$80,0)),"CEK SHELVING KE di luar layout",IF($I183="","CEK SERIES kosong",IF(AND(S183&lt;&gt;"",NOT(ISNUMBER(S183))),"CEK URUTAN DISPLAY harus angka",IF($D183="","Zona STOCK",IF($E183="","CEK SKU DESCRIPTION kosong",IF(COUNTIFS($I$2:$I$500,$I183,Q$2:Q$500,"&lt;&gt;"&amp;Q183,Q$2:Q$500,"&lt;&gt;")&gt;0,"CEK jenis fixture beda dalam satu series","OK"))))))))))</f>
        <v/>
      </c>
      <c r="V183" s="11" t="n"/>
      <c r="W183" s="11" t="n"/>
      <c r="X183" s="11" t="n"/>
      <c r="Y183" s="11">
        <f>IF(OR(V183="",W183=""),"",IFERROR(INDEX(LAYOUT!$D$2:$D$80,MATCH(V183&amp;"|"&amp;W183,LAYOUT!$E$2:$E$80,0)),""))</f>
        <v/>
      </c>
      <c r="Z183" s="12">
        <f>IF(AND(V183="",W183=""),IF(AND(L183="",M183="",Q183="",R183=""),IF(OR($D183&lt;&gt;"",$E183&lt;&gt;""),"Belum ditempatkan",""),""),IF(V183="","CEK JENIS FIXTURE kosong",IF(LEFT(V183,4)&lt;&gt;"Wall","CEK Fixture 3 hanya Wall",IF(W183="","CEK SHELVING KE kosong",IF(ISNA(MATCH(V183&amp;"|"&amp;W183,LAYOUT!$E$2:$E$80,0)),"CEK SHELVING KE di luar layout",IF($I183="","CEK SERIES kosong",IF(AND(X183&lt;&gt;"",NOT(ISNUMBER(X183))),"CEK URUTAN DISPLAY harus angka",IF($D183="","Zona STOCK",IF($E183="","CEK SKU DESCRIPTION kosong",IF(COUNTIFS($I$2:$I$500,$I183,V$2:V$500,"&lt;&gt;"&amp;V183,V$2:V$500,"&lt;&gt;")&gt;0,"CEK jenis fixture beda dalam satu series","OK"))))))))))</f>
        <v/>
      </c>
      <c r="AA183" s="12" t="n"/>
      <c r="AB183" s="11" t="n"/>
      <c r="AC183" s="11" t="n"/>
      <c r="AD183" s="11" t="n"/>
      <c r="AE183" s="11" t="n"/>
      <c r="AF183" s="11" t="n"/>
      <c r="AG183" s="11" t="n"/>
      <c r="AH183" s="12" t="n"/>
      <c r="AI183" s="12" t="n"/>
    </row>
    <row r="184">
      <c r="A184" s="10" t="n"/>
      <c r="B184" s="10" t="n"/>
      <c r="C184" s="10" t="n"/>
      <c r="D184" s="10" t="n"/>
      <c r="E184" s="10" t="n"/>
      <c r="F184" s="10" t="n"/>
      <c r="G184" s="10" t="n"/>
      <c r="H184" s="10" t="n"/>
      <c r="I184" s="10" t="n"/>
      <c r="J184" s="10" t="n"/>
      <c r="K184" s="10" t="n"/>
      <c r="L184" s="11" t="n"/>
      <c r="M184" s="11" t="n"/>
      <c r="N184" s="11" t="n"/>
      <c r="O184" s="11">
        <f>IF(OR(L184="",M184=""),"",IFERROR(INDEX(LAYOUT!$D$2:$D$80,MATCH(L184&amp;"|"&amp;M184,LAYOUT!$E$2:$E$80,0)),""))</f>
        <v/>
      </c>
      <c r="P184" s="12">
        <f>IF(AND(L184="",M184=""),IF(AND(Q184="",R184="",V184="",W184=""),IF(OR($D184&lt;&gt;"",$E184&lt;&gt;""),"Belum ditempatkan",""),""),IF(L184="","CEK JENIS FIXTURE kosong",IF(AND(LEFT(L184,7)&lt;&gt;"Gondola",LEFT(L184,6)&lt;&gt;"Endcap"),"CEK Fixture 1 hanya Gondola atau Endcap",IF(M184="","CEK SHELVING KE kosong",IF(ISNA(MATCH(L184&amp;"|"&amp;M184,LAYOUT!$E$2:$E$80,0)),"CEK SHELVING KE di luar layout",IF($I184="","CEK SERIES kosong",IF(AND(N184&lt;&gt;"",NOT(ISNUMBER(N184))),"CEK URUTAN DISPLAY harus angka",IF($D184="","Zona STOCK",IF($E184="","CEK SKU DESCRIPTION kosong",IF(COUNTIFS($I$2:$I$500,$I184,L$2:L$500,"&lt;&gt;"&amp;L184,L$2:L$500,"&lt;&gt;")&gt;0,"CEK jenis fixture beda dalam satu series","OK"))))))))))</f>
        <v/>
      </c>
      <c r="Q184" s="11" t="n"/>
      <c r="R184" s="11" t="n"/>
      <c r="S184" s="11" t="n"/>
      <c r="T184" s="11">
        <f>IF(OR(Q184="",R184=""),"",IFERROR(INDEX(LAYOUT!$D$2:$D$80,MATCH(Q184&amp;"|"&amp;R184,LAYOUT!$E$2:$E$80,0)),""))</f>
        <v/>
      </c>
      <c r="U184" s="12">
        <f>IF(AND(Q184="",R184=""),IF(AND(L184="",M184="",V184="",W184=""),IF(OR($D184&lt;&gt;"",$E184&lt;&gt;""),"Belum ditempatkan",""),""),IF(Q184="","CEK JENIS FIXTURE kosong",IF(LEFT(Q184,4)&lt;&gt;"Wall","CEK Fixture 2 hanya Wall",IF(R184="","CEK SHELVING KE kosong",IF(ISNA(MATCH(Q184&amp;"|"&amp;R184,LAYOUT!$E$2:$E$80,0)),"CEK SHELVING KE di luar layout",IF($I184="","CEK SERIES kosong",IF(AND(S184&lt;&gt;"",NOT(ISNUMBER(S184))),"CEK URUTAN DISPLAY harus angka",IF($D184="","Zona STOCK",IF($E184="","CEK SKU DESCRIPTION kosong",IF(COUNTIFS($I$2:$I$500,$I184,Q$2:Q$500,"&lt;&gt;"&amp;Q184,Q$2:Q$500,"&lt;&gt;")&gt;0,"CEK jenis fixture beda dalam satu series","OK"))))))))))</f>
        <v/>
      </c>
      <c r="V184" s="11" t="n"/>
      <c r="W184" s="11" t="n"/>
      <c r="X184" s="11" t="n"/>
      <c r="Y184" s="11">
        <f>IF(OR(V184="",W184=""),"",IFERROR(INDEX(LAYOUT!$D$2:$D$80,MATCH(V184&amp;"|"&amp;W184,LAYOUT!$E$2:$E$80,0)),""))</f>
        <v/>
      </c>
      <c r="Z184" s="12">
        <f>IF(AND(V184="",W184=""),IF(AND(L184="",M184="",Q184="",R184=""),IF(OR($D184&lt;&gt;"",$E184&lt;&gt;""),"Belum ditempatkan",""),""),IF(V184="","CEK JENIS FIXTURE kosong",IF(LEFT(V184,4)&lt;&gt;"Wall","CEK Fixture 3 hanya Wall",IF(W184="","CEK SHELVING KE kosong",IF(ISNA(MATCH(V184&amp;"|"&amp;W184,LAYOUT!$E$2:$E$80,0)),"CEK SHELVING KE di luar layout",IF($I184="","CEK SERIES kosong",IF(AND(X184&lt;&gt;"",NOT(ISNUMBER(X184))),"CEK URUTAN DISPLAY harus angka",IF($D184="","Zona STOCK",IF($E184="","CEK SKU DESCRIPTION kosong",IF(COUNTIFS($I$2:$I$500,$I184,V$2:V$500,"&lt;&gt;"&amp;V184,V$2:V$500,"&lt;&gt;")&gt;0,"CEK jenis fixture beda dalam satu series","OK"))))))))))</f>
        <v/>
      </c>
      <c r="AA184" s="12" t="n"/>
      <c r="AB184" s="11" t="n"/>
      <c r="AC184" s="11" t="n"/>
      <c r="AD184" s="11" t="n"/>
      <c r="AE184" s="11" t="n"/>
      <c r="AF184" s="11" t="n"/>
      <c r="AG184" s="11" t="n"/>
      <c r="AH184" s="12" t="n"/>
      <c r="AI184" s="12" t="n"/>
    </row>
    <row r="185">
      <c r="A185" s="10" t="n"/>
      <c r="B185" s="10" t="n"/>
      <c r="C185" s="10" t="n"/>
      <c r="D185" s="10" t="n"/>
      <c r="E185" s="10" t="n"/>
      <c r="F185" s="10" t="n"/>
      <c r="G185" s="10" t="n"/>
      <c r="H185" s="10" t="n"/>
      <c r="I185" s="10" t="n"/>
      <c r="J185" s="10" t="n"/>
      <c r="K185" s="10" t="n"/>
      <c r="L185" s="11" t="n"/>
      <c r="M185" s="11" t="n"/>
      <c r="N185" s="11" t="n"/>
      <c r="O185" s="11">
        <f>IF(OR(L185="",M185=""),"",IFERROR(INDEX(LAYOUT!$D$2:$D$80,MATCH(L185&amp;"|"&amp;M185,LAYOUT!$E$2:$E$80,0)),""))</f>
        <v/>
      </c>
      <c r="P185" s="12">
        <f>IF(AND(L185="",M185=""),IF(AND(Q185="",R185="",V185="",W185=""),IF(OR($D185&lt;&gt;"",$E185&lt;&gt;""),"Belum ditempatkan",""),""),IF(L185="","CEK JENIS FIXTURE kosong",IF(AND(LEFT(L185,7)&lt;&gt;"Gondola",LEFT(L185,6)&lt;&gt;"Endcap"),"CEK Fixture 1 hanya Gondola atau Endcap",IF(M185="","CEK SHELVING KE kosong",IF(ISNA(MATCH(L185&amp;"|"&amp;M185,LAYOUT!$E$2:$E$80,0)),"CEK SHELVING KE di luar layout",IF($I185="","CEK SERIES kosong",IF(AND(N185&lt;&gt;"",NOT(ISNUMBER(N185))),"CEK URUTAN DISPLAY harus angka",IF($D185="","Zona STOCK",IF($E185="","CEK SKU DESCRIPTION kosong",IF(COUNTIFS($I$2:$I$500,$I185,L$2:L$500,"&lt;&gt;"&amp;L185,L$2:L$500,"&lt;&gt;")&gt;0,"CEK jenis fixture beda dalam satu series","OK"))))))))))</f>
        <v/>
      </c>
      <c r="Q185" s="11" t="n"/>
      <c r="R185" s="11" t="n"/>
      <c r="S185" s="11" t="n"/>
      <c r="T185" s="11">
        <f>IF(OR(Q185="",R185=""),"",IFERROR(INDEX(LAYOUT!$D$2:$D$80,MATCH(Q185&amp;"|"&amp;R185,LAYOUT!$E$2:$E$80,0)),""))</f>
        <v/>
      </c>
      <c r="U185" s="12">
        <f>IF(AND(Q185="",R185=""),IF(AND(L185="",M185="",V185="",W185=""),IF(OR($D185&lt;&gt;"",$E185&lt;&gt;""),"Belum ditempatkan",""),""),IF(Q185="","CEK JENIS FIXTURE kosong",IF(LEFT(Q185,4)&lt;&gt;"Wall","CEK Fixture 2 hanya Wall",IF(R185="","CEK SHELVING KE kosong",IF(ISNA(MATCH(Q185&amp;"|"&amp;R185,LAYOUT!$E$2:$E$80,0)),"CEK SHELVING KE di luar layout",IF($I185="","CEK SERIES kosong",IF(AND(S185&lt;&gt;"",NOT(ISNUMBER(S185))),"CEK URUTAN DISPLAY harus angka",IF($D185="","Zona STOCK",IF($E185="","CEK SKU DESCRIPTION kosong",IF(COUNTIFS($I$2:$I$500,$I185,Q$2:Q$500,"&lt;&gt;"&amp;Q185,Q$2:Q$500,"&lt;&gt;")&gt;0,"CEK jenis fixture beda dalam satu series","OK"))))))))))</f>
        <v/>
      </c>
      <c r="V185" s="11" t="n"/>
      <c r="W185" s="11" t="n"/>
      <c r="X185" s="11" t="n"/>
      <c r="Y185" s="11">
        <f>IF(OR(V185="",W185=""),"",IFERROR(INDEX(LAYOUT!$D$2:$D$80,MATCH(V185&amp;"|"&amp;W185,LAYOUT!$E$2:$E$80,0)),""))</f>
        <v/>
      </c>
      <c r="Z185" s="12">
        <f>IF(AND(V185="",W185=""),IF(AND(L185="",M185="",Q185="",R185=""),IF(OR($D185&lt;&gt;"",$E185&lt;&gt;""),"Belum ditempatkan",""),""),IF(V185="","CEK JENIS FIXTURE kosong",IF(LEFT(V185,4)&lt;&gt;"Wall","CEK Fixture 3 hanya Wall",IF(W185="","CEK SHELVING KE kosong",IF(ISNA(MATCH(V185&amp;"|"&amp;W185,LAYOUT!$E$2:$E$80,0)),"CEK SHELVING KE di luar layout",IF($I185="","CEK SERIES kosong",IF(AND(X185&lt;&gt;"",NOT(ISNUMBER(X185))),"CEK URUTAN DISPLAY harus angka",IF($D185="","Zona STOCK",IF($E185="","CEK SKU DESCRIPTION kosong",IF(COUNTIFS($I$2:$I$500,$I185,V$2:V$500,"&lt;&gt;"&amp;V185,V$2:V$500,"&lt;&gt;")&gt;0,"CEK jenis fixture beda dalam satu series","OK"))))))))))</f>
        <v/>
      </c>
      <c r="AA185" s="12" t="n"/>
      <c r="AB185" s="11" t="n"/>
      <c r="AC185" s="11" t="n"/>
      <c r="AD185" s="11" t="n"/>
      <c r="AE185" s="11" t="n"/>
      <c r="AF185" s="11" t="n"/>
      <c r="AG185" s="11" t="n"/>
      <c r="AH185" s="12" t="n"/>
      <c r="AI185" s="12" t="n"/>
    </row>
    <row r="186">
      <c r="A186" s="10" t="n"/>
      <c r="B186" s="10" t="n"/>
      <c r="C186" s="10" t="n"/>
      <c r="D186" s="10" t="n"/>
      <c r="E186" s="10" t="n"/>
      <c r="F186" s="10" t="n"/>
      <c r="G186" s="10" t="n"/>
      <c r="H186" s="10" t="n"/>
      <c r="I186" s="10" t="n"/>
      <c r="J186" s="10" t="n"/>
      <c r="K186" s="10" t="n"/>
      <c r="L186" s="11" t="n"/>
      <c r="M186" s="11" t="n"/>
      <c r="N186" s="11" t="n"/>
      <c r="O186" s="11">
        <f>IF(OR(L186="",M186=""),"",IFERROR(INDEX(LAYOUT!$D$2:$D$80,MATCH(L186&amp;"|"&amp;M186,LAYOUT!$E$2:$E$80,0)),""))</f>
        <v/>
      </c>
      <c r="P186" s="12">
        <f>IF(AND(L186="",M186=""),IF(AND(Q186="",R186="",V186="",W186=""),IF(OR($D186&lt;&gt;"",$E186&lt;&gt;""),"Belum ditempatkan",""),""),IF(L186="","CEK JENIS FIXTURE kosong",IF(AND(LEFT(L186,7)&lt;&gt;"Gondola",LEFT(L186,6)&lt;&gt;"Endcap"),"CEK Fixture 1 hanya Gondola atau Endcap",IF(M186="","CEK SHELVING KE kosong",IF(ISNA(MATCH(L186&amp;"|"&amp;M186,LAYOUT!$E$2:$E$80,0)),"CEK SHELVING KE di luar layout",IF($I186="","CEK SERIES kosong",IF(AND(N186&lt;&gt;"",NOT(ISNUMBER(N186))),"CEK URUTAN DISPLAY harus angka",IF($D186="","Zona STOCK",IF($E186="","CEK SKU DESCRIPTION kosong",IF(COUNTIFS($I$2:$I$500,$I186,L$2:L$500,"&lt;&gt;"&amp;L186,L$2:L$500,"&lt;&gt;")&gt;0,"CEK jenis fixture beda dalam satu series","OK"))))))))))</f>
        <v/>
      </c>
      <c r="Q186" s="11" t="n"/>
      <c r="R186" s="11" t="n"/>
      <c r="S186" s="11" t="n"/>
      <c r="T186" s="11">
        <f>IF(OR(Q186="",R186=""),"",IFERROR(INDEX(LAYOUT!$D$2:$D$80,MATCH(Q186&amp;"|"&amp;R186,LAYOUT!$E$2:$E$80,0)),""))</f>
        <v/>
      </c>
      <c r="U186" s="12">
        <f>IF(AND(Q186="",R186=""),IF(AND(L186="",M186="",V186="",W186=""),IF(OR($D186&lt;&gt;"",$E186&lt;&gt;""),"Belum ditempatkan",""),""),IF(Q186="","CEK JENIS FIXTURE kosong",IF(LEFT(Q186,4)&lt;&gt;"Wall","CEK Fixture 2 hanya Wall",IF(R186="","CEK SHELVING KE kosong",IF(ISNA(MATCH(Q186&amp;"|"&amp;R186,LAYOUT!$E$2:$E$80,0)),"CEK SHELVING KE di luar layout",IF($I186="","CEK SERIES kosong",IF(AND(S186&lt;&gt;"",NOT(ISNUMBER(S186))),"CEK URUTAN DISPLAY harus angka",IF($D186="","Zona STOCK",IF($E186="","CEK SKU DESCRIPTION kosong",IF(COUNTIFS($I$2:$I$500,$I186,Q$2:Q$500,"&lt;&gt;"&amp;Q186,Q$2:Q$500,"&lt;&gt;")&gt;0,"CEK jenis fixture beda dalam satu series","OK"))))))))))</f>
        <v/>
      </c>
      <c r="V186" s="11" t="n"/>
      <c r="W186" s="11" t="n"/>
      <c r="X186" s="11" t="n"/>
      <c r="Y186" s="11">
        <f>IF(OR(V186="",W186=""),"",IFERROR(INDEX(LAYOUT!$D$2:$D$80,MATCH(V186&amp;"|"&amp;W186,LAYOUT!$E$2:$E$80,0)),""))</f>
        <v/>
      </c>
      <c r="Z186" s="12">
        <f>IF(AND(V186="",W186=""),IF(AND(L186="",M186="",Q186="",R186=""),IF(OR($D186&lt;&gt;"",$E186&lt;&gt;""),"Belum ditempatkan",""),""),IF(V186="","CEK JENIS FIXTURE kosong",IF(LEFT(V186,4)&lt;&gt;"Wall","CEK Fixture 3 hanya Wall",IF(W186="","CEK SHELVING KE kosong",IF(ISNA(MATCH(V186&amp;"|"&amp;W186,LAYOUT!$E$2:$E$80,0)),"CEK SHELVING KE di luar layout",IF($I186="","CEK SERIES kosong",IF(AND(X186&lt;&gt;"",NOT(ISNUMBER(X186))),"CEK URUTAN DISPLAY harus angka",IF($D186="","Zona STOCK",IF($E186="","CEK SKU DESCRIPTION kosong",IF(COUNTIFS($I$2:$I$500,$I186,V$2:V$500,"&lt;&gt;"&amp;V186,V$2:V$500,"&lt;&gt;")&gt;0,"CEK jenis fixture beda dalam satu series","OK"))))))))))</f>
        <v/>
      </c>
      <c r="AA186" s="12" t="n"/>
      <c r="AB186" s="11" t="n"/>
      <c r="AC186" s="11" t="n"/>
      <c r="AD186" s="11" t="n"/>
      <c r="AE186" s="11" t="n"/>
      <c r="AF186" s="11" t="n"/>
      <c r="AG186" s="11" t="n"/>
      <c r="AH186" s="12" t="n"/>
      <c r="AI186" s="12" t="n"/>
    </row>
    <row r="187">
      <c r="A187" s="10" t="n"/>
      <c r="B187" s="10" t="n"/>
      <c r="C187" s="10" t="n"/>
      <c r="D187" s="10" t="n"/>
      <c r="E187" s="10" t="n"/>
      <c r="F187" s="10" t="n"/>
      <c r="G187" s="10" t="n"/>
      <c r="H187" s="10" t="n"/>
      <c r="I187" s="10" t="n"/>
      <c r="J187" s="10" t="n"/>
      <c r="K187" s="10" t="n"/>
      <c r="L187" s="11" t="n"/>
      <c r="M187" s="11" t="n"/>
      <c r="N187" s="11" t="n"/>
      <c r="O187" s="11">
        <f>IF(OR(L187="",M187=""),"",IFERROR(INDEX(LAYOUT!$D$2:$D$80,MATCH(L187&amp;"|"&amp;M187,LAYOUT!$E$2:$E$80,0)),""))</f>
        <v/>
      </c>
      <c r="P187" s="12">
        <f>IF(AND(L187="",M187=""),IF(AND(Q187="",R187="",V187="",W187=""),IF(OR($D187&lt;&gt;"",$E187&lt;&gt;""),"Belum ditempatkan",""),""),IF(L187="","CEK JENIS FIXTURE kosong",IF(AND(LEFT(L187,7)&lt;&gt;"Gondola",LEFT(L187,6)&lt;&gt;"Endcap"),"CEK Fixture 1 hanya Gondola atau Endcap",IF(M187="","CEK SHELVING KE kosong",IF(ISNA(MATCH(L187&amp;"|"&amp;M187,LAYOUT!$E$2:$E$80,0)),"CEK SHELVING KE di luar layout",IF($I187="","CEK SERIES kosong",IF(AND(N187&lt;&gt;"",NOT(ISNUMBER(N187))),"CEK URUTAN DISPLAY harus angka",IF($D187="","Zona STOCK",IF($E187="","CEK SKU DESCRIPTION kosong",IF(COUNTIFS($I$2:$I$500,$I187,L$2:L$500,"&lt;&gt;"&amp;L187,L$2:L$500,"&lt;&gt;")&gt;0,"CEK jenis fixture beda dalam satu series","OK"))))))))))</f>
        <v/>
      </c>
      <c r="Q187" s="11" t="n"/>
      <c r="R187" s="11" t="n"/>
      <c r="S187" s="11" t="n"/>
      <c r="T187" s="11">
        <f>IF(OR(Q187="",R187=""),"",IFERROR(INDEX(LAYOUT!$D$2:$D$80,MATCH(Q187&amp;"|"&amp;R187,LAYOUT!$E$2:$E$80,0)),""))</f>
        <v/>
      </c>
      <c r="U187" s="12">
        <f>IF(AND(Q187="",R187=""),IF(AND(L187="",M187="",V187="",W187=""),IF(OR($D187&lt;&gt;"",$E187&lt;&gt;""),"Belum ditempatkan",""),""),IF(Q187="","CEK JENIS FIXTURE kosong",IF(LEFT(Q187,4)&lt;&gt;"Wall","CEK Fixture 2 hanya Wall",IF(R187="","CEK SHELVING KE kosong",IF(ISNA(MATCH(Q187&amp;"|"&amp;R187,LAYOUT!$E$2:$E$80,0)),"CEK SHELVING KE di luar layout",IF($I187="","CEK SERIES kosong",IF(AND(S187&lt;&gt;"",NOT(ISNUMBER(S187))),"CEK URUTAN DISPLAY harus angka",IF($D187="","Zona STOCK",IF($E187="","CEK SKU DESCRIPTION kosong",IF(COUNTIFS($I$2:$I$500,$I187,Q$2:Q$500,"&lt;&gt;"&amp;Q187,Q$2:Q$500,"&lt;&gt;")&gt;0,"CEK jenis fixture beda dalam satu series","OK"))))))))))</f>
        <v/>
      </c>
      <c r="V187" s="11" t="n"/>
      <c r="W187" s="11" t="n"/>
      <c r="X187" s="11" t="n"/>
      <c r="Y187" s="11">
        <f>IF(OR(V187="",W187=""),"",IFERROR(INDEX(LAYOUT!$D$2:$D$80,MATCH(V187&amp;"|"&amp;W187,LAYOUT!$E$2:$E$80,0)),""))</f>
        <v/>
      </c>
      <c r="Z187" s="12">
        <f>IF(AND(V187="",W187=""),IF(AND(L187="",M187="",Q187="",R187=""),IF(OR($D187&lt;&gt;"",$E187&lt;&gt;""),"Belum ditempatkan",""),""),IF(V187="","CEK JENIS FIXTURE kosong",IF(LEFT(V187,4)&lt;&gt;"Wall","CEK Fixture 3 hanya Wall",IF(W187="","CEK SHELVING KE kosong",IF(ISNA(MATCH(V187&amp;"|"&amp;W187,LAYOUT!$E$2:$E$80,0)),"CEK SHELVING KE di luar layout",IF($I187="","CEK SERIES kosong",IF(AND(X187&lt;&gt;"",NOT(ISNUMBER(X187))),"CEK URUTAN DISPLAY harus angka",IF($D187="","Zona STOCK",IF($E187="","CEK SKU DESCRIPTION kosong",IF(COUNTIFS($I$2:$I$500,$I187,V$2:V$500,"&lt;&gt;"&amp;V187,V$2:V$500,"&lt;&gt;")&gt;0,"CEK jenis fixture beda dalam satu series","OK"))))))))))</f>
        <v/>
      </c>
      <c r="AA187" s="12" t="n"/>
      <c r="AB187" s="11" t="n"/>
      <c r="AC187" s="11" t="n"/>
      <c r="AD187" s="11" t="n"/>
      <c r="AE187" s="11" t="n"/>
      <c r="AF187" s="11" t="n"/>
      <c r="AG187" s="11" t="n"/>
      <c r="AH187" s="12" t="n"/>
      <c r="AI187" s="12" t="n"/>
    </row>
    <row r="188">
      <c r="A188" s="10" t="n"/>
      <c r="B188" s="10" t="n"/>
      <c r="C188" s="10" t="n"/>
      <c r="D188" s="10" t="n"/>
      <c r="E188" s="10" t="n"/>
      <c r="F188" s="10" t="n"/>
      <c r="G188" s="10" t="n"/>
      <c r="H188" s="10" t="n"/>
      <c r="I188" s="10" t="n"/>
      <c r="J188" s="10" t="n"/>
      <c r="K188" s="10" t="n"/>
      <c r="L188" s="11" t="n"/>
      <c r="M188" s="11" t="n"/>
      <c r="N188" s="11" t="n"/>
      <c r="O188" s="11">
        <f>IF(OR(L188="",M188=""),"",IFERROR(INDEX(LAYOUT!$D$2:$D$80,MATCH(L188&amp;"|"&amp;M188,LAYOUT!$E$2:$E$80,0)),""))</f>
        <v/>
      </c>
      <c r="P188" s="12">
        <f>IF(AND(L188="",M188=""),IF(AND(Q188="",R188="",V188="",W188=""),IF(OR($D188&lt;&gt;"",$E188&lt;&gt;""),"Belum ditempatkan",""),""),IF(L188="","CEK JENIS FIXTURE kosong",IF(AND(LEFT(L188,7)&lt;&gt;"Gondola",LEFT(L188,6)&lt;&gt;"Endcap"),"CEK Fixture 1 hanya Gondola atau Endcap",IF(M188="","CEK SHELVING KE kosong",IF(ISNA(MATCH(L188&amp;"|"&amp;M188,LAYOUT!$E$2:$E$80,0)),"CEK SHELVING KE di luar layout",IF($I188="","CEK SERIES kosong",IF(AND(N188&lt;&gt;"",NOT(ISNUMBER(N188))),"CEK URUTAN DISPLAY harus angka",IF($D188="","Zona STOCK",IF($E188="","CEK SKU DESCRIPTION kosong",IF(COUNTIFS($I$2:$I$500,$I188,L$2:L$500,"&lt;&gt;"&amp;L188,L$2:L$500,"&lt;&gt;")&gt;0,"CEK jenis fixture beda dalam satu series","OK"))))))))))</f>
        <v/>
      </c>
      <c r="Q188" s="11" t="n"/>
      <c r="R188" s="11" t="n"/>
      <c r="S188" s="11" t="n"/>
      <c r="T188" s="11">
        <f>IF(OR(Q188="",R188=""),"",IFERROR(INDEX(LAYOUT!$D$2:$D$80,MATCH(Q188&amp;"|"&amp;R188,LAYOUT!$E$2:$E$80,0)),""))</f>
        <v/>
      </c>
      <c r="U188" s="12">
        <f>IF(AND(Q188="",R188=""),IF(AND(L188="",M188="",V188="",W188=""),IF(OR($D188&lt;&gt;"",$E188&lt;&gt;""),"Belum ditempatkan",""),""),IF(Q188="","CEK JENIS FIXTURE kosong",IF(LEFT(Q188,4)&lt;&gt;"Wall","CEK Fixture 2 hanya Wall",IF(R188="","CEK SHELVING KE kosong",IF(ISNA(MATCH(Q188&amp;"|"&amp;R188,LAYOUT!$E$2:$E$80,0)),"CEK SHELVING KE di luar layout",IF($I188="","CEK SERIES kosong",IF(AND(S188&lt;&gt;"",NOT(ISNUMBER(S188))),"CEK URUTAN DISPLAY harus angka",IF($D188="","Zona STOCK",IF($E188="","CEK SKU DESCRIPTION kosong",IF(COUNTIFS($I$2:$I$500,$I188,Q$2:Q$500,"&lt;&gt;"&amp;Q188,Q$2:Q$500,"&lt;&gt;")&gt;0,"CEK jenis fixture beda dalam satu series","OK"))))))))))</f>
        <v/>
      </c>
      <c r="V188" s="11" t="n"/>
      <c r="W188" s="11" t="n"/>
      <c r="X188" s="11" t="n"/>
      <c r="Y188" s="11">
        <f>IF(OR(V188="",W188=""),"",IFERROR(INDEX(LAYOUT!$D$2:$D$80,MATCH(V188&amp;"|"&amp;W188,LAYOUT!$E$2:$E$80,0)),""))</f>
        <v/>
      </c>
      <c r="Z188" s="12">
        <f>IF(AND(V188="",W188=""),IF(AND(L188="",M188="",Q188="",R188=""),IF(OR($D188&lt;&gt;"",$E188&lt;&gt;""),"Belum ditempatkan",""),""),IF(V188="","CEK JENIS FIXTURE kosong",IF(LEFT(V188,4)&lt;&gt;"Wall","CEK Fixture 3 hanya Wall",IF(W188="","CEK SHELVING KE kosong",IF(ISNA(MATCH(V188&amp;"|"&amp;W188,LAYOUT!$E$2:$E$80,0)),"CEK SHELVING KE di luar layout",IF($I188="","CEK SERIES kosong",IF(AND(X188&lt;&gt;"",NOT(ISNUMBER(X188))),"CEK URUTAN DISPLAY harus angka",IF($D188="","Zona STOCK",IF($E188="","CEK SKU DESCRIPTION kosong",IF(COUNTIFS($I$2:$I$500,$I188,V$2:V$500,"&lt;&gt;"&amp;V188,V$2:V$500,"&lt;&gt;")&gt;0,"CEK jenis fixture beda dalam satu series","OK"))))))))))</f>
        <v/>
      </c>
      <c r="AA188" s="12" t="n"/>
      <c r="AB188" s="11" t="n"/>
      <c r="AC188" s="11" t="n"/>
      <c r="AD188" s="11" t="n"/>
      <c r="AE188" s="11" t="n"/>
      <c r="AF188" s="11" t="n"/>
      <c r="AG188" s="11" t="n"/>
      <c r="AH188" s="12" t="n"/>
      <c r="AI188" s="12" t="n"/>
    </row>
    <row r="189">
      <c r="A189" s="10" t="n"/>
      <c r="B189" s="10" t="n"/>
      <c r="C189" s="10" t="n"/>
      <c r="D189" s="10" t="n"/>
      <c r="E189" s="10" t="n"/>
      <c r="F189" s="10" t="n"/>
      <c r="G189" s="10" t="n"/>
      <c r="H189" s="10" t="n"/>
      <c r="I189" s="10" t="n"/>
      <c r="J189" s="10" t="n"/>
      <c r="K189" s="10" t="n"/>
      <c r="L189" s="11" t="n"/>
      <c r="M189" s="11" t="n"/>
      <c r="N189" s="11" t="n"/>
      <c r="O189" s="11">
        <f>IF(OR(L189="",M189=""),"",IFERROR(INDEX(LAYOUT!$D$2:$D$80,MATCH(L189&amp;"|"&amp;M189,LAYOUT!$E$2:$E$80,0)),""))</f>
        <v/>
      </c>
      <c r="P189" s="12">
        <f>IF(AND(L189="",M189=""),IF(AND(Q189="",R189="",V189="",W189=""),IF(OR($D189&lt;&gt;"",$E189&lt;&gt;""),"Belum ditempatkan",""),""),IF(L189="","CEK JENIS FIXTURE kosong",IF(AND(LEFT(L189,7)&lt;&gt;"Gondola",LEFT(L189,6)&lt;&gt;"Endcap"),"CEK Fixture 1 hanya Gondola atau Endcap",IF(M189="","CEK SHELVING KE kosong",IF(ISNA(MATCH(L189&amp;"|"&amp;M189,LAYOUT!$E$2:$E$80,0)),"CEK SHELVING KE di luar layout",IF($I189="","CEK SERIES kosong",IF(AND(N189&lt;&gt;"",NOT(ISNUMBER(N189))),"CEK URUTAN DISPLAY harus angka",IF($D189="","Zona STOCK",IF($E189="","CEK SKU DESCRIPTION kosong",IF(COUNTIFS($I$2:$I$500,$I189,L$2:L$500,"&lt;&gt;"&amp;L189,L$2:L$500,"&lt;&gt;")&gt;0,"CEK jenis fixture beda dalam satu series","OK"))))))))))</f>
        <v/>
      </c>
      <c r="Q189" s="11" t="n"/>
      <c r="R189" s="11" t="n"/>
      <c r="S189" s="11" t="n"/>
      <c r="T189" s="11">
        <f>IF(OR(Q189="",R189=""),"",IFERROR(INDEX(LAYOUT!$D$2:$D$80,MATCH(Q189&amp;"|"&amp;R189,LAYOUT!$E$2:$E$80,0)),""))</f>
        <v/>
      </c>
      <c r="U189" s="12">
        <f>IF(AND(Q189="",R189=""),IF(AND(L189="",M189="",V189="",W189=""),IF(OR($D189&lt;&gt;"",$E189&lt;&gt;""),"Belum ditempatkan",""),""),IF(Q189="","CEK JENIS FIXTURE kosong",IF(LEFT(Q189,4)&lt;&gt;"Wall","CEK Fixture 2 hanya Wall",IF(R189="","CEK SHELVING KE kosong",IF(ISNA(MATCH(Q189&amp;"|"&amp;R189,LAYOUT!$E$2:$E$80,0)),"CEK SHELVING KE di luar layout",IF($I189="","CEK SERIES kosong",IF(AND(S189&lt;&gt;"",NOT(ISNUMBER(S189))),"CEK URUTAN DISPLAY harus angka",IF($D189="","Zona STOCK",IF($E189="","CEK SKU DESCRIPTION kosong",IF(COUNTIFS($I$2:$I$500,$I189,Q$2:Q$500,"&lt;&gt;"&amp;Q189,Q$2:Q$500,"&lt;&gt;")&gt;0,"CEK jenis fixture beda dalam satu series","OK"))))))))))</f>
        <v/>
      </c>
      <c r="V189" s="11" t="n"/>
      <c r="W189" s="11" t="n"/>
      <c r="X189" s="11" t="n"/>
      <c r="Y189" s="11">
        <f>IF(OR(V189="",W189=""),"",IFERROR(INDEX(LAYOUT!$D$2:$D$80,MATCH(V189&amp;"|"&amp;W189,LAYOUT!$E$2:$E$80,0)),""))</f>
        <v/>
      </c>
      <c r="Z189" s="12">
        <f>IF(AND(V189="",W189=""),IF(AND(L189="",M189="",Q189="",R189=""),IF(OR($D189&lt;&gt;"",$E189&lt;&gt;""),"Belum ditempatkan",""),""),IF(V189="","CEK JENIS FIXTURE kosong",IF(LEFT(V189,4)&lt;&gt;"Wall","CEK Fixture 3 hanya Wall",IF(W189="","CEK SHELVING KE kosong",IF(ISNA(MATCH(V189&amp;"|"&amp;W189,LAYOUT!$E$2:$E$80,0)),"CEK SHELVING KE di luar layout",IF($I189="","CEK SERIES kosong",IF(AND(X189&lt;&gt;"",NOT(ISNUMBER(X189))),"CEK URUTAN DISPLAY harus angka",IF($D189="","Zona STOCK",IF($E189="","CEK SKU DESCRIPTION kosong",IF(COUNTIFS($I$2:$I$500,$I189,V$2:V$500,"&lt;&gt;"&amp;V189,V$2:V$500,"&lt;&gt;")&gt;0,"CEK jenis fixture beda dalam satu series","OK"))))))))))</f>
        <v/>
      </c>
      <c r="AA189" s="12" t="n"/>
      <c r="AB189" s="11" t="n"/>
      <c r="AC189" s="11" t="n"/>
      <c r="AD189" s="11" t="n"/>
      <c r="AE189" s="11" t="n"/>
      <c r="AF189" s="11" t="n"/>
      <c r="AG189" s="11" t="n"/>
      <c r="AH189" s="12" t="n"/>
      <c r="AI189" s="12" t="n"/>
    </row>
    <row r="190">
      <c r="A190" s="10" t="n"/>
      <c r="B190" s="10" t="n"/>
      <c r="C190" s="10" t="n"/>
      <c r="D190" s="10" t="n"/>
      <c r="E190" s="10" t="n"/>
      <c r="F190" s="10" t="n"/>
      <c r="G190" s="10" t="n"/>
      <c r="H190" s="10" t="n"/>
      <c r="I190" s="10" t="n"/>
      <c r="J190" s="10" t="n"/>
      <c r="K190" s="10" t="n"/>
      <c r="L190" s="11" t="n"/>
      <c r="M190" s="11" t="n"/>
      <c r="N190" s="11" t="n"/>
      <c r="O190" s="11">
        <f>IF(OR(L190="",M190=""),"",IFERROR(INDEX(LAYOUT!$D$2:$D$80,MATCH(L190&amp;"|"&amp;M190,LAYOUT!$E$2:$E$80,0)),""))</f>
        <v/>
      </c>
      <c r="P190" s="12">
        <f>IF(AND(L190="",M190=""),IF(AND(Q190="",R190="",V190="",W190=""),IF(OR($D190&lt;&gt;"",$E190&lt;&gt;""),"Belum ditempatkan",""),""),IF(L190="","CEK JENIS FIXTURE kosong",IF(AND(LEFT(L190,7)&lt;&gt;"Gondola",LEFT(L190,6)&lt;&gt;"Endcap"),"CEK Fixture 1 hanya Gondola atau Endcap",IF(M190="","CEK SHELVING KE kosong",IF(ISNA(MATCH(L190&amp;"|"&amp;M190,LAYOUT!$E$2:$E$80,0)),"CEK SHELVING KE di luar layout",IF($I190="","CEK SERIES kosong",IF(AND(N190&lt;&gt;"",NOT(ISNUMBER(N190))),"CEK URUTAN DISPLAY harus angka",IF($D190="","Zona STOCK",IF($E190="","CEK SKU DESCRIPTION kosong",IF(COUNTIFS($I$2:$I$500,$I190,L$2:L$500,"&lt;&gt;"&amp;L190,L$2:L$500,"&lt;&gt;")&gt;0,"CEK jenis fixture beda dalam satu series","OK"))))))))))</f>
        <v/>
      </c>
      <c r="Q190" s="11" t="n"/>
      <c r="R190" s="11" t="n"/>
      <c r="S190" s="11" t="n"/>
      <c r="T190" s="11">
        <f>IF(OR(Q190="",R190=""),"",IFERROR(INDEX(LAYOUT!$D$2:$D$80,MATCH(Q190&amp;"|"&amp;R190,LAYOUT!$E$2:$E$80,0)),""))</f>
        <v/>
      </c>
      <c r="U190" s="12">
        <f>IF(AND(Q190="",R190=""),IF(AND(L190="",M190="",V190="",W190=""),IF(OR($D190&lt;&gt;"",$E190&lt;&gt;""),"Belum ditempatkan",""),""),IF(Q190="","CEK JENIS FIXTURE kosong",IF(LEFT(Q190,4)&lt;&gt;"Wall","CEK Fixture 2 hanya Wall",IF(R190="","CEK SHELVING KE kosong",IF(ISNA(MATCH(Q190&amp;"|"&amp;R190,LAYOUT!$E$2:$E$80,0)),"CEK SHELVING KE di luar layout",IF($I190="","CEK SERIES kosong",IF(AND(S190&lt;&gt;"",NOT(ISNUMBER(S190))),"CEK URUTAN DISPLAY harus angka",IF($D190="","Zona STOCK",IF($E190="","CEK SKU DESCRIPTION kosong",IF(COUNTIFS($I$2:$I$500,$I190,Q$2:Q$500,"&lt;&gt;"&amp;Q190,Q$2:Q$500,"&lt;&gt;")&gt;0,"CEK jenis fixture beda dalam satu series","OK"))))))))))</f>
        <v/>
      </c>
      <c r="V190" s="11" t="n"/>
      <c r="W190" s="11" t="n"/>
      <c r="X190" s="11" t="n"/>
      <c r="Y190" s="11">
        <f>IF(OR(V190="",W190=""),"",IFERROR(INDEX(LAYOUT!$D$2:$D$80,MATCH(V190&amp;"|"&amp;W190,LAYOUT!$E$2:$E$80,0)),""))</f>
        <v/>
      </c>
      <c r="Z190" s="12">
        <f>IF(AND(V190="",W190=""),IF(AND(L190="",M190="",Q190="",R190=""),IF(OR($D190&lt;&gt;"",$E190&lt;&gt;""),"Belum ditempatkan",""),""),IF(V190="","CEK JENIS FIXTURE kosong",IF(LEFT(V190,4)&lt;&gt;"Wall","CEK Fixture 3 hanya Wall",IF(W190="","CEK SHELVING KE kosong",IF(ISNA(MATCH(V190&amp;"|"&amp;W190,LAYOUT!$E$2:$E$80,0)),"CEK SHELVING KE di luar layout",IF($I190="","CEK SERIES kosong",IF(AND(X190&lt;&gt;"",NOT(ISNUMBER(X190))),"CEK URUTAN DISPLAY harus angka",IF($D190="","Zona STOCK",IF($E190="","CEK SKU DESCRIPTION kosong",IF(COUNTIFS($I$2:$I$500,$I190,V$2:V$500,"&lt;&gt;"&amp;V190,V$2:V$500,"&lt;&gt;")&gt;0,"CEK jenis fixture beda dalam satu series","OK"))))))))))</f>
        <v/>
      </c>
      <c r="AA190" s="12" t="n"/>
      <c r="AB190" s="11" t="n"/>
      <c r="AC190" s="11" t="n"/>
      <c r="AD190" s="11" t="n"/>
      <c r="AE190" s="11" t="n"/>
      <c r="AF190" s="11" t="n"/>
      <c r="AG190" s="11" t="n"/>
      <c r="AH190" s="12" t="n"/>
      <c r="AI190" s="12" t="n"/>
    </row>
    <row r="191">
      <c r="A191" s="10" t="n"/>
      <c r="B191" s="10" t="n"/>
      <c r="C191" s="10" t="n"/>
      <c r="D191" s="10" t="n"/>
      <c r="E191" s="10" t="n"/>
      <c r="F191" s="10" t="n"/>
      <c r="G191" s="10" t="n"/>
      <c r="H191" s="10" t="n"/>
      <c r="I191" s="10" t="n"/>
      <c r="J191" s="10" t="n"/>
      <c r="K191" s="10" t="n"/>
      <c r="L191" s="11" t="n"/>
      <c r="M191" s="11" t="n"/>
      <c r="N191" s="11" t="n"/>
      <c r="O191" s="11">
        <f>IF(OR(L191="",M191=""),"",IFERROR(INDEX(LAYOUT!$D$2:$D$80,MATCH(L191&amp;"|"&amp;M191,LAYOUT!$E$2:$E$80,0)),""))</f>
        <v/>
      </c>
      <c r="P191" s="12">
        <f>IF(AND(L191="",M191=""),IF(AND(Q191="",R191="",V191="",W191=""),IF(OR($D191&lt;&gt;"",$E191&lt;&gt;""),"Belum ditempatkan",""),""),IF(L191="","CEK JENIS FIXTURE kosong",IF(AND(LEFT(L191,7)&lt;&gt;"Gondola",LEFT(L191,6)&lt;&gt;"Endcap"),"CEK Fixture 1 hanya Gondola atau Endcap",IF(M191="","CEK SHELVING KE kosong",IF(ISNA(MATCH(L191&amp;"|"&amp;M191,LAYOUT!$E$2:$E$80,0)),"CEK SHELVING KE di luar layout",IF($I191="","CEK SERIES kosong",IF(AND(N191&lt;&gt;"",NOT(ISNUMBER(N191))),"CEK URUTAN DISPLAY harus angka",IF($D191="","Zona STOCK",IF($E191="","CEK SKU DESCRIPTION kosong",IF(COUNTIFS($I$2:$I$500,$I191,L$2:L$500,"&lt;&gt;"&amp;L191,L$2:L$500,"&lt;&gt;")&gt;0,"CEK jenis fixture beda dalam satu series","OK"))))))))))</f>
        <v/>
      </c>
      <c r="Q191" s="11" t="n"/>
      <c r="R191" s="11" t="n"/>
      <c r="S191" s="11" t="n"/>
      <c r="T191" s="11">
        <f>IF(OR(Q191="",R191=""),"",IFERROR(INDEX(LAYOUT!$D$2:$D$80,MATCH(Q191&amp;"|"&amp;R191,LAYOUT!$E$2:$E$80,0)),""))</f>
        <v/>
      </c>
      <c r="U191" s="12">
        <f>IF(AND(Q191="",R191=""),IF(AND(L191="",M191="",V191="",W191=""),IF(OR($D191&lt;&gt;"",$E191&lt;&gt;""),"Belum ditempatkan",""),""),IF(Q191="","CEK JENIS FIXTURE kosong",IF(LEFT(Q191,4)&lt;&gt;"Wall","CEK Fixture 2 hanya Wall",IF(R191="","CEK SHELVING KE kosong",IF(ISNA(MATCH(Q191&amp;"|"&amp;R191,LAYOUT!$E$2:$E$80,0)),"CEK SHELVING KE di luar layout",IF($I191="","CEK SERIES kosong",IF(AND(S191&lt;&gt;"",NOT(ISNUMBER(S191))),"CEK URUTAN DISPLAY harus angka",IF($D191="","Zona STOCK",IF($E191="","CEK SKU DESCRIPTION kosong",IF(COUNTIFS($I$2:$I$500,$I191,Q$2:Q$500,"&lt;&gt;"&amp;Q191,Q$2:Q$500,"&lt;&gt;")&gt;0,"CEK jenis fixture beda dalam satu series","OK"))))))))))</f>
        <v/>
      </c>
      <c r="V191" s="11" t="n"/>
      <c r="W191" s="11" t="n"/>
      <c r="X191" s="11" t="n"/>
      <c r="Y191" s="11">
        <f>IF(OR(V191="",W191=""),"",IFERROR(INDEX(LAYOUT!$D$2:$D$80,MATCH(V191&amp;"|"&amp;W191,LAYOUT!$E$2:$E$80,0)),""))</f>
        <v/>
      </c>
      <c r="Z191" s="12">
        <f>IF(AND(V191="",W191=""),IF(AND(L191="",M191="",Q191="",R191=""),IF(OR($D191&lt;&gt;"",$E191&lt;&gt;""),"Belum ditempatkan",""),""),IF(V191="","CEK JENIS FIXTURE kosong",IF(LEFT(V191,4)&lt;&gt;"Wall","CEK Fixture 3 hanya Wall",IF(W191="","CEK SHELVING KE kosong",IF(ISNA(MATCH(V191&amp;"|"&amp;W191,LAYOUT!$E$2:$E$80,0)),"CEK SHELVING KE di luar layout",IF($I191="","CEK SERIES kosong",IF(AND(X191&lt;&gt;"",NOT(ISNUMBER(X191))),"CEK URUTAN DISPLAY harus angka",IF($D191="","Zona STOCK",IF($E191="","CEK SKU DESCRIPTION kosong",IF(COUNTIFS($I$2:$I$500,$I191,V$2:V$500,"&lt;&gt;"&amp;V191,V$2:V$500,"&lt;&gt;")&gt;0,"CEK jenis fixture beda dalam satu series","OK"))))))))))</f>
        <v/>
      </c>
      <c r="AA191" s="12" t="n"/>
      <c r="AB191" s="11" t="n"/>
      <c r="AC191" s="11" t="n"/>
      <c r="AD191" s="11" t="n"/>
      <c r="AE191" s="11" t="n"/>
      <c r="AF191" s="11" t="n"/>
      <c r="AG191" s="11" t="n"/>
      <c r="AH191" s="12" t="n"/>
      <c r="AI191" s="12" t="n"/>
    </row>
    <row r="192">
      <c r="A192" s="10" t="n"/>
      <c r="B192" s="10" t="n"/>
      <c r="C192" s="10" t="n"/>
      <c r="D192" s="10" t="n"/>
      <c r="E192" s="10" t="n"/>
      <c r="F192" s="10" t="n"/>
      <c r="G192" s="10" t="n"/>
      <c r="H192" s="10" t="n"/>
      <c r="I192" s="10" t="n"/>
      <c r="J192" s="10" t="n"/>
      <c r="K192" s="10" t="n"/>
      <c r="L192" s="11" t="n"/>
      <c r="M192" s="11" t="n"/>
      <c r="N192" s="11" t="n"/>
      <c r="O192" s="11">
        <f>IF(OR(L192="",M192=""),"",IFERROR(INDEX(LAYOUT!$D$2:$D$80,MATCH(L192&amp;"|"&amp;M192,LAYOUT!$E$2:$E$80,0)),""))</f>
        <v/>
      </c>
      <c r="P192" s="12">
        <f>IF(AND(L192="",M192=""),IF(AND(Q192="",R192="",V192="",W192=""),IF(OR($D192&lt;&gt;"",$E192&lt;&gt;""),"Belum ditempatkan",""),""),IF(L192="","CEK JENIS FIXTURE kosong",IF(AND(LEFT(L192,7)&lt;&gt;"Gondola",LEFT(L192,6)&lt;&gt;"Endcap"),"CEK Fixture 1 hanya Gondola atau Endcap",IF(M192="","CEK SHELVING KE kosong",IF(ISNA(MATCH(L192&amp;"|"&amp;M192,LAYOUT!$E$2:$E$80,0)),"CEK SHELVING KE di luar layout",IF($I192="","CEK SERIES kosong",IF(AND(N192&lt;&gt;"",NOT(ISNUMBER(N192))),"CEK URUTAN DISPLAY harus angka",IF($D192="","Zona STOCK",IF($E192="","CEK SKU DESCRIPTION kosong",IF(COUNTIFS($I$2:$I$500,$I192,L$2:L$500,"&lt;&gt;"&amp;L192,L$2:L$500,"&lt;&gt;")&gt;0,"CEK jenis fixture beda dalam satu series","OK"))))))))))</f>
        <v/>
      </c>
      <c r="Q192" s="11" t="n"/>
      <c r="R192" s="11" t="n"/>
      <c r="S192" s="11" t="n"/>
      <c r="T192" s="11">
        <f>IF(OR(Q192="",R192=""),"",IFERROR(INDEX(LAYOUT!$D$2:$D$80,MATCH(Q192&amp;"|"&amp;R192,LAYOUT!$E$2:$E$80,0)),""))</f>
        <v/>
      </c>
      <c r="U192" s="12">
        <f>IF(AND(Q192="",R192=""),IF(AND(L192="",M192="",V192="",W192=""),IF(OR($D192&lt;&gt;"",$E192&lt;&gt;""),"Belum ditempatkan",""),""),IF(Q192="","CEK JENIS FIXTURE kosong",IF(LEFT(Q192,4)&lt;&gt;"Wall","CEK Fixture 2 hanya Wall",IF(R192="","CEK SHELVING KE kosong",IF(ISNA(MATCH(Q192&amp;"|"&amp;R192,LAYOUT!$E$2:$E$80,0)),"CEK SHELVING KE di luar layout",IF($I192="","CEK SERIES kosong",IF(AND(S192&lt;&gt;"",NOT(ISNUMBER(S192))),"CEK URUTAN DISPLAY harus angka",IF($D192="","Zona STOCK",IF($E192="","CEK SKU DESCRIPTION kosong",IF(COUNTIFS($I$2:$I$500,$I192,Q$2:Q$500,"&lt;&gt;"&amp;Q192,Q$2:Q$500,"&lt;&gt;")&gt;0,"CEK jenis fixture beda dalam satu series","OK"))))))))))</f>
        <v/>
      </c>
      <c r="V192" s="11" t="n"/>
      <c r="W192" s="11" t="n"/>
      <c r="X192" s="11" t="n"/>
      <c r="Y192" s="11">
        <f>IF(OR(V192="",W192=""),"",IFERROR(INDEX(LAYOUT!$D$2:$D$80,MATCH(V192&amp;"|"&amp;W192,LAYOUT!$E$2:$E$80,0)),""))</f>
        <v/>
      </c>
      <c r="Z192" s="12">
        <f>IF(AND(V192="",W192=""),IF(AND(L192="",M192="",Q192="",R192=""),IF(OR($D192&lt;&gt;"",$E192&lt;&gt;""),"Belum ditempatkan",""),""),IF(V192="","CEK JENIS FIXTURE kosong",IF(LEFT(V192,4)&lt;&gt;"Wall","CEK Fixture 3 hanya Wall",IF(W192="","CEK SHELVING KE kosong",IF(ISNA(MATCH(V192&amp;"|"&amp;W192,LAYOUT!$E$2:$E$80,0)),"CEK SHELVING KE di luar layout",IF($I192="","CEK SERIES kosong",IF(AND(X192&lt;&gt;"",NOT(ISNUMBER(X192))),"CEK URUTAN DISPLAY harus angka",IF($D192="","Zona STOCK",IF($E192="","CEK SKU DESCRIPTION kosong",IF(COUNTIFS($I$2:$I$500,$I192,V$2:V$500,"&lt;&gt;"&amp;V192,V$2:V$500,"&lt;&gt;")&gt;0,"CEK jenis fixture beda dalam satu series","OK"))))))))))</f>
        <v/>
      </c>
      <c r="AA192" s="12" t="n"/>
      <c r="AB192" s="11" t="n"/>
      <c r="AC192" s="11" t="n"/>
      <c r="AD192" s="11" t="n"/>
      <c r="AE192" s="11" t="n"/>
      <c r="AF192" s="11" t="n"/>
      <c r="AG192" s="11" t="n"/>
      <c r="AH192" s="12" t="n"/>
      <c r="AI192" s="12" t="n"/>
    </row>
    <row r="193">
      <c r="A193" s="10" t="n"/>
      <c r="B193" s="10" t="n"/>
      <c r="C193" s="10" t="n"/>
      <c r="D193" s="10" t="n"/>
      <c r="E193" s="10" t="n"/>
      <c r="F193" s="10" t="n"/>
      <c r="G193" s="10" t="n"/>
      <c r="H193" s="10" t="n"/>
      <c r="I193" s="10" t="n"/>
      <c r="J193" s="10" t="n"/>
      <c r="K193" s="10" t="n"/>
      <c r="L193" s="11" t="n"/>
      <c r="M193" s="11" t="n"/>
      <c r="N193" s="11" t="n"/>
      <c r="O193" s="11">
        <f>IF(OR(L193="",M193=""),"",IFERROR(INDEX(LAYOUT!$D$2:$D$80,MATCH(L193&amp;"|"&amp;M193,LAYOUT!$E$2:$E$80,0)),""))</f>
        <v/>
      </c>
      <c r="P193" s="12">
        <f>IF(AND(L193="",M193=""),IF(AND(Q193="",R193="",V193="",W193=""),IF(OR($D193&lt;&gt;"",$E193&lt;&gt;""),"Belum ditempatkan",""),""),IF(L193="","CEK JENIS FIXTURE kosong",IF(AND(LEFT(L193,7)&lt;&gt;"Gondola",LEFT(L193,6)&lt;&gt;"Endcap"),"CEK Fixture 1 hanya Gondola atau Endcap",IF(M193="","CEK SHELVING KE kosong",IF(ISNA(MATCH(L193&amp;"|"&amp;M193,LAYOUT!$E$2:$E$80,0)),"CEK SHELVING KE di luar layout",IF($I193="","CEK SERIES kosong",IF(AND(N193&lt;&gt;"",NOT(ISNUMBER(N193))),"CEK URUTAN DISPLAY harus angka",IF($D193="","Zona STOCK",IF($E193="","CEK SKU DESCRIPTION kosong",IF(COUNTIFS($I$2:$I$500,$I193,L$2:L$500,"&lt;&gt;"&amp;L193,L$2:L$500,"&lt;&gt;")&gt;0,"CEK jenis fixture beda dalam satu series","OK"))))))))))</f>
        <v/>
      </c>
      <c r="Q193" s="11" t="n"/>
      <c r="R193" s="11" t="n"/>
      <c r="S193" s="11" t="n"/>
      <c r="T193" s="11">
        <f>IF(OR(Q193="",R193=""),"",IFERROR(INDEX(LAYOUT!$D$2:$D$80,MATCH(Q193&amp;"|"&amp;R193,LAYOUT!$E$2:$E$80,0)),""))</f>
        <v/>
      </c>
      <c r="U193" s="12">
        <f>IF(AND(Q193="",R193=""),IF(AND(L193="",M193="",V193="",W193=""),IF(OR($D193&lt;&gt;"",$E193&lt;&gt;""),"Belum ditempatkan",""),""),IF(Q193="","CEK JENIS FIXTURE kosong",IF(LEFT(Q193,4)&lt;&gt;"Wall","CEK Fixture 2 hanya Wall",IF(R193="","CEK SHELVING KE kosong",IF(ISNA(MATCH(Q193&amp;"|"&amp;R193,LAYOUT!$E$2:$E$80,0)),"CEK SHELVING KE di luar layout",IF($I193="","CEK SERIES kosong",IF(AND(S193&lt;&gt;"",NOT(ISNUMBER(S193))),"CEK URUTAN DISPLAY harus angka",IF($D193="","Zona STOCK",IF($E193="","CEK SKU DESCRIPTION kosong",IF(COUNTIFS($I$2:$I$500,$I193,Q$2:Q$500,"&lt;&gt;"&amp;Q193,Q$2:Q$500,"&lt;&gt;")&gt;0,"CEK jenis fixture beda dalam satu series","OK"))))))))))</f>
        <v/>
      </c>
      <c r="V193" s="11" t="n"/>
      <c r="W193" s="11" t="n"/>
      <c r="X193" s="11" t="n"/>
      <c r="Y193" s="11">
        <f>IF(OR(V193="",W193=""),"",IFERROR(INDEX(LAYOUT!$D$2:$D$80,MATCH(V193&amp;"|"&amp;W193,LAYOUT!$E$2:$E$80,0)),""))</f>
        <v/>
      </c>
      <c r="Z193" s="12">
        <f>IF(AND(V193="",W193=""),IF(AND(L193="",M193="",Q193="",R193=""),IF(OR($D193&lt;&gt;"",$E193&lt;&gt;""),"Belum ditempatkan",""),""),IF(V193="","CEK JENIS FIXTURE kosong",IF(LEFT(V193,4)&lt;&gt;"Wall","CEK Fixture 3 hanya Wall",IF(W193="","CEK SHELVING KE kosong",IF(ISNA(MATCH(V193&amp;"|"&amp;W193,LAYOUT!$E$2:$E$80,0)),"CEK SHELVING KE di luar layout",IF($I193="","CEK SERIES kosong",IF(AND(X193&lt;&gt;"",NOT(ISNUMBER(X193))),"CEK URUTAN DISPLAY harus angka",IF($D193="","Zona STOCK",IF($E193="","CEK SKU DESCRIPTION kosong",IF(COUNTIFS($I$2:$I$500,$I193,V$2:V$500,"&lt;&gt;"&amp;V193,V$2:V$500,"&lt;&gt;")&gt;0,"CEK jenis fixture beda dalam satu series","OK"))))))))))</f>
        <v/>
      </c>
      <c r="AA193" s="12" t="n"/>
      <c r="AB193" s="11" t="n"/>
      <c r="AC193" s="11" t="n"/>
      <c r="AD193" s="11" t="n"/>
      <c r="AE193" s="11" t="n"/>
      <c r="AF193" s="11" t="n"/>
      <c r="AG193" s="11" t="n"/>
      <c r="AH193" s="12" t="n"/>
      <c r="AI193" s="12" t="n"/>
    </row>
    <row r="194">
      <c r="A194" s="10" t="n"/>
      <c r="B194" s="10" t="n"/>
      <c r="C194" s="10" t="n"/>
      <c r="D194" s="10" t="n"/>
      <c r="E194" s="10" t="n"/>
      <c r="F194" s="10" t="n"/>
      <c r="G194" s="10" t="n"/>
      <c r="H194" s="10" t="n"/>
      <c r="I194" s="10" t="n"/>
      <c r="J194" s="10" t="n"/>
      <c r="K194" s="10" t="n"/>
      <c r="L194" s="11" t="n"/>
      <c r="M194" s="11" t="n"/>
      <c r="N194" s="11" t="n"/>
      <c r="O194" s="11">
        <f>IF(OR(L194="",M194=""),"",IFERROR(INDEX(LAYOUT!$D$2:$D$80,MATCH(L194&amp;"|"&amp;M194,LAYOUT!$E$2:$E$80,0)),""))</f>
        <v/>
      </c>
      <c r="P194" s="12">
        <f>IF(AND(L194="",M194=""),IF(AND(Q194="",R194="",V194="",W194=""),IF(OR($D194&lt;&gt;"",$E194&lt;&gt;""),"Belum ditempatkan",""),""),IF(L194="","CEK JENIS FIXTURE kosong",IF(AND(LEFT(L194,7)&lt;&gt;"Gondola",LEFT(L194,6)&lt;&gt;"Endcap"),"CEK Fixture 1 hanya Gondola atau Endcap",IF(M194="","CEK SHELVING KE kosong",IF(ISNA(MATCH(L194&amp;"|"&amp;M194,LAYOUT!$E$2:$E$80,0)),"CEK SHELVING KE di luar layout",IF($I194="","CEK SERIES kosong",IF(AND(N194&lt;&gt;"",NOT(ISNUMBER(N194))),"CEK URUTAN DISPLAY harus angka",IF($D194="","Zona STOCK",IF($E194="","CEK SKU DESCRIPTION kosong",IF(COUNTIFS($I$2:$I$500,$I194,L$2:L$500,"&lt;&gt;"&amp;L194,L$2:L$500,"&lt;&gt;")&gt;0,"CEK jenis fixture beda dalam satu series","OK"))))))))))</f>
        <v/>
      </c>
      <c r="Q194" s="11" t="n"/>
      <c r="R194" s="11" t="n"/>
      <c r="S194" s="11" t="n"/>
      <c r="T194" s="11">
        <f>IF(OR(Q194="",R194=""),"",IFERROR(INDEX(LAYOUT!$D$2:$D$80,MATCH(Q194&amp;"|"&amp;R194,LAYOUT!$E$2:$E$80,0)),""))</f>
        <v/>
      </c>
      <c r="U194" s="12">
        <f>IF(AND(Q194="",R194=""),IF(AND(L194="",M194="",V194="",W194=""),IF(OR($D194&lt;&gt;"",$E194&lt;&gt;""),"Belum ditempatkan",""),""),IF(Q194="","CEK JENIS FIXTURE kosong",IF(LEFT(Q194,4)&lt;&gt;"Wall","CEK Fixture 2 hanya Wall",IF(R194="","CEK SHELVING KE kosong",IF(ISNA(MATCH(Q194&amp;"|"&amp;R194,LAYOUT!$E$2:$E$80,0)),"CEK SHELVING KE di luar layout",IF($I194="","CEK SERIES kosong",IF(AND(S194&lt;&gt;"",NOT(ISNUMBER(S194))),"CEK URUTAN DISPLAY harus angka",IF($D194="","Zona STOCK",IF($E194="","CEK SKU DESCRIPTION kosong",IF(COUNTIFS($I$2:$I$500,$I194,Q$2:Q$500,"&lt;&gt;"&amp;Q194,Q$2:Q$500,"&lt;&gt;")&gt;0,"CEK jenis fixture beda dalam satu series","OK"))))))))))</f>
        <v/>
      </c>
      <c r="V194" s="11" t="n"/>
      <c r="W194" s="11" t="n"/>
      <c r="X194" s="11" t="n"/>
      <c r="Y194" s="11">
        <f>IF(OR(V194="",W194=""),"",IFERROR(INDEX(LAYOUT!$D$2:$D$80,MATCH(V194&amp;"|"&amp;W194,LAYOUT!$E$2:$E$80,0)),""))</f>
        <v/>
      </c>
      <c r="Z194" s="12">
        <f>IF(AND(V194="",W194=""),IF(AND(L194="",M194="",Q194="",R194=""),IF(OR($D194&lt;&gt;"",$E194&lt;&gt;""),"Belum ditempatkan",""),""),IF(V194="","CEK JENIS FIXTURE kosong",IF(LEFT(V194,4)&lt;&gt;"Wall","CEK Fixture 3 hanya Wall",IF(W194="","CEK SHELVING KE kosong",IF(ISNA(MATCH(V194&amp;"|"&amp;W194,LAYOUT!$E$2:$E$80,0)),"CEK SHELVING KE di luar layout",IF($I194="","CEK SERIES kosong",IF(AND(X194&lt;&gt;"",NOT(ISNUMBER(X194))),"CEK URUTAN DISPLAY harus angka",IF($D194="","Zona STOCK",IF($E194="","CEK SKU DESCRIPTION kosong",IF(COUNTIFS($I$2:$I$500,$I194,V$2:V$500,"&lt;&gt;"&amp;V194,V$2:V$500,"&lt;&gt;")&gt;0,"CEK jenis fixture beda dalam satu series","OK"))))))))))</f>
        <v/>
      </c>
      <c r="AA194" s="12" t="n"/>
      <c r="AB194" s="11" t="n"/>
      <c r="AC194" s="11" t="n"/>
      <c r="AD194" s="11" t="n"/>
      <c r="AE194" s="11" t="n"/>
      <c r="AF194" s="11" t="n"/>
      <c r="AG194" s="11" t="n"/>
      <c r="AH194" s="12" t="n"/>
      <c r="AI194" s="12" t="n"/>
    </row>
    <row r="195">
      <c r="A195" s="10" t="n"/>
      <c r="B195" s="10" t="n"/>
      <c r="C195" s="10" t="n"/>
      <c r="D195" s="10" t="n"/>
      <c r="E195" s="10" t="n"/>
      <c r="F195" s="10" t="n"/>
      <c r="G195" s="10" t="n"/>
      <c r="H195" s="10" t="n"/>
      <c r="I195" s="10" t="n"/>
      <c r="J195" s="10" t="n"/>
      <c r="K195" s="10" t="n"/>
      <c r="L195" s="11" t="n"/>
      <c r="M195" s="11" t="n"/>
      <c r="N195" s="11" t="n"/>
      <c r="O195" s="11">
        <f>IF(OR(L195="",M195=""),"",IFERROR(INDEX(LAYOUT!$D$2:$D$80,MATCH(L195&amp;"|"&amp;M195,LAYOUT!$E$2:$E$80,0)),""))</f>
        <v/>
      </c>
      <c r="P195" s="12">
        <f>IF(AND(L195="",M195=""),IF(AND(Q195="",R195="",V195="",W195=""),IF(OR($D195&lt;&gt;"",$E195&lt;&gt;""),"Belum ditempatkan",""),""),IF(L195="","CEK JENIS FIXTURE kosong",IF(AND(LEFT(L195,7)&lt;&gt;"Gondola",LEFT(L195,6)&lt;&gt;"Endcap"),"CEK Fixture 1 hanya Gondola atau Endcap",IF(M195="","CEK SHELVING KE kosong",IF(ISNA(MATCH(L195&amp;"|"&amp;M195,LAYOUT!$E$2:$E$80,0)),"CEK SHELVING KE di luar layout",IF($I195="","CEK SERIES kosong",IF(AND(N195&lt;&gt;"",NOT(ISNUMBER(N195))),"CEK URUTAN DISPLAY harus angka",IF($D195="","Zona STOCK",IF($E195="","CEK SKU DESCRIPTION kosong",IF(COUNTIFS($I$2:$I$500,$I195,L$2:L$500,"&lt;&gt;"&amp;L195,L$2:L$500,"&lt;&gt;")&gt;0,"CEK jenis fixture beda dalam satu series","OK"))))))))))</f>
        <v/>
      </c>
      <c r="Q195" s="11" t="n"/>
      <c r="R195" s="11" t="n"/>
      <c r="S195" s="11" t="n"/>
      <c r="T195" s="11">
        <f>IF(OR(Q195="",R195=""),"",IFERROR(INDEX(LAYOUT!$D$2:$D$80,MATCH(Q195&amp;"|"&amp;R195,LAYOUT!$E$2:$E$80,0)),""))</f>
        <v/>
      </c>
      <c r="U195" s="12">
        <f>IF(AND(Q195="",R195=""),IF(AND(L195="",M195="",V195="",W195=""),IF(OR($D195&lt;&gt;"",$E195&lt;&gt;""),"Belum ditempatkan",""),""),IF(Q195="","CEK JENIS FIXTURE kosong",IF(LEFT(Q195,4)&lt;&gt;"Wall","CEK Fixture 2 hanya Wall",IF(R195="","CEK SHELVING KE kosong",IF(ISNA(MATCH(Q195&amp;"|"&amp;R195,LAYOUT!$E$2:$E$80,0)),"CEK SHELVING KE di luar layout",IF($I195="","CEK SERIES kosong",IF(AND(S195&lt;&gt;"",NOT(ISNUMBER(S195))),"CEK URUTAN DISPLAY harus angka",IF($D195="","Zona STOCK",IF($E195="","CEK SKU DESCRIPTION kosong",IF(COUNTIFS($I$2:$I$500,$I195,Q$2:Q$500,"&lt;&gt;"&amp;Q195,Q$2:Q$500,"&lt;&gt;")&gt;0,"CEK jenis fixture beda dalam satu series","OK"))))))))))</f>
        <v/>
      </c>
      <c r="V195" s="11" t="n"/>
      <c r="W195" s="11" t="n"/>
      <c r="X195" s="11" t="n"/>
      <c r="Y195" s="11">
        <f>IF(OR(V195="",W195=""),"",IFERROR(INDEX(LAYOUT!$D$2:$D$80,MATCH(V195&amp;"|"&amp;W195,LAYOUT!$E$2:$E$80,0)),""))</f>
        <v/>
      </c>
      <c r="Z195" s="12">
        <f>IF(AND(V195="",W195=""),IF(AND(L195="",M195="",Q195="",R195=""),IF(OR($D195&lt;&gt;"",$E195&lt;&gt;""),"Belum ditempatkan",""),""),IF(V195="","CEK JENIS FIXTURE kosong",IF(LEFT(V195,4)&lt;&gt;"Wall","CEK Fixture 3 hanya Wall",IF(W195="","CEK SHELVING KE kosong",IF(ISNA(MATCH(V195&amp;"|"&amp;W195,LAYOUT!$E$2:$E$80,0)),"CEK SHELVING KE di luar layout",IF($I195="","CEK SERIES kosong",IF(AND(X195&lt;&gt;"",NOT(ISNUMBER(X195))),"CEK URUTAN DISPLAY harus angka",IF($D195="","Zona STOCK",IF($E195="","CEK SKU DESCRIPTION kosong",IF(COUNTIFS($I$2:$I$500,$I195,V$2:V$500,"&lt;&gt;"&amp;V195,V$2:V$500,"&lt;&gt;")&gt;0,"CEK jenis fixture beda dalam satu series","OK"))))))))))</f>
        <v/>
      </c>
      <c r="AA195" s="12" t="n"/>
      <c r="AB195" s="11" t="n"/>
      <c r="AC195" s="11" t="n"/>
      <c r="AD195" s="11" t="n"/>
      <c r="AE195" s="11" t="n"/>
      <c r="AF195" s="11" t="n"/>
      <c r="AG195" s="11" t="n"/>
      <c r="AH195" s="12" t="n"/>
      <c r="AI195" s="12" t="n"/>
    </row>
    <row r="196">
      <c r="A196" s="10" t="n"/>
      <c r="B196" s="10" t="n"/>
      <c r="C196" s="10" t="n"/>
      <c r="D196" s="10" t="n"/>
      <c r="E196" s="10" t="n"/>
      <c r="F196" s="10" t="n"/>
      <c r="G196" s="10" t="n"/>
      <c r="H196" s="10" t="n"/>
      <c r="I196" s="10" t="n"/>
      <c r="J196" s="10" t="n"/>
      <c r="K196" s="10" t="n"/>
      <c r="L196" s="11" t="n"/>
      <c r="M196" s="11" t="n"/>
      <c r="N196" s="11" t="n"/>
      <c r="O196" s="11">
        <f>IF(OR(L196="",M196=""),"",IFERROR(INDEX(LAYOUT!$D$2:$D$80,MATCH(L196&amp;"|"&amp;M196,LAYOUT!$E$2:$E$80,0)),""))</f>
        <v/>
      </c>
      <c r="P196" s="12">
        <f>IF(AND(L196="",M196=""),IF(AND(Q196="",R196="",V196="",W196=""),IF(OR($D196&lt;&gt;"",$E196&lt;&gt;""),"Belum ditempatkan",""),""),IF(L196="","CEK JENIS FIXTURE kosong",IF(AND(LEFT(L196,7)&lt;&gt;"Gondola",LEFT(L196,6)&lt;&gt;"Endcap"),"CEK Fixture 1 hanya Gondola atau Endcap",IF(M196="","CEK SHELVING KE kosong",IF(ISNA(MATCH(L196&amp;"|"&amp;M196,LAYOUT!$E$2:$E$80,0)),"CEK SHELVING KE di luar layout",IF($I196="","CEK SERIES kosong",IF(AND(N196&lt;&gt;"",NOT(ISNUMBER(N196))),"CEK URUTAN DISPLAY harus angka",IF($D196="","Zona STOCK",IF($E196="","CEK SKU DESCRIPTION kosong",IF(COUNTIFS($I$2:$I$500,$I196,L$2:L$500,"&lt;&gt;"&amp;L196,L$2:L$500,"&lt;&gt;")&gt;0,"CEK jenis fixture beda dalam satu series","OK"))))))))))</f>
        <v/>
      </c>
      <c r="Q196" s="11" t="n"/>
      <c r="R196" s="11" t="n"/>
      <c r="S196" s="11" t="n"/>
      <c r="T196" s="11">
        <f>IF(OR(Q196="",R196=""),"",IFERROR(INDEX(LAYOUT!$D$2:$D$80,MATCH(Q196&amp;"|"&amp;R196,LAYOUT!$E$2:$E$80,0)),""))</f>
        <v/>
      </c>
      <c r="U196" s="12">
        <f>IF(AND(Q196="",R196=""),IF(AND(L196="",M196="",V196="",W196=""),IF(OR($D196&lt;&gt;"",$E196&lt;&gt;""),"Belum ditempatkan",""),""),IF(Q196="","CEK JENIS FIXTURE kosong",IF(LEFT(Q196,4)&lt;&gt;"Wall","CEK Fixture 2 hanya Wall",IF(R196="","CEK SHELVING KE kosong",IF(ISNA(MATCH(Q196&amp;"|"&amp;R196,LAYOUT!$E$2:$E$80,0)),"CEK SHELVING KE di luar layout",IF($I196="","CEK SERIES kosong",IF(AND(S196&lt;&gt;"",NOT(ISNUMBER(S196))),"CEK URUTAN DISPLAY harus angka",IF($D196="","Zona STOCK",IF($E196="","CEK SKU DESCRIPTION kosong",IF(COUNTIFS($I$2:$I$500,$I196,Q$2:Q$500,"&lt;&gt;"&amp;Q196,Q$2:Q$500,"&lt;&gt;")&gt;0,"CEK jenis fixture beda dalam satu series","OK"))))))))))</f>
        <v/>
      </c>
      <c r="V196" s="11" t="n"/>
      <c r="W196" s="11" t="n"/>
      <c r="X196" s="11" t="n"/>
      <c r="Y196" s="11">
        <f>IF(OR(V196="",W196=""),"",IFERROR(INDEX(LAYOUT!$D$2:$D$80,MATCH(V196&amp;"|"&amp;W196,LAYOUT!$E$2:$E$80,0)),""))</f>
        <v/>
      </c>
      <c r="Z196" s="12">
        <f>IF(AND(V196="",W196=""),IF(AND(L196="",M196="",Q196="",R196=""),IF(OR($D196&lt;&gt;"",$E196&lt;&gt;""),"Belum ditempatkan",""),""),IF(V196="","CEK JENIS FIXTURE kosong",IF(LEFT(V196,4)&lt;&gt;"Wall","CEK Fixture 3 hanya Wall",IF(W196="","CEK SHELVING KE kosong",IF(ISNA(MATCH(V196&amp;"|"&amp;W196,LAYOUT!$E$2:$E$80,0)),"CEK SHELVING KE di luar layout",IF($I196="","CEK SERIES kosong",IF(AND(X196&lt;&gt;"",NOT(ISNUMBER(X196))),"CEK URUTAN DISPLAY harus angka",IF($D196="","Zona STOCK",IF($E196="","CEK SKU DESCRIPTION kosong",IF(COUNTIFS($I$2:$I$500,$I196,V$2:V$500,"&lt;&gt;"&amp;V196,V$2:V$500,"&lt;&gt;")&gt;0,"CEK jenis fixture beda dalam satu series","OK"))))))))))</f>
        <v/>
      </c>
      <c r="AA196" s="12" t="n"/>
      <c r="AB196" s="11" t="n"/>
      <c r="AC196" s="11" t="n"/>
      <c r="AD196" s="11" t="n"/>
      <c r="AE196" s="11" t="n"/>
      <c r="AF196" s="11" t="n"/>
      <c r="AG196" s="11" t="n"/>
      <c r="AH196" s="12" t="n"/>
      <c r="AI196" s="12" t="n"/>
    </row>
    <row r="197">
      <c r="A197" s="10" t="n"/>
      <c r="B197" s="10" t="n"/>
      <c r="C197" s="10" t="n"/>
      <c r="D197" s="10" t="n"/>
      <c r="E197" s="10" t="n"/>
      <c r="F197" s="10" t="n"/>
      <c r="G197" s="10" t="n"/>
      <c r="H197" s="10" t="n"/>
      <c r="I197" s="10" t="n"/>
      <c r="J197" s="10" t="n"/>
      <c r="K197" s="10" t="n"/>
      <c r="L197" s="11" t="n"/>
      <c r="M197" s="11" t="n"/>
      <c r="N197" s="11" t="n"/>
      <c r="O197" s="11">
        <f>IF(OR(L197="",M197=""),"",IFERROR(INDEX(LAYOUT!$D$2:$D$80,MATCH(L197&amp;"|"&amp;M197,LAYOUT!$E$2:$E$80,0)),""))</f>
        <v/>
      </c>
      <c r="P197" s="12">
        <f>IF(AND(L197="",M197=""),IF(AND(Q197="",R197="",V197="",W197=""),IF(OR($D197&lt;&gt;"",$E197&lt;&gt;""),"Belum ditempatkan",""),""),IF(L197="","CEK JENIS FIXTURE kosong",IF(AND(LEFT(L197,7)&lt;&gt;"Gondola",LEFT(L197,6)&lt;&gt;"Endcap"),"CEK Fixture 1 hanya Gondola atau Endcap",IF(M197="","CEK SHELVING KE kosong",IF(ISNA(MATCH(L197&amp;"|"&amp;M197,LAYOUT!$E$2:$E$80,0)),"CEK SHELVING KE di luar layout",IF($I197="","CEK SERIES kosong",IF(AND(N197&lt;&gt;"",NOT(ISNUMBER(N197))),"CEK URUTAN DISPLAY harus angka",IF($D197="","Zona STOCK",IF($E197="","CEK SKU DESCRIPTION kosong",IF(COUNTIFS($I$2:$I$500,$I197,L$2:L$500,"&lt;&gt;"&amp;L197,L$2:L$500,"&lt;&gt;")&gt;0,"CEK jenis fixture beda dalam satu series","OK"))))))))))</f>
        <v/>
      </c>
      <c r="Q197" s="11" t="n"/>
      <c r="R197" s="11" t="n"/>
      <c r="S197" s="11" t="n"/>
      <c r="T197" s="11">
        <f>IF(OR(Q197="",R197=""),"",IFERROR(INDEX(LAYOUT!$D$2:$D$80,MATCH(Q197&amp;"|"&amp;R197,LAYOUT!$E$2:$E$80,0)),""))</f>
        <v/>
      </c>
      <c r="U197" s="12">
        <f>IF(AND(Q197="",R197=""),IF(AND(L197="",M197="",V197="",W197=""),IF(OR($D197&lt;&gt;"",$E197&lt;&gt;""),"Belum ditempatkan",""),""),IF(Q197="","CEK JENIS FIXTURE kosong",IF(LEFT(Q197,4)&lt;&gt;"Wall","CEK Fixture 2 hanya Wall",IF(R197="","CEK SHELVING KE kosong",IF(ISNA(MATCH(Q197&amp;"|"&amp;R197,LAYOUT!$E$2:$E$80,0)),"CEK SHELVING KE di luar layout",IF($I197="","CEK SERIES kosong",IF(AND(S197&lt;&gt;"",NOT(ISNUMBER(S197))),"CEK URUTAN DISPLAY harus angka",IF($D197="","Zona STOCK",IF($E197="","CEK SKU DESCRIPTION kosong",IF(COUNTIFS($I$2:$I$500,$I197,Q$2:Q$500,"&lt;&gt;"&amp;Q197,Q$2:Q$500,"&lt;&gt;")&gt;0,"CEK jenis fixture beda dalam satu series","OK"))))))))))</f>
        <v/>
      </c>
      <c r="V197" s="11" t="n"/>
      <c r="W197" s="11" t="n"/>
      <c r="X197" s="11" t="n"/>
      <c r="Y197" s="11">
        <f>IF(OR(V197="",W197=""),"",IFERROR(INDEX(LAYOUT!$D$2:$D$80,MATCH(V197&amp;"|"&amp;W197,LAYOUT!$E$2:$E$80,0)),""))</f>
        <v/>
      </c>
      <c r="Z197" s="12">
        <f>IF(AND(V197="",W197=""),IF(AND(L197="",M197="",Q197="",R197=""),IF(OR($D197&lt;&gt;"",$E197&lt;&gt;""),"Belum ditempatkan",""),""),IF(V197="","CEK JENIS FIXTURE kosong",IF(LEFT(V197,4)&lt;&gt;"Wall","CEK Fixture 3 hanya Wall",IF(W197="","CEK SHELVING KE kosong",IF(ISNA(MATCH(V197&amp;"|"&amp;W197,LAYOUT!$E$2:$E$80,0)),"CEK SHELVING KE di luar layout",IF($I197="","CEK SERIES kosong",IF(AND(X197&lt;&gt;"",NOT(ISNUMBER(X197))),"CEK URUTAN DISPLAY harus angka",IF($D197="","Zona STOCK",IF($E197="","CEK SKU DESCRIPTION kosong",IF(COUNTIFS($I$2:$I$500,$I197,V$2:V$500,"&lt;&gt;"&amp;V197,V$2:V$500,"&lt;&gt;")&gt;0,"CEK jenis fixture beda dalam satu series","OK"))))))))))</f>
        <v/>
      </c>
      <c r="AA197" s="12" t="n"/>
      <c r="AB197" s="11" t="n"/>
      <c r="AC197" s="11" t="n"/>
      <c r="AD197" s="11" t="n"/>
      <c r="AE197" s="11" t="n"/>
      <c r="AF197" s="11" t="n"/>
      <c r="AG197" s="11" t="n"/>
      <c r="AH197" s="12" t="n"/>
      <c r="AI197" s="12" t="n"/>
    </row>
    <row r="198">
      <c r="A198" s="10" t="n"/>
      <c r="B198" s="10" t="n"/>
      <c r="C198" s="10" t="n"/>
      <c r="D198" s="10" t="n"/>
      <c r="E198" s="10" t="n"/>
      <c r="F198" s="10" t="n"/>
      <c r="G198" s="10" t="n"/>
      <c r="H198" s="10" t="n"/>
      <c r="I198" s="10" t="n"/>
      <c r="J198" s="10" t="n"/>
      <c r="K198" s="10" t="n"/>
      <c r="L198" s="11" t="n"/>
      <c r="M198" s="11" t="n"/>
      <c r="N198" s="11" t="n"/>
      <c r="O198" s="11">
        <f>IF(OR(L198="",M198=""),"",IFERROR(INDEX(LAYOUT!$D$2:$D$80,MATCH(L198&amp;"|"&amp;M198,LAYOUT!$E$2:$E$80,0)),""))</f>
        <v/>
      </c>
      <c r="P198" s="12">
        <f>IF(AND(L198="",M198=""),IF(AND(Q198="",R198="",V198="",W198=""),IF(OR($D198&lt;&gt;"",$E198&lt;&gt;""),"Belum ditempatkan",""),""),IF(L198="","CEK JENIS FIXTURE kosong",IF(AND(LEFT(L198,7)&lt;&gt;"Gondola",LEFT(L198,6)&lt;&gt;"Endcap"),"CEK Fixture 1 hanya Gondola atau Endcap",IF(M198="","CEK SHELVING KE kosong",IF(ISNA(MATCH(L198&amp;"|"&amp;M198,LAYOUT!$E$2:$E$80,0)),"CEK SHELVING KE di luar layout",IF($I198="","CEK SERIES kosong",IF(AND(N198&lt;&gt;"",NOT(ISNUMBER(N198))),"CEK URUTAN DISPLAY harus angka",IF($D198="","Zona STOCK",IF($E198="","CEK SKU DESCRIPTION kosong",IF(COUNTIFS($I$2:$I$500,$I198,L$2:L$500,"&lt;&gt;"&amp;L198,L$2:L$500,"&lt;&gt;")&gt;0,"CEK jenis fixture beda dalam satu series","OK"))))))))))</f>
        <v/>
      </c>
      <c r="Q198" s="11" t="n"/>
      <c r="R198" s="11" t="n"/>
      <c r="S198" s="11" t="n"/>
      <c r="T198" s="11">
        <f>IF(OR(Q198="",R198=""),"",IFERROR(INDEX(LAYOUT!$D$2:$D$80,MATCH(Q198&amp;"|"&amp;R198,LAYOUT!$E$2:$E$80,0)),""))</f>
        <v/>
      </c>
      <c r="U198" s="12">
        <f>IF(AND(Q198="",R198=""),IF(AND(L198="",M198="",V198="",W198=""),IF(OR($D198&lt;&gt;"",$E198&lt;&gt;""),"Belum ditempatkan",""),""),IF(Q198="","CEK JENIS FIXTURE kosong",IF(LEFT(Q198,4)&lt;&gt;"Wall","CEK Fixture 2 hanya Wall",IF(R198="","CEK SHELVING KE kosong",IF(ISNA(MATCH(Q198&amp;"|"&amp;R198,LAYOUT!$E$2:$E$80,0)),"CEK SHELVING KE di luar layout",IF($I198="","CEK SERIES kosong",IF(AND(S198&lt;&gt;"",NOT(ISNUMBER(S198))),"CEK URUTAN DISPLAY harus angka",IF($D198="","Zona STOCK",IF($E198="","CEK SKU DESCRIPTION kosong",IF(COUNTIFS($I$2:$I$500,$I198,Q$2:Q$500,"&lt;&gt;"&amp;Q198,Q$2:Q$500,"&lt;&gt;")&gt;0,"CEK jenis fixture beda dalam satu series","OK"))))))))))</f>
        <v/>
      </c>
      <c r="V198" s="11" t="n"/>
      <c r="W198" s="11" t="n"/>
      <c r="X198" s="11" t="n"/>
      <c r="Y198" s="11">
        <f>IF(OR(V198="",W198=""),"",IFERROR(INDEX(LAYOUT!$D$2:$D$80,MATCH(V198&amp;"|"&amp;W198,LAYOUT!$E$2:$E$80,0)),""))</f>
        <v/>
      </c>
      <c r="Z198" s="12">
        <f>IF(AND(V198="",W198=""),IF(AND(L198="",M198="",Q198="",R198=""),IF(OR($D198&lt;&gt;"",$E198&lt;&gt;""),"Belum ditempatkan",""),""),IF(V198="","CEK JENIS FIXTURE kosong",IF(LEFT(V198,4)&lt;&gt;"Wall","CEK Fixture 3 hanya Wall",IF(W198="","CEK SHELVING KE kosong",IF(ISNA(MATCH(V198&amp;"|"&amp;W198,LAYOUT!$E$2:$E$80,0)),"CEK SHELVING KE di luar layout",IF($I198="","CEK SERIES kosong",IF(AND(X198&lt;&gt;"",NOT(ISNUMBER(X198))),"CEK URUTAN DISPLAY harus angka",IF($D198="","Zona STOCK",IF($E198="","CEK SKU DESCRIPTION kosong",IF(COUNTIFS($I$2:$I$500,$I198,V$2:V$500,"&lt;&gt;"&amp;V198,V$2:V$500,"&lt;&gt;")&gt;0,"CEK jenis fixture beda dalam satu series","OK"))))))))))</f>
        <v/>
      </c>
      <c r="AA198" s="12" t="n"/>
      <c r="AB198" s="11" t="n"/>
      <c r="AC198" s="11" t="n"/>
      <c r="AD198" s="11" t="n"/>
      <c r="AE198" s="11" t="n"/>
      <c r="AF198" s="11" t="n"/>
      <c r="AG198" s="11" t="n"/>
      <c r="AH198" s="12" t="n"/>
      <c r="AI198" s="12" t="n"/>
    </row>
    <row r="199">
      <c r="A199" s="10" t="n"/>
      <c r="B199" s="10" t="n"/>
      <c r="C199" s="10" t="n"/>
      <c r="D199" s="10" t="n"/>
      <c r="E199" s="10" t="n"/>
      <c r="F199" s="10" t="n"/>
      <c r="G199" s="10" t="n"/>
      <c r="H199" s="10" t="n"/>
      <c r="I199" s="10" t="n"/>
      <c r="J199" s="10" t="n"/>
      <c r="K199" s="10" t="n"/>
      <c r="L199" s="11" t="n"/>
      <c r="M199" s="11" t="n"/>
      <c r="N199" s="11" t="n"/>
      <c r="O199" s="11">
        <f>IF(OR(L199="",M199=""),"",IFERROR(INDEX(LAYOUT!$D$2:$D$80,MATCH(L199&amp;"|"&amp;M199,LAYOUT!$E$2:$E$80,0)),""))</f>
        <v/>
      </c>
      <c r="P199" s="12">
        <f>IF(AND(L199="",M199=""),IF(AND(Q199="",R199="",V199="",W199=""),IF(OR($D199&lt;&gt;"",$E199&lt;&gt;""),"Belum ditempatkan",""),""),IF(L199="","CEK JENIS FIXTURE kosong",IF(AND(LEFT(L199,7)&lt;&gt;"Gondola",LEFT(L199,6)&lt;&gt;"Endcap"),"CEK Fixture 1 hanya Gondola atau Endcap",IF(M199="","CEK SHELVING KE kosong",IF(ISNA(MATCH(L199&amp;"|"&amp;M199,LAYOUT!$E$2:$E$80,0)),"CEK SHELVING KE di luar layout",IF($I199="","CEK SERIES kosong",IF(AND(N199&lt;&gt;"",NOT(ISNUMBER(N199))),"CEK URUTAN DISPLAY harus angka",IF($D199="","Zona STOCK",IF($E199="","CEK SKU DESCRIPTION kosong",IF(COUNTIFS($I$2:$I$500,$I199,L$2:L$500,"&lt;&gt;"&amp;L199,L$2:L$500,"&lt;&gt;")&gt;0,"CEK jenis fixture beda dalam satu series","OK"))))))))))</f>
        <v/>
      </c>
      <c r="Q199" s="11" t="n"/>
      <c r="R199" s="11" t="n"/>
      <c r="S199" s="11" t="n"/>
      <c r="T199" s="11">
        <f>IF(OR(Q199="",R199=""),"",IFERROR(INDEX(LAYOUT!$D$2:$D$80,MATCH(Q199&amp;"|"&amp;R199,LAYOUT!$E$2:$E$80,0)),""))</f>
        <v/>
      </c>
      <c r="U199" s="12">
        <f>IF(AND(Q199="",R199=""),IF(AND(L199="",M199="",V199="",W199=""),IF(OR($D199&lt;&gt;"",$E199&lt;&gt;""),"Belum ditempatkan",""),""),IF(Q199="","CEK JENIS FIXTURE kosong",IF(LEFT(Q199,4)&lt;&gt;"Wall","CEK Fixture 2 hanya Wall",IF(R199="","CEK SHELVING KE kosong",IF(ISNA(MATCH(Q199&amp;"|"&amp;R199,LAYOUT!$E$2:$E$80,0)),"CEK SHELVING KE di luar layout",IF($I199="","CEK SERIES kosong",IF(AND(S199&lt;&gt;"",NOT(ISNUMBER(S199))),"CEK URUTAN DISPLAY harus angka",IF($D199="","Zona STOCK",IF($E199="","CEK SKU DESCRIPTION kosong",IF(COUNTIFS($I$2:$I$500,$I199,Q$2:Q$500,"&lt;&gt;"&amp;Q199,Q$2:Q$500,"&lt;&gt;")&gt;0,"CEK jenis fixture beda dalam satu series","OK"))))))))))</f>
        <v/>
      </c>
      <c r="V199" s="11" t="n"/>
      <c r="W199" s="11" t="n"/>
      <c r="X199" s="11" t="n"/>
      <c r="Y199" s="11">
        <f>IF(OR(V199="",W199=""),"",IFERROR(INDEX(LAYOUT!$D$2:$D$80,MATCH(V199&amp;"|"&amp;W199,LAYOUT!$E$2:$E$80,0)),""))</f>
        <v/>
      </c>
      <c r="Z199" s="12">
        <f>IF(AND(V199="",W199=""),IF(AND(L199="",M199="",Q199="",R199=""),IF(OR($D199&lt;&gt;"",$E199&lt;&gt;""),"Belum ditempatkan",""),""),IF(V199="","CEK JENIS FIXTURE kosong",IF(LEFT(V199,4)&lt;&gt;"Wall","CEK Fixture 3 hanya Wall",IF(W199="","CEK SHELVING KE kosong",IF(ISNA(MATCH(V199&amp;"|"&amp;W199,LAYOUT!$E$2:$E$80,0)),"CEK SHELVING KE di luar layout",IF($I199="","CEK SERIES kosong",IF(AND(X199&lt;&gt;"",NOT(ISNUMBER(X199))),"CEK URUTAN DISPLAY harus angka",IF($D199="","Zona STOCK",IF($E199="","CEK SKU DESCRIPTION kosong",IF(COUNTIFS($I$2:$I$500,$I199,V$2:V$500,"&lt;&gt;"&amp;V199,V$2:V$500,"&lt;&gt;")&gt;0,"CEK jenis fixture beda dalam satu series","OK"))))))))))</f>
        <v/>
      </c>
      <c r="AA199" s="12" t="n"/>
      <c r="AB199" s="11" t="n"/>
      <c r="AC199" s="11" t="n"/>
      <c r="AD199" s="11" t="n"/>
      <c r="AE199" s="11" t="n"/>
      <c r="AF199" s="11" t="n"/>
      <c r="AG199" s="11" t="n"/>
      <c r="AH199" s="12" t="n"/>
      <c r="AI199" s="12" t="n"/>
    </row>
    <row r="200">
      <c r="A200" s="10" t="n"/>
      <c r="B200" s="10" t="n"/>
      <c r="C200" s="10" t="n"/>
      <c r="D200" s="10" t="n"/>
      <c r="E200" s="10" t="n"/>
      <c r="F200" s="10" t="n"/>
      <c r="G200" s="10" t="n"/>
      <c r="H200" s="10" t="n"/>
      <c r="I200" s="10" t="n"/>
      <c r="J200" s="10" t="n"/>
      <c r="K200" s="10" t="n"/>
      <c r="L200" s="11" t="n"/>
      <c r="M200" s="11" t="n"/>
      <c r="N200" s="11" t="n"/>
      <c r="O200" s="11">
        <f>IF(OR(L200="",M200=""),"",IFERROR(INDEX(LAYOUT!$D$2:$D$80,MATCH(L200&amp;"|"&amp;M200,LAYOUT!$E$2:$E$80,0)),""))</f>
        <v/>
      </c>
      <c r="P200" s="12">
        <f>IF(AND(L200="",M200=""),IF(AND(Q200="",R200="",V200="",W200=""),IF(OR($D200&lt;&gt;"",$E200&lt;&gt;""),"Belum ditempatkan",""),""),IF(L200="","CEK JENIS FIXTURE kosong",IF(AND(LEFT(L200,7)&lt;&gt;"Gondola",LEFT(L200,6)&lt;&gt;"Endcap"),"CEK Fixture 1 hanya Gondola atau Endcap",IF(M200="","CEK SHELVING KE kosong",IF(ISNA(MATCH(L200&amp;"|"&amp;M200,LAYOUT!$E$2:$E$80,0)),"CEK SHELVING KE di luar layout",IF($I200="","CEK SERIES kosong",IF(AND(N200&lt;&gt;"",NOT(ISNUMBER(N200))),"CEK URUTAN DISPLAY harus angka",IF($D200="","Zona STOCK",IF($E200="","CEK SKU DESCRIPTION kosong",IF(COUNTIFS($I$2:$I$500,$I200,L$2:L$500,"&lt;&gt;"&amp;L200,L$2:L$500,"&lt;&gt;")&gt;0,"CEK jenis fixture beda dalam satu series","OK"))))))))))</f>
        <v/>
      </c>
      <c r="Q200" s="11" t="n"/>
      <c r="R200" s="11" t="n"/>
      <c r="S200" s="11" t="n"/>
      <c r="T200" s="11">
        <f>IF(OR(Q200="",R200=""),"",IFERROR(INDEX(LAYOUT!$D$2:$D$80,MATCH(Q200&amp;"|"&amp;R200,LAYOUT!$E$2:$E$80,0)),""))</f>
        <v/>
      </c>
      <c r="U200" s="12">
        <f>IF(AND(Q200="",R200=""),IF(AND(L200="",M200="",V200="",W200=""),IF(OR($D200&lt;&gt;"",$E200&lt;&gt;""),"Belum ditempatkan",""),""),IF(Q200="","CEK JENIS FIXTURE kosong",IF(LEFT(Q200,4)&lt;&gt;"Wall","CEK Fixture 2 hanya Wall",IF(R200="","CEK SHELVING KE kosong",IF(ISNA(MATCH(Q200&amp;"|"&amp;R200,LAYOUT!$E$2:$E$80,0)),"CEK SHELVING KE di luar layout",IF($I200="","CEK SERIES kosong",IF(AND(S200&lt;&gt;"",NOT(ISNUMBER(S200))),"CEK URUTAN DISPLAY harus angka",IF($D200="","Zona STOCK",IF($E200="","CEK SKU DESCRIPTION kosong",IF(COUNTIFS($I$2:$I$500,$I200,Q$2:Q$500,"&lt;&gt;"&amp;Q200,Q$2:Q$500,"&lt;&gt;")&gt;0,"CEK jenis fixture beda dalam satu series","OK"))))))))))</f>
        <v/>
      </c>
      <c r="V200" s="11" t="n"/>
      <c r="W200" s="11" t="n"/>
      <c r="X200" s="11" t="n"/>
      <c r="Y200" s="11">
        <f>IF(OR(V200="",W200=""),"",IFERROR(INDEX(LAYOUT!$D$2:$D$80,MATCH(V200&amp;"|"&amp;W200,LAYOUT!$E$2:$E$80,0)),""))</f>
        <v/>
      </c>
      <c r="Z200" s="12">
        <f>IF(AND(V200="",W200=""),IF(AND(L200="",M200="",Q200="",R200=""),IF(OR($D200&lt;&gt;"",$E200&lt;&gt;""),"Belum ditempatkan",""),""),IF(V200="","CEK JENIS FIXTURE kosong",IF(LEFT(V200,4)&lt;&gt;"Wall","CEK Fixture 3 hanya Wall",IF(W200="","CEK SHELVING KE kosong",IF(ISNA(MATCH(V200&amp;"|"&amp;W200,LAYOUT!$E$2:$E$80,0)),"CEK SHELVING KE di luar layout",IF($I200="","CEK SERIES kosong",IF(AND(X200&lt;&gt;"",NOT(ISNUMBER(X200))),"CEK URUTAN DISPLAY harus angka",IF($D200="","Zona STOCK",IF($E200="","CEK SKU DESCRIPTION kosong",IF(COUNTIFS($I$2:$I$500,$I200,V$2:V$500,"&lt;&gt;"&amp;V200,V$2:V$500,"&lt;&gt;")&gt;0,"CEK jenis fixture beda dalam satu series","OK"))))))))))</f>
        <v/>
      </c>
      <c r="AA200" s="12" t="n"/>
      <c r="AB200" s="11" t="n"/>
      <c r="AC200" s="11" t="n"/>
      <c r="AD200" s="11" t="n"/>
      <c r="AE200" s="11" t="n"/>
      <c r="AF200" s="11" t="n"/>
      <c r="AG200" s="11" t="n"/>
      <c r="AH200" s="12" t="n"/>
      <c r="AI200" s="12" t="n"/>
    </row>
    <row r="201">
      <c r="A201" s="10" t="n"/>
      <c r="B201" s="10" t="n"/>
      <c r="C201" s="10" t="n"/>
      <c r="D201" s="10" t="n"/>
      <c r="E201" s="10" t="n"/>
      <c r="F201" s="10" t="n"/>
      <c r="G201" s="10" t="n"/>
      <c r="H201" s="10" t="n"/>
      <c r="I201" s="10" t="n"/>
      <c r="J201" s="10" t="n"/>
      <c r="K201" s="10" t="n"/>
      <c r="L201" s="11" t="n"/>
      <c r="M201" s="11" t="n"/>
      <c r="N201" s="11" t="n"/>
      <c r="O201" s="11">
        <f>IF(OR(L201="",M201=""),"",IFERROR(INDEX(LAYOUT!$D$2:$D$80,MATCH(L201&amp;"|"&amp;M201,LAYOUT!$E$2:$E$80,0)),""))</f>
        <v/>
      </c>
      <c r="P201" s="12">
        <f>IF(AND(L201="",M201=""),IF(AND(Q201="",R201="",V201="",W201=""),IF(OR($D201&lt;&gt;"",$E201&lt;&gt;""),"Belum ditempatkan",""),""),IF(L201="","CEK JENIS FIXTURE kosong",IF(AND(LEFT(L201,7)&lt;&gt;"Gondola",LEFT(L201,6)&lt;&gt;"Endcap"),"CEK Fixture 1 hanya Gondola atau Endcap",IF(M201="","CEK SHELVING KE kosong",IF(ISNA(MATCH(L201&amp;"|"&amp;M201,LAYOUT!$E$2:$E$80,0)),"CEK SHELVING KE di luar layout",IF($I201="","CEK SERIES kosong",IF(AND(N201&lt;&gt;"",NOT(ISNUMBER(N201))),"CEK URUTAN DISPLAY harus angka",IF($D201="","Zona STOCK",IF($E201="","CEK SKU DESCRIPTION kosong",IF(COUNTIFS($I$2:$I$500,$I201,L$2:L$500,"&lt;&gt;"&amp;L201,L$2:L$500,"&lt;&gt;")&gt;0,"CEK jenis fixture beda dalam satu series","OK"))))))))))</f>
        <v/>
      </c>
      <c r="Q201" s="11" t="n"/>
      <c r="R201" s="11" t="n"/>
      <c r="S201" s="11" t="n"/>
      <c r="T201" s="11">
        <f>IF(OR(Q201="",R201=""),"",IFERROR(INDEX(LAYOUT!$D$2:$D$80,MATCH(Q201&amp;"|"&amp;R201,LAYOUT!$E$2:$E$80,0)),""))</f>
        <v/>
      </c>
      <c r="U201" s="12">
        <f>IF(AND(Q201="",R201=""),IF(AND(L201="",M201="",V201="",W201=""),IF(OR($D201&lt;&gt;"",$E201&lt;&gt;""),"Belum ditempatkan",""),""),IF(Q201="","CEK JENIS FIXTURE kosong",IF(LEFT(Q201,4)&lt;&gt;"Wall","CEK Fixture 2 hanya Wall",IF(R201="","CEK SHELVING KE kosong",IF(ISNA(MATCH(Q201&amp;"|"&amp;R201,LAYOUT!$E$2:$E$80,0)),"CEK SHELVING KE di luar layout",IF($I201="","CEK SERIES kosong",IF(AND(S201&lt;&gt;"",NOT(ISNUMBER(S201))),"CEK URUTAN DISPLAY harus angka",IF($D201="","Zona STOCK",IF($E201="","CEK SKU DESCRIPTION kosong",IF(COUNTIFS($I$2:$I$500,$I201,Q$2:Q$500,"&lt;&gt;"&amp;Q201,Q$2:Q$500,"&lt;&gt;")&gt;0,"CEK jenis fixture beda dalam satu series","OK"))))))))))</f>
        <v/>
      </c>
      <c r="V201" s="11" t="n"/>
      <c r="W201" s="11" t="n"/>
      <c r="X201" s="11" t="n"/>
      <c r="Y201" s="11">
        <f>IF(OR(V201="",W201=""),"",IFERROR(INDEX(LAYOUT!$D$2:$D$80,MATCH(V201&amp;"|"&amp;W201,LAYOUT!$E$2:$E$80,0)),""))</f>
        <v/>
      </c>
      <c r="Z201" s="12">
        <f>IF(AND(V201="",W201=""),IF(AND(L201="",M201="",Q201="",R201=""),IF(OR($D201&lt;&gt;"",$E201&lt;&gt;""),"Belum ditempatkan",""),""),IF(V201="","CEK JENIS FIXTURE kosong",IF(LEFT(V201,4)&lt;&gt;"Wall","CEK Fixture 3 hanya Wall",IF(W201="","CEK SHELVING KE kosong",IF(ISNA(MATCH(V201&amp;"|"&amp;W201,LAYOUT!$E$2:$E$80,0)),"CEK SHELVING KE di luar layout",IF($I201="","CEK SERIES kosong",IF(AND(X201&lt;&gt;"",NOT(ISNUMBER(X201))),"CEK URUTAN DISPLAY harus angka",IF($D201="","Zona STOCK",IF($E201="","CEK SKU DESCRIPTION kosong",IF(COUNTIFS($I$2:$I$500,$I201,V$2:V$500,"&lt;&gt;"&amp;V201,V$2:V$500,"&lt;&gt;")&gt;0,"CEK jenis fixture beda dalam satu series","OK"))))))))))</f>
        <v/>
      </c>
      <c r="AA201" s="12" t="n"/>
      <c r="AB201" s="11" t="n"/>
      <c r="AC201" s="11" t="n"/>
      <c r="AD201" s="11" t="n"/>
      <c r="AE201" s="11" t="n"/>
      <c r="AF201" s="11" t="n"/>
      <c r="AG201" s="11" t="n"/>
      <c r="AH201" s="12" t="n"/>
      <c r="AI201" s="12" t="n"/>
    </row>
    <row r="202">
      <c r="A202" s="10" t="n"/>
      <c r="B202" s="10" t="n"/>
      <c r="C202" s="10" t="n"/>
      <c r="D202" s="10" t="n"/>
      <c r="E202" s="10" t="n"/>
      <c r="F202" s="10" t="n"/>
      <c r="G202" s="10" t="n"/>
      <c r="H202" s="10" t="n"/>
      <c r="I202" s="10" t="n"/>
      <c r="J202" s="10" t="n"/>
      <c r="K202" s="10" t="n"/>
      <c r="L202" s="11" t="n"/>
      <c r="M202" s="11" t="n"/>
      <c r="N202" s="11" t="n"/>
      <c r="O202" s="11">
        <f>IF(OR(L202="",M202=""),"",IFERROR(INDEX(LAYOUT!$D$2:$D$80,MATCH(L202&amp;"|"&amp;M202,LAYOUT!$E$2:$E$80,0)),""))</f>
        <v/>
      </c>
      <c r="P202" s="12">
        <f>IF(AND(L202="",M202=""),IF(AND(Q202="",R202="",V202="",W202=""),IF(OR($D202&lt;&gt;"",$E202&lt;&gt;""),"Belum ditempatkan",""),""),IF(L202="","CEK JENIS FIXTURE kosong",IF(AND(LEFT(L202,7)&lt;&gt;"Gondola",LEFT(L202,6)&lt;&gt;"Endcap"),"CEK Fixture 1 hanya Gondola atau Endcap",IF(M202="","CEK SHELVING KE kosong",IF(ISNA(MATCH(L202&amp;"|"&amp;M202,LAYOUT!$E$2:$E$80,0)),"CEK SHELVING KE di luar layout",IF($I202="","CEK SERIES kosong",IF(AND(N202&lt;&gt;"",NOT(ISNUMBER(N202))),"CEK URUTAN DISPLAY harus angka",IF($D202="","Zona STOCK",IF($E202="","CEK SKU DESCRIPTION kosong",IF(COUNTIFS($I$2:$I$500,$I202,L$2:L$500,"&lt;&gt;"&amp;L202,L$2:L$500,"&lt;&gt;")&gt;0,"CEK jenis fixture beda dalam satu series","OK"))))))))))</f>
        <v/>
      </c>
      <c r="Q202" s="11" t="n"/>
      <c r="R202" s="11" t="n"/>
      <c r="S202" s="11" t="n"/>
      <c r="T202" s="11">
        <f>IF(OR(Q202="",R202=""),"",IFERROR(INDEX(LAYOUT!$D$2:$D$80,MATCH(Q202&amp;"|"&amp;R202,LAYOUT!$E$2:$E$80,0)),""))</f>
        <v/>
      </c>
      <c r="U202" s="12">
        <f>IF(AND(Q202="",R202=""),IF(AND(L202="",M202="",V202="",W202=""),IF(OR($D202&lt;&gt;"",$E202&lt;&gt;""),"Belum ditempatkan",""),""),IF(Q202="","CEK JENIS FIXTURE kosong",IF(LEFT(Q202,4)&lt;&gt;"Wall","CEK Fixture 2 hanya Wall",IF(R202="","CEK SHELVING KE kosong",IF(ISNA(MATCH(Q202&amp;"|"&amp;R202,LAYOUT!$E$2:$E$80,0)),"CEK SHELVING KE di luar layout",IF($I202="","CEK SERIES kosong",IF(AND(S202&lt;&gt;"",NOT(ISNUMBER(S202))),"CEK URUTAN DISPLAY harus angka",IF($D202="","Zona STOCK",IF($E202="","CEK SKU DESCRIPTION kosong",IF(COUNTIFS($I$2:$I$500,$I202,Q$2:Q$500,"&lt;&gt;"&amp;Q202,Q$2:Q$500,"&lt;&gt;")&gt;0,"CEK jenis fixture beda dalam satu series","OK"))))))))))</f>
        <v/>
      </c>
      <c r="V202" s="11" t="n"/>
      <c r="W202" s="11" t="n"/>
      <c r="X202" s="11" t="n"/>
      <c r="Y202" s="11">
        <f>IF(OR(V202="",W202=""),"",IFERROR(INDEX(LAYOUT!$D$2:$D$80,MATCH(V202&amp;"|"&amp;W202,LAYOUT!$E$2:$E$80,0)),""))</f>
        <v/>
      </c>
      <c r="Z202" s="12">
        <f>IF(AND(V202="",W202=""),IF(AND(L202="",M202="",Q202="",R202=""),IF(OR($D202&lt;&gt;"",$E202&lt;&gt;""),"Belum ditempatkan",""),""),IF(V202="","CEK JENIS FIXTURE kosong",IF(LEFT(V202,4)&lt;&gt;"Wall","CEK Fixture 3 hanya Wall",IF(W202="","CEK SHELVING KE kosong",IF(ISNA(MATCH(V202&amp;"|"&amp;W202,LAYOUT!$E$2:$E$80,0)),"CEK SHELVING KE di luar layout",IF($I202="","CEK SERIES kosong",IF(AND(X202&lt;&gt;"",NOT(ISNUMBER(X202))),"CEK URUTAN DISPLAY harus angka",IF($D202="","Zona STOCK",IF($E202="","CEK SKU DESCRIPTION kosong",IF(COUNTIFS($I$2:$I$500,$I202,V$2:V$500,"&lt;&gt;"&amp;V202,V$2:V$500,"&lt;&gt;")&gt;0,"CEK jenis fixture beda dalam satu series","OK"))))))))))</f>
        <v/>
      </c>
      <c r="AA202" s="12" t="n"/>
      <c r="AB202" s="11" t="n"/>
      <c r="AC202" s="11" t="n"/>
      <c r="AD202" s="11" t="n"/>
      <c r="AE202" s="11" t="n"/>
      <c r="AF202" s="11" t="n"/>
      <c r="AG202" s="11" t="n"/>
      <c r="AH202" s="12" t="n"/>
      <c r="AI202" s="12" t="n"/>
    </row>
    <row r="203">
      <c r="A203" s="10" t="n"/>
      <c r="B203" s="10" t="n"/>
      <c r="C203" s="10" t="n"/>
      <c r="D203" s="10" t="n"/>
      <c r="E203" s="10" t="n"/>
      <c r="F203" s="10" t="n"/>
      <c r="G203" s="10" t="n"/>
      <c r="H203" s="10" t="n"/>
      <c r="I203" s="10" t="n"/>
      <c r="J203" s="10" t="n"/>
      <c r="K203" s="10" t="n"/>
      <c r="L203" s="11" t="n"/>
      <c r="M203" s="11" t="n"/>
      <c r="N203" s="11" t="n"/>
      <c r="O203" s="11">
        <f>IF(OR(L203="",M203=""),"",IFERROR(INDEX(LAYOUT!$D$2:$D$80,MATCH(L203&amp;"|"&amp;M203,LAYOUT!$E$2:$E$80,0)),""))</f>
        <v/>
      </c>
      <c r="P203" s="12">
        <f>IF(AND(L203="",M203=""),IF(AND(Q203="",R203="",V203="",W203=""),IF(OR($D203&lt;&gt;"",$E203&lt;&gt;""),"Belum ditempatkan",""),""),IF(L203="","CEK JENIS FIXTURE kosong",IF(AND(LEFT(L203,7)&lt;&gt;"Gondola",LEFT(L203,6)&lt;&gt;"Endcap"),"CEK Fixture 1 hanya Gondola atau Endcap",IF(M203="","CEK SHELVING KE kosong",IF(ISNA(MATCH(L203&amp;"|"&amp;M203,LAYOUT!$E$2:$E$80,0)),"CEK SHELVING KE di luar layout",IF($I203="","CEK SERIES kosong",IF(AND(N203&lt;&gt;"",NOT(ISNUMBER(N203))),"CEK URUTAN DISPLAY harus angka",IF($D203="","Zona STOCK",IF($E203="","CEK SKU DESCRIPTION kosong",IF(COUNTIFS($I$2:$I$500,$I203,L$2:L$500,"&lt;&gt;"&amp;L203,L$2:L$500,"&lt;&gt;")&gt;0,"CEK jenis fixture beda dalam satu series","OK"))))))))))</f>
        <v/>
      </c>
      <c r="Q203" s="11" t="n"/>
      <c r="R203" s="11" t="n"/>
      <c r="S203" s="11" t="n"/>
      <c r="T203" s="11">
        <f>IF(OR(Q203="",R203=""),"",IFERROR(INDEX(LAYOUT!$D$2:$D$80,MATCH(Q203&amp;"|"&amp;R203,LAYOUT!$E$2:$E$80,0)),""))</f>
        <v/>
      </c>
      <c r="U203" s="12">
        <f>IF(AND(Q203="",R203=""),IF(AND(L203="",M203="",V203="",W203=""),IF(OR($D203&lt;&gt;"",$E203&lt;&gt;""),"Belum ditempatkan",""),""),IF(Q203="","CEK JENIS FIXTURE kosong",IF(LEFT(Q203,4)&lt;&gt;"Wall","CEK Fixture 2 hanya Wall",IF(R203="","CEK SHELVING KE kosong",IF(ISNA(MATCH(Q203&amp;"|"&amp;R203,LAYOUT!$E$2:$E$80,0)),"CEK SHELVING KE di luar layout",IF($I203="","CEK SERIES kosong",IF(AND(S203&lt;&gt;"",NOT(ISNUMBER(S203))),"CEK URUTAN DISPLAY harus angka",IF($D203="","Zona STOCK",IF($E203="","CEK SKU DESCRIPTION kosong",IF(COUNTIFS($I$2:$I$500,$I203,Q$2:Q$500,"&lt;&gt;"&amp;Q203,Q$2:Q$500,"&lt;&gt;")&gt;0,"CEK jenis fixture beda dalam satu series","OK"))))))))))</f>
        <v/>
      </c>
      <c r="V203" s="11" t="n"/>
      <c r="W203" s="11" t="n"/>
      <c r="X203" s="11" t="n"/>
      <c r="Y203" s="11">
        <f>IF(OR(V203="",W203=""),"",IFERROR(INDEX(LAYOUT!$D$2:$D$80,MATCH(V203&amp;"|"&amp;W203,LAYOUT!$E$2:$E$80,0)),""))</f>
        <v/>
      </c>
      <c r="Z203" s="12">
        <f>IF(AND(V203="",W203=""),IF(AND(L203="",M203="",Q203="",R203=""),IF(OR($D203&lt;&gt;"",$E203&lt;&gt;""),"Belum ditempatkan",""),""),IF(V203="","CEK JENIS FIXTURE kosong",IF(LEFT(V203,4)&lt;&gt;"Wall","CEK Fixture 3 hanya Wall",IF(W203="","CEK SHELVING KE kosong",IF(ISNA(MATCH(V203&amp;"|"&amp;W203,LAYOUT!$E$2:$E$80,0)),"CEK SHELVING KE di luar layout",IF($I203="","CEK SERIES kosong",IF(AND(X203&lt;&gt;"",NOT(ISNUMBER(X203))),"CEK URUTAN DISPLAY harus angka",IF($D203="","Zona STOCK",IF($E203="","CEK SKU DESCRIPTION kosong",IF(COUNTIFS($I$2:$I$500,$I203,V$2:V$500,"&lt;&gt;"&amp;V203,V$2:V$500,"&lt;&gt;")&gt;0,"CEK jenis fixture beda dalam satu series","OK"))))))))))</f>
        <v/>
      </c>
      <c r="AA203" s="12" t="n"/>
      <c r="AB203" s="11" t="n"/>
      <c r="AC203" s="11" t="n"/>
      <c r="AD203" s="11" t="n"/>
      <c r="AE203" s="11" t="n"/>
      <c r="AF203" s="11" t="n"/>
      <c r="AG203" s="11" t="n"/>
      <c r="AH203" s="12" t="n"/>
      <c r="AI203" s="12" t="n"/>
    </row>
    <row r="204">
      <c r="A204" s="10" t="n"/>
      <c r="B204" s="10" t="n"/>
      <c r="C204" s="10" t="n"/>
      <c r="D204" s="10" t="n"/>
      <c r="E204" s="10" t="n"/>
      <c r="F204" s="10" t="n"/>
      <c r="G204" s="10" t="n"/>
      <c r="H204" s="10" t="n"/>
      <c r="I204" s="10" t="n"/>
      <c r="J204" s="10" t="n"/>
      <c r="K204" s="10" t="n"/>
      <c r="L204" s="11" t="n"/>
      <c r="M204" s="11" t="n"/>
      <c r="N204" s="11" t="n"/>
      <c r="O204" s="11">
        <f>IF(OR(L204="",M204=""),"",IFERROR(INDEX(LAYOUT!$D$2:$D$80,MATCH(L204&amp;"|"&amp;M204,LAYOUT!$E$2:$E$80,0)),""))</f>
        <v/>
      </c>
      <c r="P204" s="12">
        <f>IF(AND(L204="",M204=""),IF(AND(Q204="",R204="",V204="",W204=""),IF(OR($D204&lt;&gt;"",$E204&lt;&gt;""),"Belum ditempatkan",""),""),IF(L204="","CEK JENIS FIXTURE kosong",IF(AND(LEFT(L204,7)&lt;&gt;"Gondola",LEFT(L204,6)&lt;&gt;"Endcap"),"CEK Fixture 1 hanya Gondola atau Endcap",IF(M204="","CEK SHELVING KE kosong",IF(ISNA(MATCH(L204&amp;"|"&amp;M204,LAYOUT!$E$2:$E$80,0)),"CEK SHELVING KE di luar layout",IF($I204="","CEK SERIES kosong",IF(AND(N204&lt;&gt;"",NOT(ISNUMBER(N204))),"CEK URUTAN DISPLAY harus angka",IF($D204="","Zona STOCK",IF($E204="","CEK SKU DESCRIPTION kosong",IF(COUNTIFS($I$2:$I$500,$I204,L$2:L$500,"&lt;&gt;"&amp;L204,L$2:L$500,"&lt;&gt;")&gt;0,"CEK jenis fixture beda dalam satu series","OK"))))))))))</f>
        <v/>
      </c>
      <c r="Q204" s="11" t="n"/>
      <c r="R204" s="11" t="n"/>
      <c r="S204" s="11" t="n"/>
      <c r="T204" s="11">
        <f>IF(OR(Q204="",R204=""),"",IFERROR(INDEX(LAYOUT!$D$2:$D$80,MATCH(Q204&amp;"|"&amp;R204,LAYOUT!$E$2:$E$80,0)),""))</f>
        <v/>
      </c>
      <c r="U204" s="12">
        <f>IF(AND(Q204="",R204=""),IF(AND(L204="",M204="",V204="",W204=""),IF(OR($D204&lt;&gt;"",$E204&lt;&gt;""),"Belum ditempatkan",""),""),IF(Q204="","CEK JENIS FIXTURE kosong",IF(LEFT(Q204,4)&lt;&gt;"Wall","CEK Fixture 2 hanya Wall",IF(R204="","CEK SHELVING KE kosong",IF(ISNA(MATCH(Q204&amp;"|"&amp;R204,LAYOUT!$E$2:$E$80,0)),"CEK SHELVING KE di luar layout",IF($I204="","CEK SERIES kosong",IF(AND(S204&lt;&gt;"",NOT(ISNUMBER(S204))),"CEK URUTAN DISPLAY harus angka",IF($D204="","Zona STOCK",IF($E204="","CEK SKU DESCRIPTION kosong",IF(COUNTIFS($I$2:$I$500,$I204,Q$2:Q$500,"&lt;&gt;"&amp;Q204,Q$2:Q$500,"&lt;&gt;")&gt;0,"CEK jenis fixture beda dalam satu series","OK"))))))))))</f>
        <v/>
      </c>
      <c r="V204" s="11" t="n"/>
      <c r="W204" s="11" t="n"/>
      <c r="X204" s="11" t="n"/>
      <c r="Y204" s="11">
        <f>IF(OR(V204="",W204=""),"",IFERROR(INDEX(LAYOUT!$D$2:$D$80,MATCH(V204&amp;"|"&amp;W204,LAYOUT!$E$2:$E$80,0)),""))</f>
        <v/>
      </c>
      <c r="Z204" s="12">
        <f>IF(AND(V204="",W204=""),IF(AND(L204="",M204="",Q204="",R204=""),IF(OR($D204&lt;&gt;"",$E204&lt;&gt;""),"Belum ditempatkan",""),""),IF(V204="","CEK JENIS FIXTURE kosong",IF(LEFT(V204,4)&lt;&gt;"Wall","CEK Fixture 3 hanya Wall",IF(W204="","CEK SHELVING KE kosong",IF(ISNA(MATCH(V204&amp;"|"&amp;W204,LAYOUT!$E$2:$E$80,0)),"CEK SHELVING KE di luar layout",IF($I204="","CEK SERIES kosong",IF(AND(X204&lt;&gt;"",NOT(ISNUMBER(X204))),"CEK URUTAN DISPLAY harus angka",IF($D204="","Zona STOCK",IF($E204="","CEK SKU DESCRIPTION kosong",IF(COUNTIFS($I$2:$I$500,$I204,V$2:V$500,"&lt;&gt;"&amp;V204,V$2:V$500,"&lt;&gt;")&gt;0,"CEK jenis fixture beda dalam satu series","OK"))))))))))</f>
        <v/>
      </c>
      <c r="AA204" s="12" t="n"/>
      <c r="AB204" s="11" t="n"/>
      <c r="AC204" s="11" t="n"/>
      <c r="AD204" s="11" t="n"/>
      <c r="AE204" s="11" t="n"/>
      <c r="AF204" s="11" t="n"/>
      <c r="AG204" s="11" t="n"/>
      <c r="AH204" s="12" t="n"/>
      <c r="AI204" s="12" t="n"/>
    </row>
    <row r="205">
      <c r="A205" s="10" t="n"/>
      <c r="B205" s="10" t="n"/>
      <c r="C205" s="10" t="n"/>
      <c r="D205" s="10" t="n"/>
      <c r="E205" s="10" t="n"/>
      <c r="F205" s="10" t="n"/>
      <c r="G205" s="10" t="n"/>
      <c r="H205" s="10" t="n"/>
      <c r="I205" s="10" t="n"/>
      <c r="J205" s="10" t="n"/>
      <c r="K205" s="10" t="n"/>
      <c r="L205" s="11" t="n"/>
      <c r="M205" s="11" t="n"/>
      <c r="N205" s="11" t="n"/>
      <c r="O205" s="11">
        <f>IF(OR(L205="",M205=""),"",IFERROR(INDEX(LAYOUT!$D$2:$D$80,MATCH(L205&amp;"|"&amp;M205,LAYOUT!$E$2:$E$80,0)),""))</f>
        <v/>
      </c>
      <c r="P205" s="12">
        <f>IF(AND(L205="",M205=""),IF(AND(Q205="",R205="",V205="",W205=""),IF(OR($D205&lt;&gt;"",$E205&lt;&gt;""),"Belum ditempatkan",""),""),IF(L205="","CEK JENIS FIXTURE kosong",IF(AND(LEFT(L205,7)&lt;&gt;"Gondola",LEFT(L205,6)&lt;&gt;"Endcap"),"CEK Fixture 1 hanya Gondola atau Endcap",IF(M205="","CEK SHELVING KE kosong",IF(ISNA(MATCH(L205&amp;"|"&amp;M205,LAYOUT!$E$2:$E$80,0)),"CEK SHELVING KE di luar layout",IF($I205="","CEK SERIES kosong",IF(AND(N205&lt;&gt;"",NOT(ISNUMBER(N205))),"CEK URUTAN DISPLAY harus angka",IF($D205="","Zona STOCK",IF($E205="","CEK SKU DESCRIPTION kosong",IF(COUNTIFS($I$2:$I$500,$I205,L$2:L$500,"&lt;&gt;"&amp;L205,L$2:L$500,"&lt;&gt;")&gt;0,"CEK jenis fixture beda dalam satu series","OK"))))))))))</f>
        <v/>
      </c>
      <c r="Q205" s="11" t="n"/>
      <c r="R205" s="11" t="n"/>
      <c r="S205" s="11" t="n"/>
      <c r="T205" s="11">
        <f>IF(OR(Q205="",R205=""),"",IFERROR(INDEX(LAYOUT!$D$2:$D$80,MATCH(Q205&amp;"|"&amp;R205,LAYOUT!$E$2:$E$80,0)),""))</f>
        <v/>
      </c>
      <c r="U205" s="12">
        <f>IF(AND(Q205="",R205=""),IF(AND(L205="",M205="",V205="",W205=""),IF(OR($D205&lt;&gt;"",$E205&lt;&gt;""),"Belum ditempatkan",""),""),IF(Q205="","CEK JENIS FIXTURE kosong",IF(LEFT(Q205,4)&lt;&gt;"Wall","CEK Fixture 2 hanya Wall",IF(R205="","CEK SHELVING KE kosong",IF(ISNA(MATCH(Q205&amp;"|"&amp;R205,LAYOUT!$E$2:$E$80,0)),"CEK SHELVING KE di luar layout",IF($I205="","CEK SERIES kosong",IF(AND(S205&lt;&gt;"",NOT(ISNUMBER(S205))),"CEK URUTAN DISPLAY harus angka",IF($D205="","Zona STOCK",IF($E205="","CEK SKU DESCRIPTION kosong",IF(COUNTIFS($I$2:$I$500,$I205,Q$2:Q$500,"&lt;&gt;"&amp;Q205,Q$2:Q$500,"&lt;&gt;")&gt;0,"CEK jenis fixture beda dalam satu series","OK"))))))))))</f>
        <v/>
      </c>
      <c r="V205" s="11" t="n"/>
      <c r="W205" s="11" t="n"/>
      <c r="X205" s="11" t="n"/>
      <c r="Y205" s="11">
        <f>IF(OR(V205="",W205=""),"",IFERROR(INDEX(LAYOUT!$D$2:$D$80,MATCH(V205&amp;"|"&amp;W205,LAYOUT!$E$2:$E$80,0)),""))</f>
        <v/>
      </c>
      <c r="Z205" s="12">
        <f>IF(AND(V205="",W205=""),IF(AND(L205="",M205="",Q205="",R205=""),IF(OR($D205&lt;&gt;"",$E205&lt;&gt;""),"Belum ditempatkan",""),""),IF(V205="","CEK JENIS FIXTURE kosong",IF(LEFT(V205,4)&lt;&gt;"Wall","CEK Fixture 3 hanya Wall",IF(W205="","CEK SHELVING KE kosong",IF(ISNA(MATCH(V205&amp;"|"&amp;W205,LAYOUT!$E$2:$E$80,0)),"CEK SHELVING KE di luar layout",IF($I205="","CEK SERIES kosong",IF(AND(X205&lt;&gt;"",NOT(ISNUMBER(X205))),"CEK URUTAN DISPLAY harus angka",IF($D205="","Zona STOCK",IF($E205="","CEK SKU DESCRIPTION kosong",IF(COUNTIFS($I$2:$I$500,$I205,V$2:V$500,"&lt;&gt;"&amp;V205,V$2:V$500,"&lt;&gt;")&gt;0,"CEK jenis fixture beda dalam satu series","OK"))))))))))</f>
        <v/>
      </c>
      <c r="AA205" s="12" t="n"/>
      <c r="AB205" s="11" t="n"/>
      <c r="AC205" s="11" t="n"/>
      <c r="AD205" s="11" t="n"/>
      <c r="AE205" s="11" t="n"/>
      <c r="AF205" s="11" t="n"/>
      <c r="AG205" s="11" t="n"/>
      <c r="AH205" s="12" t="n"/>
      <c r="AI205" s="12" t="n"/>
    </row>
    <row r="206">
      <c r="A206" s="10" t="n"/>
      <c r="B206" s="10" t="n"/>
      <c r="C206" s="10" t="n"/>
      <c r="D206" s="10" t="n"/>
      <c r="E206" s="10" t="n"/>
      <c r="F206" s="10" t="n"/>
      <c r="G206" s="10" t="n"/>
      <c r="H206" s="10" t="n"/>
      <c r="I206" s="10" t="n"/>
      <c r="J206" s="10" t="n"/>
      <c r="K206" s="10" t="n"/>
      <c r="L206" s="11" t="n"/>
      <c r="M206" s="11" t="n"/>
      <c r="N206" s="11" t="n"/>
      <c r="O206" s="11">
        <f>IF(OR(L206="",M206=""),"",IFERROR(INDEX(LAYOUT!$D$2:$D$80,MATCH(L206&amp;"|"&amp;M206,LAYOUT!$E$2:$E$80,0)),""))</f>
        <v/>
      </c>
      <c r="P206" s="12">
        <f>IF(AND(L206="",M206=""),IF(AND(Q206="",R206="",V206="",W206=""),IF(OR($D206&lt;&gt;"",$E206&lt;&gt;""),"Belum ditempatkan",""),""),IF(L206="","CEK JENIS FIXTURE kosong",IF(AND(LEFT(L206,7)&lt;&gt;"Gondola",LEFT(L206,6)&lt;&gt;"Endcap"),"CEK Fixture 1 hanya Gondola atau Endcap",IF(M206="","CEK SHELVING KE kosong",IF(ISNA(MATCH(L206&amp;"|"&amp;M206,LAYOUT!$E$2:$E$80,0)),"CEK SHELVING KE di luar layout",IF($I206="","CEK SERIES kosong",IF(AND(N206&lt;&gt;"",NOT(ISNUMBER(N206))),"CEK URUTAN DISPLAY harus angka",IF($D206="","Zona STOCK",IF($E206="","CEK SKU DESCRIPTION kosong",IF(COUNTIFS($I$2:$I$500,$I206,L$2:L$500,"&lt;&gt;"&amp;L206,L$2:L$500,"&lt;&gt;")&gt;0,"CEK jenis fixture beda dalam satu series","OK"))))))))))</f>
        <v/>
      </c>
      <c r="Q206" s="11" t="n"/>
      <c r="R206" s="11" t="n"/>
      <c r="S206" s="11" t="n"/>
      <c r="T206" s="11">
        <f>IF(OR(Q206="",R206=""),"",IFERROR(INDEX(LAYOUT!$D$2:$D$80,MATCH(Q206&amp;"|"&amp;R206,LAYOUT!$E$2:$E$80,0)),""))</f>
        <v/>
      </c>
      <c r="U206" s="12">
        <f>IF(AND(Q206="",R206=""),IF(AND(L206="",M206="",V206="",W206=""),IF(OR($D206&lt;&gt;"",$E206&lt;&gt;""),"Belum ditempatkan",""),""),IF(Q206="","CEK JENIS FIXTURE kosong",IF(LEFT(Q206,4)&lt;&gt;"Wall","CEK Fixture 2 hanya Wall",IF(R206="","CEK SHELVING KE kosong",IF(ISNA(MATCH(Q206&amp;"|"&amp;R206,LAYOUT!$E$2:$E$80,0)),"CEK SHELVING KE di luar layout",IF($I206="","CEK SERIES kosong",IF(AND(S206&lt;&gt;"",NOT(ISNUMBER(S206))),"CEK URUTAN DISPLAY harus angka",IF($D206="","Zona STOCK",IF($E206="","CEK SKU DESCRIPTION kosong",IF(COUNTIFS($I$2:$I$500,$I206,Q$2:Q$500,"&lt;&gt;"&amp;Q206,Q$2:Q$500,"&lt;&gt;")&gt;0,"CEK jenis fixture beda dalam satu series","OK"))))))))))</f>
        <v/>
      </c>
      <c r="V206" s="11" t="n"/>
      <c r="W206" s="11" t="n"/>
      <c r="X206" s="11" t="n"/>
      <c r="Y206" s="11">
        <f>IF(OR(V206="",W206=""),"",IFERROR(INDEX(LAYOUT!$D$2:$D$80,MATCH(V206&amp;"|"&amp;W206,LAYOUT!$E$2:$E$80,0)),""))</f>
        <v/>
      </c>
      <c r="Z206" s="12">
        <f>IF(AND(V206="",W206=""),IF(AND(L206="",M206="",Q206="",R206=""),IF(OR($D206&lt;&gt;"",$E206&lt;&gt;""),"Belum ditempatkan",""),""),IF(V206="","CEK JENIS FIXTURE kosong",IF(LEFT(V206,4)&lt;&gt;"Wall","CEK Fixture 3 hanya Wall",IF(W206="","CEK SHELVING KE kosong",IF(ISNA(MATCH(V206&amp;"|"&amp;W206,LAYOUT!$E$2:$E$80,0)),"CEK SHELVING KE di luar layout",IF($I206="","CEK SERIES kosong",IF(AND(X206&lt;&gt;"",NOT(ISNUMBER(X206))),"CEK URUTAN DISPLAY harus angka",IF($D206="","Zona STOCK",IF($E206="","CEK SKU DESCRIPTION kosong",IF(COUNTIFS($I$2:$I$500,$I206,V$2:V$500,"&lt;&gt;"&amp;V206,V$2:V$500,"&lt;&gt;")&gt;0,"CEK jenis fixture beda dalam satu series","OK"))))))))))</f>
        <v/>
      </c>
      <c r="AA206" s="12" t="n"/>
      <c r="AB206" s="11" t="n"/>
      <c r="AC206" s="11" t="n"/>
      <c r="AD206" s="11" t="n"/>
      <c r="AE206" s="11" t="n"/>
      <c r="AF206" s="11" t="n"/>
      <c r="AG206" s="11" t="n"/>
      <c r="AH206" s="12" t="n"/>
      <c r="AI206" s="12" t="n"/>
    </row>
    <row r="207">
      <c r="A207" s="10" t="n"/>
      <c r="B207" s="10" t="n"/>
      <c r="C207" s="10" t="n"/>
      <c r="D207" s="10" t="n"/>
      <c r="E207" s="10" t="n"/>
      <c r="F207" s="10" t="n"/>
      <c r="G207" s="10" t="n"/>
      <c r="H207" s="10" t="n"/>
      <c r="I207" s="10" t="n"/>
      <c r="J207" s="10" t="n"/>
      <c r="K207" s="10" t="n"/>
      <c r="L207" s="11" t="n"/>
      <c r="M207" s="11" t="n"/>
      <c r="N207" s="11" t="n"/>
      <c r="O207" s="11">
        <f>IF(OR(L207="",M207=""),"",IFERROR(INDEX(LAYOUT!$D$2:$D$80,MATCH(L207&amp;"|"&amp;M207,LAYOUT!$E$2:$E$80,0)),""))</f>
        <v/>
      </c>
      <c r="P207" s="12">
        <f>IF(AND(L207="",M207=""),IF(AND(Q207="",R207="",V207="",W207=""),IF(OR($D207&lt;&gt;"",$E207&lt;&gt;""),"Belum ditempatkan",""),""),IF(L207="","CEK JENIS FIXTURE kosong",IF(AND(LEFT(L207,7)&lt;&gt;"Gondola",LEFT(L207,6)&lt;&gt;"Endcap"),"CEK Fixture 1 hanya Gondola atau Endcap",IF(M207="","CEK SHELVING KE kosong",IF(ISNA(MATCH(L207&amp;"|"&amp;M207,LAYOUT!$E$2:$E$80,0)),"CEK SHELVING KE di luar layout",IF($I207="","CEK SERIES kosong",IF(AND(N207&lt;&gt;"",NOT(ISNUMBER(N207))),"CEK URUTAN DISPLAY harus angka",IF($D207="","Zona STOCK",IF($E207="","CEK SKU DESCRIPTION kosong",IF(COUNTIFS($I$2:$I$500,$I207,L$2:L$500,"&lt;&gt;"&amp;L207,L$2:L$500,"&lt;&gt;")&gt;0,"CEK jenis fixture beda dalam satu series","OK"))))))))))</f>
        <v/>
      </c>
      <c r="Q207" s="11" t="n"/>
      <c r="R207" s="11" t="n"/>
      <c r="S207" s="11" t="n"/>
      <c r="T207" s="11">
        <f>IF(OR(Q207="",R207=""),"",IFERROR(INDEX(LAYOUT!$D$2:$D$80,MATCH(Q207&amp;"|"&amp;R207,LAYOUT!$E$2:$E$80,0)),""))</f>
        <v/>
      </c>
      <c r="U207" s="12">
        <f>IF(AND(Q207="",R207=""),IF(AND(L207="",M207="",V207="",W207=""),IF(OR($D207&lt;&gt;"",$E207&lt;&gt;""),"Belum ditempatkan",""),""),IF(Q207="","CEK JENIS FIXTURE kosong",IF(LEFT(Q207,4)&lt;&gt;"Wall","CEK Fixture 2 hanya Wall",IF(R207="","CEK SHELVING KE kosong",IF(ISNA(MATCH(Q207&amp;"|"&amp;R207,LAYOUT!$E$2:$E$80,0)),"CEK SHELVING KE di luar layout",IF($I207="","CEK SERIES kosong",IF(AND(S207&lt;&gt;"",NOT(ISNUMBER(S207))),"CEK URUTAN DISPLAY harus angka",IF($D207="","Zona STOCK",IF($E207="","CEK SKU DESCRIPTION kosong",IF(COUNTIFS($I$2:$I$500,$I207,Q$2:Q$500,"&lt;&gt;"&amp;Q207,Q$2:Q$500,"&lt;&gt;")&gt;0,"CEK jenis fixture beda dalam satu series","OK"))))))))))</f>
        <v/>
      </c>
      <c r="V207" s="11" t="n"/>
      <c r="W207" s="11" t="n"/>
      <c r="X207" s="11" t="n"/>
      <c r="Y207" s="11">
        <f>IF(OR(V207="",W207=""),"",IFERROR(INDEX(LAYOUT!$D$2:$D$80,MATCH(V207&amp;"|"&amp;W207,LAYOUT!$E$2:$E$80,0)),""))</f>
        <v/>
      </c>
      <c r="Z207" s="12">
        <f>IF(AND(V207="",W207=""),IF(AND(L207="",M207="",Q207="",R207=""),IF(OR($D207&lt;&gt;"",$E207&lt;&gt;""),"Belum ditempatkan",""),""),IF(V207="","CEK JENIS FIXTURE kosong",IF(LEFT(V207,4)&lt;&gt;"Wall","CEK Fixture 3 hanya Wall",IF(W207="","CEK SHELVING KE kosong",IF(ISNA(MATCH(V207&amp;"|"&amp;W207,LAYOUT!$E$2:$E$80,0)),"CEK SHELVING KE di luar layout",IF($I207="","CEK SERIES kosong",IF(AND(X207&lt;&gt;"",NOT(ISNUMBER(X207))),"CEK URUTAN DISPLAY harus angka",IF($D207="","Zona STOCK",IF($E207="","CEK SKU DESCRIPTION kosong",IF(COUNTIFS($I$2:$I$500,$I207,V$2:V$500,"&lt;&gt;"&amp;V207,V$2:V$500,"&lt;&gt;")&gt;0,"CEK jenis fixture beda dalam satu series","OK"))))))))))</f>
        <v/>
      </c>
      <c r="AA207" s="12" t="n"/>
      <c r="AB207" s="11" t="n"/>
      <c r="AC207" s="11" t="n"/>
      <c r="AD207" s="11" t="n"/>
      <c r="AE207" s="11" t="n"/>
      <c r="AF207" s="11" t="n"/>
      <c r="AG207" s="11" t="n"/>
      <c r="AH207" s="12" t="n"/>
      <c r="AI207" s="12" t="n"/>
    </row>
    <row r="208">
      <c r="A208" s="10" t="n"/>
      <c r="B208" s="10" t="n"/>
      <c r="C208" s="10" t="n"/>
      <c r="D208" s="10" t="n"/>
      <c r="E208" s="10" t="n"/>
      <c r="F208" s="10" t="n"/>
      <c r="G208" s="10" t="n"/>
      <c r="H208" s="10" t="n"/>
      <c r="I208" s="10" t="n"/>
      <c r="J208" s="10" t="n"/>
      <c r="K208" s="10" t="n"/>
      <c r="L208" s="11" t="n"/>
      <c r="M208" s="11" t="n"/>
      <c r="N208" s="11" t="n"/>
      <c r="O208" s="11">
        <f>IF(OR(L208="",M208=""),"",IFERROR(INDEX(LAYOUT!$D$2:$D$80,MATCH(L208&amp;"|"&amp;M208,LAYOUT!$E$2:$E$80,0)),""))</f>
        <v/>
      </c>
      <c r="P208" s="12">
        <f>IF(AND(L208="",M208=""),IF(AND(Q208="",R208="",V208="",W208=""),IF(OR($D208&lt;&gt;"",$E208&lt;&gt;""),"Belum ditempatkan",""),""),IF(L208="","CEK JENIS FIXTURE kosong",IF(AND(LEFT(L208,7)&lt;&gt;"Gondola",LEFT(L208,6)&lt;&gt;"Endcap"),"CEK Fixture 1 hanya Gondola atau Endcap",IF(M208="","CEK SHELVING KE kosong",IF(ISNA(MATCH(L208&amp;"|"&amp;M208,LAYOUT!$E$2:$E$80,0)),"CEK SHELVING KE di luar layout",IF($I208="","CEK SERIES kosong",IF(AND(N208&lt;&gt;"",NOT(ISNUMBER(N208))),"CEK URUTAN DISPLAY harus angka",IF($D208="","Zona STOCK",IF($E208="","CEK SKU DESCRIPTION kosong",IF(COUNTIFS($I$2:$I$500,$I208,L$2:L$500,"&lt;&gt;"&amp;L208,L$2:L$500,"&lt;&gt;")&gt;0,"CEK jenis fixture beda dalam satu series","OK"))))))))))</f>
        <v/>
      </c>
      <c r="Q208" s="11" t="n"/>
      <c r="R208" s="11" t="n"/>
      <c r="S208" s="11" t="n"/>
      <c r="T208" s="11">
        <f>IF(OR(Q208="",R208=""),"",IFERROR(INDEX(LAYOUT!$D$2:$D$80,MATCH(Q208&amp;"|"&amp;R208,LAYOUT!$E$2:$E$80,0)),""))</f>
        <v/>
      </c>
      <c r="U208" s="12">
        <f>IF(AND(Q208="",R208=""),IF(AND(L208="",M208="",V208="",W208=""),IF(OR($D208&lt;&gt;"",$E208&lt;&gt;""),"Belum ditempatkan",""),""),IF(Q208="","CEK JENIS FIXTURE kosong",IF(LEFT(Q208,4)&lt;&gt;"Wall","CEK Fixture 2 hanya Wall",IF(R208="","CEK SHELVING KE kosong",IF(ISNA(MATCH(Q208&amp;"|"&amp;R208,LAYOUT!$E$2:$E$80,0)),"CEK SHELVING KE di luar layout",IF($I208="","CEK SERIES kosong",IF(AND(S208&lt;&gt;"",NOT(ISNUMBER(S208))),"CEK URUTAN DISPLAY harus angka",IF($D208="","Zona STOCK",IF($E208="","CEK SKU DESCRIPTION kosong",IF(COUNTIFS($I$2:$I$500,$I208,Q$2:Q$500,"&lt;&gt;"&amp;Q208,Q$2:Q$500,"&lt;&gt;")&gt;0,"CEK jenis fixture beda dalam satu series","OK"))))))))))</f>
        <v/>
      </c>
      <c r="V208" s="11" t="n"/>
      <c r="W208" s="11" t="n"/>
      <c r="X208" s="11" t="n"/>
      <c r="Y208" s="11">
        <f>IF(OR(V208="",W208=""),"",IFERROR(INDEX(LAYOUT!$D$2:$D$80,MATCH(V208&amp;"|"&amp;W208,LAYOUT!$E$2:$E$80,0)),""))</f>
        <v/>
      </c>
      <c r="Z208" s="12">
        <f>IF(AND(V208="",W208=""),IF(AND(L208="",M208="",Q208="",R208=""),IF(OR($D208&lt;&gt;"",$E208&lt;&gt;""),"Belum ditempatkan",""),""),IF(V208="","CEK JENIS FIXTURE kosong",IF(LEFT(V208,4)&lt;&gt;"Wall","CEK Fixture 3 hanya Wall",IF(W208="","CEK SHELVING KE kosong",IF(ISNA(MATCH(V208&amp;"|"&amp;W208,LAYOUT!$E$2:$E$80,0)),"CEK SHELVING KE di luar layout",IF($I208="","CEK SERIES kosong",IF(AND(X208&lt;&gt;"",NOT(ISNUMBER(X208))),"CEK URUTAN DISPLAY harus angka",IF($D208="","Zona STOCK",IF($E208="","CEK SKU DESCRIPTION kosong",IF(COUNTIFS($I$2:$I$500,$I208,V$2:V$500,"&lt;&gt;"&amp;V208,V$2:V$500,"&lt;&gt;")&gt;0,"CEK jenis fixture beda dalam satu series","OK"))))))))))</f>
        <v/>
      </c>
      <c r="AA208" s="12" t="n"/>
      <c r="AB208" s="11" t="n"/>
      <c r="AC208" s="11" t="n"/>
      <c r="AD208" s="11" t="n"/>
      <c r="AE208" s="11" t="n"/>
      <c r="AF208" s="11" t="n"/>
      <c r="AG208" s="11" t="n"/>
      <c r="AH208" s="12" t="n"/>
      <c r="AI208" s="12" t="n"/>
    </row>
    <row r="209">
      <c r="A209" s="10" t="n"/>
      <c r="B209" s="10" t="n"/>
      <c r="C209" s="10" t="n"/>
      <c r="D209" s="10" t="n"/>
      <c r="E209" s="10" t="n"/>
      <c r="F209" s="10" t="n"/>
      <c r="G209" s="10" t="n"/>
      <c r="H209" s="10" t="n"/>
      <c r="I209" s="10" t="n"/>
      <c r="J209" s="10" t="n"/>
      <c r="K209" s="10" t="n"/>
      <c r="L209" s="11" t="n"/>
      <c r="M209" s="11" t="n"/>
      <c r="N209" s="11" t="n"/>
      <c r="O209" s="11">
        <f>IF(OR(L209="",M209=""),"",IFERROR(INDEX(LAYOUT!$D$2:$D$80,MATCH(L209&amp;"|"&amp;M209,LAYOUT!$E$2:$E$80,0)),""))</f>
        <v/>
      </c>
      <c r="P209" s="12">
        <f>IF(AND(L209="",M209=""),IF(AND(Q209="",R209="",V209="",W209=""),IF(OR($D209&lt;&gt;"",$E209&lt;&gt;""),"Belum ditempatkan",""),""),IF(L209="","CEK JENIS FIXTURE kosong",IF(AND(LEFT(L209,7)&lt;&gt;"Gondola",LEFT(L209,6)&lt;&gt;"Endcap"),"CEK Fixture 1 hanya Gondola atau Endcap",IF(M209="","CEK SHELVING KE kosong",IF(ISNA(MATCH(L209&amp;"|"&amp;M209,LAYOUT!$E$2:$E$80,0)),"CEK SHELVING KE di luar layout",IF($I209="","CEK SERIES kosong",IF(AND(N209&lt;&gt;"",NOT(ISNUMBER(N209))),"CEK URUTAN DISPLAY harus angka",IF($D209="","Zona STOCK",IF($E209="","CEK SKU DESCRIPTION kosong",IF(COUNTIFS($I$2:$I$500,$I209,L$2:L$500,"&lt;&gt;"&amp;L209,L$2:L$500,"&lt;&gt;")&gt;0,"CEK jenis fixture beda dalam satu series","OK"))))))))))</f>
        <v/>
      </c>
      <c r="Q209" s="11" t="n"/>
      <c r="R209" s="11" t="n"/>
      <c r="S209" s="11" t="n"/>
      <c r="T209" s="11">
        <f>IF(OR(Q209="",R209=""),"",IFERROR(INDEX(LAYOUT!$D$2:$D$80,MATCH(Q209&amp;"|"&amp;R209,LAYOUT!$E$2:$E$80,0)),""))</f>
        <v/>
      </c>
      <c r="U209" s="12">
        <f>IF(AND(Q209="",R209=""),IF(AND(L209="",M209="",V209="",W209=""),IF(OR($D209&lt;&gt;"",$E209&lt;&gt;""),"Belum ditempatkan",""),""),IF(Q209="","CEK JENIS FIXTURE kosong",IF(LEFT(Q209,4)&lt;&gt;"Wall","CEK Fixture 2 hanya Wall",IF(R209="","CEK SHELVING KE kosong",IF(ISNA(MATCH(Q209&amp;"|"&amp;R209,LAYOUT!$E$2:$E$80,0)),"CEK SHELVING KE di luar layout",IF($I209="","CEK SERIES kosong",IF(AND(S209&lt;&gt;"",NOT(ISNUMBER(S209))),"CEK URUTAN DISPLAY harus angka",IF($D209="","Zona STOCK",IF($E209="","CEK SKU DESCRIPTION kosong",IF(COUNTIFS($I$2:$I$500,$I209,Q$2:Q$500,"&lt;&gt;"&amp;Q209,Q$2:Q$500,"&lt;&gt;")&gt;0,"CEK jenis fixture beda dalam satu series","OK"))))))))))</f>
        <v/>
      </c>
      <c r="V209" s="11" t="n"/>
      <c r="W209" s="11" t="n"/>
      <c r="X209" s="11" t="n"/>
      <c r="Y209" s="11">
        <f>IF(OR(V209="",W209=""),"",IFERROR(INDEX(LAYOUT!$D$2:$D$80,MATCH(V209&amp;"|"&amp;W209,LAYOUT!$E$2:$E$80,0)),""))</f>
        <v/>
      </c>
      <c r="Z209" s="12">
        <f>IF(AND(V209="",W209=""),IF(AND(L209="",M209="",Q209="",R209=""),IF(OR($D209&lt;&gt;"",$E209&lt;&gt;""),"Belum ditempatkan",""),""),IF(V209="","CEK JENIS FIXTURE kosong",IF(LEFT(V209,4)&lt;&gt;"Wall","CEK Fixture 3 hanya Wall",IF(W209="","CEK SHELVING KE kosong",IF(ISNA(MATCH(V209&amp;"|"&amp;W209,LAYOUT!$E$2:$E$80,0)),"CEK SHELVING KE di luar layout",IF($I209="","CEK SERIES kosong",IF(AND(X209&lt;&gt;"",NOT(ISNUMBER(X209))),"CEK URUTAN DISPLAY harus angka",IF($D209="","Zona STOCK",IF($E209="","CEK SKU DESCRIPTION kosong",IF(COUNTIFS($I$2:$I$500,$I209,V$2:V$500,"&lt;&gt;"&amp;V209,V$2:V$500,"&lt;&gt;")&gt;0,"CEK jenis fixture beda dalam satu series","OK"))))))))))</f>
        <v/>
      </c>
      <c r="AA209" s="12" t="n"/>
      <c r="AB209" s="11" t="n"/>
      <c r="AC209" s="11" t="n"/>
      <c r="AD209" s="11" t="n"/>
      <c r="AE209" s="11" t="n"/>
      <c r="AF209" s="11" t="n"/>
      <c r="AG209" s="11" t="n"/>
      <c r="AH209" s="12" t="n"/>
      <c r="AI209" s="12" t="n"/>
    </row>
    <row r="210">
      <c r="A210" s="10" t="n"/>
      <c r="B210" s="10" t="n"/>
      <c r="C210" s="10" t="n"/>
      <c r="D210" s="10" t="n"/>
      <c r="E210" s="10" t="n"/>
      <c r="F210" s="10" t="n"/>
      <c r="G210" s="10" t="n"/>
      <c r="H210" s="10" t="n"/>
      <c r="I210" s="10" t="n"/>
      <c r="J210" s="10" t="n"/>
      <c r="K210" s="10" t="n"/>
      <c r="L210" s="11" t="n"/>
      <c r="M210" s="11" t="n"/>
      <c r="N210" s="11" t="n"/>
      <c r="O210" s="11">
        <f>IF(OR(L210="",M210=""),"",IFERROR(INDEX(LAYOUT!$D$2:$D$80,MATCH(L210&amp;"|"&amp;M210,LAYOUT!$E$2:$E$80,0)),""))</f>
        <v/>
      </c>
      <c r="P210" s="12">
        <f>IF(AND(L210="",M210=""),IF(AND(Q210="",R210="",V210="",W210=""),IF(OR($D210&lt;&gt;"",$E210&lt;&gt;""),"Belum ditempatkan",""),""),IF(L210="","CEK JENIS FIXTURE kosong",IF(AND(LEFT(L210,7)&lt;&gt;"Gondola",LEFT(L210,6)&lt;&gt;"Endcap"),"CEK Fixture 1 hanya Gondola atau Endcap",IF(M210="","CEK SHELVING KE kosong",IF(ISNA(MATCH(L210&amp;"|"&amp;M210,LAYOUT!$E$2:$E$80,0)),"CEK SHELVING KE di luar layout",IF($I210="","CEK SERIES kosong",IF(AND(N210&lt;&gt;"",NOT(ISNUMBER(N210))),"CEK URUTAN DISPLAY harus angka",IF($D210="","Zona STOCK",IF($E210="","CEK SKU DESCRIPTION kosong",IF(COUNTIFS($I$2:$I$500,$I210,L$2:L$500,"&lt;&gt;"&amp;L210,L$2:L$500,"&lt;&gt;")&gt;0,"CEK jenis fixture beda dalam satu series","OK"))))))))))</f>
        <v/>
      </c>
      <c r="Q210" s="11" t="n"/>
      <c r="R210" s="11" t="n"/>
      <c r="S210" s="11" t="n"/>
      <c r="T210" s="11">
        <f>IF(OR(Q210="",R210=""),"",IFERROR(INDEX(LAYOUT!$D$2:$D$80,MATCH(Q210&amp;"|"&amp;R210,LAYOUT!$E$2:$E$80,0)),""))</f>
        <v/>
      </c>
      <c r="U210" s="12">
        <f>IF(AND(Q210="",R210=""),IF(AND(L210="",M210="",V210="",W210=""),IF(OR($D210&lt;&gt;"",$E210&lt;&gt;""),"Belum ditempatkan",""),""),IF(Q210="","CEK JENIS FIXTURE kosong",IF(LEFT(Q210,4)&lt;&gt;"Wall","CEK Fixture 2 hanya Wall",IF(R210="","CEK SHELVING KE kosong",IF(ISNA(MATCH(Q210&amp;"|"&amp;R210,LAYOUT!$E$2:$E$80,0)),"CEK SHELVING KE di luar layout",IF($I210="","CEK SERIES kosong",IF(AND(S210&lt;&gt;"",NOT(ISNUMBER(S210))),"CEK URUTAN DISPLAY harus angka",IF($D210="","Zona STOCK",IF($E210="","CEK SKU DESCRIPTION kosong",IF(COUNTIFS($I$2:$I$500,$I210,Q$2:Q$500,"&lt;&gt;"&amp;Q210,Q$2:Q$500,"&lt;&gt;")&gt;0,"CEK jenis fixture beda dalam satu series","OK"))))))))))</f>
        <v/>
      </c>
      <c r="V210" s="11" t="n"/>
      <c r="W210" s="11" t="n"/>
      <c r="X210" s="11" t="n"/>
      <c r="Y210" s="11">
        <f>IF(OR(V210="",W210=""),"",IFERROR(INDEX(LAYOUT!$D$2:$D$80,MATCH(V210&amp;"|"&amp;W210,LAYOUT!$E$2:$E$80,0)),""))</f>
        <v/>
      </c>
      <c r="Z210" s="12">
        <f>IF(AND(V210="",W210=""),IF(AND(L210="",M210="",Q210="",R210=""),IF(OR($D210&lt;&gt;"",$E210&lt;&gt;""),"Belum ditempatkan",""),""),IF(V210="","CEK JENIS FIXTURE kosong",IF(LEFT(V210,4)&lt;&gt;"Wall","CEK Fixture 3 hanya Wall",IF(W210="","CEK SHELVING KE kosong",IF(ISNA(MATCH(V210&amp;"|"&amp;W210,LAYOUT!$E$2:$E$80,0)),"CEK SHELVING KE di luar layout",IF($I210="","CEK SERIES kosong",IF(AND(X210&lt;&gt;"",NOT(ISNUMBER(X210))),"CEK URUTAN DISPLAY harus angka",IF($D210="","Zona STOCK",IF($E210="","CEK SKU DESCRIPTION kosong",IF(COUNTIFS($I$2:$I$500,$I210,V$2:V$500,"&lt;&gt;"&amp;V210,V$2:V$500,"&lt;&gt;")&gt;0,"CEK jenis fixture beda dalam satu series","OK"))))))))))</f>
        <v/>
      </c>
      <c r="AA210" s="12" t="n"/>
      <c r="AB210" s="11" t="n"/>
      <c r="AC210" s="11" t="n"/>
      <c r="AD210" s="11" t="n"/>
      <c r="AE210" s="11" t="n"/>
      <c r="AF210" s="11" t="n"/>
      <c r="AG210" s="11" t="n"/>
      <c r="AH210" s="12" t="n"/>
      <c r="AI210" s="12" t="n"/>
    </row>
    <row r="211">
      <c r="A211" s="10" t="n"/>
      <c r="B211" s="10" t="n"/>
      <c r="C211" s="10" t="n"/>
      <c r="D211" s="10" t="n"/>
      <c r="E211" s="10" t="n"/>
      <c r="F211" s="10" t="n"/>
      <c r="G211" s="10" t="n"/>
      <c r="H211" s="10" t="n"/>
      <c r="I211" s="10" t="n"/>
      <c r="J211" s="10" t="n"/>
      <c r="K211" s="10" t="n"/>
      <c r="L211" s="11" t="n"/>
      <c r="M211" s="11" t="n"/>
      <c r="N211" s="11" t="n"/>
      <c r="O211" s="11">
        <f>IF(OR(L211="",M211=""),"",IFERROR(INDEX(LAYOUT!$D$2:$D$80,MATCH(L211&amp;"|"&amp;M211,LAYOUT!$E$2:$E$80,0)),""))</f>
        <v/>
      </c>
      <c r="P211" s="12">
        <f>IF(AND(L211="",M211=""),IF(AND(Q211="",R211="",V211="",W211=""),IF(OR($D211&lt;&gt;"",$E211&lt;&gt;""),"Belum ditempatkan",""),""),IF(L211="","CEK JENIS FIXTURE kosong",IF(AND(LEFT(L211,7)&lt;&gt;"Gondola",LEFT(L211,6)&lt;&gt;"Endcap"),"CEK Fixture 1 hanya Gondola atau Endcap",IF(M211="","CEK SHELVING KE kosong",IF(ISNA(MATCH(L211&amp;"|"&amp;M211,LAYOUT!$E$2:$E$80,0)),"CEK SHELVING KE di luar layout",IF($I211="","CEK SERIES kosong",IF(AND(N211&lt;&gt;"",NOT(ISNUMBER(N211))),"CEK URUTAN DISPLAY harus angka",IF($D211="","Zona STOCK",IF($E211="","CEK SKU DESCRIPTION kosong",IF(COUNTIFS($I$2:$I$500,$I211,L$2:L$500,"&lt;&gt;"&amp;L211,L$2:L$500,"&lt;&gt;")&gt;0,"CEK jenis fixture beda dalam satu series","OK"))))))))))</f>
        <v/>
      </c>
      <c r="Q211" s="11" t="n"/>
      <c r="R211" s="11" t="n"/>
      <c r="S211" s="11" t="n"/>
      <c r="T211" s="11">
        <f>IF(OR(Q211="",R211=""),"",IFERROR(INDEX(LAYOUT!$D$2:$D$80,MATCH(Q211&amp;"|"&amp;R211,LAYOUT!$E$2:$E$80,0)),""))</f>
        <v/>
      </c>
      <c r="U211" s="12">
        <f>IF(AND(Q211="",R211=""),IF(AND(L211="",M211="",V211="",W211=""),IF(OR($D211&lt;&gt;"",$E211&lt;&gt;""),"Belum ditempatkan",""),""),IF(Q211="","CEK JENIS FIXTURE kosong",IF(LEFT(Q211,4)&lt;&gt;"Wall","CEK Fixture 2 hanya Wall",IF(R211="","CEK SHELVING KE kosong",IF(ISNA(MATCH(Q211&amp;"|"&amp;R211,LAYOUT!$E$2:$E$80,0)),"CEK SHELVING KE di luar layout",IF($I211="","CEK SERIES kosong",IF(AND(S211&lt;&gt;"",NOT(ISNUMBER(S211))),"CEK URUTAN DISPLAY harus angka",IF($D211="","Zona STOCK",IF($E211="","CEK SKU DESCRIPTION kosong",IF(COUNTIFS($I$2:$I$500,$I211,Q$2:Q$500,"&lt;&gt;"&amp;Q211,Q$2:Q$500,"&lt;&gt;")&gt;0,"CEK jenis fixture beda dalam satu series","OK"))))))))))</f>
        <v/>
      </c>
      <c r="V211" s="11" t="n"/>
      <c r="W211" s="11" t="n"/>
      <c r="X211" s="11" t="n"/>
      <c r="Y211" s="11">
        <f>IF(OR(V211="",W211=""),"",IFERROR(INDEX(LAYOUT!$D$2:$D$80,MATCH(V211&amp;"|"&amp;W211,LAYOUT!$E$2:$E$80,0)),""))</f>
        <v/>
      </c>
      <c r="Z211" s="12">
        <f>IF(AND(V211="",W211=""),IF(AND(L211="",M211="",Q211="",R211=""),IF(OR($D211&lt;&gt;"",$E211&lt;&gt;""),"Belum ditempatkan",""),""),IF(V211="","CEK JENIS FIXTURE kosong",IF(LEFT(V211,4)&lt;&gt;"Wall","CEK Fixture 3 hanya Wall",IF(W211="","CEK SHELVING KE kosong",IF(ISNA(MATCH(V211&amp;"|"&amp;W211,LAYOUT!$E$2:$E$80,0)),"CEK SHELVING KE di luar layout",IF($I211="","CEK SERIES kosong",IF(AND(X211&lt;&gt;"",NOT(ISNUMBER(X211))),"CEK URUTAN DISPLAY harus angka",IF($D211="","Zona STOCK",IF($E211="","CEK SKU DESCRIPTION kosong",IF(COUNTIFS($I$2:$I$500,$I211,V$2:V$500,"&lt;&gt;"&amp;V211,V$2:V$500,"&lt;&gt;")&gt;0,"CEK jenis fixture beda dalam satu series","OK"))))))))))</f>
        <v/>
      </c>
      <c r="AA211" s="12" t="n"/>
      <c r="AB211" s="11" t="n"/>
      <c r="AC211" s="11" t="n"/>
      <c r="AD211" s="11" t="n"/>
      <c r="AE211" s="11" t="n"/>
      <c r="AF211" s="11" t="n"/>
      <c r="AG211" s="11" t="n"/>
      <c r="AH211" s="12" t="n"/>
      <c r="AI211" s="12" t="n"/>
    </row>
    <row r="212">
      <c r="A212" s="10" t="n"/>
      <c r="B212" s="10" t="n"/>
      <c r="C212" s="10" t="n"/>
      <c r="D212" s="10" t="n"/>
      <c r="E212" s="10" t="n"/>
      <c r="F212" s="10" t="n"/>
      <c r="G212" s="10" t="n"/>
      <c r="H212" s="10" t="n"/>
      <c r="I212" s="10" t="n"/>
      <c r="J212" s="10" t="n"/>
      <c r="K212" s="10" t="n"/>
      <c r="L212" s="11" t="n"/>
      <c r="M212" s="11" t="n"/>
      <c r="N212" s="11" t="n"/>
      <c r="O212" s="11">
        <f>IF(OR(L212="",M212=""),"",IFERROR(INDEX(LAYOUT!$D$2:$D$80,MATCH(L212&amp;"|"&amp;M212,LAYOUT!$E$2:$E$80,0)),""))</f>
        <v/>
      </c>
      <c r="P212" s="12">
        <f>IF(AND(L212="",M212=""),IF(AND(Q212="",R212="",V212="",W212=""),IF(OR($D212&lt;&gt;"",$E212&lt;&gt;""),"Belum ditempatkan",""),""),IF(L212="","CEK JENIS FIXTURE kosong",IF(AND(LEFT(L212,7)&lt;&gt;"Gondola",LEFT(L212,6)&lt;&gt;"Endcap"),"CEK Fixture 1 hanya Gondola atau Endcap",IF(M212="","CEK SHELVING KE kosong",IF(ISNA(MATCH(L212&amp;"|"&amp;M212,LAYOUT!$E$2:$E$80,0)),"CEK SHELVING KE di luar layout",IF($I212="","CEK SERIES kosong",IF(AND(N212&lt;&gt;"",NOT(ISNUMBER(N212))),"CEK URUTAN DISPLAY harus angka",IF($D212="","Zona STOCK",IF($E212="","CEK SKU DESCRIPTION kosong",IF(COUNTIFS($I$2:$I$500,$I212,L$2:L$500,"&lt;&gt;"&amp;L212,L$2:L$500,"&lt;&gt;")&gt;0,"CEK jenis fixture beda dalam satu series","OK"))))))))))</f>
        <v/>
      </c>
      <c r="Q212" s="11" t="n"/>
      <c r="R212" s="11" t="n"/>
      <c r="S212" s="11" t="n"/>
      <c r="T212" s="11">
        <f>IF(OR(Q212="",R212=""),"",IFERROR(INDEX(LAYOUT!$D$2:$D$80,MATCH(Q212&amp;"|"&amp;R212,LAYOUT!$E$2:$E$80,0)),""))</f>
        <v/>
      </c>
      <c r="U212" s="12">
        <f>IF(AND(Q212="",R212=""),IF(AND(L212="",M212="",V212="",W212=""),IF(OR($D212&lt;&gt;"",$E212&lt;&gt;""),"Belum ditempatkan",""),""),IF(Q212="","CEK JENIS FIXTURE kosong",IF(LEFT(Q212,4)&lt;&gt;"Wall","CEK Fixture 2 hanya Wall",IF(R212="","CEK SHELVING KE kosong",IF(ISNA(MATCH(Q212&amp;"|"&amp;R212,LAYOUT!$E$2:$E$80,0)),"CEK SHELVING KE di luar layout",IF($I212="","CEK SERIES kosong",IF(AND(S212&lt;&gt;"",NOT(ISNUMBER(S212))),"CEK URUTAN DISPLAY harus angka",IF($D212="","Zona STOCK",IF($E212="","CEK SKU DESCRIPTION kosong",IF(COUNTIFS($I$2:$I$500,$I212,Q$2:Q$500,"&lt;&gt;"&amp;Q212,Q$2:Q$500,"&lt;&gt;")&gt;0,"CEK jenis fixture beda dalam satu series","OK"))))))))))</f>
        <v/>
      </c>
      <c r="V212" s="11" t="n"/>
      <c r="W212" s="11" t="n"/>
      <c r="X212" s="11" t="n"/>
      <c r="Y212" s="11">
        <f>IF(OR(V212="",W212=""),"",IFERROR(INDEX(LAYOUT!$D$2:$D$80,MATCH(V212&amp;"|"&amp;W212,LAYOUT!$E$2:$E$80,0)),""))</f>
        <v/>
      </c>
      <c r="Z212" s="12">
        <f>IF(AND(V212="",W212=""),IF(AND(L212="",M212="",Q212="",R212=""),IF(OR($D212&lt;&gt;"",$E212&lt;&gt;""),"Belum ditempatkan",""),""),IF(V212="","CEK JENIS FIXTURE kosong",IF(LEFT(V212,4)&lt;&gt;"Wall","CEK Fixture 3 hanya Wall",IF(W212="","CEK SHELVING KE kosong",IF(ISNA(MATCH(V212&amp;"|"&amp;W212,LAYOUT!$E$2:$E$80,0)),"CEK SHELVING KE di luar layout",IF($I212="","CEK SERIES kosong",IF(AND(X212&lt;&gt;"",NOT(ISNUMBER(X212))),"CEK URUTAN DISPLAY harus angka",IF($D212="","Zona STOCK",IF($E212="","CEK SKU DESCRIPTION kosong",IF(COUNTIFS($I$2:$I$500,$I212,V$2:V$500,"&lt;&gt;"&amp;V212,V$2:V$500,"&lt;&gt;")&gt;0,"CEK jenis fixture beda dalam satu series","OK"))))))))))</f>
        <v/>
      </c>
      <c r="AA212" s="12" t="n"/>
      <c r="AB212" s="11" t="n"/>
      <c r="AC212" s="11" t="n"/>
      <c r="AD212" s="11" t="n"/>
      <c r="AE212" s="11" t="n"/>
      <c r="AF212" s="11" t="n"/>
      <c r="AG212" s="11" t="n"/>
      <c r="AH212" s="12" t="n"/>
      <c r="AI212" s="12" t="n"/>
    </row>
    <row r="213">
      <c r="A213" s="10" t="n"/>
      <c r="B213" s="10" t="n"/>
      <c r="C213" s="10" t="n"/>
      <c r="D213" s="10" t="n"/>
      <c r="E213" s="10" t="n"/>
      <c r="F213" s="10" t="n"/>
      <c r="G213" s="10" t="n"/>
      <c r="H213" s="10" t="n"/>
      <c r="I213" s="10" t="n"/>
      <c r="J213" s="10" t="n"/>
      <c r="K213" s="10" t="n"/>
      <c r="L213" s="11" t="n"/>
      <c r="M213" s="11" t="n"/>
      <c r="N213" s="11" t="n"/>
      <c r="O213" s="11">
        <f>IF(OR(L213="",M213=""),"",IFERROR(INDEX(LAYOUT!$D$2:$D$80,MATCH(L213&amp;"|"&amp;M213,LAYOUT!$E$2:$E$80,0)),""))</f>
        <v/>
      </c>
      <c r="P213" s="12">
        <f>IF(AND(L213="",M213=""),IF(AND(Q213="",R213="",V213="",W213=""),IF(OR($D213&lt;&gt;"",$E213&lt;&gt;""),"Belum ditempatkan",""),""),IF(L213="","CEK JENIS FIXTURE kosong",IF(AND(LEFT(L213,7)&lt;&gt;"Gondola",LEFT(L213,6)&lt;&gt;"Endcap"),"CEK Fixture 1 hanya Gondola atau Endcap",IF(M213="","CEK SHELVING KE kosong",IF(ISNA(MATCH(L213&amp;"|"&amp;M213,LAYOUT!$E$2:$E$80,0)),"CEK SHELVING KE di luar layout",IF($I213="","CEK SERIES kosong",IF(AND(N213&lt;&gt;"",NOT(ISNUMBER(N213))),"CEK URUTAN DISPLAY harus angka",IF($D213="","Zona STOCK",IF($E213="","CEK SKU DESCRIPTION kosong",IF(COUNTIFS($I$2:$I$500,$I213,L$2:L$500,"&lt;&gt;"&amp;L213,L$2:L$500,"&lt;&gt;")&gt;0,"CEK jenis fixture beda dalam satu series","OK"))))))))))</f>
        <v/>
      </c>
      <c r="Q213" s="11" t="n"/>
      <c r="R213" s="11" t="n"/>
      <c r="S213" s="11" t="n"/>
      <c r="T213" s="11">
        <f>IF(OR(Q213="",R213=""),"",IFERROR(INDEX(LAYOUT!$D$2:$D$80,MATCH(Q213&amp;"|"&amp;R213,LAYOUT!$E$2:$E$80,0)),""))</f>
        <v/>
      </c>
      <c r="U213" s="12">
        <f>IF(AND(Q213="",R213=""),IF(AND(L213="",M213="",V213="",W213=""),IF(OR($D213&lt;&gt;"",$E213&lt;&gt;""),"Belum ditempatkan",""),""),IF(Q213="","CEK JENIS FIXTURE kosong",IF(LEFT(Q213,4)&lt;&gt;"Wall","CEK Fixture 2 hanya Wall",IF(R213="","CEK SHELVING KE kosong",IF(ISNA(MATCH(Q213&amp;"|"&amp;R213,LAYOUT!$E$2:$E$80,0)),"CEK SHELVING KE di luar layout",IF($I213="","CEK SERIES kosong",IF(AND(S213&lt;&gt;"",NOT(ISNUMBER(S213))),"CEK URUTAN DISPLAY harus angka",IF($D213="","Zona STOCK",IF($E213="","CEK SKU DESCRIPTION kosong",IF(COUNTIFS($I$2:$I$500,$I213,Q$2:Q$500,"&lt;&gt;"&amp;Q213,Q$2:Q$500,"&lt;&gt;")&gt;0,"CEK jenis fixture beda dalam satu series","OK"))))))))))</f>
        <v/>
      </c>
      <c r="V213" s="11" t="n"/>
      <c r="W213" s="11" t="n"/>
      <c r="X213" s="11" t="n"/>
      <c r="Y213" s="11">
        <f>IF(OR(V213="",W213=""),"",IFERROR(INDEX(LAYOUT!$D$2:$D$80,MATCH(V213&amp;"|"&amp;W213,LAYOUT!$E$2:$E$80,0)),""))</f>
        <v/>
      </c>
      <c r="Z213" s="12">
        <f>IF(AND(V213="",W213=""),IF(AND(L213="",M213="",Q213="",R213=""),IF(OR($D213&lt;&gt;"",$E213&lt;&gt;""),"Belum ditempatkan",""),""),IF(V213="","CEK JENIS FIXTURE kosong",IF(LEFT(V213,4)&lt;&gt;"Wall","CEK Fixture 3 hanya Wall",IF(W213="","CEK SHELVING KE kosong",IF(ISNA(MATCH(V213&amp;"|"&amp;W213,LAYOUT!$E$2:$E$80,0)),"CEK SHELVING KE di luar layout",IF($I213="","CEK SERIES kosong",IF(AND(X213&lt;&gt;"",NOT(ISNUMBER(X213))),"CEK URUTAN DISPLAY harus angka",IF($D213="","Zona STOCK",IF($E213="","CEK SKU DESCRIPTION kosong",IF(COUNTIFS($I$2:$I$500,$I213,V$2:V$500,"&lt;&gt;"&amp;V213,V$2:V$500,"&lt;&gt;")&gt;0,"CEK jenis fixture beda dalam satu series","OK"))))))))))</f>
        <v/>
      </c>
      <c r="AA213" s="12" t="n"/>
      <c r="AB213" s="11" t="n"/>
      <c r="AC213" s="11" t="n"/>
      <c r="AD213" s="11" t="n"/>
      <c r="AE213" s="11" t="n"/>
      <c r="AF213" s="11" t="n"/>
      <c r="AG213" s="11" t="n"/>
      <c r="AH213" s="12" t="n"/>
      <c r="AI213" s="12" t="n"/>
    </row>
    <row r="214">
      <c r="A214" s="10" t="n"/>
      <c r="B214" s="10" t="n"/>
      <c r="C214" s="10" t="n"/>
      <c r="D214" s="10" t="n"/>
      <c r="E214" s="10" t="n"/>
      <c r="F214" s="10" t="n"/>
      <c r="G214" s="10" t="n"/>
      <c r="H214" s="10" t="n"/>
      <c r="I214" s="10" t="n"/>
      <c r="J214" s="10" t="n"/>
      <c r="K214" s="10" t="n"/>
      <c r="L214" s="11" t="n"/>
      <c r="M214" s="11" t="n"/>
      <c r="N214" s="11" t="n"/>
      <c r="O214" s="11">
        <f>IF(OR(L214="",M214=""),"",IFERROR(INDEX(LAYOUT!$D$2:$D$80,MATCH(L214&amp;"|"&amp;M214,LAYOUT!$E$2:$E$80,0)),""))</f>
        <v/>
      </c>
      <c r="P214" s="12">
        <f>IF(AND(L214="",M214=""),IF(AND(Q214="",R214="",V214="",W214=""),IF(OR($D214&lt;&gt;"",$E214&lt;&gt;""),"Belum ditempatkan",""),""),IF(L214="","CEK JENIS FIXTURE kosong",IF(AND(LEFT(L214,7)&lt;&gt;"Gondola",LEFT(L214,6)&lt;&gt;"Endcap"),"CEK Fixture 1 hanya Gondola atau Endcap",IF(M214="","CEK SHELVING KE kosong",IF(ISNA(MATCH(L214&amp;"|"&amp;M214,LAYOUT!$E$2:$E$80,0)),"CEK SHELVING KE di luar layout",IF($I214="","CEK SERIES kosong",IF(AND(N214&lt;&gt;"",NOT(ISNUMBER(N214))),"CEK URUTAN DISPLAY harus angka",IF($D214="","Zona STOCK",IF($E214="","CEK SKU DESCRIPTION kosong",IF(COUNTIFS($I$2:$I$500,$I214,L$2:L$500,"&lt;&gt;"&amp;L214,L$2:L$500,"&lt;&gt;")&gt;0,"CEK jenis fixture beda dalam satu series","OK"))))))))))</f>
        <v/>
      </c>
      <c r="Q214" s="11" t="n"/>
      <c r="R214" s="11" t="n"/>
      <c r="S214" s="11" t="n"/>
      <c r="T214" s="11">
        <f>IF(OR(Q214="",R214=""),"",IFERROR(INDEX(LAYOUT!$D$2:$D$80,MATCH(Q214&amp;"|"&amp;R214,LAYOUT!$E$2:$E$80,0)),""))</f>
        <v/>
      </c>
      <c r="U214" s="12">
        <f>IF(AND(Q214="",R214=""),IF(AND(L214="",M214="",V214="",W214=""),IF(OR($D214&lt;&gt;"",$E214&lt;&gt;""),"Belum ditempatkan",""),""),IF(Q214="","CEK JENIS FIXTURE kosong",IF(LEFT(Q214,4)&lt;&gt;"Wall","CEK Fixture 2 hanya Wall",IF(R214="","CEK SHELVING KE kosong",IF(ISNA(MATCH(Q214&amp;"|"&amp;R214,LAYOUT!$E$2:$E$80,0)),"CEK SHELVING KE di luar layout",IF($I214="","CEK SERIES kosong",IF(AND(S214&lt;&gt;"",NOT(ISNUMBER(S214))),"CEK URUTAN DISPLAY harus angka",IF($D214="","Zona STOCK",IF($E214="","CEK SKU DESCRIPTION kosong",IF(COUNTIFS($I$2:$I$500,$I214,Q$2:Q$500,"&lt;&gt;"&amp;Q214,Q$2:Q$500,"&lt;&gt;")&gt;0,"CEK jenis fixture beda dalam satu series","OK"))))))))))</f>
        <v/>
      </c>
      <c r="V214" s="11" t="n"/>
      <c r="W214" s="11" t="n"/>
      <c r="X214" s="11" t="n"/>
      <c r="Y214" s="11">
        <f>IF(OR(V214="",W214=""),"",IFERROR(INDEX(LAYOUT!$D$2:$D$80,MATCH(V214&amp;"|"&amp;W214,LAYOUT!$E$2:$E$80,0)),""))</f>
        <v/>
      </c>
      <c r="Z214" s="12">
        <f>IF(AND(V214="",W214=""),IF(AND(L214="",M214="",Q214="",R214=""),IF(OR($D214&lt;&gt;"",$E214&lt;&gt;""),"Belum ditempatkan",""),""),IF(V214="","CEK JENIS FIXTURE kosong",IF(LEFT(V214,4)&lt;&gt;"Wall","CEK Fixture 3 hanya Wall",IF(W214="","CEK SHELVING KE kosong",IF(ISNA(MATCH(V214&amp;"|"&amp;W214,LAYOUT!$E$2:$E$80,0)),"CEK SHELVING KE di luar layout",IF($I214="","CEK SERIES kosong",IF(AND(X214&lt;&gt;"",NOT(ISNUMBER(X214))),"CEK URUTAN DISPLAY harus angka",IF($D214="","Zona STOCK",IF($E214="","CEK SKU DESCRIPTION kosong",IF(COUNTIFS($I$2:$I$500,$I214,V$2:V$500,"&lt;&gt;"&amp;V214,V$2:V$500,"&lt;&gt;")&gt;0,"CEK jenis fixture beda dalam satu series","OK"))))))))))</f>
        <v/>
      </c>
      <c r="AA214" s="12" t="n"/>
      <c r="AB214" s="11" t="n"/>
      <c r="AC214" s="11" t="n"/>
      <c r="AD214" s="11" t="n"/>
      <c r="AE214" s="11" t="n"/>
      <c r="AF214" s="11" t="n"/>
      <c r="AG214" s="11" t="n"/>
      <c r="AH214" s="12" t="n"/>
      <c r="AI214" s="12" t="n"/>
    </row>
    <row r="215">
      <c r="A215" s="10" t="n"/>
      <c r="B215" s="10" t="n"/>
      <c r="C215" s="10" t="n"/>
      <c r="D215" s="10" t="n"/>
      <c r="E215" s="10" t="n"/>
      <c r="F215" s="10" t="n"/>
      <c r="G215" s="10" t="n"/>
      <c r="H215" s="10" t="n"/>
      <c r="I215" s="10" t="n"/>
      <c r="J215" s="10" t="n"/>
      <c r="K215" s="10" t="n"/>
      <c r="L215" s="11" t="n"/>
      <c r="M215" s="11" t="n"/>
      <c r="N215" s="11" t="n"/>
      <c r="O215" s="11">
        <f>IF(OR(L215="",M215=""),"",IFERROR(INDEX(LAYOUT!$D$2:$D$80,MATCH(L215&amp;"|"&amp;M215,LAYOUT!$E$2:$E$80,0)),""))</f>
        <v/>
      </c>
      <c r="P215" s="12">
        <f>IF(AND(L215="",M215=""),IF(AND(Q215="",R215="",V215="",W215=""),IF(OR($D215&lt;&gt;"",$E215&lt;&gt;""),"Belum ditempatkan",""),""),IF(L215="","CEK JENIS FIXTURE kosong",IF(AND(LEFT(L215,7)&lt;&gt;"Gondola",LEFT(L215,6)&lt;&gt;"Endcap"),"CEK Fixture 1 hanya Gondola atau Endcap",IF(M215="","CEK SHELVING KE kosong",IF(ISNA(MATCH(L215&amp;"|"&amp;M215,LAYOUT!$E$2:$E$80,0)),"CEK SHELVING KE di luar layout",IF($I215="","CEK SERIES kosong",IF(AND(N215&lt;&gt;"",NOT(ISNUMBER(N215))),"CEK URUTAN DISPLAY harus angka",IF($D215="","Zona STOCK",IF($E215="","CEK SKU DESCRIPTION kosong",IF(COUNTIFS($I$2:$I$500,$I215,L$2:L$500,"&lt;&gt;"&amp;L215,L$2:L$500,"&lt;&gt;")&gt;0,"CEK jenis fixture beda dalam satu series","OK"))))))))))</f>
        <v/>
      </c>
      <c r="Q215" s="11" t="n"/>
      <c r="R215" s="11" t="n"/>
      <c r="S215" s="11" t="n"/>
      <c r="T215" s="11">
        <f>IF(OR(Q215="",R215=""),"",IFERROR(INDEX(LAYOUT!$D$2:$D$80,MATCH(Q215&amp;"|"&amp;R215,LAYOUT!$E$2:$E$80,0)),""))</f>
        <v/>
      </c>
      <c r="U215" s="12">
        <f>IF(AND(Q215="",R215=""),IF(AND(L215="",M215="",V215="",W215=""),IF(OR($D215&lt;&gt;"",$E215&lt;&gt;""),"Belum ditempatkan",""),""),IF(Q215="","CEK JENIS FIXTURE kosong",IF(LEFT(Q215,4)&lt;&gt;"Wall","CEK Fixture 2 hanya Wall",IF(R215="","CEK SHELVING KE kosong",IF(ISNA(MATCH(Q215&amp;"|"&amp;R215,LAYOUT!$E$2:$E$80,0)),"CEK SHELVING KE di luar layout",IF($I215="","CEK SERIES kosong",IF(AND(S215&lt;&gt;"",NOT(ISNUMBER(S215))),"CEK URUTAN DISPLAY harus angka",IF($D215="","Zona STOCK",IF($E215="","CEK SKU DESCRIPTION kosong",IF(COUNTIFS($I$2:$I$500,$I215,Q$2:Q$500,"&lt;&gt;"&amp;Q215,Q$2:Q$500,"&lt;&gt;")&gt;0,"CEK jenis fixture beda dalam satu series","OK"))))))))))</f>
        <v/>
      </c>
      <c r="V215" s="11" t="n"/>
      <c r="W215" s="11" t="n"/>
      <c r="X215" s="11" t="n"/>
      <c r="Y215" s="11">
        <f>IF(OR(V215="",W215=""),"",IFERROR(INDEX(LAYOUT!$D$2:$D$80,MATCH(V215&amp;"|"&amp;W215,LAYOUT!$E$2:$E$80,0)),""))</f>
        <v/>
      </c>
      <c r="Z215" s="12">
        <f>IF(AND(V215="",W215=""),IF(AND(L215="",M215="",Q215="",R215=""),IF(OR($D215&lt;&gt;"",$E215&lt;&gt;""),"Belum ditempatkan",""),""),IF(V215="","CEK JENIS FIXTURE kosong",IF(LEFT(V215,4)&lt;&gt;"Wall","CEK Fixture 3 hanya Wall",IF(W215="","CEK SHELVING KE kosong",IF(ISNA(MATCH(V215&amp;"|"&amp;W215,LAYOUT!$E$2:$E$80,0)),"CEK SHELVING KE di luar layout",IF($I215="","CEK SERIES kosong",IF(AND(X215&lt;&gt;"",NOT(ISNUMBER(X215))),"CEK URUTAN DISPLAY harus angka",IF($D215="","Zona STOCK",IF($E215="","CEK SKU DESCRIPTION kosong",IF(COUNTIFS($I$2:$I$500,$I215,V$2:V$500,"&lt;&gt;"&amp;V215,V$2:V$500,"&lt;&gt;")&gt;0,"CEK jenis fixture beda dalam satu series","OK"))))))))))</f>
        <v/>
      </c>
      <c r="AA215" s="12" t="n"/>
      <c r="AB215" s="11" t="n"/>
      <c r="AC215" s="11" t="n"/>
      <c r="AD215" s="11" t="n"/>
      <c r="AE215" s="11" t="n"/>
      <c r="AF215" s="11" t="n"/>
      <c r="AG215" s="11" t="n"/>
      <c r="AH215" s="12" t="n"/>
      <c r="AI215" s="12" t="n"/>
    </row>
    <row r="216">
      <c r="A216" s="10" t="n"/>
      <c r="B216" s="10" t="n"/>
      <c r="C216" s="10" t="n"/>
      <c r="D216" s="10" t="n"/>
      <c r="E216" s="10" t="n"/>
      <c r="F216" s="10" t="n"/>
      <c r="G216" s="10" t="n"/>
      <c r="H216" s="10" t="n"/>
      <c r="I216" s="10" t="n"/>
      <c r="J216" s="10" t="n"/>
      <c r="K216" s="10" t="n"/>
      <c r="L216" s="11" t="n"/>
      <c r="M216" s="11" t="n"/>
      <c r="N216" s="11" t="n"/>
      <c r="O216" s="11">
        <f>IF(OR(L216="",M216=""),"",IFERROR(INDEX(LAYOUT!$D$2:$D$80,MATCH(L216&amp;"|"&amp;M216,LAYOUT!$E$2:$E$80,0)),""))</f>
        <v/>
      </c>
      <c r="P216" s="12">
        <f>IF(AND(L216="",M216=""),IF(AND(Q216="",R216="",V216="",W216=""),IF(OR($D216&lt;&gt;"",$E216&lt;&gt;""),"Belum ditempatkan",""),""),IF(L216="","CEK JENIS FIXTURE kosong",IF(AND(LEFT(L216,7)&lt;&gt;"Gondola",LEFT(L216,6)&lt;&gt;"Endcap"),"CEK Fixture 1 hanya Gondola atau Endcap",IF(M216="","CEK SHELVING KE kosong",IF(ISNA(MATCH(L216&amp;"|"&amp;M216,LAYOUT!$E$2:$E$80,0)),"CEK SHELVING KE di luar layout",IF($I216="","CEK SERIES kosong",IF(AND(N216&lt;&gt;"",NOT(ISNUMBER(N216))),"CEK URUTAN DISPLAY harus angka",IF($D216="","Zona STOCK",IF($E216="","CEK SKU DESCRIPTION kosong",IF(COUNTIFS($I$2:$I$500,$I216,L$2:L$500,"&lt;&gt;"&amp;L216,L$2:L$500,"&lt;&gt;")&gt;0,"CEK jenis fixture beda dalam satu series","OK"))))))))))</f>
        <v/>
      </c>
      <c r="Q216" s="11" t="n"/>
      <c r="R216" s="11" t="n"/>
      <c r="S216" s="11" t="n"/>
      <c r="T216" s="11">
        <f>IF(OR(Q216="",R216=""),"",IFERROR(INDEX(LAYOUT!$D$2:$D$80,MATCH(Q216&amp;"|"&amp;R216,LAYOUT!$E$2:$E$80,0)),""))</f>
        <v/>
      </c>
      <c r="U216" s="12">
        <f>IF(AND(Q216="",R216=""),IF(AND(L216="",M216="",V216="",W216=""),IF(OR($D216&lt;&gt;"",$E216&lt;&gt;""),"Belum ditempatkan",""),""),IF(Q216="","CEK JENIS FIXTURE kosong",IF(LEFT(Q216,4)&lt;&gt;"Wall","CEK Fixture 2 hanya Wall",IF(R216="","CEK SHELVING KE kosong",IF(ISNA(MATCH(Q216&amp;"|"&amp;R216,LAYOUT!$E$2:$E$80,0)),"CEK SHELVING KE di luar layout",IF($I216="","CEK SERIES kosong",IF(AND(S216&lt;&gt;"",NOT(ISNUMBER(S216))),"CEK URUTAN DISPLAY harus angka",IF($D216="","Zona STOCK",IF($E216="","CEK SKU DESCRIPTION kosong",IF(COUNTIFS($I$2:$I$500,$I216,Q$2:Q$500,"&lt;&gt;"&amp;Q216,Q$2:Q$500,"&lt;&gt;")&gt;0,"CEK jenis fixture beda dalam satu series","OK"))))))))))</f>
        <v/>
      </c>
      <c r="V216" s="11" t="n"/>
      <c r="W216" s="11" t="n"/>
      <c r="X216" s="11" t="n"/>
      <c r="Y216" s="11">
        <f>IF(OR(V216="",W216=""),"",IFERROR(INDEX(LAYOUT!$D$2:$D$80,MATCH(V216&amp;"|"&amp;W216,LAYOUT!$E$2:$E$80,0)),""))</f>
        <v/>
      </c>
      <c r="Z216" s="12">
        <f>IF(AND(V216="",W216=""),IF(AND(L216="",M216="",Q216="",R216=""),IF(OR($D216&lt;&gt;"",$E216&lt;&gt;""),"Belum ditempatkan",""),""),IF(V216="","CEK JENIS FIXTURE kosong",IF(LEFT(V216,4)&lt;&gt;"Wall","CEK Fixture 3 hanya Wall",IF(W216="","CEK SHELVING KE kosong",IF(ISNA(MATCH(V216&amp;"|"&amp;W216,LAYOUT!$E$2:$E$80,0)),"CEK SHELVING KE di luar layout",IF($I216="","CEK SERIES kosong",IF(AND(X216&lt;&gt;"",NOT(ISNUMBER(X216))),"CEK URUTAN DISPLAY harus angka",IF($D216="","Zona STOCK",IF($E216="","CEK SKU DESCRIPTION kosong",IF(COUNTIFS($I$2:$I$500,$I216,V$2:V$500,"&lt;&gt;"&amp;V216,V$2:V$500,"&lt;&gt;")&gt;0,"CEK jenis fixture beda dalam satu series","OK"))))))))))</f>
        <v/>
      </c>
      <c r="AA216" s="12" t="n"/>
      <c r="AB216" s="11" t="n"/>
      <c r="AC216" s="11" t="n"/>
      <c r="AD216" s="11" t="n"/>
      <c r="AE216" s="11" t="n"/>
      <c r="AF216" s="11" t="n"/>
      <c r="AG216" s="11" t="n"/>
      <c r="AH216" s="12" t="n"/>
      <c r="AI216" s="12" t="n"/>
    </row>
    <row r="217">
      <c r="A217" s="10" t="n"/>
      <c r="B217" s="10" t="n"/>
      <c r="C217" s="10" t="n"/>
      <c r="D217" s="10" t="n"/>
      <c r="E217" s="10" t="n"/>
      <c r="F217" s="10" t="n"/>
      <c r="G217" s="10" t="n"/>
      <c r="H217" s="10" t="n"/>
      <c r="I217" s="10" t="n"/>
      <c r="J217" s="10" t="n"/>
      <c r="K217" s="10" t="n"/>
      <c r="L217" s="11" t="n"/>
      <c r="M217" s="11" t="n"/>
      <c r="N217" s="11" t="n"/>
      <c r="O217" s="11">
        <f>IF(OR(L217="",M217=""),"",IFERROR(INDEX(LAYOUT!$D$2:$D$80,MATCH(L217&amp;"|"&amp;M217,LAYOUT!$E$2:$E$80,0)),""))</f>
        <v/>
      </c>
      <c r="P217" s="12">
        <f>IF(AND(L217="",M217=""),IF(AND(Q217="",R217="",V217="",W217=""),IF(OR($D217&lt;&gt;"",$E217&lt;&gt;""),"Belum ditempatkan",""),""),IF(L217="","CEK JENIS FIXTURE kosong",IF(AND(LEFT(L217,7)&lt;&gt;"Gondola",LEFT(L217,6)&lt;&gt;"Endcap"),"CEK Fixture 1 hanya Gondola atau Endcap",IF(M217="","CEK SHELVING KE kosong",IF(ISNA(MATCH(L217&amp;"|"&amp;M217,LAYOUT!$E$2:$E$80,0)),"CEK SHELVING KE di luar layout",IF($I217="","CEK SERIES kosong",IF(AND(N217&lt;&gt;"",NOT(ISNUMBER(N217))),"CEK URUTAN DISPLAY harus angka",IF($D217="","Zona STOCK",IF($E217="","CEK SKU DESCRIPTION kosong",IF(COUNTIFS($I$2:$I$500,$I217,L$2:L$500,"&lt;&gt;"&amp;L217,L$2:L$500,"&lt;&gt;")&gt;0,"CEK jenis fixture beda dalam satu series","OK"))))))))))</f>
        <v/>
      </c>
      <c r="Q217" s="11" t="n"/>
      <c r="R217" s="11" t="n"/>
      <c r="S217" s="11" t="n"/>
      <c r="T217" s="11">
        <f>IF(OR(Q217="",R217=""),"",IFERROR(INDEX(LAYOUT!$D$2:$D$80,MATCH(Q217&amp;"|"&amp;R217,LAYOUT!$E$2:$E$80,0)),""))</f>
        <v/>
      </c>
      <c r="U217" s="12">
        <f>IF(AND(Q217="",R217=""),IF(AND(L217="",M217="",V217="",W217=""),IF(OR($D217&lt;&gt;"",$E217&lt;&gt;""),"Belum ditempatkan",""),""),IF(Q217="","CEK JENIS FIXTURE kosong",IF(LEFT(Q217,4)&lt;&gt;"Wall","CEK Fixture 2 hanya Wall",IF(R217="","CEK SHELVING KE kosong",IF(ISNA(MATCH(Q217&amp;"|"&amp;R217,LAYOUT!$E$2:$E$80,0)),"CEK SHELVING KE di luar layout",IF($I217="","CEK SERIES kosong",IF(AND(S217&lt;&gt;"",NOT(ISNUMBER(S217))),"CEK URUTAN DISPLAY harus angka",IF($D217="","Zona STOCK",IF($E217="","CEK SKU DESCRIPTION kosong",IF(COUNTIFS($I$2:$I$500,$I217,Q$2:Q$500,"&lt;&gt;"&amp;Q217,Q$2:Q$500,"&lt;&gt;")&gt;0,"CEK jenis fixture beda dalam satu series","OK"))))))))))</f>
        <v/>
      </c>
      <c r="V217" s="11" t="n"/>
      <c r="W217" s="11" t="n"/>
      <c r="X217" s="11" t="n"/>
      <c r="Y217" s="11">
        <f>IF(OR(V217="",W217=""),"",IFERROR(INDEX(LAYOUT!$D$2:$D$80,MATCH(V217&amp;"|"&amp;W217,LAYOUT!$E$2:$E$80,0)),""))</f>
        <v/>
      </c>
      <c r="Z217" s="12">
        <f>IF(AND(V217="",W217=""),IF(AND(L217="",M217="",Q217="",R217=""),IF(OR($D217&lt;&gt;"",$E217&lt;&gt;""),"Belum ditempatkan",""),""),IF(V217="","CEK JENIS FIXTURE kosong",IF(LEFT(V217,4)&lt;&gt;"Wall","CEK Fixture 3 hanya Wall",IF(W217="","CEK SHELVING KE kosong",IF(ISNA(MATCH(V217&amp;"|"&amp;W217,LAYOUT!$E$2:$E$80,0)),"CEK SHELVING KE di luar layout",IF($I217="","CEK SERIES kosong",IF(AND(X217&lt;&gt;"",NOT(ISNUMBER(X217))),"CEK URUTAN DISPLAY harus angka",IF($D217="","Zona STOCK",IF($E217="","CEK SKU DESCRIPTION kosong",IF(COUNTIFS($I$2:$I$500,$I217,V$2:V$500,"&lt;&gt;"&amp;V217,V$2:V$500,"&lt;&gt;")&gt;0,"CEK jenis fixture beda dalam satu series","OK"))))))))))</f>
        <v/>
      </c>
      <c r="AA217" s="12" t="n"/>
      <c r="AB217" s="11" t="n"/>
      <c r="AC217" s="11" t="n"/>
      <c r="AD217" s="11" t="n"/>
      <c r="AE217" s="11" t="n"/>
      <c r="AF217" s="11" t="n"/>
      <c r="AG217" s="11" t="n"/>
      <c r="AH217" s="12" t="n"/>
      <c r="AI217" s="12" t="n"/>
    </row>
    <row r="218">
      <c r="A218" s="10" t="n"/>
      <c r="B218" s="10" t="n"/>
      <c r="C218" s="10" t="n"/>
      <c r="D218" s="10" t="n"/>
      <c r="E218" s="10" t="n"/>
      <c r="F218" s="10" t="n"/>
      <c r="G218" s="10" t="n"/>
      <c r="H218" s="10" t="n"/>
      <c r="I218" s="10" t="n"/>
      <c r="J218" s="10" t="n"/>
      <c r="K218" s="10" t="n"/>
      <c r="L218" s="11" t="n"/>
      <c r="M218" s="11" t="n"/>
      <c r="N218" s="11" t="n"/>
      <c r="O218" s="11">
        <f>IF(OR(L218="",M218=""),"",IFERROR(INDEX(LAYOUT!$D$2:$D$80,MATCH(L218&amp;"|"&amp;M218,LAYOUT!$E$2:$E$80,0)),""))</f>
        <v/>
      </c>
      <c r="P218" s="12">
        <f>IF(AND(L218="",M218=""),IF(AND(Q218="",R218="",V218="",W218=""),IF(OR($D218&lt;&gt;"",$E218&lt;&gt;""),"Belum ditempatkan",""),""),IF(L218="","CEK JENIS FIXTURE kosong",IF(AND(LEFT(L218,7)&lt;&gt;"Gondola",LEFT(L218,6)&lt;&gt;"Endcap"),"CEK Fixture 1 hanya Gondola atau Endcap",IF(M218="","CEK SHELVING KE kosong",IF(ISNA(MATCH(L218&amp;"|"&amp;M218,LAYOUT!$E$2:$E$80,0)),"CEK SHELVING KE di luar layout",IF($I218="","CEK SERIES kosong",IF(AND(N218&lt;&gt;"",NOT(ISNUMBER(N218))),"CEK URUTAN DISPLAY harus angka",IF($D218="","Zona STOCK",IF($E218="","CEK SKU DESCRIPTION kosong",IF(COUNTIFS($I$2:$I$500,$I218,L$2:L$500,"&lt;&gt;"&amp;L218,L$2:L$500,"&lt;&gt;")&gt;0,"CEK jenis fixture beda dalam satu series","OK"))))))))))</f>
        <v/>
      </c>
      <c r="Q218" s="11" t="n"/>
      <c r="R218" s="11" t="n"/>
      <c r="S218" s="11" t="n"/>
      <c r="T218" s="11">
        <f>IF(OR(Q218="",R218=""),"",IFERROR(INDEX(LAYOUT!$D$2:$D$80,MATCH(Q218&amp;"|"&amp;R218,LAYOUT!$E$2:$E$80,0)),""))</f>
        <v/>
      </c>
      <c r="U218" s="12">
        <f>IF(AND(Q218="",R218=""),IF(AND(L218="",M218="",V218="",W218=""),IF(OR($D218&lt;&gt;"",$E218&lt;&gt;""),"Belum ditempatkan",""),""),IF(Q218="","CEK JENIS FIXTURE kosong",IF(LEFT(Q218,4)&lt;&gt;"Wall","CEK Fixture 2 hanya Wall",IF(R218="","CEK SHELVING KE kosong",IF(ISNA(MATCH(Q218&amp;"|"&amp;R218,LAYOUT!$E$2:$E$80,0)),"CEK SHELVING KE di luar layout",IF($I218="","CEK SERIES kosong",IF(AND(S218&lt;&gt;"",NOT(ISNUMBER(S218))),"CEK URUTAN DISPLAY harus angka",IF($D218="","Zona STOCK",IF($E218="","CEK SKU DESCRIPTION kosong",IF(COUNTIFS($I$2:$I$500,$I218,Q$2:Q$500,"&lt;&gt;"&amp;Q218,Q$2:Q$500,"&lt;&gt;")&gt;0,"CEK jenis fixture beda dalam satu series","OK"))))))))))</f>
        <v/>
      </c>
      <c r="V218" s="11" t="n"/>
      <c r="W218" s="11" t="n"/>
      <c r="X218" s="11" t="n"/>
      <c r="Y218" s="11">
        <f>IF(OR(V218="",W218=""),"",IFERROR(INDEX(LAYOUT!$D$2:$D$80,MATCH(V218&amp;"|"&amp;W218,LAYOUT!$E$2:$E$80,0)),""))</f>
        <v/>
      </c>
      <c r="Z218" s="12">
        <f>IF(AND(V218="",W218=""),IF(AND(L218="",M218="",Q218="",R218=""),IF(OR($D218&lt;&gt;"",$E218&lt;&gt;""),"Belum ditempatkan",""),""),IF(V218="","CEK JENIS FIXTURE kosong",IF(LEFT(V218,4)&lt;&gt;"Wall","CEK Fixture 3 hanya Wall",IF(W218="","CEK SHELVING KE kosong",IF(ISNA(MATCH(V218&amp;"|"&amp;W218,LAYOUT!$E$2:$E$80,0)),"CEK SHELVING KE di luar layout",IF($I218="","CEK SERIES kosong",IF(AND(X218&lt;&gt;"",NOT(ISNUMBER(X218))),"CEK URUTAN DISPLAY harus angka",IF($D218="","Zona STOCK",IF($E218="","CEK SKU DESCRIPTION kosong",IF(COUNTIFS($I$2:$I$500,$I218,V$2:V$500,"&lt;&gt;"&amp;V218,V$2:V$500,"&lt;&gt;")&gt;0,"CEK jenis fixture beda dalam satu series","OK"))))))))))</f>
        <v/>
      </c>
      <c r="AA218" s="12" t="n"/>
      <c r="AB218" s="11" t="n"/>
      <c r="AC218" s="11" t="n"/>
      <c r="AD218" s="11" t="n"/>
      <c r="AE218" s="11" t="n"/>
      <c r="AF218" s="11" t="n"/>
      <c r="AG218" s="11" t="n"/>
      <c r="AH218" s="12" t="n"/>
      <c r="AI218" s="12" t="n"/>
    </row>
    <row r="219">
      <c r="A219" s="10" t="n"/>
      <c r="B219" s="10" t="n"/>
      <c r="C219" s="10" t="n"/>
      <c r="D219" s="10" t="n"/>
      <c r="E219" s="10" t="n"/>
      <c r="F219" s="10" t="n"/>
      <c r="G219" s="10" t="n"/>
      <c r="H219" s="10" t="n"/>
      <c r="I219" s="10" t="n"/>
      <c r="J219" s="10" t="n"/>
      <c r="K219" s="10" t="n"/>
      <c r="L219" s="11" t="n"/>
      <c r="M219" s="11" t="n"/>
      <c r="N219" s="11" t="n"/>
      <c r="O219" s="11">
        <f>IF(OR(L219="",M219=""),"",IFERROR(INDEX(LAYOUT!$D$2:$D$80,MATCH(L219&amp;"|"&amp;M219,LAYOUT!$E$2:$E$80,0)),""))</f>
        <v/>
      </c>
      <c r="P219" s="12">
        <f>IF(AND(L219="",M219=""),IF(AND(Q219="",R219="",V219="",W219=""),IF(OR($D219&lt;&gt;"",$E219&lt;&gt;""),"Belum ditempatkan",""),""),IF(L219="","CEK JENIS FIXTURE kosong",IF(AND(LEFT(L219,7)&lt;&gt;"Gondola",LEFT(L219,6)&lt;&gt;"Endcap"),"CEK Fixture 1 hanya Gondola atau Endcap",IF(M219="","CEK SHELVING KE kosong",IF(ISNA(MATCH(L219&amp;"|"&amp;M219,LAYOUT!$E$2:$E$80,0)),"CEK SHELVING KE di luar layout",IF($I219="","CEK SERIES kosong",IF(AND(N219&lt;&gt;"",NOT(ISNUMBER(N219))),"CEK URUTAN DISPLAY harus angka",IF($D219="","Zona STOCK",IF($E219="","CEK SKU DESCRIPTION kosong",IF(COUNTIFS($I$2:$I$500,$I219,L$2:L$500,"&lt;&gt;"&amp;L219,L$2:L$500,"&lt;&gt;")&gt;0,"CEK jenis fixture beda dalam satu series","OK"))))))))))</f>
        <v/>
      </c>
      <c r="Q219" s="11" t="n"/>
      <c r="R219" s="11" t="n"/>
      <c r="S219" s="11" t="n"/>
      <c r="T219" s="11">
        <f>IF(OR(Q219="",R219=""),"",IFERROR(INDEX(LAYOUT!$D$2:$D$80,MATCH(Q219&amp;"|"&amp;R219,LAYOUT!$E$2:$E$80,0)),""))</f>
        <v/>
      </c>
      <c r="U219" s="12">
        <f>IF(AND(Q219="",R219=""),IF(AND(L219="",M219="",V219="",W219=""),IF(OR($D219&lt;&gt;"",$E219&lt;&gt;""),"Belum ditempatkan",""),""),IF(Q219="","CEK JENIS FIXTURE kosong",IF(LEFT(Q219,4)&lt;&gt;"Wall","CEK Fixture 2 hanya Wall",IF(R219="","CEK SHELVING KE kosong",IF(ISNA(MATCH(Q219&amp;"|"&amp;R219,LAYOUT!$E$2:$E$80,0)),"CEK SHELVING KE di luar layout",IF($I219="","CEK SERIES kosong",IF(AND(S219&lt;&gt;"",NOT(ISNUMBER(S219))),"CEK URUTAN DISPLAY harus angka",IF($D219="","Zona STOCK",IF($E219="","CEK SKU DESCRIPTION kosong",IF(COUNTIFS($I$2:$I$500,$I219,Q$2:Q$500,"&lt;&gt;"&amp;Q219,Q$2:Q$500,"&lt;&gt;")&gt;0,"CEK jenis fixture beda dalam satu series","OK"))))))))))</f>
        <v/>
      </c>
      <c r="V219" s="11" t="n"/>
      <c r="W219" s="11" t="n"/>
      <c r="X219" s="11" t="n"/>
      <c r="Y219" s="11">
        <f>IF(OR(V219="",W219=""),"",IFERROR(INDEX(LAYOUT!$D$2:$D$80,MATCH(V219&amp;"|"&amp;W219,LAYOUT!$E$2:$E$80,0)),""))</f>
        <v/>
      </c>
      <c r="Z219" s="12">
        <f>IF(AND(V219="",W219=""),IF(AND(L219="",M219="",Q219="",R219=""),IF(OR($D219&lt;&gt;"",$E219&lt;&gt;""),"Belum ditempatkan",""),""),IF(V219="","CEK JENIS FIXTURE kosong",IF(LEFT(V219,4)&lt;&gt;"Wall","CEK Fixture 3 hanya Wall",IF(W219="","CEK SHELVING KE kosong",IF(ISNA(MATCH(V219&amp;"|"&amp;W219,LAYOUT!$E$2:$E$80,0)),"CEK SHELVING KE di luar layout",IF($I219="","CEK SERIES kosong",IF(AND(X219&lt;&gt;"",NOT(ISNUMBER(X219))),"CEK URUTAN DISPLAY harus angka",IF($D219="","Zona STOCK",IF($E219="","CEK SKU DESCRIPTION kosong",IF(COUNTIFS($I$2:$I$500,$I219,V$2:V$500,"&lt;&gt;"&amp;V219,V$2:V$500,"&lt;&gt;")&gt;0,"CEK jenis fixture beda dalam satu series","OK"))))))))))</f>
        <v/>
      </c>
      <c r="AA219" s="12" t="n"/>
      <c r="AB219" s="11" t="n"/>
      <c r="AC219" s="11" t="n"/>
      <c r="AD219" s="11" t="n"/>
      <c r="AE219" s="11" t="n"/>
      <c r="AF219" s="11" t="n"/>
      <c r="AG219" s="11" t="n"/>
      <c r="AH219" s="12" t="n"/>
      <c r="AI219" s="12" t="n"/>
    </row>
    <row r="220">
      <c r="A220" s="10" t="n"/>
      <c r="B220" s="10" t="n"/>
      <c r="C220" s="10" t="n"/>
      <c r="D220" s="10" t="n"/>
      <c r="E220" s="10" t="n"/>
      <c r="F220" s="10" t="n"/>
      <c r="G220" s="10" t="n"/>
      <c r="H220" s="10" t="n"/>
      <c r="I220" s="10" t="n"/>
      <c r="J220" s="10" t="n"/>
      <c r="K220" s="10" t="n"/>
      <c r="L220" s="11" t="n"/>
      <c r="M220" s="11" t="n"/>
      <c r="N220" s="11" t="n"/>
      <c r="O220" s="11">
        <f>IF(OR(L220="",M220=""),"",IFERROR(INDEX(LAYOUT!$D$2:$D$80,MATCH(L220&amp;"|"&amp;M220,LAYOUT!$E$2:$E$80,0)),""))</f>
        <v/>
      </c>
      <c r="P220" s="12">
        <f>IF(AND(L220="",M220=""),IF(AND(Q220="",R220="",V220="",W220=""),IF(OR($D220&lt;&gt;"",$E220&lt;&gt;""),"Belum ditempatkan",""),""),IF(L220="","CEK JENIS FIXTURE kosong",IF(AND(LEFT(L220,7)&lt;&gt;"Gondola",LEFT(L220,6)&lt;&gt;"Endcap"),"CEK Fixture 1 hanya Gondola atau Endcap",IF(M220="","CEK SHELVING KE kosong",IF(ISNA(MATCH(L220&amp;"|"&amp;M220,LAYOUT!$E$2:$E$80,0)),"CEK SHELVING KE di luar layout",IF($I220="","CEK SERIES kosong",IF(AND(N220&lt;&gt;"",NOT(ISNUMBER(N220))),"CEK URUTAN DISPLAY harus angka",IF($D220="","Zona STOCK",IF($E220="","CEK SKU DESCRIPTION kosong",IF(COUNTIFS($I$2:$I$500,$I220,L$2:L$500,"&lt;&gt;"&amp;L220,L$2:L$500,"&lt;&gt;")&gt;0,"CEK jenis fixture beda dalam satu series","OK"))))))))))</f>
        <v/>
      </c>
      <c r="Q220" s="11" t="n"/>
      <c r="R220" s="11" t="n"/>
      <c r="S220" s="11" t="n"/>
      <c r="T220" s="11">
        <f>IF(OR(Q220="",R220=""),"",IFERROR(INDEX(LAYOUT!$D$2:$D$80,MATCH(Q220&amp;"|"&amp;R220,LAYOUT!$E$2:$E$80,0)),""))</f>
        <v/>
      </c>
      <c r="U220" s="12">
        <f>IF(AND(Q220="",R220=""),IF(AND(L220="",M220="",V220="",W220=""),IF(OR($D220&lt;&gt;"",$E220&lt;&gt;""),"Belum ditempatkan",""),""),IF(Q220="","CEK JENIS FIXTURE kosong",IF(LEFT(Q220,4)&lt;&gt;"Wall","CEK Fixture 2 hanya Wall",IF(R220="","CEK SHELVING KE kosong",IF(ISNA(MATCH(Q220&amp;"|"&amp;R220,LAYOUT!$E$2:$E$80,0)),"CEK SHELVING KE di luar layout",IF($I220="","CEK SERIES kosong",IF(AND(S220&lt;&gt;"",NOT(ISNUMBER(S220))),"CEK URUTAN DISPLAY harus angka",IF($D220="","Zona STOCK",IF($E220="","CEK SKU DESCRIPTION kosong",IF(COUNTIFS($I$2:$I$500,$I220,Q$2:Q$500,"&lt;&gt;"&amp;Q220,Q$2:Q$500,"&lt;&gt;")&gt;0,"CEK jenis fixture beda dalam satu series","OK"))))))))))</f>
        <v/>
      </c>
      <c r="V220" s="11" t="n"/>
      <c r="W220" s="11" t="n"/>
      <c r="X220" s="11" t="n"/>
      <c r="Y220" s="11">
        <f>IF(OR(V220="",W220=""),"",IFERROR(INDEX(LAYOUT!$D$2:$D$80,MATCH(V220&amp;"|"&amp;W220,LAYOUT!$E$2:$E$80,0)),""))</f>
        <v/>
      </c>
      <c r="Z220" s="12">
        <f>IF(AND(V220="",W220=""),IF(AND(L220="",M220="",Q220="",R220=""),IF(OR($D220&lt;&gt;"",$E220&lt;&gt;""),"Belum ditempatkan",""),""),IF(V220="","CEK JENIS FIXTURE kosong",IF(LEFT(V220,4)&lt;&gt;"Wall","CEK Fixture 3 hanya Wall",IF(W220="","CEK SHELVING KE kosong",IF(ISNA(MATCH(V220&amp;"|"&amp;W220,LAYOUT!$E$2:$E$80,0)),"CEK SHELVING KE di luar layout",IF($I220="","CEK SERIES kosong",IF(AND(X220&lt;&gt;"",NOT(ISNUMBER(X220))),"CEK URUTAN DISPLAY harus angka",IF($D220="","Zona STOCK",IF($E220="","CEK SKU DESCRIPTION kosong",IF(COUNTIFS($I$2:$I$500,$I220,V$2:V$500,"&lt;&gt;"&amp;V220,V$2:V$500,"&lt;&gt;")&gt;0,"CEK jenis fixture beda dalam satu series","OK"))))))))))</f>
        <v/>
      </c>
      <c r="AA220" s="12" t="n"/>
      <c r="AB220" s="11" t="n"/>
      <c r="AC220" s="11" t="n"/>
      <c r="AD220" s="11" t="n"/>
      <c r="AE220" s="11" t="n"/>
      <c r="AF220" s="11" t="n"/>
      <c r="AG220" s="11" t="n"/>
      <c r="AH220" s="12" t="n"/>
      <c r="AI220" s="12" t="n"/>
    </row>
    <row r="221">
      <c r="A221" s="10" t="n"/>
      <c r="B221" s="10" t="n"/>
      <c r="C221" s="10" t="n"/>
      <c r="D221" s="10" t="n"/>
      <c r="E221" s="10" t="n"/>
      <c r="F221" s="10" t="n"/>
      <c r="G221" s="10" t="n"/>
      <c r="H221" s="10" t="n"/>
      <c r="I221" s="10" t="n"/>
      <c r="J221" s="10" t="n"/>
      <c r="K221" s="10" t="n"/>
      <c r="L221" s="11" t="n"/>
      <c r="M221" s="11" t="n"/>
      <c r="N221" s="11" t="n"/>
      <c r="O221" s="11">
        <f>IF(OR(L221="",M221=""),"",IFERROR(INDEX(LAYOUT!$D$2:$D$80,MATCH(L221&amp;"|"&amp;M221,LAYOUT!$E$2:$E$80,0)),""))</f>
        <v/>
      </c>
      <c r="P221" s="12">
        <f>IF(AND(L221="",M221=""),IF(AND(Q221="",R221="",V221="",W221=""),IF(OR($D221&lt;&gt;"",$E221&lt;&gt;""),"Belum ditempatkan",""),""),IF(L221="","CEK JENIS FIXTURE kosong",IF(AND(LEFT(L221,7)&lt;&gt;"Gondola",LEFT(L221,6)&lt;&gt;"Endcap"),"CEK Fixture 1 hanya Gondola atau Endcap",IF(M221="","CEK SHELVING KE kosong",IF(ISNA(MATCH(L221&amp;"|"&amp;M221,LAYOUT!$E$2:$E$80,0)),"CEK SHELVING KE di luar layout",IF($I221="","CEK SERIES kosong",IF(AND(N221&lt;&gt;"",NOT(ISNUMBER(N221))),"CEK URUTAN DISPLAY harus angka",IF($D221="","Zona STOCK",IF($E221="","CEK SKU DESCRIPTION kosong",IF(COUNTIFS($I$2:$I$500,$I221,L$2:L$500,"&lt;&gt;"&amp;L221,L$2:L$500,"&lt;&gt;")&gt;0,"CEK jenis fixture beda dalam satu series","OK"))))))))))</f>
        <v/>
      </c>
      <c r="Q221" s="11" t="n"/>
      <c r="R221" s="11" t="n"/>
      <c r="S221" s="11" t="n"/>
      <c r="T221" s="11">
        <f>IF(OR(Q221="",R221=""),"",IFERROR(INDEX(LAYOUT!$D$2:$D$80,MATCH(Q221&amp;"|"&amp;R221,LAYOUT!$E$2:$E$80,0)),""))</f>
        <v/>
      </c>
      <c r="U221" s="12">
        <f>IF(AND(Q221="",R221=""),IF(AND(L221="",M221="",V221="",W221=""),IF(OR($D221&lt;&gt;"",$E221&lt;&gt;""),"Belum ditempatkan",""),""),IF(Q221="","CEK JENIS FIXTURE kosong",IF(LEFT(Q221,4)&lt;&gt;"Wall","CEK Fixture 2 hanya Wall",IF(R221="","CEK SHELVING KE kosong",IF(ISNA(MATCH(Q221&amp;"|"&amp;R221,LAYOUT!$E$2:$E$80,0)),"CEK SHELVING KE di luar layout",IF($I221="","CEK SERIES kosong",IF(AND(S221&lt;&gt;"",NOT(ISNUMBER(S221))),"CEK URUTAN DISPLAY harus angka",IF($D221="","Zona STOCK",IF($E221="","CEK SKU DESCRIPTION kosong",IF(COUNTIFS($I$2:$I$500,$I221,Q$2:Q$500,"&lt;&gt;"&amp;Q221,Q$2:Q$500,"&lt;&gt;")&gt;0,"CEK jenis fixture beda dalam satu series","OK"))))))))))</f>
        <v/>
      </c>
      <c r="V221" s="11" t="n"/>
      <c r="W221" s="11" t="n"/>
      <c r="X221" s="11" t="n"/>
      <c r="Y221" s="11">
        <f>IF(OR(V221="",W221=""),"",IFERROR(INDEX(LAYOUT!$D$2:$D$80,MATCH(V221&amp;"|"&amp;W221,LAYOUT!$E$2:$E$80,0)),""))</f>
        <v/>
      </c>
      <c r="Z221" s="12">
        <f>IF(AND(V221="",W221=""),IF(AND(L221="",M221="",Q221="",R221=""),IF(OR($D221&lt;&gt;"",$E221&lt;&gt;""),"Belum ditempatkan",""),""),IF(V221="","CEK JENIS FIXTURE kosong",IF(LEFT(V221,4)&lt;&gt;"Wall","CEK Fixture 3 hanya Wall",IF(W221="","CEK SHELVING KE kosong",IF(ISNA(MATCH(V221&amp;"|"&amp;W221,LAYOUT!$E$2:$E$80,0)),"CEK SHELVING KE di luar layout",IF($I221="","CEK SERIES kosong",IF(AND(X221&lt;&gt;"",NOT(ISNUMBER(X221))),"CEK URUTAN DISPLAY harus angka",IF($D221="","Zona STOCK",IF($E221="","CEK SKU DESCRIPTION kosong",IF(COUNTIFS($I$2:$I$500,$I221,V$2:V$500,"&lt;&gt;"&amp;V221,V$2:V$500,"&lt;&gt;")&gt;0,"CEK jenis fixture beda dalam satu series","OK"))))))))))</f>
        <v/>
      </c>
      <c r="AA221" s="12" t="n"/>
      <c r="AB221" s="11" t="n"/>
      <c r="AC221" s="11" t="n"/>
      <c r="AD221" s="11" t="n"/>
      <c r="AE221" s="11" t="n"/>
      <c r="AF221" s="11" t="n"/>
      <c r="AG221" s="11" t="n"/>
      <c r="AH221" s="12" t="n"/>
      <c r="AI221" s="12" t="n"/>
    </row>
    <row r="222">
      <c r="A222" s="10" t="n"/>
      <c r="B222" s="10" t="n"/>
      <c r="C222" s="10" t="n"/>
      <c r="D222" s="10" t="n"/>
      <c r="E222" s="10" t="n"/>
      <c r="F222" s="10" t="n"/>
      <c r="G222" s="10" t="n"/>
      <c r="H222" s="10" t="n"/>
      <c r="I222" s="10" t="n"/>
      <c r="J222" s="10" t="n"/>
      <c r="K222" s="10" t="n"/>
      <c r="L222" s="11" t="n"/>
      <c r="M222" s="11" t="n"/>
      <c r="N222" s="11" t="n"/>
      <c r="O222" s="11">
        <f>IF(OR(L222="",M222=""),"",IFERROR(INDEX(LAYOUT!$D$2:$D$80,MATCH(L222&amp;"|"&amp;M222,LAYOUT!$E$2:$E$80,0)),""))</f>
        <v/>
      </c>
      <c r="P222" s="12">
        <f>IF(AND(L222="",M222=""),IF(AND(Q222="",R222="",V222="",W222=""),IF(OR($D222&lt;&gt;"",$E222&lt;&gt;""),"Belum ditempatkan",""),""),IF(L222="","CEK JENIS FIXTURE kosong",IF(AND(LEFT(L222,7)&lt;&gt;"Gondola",LEFT(L222,6)&lt;&gt;"Endcap"),"CEK Fixture 1 hanya Gondola atau Endcap",IF(M222="","CEK SHELVING KE kosong",IF(ISNA(MATCH(L222&amp;"|"&amp;M222,LAYOUT!$E$2:$E$80,0)),"CEK SHELVING KE di luar layout",IF($I222="","CEK SERIES kosong",IF(AND(N222&lt;&gt;"",NOT(ISNUMBER(N222))),"CEK URUTAN DISPLAY harus angka",IF($D222="","Zona STOCK",IF($E222="","CEK SKU DESCRIPTION kosong",IF(COUNTIFS($I$2:$I$500,$I222,L$2:L$500,"&lt;&gt;"&amp;L222,L$2:L$500,"&lt;&gt;")&gt;0,"CEK jenis fixture beda dalam satu series","OK"))))))))))</f>
        <v/>
      </c>
      <c r="Q222" s="11" t="n"/>
      <c r="R222" s="11" t="n"/>
      <c r="S222" s="11" t="n"/>
      <c r="T222" s="11">
        <f>IF(OR(Q222="",R222=""),"",IFERROR(INDEX(LAYOUT!$D$2:$D$80,MATCH(Q222&amp;"|"&amp;R222,LAYOUT!$E$2:$E$80,0)),""))</f>
        <v/>
      </c>
      <c r="U222" s="12">
        <f>IF(AND(Q222="",R222=""),IF(AND(L222="",M222="",V222="",W222=""),IF(OR($D222&lt;&gt;"",$E222&lt;&gt;""),"Belum ditempatkan",""),""),IF(Q222="","CEK JENIS FIXTURE kosong",IF(LEFT(Q222,4)&lt;&gt;"Wall","CEK Fixture 2 hanya Wall",IF(R222="","CEK SHELVING KE kosong",IF(ISNA(MATCH(Q222&amp;"|"&amp;R222,LAYOUT!$E$2:$E$80,0)),"CEK SHELVING KE di luar layout",IF($I222="","CEK SERIES kosong",IF(AND(S222&lt;&gt;"",NOT(ISNUMBER(S222))),"CEK URUTAN DISPLAY harus angka",IF($D222="","Zona STOCK",IF($E222="","CEK SKU DESCRIPTION kosong",IF(COUNTIFS($I$2:$I$500,$I222,Q$2:Q$500,"&lt;&gt;"&amp;Q222,Q$2:Q$500,"&lt;&gt;")&gt;0,"CEK jenis fixture beda dalam satu series","OK"))))))))))</f>
        <v/>
      </c>
      <c r="V222" s="11" t="n"/>
      <c r="W222" s="11" t="n"/>
      <c r="X222" s="11" t="n"/>
      <c r="Y222" s="11">
        <f>IF(OR(V222="",W222=""),"",IFERROR(INDEX(LAYOUT!$D$2:$D$80,MATCH(V222&amp;"|"&amp;W222,LAYOUT!$E$2:$E$80,0)),""))</f>
        <v/>
      </c>
      <c r="Z222" s="12">
        <f>IF(AND(V222="",W222=""),IF(AND(L222="",M222="",Q222="",R222=""),IF(OR($D222&lt;&gt;"",$E222&lt;&gt;""),"Belum ditempatkan",""),""),IF(V222="","CEK JENIS FIXTURE kosong",IF(LEFT(V222,4)&lt;&gt;"Wall","CEK Fixture 3 hanya Wall",IF(W222="","CEK SHELVING KE kosong",IF(ISNA(MATCH(V222&amp;"|"&amp;W222,LAYOUT!$E$2:$E$80,0)),"CEK SHELVING KE di luar layout",IF($I222="","CEK SERIES kosong",IF(AND(X222&lt;&gt;"",NOT(ISNUMBER(X222))),"CEK URUTAN DISPLAY harus angka",IF($D222="","Zona STOCK",IF($E222="","CEK SKU DESCRIPTION kosong",IF(COUNTIFS($I$2:$I$500,$I222,V$2:V$500,"&lt;&gt;"&amp;V222,V$2:V$500,"&lt;&gt;")&gt;0,"CEK jenis fixture beda dalam satu series","OK"))))))))))</f>
        <v/>
      </c>
      <c r="AA222" s="12" t="n"/>
      <c r="AB222" s="11" t="n"/>
      <c r="AC222" s="11" t="n"/>
      <c r="AD222" s="11" t="n"/>
      <c r="AE222" s="11" t="n"/>
      <c r="AF222" s="11" t="n"/>
      <c r="AG222" s="11" t="n"/>
      <c r="AH222" s="12" t="n"/>
      <c r="AI222" s="12" t="n"/>
    </row>
    <row r="223">
      <c r="A223" s="10" t="n"/>
      <c r="B223" s="10" t="n"/>
      <c r="C223" s="10" t="n"/>
      <c r="D223" s="10" t="n"/>
      <c r="E223" s="10" t="n"/>
      <c r="F223" s="10" t="n"/>
      <c r="G223" s="10" t="n"/>
      <c r="H223" s="10" t="n"/>
      <c r="I223" s="10" t="n"/>
      <c r="J223" s="10" t="n"/>
      <c r="K223" s="10" t="n"/>
      <c r="L223" s="11" t="n"/>
      <c r="M223" s="11" t="n"/>
      <c r="N223" s="11" t="n"/>
      <c r="O223" s="11">
        <f>IF(OR(L223="",M223=""),"",IFERROR(INDEX(LAYOUT!$D$2:$D$80,MATCH(L223&amp;"|"&amp;M223,LAYOUT!$E$2:$E$80,0)),""))</f>
        <v/>
      </c>
      <c r="P223" s="12">
        <f>IF(AND(L223="",M223=""),IF(AND(Q223="",R223="",V223="",W223=""),IF(OR($D223&lt;&gt;"",$E223&lt;&gt;""),"Belum ditempatkan",""),""),IF(L223="","CEK JENIS FIXTURE kosong",IF(AND(LEFT(L223,7)&lt;&gt;"Gondola",LEFT(L223,6)&lt;&gt;"Endcap"),"CEK Fixture 1 hanya Gondola atau Endcap",IF(M223="","CEK SHELVING KE kosong",IF(ISNA(MATCH(L223&amp;"|"&amp;M223,LAYOUT!$E$2:$E$80,0)),"CEK SHELVING KE di luar layout",IF($I223="","CEK SERIES kosong",IF(AND(N223&lt;&gt;"",NOT(ISNUMBER(N223))),"CEK URUTAN DISPLAY harus angka",IF($D223="","Zona STOCK",IF($E223="","CEK SKU DESCRIPTION kosong",IF(COUNTIFS($I$2:$I$500,$I223,L$2:L$500,"&lt;&gt;"&amp;L223,L$2:L$500,"&lt;&gt;")&gt;0,"CEK jenis fixture beda dalam satu series","OK"))))))))))</f>
        <v/>
      </c>
      <c r="Q223" s="11" t="n"/>
      <c r="R223" s="11" t="n"/>
      <c r="S223" s="11" t="n"/>
      <c r="T223" s="11">
        <f>IF(OR(Q223="",R223=""),"",IFERROR(INDEX(LAYOUT!$D$2:$D$80,MATCH(Q223&amp;"|"&amp;R223,LAYOUT!$E$2:$E$80,0)),""))</f>
        <v/>
      </c>
      <c r="U223" s="12">
        <f>IF(AND(Q223="",R223=""),IF(AND(L223="",M223="",V223="",W223=""),IF(OR($D223&lt;&gt;"",$E223&lt;&gt;""),"Belum ditempatkan",""),""),IF(Q223="","CEK JENIS FIXTURE kosong",IF(LEFT(Q223,4)&lt;&gt;"Wall","CEK Fixture 2 hanya Wall",IF(R223="","CEK SHELVING KE kosong",IF(ISNA(MATCH(Q223&amp;"|"&amp;R223,LAYOUT!$E$2:$E$80,0)),"CEK SHELVING KE di luar layout",IF($I223="","CEK SERIES kosong",IF(AND(S223&lt;&gt;"",NOT(ISNUMBER(S223))),"CEK URUTAN DISPLAY harus angka",IF($D223="","Zona STOCK",IF($E223="","CEK SKU DESCRIPTION kosong",IF(COUNTIFS($I$2:$I$500,$I223,Q$2:Q$500,"&lt;&gt;"&amp;Q223,Q$2:Q$500,"&lt;&gt;")&gt;0,"CEK jenis fixture beda dalam satu series","OK"))))))))))</f>
        <v/>
      </c>
      <c r="V223" s="11" t="n"/>
      <c r="W223" s="11" t="n"/>
      <c r="X223" s="11" t="n"/>
      <c r="Y223" s="11">
        <f>IF(OR(V223="",W223=""),"",IFERROR(INDEX(LAYOUT!$D$2:$D$80,MATCH(V223&amp;"|"&amp;W223,LAYOUT!$E$2:$E$80,0)),""))</f>
        <v/>
      </c>
      <c r="Z223" s="12">
        <f>IF(AND(V223="",W223=""),IF(AND(L223="",M223="",Q223="",R223=""),IF(OR($D223&lt;&gt;"",$E223&lt;&gt;""),"Belum ditempatkan",""),""),IF(V223="","CEK JENIS FIXTURE kosong",IF(LEFT(V223,4)&lt;&gt;"Wall","CEK Fixture 3 hanya Wall",IF(W223="","CEK SHELVING KE kosong",IF(ISNA(MATCH(V223&amp;"|"&amp;W223,LAYOUT!$E$2:$E$80,0)),"CEK SHELVING KE di luar layout",IF($I223="","CEK SERIES kosong",IF(AND(X223&lt;&gt;"",NOT(ISNUMBER(X223))),"CEK URUTAN DISPLAY harus angka",IF($D223="","Zona STOCK",IF($E223="","CEK SKU DESCRIPTION kosong",IF(COUNTIFS($I$2:$I$500,$I223,V$2:V$500,"&lt;&gt;"&amp;V223,V$2:V$500,"&lt;&gt;")&gt;0,"CEK jenis fixture beda dalam satu series","OK"))))))))))</f>
        <v/>
      </c>
      <c r="AA223" s="12" t="n"/>
      <c r="AB223" s="11" t="n"/>
      <c r="AC223" s="11" t="n"/>
      <c r="AD223" s="11" t="n"/>
      <c r="AE223" s="11" t="n"/>
      <c r="AF223" s="11" t="n"/>
      <c r="AG223" s="11" t="n"/>
      <c r="AH223" s="12" t="n"/>
      <c r="AI223" s="12" t="n"/>
    </row>
    <row r="224">
      <c r="A224" s="10" t="n"/>
      <c r="B224" s="10" t="n"/>
      <c r="C224" s="10" t="n"/>
      <c r="D224" s="10" t="n"/>
      <c r="E224" s="10" t="n"/>
      <c r="F224" s="10" t="n"/>
      <c r="G224" s="10" t="n"/>
      <c r="H224" s="10" t="n"/>
      <c r="I224" s="10" t="n"/>
      <c r="J224" s="10" t="n"/>
      <c r="K224" s="10" t="n"/>
      <c r="L224" s="11" t="n"/>
      <c r="M224" s="11" t="n"/>
      <c r="N224" s="11" t="n"/>
      <c r="O224" s="11">
        <f>IF(OR(L224="",M224=""),"",IFERROR(INDEX(LAYOUT!$D$2:$D$80,MATCH(L224&amp;"|"&amp;M224,LAYOUT!$E$2:$E$80,0)),""))</f>
        <v/>
      </c>
      <c r="P224" s="12">
        <f>IF(AND(L224="",M224=""),IF(AND(Q224="",R224="",V224="",W224=""),IF(OR($D224&lt;&gt;"",$E224&lt;&gt;""),"Belum ditempatkan",""),""),IF(L224="","CEK JENIS FIXTURE kosong",IF(AND(LEFT(L224,7)&lt;&gt;"Gondola",LEFT(L224,6)&lt;&gt;"Endcap"),"CEK Fixture 1 hanya Gondola atau Endcap",IF(M224="","CEK SHELVING KE kosong",IF(ISNA(MATCH(L224&amp;"|"&amp;M224,LAYOUT!$E$2:$E$80,0)),"CEK SHELVING KE di luar layout",IF($I224="","CEK SERIES kosong",IF(AND(N224&lt;&gt;"",NOT(ISNUMBER(N224))),"CEK URUTAN DISPLAY harus angka",IF($D224="","Zona STOCK",IF($E224="","CEK SKU DESCRIPTION kosong",IF(COUNTIFS($I$2:$I$500,$I224,L$2:L$500,"&lt;&gt;"&amp;L224,L$2:L$500,"&lt;&gt;")&gt;0,"CEK jenis fixture beda dalam satu series","OK"))))))))))</f>
        <v/>
      </c>
      <c r="Q224" s="11" t="n"/>
      <c r="R224" s="11" t="n"/>
      <c r="S224" s="11" t="n"/>
      <c r="T224" s="11">
        <f>IF(OR(Q224="",R224=""),"",IFERROR(INDEX(LAYOUT!$D$2:$D$80,MATCH(Q224&amp;"|"&amp;R224,LAYOUT!$E$2:$E$80,0)),""))</f>
        <v/>
      </c>
      <c r="U224" s="12">
        <f>IF(AND(Q224="",R224=""),IF(AND(L224="",M224="",V224="",W224=""),IF(OR($D224&lt;&gt;"",$E224&lt;&gt;""),"Belum ditempatkan",""),""),IF(Q224="","CEK JENIS FIXTURE kosong",IF(LEFT(Q224,4)&lt;&gt;"Wall","CEK Fixture 2 hanya Wall",IF(R224="","CEK SHELVING KE kosong",IF(ISNA(MATCH(Q224&amp;"|"&amp;R224,LAYOUT!$E$2:$E$80,0)),"CEK SHELVING KE di luar layout",IF($I224="","CEK SERIES kosong",IF(AND(S224&lt;&gt;"",NOT(ISNUMBER(S224))),"CEK URUTAN DISPLAY harus angka",IF($D224="","Zona STOCK",IF($E224="","CEK SKU DESCRIPTION kosong",IF(COUNTIFS($I$2:$I$500,$I224,Q$2:Q$500,"&lt;&gt;"&amp;Q224,Q$2:Q$500,"&lt;&gt;")&gt;0,"CEK jenis fixture beda dalam satu series","OK"))))))))))</f>
        <v/>
      </c>
      <c r="V224" s="11" t="n"/>
      <c r="W224" s="11" t="n"/>
      <c r="X224" s="11" t="n"/>
      <c r="Y224" s="11">
        <f>IF(OR(V224="",W224=""),"",IFERROR(INDEX(LAYOUT!$D$2:$D$80,MATCH(V224&amp;"|"&amp;W224,LAYOUT!$E$2:$E$80,0)),""))</f>
        <v/>
      </c>
      <c r="Z224" s="12">
        <f>IF(AND(V224="",W224=""),IF(AND(L224="",M224="",Q224="",R224=""),IF(OR($D224&lt;&gt;"",$E224&lt;&gt;""),"Belum ditempatkan",""),""),IF(V224="","CEK JENIS FIXTURE kosong",IF(LEFT(V224,4)&lt;&gt;"Wall","CEK Fixture 3 hanya Wall",IF(W224="","CEK SHELVING KE kosong",IF(ISNA(MATCH(V224&amp;"|"&amp;W224,LAYOUT!$E$2:$E$80,0)),"CEK SHELVING KE di luar layout",IF($I224="","CEK SERIES kosong",IF(AND(X224&lt;&gt;"",NOT(ISNUMBER(X224))),"CEK URUTAN DISPLAY harus angka",IF($D224="","Zona STOCK",IF($E224="","CEK SKU DESCRIPTION kosong",IF(COUNTIFS($I$2:$I$500,$I224,V$2:V$500,"&lt;&gt;"&amp;V224,V$2:V$500,"&lt;&gt;")&gt;0,"CEK jenis fixture beda dalam satu series","OK"))))))))))</f>
        <v/>
      </c>
      <c r="AA224" s="12" t="n"/>
      <c r="AB224" s="11" t="n"/>
      <c r="AC224" s="11" t="n"/>
      <c r="AD224" s="11" t="n"/>
      <c r="AE224" s="11" t="n"/>
      <c r="AF224" s="11" t="n"/>
      <c r="AG224" s="11" t="n"/>
      <c r="AH224" s="12" t="n"/>
      <c r="AI224" s="12" t="n"/>
    </row>
    <row r="225">
      <c r="A225" s="10" t="n"/>
      <c r="B225" s="10" t="n"/>
      <c r="C225" s="10" t="n"/>
      <c r="D225" s="10" t="n"/>
      <c r="E225" s="10" t="n"/>
      <c r="F225" s="10" t="n"/>
      <c r="G225" s="10" t="n"/>
      <c r="H225" s="10" t="n"/>
      <c r="I225" s="10" t="n"/>
      <c r="J225" s="10" t="n"/>
      <c r="K225" s="10" t="n"/>
      <c r="L225" s="11" t="n"/>
      <c r="M225" s="11" t="n"/>
      <c r="N225" s="11" t="n"/>
      <c r="O225" s="11">
        <f>IF(OR(L225="",M225=""),"",IFERROR(INDEX(LAYOUT!$D$2:$D$80,MATCH(L225&amp;"|"&amp;M225,LAYOUT!$E$2:$E$80,0)),""))</f>
        <v/>
      </c>
      <c r="P225" s="12">
        <f>IF(AND(L225="",M225=""),IF(AND(Q225="",R225="",V225="",W225=""),IF(OR($D225&lt;&gt;"",$E225&lt;&gt;""),"Belum ditempatkan",""),""),IF(L225="","CEK JENIS FIXTURE kosong",IF(AND(LEFT(L225,7)&lt;&gt;"Gondola",LEFT(L225,6)&lt;&gt;"Endcap"),"CEK Fixture 1 hanya Gondola atau Endcap",IF(M225="","CEK SHELVING KE kosong",IF(ISNA(MATCH(L225&amp;"|"&amp;M225,LAYOUT!$E$2:$E$80,0)),"CEK SHELVING KE di luar layout",IF($I225="","CEK SERIES kosong",IF(AND(N225&lt;&gt;"",NOT(ISNUMBER(N225))),"CEK URUTAN DISPLAY harus angka",IF($D225="","Zona STOCK",IF($E225="","CEK SKU DESCRIPTION kosong",IF(COUNTIFS($I$2:$I$500,$I225,L$2:L$500,"&lt;&gt;"&amp;L225,L$2:L$500,"&lt;&gt;")&gt;0,"CEK jenis fixture beda dalam satu series","OK"))))))))))</f>
        <v/>
      </c>
      <c r="Q225" s="11" t="n"/>
      <c r="R225" s="11" t="n"/>
      <c r="S225" s="11" t="n"/>
      <c r="T225" s="11">
        <f>IF(OR(Q225="",R225=""),"",IFERROR(INDEX(LAYOUT!$D$2:$D$80,MATCH(Q225&amp;"|"&amp;R225,LAYOUT!$E$2:$E$80,0)),""))</f>
        <v/>
      </c>
      <c r="U225" s="12">
        <f>IF(AND(Q225="",R225=""),IF(AND(L225="",M225="",V225="",W225=""),IF(OR($D225&lt;&gt;"",$E225&lt;&gt;""),"Belum ditempatkan",""),""),IF(Q225="","CEK JENIS FIXTURE kosong",IF(LEFT(Q225,4)&lt;&gt;"Wall","CEK Fixture 2 hanya Wall",IF(R225="","CEK SHELVING KE kosong",IF(ISNA(MATCH(Q225&amp;"|"&amp;R225,LAYOUT!$E$2:$E$80,0)),"CEK SHELVING KE di luar layout",IF($I225="","CEK SERIES kosong",IF(AND(S225&lt;&gt;"",NOT(ISNUMBER(S225))),"CEK URUTAN DISPLAY harus angka",IF($D225="","Zona STOCK",IF($E225="","CEK SKU DESCRIPTION kosong",IF(COUNTIFS($I$2:$I$500,$I225,Q$2:Q$500,"&lt;&gt;"&amp;Q225,Q$2:Q$500,"&lt;&gt;")&gt;0,"CEK jenis fixture beda dalam satu series","OK"))))))))))</f>
        <v/>
      </c>
      <c r="V225" s="11" t="n"/>
      <c r="W225" s="11" t="n"/>
      <c r="X225" s="11" t="n"/>
      <c r="Y225" s="11">
        <f>IF(OR(V225="",W225=""),"",IFERROR(INDEX(LAYOUT!$D$2:$D$80,MATCH(V225&amp;"|"&amp;W225,LAYOUT!$E$2:$E$80,0)),""))</f>
        <v/>
      </c>
      <c r="Z225" s="12">
        <f>IF(AND(V225="",W225=""),IF(AND(L225="",M225="",Q225="",R225=""),IF(OR($D225&lt;&gt;"",$E225&lt;&gt;""),"Belum ditempatkan",""),""),IF(V225="","CEK JENIS FIXTURE kosong",IF(LEFT(V225,4)&lt;&gt;"Wall","CEK Fixture 3 hanya Wall",IF(W225="","CEK SHELVING KE kosong",IF(ISNA(MATCH(V225&amp;"|"&amp;W225,LAYOUT!$E$2:$E$80,0)),"CEK SHELVING KE di luar layout",IF($I225="","CEK SERIES kosong",IF(AND(X225&lt;&gt;"",NOT(ISNUMBER(X225))),"CEK URUTAN DISPLAY harus angka",IF($D225="","Zona STOCK",IF($E225="","CEK SKU DESCRIPTION kosong",IF(COUNTIFS($I$2:$I$500,$I225,V$2:V$500,"&lt;&gt;"&amp;V225,V$2:V$500,"&lt;&gt;")&gt;0,"CEK jenis fixture beda dalam satu series","OK"))))))))))</f>
        <v/>
      </c>
      <c r="AA225" s="12" t="n"/>
      <c r="AB225" s="11" t="n"/>
      <c r="AC225" s="11" t="n"/>
      <c r="AD225" s="11" t="n"/>
      <c r="AE225" s="11" t="n"/>
      <c r="AF225" s="11" t="n"/>
      <c r="AG225" s="11" t="n"/>
      <c r="AH225" s="12" t="n"/>
      <c r="AI225" s="12" t="n"/>
    </row>
    <row r="226">
      <c r="A226" s="10" t="n"/>
      <c r="B226" s="10" t="n"/>
      <c r="C226" s="10" t="n"/>
      <c r="D226" s="10" t="n"/>
      <c r="E226" s="10" t="n"/>
      <c r="F226" s="10" t="n"/>
      <c r="G226" s="10" t="n"/>
      <c r="H226" s="10" t="n"/>
      <c r="I226" s="10" t="n"/>
      <c r="J226" s="10" t="n"/>
      <c r="K226" s="10" t="n"/>
      <c r="L226" s="11" t="n"/>
      <c r="M226" s="11" t="n"/>
      <c r="N226" s="11" t="n"/>
      <c r="O226" s="11">
        <f>IF(OR(L226="",M226=""),"",IFERROR(INDEX(LAYOUT!$D$2:$D$80,MATCH(L226&amp;"|"&amp;M226,LAYOUT!$E$2:$E$80,0)),""))</f>
        <v/>
      </c>
      <c r="P226" s="12">
        <f>IF(AND(L226="",M226=""),IF(AND(Q226="",R226="",V226="",W226=""),IF(OR($D226&lt;&gt;"",$E226&lt;&gt;""),"Belum ditempatkan",""),""),IF(L226="","CEK JENIS FIXTURE kosong",IF(AND(LEFT(L226,7)&lt;&gt;"Gondola",LEFT(L226,6)&lt;&gt;"Endcap"),"CEK Fixture 1 hanya Gondola atau Endcap",IF(M226="","CEK SHELVING KE kosong",IF(ISNA(MATCH(L226&amp;"|"&amp;M226,LAYOUT!$E$2:$E$80,0)),"CEK SHELVING KE di luar layout",IF($I226="","CEK SERIES kosong",IF(AND(N226&lt;&gt;"",NOT(ISNUMBER(N226))),"CEK URUTAN DISPLAY harus angka",IF($D226="","Zona STOCK",IF($E226="","CEK SKU DESCRIPTION kosong",IF(COUNTIFS($I$2:$I$500,$I226,L$2:L$500,"&lt;&gt;"&amp;L226,L$2:L$500,"&lt;&gt;")&gt;0,"CEK jenis fixture beda dalam satu series","OK"))))))))))</f>
        <v/>
      </c>
      <c r="Q226" s="11" t="n"/>
      <c r="R226" s="11" t="n"/>
      <c r="S226" s="11" t="n"/>
      <c r="T226" s="11">
        <f>IF(OR(Q226="",R226=""),"",IFERROR(INDEX(LAYOUT!$D$2:$D$80,MATCH(Q226&amp;"|"&amp;R226,LAYOUT!$E$2:$E$80,0)),""))</f>
        <v/>
      </c>
      <c r="U226" s="12">
        <f>IF(AND(Q226="",R226=""),IF(AND(L226="",M226="",V226="",W226=""),IF(OR($D226&lt;&gt;"",$E226&lt;&gt;""),"Belum ditempatkan",""),""),IF(Q226="","CEK JENIS FIXTURE kosong",IF(LEFT(Q226,4)&lt;&gt;"Wall","CEK Fixture 2 hanya Wall",IF(R226="","CEK SHELVING KE kosong",IF(ISNA(MATCH(Q226&amp;"|"&amp;R226,LAYOUT!$E$2:$E$80,0)),"CEK SHELVING KE di luar layout",IF($I226="","CEK SERIES kosong",IF(AND(S226&lt;&gt;"",NOT(ISNUMBER(S226))),"CEK URUTAN DISPLAY harus angka",IF($D226="","Zona STOCK",IF($E226="","CEK SKU DESCRIPTION kosong",IF(COUNTIFS($I$2:$I$500,$I226,Q$2:Q$500,"&lt;&gt;"&amp;Q226,Q$2:Q$500,"&lt;&gt;")&gt;0,"CEK jenis fixture beda dalam satu series","OK"))))))))))</f>
        <v/>
      </c>
      <c r="V226" s="11" t="n"/>
      <c r="W226" s="11" t="n"/>
      <c r="X226" s="11" t="n"/>
      <c r="Y226" s="11">
        <f>IF(OR(V226="",W226=""),"",IFERROR(INDEX(LAYOUT!$D$2:$D$80,MATCH(V226&amp;"|"&amp;W226,LAYOUT!$E$2:$E$80,0)),""))</f>
        <v/>
      </c>
      <c r="Z226" s="12">
        <f>IF(AND(V226="",W226=""),IF(AND(L226="",M226="",Q226="",R226=""),IF(OR($D226&lt;&gt;"",$E226&lt;&gt;""),"Belum ditempatkan",""),""),IF(V226="","CEK JENIS FIXTURE kosong",IF(LEFT(V226,4)&lt;&gt;"Wall","CEK Fixture 3 hanya Wall",IF(W226="","CEK SHELVING KE kosong",IF(ISNA(MATCH(V226&amp;"|"&amp;W226,LAYOUT!$E$2:$E$80,0)),"CEK SHELVING KE di luar layout",IF($I226="","CEK SERIES kosong",IF(AND(X226&lt;&gt;"",NOT(ISNUMBER(X226))),"CEK URUTAN DISPLAY harus angka",IF($D226="","Zona STOCK",IF($E226="","CEK SKU DESCRIPTION kosong",IF(COUNTIFS($I$2:$I$500,$I226,V$2:V$500,"&lt;&gt;"&amp;V226,V$2:V$500,"&lt;&gt;")&gt;0,"CEK jenis fixture beda dalam satu series","OK"))))))))))</f>
        <v/>
      </c>
      <c r="AA226" s="12" t="n"/>
      <c r="AB226" s="11" t="n"/>
      <c r="AC226" s="11" t="n"/>
      <c r="AD226" s="11" t="n"/>
      <c r="AE226" s="11" t="n"/>
      <c r="AF226" s="11" t="n"/>
      <c r="AG226" s="11" t="n"/>
      <c r="AH226" s="12" t="n"/>
      <c r="AI226" s="12" t="n"/>
    </row>
    <row r="227">
      <c r="A227" s="10" t="n"/>
      <c r="B227" s="10" t="n"/>
      <c r="C227" s="10" t="n"/>
      <c r="D227" s="10" t="n"/>
      <c r="E227" s="10" t="n"/>
      <c r="F227" s="10" t="n"/>
      <c r="G227" s="10" t="n"/>
      <c r="H227" s="10" t="n"/>
      <c r="I227" s="10" t="n"/>
      <c r="J227" s="10" t="n"/>
      <c r="K227" s="10" t="n"/>
      <c r="L227" s="11" t="n"/>
      <c r="M227" s="11" t="n"/>
      <c r="N227" s="11" t="n"/>
      <c r="O227" s="11">
        <f>IF(OR(L227="",M227=""),"",IFERROR(INDEX(LAYOUT!$D$2:$D$80,MATCH(L227&amp;"|"&amp;M227,LAYOUT!$E$2:$E$80,0)),""))</f>
        <v/>
      </c>
      <c r="P227" s="12">
        <f>IF(AND(L227="",M227=""),IF(AND(Q227="",R227="",V227="",W227=""),IF(OR($D227&lt;&gt;"",$E227&lt;&gt;""),"Belum ditempatkan",""),""),IF(L227="","CEK JENIS FIXTURE kosong",IF(AND(LEFT(L227,7)&lt;&gt;"Gondola",LEFT(L227,6)&lt;&gt;"Endcap"),"CEK Fixture 1 hanya Gondola atau Endcap",IF(M227="","CEK SHELVING KE kosong",IF(ISNA(MATCH(L227&amp;"|"&amp;M227,LAYOUT!$E$2:$E$80,0)),"CEK SHELVING KE di luar layout",IF($I227="","CEK SERIES kosong",IF(AND(N227&lt;&gt;"",NOT(ISNUMBER(N227))),"CEK URUTAN DISPLAY harus angka",IF($D227="","Zona STOCK",IF($E227="","CEK SKU DESCRIPTION kosong",IF(COUNTIFS($I$2:$I$500,$I227,L$2:L$500,"&lt;&gt;"&amp;L227,L$2:L$500,"&lt;&gt;")&gt;0,"CEK jenis fixture beda dalam satu series","OK"))))))))))</f>
        <v/>
      </c>
      <c r="Q227" s="11" t="n"/>
      <c r="R227" s="11" t="n"/>
      <c r="S227" s="11" t="n"/>
      <c r="T227" s="11">
        <f>IF(OR(Q227="",R227=""),"",IFERROR(INDEX(LAYOUT!$D$2:$D$80,MATCH(Q227&amp;"|"&amp;R227,LAYOUT!$E$2:$E$80,0)),""))</f>
        <v/>
      </c>
      <c r="U227" s="12">
        <f>IF(AND(Q227="",R227=""),IF(AND(L227="",M227="",V227="",W227=""),IF(OR($D227&lt;&gt;"",$E227&lt;&gt;""),"Belum ditempatkan",""),""),IF(Q227="","CEK JENIS FIXTURE kosong",IF(LEFT(Q227,4)&lt;&gt;"Wall","CEK Fixture 2 hanya Wall",IF(R227="","CEK SHELVING KE kosong",IF(ISNA(MATCH(Q227&amp;"|"&amp;R227,LAYOUT!$E$2:$E$80,0)),"CEK SHELVING KE di luar layout",IF($I227="","CEK SERIES kosong",IF(AND(S227&lt;&gt;"",NOT(ISNUMBER(S227))),"CEK URUTAN DISPLAY harus angka",IF($D227="","Zona STOCK",IF($E227="","CEK SKU DESCRIPTION kosong",IF(COUNTIFS($I$2:$I$500,$I227,Q$2:Q$500,"&lt;&gt;"&amp;Q227,Q$2:Q$500,"&lt;&gt;")&gt;0,"CEK jenis fixture beda dalam satu series","OK"))))))))))</f>
        <v/>
      </c>
      <c r="V227" s="11" t="n"/>
      <c r="W227" s="11" t="n"/>
      <c r="X227" s="11" t="n"/>
      <c r="Y227" s="11">
        <f>IF(OR(V227="",W227=""),"",IFERROR(INDEX(LAYOUT!$D$2:$D$80,MATCH(V227&amp;"|"&amp;W227,LAYOUT!$E$2:$E$80,0)),""))</f>
        <v/>
      </c>
      <c r="Z227" s="12">
        <f>IF(AND(V227="",W227=""),IF(AND(L227="",M227="",Q227="",R227=""),IF(OR($D227&lt;&gt;"",$E227&lt;&gt;""),"Belum ditempatkan",""),""),IF(V227="","CEK JENIS FIXTURE kosong",IF(LEFT(V227,4)&lt;&gt;"Wall","CEK Fixture 3 hanya Wall",IF(W227="","CEK SHELVING KE kosong",IF(ISNA(MATCH(V227&amp;"|"&amp;W227,LAYOUT!$E$2:$E$80,0)),"CEK SHELVING KE di luar layout",IF($I227="","CEK SERIES kosong",IF(AND(X227&lt;&gt;"",NOT(ISNUMBER(X227))),"CEK URUTAN DISPLAY harus angka",IF($D227="","Zona STOCK",IF($E227="","CEK SKU DESCRIPTION kosong",IF(COUNTIFS($I$2:$I$500,$I227,V$2:V$500,"&lt;&gt;"&amp;V227,V$2:V$500,"&lt;&gt;")&gt;0,"CEK jenis fixture beda dalam satu series","OK"))))))))))</f>
        <v/>
      </c>
      <c r="AA227" s="12" t="n"/>
      <c r="AB227" s="11" t="n"/>
      <c r="AC227" s="11" t="n"/>
      <c r="AD227" s="11" t="n"/>
      <c r="AE227" s="11" t="n"/>
      <c r="AF227" s="11" t="n"/>
      <c r="AG227" s="11" t="n"/>
      <c r="AH227" s="12" t="n"/>
      <c r="AI227" s="12" t="n"/>
    </row>
    <row r="228">
      <c r="A228" s="10" t="n"/>
      <c r="B228" s="10" t="n"/>
      <c r="C228" s="10" t="n"/>
      <c r="D228" s="10" t="n"/>
      <c r="E228" s="10" t="n"/>
      <c r="F228" s="10" t="n"/>
      <c r="G228" s="10" t="n"/>
      <c r="H228" s="10" t="n"/>
      <c r="I228" s="10" t="n"/>
      <c r="J228" s="10" t="n"/>
      <c r="K228" s="10" t="n"/>
      <c r="L228" s="11" t="n"/>
      <c r="M228" s="11" t="n"/>
      <c r="N228" s="11" t="n"/>
      <c r="O228" s="11">
        <f>IF(OR(L228="",M228=""),"",IFERROR(INDEX(LAYOUT!$D$2:$D$80,MATCH(L228&amp;"|"&amp;M228,LAYOUT!$E$2:$E$80,0)),""))</f>
        <v/>
      </c>
      <c r="P228" s="12">
        <f>IF(AND(L228="",M228=""),IF(AND(Q228="",R228="",V228="",W228=""),IF(OR($D228&lt;&gt;"",$E228&lt;&gt;""),"Belum ditempatkan",""),""),IF(L228="","CEK JENIS FIXTURE kosong",IF(AND(LEFT(L228,7)&lt;&gt;"Gondola",LEFT(L228,6)&lt;&gt;"Endcap"),"CEK Fixture 1 hanya Gondola atau Endcap",IF(M228="","CEK SHELVING KE kosong",IF(ISNA(MATCH(L228&amp;"|"&amp;M228,LAYOUT!$E$2:$E$80,0)),"CEK SHELVING KE di luar layout",IF($I228="","CEK SERIES kosong",IF(AND(N228&lt;&gt;"",NOT(ISNUMBER(N228))),"CEK URUTAN DISPLAY harus angka",IF($D228="","Zona STOCK",IF($E228="","CEK SKU DESCRIPTION kosong",IF(COUNTIFS($I$2:$I$500,$I228,L$2:L$500,"&lt;&gt;"&amp;L228,L$2:L$500,"&lt;&gt;")&gt;0,"CEK jenis fixture beda dalam satu series","OK"))))))))))</f>
        <v/>
      </c>
      <c r="Q228" s="11" t="n"/>
      <c r="R228" s="11" t="n"/>
      <c r="S228" s="11" t="n"/>
      <c r="T228" s="11">
        <f>IF(OR(Q228="",R228=""),"",IFERROR(INDEX(LAYOUT!$D$2:$D$80,MATCH(Q228&amp;"|"&amp;R228,LAYOUT!$E$2:$E$80,0)),""))</f>
        <v/>
      </c>
      <c r="U228" s="12">
        <f>IF(AND(Q228="",R228=""),IF(AND(L228="",M228="",V228="",W228=""),IF(OR($D228&lt;&gt;"",$E228&lt;&gt;""),"Belum ditempatkan",""),""),IF(Q228="","CEK JENIS FIXTURE kosong",IF(LEFT(Q228,4)&lt;&gt;"Wall","CEK Fixture 2 hanya Wall",IF(R228="","CEK SHELVING KE kosong",IF(ISNA(MATCH(Q228&amp;"|"&amp;R228,LAYOUT!$E$2:$E$80,0)),"CEK SHELVING KE di luar layout",IF($I228="","CEK SERIES kosong",IF(AND(S228&lt;&gt;"",NOT(ISNUMBER(S228))),"CEK URUTAN DISPLAY harus angka",IF($D228="","Zona STOCK",IF($E228="","CEK SKU DESCRIPTION kosong",IF(COUNTIFS($I$2:$I$500,$I228,Q$2:Q$500,"&lt;&gt;"&amp;Q228,Q$2:Q$500,"&lt;&gt;")&gt;0,"CEK jenis fixture beda dalam satu series","OK"))))))))))</f>
        <v/>
      </c>
      <c r="V228" s="11" t="n"/>
      <c r="W228" s="11" t="n"/>
      <c r="X228" s="11" t="n"/>
      <c r="Y228" s="11">
        <f>IF(OR(V228="",W228=""),"",IFERROR(INDEX(LAYOUT!$D$2:$D$80,MATCH(V228&amp;"|"&amp;W228,LAYOUT!$E$2:$E$80,0)),""))</f>
        <v/>
      </c>
      <c r="Z228" s="12">
        <f>IF(AND(V228="",W228=""),IF(AND(L228="",M228="",Q228="",R228=""),IF(OR($D228&lt;&gt;"",$E228&lt;&gt;""),"Belum ditempatkan",""),""),IF(V228="","CEK JENIS FIXTURE kosong",IF(LEFT(V228,4)&lt;&gt;"Wall","CEK Fixture 3 hanya Wall",IF(W228="","CEK SHELVING KE kosong",IF(ISNA(MATCH(V228&amp;"|"&amp;W228,LAYOUT!$E$2:$E$80,0)),"CEK SHELVING KE di luar layout",IF($I228="","CEK SERIES kosong",IF(AND(X228&lt;&gt;"",NOT(ISNUMBER(X228))),"CEK URUTAN DISPLAY harus angka",IF($D228="","Zona STOCK",IF($E228="","CEK SKU DESCRIPTION kosong",IF(COUNTIFS($I$2:$I$500,$I228,V$2:V$500,"&lt;&gt;"&amp;V228,V$2:V$500,"&lt;&gt;")&gt;0,"CEK jenis fixture beda dalam satu series","OK"))))))))))</f>
        <v/>
      </c>
      <c r="AA228" s="12" t="n"/>
      <c r="AB228" s="11" t="n"/>
      <c r="AC228" s="11" t="n"/>
      <c r="AD228" s="11" t="n"/>
      <c r="AE228" s="11" t="n"/>
      <c r="AF228" s="11" t="n"/>
      <c r="AG228" s="11" t="n"/>
      <c r="AH228" s="12" t="n"/>
      <c r="AI228" s="12" t="n"/>
    </row>
    <row r="229">
      <c r="A229" s="10" t="n"/>
      <c r="B229" s="10" t="n"/>
      <c r="C229" s="10" t="n"/>
      <c r="D229" s="10" t="n"/>
      <c r="E229" s="10" t="n"/>
      <c r="F229" s="10" t="n"/>
      <c r="G229" s="10" t="n"/>
      <c r="H229" s="10" t="n"/>
      <c r="I229" s="10" t="n"/>
      <c r="J229" s="10" t="n"/>
      <c r="K229" s="10" t="n"/>
      <c r="L229" s="11" t="n"/>
      <c r="M229" s="11" t="n"/>
      <c r="N229" s="11" t="n"/>
      <c r="O229" s="11">
        <f>IF(OR(L229="",M229=""),"",IFERROR(INDEX(LAYOUT!$D$2:$D$80,MATCH(L229&amp;"|"&amp;M229,LAYOUT!$E$2:$E$80,0)),""))</f>
        <v/>
      </c>
      <c r="P229" s="12">
        <f>IF(AND(L229="",M229=""),IF(AND(Q229="",R229="",V229="",W229=""),IF(OR($D229&lt;&gt;"",$E229&lt;&gt;""),"Belum ditempatkan",""),""),IF(L229="","CEK JENIS FIXTURE kosong",IF(AND(LEFT(L229,7)&lt;&gt;"Gondola",LEFT(L229,6)&lt;&gt;"Endcap"),"CEK Fixture 1 hanya Gondola atau Endcap",IF(M229="","CEK SHELVING KE kosong",IF(ISNA(MATCH(L229&amp;"|"&amp;M229,LAYOUT!$E$2:$E$80,0)),"CEK SHELVING KE di luar layout",IF($I229="","CEK SERIES kosong",IF(AND(N229&lt;&gt;"",NOT(ISNUMBER(N229))),"CEK URUTAN DISPLAY harus angka",IF($D229="","Zona STOCK",IF($E229="","CEK SKU DESCRIPTION kosong",IF(COUNTIFS($I$2:$I$500,$I229,L$2:L$500,"&lt;&gt;"&amp;L229,L$2:L$500,"&lt;&gt;")&gt;0,"CEK jenis fixture beda dalam satu series","OK"))))))))))</f>
        <v/>
      </c>
      <c r="Q229" s="11" t="n"/>
      <c r="R229" s="11" t="n"/>
      <c r="S229" s="11" t="n"/>
      <c r="T229" s="11">
        <f>IF(OR(Q229="",R229=""),"",IFERROR(INDEX(LAYOUT!$D$2:$D$80,MATCH(Q229&amp;"|"&amp;R229,LAYOUT!$E$2:$E$80,0)),""))</f>
        <v/>
      </c>
      <c r="U229" s="12">
        <f>IF(AND(Q229="",R229=""),IF(AND(L229="",M229="",V229="",W229=""),IF(OR($D229&lt;&gt;"",$E229&lt;&gt;""),"Belum ditempatkan",""),""),IF(Q229="","CEK JENIS FIXTURE kosong",IF(LEFT(Q229,4)&lt;&gt;"Wall","CEK Fixture 2 hanya Wall",IF(R229="","CEK SHELVING KE kosong",IF(ISNA(MATCH(Q229&amp;"|"&amp;R229,LAYOUT!$E$2:$E$80,0)),"CEK SHELVING KE di luar layout",IF($I229="","CEK SERIES kosong",IF(AND(S229&lt;&gt;"",NOT(ISNUMBER(S229))),"CEK URUTAN DISPLAY harus angka",IF($D229="","Zona STOCK",IF($E229="","CEK SKU DESCRIPTION kosong",IF(COUNTIFS($I$2:$I$500,$I229,Q$2:Q$500,"&lt;&gt;"&amp;Q229,Q$2:Q$500,"&lt;&gt;")&gt;0,"CEK jenis fixture beda dalam satu series","OK"))))))))))</f>
        <v/>
      </c>
      <c r="V229" s="11" t="n"/>
      <c r="W229" s="11" t="n"/>
      <c r="X229" s="11" t="n"/>
      <c r="Y229" s="11">
        <f>IF(OR(V229="",W229=""),"",IFERROR(INDEX(LAYOUT!$D$2:$D$80,MATCH(V229&amp;"|"&amp;W229,LAYOUT!$E$2:$E$80,0)),""))</f>
        <v/>
      </c>
      <c r="Z229" s="12">
        <f>IF(AND(V229="",W229=""),IF(AND(L229="",M229="",Q229="",R229=""),IF(OR($D229&lt;&gt;"",$E229&lt;&gt;""),"Belum ditempatkan",""),""),IF(V229="","CEK JENIS FIXTURE kosong",IF(LEFT(V229,4)&lt;&gt;"Wall","CEK Fixture 3 hanya Wall",IF(W229="","CEK SHELVING KE kosong",IF(ISNA(MATCH(V229&amp;"|"&amp;W229,LAYOUT!$E$2:$E$80,0)),"CEK SHELVING KE di luar layout",IF($I229="","CEK SERIES kosong",IF(AND(X229&lt;&gt;"",NOT(ISNUMBER(X229))),"CEK URUTAN DISPLAY harus angka",IF($D229="","Zona STOCK",IF($E229="","CEK SKU DESCRIPTION kosong",IF(COUNTIFS($I$2:$I$500,$I229,V$2:V$500,"&lt;&gt;"&amp;V229,V$2:V$500,"&lt;&gt;")&gt;0,"CEK jenis fixture beda dalam satu series","OK"))))))))))</f>
        <v/>
      </c>
      <c r="AA229" s="12" t="n"/>
      <c r="AB229" s="11" t="n"/>
      <c r="AC229" s="11" t="n"/>
      <c r="AD229" s="11" t="n"/>
      <c r="AE229" s="11" t="n"/>
      <c r="AF229" s="11" t="n"/>
      <c r="AG229" s="11" t="n"/>
      <c r="AH229" s="12" t="n"/>
      <c r="AI229" s="12" t="n"/>
    </row>
    <row r="230">
      <c r="A230" s="10" t="n"/>
      <c r="B230" s="10" t="n"/>
      <c r="C230" s="10" t="n"/>
      <c r="D230" s="10" t="n"/>
      <c r="E230" s="10" t="n"/>
      <c r="F230" s="10" t="n"/>
      <c r="G230" s="10" t="n"/>
      <c r="H230" s="10" t="n"/>
      <c r="I230" s="10" t="n"/>
      <c r="J230" s="10" t="n"/>
      <c r="K230" s="10" t="n"/>
      <c r="L230" s="11" t="n"/>
      <c r="M230" s="11" t="n"/>
      <c r="N230" s="11" t="n"/>
      <c r="O230" s="11">
        <f>IF(OR(L230="",M230=""),"",IFERROR(INDEX(LAYOUT!$D$2:$D$80,MATCH(L230&amp;"|"&amp;M230,LAYOUT!$E$2:$E$80,0)),""))</f>
        <v/>
      </c>
      <c r="P230" s="12">
        <f>IF(AND(L230="",M230=""),IF(AND(Q230="",R230="",V230="",W230=""),IF(OR($D230&lt;&gt;"",$E230&lt;&gt;""),"Belum ditempatkan",""),""),IF(L230="","CEK JENIS FIXTURE kosong",IF(AND(LEFT(L230,7)&lt;&gt;"Gondola",LEFT(L230,6)&lt;&gt;"Endcap"),"CEK Fixture 1 hanya Gondola atau Endcap",IF(M230="","CEK SHELVING KE kosong",IF(ISNA(MATCH(L230&amp;"|"&amp;M230,LAYOUT!$E$2:$E$80,0)),"CEK SHELVING KE di luar layout",IF($I230="","CEK SERIES kosong",IF(AND(N230&lt;&gt;"",NOT(ISNUMBER(N230))),"CEK URUTAN DISPLAY harus angka",IF($D230="","Zona STOCK",IF($E230="","CEK SKU DESCRIPTION kosong",IF(COUNTIFS($I$2:$I$500,$I230,L$2:L$500,"&lt;&gt;"&amp;L230,L$2:L$500,"&lt;&gt;")&gt;0,"CEK jenis fixture beda dalam satu series","OK"))))))))))</f>
        <v/>
      </c>
      <c r="Q230" s="11" t="n"/>
      <c r="R230" s="11" t="n"/>
      <c r="S230" s="11" t="n"/>
      <c r="T230" s="11">
        <f>IF(OR(Q230="",R230=""),"",IFERROR(INDEX(LAYOUT!$D$2:$D$80,MATCH(Q230&amp;"|"&amp;R230,LAYOUT!$E$2:$E$80,0)),""))</f>
        <v/>
      </c>
      <c r="U230" s="12">
        <f>IF(AND(Q230="",R230=""),IF(AND(L230="",M230="",V230="",W230=""),IF(OR($D230&lt;&gt;"",$E230&lt;&gt;""),"Belum ditempatkan",""),""),IF(Q230="","CEK JENIS FIXTURE kosong",IF(LEFT(Q230,4)&lt;&gt;"Wall","CEK Fixture 2 hanya Wall",IF(R230="","CEK SHELVING KE kosong",IF(ISNA(MATCH(Q230&amp;"|"&amp;R230,LAYOUT!$E$2:$E$80,0)),"CEK SHELVING KE di luar layout",IF($I230="","CEK SERIES kosong",IF(AND(S230&lt;&gt;"",NOT(ISNUMBER(S230))),"CEK URUTAN DISPLAY harus angka",IF($D230="","Zona STOCK",IF($E230="","CEK SKU DESCRIPTION kosong",IF(COUNTIFS($I$2:$I$500,$I230,Q$2:Q$500,"&lt;&gt;"&amp;Q230,Q$2:Q$500,"&lt;&gt;")&gt;0,"CEK jenis fixture beda dalam satu series","OK"))))))))))</f>
        <v/>
      </c>
      <c r="V230" s="11" t="n"/>
      <c r="W230" s="11" t="n"/>
      <c r="X230" s="11" t="n"/>
      <c r="Y230" s="11">
        <f>IF(OR(V230="",W230=""),"",IFERROR(INDEX(LAYOUT!$D$2:$D$80,MATCH(V230&amp;"|"&amp;W230,LAYOUT!$E$2:$E$80,0)),""))</f>
        <v/>
      </c>
      <c r="Z230" s="12">
        <f>IF(AND(V230="",W230=""),IF(AND(L230="",M230="",Q230="",R230=""),IF(OR($D230&lt;&gt;"",$E230&lt;&gt;""),"Belum ditempatkan",""),""),IF(V230="","CEK JENIS FIXTURE kosong",IF(LEFT(V230,4)&lt;&gt;"Wall","CEK Fixture 3 hanya Wall",IF(W230="","CEK SHELVING KE kosong",IF(ISNA(MATCH(V230&amp;"|"&amp;W230,LAYOUT!$E$2:$E$80,0)),"CEK SHELVING KE di luar layout",IF($I230="","CEK SERIES kosong",IF(AND(X230&lt;&gt;"",NOT(ISNUMBER(X230))),"CEK URUTAN DISPLAY harus angka",IF($D230="","Zona STOCK",IF($E230="","CEK SKU DESCRIPTION kosong",IF(COUNTIFS($I$2:$I$500,$I230,V$2:V$500,"&lt;&gt;"&amp;V230,V$2:V$500,"&lt;&gt;")&gt;0,"CEK jenis fixture beda dalam satu series","OK"))))))))))</f>
        <v/>
      </c>
      <c r="AA230" s="12" t="n"/>
      <c r="AB230" s="11" t="n"/>
      <c r="AC230" s="11" t="n"/>
      <c r="AD230" s="11" t="n"/>
      <c r="AE230" s="11" t="n"/>
      <c r="AF230" s="11" t="n"/>
      <c r="AG230" s="11" t="n"/>
      <c r="AH230" s="12" t="n"/>
      <c r="AI230" s="12" t="n"/>
    </row>
    <row r="231">
      <c r="A231" s="10" t="n"/>
      <c r="B231" s="10" t="n"/>
      <c r="C231" s="10" t="n"/>
      <c r="D231" s="10" t="n"/>
      <c r="E231" s="10" t="n"/>
      <c r="F231" s="10" t="n"/>
      <c r="G231" s="10" t="n"/>
      <c r="H231" s="10" t="n"/>
      <c r="I231" s="10" t="n"/>
      <c r="J231" s="10" t="n"/>
      <c r="K231" s="10" t="n"/>
      <c r="L231" s="11" t="n"/>
      <c r="M231" s="11" t="n"/>
      <c r="N231" s="11" t="n"/>
      <c r="O231" s="11">
        <f>IF(OR(L231="",M231=""),"",IFERROR(INDEX(LAYOUT!$D$2:$D$80,MATCH(L231&amp;"|"&amp;M231,LAYOUT!$E$2:$E$80,0)),""))</f>
        <v/>
      </c>
      <c r="P231" s="12">
        <f>IF(AND(L231="",M231=""),IF(AND(Q231="",R231="",V231="",W231=""),IF(OR($D231&lt;&gt;"",$E231&lt;&gt;""),"Belum ditempatkan",""),""),IF(L231="","CEK JENIS FIXTURE kosong",IF(AND(LEFT(L231,7)&lt;&gt;"Gondola",LEFT(L231,6)&lt;&gt;"Endcap"),"CEK Fixture 1 hanya Gondola atau Endcap",IF(M231="","CEK SHELVING KE kosong",IF(ISNA(MATCH(L231&amp;"|"&amp;M231,LAYOUT!$E$2:$E$80,0)),"CEK SHELVING KE di luar layout",IF($I231="","CEK SERIES kosong",IF(AND(N231&lt;&gt;"",NOT(ISNUMBER(N231))),"CEK URUTAN DISPLAY harus angka",IF($D231="","Zona STOCK",IF($E231="","CEK SKU DESCRIPTION kosong",IF(COUNTIFS($I$2:$I$500,$I231,L$2:L$500,"&lt;&gt;"&amp;L231,L$2:L$500,"&lt;&gt;")&gt;0,"CEK jenis fixture beda dalam satu series","OK"))))))))))</f>
        <v/>
      </c>
      <c r="Q231" s="11" t="n"/>
      <c r="R231" s="11" t="n"/>
      <c r="S231" s="11" t="n"/>
      <c r="T231" s="11">
        <f>IF(OR(Q231="",R231=""),"",IFERROR(INDEX(LAYOUT!$D$2:$D$80,MATCH(Q231&amp;"|"&amp;R231,LAYOUT!$E$2:$E$80,0)),""))</f>
        <v/>
      </c>
      <c r="U231" s="12">
        <f>IF(AND(Q231="",R231=""),IF(AND(L231="",M231="",V231="",W231=""),IF(OR($D231&lt;&gt;"",$E231&lt;&gt;""),"Belum ditempatkan",""),""),IF(Q231="","CEK JENIS FIXTURE kosong",IF(LEFT(Q231,4)&lt;&gt;"Wall","CEK Fixture 2 hanya Wall",IF(R231="","CEK SHELVING KE kosong",IF(ISNA(MATCH(Q231&amp;"|"&amp;R231,LAYOUT!$E$2:$E$80,0)),"CEK SHELVING KE di luar layout",IF($I231="","CEK SERIES kosong",IF(AND(S231&lt;&gt;"",NOT(ISNUMBER(S231))),"CEK URUTAN DISPLAY harus angka",IF($D231="","Zona STOCK",IF($E231="","CEK SKU DESCRIPTION kosong",IF(COUNTIFS($I$2:$I$500,$I231,Q$2:Q$500,"&lt;&gt;"&amp;Q231,Q$2:Q$500,"&lt;&gt;")&gt;0,"CEK jenis fixture beda dalam satu series","OK"))))))))))</f>
        <v/>
      </c>
      <c r="V231" s="11" t="n"/>
      <c r="W231" s="11" t="n"/>
      <c r="X231" s="11" t="n"/>
      <c r="Y231" s="11">
        <f>IF(OR(V231="",W231=""),"",IFERROR(INDEX(LAYOUT!$D$2:$D$80,MATCH(V231&amp;"|"&amp;W231,LAYOUT!$E$2:$E$80,0)),""))</f>
        <v/>
      </c>
      <c r="Z231" s="12">
        <f>IF(AND(V231="",W231=""),IF(AND(L231="",M231="",Q231="",R231=""),IF(OR($D231&lt;&gt;"",$E231&lt;&gt;""),"Belum ditempatkan",""),""),IF(V231="","CEK JENIS FIXTURE kosong",IF(LEFT(V231,4)&lt;&gt;"Wall","CEK Fixture 3 hanya Wall",IF(W231="","CEK SHELVING KE kosong",IF(ISNA(MATCH(V231&amp;"|"&amp;W231,LAYOUT!$E$2:$E$80,0)),"CEK SHELVING KE di luar layout",IF($I231="","CEK SERIES kosong",IF(AND(X231&lt;&gt;"",NOT(ISNUMBER(X231))),"CEK URUTAN DISPLAY harus angka",IF($D231="","Zona STOCK",IF($E231="","CEK SKU DESCRIPTION kosong",IF(COUNTIFS($I$2:$I$500,$I231,V$2:V$500,"&lt;&gt;"&amp;V231,V$2:V$500,"&lt;&gt;")&gt;0,"CEK jenis fixture beda dalam satu series","OK"))))))))))</f>
        <v/>
      </c>
      <c r="AA231" s="12" t="n"/>
      <c r="AB231" s="11" t="n"/>
      <c r="AC231" s="11" t="n"/>
      <c r="AD231" s="11" t="n"/>
      <c r="AE231" s="11" t="n"/>
      <c r="AF231" s="11" t="n"/>
      <c r="AG231" s="11" t="n"/>
      <c r="AH231" s="12" t="n"/>
      <c r="AI231" s="12" t="n"/>
    </row>
    <row r="232">
      <c r="A232" s="10" t="n"/>
      <c r="B232" s="10" t="n"/>
      <c r="C232" s="10" t="n"/>
      <c r="D232" s="10" t="n"/>
      <c r="E232" s="10" t="n"/>
      <c r="F232" s="10" t="n"/>
      <c r="G232" s="10" t="n"/>
      <c r="H232" s="10" t="n"/>
      <c r="I232" s="10" t="n"/>
      <c r="J232" s="10" t="n"/>
      <c r="K232" s="10" t="n"/>
      <c r="L232" s="11" t="n"/>
      <c r="M232" s="11" t="n"/>
      <c r="N232" s="11" t="n"/>
      <c r="O232" s="11">
        <f>IF(OR(L232="",M232=""),"",IFERROR(INDEX(LAYOUT!$D$2:$D$80,MATCH(L232&amp;"|"&amp;M232,LAYOUT!$E$2:$E$80,0)),""))</f>
        <v/>
      </c>
      <c r="P232" s="12">
        <f>IF(AND(L232="",M232=""),IF(AND(Q232="",R232="",V232="",W232=""),IF(OR($D232&lt;&gt;"",$E232&lt;&gt;""),"Belum ditempatkan",""),""),IF(L232="","CEK JENIS FIXTURE kosong",IF(AND(LEFT(L232,7)&lt;&gt;"Gondola",LEFT(L232,6)&lt;&gt;"Endcap"),"CEK Fixture 1 hanya Gondola atau Endcap",IF(M232="","CEK SHELVING KE kosong",IF(ISNA(MATCH(L232&amp;"|"&amp;M232,LAYOUT!$E$2:$E$80,0)),"CEK SHELVING KE di luar layout",IF($I232="","CEK SERIES kosong",IF(AND(N232&lt;&gt;"",NOT(ISNUMBER(N232))),"CEK URUTAN DISPLAY harus angka",IF($D232="","Zona STOCK",IF($E232="","CEK SKU DESCRIPTION kosong",IF(COUNTIFS($I$2:$I$500,$I232,L$2:L$500,"&lt;&gt;"&amp;L232,L$2:L$500,"&lt;&gt;")&gt;0,"CEK jenis fixture beda dalam satu series","OK"))))))))))</f>
        <v/>
      </c>
      <c r="Q232" s="11" t="n"/>
      <c r="R232" s="11" t="n"/>
      <c r="S232" s="11" t="n"/>
      <c r="T232" s="11">
        <f>IF(OR(Q232="",R232=""),"",IFERROR(INDEX(LAYOUT!$D$2:$D$80,MATCH(Q232&amp;"|"&amp;R232,LAYOUT!$E$2:$E$80,0)),""))</f>
        <v/>
      </c>
      <c r="U232" s="12">
        <f>IF(AND(Q232="",R232=""),IF(AND(L232="",M232="",V232="",W232=""),IF(OR($D232&lt;&gt;"",$E232&lt;&gt;""),"Belum ditempatkan",""),""),IF(Q232="","CEK JENIS FIXTURE kosong",IF(LEFT(Q232,4)&lt;&gt;"Wall","CEK Fixture 2 hanya Wall",IF(R232="","CEK SHELVING KE kosong",IF(ISNA(MATCH(Q232&amp;"|"&amp;R232,LAYOUT!$E$2:$E$80,0)),"CEK SHELVING KE di luar layout",IF($I232="","CEK SERIES kosong",IF(AND(S232&lt;&gt;"",NOT(ISNUMBER(S232))),"CEK URUTAN DISPLAY harus angka",IF($D232="","Zona STOCK",IF($E232="","CEK SKU DESCRIPTION kosong",IF(COUNTIFS($I$2:$I$500,$I232,Q$2:Q$500,"&lt;&gt;"&amp;Q232,Q$2:Q$500,"&lt;&gt;")&gt;0,"CEK jenis fixture beda dalam satu series","OK"))))))))))</f>
        <v/>
      </c>
      <c r="V232" s="11" t="n"/>
      <c r="W232" s="11" t="n"/>
      <c r="X232" s="11" t="n"/>
      <c r="Y232" s="11">
        <f>IF(OR(V232="",W232=""),"",IFERROR(INDEX(LAYOUT!$D$2:$D$80,MATCH(V232&amp;"|"&amp;W232,LAYOUT!$E$2:$E$80,0)),""))</f>
        <v/>
      </c>
      <c r="Z232" s="12">
        <f>IF(AND(V232="",W232=""),IF(AND(L232="",M232="",Q232="",R232=""),IF(OR($D232&lt;&gt;"",$E232&lt;&gt;""),"Belum ditempatkan",""),""),IF(V232="","CEK JENIS FIXTURE kosong",IF(LEFT(V232,4)&lt;&gt;"Wall","CEK Fixture 3 hanya Wall",IF(W232="","CEK SHELVING KE kosong",IF(ISNA(MATCH(V232&amp;"|"&amp;W232,LAYOUT!$E$2:$E$80,0)),"CEK SHELVING KE di luar layout",IF($I232="","CEK SERIES kosong",IF(AND(X232&lt;&gt;"",NOT(ISNUMBER(X232))),"CEK URUTAN DISPLAY harus angka",IF($D232="","Zona STOCK",IF($E232="","CEK SKU DESCRIPTION kosong",IF(COUNTIFS($I$2:$I$500,$I232,V$2:V$500,"&lt;&gt;"&amp;V232,V$2:V$500,"&lt;&gt;")&gt;0,"CEK jenis fixture beda dalam satu series","OK"))))))))))</f>
        <v/>
      </c>
      <c r="AA232" s="12" t="n"/>
      <c r="AB232" s="11" t="n"/>
      <c r="AC232" s="11" t="n"/>
      <c r="AD232" s="11" t="n"/>
      <c r="AE232" s="11" t="n"/>
      <c r="AF232" s="11" t="n"/>
      <c r="AG232" s="11" t="n"/>
      <c r="AH232" s="12" t="n"/>
      <c r="AI232" s="12" t="n"/>
    </row>
    <row r="233">
      <c r="A233" s="10" t="n"/>
      <c r="B233" s="10" t="n"/>
      <c r="C233" s="10" t="n"/>
      <c r="D233" s="10" t="n"/>
      <c r="E233" s="10" t="n"/>
      <c r="F233" s="10" t="n"/>
      <c r="G233" s="10" t="n"/>
      <c r="H233" s="10" t="n"/>
      <c r="I233" s="10" t="n"/>
      <c r="J233" s="10" t="n"/>
      <c r="K233" s="10" t="n"/>
      <c r="L233" s="11" t="n"/>
      <c r="M233" s="11" t="n"/>
      <c r="N233" s="11" t="n"/>
      <c r="O233" s="11">
        <f>IF(OR(L233="",M233=""),"",IFERROR(INDEX(LAYOUT!$D$2:$D$80,MATCH(L233&amp;"|"&amp;M233,LAYOUT!$E$2:$E$80,0)),""))</f>
        <v/>
      </c>
      <c r="P233" s="12">
        <f>IF(AND(L233="",M233=""),IF(AND(Q233="",R233="",V233="",W233=""),IF(OR($D233&lt;&gt;"",$E233&lt;&gt;""),"Belum ditempatkan",""),""),IF(L233="","CEK JENIS FIXTURE kosong",IF(AND(LEFT(L233,7)&lt;&gt;"Gondola",LEFT(L233,6)&lt;&gt;"Endcap"),"CEK Fixture 1 hanya Gondola atau Endcap",IF(M233="","CEK SHELVING KE kosong",IF(ISNA(MATCH(L233&amp;"|"&amp;M233,LAYOUT!$E$2:$E$80,0)),"CEK SHELVING KE di luar layout",IF($I233="","CEK SERIES kosong",IF(AND(N233&lt;&gt;"",NOT(ISNUMBER(N233))),"CEK URUTAN DISPLAY harus angka",IF($D233="","Zona STOCK",IF($E233="","CEK SKU DESCRIPTION kosong",IF(COUNTIFS($I$2:$I$500,$I233,L$2:L$500,"&lt;&gt;"&amp;L233,L$2:L$500,"&lt;&gt;")&gt;0,"CEK jenis fixture beda dalam satu series","OK"))))))))))</f>
        <v/>
      </c>
      <c r="Q233" s="11" t="n"/>
      <c r="R233" s="11" t="n"/>
      <c r="S233" s="11" t="n"/>
      <c r="T233" s="11">
        <f>IF(OR(Q233="",R233=""),"",IFERROR(INDEX(LAYOUT!$D$2:$D$80,MATCH(Q233&amp;"|"&amp;R233,LAYOUT!$E$2:$E$80,0)),""))</f>
        <v/>
      </c>
      <c r="U233" s="12">
        <f>IF(AND(Q233="",R233=""),IF(AND(L233="",M233="",V233="",W233=""),IF(OR($D233&lt;&gt;"",$E233&lt;&gt;""),"Belum ditempatkan",""),""),IF(Q233="","CEK JENIS FIXTURE kosong",IF(LEFT(Q233,4)&lt;&gt;"Wall","CEK Fixture 2 hanya Wall",IF(R233="","CEK SHELVING KE kosong",IF(ISNA(MATCH(Q233&amp;"|"&amp;R233,LAYOUT!$E$2:$E$80,0)),"CEK SHELVING KE di luar layout",IF($I233="","CEK SERIES kosong",IF(AND(S233&lt;&gt;"",NOT(ISNUMBER(S233))),"CEK URUTAN DISPLAY harus angka",IF($D233="","Zona STOCK",IF($E233="","CEK SKU DESCRIPTION kosong",IF(COUNTIFS($I$2:$I$500,$I233,Q$2:Q$500,"&lt;&gt;"&amp;Q233,Q$2:Q$500,"&lt;&gt;")&gt;0,"CEK jenis fixture beda dalam satu series","OK"))))))))))</f>
        <v/>
      </c>
      <c r="V233" s="11" t="n"/>
      <c r="W233" s="11" t="n"/>
      <c r="X233" s="11" t="n"/>
      <c r="Y233" s="11">
        <f>IF(OR(V233="",W233=""),"",IFERROR(INDEX(LAYOUT!$D$2:$D$80,MATCH(V233&amp;"|"&amp;W233,LAYOUT!$E$2:$E$80,0)),""))</f>
        <v/>
      </c>
      <c r="Z233" s="12">
        <f>IF(AND(V233="",W233=""),IF(AND(L233="",M233="",Q233="",R233=""),IF(OR($D233&lt;&gt;"",$E233&lt;&gt;""),"Belum ditempatkan",""),""),IF(V233="","CEK JENIS FIXTURE kosong",IF(LEFT(V233,4)&lt;&gt;"Wall","CEK Fixture 3 hanya Wall",IF(W233="","CEK SHELVING KE kosong",IF(ISNA(MATCH(V233&amp;"|"&amp;W233,LAYOUT!$E$2:$E$80,0)),"CEK SHELVING KE di luar layout",IF($I233="","CEK SERIES kosong",IF(AND(X233&lt;&gt;"",NOT(ISNUMBER(X233))),"CEK URUTAN DISPLAY harus angka",IF($D233="","Zona STOCK",IF($E233="","CEK SKU DESCRIPTION kosong",IF(COUNTIFS($I$2:$I$500,$I233,V$2:V$500,"&lt;&gt;"&amp;V233,V$2:V$500,"&lt;&gt;")&gt;0,"CEK jenis fixture beda dalam satu series","OK"))))))))))</f>
        <v/>
      </c>
      <c r="AA233" s="12" t="n"/>
      <c r="AB233" s="11" t="n"/>
      <c r="AC233" s="11" t="n"/>
      <c r="AD233" s="11" t="n"/>
      <c r="AE233" s="11" t="n"/>
      <c r="AF233" s="11" t="n"/>
      <c r="AG233" s="11" t="n"/>
      <c r="AH233" s="12" t="n"/>
      <c r="AI233" s="12" t="n"/>
    </row>
    <row r="234">
      <c r="A234" s="10" t="n"/>
      <c r="B234" s="10" t="n"/>
      <c r="C234" s="10" t="n"/>
      <c r="D234" s="10" t="n"/>
      <c r="E234" s="10" t="n"/>
      <c r="F234" s="10" t="n"/>
      <c r="G234" s="10" t="n"/>
      <c r="H234" s="10" t="n"/>
      <c r="I234" s="10" t="n"/>
      <c r="J234" s="10" t="n"/>
      <c r="K234" s="10" t="n"/>
      <c r="L234" s="11" t="n"/>
      <c r="M234" s="11" t="n"/>
      <c r="N234" s="11" t="n"/>
      <c r="O234" s="11">
        <f>IF(OR(L234="",M234=""),"",IFERROR(INDEX(LAYOUT!$D$2:$D$80,MATCH(L234&amp;"|"&amp;M234,LAYOUT!$E$2:$E$80,0)),""))</f>
        <v/>
      </c>
      <c r="P234" s="12">
        <f>IF(AND(L234="",M234=""),IF(AND(Q234="",R234="",V234="",W234=""),IF(OR($D234&lt;&gt;"",$E234&lt;&gt;""),"Belum ditempatkan",""),""),IF(L234="","CEK JENIS FIXTURE kosong",IF(AND(LEFT(L234,7)&lt;&gt;"Gondola",LEFT(L234,6)&lt;&gt;"Endcap"),"CEK Fixture 1 hanya Gondola atau Endcap",IF(M234="","CEK SHELVING KE kosong",IF(ISNA(MATCH(L234&amp;"|"&amp;M234,LAYOUT!$E$2:$E$80,0)),"CEK SHELVING KE di luar layout",IF($I234="","CEK SERIES kosong",IF(AND(N234&lt;&gt;"",NOT(ISNUMBER(N234))),"CEK URUTAN DISPLAY harus angka",IF($D234="","Zona STOCK",IF($E234="","CEK SKU DESCRIPTION kosong",IF(COUNTIFS($I$2:$I$500,$I234,L$2:L$500,"&lt;&gt;"&amp;L234,L$2:L$500,"&lt;&gt;")&gt;0,"CEK jenis fixture beda dalam satu series","OK"))))))))))</f>
        <v/>
      </c>
      <c r="Q234" s="11" t="n"/>
      <c r="R234" s="11" t="n"/>
      <c r="S234" s="11" t="n"/>
      <c r="T234" s="11">
        <f>IF(OR(Q234="",R234=""),"",IFERROR(INDEX(LAYOUT!$D$2:$D$80,MATCH(Q234&amp;"|"&amp;R234,LAYOUT!$E$2:$E$80,0)),""))</f>
        <v/>
      </c>
      <c r="U234" s="12">
        <f>IF(AND(Q234="",R234=""),IF(AND(L234="",M234="",V234="",W234=""),IF(OR($D234&lt;&gt;"",$E234&lt;&gt;""),"Belum ditempatkan",""),""),IF(Q234="","CEK JENIS FIXTURE kosong",IF(LEFT(Q234,4)&lt;&gt;"Wall","CEK Fixture 2 hanya Wall",IF(R234="","CEK SHELVING KE kosong",IF(ISNA(MATCH(Q234&amp;"|"&amp;R234,LAYOUT!$E$2:$E$80,0)),"CEK SHELVING KE di luar layout",IF($I234="","CEK SERIES kosong",IF(AND(S234&lt;&gt;"",NOT(ISNUMBER(S234))),"CEK URUTAN DISPLAY harus angka",IF($D234="","Zona STOCK",IF($E234="","CEK SKU DESCRIPTION kosong",IF(COUNTIFS($I$2:$I$500,$I234,Q$2:Q$500,"&lt;&gt;"&amp;Q234,Q$2:Q$500,"&lt;&gt;")&gt;0,"CEK jenis fixture beda dalam satu series","OK"))))))))))</f>
        <v/>
      </c>
      <c r="V234" s="11" t="n"/>
      <c r="W234" s="11" t="n"/>
      <c r="X234" s="11" t="n"/>
      <c r="Y234" s="11">
        <f>IF(OR(V234="",W234=""),"",IFERROR(INDEX(LAYOUT!$D$2:$D$80,MATCH(V234&amp;"|"&amp;W234,LAYOUT!$E$2:$E$80,0)),""))</f>
        <v/>
      </c>
      <c r="Z234" s="12">
        <f>IF(AND(V234="",W234=""),IF(AND(L234="",M234="",Q234="",R234=""),IF(OR($D234&lt;&gt;"",$E234&lt;&gt;""),"Belum ditempatkan",""),""),IF(V234="","CEK JENIS FIXTURE kosong",IF(LEFT(V234,4)&lt;&gt;"Wall","CEK Fixture 3 hanya Wall",IF(W234="","CEK SHELVING KE kosong",IF(ISNA(MATCH(V234&amp;"|"&amp;W234,LAYOUT!$E$2:$E$80,0)),"CEK SHELVING KE di luar layout",IF($I234="","CEK SERIES kosong",IF(AND(X234&lt;&gt;"",NOT(ISNUMBER(X234))),"CEK URUTAN DISPLAY harus angka",IF($D234="","Zona STOCK",IF($E234="","CEK SKU DESCRIPTION kosong",IF(COUNTIFS($I$2:$I$500,$I234,V$2:V$500,"&lt;&gt;"&amp;V234,V$2:V$500,"&lt;&gt;")&gt;0,"CEK jenis fixture beda dalam satu series","OK"))))))))))</f>
        <v/>
      </c>
      <c r="AA234" s="12" t="n"/>
      <c r="AB234" s="11" t="n"/>
      <c r="AC234" s="11" t="n"/>
      <c r="AD234" s="11" t="n"/>
      <c r="AE234" s="11" t="n"/>
      <c r="AF234" s="11" t="n"/>
      <c r="AG234" s="11" t="n"/>
      <c r="AH234" s="12" t="n"/>
      <c r="AI234" s="12" t="n"/>
    </row>
    <row r="235">
      <c r="A235" s="10" t="n"/>
      <c r="B235" s="10" t="n"/>
      <c r="C235" s="10" t="n"/>
      <c r="D235" s="10" t="n"/>
      <c r="E235" s="10" t="n"/>
      <c r="F235" s="10" t="n"/>
      <c r="G235" s="10" t="n"/>
      <c r="H235" s="10" t="n"/>
      <c r="I235" s="10" t="n"/>
      <c r="J235" s="10" t="n"/>
      <c r="K235" s="10" t="n"/>
      <c r="L235" s="11" t="n"/>
      <c r="M235" s="11" t="n"/>
      <c r="N235" s="11" t="n"/>
      <c r="O235" s="11">
        <f>IF(OR(L235="",M235=""),"",IFERROR(INDEX(LAYOUT!$D$2:$D$80,MATCH(L235&amp;"|"&amp;M235,LAYOUT!$E$2:$E$80,0)),""))</f>
        <v/>
      </c>
      <c r="P235" s="12">
        <f>IF(AND(L235="",M235=""),IF(AND(Q235="",R235="",V235="",W235=""),IF(OR($D235&lt;&gt;"",$E235&lt;&gt;""),"Belum ditempatkan",""),""),IF(L235="","CEK JENIS FIXTURE kosong",IF(AND(LEFT(L235,7)&lt;&gt;"Gondola",LEFT(L235,6)&lt;&gt;"Endcap"),"CEK Fixture 1 hanya Gondola atau Endcap",IF(M235="","CEK SHELVING KE kosong",IF(ISNA(MATCH(L235&amp;"|"&amp;M235,LAYOUT!$E$2:$E$80,0)),"CEK SHELVING KE di luar layout",IF($I235="","CEK SERIES kosong",IF(AND(N235&lt;&gt;"",NOT(ISNUMBER(N235))),"CEK URUTAN DISPLAY harus angka",IF($D235="","Zona STOCK",IF($E235="","CEK SKU DESCRIPTION kosong",IF(COUNTIFS($I$2:$I$500,$I235,L$2:L$500,"&lt;&gt;"&amp;L235,L$2:L$500,"&lt;&gt;")&gt;0,"CEK jenis fixture beda dalam satu series","OK"))))))))))</f>
        <v/>
      </c>
      <c r="Q235" s="11" t="n"/>
      <c r="R235" s="11" t="n"/>
      <c r="S235" s="11" t="n"/>
      <c r="T235" s="11">
        <f>IF(OR(Q235="",R235=""),"",IFERROR(INDEX(LAYOUT!$D$2:$D$80,MATCH(Q235&amp;"|"&amp;R235,LAYOUT!$E$2:$E$80,0)),""))</f>
        <v/>
      </c>
      <c r="U235" s="12">
        <f>IF(AND(Q235="",R235=""),IF(AND(L235="",M235="",V235="",W235=""),IF(OR($D235&lt;&gt;"",$E235&lt;&gt;""),"Belum ditempatkan",""),""),IF(Q235="","CEK JENIS FIXTURE kosong",IF(LEFT(Q235,4)&lt;&gt;"Wall","CEK Fixture 2 hanya Wall",IF(R235="","CEK SHELVING KE kosong",IF(ISNA(MATCH(Q235&amp;"|"&amp;R235,LAYOUT!$E$2:$E$80,0)),"CEK SHELVING KE di luar layout",IF($I235="","CEK SERIES kosong",IF(AND(S235&lt;&gt;"",NOT(ISNUMBER(S235))),"CEK URUTAN DISPLAY harus angka",IF($D235="","Zona STOCK",IF($E235="","CEK SKU DESCRIPTION kosong",IF(COUNTIFS($I$2:$I$500,$I235,Q$2:Q$500,"&lt;&gt;"&amp;Q235,Q$2:Q$500,"&lt;&gt;")&gt;0,"CEK jenis fixture beda dalam satu series","OK"))))))))))</f>
        <v/>
      </c>
      <c r="V235" s="11" t="n"/>
      <c r="W235" s="11" t="n"/>
      <c r="X235" s="11" t="n"/>
      <c r="Y235" s="11">
        <f>IF(OR(V235="",W235=""),"",IFERROR(INDEX(LAYOUT!$D$2:$D$80,MATCH(V235&amp;"|"&amp;W235,LAYOUT!$E$2:$E$80,0)),""))</f>
        <v/>
      </c>
      <c r="Z235" s="12">
        <f>IF(AND(V235="",W235=""),IF(AND(L235="",M235="",Q235="",R235=""),IF(OR($D235&lt;&gt;"",$E235&lt;&gt;""),"Belum ditempatkan",""),""),IF(V235="","CEK JENIS FIXTURE kosong",IF(LEFT(V235,4)&lt;&gt;"Wall","CEK Fixture 3 hanya Wall",IF(W235="","CEK SHELVING KE kosong",IF(ISNA(MATCH(V235&amp;"|"&amp;W235,LAYOUT!$E$2:$E$80,0)),"CEK SHELVING KE di luar layout",IF($I235="","CEK SERIES kosong",IF(AND(X235&lt;&gt;"",NOT(ISNUMBER(X235))),"CEK URUTAN DISPLAY harus angka",IF($D235="","Zona STOCK",IF($E235="","CEK SKU DESCRIPTION kosong",IF(COUNTIFS($I$2:$I$500,$I235,V$2:V$500,"&lt;&gt;"&amp;V235,V$2:V$500,"&lt;&gt;")&gt;0,"CEK jenis fixture beda dalam satu series","OK"))))))))))</f>
        <v/>
      </c>
      <c r="AA235" s="12" t="n"/>
      <c r="AB235" s="11" t="n"/>
      <c r="AC235" s="11" t="n"/>
      <c r="AD235" s="11" t="n"/>
      <c r="AE235" s="11" t="n"/>
      <c r="AF235" s="11" t="n"/>
      <c r="AG235" s="11" t="n"/>
      <c r="AH235" s="12" t="n"/>
      <c r="AI235" s="12" t="n"/>
    </row>
    <row r="236">
      <c r="A236" s="10" t="n"/>
      <c r="B236" s="10" t="n"/>
      <c r="C236" s="10" t="n"/>
      <c r="D236" s="10" t="n"/>
      <c r="E236" s="10" t="n"/>
      <c r="F236" s="10" t="n"/>
      <c r="G236" s="10" t="n"/>
      <c r="H236" s="10" t="n"/>
      <c r="I236" s="10" t="n"/>
      <c r="J236" s="10" t="n"/>
      <c r="K236" s="10" t="n"/>
      <c r="L236" s="11" t="n"/>
      <c r="M236" s="11" t="n"/>
      <c r="N236" s="11" t="n"/>
      <c r="O236" s="11">
        <f>IF(OR(L236="",M236=""),"",IFERROR(INDEX(LAYOUT!$D$2:$D$80,MATCH(L236&amp;"|"&amp;M236,LAYOUT!$E$2:$E$80,0)),""))</f>
        <v/>
      </c>
      <c r="P236" s="12">
        <f>IF(AND(L236="",M236=""),IF(AND(Q236="",R236="",V236="",W236=""),IF(OR($D236&lt;&gt;"",$E236&lt;&gt;""),"Belum ditempatkan",""),""),IF(L236="","CEK JENIS FIXTURE kosong",IF(AND(LEFT(L236,7)&lt;&gt;"Gondola",LEFT(L236,6)&lt;&gt;"Endcap"),"CEK Fixture 1 hanya Gondola atau Endcap",IF(M236="","CEK SHELVING KE kosong",IF(ISNA(MATCH(L236&amp;"|"&amp;M236,LAYOUT!$E$2:$E$80,0)),"CEK SHELVING KE di luar layout",IF($I236="","CEK SERIES kosong",IF(AND(N236&lt;&gt;"",NOT(ISNUMBER(N236))),"CEK URUTAN DISPLAY harus angka",IF($D236="","Zona STOCK",IF($E236="","CEK SKU DESCRIPTION kosong",IF(COUNTIFS($I$2:$I$500,$I236,L$2:L$500,"&lt;&gt;"&amp;L236,L$2:L$500,"&lt;&gt;")&gt;0,"CEK jenis fixture beda dalam satu series","OK"))))))))))</f>
        <v/>
      </c>
      <c r="Q236" s="11" t="n"/>
      <c r="R236" s="11" t="n"/>
      <c r="S236" s="11" t="n"/>
      <c r="T236" s="11">
        <f>IF(OR(Q236="",R236=""),"",IFERROR(INDEX(LAYOUT!$D$2:$D$80,MATCH(Q236&amp;"|"&amp;R236,LAYOUT!$E$2:$E$80,0)),""))</f>
        <v/>
      </c>
      <c r="U236" s="12">
        <f>IF(AND(Q236="",R236=""),IF(AND(L236="",M236="",V236="",W236=""),IF(OR($D236&lt;&gt;"",$E236&lt;&gt;""),"Belum ditempatkan",""),""),IF(Q236="","CEK JENIS FIXTURE kosong",IF(LEFT(Q236,4)&lt;&gt;"Wall","CEK Fixture 2 hanya Wall",IF(R236="","CEK SHELVING KE kosong",IF(ISNA(MATCH(Q236&amp;"|"&amp;R236,LAYOUT!$E$2:$E$80,0)),"CEK SHELVING KE di luar layout",IF($I236="","CEK SERIES kosong",IF(AND(S236&lt;&gt;"",NOT(ISNUMBER(S236))),"CEK URUTAN DISPLAY harus angka",IF($D236="","Zona STOCK",IF($E236="","CEK SKU DESCRIPTION kosong",IF(COUNTIFS($I$2:$I$500,$I236,Q$2:Q$500,"&lt;&gt;"&amp;Q236,Q$2:Q$500,"&lt;&gt;")&gt;0,"CEK jenis fixture beda dalam satu series","OK"))))))))))</f>
        <v/>
      </c>
      <c r="V236" s="11" t="n"/>
      <c r="W236" s="11" t="n"/>
      <c r="X236" s="11" t="n"/>
      <c r="Y236" s="11">
        <f>IF(OR(V236="",W236=""),"",IFERROR(INDEX(LAYOUT!$D$2:$D$80,MATCH(V236&amp;"|"&amp;W236,LAYOUT!$E$2:$E$80,0)),""))</f>
        <v/>
      </c>
      <c r="Z236" s="12">
        <f>IF(AND(V236="",W236=""),IF(AND(L236="",M236="",Q236="",R236=""),IF(OR($D236&lt;&gt;"",$E236&lt;&gt;""),"Belum ditempatkan",""),""),IF(V236="","CEK JENIS FIXTURE kosong",IF(LEFT(V236,4)&lt;&gt;"Wall","CEK Fixture 3 hanya Wall",IF(W236="","CEK SHELVING KE kosong",IF(ISNA(MATCH(V236&amp;"|"&amp;W236,LAYOUT!$E$2:$E$80,0)),"CEK SHELVING KE di luar layout",IF($I236="","CEK SERIES kosong",IF(AND(X236&lt;&gt;"",NOT(ISNUMBER(X236))),"CEK URUTAN DISPLAY harus angka",IF($D236="","Zona STOCK",IF($E236="","CEK SKU DESCRIPTION kosong",IF(COUNTIFS($I$2:$I$500,$I236,V$2:V$500,"&lt;&gt;"&amp;V236,V$2:V$500,"&lt;&gt;")&gt;0,"CEK jenis fixture beda dalam satu series","OK"))))))))))</f>
        <v/>
      </c>
      <c r="AA236" s="12" t="n"/>
      <c r="AB236" s="11" t="n"/>
      <c r="AC236" s="11" t="n"/>
      <c r="AD236" s="11" t="n"/>
      <c r="AE236" s="11" t="n"/>
      <c r="AF236" s="11" t="n"/>
      <c r="AG236" s="11" t="n"/>
      <c r="AH236" s="12" t="n"/>
      <c r="AI236" s="12" t="n"/>
    </row>
    <row r="237">
      <c r="A237" s="10" t="n"/>
      <c r="B237" s="10" t="n"/>
      <c r="C237" s="10" t="n"/>
      <c r="D237" s="10" t="n"/>
      <c r="E237" s="10" t="n"/>
      <c r="F237" s="10" t="n"/>
      <c r="G237" s="10" t="n"/>
      <c r="H237" s="10" t="n"/>
      <c r="I237" s="10" t="n"/>
      <c r="J237" s="10" t="n"/>
      <c r="K237" s="10" t="n"/>
      <c r="L237" s="11" t="n"/>
      <c r="M237" s="11" t="n"/>
      <c r="N237" s="11" t="n"/>
      <c r="O237" s="11">
        <f>IF(OR(L237="",M237=""),"",IFERROR(INDEX(LAYOUT!$D$2:$D$80,MATCH(L237&amp;"|"&amp;M237,LAYOUT!$E$2:$E$80,0)),""))</f>
        <v/>
      </c>
      <c r="P237" s="12">
        <f>IF(AND(L237="",M237=""),IF(AND(Q237="",R237="",V237="",W237=""),IF(OR($D237&lt;&gt;"",$E237&lt;&gt;""),"Belum ditempatkan",""),""),IF(L237="","CEK JENIS FIXTURE kosong",IF(AND(LEFT(L237,7)&lt;&gt;"Gondola",LEFT(L237,6)&lt;&gt;"Endcap"),"CEK Fixture 1 hanya Gondola atau Endcap",IF(M237="","CEK SHELVING KE kosong",IF(ISNA(MATCH(L237&amp;"|"&amp;M237,LAYOUT!$E$2:$E$80,0)),"CEK SHELVING KE di luar layout",IF($I237="","CEK SERIES kosong",IF(AND(N237&lt;&gt;"",NOT(ISNUMBER(N237))),"CEK URUTAN DISPLAY harus angka",IF($D237="","Zona STOCK",IF($E237="","CEK SKU DESCRIPTION kosong",IF(COUNTIFS($I$2:$I$500,$I237,L$2:L$500,"&lt;&gt;"&amp;L237,L$2:L$500,"&lt;&gt;")&gt;0,"CEK jenis fixture beda dalam satu series","OK"))))))))))</f>
        <v/>
      </c>
      <c r="Q237" s="11" t="n"/>
      <c r="R237" s="11" t="n"/>
      <c r="S237" s="11" t="n"/>
      <c r="T237" s="11">
        <f>IF(OR(Q237="",R237=""),"",IFERROR(INDEX(LAYOUT!$D$2:$D$80,MATCH(Q237&amp;"|"&amp;R237,LAYOUT!$E$2:$E$80,0)),""))</f>
        <v/>
      </c>
      <c r="U237" s="12">
        <f>IF(AND(Q237="",R237=""),IF(AND(L237="",M237="",V237="",W237=""),IF(OR($D237&lt;&gt;"",$E237&lt;&gt;""),"Belum ditempatkan",""),""),IF(Q237="","CEK JENIS FIXTURE kosong",IF(LEFT(Q237,4)&lt;&gt;"Wall","CEK Fixture 2 hanya Wall",IF(R237="","CEK SHELVING KE kosong",IF(ISNA(MATCH(Q237&amp;"|"&amp;R237,LAYOUT!$E$2:$E$80,0)),"CEK SHELVING KE di luar layout",IF($I237="","CEK SERIES kosong",IF(AND(S237&lt;&gt;"",NOT(ISNUMBER(S237))),"CEK URUTAN DISPLAY harus angka",IF($D237="","Zona STOCK",IF($E237="","CEK SKU DESCRIPTION kosong",IF(COUNTIFS($I$2:$I$500,$I237,Q$2:Q$500,"&lt;&gt;"&amp;Q237,Q$2:Q$500,"&lt;&gt;")&gt;0,"CEK jenis fixture beda dalam satu series","OK"))))))))))</f>
        <v/>
      </c>
      <c r="V237" s="11" t="n"/>
      <c r="W237" s="11" t="n"/>
      <c r="X237" s="11" t="n"/>
      <c r="Y237" s="11">
        <f>IF(OR(V237="",W237=""),"",IFERROR(INDEX(LAYOUT!$D$2:$D$80,MATCH(V237&amp;"|"&amp;W237,LAYOUT!$E$2:$E$80,0)),""))</f>
        <v/>
      </c>
      <c r="Z237" s="12">
        <f>IF(AND(V237="",W237=""),IF(AND(L237="",M237="",Q237="",R237=""),IF(OR($D237&lt;&gt;"",$E237&lt;&gt;""),"Belum ditempatkan",""),""),IF(V237="","CEK JENIS FIXTURE kosong",IF(LEFT(V237,4)&lt;&gt;"Wall","CEK Fixture 3 hanya Wall",IF(W237="","CEK SHELVING KE kosong",IF(ISNA(MATCH(V237&amp;"|"&amp;W237,LAYOUT!$E$2:$E$80,0)),"CEK SHELVING KE di luar layout",IF($I237="","CEK SERIES kosong",IF(AND(X237&lt;&gt;"",NOT(ISNUMBER(X237))),"CEK URUTAN DISPLAY harus angka",IF($D237="","Zona STOCK",IF($E237="","CEK SKU DESCRIPTION kosong",IF(COUNTIFS($I$2:$I$500,$I237,V$2:V$500,"&lt;&gt;"&amp;V237,V$2:V$500,"&lt;&gt;")&gt;0,"CEK jenis fixture beda dalam satu series","OK"))))))))))</f>
        <v/>
      </c>
      <c r="AA237" s="12" t="n"/>
      <c r="AB237" s="11" t="n"/>
      <c r="AC237" s="11" t="n"/>
      <c r="AD237" s="11" t="n"/>
      <c r="AE237" s="11" t="n"/>
      <c r="AF237" s="11" t="n"/>
      <c r="AG237" s="11" t="n"/>
      <c r="AH237" s="12" t="n"/>
      <c r="AI237" s="12" t="n"/>
    </row>
    <row r="238">
      <c r="A238" s="10" t="n"/>
      <c r="B238" s="10" t="n"/>
      <c r="C238" s="10" t="n"/>
      <c r="D238" s="10" t="n"/>
      <c r="E238" s="10" t="n"/>
      <c r="F238" s="10" t="n"/>
      <c r="G238" s="10" t="n"/>
      <c r="H238" s="10" t="n"/>
      <c r="I238" s="10" t="n"/>
      <c r="J238" s="10" t="n"/>
      <c r="K238" s="10" t="n"/>
      <c r="L238" s="11" t="n"/>
      <c r="M238" s="11" t="n"/>
      <c r="N238" s="11" t="n"/>
      <c r="O238" s="11">
        <f>IF(OR(L238="",M238=""),"",IFERROR(INDEX(LAYOUT!$D$2:$D$80,MATCH(L238&amp;"|"&amp;M238,LAYOUT!$E$2:$E$80,0)),""))</f>
        <v/>
      </c>
      <c r="P238" s="12">
        <f>IF(AND(L238="",M238=""),IF(AND(Q238="",R238="",V238="",W238=""),IF(OR($D238&lt;&gt;"",$E238&lt;&gt;""),"Belum ditempatkan",""),""),IF(L238="","CEK JENIS FIXTURE kosong",IF(AND(LEFT(L238,7)&lt;&gt;"Gondola",LEFT(L238,6)&lt;&gt;"Endcap"),"CEK Fixture 1 hanya Gondola atau Endcap",IF(M238="","CEK SHELVING KE kosong",IF(ISNA(MATCH(L238&amp;"|"&amp;M238,LAYOUT!$E$2:$E$80,0)),"CEK SHELVING KE di luar layout",IF($I238="","CEK SERIES kosong",IF(AND(N238&lt;&gt;"",NOT(ISNUMBER(N238))),"CEK URUTAN DISPLAY harus angka",IF($D238="","Zona STOCK",IF($E238="","CEK SKU DESCRIPTION kosong",IF(COUNTIFS($I$2:$I$500,$I238,L$2:L$500,"&lt;&gt;"&amp;L238,L$2:L$500,"&lt;&gt;")&gt;0,"CEK jenis fixture beda dalam satu series","OK"))))))))))</f>
        <v/>
      </c>
      <c r="Q238" s="11" t="n"/>
      <c r="R238" s="11" t="n"/>
      <c r="S238" s="11" t="n"/>
      <c r="T238" s="11">
        <f>IF(OR(Q238="",R238=""),"",IFERROR(INDEX(LAYOUT!$D$2:$D$80,MATCH(Q238&amp;"|"&amp;R238,LAYOUT!$E$2:$E$80,0)),""))</f>
        <v/>
      </c>
      <c r="U238" s="12">
        <f>IF(AND(Q238="",R238=""),IF(AND(L238="",M238="",V238="",W238=""),IF(OR($D238&lt;&gt;"",$E238&lt;&gt;""),"Belum ditempatkan",""),""),IF(Q238="","CEK JENIS FIXTURE kosong",IF(LEFT(Q238,4)&lt;&gt;"Wall","CEK Fixture 2 hanya Wall",IF(R238="","CEK SHELVING KE kosong",IF(ISNA(MATCH(Q238&amp;"|"&amp;R238,LAYOUT!$E$2:$E$80,0)),"CEK SHELVING KE di luar layout",IF($I238="","CEK SERIES kosong",IF(AND(S238&lt;&gt;"",NOT(ISNUMBER(S238))),"CEK URUTAN DISPLAY harus angka",IF($D238="","Zona STOCK",IF($E238="","CEK SKU DESCRIPTION kosong",IF(COUNTIFS($I$2:$I$500,$I238,Q$2:Q$500,"&lt;&gt;"&amp;Q238,Q$2:Q$500,"&lt;&gt;")&gt;0,"CEK jenis fixture beda dalam satu series","OK"))))))))))</f>
        <v/>
      </c>
      <c r="V238" s="11" t="n"/>
      <c r="W238" s="11" t="n"/>
      <c r="X238" s="11" t="n"/>
      <c r="Y238" s="11">
        <f>IF(OR(V238="",W238=""),"",IFERROR(INDEX(LAYOUT!$D$2:$D$80,MATCH(V238&amp;"|"&amp;W238,LAYOUT!$E$2:$E$80,0)),""))</f>
        <v/>
      </c>
      <c r="Z238" s="12">
        <f>IF(AND(V238="",W238=""),IF(AND(L238="",M238="",Q238="",R238=""),IF(OR($D238&lt;&gt;"",$E238&lt;&gt;""),"Belum ditempatkan",""),""),IF(V238="","CEK JENIS FIXTURE kosong",IF(LEFT(V238,4)&lt;&gt;"Wall","CEK Fixture 3 hanya Wall",IF(W238="","CEK SHELVING KE kosong",IF(ISNA(MATCH(V238&amp;"|"&amp;W238,LAYOUT!$E$2:$E$80,0)),"CEK SHELVING KE di luar layout",IF($I238="","CEK SERIES kosong",IF(AND(X238&lt;&gt;"",NOT(ISNUMBER(X238))),"CEK URUTAN DISPLAY harus angka",IF($D238="","Zona STOCK",IF($E238="","CEK SKU DESCRIPTION kosong",IF(COUNTIFS($I$2:$I$500,$I238,V$2:V$500,"&lt;&gt;"&amp;V238,V$2:V$500,"&lt;&gt;")&gt;0,"CEK jenis fixture beda dalam satu series","OK"))))))))))</f>
        <v/>
      </c>
      <c r="AA238" s="12" t="n"/>
      <c r="AB238" s="11" t="n"/>
      <c r="AC238" s="11" t="n"/>
      <c r="AD238" s="11" t="n"/>
      <c r="AE238" s="11" t="n"/>
      <c r="AF238" s="11" t="n"/>
      <c r="AG238" s="11" t="n"/>
      <c r="AH238" s="12" t="n"/>
      <c r="AI238" s="12" t="n"/>
    </row>
    <row r="239">
      <c r="A239" s="10" t="n"/>
      <c r="B239" s="10" t="n"/>
      <c r="C239" s="10" t="n"/>
      <c r="D239" s="10" t="n"/>
      <c r="E239" s="10" t="n"/>
      <c r="F239" s="10" t="n"/>
      <c r="G239" s="10" t="n"/>
      <c r="H239" s="10" t="n"/>
      <c r="I239" s="10" t="n"/>
      <c r="J239" s="10" t="n"/>
      <c r="K239" s="10" t="n"/>
      <c r="L239" s="11" t="n"/>
      <c r="M239" s="11" t="n"/>
      <c r="N239" s="11" t="n"/>
      <c r="O239" s="11">
        <f>IF(OR(L239="",M239=""),"",IFERROR(INDEX(LAYOUT!$D$2:$D$80,MATCH(L239&amp;"|"&amp;M239,LAYOUT!$E$2:$E$80,0)),""))</f>
        <v/>
      </c>
      <c r="P239" s="12">
        <f>IF(AND(L239="",M239=""),IF(AND(Q239="",R239="",V239="",W239=""),IF(OR($D239&lt;&gt;"",$E239&lt;&gt;""),"Belum ditempatkan",""),""),IF(L239="","CEK JENIS FIXTURE kosong",IF(AND(LEFT(L239,7)&lt;&gt;"Gondola",LEFT(L239,6)&lt;&gt;"Endcap"),"CEK Fixture 1 hanya Gondola atau Endcap",IF(M239="","CEK SHELVING KE kosong",IF(ISNA(MATCH(L239&amp;"|"&amp;M239,LAYOUT!$E$2:$E$80,0)),"CEK SHELVING KE di luar layout",IF($I239="","CEK SERIES kosong",IF(AND(N239&lt;&gt;"",NOT(ISNUMBER(N239))),"CEK URUTAN DISPLAY harus angka",IF($D239="","Zona STOCK",IF($E239="","CEK SKU DESCRIPTION kosong",IF(COUNTIFS($I$2:$I$500,$I239,L$2:L$500,"&lt;&gt;"&amp;L239,L$2:L$500,"&lt;&gt;")&gt;0,"CEK jenis fixture beda dalam satu series","OK"))))))))))</f>
        <v/>
      </c>
      <c r="Q239" s="11" t="n"/>
      <c r="R239" s="11" t="n"/>
      <c r="S239" s="11" t="n"/>
      <c r="T239" s="11">
        <f>IF(OR(Q239="",R239=""),"",IFERROR(INDEX(LAYOUT!$D$2:$D$80,MATCH(Q239&amp;"|"&amp;R239,LAYOUT!$E$2:$E$80,0)),""))</f>
        <v/>
      </c>
      <c r="U239" s="12">
        <f>IF(AND(Q239="",R239=""),IF(AND(L239="",M239="",V239="",W239=""),IF(OR($D239&lt;&gt;"",$E239&lt;&gt;""),"Belum ditempatkan",""),""),IF(Q239="","CEK JENIS FIXTURE kosong",IF(LEFT(Q239,4)&lt;&gt;"Wall","CEK Fixture 2 hanya Wall",IF(R239="","CEK SHELVING KE kosong",IF(ISNA(MATCH(Q239&amp;"|"&amp;R239,LAYOUT!$E$2:$E$80,0)),"CEK SHELVING KE di luar layout",IF($I239="","CEK SERIES kosong",IF(AND(S239&lt;&gt;"",NOT(ISNUMBER(S239))),"CEK URUTAN DISPLAY harus angka",IF($D239="","Zona STOCK",IF($E239="","CEK SKU DESCRIPTION kosong",IF(COUNTIFS($I$2:$I$500,$I239,Q$2:Q$500,"&lt;&gt;"&amp;Q239,Q$2:Q$500,"&lt;&gt;")&gt;0,"CEK jenis fixture beda dalam satu series","OK"))))))))))</f>
        <v/>
      </c>
      <c r="V239" s="11" t="n"/>
      <c r="W239" s="11" t="n"/>
      <c r="X239" s="11" t="n"/>
      <c r="Y239" s="11">
        <f>IF(OR(V239="",W239=""),"",IFERROR(INDEX(LAYOUT!$D$2:$D$80,MATCH(V239&amp;"|"&amp;W239,LAYOUT!$E$2:$E$80,0)),""))</f>
        <v/>
      </c>
      <c r="Z239" s="12">
        <f>IF(AND(V239="",W239=""),IF(AND(L239="",M239="",Q239="",R239=""),IF(OR($D239&lt;&gt;"",$E239&lt;&gt;""),"Belum ditempatkan",""),""),IF(V239="","CEK JENIS FIXTURE kosong",IF(LEFT(V239,4)&lt;&gt;"Wall","CEK Fixture 3 hanya Wall",IF(W239="","CEK SHELVING KE kosong",IF(ISNA(MATCH(V239&amp;"|"&amp;W239,LAYOUT!$E$2:$E$80,0)),"CEK SHELVING KE di luar layout",IF($I239="","CEK SERIES kosong",IF(AND(X239&lt;&gt;"",NOT(ISNUMBER(X239))),"CEK URUTAN DISPLAY harus angka",IF($D239="","Zona STOCK",IF($E239="","CEK SKU DESCRIPTION kosong",IF(COUNTIFS($I$2:$I$500,$I239,V$2:V$500,"&lt;&gt;"&amp;V239,V$2:V$500,"&lt;&gt;")&gt;0,"CEK jenis fixture beda dalam satu series","OK"))))))))))</f>
        <v/>
      </c>
      <c r="AA239" s="12" t="n"/>
      <c r="AB239" s="11" t="n"/>
      <c r="AC239" s="11" t="n"/>
      <c r="AD239" s="11" t="n"/>
      <c r="AE239" s="11" t="n"/>
      <c r="AF239" s="11" t="n"/>
      <c r="AG239" s="11" t="n"/>
      <c r="AH239" s="12" t="n"/>
      <c r="AI239" s="12" t="n"/>
    </row>
    <row r="240">
      <c r="A240" s="10" t="n"/>
      <c r="B240" s="10" t="n"/>
      <c r="C240" s="10" t="n"/>
      <c r="D240" s="10" t="n"/>
      <c r="E240" s="10" t="n"/>
      <c r="F240" s="10" t="n"/>
      <c r="G240" s="10" t="n"/>
      <c r="H240" s="10" t="n"/>
      <c r="I240" s="10" t="n"/>
      <c r="J240" s="10" t="n"/>
      <c r="K240" s="10" t="n"/>
      <c r="L240" s="11" t="n"/>
      <c r="M240" s="11" t="n"/>
      <c r="N240" s="11" t="n"/>
      <c r="O240" s="11">
        <f>IF(OR(L240="",M240=""),"",IFERROR(INDEX(LAYOUT!$D$2:$D$80,MATCH(L240&amp;"|"&amp;M240,LAYOUT!$E$2:$E$80,0)),""))</f>
        <v/>
      </c>
      <c r="P240" s="12">
        <f>IF(AND(L240="",M240=""),IF(AND(Q240="",R240="",V240="",W240=""),IF(OR($D240&lt;&gt;"",$E240&lt;&gt;""),"Belum ditempatkan",""),""),IF(L240="","CEK JENIS FIXTURE kosong",IF(AND(LEFT(L240,7)&lt;&gt;"Gondola",LEFT(L240,6)&lt;&gt;"Endcap"),"CEK Fixture 1 hanya Gondola atau Endcap",IF(M240="","CEK SHELVING KE kosong",IF(ISNA(MATCH(L240&amp;"|"&amp;M240,LAYOUT!$E$2:$E$80,0)),"CEK SHELVING KE di luar layout",IF($I240="","CEK SERIES kosong",IF(AND(N240&lt;&gt;"",NOT(ISNUMBER(N240))),"CEK URUTAN DISPLAY harus angka",IF($D240="","Zona STOCK",IF($E240="","CEK SKU DESCRIPTION kosong",IF(COUNTIFS($I$2:$I$500,$I240,L$2:L$500,"&lt;&gt;"&amp;L240,L$2:L$500,"&lt;&gt;")&gt;0,"CEK jenis fixture beda dalam satu series","OK"))))))))))</f>
        <v/>
      </c>
      <c r="Q240" s="11" t="n"/>
      <c r="R240" s="11" t="n"/>
      <c r="S240" s="11" t="n"/>
      <c r="T240" s="11">
        <f>IF(OR(Q240="",R240=""),"",IFERROR(INDEX(LAYOUT!$D$2:$D$80,MATCH(Q240&amp;"|"&amp;R240,LAYOUT!$E$2:$E$80,0)),""))</f>
        <v/>
      </c>
      <c r="U240" s="12">
        <f>IF(AND(Q240="",R240=""),IF(AND(L240="",M240="",V240="",W240=""),IF(OR($D240&lt;&gt;"",$E240&lt;&gt;""),"Belum ditempatkan",""),""),IF(Q240="","CEK JENIS FIXTURE kosong",IF(LEFT(Q240,4)&lt;&gt;"Wall","CEK Fixture 2 hanya Wall",IF(R240="","CEK SHELVING KE kosong",IF(ISNA(MATCH(Q240&amp;"|"&amp;R240,LAYOUT!$E$2:$E$80,0)),"CEK SHELVING KE di luar layout",IF($I240="","CEK SERIES kosong",IF(AND(S240&lt;&gt;"",NOT(ISNUMBER(S240))),"CEK URUTAN DISPLAY harus angka",IF($D240="","Zona STOCK",IF($E240="","CEK SKU DESCRIPTION kosong",IF(COUNTIFS($I$2:$I$500,$I240,Q$2:Q$500,"&lt;&gt;"&amp;Q240,Q$2:Q$500,"&lt;&gt;")&gt;0,"CEK jenis fixture beda dalam satu series","OK"))))))))))</f>
        <v/>
      </c>
      <c r="V240" s="11" t="n"/>
      <c r="W240" s="11" t="n"/>
      <c r="X240" s="11" t="n"/>
      <c r="Y240" s="11">
        <f>IF(OR(V240="",W240=""),"",IFERROR(INDEX(LAYOUT!$D$2:$D$80,MATCH(V240&amp;"|"&amp;W240,LAYOUT!$E$2:$E$80,0)),""))</f>
        <v/>
      </c>
      <c r="Z240" s="12">
        <f>IF(AND(V240="",W240=""),IF(AND(L240="",M240="",Q240="",R240=""),IF(OR($D240&lt;&gt;"",$E240&lt;&gt;""),"Belum ditempatkan",""),""),IF(V240="","CEK JENIS FIXTURE kosong",IF(LEFT(V240,4)&lt;&gt;"Wall","CEK Fixture 3 hanya Wall",IF(W240="","CEK SHELVING KE kosong",IF(ISNA(MATCH(V240&amp;"|"&amp;W240,LAYOUT!$E$2:$E$80,0)),"CEK SHELVING KE di luar layout",IF($I240="","CEK SERIES kosong",IF(AND(X240&lt;&gt;"",NOT(ISNUMBER(X240))),"CEK URUTAN DISPLAY harus angka",IF($D240="","Zona STOCK",IF($E240="","CEK SKU DESCRIPTION kosong",IF(COUNTIFS($I$2:$I$500,$I240,V$2:V$500,"&lt;&gt;"&amp;V240,V$2:V$500,"&lt;&gt;")&gt;0,"CEK jenis fixture beda dalam satu series","OK"))))))))))</f>
        <v/>
      </c>
      <c r="AA240" s="12" t="n"/>
      <c r="AB240" s="11" t="n"/>
      <c r="AC240" s="11" t="n"/>
      <c r="AD240" s="11" t="n"/>
      <c r="AE240" s="11" t="n"/>
      <c r="AF240" s="11" t="n"/>
      <c r="AG240" s="11" t="n"/>
      <c r="AH240" s="12" t="n"/>
      <c r="AI240" s="12" t="n"/>
    </row>
    <row r="241">
      <c r="A241" s="10" t="n"/>
      <c r="B241" s="10" t="n"/>
      <c r="C241" s="10" t="n"/>
      <c r="D241" s="10" t="n"/>
      <c r="E241" s="10" t="n"/>
      <c r="F241" s="10" t="n"/>
      <c r="G241" s="10" t="n"/>
      <c r="H241" s="10" t="n"/>
      <c r="I241" s="10" t="n"/>
      <c r="J241" s="10" t="n"/>
      <c r="K241" s="10" t="n"/>
      <c r="L241" s="11" t="n"/>
      <c r="M241" s="11" t="n"/>
      <c r="N241" s="11" t="n"/>
      <c r="O241" s="11">
        <f>IF(OR(L241="",M241=""),"",IFERROR(INDEX(LAYOUT!$D$2:$D$80,MATCH(L241&amp;"|"&amp;M241,LAYOUT!$E$2:$E$80,0)),""))</f>
        <v/>
      </c>
      <c r="P241" s="12">
        <f>IF(AND(L241="",M241=""),IF(AND(Q241="",R241="",V241="",W241=""),IF(OR($D241&lt;&gt;"",$E241&lt;&gt;""),"Belum ditempatkan",""),""),IF(L241="","CEK JENIS FIXTURE kosong",IF(AND(LEFT(L241,7)&lt;&gt;"Gondola",LEFT(L241,6)&lt;&gt;"Endcap"),"CEK Fixture 1 hanya Gondola atau Endcap",IF(M241="","CEK SHELVING KE kosong",IF(ISNA(MATCH(L241&amp;"|"&amp;M241,LAYOUT!$E$2:$E$80,0)),"CEK SHELVING KE di luar layout",IF($I241="","CEK SERIES kosong",IF(AND(N241&lt;&gt;"",NOT(ISNUMBER(N241))),"CEK URUTAN DISPLAY harus angka",IF($D241="","Zona STOCK",IF($E241="","CEK SKU DESCRIPTION kosong",IF(COUNTIFS($I$2:$I$500,$I241,L$2:L$500,"&lt;&gt;"&amp;L241,L$2:L$500,"&lt;&gt;")&gt;0,"CEK jenis fixture beda dalam satu series","OK"))))))))))</f>
        <v/>
      </c>
      <c r="Q241" s="11" t="n"/>
      <c r="R241" s="11" t="n"/>
      <c r="S241" s="11" t="n"/>
      <c r="T241" s="11">
        <f>IF(OR(Q241="",R241=""),"",IFERROR(INDEX(LAYOUT!$D$2:$D$80,MATCH(Q241&amp;"|"&amp;R241,LAYOUT!$E$2:$E$80,0)),""))</f>
        <v/>
      </c>
      <c r="U241" s="12">
        <f>IF(AND(Q241="",R241=""),IF(AND(L241="",M241="",V241="",W241=""),IF(OR($D241&lt;&gt;"",$E241&lt;&gt;""),"Belum ditempatkan",""),""),IF(Q241="","CEK JENIS FIXTURE kosong",IF(LEFT(Q241,4)&lt;&gt;"Wall","CEK Fixture 2 hanya Wall",IF(R241="","CEK SHELVING KE kosong",IF(ISNA(MATCH(Q241&amp;"|"&amp;R241,LAYOUT!$E$2:$E$80,0)),"CEK SHELVING KE di luar layout",IF($I241="","CEK SERIES kosong",IF(AND(S241&lt;&gt;"",NOT(ISNUMBER(S241))),"CEK URUTAN DISPLAY harus angka",IF($D241="","Zona STOCK",IF($E241="","CEK SKU DESCRIPTION kosong",IF(COUNTIFS($I$2:$I$500,$I241,Q$2:Q$500,"&lt;&gt;"&amp;Q241,Q$2:Q$500,"&lt;&gt;")&gt;0,"CEK jenis fixture beda dalam satu series","OK"))))))))))</f>
        <v/>
      </c>
      <c r="V241" s="11" t="n"/>
      <c r="W241" s="11" t="n"/>
      <c r="X241" s="11" t="n"/>
      <c r="Y241" s="11">
        <f>IF(OR(V241="",W241=""),"",IFERROR(INDEX(LAYOUT!$D$2:$D$80,MATCH(V241&amp;"|"&amp;W241,LAYOUT!$E$2:$E$80,0)),""))</f>
        <v/>
      </c>
      <c r="Z241" s="12">
        <f>IF(AND(V241="",W241=""),IF(AND(L241="",M241="",Q241="",R241=""),IF(OR($D241&lt;&gt;"",$E241&lt;&gt;""),"Belum ditempatkan",""),""),IF(V241="","CEK JENIS FIXTURE kosong",IF(LEFT(V241,4)&lt;&gt;"Wall","CEK Fixture 3 hanya Wall",IF(W241="","CEK SHELVING KE kosong",IF(ISNA(MATCH(V241&amp;"|"&amp;W241,LAYOUT!$E$2:$E$80,0)),"CEK SHELVING KE di luar layout",IF($I241="","CEK SERIES kosong",IF(AND(X241&lt;&gt;"",NOT(ISNUMBER(X241))),"CEK URUTAN DISPLAY harus angka",IF($D241="","Zona STOCK",IF($E241="","CEK SKU DESCRIPTION kosong",IF(COUNTIFS($I$2:$I$500,$I241,V$2:V$500,"&lt;&gt;"&amp;V241,V$2:V$500,"&lt;&gt;")&gt;0,"CEK jenis fixture beda dalam satu series","OK"))))))))))</f>
        <v/>
      </c>
      <c r="AA241" s="12" t="n"/>
      <c r="AB241" s="11" t="n"/>
      <c r="AC241" s="11" t="n"/>
      <c r="AD241" s="11" t="n"/>
      <c r="AE241" s="11" t="n"/>
      <c r="AF241" s="11" t="n"/>
      <c r="AG241" s="11" t="n"/>
      <c r="AH241" s="12" t="n"/>
      <c r="AI241" s="12" t="n"/>
    </row>
    <row r="242">
      <c r="A242" s="10" t="n"/>
      <c r="B242" s="10" t="n"/>
      <c r="C242" s="10" t="n"/>
      <c r="D242" s="10" t="n"/>
      <c r="E242" s="10" t="n"/>
      <c r="F242" s="10" t="n"/>
      <c r="G242" s="10" t="n"/>
      <c r="H242" s="10" t="n"/>
      <c r="I242" s="10" t="n"/>
      <c r="J242" s="10" t="n"/>
      <c r="K242" s="10" t="n"/>
      <c r="L242" s="11" t="n"/>
      <c r="M242" s="11" t="n"/>
      <c r="N242" s="11" t="n"/>
      <c r="O242" s="11">
        <f>IF(OR(L242="",M242=""),"",IFERROR(INDEX(LAYOUT!$D$2:$D$80,MATCH(L242&amp;"|"&amp;M242,LAYOUT!$E$2:$E$80,0)),""))</f>
        <v/>
      </c>
      <c r="P242" s="12">
        <f>IF(AND(L242="",M242=""),IF(AND(Q242="",R242="",V242="",W242=""),IF(OR($D242&lt;&gt;"",$E242&lt;&gt;""),"Belum ditempatkan",""),""),IF(L242="","CEK JENIS FIXTURE kosong",IF(AND(LEFT(L242,7)&lt;&gt;"Gondola",LEFT(L242,6)&lt;&gt;"Endcap"),"CEK Fixture 1 hanya Gondola atau Endcap",IF(M242="","CEK SHELVING KE kosong",IF(ISNA(MATCH(L242&amp;"|"&amp;M242,LAYOUT!$E$2:$E$80,0)),"CEK SHELVING KE di luar layout",IF($I242="","CEK SERIES kosong",IF(AND(N242&lt;&gt;"",NOT(ISNUMBER(N242))),"CEK URUTAN DISPLAY harus angka",IF($D242="","Zona STOCK",IF($E242="","CEK SKU DESCRIPTION kosong",IF(COUNTIFS($I$2:$I$500,$I242,L$2:L$500,"&lt;&gt;"&amp;L242,L$2:L$500,"&lt;&gt;")&gt;0,"CEK jenis fixture beda dalam satu series","OK"))))))))))</f>
        <v/>
      </c>
      <c r="Q242" s="11" t="n"/>
      <c r="R242" s="11" t="n"/>
      <c r="S242" s="11" t="n"/>
      <c r="T242" s="11">
        <f>IF(OR(Q242="",R242=""),"",IFERROR(INDEX(LAYOUT!$D$2:$D$80,MATCH(Q242&amp;"|"&amp;R242,LAYOUT!$E$2:$E$80,0)),""))</f>
        <v/>
      </c>
      <c r="U242" s="12">
        <f>IF(AND(Q242="",R242=""),IF(AND(L242="",M242="",V242="",W242=""),IF(OR($D242&lt;&gt;"",$E242&lt;&gt;""),"Belum ditempatkan",""),""),IF(Q242="","CEK JENIS FIXTURE kosong",IF(LEFT(Q242,4)&lt;&gt;"Wall","CEK Fixture 2 hanya Wall",IF(R242="","CEK SHELVING KE kosong",IF(ISNA(MATCH(Q242&amp;"|"&amp;R242,LAYOUT!$E$2:$E$80,0)),"CEK SHELVING KE di luar layout",IF($I242="","CEK SERIES kosong",IF(AND(S242&lt;&gt;"",NOT(ISNUMBER(S242))),"CEK URUTAN DISPLAY harus angka",IF($D242="","Zona STOCK",IF($E242="","CEK SKU DESCRIPTION kosong",IF(COUNTIFS($I$2:$I$500,$I242,Q$2:Q$500,"&lt;&gt;"&amp;Q242,Q$2:Q$500,"&lt;&gt;")&gt;0,"CEK jenis fixture beda dalam satu series","OK"))))))))))</f>
        <v/>
      </c>
      <c r="V242" s="11" t="n"/>
      <c r="W242" s="11" t="n"/>
      <c r="X242" s="11" t="n"/>
      <c r="Y242" s="11">
        <f>IF(OR(V242="",W242=""),"",IFERROR(INDEX(LAYOUT!$D$2:$D$80,MATCH(V242&amp;"|"&amp;W242,LAYOUT!$E$2:$E$80,0)),""))</f>
        <v/>
      </c>
      <c r="Z242" s="12">
        <f>IF(AND(V242="",W242=""),IF(AND(L242="",M242="",Q242="",R242=""),IF(OR($D242&lt;&gt;"",$E242&lt;&gt;""),"Belum ditempatkan",""),""),IF(V242="","CEK JENIS FIXTURE kosong",IF(LEFT(V242,4)&lt;&gt;"Wall","CEK Fixture 3 hanya Wall",IF(W242="","CEK SHELVING KE kosong",IF(ISNA(MATCH(V242&amp;"|"&amp;W242,LAYOUT!$E$2:$E$80,0)),"CEK SHELVING KE di luar layout",IF($I242="","CEK SERIES kosong",IF(AND(X242&lt;&gt;"",NOT(ISNUMBER(X242))),"CEK URUTAN DISPLAY harus angka",IF($D242="","Zona STOCK",IF($E242="","CEK SKU DESCRIPTION kosong",IF(COUNTIFS($I$2:$I$500,$I242,V$2:V$500,"&lt;&gt;"&amp;V242,V$2:V$500,"&lt;&gt;")&gt;0,"CEK jenis fixture beda dalam satu series","OK"))))))))))</f>
        <v/>
      </c>
      <c r="AA242" s="12" t="n"/>
      <c r="AB242" s="11" t="n"/>
      <c r="AC242" s="11" t="n"/>
      <c r="AD242" s="11" t="n"/>
      <c r="AE242" s="11" t="n"/>
      <c r="AF242" s="11" t="n"/>
      <c r="AG242" s="11" t="n"/>
      <c r="AH242" s="12" t="n"/>
      <c r="AI242" s="12" t="n"/>
    </row>
    <row r="243">
      <c r="A243" s="10" t="n"/>
      <c r="B243" s="10" t="n"/>
      <c r="C243" s="10" t="n"/>
      <c r="D243" s="10" t="n"/>
      <c r="E243" s="10" t="n"/>
      <c r="F243" s="10" t="n"/>
      <c r="G243" s="10" t="n"/>
      <c r="H243" s="10" t="n"/>
      <c r="I243" s="10" t="n"/>
      <c r="J243" s="10" t="n"/>
      <c r="K243" s="10" t="n"/>
      <c r="L243" s="11" t="n"/>
      <c r="M243" s="11" t="n"/>
      <c r="N243" s="11" t="n"/>
      <c r="O243" s="11">
        <f>IF(OR(L243="",M243=""),"",IFERROR(INDEX(LAYOUT!$D$2:$D$80,MATCH(L243&amp;"|"&amp;M243,LAYOUT!$E$2:$E$80,0)),""))</f>
        <v/>
      </c>
      <c r="P243" s="12">
        <f>IF(AND(L243="",M243=""),IF(AND(Q243="",R243="",V243="",W243=""),IF(OR($D243&lt;&gt;"",$E243&lt;&gt;""),"Belum ditempatkan",""),""),IF(L243="","CEK JENIS FIXTURE kosong",IF(AND(LEFT(L243,7)&lt;&gt;"Gondola",LEFT(L243,6)&lt;&gt;"Endcap"),"CEK Fixture 1 hanya Gondola atau Endcap",IF(M243="","CEK SHELVING KE kosong",IF(ISNA(MATCH(L243&amp;"|"&amp;M243,LAYOUT!$E$2:$E$80,0)),"CEK SHELVING KE di luar layout",IF($I243="","CEK SERIES kosong",IF(AND(N243&lt;&gt;"",NOT(ISNUMBER(N243))),"CEK URUTAN DISPLAY harus angka",IF($D243="","Zona STOCK",IF($E243="","CEK SKU DESCRIPTION kosong",IF(COUNTIFS($I$2:$I$500,$I243,L$2:L$500,"&lt;&gt;"&amp;L243,L$2:L$500,"&lt;&gt;")&gt;0,"CEK jenis fixture beda dalam satu series","OK"))))))))))</f>
        <v/>
      </c>
      <c r="Q243" s="11" t="n"/>
      <c r="R243" s="11" t="n"/>
      <c r="S243" s="11" t="n"/>
      <c r="T243" s="11">
        <f>IF(OR(Q243="",R243=""),"",IFERROR(INDEX(LAYOUT!$D$2:$D$80,MATCH(Q243&amp;"|"&amp;R243,LAYOUT!$E$2:$E$80,0)),""))</f>
        <v/>
      </c>
      <c r="U243" s="12">
        <f>IF(AND(Q243="",R243=""),IF(AND(L243="",M243="",V243="",W243=""),IF(OR($D243&lt;&gt;"",$E243&lt;&gt;""),"Belum ditempatkan",""),""),IF(Q243="","CEK JENIS FIXTURE kosong",IF(LEFT(Q243,4)&lt;&gt;"Wall","CEK Fixture 2 hanya Wall",IF(R243="","CEK SHELVING KE kosong",IF(ISNA(MATCH(Q243&amp;"|"&amp;R243,LAYOUT!$E$2:$E$80,0)),"CEK SHELVING KE di luar layout",IF($I243="","CEK SERIES kosong",IF(AND(S243&lt;&gt;"",NOT(ISNUMBER(S243))),"CEK URUTAN DISPLAY harus angka",IF($D243="","Zona STOCK",IF($E243="","CEK SKU DESCRIPTION kosong",IF(COUNTIFS($I$2:$I$500,$I243,Q$2:Q$500,"&lt;&gt;"&amp;Q243,Q$2:Q$500,"&lt;&gt;")&gt;0,"CEK jenis fixture beda dalam satu series","OK"))))))))))</f>
        <v/>
      </c>
      <c r="V243" s="11" t="n"/>
      <c r="W243" s="11" t="n"/>
      <c r="X243" s="11" t="n"/>
      <c r="Y243" s="11">
        <f>IF(OR(V243="",W243=""),"",IFERROR(INDEX(LAYOUT!$D$2:$D$80,MATCH(V243&amp;"|"&amp;W243,LAYOUT!$E$2:$E$80,0)),""))</f>
        <v/>
      </c>
      <c r="Z243" s="12">
        <f>IF(AND(V243="",W243=""),IF(AND(L243="",M243="",Q243="",R243=""),IF(OR($D243&lt;&gt;"",$E243&lt;&gt;""),"Belum ditempatkan",""),""),IF(V243="","CEK JENIS FIXTURE kosong",IF(LEFT(V243,4)&lt;&gt;"Wall","CEK Fixture 3 hanya Wall",IF(W243="","CEK SHELVING KE kosong",IF(ISNA(MATCH(V243&amp;"|"&amp;W243,LAYOUT!$E$2:$E$80,0)),"CEK SHELVING KE di luar layout",IF($I243="","CEK SERIES kosong",IF(AND(X243&lt;&gt;"",NOT(ISNUMBER(X243))),"CEK URUTAN DISPLAY harus angka",IF($D243="","Zona STOCK",IF($E243="","CEK SKU DESCRIPTION kosong",IF(COUNTIFS($I$2:$I$500,$I243,V$2:V$500,"&lt;&gt;"&amp;V243,V$2:V$500,"&lt;&gt;")&gt;0,"CEK jenis fixture beda dalam satu series","OK"))))))))))</f>
        <v/>
      </c>
      <c r="AA243" s="12" t="n"/>
      <c r="AB243" s="11" t="n"/>
      <c r="AC243" s="11" t="n"/>
      <c r="AD243" s="11" t="n"/>
      <c r="AE243" s="11" t="n"/>
      <c r="AF243" s="11" t="n"/>
      <c r="AG243" s="11" t="n"/>
      <c r="AH243" s="12" t="n"/>
      <c r="AI243" s="12" t="n"/>
    </row>
    <row r="244">
      <c r="A244" s="10" t="n"/>
      <c r="B244" s="10" t="n"/>
      <c r="C244" s="10" t="n"/>
      <c r="D244" s="10" t="n"/>
      <c r="E244" s="10" t="n"/>
      <c r="F244" s="10" t="n"/>
      <c r="G244" s="10" t="n"/>
      <c r="H244" s="10" t="n"/>
      <c r="I244" s="10" t="n"/>
      <c r="J244" s="10" t="n"/>
      <c r="K244" s="10" t="n"/>
      <c r="L244" s="11" t="n"/>
      <c r="M244" s="11" t="n"/>
      <c r="N244" s="11" t="n"/>
      <c r="O244" s="11">
        <f>IF(OR(L244="",M244=""),"",IFERROR(INDEX(LAYOUT!$D$2:$D$80,MATCH(L244&amp;"|"&amp;M244,LAYOUT!$E$2:$E$80,0)),""))</f>
        <v/>
      </c>
      <c r="P244" s="12">
        <f>IF(AND(L244="",M244=""),IF(AND(Q244="",R244="",V244="",W244=""),IF(OR($D244&lt;&gt;"",$E244&lt;&gt;""),"Belum ditempatkan",""),""),IF(L244="","CEK JENIS FIXTURE kosong",IF(AND(LEFT(L244,7)&lt;&gt;"Gondola",LEFT(L244,6)&lt;&gt;"Endcap"),"CEK Fixture 1 hanya Gondola atau Endcap",IF(M244="","CEK SHELVING KE kosong",IF(ISNA(MATCH(L244&amp;"|"&amp;M244,LAYOUT!$E$2:$E$80,0)),"CEK SHELVING KE di luar layout",IF($I244="","CEK SERIES kosong",IF(AND(N244&lt;&gt;"",NOT(ISNUMBER(N244))),"CEK URUTAN DISPLAY harus angka",IF($D244="","Zona STOCK",IF($E244="","CEK SKU DESCRIPTION kosong",IF(COUNTIFS($I$2:$I$500,$I244,L$2:L$500,"&lt;&gt;"&amp;L244,L$2:L$500,"&lt;&gt;")&gt;0,"CEK jenis fixture beda dalam satu series","OK"))))))))))</f>
        <v/>
      </c>
      <c r="Q244" s="11" t="n"/>
      <c r="R244" s="11" t="n"/>
      <c r="S244" s="11" t="n"/>
      <c r="T244" s="11">
        <f>IF(OR(Q244="",R244=""),"",IFERROR(INDEX(LAYOUT!$D$2:$D$80,MATCH(Q244&amp;"|"&amp;R244,LAYOUT!$E$2:$E$80,0)),""))</f>
        <v/>
      </c>
      <c r="U244" s="12">
        <f>IF(AND(Q244="",R244=""),IF(AND(L244="",M244="",V244="",W244=""),IF(OR($D244&lt;&gt;"",$E244&lt;&gt;""),"Belum ditempatkan",""),""),IF(Q244="","CEK JENIS FIXTURE kosong",IF(LEFT(Q244,4)&lt;&gt;"Wall","CEK Fixture 2 hanya Wall",IF(R244="","CEK SHELVING KE kosong",IF(ISNA(MATCH(Q244&amp;"|"&amp;R244,LAYOUT!$E$2:$E$80,0)),"CEK SHELVING KE di luar layout",IF($I244="","CEK SERIES kosong",IF(AND(S244&lt;&gt;"",NOT(ISNUMBER(S244))),"CEK URUTAN DISPLAY harus angka",IF($D244="","Zona STOCK",IF($E244="","CEK SKU DESCRIPTION kosong",IF(COUNTIFS($I$2:$I$500,$I244,Q$2:Q$500,"&lt;&gt;"&amp;Q244,Q$2:Q$500,"&lt;&gt;")&gt;0,"CEK jenis fixture beda dalam satu series","OK"))))))))))</f>
        <v/>
      </c>
      <c r="V244" s="11" t="n"/>
      <c r="W244" s="11" t="n"/>
      <c r="X244" s="11" t="n"/>
      <c r="Y244" s="11">
        <f>IF(OR(V244="",W244=""),"",IFERROR(INDEX(LAYOUT!$D$2:$D$80,MATCH(V244&amp;"|"&amp;W244,LAYOUT!$E$2:$E$80,0)),""))</f>
        <v/>
      </c>
      <c r="Z244" s="12">
        <f>IF(AND(V244="",W244=""),IF(AND(L244="",M244="",Q244="",R244=""),IF(OR($D244&lt;&gt;"",$E244&lt;&gt;""),"Belum ditempatkan",""),""),IF(V244="","CEK JENIS FIXTURE kosong",IF(LEFT(V244,4)&lt;&gt;"Wall","CEK Fixture 3 hanya Wall",IF(W244="","CEK SHELVING KE kosong",IF(ISNA(MATCH(V244&amp;"|"&amp;W244,LAYOUT!$E$2:$E$80,0)),"CEK SHELVING KE di luar layout",IF($I244="","CEK SERIES kosong",IF(AND(X244&lt;&gt;"",NOT(ISNUMBER(X244))),"CEK URUTAN DISPLAY harus angka",IF($D244="","Zona STOCK",IF($E244="","CEK SKU DESCRIPTION kosong",IF(COUNTIFS($I$2:$I$500,$I244,V$2:V$500,"&lt;&gt;"&amp;V244,V$2:V$500,"&lt;&gt;")&gt;0,"CEK jenis fixture beda dalam satu series","OK"))))))))))</f>
        <v/>
      </c>
      <c r="AA244" s="12" t="n"/>
      <c r="AB244" s="11" t="n"/>
      <c r="AC244" s="11" t="n"/>
      <c r="AD244" s="11" t="n"/>
      <c r="AE244" s="11" t="n"/>
      <c r="AF244" s="11" t="n"/>
      <c r="AG244" s="11" t="n"/>
      <c r="AH244" s="12" t="n"/>
      <c r="AI244" s="12" t="n"/>
    </row>
    <row r="245">
      <c r="A245" s="10" t="n"/>
      <c r="B245" s="10" t="n"/>
      <c r="C245" s="10" t="n"/>
      <c r="D245" s="10" t="n"/>
      <c r="E245" s="10" t="n"/>
      <c r="F245" s="10" t="n"/>
      <c r="G245" s="10" t="n"/>
      <c r="H245" s="10" t="n"/>
      <c r="I245" s="10" t="n"/>
      <c r="J245" s="10" t="n"/>
      <c r="K245" s="10" t="n"/>
      <c r="L245" s="11" t="n"/>
      <c r="M245" s="11" t="n"/>
      <c r="N245" s="11" t="n"/>
      <c r="O245" s="11">
        <f>IF(OR(L245="",M245=""),"",IFERROR(INDEX(LAYOUT!$D$2:$D$80,MATCH(L245&amp;"|"&amp;M245,LAYOUT!$E$2:$E$80,0)),""))</f>
        <v/>
      </c>
      <c r="P245" s="12">
        <f>IF(AND(L245="",M245=""),IF(AND(Q245="",R245="",V245="",W245=""),IF(OR($D245&lt;&gt;"",$E245&lt;&gt;""),"Belum ditempatkan",""),""),IF(L245="","CEK JENIS FIXTURE kosong",IF(AND(LEFT(L245,7)&lt;&gt;"Gondola",LEFT(L245,6)&lt;&gt;"Endcap"),"CEK Fixture 1 hanya Gondola atau Endcap",IF(M245="","CEK SHELVING KE kosong",IF(ISNA(MATCH(L245&amp;"|"&amp;M245,LAYOUT!$E$2:$E$80,0)),"CEK SHELVING KE di luar layout",IF($I245="","CEK SERIES kosong",IF(AND(N245&lt;&gt;"",NOT(ISNUMBER(N245))),"CEK URUTAN DISPLAY harus angka",IF($D245="","Zona STOCK",IF($E245="","CEK SKU DESCRIPTION kosong",IF(COUNTIFS($I$2:$I$500,$I245,L$2:L$500,"&lt;&gt;"&amp;L245,L$2:L$500,"&lt;&gt;")&gt;0,"CEK jenis fixture beda dalam satu series","OK"))))))))))</f>
        <v/>
      </c>
      <c r="Q245" s="11" t="n"/>
      <c r="R245" s="11" t="n"/>
      <c r="S245" s="11" t="n"/>
      <c r="T245" s="11">
        <f>IF(OR(Q245="",R245=""),"",IFERROR(INDEX(LAYOUT!$D$2:$D$80,MATCH(Q245&amp;"|"&amp;R245,LAYOUT!$E$2:$E$80,0)),""))</f>
        <v/>
      </c>
      <c r="U245" s="12">
        <f>IF(AND(Q245="",R245=""),IF(AND(L245="",M245="",V245="",W245=""),IF(OR($D245&lt;&gt;"",$E245&lt;&gt;""),"Belum ditempatkan",""),""),IF(Q245="","CEK JENIS FIXTURE kosong",IF(LEFT(Q245,4)&lt;&gt;"Wall","CEK Fixture 2 hanya Wall",IF(R245="","CEK SHELVING KE kosong",IF(ISNA(MATCH(Q245&amp;"|"&amp;R245,LAYOUT!$E$2:$E$80,0)),"CEK SHELVING KE di luar layout",IF($I245="","CEK SERIES kosong",IF(AND(S245&lt;&gt;"",NOT(ISNUMBER(S245))),"CEK URUTAN DISPLAY harus angka",IF($D245="","Zona STOCK",IF($E245="","CEK SKU DESCRIPTION kosong",IF(COUNTIFS($I$2:$I$500,$I245,Q$2:Q$500,"&lt;&gt;"&amp;Q245,Q$2:Q$500,"&lt;&gt;")&gt;0,"CEK jenis fixture beda dalam satu series","OK"))))))))))</f>
        <v/>
      </c>
      <c r="V245" s="11" t="n"/>
      <c r="W245" s="11" t="n"/>
      <c r="X245" s="11" t="n"/>
      <c r="Y245" s="11">
        <f>IF(OR(V245="",W245=""),"",IFERROR(INDEX(LAYOUT!$D$2:$D$80,MATCH(V245&amp;"|"&amp;W245,LAYOUT!$E$2:$E$80,0)),""))</f>
        <v/>
      </c>
      <c r="Z245" s="12">
        <f>IF(AND(V245="",W245=""),IF(AND(L245="",M245="",Q245="",R245=""),IF(OR($D245&lt;&gt;"",$E245&lt;&gt;""),"Belum ditempatkan",""),""),IF(V245="","CEK JENIS FIXTURE kosong",IF(LEFT(V245,4)&lt;&gt;"Wall","CEK Fixture 3 hanya Wall",IF(W245="","CEK SHELVING KE kosong",IF(ISNA(MATCH(V245&amp;"|"&amp;W245,LAYOUT!$E$2:$E$80,0)),"CEK SHELVING KE di luar layout",IF($I245="","CEK SERIES kosong",IF(AND(X245&lt;&gt;"",NOT(ISNUMBER(X245))),"CEK URUTAN DISPLAY harus angka",IF($D245="","Zona STOCK",IF($E245="","CEK SKU DESCRIPTION kosong",IF(COUNTIFS($I$2:$I$500,$I245,V$2:V$500,"&lt;&gt;"&amp;V245,V$2:V$500,"&lt;&gt;")&gt;0,"CEK jenis fixture beda dalam satu series","OK"))))))))))</f>
        <v/>
      </c>
      <c r="AA245" s="12" t="n"/>
      <c r="AB245" s="11" t="n"/>
      <c r="AC245" s="11" t="n"/>
      <c r="AD245" s="11" t="n"/>
      <c r="AE245" s="11" t="n"/>
      <c r="AF245" s="11" t="n"/>
      <c r="AG245" s="11" t="n"/>
      <c r="AH245" s="12" t="n"/>
      <c r="AI245" s="12" t="n"/>
    </row>
    <row r="246">
      <c r="A246" s="10" t="n"/>
      <c r="B246" s="10" t="n"/>
      <c r="C246" s="10" t="n"/>
      <c r="D246" s="10" t="n"/>
      <c r="E246" s="10" t="n"/>
      <c r="F246" s="10" t="n"/>
      <c r="G246" s="10" t="n"/>
      <c r="H246" s="10" t="n"/>
      <c r="I246" s="10" t="n"/>
      <c r="J246" s="10" t="n"/>
      <c r="K246" s="10" t="n"/>
      <c r="L246" s="11" t="n"/>
      <c r="M246" s="11" t="n"/>
      <c r="N246" s="11" t="n"/>
      <c r="O246" s="11">
        <f>IF(OR(L246="",M246=""),"",IFERROR(INDEX(LAYOUT!$D$2:$D$80,MATCH(L246&amp;"|"&amp;M246,LAYOUT!$E$2:$E$80,0)),""))</f>
        <v/>
      </c>
      <c r="P246" s="12">
        <f>IF(AND(L246="",M246=""),IF(AND(Q246="",R246="",V246="",W246=""),IF(OR($D246&lt;&gt;"",$E246&lt;&gt;""),"Belum ditempatkan",""),""),IF(L246="","CEK JENIS FIXTURE kosong",IF(AND(LEFT(L246,7)&lt;&gt;"Gondola",LEFT(L246,6)&lt;&gt;"Endcap"),"CEK Fixture 1 hanya Gondola atau Endcap",IF(M246="","CEK SHELVING KE kosong",IF(ISNA(MATCH(L246&amp;"|"&amp;M246,LAYOUT!$E$2:$E$80,0)),"CEK SHELVING KE di luar layout",IF($I246="","CEK SERIES kosong",IF(AND(N246&lt;&gt;"",NOT(ISNUMBER(N246))),"CEK URUTAN DISPLAY harus angka",IF($D246="","Zona STOCK",IF($E246="","CEK SKU DESCRIPTION kosong",IF(COUNTIFS($I$2:$I$500,$I246,L$2:L$500,"&lt;&gt;"&amp;L246,L$2:L$500,"&lt;&gt;")&gt;0,"CEK jenis fixture beda dalam satu series","OK"))))))))))</f>
        <v/>
      </c>
      <c r="Q246" s="11" t="n"/>
      <c r="R246" s="11" t="n"/>
      <c r="S246" s="11" t="n"/>
      <c r="T246" s="11">
        <f>IF(OR(Q246="",R246=""),"",IFERROR(INDEX(LAYOUT!$D$2:$D$80,MATCH(Q246&amp;"|"&amp;R246,LAYOUT!$E$2:$E$80,0)),""))</f>
        <v/>
      </c>
      <c r="U246" s="12">
        <f>IF(AND(Q246="",R246=""),IF(AND(L246="",M246="",V246="",W246=""),IF(OR($D246&lt;&gt;"",$E246&lt;&gt;""),"Belum ditempatkan",""),""),IF(Q246="","CEK JENIS FIXTURE kosong",IF(LEFT(Q246,4)&lt;&gt;"Wall","CEK Fixture 2 hanya Wall",IF(R246="","CEK SHELVING KE kosong",IF(ISNA(MATCH(Q246&amp;"|"&amp;R246,LAYOUT!$E$2:$E$80,0)),"CEK SHELVING KE di luar layout",IF($I246="","CEK SERIES kosong",IF(AND(S246&lt;&gt;"",NOT(ISNUMBER(S246))),"CEK URUTAN DISPLAY harus angka",IF($D246="","Zona STOCK",IF($E246="","CEK SKU DESCRIPTION kosong",IF(COUNTIFS($I$2:$I$500,$I246,Q$2:Q$500,"&lt;&gt;"&amp;Q246,Q$2:Q$500,"&lt;&gt;")&gt;0,"CEK jenis fixture beda dalam satu series","OK"))))))))))</f>
        <v/>
      </c>
      <c r="V246" s="11" t="n"/>
      <c r="W246" s="11" t="n"/>
      <c r="X246" s="11" t="n"/>
      <c r="Y246" s="11">
        <f>IF(OR(V246="",W246=""),"",IFERROR(INDEX(LAYOUT!$D$2:$D$80,MATCH(V246&amp;"|"&amp;W246,LAYOUT!$E$2:$E$80,0)),""))</f>
        <v/>
      </c>
      <c r="Z246" s="12">
        <f>IF(AND(V246="",W246=""),IF(AND(L246="",M246="",Q246="",R246=""),IF(OR($D246&lt;&gt;"",$E246&lt;&gt;""),"Belum ditempatkan",""),""),IF(V246="","CEK JENIS FIXTURE kosong",IF(LEFT(V246,4)&lt;&gt;"Wall","CEK Fixture 3 hanya Wall",IF(W246="","CEK SHELVING KE kosong",IF(ISNA(MATCH(V246&amp;"|"&amp;W246,LAYOUT!$E$2:$E$80,0)),"CEK SHELVING KE di luar layout",IF($I246="","CEK SERIES kosong",IF(AND(X246&lt;&gt;"",NOT(ISNUMBER(X246))),"CEK URUTAN DISPLAY harus angka",IF($D246="","Zona STOCK",IF($E246="","CEK SKU DESCRIPTION kosong",IF(COUNTIFS($I$2:$I$500,$I246,V$2:V$500,"&lt;&gt;"&amp;V246,V$2:V$500,"&lt;&gt;")&gt;0,"CEK jenis fixture beda dalam satu series","OK"))))))))))</f>
        <v/>
      </c>
      <c r="AA246" s="12" t="n"/>
      <c r="AB246" s="11" t="n"/>
      <c r="AC246" s="11" t="n"/>
      <c r="AD246" s="11" t="n"/>
      <c r="AE246" s="11" t="n"/>
      <c r="AF246" s="11" t="n"/>
      <c r="AG246" s="11" t="n"/>
      <c r="AH246" s="12" t="n"/>
      <c r="AI246" s="12" t="n"/>
    </row>
    <row r="247">
      <c r="A247" s="10" t="n"/>
      <c r="B247" s="10" t="n"/>
      <c r="C247" s="10" t="n"/>
      <c r="D247" s="10" t="n"/>
      <c r="E247" s="10" t="n"/>
      <c r="F247" s="10" t="n"/>
      <c r="G247" s="10" t="n"/>
      <c r="H247" s="10" t="n"/>
      <c r="I247" s="10" t="n"/>
      <c r="J247" s="10" t="n"/>
      <c r="K247" s="10" t="n"/>
      <c r="L247" s="11" t="n"/>
      <c r="M247" s="11" t="n"/>
      <c r="N247" s="11" t="n"/>
      <c r="O247" s="11">
        <f>IF(OR(L247="",M247=""),"",IFERROR(INDEX(LAYOUT!$D$2:$D$80,MATCH(L247&amp;"|"&amp;M247,LAYOUT!$E$2:$E$80,0)),""))</f>
        <v/>
      </c>
      <c r="P247" s="12">
        <f>IF(AND(L247="",M247=""),IF(AND(Q247="",R247="",V247="",W247=""),IF(OR($D247&lt;&gt;"",$E247&lt;&gt;""),"Belum ditempatkan",""),""),IF(L247="","CEK JENIS FIXTURE kosong",IF(AND(LEFT(L247,7)&lt;&gt;"Gondola",LEFT(L247,6)&lt;&gt;"Endcap"),"CEK Fixture 1 hanya Gondola atau Endcap",IF(M247="","CEK SHELVING KE kosong",IF(ISNA(MATCH(L247&amp;"|"&amp;M247,LAYOUT!$E$2:$E$80,0)),"CEK SHELVING KE di luar layout",IF($I247="","CEK SERIES kosong",IF(AND(N247&lt;&gt;"",NOT(ISNUMBER(N247))),"CEK URUTAN DISPLAY harus angka",IF($D247="","Zona STOCK",IF($E247="","CEK SKU DESCRIPTION kosong",IF(COUNTIFS($I$2:$I$500,$I247,L$2:L$500,"&lt;&gt;"&amp;L247,L$2:L$500,"&lt;&gt;")&gt;0,"CEK jenis fixture beda dalam satu series","OK"))))))))))</f>
        <v/>
      </c>
      <c r="Q247" s="11" t="n"/>
      <c r="R247" s="11" t="n"/>
      <c r="S247" s="11" t="n"/>
      <c r="T247" s="11">
        <f>IF(OR(Q247="",R247=""),"",IFERROR(INDEX(LAYOUT!$D$2:$D$80,MATCH(Q247&amp;"|"&amp;R247,LAYOUT!$E$2:$E$80,0)),""))</f>
        <v/>
      </c>
      <c r="U247" s="12">
        <f>IF(AND(Q247="",R247=""),IF(AND(L247="",M247="",V247="",W247=""),IF(OR($D247&lt;&gt;"",$E247&lt;&gt;""),"Belum ditempatkan",""),""),IF(Q247="","CEK JENIS FIXTURE kosong",IF(LEFT(Q247,4)&lt;&gt;"Wall","CEK Fixture 2 hanya Wall",IF(R247="","CEK SHELVING KE kosong",IF(ISNA(MATCH(Q247&amp;"|"&amp;R247,LAYOUT!$E$2:$E$80,0)),"CEK SHELVING KE di luar layout",IF($I247="","CEK SERIES kosong",IF(AND(S247&lt;&gt;"",NOT(ISNUMBER(S247))),"CEK URUTAN DISPLAY harus angka",IF($D247="","Zona STOCK",IF($E247="","CEK SKU DESCRIPTION kosong",IF(COUNTIFS($I$2:$I$500,$I247,Q$2:Q$500,"&lt;&gt;"&amp;Q247,Q$2:Q$500,"&lt;&gt;")&gt;0,"CEK jenis fixture beda dalam satu series","OK"))))))))))</f>
        <v/>
      </c>
      <c r="V247" s="11" t="n"/>
      <c r="W247" s="11" t="n"/>
      <c r="X247" s="11" t="n"/>
      <c r="Y247" s="11">
        <f>IF(OR(V247="",W247=""),"",IFERROR(INDEX(LAYOUT!$D$2:$D$80,MATCH(V247&amp;"|"&amp;W247,LAYOUT!$E$2:$E$80,0)),""))</f>
        <v/>
      </c>
      <c r="Z247" s="12">
        <f>IF(AND(V247="",W247=""),IF(AND(L247="",M247="",Q247="",R247=""),IF(OR($D247&lt;&gt;"",$E247&lt;&gt;""),"Belum ditempatkan",""),""),IF(V247="","CEK JENIS FIXTURE kosong",IF(LEFT(V247,4)&lt;&gt;"Wall","CEK Fixture 3 hanya Wall",IF(W247="","CEK SHELVING KE kosong",IF(ISNA(MATCH(V247&amp;"|"&amp;W247,LAYOUT!$E$2:$E$80,0)),"CEK SHELVING KE di luar layout",IF($I247="","CEK SERIES kosong",IF(AND(X247&lt;&gt;"",NOT(ISNUMBER(X247))),"CEK URUTAN DISPLAY harus angka",IF($D247="","Zona STOCK",IF($E247="","CEK SKU DESCRIPTION kosong",IF(COUNTIFS($I$2:$I$500,$I247,V$2:V$500,"&lt;&gt;"&amp;V247,V$2:V$500,"&lt;&gt;")&gt;0,"CEK jenis fixture beda dalam satu series","OK"))))))))))</f>
        <v/>
      </c>
      <c r="AA247" s="12" t="n"/>
      <c r="AB247" s="11" t="n"/>
      <c r="AC247" s="11" t="n"/>
      <c r="AD247" s="11" t="n"/>
      <c r="AE247" s="11" t="n"/>
      <c r="AF247" s="11" t="n"/>
      <c r="AG247" s="11" t="n"/>
      <c r="AH247" s="12" t="n"/>
      <c r="AI247" s="12" t="n"/>
    </row>
    <row r="248">
      <c r="A248" s="10" t="n"/>
      <c r="B248" s="10" t="n"/>
      <c r="C248" s="10" t="n"/>
      <c r="D248" s="10" t="n"/>
      <c r="E248" s="10" t="n"/>
      <c r="F248" s="10" t="n"/>
      <c r="G248" s="10" t="n"/>
      <c r="H248" s="10" t="n"/>
      <c r="I248" s="10" t="n"/>
      <c r="J248" s="10" t="n"/>
      <c r="K248" s="10" t="n"/>
      <c r="L248" s="11" t="n"/>
      <c r="M248" s="11" t="n"/>
      <c r="N248" s="11" t="n"/>
      <c r="O248" s="11">
        <f>IF(OR(L248="",M248=""),"",IFERROR(INDEX(LAYOUT!$D$2:$D$80,MATCH(L248&amp;"|"&amp;M248,LAYOUT!$E$2:$E$80,0)),""))</f>
        <v/>
      </c>
      <c r="P248" s="12">
        <f>IF(AND(L248="",M248=""),IF(AND(Q248="",R248="",V248="",W248=""),IF(OR($D248&lt;&gt;"",$E248&lt;&gt;""),"Belum ditempatkan",""),""),IF(L248="","CEK JENIS FIXTURE kosong",IF(AND(LEFT(L248,7)&lt;&gt;"Gondola",LEFT(L248,6)&lt;&gt;"Endcap"),"CEK Fixture 1 hanya Gondola atau Endcap",IF(M248="","CEK SHELVING KE kosong",IF(ISNA(MATCH(L248&amp;"|"&amp;M248,LAYOUT!$E$2:$E$80,0)),"CEK SHELVING KE di luar layout",IF($I248="","CEK SERIES kosong",IF(AND(N248&lt;&gt;"",NOT(ISNUMBER(N248))),"CEK URUTAN DISPLAY harus angka",IF($D248="","Zona STOCK",IF($E248="","CEK SKU DESCRIPTION kosong",IF(COUNTIFS($I$2:$I$500,$I248,L$2:L$500,"&lt;&gt;"&amp;L248,L$2:L$500,"&lt;&gt;")&gt;0,"CEK jenis fixture beda dalam satu series","OK"))))))))))</f>
        <v/>
      </c>
      <c r="Q248" s="11" t="n"/>
      <c r="R248" s="11" t="n"/>
      <c r="S248" s="11" t="n"/>
      <c r="T248" s="11">
        <f>IF(OR(Q248="",R248=""),"",IFERROR(INDEX(LAYOUT!$D$2:$D$80,MATCH(Q248&amp;"|"&amp;R248,LAYOUT!$E$2:$E$80,0)),""))</f>
        <v/>
      </c>
      <c r="U248" s="12">
        <f>IF(AND(Q248="",R248=""),IF(AND(L248="",M248="",V248="",W248=""),IF(OR($D248&lt;&gt;"",$E248&lt;&gt;""),"Belum ditempatkan",""),""),IF(Q248="","CEK JENIS FIXTURE kosong",IF(LEFT(Q248,4)&lt;&gt;"Wall","CEK Fixture 2 hanya Wall",IF(R248="","CEK SHELVING KE kosong",IF(ISNA(MATCH(Q248&amp;"|"&amp;R248,LAYOUT!$E$2:$E$80,0)),"CEK SHELVING KE di luar layout",IF($I248="","CEK SERIES kosong",IF(AND(S248&lt;&gt;"",NOT(ISNUMBER(S248))),"CEK URUTAN DISPLAY harus angka",IF($D248="","Zona STOCK",IF($E248="","CEK SKU DESCRIPTION kosong",IF(COUNTIFS($I$2:$I$500,$I248,Q$2:Q$500,"&lt;&gt;"&amp;Q248,Q$2:Q$500,"&lt;&gt;")&gt;0,"CEK jenis fixture beda dalam satu series","OK"))))))))))</f>
        <v/>
      </c>
      <c r="V248" s="11" t="n"/>
      <c r="W248" s="11" t="n"/>
      <c r="X248" s="11" t="n"/>
      <c r="Y248" s="11">
        <f>IF(OR(V248="",W248=""),"",IFERROR(INDEX(LAYOUT!$D$2:$D$80,MATCH(V248&amp;"|"&amp;W248,LAYOUT!$E$2:$E$80,0)),""))</f>
        <v/>
      </c>
      <c r="Z248" s="12">
        <f>IF(AND(V248="",W248=""),IF(AND(L248="",M248="",Q248="",R248=""),IF(OR($D248&lt;&gt;"",$E248&lt;&gt;""),"Belum ditempatkan",""),""),IF(V248="","CEK JENIS FIXTURE kosong",IF(LEFT(V248,4)&lt;&gt;"Wall","CEK Fixture 3 hanya Wall",IF(W248="","CEK SHELVING KE kosong",IF(ISNA(MATCH(V248&amp;"|"&amp;W248,LAYOUT!$E$2:$E$80,0)),"CEK SHELVING KE di luar layout",IF($I248="","CEK SERIES kosong",IF(AND(X248&lt;&gt;"",NOT(ISNUMBER(X248))),"CEK URUTAN DISPLAY harus angka",IF($D248="","Zona STOCK",IF($E248="","CEK SKU DESCRIPTION kosong",IF(COUNTIFS($I$2:$I$500,$I248,V$2:V$500,"&lt;&gt;"&amp;V248,V$2:V$500,"&lt;&gt;")&gt;0,"CEK jenis fixture beda dalam satu series","OK"))))))))))</f>
        <v/>
      </c>
      <c r="AA248" s="12" t="n"/>
      <c r="AB248" s="11" t="n"/>
      <c r="AC248" s="11" t="n"/>
      <c r="AD248" s="11" t="n"/>
      <c r="AE248" s="11" t="n"/>
      <c r="AF248" s="11" t="n"/>
      <c r="AG248" s="11" t="n"/>
      <c r="AH248" s="12" t="n"/>
      <c r="AI248" s="12" t="n"/>
    </row>
    <row r="249">
      <c r="A249" s="10" t="n"/>
      <c r="B249" s="10" t="n"/>
      <c r="C249" s="10" t="n"/>
      <c r="D249" s="10" t="n"/>
      <c r="E249" s="10" t="n"/>
      <c r="F249" s="10" t="n"/>
      <c r="G249" s="10" t="n"/>
      <c r="H249" s="10" t="n"/>
      <c r="I249" s="10" t="n"/>
      <c r="J249" s="10" t="n"/>
      <c r="K249" s="10" t="n"/>
      <c r="L249" s="11" t="n"/>
      <c r="M249" s="11" t="n"/>
      <c r="N249" s="11" t="n"/>
      <c r="O249" s="11">
        <f>IF(OR(L249="",M249=""),"",IFERROR(INDEX(LAYOUT!$D$2:$D$80,MATCH(L249&amp;"|"&amp;M249,LAYOUT!$E$2:$E$80,0)),""))</f>
        <v/>
      </c>
      <c r="P249" s="12">
        <f>IF(AND(L249="",M249=""),IF(AND(Q249="",R249="",V249="",W249=""),IF(OR($D249&lt;&gt;"",$E249&lt;&gt;""),"Belum ditempatkan",""),""),IF(L249="","CEK JENIS FIXTURE kosong",IF(AND(LEFT(L249,7)&lt;&gt;"Gondola",LEFT(L249,6)&lt;&gt;"Endcap"),"CEK Fixture 1 hanya Gondola atau Endcap",IF(M249="","CEK SHELVING KE kosong",IF(ISNA(MATCH(L249&amp;"|"&amp;M249,LAYOUT!$E$2:$E$80,0)),"CEK SHELVING KE di luar layout",IF($I249="","CEK SERIES kosong",IF(AND(N249&lt;&gt;"",NOT(ISNUMBER(N249))),"CEK URUTAN DISPLAY harus angka",IF($D249="","Zona STOCK",IF($E249="","CEK SKU DESCRIPTION kosong",IF(COUNTIFS($I$2:$I$500,$I249,L$2:L$500,"&lt;&gt;"&amp;L249,L$2:L$500,"&lt;&gt;")&gt;0,"CEK jenis fixture beda dalam satu series","OK"))))))))))</f>
        <v/>
      </c>
      <c r="Q249" s="11" t="n"/>
      <c r="R249" s="11" t="n"/>
      <c r="S249" s="11" t="n"/>
      <c r="T249" s="11">
        <f>IF(OR(Q249="",R249=""),"",IFERROR(INDEX(LAYOUT!$D$2:$D$80,MATCH(Q249&amp;"|"&amp;R249,LAYOUT!$E$2:$E$80,0)),""))</f>
        <v/>
      </c>
      <c r="U249" s="12">
        <f>IF(AND(Q249="",R249=""),IF(AND(L249="",M249="",V249="",W249=""),IF(OR($D249&lt;&gt;"",$E249&lt;&gt;""),"Belum ditempatkan",""),""),IF(Q249="","CEK JENIS FIXTURE kosong",IF(LEFT(Q249,4)&lt;&gt;"Wall","CEK Fixture 2 hanya Wall",IF(R249="","CEK SHELVING KE kosong",IF(ISNA(MATCH(Q249&amp;"|"&amp;R249,LAYOUT!$E$2:$E$80,0)),"CEK SHELVING KE di luar layout",IF($I249="","CEK SERIES kosong",IF(AND(S249&lt;&gt;"",NOT(ISNUMBER(S249))),"CEK URUTAN DISPLAY harus angka",IF($D249="","Zona STOCK",IF($E249="","CEK SKU DESCRIPTION kosong",IF(COUNTIFS($I$2:$I$500,$I249,Q$2:Q$500,"&lt;&gt;"&amp;Q249,Q$2:Q$500,"&lt;&gt;")&gt;0,"CEK jenis fixture beda dalam satu series","OK"))))))))))</f>
        <v/>
      </c>
      <c r="V249" s="11" t="n"/>
      <c r="W249" s="11" t="n"/>
      <c r="X249" s="11" t="n"/>
      <c r="Y249" s="11">
        <f>IF(OR(V249="",W249=""),"",IFERROR(INDEX(LAYOUT!$D$2:$D$80,MATCH(V249&amp;"|"&amp;W249,LAYOUT!$E$2:$E$80,0)),""))</f>
        <v/>
      </c>
      <c r="Z249" s="12">
        <f>IF(AND(V249="",W249=""),IF(AND(L249="",M249="",Q249="",R249=""),IF(OR($D249&lt;&gt;"",$E249&lt;&gt;""),"Belum ditempatkan",""),""),IF(V249="","CEK JENIS FIXTURE kosong",IF(LEFT(V249,4)&lt;&gt;"Wall","CEK Fixture 3 hanya Wall",IF(W249="","CEK SHELVING KE kosong",IF(ISNA(MATCH(V249&amp;"|"&amp;W249,LAYOUT!$E$2:$E$80,0)),"CEK SHELVING KE di luar layout",IF($I249="","CEK SERIES kosong",IF(AND(X249&lt;&gt;"",NOT(ISNUMBER(X249))),"CEK URUTAN DISPLAY harus angka",IF($D249="","Zona STOCK",IF($E249="","CEK SKU DESCRIPTION kosong",IF(COUNTIFS($I$2:$I$500,$I249,V$2:V$500,"&lt;&gt;"&amp;V249,V$2:V$500,"&lt;&gt;")&gt;0,"CEK jenis fixture beda dalam satu series","OK"))))))))))</f>
        <v/>
      </c>
      <c r="AA249" s="12" t="n"/>
      <c r="AB249" s="11" t="n"/>
      <c r="AC249" s="11" t="n"/>
      <c r="AD249" s="11" t="n"/>
      <c r="AE249" s="11" t="n"/>
      <c r="AF249" s="11" t="n"/>
      <c r="AG249" s="11" t="n"/>
      <c r="AH249" s="12" t="n"/>
      <c r="AI249" s="12" t="n"/>
    </row>
    <row r="250">
      <c r="A250" s="10" t="n"/>
      <c r="B250" s="10" t="n"/>
      <c r="C250" s="10" t="n"/>
      <c r="D250" s="10" t="n"/>
      <c r="E250" s="10" t="n"/>
      <c r="F250" s="10" t="n"/>
      <c r="G250" s="10" t="n"/>
      <c r="H250" s="10" t="n"/>
      <c r="I250" s="10" t="n"/>
      <c r="J250" s="10" t="n"/>
      <c r="K250" s="10" t="n"/>
      <c r="L250" s="11" t="n"/>
      <c r="M250" s="11" t="n"/>
      <c r="N250" s="11" t="n"/>
      <c r="O250" s="11">
        <f>IF(OR(L250="",M250=""),"",IFERROR(INDEX(LAYOUT!$D$2:$D$80,MATCH(L250&amp;"|"&amp;M250,LAYOUT!$E$2:$E$80,0)),""))</f>
        <v/>
      </c>
      <c r="P250" s="12">
        <f>IF(AND(L250="",M250=""),IF(AND(Q250="",R250="",V250="",W250=""),IF(OR($D250&lt;&gt;"",$E250&lt;&gt;""),"Belum ditempatkan",""),""),IF(L250="","CEK JENIS FIXTURE kosong",IF(AND(LEFT(L250,7)&lt;&gt;"Gondola",LEFT(L250,6)&lt;&gt;"Endcap"),"CEK Fixture 1 hanya Gondola atau Endcap",IF(M250="","CEK SHELVING KE kosong",IF(ISNA(MATCH(L250&amp;"|"&amp;M250,LAYOUT!$E$2:$E$80,0)),"CEK SHELVING KE di luar layout",IF($I250="","CEK SERIES kosong",IF(AND(N250&lt;&gt;"",NOT(ISNUMBER(N250))),"CEK URUTAN DISPLAY harus angka",IF($D250="","Zona STOCK",IF($E250="","CEK SKU DESCRIPTION kosong",IF(COUNTIFS($I$2:$I$500,$I250,L$2:L$500,"&lt;&gt;"&amp;L250,L$2:L$500,"&lt;&gt;")&gt;0,"CEK jenis fixture beda dalam satu series","OK"))))))))))</f>
        <v/>
      </c>
      <c r="Q250" s="11" t="n"/>
      <c r="R250" s="11" t="n"/>
      <c r="S250" s="11" t="n"/>
      <c r="T250" s="11">
        <f>IF(OR(Q250="",R250=""),"",IFERROR(INDEX(LAYOUT!$D$2:$D$80,MATCH(Q250&amp;"|"&amp;R250,LAYOUT!$E$2:$E$80,0)),""))</f>
        <v/>
      </c>
      <c r="U250" s="12">
        <f>IF(AND(Q250="",R250=""),IF(AND(L250="",M250="",V250="",W250=""),IF(OR($D250&lt;&gt;"",$E250&lt;&gt;""),"Belum ditempatkan",""),""),IF(Q250="","CEK JENIS FIXTURE kosong",IF(LEFT(Q250,4)&lt;&gt;"Wall","CEK Fixture 2 hanya Wall",IF(R250="","CEK SHELVING KE kosong",IF(ISNA(MATCH(Q250&amp;"|"&amp;R250,LAYOUT!$E$2:$E$80,0)),"CEK SHELVING KE di luar layout",IF($I250="","CEK SERIES kosong",IF(AND(S250&lt;&gt;"",NOT(ISNUMBER(S250))),"CEK URUTAN DISPLAY harus angka",IF($D250="","Zona STOCK",IF($E250="","CEK SKU DESCRIPTION kosong",IF(COUNTIFS($I$2:$I$500,$I250,Q$2:Q$500,"&lt;&gt;"&amp;Q250,Q$2:Q$500,"&lt;&gt;")&gt;0,"CEK jenis fixture beda dalam satu series","OK"))))))))))</f>
        <v/>
      </c>
      <c r="V250" s="11" t="n"/>
      <c r="W250" s="11" t="n"/>
      <c r="X250" s="11" t="n"/>
      <c r="Y250" s="11">
        <f>IF(OR(V250="",W250=""),"",IFERROR(INDEX(LAYOUT!$D$2:$D$80,MATCH(V250&amp;"|"&amp;W250,LAYOUT!$E$2:$E$80,0)),""))</f>
        <v/>
      </c>
      <c r="Z250" s="12">
        <f>IF(AND(V250="",W250=""),IF(AND(L250="",M250="",Q250="",R250=""),IF(OR($D250&lt;&gt;"",$E250&lt;&gt;""),"Belum ditempatkan",""),""),IF(V250="","CEK JENIS FIXTURE kosong",IF(LEFT(V250,4)&lt;&gt;"Wall","CEK Fixture 3 hanya Wall",IF(W250="","CEK SHELVING KE kosong",IF(ISNA(MATCH(V250&amp;"|"&amp;W250,LAYOUT!$E$2:$E$80,0)),"CEK SHELVING KE di luar layout",IF($I250="","CEK SERIES kosong",IF(AND(X250&lt;&gt;"",NOT(ISNUMBER(X250))),"CEK URUTAN DISPLAY harus angka",IF($D250="","Zona STOCK",IF($E250="","CEK SKU DESCRIPTION kosong",IF(COUNTIFS($I$2:$I$500,$I250,V$2:V$500,"&lt;&gt;"&amp;V250,V$2:V$500,"&lt;&gt;")&gt;0,"CEK jenis fixture beda dalam satu series","OK"))))))))))</f>
        <v/>
      </c>
      <c r="AA250" s="12" t="n"/>
      <c r="AB250" s="11" t="n"/>
      <c r="AC250" s="11" t="n"/>
      <c r="AD250" s="11" t="n"/>
      <c r="AE250" s="11" t="n"/>
      <c r="AF250" s="11" t="n"/>
      <c r="AG250" s="11" t="n"/>
      <c r="AH250" s="12" t="n"/>
      <c r="AI250" s="12" t="n"/>
    </row>
    <row r="251">
      <c r="A251" s="10" t="n"/>
      <c r="B251" s="10" t="n"/>
      <c r="C251" s="10" t="n"/>
      <c r="D251" s="10" t="n"/>
      <c r="E251" s="10" t="n"/>
      <c r="F251" s="10" t="n"/>
      <c r="G251" s="10" t="n"/>
      <c r="H251" s="10" t="n"/>
      <c r="I251" s="10" t="n"/>
      <c r="J251" s="10" t="n"/>
      <c r="K251" s="10" t="n"/>
      <c r="L251" s="11" t="n"/>
      <c r="M251" s="11" t="n"/>
      <c r="N251" s="11" t="n"/>
      <c r="O251" s="11">
        <f>IF(OR(L251="",M251=""),"",IFERROR(INDEX(LAYOUT!$D$2:$D$80,MATCH(L251&amp;"|"&amp;M251,LAYOUT!$E$2:$E$80,0)),""))</f>
        <v/>
      </c>
      <c r="P251" s="12">
        <f>IF(AND(L251="",M251=""),IF(AND(Q251="",R251="",V251="",W251=""),IF(OR($D251&lt;&gt;"",$E251&lt;&gt;""),"Belum ditempatkan",""),""),IF(L251="","CEK JENIS FIXTURE kosong",IF(AND(LEFT(L251,7)&lt;&gt;"Gondola",LEFT(L251,6)&lt;&gt;"Endcap"),"CEK Fixture 1 hanya Gondola atau Endcap",IF(M251="","CEK SHELVING KE kosong",IF(ISNA(MATCH(L251&amp;"|"&amp;M251,LAYOUT!$E$2:$E$80,0)),"CEK SHELVING KE di luar layout",IF($I251="","CEK SERIES kosong",IF(AND(N251&lt;&gt;"",NOT(ISNUMBER(N251))),"CEK URUTAN DISPLAY harus angka",IF($D251="","Zona STOCK",IF($E251="","CEK SKU DESCRIPTION kosong",IF(COUNTIFS($I$2:$I$500,$I251,L$2:L$500,"&lt;&gt;"&amp;L251,L$2:L$500,"&lt;&gt;")&gt;0,"CEK jenis fixture beda dalam satu series","OK"))))))))))</f>
        <v/>
      </c>
      <c r="Q251" s="11" t="n"/>
      <c r="R251" s="11" t="n"/>
      <c r="S251" s="11" t="n"/>
      <c r="T251" s="11">
        <f>IF(OR(Q251="",R251=""),"",IFERROR(INDEX(LAYOUT!$D$2:$D$80,MATCH(Q251&amp;"|"&amp;R251,LAYOUT!$E$2:$E$80,0)),""))</f>
        <v/>
      </c>
      <c r="U251" s="12">
        <f>IF(AND(Q251="",R251=""),IF(AND(L251="",M251="",V251="",W251=""),IF(OR($D251&lt;&gt;"",$E251&lt;&gt;""),"Belum ditempatkan",""),""),IF(Q251="","CEK JENIS FIXTURE kosong",IF(LEFT(Q251,4)&lt;&gt;"Wall","CEK Fixture 2 hanya Wall",IF(R251="","CEK SHELVING KE kosong",IF(ISNA(MATCH(Q251&amp;"|"&amp;R251,LAYOUT!$E$2:$E$80,0)),"CEK SHELVING KE di luar layout",IF($I251="","CEK SERIES kosong",IF(AND(S251&lt;&gt;"",NOT(ISNUMBER(S251))),"CEK URUTAN DISPLAY harus angka",IF($D251="","Zona STOCK",IF($E251="","CEK SKU DESCRIPTION kosong",IF(COUNTIFS($I$2:$I$500,$I251,Q$2:Q$500,"&lt;&gt;"&amp;Q251,Q$2:Q$500,"&lt;&gt;")&gt;0,"CEK jenis fixture beda dalam satu series","OK"))))))))))</f>
        <v/>
      </c>
      <c r="V251" s="11" t="n"/>
      <c r="W251" s="11" t="n"/>
      <c r="X251" s="11" t="n"/>
      <c r="Y251" s="11">
        <f>IF(OR(V251="",W251=""),"",IFERROR(INDEX(LAYOUT!$D$2:$D$80,MATCH(V251&amp;"|"&amp;W251,LAYOUT!$E$2:$E$80,0)),""))</f>
        <v/>
      </c>
      <c r="Z251" s="12">
        <f>IF(AND(V251="",W251=""),IF(AND(L251="",M251="",Q251="",R251=""),IF(OR($D251&lt;&gt;"",$E251&lt;&gt;""),"Belum ditempatkan",""),""),IF(V251="","CEK JENIS FIXTURE kosong",IF(LEFT(V251,4)&lt;&gt;"Wall","CEK Fixture 3 hanya Wall",IF(W251="","CEK SHELVING KE kosong",IF(ISNA(MATCH(V251&amp;"|"&amp;W251,LAYOUT!$E$2:$E$80,0)),"CEK SHELVING KE di luar layout",IF($I251="","CEK SERIES kosong",IF(AND(X251&lt;&gt;"",NOT(ISNUMBER(X251))),"CEK URUTAN DISPLAY harus angka",IF($D251="","Zona STOCK",IF($E251="","CEK SKU DESCRIPTION kosong",IF(COUNTIFS($I$2:$I$500,$I251,V$2:V$500,"&lt;&gt;"&amp;V251,V$2:V$500,"&lt;&gt;")&gt;0,"CEK jenis fixture beda dalam satu series","OK"))))))))))</f>
        <v/>
      </c>
      <c r="AA251" s="12" t="n"/>
      <c r="AB251" s="11" t="n"/>
      <c r="AC251" s="11" t="n"/>
      <c r="AD251" s="11" t="n"/>
      <c r="AE251" s="11" t="n"/>
      <c r="AF251" s="11" t="n"/>
      <c r="AG251" s="11" t="n"/>
      <c r="AH251" s="12" t="n"/>
      <c r="AI251" s="12" t="n"/>
    </row>
    <row r="252">
      <c r="A252" s="10" t="n"/>
      <c r="B252" s="10" t="n"/>
      <c r="C252" s="10" t="n"/>
      <c r="D252" s="10" t="n"/>
      <c r="E252" s="10" t="n"/>
      <c r="F252" s="10" t="n"/>
      <c r="G252" s="10" t="n"/>
      <c r="H252" s="10" t="n"/>
      <c r="I252" s="10" t="n"/>
      <c r="J252" s="10" t="n"/>
      <c r="K252" s="10" t="n"/>
      <c r="L252" s="11" t="n"/>
      <c r="M252" s="11" t="n"/>
      <c r="N252" s="11" t="n"/>
      <c r="O252" s="11">
        <f>IF(OR(L252="",M252=""),"",IFERROR(INDEX(LAYOUT!$D$2:$D$80,MATCH(L252&amp;"|"&amp;M252,LAYOUT!$E$2:$E$80,0)),""))</f>
        <v/>
      </c>
      <c r="P252" s="12">
        <f>IF(AND(L252="",M252=""),IF(AND(Q252="",R252="",V252="",W252=""),IF(OR($D252&lt;&gt;"",$E252&lt;&gt;""),"Belum ditempatkan",""),""),IF(L252="","CEK JENIS FIXTURE kosong",IF(AND(LEFT(L252,7)&lt;&gt;"Gondola",LEFT(L252,6)&lt;&gt;"Endcap"),"CEK Fixture 1 hanya Gondola atau Endcap",IF(M252="","CEK SHELVING KE kosong",IF(ISNA(MATCH(L252&amp;"|"&amp;M252,LAYOUT!$E$2:$E$80,0)),"CEK SHELVING KE di luar layout",IF($I252="","CEK SERIES kosong",IF(AND(N252&lt;&gt;"",NOT(ISNUMBER(N252))),"CEK URUTAN DISPLAY harus angka",IF($D252="","Zona STOCK",IF($E252="","CEK SKU DESCRIPTION kosong",IF(COUNTIFS($I$2:$I$500,$I252,L$2:L$500,"&lt;&gt;"&amp;L252,L$2:L$500,"&lt;&gt;")&gt;0,"CEK jenis fixture beda dalam satu series","OK"))))))))))</f>
        <v/>
      </c>
      <c r="Q252" s="11" t="n"/>
      <c r="R252" s="11" t="n"/>
      <c r="S252" s="11" t="n"/>
      <c r="T252" s="11">
        <f>IF(OR(Q252="",R252=""),"",IFERROR(INDEX(LAYOUT!$D$2:$D$80,MATCH(Q252&amp;"|"&amp;R252,LAYOUT!$E$2:$E$80,0)),""))</f>
        <v/>
      </c>
      <c r="U252" s="12">
        <f>IF(AND(Q252="",R252=""),IF(AND(L252="",M252="",V252="",W252=""),IF(OR($D252&lt;&gt;"",$E252&lt;&gt;""),"Belum ditempatkan",""),""),IF(Q252="","CEK JENIS FIXTURE kosong",IF(LEFT(Q252,4)&lt;&gt;"Wall","CEK Fixture 2 hanya Wall",IF(R252="","CEK SHELVING KE kosong",IF(ISNA(MATCH(Q252&amp;"|"&amp;R252,LAYOUT!$E$2:$E$80,0)),"CEK SHELVING KE di luar layout",IF($I252="","CEK SERIES kosong",IF(AND(S252&lt;&gt;"",NOT(ISNUMBER(S252))),"CEK URUTAN DISPLAY harus angka",IF($D252="","Zona STOCK",IF($E252="","CEK SKU DESCRIPTION kosong",IF(COUNTIFS($I$2:$I$500,$I252,Q$2:Q$500,"&lt;&gt;"&amp;Q252,Q$2:Q$500,"&lt;&gt;")&gt;0,"CEK jenis fixture beda dalam satu series","OK"))))))))))</f>
        <v/>
      </c>
      <c r="V252" s="11" t="n"/>
      <c r="W252" s="11" t="n"/>
      <c r="X252" s="11" t="n"/>
      <c r="Y252" s="11">
        <f>IF(OR(V252="",W252=""),"",IFERROR(INDEX(LAYOUT!$D$2:$D$80,MATCH(V252&amp;"|"&amp;W252,LAYOUT!$E$2:$E$80,0)),""))</f>
        <v/>
      </c>
      <c r="Z252" s="12">
        <f>IF(AND(V252="",W252=""),IF(AND(L252="",M252="",Q252="",R252=""),IF(OR($D252&lt;&gt;"",$E252&lt;&gt;""),"Belum ditempatkan",""),""),IF(V252="","CEK JENIS FIXTURE kosong",IF(LEFT(V252,4)&lt;&gt;"Wall","CEK Fixture 3 hanya Wall",IF(W252="","CEK SHELVING KE kosong",IF(ISNA(MATCH(V252&amp;"|"&amp;W252,LAYOUT!$E$2:$E$80,0)),"CEK SHELVING KE di luar layout",IF($I252="","CEK SERIES kosong",IF(AND(X252&lt;&gt;"",NOT(ISNUMBER(X252))),"CEK URUTAN DISPLAY harus angka",IF($D252="","Zona STOCK",IF($E252="","CEK SKU DESCRIPTION kosong",IF(COUNTIFS($I$2:$I$500,$I252,V$2:V$500,"&lt;&gt;"&amp;V252,V$2:V$500,"&lt;&gt;")&gt;0,"CEK jenis fixture beda dalam satu series","OK"))))))))))</f>
        <v/>
      </c>
      <c r="AA252" s="12" t="n"/>
      <c r="AB252" s="11" t="n"/>
      <c r="AC252" s="11" t="n"/>
      <c r="AD252" s="11" t="n"/>
      <c r="AE252" s="11" t="n"/>
      <c r="AF252" s="11" t="n"/>
      <c r="AG252" s="11" t="n"/>
      <c r="AH252" s="12" t="n"/>
      <c r="AI252" s="12" t="n"/>
    </row>
    <row r="253">
      <c r="A253" s="10" t="n"/>
      <c r="B253" s="10" t="n"/>
      <c r="C253" s="10" t="n"/>
      <c r="D253" s="10" t="n"/>
      <c r="E253" s="10" t="n"/>
      <c r="F253" s="10" t="n"/>
      <c r="G253" s="10" t="n"/>
      <c r="H253" s="10" t="n"/>
      <c r="I253" s="10" t="n"/>
      <c r="J253" s="10" t="n"/>
      <c r="K253" s="10" t="n"/>
      <c r="L253" s="11" t="n"/>
      <c r="M253" s="11" t="n"/>
      <c r="N253" s="11" t="n"/>
      <c r="O253" s="11">
        <f>IF(OR(L253="",M253=""),"",IFERROR(INDEX(LAYOUT!$D$2:$D$80,MATCH(L253&amp;"|"&amp;M253,LAYOUT!$E$2:$E$80,0)),""))</f>
        <v/>
      </c>
      <c r="P253" s="12">
        <f>IF(AND(L253="",M253=""),IF(AND(Q253="",R253="",V253="",W253=""),IF(OR($D253&lt;&gt;"",$E253&lt;&gt;""),"Belum ditempatkan",""),""),IF(L253="","CEK JENIS FIXTURE kosong",IF(AND(LEFT(L253,7)&lt;&gt;"Gondola",LEFT(L253,6)&lt;&gt;"Endcap"),"CEK Fixture 1 hanya Gondola atau Endcap",IF(M253="","CEK SHELVING KE kosong",IF(ISNA(MATCH(L253&amp;"|"&amp;M253,LAYOUT!$E$2:$E$80,0)),"CEK SHELVING KE di luar layout",IF($I253="","CEK SERIES kosong",IF(AND(N253&lt;&gt;"",NOT(ISNUMBER(N253))),"CEK URUTAN DISPLAY harus angka",IF($D253="","Zona STOCK",IF($E253="","CEK SKU DESCRIPTION kosong",IF(COUNTIFS($I$2:$I$500,$I253,L$2:L$500,"&lt;&gt;"&amp;L253,L$2:L$500,"&lt;&gt;")&gt;0,"CEK jenis fixture beda dalam satu series","OK"))))))))))</f>
        <v/>
      </c>
      <c r="Q253" s="11" t="n"/>
      <c r="R253" s="11" t="n"/>
      <c r="S253" s="11" t="n"/>
      <c r="T253" s="11">
        <f>IF(OR(Q253="",R253=""),"",IFERROR(INDEX(LAYOUT!$D$2:$D$80,MATCH(Q253&amp;"|"&amp;R253,LAYOUT!$E$2:$E$80,0)),""))</f>
        <v/>
      </c>
      <c r="U253" s="12">
        <f>IF(AND(Q253="",R253=""),IF(AND(L253="",M253="",V253="",W253=""),IF(OR($D253&lt;&gt;"",$E253&lt;&gt;""),"Belum ditempatkan",""),""),IF(Q253="","CEK JENIS FIXTURE kosong",IF(LEFT(Q253,4)&lt;&gt;"Wall","CEK Fixture 2 hanya Wall",IF(R253="","CEK SHELVING KE kosong",IF(ISNA(MATCH(Q253&amp;"|"&amp;R253,LAYOUT!$E$2:$E$80,0)),"CEK SHELVING KE di luar layout",IF($I253="","CEK SERIES kosong",IF(AND(S253&lt;&gt;"",NOT(ISNUMBER(S253))),"CEK URUTAN DISPLAY harus angka",IF($D253="","Zona STOCK",IF($E253="","CEK SKU DESCRIPTION kosong",IF(COUNTIFS($I$2:$I$500,$I253,Q$2:Q$500,"&lt;&gt;"&amp;Q253,Q$2:Q$500,"&lt;&gt;")&gt;0,"CEK jenis fixture beda dalam satu series","OK"))))))))))</f>
        <v/>
      </c>
      <c r="V253" s="11" t="n"/>
      <c r="W253" s="11" t="n"/>
      <c r="X253" s="11" t="n"/>
      <c r="Y253" s="11">
        <f>IF(OR(V253="",W253=""),"",IFERROR(INDEX(LAYOUT!$D$2:$D$80,MATCH(V253&amp;"|"&amp;W253,LAYOUT!$E$2:$E$80,0)),""))</f>
        <v/>
      </c>
      <c r="Z253" s="12">
        <f>IF(AND(V253="",W253=""),IF(AND(L253="",M253="",Q253="",R253=""),IF(OR($D253&lt;&gt;"",$E253&lt;&gt;""),"Belum ditempatkan",""),""),IF(V253="","CEK JENIS FIXTURE kosong",IF(LEFT(V253,4)&lt;&gt;"Wall","CEK Fixture 3 hanya Wall",IF(W253="","CEK SHELVING KE kosong",IF(ISNA(MATCH(V253&amp;"|"&amp;W253,LAYOUT!$E$2:$E$80,0)),"CEK SHELVING KE di luar layout",IF($I253="","CEK SERIES kosong",IF(AND(X253&lt;&gt;"",NOT(ISNUMBER(X253))),"CEK URUTAN DISPLAY harus angka",IF($D253="","Zona STOCK",IF($E253="","CEK SKU DESCRIPTION kosong",IF(COUNTIFS($I$2:$I$500,$I253,V$2:V$500,"&lt;&gt;"&amp;V253,V$2:V$500,"&lt;&gt;")&gt;0,"CEK jenis fixture beda dalam satu series","OK"))))))))))</f>
        <v/>
      </c>
      <c r="AA253" s="12" t="n"/>
      <c r="AB253" s="11" t="n"/>
      <c r="AC253" s="11" t="n"/>
      <c r="AD253" s="11" t="n"/>
      <c r="AE253" s="11" t="n"/>
      <c r="AF253" s="11" t="n"/>
      <c r="AG253" s="11" t="n"/>
      <c r="AH253" s="12" t="n"/>
      <c r="AI253" s="12" t="n"/>
    </row>
    <row r="254">
      <c r="A254" s="10" t="n"/>
      <c r="B254" s="10" t="n"/>
      <c r="C254" s="10" t="n"/>
      <c r="D254" s="10" t="n"/>
      <c r="E254" s="10" t="n"/>
      <c r="F254" s="10" t="n"/>
      <c r="G254" s="10" t="n"/>
      <c r="H254" s="10" t="n"/>
      <c r="I254" s="10" t="n"/>
      <c r="J254" s="10" t="n"/>
      <c r="K254" s="10" t="n"/>
      <c r="L254" s="11" t="n"/>
      <c r="M254" s="11" t="n"/>
      <c r="N254" s="11" t="n"/>
      <c r="O254" s="11">
        <f>IF(OR(L254="",M254=""),"",IFERROR(INDEX(LAYOUT!$D$2:$D$80,MATCH(L254&amp;"|"&amp;M254,LAYOUT!$E$2:$E$80,0)),""))</f>
        <v/>
      </c>
      <c r="P254" s="12">
        <f>IF(AND(L254="",M254=""),IF(AND(Q254="",R254="",V254="",W254=""),IF(OR($D254&lt;&gt;"",$E254&lt;&gt;""),"Belum ditempatkan",""),""),IF(L254="","CEK JENIS FIXTURE kosong",IF(AND(LEFT(L254,7)&lt;&gt;"Gondola",LEFT(L254,6)&lt;&gt;"Endcap"),"CEK Fixture 1 hanya Gondola atau Endcap",IF(M254="","CEK SHELVING KE kosong",IF(ISNA(MATCH(L254&amp;"|"&amp;M254,LAYOUT!$E$2:$E$80,0)),"CEK SHELVING KE di luar layout",IF($I254="","CEK SERIES kosong",IF(AND(N254&lt;&gt;"",NOT(ISNUMBER(N254))),"CEK URUTAN DISPLAY harus angka",IF($D254="","Zona STOCK",IF($E254="","CEK SKU DESCRIPTION kosong",IF(COUNTIFS($I$2:$I$500,$I254,L$2:L$500,"&lt;&gt;"&amp;L254,L$2:L$500,"&lt;&gt;")&gt;0,"CEK jenis fixture beda dalam satu series","OK"))))))))))</f>
        <v/>
      </c>
      <c r="Q254" s="11" t="n"/>
      <c r="R254" s="11" t="n"/>
      <c r="S254" s="11" t="n"/>
      <c r="T254" s="11">
        <f>IF(OR(Q254="",R254=""),"",IFERROR(INDEX(LAYOUT!$D$2:$D$80,MATCH(Q254&amp;"|"&amp;R254,LAYOUT!$E$2:$E$80,0)),""))</f>
        <v/>
      </c>
      <c r="U254" s="12">
        <f>IF(AND(Q254="",R254=""),IF(AND(L254="",M254="",V254="",W254=""),IF(OR($D254&lt;&gt;"",$E254&lt;&gt;""),"Belum ditempatkan",""),""),IF(Q254="","CEK JENIS FIXTURE kosong",IF(LEFT(Q254,4)&lt;&gt;"Wall","CEK Fixture 2 hanya Wall",IF(R254="","CEK SHELVING KE kosong",IF(ISNA(MATCH(Q254&amp;"|"&amp;R254,LAYOUT!$E$2:$E$80,0)),"CEK SHELVING KE di luar layout",IF($I254="","CEK SERIES kosong",IF(AND(S254&lt;&gt;"",NOT(ISNUMBER(S254))),"CEK URUTAN DISPLAY harus angka",IF($D254="","Zona STOCK",IF($E254="","CEK SKU DESCRIPTION kosong",IF(COUNTIFS($I$2:$I$500,$I254,Q$2:Q$500,"&lt;&gt;"&amp;Q254,Q$2:Q$500,"&lt;&gt;")&gt;0,"CEK jenis fixture beda dalam satu series","OK"))))))))))</f>
        <v/>
      </c>
      <c r="V254" s="11" t="n"/>
      <c r="W254" s="11" t="n"/>
      <c r="X254" s="11" t="n"/>
      <c r="Y254" s="11">
        <f>IF(OR(V254="",W254=""),"",IFERROR(INDEX(LAYOUT!$D$2:$D$80,MATCH(V254&amp;"|"&amp;W254,LAYOUT!$E$2:$E$80,0)),""))</f>
        <v/>
      </c>
      <c r="Z254" s="12">
        <f>IF(AND(V254="",W254=""),IF(AND(L254="",M254="",Q254="",R254=""),IF(OR($D254&lt;&gt;"",$E254&lt;&gt;""),"Belum ditempatkan",""),""),IF(V254="","CEK JENIS FIXTURE kosong",IF(LEFT(V254,4)&lt;&gt;"Wall","CEK Fixture 3 hanya Wall",IF(W254="","CEK SHELVING KE kosong",IF(ISNA(MATCH(V254&amp;"|"&amp;W254,LAYOUT!$E$2:$E$80,0)),"CEK SHELVING KE di luar layout",IF($I254="","CEK SERIES kosong",IF(AND(X254&lt;&gt;"",NOT(ISNUMBER(X254))),"CEK URUTAN DISPLAY harus angka",IF($D254="","Zona STOCK",IF($E254="","CEK SKU DESCRIPTION kosong",IF(COUNTIFS($I$2:$I$500,$I254,V$2:V$500,"&lt;&gt;"&amp;V254,V$2:V$500,"&lt;&gt;")&gt;0,"CEK jenis fixture beda dalam satu series","OK"))))))))))</f>
        <v/>
      </c>
      <c r="AA254" s="12" t="n"/>
      <c r="AB254" s="11" t="n"/>
      <c r="AC254" s="11" t="n"/>
      <c r="AD254" s="11" t="n"/>
      <c r="AE254" s="11" t="n"/>
      <c r="AF254" s="11" t="n"/>
      <c r="AG254" s="11" t="n"/>
      <c r="AH254" s="12" t="n"/>
      <c r="AI254" s="12" t="n"/>
    </row>
    <row r="255">
      <c r="A255" s="10" t="n"/>
      <c r="B255" s="10" t="n"/>
      <c r="C255" s="10" t="n"/>
      <c r="D255" s="10" t="n"/>
      <c r="E255" s="10" t="n"/>
      <c r="F255" s="10" t="n"/>
      <c r="G255" s="10" t="n"/>
      <c r="H255" s="10" t="n"/>
      <c r="I255" s="10" t="n"/>
      <c r="J255" s="10" t="n"/>
      <c r="K255" s="10" t="n"/>
      <c r="L255" s="11" t="n"/>
      <c r="M255" s="11" t="n"/>
      <c r="N255" s="11" t="n"/>
      <c r="O255" s="11">
        <f>IF(OR(L255="",M255=""),"",IFERROR(INDEX(LAYOUT!$D$2:$D$80,MATCH(L255&amp;"|"&amp;M255,LAYOUT!$E$2:$E$80,0)),""))</f>
        <v/>
      </c>
      <c r="P255" s="12">
        <f>IF(AND(L255="",M255=""),IF(AND(Q255="",R255="",V255="",W255=""),IF(OR($D255&lt;&gt;"",$E255&lt;&gt;""),"Belum ditempatkan",""),""),IF(L255="","CEK JENIS FIXTURE kosong",IF(AND(LEFT(L255,7)&lt;&gt;"Gondola",LEFT(L255,6)&lt;&gt;"Endcap"),"CEK Fixture 1 hanya Gondola atau Endcap",IF(M255="","CEK SHELVING KE kosong",IF(ISNA(MATCH(L255&amp;"|"&amp;M255,LAYOUT!$E$2:$E$80,0)),"CEK SHELVING KE di luar layout",IF($I255="","CEK SERIES kosong",IF(AND(N255&lt;&gt;"",NOT(ISNUMBER(N255))),"CEK URUTAN DISPLAY harus angka",IF($D255="","Zona STOCK",IF($E255="","CEK SKU DESCRIPTION kosong",IF(COUNTIFS($I$2:$I$500,$I255,L$2:L$500,"&lt;&gt;"&amp;L255,L$2:L$500,"&lt;&gt;")&gt;0,"CEK jenis fixture beda dalam satu series","OK"))))))))))</f>
        <v/>
      </c>
      <c r="Q255" s="11" t="n"/>
      <c r="R255" s="11" t="n"/>
      <c r="S255" s="11" t="n"/>
      <c r="T255" s="11">
        <f>IF(OR(Q255="",R255=""),"",IFERROR(INDEX(LAYOUT!$D$2:$D$80,MATCH(Q255&amp;"|"&amp;R255,LAYOUT!$E$2:$E$80,0)),""))</f>
        <v/>
      </c>
      <c r="U255" s="12">
        <f>IF(AND(Q255="",R255=""),IF(AND(L255="",M255="",V255="",W255=""),IF(OR($D255&lt;&gt;"",$E255&lt;&gt;""),"Belum ditempatkan",""),""),IF(Q255="","CEK JENIS FIXTURE kosong",IF(LEFT(Q255,4)&lt;&gt;"Wall","CEK Fixture 2 hanya Wall",IF(R255="","CEK SHELVING KE kosong",IF(ISNA(MATCH(Q255&amp;"|"&amp;R255,LAYOUT!$E$2:$E$80,0)),"CEK SHELVING KE di luar layout",IF($I255="","CEK SERIES kosong",IF(AND(S255&lt;&gt;"",NOT(ISNUMBER(S255))),"CEK URUTAN DISPLAY harus angka",IF($D255="","Zona STOCK",IF($E255="","CEK SKU DESCRIPTION kosong",IF(COUNTIFS($I$2:$I$500,$I255,Q$2:Q$500,"&lt;&gt;"&amp;Q255,Q$2:Q$500,"&lt;&gt;")&gt;0,"CEK jenis fixture beda dalam satu series","OK"))))))))))</f>
        <v/>
      </c>
      <c r="V255" s="11" t="n"/>
      <c r="W255" s="11" t="n"/>
      <c r="X255" s="11" t="n"/>
      <c r="Y255" s="11">
        <f>IF(OR(V255="",W255=""),"",IFERROR(INDEX(LAYOUT!$D$2:$D$80,MATCH(V255&amp;"|"&amp;W255,LAYOUT!$E$2:$E$80,0)),""))</f>
        <v/>
      </c>
      <c r="Z255" s="12">
        <f>IF(AND(V255="",W255=""),IF(AND(L255="",M255="",Q255="",R255=""),IF(OR($D255&lt;&gt;"",$E255&lt;&gt;""),"Belum ditempatkan",""),""),IF(V255="","CEK JENIS FIXTURE kosong",IF(LEFT(V255,4)&lt;&gt;"Wall","CEK Fixture 3 hanya Wall",IF(W255="","CEK SHELVING KE kosong",IF(ISNA(MATCH(V255&amp;"|"&amp;W255,LAYOUT!$E$2:$E$80,0)),"CEK SHELVING KE di luar layout",IF($I255="","CEK SERIES kosong",IF(AND(X255&lt;&gt;"",NOT(ISNUMBER(X255))),"CEK URUTAN DISPLAY harus angka",IF($D255="","Zona STOCK",IF($E255="","CEK SKU DESCRIPTION kosong",IF(COUNTIFS($I$2:$I$500,$I255,V$2:V$500,"&lt;&gt;"&amp;V255,V$2:V$500,"&lt;&gt;")&gt;0,"CEK jenis fixture beda dalam satu series","OK"))))))))))</f>
        <v/>
      </c>
      <c r="AA255" s="12" t="n"/>
      <c r="AB255" s="11" t="n"/>
      <c r="AC255" s="11" t="n"/>
      <c r="AD255" s="11" t="n"/>
      <c r="AE255" s="11" t="n"/>
      <c r="AF255" s="11" t="n"/>
      <c r="AG255" s="11" t="n"/>
      <c r="AH255" s="12" t="n"/>
      <c r="AI255" s="12" t="n"/>
    </row>
    <row r="256">
      <c r="A256" s="10" t="n"/>
      <c r="B256" s="10" t="n"/>
      <c r="C256" s="10" t="n"/>
      <c r="D256" s="10" t="n"/>
      <c r="E256" s="10" t="n"/>
      <c r="F256" s="10" t="n"/>
      <c r="G256" s="10" t="n"/>
      <c r="H256" s="10" t="n"/>
      <c r="I256" s="10" t="n"/>
      <c r="J256" s="10" t="n"/>
      <c r="K256" s="10" t="n"/>
      <c r="L256" s="11" t="n"/>
      <c r="M256" s="11" t="n"/>
      <c r="N256" s="11" t="n"/>
      <c r="O256" s="11">
        <f>IF(OR(L256="",M256=""),"",IFERROR(INDEX(LAYOUT!$D$2:$D$80,MATCH(L256&amp;"|"&amp;M256,LAYOUT!$E$2:$E$80,0)),""))</f>
        <v/>
      </c>
      <c r="P256" s="12">
        <f>IF(AND(L256="",M256=""),IF(AND(Q256="",R256="",V256="",W256=""),IF(OR($D256&lt;&gt;"",$E256&lt;&gt;""),"Belum ditempatkan",""),""),IF(L256="","CEK JENIS FIXTURE kosong",IF(AND(LEFT(L256,7)&lt;&gt;"Gondola",LEFT(L256,6)&lt;&gt;"Endcap"),"CEK Fixture 1 hanya Gondola atau Endcap",IF(M256="","CEK SHELVING KE kosong",IF(ISNA(MATCH(L256&amp;"|"&amp;M256,LAYOUT!$E$2:$E$80,0)),"CEK SHELVING KE di luar layout",IF($I256="","CEK SERIES kosong",IF(AND(N256&lt;&gt;"",NOT(ISNUMBER(N256))),"CEK URUTAN DISPLAY harus angka",IF($D256="","Zona STOCK",IF($E256="","CEK SKU DESCRIPTION kosong",IF(COUNTIFS($I$2:$I$500,$I256,L$2:L$500,"&lt;&gt;"&amp;L256,L$2:L$500,"&lt;&gt;")&gt;0,"CEK jenis fixture beda dalam satu series","OK"))))))))))</f>
        <v/>
      </c>
      <c r="Q256" s="11" t="n"/>
      <c r="R256" s="11" t="n"/>
      <c r="S256" s="11" t="n"/>
      <c r="T256" s="11">
        <f>IF(OR(Q256="",R256=""),"",IFERROR(INDEX(LAYOUT!$D$2:$D$80,MATCH(Q256&amp;"|"&amp;R256,LAYOUT!$E$2:$E$80,0)),""))</f>
        <v/>
      </c>
      <c r="U256" s="12">
        <f>IF(AND(Q256="",R256=""),IF(AND(L256="",M256="",V256="",W256=""),IF(OR($D256&lt;&gt;"",$E256&lt;&gt;""),"Belum ditempatkan",""),""),IF(Q256="","CEK JENIS FIXTURE kosong",IF(LEFT(Q256,4)&lt;&gt;"Wall","CEK Fixture 2 hanya Wall",IF(R256="","CEK SHELVING KE kosong",IF(ISNA(MATCH(Q256&amp;"|"&amp;R256,LAYOUT!$E$2:$E$80,0)),"CEK SHELVING KE di luar layout",IF($I256="","CEK SERIES kosong",IF(AND(S256&lt;&gt;"",NOT(ISNUMBER(S256))),"CEK URUTAN DISPLAY harus angka",IF($D256="","Zona STOCK",IF($E256="","CEK SKU DESCRIPTION kosong",IF(COUNTIFS($I$2:$I$500,$I256,Q$2:Q$500,"&lt;&gt;"&amp;Q256,Q$2:Q$500,"&lt;&gt;")&gt;0,"CEK jenis fixture beda dalam satu series","OK"))))))))))</f>
        <v/>
      </c>
      <c r="V256" s="11" t="n"/>
      <c r="W256" s="11" t="n"/>
      <c r="X256" s="11" t="n"/>
      <c r="Y256" s="11">
        <f>IF(OR(V256="",W256=""),"",IFERROR(INDEX(LAYOUT!$D$2:$D$80,MATCH(V256&amp;"|"&amp;W256,LAYOUT!$E$2:$E$80,0)),""))</f>
        <v/>
      </c>
      <c r="Z256" s="12">
        <f>IF(AND(V256="",W256=""),IF(AND(L256="",M256="",Q256="",R256=""),IF(OR($D256&lt;&gt;"",$E256&lt;&gt;""),"Belum ditempatkan",""),""),IF(V256="","CEK JENIS FIXTURE kosong",IF(LEFT(V256,4)&lt;&gt;"Wall","CEK Fixture 3 hanya Wall",IF(W256="","CEK SHELVING KE kosong",IF(ISNA(MATCH(V256&amp;"|"&amp;W256,LAYOUT!$E$2:$E$80,0)),"CEK SHELVING KE di luar layout",IF($I256="","CEK SERIES kosong",IF(AND(X256&lt;&gt;"",NOT(ISNUMBER(X256))),"CEK URUTAN DISPLAY harus angka",IF($D256="","Zona STOCK",IF($E256="","CEK SKU DESCRIPTION kosong",IF(COUNTIFS($I$2:$I$500,$I256,V$2:V$500,"&lt;&gt;"&amp;V256,V$2:V$500,"&lt;&gt;")&gt;0,"CEK jenis fixture beda dalam satu series","OK"))))))))))</f>
        <v/>
      </c>
      <c r="AA256" s="12" t="n"/>
      <c r="AB256" s="11" t="n"/>
      <c r="AC256" s="11" t="n"/>
      <c r="AD256" s="11" t="n"/>
      <c r="AE256" s="11" t="n"/>
      <c r="AF256" s="11" t="n"/>
      <c r="AG256" s="11" t="n"/>
      <c r="AH256" s="12" t="n"/>
      <c r="AI256" s="12" t="n"/>
    </row>
    <row r="257">
      <c r="A257" s="10" t="n"/>
      <c r="B257" s="10" t="n"/>
      <c r="C257" s="10" t="n"/>
      <c r="D257" s="10" t="n"/>
      <c r="E257" s="10" t="n"/>
      <c r="F257" s="10" t="n"/>
      <c r="G257" s="10" t="n"/>
      <c r="H257" s="10" t="n"/>
      <c r="I257" s="10" t="n"/>
      <c r="J257" s="10" t="n"/>
      <c r="K257" s="10" t="n"/>
      <c r="L257" s="11" t="n"/>
      <c r="M257" s="11" t="n"/>
      <c r="N257" s="11" t="n"/>
      <c r="O257" s="11">
        <f>IF(OR(L257="",M257=""),"",IFERROR(INDEX(LAYOUT!$D$2:$D$80,MATCH(L257&amp;"|"&amp;M257,LAYOUT!$E$2:$E$80,0)),""))</f>
        <v/>
      </c>
      <c r="P257" s="12">
        <f>IF(AND(L257="",M257=""),IF(AND(Q257="",R257="",V257="",W257=""),IF(OR($D257&lt;&gt;"",$E257&lt;&gt;""),"Belum ditempatkan",""),""),IF(L257="","CEK JENIS FIXTURE kosong",IF(AND(LEFT(L257,7)&lt;&gt;"Gondola",LEFT(L257,6)&lt;&gt;"Endcap"),"CEK Fixture 1 hanya Gondola atau Endcap",IF(M257="","CEK SHELVING KE kosong",IF(ISNA(MATCH(L257&amp;"|"&amp;M257,LAYOUT!$E$2:$E$80,0)),"CEK SHELVING KE di luar layout",IF($I257="","CEK SERIES kosong",IF(AND(N257&lt;&gt;"",NOT(ISNUMBER(N257))),"CEK URUTAN DISPLAY harus angka",IF($D257="","Zona STOCK",IF($E257="","CEK SKU DESCRIPTION kosong",IF(COUNTIFS($I$2:$I$500,$I257,L$2:L$500,"&lt;&gt;"&amp;L257,L$2:L$500,"&lt;&gt;")&gt;0,"CEK jenis fixture beda dalam satu series","OK"))))))))))</f>
        <v/>
      </c>
      <c r="Q257" s="11" t="n"/>
      <c r="R257" s="11" t="n"/>
      <c r="S257" s="11" t="n"/>
      <c r="T257" s="11">
        <f>IF(OR(Q257="",R257=""),"",IFERROR(INDEX(LAYOUT!$D$2:$D$80,MATCH(Q257&amp;"|"&amp;R257,LAYOUT!$E$2:$E$80,0)),""))</f>
        <v/>
      </c>
      <c r="U257" s="12">
        <f>IF(AND(Q257="",R257=""),IF(AND(L257="",M257="",V257="",W257=""),IF(OR($D257&lt;&gt;"",$E257&lt;&gt;""),"Belum ditempatkan",""),""),IF(Q257="","CEK JENIS FIXTURE kosong",IF(LEFT(Q257,4)&lt;&gt;"Wall","CEK Fixture 2 hanya Wall",IF(R257="","CEK SHELVING KE kosong",IF(ISNA(MATCH(Q257&amp;"|"&amp;R257,LAYOUT!$E$2:$E$80,0)),"CEK SHELVING KE di luar layout",IF($I257="","CEK SERIES kosong",IF(AND(S257&lt;&gt;"",NOT(ISNUMBER(S257))),"CEK URUTAN DISPLAY harus angka",IF($D257="","Zona STOCK",IF($E257="","CEK SKU DESCRIPTION kosong",IF(COUNTIFS($I$2:$I$500,$I257,Q$2:Q$500,"&lt;&gt;"&amp;Q257,Q$2:Q$500,"&lt;&gt;")&gt;0,"CEK jenis fixture beda dalam satu series","OK"))))))))))</f>
        <v/>
      </c>
      <c r="V257" s="11" t="n"/>
      <c r="W257" s="11" t="n"/>
      <c r="X257" s="11" t="n"/>
      <c r="Y257" s="11">
        <f>IF(OR(V257="",W257=""),"",IFERROR(INDEX(LAYOUT!$D$2:$D$80,MATCH(V257&amp;"|"&amp;W257,LAYOUT!$E$2:$E$80,0)),""))</f>
        <v/>
      </c>
      <c r="Z257" s="12">
        <f>IF(AND(V257="",W257=""),IF(AND(L257="",M257="",Q257="",R257=""),IF(OR($D257&lt;&gt;"",$E257&lt;&gt;""),"Belum ditempatkan",""),""),IF(V257="","CEK JENIS FIXTURE kosong",IF(LEFT(V257,4)&lt;&gt;"Wall","CEK Fixture 3 hanya Wall",IF(W257="","CEK SHELVING KE kosong",IF(ISNA(MATCH(V257&amp;"|"&amp;W257,LAYOUT!$E$2:$E$80,0)),"CEK SHELVING KE di luar layout",IF($I257="","CEK SERIES kosong",IF(AND(X257&lt;&gt;"",NOT(ISNUMBER(X257))),"CEK URUTAN DISPLAY harus angka",IF($D257="","Zona STOCK",IF($E257="","CEK SKU DESCRIPTION kosong",IF(COUNTIFS($I$2:$I$500,$I257,V$2:V$500,"&lt;&gt;"&amp;V257,V$2:V$500,"&lt;&gt;")&gt;0,"CEK jenis fixture beda dalam satu series","OK"))))))))))</f>
        <v/>
      </c>
      <c r="AA257" s="12" t="n"/>
      <c r="AB257" s="11" t="n"/>
      <c r="AC257" s="11" t="n"/>
      <c r="AD257" s="11" t="n"/>
      <c r="AE257" s="11" t="n"/>
      <c r="AF257" s="11" t="n"/>
      <c r="AG257" s="11" t="n"/>
      <c r="AH257" s="12" t="n"/>
      <c r="AI257" s="12" t="n"/>
    </row>
    <row r="258">
      <c r="A258" s="10" t="n"/>
      <c r="B258" s="10" t="n"/>
      <c r="C258" s="10" t="n"/>
      <c r="D258" s="10" t="n"/>
      <c r="E258" s="10" t="n"/>
      <c r="F258" s="10" t="n"/>
      <c r="G258" s="10" t="n"/>
      <c r="H258" s="10" t="n"/>
      <c r="I258" s="10" t="n"/>
      <c r="J258" s="10" t="n"/>
      <c r="K258" s="10" t="n"/>
      <c r="L258" s="11" t="n"/>
      <c r="M258" s="11" t="n"/>
      <c r="N258" s="11" t="n"/>
      <c r="O258" s="11">
        <f>IF(OR(L258="",M258=""),"",IFERROR(INDEX(LAYOUT!$D$2:$D$80,MATCH(L258&amp;"|"&amp;M258,LAYOUT!$E$2:$E$80,0)),""))</f>
        <v/>
      </c>
      <c r="P258" s="12">
        <f>IF(AND(L258="",M258=""),IF(AND(Q258="",R258="",V258="",W258=""),IF(OR($D258&lt;&gt;"",$E258&lt;&gt;""),"Belum ditempatkan",""),""),IF(L258="","CEK JENIS FIXTURE kosong",IF(AND(LEFT(L258,7)&lt;&gt;"Gondola",LEFT(L258,6)&lt;&gt;"Endcap"),"CEK Fixture 1 hanya Gondola atau Endcap",IF(M258="","CEK SHELVING KE kosong",IF(ISNA(MATCH(L258&amp;"|"&amp;M258,LAYOUT!$E$2:$E$80,0)),"CEK SHELVING KE di luar layout",IF($I258="","CEK SERIES kosong",IF(AND(N258&lt;&gt;"",NOT(ISNUMBER(N258))),"CEK URUTAN DISPLAY harus angka",IF($D258="","Zona STOCK",IF($E258="","CEK SKU DESCRIPTION kosong",IF(COUNTIFS($I$2:$I$500,$I258,L$2:L$500,"&lt;&gt;"&amp;L258,L$2:L$500,"&lt;&gt;")&gt;0,"CEK jenis fixture beda dalam satu series","OK"))))))))))</f>
        <v/>
      </c>
      <c r="Q258" s="11" t="n"/>
      <c r="R258" s="11" t="n"/>
      <c r="S258" s="11" t="n"/>
      <c r="T258" s="11">
        <f>IF(OR(Q258="",R258=""),"",IFERROR(INDEX(LAYOUT!$D$2:$D$80,MATCH(Q258&amp;"|"&amp;R258,LAYOUT!$E$2:$E$80,0)),""))</f>
        <v/>
      </c>
      <c r="U258" s="12">
        <f>IF(AND(Q258="",R258=""),IF(AND(L258="",M258="",V258="",W258=""),IF(OR($D258&lt;&gt;"",$E258&lt;&gt;""),"Belum ditempatkan",""),""),IF(Q258="","CEK JENIS FIXTURE kosong",IF(LEFT(Q258,4)&lt;&gt;"Wall","CEK Fixture 2 hanya Wall",IF(R258="","CEK SHELVING KE kosong",IF(ISNA(MATCH(Q258&amp;"|"&amp;R258,LAYOUT!$E$2:$E$80,0)),"CEK SHELVING KE di luar layout",IF($I258="","CEK SERIES kosong",IF(AND(S258&lt;&gt;"",NOT(ISNUMBER(S258))),"CEK URUTAN DISPLAY harus angka",IF($D258="","Zona STOCK",IF($E258="","CEK SKU DESCRIPTION kosong",IF(COUNTIFS($I$2:$I$500,$I258,Q$2:Q$500,"&lt;&gt;"&amp;Q258,Q$2:Q$500,"&lt;&gt;")&gt;0,"CEK jenis fixture beda dalam satu series","OK"))))))))))</f>
        <v/>
      </c>
      <c r="V258" s="11" t="n"/>
      <c r="W258" s="11" t="n"/>
      <c r="X258" s="11" t="n"/>
      <c r="Y258" s="11">
        <f>IF(OR(V258="",W258=""),"",IFERROR(INDEX(LAYOUT!$D$2:$D$80,MATCH(V258&amp;"|"&amp;W258,LAYOUT!$E$2:$E$80,0)),""))</f>
        <v/>
      </c>
      <c r="Z258" s="12">
        <f>IF(AND(V258="",W258=""),IF(AND(L258="",M258="",Q258="",R258=""),IF(OR($D258&lt;&gt;"",$E258&lt;&gt;""),"Belum ditempatkan",""),""),IF(V258="","CEK JENIS FIXTURE kosong",IF(LEFT(V258,4)&lt;&gt;"Wall","CEK Fixture 3 hanya Wall",IF(W258="","CEK SHELVING KE kosong",IF(ISNA(MATCH(V258&amp;"|"&amp;W258,LAYOUT!$E$2:$E$80,0)),"CEK SHELVING KE di luar layout",IF($I258="","CEK SERIES kosong",IF(AND(X258&lt;&gt;"",NOT(ISNUMBER(X258))),"CEK URUTAN DISPLAY harus angka",IF($D258="","Zona STOCK",IF($E258="","CEK SKU DESCRIPTION kosong",IF(COUNTIFS($I$2:$I$500,$I258,V$2:V$500,"&lt;&gt;"&amp;V258,V$2:V$500,"&lt;&gt;")&gt;0,"CEK jenis fixture beda dalam satu series","OK"))))))))))</f>
        <v/>
      </c>
      <c r="AA258" s="12" t="n"/>
      <c r="AB258" s="11" t="n"/>
      <c r="AC258" s="11" t="n"/>
      <c r="AD258" s="11" t="n"/>
      <c r="AE258" s="11" t="n"/>
      <c r="AF258" s="11" t="n"/>
      <c r="AG258" s="11" t="n"/>
      <c r="AH258" s="12" t="n"/>
      <c r="AI258" s="12" t="n"/>
    </row>
    <row r="259">
      <c r="A259" s="10" t="n"/>
      <c r="B259" s="10" t="n"/>
      <c r="C259" s="10" t="n"/>
      <c r="D259" s="10" t="n"/>
      <c r="E259" s="10" t="n"/>
      <c r="F259" s="10" t="n"/>
      <c r="G259" s="10" t="n"/>
      <c r="H259" s="10" t="n"/>
      <c r="I259" s="10" t="n"/>
      <c r="J259" s="10" t="n"/>
      <c r="K259" s="10" t="n"/>
      <c r="L259" s="11" t="n"/>
      <c r="M259" s="11" t="n"/>
      <c r="N259" s="11" t="n"/>
      <c r="O259" s="11">
        <f>IF(OR(L259="",M259=""),"",IFERROR(INDEX(LAYOUT!$D$2:$D$80,MATCH(L259&amp;"|"&amp;M259,LAYOUT!$E$2:$E$80,0)),""))</f>
        <v/>
      </c>
      <c r="P259" s="12">
        <f>IF(AND(L259="",M259=""),IF(AND(Q259="",R259="",V259="",W259=""),IF(OR($D259&lt;&gt;"",$E259&lt;&gt;""),"Belum ditempatkan",""),""),IF(L259="","CEK JENIS FIXTURE kosong",IF(AND(LEFT(L259,7)&lt;&gt;"Gondola",LEFT(L259,6)&lt;&gt;"Endcap"),"CEK Fixture 1 hanya Gondola atau Endcap",IF(M259="","CEK SHELVING KE kosong",IF(ISNA(MATCH(L259&amp;"|"&amp;M259,LAYOUT!$E$2:$E$80,0)),"CEK SHELVING KE di luar layout",IF($I259="","CEK SERIES kosong",IF(AND(N259&lt;&gt;"",NOT(ISNUMBER(N259))),"CEK URUTAN DISPLAY harus angka",IF($D259="","Zona STOCK",IF($E259="","CEK SKU DESCRIPTION kosong",IF(COUNTIFS($I$2:$I$500,$I259,L$2:L$500,"&lt;&gt;"&amp;L259,L$2:L$500,"&lt;&gt;")&gt;0,"CEK jenis fixture beda dalam satu series","OK"))))))))))</f>
        <v/>
      </c>
      <c r="Q259" s="11" t="n"/>
      <c r="R259" s="11" t="n"/>
      <c r="S259" s="11" t="n"/>
      <c r="T259" s="11">
        <f>IF(OR(Q259="",R259=""),"",IFERROR(INDEX(LAYOUT!$D$2:$D$80,MATCH(Q259&amp;"|"&amp;R259,LAYOUT!$E$2:$E$80,0)),""))</f>
        <v/>
      </c>
      <c r="U259" s="12">
        <f>IF(AND(Q259="",R259=""),IF(AND(L259="",M259="",V259="",W259=""),IF(OR($D259&lt;&gt;"",$E259&lt;&gt;""),"Belum ditempatkan",""),""),IF(Q259="","CEK JENIS FIXTURE kosong",IF(LEFT(Q259,4)&lt;&gt;"Wall","CEK Fixture 2 hanya Wall",IF(R259="","CEK SHELVING KE kosong",IF(ISNA(MATCH(Q259&amp;"|"&amp;R259,LAYOUT!$E$2:$E$80,0)),"CEK SHELVING KE di luar layout",IF($I259="","CEK SERIES kosong",IF(AND(S259&lt;&gt;"",NOT(ISNUMBER(S259))),"CEK URUTAN DISPLAY harus angka",IF($D259="","Zona STOCK",IF($E259="","CEK SKU DESCRIPTION kosong",IF(COUNTIFS($I$2:$I$500,$I259,Q$2:Q$500,"&lt;&gt;"&amp;Q259,Q$2:Q$500,"&lt;&gt;")&gt;0,"CEK jenis fixture beda dalam satu series","OK"))))))))))</f>
        <v/>
      </c>
      <c r="V259" s="11" t="n"/>
      <c r="W259" s="11" t="n"/>
      <c r="X259" s="11" t="n"/>
      <c r="Y259" s="11">
        <f>IF(OR(V259="",W259=""),"",IFERROR(INDEX(LAYOUT!$D$2:$D$80,MATCH(V259&amp;"|"&amp;W259,LAYOUT!$E$2:$E$80,0)),""))</f>
        <v/>
      </c>
      <c r="Z259" s="12">
        <f>IF(AND(V259="",W259=""),IF(AND(L259="",M259="",Q259="",R259=""),IF(OR($D259&lt;&gt;"",$E259&lt;&gt;""),"Belum ditempatkan",""),""),IF(V259="","CEK JENIS FIXTURE kosong",IF(LEFT(V259,4)&lt;&gt;"Wall","CEK Fixture 3 hanya Wall",IF(W259="","CEK SHELVING KE kosong",IF(ISNA(MATCH(V259&amp;"|"&amp;W259,LAYOUT!$E$2:$E$80,0)),"CEK SHELVING KE di luar layout",IF($I259="","CEK SERIES kosong",IF(AND(X259&lt;&gt;"",NOT(ISNUMBER(X259))),"CEK URUTAN DISPLAY harus angka",IF($D259="","Zona STOCK",IF($E259="","CEK SKU DESCRIPTION kosong",IF(COUNTIFS($I$2:$I$500,$I259,V$2:V$500,"&lt;&gt;"&amp;V259,V$2:V$500,"&lt;&gt;")&gt;0,"CEK jenis fixture beda dalam satu series","OK"))))))))))</f>
        <v/>
      </c>
      <c r="AA259" s="12" t="n"/>
      <c r="AB259" s="11" t="n"/>
      <c r="AC259" s="11" t="n"/>
      <c r="AD259" s="11" t="n"/>
      <c r="AE259" s="11" t="n"/>
      <c r="AF259" s="11" t="n"/>
      <c r="AG259" s="11" t="n"/>
      <c r="AH259" s="12" t="n"/>
      <c r="AI259" s="12" t="n"/>
    </row>
    <row r="260">
      <c r="A260" s="10" t="n"/>
      <c r="B260" s="10" t="n"/>
      <c r="C260" s="10" t="n"/>
      <c r="D260" s="10" t="n"/>
      <c r="E260" s="10" t="n"/>
      <c r="F260" s="10" t="n"/>
      <c r="G260" s="10" t="n"/>
      <c r="H260" s="10" t="n"/>
      <c r="I260" s="10" t="n"/>
      <c r="J260" s="10" t="n"/>
      <c r="K260" s="10" t="n"/>
      <c r="L260" s="11" t="n"/>
      <c r="M260" s="11" t="n"/>
      <c r="N260" s="11" t="n"/>
      <c r="O260" s="11">
        <f>IF(OR(L260="",M260=""),"",IFERROR(INDEX(LAYOUT!$D$2:$D$80,MATCH(L260&amp;"|"&amp;M260,LAYOUT!$E$2:$E$80,0)),""))</f>
        <v/>
      </c>
      <c r="P260" s="12">
        <f>IF(AND(L260="",M260=""),IF(AND(Q260="",R260="",V260="",W260=""),IF(OR($D260&lt;&gt;"",$E260&lt;&gt;""),"Belum ditempatkan",""),""),IF(L260="","CEK JENIS FIXTURE kosong",IF(AND(LEFT(L260,7)&lt;&gt;"Gondola",LEFT(L260,6)&lt;&gt;"Endcap"),"CEK Fixture 1 hanya Gondola atau Endcap",IF(M260="","CEK SHELVING KE kosong",IF(ISNA(MATCH(L260&amp;"|"&amp;M260,LAYOUT!$E$2:$E$80,0)),"CEK SHELVING KE di luar layout",IF($I260="","CEK SERIES kosong",IF(AND(N260&lt;&gt;"",NOT(ISNUMBER(N260))),"CEK URUTAN DISPLAY harus angka",IF($D260="","Zona STOCK",IF($E260="","CEK SKU DESCRIPTION kosong",IF(COUNTIFS($I$2:$I$500,$I260,L$2:L$500,"&lt;&gt;"&amp;L260,L$2:L$500,"&lt;&gt;")&gt;0,"CEK jenis fixture beda dalam satu series","OK"))))))))))</f>
        <v/>
      </c>
      <c r="Q260" s="11" t="n"/>
      <c r="R260" s="11" t="n"/>
      <c r="S260" s="11" t="n"/>
      <c r="T260" s="11">
        <f>IF(OR(Q260="",R260=""),"",IFERROR(INDEX(LAYOUT!$D$2:$D$80,MATCH(Q260&amp;"|"&amp;R260,LAYOUT!$E$2:$E$80,0)),""))</f>
        <v/>
      </c>
      <c r="U260" s="12">
        <f>IF(AND(Q260="",R260=""),IF(AND(L260="",M260="",V260="",W260=""),IF(OR($D260&lt;&gt;"",$E260&lt;&gt;""),"Belum ditempatkan",""),""),IF(Q260="","CEK JENIS FIXTURE kosong",IF(LEFT(Q260,4)&lt;&gt;"Wall","CEK Fixture 2 hanya Wall",IF(R260="","CEK SHELVING KE kosong",IF(ISNA(MATCH(Q260&amp;"|"&amp;R260,LAYOUT!$E$2:$E$80,0)),"CEK SHELVING KE di luar layout",IF($I260="","CEK SERIES kosong",IF(AND(S260&lt;&gt;"",NOT(ISNUMBER(S260))),"CEK URUTAN DISPLAY harus angka",IF($D260="","Zona STOCK",IF($E260="","CEK SKU DESCRIPTION kosong",IF(COUNTIFS($I$2:$I$500,$I260,Q$2:Q$500,"&lt;&gt;"&amp;Q260,Q$2:Q$500,"&lt;&gt;")&gt;0,"CEK jenis fixture beda dalam satu series","OK"))))))))))</f>
        <v/>
      </c>
      <c r="V260" s="11" t="n"/>
      <c r="W260" s="11" t="n"/>
      <c r="X260" s="11" t="n"/>
      <c r="Y260" s="11">
        <f>IF(OR(V260="",W260=""),"",IFERROR(INDEX(LAYOUT!$D$2:$D$80,MATCH(V260&amp;"|"&amp;W260,LAYOUT!$E$2:$E$80,0)),""))</f>
        <v/>
      </c>
      <c r="Z260" s="12">
        <f>IF(AND(V260="",W260=""),IF(AND(L260="",M260="",Q260="",R260=""),IF(OR($D260&lt;&gt;"",$E260&lt;&gt;""),"Belum ditempatkan",""),""),IF(V260="","CEK JENIS FIXTURE kosong",IF(LEFT(V260,4)&lt;&gt;"Wall","CEK Fixture 3 hanya Wall",IF(W260="","CEK SHELVING KE kosong",IF(ISNA(MATCH(V260&amp;"|"&amp;W260,LAYOUT!$E$2:$E$80,0)),"CEK SHELVING KE di luar layout",IF($I260="","CEK SERIES kosong",IF(AND(X260&lt;&gt;"",NOT(ISNUMBER(X260))),"CEK URUTAN DISPLAY harus angka",IF($D260="","Zona STOCK",IF($E260="","CEK SKU DESCRIPTION kosong",IF(COUNTIFS($I$2:$I$500,$I260,V$2:V$500,"&lt;&gt;"&amp;V260,V$2:V$500,"&lt;&gt;")&gt;0,"CEK jenis fixture beda dalam satu series","OK"))))))))))</f>
        <v/>
      </c>
      <c r="AA260" s="12" t="n"/>
      <c r="AB260" s="11" t="n"/>
      <c r="AC260" s="11" t="n"/>
      <c r="AD260" s="11" t="n"/>
      <c r="AE260" s="11" t="n"/>
      <c r="AF260" s="11" t="n"/>
      <c r="AG260" s="11" t="n"/>
      <c r="AH260" s="12" t="n"/>
      <c r="AI260" s="12" t="n"/>
    </row>
    <row r="261">
      <c r="A261" s="10" t="n"/>
      <c r="B261" s="10" t="n"/>
      <c r="C261" s="10" t="n"/>
      <c r="D261" s="10" t="n"/>
      <c r="E261" s="10" t="n"/>
      <c r="F261" s="10" t="n"/>
      <c r="G261" s="10" t="n"/>
      <c r="H261" s="10" t="n"/>
      <c r="I261" s="10" t="n"/>
      <c r="J261" s="10" t="n"/>
      <c r="K261" s="10" t="n"/>
      <c r="L261" s="11" t="n"/>
      <c r="M261" s="11" t="n"/>
      <c r="N261" s="11" t="n"/>
      <c r="O261" s="11">
        <f>IF(OR(L261="",M261=""),"",IFERROR(INDEX(LAYOUT!$D$2:$D$80,MATCH(L261&amp;"|"&amp;M261,LAYOUT!$E$2:$E$80,0)),""))</f>
        <v/>
      </c>
      <c r="P261" s="12">
        <f>IF(AND(L261="",M261=""),IF(AND(Q261="",R261="",V261="",W261=""),IF(OR($D261&lt;&gt;"",$E261&lt;&gt;""),"Belum ditempatkan",""),""),IF(L261="","CEK JENIS FIXTURE kosong",IF(AND(LEFT(L261,7)&lt;&gt;"Gondola",LEFT(L261,6)&lt;&gt;"Endcap"),"CEK Fixture 1 hanya Gondola atau Endcap",IF(M261="","CEK SHELVING KE kosong",IF(ISNA(MATCH(L261&amp;"|"&amp;M261,LAYOUT!$E$2:$E$80,0)),"CEK SHELVING KE di luar layout",IF($I261="","CEK SERIES kosong",IF(AND(N261&lt;&gt;"",NOT(ISNUMBER(N261))),"CEK URUTAN DISPLAY harus angka",IF($D261="","Zona STOCK",IF($E261="","CEK SKU DESCRIPTION kosong",IF(COUNTIFS($I$2:$I$500,$I261,L$2:L$500,"&lt;&gt;"&amp;L261,L$2:L$500,"&lt;&gt;")&gt;0,"CEK jenis fixture beda dalam satu series","OK"))))))))))</f>
        <v/>
      </c>
      <c r="Q261" s="11" t="n"/>
      <c r="R261" s="11" t="n"/>
      <c r="S261" s="11" t="n"/>
      <c r="T261" s="11">
        <f>IF(OR(Q261="",R261=""),"",IFERROR(INDEX(LAYOUT!$D$2:$D$80,MATCH(Q261&amp;"|"&amp;R261,LAYOUT!$E$2:$E$80,0)),""))</f>
        <v/>
      </c>
      <c r="U261" s="12">
        <f>IF(AND(Q261="",R261=""),IF(AND(L261="",M261="",V261="",W261=""),IF(OR($D261&lt;&gt;"",$E261&lt;&gt;""),"Belum ditempatkan",""),""),IF(Q261="","CEK JENIS FIXTURE kosong",IF(LEFT(Q261,4)&lt;&gt;"Wall","CEK Fixture 2 hanya Wall",IF(R261="","CEK SHELVING KE kosong",IF(ISNA(MATCH(Q261&amp;"|"&amp;R261,LAYOUT!$E$2:$E$80,0)),"CEK SHELVING KE di luar layout",IF($I261="","CEK SERIES kosong",IF(AND(S261&lt;&gt;"",NOT(ISNUMBER(S261))),"CEK URUTAN DISPLAY harus angka",IF($D261="","Zona STOCK",IF($E261="","CEK SKU DESCRIPTION kosong",IF(COUNTIFS($I$2:$I$500,$I261,Q$2:Q$500,"&lt;&gt;"&amp;Q261,Q$2:Q$500,"&lt;&gt;")&gt;0,"CEK jenis fixture beda dalam satu series","OK"))))))))))</f>
        <v/>
      </c>
      <c r="V261" s="11" t="n"/>
      <c r="W261" s="11" t="n"/>
      <c r="X261" s="11" t="n"/>
      <c r="Y261" s="11">
        <f>IF(OR(V261="",W261=""),"",IFERROR(INDEX(LAYOUT!$D$2:$D$80,MATCH(V261&amp;"|"&amp;W261,LAYOUT!$E$2:$E$80,0)),""))</f>
        <v/>
      </c>
      <c r="Z261" s="12">
        <f>IF(AND(V261="",W261=""),IF(AND(L261="",M261="",Q261="",R261=""),IF(OR($D261&lt;&gt;"",$E261&lt;&gt;""),"Belum ditempatkan",""),""),IF(V261="","CEK JENIS FIXTURE kosong",IF(LEFT(V261,4)&lt;&gt;"Wall","CEK Fixture 3 hanya Wall",IF(W261="","CEK SHELVING KE kosong",IF(ISNA(MATCH(V261&amp;"|"&amp;W261,LAYOUT!$E$2:$E$80,0)),"CEK SHELVING KE di luar layout",IF($I261="","CEK SERIES kosong",IF(AND(X261&lt;&gt;"",NOT(ISNUMBER(X261))),"CEK URUTAN DISPLAY harus angka",IF($D261="","Zona STOCK",IF($E261="","CEK SKU DESCRIPTION kosong",IF(COUNTIFS($I$2:$I$500,$I261,V$2:V$500,"&lt;&gt;"&amp;V261,V$2:V$500,"&lt;&gt;")&gt;0,"CEK jenis fixture beda dalam satu series","OK"))))))))))</f>
        <v/>
      </c>
      <c r="AA261" s="12" t="n"/>
      <c r="AB261" s="11" t="n"/>
      <c r="AC261" s="11" t="n"/>
      <c r="AD261" s="11" t="n"/>
      <c r="AE261" s="11" t="n"/>
      <c r="AF261" s="11" t="n"/>
      <c r="AG261" s="11" t="n"/>
      <c r="AH261" s="12" t="n"/>
      <c r="AI261" s="12" t="n"/>
    </row>
    <row r="262">
      <c r="A262" s="10" t="n"/>
      <c r="B262" s="10" t="n"/>
      <c r="C262" s="10" t="n"/>
      <c r="D262" s="10" t="n"/>
      <c r="E262" s="10" t="n"/>
      <c r="F262" s="10" t="n"/>
      <c r="G262" s="10" t="n"/>
      <c r="H262" s="10" t="n"/>
      <c r="I262" s="10" t="n"/>
      <c r="J262" s="10" t="n"/>
      <c r="K262" s="10" t="n"/>
      <c r="L262" s="11" t="n"/>
      <c r="M262" s="11" t="n"/>
      <c r="N262" s="11" t="n"/>
      <c r="O262" s="11">
        <f>IF(OR(L262="",M262=""),"",IFERROR(INDEX(LAYOUT!$D$2:$D$80,MATCH(L262&amp;"|"&amp;M262,LAYOUT!$E$2:$E$80,0)),""))</f>
        <v/>
      </c>
      <c r="P262" s="12">
        <f>IF(AND(L262="",M262=""),IF(AND(Q262="",R262="",V262="",W262=""),IF(OR($D262&lt;&gt;"",$E262&lt;&gt;""),"Belum ditempatkan",""),""),IF(L262="","CEK JENIS FIXTURE kosong",IF(AND(LEFT(L262,7)&lt;&gt;"Gondola",LEFT(L262,6)&lt;&gt;"Endcap"),"CEK Fixture 1 hanya Gondola atau Endcap",IF(M262="","CEK SHELVING KE kosong",IF(ISNA(MATCH(L262&amp;"|"&amp;M262,LAYOUT!$E$2:$E$80,0)),"CEK SHELVING KE di luar layout",IF($I262="","CEK SERIES kosong",IF(AND(N262&lt;&gt;"",NOT(ISNUMBER(N262))),"CEK URUTAN DISPLAY harus angka",IF($D262="","Zona STOCK",IF($E262="","CEK SKU DESCRIPTION kosong",IF(COUNTIFS($I$2:$I$500,$I262,L$2:L$500,"&lt;&gt;"&amp;L262,L$2:L$500,"&lt;&gt;")&gt;0,"CEK jenis fixture beda dalam satu series","OK"))))))))))</f>
        <v/>
      </c>
      <c r="Q262" s="11" t="n"/>
      <c r="R262" s="11" t="n"/>
      <c r="S262" s="11" t="n"/>
      <c r="T262" s="11">
        <f>IF(OR(Q262="",R262=""),"",IFERROR(INDEX(LAYOUT!$D$2:$D$80,MATCH(Q262&amp;"|"&amp;R262,LAYOUT!$E$2:$E$80,0)),""))</f>
        <v/>
      </c>
      <c r="U262" s="12">
        <f>IF(AND(Q262="",R262=""),IF(AND(L262="",M262="",V262="",W262=""),IF(OR($D262&lt;&gt;"",$E262&lt;&gt;""),"Belum ditempatkan",""),""),IF(Q262="","CEK JENIS FIXTURE kosong",IF(LEFT(Q262,4)&lt;&gt;"Wall","CEK Fixture 2 hanya Wall",IF(R262="","CEK SHELVING KE kosong",IF(ISNA(MATCH(Q262&amp;"|"&amp;R262,LAYOUT!$E$2:$E$80,0)),"CEK SHELVING KE di luar layout",IF($I262="","CEK SERIES kosong",IF(AND(S262&lt;&gt;"",NOT(ISNUMBER(S262))),"CEK URUTAN DISPLAY harus angka",IF($D262="","Zona STOCK",IF($E262="","CEK SKU DESCRIPTION kosong",IF(COUNTIFS($I$2:$I$500,$I262,Q$2:Q$500,"&lt;&gt;"&amp;Q262,Q$2:Q$500,"&lt;&gt;")&gt;0,"CEK jenis fixture beda dalam satu series","OK"))))))))))</f>
        <v/>
      </c>
      <c r="V262" s="11" t="n"/>
      <c r="W262" s="11" t="n"/>
      <c r="X262" s="11" t="n"/>
      <c r="Y262" s="11">
        <f>IF(OR(V262="",W262=""),"",IFERROR(INDEX(LAYOUT!$D$2:$D$80,MATCH(V262&amp;"|"&amp;W262,LAYOUT!$E$2:$E$80,0)),""))</f>
        <v/>
      </c>
      <c r="Z262" s="12">
        <f>IF(AND(V262="",W262=""),IF(AND(L262="",M262="",Q262="",R262=""),IF(OR($D262&lt;&gt;"",$E262&lt;&gt;""),"Belum ditempatkan",""),""),IF(V262="","CEK JENIS FIXTURE kosong",IF(LEFT(V262,4)&lt;&gt;"Wall","CEK Fixture 3 hanya Wall",IF(W262="","CEK SHELVING KE kosong",IF(ISNA(MATCH(V262&amp;"|"&amp;W262,LAYOUT!$E$2:$E$80,0)),"CEK SHELVING KE di luar layout",IF($I262="","CEK SERIES kosong",IF(AND(X262&lt;&gt;"",NOT(ISNUMBER(X262))),"CEK URUTAN DISPLAY harus angka",IF($D262="","Zona STOCK",IF($E262="","CEK SKU DESCRIPTION kosong",IF(COUNTIFS($I$2:$I$500,$I262,V$2:V$500,"&lt;&gt;"&amp;V262,V$2:V$500,"&lt;&gt;")&gt;0,"CEK jenis fixture beda dalam satu series","OK"))))))))))</f>
        <v/>
      </c>
      <c r="AA262" s="12" t="n"/>
      <c r="AB262" s="11" t="n"/>
      <c r="AC262" s="11" t="n"/>
      <c r="AD262" s="11" t="n"/>
      <c r="AE262" s="11" t="n"/>
      <c r="AF262" s="11" t="n"/>
      <c r="AG262" s="11" t="n"/>
      <c r="AH262" s="12" t="n"/>
      <c r="AI262" s="12" t="n"/>
    </row>
    <row r="263">
      <c r="A263" s="10" t="n"/>
      <c r="B263" s="10" t="n"/>
      <c r="C263" s="10" t="n"/>
      <c r="D263" s="10" t="n"/>
      <c r="E263" s="10" t="n"/>
      <c r="F263" s="10" t="n"/>
      <c r="G263" s="10" t="n"/>
      <c r="H263" s="10" t="n"/>
      <c r="I263" s="10" t="n"/>
      <c r="J263" s="10" t="n"/>
      <c r="K263" s="10" t="n"/>
      <c r="L263" s="11" t="n"/>
      <c r="M263" s="11" t="n"/>
      <c r="N263" s="11" t="n"/>
      <c r="O263" s="11">
        <f>IF(OR(L263="",M263=""),"",IFERROR(INDEX(LAYOUT!$D$2:$D$80,MATCH(L263&amp;"|"&amp;M263,LAYOUT!$E$2:$E$80,0)),""))</f>
        <v/>
      </c>
      <c r="P263" s="12">
        <f>IF(AND(L263="",M263=""),IF(AND(Q263="",R263="",V263="",W263=""),IF(OR($D263&lt;&gt;"",$E263&lt;&gt;""),"Belum ditempatkan",""),""),IF(L263="","CEK JENIS FIXTURE kosong",IF(AND(LEFT(L263,7)&lt;&gt;"Gondola",LEFT(L263,6)&lt;&gt;"Endcap"),"CEK Fixture 1 hanya Gondola atau Endcap",IF(M263="","CEK SHELVING KE kosong",IF(ISNA(MATCH(L263&amp;"|"&amp;M263,LAYOUT!$E$2:$E$80,0)),"CEK SHELVING KE di luar layout",IF($I263="","CEK SERIES kosong",IF(AND(N263&lt;&gt;"",NOT(ISNUMBER(N263))),"CEK URUTAN DISPLAY harus angka",IF($D263="","Zona STOCK",IF($E263="","CEK SKU DESCRIPTION kosong",IF(COUNTIFS($I$2:$I$500,$I263,L$2:L$500,"&lt;&gt;"&amp;L263,L$2:L$500,"&lt;&gt;")&gt;0,"CEK jenis fixture beda dalam satu series","OK"))))))))))</f>
        <v/>
      </c>
      <c r="Q263" s="11" t="n"/>
      <c r="R263" s="11" t="n"/>
      <c r="S263" s="11" t="n"/>
      <c r="T263" s="11">
        <f>IF(OR(Q263="",R263=""),"",IFERROR(INDEX(LAYOUT!$D$2:$D$80,MATCH(Q263&amp;"|"&amp;R263,LAYOUT!$E$2:$E$80,0)),""))</f>
        <v/>
      </c>
      <c r="U263" s="12">
        <f>IF(AND(Q263="",R263=""),IF(AND(L263="",M263="",V263="",W263=""),IF(OR($D263&lt;&gt;"",$E263&lt;&gt;""),"Belum ditempatkan",""),""),IF(Q263="","CEK JENIS FIXTURE kosong",IF(LEFT(Q263,4)&lt;&gt;"Wall","CEK Fixture 2 hanya Wall",IF(R263="","CEK SHELVING KE kosong",IF(ISNA(MATCH(Q263&amp;"|"&amp;R263,LAYOUT!$E$2:$E$80,0)),"CEK SHELVING KE di luar layout",IF($I263="","CEK SERIES kosong",IF(AND(S263&lt;&gt;"",NOT(ISNUMBER(S263))),"CEK URUTAN DISPLAY harus angka",IF($D263="","Zona STOCK",IF($E263="","CEK SKU DESCRIPTION kosong",IF(COUNTIFS($I$2:$I$500,$I263,Q$2:Q$500,"&lt;&gt;"&amp;Q263,Q$2:Q$500,"&lt;&gt;")&gt;0,"CEK jenis fixture beda dalam satu series","OK"))))))))))</f>
        <v/>
      </c>
      <c r="V263" s="11" t="n"/>
      <c r="W263" s="11" t="n"/>
      <c r="X263" s="11" t="n"/>
      <c r="Y263" s="11">
        <f>IF(OR(V263="",W263=""),"",IFERROR(INDEX(LAYOUT!$D$2:$D$80,MATCH(V263&amp;"|"&amp;W263,LAYOUT!$E$2:$E$80,0)),""))</f>
        <v/>
      </c>
      <c r="Z263" s="12">
        <f>IF(AND(V263="",W263=""),IF(AND(L263="",M263="",Q263="",R263=""),IF(OR($D263&lt;&gt;"",$E263&lt;&gt;""),"Belum ditempatkan",""),""),IF(V263="","CEK JENIS FIXTURE kosong",IF(LEFT(V263,4)&lt;&gt;"Wall","CEK Fixture 3 hanya Wall",IF(W263="","CEK SHELVING KE kosong",IF(ISNA(MATCH(V263&amp;"|"&amp;W263,LAYOUT!$E$2:$E$80,0)),"CEK SHELVING KE di luar layout",IF($I263="","CEK SERIES kosong",IF(AND(X263&lt;&gt;"",NOT(ISNUMBER(X263))),"CEK URUTAN DISPLAY harus angka",IF($D263="","Zona STOCK",IF($E263="","CEK SKU DESCRIPTION kosong",IF(COUNTIFS($I$2:$I$500,$I263,V$2:V$500,"&lt;&gt;"&amp;V263,V$2:V$500,"&lt;&gt;")&gt;0,"CEK jenis fixture beda dalam satu series","OK"))))))))))</f>
        <v/>
      </c>
      <c r="AA263" s="12" t="n"/>
      <c r="AB263" s="11" t="n"/>
      <c r="AC263" s="11" t="n"/>
      <c r="AD263" s="11" t="n"/>
      <c r="AE263" s="11" t="n"/>
      <c r="AF263" s="11" t="n"/>
      <c r="AG263" s="11" t="n"/>
      <c r="AH263" s="12" t="n"/>
      <c r="AI263" s="12" t="n"/>
    </row>
    <row r="264">
      <c r="A264" s="10" t="n"/>
      <c r="B264" s="10" t="n"/>
      <c r="C264" s="10" t="n"/>
      <c r="D264" s="10" t="n"/>
      <c r="E264" s="10" t="n"/>
      <c r="F264" s="10" t="n"/>
      <c r="G264" s="10" t="n"/>
      <c r="H264" s="10" t="n"/>
      <c r="I264" s="10" t="n"/>
      <c r="J264" s="10" t="n"/>
      <c r="K264" s="10" t="n"/>
      <c r="L264" s="11" t="n"/>
      <c r="M264" s="11" t="n"/>
      <c r="N264" s="11" t="n"/>
      <c r="O264" s="11">
        <f>IF(OR(L264="",M264=""),"",IFERROR(INDEX(LAYOUT!$D$2:$D$80,MATCH(L264&amp;"|"&amp;M264,LAYOUT!$E$2:$E$80,0)),""))</f>
        <v/>
      </c>
      <c r="P264" s="12">
        <f>IF(AND(L264="",M264=""),IF(AND(Q264="",R264="",V264="",W264=""),IF(OR($D264&lt;&gt;"",$E264&lt;&gt;""),"Belum ditempatkan",""),""),IF(L264="","CEK JENIS FIXTURE kosong",IF(AND(LEFT(L264,7)&lt;&gt;"Gondola",LEFT(L264,6)&lt;&gt;"Endcap"),"CEK Fixture 1 hanya Gondola atau Endcap",IF(M264="","CEK SHELVING KE kosong",IF(ISNA(MATCH(L264&amp;"|"&amp;M264,LAYOUT!$E$2:$E$80,0)),"CEK SHELVING KE di luar layout",IF($I264="","CEK SERIES kosong",IF(AND(N264&lt;&gt;"",NOT(ISNUMBER(N264))),"CEK URUTAN DISPLAY harus angka",IF($D264="","Zona STOCK",IF($E264="","CEK SKU DESCRIPTION kosong",IF(COUNTIFS($I$2:$I$500,$I264,L$2:L$500,"&lt;&gt;"&amp;L264,L$2:L$500,"&lt;&gt;")&gt;0,"CEK jenis fixture beda dalam satu series","OK"))))))))))</f>
        <v/>
      </c>
      <c r="Q264" s="11" t="n"/>
      <c r="R264" s="11" t="n"/>
      <c r="S264" s="11" t="n"/>
      <c r="T264" s="11">
        <f>IF(OR(Q264="",R264=""),"",IFERROR(INDEX(LAYOUT!$D$2:$D$80,MATCH(Q264&amp;"|"&amp;R264,LAYOUT!$E$2:$E$80,0)),""))</f>
        <v/>
      </c>
      <c r="U264" s="12">
        <f>IF(AND(Q264="",R264=""),IF(AND(L264="",M264="",V264="",W264=""),IF(OR($D264&lt;&gt;"",$E264&lt;&gt;""),"Belum ditempatkan",""),""),IF(Q264="","CEK JENIS FIXTURE kosong",IF(LEFT(Q264,4)&lt;&gt;"Wall","CEK Fixture 2 hanya Wall",IF(R264="","CEK SHELVING KE kosong",IF(ISNA(MATCH(Q264&amp;"|"&amp;R264,LAYOUT!$E$2:$E$80,0)),"CEK SHELVING KE di luar layout",IF($I264="","CEK SERIES kosong",IF(AND(S264&lt;&gt;"",NOT(ISNUMBER(S264))),"CEK URUTAN DISPLAY harus angka",IF($D264="","Zona STOCK",IF($E264="","CEK SKU DESCRIPTION kosong",IF(COUNTIFS($I$2:$I$500,$I264,Q$2:Q$500,"&lt;&gt;"&amp;Q264,Q$2:Q$500,"&lt;&gt;")&gt;0,"CEK jenis fixture beda dalam satu series","OK"))))))))))</f>
        <v/>
      </c>
      <c r="V264" s="11" t="n"/>
      <c r="W264" s="11" t="n"/>
      <c r="X264" s="11" t="n"/>
      <c r="Y264" s="11">
        <f>IF(OR(V264="",W264=""),"",IFERROR(INDEX(LAYOUT!$D$2:$D$80,MATCH(V264&amp;"|"&amp;W264,LAYOUT!$E$2:$E$80,0)),""))</f>
        <v/>
      </c>
      <c r="Z264" s="12">
        <f>IF(AND(V264="",W264=""),IF(AND(L264="",M264="",Q264="",R264=""),IF(OR($D264&lt;&gt;"",$E264&lt;&gt;""),"Belum ditempatkan",""),""),IF(V264="","CEK JENIS FIXTURE kosong",IF(LEFT(V264,4)&lt;&gt;"Wall","CEK Fixture 3 hanya Wall",IF(W264="","CEK SHELVING KE kosong",IF(ISNA(MATCH(V264&amp;"|"&amp;W264,LAYOUT!$E$2:$E$80,0)),"CEK SHELVING KE di luar layout",IF($I264="","CEK SERIES kosong",IF(AND(X264&lt;&gt;"",NOT(ISNUMBER(X264))),"CEK URUTAN DISPLAY harus angka",IF($D264="","Zona STOCK",IF($E264="","CEK SKU DESCRIPTION kosong",IF(COUNTIFS($I$2:$I$500,$I264,V$2:V$500,"&lt;&gt;"&amp;V264,V$2:V$500,"&lt;&gt;")&gt;0,"CEK jenis fixture beda dalam satu series","OK"))))))))))</f>
        <v/>
      </c>
      <c r="AA264" s="12" t="n"/>
      <c r="AB264" s="11" t="n"/>
      <c r="AC264" s="11" t="n"/>
      <c r="AD264" s="11" t="n"/>
      <c r="AE264" s="11" t="n"/>
      <c r="AF264" s="11" t="n"/>
      <c r="AG264" s="11" t="n"/>
      <c r="AH264" s="12" t="n"/>
      <c r="AI264" s="12" t="n"/>
    </row>
    <row r="265">
      <c r="A265" s="10" t="n"/>
      <c r="B265" s="10" t="n"/>
      <c r="C265" s="10" t="n"/>
      <c r="D265" s="10" t="n"/>
      <c r="E265" s="10" t="n"/>
      <c r="F265" s="10" t="n"/>
      <c r="G265" s="10" t="n"/>
      <c r="H265" s="10" t="n"/>
      <c r="I265" s="10" t="n"/>
      <c r="J265" s="10" t="n"/>
      <c r="K265" s="10" t="n"/>
      <c r="L265" s="11" t="n"/>
      <c r="M265" s="11" t="n"/>
      <c r="N265" s="11" t="n"/>
      <c r="O265" s="11">
        <f>IF(OR(L265="",M265=""),"",IFERROR(INDEX(LAYOUT!$D$2:$D$80,MATCH(L265&amp;"|"&amp;M265,LAYOUT!$E$2:$E$80,0)),""))</f>
        <v/>
      </c>
      <c r="P265" s="12">
        <f>IF(AND(L265="",M265=""),IF(AND(Q265="",R265="",V265="",W265=""),IF(OR($D265&lt;&gt;"",$E265&lt;&gt;""),"Belum ditempatkan",""),""),IF(L265="","CEK JENIS FIXTURE kosong",IF(AND(LEFT(L265,7)&lt;&gt;"Gondola",LEFT(L265,6)&lt;&gt;"Endcap"),"CEK Fixture 1 hanya Gondola atau Endcap",IF(M265="","CEK SHELVING KE kosong",IF(ISNA(MATCH(L265&amp;"|"&amp;M265,LAYOUT!$E$2:$E$80,0)),"CEK SHELVING KE di luar layout",IF($I265="","CEK SERIES kosong",IF(AND(N265&lt;&gt;"",NOT(ISNUMBER(N265))),"CEK URUTAN DISPLAY harus angka",IF($D265="","Zona STOCK",IF($E265="","CEK SKU DESCRIPTION kosong",IF(COUNTIFS($I$2:$I$500,$I265,L$2:L$500,"&lt;&gt;"&amp;L265,L$2:L$500,"&lt;&gt;")&gt;0,"CEK jenis fixture beda dalam satu series","OK"))))))))))</f>
        <v/>
      </c>
      <c r="Q265" s="11" t="n"/>
      <c r="R265" s="11" t="n"/>
      <c r="S265" s="11" t="n"/>
      <c r="T265" s="11">
        <f>IF(OR(Q265="",R265=""),"",IFERROR(INDEX(LAYOUT!$D$2:$D$80,MATCH(Q265&amp;"|"&amp;R265,LAYOUT!$E$2:$E$80,0)),""))</f>
        <v/>
      </c>
      <c r="U265" s="12">
        <f>IF(AND(Q265="",R265=""),IF(AND(L265="",M265="",V265="",W265=""),IF(OR($D265&lt;&gt;"",$E265&lt;&gt;""),"Belum ditempatkan",""),""),IF(Q265="","CEK JENIS FIXTURE kosong",IF(LEFT(Q265,4)&lt;&gt;"Wall","CEK Fixture 2 hanya Wall",IF(R265="","CEK SHELVING KE kosong",IF(ISNA(MATCH(Q265&amp;"|"&amp;R265,LAYOUT!$E$2:$E$80,0)),"CEK SHELVING KE di luar layout",IF($I265="","CEK SERIES kosong",IF(AND(S265&lt;&gt;"",NOT(ISNUMBER(S265))),"CEK URUTAN DISPLAY harus angka",IF($D265="","Zona STOCK",IF($E265="","CEK SKU DESCRIPTION kosong",IF(COUNTIFS($I$2:$I$500,$I265,Q$2:Q$500,"&lt;&gt;"&amp;Q265,Q$2:Q$500,"&lt;&gt;")&gt;0,"CEK jenis fixture beda dalam satu series","OK"))))))))))</f>
        <v/>
      </c>
      <c r="V265" s="11" t="n"/>
      <c r="W265" s="11" t="n"/>
      <c r="X265" s="11" t="n"/>
      <c r="Y265" s="11">
        <f>IF(OR(V265="",W265=""),"",IFERROR(INDEX(LAYOUT!$D$2:$D$80,MATCH(V265&amp;"|"&amp;W265,LAYOUT!$E$2:$E$80,0)),""))</f>
        <v/>
      </c>
      <c r="Z265" s="12">
        <f>IF(AND(V265="",W265=""),IF(AND(L265="",M265="",Q265="",R265=""),IF(OR($D265&lt;&gt;"",$E265&lt;&gt;""),"Belum ditempatkan",""),""),IF(V265="","CEK JENIS FIXTURE kosong",IF(LEFT(V265,4)&lt;&gt;"Wall","CEK Fixture 3 hanya Wall",IF(W265="","CEK SHELVING KE kosong",IF(ISNA(MATCH(V265&amp;"|"&amp;W265,LAYOUT!$E$2:$E$80,0)),"CEK SHELVING KE di luar layout",IF($I265="","CEK SERIES kosong",IF(AND(X265&lt;&gt;"",NOT(ISNUMBER(X265))),"CEK URUTAN DISPLAY harus angka",IF($D265="","Zona STOCK",IF($E265="","CEK SKU DESCRIPTION kosong",IF(COUNTIFS($I$2:$I$500,$I265,V$2:V$500,"&lt;&gt;"&amp;V265,V$2:V$500,"&lt;&gt;")&gt;0,"CEK jenis fixture beda dalam satu series","OK"))))))))))</f>
        <v/>
      </c>
      <c r="AA265" s="12" t="n"/>
      <c r="AB265" s="11" t="n"/>
      <c r="AC265" s="11" t="n"/>
      <c r="AD265" s="11" t="n"/>
      <c r="AE265" s="11" t="n"/>
      <c r="AF265" s="11" t="n"/>
      <c r="AG265" s="11" t="n"/>
      <c r="AH265" s="12" t="n"/>
      <c r="AI265" s="12" t="n"/>
    </row>
    <row r="266">
      <c r="A266" s="10" t="n"/>
      <c r="B266" s="10" t="n"/>
      <c r="C266" s="10" t="n"/>
      <c r="D266" s="10" t="n"/>
      <c r="E266" s="10" t="n"/>
      <c r="F266" s="10" t="n"/>
      <c r="G266" s="10" t="n"/>
      <c r="H266" s="10" t="n"/>
      <c r="I266" s="10" t="n"/>
      <c r="J266" s="10" t="n"/>
      <c r="K266" s="10" t="n"/>
      <c r="L266" s="11" t="n"/>
      <c r="M266" s="11" t="n"/>
      <c r="N266" s="11" t="n"/>
      <c r="O266" s="11">
        <f>IF(OR(L266="",M266=""),"",IFERROR(INDEX(LAYOUT!$D$2:$D$80,MATCH(L266&amp;"|"&amp;M266,LAYOUT!$E$2:$E$80,0)),""))</f>
        <v/>
      </c>
      <c r="P266" s="12">
        <f>IF(AND(L266="",M266=""),IF(AND(Q266="",R266="",V266="",W266=""),IF(OR($D266&lt;&gt;"",$E266&lt;&gt;""),"Belum ditempatkan",""),""),IF(L266="","CEK JENIS FIXTURE kosong",IF(AND(LEFT(L266,7)&lt;&gt;"Gondola",LEFT(L266,6)&lt;&gt;"Endcap"),"CEK Fixture 1 hanya Gondola atau Endcap",IF(M266="","CEK SHELVING KE kosong",IF(ISNA(MATCH(L266&amp;"|"&amp;M266,LAYOUT!$E$2:$E$80,0)),"CEK SHELVING KE di luar layout",IF($I266="","CEK SERIES kosong",IF(AND(N266&lt;&gt;"",NOT(ISNUMBER(N266))),"CEK URUTAN DISPLAY harus angka",IF($D266="","Zona STOCK",IF($E266="","CEK SKU DESCRIPTION kosong",IF(COUNTIFS($I$2:$I$500,$I266,L$2:L$500,"&lt;&gt;"&amp;L266,L$2:L$500,"&lt;&gt;")&gt;0,"CEK jenis fixture beda dalam satu series","OK"))))))))))</f>
        <v/>
      </c>
      <c r="Q266" s="11" t="n"/>
      <c r="R266" s="11" t="n"/>
      <c r="S266" s="11" t="n"/>
      <c r="T266" s="11">
        <f>IF(OR(Q266="",R266=""),"",IFERROR(INDEX(LAYOUT!$D$2:$D$80,MATCH(Q266&amp;"|"&amp;R266,LAYOUT!$E$2:$E$80,0)),""))</f>
        <v/>
      </c>
      <c r="U266" s="12">
        <f>IF(AND(Q266="",R266=""),IF(AND(L266="",M266="",V266="",W266=""),IF(OR($D266&lt;&gt;"",$E266&lt;&gt;""),"Belum ditempatkan",""),""),IF(Q266="","CEK JENIS FIXTURE kosong",IF(LEFT(Q266,4)&lt;&gt;"Wall","CEK Fixture 2 hanya Wall",IF(R266="","CEK SHELVING KE kosong",IF(ISNA(MATCH(Q266&amp;"|"&amp;R266,LAYOUT!$E$2:$E$80,0)),"CEK SHELVING KE di luar layout",IF($I266="","CEK SERIES kosong",IF(AND(S266&lt;&gt;"",NOT(ISNUMBER(S266))),"CEK URUTAN DISPLAY harus angka",IF($D266="","Zona STOCK",IF($E266="","CEK SKU DESCRIPTION kosong",IF(COUNTIFS($I$2:$I$500,$I266,Q$2:Q$500,"&lt;&gt;"&amp;Q266,Q$2:Q$500,"&lt;&gt;")&gt;0,"CEK jenis fixture beda dalam satu series","OK"))))))))))</f>
        <v/>
      </c>
      <c r="V266" s="11" t="n"/>
      <c r="W266" s="11" t="n"/>
      <c r="X266" s="11" t="n"/>
      <c r="Y266" s="11">
        <f>IF(OR(V266="",W266=""),"",IFERROR(INDEX(LAYOUT!$D$2:$D$80,MATCH(V266&amp;"|"&amp;W266,LAYOUT!$E$2:$E$80,0)),""))</f>
        <v/>
      </c>
      <c r="Z266" s="12">
        <f>IF(AND(V266="",W266=""),IF(AND(L266="",M266="",Q266="",R266=""),IF(OR($D266&lt;&gt;"",$E266&lt;&gt;""),"Belum ditempatkan",""),""),IF(V266="","CEK JENIS FIXTURE kosong",IF(LEFT(V266,4)&lt;&gt;"Wall","CEK Fixture 3 hanya Wall",IF(W266="","CEK SHELVING KE kosong",IF(ISNA(MATCH(V266&amp;"|"&amp;W266,LAYOUT!$E$2:$E$80,0)),"CEK SHELVING KE di luar layout",IF($I266="","CEK SERIES kosong",IF(AND(X266&lt;&gt;"",NOT(ISNUMBER(X266))),"CEK URUTAN DISPLAY harus angka",IF($D266="","Zona STOCK",IF($E266="","CEK SKU DESCRIPTION kosong",IF(COUNTIFS($I$2:$I$500,$I266,V$2:V$500,"&lt;&gt;"&amp;V266,V$2:V$500,"&lt;&gt;")&gt;0,"CEK jenis fixture beda dalam satu series","OK"))))))))))</f>
        <v/>
      </c>
      <c r="AA266" s="12" t="n"/>
      <c r="AB266" s="11" t="n"/>
      <c r="AC266" s="11" t="n"/>
      <c r="AD266" s="11" t="n"/>
      <c r="AE266" s="11" t="n"/>
      <c r="AF266" s="11" t="n"/>
      <c r="AG266" s="11" t="n"/>
      <c r="AH266" s="12" t="n"/>
      <c r="AI266" s="12" t="n"/>
    </row>
    <row r="267">
      <c r="A267" s="10" t="n"/>
      <c r="B267" s="10" t="n"/>
      <c r="C267" s="10" t="n"/>
      <c r="D267" s="10" t="n"/>
      <c r="E267" s="10" t="n"/>
      <c r="F267" s="10" t="n"/>
      <c r="G267" s="10" t="n"/>
      <c r="H267" s="10" t="n"/>
      <c r="I267" s="10" t="n"/>
      <c r="J267" s="10" t="n"/>
      <c r="K267" s="10" t="n"/>
      <c r="L267" s="11" t="n"/>
      <c r="M267" s="11" t="n"/>
      <c r="N267" s="11" t="n"/>
      <c r="O267" s="11">
        <f>IF(OR(L267="",M267=""),"",IFERROR(INDEX(LAYOUT!$D$2:$D$80,MATCH(L267&amp;"|"&amp;M267,LAYOUT!$E$2:$E$80,0)),""))</f>
        <v/>
      </c>
      <c r="P267" s="12">
        <f>IF(AND(L267="",M267=""),IF(AND(Q267="",R267="",V267="",W267=""),IF(OR($D267&lt;&gt;"",$E267&lt;&gt;""),"Belum ditempatkan",""),""),IF(L267="","CEK JENIS FIXTURE kosong",IF(AND(LEFT(L267,7)&lt;&gt;"Gondola",LEFT(L267,6)&lt;&gt;"Endcap"),"CEK Fixture 1 hanya Gondola atau Endcap",IF(M267="","CEK SHELVING KE kosong",IF(ISNA(MATCH(L267&amp;"|"&amp;M267,LAYOUT!$E$2:$E$80,0)),"CEK SHELVING KE di luar layout",IF($I267="","CEK SERIES kosong",IF(AND(N267&lt;&gt;"",NOT(ISNUMBER(N267))),"CEK URUTAN DISPLAY harus angka",IF($D267="","Zona STOCK",IF($E267="","CEK SKU DESCRIPTION kosong",IF(COUNTIFS($I$2:$I$500,$I267,L$2:L$500,"&lt;&gt;"&amp;L267,L$2:L$500,"&lt;&gt;")&gt;0,"CEK jenis fixture beda dalam satu series","OK"))))))))))</f>
        <v/>
      </c>
      <c r="Q267" s="11" t="n"/>
      <c r="R267" s="11" t="n"/>
      <c r="S267" s="11" t="n"/>
      <c r="T267" s="11">
        <f>IF(OR(Q267="",R267=""),"",IFERROR(INDEX(LAYOUT!$D$2:$D$80,MATCH(Q267&amp;"|"&amp;R267,LAYOUT!$E$2:$E$80,0)),""))</f>
        <v/>
      </c>
      <c r="U267" s="12">
        <f>IF(AND(Q267="",R267=""),IF(AND(L267="",M267="",V267="",W267=""),IF(OR($D267&lt;&gt;"",$E267&lt;&gt;""),"Belum ditempatkan",""),""),IF(Q267="","CEK JENIS FIXTURE kosong",IF(LEFT(Q267,4)&lt;&gt;"Wall","CEK Fixture 2 hanya Wall",IF(R267="","CEK SHELVING KE kosong",IF(ISNA(MATCH(Q267&amp;"|"&amp;R267,LAYOUT!$E$2:$E$80,0)),"CEK SHELVING KE di luar layout",IF($I267="","CEK SERIES kosong",IF(AND(S267&lt;&gt;"",NOT(ISNUMBER(S267))),"CEK URUTAN DISPLAY harus angka",IF($D267="","Zona STOCK",IF($E267="","CEK SKU DESCRIPTION kosong",IF(COUNTIFS($I$2:$I$500,$I267,Q$2:Q$500,"&lt;&gt;"&amp;Q267,Q$2:Q$500,"&lt;&gt;")&gt;0,"CEK jenis fixture beda dalam satu series","OK"))))))))))</f>
        <v/>
      </c>
      <c r="V267" s="11" t="n"/>
      <c r="W267" s="11" t="n"/>
      <c r="X267" s="11" t="n"/>
      <c r="Y267" s="11">
        <f>IF(OR(V267="",W267=""),"",IFERROR(INDEX(LAYOUT!$D$2:$D$80,MATCH(V267&amp;"|"&amp;W267,LAYOUT!$E$2:$E$80,0)),""))</f>
        <v/>
      </c>
      <c r="Z267" s="12">
        <f>IF(AND(V267="",W267=""),IF(AND(L267="",M267="",Q267="",R267=""),IF(OR($D267&lt;&gt;"",$E267&lt;&gt;""),"Belum ditempatkan",""),""),IF(V267="","CEK JENIS FIXTURE kosong",IF(LEFT(V267,4)&lt;&gt;"Wall","CEK Fixture 3 hanya Wall",IF(W267="","CEK SHELVING KE kosong",IF(ISNA(MATCH(V267&amp;"|"&amp;W267,LAYOUT!$E$2:$E$80,0)),"CEK SHELVING KE di luar layout",IF($I267="","CEK SERIES kosong",IF(AND(X267&lt;&gt;"",NOT(ISNUMBER(X267))),"CEK URUTAN DISPLAY harus angka",IF($D267="","Zona STOCK",IF($E267="","CEK SKU DESCRIPTION kosong",IF(COUNTIFS($I$2:$I$500,$I267,V$2:V$500,"&lt;&gt;"&amp;V267,V$2:V$500,"&lt;&gt;")&gt;0,"CEK jenis fixture beda dalam satu series","OK"))))))))))</f>
        <v/>
      </c>
      <c r="AA267" s="12" t="n"/>
      <c r="AB267" s="11" t="n"/>
      <c r="AC267" s="11" t="n"/>
      <c r="AD267" s="11" t="n"/>
      <c r="AE267" s="11" t="n"/>
      <c r="AF267" s="11" t="n"/>
      <c r="AG267" s="11" t="n"/>
      <c r="AH267" s="12" t="n"/>
      <c r="AI267" s="12" t="n"/>
    </row>
    <row r="268">
      <c r="A268" s="10" t="n"/>
      <c r="B268" s="10" t="n"/>
      <c r="C268" s="10" t="n"/>
      <c r="D268" s="10" t="n"/>
      <c r="E268" s="10" t="n"/>
      <c r="F268" s="10" t="n"/>
      <c r="G268" s="10" t="n"/>
      <c r="H268" s="10" t="n"/>
      <c r="I268" s="10" t="n"/>
      <c r="J268" s="10" t="n"/>
      <c r="K268" s="10" t="n"/>
      <c r="L268" s="11" t="n"/>
      <c r="M268" s="11" t="n"/>
      <c r="N268" s="11" t="n"/>
      <c r="O268" s="11">
        <f>IF(OR(L268="",M268=""),"",IFERROR(INDEX(LAYOUT!$D$2:$D$80,MATCH(L268&amp;"|"&amp;M268,LAYOUT!$E$2:$E$80,0)),""))</f>
        <v/>
      </c>
      <c r="P268" s="12">
        <f>IF(AND(L268="",M268=""),IF(AND(Q268="",R268="",V268="",W268=""),IF(OR($D268&lt;&gt;"",$E268&lt;&gt;""),"Belum ditempatkan",""),""),IF(L268="","CEK JENIS FIXTURE kosong",IF(AND(LEFT(L268,7)&lt;&gt;"Gondola",LEFT(L268,6)&lt;&gt;"Endcap"),"CEK Fixture 1 hanya Gondola atau Endcap",IF(M268="","CEK SHELVING KE kosong",IF(ISNA(MATCH(L268&amp;"|"&amp;M268,LAYOUT!$E$2:$E$80,0)),"CEK SHELVING KE di luar layout",IF($I268="","CEK SERIES kosong",IF(AND(N268&lt;&gt;"",NOT(ISNUMBER(N268))),"CEK URUTAN DISPLAY harus angka",IF($D268="","Zona STOCK",IF($E268="","CEK SKU DESCRIPTION kosong",IF(COUNTIFS($I$2:$I$500,$I268,L$2:L$500,"&lt;&gt;"&amp;L268,L$2:L$500,"&lt;&gt;")&gt;0,"CEK jenis fixture beda dalam satu series","OK"))))))))))</f>
        <v/>
      </c>
      <c r="Q268" s="11" t="n"/>
      <c r="R268" s="11" t="n"/>
      <c r="S268" s="11" t="n"/>
      <c r="T268" s="11">
        <f>IF(OR(Q268="",R268=""),"",IFERROR(INDEX(LAYOUT!$D$2:$D$80,MATCH(Q268&amp;"|"&amp;R268,LAYOUT!$E$2:$E$80,0)),""))</f>
        <v/>
      </c>
      <c r="U268" s="12">
        <f>IF(AND(Q268="",R268=""),IF(AND(L268="",M268="",V268="",W268=""),IF(OR($D268&lt;&gt;"",$E268&lt;&gt;""),"Belum ditempatkan",""),""),IF(Q268="","CEK JENIS FIXTURE kosong",IF(LEFT(Q268,4)&lt;&gt;"Wall","CEK Fixture 2 hanya Wall",IF(R268="","CEK SHELVING KE kosong",IF(ISNA(MATCH(Q268&amp;"|"&amp;R268,LAYOUT!$E$2:$E$80,0)),"CEK SHELVING KE di luar layout",IF($I268="","CEK SERIES kosong",IF(AND(S268&lt;&gt;"",NOT(ISNUMBER(S268))),"CEK URUTAN DISPLAY harus angka",IF($D268="","Zona STOCK",IF($E268="","CEK SKU DESCRIPTION kosong",IF(COUNTIFS($I$2:$I$500,$I268,Q$2:Q$500,"&lt;&gt;"&amp;Q268,Q$2:Q$500,"&lt;&gt;")&gt;0,"CEK jenis fixture beda dalam satu series","OK"))))))))))</f>
        <v/>
      </c>
      <c r="V268" s="11" t="n"/>
      <c r="W268" s="11" t="n"/>
      <c r="X268" s="11" t="n"/>
      <c r="Y268" s="11">
        <f>IF(OR(V268="",W268=""),"",IFERROR(INDEX(LAYOUT!$D$2:$D$80,MATCH(V268&amp;"|"&amp;W268,LAYOUT!$E$2:$E$80,0)),""))</f>
        <v/>
      </c>
      <c r="Z268" s="12">
        <f>IF(AND(V268="",W268=""),IF(AND(L268="",M268="",Q268="",R268=""),IF(OR($D268&lt;&gt;"",$E268&lt;&gt;""),"Belum ditempatkan",""),""),IF(V268="","CEK JENIS FIXTURE kosong",IF(LEFT(V268,4)&lt;&gt;"Wall","CEK Fixture 3 hanya Wall",IF(W268="","CEK SHELVING KE kosong",IF(ISNA(MATCH(V268&amp;"|"&amp;W268,LAYOUT!$E$2:$E$80,0)),"CEK SHELVING KE di luar layout",IF($I268="","CEK SERIES kosong",IF(AND(X268&lt;&gt;"",NOT(ISNUMBER(X268))),"CEK URUTAN DISPLAY harus angka",IF($D268="","Zona STOCK",IF($E268="","CEK SKU DESCRIPTION kosong",IF(COUNTIFS($I$2:$I$500,$I268,V$2:V$500,"&lt;&gt;"&amp;V268,V$2:V$500,"&lt;&gt;")&gt;0,"CEK jenis fixture beda dalam satu series","OK"))))))))))</f>
        <v/>
      </c>
      <c r="AA268" s="12" t="n"/>
      <c r="AB268" s="11" t="n"/>
      <c r="AC268" s="11" t="n"/>
      <c r="AD268" s="11" t="n"/>
      <c r="AE268" s="11" t="n"/>
      <c r="AF268" s="11" t="n"/>
      <c r="AG268" s="11" t="n"/>
      <c r="AH268" s="12" t="n"/>
      <c r="AI268" s="12" t="n"/>
    </row>
    <row r="269">
      <c r="A269" s="10" t="n"/>
      <c r="B269" s="10" t="n"/>
      <c r="C269" s="10" t="n"/>
      <c r="D269" s="10" t="n"/>
      <c r="E269" s="10" t="n"/>
      <c r="F269" s="10" t="n"/>
      <c r="G269" s="10" t="n"/>
      <c r="H269" s="10" t="n"/>
      <c r="I269" s="10" t="n"/>
      <c r="J269" s="10" t="n"/>
      <c r="K269" s="10" t="n"/>
      <c r="L269" s="11" t="n"/>
      <c r="M269" s="11" t="n"/>
      <c r="N269" s="11" t="n"/>
      <c r="O269" s="11">
        <f>IF(OR(L269="",M269=""),"",IFERROR(INDEX(LAYOUT!$D$2:$D$80,MATCH(L269&amp;"|"&amp;M269,LAYOUT!$E$2:$E$80,0)),""))</f>
        <v/>
      </c>
      <c r="P269" s="12">
        <f>IF(AND(L269="",M269=""),IF(AND(Q269="",R269="",V269="",W269=""),IF(OR($D269&lt;&gt;"",$E269&lt;&gt;""),"Belum ditempatkan",""),""),IF(L269="","CEK JENIS FIXTURE kosong",IF(AND(LEFT(L269,7)&lt;&gt;"Gondola",LEFT(L269,6)&lt;&gt;"Endcap"),"CEK Fixture 1 hanya Gondola atau Endcap",IF(M269="","CEK SHELVING KE kosong",IF(ISNA(MATCH(L269&amp;"|"&amp;M269,LAYOUT!$E$2:$E$80,0)),"CEK SHELVING KE di luar layout",IF($I269="","CEK SERIES kosong",IF(AND(N269&lt;&gt;"",NOT(ISNUMBER(N269))),"CEK URUTAN DISPLAY harus angka",IF($D269="","Zona STOCK",IF($E269="","CEK SKU DESCRIPTION kosong",IF(COUNTIFS($I$2:$I$500,$I269,L$2:L$500,"&lt;&gt;"&amp;L269,L$2:L$500,"&lt;&gt;")&gt;0,"CEK jenis fixture beda dalam satu series","OK"))))))))))</f>
        <v/>
      </c>
      <c r="Q269" s="11" t="n"/>
      <c r="R269" s="11" t="n"/>
      <c r="S269" s="11" t="n"/>
      <c r="T269" s="11">
        <f>IF(OR(Q269="",R269=""),"",IFERROR(INDEX(LAYOUT!$D$2:$D$80,MATCH(Q269&amp;"|"&amp;R269,LAYOUT!$E$2:$E$80,0)),""))</f>
        <v/>
      </c>
      <c r="U269" s="12">
        <f>IF(AND(Q269="",R269=""),IF(AND(L269="",M269="",V269="",W269=""),IF(OR($D269&lt;&gt;"",$E269&lt;&gt;""),"Belum ditempatkan",""),""),IF(Q269="","CEK JENIS FIXTURE kosong",IF(LEFT(Q269,4)&lt;&gt;"Wall","CEK Fixture 2 hanya Wall",IF(R269="","CEK SHELVING KE kosong",IF(ISNA(MATCH(Q269&amp;"|"&amp;R269,LAYOUT!$E$2:$E$80,0)),"CEK SHELVING KE di luar layout",IF($I269="","CEK SERIES kosong",IF(AND(S269&lt;&gt;"",NOT(ISNUMBER(S269))),"CEK URUTAN DISPLAY harus angka",IF($D269="","Zona STOCK",IF($E269="","CEK SKU DESCRIPTION kosong",IF(COUNTIFS($I$2:$I$500,$I269,Q$2:Q$500,"&lt;&gt;"&amp;Q269,Q$2:Q$500,"&lt;&gt;")&gt;0,"CEK jenis fixture beda dalam satu series","OK"))))))))))</f>
        <v/>
      </c>
      <c r="V269" s="11" t="n"/>
      <c r="W269" s="11" t="n"/>
      <c r="X269" s="11" t="n"/>
      <c r="Y269" s="11">
        <f>IF(OR(V269="",W269=""),"",IFERROR(INDEX(LAYOUT!$D$2:$D$80,MATCH(V269&amp;"|"&amp;W269,LAYOUT!$E$2:$E$80,0)),""))</f>
        <v/>
      </c>
      <c r="Z269" s="12">
        <f>IF(AND(V269="",W269=""),IF(AND(L269="",M269="",Q269="",R269=""),IF(OR($D269&lt;&gt;"",$E269&lt;&gt;""),"Belum ditempatkan",""),""),IF(V269="","CEK JENIS FIXTURE kosong",IF(LEFT(V269,4)&lt;&gt;"Wall","CEK Fixture 3 hanya Wall",IF(W269="","CEK SHELVING KE kosong",IF(ISNA(MATCH(V269&amp;"|"&amp;W269,LAYOUT!$E$2:$E$80,0)),"CEK SHELVING KE di luar layout",IF($I269="","CEK SERIES kosong",IF(AND(X269&lt;&gt;"",NOT(ISNUMBER(X269))),"CEK URUTAN DISPLAY harus angka",IF($D269="","Zona STOCK",IF($E269="","CEK SKU DESCRIPTION kosong",IF(COUNTIFS($I$2:$I$500,$I269,V$2:V$500,"&lt;&gt;"&amp;V269,V$2:V$500,"&lt;&gt;")&gt;0,"CEK jenis fixture beda dalam satu series","OK"))))))))))</f>
        <v/>
      </c>
      <c r="AA269" s="12" t="n"/>
      <c r="AB269" s="11" t="n"/>
      <c r="AC269" s="11" t="n"/>
      <c r="AD269" s="11" t="n"/>
      <c r="AE269" s="11" t="n"/>
      <c r="AF269" s="11" t="n"/>
      <c r="AG269" s="11" t="n"/>
      <c r="AH269" s="12" t="n"/>
      <c r="AI269" s="12" t="n"/>
    </row>
    <row r="270">
      <c r="A270" s="10" t="n"/>
      <c r="B270" s="10" t="n"/>
      <c r="C270" s="10" t="n"/>
      <c r="D270" s="10" t="n"/>
      <c r="E270" s="10" t="n"/>
      <c r="F270" s="10" t="n"/>
      <c r="G270" s="10" t="n"/>
      <c r="H270" s="10" t="n"/>
      <c r="I270" s="10" t="n"/>
      <c r="J270" s="10" t="n"/>
      <c r="K270" s="10" t="n"/>
      <c r="L270" s="11" t="n"/>
      <c r="M270" s="11" t="n"/>
      <c r="N270" s="11" t="n"/>
      <c r="O270" s="11">
        <f>IF(OR(L270="",M270=""),"",IFERROR(INDEX(LAYOUT!$D$2:$D$80,MATCH(L270&amp;"|"&amp;M270,LAYOUT!$E$2:$E$80,0)),""))</f>
        <v/>
      </c>
      <c r="P270" s="12">
        <f>IF(AND(L270="",M270=""),IF(AND(Q270="",R270="",V270="",W270=""),IF(OR($D270&lt;&gt;"",$E270&lt;&gt;""),"Belum ditempatkan",""),""),IF(L270="","CEK JENIS FIXTURE kosong",IF(AND(LEFT(L270,7)&lt;&gt;"Gondola",LEFT(L270,6)&lt;&gt;"Endcap"),"CEK Fixture 1 hanya Gondola atau Endcap",IF(M270="","CEK SHELVING KE kosong",IF(ISNA(MATCH(L270&amp;"|"&amp;M270,LAYOUT!$E$2:$E$80,0)),"CEK SHELVING KE di luar layout",IF($I270="","CEK SERIES kosong",IF(AND(N270&lt;&gt;"",NOT(ISNUMBER(N270))),"CEK URUTAN DISPLAY harus angka",IF($D270="","Zona STOCK",IF($E270="","CEK SKU DESCRIPTION kosong",IF(COUNTIFS($I$2:$I$500,$I270,L$2:L$500,"&lt;&gt;"&amp;L270,L$2:L$500,"&lt;&gt;")&gt;0,"CEK jenis fixture beda dalam satu series","OK"))))))))))</f>
        <v/>
      </c>
      <c r="Q270" s="11" t="n"/>
      <c r="R270" s="11" t="n"/>
      <c r="S270" s="11" t="n"/>
      <c r="T270" s="11">
        <f>IF(OR(Q270="",R270=""),"",IFERROR(INDEX(LAYOUT!$D$2:$D$80,MATCH(Q270&amp;"|"&amp;R270,LAYOUT!$E$2:$E$80,0)),""))</f>
        <v/>
      </c>
      <c r="U270" s="12">
        <f>IF(AND(Q270="",R270=""),IF(AND(L270="",M270="",V270="",W270=""),IF(OR($D270&lt;&gt;"",$E270&lt;&gt;""),"Belum ditempatkan",""),""),IF(Q270="","CEK JENIS FIXTURE kosong",IF(LEFT(Q270,4)&lt;&gt;"Wall","CEK Fixture 2 hanya Wall",IF(R270="","CEK SHELVING KE kosong",IF(ISNA(MATCH(Q270&amp;"|"&amp;R270,LAYOUT!$E$2:$E$80,0)),"CEK SHELVING KE di luar layout",IF($I270="","CEK SERIES kosong",IF(AND(S270&lt;&gt;"",NOT(ISNUMBER(S270))),"CEK URUTAN DISPLAY harus angka",IF($D270="","Zona STOCK",IF($E270="","CEK SKU DESCRIPTION kosong",IF(COUNTIFS($I$2:$I$500,$I270,Q$2:Q$500,"&lt;&gt;"&amp;Q270,Q$2:Q$500,"&lt;&gt;")&gt;0,"CEK jenis fixture beda dalam satu series","OK"))))))))))</f>
        <v/>
      </c>
      <c r="V270" s="11" t="n"/>
      <c r="W270" s="11" t="n"/>
      <c r="X270" s="11" t="n"/>
      <c r="Y270" s="11">
        <f>IF(OR(V270="",W270=""),"",IFERROR(INDEX(LAYOUT!$D$2:$D$80,MATCH(V270&amp;"|"&amp;W270,LAYOUT!$E$2:$E$80,0)),""))</f>
        <v/>
      </c>
      <c r="Z270" s="12">
        <f>IF(AND(V270="",W270=""),IF(AND(L270="",M270="",Q270="",R270=""),IF(OR($D270&lt;&gt;"",$E270&lt;&gt;""),"Belum ditempatkan",""),""),IF(V270="","CEK JENIS FIXTURE kosong",IF(LEFT(V270,4)&lt;&gt;"Wall","CEK Fixture 3 hanya Wall",IF(W270="","CEK SHELVING KE kosong",IF(ISNA(MATCH(V270&amp;"|"&amp;W270,LAYOUT!$E$2:$E$80,0)),"CEK SHELVING KE di luar layout",IF($I270="","CEK SERIES kosong",IF(AND(X270&lt;&gt;"",NOT(ISNUMBER(X270))),"CEK URUTAN DISPLAY harus angka",IF($D270="","Zona STOCK",IF($E270="","CEK SKU DESCRIPTION kosong",IF(COUNTIFS($I$2:$I$500,$I270,V$2:V$500,"&lt;&gt;"&amp;V270,V$2:V$500,"&lt;&gt;")&gt;0,"CEK jenis fixture beda dalam satu series","OK"))))))))))</f>
        <v/>
      </c>
      <c r="AA270" s="12" t="n"/>
      <c r="AB270" s="11" t="n"/>
      <c r="AC270" s="11" t="n"/>
      <c r="AD270" s="11" t="n"/>
      <c r="AE270" s="11" t="n"/>
      <c r="AF270" s="11" t="n"/>
      <c r="AG270" s="11" t="n"/>
      <c r="AH270" s="12" t="n"/>
      <c r="AI270" s="12" t="n"/>
    </row>
    <row r="271">
      <c r="A271" s="10" t="n"/>
      <c r="B271" s="10" t="n"/>
      <c r="C271" s="10" t="n"/>
      <c r="D271" s="10" t="n"/>
      <c r="E271" s="10" t="n"/>
      <c r="F271" s="10" t="n"/>
      <c r="G271" s="10" t="n"/>
      <c r="H271" s="10" t="n"/>
      <c r="I271" s="10" t="n"/>
      <c r="J271" s="10" t="n"/>
      <c r="K271" s="10" t="n"/>
      <c r="L271" s="11" t="n"/>
      <c r="M271" s="11" t="n"/>
      <c r="N271" s="11" t="n"/>
      <c r="O271" s="11">
        <f>IF(OR(L271="",M271=""),"",IFERROR(INDEX(LAYOUT!$D$2:$D$80,MATCH(L271&amp;"|"&amp;M271,LAYOUT!$E$2:$E$80,0)),""))</f>
        <v/>
      </c>
      <c r="P271" s="12">
        <f>IF(AND(L271="",M271=""),IF(AND(Q271="",R271="",V271="",W271=""),IF(OR($D271&lt;&gt;"",$E271&lt;&gt;""),"Belum ditempatkan",""),""),IF(L271="","CEK JENIS FIXTURE kosong",IF(AND(LEFT(L271,7)&lt;&gt;"Gondola",LEFT(L271,6)&lt;&gt;"Endcap"),"CEK Fixture 1 hanya Gondola atau Endcap",IF(M271="","CEK SHELVING KE kosong",IF(ISNA(MATCH(L271&amp;"|"&amp;M271,LAYOUT!$E$2:$E$80,0)),"CEK SHELVING KE di luar layout",IF($I271="","CEK SERIES kosong",IF(AND(N271&lt;&gt;"",NOT(ISNUMBER(N271))),"CEK URUTAN DISPLAY harus angka",IF($D271="","Zona STOCK",IF($E271="","CEK SKU DESCRIPTION kosong",IF(COUNTIFS($I$2:$I$500,$I271,L$2:L$500,"&lt;&gt;"&amp;L271,L$2:L$500,"&lt;&gt;")&gt;0,"CEK jenis fixture beda dalam satu series","OK"))))))))))</f>
        <v/>
      </c>
      <c r="Q271" s="11" t="n"/>
      <c r="R271" s="11" t="n"/>
      <c r="S271" s="11" t="n"/>
      <c r="T271" s="11">
        <f>IF(OR(Q271="",R271=""),"",IFERROR(INDEX(LAYOUT!$D$2:$D$80,MATCH(Q271&amp;"|"&amp;R271,LAYOUT!$E$2:$E$80,0)),""))</f>
        <v/>
      </c>
      <c r="U271" s="12">
        <f>IF(AND(Q271="",R271=""),IF(AND(L271="",M271="",V271="",W271=""),IF(OR($D271&lt;&gt;"",$E271&lt;&gt;""),"Belum ditempatkan",""),""),IF(Q271="","CEK JENIS FIXTURE kosong",IF(LEFT(Q271,4)&lt;&gt;"Wall","CEK Fixture 2 hanya Wall",IF(R271="","CEK SHELVING KE kosong",IF(ISNA(MATCH(Q271&amp;"|"&amp;R271,LAYOUT!$E$2:$E$80,0)),"CEK SHELVING KE di luar layout",IF($I271="","CEK SERIES kosong",IF(AND(S271&lt;&gt;"",NOT(ISNUMBER(S271))),"CEK URUTAN DISPLAY harus angka",IF($D271="","Zona STOCK",IF($E271="","CEK SKU DESCRIPTION kosong",IF(COUNTIFS($I$2:$I$500,$I271,Q$2:Q$500,"&lt;&gt;"&amp;Q271,Q$2:Q$500,"&lt;&gt;")&gt;0,"CEK jenis fixture beda dalam satu series","OK"))))))))))</f>
        <v/>
      </c>
      <c r="V271" s="11" t="n"/>
      <c r="W271" s="11" t="n"/>
      <c r="X271" s="11" t="n"/>
      <c r="Y271" s="11">
        <f>IF(OR(V271="",W271=""),"",IFERROR(INDEX(LAYOUT!$D$2:$D$80,MATCH(V271&amp;"|"&amp;W271,LAYOUT!$E$2:$E$80,0)),""))</f>
        <v/>
      </c>
      <c r="Z271" s="12">
        <f>IF(AND(V271="",W271=""),IF(AND(L271="",M271="",Q271="",R271=""),IF(OR($D271&lt;&gt;"",$E271&lt;&gt;""),"Belum ditempatkan",""),""),IF(V271="","CEK JENIS FIXTURE kosong",IF(LEFT(V271,4)&lt;&gt;"Wall","CEK Fixture 3 hanya Wall",IF(W271="","CEK SHELVING KE kosong",IF(ISNA(MATCH(V271&amp;"|"&amp;W271,LAYOUT!$E$2:$E$80,0)),"CEK SHELVING KE di luar layout",IF($I271="","CEK SERIES kosong",IF(AND(X271&lt;&gt;"",NOT(ISNUMBER(X271))),"CEK URUTAN DISPLAY harus angka",IF($D271="","Zona STOCK",IF($E271="","CEK SKU DESCRIPTION kosong",IF(COUNTIFS($I$2:$I$500,$I271,V$2:V$500,"&lt;&gt;"&amp;V271,V$2:V$500,"&lt;&gt;")&gt;0,"CEK jenis fixture beda dalam satu series","OK"))))))))))</f>
        <v/>
      </c>
      <c r="AA271" s="12" t="n"/>
      <c r="AB271" s="11" t="n"/>
      <c r="AC271" s="11" t="n"/>
      <c r="AD271" s="11" t="n"/>
      <c r="AE271" s="11" t="n"/>
      <c r="AF271" s="11" t="n"/>
      <c r="AG271" s="11" t="n"/>
      <c r="AH271" s="12" t="n"/>
      <c r="AI271" s="12" t="n"/>
    </row>
    <row r="272">
      <c r="A272" s="10" t="n"/>
      <c r="B272" s="10" t="n"/>
      <c r="C272" s="10" t="n"/>
      <c r="D272" s="10" t="n"/>
      <c r="E272" s="10" t="n"/>
      <c r="F272" s="10" t="n"/>
      <c r="G272" s="10" t="n"/>
      <c r="H272" s="10" t="n"/>
      <c r="I272" s="10" t="n"/>
      <c r="J272" s="10" t="n"/>
      <c r="K272" s="10" t="n"/>
      <c r="L272" s="11" t="n"/>
      <c r="M272" s="11" t="n"/>
      <c r="N272" s="11" t="n"/>
      <c r="O272" s="11">
        <f>IF(OR(L272="",M272=""),"",IFERROR(INDEX(LAYOUT!$D$2:$D$80,MATCH(L272&amp;"|"&amp;M272,LAYOUT!$E$2:$E$80,0)),""))</f>
        <v/>
      </c>
      <c r="P272" s="12">
        <f>IF(AND(L272="",M272=""),IF(AND(Q272="",R272="",V272="",W272=""),IF(OR($D272&lt;&gt;"",$E272&lt;&gt;""),"Belum ditempatkan",""),""),IF(L272="","CEK JENIS FIXTURE kosong",IF(AND(LEFT(L272,7)&lt;&gt;"Gondola",LEFT(L272,6)&lt;&gt;"Endcap"),"CEK Fixture 1 hanya Gondola atau Endcap",IF(M272="","CEK SHELVING KE kosong",IF(ISNA(MATCH(L272&amp;"|"&amp;M272,LAYOUT!$E$2:$E$80,0)),"CEK SHELVING KE di luar layout",IF($I272="","CEK SERIES kosong",IF(AND(N272&lt;&gt;"",NOT(ISNUMBER(N272))),"CEK URUTAN DISPLAY harus angka",IF($D272="","Zona STOCK",IF($E272="","CEK SKU DESCRIPTION kosong",IF(COUNTIFS($I$2:$I$500,$I272,L$2:L$500,"&lt;&gt;"&amp;L272,L$2:L$500,"&lt;&gt;")&gt;0,"CEK jenis fixture beda dalam satu series","OK"))))))))))</f>
        <v/>
      </c>
      <c r="Q272" s="11" t="n"/>
      <c r="R272" s="11" t="n"/>
      <c r="S272" s="11" t="n"/>
      <c r="T272" s="11">
        <f>IF(OR(Q272="",R272=""),"",IFERROR(INDEX(LAYOUT!$D$2:$D$80,MATCH(Q272&amp;"|"&amp;R272,LAYOUT!$E$2:$E$80,0)),""))</f>
        <v/>
      </c>
      <c r="U272" s="12">
        <f>IF(AND(Q272="",R272=""),IF(AND(L272="",M272="",V272="",W272=""),IF(OR($D272&lt;&gt;"",$E272&lt;&gt;""),"Belum ditempatkan",""),""),IF(Q272="","CEK JENIS FIXTURE kosong",IF(LEFT(Q272,4)&lt;&gt;"Wall","CEK Fixture 2 hanya Wall",IF(R272="","CEK SHELVING KE kosong",IF(ISNA(MATCH(Q272&amp;"|"&amp;R272,LAYOUT!$E$2:$E$80,0)),"CEK SHELVING KE di luar layout",IF($I272="","CEK SERIES kosong",IF(AND(S272&lt;&gt;"",NOT(ISNUMBER(S272))),"CEK URUTAN DISPLAY harus angka",IF($D272="","Zona STOCK",IF($E272="","CEK SKU DESCRIPTION kosong",IF(COUNTIFS($I$2:$I$500,$I272,Q$2:Q$500,"&lt;&gt;"&amp;Q272,Q$2:Q$500,"&lt;&gt;")&gt;0,"CEK jenis fixture beda dalam satu series","OK"))))))))))</f>
        <v/>
      </c>
      <c r="V272" s="11" t="n"/>
      <c r="W272" s="11" t="n"/>
      <c r="X272" s="11" t="n"/>
      <c r="Y272" s="11">
        <f>IF(OR(V272="",W272=""),"",IFERROR(INDEX(LAYOUT!$D$2:$D$80,MATCH(V272&amp;"|"&amp;W272,LAYOUT!$E$2:$E$80,0)),""))</f>
        <v/>
      </c>
      <c r="Z272" s="12">
        <f>IF(AND(V272="",W272=""),IF(AND(L272="",M272="",Q272="",R272=""),IF(OR($D272&lt;&gt;"",$E272&lt;&gt;""),"Belum ditempatkan",""),""),IF(V272="","CEK JENIS FIXTURE kosong",IF(LEFT(V272,4)&lt;&gt;"Wall","CEK Fixture 3 hanya Wall",IF(W272="","CEK SHELVING KE kosong",IF(ISNA(MATCH(V272&amp;"|"&amp;W272,LAYOUT!$E$2:$E$80,0)),"CEK SHELVING KE di luar layout",IF($I272="","CEK SERIES kosong",IF(AND(X272&lt;&gt;"",NOT(ISNUMBER(X272))),"CEK URUTAN DISPLAY harus angka",IF($D272="","Zona STOCK",IF($E272="","CEK SKU DESCRIPTION kosong",IF(COUNTIFS($I$2:$I$500,$I272,V$2:V$500,"&lt;&gt;"&amp;V272,V$2:V$500,"&lt;&gt;")&gt;0,"CEK jenis fixture beda dalam satu series","OK"))))))))))</f>
        <v/>
      </c>
      <c r="AA272" s="12" t="n"/>
      <c r="AB272" s="11" t="n"/>
      <c r="AC272" s="11" t="n"/>
      <c r="AD272" s="11" t="n"/>
      <c r="AE272" s="11" t="n"/>
      <c r="AF272" s="11" t="n"/>
      <c r="AG272" s="11" t="n"/>
      <c r="AH272" s="12" t="n"/>
      <c r="AI272" s="12" t="n"/>
    </row>
    <row r="273">
      <c r="A273" s="10" t="n"/>
      <c r="B273" s="10" t="n"/>
      <c r="C273" s="10" t="n"/>
      <c r="D273" s="10" t="n"/>
      <c r="E273" s="10" t="n"/>
      <c r="F273" s="10" t="n"/>
      <c r="G273" s="10" t="n"/>
      <c r="H273" s="10" t="n"/>
      <c r="I273" s="10" t="n"/>
      <c r="J273" s="10" t="n"/>
      <c r="K273" s="10" t="n"/>
      <c r="L273" s="11" t="n"/>
      <c r="M273" s="11" t="n"/>
      <c r="N273" s="11" t="n"/>
      <c r="O273" s="11">
        <f>IF(OR(L273="",M273=""),"",IFERROR(INDEX(LAYOUT!$D$2:$D$80,MATCH(L273&amp;"|"&amp;M273,LAYOUT!$E$2:$E$80,0)),""))</f>
        <v/>
      </c>
      <c r="P273" s="12">
        <f>IF(AND(L273="",M273=""),IF(AND(Q273="",R273="",V273="",W273=""),IF(OR($D273&lt;&gt;"",$E273&lt;&gt;""),"Belum ditempatkan",""),""),IF(L273="","CEK JENIS FIXTURE kosong",IF(AND(LEFT(L273,7)&lt;&gt;"Gondola",LEFT(L273,6)&lt;&gt;"Endcap"),"CEK Fixture 1 hanya Gondola atau Endcap",IF(M273="","CEK SHELVING KE kosong",IF(ISNA(MATCH(L273&amp;"|"&amp;M273,LAYOUT!$E$2:$E$80,0)),"CEK SHELVING KE di luar layout",IF($I273="","CEK SERIES kosong",IF(AND(N273&lt;&gt;"",NOT(ISNUMBER(N273))),"CEK URUTAN DISPLAY harus angka",IF($D273="","Zona STOCK",IF($E273="","CEK SKU DESCRIPTION kosong",IF(COUNTIFS($I$2:$I$500,$I273,L$2:L$500,"&lt;&gt;"&amp;L273,L$2:L$500,"&lt;&gt;")&gt;0,"CEK jenis fixture beda dalam satu series","OK"))))))))))</f>
        <v/>
      </c>
      <c r="Q273" s="11" t="n"/>
      <c r="R273" s="11" t="n"/>
      <c r="S273" s="11" t="n"/>
      <c r="T273" s="11">
        <f>IF(OR(Q273="",R273=""),"",IFERROR(INDEX(LAYOUT!$D$2:$D$80,MATCH(Q273&amp;"|"&amp;R273,LAYOUT!$E$2:$E$80,0)),""))</f>
        <v/>
      </c>
      <c r="U273" s="12">
        <f>IF(AND(Q273="",R273=""),IF(AND(L273="",M273="",V273="",W273=""),IF(OR($D273&lt;&gt;"",$E273&lt;&gt;""),"Belum ditempatkan",""),""),IF(Q273="","CEK JENIS FIXTURE kosong",IF(LEFT(Q273,4)&lt;&gt;"Wall","CEK Fixture 2 hanya Wall",IF(R273="","CEK SHELVING KE kosong",IF(ISNA(MATCH(Q273&amp;"|"&amp;R273,LAYOUT!$E$2:$E$80,0)),"CEK SHELVING KE di luar layout",IF($I273="","CEK SERIES kosong",IF(AND(S273&lt;&gt;"",NOT(ISNUMBER(S273))),"CEK URUTAN DISPLAY harus angka",IF($D273="","Zona STOCK",IF($E273="","CEK SKU DESCRIPTION kosong",IF(COUNTIFS($I$2:$I$500,$I273,Q$2:Q$500,"&lt;&gt;"&amp;Q273,Q$2:Q$500,"&lt;&gt;")&gt;0,"CEK jenis fixture beda dalam satu series","OK"))))))))))</f>
        <v/>
      </c>
      <c r="V273" s="11" t="n"/>
      <c r="W273" s="11" t="n"/>
      <c r="X273" s="11" t="n"/>
      <c r="Y273" s="11">
        <f>IF(OR(V273="",W273=""),"",IFERROR(INDEX(LAYOUT!$D$2:$D$80,MATCH(V273&amp;"|"&amp;W273,LAYOUT!$E$2:$E$80,0)),""))</f>
        <v/>
      </c>
      <c r="Z273" s="12">
        <f>IF(AND(V273="",W273=""),IF(AND(L273="",M273="",Q273="",R273=""),IF(OR($D273&lt;&gt;"",$E273&lt;&gt;""),"Belum ditempatkan",""),""),IF(V273="","CEK JENIS FIXTURE kosong",IF(LEFT(V273,4)&lt;&gt;"Wall","CEK Fixture 3 hanya Wall",IF(W273="","CEK SHELVING KE kosong",IF(ISNA(MATCH(V273&amp;"|"&amp;W273,LAYOUT!$E$2:$E$80,0)),"CEK SHELVING KE di luar layout",IF($I273="","CEK SERIES kosong",IF(AND(X273&lt;&gt;"",NOT(ISNUMBER(X273))),"CEK URUTAN DISPLAY harus angka",IF($D273="","Zona STOCK",IF($E273="","CEK SKU DESCRIPTION kosong",IF(COUNTIFS($I$2:$I$500,$I273,V$2:V$500,"&lt;&gt;"&amp;V273,V$2:V$500,"&lt;&gt;")&gt;0,"CEK jenis fixture beda dalam satu series","OK"))))))))))</f>
        <v/>
      </c>
      <c r="AA273" s="12" t="n"/>
      <c r="AB273" s="11" t="n"/>
      <c r="AC273" s="11" t="n"/>
      <c r="AD273" s="11" t="n"/>
      <c r="AE273" s="11" t="n"/>
      <c r="AF273" s="11" t="n"/>
      <c r="AG273" s="11" t="n"/>
      <c r="AH273" s="12" t="n"/>
      <c r="AI273" s="12" t="n"/>
    </row>
    <row r="274">
      <c r="A274" s="10" t="n"/>
      <c r="B274" s="10" t="n"/>
      <c r="C274" s="10" t="n"/>
      <c r="D274" s="10" t="n"/>
      <c r="E274" s="10" t="n"/>
      <c r="F274" s="10" t="n"/>
      <c r="G274" s="10" t="n"/>
      <c r="H274" s="10" t="n"/>
      <c r="I274" s="10" t="n"/>
      <c r="J274" s="10" t="n"/>
      <c r="K274" s="10" t="n"/>
      <c r="L274" s="11" t="n"/>
      <c r="M274" s="11" t="n"/>
      <c r="N274" s="11" t="n"/>
      <c r="O274" s="11">
        <f>IF(OR(L274="",M274=""),"",IFERROR(INDEX(LAYOUT!$D$2:$D$80,MATCH(L274&amp;"|"&amp;M274,LAYOUT!$E$2:$E$80,0)),""))</f>
        <v/>
      </c>
      <c r="P274" s="12">
        <f>IF(AND(L274="",M274=""),IF(AND(Q274="",R274="",V274="",W274=""),IF(OR($D274&lt;&gt;"",$E274&lt;&gt;""),"Belum ditempatkan",""),""),IF(L274="","CEK JENIS FIXTURE kosong",IF(AND(LEFT(L274,7)&lt;&gt;"Gondola",LEFT(L274,6)&lt;&gt;"Endcap"),"CEK Fixture 1 hanya Gondola atau Endcap",IF(M274="","CEK SHELVING KE kosong",IF(ISNA(MATCH(L274&amp;"|"&amp;M274,LAYOUT!$E$2:$E$80,0)),"CEK SHELVING KE di luar layout",IF($I274="","CEK SERIES kosong",IF(AND(N274&lt;&gt;"",NOT(ISNUMBER(N274))),"CEK URUTAN DISPLAY harus angka",IF($D274="","Zona STOCK",IF($E274="","CEK SKU DESCRIPTION kosong",IF(COUNTIFS($I$2:$I$500,$I274,L$2:L$500,"&lt;&gt;"&amp;L274,L$2:L$500,"&lt;&gt;")&gt;0,"CEK jenis fixture beda dalam satu series","OK"))))))))))</f>
        <v/>
      </c>
      <c r="Q274" s="11" t="n"/>
      <c r="R274" s="11" t="n"/>
      <c r="S274" s="11" t="n"/>
      <c r="T274" s="11">
        <f>IF(OR(Q274="",R274=""),"",IFERROR(INDEX(LAYOUT!$D$2:$D$80,MATCH(Q274&amp;"|"&amp;R274,LAYOUT!$E$2:$E$80,0)),""))</f>
        <v/>
      </c>
      <c r="U274" s="12">
        <f>IF(AND(Q274="",R274=""),IF(AND(L274="",M274="",V274="",W274=""),IF(OR($D274&lt;&gt;"",$E274&lt;&gt;""),"Belum ditempatkan",""),""),IF(Q274="","CEK JENIS FIXTURE kosong",IF(LEFT(Q274,4)&lt;&gt;"Wall","CEK Fixture 2 hanya Wall",IF(R274="","CEK SHELVING KE kosong",IF(ISNA(MATCH(Q274&amp;"|"&amp;R274,LAYOUT!$E$2:$E$80,0)),"CEK SHELVING KE di luar layout",IF($I274="","CEK SERIES kosong",IF(AND(S274&lt;&gt;"",NOT(ISNUMBER(S274))),"CEK URUTAN DISPLAY harus angka",IF($D274="","Zona STOCK",IF($E274="","CEK SKU DESCRIPTION kosong",IF(COUNTIFS($I$2:$I$500,$I274,Q$2:Q$500,"&lt;&gt;"&amp;Q274,Q$2:Q$500,"&lt;&gt;")&gt;0,"CEK jenis fixture beda dalam satu series","OK"))))))))))</f>
        <v/>
      </c>
      <c r="V274" s="11" t="n"/>
      <c r="W274" s="11" t="n"/>
      <c r="X274" s="11" t="n"/>
      <c r="Y274" s="11">
        <f>IF(OR(V274="",W274=""),"",IFERROR(INDEX(LAYOUT!$D$2:$D$80,MATCH(V274&amp;"|"&amp;W274,LAYOUT!$E$2:$E$80,0)),""))</f>
        <v/>
      </c>
      <c r="Z274" s="12">
        <f>IF(AND(V274="",W274=""),IF(AND(L274="",M274="",Q274="",R274=""),IF(OR($D274&lt;&gt;"",$E274&lt;&gt;""),"Belum ditempatkan",""),""),IF(V274="","CEK JENIS FIXTURE kosong",IF(LEFT(V274,4)&lt;&gt;"Wall","CEK Fixture 3 hanya Wall",IF(W274="","CEK SHELVING KE kosong",IF(ISNA(MATCH(V274&amp;"|"&amp;W274,LAYOUT!$E$2:$E$80,0)),"CEK SHELVING KE di luar layout",IF($I274="","CEK SERIES kosong",IF(AND(X274&lt;&gt;"",NOT(ISNUMBER(X274))),"CEK URUTAN DISPLAY harus angka",IF($D274="","Zona STOCK",IF($E274="","CEK SKU DESCRIPTION kosong",IF(COUNTIFS($I$2:$I$500,$I274,V$2:V$500,"&lt;&gt;"&amp;V274,V$2:V$500,"&lt;&gt;")&gt;0,"CEK jenis fixture beda dalam satu series","OK"))))))))))</f>
        <v/>
      </c>
      <c r="AA274" s="12" t="n"/>
      <c r="AB274" s="11" t="n"/>
      <c r="AC274" s="11" t="n"/>
      <c r="AD274" s="11" t="n"/>
      <c r="AE274" s="11" t="n"/>
      <c r="AF274" s="11" t="n"/>
      <c r="AG274" s="11" t="n"/>
      <c r="AH274" s="12" t="n"/>
      <c r="AI274" s="12" t="n"/>
    </row>
    <row r="275">
      <c r="A275" s="10" t="n"/>
      <c r="B275" s="10" t="n"/>
      <c r="C275" s="10" t="n"/>
      <c r="D275" s="10" t="n"/>
      <c r="E275" s="10" t="n"/>
      <c r="F275" s="10" t="n"/>
      <c r="G275" s="10" t="n"/>
      <c r="H275" s="10" t="n"/>
      <c r="I275" s="10" t="n"/>
      <c r="J275" s="10" t="n"/>
      <c r="K275" s="10" t="n"/>
      <c r="L275" s="11" t="n"/>
      <c r="M275" s="11" t="n"/>
      <c r="N275" s="11" t="n"/>
      <c r="O275" s="11">
        <f>IF(OR(L275="",M275=""),"",IFERROR(INDEX(LAYOUT!$D$2:$D$80,MATCH(L275&amp;"|"&amp;M275,LAYOUT!$E$2:$E$80,0)),""))</f>
        <v/>
      </c>
      <c r="P275" s="12">
        <f>IF(AND(L275="",M275=""),IF(AND(Q275="",R275="",V275="",W275=""),IF(OR($D275&lt;&gt;"",$E275&lt;&gt;""),"Belum ditempatkan",""),""),IF(L275="","CEK JENIS FIXTURE kosong",IF(AND(LEFT(L275,7)&lt;&gt;"Gondola",LEFT(L275,6)&lt;&gt;"Endcap"),"CEK Fixture 1 hanya Gondola atau Endcap",IF(M275="","CEK SHELVING KE kosong",IF(ISNA(MATCH(L275&amp;"|"&amp;M275,LAYOUT!$E$2:$E$80,0)),"CEK SHELVING KE di luar layout",IF($I275="","CEK SERIES kosong",IF(AND(N275&lt;&gt;"",NOT(ISNUMBER(N275))),"CEK URUTAN DISPLAY harus angka",IF($D275="","Zona STOCK",IF($E275="","CEK SKU DESCRIPTION kosong",IF(COUNTIFS($I$2:$I$500,$I275,L$2:L$500,"&lt;&gt;"&amp;L275,L$2:L$500,"&lt;&gt;")&gt;0,"CEK jenis fixture beda dalam satu series","OK"))))))))))</f>
        <v/>
      </c>
      <c r="Q275" s="11" t="n"/>
      <c r="R275" s="11" t="n"/>
      <c r="S275" s="11" t="n"/>
      <c r="T275" s="11">
        <f>IF(OR(Q275="",R275=""),"",IFERROR(INDEX(LAYOUT!$D$2:$D$80,MATCH(Q275&amp;"|"&amp;R275,LAYOUT!$E$2:$E$80,0)),""))</f>
        <v/>
      </c>
      <c r="U275" s="12">
        <f>IF(AND(Q275="",R275=""),IF(AND(L275="",M275="",V275="",W275=""),IF(OR($D275&lt;&gt;"",$E275&lt;&gt;""),"Belum ditempatkan",""),""),IF(Q275="","CEK JENIS FIXTURE kosong",IF(LEFT(Q275,4)&lt;&gt;"Wall","CEK Fixture 2 hanya Wall",IF(R275="","CEK SHELVING KE kosong",IF(ISNA(MATCH(Q275&amp;"|"&amp;R275,LAYOUT!$E$2:$E$80,0)),"CEK SHELVING KE di luar layout",IF($I275="","CEK SERIES kosong",IF(AND(S275&lt;&gt;"",NOT(ISNUMBER(S275))),"CEK URUTAN DISPLAY harus angka",IF($D275="","Zona STOCK",IF($E275="","CEK SKU DESCRIPTION kosong",IF(COUNTIFS($I$2:$I$500,$I275,Q$2:Q$500,"&lt;&gt;"&amp;Q275,Q$2:Q$500,"&lt;&gt;")&gt;0,"CEK jenis fixture beda dalam satu series","OK"))))))))))</f>
        <v/>
      </c>
      <c r="V275" s="11" t="n"/>
      <c r="W275" s="11" t="n"/>
      <c r="X275" s="11" t="n"/>
      <c r="Y275" s="11">
        <f>IF(OR(V275="",W275=""),"",IFERROR(INDEX(LAYOUT!$D$2:$D$80,MATCH(V275&amp;"|"&amp;W275,LAYOUT!$E$2:$E$80,0)),""))</f>
        <v/>
      </c>
      <c r="Z275" s="12">
        <f>IF(AND(V275="",W275=""),IF(AND(L275="",M275="",Q275="",R275=""),IF(OR($D275&lt;&gt;"",$E275&lt;&gt;""),"Belum ditempatkan",""),""),IF(V275="","CEK JENIS FIXTURE kosong",IF(LEFT(V275,4)&lt;&gt;"Wall","CEK Fixture 3 hanya Wall",IF(W275="","CEK SHELVING KE kosong",IF(ISNA(MATCH(V275&amp;"|"&amp;W275,LAYOUT!$E$2:$E$80,0)),"CEK SHELVING KE di luar layout",IF($I275="","CEK SERIES kosong",IF(AND(X275&lt;&gt;"",NOT(ISNUMBER(X275))),"CEK URUTAN DISPLAY harus angka",IF($D275="","Zona STOCK",IF($E275="","CEK SKU DESCRIPTION kosong",IF(COUNTIFS($I$2:$I$500,$I275,V$2:V$500,"&lt;&gt;"&amp;V275,V$2:V$500,"&lt;&gt;")&gt;0,"CEK jenis fixture beda dalam satu series","OK"))))))))))</f>
        <v/>
      </c>
      <c r="AA275" s="12" t="n"/>
      <c r="AB275" s="11" t="n"/>
      <c r="AC275" s="11" t="n"/>
      <c r="AD275" s="11" t="n"/>
      <c r="AE275" s="11" t="n"/>
      <c r="AF275" s="11" t="n"/>
      <c r="AG275" s="11" t="n"/>
      <c r="AH275" s="12" t="n"/>
      <c r="AI275" s="12" t="n"/>
    </row>
    <row r="276">
      <c r="A276" s="10" t="n"/>
      <c r="B276" s="10" t="n"/>
      <c r="C276" s="10" t="n"/>
      <c r="D276" s="10" t="n"/>
      <c r="E276" s="10" t="n"/>
      <c r="F276" s="10" t="n"/>
      <c r="G276" s="10" t="n"/>
      <c r="H276" s="10" t="n"/>
      <c r="I276" s="10" t="n"/>
      <c r="J276" s="10" t="n"/>
      <c r="K276" s="10" t="n"/>
      <c r="L276" s="11" t="n"/>
      <c r="M276" s="11" t="n"/>
      <c r="N276" s="11" t="n"/>
      <c r="O276" s="11">
        <f>IF(OR(L276="",M276=""),"",IFERROR(INDEX(LAYOUT!$D$2:$D$80,MATCH(L276&amp;"|"&amp;M276,LAYOUT!$E$2:$E$80,0)),""))</f>
        <v/>
      </c>
      <c r="P276" s="12">
        <f>IF(AND(L276="",M276=""),IF(AND(Q276="",R276="",V276="",W276=""),IF(OR($D276&lt;&gt;"",$E276&lt;&gt;""),"Belum ditempatkan",""),""),IF(L276="","CEK JENIS FIXTURE kosong",IF(AND(LEFT(L276,7)&lt;&gt;"Gondola",LEFT(L276,6)&lt;&gt;"Endcap"),"CEK Fixture 1 hanya Gondola atau Endcap",IF(M276="","CEK SHELVING KE kosong",IF(ISNA(MATCH(L276&amp;"|"&amp;M276,LAYOUT!$E$2:$E$80,0)),"CEK SHELVING KE di luar layout",IF($I276="","CEK SERIES kosong",IF(AND(N276&lt;&gt;"",NOT(ISNUMBER(N276))),"CEK URUTAN DISPLAY harus angka",IF($D276="","Zona STOCK",IF($E276="","CEK SKU DESCRIPTION kosong",IF(COUNTIFS($I$2:$I$500,$I276,L$2:L$500,"&lt;&gt;"&amp;L276,L$2:L$500,"&lt;&gt;")&gt;0,"CEK jenis fixture beda dalam satu series","OK"))))))))))</f>
        <v/>
      </c>
      <c r="Q276" s="11" t="n"/>
      <c r="R276" s="11" t="n"/>
      <c r="S276" s="11" t="n"/>
      <c r="T276" s="11">
        <f>IF(OR(Q276="",R276=""),"",IFERROR(INDEX(LAYOUT!$D$2:$D$80,MATCH(Q276&amp;"|"&amp;R276,LAYOUT!$E$2:$E$80,0)),""))</f>
        <v/>
      </c>
      <c r="U276" s="12">
        <f>IF(AND(Q276="",R276=""),IF(AND(L276="",M276="",V276="",W276=""),IF(OR($D276&lt;&gt;"",$E276&lt;&gt;""),"Belum ditempatkan",""),""),IF(Q276="","CEK JENIS FIXTURE kosong",IF(LEFT(Q276,4)&lt;&gt;"Wall","CEK Fixture 2 hanya Wall",IF(R276="","CEK SHELVING KE kosong",IF(ISNA(MATCH(Q276&amp;"|"&amp;R276,LAYOUT!$E$2:$E$80,0)),"CEK SHELVING KE di luar layout",IF($I276="","CEK SERIES kosong",IF(AND(S276&lt;&gt;"",NOT(ISNUMBER(S276))),"CEK URUTAN DISPLAY harus angka",IF($D276="","Zona STOCK",IF($E276="","CEK SKU DESCRIPTION kosong",IF(COUNTIFS($I$2:$I$500,$I276,Q$2:Q$500,"&lt;&gt;"&amp;Q276,Q$2:Q$500,"&lt;&gt;")&gt;0,"CEK jenis fixture beda dalam satu series","OK"))))))))))</f>
        <v/>
      </c>
      <c r="V276" s="11" t="n"/>
      <c r="W276" s="11" t="n"/>
      <c r="X276" s="11" t="n"/>
      <c r="Y276" s="11">
        <f>IF(OR(V276="",W276=""),"",IFERROR(INDEX(LAYOUT!$D$2:$D$80,MATCH(V276&amp;"|"&amp;W276,LAYOUT!$E$2:$E$80,0)),""))</f>
        <v/>
      </c>
      <c r="Z276" s="12">
        <f>IF(AND(V276="",W276=""),IF(AND(L276="",M276="",Q276="",R276=""),IF(OR($D276&lt;&gt;"",$E276&lt;&gt;""),"Belum ditempatkan",""),""),IF(V276="","CEK JENIS FIXTURE kosong",IF(LEFT(V276,4)&lt;&gt;"Wall","CEK Fixture 3 hanya Wall",IF(W276="","CEK SHELVING KE kosong",IF(ISNA(MATCH(V276&amp;"|"&amp;W276,LAYOUT!$E$2:$E$80,0)),"CEK SHELVING KE di luar layout",IF($I276="","CEK SERIES kosong",IF(AND(X276&lt;&gt;"",NOT(ISNUMBER(X276))),"CEK URUTAN DISPLAY harus angka",IF($D276="","Zona STOCK",IF($E276="","CEK SKU DESCRIPTION kosong",IF(COUNTIFS($I$2:$I$500,$I276,V$2:V$500,"&lt;&gt;"&amp;V276,V$2:V$500,"&lt;&gt;")&gt;0,"CEK jenis fixture beda dalam satu series","OK"))))))))))</f>
        <v/>
      </c>
      <c r="AA276" s="12" t="n"/>
      <c r="AB276" s="11" t="n"/>
      <c r="AC276" s="11" t="n"/>
      <c r="AD276" s="11" t="n"/>
      <c r="AE276" s="11" t="n"/>
      <c r="AF276" s="11" t="n"/>
      <c r="AG276" s="11" t="n"/>
      <c r="AH276" s="12" t="n"/>
      <c r="AI276" s="12" t="n"/>
    </row>
    <row r="277">
      <c r="A277" s="10" t="n"/>
      <c r="B277" s="10" t="n"/>
      <c r="C277" s="10" t="n"/>
      <c r="D277" s="10" t="n"/>
      <c r="E277" s="10" t="n"/>
      <c r="F277" s="10" t="n"/>
      <c r="G277" s="10" t="n"/>
      <c r="H277" s="10" t="n"/>
      <c r="I277" s="10" t="n"/>
      <c r="J277" s="10" t="n"/>
      <c r="K277" s="10" t="n"/>
      <c r="L277" s="11" t="n"/>
      <c r="M277" s="11" t="n"/>
      <c r="N277" s="11" t="n"/>
      <c r="O277" s="11">
        <f>IF(OR(L277="",M277=""),"",IFERROR(INDEX(LAYOUT!$D$2:$D$80,MATCH(L277&amp;"|"&amp;M277,LAYOUT!$E$2:$E$80,0)),""))</f>
        <v/>
      </c>
      <c r="P277" s="12">
        <f>IF(AND(L277="",M277=""),IF(AND(Q277="",R277="",V277="",W277=""),IF(OR($D277&lt;&gt;"",$E277&lt;&gt;""),"Belum ditempatkan",""),""),IF(L277="","CEK JENIS FIXTURE kosong",IF(AND(LEFT(L277,7)&lt;&gt;"Gondola",LEFT(L277,6)&lt;&gt;"Endcap"),"CEK Fixture 1 hanya Gondola atau Endcap",IF(M277="","CEK SHELVING KE kosong",IF(ISNA(MATCH(L277&amp;"|"&amp;M277,LAYOUT!$E$2:$E$80,0)),"CEK SHELVING KE di luar layout",IF($I277="","CEK SERIES kosong",IF(AND(N277&lt;&gt;"",NOT(ISNUMBER(N277))),"CEK URUTAN DISPLAY harus angka",IF($D277="","Zona STOCK",IF($E277="","CEK SKU DESCRIPTION kosong",IF(COUNTIFS($I$2:$I$500,$I277,L$2:L$500,"&lt;&gt;"&amp;L277,L$2:L$500,"&lt;&gt;")&gt;0,"CEK jenis fixture beda dalam satu series","OK"))))))))))</f>
        <v/>
      </c>
      <c r="Q277" s="11" t="n"/>
      <c r="R277" s="11" t="n"/>
      <c r="S277" s="11" t="n"/>
      <c r="T277" s="11">
        <f>IF(OR(Q277="",R277=""),"",IFERROR(INDEX(LAYOUT!$D$2:$D$80,MATCH(Q277&amp;"|"&amp;R277,LAYOUT!$E$2:$E$80,0)),""))</f>
        <v/>
      </c>
      <c r="U277" s="12">
        <f>IF(AND(Q277="",R277=""),IF(AND(L277="",M277="",V277="",W277=""),IF(OR($D277&lt;&gt;"",$E277&lt;&gt;""),"Belum ditempatkan",""),""),IF(Q277="","CEK JENIS FIXTURE kosong",IF(LEFT(Q277,4)&lt;&gt;"Wall","CEK Fixture 2 hanya Wall",IF(R277="","CEK SHELVING KE kosong",IF(ISNA(MATCH(Q277&amp;"|"&amp;R277,LAYOUT!$E$2:$E$80,0)),"CEK SHELVING KE di luar layout",IF($I277="","CEK SERIES kosong",IF(AND(S277&lt;&gt;"",NOT(ISNUMBER(S277))),"CEK URUTAN DISPLAY harus angka",IF($D277="","Zona STOCK",IF($E277="","CEK SKU DESCRIPTION kosong",IF(COUNTIFS($I$2:$I$500,$I277,Q$2:Q$500,"&lt;&gt;"&amp;Q277,Q$2:Q$500,"&lt;&gt;")&gt;0,"CEK jenis fixture beda dalam satu series","OK"))))))))))</f>
        <v/>
      </c>
      <c r="V277" s="11" t="n"/>
      <c r="W277" s="11" t="n"/>
      <c r="X277" s="11" t="n"/>
      <c r="Y277" s="11">
        <f>IF(OR(V277="",W277=""),"",IFERROR(INDEX(LAYOUT!$D$2:$D$80,MATCH(V277&amp;"|"&amp;W277,LAYOUT!$E$2:$E$80,0)),""))</f>
        <v/>
      </c>
      <c r="Z277" s="12">
        <f>IF(AND(V277="",W277=""),IF(AND(L277="",M277="",Q277="",R277=""),IF(OR($D277&lt;&gt;"",$E277&lt;&gt;""),"Belum ditempatkan",""),""),IF(V277="","CEK JENIS FIXTURE kosong",IF(LEFT(V277,4)&lt;&gt;"Wall","CEK Fixture 3 hanya Wall",IF(W277="","CEK SHELVING KE kosong",IF(ISNA(MATCH(V277&amp;"|"&amp;W277,LAYOUT!$E$2:$E$80,0)),"CEK SHELVING KE di luar layout",IF($I277="","CEK SERIES kosong",IF(AND(X277&lt;&gt;"",NOT(ISNUMBER(X277))),"CEK URUTAN DISPLAY harus angka",IF($D277="","Zona STOCK",IF($E277="","CEK SKU DESCRIPTION kosong",IF(COUNTIFS($I$2:$I$500,$I277,V$2:V$500,"&lt;&gt;"&amp;V277,V$2:V$500,"&lt;&gt;")&gt;0,"CEK jenis fixture beda dalam satu series","OK"))))))))))</f>
        <v/>
      </c>
      <c r="AA277" s="12" t="n"/>
      <c r="AB277" s="11" t="n"/>
      <c r="AC277" s="11" t="n"/>
      <c r="AD277" s="11" t="n"/>
      <c r="AE277" s="11" t="n"/>
      <c r="AF277" s="11" t="n"/>
      <c r="AG277" s="11" t="n"/>
      <c r="AH277" s="12" t="n"/>
      <c r="AI277" s="12" t="n"/>
    </row>
    <row r="278">
      <c r="A278" s="10" t="n"/>
      <c r="B278" s="10" t="n"/>
      <c r="C278" s="10" t="n"/>
      <c r="D278" s="10" t="n"/>
      <c r="E278" s="10" t="n"/>
      <c r="F278" s="10" t="n"/>
      <c r="G278" s="10" t="n"/>
      <c r="H278" s="10" t="n"/>
      <c r="I278" s="10" t="n"/>
      <c r="J278" s="10" t="n"/>
      <c r="K278" s="10" t="n"/>
      <c r="L278" s="11" t="n"/>
      <c r="M278" s="11" t="n"/>
      <c r="N278" s="11" t="n"/>
      <c r="O278" s="11">
        <f>IF(OR(L278="",M278=""),"",IFERROR(INDEX(LAYOUT!$D$2:$D$80,MATCH(L278&amp;"|"&amp;M278,LAYOUT!$E$2:$E$80,0)),""))</f>
        <v/>
      </c>
      <c r="P278" s="12">
        <f>IF(AND(L278="",M278=""),IF(AND(Q278="",R278="",V278="",W278=""),IF(OR($D278&lt;&gt;"",$E278&lt;&gt;""),"Belum ditempatkan",""),""),IF(L278="","CEK JENIS FIXTURE kosong",IF(AND(LEFT(L278,7)&lt;&gt;"Gondola",LEFT(L278,6)&lt;&gt;"Endcap"),"CEK Fixture 1 hanya Gondola atau Endcap",IF(M278="","CEK SHELVING KE kosong",IF(ISNA(MATCH(L278&amp;"|"&amp;M278,LAYOUT!$E$2:$E$80,0)),"CEK SHELVING KE di luar layout",IF($I278="","CEK SERIES kosong",IF(AND(N278&lt;&gt;"",NOT(ISNUMBER(N278))),"CEK URUTAN DISPLAY harus angka",IF($D278="","Zona STOCK",IF($E278="","CEK SKU DESCRIPTION kosong",IF(COUNTIFS($I$2:$I$500,$I278,L$2:L$500,"&lt;&gt;"&amp;L278,L$2:L$500,"&lt;&gt;")&gt;0,"CEK jenis fixture beda dalam satu series","OK"))))))))))</f>
        <v/>
      </c>
      <c r="Q278" s="11" t="n"/>
      <c r="R278" s="11" t="n"/>
      <c r="S278" s="11" t="n"/>
      <c r="T278" s="11">
        <f>IF(OR(Q278="",R278=""),"",IFERROR(INDEX(LAYOUT!$D$2:$D$80,MATCH(Q278&amp;"|"&amp;R278,LAYOUT!$E$2:$E$80,0)),""))</f>
        <v/>
      </c>
      <c r="U278" s="12">
        <f>IF(AND(Q278="",R278=""),IF(AND(L278="",M278="",V278="",W278=""),IF(OR($D278&lt;&gt;"",$E278&lt;&gt;""),"Belum ditempatkan",""),""),IF(Q278="","CEK JENIS FIXTURE kosong",IF(LEFT(Q278,4)&lt;&gt;"Wall","CEK Fixture 2 hanya Wall",IF(R278="","CEK SHELVING KE kosong",IF(ISNA(MATCH(Q278&amp;"|"&amp;R278,LAYOUT!$E$2:$E$80,0)),"CEK SHELVING KE di luar layout",IF($I278="","CEK SERIES kosong",IF(AND(S278&lt;&gt;"",NOT(ISNUMBER(S278))),"CEK URUTAN DISPLAY harus angka",IF($D278="","Zona STOCK",IF($E278="","CEK SKU DESCRIPTION kosong",IF(COUNTIFS($I$2:$I$500,$I278,Q$2:Q$500,"&lt;&gt;"&amp;Q278,Q$2:Q$500,"&lt;&gt;")&gt;0,"CEK jenis fixture beda dalam satu series","OK"))))))))))</f>
        <v/>
      </c>
      <c r="V278" s="11" t="n"/>
      <c r="W278" s="11" t="n"/>
      <c r="X278" s="11" t="n"/>
      <c r="Y278" s="11">
        <f>IF(OR(V278="",W278=""),"",IFERROR(INDEX(LAYOUT!$D$2:$D$80,MATCH(V278&amp;"|"&amp;W278,LAYOUT!$E$2:$E$80,0)),""))</f>
        <v/>
      </c>
      <c r="Z278" s="12">
        <f>IF(AND(V278="",W278=""),IF(AND(L278="",M278="",Q278="",R278=""),IF(OR($D278&lt;&gt;"",$E278&lt;&gt;""),"Belum ditempatkan",""),""),IF(V278="","CEK JENIS FIXTURE kosong",IF(LEFT(V278,4)&lt;&gt;"Wall","CEK Fixture 3 hanya Wall",IF(W278="","CEK SHELVING KE kosong",IF(ISNA(MATCH(V278&amp;"|"&amp;W278,LAYOUT!$E$2:$E$80,0)),"CEK SHELVING KE di luar layout",IF($I278="","CEK SERIES kosong",IF(AND(X278&lt;&gt;"",NOT(ISNUMBER(X278))),"CEK URUTAN DISPLAY harus angka",IF($D278="","Zona STOCK",IF($E278="","CEK SKU DESCRIPTION kosong",IF(COUNTIFS($I$2:$I$500,$I278,V$2:V$500,"&lt;&gt;"&amp;V278,V$2:V$500,"&lt;&gt;")&gt;0,"CEK jenis fixture beda dalam satu series","OK"))))))))))</f>
        <v/>
      </c>
      <c r="AA278" s="12" t="n"/>
      <c r="AB278" s="11" t="n"/>
      <c r="AC278" s="11" t="n"/>
      <c r="AD278" s="11" t="n"/>
      <c r="AE278" s="11" t="n"/>
      <c r="AF278" s="11" t="n"/>
      <c r="AG278" s="11" t="n"/>
      <c r="AH278" s="12" t="n"/>
      <c r="AI278" s="12" t="n"/>
    </row>
    <row r="279">
      <c r="A279" s="10" t="n"/>
      <c r="B279" s="10" t="n"/>
      <c r="C279" s="10" t="n"/>
      <c r="D279" s="10" t="n"/>
      <c r="E279" s="10" t="n"/>
      <c r="F279" s="10" t="n"/>
      <c r="G279" s="10" t="n"/>
      <c r="H279" s="10" t="n"/>
      <c r="I279" s="10" t="n"/>
      <c r="J279" s="10" t="n"/>
      <c r="K279" s="10" t="n"/>
      <c r="L279" s="11" t="n"/>
      <c r="M279" s="11" t="n"/>
      <c r="N279" s="11" t="n"/>
      <c r="O279" s="11">
        <f>IF(OR(L279="",M279=""),"",IFERROR(INDEX(LAYOUT!$D$2:$D$80,MATCH(L279&amp;"|"&amp;M279,LAYOUT!$E$2:$E$80,0)),""))</f>
        <v/>
      </c>
      <c r="P279" s="12">
        <f>IF(AND(L279="",M279=""),IF(AND(Q279="",R279="",V279="",W279=""),IF(OR($D279&lt;&gt;"",$E279&lt;&gt;""),"Belum ditempatkan",""),""),IF(L279="","CEK JENIS FIXTURE kosong",IF(AND(LEFT(L279,7)&lt;&gt;"Gondola",LEFT(L279,6)&lt;&gt;"Endcap"),"CEK Fixture 1 hanya Gondola atau Endcap",IF(M279="","CEK SHELVING KE kosong",IF(ISNA(MATCH(L279&amp;"|"&amp;M279,LAYOUT!$E$2:$E$80,0)),"CEK SHELVING KE di luar layout",IF($I279="","CEK SERIES kosong",IF(AND(N279&lt;&gt;"",NOT(ISNUMBER(N279))),"CEK URUTAN DISPLAY harus angka",IF($D279="","Zona STOCK",IF($E279="","CEK SKU DESCRIPTION kosong",IF(COUNTIFS($I$2:$I$500,$I279,L$2:L$500,"&lt;&gt;"&amp;L279,L$2:L$500,"&lt;&gt;")&gt;0,"CEK jenis fixture beda dalam satu series","OK"))))))))))</f>
        <v/>
      </c>
      <c r="Q279" s="11" t="n"/>
      <c r="R279" s="11" t="n"/>
      <c r="S279" s="11" t="n"/>
      <c r="T279" s="11">
        <f>IF(OR(Q279="",R279=""),"",IFERROR(INDEX(LAYOUT!$D$2:$D$80,MATCH(Q279&amp;"|"&amp;R279,LAYOUT!$E$2:$E$80,0)),""))</f>
        <v/>
      </c>
      <c r="U279" s="12">
        <f>IF(AND(Q279="",R279=""),IF(AND(L279="",M279="",V279="",W279=""),IF(OR($D279&lt;&gt;"",$E279&lt;&gt;""),"Belum ditempatkan",""),""),IF(Q279="","CEK JENIS FIXTURE kosong",IF(LEFT(Q279,4)&lt;&gt;"Wall","CEK Fixture 2 hanya Wall",IF(R279="","CEK SHELVING KE kosong",IF(ISNA(MATCH(Q279&amp;"|"&amp;R279,LAYOUT!$E$2:$E$80,0)),"CEK SHELVING KE di luar layout",IF($I279="","CEK SERIES kosong",IF(AND(S279&lt;&gt;"",NOT(ISNUMBER(S279))),"CEK URUTAN DISPLAY harus angka",IF($D279="","Zona STOCK",IF($E279="","CEK SKU DESCRIPTION kosong",IF(COUNTIFS($I$2:$I$500,$I279,Q$2:Q$500,"&lt;&gt;"&amp;Q279,Q$2:Q$500,"&lt;&gt;")&gt;0,"CEK jenis fixture beda dalam satu series","OK"))))))))))</f>
        <v/>
      </c>
      <c r="V279" s="11" t="n"/>
      <c r="W279" s="11" t="n"/>
      <c r="X279" s="11" t="n"/>
      <c r="Y279" s="11">
        <f>IF(OR(V279="",W279=""),"",IFERROR(INDEX(LAYOUT!$D$2:$D$80,MATCH(V279&amp;"|"&amp;W279,LAYOUT!$E$2:$E$80,0)),""))</f>
        <v/>
      </c>
      <c r="Z279" s="12">
        <f>IF(AND(V279="",W279=""),IF(AND(L279="",M279="",Q279="",R279=""),IF(OR($D279&lt;&gt;"",$E279&lt;&gt;""),"Belum ditempatkan",""),""),IF(V279="","CEK JENIS FIXTURE kosong",IF(LEFT(V279,4)&lt;&gt;"Wall","CEK Fixture 3 hanya Wall",IF(W279="","CEK SHELVING KE kosong",IF(ISNA(MATCH(V279&amp;"|"&amp;W279,LAYOUT!$E$2:$E$80,0)),"CEK SHELVING KE di luar layout",IF($I279="","CEK SERIES kosong",IF(AND(X279&lt;&gt;"",NOT(ISNUMBER(X279))),"CEK URUTAN DISPLAY harus angka",IF($D279="","Zona STOCK",IF($E279="","CEK SKU DESCRIPTION kosong",IF(COUNTIFS($I$2:$I$500,$I279,V$2:V$500,"&lt;&gt;"&amp;V279,V$2:V$500,"&lt;&gt;")&gt;0,"CEK jenis fixture beda dalam satu series","OK"))))))))))</f>
        <v/>
      </c>
      <c r="AA279" s="12" t="n"/>
      <c r="AB279" s="11" t="n"/>
      <c r="AC279" s="11" t="n"/>
      <c r="AD279" s="11" t="n"/>
      <c r="AE279" s="11" t="n"/>
      <c r="AF279" s="11" t="n"/>
      <c r="AG279" s="11" t="n"/>
      <c r="AH279" s="12" t="n"/>
      <c r="AI279" s="12" t="n"/>
    </row>
    <row r="280">
      <c r="A280" s="10" t="n"/>
      <c r="B280" s="10" t="n"/>
      <c r="C280" s="10" t="n"/>
      <c r="D280" s="10" t="n"/>
      <c r="E280" s="10" t="n"/>
      <c r="F280" s="10" t="n"/>
      <c r="G280" s="10" t="n"/>
      <c r="H280" s="10" t="n"/>
      <c r="I280" s="10" t="n"/>
      <c r="J280" s="10" t="n"/>
      <c r="K280" s="10" t="n"/>
      <c r="L280" s="11" t="n"/>
      <c r="M280" s="11" t="n"/>
      <c r="N280" s="11" t="n"/>
      <c r="O280" s="11">
        <f>IF(OR(L280="",M280=""),"",IFERROR(INDEX(LAYOUT!$D$2:$D$80,MATCH(L280&amp;"|"&amp;M280,LAYOUT!$E$2:$E$80,0)),""))</f>
        <v/>
      </c>
      <c r="P280" s="12">
        <f>IF(AND(L280="",M280=""),IF(AND(Q280="",R280="",V280="",W280=""),IF(OR($D280&lt;&gt;"",$E280&lt;&gt;""),"Belum ditempatkan",""),""),IF(L280="","CEK JENIS FIXTURE kosong",IF(AND(LEFT(L280,7)&lt;&gt;"Gondola",LEFT(L280,6)&lt;&gt;"Endcap"),"CEK Fixture 1 hanya Gondola atau Endcap",IF(M280="","CEK SHELVING KE kosong",IF(ISNA(MATCH(L280&amp;"|"&amp;M280,LAYOUT!$E$2:$E$80,0)),"CEK SHELVING KE di luar layout",IF($I280="","CEK SERIES kosong",IF(AND(N280&lt;&gt;"",NOT(ISNUMBER(N280))),"CEK URUTAN DISPLAY harus angka",IF($D280="","Zona STOCK",IF($E280="","CEK SKU DESCRIPTION kosong",IF(COUNTIFS($I$2:$I$500,$I280,L$2:L$500,"&lt;&gt;"&amp;L280,L$2:L$500,"&lt;&gt;")&gt;0,"CEK jenis fixture beda dalam satu series","OK"))))))))))</f>
        <v/>
      </c>
      <c r="Q280" s="11" t="n"/>
      <c r="R280" s="11" t="n"/>
      <c r="S280" s="11" t="n"/>
      <c r="T280" s="11">
        <f>IF(OR(Q280="",R280=""),"",IFERROR(INDEX(LAYOUT!$D$2:$D$80,MATCH(Q280&amp;"|"&amp;R280,LAYOUT!$E$2:$E$80,0)),""))</f>
        <v/>
      </c>
      <c r="U280" s="12">
        <f>IF(AND(Q280="",R280=""),IF(AND(L280="",M280="",V280="",W280=""),IF(OR($D280&lt;&gt;"",$E280&lt;&gt;""),"Belum ditempatkan",""),""),IF(Q280="","CEK JENIS FIXTURE kosong",IF(LEFT(Q280,4)&lt;&gt;"Wall","CEK Fixture 2 hanya Wall",IF(R280="","CEK SHELVING KE kosong",IF(ISNA(MATCH(Q280&amp;"|"&amp;R280,LAYOUT!$E$2:$E$80,0)),"CEK SHELVING KE di luar layout",IF($I280="","CEK SERIES kosong",IF(AND(S280&lt;&gt;"",NOT(ISNUMBER(S280))),"CEK URUTAN DISPLAY harus angka",IF($D280="","Zona STOCK",IF($E280="","CEK SKU DESCRIPTION kosong",IF(COUNTIFS($I$2:$I$500,$I280,Q$2:Q$500,"&lt;&gt;"&amp;Q280,Q$2:Q$500,"&lt;&gt;")&gt;0,"CEK jenis fixture beda dalam satu series","OK"))))))))))</f>
        <v/>
      </c>
      <c r="V280" s="11" t="n"/>
      <c r="W280" s="11" t="n"/>
      <c r="X280" s="11" t="n"/>
      <c r="Y280" s="11">
        <f>IF(OR(V280="",W280=""),"",IFERROR(INDEX(LAYOUT!$D$2:$D$80,MATCH(V280&amp;"|"&amp;W280,LAYOUT!$E$2:$E$80,0)),""))</f>
        <v/>
      </c>
      <c r="Z280" s="12">
        <f>IF(AND(V280="",W280=""),IF(AND(L280="",M280="",Q280="",R280=""),IF(OR($D280&lt;&gt;"",$E280&lt;&gt;""),"Belum ditempatkan",""),""),IF(V280="","CEK JENIS FIXTURE kosong",IF(LEFT(V280,4)&lt;&gt;"Wall","CEK Fixture 3 hanya Wall",IF(W280="","CEK SHELVING KE kosong",IF(ISNA(MATCH(V280&amp;"|"&amp;W280,LAYOUT!$E$2:$E$80,0)),"CEK SHELVING KE di luar layout",IF($I280="","CEK SERIES kosong",IF(AND(X280&lt;&gt;"",NOT(ISNUMBER(X280))),"CEK URUTAN DISPLAY harus angka",IF($D280="","Zona STOCK",IF($E280="","CEK SKU DESCRIPTION kosong",IF(COUNTIFS($I$2:$I$500,$I280,V$2:V$500,"&lt;&gt;"&amp;V280,V$2:V$500,"&lt;&gt;")&gt;0,"CEK jenis fixture beda dalam satu series","OK"))))))))))</f>
        <v/>
      </c>
      <c r="AA280" s="12" t="n"/>
      <c r="AB280" s="11" t="n"/>
      <c r="AC280" s="11" t="n"/>
      <c r="AD280" s="11" t="n"/>
      <c r="AE280" s="11" t="n"/>
      <c r="AF280" s="11" t="n"/>
      <c r="AG280" s="11" t="n"/>
      <c r="AH280" s="12" t="n"/>
      <c r="AI280" s="12" t="n"/>
    </row>
    <row r="281">
      <c r="A281" s="10" t="n"/>
      <c r="B281" s="10" t="n"/>
      <c r="C281" s="10" t="n"/>
      <c r="D281" s="10" t="n"/>
      <c r="E281" s="10" t="n"/>
      <c r="F281" s="10" t="n"/>
      <c r="G281" s="10" t="n"/>
      <c r="H281" s="10" t="n"/>
      <c r="I281" s="10" t="n"/>
      <c r="J281" s="10" t="n"/>
      <c r="K281" s="10" t="n"/>
      <c r="L281" s="11" t="n"/>
      <c r="M281" s="11" t="n"/>
      <c r="N281" s="11" t="n"/>
      <c r="O281" s="11">
        <f>IF(OR(L281="",M281=""),"",IFERROR(INDEX(LAYOUT!$D$2:$D$80,MATCH(L281&amp;"|"&amp;M281,LAYOUT!$E$2:$E$80,0)),""))</f>
        <v/>
      </c>
      <c r="P281" s="12">
        <f>IF(AND(L281="",M281=""),IF(AND(Q281="",R281="",V281="",W281=""),IF(OR($D281&lt;&gt;"",$E281&lt;&gt;""),"Belum ditempatkan",""),""),IF(L281="","CEK JENIS FIXTURE kosong",IF(AND(LEFT(L281,7)&lt;&gt;"Gondola",LEFT(L281,6)&lt;&gt;"Endcap"),"CEK Fixture 1 hanya Gondola atau Endcap",IF(M281="","CEK SHELVING KE kosong",IF(ISNA(MATCH(L281&amp;"|"&amp;M281,LAYOUT!$E$2:$E$80,0)),"CEK SHELVING KE di luar layout",IF($I281="","CEK SERIES kosong",IF(AND(N281&lt;&gt;"",NOT(ISNUMBER(N281))),"CEK URUTAN DISPLAY harus angka",IF($D281="","Zona STOCK",IF($E281="","CEK SKU DESCRIPTION kosong",IF(COUNTIFS($I$2:$I$500,$I281,L$2:L$500,"&lt;&gt;"&amp;L281,L$2:L$500,"&lt;&gt;")&gt;0,"CEK jenis fixture beda dalam satu series","OK"))))))))))</f>
        <v/>
      </c>
      <c r="Q281" s="11" t="n"/>
      <c r="R281" s="11" t="n"/>
      <c r="S281" s="11" t="n"/>
      <c r="T281" s="11">
        <f>IF(OR(Q281="",R281=""),"",IFERROR(INDEX(LAYOUT!$D$2:$D$80,MATCH(Q281&amp;"|"&amp;R281,LAYOUT!$E$2:$E$80,0)),""))</f>
        <v/>
      </c>
      <c r="U281" s="12">
        <f>IF(AND(Q281="",R281=""),IF(AND(L281="",M281="",V281="",W281=""),IF(OR($D281&lt;&gt;"",$E281&lt;&gt;""),"Belum ditempatkan",""),""),IF(Q281="","CEK JENIS FIXTURE kosong",IF(LEFT(Q281,4)&lt;&gt;"Wall","CEK Fixture 2 hanya Wall",IF(R281="","CEK SHELVING KE kosong",IF(ISNA(MATCH(Q281&amp;"|"&amp;R281,LAYOUT!$E$2:$E$80,0)),"CEK SHELVING KE di luar layout",IF($I281="","CEK SERIES kosong",IF(AND(S281&lt;&gt;"",NOT(ISNUMBER(S281))),"CEK URUTAN DISPLAY harus angka",IF($D281="","Zona STOCK",IF($E281="","CEK SKU DESCRIPTION kosong",IF(COUNTIFS($I$2:$I$500,$I281,Q$2:Q$500,"&lt;&gt;"&amp;Q281,Q$2:Q$500,"&lt;&gt;")&gt;0,"CEK jenis fixture beda dalam satu series","OK"))))))))))</f>
        <v/>
      </c>
      <c r="V281" s="11" t="n"/>
      <c r="W281" s="11" t="n"/>
      <c r="X281" s="11" t="n"/>
      <c r="Y281" s="11">
        <f>IF(OR(V281="",W281=""),"",IFERROR(INDEX(LAYOUT!$D$2:$D$80,MATCH(V281&amp;"|"&amp;W281,LAYOUT!$E$2:$E$80,0)),""))</f>
        <v/>
      </c>
      <c r="Z281" s="12">
        <f>IF(AND(V281="",W281=""),IF(AND(L281="",M281="",Q281="",R281=""),IF(OR($D281&lt;&gt;"",$E281&lt;&gt;""),"Belum ditempatkan",""),""),IF(V281="","CEK JENIS FIXTURE kosong",IF(LEFT(V281,4)&lt;&gt;"Wall","CEK Fixture 3 hanya Wall",IF(W281="","CEK SHELVING KE kosong",IF(ISNA(MATCH(V281&amp;"|"&amp;W281,LAYOUT!$E$2:$E$80,0)),"CEK SHELVING KE di luar layout",IF($I281="","CEK SERIES kosong",IF(AND(X281&lt;&gt;"",NOT(ISNUMBER(X281))),"CEK URUTAN DISPLAY harus angka",IF($D281="","Zona STOCK",IF($E281="","CEK SKU DESCRIPTION kosong",IF(COUNTIFS($I$2:$I$500,$I281,V$2:V$500,"&lt;&gt;"&amp;V281,V$2:V$500,"&lt;&gt;")&gt;0,"CEK jenis fixture beda dalam satu series","OK"))))))))))</f>
        <v/>
      </c>
      <c r="AA281" s="12" t="n"/>
      <c r="AB281" s="11" t="n"/>
      <c r="AC281" s="11" t="n"/>
      <c r="AD281" s="11" t="n"/>
      <c r="AE281" s="11" t="n"/>
      <c r="AF281" s="11" t="n"/>
      <c r="AG281" s="11" t="n"/>
      <c r="AH281" s="12" t="n"/>
      <c r="AI281" s="12" t="n"/>
    </row>
    <row r="282">
      <c r="A282" s="10" t="n"/>
      <c r="B282" s="10" t="n"/>
      <c r="C282" s="10" t="n"/>
      <c r="D282" s="10" t="n"/>
      <c r="E282" s="10" t="n"/>
      <c r="F282" s="10" t="n"/>
      <c r="G282" s="10" t="n"/>
      <c r="H282" s="10" t="n"/>
      <c r="I282" s="10" t="n"/>
      <c r="J282" s="10" t="n"/>
      <c r="K282" s="10" t="n"/>
      <c r="L282" s="11" t="n"/>
      <c r="M282" s="11" t="n"/>
      <c r="N282" s="11" t="n"/>
      <c r="O282" s="11">
        <f>IF(OR(L282="",M282=""),"",IFERROR(INDEX(LAYOUT!$D$2:$D$80,MATCH(L282&amp;"|"&amp;M282,LAYOUT!$E$2:$E$80,0)),""))</f>
        <v/>
      </c>
      <c r="P282" s="12">
        <f>IF(AND(L282="",M282=""),IF(AND(Q282="",R282="",V282="",W282=""),IF(OR($D282&lt;&gt;"",$E282&lt;&gt;""),"Belum ditempatkan",""),""),IF(L282="","CEK JENIS FIXTURE kosong",IF(AND(LEFT(L282,7)&lt;&gt;"Gondola",LEFT(L282,6)&lt;&gt;"Endcap"),"CEK Fixture 1 hanya Gondola atau Endcap",IF(M282="","CEK SHELVING KE kosong",IF(ISNA(MATCH(L282&amp;"|"&amp;M282,LAYOUT!$E$2:$E$80,0)),"CEK SHELVING KE di luar layout",IF($I282="","CEK SERIES kosong",IF(AND(N282&lt;&gt;"",NOT(ISNUMBER(N282))),"CEK URUTAN DISPLAY harus angka",IF($D282="","Zona STOCK",IF($E282="","CEK SKU DESCRIPTION kosong",IF(COUNTIFS($I$2:$I$500,$I282,L$2:L$500,"&lt;&gt;"&amp;L282,L$2:L$500,"&lt;&gt;")&gt;0,"CEK jenis fixture beda dalam satu series","OK"))))))))))</f>
        <v/>
      </c>
      <c r="Q282" s="11" t="n"/>
      <c r="R282" s="11" t="n"/>
      <c r="S282" s="11" t="n"/>
      <c r="T282" s="11">
        <f>IF(OR(Q282="",R282=""),"",IFERROR(INDEX(LAYOUT!$D$2:$D$80,MATCH(Q282&amp;"|"&amp;R282,LAYOUT!$E$2:$E$80,0)),""))</f>
        <v/>
      </c>
      <c r="U282" s="12">
        <f>IF(AND(Q282="",R282=""),IF(AND(L282="",M282="",V282="",W282=""),IF(OR($D282&lt;&gt;"",$E282&lt;&gt;""),"Belum ditempatkan",""),""),IF(Q282="","CEK JENIS FIXTURE kosong",IF(LEFT(Q282,4)&lt;&gt;"Wall","CEK Fixture 2 hanya Wall",IF(R282="","CEK SHELVING KE kosong",IF(ISNA(MATCH(Q282&amp;"|"&amp;R282,LAYOUT!$E$2:$E$80,0)),"CEK SHELVING KE di luar layout",IF($I282="","CEK SERIES kosong",IF(AND(S282&lt;&gt;"",NOT(ISNUMBER(S282))),"CEK URUTAN DISPLAY harus angka",IF($D282="","Zona STOCK",IF($E282="","CEK SKU DESCRIPTION kosong",IF(COUNTIFS($I$2:$I$500,$I282,Q$2:Q$500,"&lt;&gt;"&amp;Q282,Q$2:Q$500,"&lt;&gt;")&gt;0,"CEK jenis fixture beda dalam satu series","OK"))))))))))</f>
        <v/>
      </c>
      <c r="V282" s="11" t="n"/>
      <c r="W282" s="11" t="n"/>
      <c r="X282" s="11" t="n"/>
      <c r="Y282" s="11">
        <f>IF(OR(V282="",W282=""),"",IFERROR(INDEX(LAYOUT!$D$2:$D$80,MATCH(V282&amp;"|"&amp;W282,LAYOUT!$E$2:$E$80,0)),""))</f>
        <v/>
      </c>
      <c r="Z282" s="12">
        <f>IF(AND(V282="",W282=""),IF(AND(L282="",M282="",Q282="",R282=""),IF(OR($D282&lt;&gt;"",$E282&lt;&gt;""),"Belum ditempatkan",""),""),IF(V282="","CEK JENIS FIXTURE kosong",IF(LEFT(V282,4)&lt;&gt;"Wall","CEK Fixture 3 hanya Wall",IF(W282="","CEK SHELVING KE kosong",IF(ISNA(MATCH(V282&amp;"|"&amp;W282,LAYOUT!$E$2:$E$80,0)),"CEK SHELVING KE di luar layout",IF($I282="","CEK SERIES kosong",IF(AND(X282&lt;&gt;"",NOT(ISNUMBER(X282))),"CEK URUTAN DISPLAY harus angka",IF($D282="","Zona STOCK",IF($E282="","CEK SKU DESCRIPTION kosong",IF(COUNTIFS($I$2:$I$500,$I282,V$2:V$500,"&lt;&gt;"&amp;V282,V$2:V$500,"&lt;&gt;")&gt;0,"CEK jenis fixture beda dalam satu series","OK"))))))))))</f>
        <v/>
      </c>
      <c r="AA282" s="12" t="n"/>
      <c r="AB282" s="11" t="n"/>
      <c r="AC282" s="11" t="n"/>
      <c r="AD282" s="11" t="n"/>
      <c r="AE282" s="11" t="n"/>
      <c r="AF282" s="11" t="n"/>
      <c r="AG282" s="11" t="n"/>
      <c r="AH282" s="12" t="n"/>
      <c r="AI282" s="12" t="n"/>
    </row>
    <row r="283">
      <c r="A283" s="10" t="n"/>
      <c r="B283" s="10" t="n"/>
      <c r="C283" s="10" t="n"/>
      <c r="D283" s="10" t="n"/>
      <c r="E283" s="10" t="n"/>
      <c r="F283" s="10" t="n"/>
      <c r="G283" s="10" t="n"/>
      <c r="H283" s="10" t="n"/>
      <c r="I283" s="10" t="n"/>
      <c r="J283" s="10" t="n"/>
      <c r="K283" s="10" t="n"/>
      <c r="L283" s="11" t="n"/>
      <c r="M283" s="11" t="n"/>
      <c r="N283" s="11" t="n"/>
      <c r="O283" s="11">
        <f>IF(OR(L283="",M283=""),"",IFERROR(INDEX(LAYOUT!$D$2:$D$80,MATCH(L283&amp;"|"&amp;M283,LAYOUT!$E$2:$E$80,0)),""))</f>
        <v/>
      </c>
      <c r="P283" s="12">
        <f>IF(AND(L283="",M283=""),IF(AND(Q283="",R283="",V283="",W283=""),IF(OR($D283&lt;&gt;"",$E283&lt;&gt;""),"Belum ditempatkan",""),""),IF(L283="","CEK JENIS FIXTURE kosong",IF(AND(LEFT(L283,7)&lt;&gt;"Gondola",LEFT(L283,6)&lt;&gt;"Endcap"),"CEK Fixture 1 hanya Gondola atau Endcap",IF(M283="","CEK SHELVING KE kosong",IF(ISNA(MATCH(L283&amp;"|"&amp;M283,LAYOUT!$E$2:$E$80,0)),"CEK SHELVING KE di luar layout",IF($I283="","CEK SERIES kosong",IF(AND(N283&lt;&gt;"",NOT(ISNUMBER(N283))),"CEK URUTAN DISPLAY harus angka",IF($D283="","Zona STOCK",IF($E283="","CEK SKU DESCRIPTION kosong",IF(COUNTIFS($I$2:$I$500,$I283,L$2:L$500,"&lt;&gt;"&amp;L283,L$2:L$500,"&lt;&gt;")&gt;0,"CEK jenis fixture beda dalam satu series","OK"))))))))))</f>
        <v/>
      </c>
      <c r="Q283" s="11" t="n"/>
      <c r="R283" s="11" t="n"/>
      <c r="S283" s="11" t="n"/>
      <c r="T283" s="11">
        <f>IF(OR(Q283="",R283=""),"",IFERROR(INDEX(LAYOUT!$D$2:$D$80,MATCH(Q283&amp;"|"&amp;R283,LAYOUT!$E$2:$E$80,0)),""))</f>
        <v/>
      </c>
      <c r="U283" s="12">
        <f>IF(AND(Q283="",R283=""),IF(AND(L283="",M283="",V283="",W283=""),IF(OR($D283&lt;&gt;"",$E283&lt;&gt;""),"Belum ditempatkan",""),""),IF(Q283="","CEK JENIS FIXTURE kosong",IF(LEFT(Q283,4)&lt;&gt;"Wall","CEK Fixture 2 hanya Wall",IF(R283="","CEK SHELVING KE kosong",IF(ISNA(MATCH(Q283&amp;"|"&amp;R283,LAYOUT!$E$2:$E$80,0)),"CEK SHELVING KE di luar layout",IF($I283="","CEK SERIES kosong",IF(AND(S283&lt;&gt;"",NOT(ISNUMBER(S283))),"CEK URUTAN DISPLAY harus angka",IF($D283="","Zona STOCK",IF($E283="","CEK SKU DESCRIPTION kosong",IF(COUNTIFS($I$2:$I$500,$I283,Q$2:Q$500,"&lt;&gt;"&amp;Q283,Q$2:Q$500,"&lt;&gt;")&gt;0,"CEK jenis fixture beda dalam satu series","OK"))))))))))</f>
        <v/>
      </c>
      <c r="V283" s="11" t="n"/>
      <c r="W283" s="11" t="n"/>
      <c r="X283" s="11" t="n"/>
      <c r="Y283" s="11">
        <f>IF(OR(V283="",W283=""),"",IFERROR(INDEX(LAYOUT!$D$2:$D$80,MATCH(V283&amp;"|"&amp;W283,LAYOUT!$E$2:$E$80,0)),""))</f>
        <v/>
      </c>
      <c r="Z283" s="12">
        <f>IF(AND(V283="",W283=""),IF(AND(L283="",M283="",Q283="",R283=""),IF(OR($D283&lt;&gt;"",$E283&lt;&gt;""),"Belum ditempatkan",""),""),IF(V283="","CEK JENIS FIXTURE kosong",IF(LEFT(V283,4)&lt;&gt;"Wall","CEK Fixture 3 hanya Wall",IF(W283="","CEK SHELVING KE kosong",IF(ISNA(MATCH(V283&amp;"|"&amp;W283,LAYOUT!$E$2:$E$80,0)),"CEK SHELVING KE di luar layout",IF($I283="","CEK SERIES kosong",IF(AND(X283&lt;&gt;"",NOT(ISNUMBER(X283))),"CEK URUTAN DISPLAY harus angka",IF($D283="","Zona STOCK",IF($E283="","CEK SKU DESCRIPTION kosong",IF(COUNTIFS($I$2:$I$500,$I283,V$2:V$500,"&lt;&gt;"&amp;V283,V$2:V$500,"&lt;&gt;")&gt;0,"CEK jenis fixture beda dalam satu series","OK"))))))))))</f>
        <v/>
      </c>
      <c r="AA283" s="12" t="n"/>
      <c r="AB283" s="11" t="n"/>
      <c r="AC283" s="11" t="n"/>
      <c r="AD283" s="11" t="n"/>
      <c r="AE283" s="11" t="n"/>
      <c r="AF283" s="11" t="n"/>
      <c r="AG283" s="11" t="n"/>
      <c r="AH283" s="12" t="n"/>
      <c r="AI283" s="12" t="n"/>
    </row>
    <row r="284">
      <c r="A284" s="10" t="n"/>
      <c r="B284" s="10" t="n"/>
      <c r="C284" s="10" t="n"/>
      <c r="D284" s="10" t="n"/>
      <c r="E284" s="10" t="n"/>
      <c r="F284" s="10" t="n"/>
      <c r="G284" s="10" t="n"/>
      <c r="H284" s="10" t="n"/>
      <c r="I284" s="10" t="n"/>
      <c r="J284" s="10" t="n"/>
      <c r="K284" s="10" t="n"/>
      <c r="L284" s="11" t="n"/>
      <c r="M284" s="11" t="n"/>
      <c r="N284" s="11" t="n"/>
      <c r="O284" s="11">
        <f>IF(OR(L284="",M284=""),"",IFERROR(INDEX(LAYOUT!$D$2:$D$80,MATCH(L284&amp;"|"&amp;M284,LAYOUT!$E$2:$E$80,0)),""))</f>
        <v/>
      </c>
      <c r="P284" s="12">
        <f>IF(AND(L284="",M284=""),IF(AND(Q284="",R284="",V284="",W284=""),IF(OR($D284&lt;&gt;"",$E284&lt;&gt;""),"Belum ditempatkan",""),""),IF(L284="","CEK JENIS FIXTURE kosong",IF(AND(LEFT(L284,7)&lt;&gt;"Gondola",LEFT(L284,6)&lt;&gt;"Endcap"),"CEK Fixture 1 hanya Gondola atau Endcap",IF(M284="","CEK SHELVING KE kosong",IF(ISNA(MATCH(L284&amp;"|"&amp;M284,LAYOUT!$E$2:$E$80,0)),"CEK SHELVING KE di luar layout",IF($I284="","CEK SERIES kosong",IF(AND(N284&lt;&gt;"",NOT(ISNUMBER(N284))),"CEK URUTAN DISPLAY harus angka",IF($D284="","Zona STOCK",IF($E284="","CEK SKU DESCRIPTION kosong",IF(COUNTIFS($I$2:$I$500,$I284,L$2:L$500,"&lt;&gt;"&amp;L284,L$2:L$500,"&lt;&gt;")&gt;0,"CEK jenis fixture beda dalam satu series","OK"))))))))))</f>
        <v/>
      </c>
      <c r="Q284" s="11" t="n"/>
      <c r="R284" s="11" t="n"/>
      <c r="S284" s="11" t="n"/>
      <c r="T284" s="11">
        <f>IF(OR(Q284="",R284=""),"",IFERROR(INDEX(LAYOUT!$D$2:$D$80,MATCH(Q284&amp;"|"&amp;R284,LAYOUT!$E$2:$E$80,0)),""))</f>
        <v/>
      </c>
      <c r="U284" s="12">
        <f>IF(AND(Q284="",R284=""),IF(AND(L284="",M284="",V284="",W284=""),IF(OR($D284&lt;&gt;"",$E284&lt;&gt;""),"Belum ditempatkan",""),""),IF(Q284="","CEK JENIS FIXTURE kosong",IF(LEFT(Q284,4)&lt;&gt;"Wall","CEK Fixture 2 hanya Wall",IF(R284="","CEK SHELVING KE kosong",IF(ISNA(MATCH(Q284&amp;"|"&amp;R284,LAYOUT!$E$2:$E$80,0)),"CEK SHELVING KE di luar layout",IF($I284="","CEK SERIES kosong",IF(AND(S284&lt;&gt;"",NOT(ISNUMBER(S284))),"CEK URUTAN DISPLAY harus angka",IF($D284="","Zona STOCK",IF($E284="","CEK SKU DESCRIPTION kosong",IF(COUNTIFS($I$2:$I$500,$I284,Q$2:Q$500,"&lt;&gt;"&amp;Q284,Q$2:Q$500,"&lt;&gt;")&gt;0,"CEK jenis fixture beda dalam satu series","OK"))))))))))</f>
        <v/>
      </c>
      <c r="V284" s="11" t="n"/>
      <c r="W284" s="11" t="n"/>
      <c r="X284" s="11" t="n"/>
      <c r="Y284" s="11">
        <f>IF(OR(V284="",W284=""),"",IFERROR(INDEX(LAYOUT!$D$2:$D$80,MATCH(V284&amp;"|"&amp;W284,LAYOUT!$E$2:$E$80,0)),""))</f>
        <v/>
      </c>
      <c r="Z284" s="12">
        <f>IF(AND(V284="",W284=""),IF(AND(L284="",M284="",Q284="",R284=""),IF(OR($D284&lt;&gt;"",$E284&lt;&gt;""),"Belum ditempatkan",""),""),IF(V284="","CEK JENIS FIXTURE kosong",IF(LEFT(V284,4)&lt;&gt;"Wall","CEK Fixture 3 hanya Wall",IF(W284="","CEK SHELVING KE kosong",IF(ISNA(MATCH(V284&amp;"|"&amp;W284,LAYOUT!$E$2:$E$80,0)),"CEK SHELVING KE di luar layout",IF($I284="","CEK SERIES kosong",IF(AND(X284&lt;&gt;"",NOT(ISNUMBER(X284))),"CEK URUTAN DISPLAY harus angka",IF($D284="","Zona STOCK",IF($E284="","CEK SKU DESCRIPTION kosong",IF(COUNTIFS($I$2:$I$500,$I284,V$2:V$500,"&lt;&gt;"&amp;V284,V$2:V$500,"&lt;&gt;")&gt;0,"CEK jenis fixture beda dalam satu series","OK"))))))))))</f>
        <v/>
      </c>
      <c r="AA284" s="12" t="n"/>
      <c r="AB284" s="11" t="n"/>
      <c r="AC284" s="11" t="n"/>
      <c r="AD284" s="11" t="n"/>
      <c r="AE284" s="11" t="n"/>
      <c r="AF284" s="11" t="n"/>
      <c r="AG284" s="11" t="n"/>
      <c r="AH284" s="12" t="n"/>
      <c r="AI284" s="12" t="n"/>
    </row>
    <row r="285">
      <c r="A285" s="10" t="n"/>
      <c r="B285" s="10" t="n"/>
      <c r="C285" s="10" t="n"/>
      <c r="D285" s="10" t="n"/>
      <c r="E285" s="10" t="n"/>
      <c r="F285" s="10" t="n"/>
      <c r="G285" s="10" t="n"/>
      <c r="H285" s="10" t="n"/>
      <c r="I285" s="10" t="n"/>
      <c r="J285" s="10" t="n"/>
      <c r="K285" s="10" t="n"/>
      <c r="L285" s="11" t="n"/>
      <c r="M285" s="11" t="n"/>
      <c r="N285" s="11" t="n"/>
      <c r="O285" s="11">
        <f>IF(OR(L285="",M285=""),"",IFERROR(INDEX(LAYOUT!$D$2:$D$80,MATCH(L285&amp;"|"&amp;M285,LAYOUT!$E$2:$E$80,0)),""))</f>
        <v/>
      </c>
      <c r="P285" s="12">
        <f>IF(AND(L285="",M285=""),IF(AND(Q285="",R285="",V285="",W285=""),IF(OR($D285&lt;&gt;"",$E285&lt;&gt;""),"Belum ditempatkan",""),""),IF(L285="","CEK JENIS FIXTURE kosong",IF(AND(LEFT(L285,7)&lt;&gt;"Gondola",LEFT(L285,6)&lt;&gt;"Endcap"),"CEK Fixture 1 hanya Gondola atau Endcap",IF(M285="","CEK SHELVING KE kosong",IF(ISNA(MATCH(L285&amp;"|"&amp;M285,LAYOUT!$E$2:$E$80,0)),"CEK SHELVING KE di luar layout",IF($I285="","CEK SERIES kosong",IF(AND(N285&lt;&gt;"",NOT(ISNUMBER(N285))),"CEK URUTAN DISPLAY harus angka",IF($D285="","Zona STOCK",IF($E285="","CEK SKU DESCRIPTION kosong",IF(COUNTIFS($I$2:$I$500,$I285,L$2:L$500,"&lt;&gt;"&amp;L285,L$2:L$500,"&lt;&gt;")&gt;0,"CEK jenis fixture beda dalam satu series","OK"))))))))))</f>
        <v/>
      </c>
      <c r="Q285" s="11" t="n"/>
      <c r="R285" s="11" t="n"/>
      <c r="S285" s="11" t="n"/>
      <c r="T285" s="11">
        <f>IF(OR(Q285="",R285=""),"",IFERROR(INDEX(LAYOUT!$D$2:$D$80,MATCH(Q285&amp;"|"&amp;R285,LAYOUT!$E$2:$E$80,0)),""))</f>
        <v/>
      </c>
      <c r="U285" s="12">
        <f>IF(AND(Q285="",R285=""),IF(AND(L285="",M285="",V285="",W285=""),IF(OR($D285&lt;&gt;"",$E285&lt;&gt;""),"Belum ditempatkan",""),""),IF(Q285="","CEK JENIS FIXTURE kosong",IF(LEFT(Q285,4)&lt;&gt;"Wall","CEK Fixture 2 hanya Wall",IF(R285="","CEK SHELVING KE kosong",IF(ISNA(MATCH(Q285&amp;"|"&amp;R285,LAYOUT!$E$2:$E$80,0)),"CEK SHELVING KE di luar layout",IF($I285="","CEK SERIES kosong",IF(AND(S285&lt;&gt;"",NOT(ISNUMBER(S285))),"CEK URUTAN DISPLAY harus angka",IF($D285="","Zona STOCK",IF($E285="","CEK SKU DESCRIPTION kosong",IF(COUNTIFS($I$2:$I$500,$I285,Q$2:Q$500,"&lt;&gt;"&amp;Q285,Q$2:Q$500,"&lt;&gt;")&gt;0,"CEK jenis fixture beda dalam satu series","OK"))))))))))</f>
        <v/>
      </c>
      <c r="V285" s="11" t="n"/>
      <c r="W285" s="11" t="n"/>
      <c r="X285" s="11" t="n"/>
      <c r="Y285" s="11">
        <f>IF(OR(V285="",W285=""),"",IFERROR(INDEX(LAYOUT!$D$2:$D$80,MATCH(V285&amp;"|"&amp;W285,LAYOUT!$E$2:$E$80,0)),""))</f>
        <v/>
      </c>
      <c r="Z285" s="12">
        <f>IF(AND(V285="",W285=""),IF(AND(L285="",M285="",Q285="",R285=""),IF(OR($D285&lt;&gt;"",$E285&lt;&gt;""),"Belum ditempatkan",""),""),IF(V285="","CEK JENIS FIXTURE kosong",IF(LEFT(V285,4)&lt;&gt;"Wall","CEK Fixture 3 hanya Wall",IF(W285="","CEK SHELVING KE kosong",IF(ISNA(MATCH(V285&amp;"|"&amp;W285,LAYOUT!$E$2:$E$80,0)),"CEK SHELVING KE di luar layout",IF($I285="","CEK SERIES kosong",IF(AND(X285&lt;&gt;"",NOT(ISNUMBER(X285))),"CEK URUTAN DISPLAY harus angka",IF($D285="","Zona STOCK",IF($E285="","CEK SKU DESCRIPTION kosong",IF(COUNTIFS($I$2:$I$500,$I285,V$2:V$500,"&lt;&gt;"&amp;V285,V$2:V$500,"&lt;&gt;")&gt;0,"CEK jenis fixture beda dalam satu series","OK"))))))))))</f>
        <v/>
      </c>
      <c r="AA285" s="12" t="n"/>
      <c r="AB285" s="11" t="n"/>
      <c r="AC285" s="11" t="n"/>
      <c r="AD285" s="11" t="n"/>
      <c r="AE285" s="11" t="n"/>
      <c r="AF285" s="11" t="n"/>
      <c r="AG285" s="11" t="n"/>
      <c r="AH285" s="12" t="n"/>
      <c r="AI285" s="12" t="n"/>
    </row>
    <row r="286">
      <c r="A286" s="10" t="n"/>
      <c r="B286" s="10" t="n"/>
      <c r="C286" s="10" t="n"/>
      <c r="D286" s="10" t="n"/>
      <c r="E286" s="10" t="n"/>
      <c r="F286" s="10" t="n"/>
      <c r="G286" s="10" t="n"/>
      <c r="H286" s="10" t="n"/>
      <c r="I286" s="10" t="n"/>
      <c r="J286" s="10" t="n"/>
      <c r="K286" s="10" t="n"/>
      <c r="L286" s="11" t="n"/>
      <c r="M286" s="11" t="n"/>
      <c r="N286" s="11" t="n"/>
      <c r="O286" s="11">
        <f>IF(OR(L286="",M286=""),"",IFERROR(INDEX(LAYOUT!$D$2:$D$80,MATCH(L286&amp;"|"&amp;M286,LAYOUT!$E$2:$E$80,0)),""))</f>
        <v/>
      </c>
      <c r="P286" s="12">
        <f>IF(AND(L286="",M286=""),IF(AND(Q286="",R286="",V286="",W286=""),IF(OR($D286&lt;&gt;"",$E286&lt;&gt;""),"Belum ditempatkan",""),""),IF(L286="","CEK JENIS FIXTURE kosong",IF(AND(LEFT(L286,7)&lt;&gt;"Gondola",LEFT(L286,6)&lt;&gt;"Endcap"),"CEK Fixture 1 hanya Gondola atau Endcap",IF(M286="","CEK SHELVING KE kosong",IF(ISNA(MATCH(L286&amp;"|"&amp;M286,LAYOUT!$E$2:$E$80,0)),"CEK SHELVING KE di luar layout",IF($I286="","CEK SERIES kosong",IF(AND(N286&lt;&gt;"",NOT(ISNUMBER(N286))),"CEK URUTAN DISPLAY harus angka",IF($D286="","Zona STOCK",IF($E286="","CEK SKU DESCRIPTION kosong",IF(COUNTIFS($I$2:$I$500,$I286,L$2:L$500,"&lt;&gt;"&amp;L286,L$2:L$500,"&lt;&gt;")&gt;0,"CEK jenis fixture beda dalam satu series","OK"))))))))))</f>
        <v/>
      </c>
      <c r="Q286" s="11" t="n"/>
      <c r="R286" s="11" t="n"/>
      <c r="S286" s="11" t="n"/>
      <c r="T286" s="11">
        <f>IF(OR(Q286="",R286=""),"",IFERROR(INDEX(LAYOUT!$D$2:$D$80,MATCH(Q286&amp;"|"&amp;R286,LAYOUT!$E$2:$E$80,0)),""))</f>
        <v/>
      </c>
      <c r="U286" s="12">
        <f>IF(AND(Q286="",R286=""),IF(AND(L286="",M286="",V286="",W286=""),IF(OR($D286&lt;&gt;"",$E286&lt;&gt;""),"Belum ditempatkan",""),""),IF(Q286="","CEK JENIS FIXTURE kosong",IF(LEFT(Q286,4)&lt;&gt;"Wall","CEK Fixture 2 hanya Wall",IF(R286="","CEK SHELVING KE kosong",IF(ISNA(MATCH(Q286&amp;"|"&amp;R286,LAYOUT!$E$2:$E$80,0)),"CEK SHELVING KE di luar layout",IF($I286="","CEK SERIES kosong",IF(AND(S286&lt;&gt;"",NOT(ISNUMBER(S286))),"CEK URUTAN DISPLAY harus angka",IF($D286="","Zona STOCK",IF($E286="","CEK SKU DESCRIPTION kosong",IF(COUNTIFS($I$2:$I$500,$I286,Q$2:Q$500,"&lt;&gt;"&amp;Q286,Q$2:Q$500,"&lt;&gt;")&gt;0,"CEK jenis fixture beda dalam satu series","OK"))))))))))</f>
        <v/>
      </c>
      <c r="V286" s="11" t="n"/>
      <c r="W286" s="11" t="n"/>
      <c r="X286" s="11" t="n"/>
      <c r="Y286" s="11">
        <f>IF(OR(V286="",W286=""),"",IFERROR(INDEX(LAYOUT!$D$2:$D$80,MATCH(V286&amp;"|"&amp;W286,LAYOUT!$E$2:$E$80,0)),""))</f>
        <v/>
      </c>
      <c r="Z286" s="12">
        <f>IF(AND(V286="",W286=""),IF(AND(L286="",M286="",Q286="",R286=""),IF(OR($D286&lt;&gt;"",$E286&lt;&gt;""),"Belum ditempatkan",""),""),IF(V286="","CEK JENIS FIXTURE kosong",IF(LEFT(V286,4)&lt;&gt;"Wall","CEK Fixture 3 hanya Wall",IF(W286="","CEK SHELVING KE kosong",IF(ISNA(MATCH(V286&amp;"|"&amp;W286,LAYOUT!$E$2:$E$80,0)),"CEK SHELVING KE di luar layout",IF($I286="","CEK SERIES kosong",IF(AND(X286&lt;&gt;"",NOT(ISNUMBER(X286))),"CEK URUTAN DISPLAY harus angka",IF($D286="","Zona STOCK",IF($E286="","CEK SKU DESCRIPTION kosong",IF(COUNTIFS($I$2:$I$500,$I286,V$2:V$500,"&lt;&gt;"&amp;V286,V$2:V$500,"&lt;&gt;")&gt;0,"CEK jenis fixture beda dalam satu series","OK"))))))))))</f>
        <v/>
      </c>
      <c r="AA286" s="12" t="n"/>
      <c r="AB286" s="11" t="n"/>
      <c r="AC286" s="11" t="n"/>
      <c r="AD286" s="11" t="n"/>
      <c r="AE286" s="11" t="n"/>
      <c r="AF286" s="11" t="n"/>
      <c r="AG286" s="11" t="n"/>
      <c r="AH286" s="12" t="n"/>
      <c r="AI286" s="12" t="n"/>
    </row>
    <row r="287">
      <c r="A287" s="10" t="n"/>
      <c r="B287" s="10" t="n"/>
      <c r="C287" s="10" t="n"/>
      <c r="D287" s="10" t="n"/>
      <c r="E287" s="10" t="n"/>
      <c r="F287" s="10" t="n"/>
      <c r="G287" s="10" t="n"/>
      <c r="H287" s="10" t="n"/>
      <c r="I287" s="10" t="n"/>
      <c r="J287" s="10" t="n"/>
      <c r="K287" s="10" t="n"/>
      <c r="L287" s="11" t="n"/>
      <c r="M287" s="11" t="n"/>
      <c r="N287" s="11" t="n"/>
      <c r="O287" s="11">
        <f>IF(OR(L287="",M287=""),"",IFERROR(INDEX(LAYOUT!$D$2:$D$80,MATCH(L287&amp;"|"&amp;M287,LAYOUT!$E$2:$E$80,0)),""))</f>
        <v/>
      </c>
      <c r="P287" s="12">
        <f>IF(AND(L287="",M287=""),IF(AND(Q287="",R287="",V287="",W287=""),IF(OR($D287&lt;&gt;"",$E287&lt;&gt;""),"Belum ditempatkan",""),""),IF(L287="","CEK JENIS FIXTURE kosong",IF(AND(LEFT(L287,7)&lt;&gt;"Gondola",LEFT(L287,6)&lt;&gt;"Endcap"),"CEK Fixture 1 hanya Gondola atau Endcap",IF(M287="","CEK SHELVING KE kosong",IF(ISNA(MATCH(L287&amp;"|"&amp;M287,LAYOUT!$E$2:$E$80,0)),"CEK SHELVING KE di luar layout",IF($I287="","CEK SERIES kosong",IF(AND(N287&lt;&gt;"",NOT(ISNUMBER(N287))),"CEK URUTAN DISPLAY harus angka",IF($D287="","Zona STOCK",IF($E287="","CEK SKU DESCRIPTION kosong",IF(COUNTIFS($I$2:$I$500,$I287,L$2:L$500,"&lt;&gt;"&amp;L287,L$2:L$500,"&lt;&gt;")&gt;0,"CEK jenis fixture beda dalam satu series","OK"))))))))))</f>
        <v/>
      </c>
      <c r="Q287" s="11" t="n"/>
      <c r="R287" s="11" t="n"/>
      <c r="S287" s="11" t="n"/>
      <c r="T287" s="11">
        <f>IF(OR(Q287="",R287=""),"",IFERROR(INDEX(LAYOUT!$D$2:$D$80,MATCH(Q287&amp;"|"&amp;R287,LAYOUT!$E$2:$E$80,0)),""))</f>
        <v/>
      </c>
      <c r="U287" s="12">
        <f>IF(AND(Q287="",R287=""),IF(AND(L287="",M287="",V287="",W287=""),IF(OR($D287&lt;&gt;"",$E287&lt;&gt;""),"Belum ditempatkan",""),""),IF(Q287="","CEK JENIS FIXTURE kosong",IF(LEFT(Q287,4)&lt;&gt;"Wall","CEK Fixture 2 hanya Wall",IF(R287="","CEK SHELVING KE kosong",IF(ISNA(MATCH(Q287&amp;"|"&amp;R287,LAYOUT!$E$2:$E$80,0)),"CEK SHELVING KE di luar layout",IF($I287="","CEK SERIES kosong",IF(AND(S287&lt;&gt;"",NOT(ISNUMBER(S287))),"CEK URUTAN DISPLAY harus angka",IF($D287="","Zona STOCK",IF($E287="","CEK SKU DESCRIPTION kosong",IF(COUNTIFS($I$2:$I$500,$I287,Q$2:Q$500,"&lt;&gt;"&amp;Q287,Q$2:Q$500,"&lt;&gt;")&gt;0,"CEK jenis fixture beda dalam satu series","OK"))))))))))</f>
        <v/>
      </c>
      <c r="V287" s="11" t="n"/>
      <c r="W287" s="11" t="n"/>
      <c r="X287" s="11" t="n"/>
      <c r="Y287" s="11">
        <f>IF(OR(V287="",W287=""),"",IFERROR(INDEX(LAYOUT!$D$2:$D$80,MATCH(V287&amp;"|"&amp;W287,LAYOUT!$E$2:$E$80,0)),""))</f>
        <v/>
      </c>
      <c r="Z287" s="12">
        <f>IF(AND(V287="",W287=""),IF(AND(L287="",M287="",Q287="",R287=""),IF(OR($D287&lt;&gt;"",$E287&lt;&gt;""),"Belum ditempatkan",""),""),IF(V287="","CEK JENIS FIXTURE kosong",IF(LEFT(V287,4)&lt;&gt;"Wall","CEK Fixture 3 hanya Wall",IF(W287="","CEK SHELVING KE kosong",IF(ISNA(MATCH(V287&amp;"|"&amp;W287,LAYOUT!$E$2:$E$80,0)),"CEK SHELVING KE di luar layout",IF($I287="","CEK SERIES kosong",IF(AND(X287&lt;&gt;"",NOT(ISNUMBER(X287))),"CEK URUTAN DISPLAY harus angka",IF($D287="","Zona STOCK",IF($E287="","CEK SKU DESCRIPTION kosong",IF(COUNTIFS($I$2:$I$500,$I287,V$2:V$500,"&lt;&gt;"&amp;V287,V$2:V$500,"&lt;&gt;")&gt;0,"CEK jenis fixture beda dalam satu series","OK"))))))))))</f>
        <v/>
      </c>
      <c r="AA287" s="12" t="n"/>
      <c r="AB287" s="11" t="n"/>
      <c r="AC287" s="11" t="n"/>
      <c r="AD287" s="11" t="n"/>
      <c r="AE287" s="11" t="n"/>
      <c r="AF287" s="11" t="n"/>
      <c r="AG287" s="11" t="n"/>
      <c r="AH287" s="12" t="n"/>
      <c r="AI287" s="12" t="n"/>
    </row>
    <row r="288">
      <c r="A288" s="10" t="n"/>
      <c r="B288" s="10" t="n"/>
      <c r="C288" s="10" t="n"/>
      <c r="D288" s="10" t="n"/>
      <c r="E288" s="10" t="n"/>
      <c r="F288" s="10" t="n"/>
      <c r="G288" s="10" t="n"/>
      <c r="H288" s="10" t="n"/>
      <c r="I288" s="10" t="n"/>
      <c r="J288" s="10" t="n"/>
      <c r="K288" s="10" t="n"/>
      <c r="L288" s="11" t="n"/>
      <c r="M288" s="11" t="n"/>
      <c r="N288" s="11" t="n"/>
      <c r="O288" s="11">
        <f>IF(OR(L288="",M288=""),"",IFERROR(INDEX(LAYOUT!$D$2:$D$80,MATCH(L288&amp;"|"&amp;M288,LAYOUT!$E$2:$E$80,0)),""))</f>
        <v/>
      </c>
      <c r="P288" s="12">
        <f>IF(AND(L288="",M288=""),IF(AND(Q288="",R288="",V288="",W288=""),IF(OR($D288&lt;&gt;"",$E288&lt;&gt;""),"Belum ditempatkan",""),""),IF(L288="","CEK JENIS FIXTURE kosong",IF(AND(LEFT(L288,7)&lt;&gt;"Gondola",LEFT(L288,6)&lt;&gt;"Endcap"),"CEK Fixture 1 hanya Gondola atau Endcap",IF(M288="","CEK SHELVING KE kosong",IF(ISNA(MATCH(L288&amp;"|"&amp;M288,LAYOUT!$E$2:$E$80,0)),"CEK SHELVING KE di luar layout",IF($I288="","CEK SERIES kosong",IF(AND(N288&lt;&gt;"",NOT(ISNUMBER(N288))),"CEK URUTAN DISPLAY harus angka",IF($D288="","Zona STOCK",IF($E288="","CEK SKU DESCRIPTION kosong",IF(COUNTIFS($I$2:$I$500,$I288,L$2:L$500,"&lt;&gt;"&amp;L288,L$2:L$500,"&lt;&gt;")&gt;0,"CEK jenis fixture beda dalam satu series","OK"))))))))))</f>
        <v/>
      </c>
      <c r="Q288" s="11" t="n"/>
      <c r="R288" s="11" t="n"/>
      <c r="S288" s="11" t="n"/>
      <c r="T288" s="11">
        <f>IF(OR(Q288="",R288=""),"",IFERROR(INDEX(LAYOUT!$D$2:$D$80,MATCH(Q288&amp;"|"&amp;R288,LAYOUT!$E$2:$E$80,0)),""))</f>
        <v/>
      </c>
      <c r="U288" s="12">
        <f>IF(AND(Q288="",R288=""),IF(AND(L288="",M288="",V288="",W288=""),IF(OR($D288&lt;&gt;"",$E288&lt;&gt;""),"Belum ditempatkan",""),""),IF(Q288="","CEK JENIS FIXTURE kosong",IF(LEFT(Q288,4)&lt;&gt;"Wall","CEK Fixture 2 hanya Wall",IF(R288="","CEK SHELVING KE kosong",IF(ISNA(MATCH(Q288&amp;"|"&amp;R288,LAYOUT!$E$2:$E$80,0)),"CEK SHELVING KE di luar layout",IF($I288="","CEK SERIES kosong",IF(AND(S288&lt;&gt;"",NOT(ISNUMBER(S288))),"CEK URUTAN DISPLAY harus angka",IF($D288="","Zona STOCK",IF($E288="","CEK SKU DESCRIPTION kosong",IF(COUNTIFS($I$2:$I$500,$I288,Q$2:Q$500,"&lt;&gt;"&amp;Q288,Q$2:Q$500,"&lt;&gt;")&gt;0,"CEK jenis fixture beda dalam satu series","OK"))))))))))</f>
        <v/>
      </c>
      <c r="V288" s="11" t="n"/>
      <c r="W288" s="11" t="n"/>
      <c r="X288" s="11" t="n"/>
      <c r="Y288" s="11">
        <f>IF(OR(V288="",W288=""),"",IFERROR(INDEX(LAYOUT!$D$2:$D$80,MATCH(V288&amp;"|"&amp;W288,LAYOUT!$E$2:$E$80,0)),""))</f>
        <v/>
      </c>
      <c r="Z288" s="12">
        <f>IF(AND(V288="",W288=""),IF(AND(L288="",M288="",Q288="",R288=""),IF(OR($D288&lt;&gt;"",$E288&lt;&gt;""),"Belum ditempatkan",""),""),IF(V288="","CEK JENIS FIXTURE kosong",IF(LEFT(V288,4)&lt;&gt;"Wall","CEK Fixture 3 hanya Wall",IF(W288="","CEK SHELVING KE kosong",IF(ISNA(MATCH(V288&amp;"|"&amp;W288,LAYOUT!$E$2:$E$80,0)),"CEK SHELVING KE di luar layout",IF($I288="","CEK SERIES kosong",IF(AND(X288&lt;&gt;"",NOT(ISNUMBER(X288))),"CEK URUTAN DISPLAY harus angka",IF($D288="","Zona STOCK",IF($E288="","CEK SKU DESCRIPTION kosong",IF(COUNTIFS($I$2:$I$500,$I288,V$2:V$500,"&lt;&gt;"&amp;V288,V$2:V$500,"&lt;&gt;")&gt;0,"CEK jenis fixture beda dalam satu series","OK"))))))))))</f>
        <v/>
      </c>
      <c r="AA288" s="12" t="n"/>
      <c r="AB288" s="11" t="n"/>
      <c r="AC288" s="11" t="n"/>
      <c r="AD288" s="11" t="n"/>
      <c r="AE288" s="11" t="n"/>
      <c r="AF288" s="11" t="n"/>
      <c r="AG288" s="11" t="n"/>
      <c r="AH288" s="12" t="n"/>
      <c r="AI288" s="12" t="n"/>
    </row>
    <row r="289">
      <c r="A289" s="10" t="n"/>
      <c r="B289" s="10" t="n"/>
      <c r="C289" s="10" t="n"/>
      <c r="D289" s="10" t="n"/>
      <c r="E289" s="10" t="n"/>
      <c r="F289" s="10" t="n"/>
      <c r="G289" s="10" t="n"/>
      <c r="H289" s="10" t="n"/>
      <c r="I289" s="10" t="n"/>
      <c r="J289" s="10" t="n"/>
      <c r="K289" s="10" t="n"/>
      <c r="L289" s="11" t="n"/>
      <c r="M289" s="11" t="n"/>
      <c r="N289" s="11" t="n"/>
      <c r="O289" s="11">
        <f>IF(OR(L289="",M289=""),"",IFERROR(INDEX(LAYOUT!$D$2:$D$80,MATCH(L289&amp;"|"&amp;M289,LAYOUT!$E$2:$E$80,0)),""))</f>
        <v/>
      </c>
      <c r="P289" s="12">
        <f>IF(AND(L289="",M289=""),IF(AND(Q289="",R289="",V289="",W289=""),IF(OR($D289&lt;&gt;"",$E289&lt;&gt;""),"Belum ditempatkan",""),""),IF(L289="","CEK JENIS FIXTURE kosong",IF(AND(LEFT(L289,7)&lt;&gt;"Gondola",LEFT(L289,6)&lt;&gt;"Endcap"),"CEK Fixture 1 hanya Gondola atau Endcap",IF(M289="","CEK SHELVING KE kosong",IF(ISNA(MATCH(L289&amp;"|"&amp;M289,LAYOUT!$E$2:$E$80,0)),"CEK SHELVING KE di luar layout",IF($I289="","CEK SERIES kosong",IF(AND(N289&lt;&gt;"",NOT(ISNUMBER(N289))),"CEK URUTAN DISPLAY harus angka",IF($D289="","Zona STOCK",IF($E289="","CEK SKU DESCRIPTION kosong",IF(COUNTIFS($I$2:$I$500,$I289,L$2:L$500,"&lt;&gt;"&amp;L289,L$2:L$500,"&lt;&gt;")&gt;0,"CEK jenis fixture beda dalam satu series","OK"))))))))))</f>
        <v/>
      </c>
      <c r="Q289" s="11" t="n"/>
      <c r="R289" s="11" t="n"/>
      <c r="S289" s="11" t="n"/>
      <c r="T289" s="11">
        <f>IF(OR(Q289="",R289=""),"",IFERROR(INDEX(LAYOUT!$D$2:$D$80,MATCH(Q289&amp;"|"&amp;R289,LAYOUT!$E$2:$E$80,0)),""))</f>
        <v/>
      </c>
      <c r="U289" s="12">
        <f>IF(AND(Q289="",R289=""),IF(AND(L289="",M289="",V289="",W289=""),IF(OR($D289&lt;&gt;"",$E289&lt;&gt;""),"Belum ditempatkan",""),""),IF(Q289="","CEK JENIS FIXTURE kosong",IF(LEFT(Q289,4)&lt;&gt;"Wall","CEK Fixture 2 hanya Wall",IF(R289="","CEK SHELVING KE kosong",IF(ISNA(MATCH(Q289&amp;"|"&amp;R289,LAYOUT!$E$2:$E$80,0)),"CEK SHELVING KE di luar layout",IF($I289="","CEK SERIES kosong",IF(AND(S289&lt;&gt;"",NOT(ISNUMBER(S289))),"CEK URUTAN DISPLAY harus angka",IF($D289="","Zona STOCK",IF($E289="","CEK SKU DESCRIPTION kosong",IF(COUNTIFS($I$2:$I$500,$I289,Q$2:Q$500,"&lt;&gt;"&amp;Q289,Q$2:Q$500,"&lt;&gt;")&gt;0,"CEK jenis fixture beda dalam satu series","OK"))))))))))</f>
        <v/>
      </c>
      <c r="V289" s="11" t="n"/>
      <c r="W289" s="11" t="n"/>
      <c r="X289" s="11" t="n"/>
      <c r="Y289" s="11">
        <f>IF(OR(V289="",W289=""),"",IFERROR(INDEX(LAYOUT!$D$2:$D$80,MATCH(V289&amp;"|"&amp;W289,LAYOUT!$E$2:$E$80,0)),""))</f>
        <v/>
      </c>
      <c r="Z289" s="12">
        <f>IF(AND(V289="",W289=""),IF(AND(L289="",M289="",Q289="",R289=""),IF(OR($D289&lt;&gt;"",$E289&lt;&gt;""),"Belum ditempatkan",""),""),IF(V289="","CEK JENIS FIXTURE kosong",IF(LEFT(V289,4)&lt;&gt;"Wall","CEK Fixture 3 hanya Wall",IF(W289="","CEK SHELVING KE kosong",IF(ISNA(MATCH(V289&amp;"|"&amp;W289,LAYOUT!$E$2:$E$80,0)),"CEK SHELVING KE di luar layout",IF($I289="","CEK SERIES kosong",IF(AND(X289&lt;&gt;"",NOT(ISNUMBER(X289))),"CEK URUTAN DISPLAY harus angka",IF($D289="","Zona STOCK",IF($E289="","CEK SKU DESCRIPTION kosong",IF(COUNTIFS($I$2:$I$500,$I289,V$2:V$500,"&lt;&gt;"&amp;V289,V$2:V$500,"&lt;&gt;")&gt;0,"CEK jenis fixture beda dalam satu series","OK"))))))))))</f>
        <v/>
      </c>
      <c r="AA289" s="12" t="n"/>
      <c r="AB289" s="11" t="n"/>
      <c r="AC289" s="11" t="n"/>
      <c r="AD289" s="11" t="n"/>
      <c r="AE289" s="11" t="n"/>
      <c r="AF289" s="11" t="n"/>
      <c r="AG289" s="11" t="n"/>
      <c r="AH289" s="12" t="n"/>
      <c r="AI289" s="12" t="n"/>
    </row>
    <row r="290">
      <c r="A290" s="10" t="n"/>
      <c r="B290" s="10" t="n"/>
      <c r="C290" s="10" t="n"/>
      <c r="D290" s="10" t="n"/>
      <c r="E290" s="10" t="n"/>
      <c r="F290" s="10" t="n"/>
      <c r="G290" s="10" t="n"/>
      <c r="H290" s="10" t="n"/>
      <c r="I290" s="10" t="n"/>
      <c r="J290" s="10" t="n"/>
      <c r="K290" s="10" t="n"/>
      <c r="L290" s="11" t="n"/>
      <c r="M290" s="11" t="n"/>
      <c r="N290" s="11" t="n"/>
      <c r="O290" s="11">
        <f>IF(OR(L290="",M290=""),"",IFERROR(INDEX(LAYOUT!$D$2:$D$80,MATCH(L290&amp;"|"&amp;M290,LAYOUT!$E$2:$E$80,0)),""))</f>
        <v/>
      </c>
      <c r="P290" s="12">
        <f>IF(AND(L290="",M290=""),IF(AND(Q290="",R290="",V290="",W290=""),IF(OR($D290&lt;&gt;"",$E290&lt;&gt;""),"Belum ditempatkan",""),""),IF(L290="","CEK JENIS FIXTURE kosong",IF(AND(LEFT(L290,7)&lt;&gt;"Gondola",LEFT(L290,6)&lt;&gt;"Endcap"),"CEK Fixture 1 hanya Gondola atau Endcap",IF(M290="","CEK SHELVING KE kosong",IF(ISNA(MATCH(L290&amp;"|"&amp;M290,LAYOUT!$E$2:$E$80,0)),"CEK SHELVING KE di luar layout",IF($I290="","CEK SERIES kosong",IF(AND(N290&lt;&gt;"",NOT(ISNUMBER(N290))),"CEK URUTAN DISPLAY harus angka",IF($D290="","Zona STOCK",IF($E290="","CEK SKU DESCRIPTION kosong",IF(COUNTIFS($I$2:$I$500,$I290,L$2:L$500,"&lt;&gt;"&amp;L290,L$2:L$500,"&lt;&gt;")&gt;0,"CEK jenis fixture beda dalam satu series","OK"))))))))))</f>
        <v/>
      </c>
      <c r="Q290" s="11" t="n"/>
      <c r="R290" s="11" t="n"/>
      <c r="S290" s="11" t="n"/>
      <c r="T290" s="11">
        <f>IF(OR(Q290="",R290=""),"",IFERROR(INDEX(LAYOUT!$D$2:$D$80,MATCH(Q290&amp;"|"&amp;R290,LAYOUT!$E$2:$E$80,0)),""))</f>
        <v/>
      </c>
      <c r="U290" s="12">
        <f>IF(AND(Q290="",R290=""),IF(AND(L290="",M290="",V290="",W290=""),IF(OR($D290&lt;&gt;"",$E290&lt;&gt;""),"Belum ditempatkan",""),""),IF(Q290="","CEK JENIS FIXTURE kosong",IF(LEFT(Q290,4)&lt;&gt;"Wall","CEK Fixture 2 hanya Wall",IF(R290="","CEK SHELVING KE kosong",IF(ISNA(MATCH(Q290&amp;"|"&amp;R290,LAYOUT!$E$2:$E$80,0)),"CEK SHELVING KE di luar layout",IF($I290="","CEK SERIES kosong",IF(AND(S290&lt;&gt;"",NOT(ISNUMBER(S290))),"CEK URUTAN DISPLAY harus angka",IF($D290="","Zona STOCK",IF($E290="","CEK SKU DESCRIPTION kosong",IF(COUNTIFS($I$2:$I$500,$I290,Q$2:Q$500,"&lt;&gt;"&amp;Q290,Q$2:Q$500,"&lt;&gt;")&gt;0,"CEK jenis fixture beda dalam satu series","OK"))))))))))</f>
        <v/>
      </c>
      <c r="V290" s="11" t="n"/>
      <c r="W290" s="11" t="n"/>
      <c r="X290" s="11" t="n"/>
      <c r="Y290" s="11">
        <f>IF(OR(V290="",W290=""),"",IFERROR(INDEX(LAYOUT!$D$2:$D$80,MATCH(V290&amp;"|"&amp;W290,LAYOUT!$E$2:$E$80,0)),""))</f>
        <v/>
      </c>
      <c r="Z290" s="12">
        <f>IF(AND(V290="",W290=""),IF(AND(L290="",M290="",Q290="",R290=""),IF(OR($D290&lt;&gt;"",$E290&lt;&gt;""),"Belum ditempatkan",""),""),IF(V290="","CEK JENIS FIXTURE kosong",IF(LEFT(V290,4)&lt;&gt;"Wall","CEK Fixture 3 hanya Wall",IF(W290="","CEK SHELVING KE kosong",IF(ISNA(MATCH(V290&amp;"|"&amp;W290,LAYOUT!$E$2:$E$80,0)),"CEK SHELVING KE di luar layout",IF($I290="","CEK SERIES kosong",IF(AND(X290&lt;&gt;"",NOT(ISNUMBER(X290))),"CEK URUTAN DISPLAY harus angka",IF($D290="","Zona STOCK",IF($E290="","CEK SKU DESCRIPTION kosong",IF(COUNTIFS($I$2:$I$500,$I290,V$2:V$500,"&lt;&gt;"&amp;V290,V$2:V$500,"&lt;&gt;")&gt;0,"CEK jenis fixture beda dalam satu series","OK"))))))))))</f>
        <v/>
      </c>
      <c r="AA290" s="12" t="n"/>
      <c r="AB290" s="11" t="n"/>
      <c r="AC290" s="11" t="n"/>
      <c r="AD290" s="11" t="n"/>
      <c r="AE290" s="11" t="n"/>
      <c r="AF290" s="11" t="n"/>
      <c r="AG290" s="11" t="n"/>
      <c r="AH290" s="12" t="n"/>
      <c r="AI290" s="12" t="n"/>
    </row>
    <row r="291">
      <c r="A291" s="10" t="n"/>
      <c r="B291" s="10" t="n"/>
      <c r="C291" s="10" t="n"/>
      <c r="D291" s="10" t="n"/>
      <c r="E291" s="10" t="n"/>
      <c r="F291" s="10" t="n"/>
      <c r="G291" s="10" t="n"/>
      <c r="H291" s="10" t="n"/>
      <c r="I291" s="10" t="n"/>
      <c r="J291" s="10" t="n"/>
      <c r="K291" s="10" t="n"/>
      <c r="L291" s="11" t="n"/>
      <c r="M291" s="11" t="n"/>
      <c r="N291" s="11" t="n"/>
      <c r="O291" s="11">
        <f>IF(OR(L291="",M291=""),"",IFERROR(INDEX(LAYOUT!$D$2:$D$80,MATCH(L291&amp;"|"&amp;M291,LAYOUT!$E$2:$E$80,0)),""))</f>
        <v/>
      </c>
      <c r="P291" s="12">
        <f>IF(AND(L291="",M291=""),IF(AND(Q291="",R291="",V291="",W291=""),IF(OR($D291&lt;&gt;"",$E291&lt;&gt;""),"Belum ditempatkan",""),""),IF(L291="","CEK JENIS FIXTURE kosong",IF(AND(LEFT(L291,7)&lt;&gt;"Gondola",LEFT(L291,6)&lt;&gt;"Endcap"),"CEK Fixture 1 hanya Gondola atau Endcap",IF(M291="","CEK SHELVING KE kosong",IF(ISNA(MATCH(L291&amp;"|"&amp;M291,LAYOUT!$E$2:$E$80,0)),"CEK SHELVING KE di luar layout",IF($I291="","CEK SERIES kosong",IF(AND(N291&lt;&gt;"",NOT(ISNUMBER(N291))),"CEK URUTAN DISPLAY harus angka",IF($D291="","Zona STOCK",IF($E291="","CEK SKU DESCRIPTION kosong",IF(COUNTIFS($I$2:$I$500,$I291,L$2:L$500,"&lt;&gt;"&amp;L291,L$2:L$500,"&lt;&gt;")&gt;0,"CEK jenis fixture beda dalam satu series","OK"))))))))))</f>
        <v/>
      </c>
      <c r="Q291" s="11" t="n"/>
      <c r="R291" s="11" t="n"/>
      <c r="S291" s="11" t="n"/>
      <c r="T291" s="11">
        <f>IF(OR(Q291="",R291=""),"",IFERROR(INDEX(LAYOUT!$D$2:$D$80,MATCH(Q291&amp;"|"&amp;R291,LAYOUT!$E$2:$E$80,0)),""))</f>
        <v/>
      </c>
      <c r="U291" s="12">
        <f>IF(AND(Q291="",R291=""),IF(AND(L291="",M291="",V291="",W291=""),IF(OR($D291&lt;&gt;"",$E291&lt;&gt;""),"Belum ditempatkan",""),""),IF(Q291="","CEK JENIS FIXTURE kosong",IF(LEFT(Q291,4)&lt;&gt;"Wall","CEK Fixture 2 hanya Wall",IF(R291="","CEK SHELVING KE kosong",IF(ISNA(MATCH(Q291&amp;"|"&amp;R291,LAYOUT!$E$2:$E$80,0)),"CEK SHELVING KE di luar layout",IF($I291="","CEK SERIES kosong",IF(AND(S291&lt;&gt;"",NOT(ISNUMBER(S291))),"CEK URUTAN DISPLAY harus angka",IF($D291="","Zona STOCK",IF($E291="","CEK SKU DESCRIPTION kosong",IF(COUNTIFS($I$2:$I$500,$I291,Q$2:Q$500,"&lt;&gt;"&amp;Q291,Q$2:Q$500,"&lt;&gt;")&gt;0,"CEK jenis fixture beda dalam satu series","OK"))))))))))</f>
        <v/>
      </c>
      <c r="V291" s="11" t="n"/>
      <c r="W291" s="11" t="n"/>
      <c r="X291" s="11" t="n"/>
      <c r="Y291" s="11">
        <f>IF(OR(V291="",W291=""),"",IFERROR(INDEX(LAYOUT!$D$2:$D$80,MATCH(V291&amp;"|"&amp;W291,LAYOUT!$E$2:$E$80,0)),""))</f>
        <v/>
      </c>
      <c r="Z291" s="12">
        <f>IF(AND(V291="",W291=""),IF(AND(L291="",M291="",Q291="",R291=""),IF(OR($D291&lt;&gt;"",$E291&lt;&gt;""),"Belum ditempatkan",""),""),IF(V291="","CEK JENIS FIXTURE kosong",IF(LEFT(V291,4)&lt;&gt;"Wall","CEK Fixture 3 hanya Wall",IF(W291="","CEK SHELVING KE kosong",IF(ISNA(MATCH(V291&amp;"|"&amp;W291,LAYOUT!$E$2:$E$80,0)),"CEK SHELVING KE di luar layout",IF($I291="","CEK SERIES kosong",IF(AND(X291&lt;&gt;"",NOT(ISNUMBER(X291))),"CEK URUTAN DISPLAY harus angka",IF($D291="","Zona STOCK",IF($E291="","CEK SKU DESCRIPTION kosong",IF(COUNTIFS($I$2:$I$500,$I291,V$2:V$500,"&lt;&gt;"&amp;V291,V$2:V$500,"&lt;&gt;")&gt;0,"CEK jenis fixture beda dalam satu series","OK"))))))))))</f>
        <v/>
      </c>
      <c r="AA291" s="12" t="n"/>
      <c r="AB291" s="11" t="n"/>
      <c r="AC291" s="11" t="n"/>
      <c r="AD291" s="11" t="n"/>
      <c r="AE291" s="11" t="n"/>
      <c r="AF291" s="11" t="n"/>
      <c r="AG291" s="11" t="n"/>
      <c r="AH291" s="12" t="n"/>
      <c r="AI291" s="12" t="n"/>
    </row>
    <row r="292">
      <c r="A292" s="10" t="n"/>
      <c r="B292" s="10" t="n"/>
      <c r="C292" s="10" t="n"/>
      <c r="D292" s="10" t="n"/>
      <c r="E292" s="10" t="n"/>
      <c r="F292" s="10" t="n"/>
      <c r="G292" s="10" t="n"/>
      <c r="H292" s="10" t="n"/>
      <c r="I292" s="10" t="n"/>
      <c r="J292" s="10" t="n"/>
      <c r="K292" s="10" t="n"/>
      <c r="L292" s="11" t="n"/>
      <c r="M292" s="11" t="n"/>
      <c r="N292" s="11" t="n"/>
      <c r="O292" s="11">
        <f>IF(OR(L292="",M292=""),"",IFERROR(INDEX(LAYOUT!$D$2:$D$80,MATCH(L292&amp;"|"&amp;M292,LAYOUT!$E$2:$E$80,0)),""))</f>
        <v/>
      </c>
      <c r="P292" s="12">
        <f>IF(AND(L292="",M292=""),IF(AND(Q292="",R292="",V292="",W292=""),IF(OR($D292&lt;&gt;"",$E292&lt;&gt;""),"Belum ditempatkan",""),""),IF(L292="","CEK JENIS FIXTURE kosong",IF(AND(LEFT(L292,7)&lt;&gt;"Gondola",LEFT(L292,6)&lt;&gt;"Endcap"),"CEK Fixture 1 hanya Gondola atau Endcap",IF(M292="","CEK SHELVING KE kosong",IF(ISNA(MATCH(L292&amp;"|"&amp;M292,LAYOUT!$E$2:$E$80,0)),"CEK SHELVING KE di luar layout",IF($I292="","CEK SERIES kosong",IF(AND(N292&lt;&gt;"",NOT(ISNUMBER(N292))),"CEK URUTAN DISPLAY harus angka",IF($D292="","Zona STOCK",IF($E292="","CEK SKU DESCRIPTION kosong",IF(COUNTIFS($I$2:$I$500,$I292,L$2:L$500,"&lt;&gt;"&amp;L292,L$2:L$500,"&lt;&gt;")&gt;0,"CEK jenis fixture beda dalam satu series","OK"))))))))))</f>
        <v/>
      </c>
      <c r="Q292" s="11" t="n"/>
      <c r="R292" s="11" t="n"/>
      <c r="S292" s="11" t="n"/>
      <c r="T292" s="11">
        <f>IF(OR(Q292="",R292=""),"",IFERROR(INDEX(LAYOUT!$D$2:$D$80,MATCH(Q292&amp;"|"&amp;R292,LAYOUT!$E$2:$E$80,0)),""))</f>
        <v/>
      </c>
      <c r="U292" s="12">
        <f>IF(AND(Q292="",R292=""),IF(AND(L292="",M292="",V292="",W292=""),IF(OR($D292&lt;&gt;"",$E292&lt;&gt;""),"Belum ditempatkan",""),""),IF(Q292="","CEK JENIS FIXTURE kosong",IF(LEFT(Q292,4)&lt;&gt;"Wall","CEK Fixture 2 hanya Wall",IF(R292="","CEK SHELVING KE kosong",IF(ISNA(MATCH(Q292&amp;"|"&amp;R292,LAYOUT!$E$2:$E$80,0)),"CEK SHELVING KE di luar layout",IF($I292="","CEK SERIES kosong",IF(AND(S292&lt;&gt;"",NOT(ISNUMBER(S292))),"CEK URUTAN DISPLAY harus angka",IF($D292="","Zona STOCK",IF($E292="","CEK SKU DESCRIPTION kosong",IF(COUNTIFS($I$2:$I$500,$I292,Q$2:Q$500,"&lt;&gt;"&amp;Q292,Q$2:Q$500,"&lt;&gt;")&gt;0,"CEK jenis fixture beda dalam satu series","OK"))))))))))</f>
        <v/>
      </c>
      <c r="V292" s="11" t="n"/>
      <c r="W292" s="11" t="n"/>
      <c r="X292" s="11" t="n"/>
      <c r="Y292" s="11">
        <f>IF(OR(V292="",W292=""),"",IFERROR(INDEX(LAYOUT!$D$2:$D$80,MATCH(V292&amp;"|"&amp;W292,LAYOUT!$E$2:$E$80,0)),""))</f>
        <v/>
      </c>
      <c r="Z292" s="12">
        <f>IF(AND(V292="",W292=""),IF(AND(L292="",M292="",Q292="",R292=""),IF(OR($D292&lt;&gt;"",$E292&lt;&gt;""),"Belum ditempatkan",""),""),IF(V292="","CEK JENIS FIXTURE kosong",IF(LEFT(V292,4)&lt;&gt;"Wall","CEK Fixture 3 hanya Wall",IF(W292="","CEK SHELVING KE kosong",IF(ISNA(MATCH(V292&amp;"|"&amp;W292,LAYOUT!$E$2:$E$80,0)),"CEK SHELVING KE di luar layout",IF($I292="","CEK SERIES kosong",IF(AND(X292&lt;&gt;"",NOT(ISNUMBER(X292))),"CEK URUTAN DISPLAY harus angka",IF($D292="","Zona STOCK",IF($E292="","CEK SKU DESCRIPTION kosong",IF(COUNTIFS($I$2:$I$500,$I292,V$2:V$500,"&lt;&gt;"&amp;V292,V$2:V$500,"&lt;&gt;")&gt;0,"CEK jenis fixture beda dalam satu series","OK"))))))))))</f>
        <v/>
      </c>
      <c r="AA292" s="12" t="n"/>
      <c r="AB292" s="11" t="n"/>
      <c r="AC292" s="11" t="n"/>
      <c r="AD292" s="11" t="n"/>
      <c r="AE292" s="11" t="n"/>
      <c r="AF292" s="11" t="n"/>
      <c r="AG292" s="11" t="n"/>
      <c r="AH292" s="12" t="n"/>
      <c r="AI292" s="12" t="n"/>
    </row>
    <row r="293">
      <c r="A293" s="10" t="n"/>
      <c r="B293" s="10" t="n"/>
      <c r="C293" s="10" t="n"/>
      <c r="D293" s="10" t="n"/>
      <c r="E293" s="10" t="n"/>
      <c r="F293" s="10" t="n"/>
      <c r="G293" s="10" t="n"/>
      <c r="H293" s="10" t="n"/>
      <c r="I293" s="10" t="n"/>
      <c r="J293" s="10" t="n"/>
      <c r="K293" s="10" t="n"/>
      <c r="L293" s="11" t="n"/>
      <c r="M293" s="11" t="n"/>
      <c r="N293" s="11" t="n"/>
      <c r="O293" s="11">
        <f>IF(OR(L293="",M293=""),"",IFERROR(INDEX(LAYOUT!$D$2:$D$80,MATCH(L293&amp;"|"&amp;M293,LAYOUT!$E$2:$E$80,0)),""))</f>
        <v/>
      </c>
      <c r="P293" s="12">
        <f>IF(AND(L293="",M293=""),IF(AND(Q293="",R293="",V293="",W293=""),IF(OR($D293&lt;&gt;"",$E293&lt;&gt;""),"Belum ditempatkan",""),""),IF(L293="","CEK JENIS FIXTURE kosong",IF(AND(LEFT(L293,7)&lt;&gt;"Gondola",LEFT(L293,6)&lt;&gt;"Endcap"),"CEK Fixture 1 hanya Gondola atau Endcap",IF(M293="","CEK SHELVING KE kosong",IF(ISNA(MATCH(L293&amp;"|"&amp;M293,LAYOUT!$E$2:$E$80,0)),"CEK SHELVING KE di luar layout",IF($I293="","CEK SERIES kosong",IF(AND(N293&lt;&gt;"",NOT(ISNUMBER(N293))),"CEK URUTAN DISPLAY harus angka",IF($D293="","Zona STOCK",IF($E293="","CEK SKU DESCRIPTION kosong",IF(COUNTIFS($I$2:$I$500,$I293,L$2:L$500,"&lt;&gt;"&amp;L293,L$2:L$500,"&lt;&gt;")&gt;0,"CEK jenis fixture beda dalam satu series","OK"))))))))))</f>
        <v/>
      </c>
      <c r="Q293" s="11" t="n"/>
      <c r="R293" s="11" t="n"/>
      <c r="S293" s="11" t="n"/>
      <c r="T293" s="11">
        <f>IF(OR(Q293="",R293=""),"",IFERROR(INDEX(LAYOUT!$D$2:$D$80,MATCH(Q293&amp;"|"&amp;R293,LAYOUT!$E$2:$E$80,0)),""))</f>
        <v/>
      </c>
      <c r="U293" s="12">
        <f>IF(AND(Q293="",R293=""),IF(AND(L293="",M293="",V293="",W293=""),IF(OR($D293&lt;&gt;"",$E293&lt;&gt;""),"Belum ditempatkan",""),""),IF(Q293="","CEK JENIS FIXTURE kosong",IF(LEFT(Q293,4)&lt;&gt;"Wall","CEK Fixture 2 hanya Wall",IF(R293="","CEK SHELVING KE kosong",IF(ISNA(MATCH(Q293&amp;"|"&amp;R293,LAYOUT!$E$2:$E$80,0)),"CEK SHELVING KE di luar layout",IF($I293="","CEK SERIES kosong",IF(AND(S293&lt;&gt;"",NOT(ISNUMBER(S293))),"CEK URUTAN DISPLAY harus angka",IF($D293="","Zona STOCK",IF($E293="","CEK SKU DESCRIPTION kosong",IF(COUNTIFS($I$2:$I$500,$I293,Q$2:Q$500,"&lt;&gt;"&amp;Q293,Q$2:Q$500,"&lt;&gt;")&gt;0,"CEK jenis fixture beda dalam satu series","OK"))))))))))</f>
        <v/>
      </c>
      <c r="V293" s="11" t="n"/>
      <c r="W293" s="11" t="n"/>
      <c r="X293" s="11" t="n"/>
      <c r="Y293" s="11">
        <f>IF(OR(V293="",W293=""),"",IFERROR(INDEX(LAYOUT!$D$2:$D$80,MATCH(V293&amp;"|"&amp;W293,LAYOUT!$E$2:$E$80,0)),""))</f>
        <v/>
      </c>
      <c r="Z293" s="12">
        <f>IF(AND(V293="",W293=""),IF(AND(L293="",M293="",Q293="",R293=""),IF(OR($D293&lt;&gt;"",$E293&lt;&gt;""),"Belum ditempatkan",""),""),IF(V293="","CEK JENIS FIXTURE kosong",IF(LEFT(V293,4)&lt;&gt;"Wall","CEK Fixture 3 hanya Wall",IF(W293="","CEK SHELVING KE kosong",IF(ISNA(MATCH(V293&amp;"|"&amp;W293,LAYOUT!$E$2:$E$80,0)),"CEK SHELVING KE di luar layout",IF($I293="","CEK SERIES kosong",IF(AND(X293&lt;&gt;"",NOT(ISNUMBER(X293))),"CEK URUTAN DISPLAY harus angka",IF($D293="","Zona STOCK",IF($E293="","CEK SKU DESCRIPTION kosong",IF(COUNTIFS($I$2:$I$500,$I293,V$2:V$500,"&lt;&gt;"&amp;V293,V$2:V$500,"&lt;&gt;")&gt;0,"CEK jenis fixture beda dalam satu series","OK"))))))))))</f>
        <v/>
      </c>
      <c r="AA293" s="12" t="n"/>
      <c r="AB293" s="11" t="n"/>
      <c r="AC293" s="11" t="n"/>
      <c r="AD293" s="11" t="n"/>
      <c r="AE293" s="11" t="n"/>
      <c r="AF293" s="11" t="n"/>
      <c r="AG293" s="11" t="n"/>
      <c r="AH293" s="12" t="n"/>
      <c r="AI293" s="12" t="n"/>
    </row>
    <row r="294">
      <c r="A294" s="10" t="n"/>
      <c r="B294" s="10" t="n"/>
      <c r="C294" s="10" t="n"/>
      <c r="D294" s="10" t="n"/>
      <c r="E294" s="10" t="n"/>
      <c r="F294" s="10" t="n"/>
      <c r="G294" s="10" t="n"/>
      <c r="H294" s="10" t="n"/>
      <c r="I294" s="10" t="n"/>
      <c r="J294" s="10" t="n"/>
      <c r="K294" s="10" t="n"/>
      <c r="L294" s="11" t="n"/>
      <c r="M294" s="11" t="n"/>
      <c r="N294" s="11" t="n"/>
      <c r="O294" s="11">
        <f>IF(OR(L294="",M294=""),"",IFERROR(INDEX(LAYOUT!$D$2:$D$80,MATCH(L294&amp;"|"&amp;M294,LAYOUT!$E$2:$E$80,0)),""))</f>
        <v/>
      </c>
      <c r="P294" s="12">
        <f>IF(AND(L294="",M294=""),IF(AND(Q294="",R294="",V294="",W294=""),IF(OR($D294&lt;&gt;"",$E294&lt;&gt;""),"Belum ditempatkan",""),""),IF(L294="","CEK JENIS FIXTURE kosong",IF(AND(LEFT(L294,7)&lt;&gt;"Gondola",LEFT(L294,6)&lt;&gt;"Endcap"),"CEK Fixture 1 hanya Gondola atau Endcap",IF(M294="","CEK SHELVING KE kosong",IF(ISNA(MATCH(L294&amp;"|"&amp;M294,LAYOUT!$E$2:$E$80,0)),"CEK SHELVING KE di luar layout",IF($I294="","CEK SERIES kosong",IF(AND(N294&lt;&gt;"",NOT(ISNUMBER(N294))),"CEK URUTAN DISPLAY harus angka",IF($D294="","Zona STOCK",IF($E294="","CEK SKU DESCRIPTION kosong",IF(COUNTIFS($I$2:$I$500,$I294,L$2:L$500,"&lt;&gt;"&amp;L294,L$2:L$500,"&lt;&gt;")&gt;0,"CEK jenis fixture beda dalam satu series","OK"))))))))))</f>
        <v/>
      </c>
      <c r="Q294" s="11" t="n"/>
      <c r="R294" s="11" t="n"/>
      <c r="S294" s="11" t="n"/>
      <c r="T294" s="11">
        <f>IF(OR(Q294="",R294=""),"",IFERROR(INDEX(LAYOUT!$D$2:$D$80,MATCH(Q294&amp;"|"&amp;R294,LAYOUT!$E$2:$E$80,0)),""))</f>
        <v/>
      </c>
      <c r="U294" s="12">
        <f>IF(AND(Q294="",R294=""),IF(AND(L294="",M294="",V294="",W294=""),IF(OR($D294&lt;&gt;"",$E294&lt;&gt;""),"Belum ditempatkan",""),""),IF(Q294="","CEK JENIS FIXTURE kosong",IF(LEFT(Q294,4)&lt;&gt;"Wall","CEK Fixture 2 hanya Wall",IF(R294="","CEK SHELVING KE kosong",IF(ISNA(MATCH(Q294&amp;"|"&amp;R294,LAYOUT!$E$2:$E$80,0)),"CEK SHELVING KE di luar layout",IF($I294="","CEK SERIES kosong",IF(AND(S294&lt;&gt;"",NOT(ISNUMBER(S294))),"CEK URUTAN DISPLAY harus angka",IF($D294="","Zona STOCK",IF($E294="","CEK SKU DESCRIPTION kosong",IF(COUNTIFS($I$2:$I$500,$I294,Q$2:Q$500,"&lt;&gt;"&amp;Q294,Q$2:Q$500,"&lt;&gt;")&gt;0,"CEK jenis fixture beda dalam satu series","OK"))))))))))</f>
        <v/>
      </c>
      <c r="V294" s="11" t="n"/>
      <c r="W294" s="11" t="n"/>
      <c r="X294" s="11" t="n"/>
      <c r="Y294" s="11">
        <f>IF(OR(V294="",W294=""),"",IFERROR(INDEX(LAYOUT!$D$2:$D$80,MATCH(V294&amp;"|"&amp;W294,LAYOUT!$E$2:$E$80,0)),""))</f>
        <v/>
      </c>
      <c r="Z294" s="12">
        <f>IF(AND(V294="",W294=""),IF(AND(L294="",M294="",Q294="",R294=""),IF(OR($D294&lt;&gt;"",$E294&lt;&gt;""),"Belum ditempatkan",""),""),IF(V294="","CEK JENIS FIXTURE kosong",IF(LEFT(V294,4)&lt;&gt;"Wall","CEK Fixture 3 hanya Wall",IF(W294="","CEK SHELVING KE kosong",IF(ISNA(MATCH(V294&amp;"|"&amp;W294,LAYOUT!$E$2:$E$80,0)),"CEK SHELVING KE di luar layout",IF($I294="","CEK SERIES kosong",IF(AND(X294&lt;&gt;"",NOT(ISNUMBER(X294))),"CEK URUTAN DISPLAY harus angka",IF($D294="","Zona STOCK",IF($E294="","CEK SKU DESCRIPTION kosong",IF(COUNTIFS($I$2:$I$500,$I294,V$2:V$500,"&lt;&gt;"&amp;V294,V$2:V$500,"&lt;&gt;")&gt;0,"CEK jenis fixture beda dalam satu series","OK"))))))))))</f>
        <v/>
      </c>
      <c r="AA294" s="12" t="n"/>
      <c r="AB294" s="11" t="n"/>
      <c r="AC294" s="11" t="n"/>
      <c r="AD294" s="11" t="n"/>
      <c r="AE294" s="11" t="n"/>
      <c r="AF294" s="11" t="n"/>
      <c r="AG294" s="11" t="n"/>
      <c r="AH294" s="12" t="n"/>
      <c r="AI294" s="12" t="n"/>
    </row>
    <row r="295">
      <c r="A295" s="10" t="n"/>
      <c r="B295" s="10" t="n"/>
      <c r="C295" s="10" t="n"/>
      <c r="D295" s="10" t="n"/>
      <c r="E295" s="10" t="n"/>
      <c r="F295" s="10" t="n"/>
      <c r="G295" s="10" t="n"/>
      <c r="H295" s="10" t="n"/>
      <c r="I295" s="10" t="n"/>
      <c r="J295" s="10" t="n"/>
      <c r="K295" s="10" t="n"/>
      <c r="L295" s="11" t="n"/>
      <c r="M295" s="11" t="n"/>
      <c r="N295" s="11" t="n"/>
      <c r="O295" s="11">
        <f>IF(OR(L295="",M295=""),"",IFERROR(INDEX(LAYOUT!$D$2:$D$80,MATCH(L295&amp;"|"&amp;M295,LAYOUT!$E$2:$E$80,0)),""))</f>
        <v/>
      </c>
      <c r="P295" s="12">
        <f>IF(AND(L295="",M295=""),IF(AND(Q295="",R295="",V295="",W295=""),IF(OR($D295&lt;&gt;"",$E295&lt;&gt;""),"Belum ditempatkan",""),""),IF(L295="","CEK JENIS FIXTURE kosong",IF(AND(LEFT(L295,7)&lt;&gt;"Gondola",LEFT(L295,6)&lt;&gt;"Endcap"),"CEK Fixture 1 hanya Gondola atau Endcap",IF(M295="","CEK SHELVING KE kosong",IF(ISNA(MATCH(L295&amp;"|"&amp;M295,LAYOUT!$E$2:$E$80,0)),"CEK SHELVING KE di luar layout",IF($I295="","CEK SERIES kosong",IF(AND(N295&lt;&gt;"",NOT(ISNUMBER(N295))),"CEK URUTAN DISPLAY harus angka",IF($D295="","Zona STOCK",IF($E295="","CEK SKU DESCRIPTION kosong",IF(COUNTIFS($I$2:$I$500,$I295,L$2:L$500,"&lt;&gt;"&amp;L295,L$2:L$500,"&lt;&gt;")&gt;0,"CEK jenis fixture beda dalam satu series","OK"))))))))))</f>
        <v/>
      </c>
      <c r="Q295" s="11" t="n"/>
      <c r="R295" s="11" t="n"/>
      <c r="S295" s="11" t="n"/>
      <c r="T295" s="11">
        <f>IF(OR(Q295="",R295=""),"",IFERROR(INDEX(LAYOUT!$D$2:$D$80,MATCH(Q295&amp;"|"&amp;R295,LAYOUT!$E$2:$E$80,0)),""))</f>
        <v/>
      </c>
      <c r="U295" s="12">
        <f>IF(AND(Q295="",R295=""),IF(AND(L295="",M295="",V295="",W295=""),IF(OR($D295&lt;&gt;"",$E295&lt;&gt;""),"Belum ditempatkan",""),""),IF(Q295="","CEK JENIS FIXTURE kosong",IF(LEFT(Q295,4)&lt;&gt;"Wall","CEK Fixture 2 hanya Wall",IF(R295="","CEK SHELVING KE kosong",IF(ISNA(MATCH(Q295&amp;"|"&amp;R295,LAYOUT!$E$2:$E$80,0)),"CEK SHELVING KE di luar layout",IF($I295="","CEK SERIES kosong",IF(AND(S295&lt;&gt;"",NOT(ISNUMBER(S295))),"CEK URUTAN DISPLAY harus angka",IF($D295="","Zona STOCK",IF($E295="","CEK SKU DESCRIPTION kosong",IF(COUNTIFS($I$2:$I$500,$I295,Q$2:Q$500,"&lt;&gt;"&amp;Q295,Q$2:Q$500,"&lt;&gt;")&gt;0,"CEK jenis fixture beda dalam satu series","OK"))))))))))</f>
        <v/>
      </c>
      <c r="V295" s="11" t="n"/>
      <c r="W295" s="11" t="n"/>
      <c r="X295" s="11" t="n"/>
      <c r="Y295" s="11">
        <f>IF(OR(V295="",W295=""),"",IFERROR(INDEX(LAYOUT!$D$2:$D$80,MATCH(V295&amp;"|"&amp;W295,LAYOUT!$E$2:$E$80,0)),""))</f>
        <v/>
      </c>
      <c r="Z295" s="12">
        <f>IF(AND(V295="",W295=""),IF(AND(L295="",M295="",Q295="",R295=""),IF(OR($D295&lt;&gt;"",$E295&lt;&gt;""),"Belum ditempatkan",""),""),IF(V295="","CEK JENIS FIXTURE kosong",IF(LEFT(V295,4)&lt;&gt;"Wall","CEK Fixture 3 hanya Wall",IF(W295="","CEK SHELVING KE kosong",IF(ISNA(MATCH(V295&amp;"|"&amp;W295,LAYOUT!$E$2:$E$80,0)),"CEK SHELVING KE di luar layout",IF($I295="","CEK SERIES kosong",IF(AND(X295&lt;&gt;"",NOT(ISNUMBER(X295))),"CEK URUTAN DISPLAY harus angka",IF($D295="","Zona STOCK",IF($E295="","CEK SKU DESCRIPTION kosong",IF(COUNTIFS($I$2:$I$500,$I295,V$2:V$500,"&lt;&gt;"&amp;V295,V$2:V$500,"&lt;&gt;")&gt;0,"CEK jenis fixture beda dalam satu series","OK"))))))))))</f>
        <v/>
      </c>
      <c r="AA295" s="12" t="n"/>
      <c r="AB295" s="11" t="n"/>
      <c r="AC295" s="11" t="n"/>
      <c r="AD295" s="11" t="n"/>
      <c r="AE295" s="11" t="n"/>
      <c r="AF295" s="11" t="n"/>
      <c r="AG295" s="11" t="n"/>
      <c r="AH295" s="12" t="n"/>
      <c r="AI295" s="12" t="n"/>
    </row>
    <row r="296">
      <c r="A296" s="10" t="n"/>
      <c r="B296" s="10" t="n"/>
      <c r="C296" s="10" t="n"/>
      <c r="D296" s="10" t="n"/>
      <c r="E296" s="10" t="n"/>
      <c r="F296" s="10" t="n"/>
      <c r="G296" s="10" t="n"/>
      <c r="H296" s="10" t="n"/>
      <c r="I296" s="10" t="n"/>
      <c r="J296" s="10" t="n"/>
      <c r="K296" s="10" t="n"/>
      <c r="L296" s="11" t="n"/>
      <c r="M296" s="11" t="n"/>
      <c r="N296" s="11" t="n"/>
      <c r="O296" s="11">
        <f>IF(OR(L296="",M296=""),"",IFERROR(INDEX(LAYOUT!$D$2:$D$80,MATCH(L296&amp;"|"&amp;M296,LAYOUT!$E$2:$E$80,0)),""))</f>
        <v/>
      </c>
      <c r="P296" s="12">
        <f>IF(AND(L296="",M296=""),IF(AND(Q296="",R296="",V296="",W296=""),IF(OR($D296&lt;&gt;"",$E296&lt;&gt;""),"Belum ditempatkan",""),""),IF(L296="","CEK JENIS FIXTURE kosong",IF(AND(LEFT(L296,7)&lt;&gt;"Gondola",LEFT(L296,6)&lt;&gt;"Endcap"),"CEK Fixture 1 hanya Gondola atau Endcap",IF(M296="","CEK SHELVING KE kosong",IF(ISNA(MATCH(L296&amp;"|"&amp;M296,LAYOUT!$E$2:$E$80,0)),"CEK SHELVING KE di luar layout",IF($I296="","CEK SERIES kosong",IF(AND(N296&lt;&gt;"",NOT(ISNUMBER(N296))),"CEK URUTAN DISPLAY harus angka",IF($D296="","Zona STOCK",IF($E296="","CEK SKU DESCRIPTION kosong",IF(COUNTIFS($I$2:$I$500,$I296,L$2:L$500,"&lt;&gt;"&amp;L296,L$2:L$500,"&lt;&gt;")&gt;0,"CEK jenis fixture beda dalam satu series","OK"))))))))))</f>
        <v/>
      </c>
      <c r="Q296" s="11" t="n"/>
      <c r="R296" s="11" t="n"/>
      <c r="S296" s="11" t="n"/>
      <c r="T296" s="11">
        <f>IF(OR(Q296="",R296=""),"",IFERROR(INDEX(LAYOUT!$D$2:$D$80,MATCH(Q296&amp;"|"&amp;R296,LAYOUT!$E$2:$E$80,0)),""))</f>
        <v/>
      </c>
      <c r="U296" s="12">
        <f>IF(AND(Q296="",R296=""),IF(AND(L296="",M296="",V296="",W296=""),IF(OR($D296&lt;&gt;"",$E296&lt;&gt;""),"Belum ditempatkan",""),""),IF(Q296="","CEK JENIS FIXTURE kosong",IF(LEFT(Q296,4)&lt;&gt;"Wall","CEK Fixture 2 hanya Wall",IF(R296="","CEK SHELVING KE kosong",IF(ISNA(MATCH(Q296&amp;"|"&amp;R296,LAYOUT!$E$2:$E$80,0)),"CEK SHELVING KE di luar layout",IF($I296="","CEK SERIES kosong",IF(AND(S296&lt;&gt;"",NOT(ISNUMBER(S296))),"CEK URUTAN DISPLAY harus angka",IF($D296="","Zona STOCK",IF($E296="","CEK SKU DESCRIPTION kosong",IF(COUNTIFS($I$2:$I$500,$I296,Q$2:Q$500,"&lt;&gt;"&amp;Q296,Q$2:Q$500,"&lt;&gt;")&gt;0,"CEK jenis fixture beda dalam satu series","OK"))))))))))</f>
        <v/>
      </c>
      <c r="V296" s="11" t="n"/>
      <c r="W296" s="11" t="n"/>
      <c r="X296" s="11" t="n"/>
      <c r="Y296" s="11">
        <f>IF(OR(V296="",W296=""),"",IFERROR(INDEX(LAYOUT!$D$2:$D$80,MATCH(V296&amp;"|"&amp;W296,LAYOUT!$E$2:$E$80,0)),""))</f>
        <v/>
      </c>
      <c r="Z296" s="12">
        <f>IF(AND(V296="",W296=""),IF(AND(L296="",M296="",Q296="",R296=""),IF(OR($D296&lt;&gt;"",$E296&lt;&gt;""),"Belum ditempatkan",""),""),IF(V296="","CEK JENIS FIXTURE kosong",IF(LEFT(V296,4)&lt;&gt;"Wall","CEK Fixture 3 hanya Wall",IF(W296="","CEK SHELVING KE kosong",IF(ISNA(MATCH(V296&amp;"|"&amp;W296,LAYOUT!$E$2:$E$80,0)),"CEK SHELVING KE di luar layout",IF($I296="","CEK SERIES kosong",IF(AND(X296&lt;&gt;"",NOT(ISNUMBER(X296))),"CEK URUTAN DISPLAY harus angka",IF($D296="","Zona STOCK",IF($E296="","CEK SKU DESCRIPTION kosong",IF(COUNTIFS($I$2:$I$500,$I296,V$2:V$500,"&lt;&gt;"&amp;V296,V$2:V$500,"&lt;&gt;")&gt;0,"CEK jenis fixture beda dalam satu series","OK"))))))))))</f>
        <v/>
      </c>
      <c r="AA296" s="12" t="n"/>
      <c r="AB296" s="11" t="n"/>
      <c r="AC296" s="11" t="n"/>
      <c r="AD296" s="11" t="n"/>
      <c r="AE296" s="11" t="n"/>
      <c r="AF296" s="11" t="n"/>
      <c r="AG296" s="11" t="n"/>
      <c r="AH296" s="12" t="n"/>
      <c r="AI296" s="12" t="n"/>
    </row>
    <row r="297">
      <c r="A297" s="10" t="n"/>
      <c r="B297" s="10" t="n"/>
      <c r="C297" s="10" t="n"/>
      <c r="D297" s="10" t="n"/>
      <c r="E297" s="10" t="n"/>
      <c r="F297" s="10" t="n"/>
      <c r="G297" s="10" t="n"/>
      <c r="H297" s="10" t="n"/>
      <c r="I297" s="10" t="n"/>
      <c r="J297" s="10" t="n"/>
      <c r="K297" s="10" t="n"/>
      <c r="L297" s="11" t="n"/>
      <c r="M297" s="11" t="n"/>
      <c r="N297" s="11" t="n"/>
      <c r="O297" s="11">
        <f>IF(OR(L297="",M297=""),"",IFERROR(INDEX(LAYOUT!$D$2:$D$80,MATCH(L297&amp;"|"&amp;M297,LAYOUT!$E$2:$E$80,0)),""))</f>
        <v/>
      </c>
      <c r="P297" s="12">
        <f>IF(AND(L297="",M297=""),IF(AND(Q297="",R297="",V297="",W297=""),IF(OR($D297&lt;&gt;"",$E297&lt;&gt;""),"Belum ditempatkan",""),""),IF(L297="","CEK JENIS FIXTURE kosong",IF(AND(LEFT(L297,7)&lt;&gt;"Gondola",LEFT(L297,6)&lt;&gt;"Endcap"),"CEK Fixture 1 hanya Gondola atau Endcap",IF(M297="","CEK SHELVING KE kosong",IF(ISNA(MATCH(L297&amp;"|"&amp;M297,LAYOUT!$E$2:$E$80,0)),"CEK SHELVING KE di luar layout",IF($I297="","CEK SERIES kosong",IF(AND(N297&lt;&gt;"",NOT(ISNUMBER(N297))),"CEK URUTAN DISPLAY harus angka",IF($D297="","Zona STOCK",IF($E297="","CEK SKU DESCRIPTION kosong",IF(COUNTIFS($I$2:$I$500,$I297,L$2:L$500,"&lt;&gt;"&amp;L297,L$2:L$500,"&lt;&gt;")&gt;0,"CEK jenis fixture beda dalam satu series","OK"))))))))))</f>
        <v/>
      </c>
      <c r="Q297" s="11" t="n"/>
      <c r="R297" s="11" t="n"/>
      <c r="S297" s="11" t="n"/>
      <c r="T297" s="11">
        <f>IF(OR(Q297="",R297=""),"",IFERROR(INDEX(LAYOUT!$D$2:$D$80,MATCH(Q297&amp;"|"&amp;R297,LAYOUT!$E$2:$E$80,0)),""))</f>
        <v/>
      </c>
      <c r="U297" s="12">
        <f>IF(AND(Q297="",R297=""),IF(AND(L297="",M297="",V297="",W297=""),IF(OR($D297&lt;&gt;"",$E297&lt;&gt;""),"Belum ditempatkan",""),""),IF(Q297="","CEK JENIS FIXTURE kosong",IF(LEFT(Q297,4)&lt;&gt;"Wall","CEK Fixture 2 hanya Wall",IF(R297="","CEK SHELVING KE kosong",IF(ISNA(MATCH(Q297&amp;"|"&amp;R297,LAYOUT!$E$2:$E$80,0)),"CEK SHELVING KE di luar layout",IF($I297="","CEK SERIES kosong",IF(AND(S297&lt;&gt;"",NOT(ISNUMBER(S297))),"CEK URUTAN DISPLAY harus angka",IF($D297="","Zona STOCK",IF($E297="","CEK SKU DESCRIPTION kosong",IF(COUNTIFS($I$2:$I$500,$I297,Q$2:Q$500,"&lt;&gt;"&amp;Q297,Q$2:Q$500,"&lt;&gt;")&gt;0,"CEK jenis fixture beda dalam satu series","OK"))))))))))</f>
        <v/>
      </c>
      <c r="V297" s="11" t="n"/>
      <c r="W297" s="11" t="n"/>
      <c r="X297" s="11" t="n"/>
      <c r="Y297" s="11">
        <f>IF(OR(V297="",W297=""),"",IFERROR(INDEX(LAYOUT!$D$2:$D$80,MATCH(V297&amp;"|"&amp;W297,LAYOUT!$E$2:$E$80,0)),""))</f>
        <v/>
      </c>
      <c r="Z297" s="12">
        <f>IF(AND(V297="",W297=""),IF(AND(L297="",M297="",Q297="",R297=""),IF(OR($D297&lt;&gt;"",$E297&lt;&gt;""),"Belum ditempatkan",""),""),IF(V297="","CEK JENIS FIXTURE kosong",IF(LEFT(V297,4)&lt;&gt;"Wall","CEK Fixture 3 hanya Wall",IF(W297="","CEK SHELVING KE kosong",IF(ISNA(MATCH(V297&amp;"|"&amp;W297,LAYOUT!$E$2:$E$80,0)),"CEK SHELVING KE di luar layout",IF($I297="","CEK SERIES kosong",IF(AND(X297&lt;&gt;"",NOT(ISNUMBER(X297))),"CEK URUTAN DISPLAY harus angka",IF($D297="","Zona STOCK",IF($E297="","CEK SKU DESCRIPTION kosong",IF(COUNTIFS($I$2:$I$500,$I297,V$2:V$500,"&lt;&gt;"&amp;V297,V$2:V$500,"&lt;&gt;")&gt;0,"CEK jenis fixture beda dalam satu series","OK"))))))))))</f>
        <v/>
      </c>
      <c r="AA297" s="12" t="n"/>
      <c r="AB297" s="11" t="n"/>
      <c r="AC297" s="11" t="n"/>
      <c r="AD297" s="11" t="n"/>
      <c r="AE297" s="11" t="n"/>
      <c r="AF297" s="11" t="n"/>
      <c r="AG297" s="11" t="n"/>
      <c r="AH297" s="12" t="n"/>
      <c r="AI297" s="12" t="n"/>
    </row>
    <row r="298">
      <c r="A298" s="10" t="n"/>
      <c r="B298" s="10" t="n"/>
      <c r="C298" s="10" t="n"/>
      <c r="D298" s="10" t="n"/>
      <c r="E298" s="10" t="n"/>
      <c r="F298" s="10" t="n"/>
      <c r="G298" s="10" t="n"/>
      <c r="H298" s="10" t="n"/>
      <c r="I298" s="10" t="n"/>
      <c r="J298" s="10" t="n"/>
      <c r="K298" s="10" t="n"/>
      <c r="L298" s="11" t="n"/>
      <c r="M298" s="11" t="n"/>
      <c r="N298" s="11" t="n"/>
      <c r="O298" s="11">
        <f>IF(OR(L298="",M298=""),"",IFERROR(INDEX(LAYOUT!$D$2:$D$80,MATCH(L298&amp;"|"&amp;M298,LAYOUT!$E$2:$E$80,0)),""))</f>
        <v/>
      </c>
      <c r="P298" s="12">
        <f>IF(AND(L298="",M298=""),IF(AND(Q298="",R298="",V298="",W298=""),IF(OR($D298&lt;&gt;"",$E298&lt;&gt;""),"Belum ditempatkan",""),""),IF(L298="","CEK JENIS FIXTURE kosong",IF(AND(LEFT(L298,7)&lt;&gt;"Gondola",LEFT(L298,6)&lt;&gt;"Endcap"),"CEK Fixture 1 hanya Gondola atau Endcap",IF(M298="","CEK SHELVING KE kosong",IF(ISNA(MATCH(L298&amp;"|"&amp;M298,LAYOUT!$E$2:$E$80,0)),"CEK SHELVING KE di luar layout",IF($I298="","CEK SERIES kosong",IF(AND(N298&lt;&gt;"",NOT(ISNUMBER(N298))),"CEK URUTAN DISPLAY harus angka",IF($D298="","Zona STOCK",IF($E298="","CEK SKU DESCRIPTION kosong",IF(COUNTIFS($I$2:$I$500,$I298,L$2:L$500,"&lt;&gt;"&amp;L298,L$2:L$500,"&lt;&gt;")&gt;0,"CEK jenis fixture beda dalam satu series","OK"))))))))))</f>
        <v/>
      </c>
      <c r="Q298" s="11" t="n"/>
      <c r="R298" s="11" t="n"/>
      <c r="S298" s="11" t="n"/>
      <c r="T298" s="11">
        <f>IF(OR(Q298="",R298=""),"",IFERROR(INDEX(LAYOUT!$D$2:$D$80,MATCH(Q298&amp;"|"&amp;R298,LAYOUT!$E$2:$E$80,0)),""))</f>
        <v/>
      </c>
      <c r="U298" s="12">
        <f>IF(AND(Q298="",R298=""),IF(AND(L298="",M298="",V298="",W298=""),IF(OR($D298&lt;&gt;"",$E298&lt;&gt;""),"Belum ditempatkan",""),""),IF(Q298="","CEK JENIS FIXTURE kosong",IF(LEFT(Q298,4)&lt;&gt;"Wall","CEK Fixture 2 hanya Wall",IF(R298="","CEK SHELVING KE kosong",IF(ISNA(MATCH(Q298&amp;"|"&amp;R298,LAYOUT!$E$2:$E$80,0)),"CEK SHELVING KE di luar layout",IF($I298="","CEK SERIES kosong",IF(AND(S298&lt;&gt;"",NOT(ISNUMBER(S298))),"CEK URUTAN DISPLAY harus angka",IF($D298="","Zona STOCK",IF($E298="","CEK SKU DESCRIPTION kosong",IF(COUNTIFS($I$2:$I$500,$I298,Q$2:Q$500,"&lt;&gt;"&amp;Q298,Q$2:Q$500,"&lt;&gt;")&gt;0,"CEK jenis fixture beda dalam satu series","OK"))))))))))</f>
        <v/>
      </c>
      <c r="V298" s="11" t="n"/>
      <c r="W298" s="11" t="n"/>
      <c r="X298" s="11" t="n"/>
      <c r="Y298" s="11">
        <f>IF(OR(V298="",W298=""),"",IFERROR(INDEX(LAYOUT!$D$2:$D$80,MATCH(V298&amp;"|"&amp;W298,LAYOUT!$E$2:$E$80,0)),""))</f>
        <v/>
      </c>
      <c r="Z298" s="12">
        <f>IF(AND(V298="",W298=""),IF(AND(L298="",M298="",Q298="",R298=""),IF(OR($D298&lt;&gt;"",$E298&lt;&gt;""),"Belum ditempatkan",""),""),IF(V298="","CEK JENIS FIXTURE kosong",IF(LEFT(V298,4)&lt;&gt;"Wall","CEK Fixture 3 hanya Wall",IF(W298="","CEK SHELVING KE kosong",IF(ISNA(MATCH(V298&amp;"|"&amp;W298,LAYOUT!$E$2:$E$80,0)),"CEK SHELVING KE di luar layout",IF($I298="","CEK SERIES kosong",IF(AND(X298&lt;&gt;"",NOT(ISNUMBER(X298))),"CEK URUTAN DISPLAY harus angka",IF($D298="","Zona STOCK",IF($E298="","CEK SKU DESCRIPTION kosong",IF(COUNTIFS($I$2:$I$500,$I298,V$2:V$500,"&lt;&gt;"&amp;V298,V$2:V$500,"&lt;&gt;")&gt;0,"CEK jenis fixture beda dalam satu series","OK"))))))))))</f>
        <v/>
      </c>
      <c r="AA298" s="12" t="n"/>
      <c r="AB298" s="11" t="n"/>
      <c r="AC298" s="11" t="n"/>
      <c r="AD298" s="11" t="n"/>
      <c r="AE298" s="11" t="n"/>
      <c r="AF298" s="11" t="n"/>
      <c r="AG298" s="11" t="n"/>
      <c r="AH298" s="12" t="n"/>
      <c r="AI298" s="12" t="n"/>
    </row>
    <row r="299">
      <c r="A299" s="10" t="n"/>
      <c r="B299" s="10" t="n"/>
      <c r="C299" s="10" t="n"/>
      <c r="D299" s="10" t="n"/>
      <c r="E299" s="10" t="n"/>
      <c r="F299" s="10" t="n"/>
      <c r="G299" s="10" t="n"/>
      <c r="H299" s="10" t="n"/>
      <c r="I299" s="10" t="n"/>
      <c r="J299" s="10" t="n"/>
      <c r="K299" s="10" t="n"/>
      <c r="L299" s="11" t="n"/>
      <c r="M299" s="11" t="n"/>
      <c r="N299" s="11" t="n"/>
      <c r="O299" s="11">
        <f>IF(OR(L299="",M299=""),"",IFERROR(INDEX(LAYOUT!$D$2:$D$80,MATCH(L299&amp;"|"&amp;M299,LAYOUT!$E$2:$E$80,0)),""))</f>
        <v/>
      </c>
      <c r="P299" s="12">
        <f>IF(AND(L299="",M299=""),IF(AND(Q299="",R299="",V299="",W299=""),IF(OR($D299&lt;&gt;"",$E299&lt;&gt;""),"Belum ditempatkan",""),""),IF(L299="","CEK JENIS FIXTURE kosong",IF(AND(LEFT(L299,7)&lt;&gt;"Gondola",LEFT(L299,6)&lt;&gt;"Endcap"),"CEK Fixture 1 hanya Gondola atau Endcap",IF(M299="","CEK SHELVING KE kosong",IF(ISNA(MATCH(L299&amp;"|"&amp;M299,LAYOUT!$E$2:$E$80,0)),"CEK SHELVING KE di luar layout",IF($I299="","CEK SERIES kosong",IF(AND(N299&lt;&gt;"",NOT(ISNUMBER(N299))),"CEK URUTAN DISPLAY harus angka",IF($D299="","Zona STOCK",IF($E299="","CEK SKU DESCRIPTION kosong",IF(COUNTIFS($I$2:$I$500,$I299,L$2:L$500,"&lt;&gt;"&amp;L299,L$2:L$500,"&lt;&gt;")&gt;0,"CEK jenis fixture beda dalam satu series","OK"))))))))))</f>
        <v/>
      </c>
      <c r="Q299" s="11" t="n"/>
      <c r="R299" s="11" t="n"/>
      <c r="S299" s="11" t="n"/>
      <c r="T299" s="11">
        <f>IF(OR(Q299="",R299=""),"",IFERROR(INDEX(LAYOUT!$D$2:$D$80,MATCH(Q299&amp;"|"&amp;R299,LAYOUT!$E$2:$E$80,0)),""))</f>
        <v/>
      </c>
      <c r="U299" s="12">
        <f>IF(AND(Q299="",R299=""),IF(AND(L299="",M299="",V299="",W299=""),IF(OR($D299&lt;&gt;"",$E299&lt;&gt;""),"Belum ditempatkan",""),""),IF(Q299="","CEK JENIS FIXTURE kosong",IF(LEFT(Q299,4)&lt;&gt;"Wall","CEK Fixture 2 hanya Wall",IF(R299="","CEK SHELVING KE kosong",IF(ISNA(MATCH(Q299&amp;"|"&amp;R299,LAYOUT!$E$2:$E$80,0)),"CEK SHELVING KE di luar layout",IF($I299="","CEK SERIES kosong",IF(AND(S299&lt;&gt;"",NOT(ISNUMBER(S299))),"CEK URUTAN DISPLAY harus angka",IF($D299="","Zona STOCK",IF($E299="","CEK SKU DESCRIPTION kosong",IF(COUNTIFS($I$2:$I$500,$I299,Q$2:Q$500,"&lt;&gt;"&amp;Q299,Q$2:Q$500,"&lt;&gt;")&gt;0,"CEK jenis fixture beda dalam satu series","OK"))))))))))</f>
        <v/>
      </c>
      <c r="V299" s="11" t="n"/>
      <c r="W299" s="11" t="n"/>
      <c r="X299" s="11" t="n"/>
      <c r="Y299" s="11">
        <f>IF(OR(V299="",W299=""),"",IFERROR(INDEX(LAYOUT!$D$2:$D$80,MATCH(V299&amp;"|"&amp;W299,LAYOUT!$E$2:$E$80,0)),""))</f>
        <v/>
      </c>
      <c r="Z299" s="12">
        <f>IF(AND(V299="",W299=""),IF(AND(L299="",M299="",Q299="",R299=""),IF(OR($D299&lt;&gt;"",$E299&lt;&gt;""),"Belum ditempatkan",""),""),IF(V299="","CEK JENIS FIXTURE kosong",IF(LEFT(V299,4)&lt;&gt;"Wall","CEK Fixture 3 hanya Wall",IF(W299="","CEK SHELVING KE kosong",IF(ISNA(MATCH(V299&amp;"|"&amp;W299,LAYOUT!$E$2:$E$80,0)),"CEK SHELVING KE di luar layout",IF($I299="","CEK SERIES kosong",IF(AND(X299&lt;&gt;"",NOT(ISNUMBER(X299))),"CEK URUTAN DISPLAY harus angka",IF($D299="","Zona STOCK",IF($E299="","CEK SKU DESCRIPTION kosong",IF(COUNTIFS($I$2:$I$500,$I299,V$2:V$500,"&lt;&gt;"&amp;V299,V$2:V$500,"&lt;&gt;")&gt;0,"CEK jenis fixture beda dalam satu series","OK"))))))))))</f>
        <v/>
      </c>
      <c r="AA299" s="12" t="n"/>
      <c r="AB299" s="11" t="n"/>
      <c r="AC299" s="11" t="n"/>
      <c r="AD299" s="11" t="n"/>
      <c r="AE299" s="11" t="n"/>
      <c r="AF299" s="11" t="n"/>
      <c r="AG299" s="11" t="n"/>
      <c r="AH299" s="12" t="n"/>
      <c r="AI299" s="12" t="n"/>
    </row>
    <row r="300">
      <c r="A300" s="10" t="n"/>
      <c r="B300" s="10" t="n"/>
      <c r="C300" s="10" t="n"/>
      <c r="D300" s="10" t="n"/>
      <c r="E300" s="10" t="n"/>
      <c r="F300" s="10" t="n"/>
      <c r="G300" s="10" t="n"/>
      <c r="H300" s="10" t="n"/>
      <c r="I300" s="10" t="n"/>
      <c r="J300" s="10" t="n"/>
      <c r="K300" s="10" t="n"/>
      <c r="L300" s="11" t="n"/>
      <c r="M300" s="11" t="n"/>
      <c r="N300" s="11" t="n"/>
      <c r="O300" s="11">
        <f>IF(OR(L300="",M300=""),"",IFERROR(INDEX(LAYOUT!$D$2:$D$80,MATCH(L300&amp;"|"&amp;M300,LAYOUT!$E$2:$E$80,0)),""))</f>
        <v/>
      </c>
      <c r="P300" s="12">
        <f>IF(AND(L300="",M300=""),IF(AND(Q300="",R300="",V300="",W300=""),IF(OR($D300&lt;&gt;"",$E300&lt;&gt;""),"Belum ditempatkan",""),""),IF(L300="","CEK JENIS FIXTURE kosong",IF(AND(LEFT(L300,7)&lt;&gt;"Gondola",LEFT(L300,6)&lt;&gt;"Endcap"),"CEK Fixture 1 hanya Gondola atau Endcap",IF(M300="","CEK SHELVING KE kosong",IF(ISNA(MATCH(L300&amp;"|"&amp;M300,LAYOUT!$E$2:$E$80,0)),"CEK SHELVING KE di luar layout",IF($I300="","CEK SERIES kosong",IF(AND(N300&lt;&gt;"",NOT(ISNUMBER(N300))),"CEK URUTAN DISPLAY harus angka",IF($D300="","Zona STOCK",IF($E300="","CEK SKU DESCRIPTION kosong",IF(COUNTIFS($I$2:$I$500,$I300,L$2:L$500,"&lt;&gt;"&amp;L300,L$2:L$500,"&lt;&gt;")&gt;0,"CEK jenis fixture beda dalam satu series","OK"))))))))))</f>
        <v/>
      </c>
      <c r="Q300" s="11" t="n"/>
      <c r="R300" s="11" t="n"/>
      <c r="S300" s="11" t="n"/>
      <c r="T300" s="11">
        <f>IF(OR(Q300="",R300=""),"",IFERROR(INDEX(LAYOUT!$D$2:$D$80,MATCH(Q300&amp;"|"&amp;R300,LAYOUT!$E$2:$E$80,0)),""))</f>
        <v/>
      </c>
      <c r="U300" s="12">
        <f>IF(AND(Q300="",R300=""),IF(AND(L300="",M300="",V300="",W300=""),IF(OR($D300&lt;&gt;"",$E300&lt;&gt;""),"Belum ditempatkan",""),""),IF(Q300="","CEK JENIS FIXTURE kosong",IF(LEFT(Q300,4)&lt;&gt;"Wall","CEK Fixture 2 hanya Wall",IF(R300="","CEK SHELVING KE kosong",IF(ISNA(MATCH(Q300&amp;"|"&amp;R300,LAYOUT!$E$2:$E$80,0)),"CEK SHELVING KE di luar layout",IF($I300="","CEK SERIES kosong",IF(AND(S300&lt;&gt;"",NOT(ISNUMBER(S300))),"CEK URUTAN DISPLAY harus angka",IF($D300="","Zona STOCK",IF($E300="","CEK SKU DESCRIPTION kosong",IF(COUNTIFS($I$2:$I$500,$I300,Q$2:Q$500,"&lt;&gt;"&amp;Q300,Q$2:Q$500,"&lt;&gt;")&gt;0,"CEK jenis fixture beda dalam satu series","OK"))))))))))</f>
        <v/>
      </c>
      <c r="V300" s="11" t="n"/>
      <c r="W300" s="11" t="n"/>
      <c r="X300" s="11" t="n"/>
      <c r="Y300" s="11">
        <f>IF(OR(V300="",W300=""),"",IFERROR(INDEX(LAYOUT!$D$2:$D$80,MATCH(V300&amp;"|"&amp;W300,LAYOUT!$E$2:$E$80,0)),""))</f>
        <v/>
      </c>
      <c r="Z300" s="12">
        <f>IF(AND(V300="",W300=""),IF(AND(L300="",M300="",Q300="",R300=""),IF(OR($D300&lt;&gt;"",$E300&lt;&gt;""),"Belum ditempatkan",""),""),IF(V300="","CEK JENIS FIXTURE kosong",IF(LEFT(V300,4)&lt;&gt;"Wall","CEK Fixture 3 hanya Wall",IF(W300="","CEK SHELVING KE kosong",IF(ISNA(MATCH(V300&amp;"|"&amp;W300,LAYOUT!$E$2:$E$80,0)),"CEK SHELVING KE di luar layout",IF($I300="","CEK SERIES kosong",IF(AND(X300&lt;&gt;"",NOT(ISNUMBER(X300))),"CEK URUTAN DISPLAY harus angka",IF($D300="","Zona STOCK",IF($E300="","CEK SKU DESCRIPTION kosong",IF(COUNTIFS($I$2:$I$500,$I300,V$2:V$500,"&lt;&gt;"&amp;V300,V$2:V$500,"&lt;&gt;")&gt;0,"CEK jenis fixture beda dalam satu series","OK"))))))))))</f>
        <v/>
      </c>
      <c r="AA300" s="12" t="n"/>
      <c r="AB300" s="11" t="n"/>
      <c r="AC300" s="11" t="n"/>
      <c r="AD300" s="11" t="n"/>
      <c r="AE300" s="11" t="n"/>
      <c r="AF300" s="11" t="n"/>
      <c r="AG300" s="11" t="n"/>
      <c r="AH300" s="12" t="n"/>
      <c r="AI300" s="12" t="n"/>
    </row>
    <row r="301">
      <c r="A301" s="10" t="n"/>
      <c r="B301" s="10" t="n"/>
      <c r="C301" s="10" t="n"/>
      <c r="D301" s="10" t="n"/>
      <c r="E301" s="10" t="n"/>
      <c r="F301" s="10" t="n"/>
      <c r="G301" s="10" t="n"/>
      <c r="H301" s="10" t="n"/>
      <c r="I301" s="10" t="n"/>
      <c r="J301" s="10" t="n"/>
      <c r="K301" s="10" t="n"/>
      <c r="L301" s="11" t="n"/>
      <c r="M301" s="11" t="n"/>
      <c r="N301" s="11" t="n"/>
      <c r="O301" s="11">
        <f>IF(OR(L301="",M301=""),"",IFERROR(INDEX(LAYOUT!$D$2:$D$80,MATCH(L301&amp;"|"&amp;M301,LAYOUT!$E$2:$E$80,0)),""))</f>
        <v/>
      </c>
      <c r="P301" s="12">
        <f>IF(AND(L301="",M301=""),IF(AND(Q301="",R301="",V301="",W301=""),IF(OR($D301&lt;&gt;"",$E301&lt;&gt;""),"Belum ditempatkan",""),""),IF(L301="","CEK JENIS FIXTURE kosong",IF(AND(LEFT(L301,7)&lt;&gt;"Gondola",LEFT(L301,6)&lt;&gt;"Endcap"),"CEK Fixture 1 hanya Gondola atau Endcap",IF(M301="","CEK SHELVING KE kosong",IF(ISNA(MATCH(L301&amp;"|"&amp;M301,LAYOUT!$E$2:$E$80,0)),"CEK SHELVING KE di luar layout",IF($I301="","CEK SERIES kosong",IF(AND(N301&lt;&gt;"",NOT(ISNUMBER(N301))),"CEK URUTAN DISPLAY harus angka",IF($D301="","Zona STOCK",IF($E301="","CEK SKU DESCRIPTION kosong",IF(COUNTIFS($I$2:$I$500,$I301,L$2:L$500,"&lt;&gt;"&amp;L301,L$2:L$500,"&lt;&gt;")&gt;0,"CEK jenis fixture beda dalam satu series","OK"))))))))))</f>
        <v/>
      </c>
      <c r="Q301" s="11" t="n"/>
      <c r="R301" s="11" t="n"/>
      <c r="S301" s="11" t="n"/>
      <c r="T301" s="11">
        <f>IF(OR(Q301="",R301=""),"",IFERROR(INDEX(LAYOUT!$D$2:$D$80,MATCH(Q301&amp;"|"&amp;R301,LAYOUT!$E$2:$E$80,0)),""))</f>
        <v/>
      </c>
      <c r="U301" s="12">
        <f>IF(AND(Q301="",R301=""),IF(AND(L301="",M301="",V301="",W301=""),IF(OR($D301&lt;&gt;"",$E301&lt;&gt;""),"Belum ditempatkan",""),""),IF(Q301="","CEK JENIS FIXTURE kosong",IF(LEFT(Q301,4)&lt;&gt;"Wall","CEK Fixture 2 hanya Wall",IF(R301="","CEK SHELVING KE kosong",IF(ISNA(MATCH(Q301&amp;"|"&amp;R301,LAYOUT!$E$2:$E$80,0)),"CEK SHELVING KE di luar layout",IF($I301="","CEK SERIES kosong",IF(AND(S301&lt;&gt;"",NOT(ISNUMBER(S301))),"CEK URUTAN DISPLAY harus angka",IF($D301="","Zona STOCK",IF($E301="","CEK SKU DESCRIPTION kosong",IF(COUNTIFS($I$2:$I$500,$I301,Q$2:Q$500,"&lt;&gt;"&amp;Q301,Q$2:Q$500,"&lt;&gt;")&gt;0,"CEK jenis fixture beda dalam satu series","OK"))))))))))</f>
        <v/>
      </c>
      <c r="V301" s="11" t="n"/>
      <c r="W301" s="11" t="n"/>
      <c r="X301" s="11" t="n"/>
      <c r="Y301" s="11">
        <f>IF(OR(V301="",W301=""),"",IFERROR(INDEX(LAYOUT!$D$2:$D$80,MATCH(V301&amp;"|"&amp;W301,LAYOUT!$E$2:$E$80,0)),""))</f>
        <v/>
      </c>
      <c r="Z301" s="12">
        <f>IF(AND(V301="",W301=""),IF(AND(L301="",M301="",Q301="",R301=""),IF(OR($D301&lt;&gt;"",$E301&lt;&gt;""),"Belum ditempatkan",""),""),IF(V301="","CEK JENIS FIXTURE kosong",IF(LEFT(V301,4)&lt;&gt;"Wall","CEK Fixture 3 hanya Wall",IF(W301="","CEK SHELVING KE kosong",IF(ISNA(MATCH(V301&amp;"|"&amp;W301,LAYOUT!$E$2:$E$80,0)),"CEK SHELVING KE di luar layout",IF($I301="","CEK SERIES kosong",IF(AND(X301&lt;&gt;"",NOT(ISNUMBER(X301))),"CEK URUTAN DISPLAY harus angka",IF($D301="","Zona STOCK",IF($E301="","CEK SKU DESCRIPTION kosong",IF(COUNTIFS($I$2:$I$500,$I301,V$2:V$500,"&lt;&gt;"&amp;V301,V$2:V$500,"&lt;&gt;")&gt;0,"CEK jenis fixture beda dalam satu series","OK"))))))))))</f>
        <v/>
      </c>
      <c r="AA301" s="12" t="n"/>
      <c r="AB301" s="11" t="n"/>
      <c r="AC301" s="11" t="n"/>
      <c r="AD301" s="11" t="n"/>
      <c r="AE301" s="11" t="n"/>
      <c r="AF301" s="11" t="n"/>
      <c r="AG301" s="11" t="n"/>
      <c r="AH301" s="12" t="n"/>
      <c r="AI301" s="12" t="n"/>
    </row>
    <row r="302">
      <c r="A302" s="10" t="n"/>
      <c r="B302" s="10" t="n"/>
      <c r="C302" s="10" t="n"/>
      <c r="D302" s="10" t="n"/>
      <c r="E302" s="10" t="n"/>
      <c r="F302" s="10" t="n"/>
      <c r="G302" s="10" t="n"/>
      <c r="H302" s="10" t="n"/>
      <c r="I302" s="10" t="n"/>
      <c r="J302" s="10" t="n"/>
      <c r="K302" s="10" t="n"/>
      <c r="L302" s="11" t="n"/>
      <c r="M302" s="11" t="n"/>
      <c r="N302" s="11" t="n"/>
      <c r="O302" s="11">
        <f>IF(OR(L302="",M302=""),"",IFERROR(INDEX(LAYOUT!$D$2:$D$80,MATCH(L302&amp;"|"&amp;M302,LAYOUT!$E$2:$E$80,0)),""))</f>
        <v/>
      </c>
      <c r="P302" s="12">
        <f>IF(AND(L302="",M302=""),IF(AND(Q302="",R302="",V302="",W302=""),IF(OR($D302&lt;&gt;"",$E302&lt;&gt;""),"Belum ditempatkan",""),""),IF(L302="","CEK JENIS FIXTURE kosong",IF(AND(LEFT(L302,7)&lt;&gt;"Gondola",LEFT(L302,6)&lt;&gt;"Endcap"),"CEK Fixture 1 hanya Gondola atau Endcap",IF(M302="","CEK SHELVING KE kosong",IF(ISNA(MATCH(L302&amp;"|"&amp;M302,LAYOUT!$E$2:$E$80,0)),"CEK SHELVING KE di luar layout",IF($I302="","CEK SERIES kosong",IF(AND(N302&lt;&gt;"",NOT(ISNUMBER(N302))),"CEK URUTAN DISPLAY harus angka",IF($D302="","Zona STOCK",IF($E302="","CEK SKU DESCRIPTION kosong",IF(COUNTIFS($I$2:$I$500,$I302,L$2:L$500,"&lt;&gt;"&amp;L302,L$2:L$500,"&lt;&gt;")&gt;0,"CEK jenis fixture beda dalam satu series","OK"))))))))))</f>
        <v/>
      </c>
      <c r="Q302" s="11" t="n"/>
      <c r="R302" s="11" t="n"/>
      <c r="S302" s="11" t="n"/>
      <c r="T302" s="11">
        <f>IF(OR(Q302="",R302=""),"",IFERROR(INDEX(LAYOUT!$D$2:$D$80,MATCH(Q302&amp;"|"&amp;R302,LAYOUT!$E$2:$E$80,0)),""))</f>
        <v/>
      </c>
      <c r="U302" s="12">
        <f>IF(AND(Q302="",R302=""),IF(AND(L302="",M302="",V302="",W302=""),IF(OR($D302&lt;&gt;"",$E302&lt;&gt;""),"Belum ditempatkan",""),""),IF(Q302="","CEK JENIS FIXTURE kosong",IF(LEFT(Q302,4)&lt;&gt;"Wall","CEK Fixture 2 hanya Wall",IF(R302="","CEK SHELVING KE kosong",IF(ISNA(MATCH(Q302&amp;"|"&amp;R302,LAYOUT!$E$2:$E$80,0)),"CEK SHELVING KE di luar layout",IF($I302="","CEK SERIES kosong",IF(AND(S302&lt;&gt;"",NOT(ISNUMBER(S302))),"CEK URUTAN DISPLAY harus angka",IF($D302="","Zona STOCK",IF($E302="","CEK SKU DESCRIPTION kosong",IF(COUNTIFS($I$2:$I$500,$I302,Q$2:Q$500,"&lt;&gt;"&amp;Q302,Q$2:Q$500,"&lt;&gt;")&gt;0,"CEK jenis fixture beda dalam satu series","OK"))))))))))</f>
        <v/>
      </c>
      <c r="V302" s="11" t="n"/>
      <c r="W302" s="11" t="n"/>
      <c r="X302" s="11" t="n"/>
      <c r="Y302" s="11">
        <f>IF(OR(V302="",W302=""),"",IFERROR(INDEX(LAYOUT!$D$2:$D$80,MATCH(V302&amp;"|"&amp;W302,LAYOUT!$E$2:$E$80,0)),""))</f>
        <v/>
      </c>
      <c r="Z302" s="12">
        <f>IF(AND(V302="",W302=""),IF(AND(L302="",M302="",Q302="",R302=""),IF(OR($D302&lt;&gt;"",$E302&lt;&gt;""),"Belum ditempatkan",""),""),IF(V302="","CEK JENIS FIXTURE kosong",IF(LEFT(V302,4)&lt;&gt;"Wall","CEK Fixture 3 hanya Wall",IF(W302="","CEK SHELVING KE kosong",IF(ISNA(MATCH(V302&amp;"|"&amp;W302,LAYOUT!$E$2:$E$80,0)),"CEK SHELVING KE di luar layout",IF($I302="","CEK SERIES kosong",IF(AND(X302&lt;&gt;"",NOT(ISNUMBER(X302))),"CEK URUTAN DISPLAY harus angka",IF($D302="","Zona STOCK",IF($E302="","CEK SKU DESCRIPTION kosong",IF(COUNTIFS($I$2:$I$500,$I302,V$2:V$500,"&lt;&gt;"&amp;V302,V$2:V$500,"&lt;&gt;")&gt;0,"CEK jenis fixture beda dalam satu series","OK"))))))))))</f>
        <v/>
      </c>
      <c r="AA302" s="12" t="n"/>
      <c r="AB302" s="11" t="n"/>
      <c r="AC302" s="11" t="n"/>
      <c r="AD302" s="11" t="n"/>
      <c r="AE302" s="11" t="n"/>
      <c r="AF302" s="11" t="n"/>
      <c r="AG302" s="11" t="n"/>
      <c r="AH302" s="12" t="n"/>
      <c r="AI302" s="12" t="n"/>
    </row>
    <row r="303">
      <c r="A303" s="10" t="n"/>
      <c r="B303" s="10" t="n"/>
      <c r="C303" s="10" t="n"/>
      <c r="D303" s="10" t="n"/>
      <c r="E303" s="10" t="n"/>
      <c r="F303" s="10" t="n"/>
      <c r="G303" s="10" t="n"/>
      <c r="H303" s="10" t="n"/>
      <c r="I303" s="10" t="n"/>
      <c r="J303" s="10" t="n"/>
      <c r="K303" s="10" t="n"/>
      <c r="L303" s="11" t="n"/>
      <c r="M303" s="11" t="n"/>
      <c r="N303" s="11" t="n"/>
      <c r="O303" s="11">
        <f>IF(OR(L303="",M303=""),"",IFERROR(INDEX(LAYOUT!$D$2:$D$80,MATCH(L303&amp;"|"&amp;M303,LAYOUT!$E$2:$E$80,0)),""))</f>
        <v/>
      </c>
      <c r="P303" s="12">
        <f>IF(AND(L303="",M303=""),IF(AND(Q303="",R303="",V303="",W303=""),IF(OR($D303&lt;&gt;"",$E303&lt;&gt;""),"Belum ditempatkan",""),""),IF(L303="","CEK JENIS FIXTURE kosong",IF(AND(LEFT(L303,7)&lt;&gt;"Gondola",LEFT(L303,6)&lt;&gt;"Endcap"),"CEK Fixture 1 hanya Gondola atau Endcap",IF(M303="","CEK SHELVING KE kosong",IF(ISNA(MATCH(L303&amp;"|"&amp;M303,LAYOUT!$E$2:$E$80,0)),"CEK SHELVING KE di luar layout",IF($I303="","CEK SERIES kosong",IF(AND(N303&lt;&gt;"",NOT(ISNUMBER(N303))),"CEK URUTAN DISPLAY harus angka",IF($D303="","Zona STOCK",IF($E303="","CEK SKU DESCRIPTION kosong",IF(COUNTIFS($I$2:$I$500,$I303,L$2:L$500,"&lt;&gt;"&amp;L303,L$2:L$500,"&lt;&gt;")&gt;0,"CEK jenis fixture beda dalam satu series","OK"))))))))))</f>
        <v/>
      </c>
      <c r="Q303" s="11" t="n"/>
      <c r="R303" s="11" t="n"/>
      <c r="S303" s="11" t="n"/>
      <c r="T303" s="11">
        <f>IF(OR(Q303="",R303=""),"",IFERROR(INDEX(LAYOUT!$D$2:$D$80,MATCH(Q303&amp;"|"&amp;R303,LAYOUT!$E$2:$E$80,0)),""))</f>
        <v/>
      </c>
      <c r="U303" s="12">
        <f>IF(AND(Q303="",R303=""),IF(AND(L303="",M303="",V303="",W303=""),IF(OR($D303&lt;&gt;"",$E303&lt;&gt;""),"Belum ditempatkan",""),""),IF(Q303="","CEK JENIS FIXTURE kosong",IF(LEFT(Q303,4)&lt;&gt;"Wall","CEK Fixture 2 hanya Wall",IF(R303="","CEK SHELVING KE kosong",IF(ISNA(MATCH(Q303&amp;"|"&amp;R303,LAYOUT!$E$2:$E$80,0)),"CEK SHELVING KE di luar layout",IF($I303="","CEK SERIES kosong",IF(AND(S303&lt;&gt;"",NOT(ISNUMBER(S303))),"CEK URUTAN DISPLAY harus angka",IF($D303="","Zona STOCK",IF($E303="","CEK SKU DESCRIPTION kosong",IF(COUNTIFS($I$2:$I$500,$I303,Q$2:Q$500,"&lt;&gt;"&amp;Q303,Q$2:Q$500,"&lt;&gt;")&gt;0,"CEK jenis fixture beda dalam satu series","OK"))))))))))</f>
        <v/>
      </c>
      <c r="V303" s="11" t="n"/>
      <c r="W303" s="11" t="n"/>
      <c r="X303" s="11" t="n"/>
      <c r="Y303" s="11">
        <f>IF(OR(V303="",W303=""),"",IFERROR(INDEX(LAYOUT!$D$2:$D$80,MATCH(V303&amp;"|"&amp;W303,LAYOUT!$E$2:$E$80,0)),""))</f>
        <v/>
      </c>
      <c r="Z303" s="12">
        <f>IF(AND(V303="",W303=""),IF(AND(L303="",M303="",Q303="",R303=""),IF(OR($D303&lt;&gt;"",$E303&lt;&gt;""),"Belum ditempatkan",""),""),IF(V303="","CEK JENIS FIXTURE kosong",IF(LEFT(V303,4)&lt;&gt;"Wall","CEK Fixture 3 hanya Wall",IF(W303="","CEK SHELVING KE kosong",IF(ISNA(MATCH(V303&amp;"|"&amp;W303,LAYOUT!$E$2:$E$80,0)),"CEK SHELVING KE di luar layout",IF($I303="","CEK SERIES kosong",IF(AND(X303&lt;&gt;"",NOT(ISNUMBER(X303))),"CEK URUTAN DISPLAY harus angka",IF($D303="","Zona STOCK",IF($E303="","CEK SKU DESCRIPTION kosong",IF(COUNTIFS($I$2:$I$500,$I303,V$2:V$500,"&lt;&gt;"&amp;V303,V$2:V$500,"&lt;&gt;")&gt;0,"CEK jenis fixture beda dalam satu series","OK"))))))))))</f>
        <v/>
      </c>
      <c r="AA303" s="12" t="n"/>
      <c r="AB303" s="11" t="n"/>
      <c r="AC303" s="11" t="n"/>
      <c r="AD303" s="11" t="n"/>
      <c r="AE303" s="11" t="n"/>
      <c r="AF303" s="11" t="n"/>
      <c r="AG303" s="11" t="n"/>
      <c r="AH303" s="12" t="n"/>
      <c r="AI303" s="12" t="n"/>
    </row>
    <row r="304">
      <c r="A304" s="10" t="n"/>
      <c r="B304" s="10" t="n"/>
      <c r="C304" s="10" t="n"/>
      <c r="D304" s="10" t="n"/>
      <c r="E304" s="10" t="n"/>
      <c r="F304" s="10" t="n"/>
      <c r="G304" s="10" t="n"/>
      <c r="H304" s="10" t="n"/>
      <c r="I304" s="10" t="n"/>
      <c r="J304" s="10" t="n"/>
      <c r="K304" s="10" t="n"/>
      <c r="L304" s="11" t="n"/>
      <c r="M304" s="11" t="n"/>
      <c r="N304" s="11" t="n"/>
      <c r="O304" s="11">
        <f>IF(OR(L304="",M304=""),"",IFERROR(INDEX(LAYOUT!$D$2:$D$80,MATCH(L304&amp;"|"&amp;M304,LAYOUT!$E$2:$E$80,0)),""))</f>
        <v/>
      </c>
      <c r="P304" s="12">
        <f>IF(AND(L304="",M304=""),IF(AND(Q304="",R304="",V304="",W304=""),IF(OR($D304&lt;&gt;"",$E304&lt;&gt;""),"Belum ditempatkan",""),""),IF(L304="","CEK JENIS FIXTURE kosong",IF(AND(LEFT(L304,7)&lt;&gt;"Gondola",LEFT(L304,6)&lt;&gt;"Endcap"),"CEK Fixture 1 hanya Gondola atau Endcap",IF(M304="","CEK SHELVING KE kosong",IF(ISNA(MATCH(L304&amp;"|"&amp;M304,LAYOUT!$E$2:$E$80,0)),"CEK SHELVING KE di luar layout",IF($I304="","CEK SERIES kosong",IF(AND(N304&lt;&gt;"",NOT(ISNUMBER(N304))),"CEK URUTAN DISPLAY harus angka",IF($D304="","Zona STOCK",IF($E304="","CEK SKU DESCRIPTION kosong",IF(COUNTIFS($I$2:$I$500,$I304,L$2:L$500,"&lt;&gt;"&amp;L304,L$2:L$500,"&lt;&gt;")&gt;0,"CEK jenis fixture beda dalam satu series","OK"))))))))))</f>
        <v/>
      </c>
      <c r="Q304" s="11" t="n"/>
      <c r="R304" s="11" t="n"/>
      <c r="S304" s="11" t="n"/>
      <c r="T304" s="11">
        <f>IF(OR(Q304="",R304=""),"",IFERROR(INDEX(LAYOUT!$D$2:$D$80,MATCH(Q304&amp;"|"&amp;R304,LAYOUT!$E$2:$E$80,0)),""))</f>
        <v/>
      </c>
      <c r="U304" s="12">
        <f>IF(AND(Q304="",R304=""),IF(AND(L304="",M304="",V304="",W304=""),IF(OR($D304&lt;&gt;"",$E304&lt;&gt;""),"Belum ditempatkan",""),""),IF(Q304="","CEK JENIS FIXTURE kosong",IF(LEFT(Q304,4)&lt;&gt;"Wall","CEK Fixture 2 hanya Wall",IF(R304="","CEK SHELVING KE kosong",IF(ISNA(MATCH(Q304&amp;"|"&amp;R304,LAYOUT!$E$2:$E$80,0)),"CEK SHELVING KE di luar layout",IF($I304="","CEK SERIES kosong",IF(AND(S304&lt;&gt;"",NOT(ISNUMBER(S304))),"CEK URUTAN DISPLAY harus angka",IF($D304="","Zona STOCK",IF($E304="","CEK SKU DESCRIPTION kosong",IF(COUNTIFS($I$2:$I$500,$I304,Q$2:Q$500,"&lt;&gt;"&amp;Q304,Q$2:Q$500,"&lt;&gt;")&gt;0,"CEK jenis fixture beda dalam satu series","OK"))))))))))</f>
        <v/>
      </c>
      <c r="V304" s="11" t="n"/>
      <c r="W304" s="11" t="n"/>
      <c r="X304" s="11" t="n"/>
      <c r="Y304" s="11">
        <f>IF(OR(V304="",W304=""),"",IFERROR(INDEX(LAYOUT!$D$2:$D$80,MATCH(V304&amp;"|"&amp;W304,LAYOUT!$E$2:$E$80,0)),""))</f>
        <v/>
      </c>
      <c r="Z304" s="12">
        <f>IF(AND(V304="",W304=""),IF(AND(L304="",M304="",Q304="",R304=""),IF(OR($D304&lt;&gt;"",$E304&lt;&gt;""),"Belum ditempatkan",""),""),IF(V304="","CEK JENIS FIXTURE kosong",IF(LEFT(V304,4)&lt;&gt;"Wall","CEK Fixture 3 hanya Wall",IF(W304="","CEK SHELVING KE kosong",IF(ISNA(MATCH(V304&amp;"|"&amp;W304,LAYOUT!$E$2:$E$80,0)),"CEK SHELVING KE di luar layout",IF($I304="","CEK SERIES kosong",IF(AND(X304&lt;&gt;"",NOT(ISNUMBER(X304))),"CEK URUTAN DISPLAY harus angka",IF($D304="","Zona STOCK",IF($E304="","CEK SKU DESCRIPTION kosong",IF(COUNTIFS($I$2:$I$500,$I304,V$2:V$500,"&lt;&gt;"&amp;V304,V$2:V$500,"&lt;&gt;")&gt;0,"CEK jenis fixture beda dalam satu series","OK"))))))))))</f>
        <v/>
      </c>
      <c r="AA304" s="12" t="n"/>
      <c r="AB304" s="11" t="n"/>
      <c r="AC304" s="11" t="n"/>
      <c r="AD304" s="11" t="n"/>
      <c r="AE304" s="11" t="n"/>
      <c r="AF304" s="11" t="n"/>
      <c r="AG304" s="11" t="n"/>
      <c r="AH304" s="12" t="n"/>
      <c r="AI304" s="12" t="n"/>
    </row>
    <row r="305">
      <c r="A305" s="10" t="n"/>
      <c r="B305" s="10" t="n"/>
      <c r="C305" s="10" t="n"/>
      <c r="D305" s="10" t="n"/>
      <c r="E305" s="10" t="n"/>
      <c r="F305" s="10" t="n"/>
      <c r="G305" s="10" t="n"/>
      <c r="H305" s="10" t="n"/>
      <c r="I305" s="10" t="n"/>
      <c r="J305" s="10" t="n"/>
      <c r="K305" s="10" t="n"/>
      <c r="L305" s="11" t="n"/>
      <c r="M305" s="11" t="n"/>
      <c r="N305" s="11" t="n"/>
      <c r="O305" s="11">
        <f>IF(OR(L305="",M305=""),"",IFERROR(INDEX(LAYOUT!$D$2:$D$80,MATCH(L305&amp;"|"&amp;M305,LAYOUT!$E$2:$E$80,0)),""))</f>
        <v/>
      </c>
      <c r="P305" s="12">
        <f>IF(AND(L305="",M305=""),IF(AND(Q305="",R305="",V305="",W305=""),IF(OR($D305&lt;&gt;"",$E305&lt;&gt;""),"Belum ditempatkan",""),""),IF(L305="","CEK JENIS FIXTURE kosong",IF(AND(LEFT(L305,7)&lt;&gt;"Gondola",LEFT(L305,6)&lt;&gt;"Endcap"),"CEK Fixture 1 hanya Gondola atau Endcap",IF(M305="","CEK SHELVING KE kosong",IF(ISNA(MATCH(L305&amp;"|"&amp;M305,LAYOUT!$E$2:$E$80,0)),"CEK SHELVING KE di luar layout",IF($I305="","CEK SERIES kosong",IF(AND(N305&lt;&gt;"",NOT(ISNUMBER(N305))),"CEK URUTAN DISPLAY harus angka",IF($D305="","Zona STOCK",IF($E305="","CEK SKU DESCRIPTION kosong",IF(COUNTIFS($I$2:$I$500,$I305,L$2:L$500,"&lt;&gt;"&amp;L305,L$2:L$500,"&lt;&gt;")&gt;0,"CEK jenis fixture beda dalam satu series","OK"))))))))))</f>
        <v/>
      </c>
      <c r="Q305" s="11" t="n"/>
      <c r="R305" s="11" t="n"/>
      <c r="S305" s="11" t="n"/>
      <c r="T305" s="11">
        <f>IF(OR(Q305="",R305=""),"",IFERROR(INDEX(LAYOUT!$D$2:$D$80,MATCH(Q305&amp;"|"&amp;R305,LAYOUT!$E$2:$E$80,0)),""))</f>
        <v/>
      </c>
      <c r="U305" s="12">
        <f>IF(AND(Q305="",R305=""),IF(AND(L305="",M305="",V305="",W305=""),IF(OR($D305&lt;&gt;"",$E305&lt;&gt;""),"Belum ditempatkan",""),""),IF(Q305="","CEK JENIS FIXTURE kosong",IF(LEFT(Q305,4)&lt;&gt;"Wall","CEK Fixture 2 hanya Wall",IF(R305="","CEK SHELVING KE kosong",IF(ISNA(MATCH(Q305&amp;"|"&amp;R305,LAYOUT!$E$2:$E$80,0)),"CEK SHELVING KE di luar layout",IF($I305="","CEK SERIES kosong",IF(AND(S305&lt;&gt;"",NOT(ISNUMBER(S305))),"CEK URUTAN DISPLAY harus angka",IF($D305="","Zona STOCK",IF($E305="","CEK SKU DESCRIPTION kosong",IF(COUNTIFS($I$2:$I$500,$I305,Q$2:Q$500,"&lt;&gt;"&amp;Q305,Q$2:Q$500,"&lt;&gt;")&gt;0,"CEK jenis fixture beda dalam satu series","OK"))))))))))</f>
        <v/>
      </c>
      <c r="V305" s="11" t="n"/>
      <c r="W305" s="11" t="n"/>
      <c r="X305" s="11" t="n"/>
      <c r="Y305" s="11">
        <f>IF(OR(V305="",W305=""),"",IFERROR(INDEX(LAYOUT!$D$2:$D$80,MATCH(V305&amp;"|"&amp;W305,LAYOUT!$E$2:$E$80,0)),""))</f>
        <v/>
      </c>
      <c r="Z305" s="12">
        <f>IF(AND(V305="",W305=""),IF(AND(L305="",M305="",Q305="",R305=""),IF(OR($D305&lt;&gt;"",$E305&lt;&gt;""),"Belum ditempatkan",""),""),IF(V305="","CEK JENIS FIXTURE kosong",IF(LEFT(V305,4)&lt;&gt;"Wall","CEK Fixture 3 hanya Wall",IF(W305="","CEK SHELVING KE kosong",IF(ISNA(MATCH(V305&amp;"|"&amp;W305,LAYOUT!$E$2:$E$80,0)),"CEK SHELVING KE di luar layout",IF($I305="","CEK SERIES kosong",IF(AND(X305&lt;&gt;"",NOT(ISNUMBER(X305))),"CEK URUTAN DISPLAY harus angka",IF($D305="","Zona STOCK",IF($E305="","CEK SKU DESCRIPTION kosong",IF(COUNTIFS($I$2:$I$500,$I305,V$2:V$500,"&lt;&gt;"&amp;V305,V$2:V$500,"&lt;&gt;")&gt;0,"CEK jenis fixture beda dalam satu series","OK"))))))))))</f>
        <v/>
      </c>
      <c r="AA305" s="12" t="n"/>
      <c r="AB305" s="11" t="n"/>
      <c r="AC305" s="11" t="n"/>
      <c r="AD305" s="11" t="n"/>
      <c r="AE305" s="11" t="n"/>
      <c r="AF305" s="11" t="n"/>
      <c r="AG305" s="11" t="n"/>
      <c r="AH305" s="12" t="n"/>
      <c r="AI305" s="12" t="n"/>
    </row>
    <row r="306">
      <c r="A306" s="10" t="n"/>
      <c r="B306" s="10" t="n"/>
      <c r="C306" s="10" t="n"/>
      <c r="D306" s="10" t="n"/>
      <c r="E306" s="10" t="n"/>
      <c r="F306" s="10" t="n"/>
      <c r="G306" s="10" t="n"/>
      <c r="H306" s="10" t="n"/>
      <c r="I306" s="10" t="n"/>
      <c r="J306" s="10" t="n"/>
      <c r="K306" s="10" t="n"/>
      <c r="L306" s="11" t="n"/>
      <c r="M306" s="11" t="n"/>
      <c r="N306" s="11" t="n"/>
      <c r="O306" s="11">
        <f>IF(OR(L306="",M306=""),"",IFERROR(INDEX(LAYOUT!$D$2:$D$80,MATCH(L306&amp;"|"&amp;M306,LAYOUT!$E$2:$E$80,0)),""))</f>
        <v/>
      </c>
      <c r="P306" s="12">
        <f>IF(AND(L306="",M306=""),IF(AND(Q306="",R306="",V306="",W306=""),IF(OR($D306&lt;&gt;"",$E306&lt;&gt;""),"Belum ditempatkan",""),""),IF(L306="","CEK JENIS FIXTURE kosong",IF(AND(LEFT(L306,7)&lt;&gt;"Gondola",LEFT(L306,6)&lt;&gt;"Endcap"),"CEK Fixture 1 hanya Gondola atau Endcap",IF(M306="","CEK SHELVING KE kosong",IF(ISNA(MATCH(L306&amp;"|"&amp;M306,LAYOUT!$E$2:$E$80,0)),"CEK SHELVING KE di luar layout",IF($I306="","CEK SERIES kosong",IF(AND(N306&lt;&gt;"",NOT(ISNUMBER(N306))),"CEK URUTAN DISPLAY harus angka",IF($D306="","Zona STOCK",IF($E306="","CEK SKU DESCRIPTION kosong",IF(COUNTIFS($I$2:$I$500,$I306,L$2:L$500,"&lt;&gt;"&amp;L306,L$2:L$500,"&lt;&gt;")&gt;0,"CEK jenis fixture beda dalam satu series","OK"))))))))))</f>
        <v/>
      </c>
      <c r="Q306" s="11" t="n"/>
      <c r="R306" s="11" t="n"/>
      <c r="S306" s="11" t="n"/>
      <c r="T306" s="11">
        <f>IF(OR(Q306="",R306=""),"",IFERROR(INDEX(LAYOUT!$D$2:$D$80,MATCH(Q306&amp;"|"&amp;R306,LAYOUT!$E$2:$E$80,0)),""))</f>
        <v/>
      </c>
      <c r="U306" s="12">
        <f>IF(AND(Q306="",R306=""),IF(AND(L306="",M306="",V306="",W306=""),IF(OR($D306&lt;&gt;"",$E306&lt;&gt;""),"Belum ditempatkan",""),""),IF(Q306="","CEK JENIS FIXTURE kosong",IF(LEFT(Q306,4)&lt;&gt;"Wall","CEK Fixture 2 hanya Wall",IF(R306="","CEK SHELVING KE kosong",IF(ISNA(MATCH(Q306&amp;"|"&amp;R306,LAYOUT!$E$2:$E$80,0)),"CEK SHELVING KE di luar layout",IF($I306="","CEK SERIES kosong",IF(AND(S306&lt;&gt;"",NOT(ISNUMBER(S306))),"CEK URUTAN DISPLAY harus angka",IF($D306="","Zona STOCK",IF($E306="","CEK SKU DESCRIPTION kosong",IF(COUNTIFS($I$2:$I$500,$I306,Q$2:Q$500,"&lt;&gt;"&amp;Q306,Q$2:Q$500,"&lt;&gt;")&gt;0,"CEK jenis fixture beda dalam satu series","OK"))))))))))</f>
        <v/>
      </c>
      <c r="V306" s="11" t="n"/>
      <c r="W306" s="11" t="n"/>
      <c r="X306" s="11" t="n"/>
      <c r="Y306" s="11">
        <f>IF(OR(V306="",W306=""),"",IFERROR(INDEX(LAYOUT!$D$2:$D$80,MATCH(V306&amp;"|"&amp;W306,LAYOUT!$E$2:$E$80,0)),""))</f>
        <v/>
      </c>
      <c r="Z306" s="12">
        <f>IF(AND(V306="",W306=""),IF(AND(L306="",M306="",Q306="",R306=""),IF(OR($D306&lt;&gt;"",$E306&lt;&gt;""),"Belum ditempatkan",""),""),IF(V306="","CEK JENIS FIXTURE kosong",IF(LEFT(V306,4)&lt;&gt;"Wall","CEK Fixture 3 hanya Wall",IF(W306="","CEK SHELVING KE kosong",IF(ISNA(MATCH(V306&amp;"|"&amp;W306,LAYOUT!$E$2:$E$80,0)),"CEK SHELVING KE di luar layout",IF($I306="","CEK SERIES kosong",IF(AND(X306&lt;&gt;"",NOT(ISNUMBER(X306))),"CEK URUTAN DISPLAY harus angka",IF($D306="","Zona STOCK",IF($E306="","CEK SKU DESCRIPTION kosong",IF(COUNTIFS($I$2:$I$500,$I306,V$2:V$500,"&lt;&gt;"&amp;V306,V$2:V$500,"&lt;&gt;")&gt;0,"CEK jenis fixture beda dalam satu series","OK"))))))))))</f>
        <v/>
      </c>
      <c r="AA306" s="12" t="n"/>
      <c r="AB306" s="11" t="n"/>
      <c r="AC306" s="11" t="n"/>
      <c r="AD306" s="11" t="n"/>
      <c r="AE306" s="11" t="n"/>
      <c r="AF306" s="11" t="n"/>
      <c r="AG306" s="11" t="n"/>
      <c r="AH306" s="12" t="n"/>
      <c r="AI306" s="12" t="n"/>
    </row>
    <row r="307">
      <c r="A307" s="10" t="n"/>
      <c r="B307" s="10" t="n"/>
      <c r="C307" s="10" t="n"/>
      <c r="D307" s="10" t="n"/>
      <c r="E307" s="10" t="n"/>
      <c r="F307" s="10" t="n"/>
      <c r="G307" s="10" t="n"/>
      <c r="H307" s="10" t="n"/>
      <c r="I307" s="10" t="n"/>
      <c r="J307" s="10" t="n"/>
      <c r="K307" s="10" t="n"/>
      <c r="L307" s="11" t="n"/>
      <c r="M307" s="11" t="n"/>
      <c r="N307" s="11" t="n"/>
      <c r="O307" s="11">
        <f>IF(OR(L307="",M307=""),"",IFERROR(INDEX(LAYOUT!$D$2:$D$80,MATCH(L307&amp;"|"&amp;M307,LAYOUT!$E$2:$E$80,0)),""))</f>
        <v/>
      </c>
      <c r="P307" s="12">
        <f>IF(AND(L307="",M307=""),IF(AND(Q307="",R307="",V307="",W307=""),IF(OR($D307&lt;&gt;"",$E307&lt;&gt;""),"Belum ditempatkan",""),""),IF(L307="","CEK JENIS FIXTURE kosong",IF(AND(LEFT(L307,7)&lt;&gt;"Gondola",LEFT(L307,6)&lt;&gt;"Endcap"),"CEK Fixture 1 hanya Gondola atau Endcap",IF(M307="","CEK SHELVING KE kosong",IF(ISNA(MATCH(L307&amp;"|"&amp;M307,LAYOUT!$E$2:$E$80,0)),"CEK SHELVING KE di luar layout",IF($I307="","CEK SERIES kosong",IF(AND(N307&lt;&gt;"",NOT(ISNUMBER(N307))),"CEK URUTAN DISPLAY harus angka",IF($D307="","Zona STOCK",IF($E307="","CEK SKU DESCRIPTION kosong",IF(COUNTIFS($I$2:$I$500,$I307,L$2:L$500,"&lt;&gt;"&amp;L307,L$2:L$500,"&lt;&gt;")&gt;0,"CEK jenis fixture beda dalam satu series","OK"))))))))))</f>
        <v/>
      </c>
      <c r="Q307" s="11" t="n"/>
      <c r="R307" s="11" t="n"/>
      <c r="S307" s="11" t="n"/>
      <c r="T307" s="11">
        <f>IF(OR(Q307="",R307=""),"",IFERROR(INDEX(LAYOUT!$D$2:$D$80,MATCH(Q307&amp;"|"&amp;R307,LAYOUT!$E$2:$E$80,0)),""))</f>
        <v/>
      </c>
      <c r="U307" s="12">
        <f>IF(AND(Q307="",R307=""),IF(AND(L307="",M307="",V307="",W307=""),IF(OR($D307&lt;&gt;"",$E307&lt;&gt;""),"Belum ditempatkan",""),""),IF(Q307="","CEK JENIS FIXTURE kosong",IF(LEFT(Q307,4)&lt;&gt;"Wall","CEK Fixture 2 hanya Wall",IF(R307="","CEK SHELVING KE kosong",IF(ISNA(MATCH(Q307&amp;"|"&amp;R307,LAYOUT!$E$2:$E$80,0)),"CEK SHELVING KE di luar layout",IF($I307="","CEK SERIES kosong",IF(AND(S307&lt;&gt;"",NOT(ISNUMBER(S307))),"CEK URUTAN DISPLAY harus angka",IF($D307="","Zona STOCK",IF($E307="","CEK SKU DESCRIPTION kosong",IF(COUNTIFS($I$2:$I$500,$I307,Q$2:Q$500,"&lt;&gt;"&amp;Q307,Q$2:Q$500,"&lt;&gt;")&gt;0,"CEK jenis fixture beda dalam satu series","OK"))))))))))</f>
        <v/>
      </c>
      <c r="V307" s="11" t="n"/>
      <c r="W307" s="11" t="n"/>
      <c r="X307" s="11" t="n"/>
      <c r="Y307" s="11">
        <f>IF(OR(V307="",W307=""),"",IFERROR(INDEX(LAYOUT!$D$2:$D$80,MATCH(V307&amp;"|"&amp;W307,LAYOUT!$E$2:$E$80,0)),""))</f>
        <v/>
      </c>
      <c r="Z307" s="12">
        <f>IF(AND(V307="",W307=""),IF(AND(L307="",M307="",Q307="",R307=""),IF(OR($D307&lt;&gt;"",$E307&lt;&gt;""),"Belum ditempatkan",""),""),IF(V307="","CEK JENIS FIXTURE kosong",IF(LEFT(V307,4)&lt;&gt;"Wall","CEK Fixture 3 hanya Wall",IF(W307="","CEK SHELVING KE kosong",IF(ISNA(MATCH(V307&amp;"|"&amp;W307,LAYOUT!$E$2:$E$80,0)),"CEK SHELVING KE di luar layout",IF($I307="","CEK SERIES kosong",IF(AND(X307&lt;&gt;"",NOT(ISNUMBER(X307))),"CEK URUTAN DISPLAY harus angka",IF($D307="","Zona STOCK",IF($E307="","CEK SKU DESCRIPTION kosong",IF(COUNTIFS($I$2:$I$500,$I307,V$2:V$500,"&lt;&gt;"&amp;V307,V$2:V$500,"&lt;&gt;")&gt;0,"CEK jenis fixture beda dalam satu series","OK"))))))))))</f>
        <v/>
      </c>
      <c r="AA307" s="12" t="n"/>
      <c r="AB307" s="11" t="n"/>
      <c r="AC307" s="11" t="n"/>
      <c r="AD307" s="11" t="n"/>
      <c r="AE307" s="11" t="n"/>
      <c r="AF307" s="11" t="n"/>
      <c r="AG307" s="11" t="n"/>
      <c r="AH307" s="12" t="n"/>
      <c r="AI307" s="12" t="n"/>
    </row>
    <row r="308">
      <c r="A308" s="10" t="n"/>
      <c r="B308" s="10" t="n"/>
      <c r="C308" s="10" t="n"/>
      <c r="D308" s="10" t="n"/>
      <c r="E308" s="10" t="n"/>
      <c r="F308" s="10" t="n"/>
      <c r="G308" s="10" t="n"/>
      <c r="H308" s="10" t="n"/>
      <c r="I308" s="10" t="n"/>
      <c r="J308" s="10" t="n"/>
      <c r="K308" s="10" t="n"/>
      <c r="L308" s="11" t="n"/>
      <c r="M308" s="11" t="n"/>
      <c r="N308" s="11" t="n"/>
      <c r="O308" s="11">
        <f>IF(OR(L308="",M308=""),"",IFERROR(INDEX(LAYOUT!$D$2:$D$80,MATCH(L308&amp;"|"&amp;M308,LAYOUT!$E$2:$E$80,0)),""))</f>
        <v/>
      </c>
      <c r="P308" s="12">
        <f>IF(AND(L308="",M308=""),IF(AND(Q308="",R308="",V308="",W308=""),IF(OR($D308&lt;&gt;"",$E308&lt;&gt;""),"Belum ditempatkan",""),""),IF(L308="","CEK JENIS FIXTURE kosong",IF(AND(LEFT(L308,7)&lt;&gt;"Gondola",LEFT(L308,6)&lt;&gt;"Endcap"),"CEK Fixture 1 hanya Gondola atau Endcap",IF(M308="","CEK SHELVING KE kosong",IF(ISNA(MATCH(L308&amp;"|"&amp;M308,LAYOUT!$E$2:$E$80,0)),"CEK SHELVING KE di luar layout",IF($I308="","CEK SERIES kosong",IF(AND(N308&lt;&gt;"",NOT(ISNUMBER(N308))),"CEK URUTAN DISPLAY harus angka",IF($D308="","Zona STOCK",IF($E308="","CEK SKU DESCRIPTION kosong",IF(COUNTIFS($I$2:$I$500,$I308,L$2:L$500,"&lt;&gt;"&amp;L308,L$2:L$500,"&lt;&gt;")&gt;0,"CEK jenis fixture beda dalam satu series","OK"))))))))))</f>
        <v/>
      </c>
      <c r="Q308" s="11" t="n"/>
      <c r="R308" s="11" t="n"/>
      <c r="S308" s="11" t="n"/>
      <c r="T308" s="11">
        <f>IF(OR(Q308="",R308=""),"",IFERROR(INDEX(LAYOUT!$D$2:$D$80,MATCH(Q308&amp;"|"&amp;R308,LAYOUT!$E$2:$E$80,0)),""))</f>
        <v/>
      </c>
      <c r="U308" s="12">
        <f>IF(AND(Q308="",R308=""),IF(AND(L308="",M308="",V308="",W308=""),IF(OR($D308&lt;&gt;"",$E308&lt;&gt;""),"Belum ditempatkan",""),""),IF(Q308="","CEK JENIS FIXTURE kosong",IF(LEFT(Q308,4)&lt;&gt;"Wall","CEK Fixture 2 hanya Wall",IF(R308="","CEK SHELVING KE kosong",IF(ISNA(MATCH(Q308&amp;"|"&amp;R308,LAYOUT!$E$2:$E$80,0)),"CEK SHELVING KE di luar layout",IF($I308="","CEK SERIES kosong",IF(AND(S308&lt;&gt;"",NOT(ISNUMBER(S308))),"CEK URUTAN DISPLAY harus angka",IF($D308="","Zona STOCK",IF($E308="","CEK SKU DESCRIPTION kosong",IF(COUNTIFS($I$2:$I$500,$I308,Q$2:Q$500,"&lt;&gt;"&amp;Q308,Q$2:Q$500,"&lt;&gt;")&gt;0,"CEK jenis fixture beda dalam satu series","OK"))))))))))</f>
        <v/>
      </c>
      <c r="V308" s="11" t="n"/>
      <c r="W308" s="11" t="n"/>
      <c r="X308" s="11" t="n"/>
      <c r="Y308" s="11">
        <f>IF(OR(V308="",W308=""),"",IFERROR(INDEX(LAYOUT!$D$2:$D$80,MATCH(V308&amp;"|"&amp;W308,LAYOUT!$E$2:$E$80,0)),""))</f>
        <v/>
      </c>
      <c r="Z308" s="12">
        <f>IF(AND(V308="",W308=""),IF(AND(L308="",M308="",Q308="",R308=""),IF(OR($D308&lt;&gt;"",$E308&lt;&gt;""),"Belum ditempatkan",""),""),IF(V308="","CEK JENIS FIXTURE kosong",IF(LEFT(V308,4)&lt;&gt;"Wall","CEK Fixture 3 hanya Wall",IF(W308="","CEK SHELVING KE kosong",IF(ISNA(MATCH(V308&amp;"|"&amp;W308,LAYOUT!$E$2:$E$80,0)),"CEK SHELVING KE di luar layout",IF($I308="","CEK SERIES kosong",IF(AND(X308&lt;&gt;"",NOT(ISNUMBER(X308))),"CEK URUTAN DISPLAY harus angka",IF($D308="","Zona STOCK",IF($E308="","CEK SKU DESCRIPTION kosong",IF(COUNTIFS($I$2:$I$500,$I308,V$2:V$500,"&lt;&gt;"&amp;V308,V$2:V$500,"&lt;&gt;")&gt;0,"CEK jenis fixture beda dalam satu series","OK"))))))))))</f>
        <v/>
      </c>
      <c r="AA308" s="12" t="n"/>
      <c r="AB308" s="11" t="n"/>
      <c r="AC308" s="11" t="n"/>
      <c r="AD308" s="11" t="n"/>
      <c r="AE308" s="11" t="n"/>
      <c r="AF308" s="11" t="n"/>
      <c r="AG308" s="11" t="n"/>
      <c r="AH308" s="12" t="n"/>
      <c r="AI308" s="12" t="n"/>
    </row>
    <row r="309">
      <c r="A309" s="10" t="n"/>
      <c r="B309" s="10" t="n"/>
      <c r="C309" s="10" t="n"/>
      <c r="D309" s="10" t="n"/>
      <c r="E309" s="10" t="n"/>
      <c r="F309" s="10" t="n"/>
      <c r="G309" s="10" t="n"/>
      <c r="H309" s="10" t="n"/>
      <c r="I309" s="10" t="n"/>
      <c r="J309" s="10" t="n"/>
      <c r="K309" s="10" t="n"/>
      <c r="L309" s="11" t="n"/>
      <c r="M309" s="11" t="n"/>
      <c r="N309" s="11" t="n"/>
      <c r="O309" s="11">
        <f>IF(OR(L309="",M309=""),"",IFERROR(INDEX(LAYOUT!$D$2:$D$80,MATCH(L309&amp;"|"&amp;M309,LAYOUT!$E$2:$E$80,0)),""))</f>
        <v/>
      </c>
      <c r="P309" s="12">
        <f>IF(AND(L309="",M309=""),IF(AND(Q309="",R309="",V309="",W309=""),IF(OR($D309&lt;&gt;"",$E309&lt;&gt;""),"Belum ditempatkan",""),""),IF(L309="","CEK JENIS FIXTURE kosong",IF(AND(LEFT(L309,7)&lt;&gt;"Gondola",LEFT(L309,6)&lt;&gt;"Endcap"),"CEK Fixture 1 hanya Gondola atau Endcap",IF(M309="","CEK SHELVING KE kosong",IF(ISNA(MATCH(L309&amp;"|"&amp;M309,LAYOUT!$E$2:$E$80,0)),"CEK SHELVING KE di luar layout",IF($I309="","CEK SERIES kosong",IF(AND(N309&lt;&gt;"",NOT(ISNUMBER(N309))),"CEK URUTAN DISPLAY harus angka",IF($D309="","Zona STOCK",IF($E309="","CEK SKU DESCRIPTION kosong",IF(COUNTIFS($I$2:$I$500,$I309,L$2:L$500,"&lt;&gt;"&amp;L309,L$2:L$500,"&lt;&gt;")&gt;0,"CEK jenis fixture beda dalam satu series","OK"))))))))))</f>
        <v/>
      </c>
      <c r="Q309" s="11" t="n"/>
      <c r="R309" s="11" t="n"/>
      <c r="S309" s="11" t="n"/>
      <c r="T309" s="11">
        <f>IF(OR(Q309="",R309=""),"",IFERROR(INDEX(LAYOUT!$D$2:$D$80,MATCH(Q309&amp;"|"&amp;R309,LAYOUT!$E$2:$E$80,0)),""))</f>
        <v/>
      </c>
      <c r="U309" s="12">
        <f>IF(AND(Q309="",R309=""),IF(AND(L309="",M309="",V309="",W309=""),IF(OR($D309&lt;&gt;"",$E309&lt;&gt;""),"Belum ditempatkan",""),""),IF(Q309="","CEK JENIS FIXTURE kosong",IF(LEFT(Q309,4)&lt;&gt;"Wall","CEK Fixture 2 hanya Wall",IF(R309="","CEK SHELVING KE kosong",IF(ISNA(MATCH(Q309&amp;"|"&amp;R309,LAYOUT!$E$2:$E$80,0)),"CEK SHELVING KE di luar layout",IF($I309="","CEK SERIES kosong",IF(AND(S309&lt;&gt;"",NOT(ISNUMBER(S309))),"CEK URUTAN DISPLAY harus angka",IF($D309="","Zona STOCK",IF($E309="","CEK SKU DESCRIPTION kosong",IF(COUNTIFS($I$2:$I$500,$I309,Q$2:Q$500,"&lt;&gt;"&amp;Q309,Q$2:Q$500,"&lt;&gt;")&gt;0,"CEK jenis fixture beda dalam satu series","OK"))))))))))</f>
        <v/>
      </c>
      <c r="V309" s="11" t="n"/>
      <c r="W309" s="11" t="n"/>
      <c r="X309" s="11" t="n"/>
      <c r="Y309" s="11">
        <f>IF(OR(V309="",W309=""),"",IFERROR(INDEX(LAYOUT!$D$2:$D$80,MATCH(V309&amp;"|"&amp;W309,LAYOUT!$E$2:$E$80,0)),""))</f>
        <v/>
      </c>
      <c r="Z309" s="12">
        <f>IF(AND(V309="",W309=""),IF(AND(L309="",M309="",Q309="",R309=""),IF(OR($D309&lt;&gt;"",$E309&lt;&gt;""),"Belum ditempatkan",""),""),IF(V309="","CEK JENIS FIXTURE kosong",IF(LEFT(V309,4)&lt;&gt;"Wall","CEK Fixture 3 hanya Wall",IF(W309="","CEK SHELVING KE kosong",IF(ISNA(MATCH(V309&amp;"|"&amp;W309,LAYOUT!$E$2:$E$80,0)),"CEK SHELVING KE di luar layout",IF($I309="","CEK SERIES kosong",IF(AND(X309&lt;&gt;"",NOT(ISNUMBER(X309))),"CEK URUTAN DISPLAY harus angka",IF($D309="","Zona STOCK",IF($E309="","CEK SKU DESCRIPTION kosong",IF(COUNTIFS($I$2:$I$500,$I309,V$2:V$500,"&lt;&gt;"&amp;V309,V$2:V$500,"&lt;&gt;")&gt;0,"CEK jenis fixture beda dalam satu series","OK"))))))))))</f>
        <v/>
      </c>
      <c r="AA309" s="12" t="n"/>
      <c r="AB309" s="11" t="n"/>
      <c r="AC309" s="11" t="n"/>
      <c r="AD309" s="11" t="n"/>
      <c r="AE309" s="11" t="n"/>
      <c r="AF309" s="11" t="n"/>
      <c r="AG309" s="11" t="n"/>
      <c r="AH309" s="12" t="n"/>
      <c r="AI309" s="12" t="n"/>
    </row>
    <row r="310">
      <c r="A310" s="10" t="n"/>
      <c r="B310" s="10" t="n"/>
      <c r="C310" s="10" t="n"/>
      <c r="D310" s="10" t="n"/>
      <c r="E310" s="10" t="n"/>
      <c r="F310" s="10" t="n"/>
      <c r="G310" s="10" t="n"/>
      <c r="H310" s="10" t="n"/>
      <c r="I310" s="10" t="n"/>
      <c r="J310" s="10" t="n"/>
      <c r="K310" s="10" t="n"/>
      <c r="L310" s="11" t="n"/>
      <c r="M310" s="11" t="n"/>
      <c r="N310" s="11" t="n"/>
      <c r="O310" s="11">
        <f>IF(OR(L310="",M310=""),"",IFERROR(INDEX(LAYOUT!$D$2:$D$80,MATCH(L310&amp;"|"&amp;M310,LAYOUT!$E$2:$E$80,0)),""))</f>
        <v/>
      </c>
      <c r="P310" s="12">
        <f>IF(AND(L310="",M310=""),IF(AND(Q310="",R310="",V310="",W310=""),IF(OR($D310&lt;&gt;"",$E310&lt;&gt;""),"Belum ditempatkan",""),""),IF(L310="","CEK JENIS FIXTURE kosong",IF(AND(LEFT(L310,7)&lt;&gt;"Gondola",LEFT(L310,6)&lt;&gt;"Endcap"),"CEK Fixture 1 hanya Gondola atau Endcap",IF(M310="","CEK SHELVING KE kosong",IF(ISNA(MATCH(L310&amp;"|"&amp;M310,LAYOUT!$E$2:$E$80,0)),"CEK SHELVING KE di luar layout",IF($I310="","CEK SERIES kosong",IF(AND(N310&lt;&gt;"",NOT(ISNUMBER(N310))),"CEK URUTAN DISPLAY harus angka",IF($D310="","Zona STOCK",IF($E310="","CEK SKU DESCRIPTION kosong",IF(COUNTIFS($I$2:$I$500,$I310,L$2:L$500,"&lt;&gt;"&amp;L310,L$2:L$500,"&lt;&gt;")&gt;0,"CEK jenis fixture beda dalam satu series","OK"))))))))))</f>
        <v/>
      </c>
      <c r="Q310" s="11" t="n"/>
      <c r="R310" s="11" t="n"/>
      <c r="S310" s="11" t="n"/>
      <c r="T310" s="11">
        <f>IF(OR(Q310="",R310=""),"",IFERROR(INDEX(LAYOUT!$D$2:$D$80,MATCH(Q310&amp;"|"&amp;R310,LAYOUT!$E$2:$E$80,0)),""))</f>
        <v/>
      </c>
      <c r="U310" s="12">
        <f>IF(AND(Q310="",R310=""),IF(AND(L310="",M310="",V310="",W310=""),IF(OR($D310&lt;&gt;"",$E310&lt;&gt;""),"Belum ditempatkan",""),""),IF(Q310="","CEK JENIS FIXTURE kosong",IF(LEFT(Q310,4)&lt;&gt;"Wall","CEK Fixture 2 hanya Wall",IF(R310="","CEK SHELVING KE kosong",IF(ISNA(MATCH(Q310&amp;"|"&amp;R310,LAYOUT!$E$2:$E$80,0)),"CEK SHELVING KE di luar layout",IF($I310="","CEK SERIES kosong",IF(AND(S310&lt;&gt;"",NOT(ISNUMBER(S310))),"CEK URUTAN DISPLAY harus angka",IF($D310="","Zona STOCK",IF($E310="","CEK SKU DESCRIPTION kosong",IF(COUNTIFS($I$2:$I$500,$I310,Q$2:Q$500,"&lt;&gt;"&amp;Q310,Q$2:Q$500,"&lt;&gt;")&gt;0,"CEK jenis fixture beda dalam satu series","OK"))))))))))</f>
        <v/>
      </c>
      <c r="V310" s="11" t="n"/>
      <c r="W310" s="11" t="n"/>
      <c r="X310" s="11" t="n"/>
      <c r="Y310" s="11">
        <f>IF(OR(V310="",W310=""),"",IFERROR(INDEX(LAYOUT!$D$2:$D$80,MATCH(V310&amp;"|"&amp;W310,LAYOUT!$E$2:$E$80,0)),""))</f>
        <v/>
      </c>
      <c r="Z310" s="12">
        <f>IF(AND(V310="",W310=""),IF(AND(L310="",M310="",Q310="",R310=""),IF(OR($D310&lt;&gt;"",$E310&lt;&gt;""),"Belum ditempatkan",""),""),IF(V310="","CEK JENIS FIXTURE kosong",IF(LEFT(V310,4)&lt;&gt;"Wall","CEK Fixture 3 hanya Wall",IF(W310="","CEK SHELVING KE kosong",IF(ISNA(MATCH(V310&amp;"|"&amp;W310,LAYOUT!$E$2:$E$80,0)),"CEK SHELVING KE di luar layout",IF($I310="","CEK SERIES kosong",IF(AND(X310&lt;&gt;"",NOT(ISNUMBER(X310))),"CEK URUTAN DISPLAY harus angka",IF($D310="","Zona STOCK",IF($E310="","CEK SKU DESCRIPTION kosong",IF(COUNTIFS($I$2:$I$500,$I310,V$2:V$500,"&lt;&gt;"&amp;V310,V$2:V$500,"&lt;&gt;")&gt;0,"CEK jenis fixture beda dalam satu series","OK"))))))))))</f>
        <v/>
      </c>
      <c r="AA310" s="12" t="n"/>
      <c r="AB310" s="11" t="n"/>
      <c r="AC310" s="11" t="n"/>
      <c r="AD310" s="11" t="n"/>
      <c r="AE310" s="11" t="n"/>
      <c r="AF310" s="11" t="n"/>
      <c r="AG310" s="11" t="n"/>
      <c r="AH310" s="12" t="n"/>
      <c r="AI310" s="12" t="n"/>
    </row>
    <row r="311">
      <c r="A311" s="10" t="n"/>
      <c r="B311" s="10" t="n"/>
      <c r="C311" s="10" t="n"/>
      <c r="D311" s="10" t="n"/>
      <c r="E311" s="10" t="n"/>
      <c r="F311" s="10" t="n"/>
      <c r="G311" s="10" t="n"/>
      <c r="H311" s="10" t="n"/>
      <c r="I311" s="10" t="n"/>
      <c r="J311" s="10" t="n"/>
      <c r="K311" s="10" t="n"/>
      <c r="L311" s="11" t="n"/>
      <c r="M311" s="11" t="n"/>
      <c r="N311" s="11" t="n"/>
      <c r="O311" s="11">
        <f>IF(OR(L311="",M311=""),"",IFERROR(INDEX(LAYOUT!$D$2:$D$80,MATCH(L311&amp;"|"&amp;M311,LAYOUT!$E$2:$E$80,0)),""))</f>
        <v/>
      </c>
      <c r="P311" s="12">
        <f>IF(AND(L311="",M311=""),IF(AND(Q311="",R311="",V311="",W311=""),IF(OR($D311&lt;&gt;"",$E311&lt;&gt;""),"Belum ditempatkan",""),""),IF(L311="","CEK JENIS FIXTURE kosong",IF(AND(LEFT(L311,7)&lt;&gt;"Gondola",LEFT(L311,6)&lt;&gt;"Endcap"),"CEK Fixture 1 hanya Gondola atau Endcap",IF(M311="","CEK SHELVING KE kosong",IF(ISNA(MATCH(L311&amp;"|"&amp;M311,LAYOUT!$E$2:$E$80,0)),"CEK SHELVING KE di luar layout",IF($I311="","CEK SERIES kosong",IF(AND(N311&lt;&gt;"",NOT(ISNUMBER(N311))),"CEK URUTAN DISPLAY harus angka",IF($D311="","Zona STOCK",IF($E311="","CEK SKU DESCRIPTION kosong",IF(COUNTIFS($I$2:$I$500,$I311,L$2:L$500,"&lt;&gt;"&amp;L311,L$2:L$500,"&lt;&gt;")&gt;0,"CEK jenis fixture beda dalam satu series","OK"))))))))))</f>
        <v/>
      </c>
      <c r="Q311" s="11" t="n"/>
      <c r="R311" s="11" t="n"/>
      <c r="S311" s="11" t="n"/>
      <c r="T311" s="11">
        <f>IF(OR(Q311="",R311=""),"",IFERROR(INDEX(LAYOUT!$D$2:$D$80,MATCH(Q311&amp;"|"&amp;R311,LAYOUT!$E$2:$E$80,0)),""))</f>
        <v/>
      </c>
      <c r="U311" s="12">
        <f>IF(AND(Q311="",R311=""),IF(AND(L311="",M311="",V311="",W311=""),IF(OR($D311&lt;&gt;"",$E311&lt;&gt;""),"Belum ditempatkan",""),""),IF(Q311="","CEK JENIS FIXTURE kosong",IF(LEFT(Q311,4)&lt;&gt;"Wall","CEK Fixture 2 hanya Wall",IF(R311="","CEK SHELVING KE kosong",IF(ISNA(MATCH(Q311&amp;"|"&amp;R311,LAYOUT!$E$2:$E$80,0)),"CEK SHELVING KE di luar layout",IF($I311="","CEK SERIES kosong",IF(AND(S311&lt;&gt;"",NOT(ISNUMBER(S311))),"CEK URUTAN DISPLAY harus angka",IF($D311="","Zona STOCK",IF($E311="","CEK SKU DESCRIPTION kosong",IF(COUNTIFS($I$2:$I$500,$I311,Q$2:Q$500,"&lt;&gt;"&amp;Q311,Q$2:Q$500,"&lt;&gt;")&gt;0,"CEK jenis fixture beda dalam satu series","OK"))))))))))</f>
        <v/>
      </c>
      <c r="V311" s="11" t="n"/>
      <c r="W311" s="11" t="n"/>
      <c r="X311" s="11" t="n"/>
      <c r="Y311" s="11">
        <f>IF(OR(V311="",W311=""),"",IFERROR(INDEX(LAYOUT!$D$2:$D$80,MATCH(V311&amp;"|"&amp;W311,LAYOUT!$E$2:$E$80,0)),""))</f>
        <v/>
      </c>
      <c r="Z311" s="12">
        <f>IF(AND(V311="",W311=""),IF(AND(L311="",M311="",Q311="",R311=""),IF(OR($D311&lt;&gt;"",$E311&lt;&gt;""),"Belum ditempatkan",""),""),IF(V311="","CEK JENIS FIXTURE kosong",IF(LEFT(V311,4)&lt;&gt;"Wall","CEK Fixture 3 hanya Wall",IF(W311="","CEK SHELVING KE kosong",IF(ISNA(MATCH(V311&amp;"|"&amp;W311,LAYOUT!$E$2:$E$80,0)),"CEK SHELVING KE di luar layout",IF($I311="","CEK SERIES kosong",IF(AND(X311&lt;&gt;"",NOT(ISNUMBER(X311))),"CEK URUTAN DISPLAY harus angka",IF($D311="","Zona STOCK",IF($E311="","CEK SKU DESCRIPTION kosong",IF(COUNTIFS($I$2:$I$500,$I311,V$2:V$500,"&lt;&gt;"&amp;V311,V$2:V$500,"&lt;&gt;")&gt;0,"CEK jenis fixture beda dalam satu series","OK"))))))))))</f>
        <v/>
      </c>
      <c r="AA311" s="12" t="n"/>
      <c r="AB311" s="11" t="n"/>
      <c r="AC311" s="11" t="n"/>
      <c r="AD311" s="11" t="n"/>
      <c r="AE311" s="11" t="n"/>
      <c r="AF311" s="11" t="n"/>
      <c r="AG311" s="11" t="n"/>
      <c r="AH311" s="12" t="n"/>
      <c r="AI311" s="12" t="n"/>
    </row>
    <row r="312">
      <c r="A312" s="10" t="n"/>
      <c r="B312" s="10" t="n"/>
      <c r="C312" s="10" t="n"/>
      <c r="D312" s="10" t="n"/>
      <c r="E312" s="10" t="n"/>
      <c r="F312" s="10" t="n"/>
      <c r="G312" s="10" t="n"/>
      <c r="H312" s="10" t="n"/>
      <c r="I312" s="10" t="n"/>
      <c r="J312" s="10" t="n"/>
      <c r="K312" s="10" t="n"/>
      <c r="L312" s="11" t="n"/>
      <c r="M312" s="11" t="n"/>
      <c r="N312" s="11" t="n"/>
      <c r="O312" s="11">
        <f>IF(OR(L312="",M312=""),"",IFERROR(INDEX(LAYOUT!$D$2:$D$80,MATCH(L312&amp;"|"&amp;M312,LAYOUT!$E$2:$E$80,0)),""))</f>
        <v/>
      </c>
      <c r="P312" s="12">
        <f>IF(AND(L312="",M312=""),IF(AND(Q312="",R312="",V312="",W312=""),IF(OR($D312&lt;&gt;"",$E312&lt;&gt;""),"Belum ditempatkan",""),""),IF(L312="","CEK JENIS FIXTURE kosong",IF(AND(LEFT(L312,7)&lt;&gt;"Gondola",LEFT(L312,6)&lt;&gt;"Endcap"),"CEK Fixture 1 hanya Gondola atau Endcap",IF(M312="","CEK SHELVING KE kosong",IF(ISNA(MATCH(L312&amp;"|"&amp;M312,LAYOUT!$E$2:$E$80,0)),"CEK SHELVING KE di luar layout",IF($I312="","CEK SERIES kosong",IF(AND(N312&lt;&gt;"",NOT(ISNUMBER(N312))),"CEK URUTAN DISPLAY harus angka",IF($D312="","Zona STOCK",IF($E312="","CEK SKU DESCRIPTION kosong",IF(COUNTIFS($I$2:$I$500,$I312,L$2:L$500,"&lt;&gt;"&amp;L312,L$2:L$500,"&lt;&gt;")&gt;0,"CEK jenis fixture beda dalam satu series","OK"))))))))))</f>
        <v/>
      </c>
      <c r="Q312" s="11" t="n"/>
      <c r="R312" s="11" t="n"/>
      <c r="S312" s="11" t="n"/>
      <c r="T312" s="11">
        <f>IF(OR(Q312="",R312=""),"",IFERROR(INDEX(LAYOUT!$D$2:$D$80,MATCH(Q312&amp;"|"&amp;R312,LAYOUT!$E$2:$E$80,0)),""))</f>
        <v/>
      </c>
      <c r="U312" s="12">
        <f>IF(AND(Q312="",R312=""),IF(AND(L312="",M312="",V312="",W312=""),IF(OR($D312&lt;&gt;"",$E312&lt;&gt;""),"Belum ditempatkan",""),""),IF(Q312="","CEK JENIS FIXTURE kosong",IF(LEFT(Q312,4)&lt;&gt;"Wall","CEK Fixture 2 hanya Wall",IF(R312="","CEK SHELVING KE kosong",IF(ISNA(MATCH(Q312&amp;"|"&amp;R312,LAYOUT!$E$2:$E$80,0)),"CEK SHELVING KE di luar layout",IF($I312="","CEK SERIES kosong",IF(AND(S312&lt;&gt;"",NOT(ISNUMBER(S312))),"CEK URUTAN DISPLAY harus angka",IF($D312="","Zona STOCK",IF($E312="","CEK SKU DESCRIPTION kosong",IF(COUNTIFS($I$2:$I$500,$I312,Q$2:Q$500,"&lt;&gt;"&amp;Q312,Q$2:Q$500,"&lt;&gt;")&gt;0,"CEK jenis fixture beda dalam satu series","OK"))))))))))</f>
        <v/>
      </c>
      <c r="V312" s="11" t="n"/>
      <c r="W312" s="11" t="n"/>
      <c r="X312" s="11" t="n"/>
      <c r="Y312" s="11">
        <f>IF(OR(V312="",W312=""),"",IFERROR(INDEX(LAYOUT!$D$2:$D$80,MATCH(V312&amp;"|"&amp;W312,LAYOUT!$E$2:$E$80,0)),""))</f>
        <v/>
      </c>
      <c r="Z312" s="12">
        <f>IF(AND(V312="",W312=""),IF(AND(L312="",M312="",Q312="",R312=""),IF(OR($D312&lt;&gt;"",$E312&lt;&gt;""),"Belum ditempatkan",""),""),IF(V312="","CEK JENIS FIXTURE kosong",IF(LEFT(V312,4)&lt;&gt;"Wall","CEK Fixture 3 hanya Wall",IF(W312="","CEK SHELVING KE kosong",IF(ISNA(MATCH(V312&amp;"|"&amp;W312,LAYOUT!$E$2:$E$80,0)),"CEK SHELVING KE di luar layout",IF($I312="","CEK SERIES kosong",IF(AND(X312&lt;&gt;"",NOT(ISNUMBER(X312))),"CEK URUTAN DISPLAY harus angka",IF($D312="","Zona STOCK",IF($E312="","CEK SKU DESCRIPTION kosong",IF(COUNTIFS($I$2:$I$500,$I312,V$2:V$500,"&lt;&gt;"&amp;V312,V$2:V$500,"&lt;&gt;")&gt;0,"CEK jenis fixture beda dalam satu series","OK"))))))))))</f>
        <v/>
      </c>
      <c r="AA312" s="12" t="n"/>
      <c r="AB312" s="11" t="n"/>
      <c r="AC312" s="11" t="n"/>
      <c r="AD312" s="11" t="n"/>
      <c r="AE312" s="11" t="n"/>
      <c r="AF312" s="11" t="n"/>
      <c r="AG312" s="11" t="n"/>
      <c r="AH312" s="12" t="n"/>
      <c r="AI312" s="12" t="n"/>
    </row>
    <row r="313">
      <c r="A313" s="10" t="n"/>
      <c r="B313" s="10" t="n"/>
      <c r="C313" s="10" t="n"/>
      <c r="D313" s="10" t="n"/>
      <c r="E313" s="10" t="n"/>
      <c r="F313" s="10" t="n"/>
      <c r="G313" s="10" t="n"/>
      <c r="H313" s="10" t="n"/>
      <c r="I313" s="10" t="n"/>
      <c r="J313" s="10" t="n"/>
      <c r="K313" s="10" t="n"/>
      <c r="L313" s="11" t="n"/>
      <c r="M313" s="11" t="n"/>
      <c r="N313" s="11" t="n"/>
      <c r="O313" s="11">
        <f>IF(OR(L313="",M313=""),"",IFERROR(INDEX(LAYOUT!$D$2:$D$80,MATCH(L313&amp;"|"&amp;M313,LAYOUT!$E$2:$E$80,0)),""))</f>
        <v/>
      </c>
      <c r="P313" s="12">
        <f>IF(AND(L313="",M313=""),IF(AND(Q313="",R313="",V313="",W313=""),IF(OR($D313&lt;&gt;"",$E313&lt;&gt;""),"Belum ditempatkan",""),""),IF(L313="","CEK JENIS FIXTURE kosong",IF(AND(LEFT(L313,7)&lt;&gt;"Gondola",LEFT(L313,6)&lt;&gt;"Endcap"),"CEK Fixture 1 hanya Gondola atau Endcap",IF(M313="","CEK SHELVING KE kosong",IF(ISNA(MATCH(L313&amp;"|"&amp;M313,LAYOUT!$E$2:$E$80,0)),"CEK SHELVING KE di luar layout",IF($I313="","CEK SERIES kosong",IF(AND(N313&lt;&gt;"",NOT(ISNUMBER(N313))),"CEK URUTAN DISPLAY harus angka",IF($D313="","Zona STOCK",IF($E313="","CEK SKU DESCRIPTION kosong",IF(COUNTIFS($I$2:$I$500,$I313,L$2:L$500,"&lt;&gt;"&amp;L313,L$2:L$500,"&lt;&gt;")&gt;0,"CEK jenis fixture beda dalam satu series","OK"))))))))))</f>
        <v/>
      </c>
      <c r="Q313" s="11" t="n"/>
      <c r="R313" s="11" t="n"/>
      <c r="S313" s="11" t="n"/>
      <c r="T313" s="11">
        <f>IF(OR(Q313="",R313=""),"",IFERROR(INDEX(LAYOUT!$D$2:$D$80,MATCH(Q313&amp;"|"&amp;R313,LAYOUT!$E$2:$E$80,0)),""))</f>
        <v/>
      </c>
      <c r="U313" s="12">
        <f>IF(AND(Q313="",R313=""),IF(AND(L313="",M313="",V313="",W313=""),IF(OR($D313&lt;&gt;"",$E313&lt;&gt;""),"Belum ditempatkan",""),""),IF(Q313="","CEK JENIS FIXTURE kosong",IF(LEFT(Q313,4)&lt;&gt;"Wall","CEK Fixture 2 hanya Wall",IF(R313="","CEK SHELVING KE kosong",IF(ISNA(MATCH(Q313&amp;"|"&amp;R313,LAYOUT!$E$2:$E$80,0)),"CEK SHELVING KE di luar layout",IF($I313="","CEK SERIES kosong",IF(AND(S313&lt;&gt;"",NOT(ISNUMBER(S313))),"CEK URUTAN DISPLAY harus angka",IF($D313="","Zona STOCK",IF($E313="","CEK SKU DESCRIPTION kosong",IF(COUNTIFS($I$2:$I$500,$I313,Q$2:Q$500,"&lt;&gt;"&amp;Q313,Q$2:Q$500,"&lt;&gt;")&gt;0,"CEK jenis fixture beda dalam satu series","OK"))))))))))</f>
        <v/>
      </c>
      <c r="V313" s="11" t="n"/>
      <c r="W313" s="11" t="n"/>
      <c r="X313" s="11" t="n"/>
      <c r="Y313" s="11">
        <f>IF(OR(V313="",W313=""),"",IFERROR(INDEX(LAYOUT!$D$2:$D$80,MATCH(V313&amp;"|"&amp;W313,LAYOUT!$E$2:$E$80,0)),""))</f>
        <v/>
      </c>
      <c r="Z313" s="12">
        <f>IF(AND(V313="",W313=""),IF(AND(L313="",M313="",Q313="",R313=""),IF(OR($D313&lt;&gt;"",$E313&lt;&gt;""),"Belum ditempatkan",""),""),IF(V313="","CEK JENIS FIXTURE kosong",IF(LEFT(V313,4)&lt;&gt;"Wall","CEK Fixture 3 hanya Wall",IF(W313="","CEK SHELVING KE kosong",IF(ISNA(MATCH(V313&amp;"|"&amp;W313,LAYOUT!$E$2:$E$80,0)),"CEK SHELVING KE di luar layout",IF($I313="","CEK SERIES kosong",IF(AND(X313&lt;&gt;"",NOT(ISNUMBER(X313))),"CEK URUTAN DISPLAY harus angka",IF($D313="","Zona STOCK",IF($E313="","CEK SKU DESCRIPTION kosong",IF(COUNTIFS($I$2:$I$500,$I313,V$2:V$500,"&lt;&gt;"&amp;V313,V$2:V$500,"&lt;&gt;")&gt;0,"CEK jenis fixture beda dalam satu series","OK"))))))))))</f>
        <v/>
      </c>
      <c r="AA313" s="12" t="n"/>
      <c r="AB313" s="11" t="n"/>
      <c r="AC313" s="11" t="n"/>
      <c r="AD313" s="11" t="n"/>
      <c r="AE313" s="11" t="n"/>
      <c r="AF313" s="11" t="n"/>
      <c r="AG313" s="11" t="n"/>
      <c r="AH313" s="12" t="n"/>
      <c r="AI313" s="12" t="n"/>
    </row>
    <row r="314">
      <c r="A314" s="10" t="n"/>
      <c r="B314" s="10" t="n"/>
      <c r="C314" s="10" t="n"/>
      <c r="D314" s="10" t="n"/>
      <c r="E314" s="10" t="n"/>
      <c r="F314" s="10" t="n"/>
      <c r="G314" s="10" t="n"/>
      <c r="H314" s="10" t="n"/>
      <c r="I314" s="10" t="n"/>
      <c r="J314" s="10" t="n"/>
      <c r="K314" s="10" t="n"/>
      <c r="L314" s="11" t="n"/>
      <c r="M314" s="11" t="n"/>
      <c r="N314" s="11" t="n"/>
      <c r="O314" s="11">
        <f>IF(OR(L314="",M314=""),"",IFERROR(INDEX(LAYOUT!$D$2:$D$80,MATCH(L314&amp;"|"&amp;M314,LAYOUT!$E$2:$E$80,0)),""))</f>
        <v/>
      </c>
      <c r="P314" s="12">
        <f>IF(AND(L314="",M314=""),IF(AND(Q314="",R314="",V314="",W314=""),IF(OR($D314&lt;&gt;"",$E314&lt;&gt;""),"Belum ditempatkan",""),""),IF(L314="","CEK JENIS FIXTURE kosong",IF(AND(LEFT(L314,7)&lt;&gt;"Gondola",LEFT(L314,6)&lt;&gt;"Endcap"),"CEK Fixture 1 hanya Gondola atau Endcap",IF(M314="","CEK SHELVING KE kosong",IF(ISNA(MATCH(L314&amp;"|"&amp;M314,LAYOUT!$E$2:$E$80,0)),"CEK SHELVING KE di luar layout",IF($I314="","CEK SERIES kosong",IF(AND(N314&lt;&gt;"",NOT(ISNUMBER(N314))),"CEK URUTAN DISPLAY harus angka",IF($D314="","Zona STOCK",IF($E314="","CEK SKU DESCRIPTION kosong",IF(COUNTIFS($I$2:$I$500,$I314,L$2:L$500,"&lt;&gt;"&amp;L314,L$2:L$500,"&lt;&gt;")&gt;0,"CEK jenis fixture beda dalam satu series","OK"))))))))))</f>
        <v/>
      </c>
      <c r="Q314" s="11" t="n"/>
      <c r="R314" s="11" t="n"/>
      <c r="S314" s="11" t="n"/>
      <c r="T314" s="11">
        <f>IF(OR(Q314="",R314=""),"",IFERROR(INDEX(LAYOUT!$D$2:$D$80,MATCH(Q314&amp;"|"&amp;R314,LAYOUT!$E$2:$E$80,0)),""))</f>
        <v/>
      </c>
      <c r="U314" s="12">
        <f>IF(AND(Q314="",R314=""),IF(AND(L314="",M314="",V314="",W314=""),IF(OR($D314&lt;&gt;"",$E314&lt;&gt;""),"Belum ditempatkan",""),""),IF(Q314="","CEK JENIS FIXTURE kosong",IF(LEFT(Q314,4)&lt;&gt;"Wall","CEK Fixture 2 hanya Wall",IF(R314="","CEK SHELVING KE kosong",IF(ISNA(MATCH(Q314&amp;"|"&amp;R314,LAYOUT!$E$2:$E$80,0)),"CEK SHELVING KE di luar layout",IF($I314="","CEK SERIES kosong",IF(AND(S314&lt;&gt;"",NOT(ISNUMBER(S314))),"CEK URUTAN DISPLAY harus angka",IF($D314="","Zona STOCK",IF($E314="","CEK SKU DESCRIPTION kosong",IF(COUNTIFS($I$2:$I$500,$I314,Q$2:Q$500,"&lt;&gt;"&amp;Q314,Q$2:Q$500,"&lt;&gt;")&gt;0,"CEK jenis fixture beda dalam satu series","OK"))))))))))</f>
        <v/>
      </c>
      <c r="V314" s="11" t="n"/>
      <c r="W314" s="11" t="n"/>
      <c r="X314" s="11" t="n"/>
      <c r="Y314" s="11">
        <f>IF(OR(V314="",W314=""),"",IFERROR(INDEX(LAYOUT!$D$2:$D$80,MATCH(V314&amp;"|"&amp;W314,LAYOUT!$E$2:$E$80,0)),""))</f>
        <v/>
      </c>
      <c r="Z314" s="12">
        <f>IF(AND(V314="",W314=""),IF(AND(L314="",M314="",Q314="",R314=""),IF(OR($D314&lt;&gt;"",$E314&lt;&gt;""),"Belum ditempatkan",""),""),IF(V314="","CEK JENIS FIXTURE kosong",IF(LEFT(V314,4)&lt;&gt;"Wall","CEK Fixture 3 hanya Wall",IF(W314="","CEK SHELVING KE kosong",IF(ISNA(MATCH(V314&amp;"|"&amp;W314,LAYOUT!$E$2:$E$80,0)),"CEK SHELVING KE di luar layout",IF($I314="","CEK SERIES kosong",IF(AND(X314&lt;&gt;"",NOT(ISNUMBER(X314))),"CEK URUTAN DISPLAY harus angka",IF($D314="","Zona STOCK",IF($E314="","CEK SKU DESCRIPTION kosong",IF(COUNTIFS($I$2:$I$500,$I314,V$2:V$500,"&lt;&gt;"&amp;V314,V$2:V$500,"&lt;&gt;")&gt;0,"CEK jenis fixture beda dalam satu series","OK"))))))))))</f>
        <v/>
      </c>
      <c r="AA314" s="12" t="n"/>
      <c r="AB314" s="11" t="n"/>
      <c r="AC314" s="11" t="n"/>
      <c r="AD314" s="11" t="n"/>
      <c r="AE314" s="11" t="n"/>
      <c r="AF314" s="11" t="n"/>
      <c r="AG314" s="11" t="n"/>
      <c r="AH314" s="12" t="n"/>
      <c r="AI314" s="12" t="n"/>
    </row>
    <row r="315">
      <c r="A315" s="10" t="n"/>
      <c r="B315" s="10" t="n"/>
      <c r="C315" s="10" t="n"/>
      <c r="D315" s="10" t="n"/>
      <c r="E315" s="10" t="n"/>
      <c r="F315" s="10" t="n"/>
      <c r="G315" s="10" t="n"/>
      <c r="H315" s="10" t="n"/>
      <c r="I315" s="10" t="n"/>
      <c r="J315" s="10" t="n"/>
      <c r="K315" s="10" t="n"/>
      <c r="L315" s="11" t="n"/>
      <c r="M315" s="11" t="n"/>
      <c r="N315" s="11" t="n"/>
      <c r="O315" s="11">
        <f>IF(OR(L315="",M315=""),"",IFERROR(INDEX(LAYOUT!$D$2:$D$80,MATCH(L315&amp;"|"&amp;M315,LAYOUT!$E$2:$E$80,0)),""))</f>
        <v/>
      </c>
      <c r="P315" s="12">
        <f>IF(AND(L315="",M315=""),IF(AND(Q315="",R315="",V315="",W315=""),IF(OR($D315&lt;&gt;"",$E315&lt;&gt;""),"Belum ditempatkan",""),""),IF(L315="","CEK JENIS FIXTURE kosong",IF(AND(LEFT(L315,7)&lt;&gt;"Gondola",LEFT(L315,6)&lt;&gt;"Endcap"),"CEK Fixture 1 hanya Gondola atau Endcap",IF(M315="","CEK SHELVING KE kosong",IF(ISNA(MATCH(L315&amp;"|"&amp;M315,LAYOUT!$E$2:$E$80,0)),"CEK SHELVING KE di luar layout",IF($I315="","CEK SERIES kosong",IF(AND(N315&lt;&gt;"",NOT(ISNUMBER(N315))),"CEK URUTAN DISPLAY harus angka",IF($D315="","Zona STOCK",IF($E315="","CEK SKU DESCRIPTION kosong",IF(COUNTIFS($I$2:$I$500,$I315,L$2:L$500,"&lt;&gt;"&amp;L315,L$2:L$500,"&lt;&gt;")&gt;0,"CEK jenis fixture beda dalam satu series","OK"))))))))))</f>
        <v/>
      </c>
      <c r="Q315" s="11" t="n"/>
      <c r="R315" s="11" t="n"/>
      <c r="S315" s="11" t="n"/>
      <c r="T315" s="11">
        <f>IF(OR(Q315="",R315=""),"",IFERROR(INDEX(LAYOUT!$D$2:$D$80,MATCH(Q315&amp;"|"&amp;R315,LAYOUT!$E$2:$E$80,0)),""))</f>
        <v/>
      </c>
      <c r="U315" s="12">
        <f>IF(AND(Q315="",R315=""),IF(AND(L315="",M315="",V315="",W315=""),IF(OR($D315&lt;&gt;"",$E315&lt;&gt;""),"Belum ditempatkan",""),""),IF(Q315="","CEK JENIS FIXTURE kosong",IF(LEFT(Q315,4)&lt;&gt;"Wall","CEK Fixture 2 hanya Wall",IF(R315="","CEK SHELVING KE kosong",IF(ISNA(MATCH(Q315&amp;"|"&amp;R315,LAYOUT!$E$2:$E$80,0)),"CEK SHELVING KE di luar layout",IF($I315="","CEK SERIES kosong",IF(AND(S315&lt;&gt;"",NOT(ISNUMBER(S315))),"CEK URUTAN DISPLAY harus angka",IF($D315="","Zona STOCK",IF($E315="","CEK SKU DESCRIPTION kosong",IF(COUNTIFS($I$2:$I$500,$I315,Q$2:Q$500,"&lt;&gt;"&amp;Q315,Q$2:Q$500,"&lt;&gt;")&gt;0,"CEK jenis fixture beda dalam satu series","OK"))))))))))</f>
        <v/>
      </c>
      <c r="V315" s="11" t="n"/>
      <c r="W315" s="11" t="n"/>
      <c r="X315" s="11" t="n"/>
      <c r="Y315" s="11">
        <f>IF(OR(V315="",W315=""),"",IFERROR(INDEX(LAYOUT!$D$2:$D$80,MATCH(V315&amp;"|"&amp;W315,LAYOUT!$E$2:$E$80,0)),""))</f>
        <v/>
      </c>
      <c r="Z315" s="12">
        <f>IF(AND(V315="",W315=""),IF(AND(L315="",M315="",Q315="",R315=""),IF(OR($D315&lt;&gt;"",$E315&lt;&gt;""),"Belum ditempatkan",""),""),IF(V315="","CEK JENIS FIXTURE kosong",IF(LEFT(V315,4)&lt;&gt;"Wall","CEK Fixture 3 hanya Wall",IF(W315="","CEK SHELVING KE kosong",IF(ISNA(MATCH(V315&amp;"|"&amp;W315,LAYOUT!$E$2:$E$80,0)),"CEK SHELVING KE di luar layout",IF($I315="","CEK SERIES kosong",IF(AND(X315&lt;&gt;"",NOT(ISNUMBER(X315))),"CEK URUTAN DISPLAY harus angka",IF($D315="","Zona STOCK",IF($E315="","CEK SKU DESCRIPTION kosong",IF(COUNTIFS($I$2:$I$500,$I315,V$2:V$500,"&lt;&gt;"&amp;V315,V$2:V$500,"&lt;&gt;")&gt;0,"CEK jenis fixture beda dalam satu series","OK"))))))))))</f>
        <v/>
      </c>
      <c r="AA315" s="12" t="n"/>
      <c r="AB315" s="11" t="n"/>
      <c r="AC315" s="11" t="n"/>
      <c r="AD315" s="11" t="n"/>
      <c r="AE315" s="11" t="n"/>
      <c r="AF315" s="11" t="n"/>
      <c r="AG315" s="11" t="n"/>
      <c r="AH315" s="12" t="n"/>
      <c r="AI315" s="12" t="n"/>
    </row>
    <row r="316">
      <c r="A316" s="10" t="n"/>
      <c r="B316" s="10" t="n"/>
      <c r="C316" s="10" t="n"/>
      <c r="D316" s="10" t="n"/>
      <c r="E316" s="10" t="n"/>
      <c r="F316" s="10" t="n"/>
      <c r="G316" s="10" t="n"/>
      <c r="H316" s="10" t="n"/>
      <c r="I316" s="10" t="n"/>
      <c r="J316" s="10" t="n"/>
      <c r="K316" s="10" t="n"/>
      <c r="L316" s="11" t="n"/>
      <c r="M316" s="11" t="n"/>
      <c r="N316" s="11" t="n"/>
      <c r="O316" s="11">
        <f>IF(OR(L316="",M316=""),"",IFERROR(INDEX(LAYOUT!$D$2:$D$80,MATCH(L316&amp;"|"&amp;M316,LAYOUT!$E$2:$E$80,0)),""))</f>
        <v/>
      </c>
      <c r="P316" s="12">
        <f>IF(AND(L316="",M316=""),IF(AND(Q316="",R316="",V316="",W316=""),IF(OR($D316&lt;&gt;"",$E316&lt;&gt;""),"Belum ditempatkan",""),""),IF(L316="","CEK JENIS FIXTURE kosong",IF(AND(LEFT(L316,7)&lt;&gt;"Gondola",LEFT(L316,6)&lt;&gt;"Endcap"),"CEK Fixture 1 hanya Gondola atau Endcap",IF(M316="","CEK SHELVING KE kosong",IF(ISNA(MATCH(L316&amp;"|"&amp;M316,LAYOUT!$E$2:$E$80,0)),"CEK SHELVING KE di luar layout",IF($I316="","CEK SERIES kosong",IF(AND(N316&lt;&gt;"",NOT(ISNUMBER(N316))),"CEK URUTAN DISPLAY harus angka",IF($D316="","Zona STOCK",IF($E316="","CEK SKU DESCRIPTION kosong",IF(COUNTIFS($I$2:$I$500,$I316,L$2:L$500,"&lt;&gt;"&amp;L316,L$2:L$500,"&lt;&gt;")&gt;0,"CEK jenis fixture beda dalam satu series","OK"))))))))))</f>
        <v/>
      </c>
      <c r="Q316" s="11" t="n"/>
      <c r="R316" s="11" t="n"/>
      <c r="S316" s="11" t="n"/>
      <c r="T316" s="11">
        <f>IF(OR(Q316="",R316=""),"",IFERROR(INDEX(LAYOUT!$D$2:$D$80,MATCH(Q316&amp;"|"&amp;R316,LAYOUT!$E$2:$E$80,0)),""))</f>
        <v/>
      </c>
      <c r="U316" s="12">
        <f>IF(AND(Q316="",R316=""),IF(AND(L316="",M316="",V316="",W316=""),IF(OR($D316&lt;&gt;"",$E316&lt;&gt;""),"Belum ditempatkan",""),""),IF(Q316="","CEK JENIS FIXTURE kosong",IF(LEFT(Q316,4)&lt;&gt;"Wall","CEK Fixture 2 hanya Wall",IF(R316="","CEK SHELVING KE kosong",IF(ISNA(MATCH(Q316&amp;"|"&amp;R316,LAYOUT!$E$2:$E$80,0)),"CEK SHELVING KE di luar layout",IF($I316="","CEK SERIES kosong",IF(AND(S316&lt;&gt;"",NOT(ISNUMBER(S316))),"CEK URUTAN DISPLAY harus angka",IF($D316="","Zona STOCK",IF($E316="","CEK SKU DESCRIPTION kosong",IF(COUNTIFS($I$2:$I$500,$I316,Q$2:Q$500,"&lt;&gt;"&amp;Q316,Q$2:Q$500,"&lt;&gt;")&gt;0,"CEK jenis fixture beda dalam satu series","OK"))))))))))</f>
        <v/>
      </c>
      <c r="V316" s="11" t="n"/>
      <c r="W316" s="11" t="n"/>
      <c r="X316" s="11" t="n"/>
      <c r="Y316" s="11">
        <f>IF(OR(V316="",W316=""),"",IFERROR(INDEX(LAYOUT!$D$2:$D$80,MATCH(V316&amp;"|"&amp;W316,LAYOUT!$E$2:$E$80,0)),""))</f>
        <v/>
      </c>
      <c r="Z316" s="12">
        <f>IF(AND(V316="",W316=""),IF(AND(L316="",M316="",Q316="",R316=""),IF(OR($D316&lt;&gt;"",$E316&lt;&gt;""),"Belum ditempatkan",""),""),IF(V316="","CEK JENIS FIXTURE kosong",IF(LEFT(V316,4)&lt;&gt;"Wall","CEK Fixture 3 hanya Wall",IF(W316="","CEK SHELVING KE kosong",IF(ISNA(MATCH(V316&amp;"|"&amp;W316,LAYOUT!$E$2:$E$80,0)),"CEK SHELVING KE di luar layout",IF($I316="","CEK SERIES kosong",IF(AND(X316&lt;&gt;"",NOT(ISNUMBER(X316))),"CEK URUTAN DISPLAY harus angka",IF($D316="","Zona STOCK",IF($E316="","CEK SKU DESCRIPTION kosong",IF(COUNTIFS($I$2:$I$500,$I316,V$2:V$500,"&lt;&gt;"&amp;V316,V$2:V$500,"&lt;&gt;")&gt;0,"CEK jenis fixture beda dalam satu series","OK"))))))))))</f>
        <v/>
      </c>
      <c r="AA316" s="12" t="n"/>
      <c r="AB316" s="11" t="n"/>
      <c r="AC316" s="11" t="n"/>
      <c r="AD316" s="11" t="n"/>
      <c r="AE316" s="11" t="n"/>
      <c r="AF316" s="11" t="n"/>
      <c r="AG316" s="11" t="n"/>
      <c r="AH316" s="12" t="n"/>
      <c r="AI316" s="12" t="n"/>
    </row>
    <row r="317">
      <c r="A317" s="10" t="n"/>
      <c r="B317" s="10" t="n"/>
      <c r="C317" s="10" t="n"/>
      <c r="D317" s="10" t="n"/>
      <c r="E317" s="10" t="n"/>
      <c r="F317" s="10" t="n"/>
      <c r="G317" s="10" t="n"/>
      <c r="H317" s="10" t="n"/>
      <c r="I317" s="10" t="n"/>
      <c r="J317" s="10" t="n"/>
      <c r="K317" s="10" t="n"/>
      <c r="L317" s="11" t="n"/>
      <c r="M317" s="11" t="n"/>
      <c r="N317" s="11" t="n"/>
      <c r="O317" s="11">
        <f>IF(OR(L317="",M317=""),"",IFERROR(INDEX(LAYOUT!$D$2:$D$80,MATCH(L317&amp;"|"&amp;M317,LAYOUT!$E$2:$E$80,0)),""))</f>
        <v/>
      </c>
      <c r="P317" s="12">
        <f>IF(AND(L317="",M317=""),IF(AND(Q317="",R317="",V317="",W317=""),IF(OR($D317&lt;&gt;"",$E317&lt;&gt;""),"Belum ditempatkan",""),""),IF(L317="","CEK JENIS FIXTURE kosong",IF(AND(LEFT(L317,7)&lt;&gt;"Gondola",LEFT(L317,6)&lt;&gt;"Endcap"),"CEK Fixture 1 hanya Gondola atau Endcap",IF(M317="","CEK SHELVING KE kosong",IF(ISNA(MATCH(L317&amp;"|"&amp;M317,LAYOUT!$E$2:$E$80,0)),"CEK SHELVING KE di luar layout",IF($I317="","CEK SERIES kosong",IF(AND(N317&lt;&gt;"",NOT(ISNUMBER(N317))),"CEK URUTAN DISPLAY harus angka",IF($D317="","Zona STOCK",IF($E317="","CEK SKU DESCRIPTION kosong",IF(COUNTIFS($I$2:$I$500,$I317,L$2:L$500,"&lt;&gt;"&amp;L317,L$2:L$500,"&lt;&gt;")&gt;0,"CEK jenis fixture beda dalam satu series","OK"))))))))))</f>
        <v/>
      </c>
      <c r="Q317" s="11" t="n"/>
      <c r="R317" s="11" t="n"/>
      <c r="S317" s="11" t="n"/>
      <c r="T317" s="11">
        <f>IF(OR(Q317="",R317=""),"",IFERROR(INDEX(LAYOUT!$D$2:$D$80,MATCH(Q317&amp;"|"&amp;R317,LAYOUT!$E$2:$E$80,0)),""))</f>
        <v/>
      </c>
      <c r="U317" s="12">
        <f>IF(AND(Q317="",R317=""),IF(AND(L317="",M317="",V317="",W317=""),IF(OR($D317&lt;&gt;"",$E317&lt;&gt;""),"Belum ditempatkan",""),""),IF(Q317="","CEK JENIS FIXTURE kosong",IF(LEFT(Q317,4)&lt;&gt;"Wall","CEK Fixture 2 hanya Wall",IF(R317="","CEK SHELVING KE kosong",IF(ISNA(MATCH(Q317&amp;"|"&amp;R317,LAYOUT!$E$2:$E$80,0)),"CEK SHELVING KE di luar layout",IF($I317="","CEK SERIES kosong",IF(AND(S317&lt;&gt;"",NOT(ISNUMBER(S317))),"CEK URUTAN DISPLAY harus angka",IF($D317="","Zona STOCK",IF($E317="","CEK SKU DESCRIPTION kosong",IF(COUNTIFS($I$2:$I$500,$I317,Q$2:Q$500,"&lt;&gt;"&amp;Q317,Q$2:Q$500,"&lt;&gt;")&gt;0,"CEK jenis fixture beda dalam satu series","OK"))))))))))</f>
        <v/>
      </c>
      <c r="V317" s="11" t="n"/>
      <c r="W317" s="11" t="n"/>
      <c r="X317" s="11" t="n"/>
      <c r="Y317" s="11">
        <f>IF(OR(V317="",W317=""),"",IFERROR(INDEX(LAYOUT!$D$2:$D$80,MATCH(V317&amp;"|"&amp;W317,LAYOUT!$E$2:$E$80,0)),""))</f>
        <v/>
      </c>
      <c r="Z317" s="12">
        <f>IF(AND(V317="",W317=""),IF(AND(L317="",M317="",Q317="",R317=""),IF(OR($D317&lt;&gt;"",$E317&lt;&gt;""),"Belum ditempatkan",""),""),IF(V317="","CEK JENIS FIXTURE kosong",IF(LEFT(V317,4)&lt;&gt;"Wall","CEK Fixture 3 hanya Wall",IF(W317="","CEK SHELVING KE kosong",IF(ISNA(MATCH(V317&amp;"|"&amp;W317,LAYOUT!$E$2:$E$80,0)),"CEK SHELVING KE di luar layout",IF($I317="","CEK SERIES kosong",IF(AND(X317&lt;&gt;"",NOT(ISNUMBER(X317))),"CEK URUTAN DISPLAY harus angka",IF($D317="","Zona STOCK",IF($E317="","CEK SKU DESCRIPTION kosong",IF(COUNTIFS($I$2:$I$500,$I317,V$2:V$500,"&lt;&gt;"&amp;V317,V$2:V$500,"&lt;&gt;")&gt;0,"CEK jenis fixture beda dalam satu series","OK"))))))))))</f>
        <v/>
      </c>
      <c r="AA317" s="12" t="n"/>
      <c r="AB317" s="11" t="n"/>
      <c r="AC317" s="11" t="n"/>
      <c r="AD317" s="11" t="n"/>
      <c r="AE317" s="11" t="n"/>
      <c r="AF317" s="11" t="n"/>
      <c r="AG317" s="11" t="n"/>
      <c r="AH317" s="12" t="n"/>
      <c r="AI317" s="12" t="n"/>
    </row>
    <row r="318">
      <c r="A318" s="10" t="n"/>
      <c r="B318" s="10" t="n"/>
      <c r="C318" s="10" t="n"/>
      <c r="D318" s="10" t="n"/>
      <c r="E318" s="10" t="n"/>
      <c r="F318" s="10" t="n"/>
      <c r="G318" s="10" t="n"/>
      <c r="H318" s="10" t="n"/>
      <c r="I318" s="10" t="n"/>
      <c r="J318" s="10" t="n"/>
      <c r="K318" s="10" t="n"/>
      <c r="L318" s="11" t="n"/>
      <c r="M318" s="11" t="n"/>
      <c r="N318" s="11" t="n"/>
      <c r="O318" s="11">
        <f>IF(OR(L318="",M318=""),"",IFERROR(INDEX(LAYOUT!$D$2:$D$80,MATCH(L318&amp;"|"&amp;M318,LAYOUT!$E$2:$E$80,0)),""))</f>
        <v/>
      </c>
      <c r="P318" s="12">
        <f>IF(AND(L318="",M318=""),IF(AND(Q318="",R318="",V318="",W318=""),IF(OR($D318&lt;&gt;"",$E318&lt;&gt;""),"Belum ditempatkan",""),""),IF(L318="","CEK JENIS FIXTURE kosong",IF(AND(LEFT(L318,7)&lt;&gt;"Gondola",LEFT(L318,6)&lt;&gt;"Endcap"),"CEK Fixture 1 hanya Gondola atau Endcap",IF(M318="","CEK SHELVING KE kosong",IF(ISNA(MATCH(L318&amp;"|"&amp;M318,LAYOUT!$E$2:$E$80,0)),"CEK SHELVING KE di luar layout",IF($I318="","CEK SERIES kosong",IF(AND(N318&lt;&gt;"",NOT(ISNUMBER(N318))),"CEK URUTAN DISPLAY harus angka",IF($D318="","Zona STOCK",IF($E318="","CEK SKU DESCRIPTION kosong",IF(COUNTIFS($I$2:$I$500,$I318,L$2:L$500,"&lt;&gt;"&amp;L318,L$2:L$500,"&lt;&gt;")&gt;0,"CEK jenis fixture beda dalam satu series","OK"))))))))))</f>
        <v/>
      </c>
      <c r="Q318" s="11" t="n"/>
      <c r="R318" s="11" t="n"/>
      <c r="S318" s="11" t="n"/>
      <c r="T318" s="11">
        <f>IF(OR(Q318="",R318=""),"",IFERROR(INDEX(LAYOUT!$D$2:$D$80,MATCH(Q318&amp;"|"&amp;R318,LAYOUT!$E$2:$E$80,0)),""))</f>
        <v/>
      </c>
      <c r="U318" s="12">
        <f>IF(AND(Q318="",R318=""),IF(AND(L318="",M318="",V318="",W318=""),IF(OR($D318&lt;&gt;"",$E318&lt;&gt;""),"Belum ditempatkan",""),""),IF(Q318="","CEK JENIS FIXTURE kosong",IF(LEFT(Q318,4)&lt;&gt;"Wall","CEK Fixture 2 hanya Wall",IF(R318="","CEK SHELVING KE kosong",IF(ISNA(MATCH(Q318&amp;"|"&amp;R318,LAYOUT!$E$2:$E$80,0)),"CEK SHELVING KE di luar layout",IF($I318="","CEK SERIES kosong",IF(AND(S318&lt;&gt;"",NOT(ISNUMBER(S318))),"CEK URUTAN DISPLAY harus angka",IF($D318="","Zona STOCK",IF($E318="","CEK SKU DESCRIPTION kosong",IF(COUNTIFS($I$2:$I$500,$I318,Q$2:Q$500,"&lt;&gt;"&amp;Q318,Q$2:Q$500,"&lt;&gt;")&gt;0,"CEK jenis fixture beda dalam satu series","OK"))))))))))</f>
        <v/>
      </c>
      <c r="V318" s="11" t="n"/>
      <c r="W318" s="11" t="n"/>
      <c r="X318" s="11" t="n"/>
      <c r="Y318" s="11">
        <f>IF(OR(V318="",W318=""),"",IFERROR(INDEX(LAYOUT!$D$2:$D$80,MATCH(V318&amp;"|"&amp;W318,LAYOUT!$E$2:$E$80,0)),""))</f>
        <v/>
      </c>
      <c r="Z318" s="12">
        <f>IF(AND(V318="",W318=""),IF(AND(L318="",M318="",Q318="",R318=""),IF(OR($D318&lt;&gt;"",$E318&lt;&gt;""),"Belum ditempatkan",""),""),IF(V318="","CEK JENIS FIXTURE kosong",IF(LEFT(V318,4)&lt;&gt;"Wall","CEK Fixture 3 hanya Wall",IF(W318="","CEK SHELVING KE kosong",IF(ISNA(MATCH(V318&amp;"|"&amp;W318,LAYOUT!$E$2:$E$80,0)),"CEK SHELVING KE di luar layout",IF($I318="","CEK SERIES kosong",IF(AND(X318&lt;&gt;"",NOT(ISNUMBER(X318))),"CEK URUTAN DISPLAY harus angka",IF($D318="","Zona STOCK",IF($E318="","CEK SKU DESCRIPTION kosong",IF(COUNTIFS($I$2:$I$500,$I318,V$2:V$500,"&lt;&gt;"&amp;V318,V$2:V$500,"&lt;&gt;")&gt;0,"CEK jenis fixture beda dalam satu series","OK"))))))))))</f>
        <v/>
      </c>
      <c r="AA318" s="12" t="n"/>
      <c r="AB318" s="11" t="n"/>
      <c r="AC318" s="11" t="n"/>
      <c r="AD318" s="11" t="n"/>
      <c r="AE318" s="11" t="n"/>
      <c r="AF318" s="11" t="n"/>
      <c r="AG318" s="11" t="n"/>
      <c r="AH318" s="12" t="n"/>
      <c r="AI318" s="12" t="n"/>
    </row>
    <row r="319">
      <c r="A319" s="10" t="n"/>
      <c r="B319" s="10" t="n"/>
      <c r="C319" s="10" t="n"/>
      <c r="D319" s="10" t="n"/>
      <c r="E319" s="10" t="n"/>
      <c r="F319" s="10" t="n"/>
      <c r="G319" s="10" t="n"/>
      <c r="H319" s="10" t="n"/>
      <c r="I319" s="10" t="n"/>
      <c r="J319" s="10" t="n"/>
      <c r="K319" s="10" t="n"/>
      <c r="L319" s="11" t="n"/>
      <c r="M319" s="11" t="n"/>
      <c r="N319" s="11" t="n"/>
      <c r="O319" s="11">
        <f>IF(OR(L319="",M319=""),"",IFERROR(INDEX(LAYOUT!$D$2:$D$80,MATCH(L319&amp;"|"&amp;M319,LAYOUT!$E$2:$E$80,0)),""))</f>
        <v/>
      </c>
      <c r="P319" s="12">
        <f>IF(AND(L319="",M319=""),IF(AND(Q319="",R319="",V319="",W319=""),IF(OR($D319&lt;&gt;"",$E319&lt;&gt;""),"Belum ditempatkan",""),""),IF(L319="","CEK JENIS FIXTURE kosong",IF(AND(LEFT(L319,7)&lt;&gt;"Gondola",LEFT(L319,6)&lt;&gt;"Endcap"),"CEK Fixture 1 hanya Gondola atau Endcap",IF(M319="","CEK SHELVING KE kosong",IF(ISNA(MATCH(L319&amp;"|"&amp;M319,LAYOUT!$E$2:$E$80,0)),"CEK SHELVING KE di luar layout",IF($I319="","CEK SERIES kosong",IF(AND(N319&lt;&gt;"",NOT(ISNUMBER(N319))),"CEK URUTAN DISPLAY harus angka",IF($D319="","Zona STOCK",IF($E319="","CEK SKU DESCRIPTION kosong",IF(COUNTIFS($I$2:$I$500,$I319,L$2:L$500,"&lt;&gt;"&amp;L319,L$2:L$500,"&lt;&gt;")&gt;0,"CEK jenis fixture beda dalam satu series","OK"))))))))))</f>
        <v/>
      </c>
      <c r="Q319" s="11" t="n"/>
      <c r="R319" s="11" t="n"/>
      <c r="S319" s="11" t="n"/>
      <c r="T319" s="11">
        <f>IF(OR(Q319="",R319=""),"",IFERROR(INDEX(LAYOUT!$D$2:$D$80,MATCH(Q319&amp;"|"&amp;R319,LAYOUT!$E$2:$E$80,0)),""))</f>
        <v/>
      </c>
      <c r="U319" s="12">
        <f>IF(AND(Q319="",R319=""),IF(AND(L319="",M319="",V319="",W319=""),IF(OR($D319&lt;&gt;"",$E319&lt;&gt;""),"Belum ditempatkan",""),""),IF(Q319="","CEK JENIS FIXTURE kosong",IF(LEFT(Q319,4)&lt;&gt;"Wall","CEK Fixture 2 hanya Wall",IF(R319="","CEK SHELVING KE kosong",IF(ISNA(MATCH(Q319&amp;"|"&amp;R319,LAYOUT!$E$2:$E$80,0)),"CEK SHELVING KE di luar layout",IF($I319="","CEK SERIES kosong",IF(AND(S319&lt;&gt;"",NOT(ISNUMBER(S319))),"CEK URUTAN DISPLAY harus angka",IF($D319="","Zona STOCK",IF($E319="","CEK SKU DESCRIPTION kosong",IF(COUNTIFS($I$2:$I$500,$I319,Q$2:Q$500,"&lt;&gt;"&amp;Q319,Q$2:Q$500,"&lt;&gt;")&gt;0,"CEK jenis fixture beda dalam satu series","OK"))))))))))</f>
        <v/>
      </c>
      <c r="V319" s="11" t="n"/>
      <c r="W319" s="11" t="n"/>
      <c r="X319" s="11" t="n"/>
      <c r="Y319" s="11">
        <f>IF(OR(V319="",W319=""),"",IFERROR(INDEX(LAYOUT!$D$2:$D$80,MATCH(V319&amp;"|"&amp;W319,LAYOUT!$E$2:$E$80,0)),""))</f>
        <v/>
      </c>
      <c r="Z319" s="12">
        <f>IF(AND(V319="",W319=""),IF(AND(L319="",M319="",Q319="",R319=""),IF(OR($D319&lt;&gt;"",$E319&lt;&gt;""),"Belum ditempatkan",""),""),IF(V319="","CEK JENIS FIXTURE kosong",IF(LEFT(V319,4)&lt;&gt;"Wall","CEK Fixture 3 hanya Wall",IF(W319="","CEK SHELVING KE kosong",IF(ISNA(MATCH(V319&amp;"|"&amp;W319,LAYOUT!$E$2:$E$80,0)),"CEK SHELVING KE di luar layout",IF($I319="","CEK SERIES kosong",IF(AND(X319&lt;&gt;"",NOT(ISNUMBER(X319))),"CEK URUTAN DISPLAY harus angka",IF($D319="","Zona STOCK",IF($E319="","CEK SKU DESCRIPTION kosong",IF(COUNTIFS($I$2:$I$500,$I319,V$2:V$500,"&lt;&gt;"&amp;V319,V$2:V$500,"&lt;&gt;")&gt;0,"CEK jenis fixture beda dalam satu series","OK"))))))))))</f>
        <v/>
      </c>
      <c r="AA319" s="12" t="n"/>
      <c r="AB319" s="11" t="n"/>
      <c r="AC319" s="11" t="n"/>
      <c r="AD319" s="11" t="n"/>
      <c r="AE319" s="11" t="n"/>
      <c r="AF319" s="11" t="n"/>
      <c r="AG319" s="11" t="n"/>
      <c r="AH319" s="12" t="n"/>
      <c r="AI319" s="12" t="n"/>
    </row>
    <row r="320">
      <c r="A320" s="10" t="n"/>
      <c r="B320" s="10" t="n"/>
      <c r="C320" s="10" t="n"/>
      <c r="D320" s="10" t="n"/>
      <c r="E320" s="10" t="n"/>
      <c r="F320" s="10" t="n"/>
      <c r="G320" s="10" t="n"/>
      <c r="H320" s="10" t="n"/>
      <c r="I320" s="10" t="n"/>
      <c r="J320" s="10" t="n"/>
      <c r="K320" s="10" t="n"/>
      <c r="L320" s="11" t="n"/>
      <c r="M320" s="11" t="n"/>
      <c r="N320" s="11" t="n"/>
      <c r="O320" s="11">
        <f>IF(OR(L320="",M320=""),"",IFERROR(INDEX(LAYOUT!$D$2:$D$80,MATCH(L320&amp;"|"&amp;M320,LAYOUT!$E$2:$E$80,0)),""))</f>
        <v/>
      </c>
      <c r="P320" s="12">
        <f>IF(AND(L320="",M320=""),IF(AND(Q320="",R320="",V320="",W320=""),IF(OR($D320&lt;&gt;"",$E320&lt;&gt;""),"Belum ditempatkan",""),""),IF(L320="","CEK JENIS FIXTURE kosong",IF(AND(LEFT(L320,7)&lt;&gt;"Gondola",LEFT(L320,6)&lt;&gt;"Endcap"),"CEK Fixture 1 hanya Gondola atau Endcap",IF(M320="","CEK SHELVING KE kosong",IF(ISNA(MATCH(L320&amp;"|"&amp;M320,LAYOUT!$E$2:$E$80,0)),"CEK SHELVING KE di luar layout",IF($I320="","CEK SERIES kosong",IF(AND(N320&lt;&gt;"",NOT(ISNUMBER(N320))),"CEK URUTAN DISPLAY harus angka",IF($D320="","Zona STOCK",IF($E320="","CEK SKU DESCRIPTION kosong",IF(COUNTIFS($I$2:$I$500,$I320,L$2:L$500,"&lt;&gt;"&amp;L320,L$2:L$500,"&lt;&gt;")&gt;0,"CEK jenis fixture beda dalam satu series","OK"))))))))))</f>
        <v/>
      </c>
      <c r="Q320" s="11" t="n"/>
      <c r="R320" s="11" t="n"/>
      <c r="S320" s="11" t="n"/>
      <c r="T320" s="11">
        <f>IF(OR(Q320="",R320=""),"",IFERROR(INDEX(LAYOUT!$D$2:$D$80,MATCH(Q320&amp;"|"&amp;R320,LAYOUT!$E$2:$E$80,0)),""))</f>
        <v/>
      </c>
      <c r="U320" s="12">
        <f>IF(AND(Q320="",R320=""),IF(AND(L320="",M320="",V320="",W320=""),IF(OR($D320&lt;&gt;"",$E320&lt;&gt;""),"Belum ditempatkan",""),""),IF(Q320="","CEK JENIS FIXTURE kosong",IF(LEFT(Q320,4)&lt;&gt;"Wall","CEK Fixture 2 hanya Wall",IF(R320="","CEK SHELVING KE kosong",IF(ISNA(MATCH(Q320&amp;"|"&amp;R320,LAYOUT!$E$2:$E$80,0)),"CEK SHELVING KE di luar layout",IF($I320="","CEK SERIES kosong",IF(AND(S320&lt;&gt;"",NOT(ISNUMBER(S320))),"CEK URUTAN DISPLAY harus angka",IF($D320="","Zona STOCK",IF($E320="","CEK SKU DESCRIPTION kosong",IF(COUNTIFS($I$2:$I$500,$I320,Q$2:Q$500,"&lt;&gt;"&amp;Q320,Q$2:Q$500,"&lt;&gt;")&gt;0,"CEK jenis fixture beda dalam satu series","OK"))))))))))</f>
        <v/>
      </c>
      <c r="V320" s="11" t="n"/>
      <c r="W320" s="11" t="n"/>
      <c r="X320" s="11" t="n"/>
      <c r="Y320" s="11">
        <f>IF(OR(V320="",W320=""),"",IFERROR(INDEX(LAYOUT!$D$2:$D$80,MATCH(V320&amp;"|"&amp;W320,LAYOUT!$E$2:$E$80,0)),""))</f>
        <v/>
      </c>
      <c r="Z320" s="12">
        <f>IF(AND(V320="",W320=""),IF(AND(L320="",M320="",Q320="",R320=""),IF(OR($D320&lt;&gt;"",$E320&lt;&gt;""),"Belum ditempatkan",""),""),IF(V320="","CEK JENIS FIXTURE kosong",IF(LEFT(V320,4)&lt;&gt;"Wall","CEK Fixture 3 hanya Wall",IF(W320="","CEK SHELVING KE kosong",IF(ISNA(MATCH(V320&amp;"|"&amp;W320,LAYOUT!$E$2:$E$80,0)),"CEK SHELVING KE di luar layout",IF($I320="","CEK SERIES kosong",IF(AND(X320&lt;&gt;"",NOT(ISNUMBER(X320))),"CEK URUTAN DISPLAY harus angka",IF($D320="","Zona STOCK",IF($E320="","CEK SKU DESCRIPTION kosong",IF(COUNTIFS($I$2:$I$500,$I320,V$2:V$500,"&lt;&gt;"&amp;V320,V$2:V$500,"&lt;&gt;")&gt;0,"CEK jenis fixture beda dalam satu series","OK"))))))))))</f>
        <v/>
      </c>
      <c r="AA320" s="12" t="n"/>
      <c r="AB320" s="11" t="n"/>
      <c r="AC320" s="11" t="n"/>
      <c r="AD320" s="11" t="n"/>
      <c r="AE320" s="11" t="n"/>
      <c r="AF320" s="11" t="n"/>
      <c r="AG320" s="11" t="n"/>
      <c r="AH320" s="12" t="n"/>
      <c r="AI320" s="12" t="n"/>
    </row>
    <row r="321">
      <c r="A321" s="10" t="n"/>
      <c r="B321" s="10" t="n"/>
      <c r="C321" s="10" t="n"/>
      <c r="D321" s="10" t="n"/>
      <c r="E321" s="10" t="n"/>
      <c r="F321" s="10" t="n"/>
      <c r="G321" s="10" t="n"/>
      <c r="H321" s="10" t="n"/>
      <c r="I321" s="10" t="n"/>
      <c r="J321" s="10" t="n"/>
      <c r="K321" s="10" t="n"/>
      <c r="L321" s="11" t="n"/>
      <c r="M321" s="11" t="n"/>
      <c r="N321" s="11" t="n"/>
      <c r="O321" s="11">
        <f>IF(OR(L321="",M321=""),"",IFERROR(INDEX(LAYOUT!$D$2:$D$80,MATCH(L321&amp;"|"&amp;M321,LAYOUT!$E$2:$E$80,0)),""))</f>
        <v/>
      </c>
      <c r="P321" s="12">
        <f>IF(AND(L321="",M321=""),IF(AND(Q321="",R321="",V321="",W321=""),IF(OR($D321&lt;&gt;"",$E321&lt;&gt;""),"Belum ditempatkan",""),""),IF(L321="","CEK JENIS FIXTURE kosong",IF(AND(LEFT(L321,7)&lt;&gt;"Gondola",LEFT(L321,6)&lt;&gt;"Endcap"),"CEK Fixture 1 hanya Gondola atau Endcap",IF(M321="","CEK SHELVING KE kosong",IF(ISNA(MATCH(L321&amp;"|"&amp;M321,LAYOUT!$E$2:$E$80,0)),"CEK SHELVING KE di luar layout",IF($I321="","CEK SERIES kosong",IF(AND(N321&lt;&gt;"",NOT(ISNUMBER(N321))),"CEK URUTAN DISPLAY harus angka",IF($D321="","Zona STOCK",IF($E321="","CEK SKU DESCRIPTION kosong",IF(COUNTIFS($I$2:$I$500,$I321,L$2:L$500,"&lt;&gt;"&amp;L321,L$2:L$500,"&lt;&gt;")&gt;0,"CEK jenis fixture beda dalam satu series","OK"))))))))))</f>
        <v/>
      </c>
      <c r="Q321" s="11" t="n"/>
      <c r="R321" s="11" t="n"/>
      <c r="S321" s="11" t="n"/>
      <c r="T321" s="11">
        <f>IF(OR(Q321="",R321=""),"",IFERROR(INDEX(LAYOUT!$D$2:$D$80,MATCH(Q321&amp;"|"&amp;R321,LAYOUT!$E$2:$E$80,0)),""))</f>
        <v/>
      </c>
      <c r="U321" s="12">
        <f>IF(AND(Q321="",R321=""),IF(AND(L321="",M321="",V321="",W321=""),IF(OR($D321&lt;&gt;"",$E321&lt;&gt;""),"Belum ditempatkan",""),""),IF(Q321="","CEK JENIS FIXTURE kosong",IF(LEFT(Q321,4)&lt;&gt;"Wall","CEK Fixture 2 hanya Wall",IF(R321="","CEK SHELVING KE kosong",IF(ISNA(MATCH(Q321&amp;"|"&amp;R321,LAYOUT!$E$2:$E$80,0)),"CEK SHELVING KE di luar layout",IF($I321="","CEK SERIES kosong",IF(AND(S321&lt;&gt;"",NOT(ISNUMBER(S321))),"CEK URUTAN DISPLAY harus angka",IF($D321="","Zona STOCK",IF($E321="","CEK SKU DESCRIPTION kosong",IF(COUNTIFS($I$2:$I$500,$I321,Q$2:Q$500,"&lt;&gt;"&amp;Q321,Q$2:Q$500,"&lt;&gt;")&gt;0,"CEK jenis fixture beda dalam satu series","OK"))))))))))</f>
        <v/>
      </c>
      <c r="V321" s="11" t="n"/>
      <c r="W321" s="11" t="n"/>
      <c r="X321" s="11" t="n"/>
      <c r="Y321" s="11">
        <f>IF(OR(V321="",W321=""),"",IFERROR(INDEX(LAYOUT!$D$2:$D$80,MATCH(V321&amp;"|"&amp;W321,LAYOUT!$E$2:$E$80,0)),""))</f>
        <v/>
      </c>
      <c r="Z321" s="12">
        <f>IF(AND(V321="",W321=""),IF(AND(L321="",M321="",Q321="",R321=""),IF(OR($D321&lt;&gt;"",$E321&lt;&gt;""),"Belum ditempatkan",""),""),IF(V321="","CEK JENIS FIXTURE kosong",IF(LEFT(V321,4)&lt;&gt;"Wall","CEK Fixture 3 hanya Wall",IF(W321="","CEK SHELVING KE kosong",IF(ISNA(MATCH(V321&amp;"|"&amp;W321,LAYOUT!$E$2:$E$80,0)),"CEK SHELVING KE di luar layout",IF($I321="","CEK SERIES kosong",IF(AND(X321&lt;&gt;"",NOT(ISNUMBER(X321))),"CEK URUTAN DISPLAY harus angka",IF($D321="","Zona STOCK",IF($E321="","CEK SKU DESCRIPTION kosong",IF(COUNTIFS($I$2:$I$500,$I321,V$2:V$500,"&lt;&gt;"&amp;V321,V$2:V$500,"&lt;&gt;")&gt;0,"CEK jenis fixture beda dalam satu series","OK"))))))))))</f>
        <v/>
      </c>
      <c r="AA321" s="12" t="n"/>
      <c r="AB321" s="11" t="n"/>
      <c r="AC321" s="11" t="n"/>
      <c r="AD321" s="11" t="n"/>
      <c r="AE321" s="11" t="n"/>
      <c r="AF321" s="11" t="n"/>
      <c r="AG321" s="11" t="n"/>
      <c r="AH321" s="12" t="n"/>
      <c r="AI321" s="12" t="n"/>
    </row>
    <row r="322">
      <c r="A322" s="10" t="n"/>
      <c r="B322" s="10" t="n"/>
      <c r="C322" s="10" t="n"/>
      <c r="D322" s="10" t="n"/>
      <c r="E322" s="10" t="n"/>
      <c r="F322" s="10" t="n"/>
      <c r="G322" s="10" t="n"/>
      <c r="H322" s="10" t="n"/>
      <c r="I322" s="10" t="n"/>
      <c r="J322" s="10" t="n"/>
      <c r="K322" s="10" t="n"/>
      <c r="L322" s="11" t="n"/>
      <c r="M322" s="11" t="n"/>
      <c r="N322" s="11" t="n"/>
      <c r="O322" s="11">
        <f>IF(OR(L322="",M322=""),"",IFERROR(INDEX(LAYOUT!$D$2:$D$80,MATCH(L322&amp;"|"&amp;M322,LAYOUT!$E$2:$E$80,0)),""))</f>
        <v/>
      </c>
      <c r="P322" s="12">
        <f>IF(AND(L322="",M322=""),IF(AND(Q322="",R322="",V322="",W322=""),IF(OR($D322&lt;&gt;"",$E322&lt;&gt;""),"Belum ditempatkan",""),""),IF(L322="","CEK JENIS FIXTURE kosong",IF(AND(LEFT(L322,7)&lt;&gt;"Gondola",LEFT(L322,6)&lt;&gt;"Endcap"),"CEK Fixture 1 hanya Gondola atau Endcap",IF(M322="","CEK SHELVING KE kosong",IF(ISNA(MATCH(L322&amp;"|"&amp;M322,LAYOUT!$E$2:$E$80,0)),"CEK SHELVING KE di luar layout",IF($I322="","CEK SERIES kosong",IF(AND(N322&lt;&gt;"",NOT(ISNUMBER(N322))),"CEK URUTAN DISPLAY harus angka",IF($D322="","Zona STOCK",IF($E322="","CEK SKU DESCRIPTION kosong",IF(COUNTIFS($I$2:$I$500,$I322,L$2:L$500,"&lt;&gt;"&amp;L322,L$2:L$500,"&lt;&gt;")&gt;0,"CEK jenis fixture beda dalam satu series","OK"))))))))))</f>
        <v/>
      </c>
      <c r="Q322" s="11" t="n"/>
      <c r="R322" s="11" t="n"/>
      <c r="S322" s="11" t="n"/>
      <c r="T322" s="11">
        <f>IF(OR(Q322="",R322=""),"",IFERROR(INDEX(LAYOUT!$D$2:$D$80,MATCH(Q322&amp;"|"&amp;R322,LAYOUT!$E$2:$E$80,0)),""))</f>
        <v/>
      </c>
      <c r="U322" s="12">
        <f>IF(AND(Q322="",R322=""),IF(AND(L322="",M322="",V322="",W322=""),IF(OR($D322&lt;&gt;"",$E322&lt;&gt;""),"Belum ditempatkan",""),""),IF(Q322="","CEK JENIS FIXTURE kosong",IF(LEFT(Q322,4)&lt;&gt;"Wall","CEK Fixture 2 hanya Wall",IF(R322="","CEK SHELVING KE kosong",IF(ISNA(MATCH(Q322&amp;"|"&amp;R322,LAYOUT!$E$2:$E$80,0)),"CEK SHELVING KE di luar layout",IF($I322="","CEK SERIES kosong",IF(AND(S322&lt;&gt;"",NOT(ISNUMBER(S322))),"CEK URUTAN DISPLAY harus angka",IF($D322="","Zona STOCK",IF($E322="","CEK SKU DESCRIPTION kosong",IF(COUNTIFS($I$2:$I$500,$I322,Q$2:Q$500,"&lt;&gt;"&amp;Q322,Q$2:Q$500,"&lt;&gt;")&gt;0,"CEK jenis fixture beda dalam satu series","OK"))))))))))</f>
        <v/>
      </c>
      <c r="V322" s="11" t="n"/>
      <c r="W322" s="11" t="n"/>
      <c r="X322" s="11" t="n"/>
      <c r="Y322" s="11">
        <f>IF(OR(V322="",W322=""),"",IFERROR(INDEX(LAYOUT!$D$2:$D$80,MATCH(V322&amp;"|"&amp;W322,LAYOUT!$E$2:$E$80,0)),""))</f>
        <v/>
      </c>
      <c r="Z322" s="12">
        <f>IF(AND(V322="",W322=""),IF(AND(L322="",M322="",Q322="",R322=""),IF(OR($D322&lt;&gt;"",$E322&lt;&gt;""),"Belum ditempatkan",""),""),IF(V322="","CEK JENIS FIXTURE kosong",IF(LEFT(V322,4)&lt;&gt;"Wall","CEK Fixture 3 hanya Wall",IF(W322="","CEK SHELVING KE kosong",IF(ISNA(MATCH(V322&amp;"|"&amp;W322,LAYOUT!$E$2:$E$80,0)),"CEK SHELVING KE di luar layout",IF($I322="","CEK SERIES kosong",IF(AND(X322&lt;&gt;"",NOT(ISNUMBER(X322))),"CEK URUTAN DISPLAY harus angka",IF($D322="","Zona STOCK",IF($E322="","CEK SKU DESCRIPTION kosong",IF(COUNTIFS($I$2:$I$500,$I322,V$2:V$500,"&lt;&gt;"&amp;V322,V$2:V$500,"&lt;&gt;")&gt;0,"CEK jenis fixture beda dalam satu series","OK"))))))))))</f>
        <v/>
      </c>
      <c r="AA322" s="12" t="n"/>
      <c r="AB322" s="11" t="n"/>
      <c r="AC322" s="11" t="n"/>
      <c r="AD322" s="11" t="n"/>
      <c r="AE322" s="11" t="n"/>
      <c r="AF322" s="11" t="n"/>
      <c r="AG322" s="11" t="n"/>
      <c r="AH322" s="12" t="n"/>
      <c r="AI322" s="12" t="n"/>
    </row>
    <row r="323">
      <c r="A323" s="10" t="n"/>
      <c r="B323" s="10" t="n"/>
      <c r="C323" s="10" t="n"/>
      <c r="D323" s="10" t="n"/>
      <c r="E323" s="10" t="n"/>
      <c r="F323" s="10" t="n"/>
      <c r="G323" s="10" t="n"/>
      <c r="H323" s="10" t="n"/>
      <c r="I323" s="10" t="n"/>
      <c r="J323" s="10" t="n"/>
      <c r="K323" s="10" t="n"/>
      <c r="L323" s="11" t="n"/>
      <c r="M323" s="11" t="n"/>
      <c r="N323" s="11" t="n"/>
      <c r="O323" s="11">
        <f>IF(OR(L323="",M323=""),"",IFERROR(INDEX(LAYOUT!$D$2:$D$80,MATCH(L323&amp;"|"&amp;M323,LAYOUT!$E$2:$E$80,0)),""))</f>
        <v/>
      </c>
      <c r="P323" s="12">
        <f>IF(AND(L323="",M323=""),IF(AND(Q323="",R323="",V323="",W323=""),IF(OR($D323&lt;&gt;"",$E323&lt;&gt;""),"Belum ditempatkan",""),""),IF(L323="","CEK JENIS FIXTURE kosong",IF(AND(LEFT(L323,7)&lt;&gt;"Gondola",LEFT(L323,6)&lt;&gt;"Endcap"),"CEK Fixture 1 hanya Gondola atau Endcap",IF(M323="","CEK SHELVING KE kosong",IF(ISNA(MATCH(L323&amp;"|"&amp;M323,LAYOUT!$E$2:$E$80,0)),"CEK SHELVING KE di luar layout",IF($I323="","CEK SERIES kosong",IF(AND(N323&lt;&gt;"",NOT(ISNUMBER(N323))),"CEK URUTAN DISPLAY harus angka",IF($D323="","Zona STOCK",IF($E323="","CEK SKU DESCRIPTION kosong",IF(COUNTIFS($I$2:$I$500,$I323,L$2:L$500,"&lt;&gt;"&amp;L323,L$2:L$500,"&lt;&gt;")&gt;0,"CEK jenis fixture beda dalam satu series","OK"))))))))))</f>
        <v/>
      </c>
      <c r="Q323" s="11" t="n"/>
      <c r="R323" s="11" t="n"/>
      <c r="S323" s="11" t="n"/>
      <c r="T323" s="11">
        <f>IF(OR(Q323="",R323=""),"",IFERROR(INDEX(LAYOUT!$D$2:$D$80,MATCH(Q323&amp;"|"&amp;R323,LAYOUT!$E$2:$E$80,0)),""))</f>
        <v/>
      </c>
      <c r="U323" s="12">
        <f>IF(AND(Q323="",R323=""),IF(AND(L323="",M323="",V323="",W323=""),IF(OR($D323&lt;&gt;"",$E323&lt;&gt;""),"Belum ditempatkan",""),""),IF(Q323="","CEK JENIS FIXTURE kosong",IF(LEFT(Q323,4)&lt;&gt;"Wall","CEK Fixture 2 hanya Wall",IF(R323="","CEK SHELVING KE kosong",IF(ISNA(MATCH(Q323&amp;"|"&amp;R323,LAYOUT!$E$2:$E$80,0)),"CEK SHELVING KE di luar layout",IF($I323="","CEK SERIES kosong",IF(AND(S323&lt;&gt;"",NOT(ISNUMBER(S323))),"CEK URUTAN DISPLAY harus angka",IF($D323="","Zona STOCK",IF($E323="","CEK SKU DESCRIPTION kosong",IF(COUNTIFS($I$2:$I$500,$I323,Q$2:Q$500,"&lt;&gt;"&amp;Q323,Q$2:Q$500,"&lt;&gt;")&gt;0,"CEK jenis fixture beda dalam satu series","OK"))))))))))</f>
        <v/>
      </c>
      <c r="V323" s="11" t="n"/>
      <c r="W323" s="11" t="n"/>
      <c r="X323" s="11" t="n"/>
      <c r="Y323" s="11">
        <f>IF(OR(V323="",W323=""),"",IFERROR(INDEX(LAYOUT!$D$2:$D$80,MATCH(V323&amp;"|"&amp;W323,LAYOUT!$E$2:$E$80,0)),""))</f>
        <v/>
      </c>
      <c r="Z323" s="12">
        <f>IF(AND(V323="",W323=""),IF(AND(L323="",M323="",Q323="",R323=""),IF(OR($D323&lt;&gt;"",$E323&lt;&gt;""),"Belum ditempatkan",""),""),IF(V323="","CEK JENIS FIXTURE kosong",IF(LEFT(V323,4)&lt;&gt;"Wall","CEK Fixture 3 hanya Wall",IF(W323="","CEK SHELVING KE kosong",IF(ISNA(MATCH(V323&amp;"|"&amp;W323,LAYOUT!$E$2:$E$80,0)),"CEK SHELVING KE di luar layout",IF($I323="","CEK SERIES kosong",IF(AND(X323&lt;&gt;"",NOT(ISNUMBER(X323))),"CEK URUTAN DISPLAY harus angka",IF($D323="","Zona STOCK",IF($E323="","CEK SKU DESCRIPTION kosong",IF(COUNTIFS($I$2:$I$500,$I323,V$2:V$500,"&lt;&gt;"&amp;V323,V$2:V$500,"&lt;&gt;")&gt;0,"CEK jenis fixture beda dalam satu series","OK"))))))))))</f>
        <v/>
      </c>
      <c r="AA323" s="12" t="n"/>
      <c r="AB323" s="11" t="n"/>
      <c r="AC323" s="11" t="n"/>
      <c r="AD323" s="11" t="n"/>
      <c r="AE323" s="11" t="n"/>
      <c r="AF323" s="11" t="n"/>
      <c r="AG323" s="11" t="n"/>
      <c r="AH323" s="12" t="n"/>
      <c r="AI323" s="12" t="n"/>
    </row>
    <row r="324">
      <c r="A324" s="10" t="n"/>
      <c r="B324" s="10" t="n"/>
      <c r="C324" s="10" t="n"/>
      <c r="D324" s="10" t="n"/>
      <c r="E324" s="10" t="n"/>
      <c r="F324" s="10" t="n"/>
      <c r="G324" s="10" t="n"/>
      <c r="H324" s="10" t="n"/>
      <c r="I324" s="10" t="n"/>
      <c r="J324" s="10" t="n"/>
      <c r="K324" s="10" t="n"/>
      <c r="L324" s="11" t="n"/>
      <c r="M324" s="11" t="n"/>
      <c r="N324" s="11" t="n"/>
      <c r="O324" s="11">
        <f>IF(OR(L324="",M324=""),"",IFERROR(INDEX(LAYOUT!$D$2:$D$80,MATCH(L324&amp;"|"&amp;M324,LAYOUT!$E$2:$E$80,0)),""))</f>
        <v/>
      </c>
      <c r="P324" s="12">
        <f>IF(AND(L324="",M324=""),IF(AND(Q324="",R324="",V324="",W324=""),IF(OR($D324&lt;&gt;"",$E324&lt;&gt;""),"Belum ditempatkan",""),""),IF(L324="","CEK JENIS FIXTURE kosong",IF(AND(LEFT(L324,7)&lt;&gt;"Gondola",LEFT(L324,6)&lt;&gt;"Endcap"),"CEK Fixture 1 hanya Gondola atau Endcap",IF(M324="","CEK SHELVING KE kosong",IF(ISNA(MATCH(L324&amp;"|"&amp;M324,LAYOUT!$E$2:$E$80,0)),"CEK SHELVING KE di luar layout",IF($I324="","CEK SERIES kosong",IF(AND(N324&lt;&gt;"",NOT(ISNUMBER(N324))),"CEK URUTAN DISPLAY harus angka",IF($D324="","Zona STOCK",IF($E324="","CEK SKU DESCRIPTION kosong",IF(COUNTIFS($I$2:$I$500,$I324,L$2:L$500,"&lt;&gt;"&amp;L324,L$2:L$500,"&lt;&gt;")&gt;0,"CEK jenis fixture beda dalam satu series","OK"))))))))))</f>
        <v/>
      </c>
      <c r="Q324" s="11" t="n"/>
      <c r="R324" s="11" t="n"/>
      <c r="S324" s="11" t="n"/>
      <c r="T324" s="11">
        <f>IF(OR(Q324="",R324=""),"",IFERROR(INDEX(LAYOUT!$D$2:$D$80,MATCH(Q324&amp;"|"&amp;R324,LAYOUT!$E$2:$E$80,0)),""))</f>
        <v/>
      </c>
      <c r="U324" s="12">
        <f>IF(AND(Q324="",R324=""),IF(AND(L324="",M324="",V324="",W324=""),IF(OR($D324&lt;&gt;"",$E324&lt;&gt;""),"Belum ditempatkan",""),""),IF(Q324="","CEK JENIS FIXTURE kosong",IF(LEFT(Q324,4)&lt;&gt;"Wall","CEK Fixture 2 hanya Wall",IF(R324="","CEK SHELVING KE kosong",IF(ISNA(MATCH(Q324&amp;"|"&amp;R324,LAYOUT!$E$2:$E$80,0)),"CEK SHELVING KE di luar layout",IF($I324="","CEK SERIES kosong",IF(AND(S324&lt;&gt;"",NOT(ISNUMBER(S324))),"CEK URUTAN DISPLAY harus angka",IF($D324="","Zona STOCK",IF($E324="","CEK SKU DESCRIPTION kosong",IF(COUNTIFS($I$2:$I$500,$I324,Q$2:Q$500,"&lt;&gt;"&amp;Q324,Q$2:Q$500,"&lt;&gt;")&gt;0,"CEK jenis fixture beda dalam satu series","OK"))))))))))</f>
        <v/>
      </c>
      <c r="V324" s="11" t="n"/>
      <c r="W324" s="11" t="n"/>
      <c r="X324" s="11" t="n"/>
      <c r="Y324" s="11">
        <f>IF(OR(V324="",W324=""),"",IFERROR(INDEX(LAYOUT!$D$2:$D$80,MATCH(V324&amp;"|"&amp;W324,LAYOUT!$E$2:$E$80,0)),""))</f>
        <v/>
      </c>
      <c r="Z324" s="12">
        <f>IF(AND(V324="",W324=""),IF(AND(L324="",M324="",Q324="",R324=""),IF(OR($D324&lt;&gt;"",$E324&lt;&gt;""),"Belum ditempatkan",""),""),IF(V324="","CEK JENIS FIXTURE kosong",IF(LEFT(V324,4)&lt;&gt;"Wall","CEK Fixture 3 hanya Wall",IF(W324="","CEK SHELVING KE kosong",IF(ISNA(MATCH(V324&amp;"|"&amp;W324,LAYOUT!$E$2:$E$80,0)),"CEK SHELVING KE di luar layout",IF($I324="","CEK SERIES kosong",IF(AND(X324&lt;&gt;"",NOT(ISNUMBER(X324))),"CEK URUTAN DISPLAY harus angka",IF($D324="","Zona STOCK",IF($E324="","CEK SKU DESCRIPTION kosong",IF(COUNTIFS($I$2:$I$500,$I324,V$2:V$500,"&lt;&gt;"&amp;V324,V$2:V$500,"&lt;&gt;")&gt;0,"CEK jenis fixture beda dalam satu series","OK"))))))))))</f>
        <v/>
      </c>
      <c r="AA324" s="12" t="n"/>
      <c r="AB324" s="11" t="n"/>
      <c r="AC324" s="11" t="n"/>
      <c r="AD324" s="11" t="n"/>
      <c r="AE324" s="11" t="n"/>
      <c r="AF324" s="11" t="n"/>
      <c r="AG324" s="11" t="n"/>
      <c r="AH324" s="12" t="n"/>
      <c r="AI324" s="12" t="n"/>
    </row>
    <row r="325">
      <c r="A325" s="10" t="n"/>
      <c r="B325" s="10" t="n"/>
      <c r="C325" s="10" t="n"/>
      <c r="D325" s="10" t="n"/>
      <c r="E325" s="10" t="n"/>
      <c r="F325" s="10" t="n"/>
      <c r="G325" s="10" t="n"/>
      <c r="H325" s="10" t="n"/>
      <c r="I325" s="10" t="n"/>
      <c r="J325" s="10" t="n"/>
      <c r="K325" s="10" t="n"/>
      <c r="L325" s="11" t="n"/>
      <c r="M325" s="11" t="n"/>
      <c r="N325" s="11" t="n"/>
      <c r="O325" s="11">
        <f>IF(OR(L325="",M325=""),"",IFERROR(INDEX(LAYOUT!$D$2:$D$80,MATCH(L325&amp;"|"&amp;M325,LAYOUT!$E$2:$E$80,0)),""))</f>
        <v/>
      </c>
      <c r="P325" s="12">
        <f>IF(AND(L325="",M325=""),IF(AND(Q325="",R325="",V325="",W325=""),IF(OR($D325&lt;&gt;"",$E325&lt;&gt;""),"Belum ditempatkan",""),""),IF(L325="","CEK JENIS FIXTURE kosong",IF(AND(LEFT(L325,7)&lt;&gt;"Gondola",LEFT(L325,6)&lt;&gt;"Endcap"),"CEK Fixture 1 hanya Gondola atau Endcap",IF(M325="","CEK SHELVING KE kosong",IF(ISNA(MATCH(L325&amp;"|"&amp;M325,LAYOUT!$E$2:$E$80,0)),"CEK SHELVING KE di luar layout",IF($I325="","CEK SERIES kosong",IF(AND(N325&lt;&gt;"",NOT(ISNUMBER(N325))),"CEK URUTAN DISPLAY harus angka",IF($D325="","Zona STOCK",IF($E325="","CEK SKU DESCRIPTION kosong",IF(COUNTIFS($I$2:$I$500,$I325,L$2:L$500,"&lt;&gt;"&amp;L325,L$2:L$500,"&lt;&gt;")&gt;0,"CEK jenis fixture beda dalam satu series","OK"))))))))))</f>
        <v/>
      </c>
      <c r="Q325" s="11" t="n"/>
      <c r="R325" s="11" t="n"/>
      <c r="S325" s="11" t="n"/>
      <c r="T325" s="11">
        <f>IF(OR(Q325="",R325=""),"",IFERROR(INDEX(LAYOUT!$D$2:$D$80,MATCH(Q325&amp;"|"&amp;R325,LAYOUT!$E$2:$E$80,0)),""))</f>
        <v/>
      </c>
      <c r="U325" s="12">
        <f>IF(AND(Q325="",R325=""),IF(AND(L325="",M325="",V325="",W325=""),IF(OR($D325&lt;&gt;"",$E325&lt;&gt;""),"Belum ditempatkan",""),""),IF(Q325="","CEK JENIS FIXTURE kosong",IF(LEFT(Q325,4)&lt;&gt;"Wall","CEK Fixture 2 hanya Wall",IF(R325="","CEK SHELVING KE kosong",IF(ISNA(MATCH(Q325&amp;"|"&amp;R325,LAYOUT!$E$2:$E$80,0)),"CEK SHELVING KE di luar layout",IF($I325="","CEK SERIES kosong",IF(AND(S325&lt;&gt;"",NOT(ISNUMBER(S325))),"CEK URUTAN DISPLAY harus angka",IF($D325="","Zona STOCK",IF($E325="","CEK SKU DESCRIPTION kosong",IF(COUNTIFS($I$2:$I$500,$I325,Q$2:Q$500,"&lt;&gt;"&amp;Q325,Q$2:Q$500,"&lt;&gt;")&gt;0,"CEK jenis fixture beda dalam satu series","OK"))))))))))</f>
        <v/>
      </c>
      <c r="V325" s="11" t="n"/>
      <c r="W325" s="11" t="n"/>
      <c r="X325" s="11" t="n"/>
      <c r="Y325" s="11">
        <f>IF(OR(V325="",W325=""),"",IFERROR(INDEX(LAYOUT!$D$2:$D$80,MATCH(V325&amp;"|"&amp;W325,LAYOUT!$E$2:$E$80,0)),""))</f>
        <v/>
      </c>
      <c r="Z325" s="12">
        <f>IF(AND(V325="",W325=""),IF(AND(L325="",M325="",Q325="",R325=""),IF(OR($D325&lt;&gt;"",$E325&lt;&gt;""),"Belum ditempatkan",""),""),IF(V325="","CEK JENIS FIXTURE kosong",IF(LEFT(V325,4)&lt;&gt;"Wall","CEK Fixture 3 hanya Wall",IF(W325="","CEK SHELVING KE kosong",IF(ISNA(MATCH(V325&amp;"|"&amp;W325,LAYOUT!$E$2:$E$80,0)),"CEK SHELVING KE di luar layout",IF($I325="","CEK SERIES kosong",IF(AND(X325&lt;&gt;"",NOT(ISNUMBER(X325))),"CEK URUTAN DISPLAY harus angka",IF($D325="","Zona STOCK",IF($E325="","CEK SKU DESCRIPTION kosong",IF(COUNTIFS($I$2:$I$500,$I325,V$2:V$500,"&lt;&gt;"&amp;V325,V$2:V$500,"&lt;&gt;")&gt;0,"CEK jenis fixture beda dalam satu series","OK"))))))))))</f>
        <v/>
      </c>
      <c r="AA325" s="12" t="n"/>
      <c r="AB325" s="11" t="n"/>
      <c r="AC325" s="11" t="n"/>
      <c r="AD325" s="11" t="n"/>
      <c r="AE325" s="11" t="n"/>
      <c r="AF325" s="11" t="n"/>
      <c r="AG325" s="11" t="n"/>
      <c r="AH325" s="12" t="n"/>
      <c r="AI325" s="12" t="n"/>
    </row>
    <row r="326">
      <c r="A326" s="10" t="n"/>
      <c r="B326" s="10" t="n"/>
      <c r="C326" s="10" t="n"/>
      <c r="D326" s="10" t="n"/>
      <c r="E326" s="10" t="n"/>
      <c r="F326" s="10" t="n"/>
      <c r="G326" s="10" t="n"/>
      <c r="H326" s="10" t="n"/>
      <c r="I326" s="10" t="n"/>
      <c r="J326" s="10" t="n"/>
      <c r="K326" s="10" t="n"/>
      <c r="L326" s="11" t="n"/>
      <c r="M326" s="11" t="n"/>
      <c r="N326" s="11" t="n"/>
      <c r="O326" s="11">
        <f>IF(OR(L326="",M326=""),"",IFERROR(INDEX(LAYOUT!$D$2:$D$80,MATCH(L326&amp;"|"&amp;M326,LAYOUT!$E$2:$E$80,0)),""))</f>
        <v/>
      </c>
      <c r="P326" s="12">
        <f>IF(AND(L326="",M326=""),IF(AND(Q326="",R326="",V326="",W326=""),IF(OR($D326&lt;&gt;"",$E326&lt;&gt;""),"Belum ditempatkan",""),""),IF(L326="","CEK JENIS FIXTURE kosong",IF(AND(LEFT(L326,7)&lt;&gt;"Gondola",LEFT(L326,6)&lt;&gt;"Endcap"),"CEK Fixture 1 hanya Gondola atau Endcap",IF(M326="","CEK SHELVING KE kosong",IF(ISNA(MATCH(L326&amp;"|"&amp;M326,LAYOUT!$E$2:$E$80,0)),"CEK SHELVING KE di luar layout",IF($I326="","CEK SERIES kosong",IF(AND(N326&lt;&gt;"",NOT(ISNUMBER(N326))),"CEK URUTAN DISPLAY harus angka",IF($D326="","Zona STOCK",IF($E326="","CEK SKU DESCRIPTION kosong",IF(COUNTIFS($I$2:$I$500,$I326,L$2:L$500,"&lt;&gt;"&amp;L326,L$2:L$500,"&lt;&gt;")&gt;0,"CEK jenis fixture beda dalam satu series","OK"))))))))))</f>
        <v/>
      </c>
      <c r="Q326" s="11" t="n"/>
      <c r="R326" s="11" t="n"/>
      <c r="S326" s="11" t="n"/>
      <c r="T326" s="11">
        <f>IF(OR(Q326="",R326=""),"",IFERROR(INDEX(LAYOUT!$D$2:$D$80,MATCH(Q326&amp;"|"&amp;R326,LAYOUT!$E$2:$E$80,0)),""))</f>
        <v/>
      </c>
      <c r="U326" s="12">
        <f>IF(AND(Q326="",R326=""),IF(AND(L326="",M326="",V326="",W326=""),IF(OR($D326&lt;&gt;"",$E326&lt;&gt;""),"Belum ditempatkan",""),""),IF(Q326="","CEK JENIS FIXTURE kosong",IF(LEFT(Q326,4)&lt;&gt;"Wall","CEK Fixture 2 hanya Wall",IF(R326="","CEK SHELVING KE kosong",IF(ISNA(MATCH(Q326&amp;"|"&amp;R326,LAYOUT!$E$2:$E$80,0)),"CEK SHELVING KE di luar layout",IF($I326="","CEK SERIES kosong",IF(AND(S326&lt;&gt;"",NOT(ISNUMBER(S326))),"CEK URUTAN DISPLAY harus angka",IF($D326="","Zona STOCK",IF($E326="","CEK SKU DESCRIPTION kosong",IF(COUNTIFS($I$2:$I$500,$I326,Q$2:Q$500,"&lt;&gt;"&amp;Q326,Q$2:Q$500,"&lt;&gt;")&gt;0,"CEK jenis fixture beda dalam satu series","OK"))))))))))</f>
        <v/>
      </c>
      <c r="V326" s="11" t="n"/>
      <c r="W326" s="11" t="n"/>
      <c r="X326" s="11" t="n"/>
      <c r="Y326" s="11">
        <f>IF(OR(V326="",W326=""),"",IFERROR(INDEX(LAYOUT!$D$2:$D$80,MATCH(V326&amp;"|"&amp;W326,LAYOUT!$E$2:$E$80,0)),""))</f>
        <v/>
      </c>
      <c r="Z326" s="12">
        <f>IF(AND(V326="",W326=""),IF(AND(L326="",M326="",Q326="",R326=""),IF(OR($D326&lt;&gt;"",$E326&lt;&gt;""),"Belum ditempatkan",""),""),IF(V326="","CEK JENIS FIXTURE kosong",IF(LEFT(V326,4)&lt;&gt;"Wall","CEK Fixture 3 hanya Wall",IF(W326="","CEK SHELVING KE kosong",IF(ISNA(MATCH(V326&amp;"|"&amp;W326,LAYOUT!$E$2:$E$80,0)),"CEK SHELVING KE di luar layout",IF($I326="","CEK SERIES kosong",IF(AND(X326&lt;&gt;"",NOT(ISNUMBER(X326))),"CEK URUTAN DISPLAY harus angka",IF($D326="","Zona STOCK",IF($E326="","CEK SKU DESCRIPTION kosong",IF(COUNTIFS($I$2:$I$500,$I326,V$2:V$500,"&lt;&gt;"&amp;V326,V$2:V$500,"&lt;&gt;")&gt;0,"CEK jenis fixture beda dalam satu series","OK"))))))))))</f>
        <v/>
      </c>
      <c r="AA326" s="12" t="n"/>
      <c r="AB326" s="11" t="n"/>
      <c r="AC326" s="11" t="n"/>
      <c r="AD326" s="11" t="n"/>
      <c r="AE326" s="11" t="n"/>
      <c r="AF326" s="11" t="n"/>
      <c r="AG326" s="11" t="n"/>
      <c r="AH326" s="12" t="n"/>
      <c r="AI326" s="12" t="n"/>
    </row>
    <row r="327">
      <c r="A327" s="10" t="n"/>
      <c r="B327" s="10" t="n"/>
      <c r="C327" s="10" t="n"/>
      <c r="D327" s="10" t="n"/>
      <c r="E327" s="10" t="n"/>
      <c r="F327" s="10" t="n"/>
      <c r="G327" s="10" t="n"/>
      <c r="H327" s="10" t="n"/>
      <c r="I327" s="10" t="n"/>
      <c r="J327" s="10" t="n"/>
      <c r="K327" s="10" t="n"/>
      <c r="L327" s="11" t="n"/>
      <c r="M327" s="11" t="n"/>
      <c r="N327" s="11" t="n"/>
      <c r="O327" s="11">
        <f>IF(OR(L327="",M327=""),"",IFERROR(INDEX(LAYOUT!$D$2:$D$80,MATCH(L327&amp;"|"&amp;M327,LAYOUT!$E$2:$E$80,0)),""))</f>
        <v/>
      </c>
      <c r="P327" s="12">
        <f>IF(AND(L327="",M327=""),IF(AND(Q327="",R327="",V327="",W327=""),IF(OR($D327&lt;&gt;"",$E327&lt;&gt;""),"Belum ditempatkan",""),""),IF(L327="","CEK JENIS FIXTURE kosong",IF(AND(LEFT(L327,7)&lt;&gt;"Gondola",LEFT(L327,6)&lt;&gt;"Endcap"),"CEK Fixture 1 hanya Gondola atau Endcap",IF(M327="","CEK SHELVING KE kosong",IF(ISNA(MATCH(L327&amp;"|"&amp;M327,LAYOUT!$E$2:$E$80,0)),"CEK SHELVING KE di luar layout",IF($I327="","CEK SERIES kosong",IF(AND(N327&lt;&gt;"",NOT(ISNUMBER(N327))),"CEK URUTAN DISPLAY harus angka",IF($D327="","Zona STOCK",IF($E327="","CEK SKU DESCRIPTION kosong",IF(COUNTIFS($I$2:$I$500,$I327,L$2:L$500,"&lt;&gt;"&amp;L327,L$2:L$500,"&lt;&gt;")&gt;0,"CEK jenis fixture beda dalam satu series","OK"))))))))))</f>
        <v/>
      </c>
      <c r="Q327" s="11" t="n"/>
      <c r="R327" s="11" t="n"/>
      <c r="S327" s="11" t="n"/>
      <c r="T327" s="11">
        <f>IF(OR(Q327="",R327=""),"",IFERROR(INDEX(LAYOUT!$D$2:$D$80,MATCH(Q327&amp;"|"&amp;R327,LAYOUT!$E$2:$E$80,0)),""))</f>
        <v/>
      </c>
      <c r="U327" s="12">
        <f>IF(AND(Q327="",R327=""),IF(AND(L327="",M327="",V327="",W327=""),IF(OR($D327&lt;&gt;"",$E327&lt;&gt;""),"Belum ditempatkan",""),""),IF(Q327="","CEK JENIS FIXTURE kosong",IF(LEFT(Q327,4)&lt;&gt;"Wall","CEK Fixture 2 hanya Wall",IF(R327="","CEK SHELVING KE kosong",IF(ISNA(MATCH(Q327&amp;"|"&amp;R327,LAYOUT!$E$2:$E$80,0)),"CEK SHELVING KE di luar layout",IF($I327="","CEK SERIES kosong",IF(AND(S327&lt;&gt;"",NOT(ISNUMBER(S327))),"CEK URUTAN DISPLAY harus angka",IF($D327="","Zona STOCK",IF($E327="","CEK SKU DESCRIPTION kosong",IF(COUNTIFS($I$2:$I$500,$I327,Q$2:Q$500,"&lt;&gt;"&amp;Q327,Q$2:Q$500,"&lt;&gt;")&gt;0,"CEK jenis fixture beda dalam satu series","OK"))))))))))</f>
        <v/>
      </c>
      <c r="V327" s="11" t="n"/>
      <c r="W327" s="11" t="n"/>
      <c r="X327" s="11" t="n"/>
      <c r="Y327" s="11">
        <f>IF(OR(V327="",W327=""),"",IFERROR(INDEX(LAYOUT!$D$2:$D$80,MATCH(V327&amp;"|"&amp;W327,LAYOUT!$E$2:$E$80,0)),""))</f>
        <v/>
      </c>
      <c r="Z327" s="12">
        <f>IF(AND(V327="",W327=""),IF(AND(L327="",M327="",Q327="",R327=""),IF(OR($D327&lt;&gt;"",$E327&lt;&gt;""),"Belum ditempatkan",""),""),IF(V327="","CEK JENIS FIXTURE kosong",IF(LEFT(V327,4)&lt;&gt;"Wall","CEK Fixture 3 hanya Wall",IF(W327="","CEK SHELVING KE kosong",IF(ISNA(MATCH(V327&amp;"|"&amp;W327,LAYOUT!$E$2:$E$80,0)),"CEK SHELVING KE di luar layout",IF($I327="","CEK SERIES kosong",IF(AND(X327&lt;&gt;"",NOT(ISNUMBER(X327))),"CEK URUTAN DISPLAY harus angka",IF($D327="","Zona STOCK",IF($E327="","CEK SKU DESCRIPTION kosong",IF(COUNTIFS($I$2:$I$500,$I327,V$2:V$500,"&lt;&gt;"&amp;V327,V$2:V$500,"&lt;&gt;")&gt;0,"CEK jenis fixture beda dalam satu series","OK"))))))))))</f>
        <v/>
      </c>
      <c r="AA327" s="12" t="n"/>
      <c r="AB327" s="11" t="n"/>
      <c r="AC327" s="11" t="n"/>
      <c r="AD327" s="11" t="n"/>
      <c r="AE327" s="11" t="n"/>
      <c r="AF327" s="11" t="n"/>
      <c r="AG327" s="11" t="n"/>
      <c r="AH327" s="12" t="n"/>
      <c r="AI327" s="12" t="n"/>
    </row>
    <row r="328">
      <c r="A328" s="10" t="n"/>
      <c r="B328" s="10" t="n"/>
      <c r="C328" s="10" t="n"/>
      <c r="D328" s="10" t="n"/>
      <c r="E328" s="10" t="n"/>
      <c r="F328" s="10" t="n"/>
      <c r="G328" s="10" t="n"/>
      <c r="H328" s="10" t="n"/>
      <c r="I328" s="10" t="n"/>
      <c r="J328" s="10" t="n"/>
      <c r="K328" s="10" t="n"/>
      <c r="L328" s="11" t="n"/>
      <c r="M328" s="11" t="n"/>
      <c r="N328" s="11" t="n"/>
      <c r="O328" s="11">
        <f>IF(OR(L328="",M328=""),"",IFERROR(INDEX(LAYOUT!$D$2:$D$80,MATCH(L328&amp;"|"&amp;M328,LAYOUT!$E$2:$E$80,0)),""))</f>
        <v/>
      </c>
      <c r="P328" s="12">
        <f>IF(AND(L328="",M328=""),IF(AND(Q328="",R328="",V328="",W328=""),IF(OR($D328&lt;&gt;"",$E328&lt;&gt;""),"Belum ditempatkan",""),""),IF(L328="","CEK JENIS FIXTURE kosong",IF(AND(LEFT(L328,7)&lt;&gt;"Gondola",LEFT(L328,6)&lt;&gt;"Endcap"),"CEK Fixture 1 hanya Gondola atau Endcap",IF(M328="","CEK SHELVING KE kosong",IF(ISNA(MATCH(L328&amp;"|"&amp;M328,LAYOUT!$E$2:$E$80,0)),"CEK SHELVING KE di luar layout",IF($I328="","CEK SERIES kosong",IF(AND(N328&lt;&gt;"",NOT(ISNUMBER(N328))),"CEK URUTAN DISPLAY harus angka",IF($D328="","Zona STOCK",IF($E328="","CEK SKU DESCRIPTION kosong",IF(COUNTIFS($I$2:$I$500,$I328,L$2:L$500,"&lt;&gt;"&amp;L328,L$2:L$500,"&lt;&gt;")&gt;0,"CEK jenis fixture beda dalam satu series","OK"))))))))))</f>
        <v/>
      </c>
      <c r="Q328" s="11" t="n"/>
      <c r="R328" s="11" t="n"/>
      <c r="S328" s="11" t="n"/>
      <c r="T328" s="11">
        <f>IF(OR(Q328="",R328=""),"",IFERROR(INDEX(LAYOUT!$D$2:$D$80,MATCH(Q328&amp;"|"&amp;R328,LAYOUT!$E$2:$E$80,0)),""))</f>
        <v/>
      </c>
      <c r="U328" s="12">
        <f>IF(AND(Q328="",R328=""),IF(AND(L328="",M328="",V328="",W328=""),IF(OR($D328&lt;&gt;"",$E328&lt;&gt;""),"Belum ditempatkan",""),""),IF(Q328="","CEK JENIS FIXTURE kosong",IF(LEFT(Q328,4)&lt;&gt;"Wall","CEK Fixture 2 hanya Wall",IF(R328="","CEK SHELVING KE kosong",IF(ISNA(MATCH(Q328&amp;"|"&amp;R328,LAYOUT!$E$2:$E$80,0)),"CEK SHELVING KE di luar layout",IF($I328="","CEK SERIES kosong",IF(AND(S328&lt;&gt;"",NOT(ISNUMBER(S328))),"CEK URUTAN DISPLAY harus angka",IF($D328="","Zona STOCK",IF($E328="","CEK SKU DESCRIPTION kosong",IF(COUNTIFS($I$2:$I$500,$I328,Q$2:Q$500,"&lt;&gt;"&amp;Q328,Q$2:Q$500,"&lt;&gt;")&gt;0,"CEK jenis fixture beda dalam satu series","OK"))))))))))</f>
        <v/>
      </c>
      <c r="V328" s="11" t="n"/>
      <c r="W328" s="11" t="n"/>
      <c r="X328" s="11" t="n"/>
      <c r="Y328" s="11">
        <f>IF(OR(V328="",W328=""),"",IFERROR(INDEX(LAYOUT!$D$2:$D$80,MATCH(V328&amp;"|"&amp;W328,LAYOUT!$E$2:$E$80,0)),""))</f>
        <v/>
      </c>
      <c r="Z328" s="12">
        <f>IF(AND(V328="",W328=""),IF(AND(L328="",M328="",Q328="",R328=""),IF(OR($D328&lt;&gt;"",$E328&lt;&gt;""),"Belum ditempatkan",""),""),IF(V328="","CEK JENIS FIXTURE kosong",IF(LEFT(V328,4)&lt;&gt;"Wall","CEK Fixture 3 hanya Wall",IF(W328="","CEK SHELVING KE kosong",IF(ISNA(MATCH(V328&amp;"|"&amp;W328,LAYOUT!$E$2:$E$80,0)),"CEK SHELVING KE di luar layout",IF($I328="","CEK SERIES kosong",IF(AND(X328&lt;&gt;"",NOT(ISNUMBER(X328))),"CEK URUTAN DISPLAY harus angka",IF($D328="","Zona STOCK",IF($E328="","CEK SKU DESCRIPTION kosong",IF(COUNTIFS($I$2:$I$500,$I328,V$2:V$500,"&lt;&gt;"&amp;V328,V$2:V$500,"&lt;&gt;")&gt;0,"CEK jenis fixture beda dalam satu series","OK"))))))))))</f>
        <v/>
      </c>
      <c r="AA328" s="12" t="n"/>
      <c r="AB328" s="11" t="n"/>
      <c r="AC328" s="11" t="n"/>
      <c r="AD328" s="11" t="n"/>
      <c r="AE328" s="11" t="n"/>
      <c r="AF328" s="11" t="n"/>
      <c r="AG328" s="11" t="n"/>
      <c r="AH328" s="12" t="n"/>
      <c r="AI328" s="12" t="n"/>
    </row>
    <row r="329">
      <c r="A329" s="10" t="n"/>
      <c r="B329" s="10" t="n"/>
      <c r="C329" s="10" t="n"/>
      <c r="D329" s="10" t="n"/>
      <c r="E329" s="10" t="n"/>
      <c r="F329" s="10" t="n"/>
      <c r="G329" s="10" t="n"/>
      <c r="H329" s="10" t="n"/>
      <c r="I329" s="10" t="n"/>
      <c r="J329" s="10" t="n"/>
      <c r="K329" s="10" t="n"/>
      <c r="L329" s="11" t="n"/>
      <c r="M329" s="11" t="n"/>
      <c r="N329" s="11" t="n"/>
      <c r="O329" s="11">
        <f>IF(OR(L329="",M329=""),"",IFERROR(INDEX(LAYOUT!$D$2:$D$80,MATCH(L329&amp;"|"&amp;M329,LAYOUT!$E$2:$E$80,0)),""))</f>
        <v/>
      </c>
      <c r="P329" s="12">
        <f>IF(AND(L329="",M329=""),IF(AND(Q329="",R329="",V329="",W329=""),IF(OR($D329&lt;&gt;"",$E329&lt;&gt;""),"Belum ditempatkan",""),""),IF(L329="","CEK JENIS FIXTURE kosong",IF(AND(LEFT(L329,7)&lt;&gt;"Gondola",LEFT(L329,6)&lt;&gt;"Endcap"),"CEK Fixture 1 hanya Gondola atau Endcap",IF(M329="","CEK SHELVING KE kosong",IF(ISNA(MATCH(L329&amp;"|"&amp;M329,LAYOUT!$E$2:$E$80,0)),"CEK SHELVING KE di luar layout",IF($I329="","CEK SERIES kosong",IF(AND(N329&lt;&gt;"",NOT(ISNUMBER(N329))),"CEK URUTAN DISPLAY harus angka",IF($D329="","Zona STOCK",IF($E329="","CEK SKU DESCRIPTION kosong",IF(COUNTIFS($I$2:$I$500,$I329,L$2:L$500,"&lt;&gt;"&amp;L329,L$2:L$500,"&lt;&gt;")&gt;0,"CEK jenis fixture beda dalam satu series","OK"))))))))))</f>
        <v/>
      </c>
      <c r="Q329" s="11" t="n"/>
      <c r="R329" s="11" t="n"/>
      <c r="S329" s="11" t="n"/>
      <c r="T329" s="11">
        <f>IF(OR(Q329="",R329=""),"",IFERROR(INDEX(LAYOUT!$D$2:$D$80,MATCH(Q329&amp;"|"&amp;R329,LAYOUT!$E$2:$E$80,0)),""))</f>
        <v/>
      </c>
      <c r="U329" s="12">
        <f>IF(AND(Q329="",R329=""),IF(AND(L329="",M329="",V329="",W329=""),IF(OR($D329&lt;&gt;"",$E329&lt;&gt;""),"Belum ditempatkan",""),""),IF(Q329="","CEK JENIS FIXTURE kosong",IF(LEFT(Q329,4)&lt;&gt;"Wall","CEK Fixture 2 hanya Wall",IF(R329="","CEK SHELVING KE kosong",IF(ISNA(MATCH(Q329&amp;"|"&amp;R329,LAYOUT!$E$2:$E$80,0)),"CEK SHELVING KE di luar layout",IF($I329="","CEK SERIES kosong",IF(AND(S329&lt;&gt;"",NOT(ISNUMBER(S329))),"CEK URUTAN DISPLAY harus angka",IF($D329="","Zona STOCK",IF($E329="","CEK SKU DESCRIPTION kosong",IF(COUNTIFS($I$2:$I$500,$I329,Q$2:Q$500,"&lt;&gt;"&amp;Q329,Q$2:Q$500,"&lt;&gt;")&gt;0,"CEK jenis fixture beda dalam satu series","OK"))))))))))</f>
        <v/>
      </c>
      <c r="V329" s="11" t="n"/>
      <c r="W329" s="11" t="n"/>
      <c r="X329" s="11" t="n"/>
      <c r="Y329" s="11">
        <f>IF(OR(V329="",W329=""),"",IFERROR(INDEX(LAYOUT!$D$2:$D$80,MATCH(V329&amp;"|"&amp;W329,LAYOUT!$E$2:$E$80,0)),""))</f>
        <v/>
      </c>
      <c r="Z329" s="12">
        <f>IF(AND(V329="",W329=""),IF(AND(L329="",M329="",Q329="",R329=""),IF(OR($D329&lt;&gt;"",$E329&lt;&gt;""),"Belum ditempatkan",""),""),IF(V329="","CEK JENIS FIXTURE kosong",IF(LEFT(V329,4)&lt;&gt;"Wall","CEK Fixture 3 hanya Wall",IF(W329="","CEK SHELVING KE kosong",IF(ISNA(MATCH(V329&amp;"|"&amp;W329,LAYOUT!$E$2:$E$80,0)),"CEK SHELVING KE di luar layout",IF($I329="","CEK SERIES kosong",IF(AND(X329&lt;&gt;"",NOT(ISNUMBER(X329))),"CEK URUTAN DISPLAY harus angka",IF($D329="","Zona STOCK",IF($E329="","CEK SKU DESCRIPTION kosong",IF(COUNTIFS($I$2:$I$500,$I329,V$2:V$500,"&lt;&gt;"&amp;V329,V$2:V$500,"&lt;&gt;")&gt;0,"CEK jenis fixture beda dalam satu series","OK"))))))))))</f>
        <v/>
      </c>
      <c r="AA329" s="12" t="n"/>
      <c r="AB329" s="11" t="n"/>
      <c r="AC329" s="11" t="n"/>
      <c r="AD329" s="11" t="n"/>
      <c r="AE329" s="11" t="n"/>
      <c r="AF329" s="11" t="n"/>
      <c r="AG329" s="11" t="n"/>
      <c r="AH329" s="12" t="n"/>
      <c r="AI329" s="12" t="n"/>
    </row>
    <row r="330">
      <c r="A330" s="10" t="n"/>
      <c r="B330" s="10" t="n"/>
      <c r="C330" s="10" t="n"/>
      <c r="D330" s="10" t="n"/>
      <c r="E330" s="10" t="n"/>
      <c r="F330" s="10" t="n"/>
      <c r="G330" s="10" t="n"/>
      <c r="H330" s="10" t="n"/>
      <c r="I330" s="10" t="n"/>
      <c r="J330" s="10" t="n"/>
      <c r="K330" s="10" t="n"/>
      <c r="L330" s="11" t="n"/>
      <c r="M330" s="11" t="n"/>
      <c r="N330" s="11" t="n"/>
      <c r="O330" s="11">
        <f>IF(OR(L330="",M330=""),"",IFERROR(INDEX(LAYOUT!$D$2:$D$80,MATCH(L330&amp;"|"&amp;M330,LAYOUT!$E$2:$E$80,0)),""))</f>
        <v/>
      </c>
      <c r="P330" s="12">
        <f>IF(AND(L330="",M330=""),IF(AND(Q330="",R330="",V330="",W330=""),IF(OR($D330&lt;&gt;"",$E330&lt;&gt;""),"Belum ditempatkan",""),""),IF(L330="","CEK JENIS FIXTURE kosong",IF(AND(LEFT(L330,7)&lt;&gt;"Gondola",LEFT(L330,6)&lt;&gt;"Endcap"),"CEK Fixture 1 hanya Gondola atau Endcap",IF(M330="","CEK SHELVING KE kosong",IF(ISNA(MATCH(L330&amp;"|"&amp;M330,LAYOUT!$E$2:$E$80,0)),"CEK SHELVING KE di luar layout",IF($I330="","CEK SERIES kosong",IF(AND(N330&lt;&gt;"",NOT(ISNUMBER(N330))),"CEK URUTAN DISPLAY harus angka",IF($D330="","Zona STOCK",IF($E330="","CEK SKU DESCRIPTION kosong",IF(COUNTIFS($I$2:$I$500,$I330,L$2:L$500,"&lt;&gt;"&amp;L330,L$2:L$500,"&lt;&gt;")&gt;0,"CEK jenis fixture beda dalam satu series","OK"))))))))))</f>
        <v/>
      </c>
      <c r="Q330" s="11" t="n"/>
      <c r="R330" s="11" t="n"/>
      <c r="S330" s="11" t="n"/>
      <c r="T330" s="11">
        <f>IF(OR(Q330="",R330=""),"",IFERROR(INDEX(LAYOUT!$D$2:$D$80,MATCH(Q330&amp;"|"&amp;R330,LAYOUT!$E$2:$E$80,0)),""))</f>
        <v/>
      </c>
      <c r="U330" s="12">
        <f>IF(AND(Q330="",R330=""),IF(AND(L330="",M330="",V330="",W330=""),IF(OR($D330&lt;&gt;"",$E330&lt;&gt;""),"Belum ditempatkan",""),""),IF(Q330="","CEK JENIS FIXTURE kosong",IF(LEFT(Q330,4)&lt;&gt;"Wall","CEK Fixture 2 hanya Wall",IF(R330="","CEK SHELVING KE kosong",IF(ISNA(MATCH(Q330&amp;"|"&amp;R330,LAYOUT!$E$2:$E$80,0)),"CEK SHELVING KE di luar layout",IF($I330="","CEK SERIES kosong",IF(AND(S330&lt;&gt;"",NOT(ISNUMBER(S330))),"CEK URUTAN DISPLAY harus angka",IF($D330="","Zona STOCK",IF($E330="","CEK SKU DESCRIPTION kosong",IF(COUNTIFS($I$2:$I$500,$I330,Q$2:Q$500,"&lt;&gt;"&amp;Q330,Q$2:Q$500,"&lt;&gt;")&gt;0,"CEK jenis fixture beda dalam satu series","OK"))))))))))</f>
        <v/>
      </c>
      <c r="V330" s="11" t="n"/>
      <c r="W330" s="11" t="n"/>
      <c r="X330" s="11" t="n"/>
      <c r="Y330" s="11">
        <f>IF(OR(V330="",W330=""),"",IFERROR(INDEX(LAYOUT!$D$2:$D$80,MATCH(V330&amp;"|"&amp;W330,LAYOUT!$E$2:$E$80,0)),""))</f>
        <v/>
      </c>
      <c r="Z330" s="12">
        <f>IF(AND(V330="",W330=""),IF(AND(L330="",M330="",Q330="",R330=""),IF(OR($D330&lt;&gt;"",$E330&lt;&gt;""),"Belum ditempatkan",""),""),IF(V330="","CEK JENIS FIXTURE kosong",IF(LEFT(V330,4)&lt;&gt;"Wall","CEK Fixture 3 hanya Wall",IF(W330="","CEK SHELVING KE kosong",IF(ISNA(MATCH(V330&amp;"|"&amp;W330,LAYOUT!$E$2:$E$80,0)),"CEK SHELVING KE di luar layout",IF($I330="","CEK SERIES kosong",IF(AND(X330&lt;&gt;"",NOT(ISNUMBER(X330))),"CEK URUTAN DISPLAY harus angka",IF($D330="","Zona STOCK",IF($E330="","CEK SKU DESCRIPTION kosong",IF(COUNTIFS($I$2:$I$500,$I330,V$2:V$500,"&lt;&gt;"&amp;V330,V$2:V$500,"&lt;&gt;")&gt;0,"CEK jenis fixture beda dalam satu series","OK"))))))))))</f>
        <v/>
      </c>
      <c r="AA330" s="12" t="n"/>
      <c r="AB330" s="11" t="n"/>
      <c r="AC330" s="11" t="n"/>
      <c r="AD330" s="11" t="n"/>
      <c r="AE330" s="11" t="n"/>
      <c r="AF330" s="11" t="n"/>
      <c r="AG330" s="11" t="n"/>
      <c r="AH330" s="12" t="n"/>
      <c r="AI330" s="12" t="n"/>
    </row>
    <row r="331">
      <c r="A331" s="10" t="n"/>
      <c r="B331" s="10" t="n"/>
      <c r="C331" s="10" t="n"/>
      <c r="D331" s="10" t="n"/>
      <c r="E331" s="10" t="n"/>
      <c r="F331" s="10" t="n"/>
      <c r="G331" s="10" t="n"/>
      <c r="H331" s="10" t="n"/>
      <c r="I331" s="10" t="n"/>
      <c r="J331" s="10" t="n"/>
      <c r="K331" s="10" t="n"/>
      <c r="L331" s="11" t="n"/>
      <c r="M331" s="11" t="n"/>
      <c r="N331" s="11" t="n"/>
      <c r="O331" s="11">
        <f>IF(OR(L331="",M331=""),"",IFERROR(INDEX(LAYOUT!$D$2:$D$80,MATCH(L331&amp;"|"&amp;M331,LAYOUT!$E$2:$E$80,0)),""))</f>
        <v/>
      </c>
      <c r="P331" s="12">
        <f>IF(AND(L331="",M331=""),IF(AND(Q331="",R331="",V331="",W331=""),IF(OR($D331&lt;&gt;"",$E331&lt;&gt;""),"Belum ditempatkan",""),""),IF(L331="","CEK JENIS FIXTURE kosong",IF(AND(LEFT(L331,7)&lt;&gt;"Gondola",LEFT(L331,6)&lt;&gt;"Endcap"),"CEK Fixture 1 hanya Gondola atau Endcap",IF(M331="","CEK SHELVING KE kosong",IF(ISNA(MATCH(L331&amp;"|"&amp;M331,LAYOUT!$E$2:$E$80,0)),"CEK SHELVING KE di luar layout",IF($I331="","CEK SERIES kosong",IF(AND(N331&lt;&gt;"",NOT(ISNUMBER(N331))),"CEK URUTAN DISPLAY harus angka",IF($D331="","Zona STOCK",IF($E331="","CEK SKU DESCRIPTION kosong",IF(COUNTIFS($I$2:$I$500,$I331,L$2:L$500,"&lt;&gt;"&amp;L331,L$2:L$500,"&lt;&gt;")&gt;0,"CEK jenis fixture beda dalam satu series","OK"))))))))))</f>
        <v/>
      </c>
      <c r="Q331" s="11" t="n"/>
      <c r="R331" s="11" t="n"/>
      <c r="S331" s="11" t="n"/>
      <c r="T331" s="11">
        <f>IF(OR(Q331="",R331=""),"",IFERROR(INDEX(LAYOUT!$D$2:$D$80,MATCH(Q331&amp;"|"&amp;R331,LAYOUT!$E$2:$E$80,0)),""))</f>
        <v/>
      </c>
      <c r="U331" s="12">
        <f>IF(AND(Q331="",R331=""),IF(AND(L331="",M331="",V331="",W331=""),IF(OR($D331&lt;&gt;"",$E331&lt;&gt;""),"Belum ditempatkan",""),""),IF(Q331="","CEK JENIS FIXTURE kosong",IF(LEFT(Q331,4)&lt;&gt;"Wall","CEK Fixture 2 hanya Wall",IF(R331="","CEK SHELVING KE kosong",IF(ISNA(MATCH(Q331&amp;"|"&amp;R331,LAYOUT!$E$2:$E$80,0)),"CEK SHELVING KE di luar layout",IF($I331="","CEK SERIES kosong",IF(AND(S331&lt;&gt;"",NOT(ISNUMBER(S331))),"CEK URUTAN DISPLAY harus angka",IF($D331="","Zona STOCK",IF($E331="","CEK SKU DESCRIPTION kosong",IF(COUNTIFS($I$2:$I$500,$I331,Q$2:Q$500,"&lt;&gt;"&amp;Q331,Q$2:Q$500,"&lt;&gt;")&gt;0,"CEK jenis fixture beda dalam satu series","OK"))))))))))</f>
        <v/>
      </c>
      <c r="V331" s="11" t="n"/>
      <c r="W331" s="11" t="n"/>
      <c r="X331" s="11" t="n"/>
      <c r="Y331" s="11">
        <f>IF(OR(V331="",W331=""),"",IFERROR(INDEX(LAYOUT!$D$2:$D$80,MATCH(V331&amp;"|"&amp;W331,LAYOUT!$E$2:$E$80,0)),""))</f>
        <v/>
      </c>
      <c r="Z331" s="12">
        <f>IF(AND(V331="",W331=""),IF(AND(L331="",M331="",Q331="",R331=""),IF(OR($D331&lt;&gt;"",$E331&lt;&gt;""),"Belum ditempatkan",""),""),IF(V331="","CEK JENIS FIXTURE kosong",IF(LEFT(V331,4)&lt;&gt;"Wall","CEK Fixture 3 hanya Wall",IF(W331="","CEK SHELVING KE kosong",IF(ISNA(MATCH(V331&amp;"|"&amp;W331,LAYOUT!$E$2:$E$80,0)),"CEK SHELVING KE di luar layout",IF($I331="","CEK SERIES kosong",IF(AND(X331&lt;&gt;"",NOT(ISNUMBER(X331))),"CEK URUTAN DISPLAY harus angka",IF($D331="","Zona STOCK",IF($E331="","CEK SKU DESCRIPTION kosong",IF(COUNTIFS($I$2:$I$500,$I331,V$2:V$500,"&lt;&gt;"&amp;V331,V$2:V$500,"&lt;&gt;")&gt;0,"CEK jenis fixture beda dalam satu series","OK"))))))))))</f>
        <v/>
      </c>
      <c r="AA331" s="12" t="n"/>
      <c r="AB331" s="11" t="n"/>
      <c r="AC331" s="11" t="n"/>
      <c r="AD331" s="11" t="n"/>
      <c r="AE331" s="11" t="n"/>
      <c r="AF331" s="11" t="n"/>
      <c r="AG331" s="11" t="n"/>
      <c r="AH331" s="12" t="n"/>
      <c r="AI331" s="12" t="n"/>
    </row>
    <row r="332">
      <c r="A332" s="10" t="n"/>
      <c r="B332" s="10" t="n"/>
      <c r="C332" s="10" t="n"/>
      <c r="D332" s="10" t="n"/>
      <c r="E332" s="10" t="n"/>
      <c r="F332" s="10" t="n"/>
      <c r="G332" s="10" t="n"/>
      <c r="H332" s="10" t="n"/>
      <c r="I332" s="10" t="n"/>
      <c r="J332" s="10" t="n"/>
      <c r="K332" s="10" t="n"/>
      <c r="L332" s="11" t="n"/>
      <c r="M332" s="11" t="n"/>
      <c r="N332" s="11" t="n"/>
      <c r="O332" s="11">
        <f>IF(OR(L332="",M332=""),"",IFERROR(INDEX(LAYOUT!$D$2:$D$80,MATCH(L332&amp;"|"&amp;M332,LAYOUT!$E$2:$E$80,0)),""))</f>
        <v/>
      </c>
      <c r="P332" s="12">
        <f>IF(AND(L332="",M332=""),IF(AND(Q332="",R332="",V332="",W332=""),IF(OR($D332&lt;&gt;"",$E332&lt;&gt;""),"Belum ditempatkan",""),""),IF(L332="","CEK JENIS FIXTURE kosong",IF(AND(LEFT(L332,7)&lt;&gt;"Gondola",LEFT(L332,6)&lt;&gt;"Endcap"),"CEK Fixture 1 hanya Gondola atau Endcap",IF(M332="","CEK SHELVING KE kosong",IF(ISNA(MATCH(L332&amp;"|"&amp;M332,LAYOUT!$E$2:$E$80,0)),"CEK SHELVING KE di luar layout",IF($I332="","CEK SERIES kosong",IF(AND(N332&lt;&gt;"",NOT(ISNUMBER(N332))),"CEK URUTAN DISPLAY harus angka",IF($D332="","Zona STOCK",IF($E332="","CEK SKU DESCRIPTION kosong",IF(COUNTIFS($I$2:$I$500,$I332,L$2:L$500,"&lt;&gt;"&amp;L332,L$2:L$500,"&lt;&gt;")&gt;0,"CEK jenis fixture beda dalam satu series","OK"))))))))))</f>
        <v/>
      </c>
      <c r="Q332" s="11" t="n"/>
      <c r="R332" s="11" t="n"/>
      <c r="S332" s="11" t="n"/>
      <c r="T332" s="11">
        <f>IF(OR(Q332="",R332=""),"",IFERROR(INDEX(LAYOUT!$D$2:$D$80,MATCH(Q332&amp;"|"&amp;R332,LAYOUT!$E$2:$E$80,0)),""))</f>
        <v/>
      </c>
      <c r="U332" s="12">
        <f>IF(AND(Q332="",R332=""),IF(AND(L332="",M332="",V332="",W332=""),IF(OR($D332&lt;&gt;"",$E332&lt;&gt;""),"Belum ditempatkan",""),""),IF(Q332="","CEK JENIS FIXTURE kosong",IF(LEFT(Q332,4)&lt;&gt;"Wall","CEK Fixture 2 hanya Wall",IF(R332="","CEK SHELVING KE kosong",IF(ISNA(MATCH(Q332&amp;"|"&amp;R332,LAYOUT!$E$2:$E$80,0)),"CEK SHELVING KE di luar layout",IF($I332="","CEK SERIES kosong",IF(AND(S332&lt;&gt;"",NOT(ISNUMBER(S332))),"CEK URUTAN DISPLAY harus angka",IF($D332="","Zona STOCK",IF($E332="","CEK SKU DESCRIPTION kosong",IF(COUNTIFS($I$2:$I$500,$I332,Q$2:Q$500,"&lt;&gt;"&amp;Q332,Q$2:Q$500,"&lt;&gt;")&gt;0,"CEK jenis fixture beda dalam satu series","OK"))))))))))</f>
        <v/>
      </c>
      <c r="V332" s="11" t="n"/>
      <c r="W332" s="11" t="n"/>
      <c r="X332" s="11" t="n"/>
      <c r="Y332" s="11">
        <f>IF(OR(V332="",W332=""),"",IFERROR(INDEX(LAYOUT!$D$2:$D$80,MATCH(V332&amp;"|"&amp;W332,LAYOUT!$E$2:$E$80,0)),""))</f>
        <v/>
      </c>
      <c r="Z332" s="12">
        <f>IF(AND(V332="",W332=""),IF(AND(L332="",M332="",Q332="",R332=""),IF(OR($D332&lt;&gt;"",$E332&lt;&gt;""),"Belum ditempatkan",""),""),IF(V332="","CEK JENIS FIXTURE kosong",IF(LEFT(V332,4)&lt;&gt;"Wall","CEK Fixture 3 hanya Wall",IF(W332="","CEK SHELVING KE kosong",IF(ISNA(MATCH(V332&amp;"|"&amp;W332,LAYOUT!$E$2:$E$80,0)),"CEK SHELVING KE di luar layout",IF($I332="","CEK SERIES kosong",IF(AND(X332&lt;&gt;"",NOT(ISNUMBER(X332))),"CEK URUTAN DISPLAY harus angka",IF($D332="","Zona STOCK",IF($E332="","CEK SKU DESCRIPTION kosong",IF(COUNTIFS($I$2:$I$500,$I332,V$2:V$500,"&lt;&gt;"&amp;V332,V$2:V$500,"&lt;&gt;")&gt;0,"CEK jenis fixture beda dalam satu series","OK"))))))))))</f>
        <v/>
      </c>
      <c r="AA332" s="12" t="n"/>
      <c r="AB332" s="11" t="n"/>
      <c r="AC332" s="11" t="n"/>
      <c r="AD332" s="11" t="n"/>
      <c r="AE332" s="11" t="n"/>
      <c r="AF332" s="11" t="n"/>
      <c r="AG332" s="11" t="n"/>
      <c r="AH332" s="12" t="n"/>
      <c r="AI332" s="12" t="n"/>
    </row>
    <row r="333">
      <c r="A333" s="10" t="n"/>
      <c r="B333" s="10" t="n"/>
      <c r="C333" s="10" t="n"/>
      <c r="D333" s="10" t="n"/>
      <c r="E333" s="10" t="n"/>
      <c r="F333" s="10" t="n"/>
      <c r="G333" s="10" t="n"/>
      <c r="H333" s="10" t="n"/>
      <c r="I333" s="10" t="n"/>
      <c r="J333" s="10" t="n"/>
      <c r="K333" s="10" t="n"/>
      <c r="L333" s="11" t="n"/>
      <c r="M333" s="11" t="n"/>
      <c r="N333" s="11" t="n"/>
      <c r="O333" s="11">
        <f>IF(OR(L333="",M333=""),"",IFERROR(INDEX(LAYOUT!$D$2:$D$80,MATCH(L333&amp;"|"&amp;M333,LAYOUT!$E$2:$E$80,0)),""))</f>
        <v/>
      </c>
      <c r="P333" s="12">
        <f>IF(AND(L333="",M333=""),IF(AND(Q333="",R333="",V333="",W333=""),IF(OR($D333&lt;&gt;"",$E333&lt;&gt;""),"Belum ditempatkan",""),""),IF(L333="","CEK JENIS FIXTURE kosong",IF(AND(LEFT(L333,7)&lt;&gt;"Gondola",LEFT(L333,6)&lt;&gt;"Endcap"),"CEK Fixture 1 hanya Gondola atau Endcap",IF(M333="","CEK SHELVING KE kosong",IF(ISNA(MATCH(L333&amp;"|"&amp;M333,LAYOUT!$E$2:$E$80,0)),"CEK SHELVING KE di luar layout",IF($I333="","CEK SERIES kosong",IF(AND(N333&lt;&gt;"",NOT(ISNUMBER(N333))),"CEK URUTAN DISPLAY harus angka",IF($D333="","Zona STOCK",IF($E333="","CEK SKU DESCRIPTION kosong",IF(COUNTIFS($I$2:$I$500,$I333,L$2:L$500,"&lt;&gt;"&amp;L333,L$2:L$500,"&lt;&gt;")&gt;0,"CEK jenis fixture beda dalam satu series","OK"))))))))))</f>
        <v/>
      </c>
      <c r="Q333" s="11" t="n"/>
      <c r="R333" s="11" t="n"/>
      <c r="S333" s="11" t="n"/>
      <c r="T333" s="11">
        <f>IF(OR(Q333="",R333=""),"",IFERROR(INDEX(LAYOUT!$D$2:$D$80,MATCH(Q333&amp;"|"&amp;R333,LAYOUT!$E$2:$E$80,0)),""))</f>
        <v/>
      </c>
      <c r="U333" s="12">
        <f>IF(AND(Q333="",R333=""),IF(AND(L333="",M333="",V333="",W333=""),IF(OR($D333&lt;&gt;"",$E333&lt;&gt;""),"Belum ditempatkan",""),""),IF(Q333="","CEK JENIS FIXTURE kosong",IF(LEFT(Q333,4)&lt;&gt;"Wall","CEK Fixture 2 hanya Wall",IF(R333="","CEK SHELVING KE kosong",IF(ISNA(MATCH(Q333&amp;"|"&amp;R333,LAYOUT!$E$2:$E$80,0)),"CEK SHELVING KE di luar layout",IF($I333="","CEK SERIES kosong",IF(AND(S333&lt;&gt;"",NOT(ISNUMBER(S333))),"CEK URUTAN DISPLAY harus angka",IF($D333="","Zona STOCK",IF($E333="","CEK SKU DESCRIPTION kosong",IF(COUNTIFS($I$2:$I$500,$I333,Q$2:Q$500,"&lt;&gt;"&amp;Q333,Q$2:Q$500,"&lt;&gt;")&gt;0,"CEK jenis fixture beda dalam satu series","OK"))))))))))</f>
        <v/>
      </c>
      <c r="V333" s="11" t="n"/>
      <c r="W333" s="11" t="n"/>
      <c r="X333" s="11" t="n"/>
      <c r="Y333" s="11">
        <f>IF(OR(V333="",W333=""),"",IFERROR(INDEX(LAYOUT!$D$2:$D$80,MATCH(V333&amp;"|"&amp;W333,LAYOUT!$E$2:$E$80,0)),""))</f>
        <v/>
      </c>
      <c r="Z333" s="12">
        <f>IF(AND(V333="",W333=""),IF(AND(L333="",M333="",Q333="",R333=""),IF(OR($D333&lt;&gt;"",$E333&lt;&gt;""),"Belum ditempatkan",""),""),IF(V333="","CEK JENIS FIXTURE kosong",IF(LEFT(V333,4)&lt;&gt;"Wall","CEK Fixture 3 hanya Wall",IF(W333="","CEK SHELVING KE kosong",IF(ISNA(MATCH(V333&amp;"|"&amp;W333,LAYOUT!$E$2:$E$80,0)),"CEK SHELVING KE di luar layout",IF($I333="","CEK SERIES kosong",IF(AND(X333&lt;&gt;"",NOT(ISNUMBER(X333))),"CEK URUTAN DISPLAY harus angka",IF($D333="","Zona STOCK",IF($E333="","CEK SKU DESCRIPTION kosong",IF(COUNTIFS($I$2:$I$500,$I333,V$2:V$500,"&lt;&gt;"&amp;V333,V$2:V$500,"&lt;&gt;")&gt;0,"CEK jenis fixture beda dalam satu series","OK"))))))))))</f>
        <v/>
      </c>
      <c r="AA333" s="12" t="n"/>
      <c r="AB333" s="11" t="n"/>
      <c r="AC333" s="11" t="n"/>
      <c r="AD333" s="11" t="n"/>
      <c r="AE333" s="11" t="n"/>
      <c r="AF333" s="11" t="n"/>
      <c r="AG333" s="11" t="n"/>
      <c r="AH333" s="12" t="n"/>
      <c r="AI333" s="12" t="n"/>
    </row>
    <row r="334">
      <c r="A334" s="10" t="n"/>
      <c r="B334" s="10" t="n"/>
      <c r="C334" s="10" t="n"/>
      <c r="D334" s="10" t="n"/>
      <c r="E334" s="10" t="n"/>
      <c r="F334" s="10" t="n"/>
      <c r="G334" s="10" t="n"/>
      <c r="H334" s="10" t="n"/>
      <c r="I334" s="10" t="n"/>
      <c r="J334" s="10" t="n"/>
      <c r="K334" s="10" t="n"/>
      <c r="L334" s="11" t="n"/>
      <c r="M334" s="11" t="n"/>
      <c r="N334" s="11" t="n"/>
      <c r="O334" s="11">
        <f>IF(OR(L334="",M334=""),"",IFERROR(INDEX(LAYOUT!$D$2:$D$80,MATCH(L334&amp;"|"&amp;M334,LAYOUT!$E$2:$E$80,0)),""))</f>
        <v/>
      </c>
      <c r="P334" s="12">
        <f>IF(AND(L334="",M334=""),IF(AND(Q334="",R334="",V334="",W334=""),IF(OR($D334&lt;&gt;"",$E334&lt;&gt;""),"Belum ditempatkan",""),""),IF(L334="","CEK JENIS FIXTURE kosong",IF(AND(LEFT(L334,7)&lt;&gt;"Gondola",LEFT(L334,6)&lt;&gt;"Endcap"),"CEK Fixture 1 hanya Gondola atau Endcap",IF(M334="","CEK SHELVING KE kosong",IF(ISNA(MATCH(L334&amp;"|"&amp;M334,LAYOUT!$E$2:$E$80,0)),"CEK SHELVING KE di luar layout",IF($I334="","CEK SERIES kosong",IF(AND(N334&lt;&gt;"",NOT(ISNUMBER(N334))),"CEK URUTAN DISPLAY harus angka",IF($D334="","Zona STOCK",IF($E334="","CEK SKU DESCRIPTION kosong",IF(COUNTIFS($I$2:$I$500,$I334,L$2:L$500,"&lt;&gt;"&amp;L334,L$2:L$500,"&lt;&gt;")&gt;0,"CEK jenis fixture beda dalam satu series","OK"))))))))))</f>
        <v/>
      </c>
      <c r="Q334" s="11" t="n"/>
      <c r="R334" s="11" t="n"/>
      <c r="S334" s="11" t="n"/>
      <c r="T334" s="11">
        <f>IF(OR(Q334="",R334=""),"",IFERROR(INDEX(LAYOUT!$D$2:$D$80,MATCH(Q334&amp;"|"&amp;R334,LAYOUT!$E$2:$E$80,0)),""))</f>
        <v/>
      </c>
      <c r="U334" s="12">
        <f>IF(AND(Q334="",R334=""),IF(AND(L334="",M334="",V334="",W334=""),IF(OR($D334&lt;&gt;"",$E334&lt;&gt;""),"Belum ditempatkan",""),""),IF(Q334="","CEK JENIS FIXTURE kosong",IF(LEFT(Q334,4)&lt;&gt;"Wall","CEK Fixture 2 hanya Wall",IF(R334="","CEK SHELVING KE kosong",IF(ISNA(MATCH(Q334&amp;"|"&amp;R334,LAYOUT!$E$2:$E$80,0)),"CEK SHELVING KE di luar layout",IF($I334="","CEK SERIES kosong",IF(AND(S334&lt;&gt;"",NOT(ISNUMBER(S334))),"CEK URUTAN DISPLAY harus angka",IF($D334="","Zona STOCK",IF($E334="","CEK SKU DESCRIPTION kosong",IF(COUNTIFS($I$2:$I$500,$I334,Q$2:Q$500,"&lt;&gt;"&amp;Q334,Q$2:Q$500,"&lt;&gt;")&gt;0,"CEK jenis fixture beda dalam satu series","OK"))))))))))</f>
        <v/>
      </c>
      <c r="V334" s="11" t="n"/>
      <c r="W334" s="11" t="n"/>
      <c r="X334" s="11" t="n"/>
      <c r="Y334" s="11">
        <f>IF(OR(V334="",W334=""),"",IFERROR(INDEX(LAYOUT!$D$2:$D$80,MATCH(V334&amp;"|"&amp;W334,LAYOUT!$E$2:$E$80,0)),""))</f>
        <v/>
      </c>
      <c r="Z334" s="12">
        <f>IF(AND(V334="",W334=""),IF(AND(L334="",M334="",Q334="",R334=""),IF(OR($D334&lt;&gt;"",$E334&lt;&gt;""),"Belum ditempatkan",""),""),IF(V334="","CEK JENIS FIXTURE kosong",IF(LEFT(V334,4)&lt;&gt;"Wall","CEK Fixture 3 hanya Wall",IF(W334="","CEK SHELVING KE kosong",IF(ISNA(MATCH(V334&amp;"|"&amp;W334,LAYOUT!$E$2:$E$80,0)),"CEK SHELVING KE di luar layout",IF($I334="","CEK SERIES kosong",IF(AND(X334&lt;&gt;"",NOT(ISNUMBER(X334))),"CEK URUTAN DISPLAY harus angka",IF($D334="","Zona STOCK",IF($E334="","CEK SKU DESCRIPTION kosong",IF(COUNTIFS($I$2:$I$500,$I334,V$2:V$500,"&lt;&gt;"&amp;V334,V$2:V$500,"&lt;&gt;")&gt;0,"CEK jenis fixture beda dalam satu series","OK"))))))))))</f>
        <v/>
      </c>
      <c r="AA334" s="12" t="n"/>
      <c r="AB334" s="11" t="n"/>
      <c r="AC334" s="11" t="n"/>
      <c r="AD334" s="11" t="n"/>
      <c r="AE334" s="11" t="n"/>
      <c r="AF334" s="11" t="n"/>
      <c r="AG334" s="11" t="n"/>
      <c r="AH334" s="12" t="n"/>
      <c r="AI334" s="12" t="n"/>
    </row>
    <row r="335">
      <c r="A335" s="10" t="n"/>
      <c r="B335" s="10" t="n"/>
      <c r="C335" s="10" t="n"/>
      <c r="D335" s="10" t="n"/>
      <c r="E335" s="10" t="n"/>
      <c r="F335" s="10" t="n"/>
      <c r="G335" s="10" t="n"/>
      <c r="H335" s="10" t="n"/>
      <c r="I335" s="10" t="n"/>
      <c r="J335" s="10" t="n"/>
      <c r="K335" s="10" t="n"/>
      <c r="L335" s="11" t="n"/>
      <c r="M335" s="11" t="n"/>
      <c r="N335" s="11" t="n"/>
      <c r="O335" s="11">
        <f>IF(OR(L335="",M335=""),"",IFERROR(INDEX(LAYOUT!$D$2:$D$80,MATCH(L335&amp;"|"&amp;M335,LAYOUT!$E$2:$E$80,0)),""))</f>
        <v/>
      </c>
      <c r="P335" s="12">
        <f>IF(AND(L335="",M335=""),IF(AND(Q335="",R335="",V335="",W335=""),IF(OR($D335&lt;&gt;"",$E335&lt;&gt;""),"Belum ditempatkan",""),""),IF(L335="","CEK JENIS FIXTURE kosong",IF(AND(LEFT(L335,7)&lt;&gt;"Gondola",LEFT(L335,6)&lt;&gt;"Endcap"),"CEK Fixture 1 hanya Gondola atau Endcap",IF(M335="","CEK SHELVING KE kosong",IF(ISNA(MATCH(L335&amp;"|"&amp;M335,LAYOUT!$E$2:$E$80,0)),"CEK SHELVING KE di luar layout",IF($I335="","CEK SERIES kosong",IF(AND(N335&lt;&gt;"",NOT(ISNUMBER(N335))),"CEK URUTAN DISPLAY harus angka",IF($D335="","Zona STOCK",IF($E335="","CEK SKU DESCRIPTION kosong",IF(COUNTIFS($I$2:$I$500,$I335,L$2:L$500,"&lt;&gt;"&amp;L335,L$2:L$500,"&lt;&gt;")&gt;0,"CEK jenis fixture beda dalam satu series","OK"))))))))))</f>
        <v/>
      </c>
      <c r="Q335" s="11" t="n"/>
      <c r="R335" s="11" t="n"/>
      <c r="S335" s="11" t="n"/>
      <c r="T335" s="11">
        <f>IF(OR(Q335="",R335=""),"",IFERROR(INDEX(LAYOUT!$D$2:$D$80,MATCH(Q335&amp;"|"&amp;R335,LAYOUT!$E$2:$E$80,0)),""))</f>
        <v/>
      </c>
      <c r="U335" s="12">
        <f>IF(AND(Q335="",R335=""),IF(AND(L335="",M335="",V335="",W335=""),IF(OR($D335&lt;&gt;"",$E335&lt;&gt;""),"Belum ditempatkan",""),""),IF(Q335="","CEK JENIS FIXTURE kosong",IF(LEFT(Q335,4)&lt;&gt;"Wall","CEK Fixture 2 hanya Wall",IF(R335="","CEK SHELVING KE kosong",IF(ISNA(MATCH(Q335&amp;"|"&amp;R335,LAYOUT!$E$2:$E$80,0)),"CEK SHELVING KE di luar layout",IF($I335="","CEK SERIES kosong",IF(AND(S335&lt;&gt;"",NOT(ISNUMBER(S335))),"CEK URUTAN DISPLAY harus angka",IF($D335="","Zona STOCK",IF($E335="","CEK SKU DESCRIPTION kosong",IF(COUNTIFS($I$2:$I$500,$I335,Q$2:Q$500,"&lt;&gt;"&amp;Q335,Q$2:Q$500,"&lt;&gt;")&gt;0,"CEK jenis fixture beda dalam satu series","OK"))))))))))</f>
        <v/>
      </c>
      <c r="V335" s="11" t="n"/>
      <c r="W335" s="11" t="n"/>
      <c r="X335" s="11" t="n"/>
      <c r="Y335" s="11">
        <f>IF(OR(V335="",W335=""),"",IFERROR(INDEX(LAYOUT!$D$2:$D$80,MATCH(V335&amp;"|"&amp;W335,LAYOUT!$E$2:$E$80,0)),""))</f>
        <v/>
      </c>
      <c r="Z335" s="12">
        <f>IF(AND(V335="",W335=""),IF(AND(L335="",M335="",Q335="",R335=""),IF(OR($D335&lt;&gt;"",$E335&lt;&gt;""),"Belum ditempatkan",""),""),IF(V335="","CEK JENIS FIXTURE kosong",IF(LEFT(V335,4)&lt;&gt;"Wall","CEK Fixture 3 hanya Wall",IF(W335="","CEK SHELVING KE kosong",IF(ISNA(MATCH(V335&amp;"|"&amp;W335,LAYOUT!$E$2:$E$80,0)),"CEK SHELVING KE di luar layout",IF($I335="","CEK SERIES kosong",IF(AND(X335&lt;&gt;"",NOT(ISNUMBER(X335))),"CEK URUTAN DISPLAY harus angka",IF($D335="","Zona STOCK",IF($E335="","CEK SKU DESCRIPTION kosong",IF(COUNTIFS($I$2:$I$500,$I335,V$2:V$500,"&lt;&gt;"&amp;V335,V$2:V$500,"&lt;&gt;")&gt;0,"CEK jenis fixture beda dalam satu series","OK"))))))))))</f>
        <v/>
      </c>
      <c r="AA335" s="12" t="n"/>
      <c r="AB335" s="11" t="n"/>
      <c r="AC335" s="11" t="n"/>
      <c r="AD335" s="11" t="n"/>
      <c r="AE335" s="11" t="n"/>
      <c r="AF335" s="11" t="n"/>
      <c r="AG335" s="11" t="n"/>
      <c r="AH335" s="12" t="n"/>
      <c r="AI335" s="12" t="n"/>
    </row>
    <row r="336">
      <c r="A336" s="10" t="n"/>
      <c r="B336" s="10" t="n"/>
      <c r="C336" s="10" t="n"/>
      <c r="D336" s="10" t="n"/>
      <c r="E336" s="10" t="n"/>
      <c r="F336" s="10" t="n"/>
      <c r="G336" s="10" t="n"/>
      <c r="H336" s="10" t="n"/>
      <c r="I336" s="10" t="n"/>
      <c r="J336" s="10" t="n"/>
      <c r="K336" s="10" t="n"/>
      <c r="L336" s="11" t="n"/>
      <c r="M336" s="11" t="n"/>
      <c r="N336" s="11" t="n"/>
      <c r="O336" s="11">
        <f>IF(OR(L336="",M336=""),"",IFERROR(INDEX(LAYOUT!$D$2:$D$80,MATCH(L336&amp;"|"&amp;M336,LAYOUT!$E$2:$E$80,0)),""))</f>
        <v/>
      </c>
      <c r="P336" s="12">
        <f>IF(AND(L336="",M336=""),IF(AND(Q336="",R336="",V336="",W336=""),IF(OR($D336&lt;&gt;"",$E336&lt;&gt;""),"Belum ditempatkan",""),""),IF(L336="","CEK JENIS FIXTURE kosong",IF(AND(LEFT(L336,7)&lt;&gt;"Gondola",LEFT(L336,6)&lt;&gt;"Endcap"),"CEK Fixture 1 hanya Gondola atau Endcap",IF(M336="","CEK SHELVING KE kosong",IF(ISNA(MATCH(L336&amp;"|"&amp;M336,LAYOUT!$E$2:$E$80,0)),"CEK SHELVING KE di luar layout",IF($I336="","CEK SERIES kosong",IF(AND(N336&lt;&gt;"",NOT(ISNUMBER(N336))),"CEK URUTAN DISPLAY harus angka",IF($D336="","Zona STOCK",IF($E336="","CEK SKU DESCRIPTION kosong",IF(COUNTIFS($I$2:$I$500,$I336,L$2:L$500,"&lt;&gt;"&amp;L336,L$2:L$500,"&lt;&gt;")&gt;0,"CEK jenis fixture beda dalam satu series","OK"))))))))))</f>
        <v/>
      </c>
      <c r="Q336" s="11" t="n"/>
      <c r="R336" s="11" t="n"/>
      <c r="S336" s="11" t="n"/>
      <c r="T336" s="11">
        <f>IF(OR(Q336="",R336=""),"",IFERROR(INDEX(LAYOUT!$D$2:$D$80,MATCH(Q336&amp;"|"&amp;R336,LAYOUT!$E$2:$E$80,0)),""))</f>
        <v/>
      </c>
      <c r="U336" s="12">
        <f>IF(AND(Q336="",R336=""),IF(AND(L336="",M336="",V336="",W336=""),IF(OR($D336&lt;&gt;"",$E336&lt;&gt;""),"Belum ditempatkan",""),""),IF(Q336="","CEK JENIS FIXTURE kosong",IF(LEFT(Q336,4)&lt;&gt;"Wall","CEK Fixture 2 hanya Wall",IF(R336="","CEK SHELVING KE kosong",IF(ISNA(MATCH(Q336&amp;"|"&amp;R336,LAYOUT!$E$2:$E$80,0)),"CEK SHELVING KE di luar layout",IF($I336="","CEK SERIES kosong",IF(AND(S336&lt;&gt;"",NOT(ISNUMBER(S336))),"CEK URUTAN DISPLAY harus angka",IF($D336="","Zona STOCK",IF($E336="","CEK SKU DESCRIPTION kosong",IF(COUNTIFS($I$2:$I$500,$I336,Q$2:Q$500,"&lt;&gt;"&amp;Q336,Q$2:Q$500,"&lt;&gt;")&gt;0,"CEK jenis fixture beda dalam satu series","OK"))))))))))</f>
        <v/>
      </c>
      <c r="V336" s="11" t="n"/>
      <c r="W336" s="11" t="n"/>
      <c r="X336" s="11" t="n"/>
      <c r="Y336" s="11">
        <f>IF(OR(V336="",W336=""),"",IFERROR(INDEX(LAYOUT!$D$2:$D$80,MATCH(V336&amp;"|"&amp;W336,LAYOUT!$E$2:$E$80,0)),""))</f>
        <v/>
      </c>
      <c r="Z336" s="12">
        <f>IF(AND(V336="",W336=""),IF(AND(L336="",M336="",Q336="",R336=""),IF(OR($D336&lt;&gt;"",$E336&lt;&gt;""),"Belum ditempatkan",""),""),IF(V336="","CEK JENIS FIXTURE kosong",IF(LEFT(V336,4)&lt;&gt;"Wall","CEK Fixture 3 hanya Wall",IF(W336="","CEK SHELVING KE kosong",IF(ISNA(MATCH(V336&amp;"|"&amp;W336,LAYOUT!$E$2:$E$80,0)),"CEK SHELVING KE di luar layout",IF($I336="","CEK SERIES kosong",IF(AND(X336&lt;&gt;"",NOT(ISNUMBER(X336))),"CEK URUTAN DISPLAY harus angka",IF($D336="","Zona STOCK",IF($E336="","CEK SKU DESCRIPTION kosong",IF(COUNTIFS($I$2:$I$500,$I336,V$2:V$500,"&lt;&gt;"&amp;V336,V$2:V$500,"&lt;&gt;")&gt;0,"CEK jenis fixture beda dalam satu series","OK"))))))))))</f>
        <v/>
      </c>
      <c r="AA336" s="12" t="n"/>
      <c r="AB336" s="11" t="n"/>
      <c r="AC336" s="11" t="n"/>
      <c r="AD336" s="11" t="n"/>
      <c r="AE336" s="11" t="n"/>
      <c r="AF336" s="11" t="n"/>
      <c r="AG336" s="11" t="n"/>
      <c r="AH336" s="12" t="n"/>
      <c r="AI336" s="12" t="n"/>
    </row>
    <row r="337">
      <c r="A337" s="10" t="n"/>
      <c r="B337" s="10" t="n"/>
      <c r="C337" s="10" t="n"/>
      <c r="D337" s="10" t="n"/>
      <c r="E337" s="10" t="n"/>
      <c r="F337" s="10" t="n"/>
      <c r="G337" s="10" t="n"/>
      <c r="H337" s="10" t="n"/>
      <c r="I337" s="10" t="n"/>
      <c r="J337" s="10" t="n"/>
      <c r="K337" s="10" t="n"/>
      <c r="L337" s="11" t="n"/>
      <c r="M337" s="11" t="n"/>
      <c r="N337" s="11" t="n"/>
      <c r="O337" s="11">
        <f>IF(OR(L337="",M337=""),"",IFERROR(INDEX(LAYOUT!$D$2:$D$80,MATCH(L337&amp;"|"&amp;M337,LAYOUT!$E$2:$E$80,0)),""))</f>
        <v/>
      </c>
      <c r="P337" s="12">
        <f>IF(AND(L337="",M337=""),IF(AND(Q337="",R337="",V337="",W337=""),IF(OR($D337&lt;&gt;"",$E337&lt;&gt;""),"Belum ditempatkan",""),""),IF(L337="","CEK JENIS FIXTURE kosong",IF(AND(LEFT(L337,7)&lt;&gt;"Gondola",LEFT(L337,6)&lt;&gt;"Endcap"),"CEK Fixture 1 hanya Gondola atau Endcap",IF(M337="","CEK SHELVING KE kosong",IF(ISNA(MATCH(L337&amp;"|"&amp;M337,LAYOUT!$E$2:$E$80,0)),"CEK SHELVING KE di luar layout",IF($I337="","CEK SERIES kosong",IF(AND(N337&lt;&gt;"",NOT(ISNUMBER(N337))),"CEK URUTAN DISPLAY harus angka",IF($D337="","Zona STOCK",IF($E337="","CEK SKU DESCRIPTION kosong",IF(COUNTIFS($I$2:$I$500,$I337,L$2:L$500,"&lt;&gt;"&amp;L337,L$2:L$500,"&lt;&gt;")&gt;0,"CEK jenis fixture beda dalam satu series","OK"))))))))))</f>
        <v/>
      </c>
      <c r="Q337" s="11" t="n"/>
      <c r="R337" s="11" t="n"/>
      <c r="S337" s="11" t="n"/>
      <c r="T337" s="11">
        <f>IF(OR(Q337="",R337=""),"",IFERROR(INDEX(LAYOUT!$D$2:$D$80,MATCH(Q337&amp;"|"&amp;R337,LAYOUT!$E$2:$E$80,0)),""))</f>
        <v/>
      </c>
      <c r="U337" s="12">
        <f>IF(AND(Q337="",R337=""),IF(AND(L337="",M337="",V337="",W337=""),IF(OR($D337&lt;&gt;"",$E337&lt;&gt;""),"Belum ditempatkan",""),""),IF(Q337="","CEK JENIS FIXTURE kosong",IF(LEFT(Q337,4)&lt;&gt;"Wall","CEK Fixture 2 hanya Wall",IF(R337="","CEK SHELVING KE kosong",IF(ISNA(MATCH(Q337&amp;"|"&amp;R337,LAYOUT!$E$2:$E$80,0)),"CEK SHELVING KE di luar layout",IF($I337="","CEK SERIES kosong",IF(AND(S337&lt;&gt;"",NOT(ISNUMBER(S337))),"CEK URUTAN DISPLAY harus angka",IF($D337="","Zona STOCK",IF($E337="","CEK SKU DESCRIPTION kosong",IF(COUNTIFS($I$2:$I$500,$I337,Q$2:Q$500,"&lt;&gt;"&amp;Q337,Q$2:Q$500,"&lt;&gt;")&gt;0,"CEK jenis fixture beda dalam satu series","OK"))))))))))</f>
        <v/>
      </c>
      <c r="V337" s="11" t="n"/>
      <c r="W337" s="11" t="n"/>
      <c r="X337" s="11" t="n"/>
      <c r="Y337" s="11">
        <f>IF(OR(V337="",W337=""),"",IFERROR(INDEX(LAYOUT!$D$2:$D$80,MATCH(V337&amp;"|"&amp;W337,LAYOUT!$E$2:$E$80,0)),""))</f>
        <v/>
      </c>
      <c r="Z337" s="12">
        <f>IF(AND(V337="",W337=""),IF(AND(L337="",M337="",Q337="",R337=""),IF(OR($D337&lt;&gt;"",$E337&lt;&gt;""),"Belum ditempatkan",""),""),IF(V337="","CEK JENIS FIXTURE kosong",IF(LEFT(V337,4)&lt;&gt;"Wall","CEK Fixture 3 hanya Wall",IF(W337="","CEK SHELVING KE kosong",IF(ISNA(MATCH(V337&amp;"|"&amp;W337,LAYOUT!$E$2:$E$80,0)),"CEK SHELVING KE di luar layout",IF($I337="","CEK SERIES kosong",IF(AND(X337&lt;&gt;"",NOT(ISNUMBER(X337))),"CEK URUTAN DISPLAY harus angka",IF($D337="","Zona STOCK",IF($E337="","CEK SKU DESCRIPTION kosong",IF(COUNTIFS($I$2:$I$500,$I337,V$2:V$500,"&lt;&gt;"&amp;V337,V$2:V$500,"&lt;&gt;")&gt;0,"CEK jenis fixture beda dalam satu series","OK"))))))))))</f>
        <v/>
      </c>
      <c r="AA337" s="12" t="n"/>
      <c r="AB337" s="11" t="n"/>
      <c r="AC337" s="11" t="n"/>
      <c r="AD337" s="11" t="n"/>
      <c r="AE337" s="11" t="n"/>
      <c r="AF337" s="11" t="n"/>
      <c r="AG337" s="11" t="n"/>
      <c r="AH337" s="12" t="n"/>
      <c r="AI337" s="12" t="n"/>
    </row>
    <row r="338">
      <c r="A338" s="10" t="n"/>
      <c r="B338" s="10" t="n"/>
      <c r="C338" s="10" t="n"/>
      <c r="D338" s="10" t="n"/>
      <c r="E338" s="10" t="n"/>
      <c r="F338" s="10" t="n"/>
      <c r="G338" s="10" t="n"/>
      <c r="H338" s="10" t="n"/>
      <c r="I338" s="10" t="n"/>
      <c r="J338" s="10" t="n"/>
      <c r="K338" s="10" t="n"/>
      <c r="L338" s="11" t="n"/>
      <c r="M338" s="11" t="n"/>
      <c r="N338" s="11" t="n"/>
      <c r="O338" s="11">
        <f>IF(OR(L338="",M338=""),"",IFERROR(INDEX(LAYOUT!$D$2:$D$80,MATCH(L338&amp;"|"&amp;M338,LAYOUT!$E$2:$E$80,0)),""))</f>
        <v/>
      </c>
      <c r="P338" s="12">
        <f>IF(AND(L338="",M338=""),IF(AND(Q338="",R338="",V338="",W338=""),IF(OR($D338&lt;&gt;"",$E338&lt;&gt;""),"Belum ditempatkan",""),""),IF(L338="","CEK JENIS FIXTURE kosong",IF(AND(LEFT(L338,7)&lt;&gt;"Gondola",LEFT(L338,6)&lt;&gt;"Endcap"),"CEK Fixture 1 hanya Gondola atau Endcap",IF(M338="","CEK SHELVING KE kosong",IF(ISNA(MATCH(L338&amp;"|"&amp;M338,LAYOUT!$E$2:$E$80,0)),"CEK SHELVING KE di luar layout",IF($I338="","CEK SERIES kosong",IF(AND(N338&lt;&gt;"",NOT(ISNUMBER(N338))),"CEK URUTAN DISPLAY harus angka",IF($D338="","Zona STOCK",IF($E338="","CEK SKU DESCRIPTION kosong",IF(COUNTIFS($I$2:$I$500,$I338,L$2:L$500,"&lt;&gt;"&amp;L338,L$2:L$500,"&lt;&gt;")&gt;0,"CEK jenis fixture beda dalam satu series","OK"))))))))))</f>
        <v/>
      </c>
      <c r="Q338" s="11" t="n"/>
      <c r="R338" s="11" t="n"/>
      <c r="S338" s="11" t="n"/>
      <c r="T338" s="11">
        <f>IF(OR(Q338="",R338=""),"",IFERROR(INDEX(LAYOUT!$D$2:$D$80,MATCH(Q338&amp;"|"&amp;R338,LAYOUT!$E$2:$E$80,0)),""))</f>
        <v/>
      </c>
      <c r="U338" s="12">
        <f>IF(AND(Q338="",R338=""),IF(AND(L338="",M338="",V338="",W338=""),IF(OR($D338&lt;&gt;"",$E338&lt;&gt;""),"Belum ditempatkan",""),""),IF(Q338="","CEK JENIS FIXTURE kosong",IF(LEFT(Q338,4)&lt;&gt;"Wall","CEK Fixture 2 hanya Wall",IF(R338="","CEK SHELVING KE kosong",IF(ISNA(MATCH(Q338&amp;"|"&amp;R338,LAYOUT!$E$2:$E$80,0)),"CEK SHELVING KE di luar layout",IF($I338="","CEK SERIES kosong",IF(AND(S338&lt;&gt;"",NOT(ISNUMBER(S338))),"CEK URUTAN DISPLAY harus angka",IF($D338="","Zona STOCK",IF($E338="","CEK SKU DESCRIPTION kosong",IF(COUNTIFS($I$2:$I$500,$I338,Q$2:Q$500,"&lt;&gt;"&amp;Q338,Q$2:Q$500,"&lt;&gt;")&gt;0,"CEK jenis fixture beda dalam satu series","OK"))))))))))</f>
        <v/>
      </c>
      <c r="V338" s="11" t="n"/>
      <c r="W338" s="11" t="n"/>
      <c r="X338" s="11" t="n"/>
      <c r="Y338" s="11">
        <f>IF(OR(V338="",W338=""),"",IFERROR(INDEX(LAYOUT!$D$2:$D$80,MATCH(V338&amp;"|"&amp;W338,LAYOUT!$E$2:$E$80,0)),""))</f>
        <v/>
      </c>
      <c r="Z338" s="12">
        <f>IF(AND(V338="",W338=""),IF(AND(L338="",M338="",Q338="",R338=""),IF(OR($D338&lt;&gt;"",$E338&lt;&gt;""),"Belum ditempatkan",""),""),IF(V338="","CEK JENIS FIXTURE kosong",IF(LEFT(V338,4)&lt;&gt;"Wall","CEK Fixture 3 hanya Wall",IF(W338="","CEK SHELVING KE kosong",IF(ISNA(MATCH(V338&amp;"|"&amp;W338,LAYOUT!$E$2:$E$80,0)),"CEK SHELVING KE di luar layout",IF($I338="","CEK SERIES kosong",IF(AND(X338&lt;&gt;"",NOT(ISNUMBER(X338))),"CEK URUTAN DISPLAY harus angka",IF($D338="","Zona STOCK",IF($E338="","CEK SKU DESCRIPTION kosong",IF(COUNTIFS($I$2:$I$500,$I338,V$2:V$500,"&lt;&gt;"&amp;V338,V$2:V$500,"&lt;&gt;")&gt;0,"CEK jenis fixture beda dalam satu series","OK"))))))))))</f>
        <v/>
      </c>
      <c r="AA338" s="12" t="n"/>
      <c r="AB338" s="11" t="n"/>
      <c r="AC338" s="11" t="n"/>
      <c r="AD338" s="11" t="n"/>
      <c r="AE338" s="11" t="n"/>
      <c r="AF338" s="11" t="n"/>
      <c r="AG338" s="11" t="n"/>
      <c r="AH338" s="12" t="n"/>
      <c r="AI338" s="12" t="n"/>
    </row>
    <row r="339">
      <c r="A339" s="10" t="n"/>
      <c r="B339" s="10" t="n"/>
      <c r="C339" s="10" t="n"/>
      <c r="D339" s="10" t="n"/>
      <c r="E339" s="10" t="n"/>
      <c r="F339" s="10" t="n"/>
      <c r="G339" s="10" t="n"/>
      <c r="H339" s="10" t="n"/>
      <c r="I339" s="10" t="n"/>
      <c r="J339" s="10" t="n"/>
      <c r="K339" s="10" t="n"/>
      <c r="L339" s="11" t="n"/>
      <c r="M339" s="11" t="n"/>
      <c r="N339" s="11" t="n"/>
      <c r="O339" s="11">
        <f>IF(OR(L339="",M339=""),"",IFERROR(INDEX(LAYOUT!$D$2:$D$80,MATCH(L339&amp;"|"&amp;M339,LAYOUT!$E$2:$E$80,0)),""))</f>
        <v/>
      </c>
      <c r="P339" s="12">
        <f>IF(AND(L339="",M339=""),IF(AND(Q339="",R339="",V339="",W339=""),IF(OR($D339&lt;&gt;"",$E339&lt;&gt;""),"Belum ditempatkan",""),""),IF(L339="","CEK JENIS FIXTURE kosong",IF(AND(LEFT(L339,7)&lt;&gt;"Gondola",LEFT(L339,6)&lt;&gt;"Endcap"),"CEK Fixture 1 hanya Gondola atau Endcap",IF(M339="","CEK SHELVING KE kosong",IF(ISNA(MATCH(L339&amp;"|"&amp;M339,LAYOUT!$E$2:$E$80,0)),"CEK SHELVING KE di luar layout",IF($I339="","CEK SERIES kosong",IF(AND(N339&lt;&gt;"",NOT(ISNUMBER(N339))),"CEK URUTAN DISPLAY harus angka",IF($D339="","Zona STOCK",IF($E339="","CEK SKU DESCRIPTION kosong",IF(COUNTIFS($I$2:$I$500,$I339,L$2:L$500,"&lt;&gt;"&amp;L339,L$2:L$500,"&lt;&gt;")&gt;0,"CEK jenis fixture beda dalam satu series","OK"))))))))))</f>
        <v/>
      </c>
      <c r="Q339" s="11" t="n"/>
      <c r="R339" s="11" t="n"/>
      <c r="S339" s="11" t="n"/>
      <c r="T339" s="11">
        <f>IF(OR(Q339="",R339=""),"",IFERROR(INDEX(LAYOUT!$D$2:$D$80,MATCH(Q339&amp;"|"&amp;R339,LAYOUT!$E$2:$E$80,0)),""))</f>
        <v/>
      </c>
      <c r="U339" s="12">
        <f>IF(AND(Q339="",R339=""),IF(AND(L339="",M339="",V339="",W339=""),IF(OR($D339&lt;&gt;"",$E339&lt;&gt;""),"Belum ditempatkan",""),""),IF(Q339="","CEK JENIS FIXTURE kosong",IF(LEFT(Q339,4)&lt;&gt;"Wall","CEK Fixture 2 hanya Wall",IF(R339="","CEK SHELVING KE kosong",IF(ISNA(MATCH(Q339&amp;"|"&amp;R339,LAYOUT!$E$2:$E$80,0)),"CEK SHELVING KE di luar layout",IF($I339="","CEK SERIES kosong",IF(AND(S339&lt;&gt;"",NOT(ISNUMBER(S339))),"CEK URUTAN DISPLAY harus angka",IF($D339="","Zona STOCK",IF($E339="","CEK SKU DESCRIPTION kosong",IF(COUNTIFS($I$2:$I$500,$I339,Q$2:Q$500,"&lt;&gt;"&amp;Q339,Q$2:Q$500,"&lt;&gt;")&gt;0,"CEK jenis fixture beda dalam satu series","OK"))))))))))</f>
        <v/>
      </c>
      <c r="V339" s="11" t="n"/>
      <c r="W339" s="11" t="n"/>
      <c r="X339" s="11" t="n"/>
      <c r="Y339" s="11">
        <f>IF(OR(V339="",W339=""),"",IFERROR(INDEX(LAYOUT!$D$2:$D$80,MATCH(V339&amp;"|"&amp;W339,LAYOUT!$E$2:$E$80,0)),""))</f>
        <v/>
      </c>
      <c r="Z339" s="12">
        <f>IF(AND(V339="",W339=""),IF(AND(L339="",M339="",Q339="",R339=""),IF(OR($D339&lt;&gt;"",$E339&lt;&gt;""),"Belum ditempatkan",""),""),IF(V339="","CEK JENIS FIXTURE kosong",IF(LEFT(V339,4)&lt;&gt;"Wall","CEK Fixture 3 hanya Wall",IF(W339="","CEK SHELVING KE kosong",IF(ISNA(MATCH(V339&amp;"|"&amp;W339,LAYOUT!$E$2:$E$80,0)),"CEK SHELVING KE di luar layout",IF($I339="","CEK SERIES kosong",IF(AND(X339&lt;&gt;"",NOT(ISNUMBER(X339))),"CEK URUTAN DISPLAY harus angka",IF($D339="","Zona STOCK",IF($E339="","CEK SKU DESCRIPTION kosong",IF(COUNTIFS($I$2:$I$500,$I339,V$2:V$500,"&lt;&gt;"&amp;V339,V$2:V$500,"&lt;&gt;")&gt;0,"CEK jenis fixture beda dalam satu series","OK"))))))))))</f>
        <v/>
      </c>
      <c r="AA339" s="12" t="n"/>
      <c r="AB339" s="11" t="n"/>
      <c r="AC339" s="11" t="n"/>
      <c r="AD339" s="11" t="n"/>
      <c r="AE339" s="11" t="n"/>
      <c r="AF339" s="11" t="n"/>
      <c r="AG339" s="11" t="n"/>
      <c r="AH339" s="12" t="n"/>
      <c r="AI339" s="12" t="n"/>
    </row>
    <row r="340">
      <c r="A340" s="10" t="n"/>
      <c r="B340" s="10" t="n"/>
      <c r="C340" s="10" t="n"/>
      <c r="D340" s="10" t="n"/>
      <c r="E340" s="10" t="n"/>
      <c r="F340" s="10" t="n"/>
      <c r="G340" s="10" t="n"/>
      <c r="H340" s="10" t="n"/>
      <c r="I340" s="10" t="n"/>
      <c r="J340" s="10" t="n"/>
      <c r="K340" s="10" t="n"/>
      <c r="L340" s="11" t="n"/>
      <c r="M340" s="11" t="n"/>
      <c r="N340" s="11" t="n"/>
      <c r="O340" s="11">
        <f>IF(OR(L340="",M340=""),"",IFERROR(INDEX(LAYOUT!$D$2:$D$80,MATCH(L340&amp;"|"&amp;M340,LAYOUT!$E$2:$E$80,0)),""))</f>
        <v/>
      </c>
      <c r="P340" s="12">
        <f>IF(AND(L340="",M340=""),IF(AND(Q340="",R340="",V340="",W340=""),IF(OR($D340&lt;&gt;"",$E340&lt;&gt;""),"Belum ditempatkan",""),""),IF(L340="","CEK JENIS FIXTURE kosong",IF(AND(LEFT(L340,7)&lt;&gt;"Gondola",LEFT(L340,6)&lt;&gt;"Endcap"),"CEK Fixture 1 hanya Gondola atau Endcap",IF(M340="","CEK SHELVING KE kosong",IF(ISNA(MATCH(L340&amp;"|"&amp;M340,LAYOUT!$E$2:$E$80,0)),"CEK SHELVING KE di luar layout",IF($I340="","CEK SERIES kosong",IF(AND(N340&lt;&gt;"",NOT(ISNUMBER(N340))),"CEK URUTAN DISPLAY harus angka",IF($D340="","Zona STOCK",IF($E340="","CEK SKU DESCRIPTION kosong",IF(COUNTIFS($I$2:$I$500,$I340,L$2:L$500,"&lt;&gt;"&amp;L340,L$2:L$500,"&lt;&gt;")&gt;0,"CEK jenis fixture beda dalam satu series","OK"))))))))))</f>
        <v/>
      </c>
      <c r="Q340" s="11" t="n"/>
      <c r="R340" s="11" t="n"/>
      <c r="S340" s="11" t="n"/>
      <c r="T340" s="11">
        <f>IF(OR(Q340="",R340=""),"",IFERROR(INDEX(LAYOUT!$D$2:$D$80,MATCH(Q340&amp;"|"&amp;R340,LAYOUT!$E$2:$E$80,0)),""))</f>
        <v/>
      </c>
      <c r="U340" s="12">
        <f>IF(AND(Q340="",R340=""),IF(AND(L340="",M340="",V340="",W340=""),IF(OR($D340&lt;&gt;"",$E340&lt;&gt;""),"Belum ditempatkan",""),""),IF(Q340="","CEK JENIS FIXTURE kosong",IF(LEFT(Q340,4)&lt;&gt;"Wall","CEK Fixture 2 hanya Wall",IF(R340="","CEK SHELVING KE kosong",IF(ISNA(MATCH(Q340&amp;"|"&amp;R340,LAYOUT!$E$2:$E$80,0)),"CEK SHELVING KE di luar layout",IF($I340="","CEK SERIES kosong",IF(AND(S340&lt;&gt;"",NOT(ISNUMBER(S340))),"CEK URUTAN DISPLAY harus angka",IF($D340="","Zona STOCK",IF($E340="","CEK SKU DESCRIPTION kosong",IF(COUNTIFS($I$2:$I$500,$I340,Q$2:Q$500,"&lt;&gt;"&amp;Q340,Q$2:Q$500,"&lt;&gt;")&gt;0,"CEK jenis fixture beda dalam satu series","OK"))))))))))</f>
        <v/>
      </c>
      <c r="V340" s="11" t="n"/>
      <c r="W340" s="11" t="n"/>
      <c r="X340" s="11" t="n"/>
      <c r="Y340" s="11">
        <f>IF(OR(V340="",W340=""),"",IFERROR(INDEX(LAYOUT!$D$2:$D$80,MATCH(V340&amp;"|"&amp;W340,LAYOUT!$E$2:$E$80,0)),""))</f>
        <v/>
      </c>
      <c r="Z340" s="12">
        <f>IF(AND(V340="",W340=""),IF(AND(L340="",M340="",Q340="",R340=""),IF(OR($D340&lt;&gt;"",$E340&lt;&gt;""),"Belum ditempatkan",""),""),IF(V340="","CEK JENIS FIXTURE kosong",IF(LEFT(V340,4)&lt;&gt;"Wall","CEK Fixture 3 hanya Wall",IF(W340="","CEK SHELVING KE kosong",IF(ISNA(MATCH(V340&amp;"|"&amp;W340,LAYOUT!$E$2:$E$80,0)),"CEK SHELVING KE di luar layout",IF($I340="","CEK SERIES kosong",IF(AND(X340&lt;&gt;"",NOT(ISNUMBER(X340))),"CEK URUTAN DISPLAY harus angka",IF($D340="","Zona STOCK",IF($E340="","CEK SKU DESCRIPTION kosong",IF(COUNTIFS($I$2:$I$500,$I340,V$2:V$500,"&lt;&gt;"&amp;V340,V$2:V$500,"&lt;&gt;")&gt;0,"CEK jenis fixture beda dalam satu series","OK"))))))))))</f>
        <v/>
      </c>
      <c r="AA340" s="12" t="n"/>
      <c r="AB340" s="11" t="n"/>
      <c r="AC340" s="11" t="n"/>
      <c r="AD340" s="11" t="n"/>
      <c r="AE340" s="11" t="n"/>
      <c r="AF340" s="11" t="n"/>
      <c r="AG340" s="11" t="n"/>
      <c r="AH340" s="12" t="n"/>
      <c r="AI340" s="12" t="n"/>
    </row>
    <row r="341">
      <c r="A341" s="10" t="n"/>
      <c r="B341" s="10" t="n"/>
      <c r="C341" s="10" t="n"/>
      <c r="D341" s="10" t="n"/>
      <c r="E341" s="10" t="n"/>
      <c r="F341" s="10" t="n"/>
      <c r="G341" s="10" t="n"/>
      <c r="H341" s="10" t="n"/>
      <c r="I341" s="10" t="n"/>
      <c r="J341" s="10" t="n"/>
      <c r="K341" s="10" t="n"/>
      <c r="L341" s="11" t="n"/>
      <c r="M341" s="11" t="n"/>
      <c r="N341" s="11" t="n"/>
      <c r="O341" s="11">
        <f>IF(OR(L341="",M341=""),"",IFERROR(INDEX(LAYOUT!$D$2:$D$80,MATCH(L341&amp;"|"&amp;M341,LAYOUT!$E$2:$E$80,0)),""))</f>
        <v/>
      </c>
      <c r="P341" s="12">
        <f>IF(AND(L341="",M341=""),IF(AND(Q341="",R341="",V341="",W341=""),IF(OR($D341&lt;&gt;"",$E341&lt;&gt;""),"Belum ditempatkan",""),""),IF(L341="","CEK JENIS FIXTURE kosong",IF(AND(LEFT(L341,7)&lt;&gt;"Gondola",LEFT(L341,6)&lt;&gt;"Endcap"),"CEK Fixture 1 hanya Gondola atau Endcap",IF(M341="","CEK SHELVING KE kosong",IF(ISNA(MATCH(L341&amp;"|"&amp;M341,LAYOUT!$E$2:$E$80,0)),"CEK SHELVING KE di luar layout",IF($I341="","CEK SERIES kosong",IF(AND(N341&lt;&gt;"",NOT(ISNUMBER(N341))),"CEK URUTAN DISPLAY harus angka",IF($D341="","Zona STOCK",IF($E341="","CEK SKU DESCRIPTION kosong",IF(COUNTIFS($I$2:$I$500,$I341,L$2:L$500,"&lt;&gt;"&amp;L341,L$2:L$500,"&lt;&gt;")&gt;0,"CEK jenis fixture beda dalam satu series","OK"))))))))))</f>
        <v/>
      </c>
      <c r="Q341" s="11" t="n"/>
      <c r="R341" s="11" t="n"/>
      <c r="S341" s="11" t="n"/>
      <c r="T341" s="11">
        <f>IF(OR(Q341="",R341=""),"",IFERROR(INDEX(LAYOUT!$D$2:$D$80,MATCH(Q341&amp;"|"&amp;R341,LAYOUT!$E$2:$E$80,0)),""))</f>
        <v/>
      </c>
      <c r="U341" s="12">
        <f>IF(AND(Q341="",R341=""),IF(AND(L341="",M341="",V341="",W341=""),IF(OR($D341&lt;&gt;"",$E341&lt;&gt;""),"Belum ditempatkan",""),""),IF(Q341="","CEK JENIS FIXTURE kosong",IF(LEFT(Q341,4)&lt;&gt;"Wall","CEK Fixture 2 hanya Wall",IF(R341="","CEK SHELVING KE kosong",IF(ISNA(MATCH(Q341&amp;"|"&amp;R341,LAYOUT!$E$2:$E$80,0)),"CEK SHELVING KE di luar layout",IF($I341="","CEK SERIES kosong",IF(AND(S341&lt;&gt;"",NOT(ISNUMBER(S341))),"CEK URUTAN DISPLAY harus angka",IF($D341="","Zona STOCK",IF($E341="","CEK SKU DESCRIPTION kosong",IF(COUNTIFS($I$2:$I$500,$I341,Q$2:Q$500,"&lt;&gt;"&amp;Q341,Q$2:Q$500,"&lt;&gt;")&gt;0,"CEK jenis fixture beda dalam satu series","OK"))))))))))</f>
        <v/>
      </c>
      <c r="V341" s="11" t="n"/>
      <c r="W341" s="11" t="n"/>
      <c r="X341" s="11" t="n"/>
      <c r="Y341" s="11">
        <f>IF(OR(V341="",W341=""),"",IFERROR(INDEX(LAYOUT!$D$2:$D$80,MATCH(V341&amp;"|"&amp;W341,LAYOUT!$E$2:$E$80,0)),""))</f>
        <v/>
      </c>
      <c r="Z341" s="12">
        <f>IF(AND(V341="",W341=""),IF(AND(L341="",M341="",Q341="",R341=""),IF(OR($D341&lt;&gt;"",$E341&lt;&gt;""),"Belum ditempatkan",""),""),IF(V341="","CEK JENIS FIXTURE kosong",IF(LEFT(V341,4)&lt;&gt;"Wall","CEK Fixture 3 hanya Wall",IF(W341="","CEK SHELVING KE kosong",IF(ISNA(MATCH(V341&amp;"|"&amp;W341,LAYOUT!$E$2:$E$80,0)),"CEK SHELVING KE di luar layout",IF($I341="","CEK SERIES kosong",IF(AND(X341&lt;&gt;"",NOT(ISNUMBER(X341))),"CEK URUTAN DISPLAY harus angka",IF($D341="","Zona STOCK",IF($E341="","CEK SKU DESCRIPTION kosong",IF(COUNTIFS($I$2:$I$500,$I341,V$2:V$500,"&lt;&gt;"&amp;V341,V$2:V$500,"&lt;&gt;")&gt;0,"CEK jenis fixture beda dalam satu series","OK"))))))))))</f>
        <v/>
      </c>
      <c r="AA341" s="12" t="n"/>
      <c r="AB341" s="11" t="n"/>
      <c r="AC341" s="11" t="n"/>
      <c r="AD341" s="11" t="n"/>
      <c r="AE341" s="11" t="n"/>
      <c r="AF341" s="11" t="n"/>
      <c r="AG341" s="11" t="n"/>
      <c r="AH341" s="12" t="n"/>
      <c r="AI341" s="12" t="n"/>
    </row>
    <row r="342">
      <c r="A342" s="10" t="n"/>
      <c r="B342" s="10" t="n"/>
      <c r="C342" s="10" t="n"/>
      <c r="D342" s="10" t="n"/>
      <c r="E342" s="10" t="n"/>
      <c r="F342" s="10" t="n"/>
      <c r="G342" s="10" t="n"/>
      <c r="H342" s="10" t="n"/>
      <c r="I342" s="10" t="n"/>
      <c r="J342" s="10" t="n"/>
      <c r="K342" s="10" t="n"/>
      <c r="L342" s="11" t="n"/>
      <c r="M342" s="11" t="n"/>
      <c r="N342" s="11" t="n"/>
      <c r="O342" s="11">
        <f>IF(OR(L342="",M342=""),"",IFERROR(INDEX(LAYOUT!$D$2:$D$80,MATCH(L342&amp;"|"&amp;M342,LAYOUT!$E$2:$E$80,0)),""))</f>
        <v/>
      </c>
      <c r="P342" s="12">
        <f>IF(AND(L342="",M342=""),IF(AND(Q342="",R342="",V342="",W342=""),IF(OR($D342&lt;&gt;"",$E342&lt;&gt;""),"Belum ditempatkan",""),""),IF(L342="","CEK JENIS FIXTURE kosong",IF(AND(LEFT(L342,7)&lt;&gt;"Gondola",LEFT(L342,6)&lt;&gt;"Endcap"),"CEK Fixture 1 hanya Gondola atau Endcap",IF(M342="","CEK SHELVING KE kosong",IF(ISNA(MATCH(L342&amp;"|"&amp;M342,LAYOUT!$E$2:$E$80,0)),"CEK SHELVING KE di luar layout",IF($I342="","CEK SERIES kosong",IF(AND(N342&lt;&gt;"",NOT(ISNUMBER(N342))),"CEK URUTAN DISPLAY harus angka",IF($D342="","Zona STOCK",IF($E342="","CEK SKU DESCRIPTION kosong",IF(COUNTIFS($I$2:$I$500,$I342,L$2:L$500,"&lt;&gt;"&amp;L342,L$2:L$500,"&lt;&gt;")&gt;0,"CEK jenis fixture beda dalam satu series","OK"))))))))))</f>
        <v/>
      </c>
      <c r="Q342" s="11" t="n"/>
      <c r="R342" s="11" t="n"/>
      <c r="S342" s="11" t="n"/>
      <c r="T342" s="11">
        <f>IF(OR(Q342="",R342=""),"",IFERROR(INDEX(LAYOUT!$D$2:$D$80,MATCH(Q342&amp;"|"&amp;R342,LAYOUT!$E$2:$E$80,0)),""))</f>
        <v/>
      </c>
      <c r="U342" s="12">
        <f>IF(AND(Q342="",R342=""),IF(AND(L342="",M342="",V342="",W342=""),IF(OR($D342&lt;&gt;"",$E342&lt;&gt;""),"Belum ditempatkan",""),""),IF(Q342="","CEK JENIS FIXTURE kosong",IF(LEFT(Q342,4)&lt;&gt;"Wall","CEK Fixture 2 hanya Wall",IF(R342="","CEK SHELVING KE kosong",IF(ISNA(MATCH(Q342&amp;"|"&amp;R342,LAYOUT!$E$2:$E$80,0)),"CEK SHELVING KE di luar layout",IF($I342="","CEK SERIES kosong",IF(AND(S342&lt;&gt;"",NOT(ISNUMBER(S342))),"CEK URUTAN DISPLAY harus angka",IF($D342="","Zona STOCK",IF($E342="","CEK SKU DESCRIPTION kosong",IF(COUNTIFS($I$2:$I$500,$I342,Q$2:Q$500,"&lt;&gt;"&amp;Q342,Q$2:Q$500,"&lt;&gt;")&gt;0,"CEK jenis fixture beda dalam satu series","OK"))))))))))</f>
        <v/>
      </c>
      <c r="V342" s="11" t="n"/>
      <c r="W342" s="11" t="n"/>
      <c r="X342" s="11" t="n"/>
      <c r="Y342" s="11">
        <f>IF(OR(V342="",W342=""),"",IFERROR(INDEX(LAYOUT!$D$2:$D$80,MATCH(V342&amp;"|"&amp;W342,LAYOUT!$E$2:$E$80,0)),""))</f>
        <v/>
      </c>
      <c r="Z342" s="12">
        <f>IF(AND(V342="",W342=""),IF(AND(L342="",M342="",Q342="",R342=""),IF(OR($D342&lt;&gt;"",$E342&lt;&gt;""),"Belum ditempatkan",""),""),IF(V342="","CEK JENIS FIXTURE kosong",IF(LEFT(V342,4)&lt;&gt;"Wall","CEK Fixture 3 hanya Wall",IF(W342="","CEK SHELVING KE kosong",IF(ISNA(MATCH(V342&amp;"|"&amp;W342,LAYOUT!$E$2:$E$80,0)),"CEK SHELVING KE di luar layout",IF($I342="","CEK SERIES kosong",IF(AND(X342&lt;&gt;"",NOT(ISNUMBER(X342))),"CEK URUTAN DISPLAY harus angka",IF($D342="","Zona STOCK",IF($E342="","CEK SKU DESCRIPTION kosong",IF(COUNTIFS($I$2:$I$500,$I342,V$2:V$500,"&lt;&gt;"&amp;V342,V$2:V$500,"&lt;&gt;")&gt;0,"CEK jenis fixture beda dalam satu series","OK"))))))))))</f>
        <v/>
      </c>
      <c r="AA342" s="12" t="n"/>
      <c r="AB342" s="11" t="n"/>
      <c r="AC342" s="11" t="n"/>
      <c r="AD342" s="11" t="n"/>
      <c r="AE342" s="11" t="n"/>
      <c r="AF342" s="11" t="n"/>
      <c r="AG342" s="11" t="n"/>
      <c r="AH342" s="12" t="n"/>
      <c r="AI342" s="12" t="n"/>
    </row>
    <row r="343">
      <c r="A343" s="10" t="n"/>
      <c r="B343" s="10" t="n"/>
      <c r="C343" s="10" t="n"/>
      <c r="D343" s="10" t="n"/>
      <c r="E343" s="10" t="n"/>
      <c r="F343" s="10" t="n"/>
      <c r="G343" s="10" t="n"/>
      <c r="H343" s="10" t="n"/>
      <c r="I343" s="10" t="n"/>
      <c r="J343" s="10" t="n"/>
      <c r="K343" s="10" t="n"/>
      <c r="L343" s="11" t="n"/>
      <c r="M343" s="11" t="n"/>
      <c r="N343" s="11" t="n"/>
      <c r="O343" s="11">
        <f>IF(OR(L343="",M343=""),"",IFERROR(INDEX(LAYOUT!$D$2:$D$80,MATCH(L343&amp;"|"&amp;M343,LAYOUT!$E$2:$E$80,0)),""))</f>
        <v/>
      </c>
      <c r="P343" s="12">
        <f>IF(AND(L343="",M343=""),IF(AND(Q343="",R343="",V343="",W343=""),IF(OR($D343&lt;&gt;"",$E343&lt;&gt;""),"Belum ditempatkan",""),""),IF(L343="","CEK JENIS FIXTURE kosong",IF(AND(LEFT(L343,7)&lt;&gt;"Gondola",LEFT(L343,6)&lt;&gt;"Endcap"),"CEK Fixture 1 hanya Gondola atau Endcap",IF(M343="","CEK SHELVING KE kosong",IF(ISNA(MATCH(L343&amp;"|"&amp;M343,LAYOUT!$E$2:$E$80,0)),"CEK SHELVING KE di luar layout",IF($I343="","CEK SERIES kosong",IF(AND(N343&lt;&gt;"",NOT(ISNUMBER(N343))),"CEK URUTAN DISPLAY harus angka",IF($D343="","Zona STOCK",IF($E343="","CEK SKU DESCRIPTION kosong",IF(COUNTIFS($I$2:$I$500,$I343,L$2:L$500,"&lt;&gt;"&amp;L343,L$2:L$500,"&lt;&gt;")&gt;0,"CEK jenis fixture beda dalam satu series","OK"))))))))))</f>
        <v/>
      </c>
      <c r="Q343" s="11" t="n"/>
      <c r="R343" s="11" t="n"/>
      <c r="S343" s="11" t="n"/>
      <c r="T343" s="11">
        <f>IF(OR(Q343="",R343=""),"",IFERROR(INDEX(LAYOUT!$D$2:$D$80,MATCH(Q343&amp;"|"&amp;R343,LAYOUT!$E$2:$E$80,0)),""))</f>
        <v/>
      </c>
      <c r="U343" s="12">
        <f>IF(AND(Q343="",R343=""),IF(AND(L343="",M343="",V343="",W343=""),IF(OR($D343&lt;&gt;"",$E343&lt;&gt;""),"Belum ditempatkan",""),""),IF(Q343="","CEK JENIS FIXTURE kosong",IF(LEFT(Q343,4)&lt;&gt;"Wall","CEK Fixture 2 hanya Wall",IF(R343="","CEK SHELVING KE kosong",IF(ISNA(MATCH(Q343&amp;"|"&amp;R343,LAYOUT!$E$2:$E$80,0)),"CEK SHELVING KE di luar layout",IF($I343="","CEK SERIES kosong",IF(AND(S343&lt;&gt;"",NOT(ISNUMBER(S343))),"CEK URUTAN DISPLAY harus angka",IF($D343="","Zona STOCK",IF($E343="","CEK SKU DESCRIPTION kosong",IF(COUNTIFS($I$2:$I$500,$I343,Q$2:Q$500,"&lt;&gt;"&amp;Q343,Q$2:Q$500,"&lt;&gt;")&gt;0,"CEK jenis fixture beda dalam satu series","OK"))))))))))</f>
        <v/>
      </c>
      <c r="V343" s="11" t="n"/>
      <c r="W343" s="11" t="n"/>
      <c r="X343" s="11" t="n"/>
      <c r="Y343" s="11">
        <f>IF(OR(V343="",W343=""),"",IFERROR(INDEX(LAYOUT!$D$2:$D$80,MATCH(V343&amp;"|"&amp;W343,LAYOUT!$E$2:$E$80,0)),""))</f>
        <v/>
      </c>
      <c r="Z343" s="12">
        <f>IF(AND(V343="",W343=""),IF(AND(L343="",M343="",Q343="",R343=""),IF(OR($D343&lt;&gt;"",$E343&lt;&gt;""),"Belum ditempatkan",""),""),IF(V343="","CEK JENIS FIXTURE kosong",IF(LEFT(V343,4)&lt;&gt;"Wall","CEK Fixture 3 hanya Wall",IF(W343="","CEK SHELVING KE kosong",IF(ISNA(MATCH(V343&amp;"|"&amp;W343,LAYOUT!$E$2:$E$80,0)),"CEK SHELVING KE di luar layout",IF($I343="","CEK SERIES kosong",IF(AND(X343&lt;&gt;"",NOT(ISNUMBER(X343))),"CEK URUTAN DISPLAY harus angka",IF($D343="","Zona STOCK",IF($E343="","CEK SKU DESCRIPTION kosong",IF(COUNTIFS($I$2:$I$500,$I343,V$2:V$500,"&lt;&gt;"&amp;V343,V$2:V$500,"&lt;&gt;")&gt;0,"CEK jenis fixture beda dalam satu series","OK"))))))))))</f>
        <v/>
      </c>
      <c r="AA343" s="12" t="n"/>
      <c r="AB343" s="11" t="n"/>
      <c r="AC343" s="11" t="n"/>
      <c r="AD343" s="11" t="n"/>
      <c r="AE343" s="11" t="n"/>
      <c r="AF343" s="11" t="n"/>
      <c r="AG343" s="11" t="n"/>
      <c r="AH343" s="12" t="n"/>
      <c r="AI343" s="12" t="n"/>
    </row>
    <row r="344">
      <c r="A344" s="10" t="n"/>
      <c r="B344" s="10" t="n"/>
      <c r="C344" s="10" t="n"/>
      <c r="D344" s="10" t="n"/>
      <c r="E344" s="10" t="n"/>
      <c r="F344" s="10" t="n"/>
      <c r="G344" s="10" t="n"/>
      <c r="H344" s="10" t="n"/>
      <c r="I344" s="10" t="n"/>
      <c r="J344" s="10" t="n"/>
      <c r="K344" s="10" t="n"/>
      <c r="L344" s="11" t="n"/>
      <c r="M344" s="11" t="n"/>
      <c r="N344" s="11" t="n"/>
      <c r="O344" s="11">
        <f>IF(OR(L344="",M344=""),"",IFERROR(INDEX(LAYOUT!$D$2:$D$80,MATCH(L344&amp;"|"&amp;M344,LAYOUT!$E$2:$E$80,0)),""))</f>
        <v/>
      </c>
      <c r="P344" s="12">
        <f>IF(AND(L344="",M344=""),IF(AND(Q344="",R344="",V344="",W344=""),IF(OR($D344&lt;&gt;"",$E344&lt;&gt;""),"Belum ditempatkan",""),""),IF(L344="","CEK JENIS FIXTURE kosong",IF(AND(LEFT(L344,7)&lt;&gt;"Gondola",LEFT(L344,6)&lt;&gt;"Endcap"),"CEK Fixture 1 hanya Gondola atau Endcap",IF(M344="","CEK SHELVING KE kosong",IF(ISNA(MATCH(L344&amp;"|"&amp;M344,LAYOUT!$E$2:$E$80,0)),"CEK SHELVING KE di luar layout",IF($I344="","CEK SERIES kosong",IF(AND(N344&lt;&gt;"",NOT(ISNUMBER(N344))),"CEK URUTAN DISPLAY harus angka",IF($D344="","Zona STOCK",IF($E344="","CEK SKU DESCRIPTION kosong",IF(COUNTIFS($I$2:$I$500,$I344,L$2:L$500,"&lt;&gt;"&amp;L344,L$2:L$500,"&lt;&gt;")&gt;0,"CEK jenis fixture beda dalam satu series","OK"))))))))))</f>
        <v/>
      </c>
      <c r="Q344" s="11" t="n"/>
      <c r="R344" s="11" t="n"/>
      <c r="S344" s="11" t="n"/>
      <c r="T344" s="11">
        <f>IF(OR(Q344="",R344=""),"",IFERROR(INDEX(LAYOUT!$D$2:$D$80,MATCH(Q344&amp;"|"&amp;R344,LAYOUT!$E$2:$E$80,0)),""))</f>
        <v/>
      </c>
      <c r="U344" s="12">
        <f>IF(AND(Q344="",R344=""),IF(AND(L344="",M344="",V344="",W344=""),IF(OR($D344&lt;&gt;"",$E344&lt;&gt;""),"Belum ditempatkan",""),""),IF(Q344="","CEK JENIS FIXTURE kosong",IF(LEFT(Q344,4)&lt;&gt;"Wall","CEK Fixture 2 hanya Wall",IF(R344="","CEK SHELVING KE kosong",IF(ISNA(MATCH(Q344&amp;"|"&amp;R344,LAYOUT!$E$2:$E$80,0)),"CEK SHELVING KE di luar layout",IF($I344="","CEK SERIES kosong",IF(AND(S344&lt;&gt;"",NOT(ISNUMBER(S344))),"CEK URUTAN DISPLAY harus angka",IF($D344="","Zona STOCK",IF($E344="","CEK SKU DESCRIPTION kosong",IF(COUNTIFS($I$2:$I$500,$I344,Q$2:Q$500,"&lt;&gt;"&amp;Q344,Q$2:Q$500,"&lt;&gt;")&gt;0,"CEK jenis fixture beda dalam satu series","OK"))))))))))</f>
        <v/>
      </c>
      <c r="V344" s="11" t="n"/>
      <c r="W344" s="11" t="n"/>
      <c r="X344" s="11" t="n"/>
      <c r="Y344" s="11">
        <f>IF(OR(V344="",W344=""),"",IFERROR(INDEX(LAYOUT!$D$2:$D$80,MATCH(V344&amp;"|"&amp;W344,LAYOUT!$E$2:$E$80,0)),""))</f>
        <v/>
      </c>
      <c r="Z344" s="12">
        <f>IF(AND(V344="",W344=""),IF(AND(L344="",M344="",Q344="",R344=""),IF(OR($D344&lt;&gt;"",$E344&lt;&gt;""),"Belum ditempatkan",""),""),IF(V344="","CEK JENIS FIXTURE kosong",IF(LEFT(V344,4)&lt;&gt;"Wall","CEK Fixture 3 hanya Wall",IF(W344="","CEK SHELVING KE kosong",IF(ISNA(MATCH(V344&amp;"|"&amp;W344,LAYOUT!$E$2:$E$80,0)),"CEK SHELVING KE di luar layout",IF($I344="","CEK SERIES kosong",IF(AND(X344&lt;&gt;"",NOT(ISNUMBER(X344))),"CEK URUTAN DISPLAY harus angka",IF($D344="","Zona STOCK",IF($E344="","CEK SKU DESCRIPTION kosong",IF(COUNTIFS($I$2:$I$500,$I344,V$2:V$500,"&lt;&gt;"&amp;V344,V$2:V$500,"&lt;&gt;")&gt;0,"CEK jenis fixture beda dalam satu series","OK"))))))))))</f>
        <v/>
      </c>
      <c r="AA344" s="12" t="n"/>
      <c r="AB344" s="11" t="n"/>
      <c r="AC344" s="11" t="n"/>
      <c r="AD344" s="11" t="n"/>
      <c r="AE344" s="11" t="n"/>
      <c r="AF344" s="11" t="n"/>
      <c r="AG344" s="11" t="n"/>
      <c r="AH344" s="12" t="n"/>
      <c r="AI344" s="12" t="n"/>
    </row>
    <row r="345">
      <c r="A345" s="10" t="n"/>
      <c r="B345" s="10" t="n"/>
      <c r="C345" s="10" t="n"/>
      <c r="D345" s="10" t="n"/>
      <c r="E345" s="10" t="n"/>
      <c r="F345" s="10" t="n"/>
      <c r="G345" s="10" t="n"/>
      <c r="H345" s="10" t="n"/>
      <c r="I345" s="10" t="n"/>
      <c r="J345" s="10" t="n"/>
      <c r="K345" s="10" t="n"/>
      <c r="L345" s="11" t="n"/>
      <c r="M345" s="11" t="n"/>
      <c r="N345" s="11" t="n"/>
      <c r="O345" s="11">
        <f>IF(OR(L345="",M345=""),"",IFERROR(INDEX(LAYOUT!$D$2:$D$80,MATCH(L345&amp;"|"&amp;M345,LAYOUT!$E$2:$E$80,0)),""))</f>
        <v/>
      </c>
      <c r="P345" s="12">
        <f>IF(AND(L345="",M345=""),IF(AND(Q345="",R345="",V345="",W345=""),IF(OR($D345&lt;&gt;"",$E345&lt;&gt;""),"Belum ditempatkan",""),""),IF(L345="","CEK JENIS FIXTURE kosong",IF(AND(LEFT(L345,7)&lt;&gt;"Gondola",LEFT(L345,6)&lt;&gt;"Endcap"),"CEK Fixture 1 hanya Gondola atau Endcap",IF(M345="","CEK SHELVING KE kosong",IF(ISNA(MATCH(L345&amp;"|"&amp;M345,LAYOUT!$E$2:$E$80,0)),"CEK SHELVING KE di luar layout",IF($I345="","CEK SERIES kosong",IF(AND(N345&lt;&gt;"",NOT(ISNUMBER(N345))),"CEK URUTAN DISPLAY harus angka",IF($D345="","Zona STOCK",IF($E345="","CEK SKU DESCRIPTION kosong",IF(COUNTIFS($I$2:$I$500,$I345,L$2:L$500,"&lt;&gt;"&amp;L345,L$2:L$500,"&lt;&gt;")&gt;0,"CEK jenis fixture beda dalam satu series","OK"))))))))))</f>
        <v/>
      </c>
      <c r="Q345" s="11" t="n"/>
      <c r="R345" s="11" t="n"/>
      <c r="S345" s="11" t="n"/>
      <c r="T345" s="11">
        <f>IF(OR(Q345="",R345=""),"",IFERROR(INDEX(LAYOUT!$D$2:$D$80,MATCH(Q345&amp;"|"&amp;R345,LAYOUT!$E$2:$E$80,0)),""))</f>
        <v/>
      </c>
      <c r="U345" s="12">
        <f>IF(AND(Q345="",R345=""),IF(AND(L345="",M345="",V345="",W345=""),IF(OR($D345&lt;&gt;"",$E345&lt;&gt;""),"Belum ditempatkan",""),""),IF(Q345="","CEK JENIS FIXTURE kosong",IF(LEFT(Q345,4)&lt;&gt;"Wall","CEK Fixture 2 hanya Wall",IF(R345="","CEK SHELVING KE kosong",IF(ISNA(MATCH(Q345&amp;"|"&amp;R345,LAYOUT!$E$2:$E$80,0)),"CEK SHELVING KE di luar layout",IF($I345="","CEK SERIES kosong",IF(AND(S345&lt;&gt;"",NOT(ISNUMBER(S345))),"CEK URUTAN DISPLAY harus angka",IF($D345="","Zona STOCK",IF($E345="","CEK SKU DESCRIPTION kosong",IF(COUNTIFS($I$2:$I$500,$I345,Q$2:Q$500,"&lt;&gt;"&amp;Q345,Q$2:Q$500,"&lt;&gt;")&gt;0,"CEK jenis fixture beda dalam satu series","OK"))))))))))</f>
        <v/>
      </c>
      <c r="V345" s="11" t="n"/>
      <c r="W345" s="11" t="n"/>
      <c r="X345" s="11" t="n"/>
      <c r="Y345" s="11">
        <f>IF(OR(V345="",W345=""),"",IFERROR(INDEX(LAYOUT!$D$2:$D$80,MATCH(V345&amp;"|"&amp;W345,LAYOUT!$E$2:$E$80,0)),""))</f>
        <v/>
      </c>
      <c r="Z345" s="12">
        <f>IF(AND(V345="",W345=""),IF(AND(L345="",M345="",Q345="",R345=""),IF(OR($D345&lt;&gt;"",$E345&lt;&gt;""),"Belum ditempatkan",""),""),IF(V345="","CEK JENIS FIXTURE kosong",IF(LEFT(V345,4)&lt;&gt;"Wall","CEK Fixture 3 hanya Wall",IF(W345="","CEK SHELVING KE kosong",IF(ISNA(MATCH(V345&amp;"|"&amp;W345,LAYOUT!$E$2:$E$80,0)),"CEK SHELVING KE di luar layout",IF($I345="","CEK SERIES kosong",IF(AND(X345&lt;&gt;"",NOT(ISNUMBER(X345))),"CEK URUTAN DISPLAY harus angka",IF($D345="","Zona STOCK",IF($E345="","CEK SKU DESCRIPTION kosong",IF(COUNTIFS($I$2:$I$500,$I345,V$2:V$500,"&lt;&gt;"&amp;V345,V$2:V$500,"&lt;&gt;")&gt;0,"CEK jenis fixture beda dalam satu series","OK"))))))))))</f>
        <v/>
      </c>
      <c r="AA345" s="12" t="n"/>
      <c r="AB345" s="11" t="n"/>
      <c r="AC345" s="11" t="n"/>
      <c r="AD345" s="11" t="n"/>
      <c r="AE345" s="11" t="n"/>
      <c r="AF345" s="11" t="n"/>
      <c r="AG345" s="11" t="n"/>
      <c r="AH345" s="12" t="n"/>
      <c r="AI345" s="12" t="n"/>
    </row>
    <row r="346">
      <c r="A346" s="10" t="n"/>
      <c r="B346" s="10" t="n"/>
      <c r="C346" s="10" t="n"/>
      <c r="D346" s="10" t="n"/>
      <c r="E346" s="10" t="n"/>
      <c r="F346" s="10" t="n"/>
      <c r="G346" s="10" t="n"/>
      <c r="H346" s="10" t="n"/>
      <c r="I346" s="10" t="n"/>
      <c r="J346" s="10" t="n"/>
      <c r="K346" s="10" t="n"/>
      <c r="L346" s="11" t="n"/>
      <c r="M346" s="11" t="n"/>
      <c r="N346" s="11" t="n"/>
      <c r="O346" s="11">
        <f>IF(OR(L346="",M346=""),"",IFERROR(INDEX(LAYOUT!$D$2:$D$80,MATCH(L346&amp;"|"&amp;M346,LAYOUT!$E$2:$E$80,0)),""))</f>
        <v/>
      </c>
      <c r="P346" s="12">
        <f>IF(AND(L346="",M346=""),IF(AND(Q346="",R346="",V346="",W346=""),IF(OR($D346&lt;&gt;"",$E346&lt;&gt;""),"Belum ditempatkan",""),""),IF(L346="","CEK JENIS FIXTURE kosong",IF(AND(LEFT(L346,7)&lt;&gt;"Gondola",LEFT(L346,6)&lt;&gt;"Endcap"),"CEK Fixture 1 hanya Gondola atau Endcap",IF(M346="","CEK SHELVING KE kosong",IF(ISNA(MATCH(L346&amp;"|"&amp;M346,LAYOUT!$E$2:$E$80,0)),"CEK SHELVING KE di luar layout",IF($I346="","CEK SERIES kosong",IF(AND(N346&lt;&gt;"",NOT(ISNUMBER(N346))),"CEK URUTAN DISPLAY harus angka",IF($D346="","Zona STOCK",IF($E346="","CEK SKU DESCRIPTION kosong",IF(COUNTIFS($I$2:$I$500,$I346,L$2:L$500,"&lt;&gt;"&amp;L346,L$2:L$500,"&lt;&gt;")&gt;0,"CEK jenis fixture beda dalam satu series","OK"))))))))))</f>
        <v/>
      </c>
      <c r="Q346" s="11" t="n"/>
      <c r="R346" s="11" t="n"/>
      <c r="S346" s="11" t="n"/>
      <c r="T346" s="11">
        <f>IF(OR(Q346="",R346=""),"",IFERROR(INDEX(LAYOUT!$D$2:$D$80,MATCH(Q346&amp;"|"&amp;R346,LAYOUT!$E$2:$E$80,0)),""))</f>
        <v/>
      </c>
      <c r="U346" s="12">
        <f>IF(AND(Q346="",R346=""),IF(AND(L346="",M346="",V346="",W346=""),IF(OR($D346&lt;&gt;"",$E346&lt;&gt;""),"Belum ditempatkan",""),""),IF(Q346="","CEK JENIS FIXTURE kosong",IF(LEFT(Q346,4)&lt;&gt;"Wall","CEK Fixture 2 hanya Wall",IF(R346="","CEK SHELVING KE kosong",IF(ISNA(MATCH(Q346&amp;"|"&amp;R346,LAYOUT!$E$2:$E$80,0)),"CEK SHELVING KE di luar layout",IF($I346="","CEK SERIES kosong",IF(AND(S346&lt;&gt;"",NOT(ISNUMBER(S346))),"CEK URUTAN DISPLAY harus angka",IF($D346="","Zona STOCK",IF($E346="","CEK SKU DESCRIPTION kosong",IF(COUNTIFS($I$2:$I$500,$I346,Q$2:Q$500,"&lt;&gt;"&amp;Q346,Q$2:Q$500,"&lt;&gt;")&gt;0,"CEK jenis fixture beda dalam satu series","OK"))))))))))</f>
        <v/>
      </c>
      <c r="V346" s="11" t="n"/>
      <c r="W346" s="11" t="n"/>
      <c r="X346" s="11" t="n"/>
      <c r="Y346" s="11">
        <f>IF(OR(V346="",W346=""),"",IFERROR(INDEX(LAYOUT!$D$2:$D$80,MATCH(V346&amp;"|"&amp;W346,LAYOUT!$E$2:$E$80,0)),""))</f>
        <v/>
      </c>
      <c r="Z346" s="12">
        <f>IF(AND(V346="",W346=""),IF(AND(L346="",M346="",Q346="",R346=""),IF(OR($D346&lt;&gt;"",$E346&lt;&gt;""),"Belum ditempatkan",""),""),IF(V346="","CEK JENIS FIXTURE kosong",IF(LEFT(V346,4)&lt;&gt;"Wall","CEK Fixture 3 hanya Wall",IF(W346="","CEK SHELVING KE kosong",IF(ISNA(MATCH(V346&amp;"|"&amp;W346,LAYOUT!$E$2:$E$80,0)),"CEK SHELVING KE di luar layout",IF($I346="","CEK SERIES kosong",IF(AND(X346&lt;&gt;"",NOT(ISNUMBER(X346))),"CEK URUTAN DISPLAY harus angka",IF($D346="","Zona STOCK",IF($E346="","CEK SKU DESCRIPTION kosong",IF(COUNTIFS($I$2:$I$500,$I346,V$2:V$500,"&lt;&gt;"&amp;V346,V$2:V$500,"&lt;&gt;")&gt;0,"CEK jenis fixture beda dalam satu series","OK"))))))))))</f>
        <v/>
      </c>
      <c r="AA346" s="12" t="n"/>
      <c r="AB346" s="11" t="n"/>
      <c r="AC346" s="11" t="n"/>
      <c r="AD346" s="11" t="n"/>
      <c r="AE346" s="11" t="n"/>
      <c r="AF346" s="11" t="n"/>
      <c r="AG346" s="11" t="n"/>
      <c r="AH346" s="12" t="n"/>
      <c r="AI346" s="12" t="n"/>
    </row>
    <row r="347">
      <c r="A347" s="10" t="n"/>
      <c r="B347" s="10" t="n"/>
      <c r="C347" s="10" t="n"/>
      <c r="D347" s="10" t="n"/>
      <c r="E347" s="10" t="n"/>
      <c r="F347" s="10" t="n"/>
      <c r="G347" s="10" t="n"/>
      <c r="H347" s="10" t="n"/>
      <c r="I347" s="10" t="n"/>
      <c r="J347" s="10" t="n"/>
      <c r="K347" s="10" t="n"/>
      <c r="L347" s="11" t="n"/>
      <c r="M347" s="11" t="n"/>
      <c r="N347" s="11" t="n"/>
      <c r="O347" s="11">
        <f>IF(OR(L347="",M347=""),"",IFERROR(INDEX(LAYOUT!$D$2:$D$80,MATCH(L347&amp;"|"&amp;M347,LAYOUT!$E$2:$E$80,0)),""))</f>
        <v/>
      </c>
      <c r="P347" s="12">
        <f>IF(AND(L347="",M347=""),IF(AND(Q347="",R347="",V347="",W347=""),IF(OR($D347&lt;&gt;"",$E347&lt;&gt;""),"Belum ditempatkan",""),""),IF(L347="","CEK JENIS FIXTURE kosong",IF(AND(LEFT(L347,7)&lt;&gt;"Gondola",LEFT(L347,6)&lt;&gt;"Endcap"),"CEK Fixture 1 hanya Gondola atau Endcap",IF(M347="","CEK SHELVING KE kosong",IF(ISNA(MATCH(L347&amp;"|"&amp;M347,LAYOUT!$E$2:$E$80,0)),"CEK SHELVING KE di luar layout",IF($I347="","CEK SERIES kosong",IF(AND(N347&lt;&gt;"",NOT(ISNUMBER(N347))),"CEK URUTAN DISPLAY harus angka",IF($D347="","Zona STOCK",IF($E347="","CEK SKU DESCRIPTION kosong",IF(COUNTIFS($I$2:$I$500,$I347,L$2:L$500,"&lt;&gt;"&amp;L347,L$2:L$500,"&lt;&gt;")&gt;0,"CEK jenis fixture beda dalam satu series","OK"))))))))))</f>
        <v/>
      </c>
      <c r="Q347" s="11" t="n"/>
      <c r="R347" s="11" t="n"/>
      <c r="S347" s="11" t="n"/>
      <c r="T347" s="11">
        <f>IF(OR(Q347="",R347=""),"",IFERROR(INDEX(LAYOUT!$D$2:$D$80,MATCH(Q347&amp;"|"&amp;R347,LAYOUT!$E$2:$E$80,0)),""))</f>
        <v/>
      </c>
      <c r="U347" s="12">
        <f>IF(AND(Q347="",R347=""),IF(AND(L347="",M347="",V347="",W347=""),IF(OR($D347&lt;&gt;"",$E347&lt;&gt;""),"Belum ditempatkan",""),""),IF(Q347="","CEK JENIS FIXTURE kosong",IF(LEFT(Q347,4)&lt;&gt;"Wall","CEK Fixture 2 hanya Wall",IF(R347="","CEK SHELVING KE kosong",IF(ISNA(MATCH(Q347&amp;"|"&amp;R347,LAYOUT!$E$2:$E$80,0)),"CEK SHELVING KE di luar layout",IF($I347="","CEK SERIES kosong",IF(AND(S347&lt;&gt;"",NOT(ISNUMBER(S347))),"CEK URUTAN DISPLAY harus angka",IF($D347="","Zona STOCK",IF($E347="","CEK SKU DESCRIPTION kosong",IF(COUNTIFS($I$2:$I$500,$I347,Q$2:Q$500,"&lt;&gt;"&amp;Q347,Q$2:Q$500,"&lt;&gt;")&gt;0,"CEK jenis fixture beda dalam satu series","OK"))))))))))</f>
        <v/>
      </c>
      <c r="V347" s="11" t="n"/>
      <c r="W347" s="11" t="n"/>
      <c r="X347" s="11" t="n"/>
      <c r="Y347" s="11">
        <f>IF(OR(V347="",W347=""),"",IFERROR(INDEX(LAYOUT!$D$2:$D$80,MATCH(V347&amp;"|"&amp;W347,LAYOUT!$E$2:$E$80,0)),""))</f>
        <v/>
      </c>
      <c r="Z347" s="12">
        <f>IF(AND(V347="",W347=""),IF(AND(L347="",M347="",Q347="",R347=""),IF(OR($D347&lt;&gt;"",$E347&lt;&gt;""),"Belum ditempatkan",""),""),IF(V347="","CEK JENIS FIXTURE kosong",IF(LEFT(V347,4)&lt;&gt;"Wall","CEK Fixture 3 hanya Wall",IF(W347="","CEK SHELVING KE kosong",IF(ISNA(MATCH(V347&amp;"|"&amp;W347,LAYOUT!$E$2:$E$80,0)),"CEK SHELVING KE di luar layout",IF($I347="","CEK SERIES kosong",IF(AND(X347&lt;&gt;"",NOT(ISNUMBER(X347))),"CEK URUTAN DISPLAY harus angka",IF($D347="","Zona STOCK",IF($E347="","CEK SKU DESCRIPTION kosong",IF(COUNTIFS($I$2:$I$500,$I347,V$2:V$500,"&lt;&gt;"&amp;V347,V$2:V$500,"&lt;&gt;")&gt;0,"CEK jenis fixture beda dalam satu series","OK"))))))))))</f>
        <v/>
      </c>
      <c r="AA347" s="12" t="n"/>
      <c r="AB347" s="11" t="n"/>
      <c r="AC347" s="11" t="n"/>
      <c r="AD347" s="11" t="n"/>
      <c r="AE347" s="11" t="n"/>
      <c r="AF347" s="11" t="n"/>
      <c r="AG347" s="11" t="n"/>
      <c r="AH347" s="12" t="n"/>
      <c r="AI347" s="12" t="n"/>
    </row>
    <row r="348">
      <c r="A348" s="10" t="n"/>
      <c r="B348" s="10" t="n"/>
      <c r="C348" s="10" t="n"/>
      <c r="D348" s="10" t="n"/>
      <c r="E348" s="10" t="n"/>
      <c r="F348" s="10" t="n"/>
      <c r="G348" s="10" t="n"/>
      <c r="H348" s="10" t="n"/>
      <c r="I348" s="10" t="n"/>
      <c r="J348" s="10" t="n"/>
      <c r="K348" s="10" t="n"/>
      <c r="L348" s="11" t="n"/>
      <c r="M348" s="11" t="n"/>
      <c r="N348" s="11" t="n"/>
      <c r="O348" s="11">
        <f>IF(OR(L348="",M348=""),"",IFERROR(INDEX(LAYOUT!$D$2:$D$80,MATCH(L348&amp;"|"&amp;M348,LAYOUT!$E$2:$E$80,0)),""))</f>
        <v/>
      </c>
      <c r="P348" s="12">
        <f>IF(AND(L348="",M348=""),IF(AND(Q348="",R348="",V348="",W348=""),IF(OR($D348&lt;&gt;"",$E348&lt;&gt;""),"Belum ditempatkan",""),""),IF(L348="","CEK JENIS FIXTURE kosong",IF(AND(LEFT(L348,7)&lt;&gt;"Gondola",LEFT(L348,6)&lt;&gt;"Endcap"),"CEK Fixture 1 hanya Gondola atau Endcap",IF(M348="","CEK SHELVING KE kosong",IF(ISNA(MATCH(L348&amp;"|"&amp;M348,LAYOUT!$E$2:$E$80,0)),"CEK SHELVING KE di luar layout",IF($I348="","CEK SERIES kosong",IF(AND(N348&lt;&gt;"",NOT(ISNUMBER(N348))),"CEK URUTAN DISPLAY harus angka",IF($D348="","Zona STOCK",IF($E348="","CEK SKU DESCRIPTION kosong",IF(COUNTIFS($I$2:$I$500,$I348,L$2:L$500,"&lt;&gt;"&amp;L348,L$2:L$500,"&lt;&gt;")&gt;0,"CEK jenis fixture beda dalam satu series","OK"))))))))))</f>
        <v/>
      </c>
      <c r="Q348" s="11" t="n"/>
      <c r="R348" s="11" t="n"/>
      <c r="S348" s="11" t="n"/>
      <c r="T348" s="11">
        <f>IF(OR(Q348="",R348=""),"",IFERROR(INDEX(LAYOUT!$D$2:$D$80,MATCH(Q348&amp;"|"&amp;R348,LAYOUT!$E$2:$E$80,0)),""))</f>
        <v/>
      </c>
      <c r="U348" s="12">
        <f>IF(AND(Q348="",R348=""),IF(AND(L348="",M348="",V348="",W348=""),IF(OR($D348&lt;&gt;"",$E348&lt;&gt;""),"Belum ditempatkan",""),""),IF(Q348="","CEK JENIS FIXTURE kosong",IF(LEFT(Q348,4)&lt;&gt;"Wall","CEK Fixture 2 hanya Wall",IF(R348="","CEK SHELVING KE kosong",IF(ISNA(MATCH(Q348&amp;"|"&amp;R348,LAYOUT!$E$2:$E$80,0)),"CEK SHELVING KE di luar layout",IF($I348="","CEK SERIES kosong",IF(AND(S348&lt;&gt;"",NOT(ISNUMBER(S348))),"CEK URUTAN DISPLAY harus angka",IF($D348="","Zona STOCK",IF($E348="","CEK SKU DESCRIPTION kosong",IF(COUNTIFS($I$2:$I$500,$I348,Q$2:Q$500,"&lt;&gt;"&amp;Q348,Q$2:Q$500,"&lt;&gt;")&gt;0,"CEK jenis fixture beda dalam satu series","OK"))))))))))</f>
        <v/>
      </c>
      <c r="V348" s="11" t="n"/>
      <c r="W348" s="11" t="n"/>
      <c r="X348" s="11" t="n"/>
      <c r="Y348" s="11">
        <f>IF(OR(V348="",W348=""),"",IFERROR(INDEX(LAYOUT!$D$2:$D$80,MATCH(V348&amp;"|"&amp;W348,LAYOUT!$E$2:$E$80,0)),""))</f>
        <v/>
      </c>
      <c r="Z348" s="12">
        <f>IF(AND(V348="",W348=""),IF(AND(L348="",M348="",Q348="",R348=""),IF(OR($D348&lt;&gt;"",$E348&lt;&gt;""),"Belum ditempatkan",""),""),IF(V348="","CEK JENIS FIXTURE kosong",IF(LEFT(V348,4)&lt;&gt;"Wall","CEK Fixture 3 hanya Wall",IF(W348="","CEK SHELVING KE kosong",IF(ISNA(MATCH(V348&amp;"|"&amp;W348,LAYOUT!$E$2:$E$80,0)),"CEK SHELVING KE di luar layout",IF($I348="","CEK SERIES kosong",IF(AND(X348&lt;&gt;"",NOT(ISNUMBER(X348))),"CEK URUTAN DISPLAY harus angka",IF($D348="","Zona STOCK",IF($E348="","CEK SKU DESCRIPTION kosong",IF(COUNTIFS($I$2:$I$500,$I348,V$2:V$500,"&lt;&gt;"&amp;V348,V$2:V$500,"&lt;&gt;")&gt;0,"CEK jenis fixture beda dalam satu series","OK"))))))))))</f>
        <v/>
      </c>
      <c r="AA348" s="12" t="n"/>
      <c r="AB348" s="11" t="n"/>
      <c r="AC348" s="11" t="n"/>
      <c r="AD348" s="11" t="n"/>
      <c r="AE348" s="11" t="n"/>
      <c r="AF348" s="11" t="n"/>
      <c r="AG348" s="11" t="n"/>
      <c r="AH348" s="12" t="n"/>
      <c r="AI348" s="12" t="n"/>
    </row>
    <row r="349">
      <c r="A349" s="10" t="n"/>
      <c r="B349" s="10" t="n"/>
      <c r="C349" s="10" t="n"/>
      <c r="D349" s="10" t="n"/>
      <c r="E349" s="10" t="n"/>
      <c r="F349" s="10" t="n"/>
      <c r="G349" s="10" t="n"/>
      <c r="H349" s="10" t="n"/>
      <c r="I349" s="10" t="n"/>
      <c r="J349" s="10" t="n"/>
      <c r="K349" s="10" t="n"/>
      <c r="L349" s="11" t="n"/>
      <c r="M349" s="11" t="n"/>
      <c r="N349" s="11" t="n"/>
      <c r="O349" s="11">
        <f>IF(OR(L349="",M349=""),"",IFERROR(INDEX(LAYOUT!$D$2:$D$80,MATCH(L349&amp;"|"&amp;M349,LAYOUT!$E$2:$E$80,0)),""))</f>
        <v/>
      </c>
      <c r="P349" s="12">
        <f>IF(AND(L349="",M349=""),IF(AND(Q349="",R349="",V349="",W349=""),IF(OR($D349&lt;&gt;"",$E349&lt;&gt;""),"Belum ditempatkan",""),""),IF(L349="","CEK JENIS FIXTURE kosong",IF(AND(LEFT(L349,7)&lt;&gt;"Gondola",LEFT(L349,6)&lt;&gt;"Endcap"),"CEK Fixture 1 hanya Gondola atau Endcap",IF(M349="","CEK SHELVING KE kosong",IF(ISNA(MATCH(L349&amp;"|"&amp;M349,LAYOUT!$E$2:$E$80,0)),"CEK SHELVING KE di luar layout",IF($I349="","CEK SERIES kosong",IF(AND(N349&lt;&gt;"",NOT(ISNUMBER(N349))),"CEK URUTAN DISPLAY harus angka",IF($D349="","Zona STOCK",IF($E349="","CEK SKU DESCRIPTION kosong",IF(COUNTIFS($I$2:$I$500,$I349,L$2:L$500,"&lt;&gt;"&amp;L349,L$2:L$500,"&lt;&gt;")&gt;0,"CEK jenis fixture beda dalam satu series","OK"))))))))))</f>
        <v/>
      </c>
      <c r="Q349" s="11" t="n"/>
      <c r="R349" s="11" t="n"/>
      <c r="S349" s="11" t="n"/>
      <c r="T349" s="11">
        <f>IF(OR(Q349="",R349=""),"",IFERROR(INDEX(LAYOUT!$D$2:$D$80,MATCH(Q349&amp;"|"&amp;R349,LAYOUT!$E$2:$E$80,0)),""))</f>
        <v/>
      </c>
      <c r="U349" s="12">
        <f>IF(AND(Q349="",R349=""),IF(AND(L349="",M349="",V349="",W349=""),IF(OR($D349&lt;&gt;"",$E349&lt;&gt;""),"Belum ditempatkan",""),""),IF(Q349="","CEK JENIS FIXTURE kosong",IF(LEFT(Q349,4)&lt;&gt;"Wall","CEK Fixture 2 hanya Wall",IF(R349="","CEK SHELVING KE kosong",IF(ISNA(MATCH(Q349&amp;"|"&amp;R349,LAYOUT!$E$2:$E$80,0)),"CEK SHELVING KE di luar layout",IF($I349="","CEK SERIES kosong",IF(AND(S349&lt;&gt;"",NOT(ISNUMBER(S349))),"CEK URUTAN DISPLAY harus angka",IF($D349="","Zona STOCK",IF($E349="","CEK SKU DESCRIPTION kosong",IF(COUNTIFS($I$2:$I$500,$I349,Q$2:Q$500,"&lt;&gt;"&amp;Q349,Q$2:Q$500,"&lt;&gt;")&gt;0,"CEK jenis fixture beda dalam satu series","OK"))))))))))</f>
        <v/>
      </c>
      <c r="V349" s="11" t="n"/>
      <c r="W349" s="11" t="n"/>
      <c r="X349" s="11" t="n"/>
      <c r="Y349" s="11">
        <f>IF(OR(V349="",W349=""),"",IFERROR(INDEX(LAYOUT!$D$2:$D$80,MATCH(V349&amp;"|"&amp;W349,LAYOUT!$E$2:$E$80,0)),""))</f>
        <v/>
      </c>
      <c r="Z349" s="12">
        <f>IF(AND(V349="",W349=""),IF(AND(L349="",M349="",Q349="",R349=""),IF(OR($D349&lt;&gt;"",$E349&lt;&gt;""),"Belum ditempatkan",""),""),IF(V349="","CEK JENIS FIXTURE kosong",IF(LEFT(V349,4)&lt;&gt;"Wall","CEK Fixture 3 hanya Wall",IF(W349="","CEK SHELVING KE kosong",IF(ISNA(MATCH(V349&amp;"|"&amp;W349,LAYOUT!$E$2:$E$80,0)),"CEK SHELVING KE di luar layout",IF($I349="","CEK SERIES kosong",IF(AND(X349&lt;&gt;"",NOT(ISNUMBER(X349))),"CEK URUTAN DISPLAY harus angka",IF($D349="","Zona STOCK",IF($E349="","CEK SKU DESCRIPTION kosong",IF(COUNTIFS($I$2:$I$500,$I349,V$2:V$500,"&lt;&gt;"&amp;V349,V$2:V$500,"&lt;&gt;")&gt;0,"CEK jenis fixture beda dalam satu series","OK"))))))))))</f>
        <v/>
      </c>
      <c r="AA349" s="12" t="n"/>
      <c r="AB349" s="11" t="n"/>
      <c r="AC349" s="11" t="n"/>
      <c r="AD349" s="11" t="n"/>
      <c r="AE349" s="11" t="n"/>
      <c r="AF349" s="11" t="n"/>
      <c r="AG349" s="11" t="n"/>
      <c r="AH349" s="12" t="n"/>
      <c r="AI349" s="12" t="n"/>
    </row>
    <row r="350">
      <c r="A350" s="10" t="n"/>
      <c r="B350" s="10" t="n"/>
      <c r="C350" s="10" t="n"/>
      <c r="D350" s="10" t="n"/>
      <c r="E350" s="10" t="n"/>
      <c r="F350" s="10" t="n"/>
      <c r="G350" s="10" t="n"/>
      <c r="H350" s="10" t="n"/>
      <c r="I350" s="10" t="n"/>
      <c r="J350" s="10" t="n"/>
      <c r="K350" s="10" t="n"/>
      <c r="L350" s="11" t="n"/>
      <c r="M350" s="11" t="n"/>
      <c r="N350" s="11" t="n"/>
      <c r="O350" s="11">
        <f>IF(OR(L350="",M350=""),"",IFERROR(INDEX(LAYOUT!$D$2:$D$80,MATCH(L350&amp;"|"&amp;M350,LAYOUT!$E$2:$E$80,0)),""))</f>
        <v/>
      </c>
      <c r="P350" s="12">
        <f>IF(AND(L350="",M350=""),IF(AND(Q350="",R350="",V350="",W350=""),IF(OR($D350&lt;&gt;"",$E350&lt;&gt;""),"Belum ditempatkan",""),""),IF(L350="","CEK JENIS FIXTURE kosong",IF(AND(LEFT(L350,7)&lt;&gt;"Gondola",LEFT(L350,6)&lt;&gt;"Endcap"),"CEK Fixture 1 hanya Gondola atau Endcap",IF(M350="","CEK SHELVING KE kosong",IF(ISNA(MATCH(L350&amp;"|"&amp;M350,LAYOUT!$E$2:$E$80,0)),"CEK SHELVING KE di luar layout",IF($I350="","CEK SERIES kosong",IF(AND(N350&lt;&gt;"",NOT(ISNUMBER(N350))),"CEK URUTAN DISPLAY harus angka",IF($D350="","Zona STOCK",IF($E350="","CEK SKU DESCRIPTION kosong",IF(COUNTIFS($I$2:$I$500,$I350,L$2:L$500,"&lt;&gt;"&amp;L350,L$2:L$500,"&lt;&gt;")&gt;0,"CEK jenis fixture beda dalam satu series","OK"))))))))))</f>
        <v/>
      </c>
      <c r="Q350" s="11" t="n"/>
      <c r="R350" s="11" t="n"/>
      <c r="S350" s="11" t="n"/>
      <c r="T350" s="11">
        <f>IF(OR(Q350="",R350=""),"",IFERROR(INDEX(LAYOUT!$D$2:$D$80,MATCH(Q350&amp;"|"&amp;R350,LAYOUT!$E$2:$E$80,0)),""))</f>
        <v/>
      </c>
      <c r="U350" s="12">
        <f>IF(AND(Q350="",R350=""),IF(AND(L350="",M350="",V350="",W350=""),IF(OR($D350&lt;&gt;"",$E350&lt;&gt;""),"Belum ditempatkan",""),""),IF(Q350="","CEK JENIS FIXTURE kosong",IF(LEFT(Q350,4)&lt;&gt;"Wall","CEK Fixture 2 hanya Wall",IF(R350="","CEK SHELVING KE kosong",IF(ISNA(MATCH(Q350&amp;"|"&amp;R350,LAYOUT!$E$2:$E$80,0)),"CEK SHELVING KE di luar layout",IF($I350="","CEK SERIES kosong",IF(AND(S350&lt;&gt;"",NOT(ISNUMBER(S350))),"CEK URUTAN DISPLAY harus angka",IF($D350="","Zona STOCK",IF($E350="","CEK SKU DESCRIPTION kosong",IF(COUNTIFS($I$2:$I$500,$I350,Q$2:Q$500,"&lt;&gt;"&amp;Q350,Q$2:Q$500,"&lt;&gt;")&gt;0,"CEK jenis fixture beda dalam satu series","OK"))))))))))</f>
        <v/>
      </c>
      <c r="V350" s="11" t="n"/>
      <c r="W350" s="11" t="n"/>
      <c r="X350" s="11" t="n"/>
      <c r="Y350" s="11">
        <f>IF(OR(V350="",W350=""),"",IFERROR(INDEX(LAYOUT!$D$2:$D$80,MATCH(V350&amp;"|"&amp;W350,LAYOUT!$E$2:$E$80,0)),""))</f>
        <v/>
      </c>
      <c r="Z350" s="12">
        <f>IF(AND(V350="",W350=""),IF(AND(L350="",M350="",Q350="",R350=""),IF(OR($D350&lt;&gt;"",$E350&lt;&gt;""),"Belum ditempatkan",""),""),IF(V350="","CEK JENIS FIXTURE kosong",IF(LEFT(V350,4)&lt;&gt;"Wall","CEK Fixture 3 hanya Wall",IF(W350="","CEK SHELVING KE kosong",IF(ISNA(MATCH(V350&amp;"|"&amp;W350,LAYOUT!$E$2:$E$80,0)),"CEK SHELVING KE di luar layout",IF($I350="","CEK SERIES kosong",IF(AND(X350&lt;&gt;"",NOT(ISNUMBER(X350))),"CEK URUTAN DISPLAY harus angka",IF($D350="","Zona STOCK",IF($E350="","CEK SKU DESCRIPTION kosong",IF(COUNTIFS($I$2:$I$500,$I350,V$2:V$500,"&lt;&gt;"&amp;V350,V$2:V$500,"&lt;&gt;")&gt;0,"CEK jenis fixture beda dalam satu series","OK"))))))))))</f>
        <v/>
      </c>
      <c r="AA350" s="12" t="n"/>
      <c r="AB350" s="11" t="n"/>
      <c r="AC350" s="11" t="n"/>
      <c r="AD350" s="11" t="n"/>
      <c r="AE350" s="11" t="n"/>
      <c r="AF350" s="11" t="n"/>
      <c r="AG350" s="11" t="n"/>
      <c r="AH350" s="12" t="n"/>
      <c r="AI350" s="12" t="n"/>
    </row>
    <row r="351">
      <c r="A351" s="10" t="n"/>
      <c r="B351" s="10" t="n"/>
      <c r="C351" s="10" t="n"/>
      <c r="D351" s="10" t="n"/>
      <c r="E351" s="10" t="n"/>
      <c r="F351" s="10" t="n"/>
      <c r="G351" s="10" t="n"/>
      <c r="H351" s="10" t="n"/>
      <c r="I351" s="10" t="n"/>
      <c r="J351" s="10" t="n"/>
      <c r="K351" s="10" t="n"/>
      <c r="L351" s="11" t="n"/>
      <c r="M351" s="11" t="n"/>
      <c r="N351" s="11" t="n"/>
      <c r="O351" s="11">
        <f>IF(OR(L351="",M351=""),"",IFERROR(INDEX(LAYOUT!$D$2:$D$80,MATCH(L351&amp;"|"&amp;M351,LAYOUT!$E$2:$E$80,0)),""))</f>
        <v/>
      </c>
      <c r="P351" s="12">
        <f>IF(AND(L351="",M351=""),IF(AND(Q351="",R351="",V351="",W351=""),IF(OR($D351&lt;&gt;"",$E351&lt;&gt;""),"Belum ditempatkan",""),""),IF(L351="","CEK JENIS FIXTURE kosong",IF(AND(LEFT(L351,7)&lt;&gt;"Gondola",LEFT(L351,6)&lt;&gt;"Endcap"),"CEK Fixture 1 hanya Gondola atau Endcap",IF(M351="","CEK SHELVING KE kosong",IF(ISNA(MATCH(L351&amp;"|"&amp;M351,LAYOUT!$E$2:$E$80,0)),"CEK SHELVING KE di luar layout",IF($I351="","CEK SERIES kosong",IF(AND(N351&lt;&gt;"",NOT(ISNUMBER(N351))),"CEK URUTAN DISPLAY harus angka",IF($D351="","Zona STOCK",IF($E351="","CEK SKU DESCRIPTION kosong",IF(COUNTIFS($I$2:$I$500,$I351,L$2:L$500,"&lt;&gt;"&amp;L351,L$2:L$500,"&lt;&gt;")&gt;0,"CEK jenis fixture beda dalam satu series","OK"))))))))))</f>
        <v/>
      </c>
      <c r="Q351" s="11" t="n"/>
      <c r="R351" s="11" t="n"/>
      <c r="S351" s="11" t="n"/>
      <c r="T351" s="11">
        <f>IF(OR(Q351="",R351=""),"",IFERROR(INDEX(LAYOUT!$D$2:$D$80,MATCH(Q351&amp;"|"&amp;R351,LAYOUT!$E$2:$E$80,0)),""))</f>
        <v/>
      </c>
      <c r="U351" s="12">
        <f>IF(AND(Q351="",R351=""),IF(AND(L351="",M351="",V351="",W351=""),IF(OR($D351&lt;&gt;"",$E351&lt;&gt;""),"Belum ditempatkan",""),""),IF(Q351="","CEK JENIS FIXTURE kosong",IF(LEFT(Q351,4)&lt;&gt;"Wall","CEK Fixture 2 hanya Wall",IF(R351="","CEK SHELVING KE kosong",IF(ISNA(MATCH(Q351&amp;"|"&amp;R351,LAYOUT!$E$2:$E$80,0)),"CEK SHELVING KE di luar layout",IF($I351="","CEK SERIES kosong",IF(AND(S351&lt;&gt;"",NOT(ISNUMBER(S351))),"CEK URUTAN DISPLAY harus angka",IF($D351="","Zona STOCK",IF($E351="","CEK SKU DESCRIPTION kosong",IF(COUNTIFS($I$2:$I$500,$I351,Q$2:Q$500,"&lt;&gt;"&amp;Q351,Q$2:Q$500,"&lt;&gt;")&gt;0,"CEK jenis fixture beda dalam satu series","OK"))))))))))</f>
        <v/>
      </c>
      <c r="V351" s="11" t="n"/>
      <c r="W351" s="11" t="n"/>
      <c r="X351" s="11" t="n"/>
      <c r="Y351" s="11">
        <f>IF(OR(V351="",W351=""),"",IFERROR(INDEX(LAYOUT!$D$2:$D$80,MATCH(V351&amp;"|"&amp;W351,LAYOUT!$E$2:$E$80,0)),""))</f>
        <v/>
      </c>
      <c r="Z351" s="12">
        <f>IF(AND(V351="",W351=""),IF(AND(L351="",M351="",Q351="",R351=""),IF(OR($D351&lt;&gt;"",$E351&lt;&gt;""),"Belum ditempatkan",""),""),IF(V351="","CEK JENIS FIXTURE kosong",IF(LEFT(V351,4)&lt;&gt;"Wall","CEK Fixture 3 hanya Wall",IF(W351="","CEK SHELVING KE kosong",IF(ISNA(MATCH(V351&amp;"|"&amp;W351,LAYOUT!$E$2:$E$80,0)),"CEK SHELVING KE di luar layout",IF($I351="","CEK SERIES kosong",IF(AND(X351&lt;&gt;"",NOT(ISNUMBER(X351))),"CEK URUTAN DISPLAY harus angka",IF($D351="","Zona STOCK",IF($E351="","CEK SKU DESCRIPTION kosong",IF(COUNTIFS($I$2:$I$500,$I351,V$2:V$500,"&lt;&gt;"&amp;V351,V$2:V$500,"&lt;&gt;")&gt;0,"CEK jenis fixture beda dalam satu series","OK"))))))))))</f>
        <v/>
      </c>
      <c r="AA351" s="12" t="n"/>
      <c r="AB351" s="11" t="n"/>
      <c r="AC351" s="11" t="n"/>
      <c r="AD351" s="11" t="n"/>
      <c r="AE351" s="11" t="n"/>
      <c r="AF351" s="11" t="n"/>
      <c r="AG351" s="11" t="n"/>
      <c r="AH351" s="12" t="n"/>
      <c r="AI351" s="12" t="n"/>
    </row>
    <row r="352">
      <c r="A352" s="10" t="n"/>
      <c r="B352" s="10" t="n"/>
      <c r="C352" s="10" t="n"/>
      <c r="D352" s="10" t="n"/>
      <c r="E352" s="10" t="n"/>
      <c r="F352" s="10" t="n"/>
      <c r="G352" s="10" t="n"/>
      <c r="H352" s="10" t="n"/>
      <c r="I352" s="10" t="n"/>
      <c r="J352" s="10" t="n"/>
      <c r="K352" s="10" t="n"/>
      <c r="L352" s="11" t="n"/>
      <c r="M352" s="11" t="n"/>
      <c r="N352" s="11" t="n"/>
      <c r="O352" s="11">
        <f>IF(OR(L352="",M352=""),"",IFERROR(INDEX(LAYOUT!$D$2:$D$80,MATCH(L352&amp;"|"&amp;M352,LAYOUT!$E$2:$E$80,0)),""))</f>
        <v/>
      </c>
      <c r="P352" s="12">
        <f>IF(AND(L352="",M352=""),IF(AND(Q352="",R352="",V352="",W352=""),IF(OR($D352&lt;&gt;"",$E352&lt;&gt;""),"Belum ditempatkan",""),""),IF(L352="","CEK JENIS FIXTURE kosong",IF(AND(LEFT(L352,7)&lt;&gt;"Gondola",LEFT(L352,6)&lt;&gt;"Endcap"),"CEK Fixture 1 hanya Gondola atau Endcap",IF(M352="","CEK SHELVING KE kosong",IF(ISNA(MATCH(L352&amp;"|"&amp;M352,LAYOUT!$E$2:$E$80,0)),"CEK SHELVING KE di luar layout",IF($I352="","CEK SERIES kosong",IF(AND(N352&lt;&gt;"",NOT(ISNUMBER(N352))),"CEK URUTAN DISPLAY harus angka",IF($D352="","Zona STOCK",IF($E352="","CEK SKU DESCRIPTION kosong",IF(COUNTIFS($I$2:$I$500,$I352,L$2:L$500,"&lt;&gt;"&amp;L352,L$2:L$500,"&lt;&gt;")&gt;0,"CEK jenis fixture beda dalam satu series","OK"))))))))))</f>
        <v/>
      </c>
      <c r="Q352" s="11" t="n"/>
      <c r="R352" s="11" t="n"/>
      <c r="S352" s="11" t="n"/>
      <c r="T352" s="11">
        <f>IF(OR(Q352="",R352=""),"",IFERROR(INDEX(LAYOUT!$D$2:$D$80,MATCH(Q352&amp;"|"&amp;R352,LAYOUT!$E$2:$E$80,0)),""))</f>
        <v/>
      </c>
      <c r="U352" s="12">
        <f>IF(AND(Q352="",R352=""),IF(AND(L352="",M352="",V352="",W352=""),IF(OR($D352&lt;&gt;"",$E352&lt;&gt;""),"Belum ditempatkan",""),""),IF(Q352="","CEK JENIS FIXTURE kosong",IF(LEFT(Q352,4)&lt;&gt;"Wall","CEK Fixture 2 hanya Wall",IF(R352="","CEK SHELVING KE kosong",IF(ISNA(MATCH(Q352&amp;"|"&amp;R352,LAYOUT!$E$2:$E$80,0)),"CEK SHELVING KE di luar layout",IF($I352="","CEK SERIES kosong",IF(AND(S352&lt;&gt;"",NOT(ISNUMBER(S352))),"CEK URUTAN DISPLAY harus angka",IF($D352="","Zona STOCK",IF($E352="","CEK SKU DESCRIPTION kosong",IF(COUNTIFS($I$2:$I$500,$I352,Q$2:Q$500,"&lt;&gt;"&amp;Q352,Q$2:Q$500,"&lt;&gt;")&gt;0,"CEK jenis fixture beda dalam satu series","OK"))))))))))</f>
        <v/>
      </c>
      <c r="V352" s="11" t="n"/>
      <c r="W352" s="11" t="n"/>
      <c r="X352" s="11" t="n"/>
      <c r="Y352" s="11">
        <f>IF(OR(V352="",W352=""),"",IFERROR(INDEX(LAYOUT!$D$2:$D$80,MATCH(V352&amp;"|"&amp;W352,LAYOUT!$E$2:$E$80,0)),""))</f>
        <v/>
      </c>
      <c r="Z352" s="12">
        <f>IF(AND(V352="",W352=""),IF(AND(L352="",M352="",Q352="",R352=""),IF(OR($D352&lt;&gt;"",$E352&lt;&gt;""),"Belum ditempatkan",""),""),IF(V352="","CEK JENIS FIXTURE kosong",IF(LEFT(V352,4)&lt;&gt;"Wall","CEK Fixture 3 hanya Wall",IF(W352="","CEK SHELVING KE kosong",IF(ISNA(MATCH(V352&amp;"|"&amp;W352,LAYOUT!$E$2:$E$80,0)),"CEK SHELVING KE di luar layout",IF($I352="","CEK SERIES kosong",IF(AND(X352&lt;&gt;"",NOT(ISNUMBER(X352))),"CEK URUTAN DISPLAY harus angka",IF($D352="","Zona STOCK",IF($E352="","CEK SKU DESCRIPTION kosong",IF(COUNTIFS($I$2:$I$500,$I352,V$2:V$500,"&lt;&gt;"&amp;V352,V$2:V$500,"&lt;&gt;")&gt;0,"CEK jenis fixture beda dalam satu series","OK"))))))))))</f>
        <v/>
      </c>
      <c r="AA352" s="12" t="n"/>
      <c r="AB352" s="11" t="n"/>
      <c r="AC352" s="11" t="n"/>
      <c r="AD352" s="11" t="n"/>
      <c r="AE352" s="11" t="n"/>
      <c r="AF352" s="11" t="n"/>
      <c r="AG352" s="11" t="n"/>
      <c r="AH352" s="12" t="n"/>
      <c r="AI352" s="12" t="n"/>
    </row>
    <row r="353">
      <c r="A353" s="10" t="n"/>
      <c r="B353" s="10" t="n"/>
      <c r="C353" s="10" t="n"/>
      <c r="D353" s="10" t="n"/>
      <c r="E353" s="10" t="n"/>
      <c r="F353" s="10" t="n"/>
      <c r="G353" s="10" t="n"/>
      <c r="H353" s="10" t="n"/>
      <c r="I353" s="10" t="n"/>
      <c r="J353" s="10" t="n"/>
      <c r="K353" s="10" t="n"/>
      <c r="L353" s="11" t="n"/>
      <c r="M353" s="11" t="n"/>
      <c r="N353" s="11" t="n"/>
      <c r="O353" s="11">
        <f>IF(OR(L353="",M353=""),"",IFERROR(INDEX(LAYOUT!$D$2:$D$80,MATCH(L353&amp;"|"&amp;M353,LAYOUT!$E$2:$E$80,0)),""))</f>
        <v/>
      </c>
      <c r="P353" s="12">
        <f>IF(AND(L353="",M353=""),IF(AND(Q353="",R353="",V353="",W353=""),IF(OR($D353&lt;&gt;"",$E353&lt;&gt;""),"Belum ditempatkan",""),""),IF(L353="","CEK JENIS FIXTURE kosong",IF(AND(LEFT(L353,7)&lt;&gt;"Gondola",LEFT(L353,6)&lt;&gt;"Endcap"),"CEK Fixture 1 hanya Gondola atau Endcap",IF(M353="","CEK SHELVING KE kosong",IF(ISNA(MATCH(L353&amp;"|"&amp;M353,LAYOUT!$E$2:$E$80,0)),"CEK SHELVING KE di luar layout",IF($I353="","CEK SERIES kosong",IF(AND(N353&lt;&gt;"",NOT(ISNUMBER(N353))),"CEK URUTAN DISPLAY harus angka",IF($D353="","Zona STOCK",IF($E353="","CEK SKU DESCRIPTION kosong",IF(COUNTIFS($I$2:$I$500,$I353,L$2:L$500,"&lt;&gt;"&amp;L353,L$2:L$500,"&lt;&gt;")&gt;0,"CEK jenis fixture beda dalam satu series","OK"))))))))))</f>
        <v/>
      </c>
      <c r="Q353" s="11" t="n"/>
      <c r="R353" s="11" t="n"/>
      <c r="S353" s="11" t="n"/>
      <c r="T353" s="11">
        <f>IF(OR(Q353="",R353=""),"",IFERROR(INDEX(LAYOUT!$D$2:$D$80,MATCH(Q353&amp;"|"&amp;R353,LAYOUT!$E$2:$E$80,0)),""))</f>
        <v/>
      </c>
      <c r="U353" s="12">
        <f>IF(AND(Q353="",R353=""),IF(AND(L353="",M353="",V353="",W353=""),IF(OR($D353&lt;&gt;"",$E353&lt;&gt;""),"Belum ditempatkan",""),""),IF(Q353="","CEK JENIS FIXTURE kosong",IF(LEFT(Q353,4)&lt;&gt;"Wall","CEK Fixture 2 hanya Wall",IF(R353="","CEK SHELVING KE kosong",IF(ISNA(MATCH(Q353&amp;"|"&amp;R353,LAYOUT!$E$2:$E$80,0)),"CEK SHELVING KE di luar layout",IF($I353="","CEK SERIES kosong",IF(AND(S353&lt;&gt;"",NOT(ISNUMBER(S353))),"CEK URUTAN DISPLAY harus angka",IF($D353="","Zona STOCK",IF($E353="","CEK SKU DESCRIPTION kosong",IF(COUNTIFS($I$2:$I$500,$I353,Q$2:Q$500,"&lt;&gt;"&amp;Q353,Q$2:Q$500,"&lt;&gt;")&gt;0,"CEK jenis fixture beda dalam satu series","OK"))))))))))</f>
        <v/>
      </c>
      <c r="V353" s="11" t="n"/>
      <c r="W353" s="11" t="n"/>
      <c r="X353" s="11" t="n"/>
      <c r="Y353" s="11">
        <f>IF(OR(V353="",W353=""),"",IFERROR(INDEX(LAYOUT!$D$2:$D$80,MATCH(V353&amp;"|"&amp;W353,LAYOUT!$E$2:$E$80,0)),""))</f>
        <v/>
      </c>
      <c r="Z353" s="12">
        <f>IF(AND(V353="",W353=""),IF(AND(L353="",M353="",Q353="",R353=""),IF(OR($D353&lt;&gt;"",$E353&lt;&gt;""),"Belum ditempatkan",""),""),IF(V353="","CEK JENIS FIXTURE kosong",IF(LEFT(V353,4)&lt;&gt;"Wall","CEK Fixture 3 hanya Wall",IF(W353="","CEK SHELVING KE kosong",IF(ISNA(MATCH(V353&amp;"|"&amp;W353,LAYOUT!$E$2:$E$80,0)),"CEK SHELVING KE di luar layout",IF($I353="","CEK SERIES kosong",IF(AND(X353&lt;&gt;"",NOT(ISNUMBER(X353))),"CEK URUTAN DISPLAY harus angka",IF($D353="","Zona STOCK",IF($E353="","CEK SKU DESCRIPTION kosong",IF(COUNTIFS($I$2:$I$500,$I353,V$2:V$500,"&lt;&gt;"&amp;V353,V$2:V$500,"&lt;&gt;")&gt;0,"CEK jenis fixture beda dalam satu series","OK"))))))))))</f>
        <v/>
      </c>
      <c r="AA353" s="12" t="n"/>
      <c r="AB353" s="11" t="n"/>
      <c r="AC353" s="11" t="n"/>
      <c r="AD353" s="11" t="n"/>
      <c r="AE353" s="11" t="n"/>
      <c r="AF353" s="11" t="n"/>
      <c r="AG353" s="11" t="n"/>
      <c r="AH353" s="12" t="n"/>
      <c r="AI353" s="12" t="n"/>
    </row>
    <row r="354">
      <c r="A354" s="10" t="n"/>
      <c r="B354" s="10" t="n"/>
      <c r="C354" s="10" t="n"/>
      <c r="D354" s="10" t="n"/>
      <c r="E354" s="10" t="n"/>
      <c r="F354" s="10" t="n"/>
      <c r="G354" s="10" t="n"/>
      <c r="H354" s="10" t="n"/>
      <c r="I354" s="10" t="n"/>
      <c r="J354" s="10" t="n"/>
      <c r="K354" s="10" t="n"/>
      <c r="L354" s="11" t="n"/>
      <c r="M354" s="11" t="n"/>
      <c r="N354" s="11" t="n"/>
      <c r="O354" s="11">
        <f>IF(OR(L354="",M354=""),"",IFERROR(INDEX(LAYOUT!$D$2:$D$80,MATCH(L354&amp;"|"&amp;M354,LAYOUT!$E$2:$E$80,0)),""))</f>
        <v/>
      </c>
      <c r="P354" s="12">
        <f>IF(AND(L354="",M354=""),IF(AND(Q354="",R354="",V354="",W354=""),IF(OR($D354&lt;&gt;"",$E354&lt;&gt;""),"Belum ditempatkan",""),""),IF(L354="","CEK JENIS FIXTURE kosong",IF(AND(LEFT(L354,7)&lt;&gt;"Gondola",LEFT(L354,6)&lt;&gt;"Endcap"),"CEK Fixture 1 hanya Gondola atau Endcap",IF(M354="","CEK SHELVING KE kosong",IF(ISNA(MATCH(L354&amp;"|"&amp;M354,LAYOUT!$E$2:$E$80,0)),"CEK SHELVING KE di luar layout",IF($I354="","CEK SERIES kosong",IF(AND(N354&lt;&gt;"",NOT(ISNUMBER(N354))),"CEK URUTAN DISPLAY harus angka",IF($D354="","Zona STOCK",IF($E354="","CEK SKU DESCRIPTION kosong",IF(COUNTIFS($I$2:$I$500,$I354,L$2:L$500,"&lt;&gt;"&amp;L354,L$2:L$500,"&lt;&gt;")&gt;0,"CEK jenis fixture beda dalam satu series","OK"))))))))))</f>
        <v/>
      </c>
      <c r="Q354" s="11" t="n"/>
      <c r="R354" s="11" t="n"/>
      <c r="S354" s="11" t="n"/>
      <c r="T354" s="11">
        <f>IF(OR(Q354="",R354=""),"",IFERROR(INDEX(LAYOUT!$D$2:$D$80,MATCH(Q354&amp;"|"&amp;R354,LAYOUT!$E$2:$E$80,0)),""))</f>
        <v/>
      </c>
      <c r="U354" s="12">
        <f>IF(AND(Q354="",R354=""),IF(AND(L354="",M354="",V354="",W354=""),IF(OR($D354&lt;&gt;"",$E354&lt;&gt;""),"Belum ditempatkan",""),""),IF(Q354="","CEK JENIS FIXTURE kosong",IF(LEFT(Q354,4)&lt;&gt;"Wall","CEK Fixture 2 hanya Wall",IF(R354="","CEK SHELVING KE kosong",IF(ISNA(MATCH(Q354&amp;"|"&amp;R354,LAYOUT!$E$2:$E$80,0)),"CEK SHELVING KE di luar layout",IF($I354="","CEK SERIES kosong",IF(AND(S354&lt;&gt;"",NOT(ISNUMBER(S354))),"CEK URUTAN DISPLAY harus angka",IF($D354="","Zona STOCK",IF($E354="","CEK SKU DESCRIPTION kosong",IF(COUNTIFS($I$2:$I$500,$I354,Q$2:Q$500,"&lt;&gt;"&amp;Q354,Q$2:Q$500,"&lt;&gt;")&gt;0,"CEK jenis fixture beda dalam satu series","OK"))))))))))</f>
        <v/>
      </c>
      <c r="V354" s="11" t="n"/>
      <c r="W354" s="11" t="n"/>
      <c r="X354" s="11" t="n"/>
      <c r="Y354" s="11">
        <f>IF(OR(V354="",W354=""),"",IFERROR(INDEX(LAYOUT!$D$2:$D$80,MATCH(V354&amp;"|"&amp;W354,LAYOUT!$E$2:$E$80,0)),""))</f>
        <v/>
      </c>
      <c r="Z354" s="12">
        <f>IF(AND(V354="",W354=""),IF(AND(L354="",M354="",Q354="",R354=""),IF(OR($D354&lt;&gt;"",$E354&lt;&gt;""),"Belum ditempatkan",""),""),IF(V354="","CEK JENIS FIXTURE kosong",IF(LEFT(V354,4)&lt;&gt;"Wall","CEK Fixture 3 hanya Wall",IF(W354="","CEK SHELVING KE kosong",IF(ISNA(MATCH(V354&amp;"|"&amp;W354,LAYOUT!$E$2:$E$80,0)),"CEK SHELVING KE di luar layout",IF($I354="","CEK SERIES kosong",IF(AND(X354&lt;&gt;"",NOT(ISNUMBER(X354))),"CEK URUTAN DISPLAY harus angka",IF($D354="","Zona STOCK",IF($E354="","CEK SKU DESCRIPTION kosong",IF(COUNTIFS($I$2:$I$500,$I354,V$2:V$500,"&lt;&gt;"&amp;V354,V$2:V$500,"&lt;&gt;")&gt;0,"CEK jenis fixture beda dalam satu series","OK"))))))))))</f>
        <v/>
      </c>
      <c r="AA354" s="12" t="n"/>
      <c r="AB354" s="11" t="n"/>
      <c r="AC354" s="11" t="n"/>
      <c r="AD354" s="11" t="n"/>
      <c r="AE354" s="11" t="n"/>
      <c r="AF354" s="11" t="n"/>
      <c r="AG354" s="11" t="n"/>
      <c r="AH354" s="12" t="n"/>
      <c r="AI354" s="12" t="n"/>
    </row>
    <row r="355">
      <c r="A355" s="10" t="n"/>
      <c r="B355" s="10" t="n"/>
      <c r="C355" s="10" t="n"/>
      <c r="D355" s="10" t="n"/>
      <c r="E355" s="10" t="n"/>
      <c r="F355" s="10" t="n"/>
      <c r="G355" s="10" t="n"/>
      <c r="H355" s="10" t="n"/>
      <c r="I355" s="10" t="n"/>
      <c r="J355" s="10" t="n"/>
      <c r="K355" s="10" t="n"/>
      <c r="L355" s="11" t="n"/>
      <c r="M355" s="11" t="n"/>
      <c r="N355" s="11" t="n"/>
      <c r="O355" s="11">
        <f>IF(OR(L355="",M355=""),"",IFERROR(INDEX(LAYOUT!$D$2:$D$80,MATCH(L355&amp;"|"&amp;M355,LAYOUT!$E$2:$E$80,0)),""))</f>
        <v/>
      </c>
      <c r="P355" s="12">
        <f>IF(AND(L355="",M355=""),IF(AND(Q355="",R355="",V355="",W355=""),IF(OR($D355&lt;&gt;"",$E355&lt;&gt;""),"Belum ditempatkan",""),""),IF(L355="","CEK JENIS FIXTURE kosong",IF(AND(LEFT(L355,7)&lt;&gt;"Gondola",LEFT(L355,6)&lt;&gt;"Endcap"),"CEK Fixture 1 hanya Gondola atau Endcap",IF(M355="","CEK SHELVING KE kosong",IF(ISNA(MATCH(L355&amp;"|"&amp;M355,LAYOUT!$E$2:$E$80,0)),"CEK SHELVING KE di luar layout",IF($I355="","CEK SERIES kosong",IF(AND(N355&lt;&gt;"",NOT(ISNUMBER(N355))),"CEK URUTAN DISPLAY harus angka",IF($D355="","Zona STOCK",IF($E355="","CEK SKU DESCRIPTION kosong",IF(COUNTIFS($I$2:$I$500,$I355,L$2:L$500,"&lt;&gt;"&amp;L355,L$2:L$500,"&lt;&gt;")&gt;0,"CEK jenis fixture beda dalam satu series","OK"))))))))))</f>
        <v/>
      </c>
      <c r="Q355" s="11" t="n"/>
      <c r="R355" s="11" t="n"/>
      <c r="S355" s="11" t="n"/>
      <c r="T355" s="11">
        <f>IF(OR(Q355="",R355=""),"",IFERROR(INDEX(LAYOUT!$D$2:$D$80,MATCH(Q355&amp;"|"&amp;R355,LAYOUT!$E$2:$E$80,0)),""))</f>
        <v/>
      </c>
      <c r="U355" s="12">
        <f>IF(AND(Q355="",R355=""),IF(AND(L355="",M355="",V355="",W355=""),IF(OR($D355&lt;&gt;"",$E355&lt;&gt;""),"Belum ditempatkan",""),""),IF(Q355="","CEK JENIS FIXTURE kosong",IF(LEFT(Q355,4)&lt;&gt;"Wall","CEK Fixture 2 hanya Wall",IF(R355="","CEK SHELVING KE kosong",IF(ISNA(MATCH(Q355&amp;"|"&amp;R355,LAYOUT!$E$2:$E$80,0)),"CEK SHELVING KE di luar layout",IF($I355="","CEK SERIES kosong",IF(AND(S355&lt;&gt;"",NOT(ISNUMBER(S355))),"CEK URUTAN DISPLAY harus angka",IF($D355="","Zona STOCK",IF($E355="","CEK SKU DESCRIPTION kosong",IF(COUNTIFS($I$2:$I$500,$I355,Q$2:Q$500,"&lt;&gt;"&amp;Q355,Q$2:Q$500,"&lt;&gt;")&gt;0,"CEK jenis fixture beda dalam satu series","OK"))))))))))</f>
        <v/>
      </c>
      <c r="V355" s="11" t="n"/>
      <c r="W355" s="11" t="n"/>
      <c r="X355" s="11" t="n"/>
      <c r="Y355" s="11">
        <f>IF(OR(V355="",W355=""),"",IFERROR(INDEX(LAYOUT!$D$2:$D$80,MATCH(V355&amp;"|"&amp;W355,LAYOUT!$E$2:$E$80,0)),""))</f>
        <v/>
      </c>
      <c r="Z355" s="12">
        <f>IF(AND(V355="",W355=""),IF(AND(L355="",M355="",Q355="",R355=""),IF(OR($D355&lt;&gt;"",$E355&lt;&gt;""),"Belum ditempatkan",""),""),IF(V355="","CEK JENIS FIXTURE kosong",IF(LEFT(V355,4)&lt;&gt;"Wall","CEK Fixture 3 hanya Wall",IF(W355="","CEK SHELVING KE kosong",IF(ISNA(MATCH(V355&amp;"|"&amp;W355,LAYOUT!$E$2:$E$80,0)),"CEK SHELVING KE di luar layout",IF($I355="","CEK SERIES kosong",IF(AND(X355&lt;&gt;"",NOT(ISNUMBER(X355))),"CEK URUTAN DISPLAY harus angka",IF($D355="","Zona STOCK",IF($E355="","CEK SKU DESCRIPTION kosong",IF(COUNTIFS($I$2:$I$500,$I355,V$2:V$500,"&lt;&gt;"&amp;V355,V$2:V$500,"&lt;&gt;")&gt;0,"CEK jenis fixture beda dalam satu series","OK"))))))))))</f>
        <v/>
      </c>
      <c r="AA355" s="12" t="n"/>
      <c r="AB355" s="11" t="n"/>
      <c r="AC355" s="11" t="n"/>
      <c r="AD355" s="11" t="n"/>
      <c r="AE355" s="11" t="n"/>
      <c r="AF355" s="11" t="n"/>
      <c r="AG355" s="11" t="n"/>
      <c r="AH355" s="12" t="n"/>
      <c r="AI355" s="12" t="n"/>
    </row>
    <row r="356">
      <c r="A356" s="10" t="n"/>
      <c r="B356" s="10" t="n"/>
      <c r="C356" s="10" t="n"/>
      <c r="D356" s="10" t="n"/>
      <c r="E356" s="10" t="n"/>
      <c r="F356" s="10" t="n"/>
      <c r="G356" s="10" t="n"/>
      <c r="H356" s="10" t="n"/>
      <c r="I356" s="10" t="n"/>
      <c r="J356" s="10" t="n"/>
      <c r="K356" s="10" t="n"/>
      <c r="L356" s="11" t="n"/>
      <c r="M356" s="11" t="n"/>
      <c r="N356" s="11" t="n"/>
      <c r="O356" s="11">
        <f>IF(OR(L356="",M356=""),"",IFERROR(INDEX(LAYOUT!$D$2:$D$80,MATCH(L356&amp;"|"&amp;M356,LAYOUT!$E$2:$E$80,0)),""))</f>
        <v/>
      </c>
      <c r="P356" s="12">
        <f>IF(AND(L356="",M356=""),IF(AND(Q356="",R356="",V356="",W356=""),IF(OR($D356&lt;&gt;"",$E356&lt;&gt;""),"Belum ditempatkan",""),""),IF(L356="","CEK JENIS FIXTURE kosong",IF(AND(LEFT(L356,7)&lt;&gt;"Gondola",LEFT(L356,6)&lt;&gt;"Endcap"),"CEK Fixture 1 hanya Gondola atau Endcap",IF(M356="","CEK SHELVING KE kosong",IF(ISNA(MATCH(L356&amp;"|"&amp;M356,LAYOUT!$E$2:$E$80,0)),"CEK SHELVING KE di luar layout",IF($I356="","CEK SERIES kosong",IF(AND(N356&lt;&gt;"",NOT(ISNUMBER(N356))),"CEK URUTAN DISPLAY harus angka",IF($D356="","Zona STOCK",IF($E356="","CEK SKU DESCRIPTION kosong",IF(COUNTIFS($I$2:$I$500,$I356,L$2:L$500,"&lt;&gt;"&amp;L356,L$2:L$500,"&lt;&gt;")&gt;0,"CEK jenis fixture beda dalam satu series","OK"))))))))))</f>
        <v/>
      </c>
      <c r="Q356" s="11" t="n"/>
      <c r="R356" s="11" t="n"/>
      <c r="S356" s="11" t="n"/>
      <c r="T356" s="11">
        <f>IF(OR(Q356="",R356=""),"",IFERROR(INDEX(LAYOUT!$D$2:$D$80,MATCH(Q356&amp;"|"&amp;R356,LAYOUT!$E$2:$E$80,0)),""))</f>
        <v/>
      </c>
      <c r="U356" s="12">
        <f>IF(AND(Q356="",R356=""),IF(AND(L356="",M356="",V356="",W356=""),IF(OR($D356&lt;&gt;"",$E356&lt;&gt;""),"Belum ditempatkan",""),""),IF(Q356="","CEK JENIS FIXTURE kosong",IF(LEFT(Q356,4)&lt;&gt;"Wall","CEK Fixture 2 hanya Wall",IF(R356="","CEK SHELVING KE kosong",IF(ISNA(MATCH(Q356&amp;"|"&amp;R356,LAYOUT!$E$2:$E$80,0)),"CEK SHELVING KE di luar layout",IF($I356="","CEK SERIES kosong",IF(AND(S356&lt;&gt;"",NOT(ISNUMBER(S356))),"CEK URUTAN DISPLAY harus angka",IF($D356="","Zona STOCK",IF($E356="","CEK SKU DESCRIPTION kosong",IF(COUNTIFS($I$2:$I$500,$I356,Q$2:Q$500,"&lt;&gt;"&amp;Q356,Q$2:Q$500,"&lt;&gt;")&gt;0,"CEK jenis fixture beda dalam satu series","OK"))))))))))</f>
        <v/>
      </c>
      <c r="V356" s="11" t="n"/>
      <c r="W356" s="11" t="n"/>
      <c r="X356" s="11" t="n"/>
      <c r="Y356" s="11">
        <f>IF(OR(V356="",W356=""),"",IFERROR(INDEX(LAYOUT!$D$2:$D$80,MATCH(V356&amp;"|"&amp;W356,LAYOUT!$E$2:$E$80,0)),""))</f>
        <v/>
      </c>
      <c r="Z356" s="12">
        <f>IF(AND(V356="",W356=""),IF(AND(L356="",M356="",Q356="",R356=""),IF(OR($D356&lt;&gt;"",$E356&lt;&gt;""),"Belum ditempatkan",""),""),IF(V356="","CEK JENIS FIXTURE kosong",IF(LEFT(V356,4)&lt;&gt;"Wall","CEK Fixture 3 hanya Wall",IF(W356="","CEK SHELVING KE kosong",IF(ISNA(MATCH(V356&amp;"|"&amp;W356,LAYOUT!$E$2:$E$80,0)),"CEK SHELVING KE di luar layout",IF($I356="","CEK SERIES kosong",IF(AND(X356&lt;&gt;"",NOT(ISNUMBER(X356))),"CEK URUTAN DISPLAY harus angka",IF($D356="","Zona STOCK",IF($E356="","CEK SKU DESCRIPTION kosong",IF(COUNTIFS($I$2:$I$500,$I356,V$2:V$500,"&lt;&gt;"&amp;V356,V$2:V$500,"&lt;&gt;")&gt;0,"CEK jenis fixture beda dalam satu series","OK"))))))))))</f>
        <v/>
      </c>
      <c r="AA356" s="12" t="n"/>
      <c r="AB356" s="11" t="n"/>
      <c r="AC356" s="11" t="n"/>
      <c r="AD356" s="11" t="n"/>
      <c r="AE356" s="11" t="n"/>
      <c r="AF356" s="11" t="n"/>
      <c r="AG356" s="11" t="n"/>
      <c r="AH356" s="12" t="n"/>
      <c r="AI356" s="12" t="n"/>
    </row>
    <row r="357">
      <c r="A357" s="10" t="n"/>
      <c r="B357" s="10" t="n"/>
      <c r="C357" s="10" t="n"/>
      <c r="D357" s="10" t="n"/>
      <c r="E357" s="10" t="n"/>
      <c r="F357" s="10" t="n"/>
      <c r="G357" s="10" t="n"/>
      <c r="H357" s="10" t="n"/>
      <c r="I357" s="10" t="n"/>
      <c r="J357" s="10" t="n"/>
      <c r="K357" s="10" t="n"/>
      <c r="L357" s="11" t="n"/>
      <c r="M357" s="11" t="n"/>
      <c r="N357" s="11" t="n"/>
      <c r="O357" s="11">
        <f>IF(OR(L357="",M357=""),"",IFERROR(INDEX(LAYOUT!$D$2:$D$80,MATCH(L357&amp;"|"&amp;M357,LAYOUT!$E$2:$E$80,0)),""))</f>
        <v/>
      </c>
      <c r="P357" s="12">
        <f>IF(AND(L357="",M357=""),IF(AND(Q357="",R357="",V357="",W357=""),IF(OR($D357&lt;&gt;"",$E357&lt;&gt;""),"Belum ditempatkan",""),""),IF(L357="","CEK JENIS FIXTURE kosong",IF(AND(LEFT(L357,7)&lt;&gt;"Gondola",LEFT(L357,6)&lt;&gt;"Endcap"),"CEK Fixture 1 hanya Gondola atau Endcap",IF(M357="","CEK SHELVING KE kosong",IF(ISNA(MATCH(L357&amp;"|"&amp;M357,LAYOUT!$E$2:$E$80,0)),"CEK SHELVING KE di luar layout",IF($I357="","CEK SERIES kosong",IF(AND(N357&lt;&gt;"",NOT(ISNUMBER(N357))),"CEK URUTAN DISPLAY harus angka",IF($D357="","Zona STOCK",IF($E357="","CEK SKU DESCRIPTION kosong",IF(COUNTIFS($I$2:$I$500,$I357,L$2:L$500,"&lt;&gt;"&amp;L357,L$2:L$500,"&lt;&gt;")&gt;0,"CEK jenis fixture beda dalam satu series","OK"))))))))))</f>
        <v/>
      </c>
      <c r="Q357" s="11" t="n"/>
      <c r="R357" s="11" t="n"/>
      <c r="S357" s="11" t="n"/>
      <c r="T357" s="11">
        <f>IF(OR(Q357="",R357=""),"",IFERROR(INDEX(LAYOUT!$D$2:$D$80,MATCH(Q357&amp;"|"&amp;R357,LAYOUT!$E$2:$E$80,0)),""))</f>
        <v/>
      </c>
      <c r="U357" s="12">
        <f>IF(AND(Q357="",R357=""),IF(AND(L357="",M357="",V357="",W357=""),IF(OR($D357&lt;&gt;"",$E357&lt;&gt;""),"Belum ditempatkan",""),""),IF(Q357="","CEK JENIS FIXTURE kosong",IF(LEFT(Q357,4)&lt;&gt;"Wall","CEK Fixture 2 hanya Wall",IF(R357="","CEK SHELVING KE kosong",IF(ISNA(MATCH(Q357&amp;"|"&amp;R357,LAYOUT!$E$2:$E$80,0)),"CEK SHELVING KE di luar layout",IF($I357="","CEK SERIES kosong",IF(AND(S357&lt;&gt;"",NOT(ISNUMBER(S357))),"CEK URUTAN DISPLAY harus angka",IF($D357="","Zona STOCK",IF($E357="","CEK SKU DESCRIPTION kosong",IF(COUNTIFS($I$2:$I$500,$I357,Q$2:Q$500,"&lt;&gt;"&amp;Q357,Q$2:Q$500,"&lt;&gt;")&gt;0,"CEK jenis fixture beda dalam satu series","OK"))))))))))</f>
        <v/>
      </c>
      <c r="V357" s="11" t="n"/>
      <c r="W357" s="11" t="n"/>
      <c r="X357" s="11" t="n"/>
      <c r="Y357" s="11">
        <f>IF(OR(V357="",W357=""),"",IFERROR(INDEX(LAYOUT!$D$2:$D$80,MATCH(V357&amp;"|"&amp;W357,LAYOUT!$E$2:$E$80,0)),""))</f>
        <v/>
      </c>
      <c r="Z357" s="12">
        <f>IF(AND(V357="",W357=""),IF(AND(L357="",M357="",Q357="",R357=""),IF(OR($D357&lt;&gt;"",$E357&lt;&gt;""),"Belum ditempatkan",""),""),IF(V357="","CEK JENIS FIXTURE kosong",IF(LEFT(V357,4)&lt;&gt;"Wall","CEK Fixture 3 hanya Wall",IF(W357="","CEK SHELVING KE kosong",IF(ISNA(MATCH(V357&amp;"|"&amp;W357,LAYOUT!$E$2:$E$80,0)),"CEK SHELVING KE di luar layout",IF($I357="","CEK SERIES kosong",IF(AND(X357&lt;&gt;"",NOT(ISNUMBER(X357))),"CEK URUTAN DISPLAY harus angka",IF($D357="","Zona STOCK",IF($E357="","CEK SKU DESCRIPTION kosong",IF(COUNTIFS($I$2:$I$500,$I357,V$2:V$500,"&lt;&gt;"&amp;V357,V$2:V$500,"&lt;&gt;")&gt;0,"CEK jenis fixture beda dalam satu series","OK"))))))))))</f>
        <v/>
      </c>
      <c r="AA357" s="12" t="n"/>
      <c r="AB357" s="11" t="n"/>
      <c r="AC357" s="11" t="n"/>
      <c r="AD357" s="11" t="n"/>
      <c r="AE357" s="11" t="n"/>
      <c r="AF357" s="11" t="n"/>
      <c r="AG357" s="11" t="n"/>
      <c r="AH357" s="12" t="n"/>
      <c r="AI357" s="12" t="n"/>
    </row>
    <row r="358">
      <c r="A358" s="10" t="n"/>
      <c r="B358" s="10" t="n"/>
      <c r="C358" s="10" t="n"/>
      <c r="D358" s="10" t="n"/>
      <c r="E358" s="10" t="n"/>
      <c r="F358" s="10" t="n"/>
      <c r="G358" s="10" t="n"/>
      <c r="H358" s="10" t="n"/>
      <c r="I358" s="10" t="n"/>
      <c r="J358" s="10" t="n"/>
      <c r="K358" s="10" t="n"/>
      <c r="L358" s="11" t="n"/>
      <c r="M358" s="11" t="n"/>
      <c r="N358" s="11" t="n"/>
      <c r="O358" s="11">
        <f>IF(OR(L358="",M358=""),"",IFERROR(INDEX(LAYOUT!$D$2:$D$80,MATCH(L358&amp;"|"&amp;M358,LAYOUT!$E$2:$E$80,0)),""))</f>
        <v/>
      </c>
      <c r="P358" s="12">
        <f>IF(AND(L358="",M358=""),IF(AND(Q358="",R358="",V358="",W358=""),IF(OR($D358&lt;&gt;"",$E358&lt;&gt;""),"Belum ditempatkan",""),""),IF(L358="","CEK JENIS FIXTURE kosong",IF(AND(LEFT(L358,7)&lt;&gt;"Gondola",LEFT(L358,6)&lt;&gt;"Endcap"),"CEK Fixture 1 hanya Gondola atau Endcap",IF(M358="","CEK SHELVING KE kosong",IF(ISNA(MATCH(L358&amp;"|"&amp;M358,LAYOUT!$E$2:$E$80,0)),"CEK SHELVING KE di luar layout",IF($I358="","CEK SERIES kosong",IF(AND(N358&lt;&gt;"",NOT(ISNUMBER(N358))),"CEK URUTAN DISPLAY harus angka",IF($D358="","Zona STOCK",IF($E358="","CEK SKU DESCRIPTION kosong",IF(COUNTIFS($I$2:$I$500,$I358,L$2:L$500,"&lt;&gt;"&amp;L358,L$2:L$500,"&lt;&gt;")&gt;0,"CEK jenis fixture beda dalam satu series","OK"))))))))))</f>
        <v/>
      </c>
      <c r="Q358" s="11" t="n"/>
      <c r="R358" s="11" t="n"/>
      <c r="S358" s="11" t="n"/>
      <c r="T358" s="11">
        <f>IF(OR(Q358="",R358=""),"",IFERROR(INDEX(LAYOUT!$D$2:$D$80,MATCH(Q358&amp;"|"&amp;R358,LAYOUT!$E$2:$E$80,0)),""))</f>
        <v/>
      </c>
      <c r="U358" s="12">
        <f>IF(AND(Q358="",R358=""),IF(AND(L358="",M358="",V358="",W358=""),IF(OR($D358&lt;&gt;"",$E358&lt;&gt;""),"Belum ditempatkan",""),""),IF(Q358="","CEK JENIS FIXTURE kosong",IF(LEFT(Q358,4)&lt;&gt;"Wall","CEK Fixture 2 hanya Wall",IF(R358="","CEK SHELVING KE kosong",IF(ISNA(MATCH(Q358&amp;"|"&amp;R358,LAYOUT!$E$2:$E$80,0)),"CEK SHELVING KE di luar layout",IF($I358="","CEK SERIES kosong",IF(AND(S358&lt;&gt;"",NOT(ISNUMBER(S358))),"CEK URUTAN DISPLAY harus angka",IF($D358="","Zona STOCK",IF($E358="","CEK SKU DESCRIPTION kosong",IF(COUNTIFS($I$2:$I$500,$I358,Q$2:Q$500,"&lt;&gt;"&amp;Q358,Q$2:Q$500,"&lt;&gt;")&gt;0,"CEK jenis fixture beda dalam satu series","OK"))))))))))</f>
        <v/>
      </c>
      <c r="V358" s="11" t="n"/>
      <c r="W358" s="11" t="n"/>
      <c r="X358" s="11" t="n"/>
      <c r="Y358" s="11">
        <f>IF(OR(V358="",W358=""),"",IFERROR(INDEX(LAYOUT!$D$2:$D$80,MATCH(V358&amp;"|"&amp;W358,LAYOUT!$E$2:$E$80,0)),""))</f>
        <v/>
      </c>
      <c r="Z358" s="12">
        <f>IF(AND(V358="",W358=""),IF(AND(L358="",M358="",Q358="",R358=""),IF(OR($D358&lt;&gt;"",$E358&lt;&gt;""),"Belum ditempatkan",""),""),IF(V358="","CEK JENIS FIXTURE kosong",IF(LEFT(V358,4)&lt;&gt;"Wall","CEK Fixture 3 hanya Wall",IF(W358="","CEK SHELVING KE kosong",IF(ISNA(MATCH(V358&amp;"|"&amp;W358,LAYOUT!$E$2:$E$80,0)),"CEK SHELVING KE di luar layout",IF($I358="","CEK SERIES kosong",IF(AND(X358&lt;&gt;"",NOT(ISNUMBER(X358))),"CEK URUTAN DISPLAY harus angka",IF($D358="","Zona STOCK",IF($E358="","CEK SKU DESCRIPTION kosong",IF(COUNTIFS($I$2:$I$500,$I358,V$2:V$500,"&lt;&gt;"&amp;V358,V$2:V$500,"&lt;&gt;")&gt;0,"CEK jenis fixture beda dalam satu series","OK"))))))))))</f>
        <v/>
      </c>
      <c r="AA358" s="12" t="n"/>
      <c r="AB358" s="11" t="n"/>
      <c r="AC358" s="11" t="n"/>
      <c r="AD358" s="11" t="n"/>
      <c r="AE358" s="11" t="n"/>
      <c r="AF358" s="11" t="n"/>
      <c r="AG358" s="11" t="n"/>
      <c r="AH358" s="12" t="n"/>
      <c r="AI358" s="12" t="n"/>
    </row>
    <row r="359">
      <c r="A359" s="10" t="n"/>
      <c r="B359" s="10" t="n"/>
      <c r="C359" s="10" t="n"/>
      <c r="D359" s="10" t="n"/>
      <c r="E359" s="10" t="n"/>
      <c r="F359" s="10" t="n"/>
      <c r="G359" s="10" t="n"/>
      <c r="H359" s="10" t="n"/>
      <c r="I359" s="10" t="n"/>
      <c r="J359" s="10" t="n"/>
      <c r="K359" s="10" t="n"/>
      <c r="L359" s="11" t="n"/>
      <c r="M359" s="11" t="n"/>
      <c r="N359" s="11" t="n"/>
      <c r="O359" s="11">
        <f>IF(OR(L359="",M359=""),"",IFERROR(INDEX(LAYOUT!$D$2:$D$80,MATCH(L359&amp;"|"&amp;M359,LAYOUT!$E$2:$E$80,0)),""))</f>
        <v/>
      </c>
      <c r="P359" s="12">
        <f>IF(AND(L359="",M359=""),IF(AND(Q359="",R359="",V359="",W359=""),IF(OR($D359&lt;&gt;"",$E359&lt;&gt;""),"Belum ditempatkan",""),""),IF(L359="","CEK JENIS FIXTURE kosong",IF(AND(LEFT(L359,7)&lt;&gt;"Gondola",LEFT(L359,6)&lt;&gt;"Endcap"),"CEK Fixture 1 hanya Gondola atau Endcap",IF(M359="","CEK SHELVING KE kosong",IF(ISNA(MATCH(L359&amp;"|"&amp;M359,LAYOUT!$E$2:$E$80,0)),"CEK SHELVING KE di luar layout",IF($I359="","CEK SERIES kosong",IF(AND(N359&lt;&gt;"",NOT(ISNUMBER(N359))),"CEK URUTAN DISPLAY harus angka",IF($D359="","Zona STOCK",IF($E359="","CEK SKU DESCRIPTION kosong",IF(COUNTIFS($I$2:$I$500,$I359,L$2:L$500,"&lt;&gt;"&amp;L359,L$2:L$500,"&lt;&gt;")&gt;0,"CEK jenis fixture beda dalam satu series","OK"))))))))))</f>
        <v/>
      </c>
      <c r="Q359" s="11" t="n"/>
      <c r="R359" s="11" t="n"/>
      <c r="S359" s="11" t="n"/>
      <c r="T359" s="11">
        <f>IF(OR(Q359="",R359=""),"",IFERROR(INDEX(LAYOUT!$D$2:$D$80,MATCH(Q359&amp;"|"&amp;R359,LAYOUT!$E$2:$E$80,0)),""))</f>
        <v/>
      </c>
      <c r="U359" s="12">
        <f>IF(AND(Q359="",R359=""),IF(AND(L359="",M359="",V359="",W359=""),IF(OR($D359&lt;&gt;"",$E359&lt;&gt;""),"Belum ditempatkan",""),""),IF(Q359="","CEK JENIS FIXTURE kosong",IF(LEFT(Q359,4)&lt;&gt;"Wall","CEK Fixture 2 hanya Wall",IF(R359="","CEK SHELVING KE kosong",IF(ISNA(MATCH(Q359&amp;"|"&amp;R359,LAYOUT!$E$2:$E$80,0)),"CEK SHELVING KE di luar layout",IF($I359="","CEK SERIES kosong",IF(AND(S359&lt;&gt;"",NOT(ISNUMBER(S359))),"CEK URUTAN DISPLAY harus angka",IF($D359="","Zona STOCK",IF($E359="","CEK SKU DESCRIPTION kosong",IF(COUNTIFS($I$2:$I$500,$I359,Q$2:Q$500,"&lt;&gt;"&amp;Q359,Q$2:Q$500,"&lt;&gt;")&gt;0,"CEK jenis fixture beda dalam satu series","OK"))))))))))</f>
        <v/>
      </c>
      <c r="V359" s="11" t="n"/>
      <c r="W359" s="11" t="n"/>
      <c r="X359" s="11" t="n"/>
      <c r="Y359" s="11">
        <f>IF(OR(V359="",W359=""),"",IFERROR(INDEX(LAYOUT!$D$2:$D$80,MATCH(V359&amp;"|"&amp;W359,LAYOUT!$E$2:$E$80,0)),""))</f>
        <v/>
      </c>
      <c r="Z359" s="12">
        <f>IF(AND(V359="",W359=""),IF(AND(L359="",M359="",Q359="",R359=""),IF(OR($D359&lt;&gt;"",$E359&lt;&gt;""),"Belum ditempatkan",""),""),IF(V359="","CEK JENIS FIXTURE kosong",IF(LEFT(V359,4)&lt;&gt;"Wall","CEK Fixture 3 hanya Wall",IF(W359="","CEK SHELVING KE kosong",IF(ISNA(MATCH(V359&amp;"|"&amp;W359,LAYOUT!$E$2:$E$80,0)),"CEK SHELVING KE di luar layout",IF($I359="","CEK SERIES kosong",IF(AND(X359&lt;&gt;"",NOT(ISNUMBER(X359))),"CEK URUTAN DISPLAY harus angka",IF($D359="","Zona STOCK",IF($E359="","CEK SKU DESCRIPTION kosong",IF(COUNTIFS($I$2:$I$500,$I359,V$2:V$500,"&lt;&gt;"&amp;V359,V$2:V$500,"&lt;&gt;")&gt;0,"CEK jenis fixture beda dalam satu series","OK"))))))))))</f>
        <v/>
      </c>
      <c r="AA359" s="12" t="n"/>
      <c r="AB359" s="11" t="n"/>
      <c r="AC359" s="11" t="n"/>
      <c r="AD359" s="11" t="n"/>
      <c r="AE359" s="11" t="n"/>
      <c r="AF359" s="11" t="n"/>
      <c r="AG359" s="11" t="n"/>
      <c r="AH359" s="12" t="n"/>
      <c r="AI359" s="12" t="n"/>
    </row>
    <row r="360">
      <c r="A360" s="10" t="n"/>
      <c r="B360" s="10" t="n"/>
      <c r="C360" s="10" t="n"/>
      <c r="D360" s="10" t="n"/>
      <c r="E360" s="10" t="n"/>
      <c r="F360" s="10" t="n"/>
      <c r="G360" s="10" t="n"/>
      <c r="H360" s="10" t="n"/>
      <c r="I360" s="10" t="n"/>
      <c r="J360" s="10" t="n"/>
      <c r="K360" s="10" t="n"/>
      <c r="L360" s="11" t="n"/>
      <c r="M360" s="11" t="n"/>
      <c r="N360" s="11" t="n"/>
      <c r="O360" s="11">
        <f>IF(OR(L360="",M360=""),"",IFERROR(INDEX(LAYOUT!$D$2:$D$80,MATCH(L360&amp;"|"&amp;M360,LAYOUT!$E$2:$E$80,0)),""))</f>
        <v/>
      </c>
      <c r="P360" s="12">
        <f>IF(AND(L360="",M360=""),IF(AND(Q360="",R360="",V360="",W360=""),IF(OR($D360&lt;&gt;"",$E360&lt;&gt;""),"Belum ditempatkan",""),""),IF(L360="","CEK JENIS FIXTURE kosong",IF(AND(LEFT(L360,7)&lt;&gt;"Gondola",LEFT(L360,6)&lt;&gt;"Endcap"),"CEK Fixture 1 hanya Gondola atau Endcap",IF(M360="","CEK SHELVING KE kosong",IF(ISNA(MATCH(L360&amp;"|"&amp;M360,LAYOUT!$E$2:$E$80,0)),"CEK SHELVING KE di luar layout",IF($I360="","CEK SERIES kosong",IF(AND(N360&lt;&gt;"",NOT(ISNUMBER(N360))),"CEK URUTAN DISPLAY harus angka",IF($D360="","Zona STOCK",IF($E360="","CEK SKU DESCRIPTION kosong",IF(COUNTIFS($I$2:$I$500,$I360,L$2:L$500,"&lt;&gt;"&amp;L360,L$2:L$500,"&lt;&gt;")&gt;0,"CEK jenis fixture beda dalam satu series","OK"))))))))))</f>
        <v/>
      </c>
      <c r="Q360" s="11" t="n"/>
      <c r="R360" s="11" t="n"/>
      <c r="S360" s="11" t="n"/>
      <c r="T360" s="11">
        <f>IF(OR(Q360="",R360=""),"",IFERROR(INDEX(LAYOUT!$D$2:$D$80,MATCH(Q360&amp;"|"&amp;R360,LAYOUT!$E$2:$E$80,0)),""))</f>
        <v/>
      </c>
      <c r="U360" s="12">
        <f>IF(AND(Q360="",R360=""),IF(AND(L360="",M360="",V360="",W360=""),IF(OR($D360&lt;&gt;"",$E360&lt;&gt;""),"Belum ditempatkan",""),""),IF(Q360="","CEK JENIS FIXTURE kosong",IF(LEFT(Q360,4)&lt;&gt;"Wall","CEK Fixture 2 hanya Wall",IF(R360="","CEK SHELVING KE kosong",IF(ISNA(MATCH(Q360&amp;"|"&amp;R360,LAYOUT!$E$2:$E$80,0)),"CEK SHELVING KE di luar layout",IF($I360="","CEK SERIES kosong",IF(AND(S360&lt;&gt;"",NOT(ISNUMBER(S360))),"CEK URUTAN DISPLAY harus angka",IF($D360="","Zona STOCK",IF($E360="","CEK SKU DESCRIPTION kosong",IF(COUNTIFS($I$2:$I$500,$I360,Q$2:Q$500,"&lt;&gt;"&amp;Q360,Q$2:Q$500,"&lt;&gt;")&gt;0,"CEK jenis fixture beda dalam satu series","OK"))))))))))</f>
        <v/>
      </c>
      <c r="V360" s="11" t="n"/>
      <c r="W360" s="11" t="n"/>
      <c r="X360" s="11" t="n"/>
      <c r="Y360" s="11">
        <f>IF(OR(V360="",W360=""),"",IFERROR(INDEX(LAYOUT!$D$2:$D$80,MATCH(V360&amp;"|"&amp;W360,LAYOUT!$E$2:$E$80,0)),""))</f>
        <v/>
      </c>
      <c r="Z360" s="12">
        <f>IF(AND(V360="",W360=""),IF(AND(L360="",M360="",Q360="",R360=""),IF(OR($D360&lt;&gt;"",$E360&lt;&gt;""),"Belum ditempatkan",""),""),IF(V360="","CEK JENIS FIXTURE kosong",IF(LEFT(V360,4)&lt;&gt;"Wall","CEK Fixture 3 hanya Wall",IF(W360="","CEK SHELVING KE kosong",IF(ISNA(MATCH(V360&amp;"|"&amp;W360,LAYOUT!$E$2:$E$80,0)),"CEK SHELVING KE di luar layout",IF($I360="","CEK SERIES kosong",IF(AND(X360&lt;&gt;"",NOT(ISNUMBER(X360))),"CEK URUTAN DISPLAY harus angka",IF($D360="","Zona STOCK",IF($E360="","CEK SKU DESCRIPTION kosong",IF(COUNTIFS($I$2:$I$500,$I360,V$2:V$500,"&lt;&gt;"&amp;V360,V$2:V$500,"&lt;&gt;")&gt;0,"CEK jenis fixture beda dalam satu series","OK"))))))))))</f>
        <v/>
      </c>
      <c r="AA360" s="12" t="n"/>
      <c r="AB360" s="11" t="n"/>
      <c r="AC360" s="11" t="n"/>
      <c r="AD360" s="11" t="n"/>
      <c r="AE360" s="11" t="n"/>
      <c r="AF360" s="11" t="n"/>
      <c r="AG360" s="11" t="n"/>
      <c r="AH360" s="12" t="n"/>
      <c r="AI360" s="12" t="n"/>
    </row>
    <row r="361">
      <c r="A361" s="10" t="n"/>
      <c r="B361" s="10" t="n"/>
      <c r="C361" s="10" t="n"/>
      <c r="D361" s="10" t="n"/>
      <c r="E361" s="10" t="n"/>
      <c r="F361" s="10" t="n"/>
      <c r="G361" s="10" t="n"/>
      <c r="H361" s="10" t="n"/>
      <c r="I361" s="10" t="n"/>
      <c r="J361" s="10" t="n"/>
      <c r="K361" s="10" t="n"/>
      <c r="L361" s="11" t="n"/>
      <c r="M361" s="11" t="n"/>
      <c r="N361" s="11" t="n"/>
      <c r="O361" s="11">
        <f>IF(OR(L361="",M361=""),"",IFERROR(INDEX(LAYOUT!$D$2:$D$80,MATCH(L361&amp;"|"&amp;M361,LAYOUT!$E$2:$E$80,0)),""))</f>
        <v/>
      </c>
      <c r="P361" s="12">
        <f>IF(AND(L361="",M361=""),IF(AND(Q361="",R361="",V361="",W361=""),IF(OR($D361&lt;&gt;"",$E361&lt;&gt;""),"Belum ditempatkan",""),""),IF(L361="","CEK JENIS FIXTURE kosong",IF(AND(LEFT(L361,7)&lt;&gt;"Gondola",LEFT(L361,6)&lt;&gt;"Endcap"),"CEK Fixture 1 hanya Gondola atau Endcap",IF(M361="","CEK SHELVING KE kosong",IF(ISNA(MATCH(L361&amp;"|"&amp;M361,LAYOUT!$E$2:$E$80,0)),"CEK SHELVING KE di luar layout",IF($I361="","CEK SERIES kosong",IF(AND(N361&lt;&gt;"",NOT(ISNUMBER(N361))),"CEK URUTAN DISPLAY harus angka",IF($D361="","Zona STOCK",IF($E361="","CEK SKU DESCRIPTION kosong",IF(COUNTIFS($I$2:$I$500,$I361,L$2:L$500,"&lt;&gt;"&amp;L361,L$2:L$500,"&lt;&gt;")&gt;0,"CEK jenis fixture beda dalam satu series","OK"))))))))))</f>
        <v/>
      </c>
      <c r="Q361" s="11" t="n"/>
      <c r="R361" s="11" t="n"/>
      <c r="S361" s="11" t="n"/>
      <c r="T361" s="11">
        <f>IF(OR(Q361="",R361=""),"",IFERROR(INDEX(LAYOUT!$D$2:$D$80,MATCH(Q361&amp;"|"&amp;R361,LAYOUT!$E$2:$E$80,0)),""))</f>
        <v/>
      </c>
      <c r="U361" s="12">
        <f>IF(AND(Q361="",R361=""),IF(AND(L361="",M361="",V361="",W361=""),IF(OR($D361&lt;&gt;"",$E361&lt;&gt;""),"Belum ditempatkan",""),""),IF(Q361="","CEK JENIS FIXTURE kosong",IF(LEFT(Q361,4)&lt;&gt;"Wall","CEK Fixture 2 hanya Wall",IF(R361="","CEK SHELVING KE kosong",IF(ISNA(MATCH(Q361&amp;"|"&amp;R361,LAYOUT!$E$2:$E$80,0)),"CEK SHELVING KE di luar layout",IF($I361="","CEK SERIES kosong",IF(AND(S361&lt;&gt;"",NOT(ISNUMBER(S361))),"CEK URUTAN DISPLAY harus angka",IF($D361="","Zona STOCK",IF($E361="","CEK SKU DESCRIPTION kosong",IF(COUNTIFS($I$2:$I$500,$I361,Q$2:Q$500,"&lt;&gt;"&amp;Q361,Q$2:Q$500,"&lt;&gt;")&gt;0,"CEK jenis fixture beda dalam satu series","OK"))))))))))</f>
        <v/>
      </c>
      <c r="V361" s="11" t="n"/>
      <c r="W361" s="11" t="n"/>
      <c r="X361" s="11" t="n"/>
      <c r="Y361" s="11">
        <f>IF(OR(V361="",W361=""),"",IFERROR(INDEX(LAYOUT!$D$2:$D$80,MATCH(V361&amp;"|"&amp;W361,LAYOUT!$E$2:$E$80,0)),""))</f>
        <v/>
      </c>
      <c r="Z361" s="12">
        <f>IF(AND(V361="",W361=""),IF(AND(L361="",M361="",Q361="",R361=""),IF(OR($D361&lt;&gt;"",$E361&lt;&gt;""),"Belum ditempatkan",""),""),IF(V361="","CEK JENIS FIXTURE kosong",IF(LEFT(V361,4)&lt;&gt;"Wall","CEK Fixture 3 hanya Wall",IF(W361="","CEK SHELVING KE kosong",IF(ISNA(MATCH(V361&amp;"|"&amp;W361,LAYOUT!$E$2:$E$80,0)),"CEK SHELVING KE di luar layout",IF($I361="","CEK SERIES kosong",IF(AND(X361&lt;&gt;"",NOT(ISNUMBER(X361))),"CEK URUTAN DISPLAY harus angka",IF($D361="","Zona STOCK",IF($E361="","CEK SKU DESCRIPTION kosong",IF(COUNTIFS($I$2:$I$500,$I361,V$2:V$500,"&lt;&gt;"&amp;V361,V$2:V$500,"&lt;&gt;")&gt;0,"CEK jenis fixture beda dalam satu series","OK"))))))))))</f>
        <v/>
      </c>
      <c r="AA361" s="12" t="n"/>
      <c r="AB361" s="11" t="n"/>
      <c r="AC361" s="11" t="n"/>
      <c r="AD361" s="11" t="n"/>
      <c r="AE361" s="11" t="n"/>
      <c r="AF361" s="11" t="n"/>
      <c r="AG361" s="11" t="n"/>
      <c r="AH361" s="12" t="n"/>
      <c r="AI361" s="12" t="n"/>
    </row>
    <row r="362">
      <c r="A362" s="10" t="n"/>
      <c r="B362" s="10" t="n"/>
      <c r="C362" s="10" t="n"/>
      <c r="D362" s="10" t="n"/>
      <c r="E362" s="10" t="n"/>
      <c r="F362" s="10" t="n"/>
      <c r="G362" s="10" t="n"/>
      <c r="H362" s="10" t="n"/>
      <c r="I362" s="10" t="n"/>
      <c r="J362" s="10" t="n"/>
      <c r="K362" s="10" t="n"/>
      <c r="L362" s="11" t="n"/>
      <c r="M362" s="11" t="n"/>
      <c r="N362" s="11" t="n"/>
      <c r="O362" s="11">
        <f>IF(OR(L362="",M362=""),"",IFERROR(INDEX(LAYOUT!$D$2:$D$80,MATCH(L362&amp;"|"&amp;M362,LAYOUT!$E$2:$E$80,0)),""))</f>
        <v/>
      </c>
      <c r="P362" s="12">
        <f>IF(AND(L362="",M362=""),IF(AND(Q362="",R362="",V362="",W362=""),IF(OR($D362&lt;&gt;"",$E362&lt;&gt;""),"Belum ditempatkan",""),""),IF(L362="","CEK JENIS FIXTURE kosong",IF(AND(LEFT(L362,7)&lt;&gt;"Gondola",LEFT(L362,6)&lt;&gt;"Endcap"),"CEK Fixture 1 hanya Gondola atau Endcap",IF(M362="","CEK SHELVING KE kosong",IF(ISNA(MATCH(L362&amp;"|"&amp;M362,LAYOUT!$E$2:$E$80,0)),"CEK SHELVING KE di luar layout",IF($I362="","CEK SERIES kosong",IF(AND(N362&lt;&gt;"",NOT(ISNUMBER(N362))),"CEK URUTAN DISPLAY harus angka",IF($D362="","Zona STOCK",IF($E362="","CEK SKU DESCRIPTION kosong",IF(COUNTIFS($I$2:$I$500,$I362,L$2:L$500,"&lt;&gt;"&amp;L362,L$2:L$500,"&lt;&gt;")&gt;0,"CEK jenis fixture beda dalam satu series","OK"))))))))))</f>
        <v/>
      </c>
      <c r="Q362" s="11" t="n"/>
      <c r="R362" s="11" t="n"/>
      <c r="S362" s="11" t="n"/>
      <c r="T362" s="11">
        <f>IF(OR(Q362="",R362=""),"",IFERROR(INDEX(LAYOUT!$D$2:$D$80,MATCH(Q362&amp;"|"&amp;R362,LAYOUT!$E$2:$E$80,0)),""))</f>
        <v/>
      </c>
      <c r="U362" s="12">
        <f>IF(AND(Q362="",R362=""),IF(AND(L362="",M362="",V362="",W362=""),IF(OR($D362&lt;&gt;"",$E362&lt;&gt;""),"Belum ditempatkan",""),""),IF(Q362="","CEK JENIS FIXTURE kosong",IF(LEFT(Q362,4)&lt;&gt;"Wall","CEK Fixture 2 hanya Wall",IF(R362="","CEK SHELVING KE kosong",IF(ISNA(MATCH(Q362&amp;"|"&amp;R362,LAYOUT!$E$2:$E$80,0)),"CEK SHELVING KE di luar layout",IF($I362="","CEK SERIES kosong",IF(AND(S362&lt;&gt;"",NOT(ISNUMBER(S362))),"CEK URUTAN DISPLAY harus angka",IF($D362="","Zona STOCK",IF($E362="","CEK SKU DESCRIPTION kosong",IF(COUNTIFS($I$2:$I$500,$I362,Q$2:Q$500,"&lt;&gt;"&amp;Q362,Q$2:Q$500,"&lt;&gt;")&gt;0,"CEK jenis fixture beda dalam satu series","OK"))))))))))</f>
        <v/>
      </c>
      <c r="V362" s="11" t="n"/>
      <c r="W362" s="11" t="n"/>
      <c r="X362" s="11" t="n"/>
      <c r="Y362" s="11">
        <f>IF(OR(V362="",W362=""),"",IFERROR(INDEX(LAYOUT!$D$2:$D$80,MATCH(V362&amp;"|"&amp;W362,LAYOUT!$E$2:$E$80,0)),""))</f>
        <v/>
      </c>
      <c r="Z362" s="12">
        <f>IF(AND(V362="",W362=""),IF(AND(L362="",M362="",Q362="",R362=""),IF(OR($D362&lt;&gt;"",$E362&lt;&gt;""),"Belum ditempatkan",""),""),IF(V362="","CEK JENIS FIXTURE kosong",IF(LEFT(V362,4)&lt;&gt;"Wall","CEK Fixture 3 hanya Wall",IF(W362="","CEK SHELVING KE kosong",IF(ISNA(MATCH(V362&amp;"|"&amp;W362,LAYOUT!$E$2:$E$80,0)),"CEK SHELVING KE di luar layout",IF($I362="","CEK SERIES kosong",IF(AND(X362&lt;&gt;"",NOT(ISNUMBER(X362))),"CEK URUTAN DISPLAY harus angka",IF($D362="","Zona STOCK",IF($E362="","CEK SKU DESCRIPTION kosong",IF(COUNTIFS($I$2:$I$500,$I362,V$2:V$500,"&lt;&gt;"&amp;V362,V$2:V$500,"&lt;&gt;")&gt;0,"CEK jenis fixture beda dalam satu series","OK"))))))))))</f>
        <v/>
      </c>
      <c r="AA362" s="12" t="n"/>
      <c r="AB362" s="11" t="n"/>
      <c r="AC362" s="11" t="n"/>
      <c r="AD362" s="11" t="n"/>
      <c r="AE362" s="11" t="n"/>
      <c r="AF362" s="11" t="n"/>
      <c r="AG362" s="11" t="n"/>
      <c r="AH362" s="12" t="n"/>
      <c r="AI362" s="12" t="n"/>
    </row>
    <row r="363">
      <c r="A363" s="10" t="n"/>
      <c r="B363" s="10" t="n"/>
      <c r="C363" s="10" t="n"/>
      <c r="D363" s="10" t="n"/>
      <c r="E363" s="10" t="n"/>
      <c r="F363" s="10" t="n"/>
      <c r="G363" s="10" t="n"/>
      <c r="H363" s="10" t="n"/>
      <c r="I363" s="10" t="n"/>
      <c r="J363" s="10" t="n"/>
      <c r="K363" s="10" t="n"/>
      <c r="L363" s="11" t="n"/>
      <c r="M363" s="11" t="n"/>
      <c r="N363" s="11" t="n"/>
      <c r="O363" s="11">
        <f>IF(OR(L363="",M363=""),"",IFERROR(INDEX(LAYOUT!$D$2:$D$80,MATCH(L363&amp;"|"&amp;M363,LAYOUT!$E$2:$E$80,0)),""))</f>
        <v/>
      </c>
      <c r="P363" s="12">
        <f>IF(AND(L363="",M363=""),IF(AND(Q363="",R363="",V363="",W363=""),IF(OR($D363&lt;&gt;"",$E363&lt;&gt;""),"Belum ditempatkan",""),""),IF(L363="","CEK JENIS FIXTURE kosong",IF(AND(LEFT(L363,7)&lt;&gt;"Gondola",LEFT(L363,6)&lt;&gt;"Endcap"),"CEK Fixture 1 hanya Gondola atau Endcap",IF(M363="","CEK SHELVING KE kosong",IF(ISNA(MATCH(L363&amp;"|"&amp;M363,LAYOUT!$E$2:$E$80,0)),"CEK SHELVING KE di luar layout",IF($I363="","CEK SERIES kosong",IF(AND(N363&lt;&gt;"",NOT(ISNUMBER(N363))),"CEK URUTAN DISPLAY harus angka",IF($D363="","Zona STOCK",IF($E363="","CEK SKU DESCRIPTION kosong",IF(COUNTIFS($I$2:$I$500,$I363,L$2:L$500,"&lt;&gt;"&amp;L363,L$2:L$500,"&lt;&gt;")&gt;0,"CEK jenis fixture beda dalam satu series","OK"))))))))))</f>
        <v/>
      </c>
      <c r="Q363" s="11" t="n"/>
      <c r="R363" s="11" t="n"/>
      <c r="S363" s="11" t="n"/>
      <c r="T363" s="11">
        <f>IF(OR(Q363="",R363=""),"",IFERROR(INDEX(LAYOUT!$D$2:$D$80,MATCH(Q363&amp;"|"&amp;R363,LAYOUT!$E$2:$E$80,0)),""))</f>
        <v/>
      </c>
      <c r="U363" s="12">
        <f>IF(AND(Q363="",R363=""),IF(AND(L363="",M363="",V363="",W363=""),IF(OR($D363&lt;&gt;"",$E363&lt;&gt;""),"Belum ditempatkan",""),""),IF(Q363="","CEK JENIS FIXTURE kosong",IF(LEFT(Q363,4)&lt;&gt;"Wall","CEK Fixture 2 hanya Wall",IF(R363="","CEK SHELVING KE kosong",IF(ISNA(MATCH(Q363&amp;"|"&amp;R363,LAYOUT!$E$2:$E$80,0)),"CEK SHELVING KE di luar layout",IF($I363="","CEK SERIES kosong",IF(AND(S363&lt;&gt;"",NOT(ISNUMBER(S363))),"CEK URUTAN DISPLAY harus angka",IF($D363="","Zona STOCK",IF($E363="","CEK SKU DESCRIPTION kosong",IF(COUNTIFS($I$2:$I$500,$I363,Q$2:Q$500,"&lt;&gt;"&amp;Q363,Q$2:Q$500,"&lt;&gt;")&gt;0,"CEK jenis fixture beda dalam satu series","OK"))))))))))</f>
        <v/>
      </c>
      <c r="V363" s="11" t="n"/>
      <c r="W363" s="11" t="n"/>
      <c r="X363" s="11" t="n"/>
      <c r="Y363" s="11">
        <f>IF(OR(V363="",W363=""),"",IFERROR(INDEX(LAYOUT!$D$2:$D$80,MATCH(V363&amp;"|"&amp;W363,LAYOUT!$E$2:$E$80,0)),""))</f>
        <v/>
      </c>
      <c r="Z363" s="12">
        <f>IF(AND(V363="",W363=""),IF(AND(L363="",M363="",Q363="",R363=""),IF(OR($D363&lt;&gt;"",$E363&lt;&gt;""),"Belum ditempatkan",""),""),IF(V363="","CEK JENIS FIXTURE kosong",IF(LEFT(V363,4)&lt;&gt;"Wall","CEK Fixture 3 hanya Wall",IF(W363="","CEK SHELVING KE kosong",IF(ISNA(MATCH(V363&amp;"|"&amp;W363,LAYOUT!$E$2:$E$80,0)),"CEK SHELVING KE di luar layout",IF($I363="","CEK SERIES kosong",IF(AND(X363&lt;&gt;"",NOT(ISNUMBER(X363))),"CEK URUTAN DISPLAY harus angka",IF($D363="","Zona STOCK",IF($E363="","CEK SKU DESCRIPTION kosong",IF(COUNTIFS($I$2:$I$500,$I363,V$2:V$500,"&lt;&gt;"&amp;V363,V$2:V$500,"&lt;&gt;")&gt;0,"CEK jenis fixture beda dalam satu series","OK"))))))))))</f>
        <v/>
      </c>
      <c r="AA363" s="12" t="n"/>
      <c r="AB363" s="11" t="n"/>
      <c r="AC363" s="11" t="n"/>
      <c r="AD363" s="11" t="n"/>
      <c r="AE363" s="11" t="n"/>
      <c r="AF363" s="11" t="n"/>
      <c r="AG363" s="11" t="n"/>
      <c r="AH363" s="12" t="n"/>
      <c r="AI363" s="12" t="n"/>
    </row>
    <row r="364">
      <c r="A364" s="10" t="n"/>
      <c r="B364" s="10" t="n"/>
      <c r="C364" s="10" t="n"/>
      <c r="D364" s="10" t="n"/>
      <c r="E364" s="10" t="n"/>
      <c r="F364" s="10" t="n"/>
      <c r="G364" s="10" t="n"/>
      <c r="H364" s="10" t="n"/>
      <c r="I364" s="10" t="n"/>
      <c r="J364" s="10" t="n"/>
      <c r="K364" s="10" t="n"/>
      <c r="L364" s="11" t="n"/>
      <c r="M364" s="11" t="n"/>
      <c r="N364" s="11" t="n"/>
      <c r="O364" s="11">
        <f>IF(OR(L364="",M364=""),"",IFERROR(INDEX(LAYOUT!$D$2:$D$80,MATCH(L364&amp;"|"&amp;M364,LAYOUT!$E$2:$E$80,0)),""))</f>
        <v/>
      </c>
      <c r="P364" s="12">
        <f>IF(AND(L364="",M364=""),IF(AND(Q364="",R364="",V364="",W364=""),IF(OR($D364&lt;&gt;"",$E364&lt;&gt;""),"Belum ditempatkan",""),""),IF(L364="","CEK JENIS FIXTURE kosong",IF(AND(LEFT(L364,7)&lt;&gt;"Gondola",LEFT(L364,6)&lt;&gt;"Endcap"),"CEK Fixture 1 hanya Gondola atau Endcap",IF(M364="","CEK SHELVING KE kosong",IF(ISNA(MATCH(L364&amp;"|"&amp;M364,LAYOUT!$E$2:$E$80,0)),"CEK SHELVING KE di luar layout",IF($I364="","CEK SERIES kosong",IF(AND(N364&lt;&gt;"",NOT(ISNUMBER(N364))),"CEK URUTAN DISPLAY harus angka",IF($D364="","Zona STOCK",IF($E364="","CEK SKU DESCRIPTION kosong",IF(COUNTIFS($I$2:$I$500,$I364,L$2:L$500,"&lt;&gt;"&amp;L364,L$2:L$500,"&lt;&gt;")&gt;0,"CEK jenis fixture beda dalam satu series","OK"))))))))))</f>
        <v/>
      </c>
      <c r="Q364" s="11" t="n"/>
      <c r="R364" s="11" t="n"/>
      <c r="S364" s="11" t="n"/>
      <c r="T364" s="11">
        <f>IF(OR(Q364="",R364=""),"",IFERROR(INDEX(LAYOUT!$D$2:$D$80,MATCH(Q364&amp;"|"&amp;R364,LAYOUT!$E$2:$E$80,0)),""))</f>
        <v/>
      </c>
      <c r="U364" s="12">
        <f>IF(AND(Q364="",R364=""),IF(AND(L364="",M364="",V364="",W364=""),IF(OR($D364&lt;&gt;"",$E364&lt;&gt;""),"Belum ditempatkan",""),""),IF(Q364="","CEK JENIS FIXTURE kosong",IF(LEFT(Q364,4)&lt;&gt;"Wall","CEK Fixture 2 hanya Wall",IF(R364="","CEK SHELVING KE kosong",IF(ISNA(MATCH(Q364&amp;"|"&amp;R364,LAYOUT!$E$2:$E$80,0)),"CEK SHELVING KE di luar layout",IF($I364="","CEK SERIES kosong",IF(AND(S364&lt;&gt;"",NOT(ISNUMBER(S364))),"CEK URUTAN DISPLAY harus angka",IF($D364="","Zona STOCK",IF($E364="","CEK SKU DESCRIPTION kosong",IF(COUNTIFS($I$2:$I$500,$I364,Q$2:Q$500,"&lt;&gt;"&amp;Q364,Q$2:Q$500,"&lt;&gt;")&gt;0,"CEK jenis fixture beda dalam satu series","OK"))))))))))</f>
        <v/>
      </c>
      <c r="V364" s="11" t="n"/>
      <c r="W364" s="11" t="n"/>
      <c r="X364" s="11" t="n"/>
      <c r="Y364" s="11">
        <f>IF(OR(V364="",W364=""),"",IFERROR(INDEX(LAYOUT!$D$2:$D$80,MATCH(V364&amp;"|"&amp;W364,LAYOUT!$E$2:$E$80,0)),""))</f>
        <v/>
      </c>
      <c r="Z364" s="12">
        <f>IF(AND(V364="",W364=""),IF(AND(L364="",M364="",Q364="",R364=""),IF(OR($D364&lt;&gt;"",$E364&lt;&gt;""),"Belum ditempatkan",""),""),IF(V364="","CEK JENIS FIXTURE kosong",IF(LEFT(V364,4)&lt;&gt;"Wall","CEK Fixture 3 hanya Wall",IF(W364="","CEK SHELVING KE kosong",IF(ISNA(MATCH(V364&amp;"|"&amp;W364,LAYOUT!$E$2:$E$80,0)),"CEK SHELVING KE di luar layout",IF($I364="","CEK SERIES kosong",IF(AND(X364&lt;&gt;"",NOT(ISNUMBER(X364))),"CEK URUTAN DISPLAY harus angka",IF($D364="","Zona STOCK",IF($E364="","CEK SKU DESCRIPTION kosong",IF(COUNTIFS($I$2:$I$500,$I364,V$2:V$500,"&lt;&gt;"&amp;V364,V$2:V$500,"&lt;&gt;")&gt;0,"CEK jenis fixture beda dalam satu series","OK"))))))))))</f>
        <v/>
      </c>
      <c r="AA364" s="12" t="n"/>
      <c r="AB364" s="11" t="n"/>
      <c r="AC364" s="11" t="n"/>
      <c r="AD364" s="11" t="n"/>
      <c r="AE364" s="11" t="n"/>
      <c r="AF364" s="11" t="n"/>
      <c r="AG364" s="11" t="n"/>
      <c r="AH364" s="12" t="n"/>
      <c r="AI364" s="12" t="n"/>
    </row>
    <row r="365">
      <c r="A365" s="10" t="n"/>
      <c r="B365" s="10" t="n"/>
      <c r="C365" s="10" t="n"/>
      <c r="D365" s="10" t="n"/>
      <c r="E365" s="10" t="n"/>
      <c r="F365" s="10" t="n"/>
      <c r="G365" s="10" t="n"/>
      <c r="H365" s="10" t="n"/>
      <c r="I365" s="10" t="n"/>
      <c r="J365" s="10" t="n"/>
      <c r="K365" s="10" t="n"/>
      <c r="L365" s="11" t="n"/>
      <c r="M365" s="11" t="n"/>
      <c r="N365" s="11" t="n"/>
      <c r="O365" s="11">
        <f>IF(OR(L365="",M365=""),"",IFERROR(INDEX(LAYOUT!$D$2:$D$80,MATCH(L365&amp;"|"&amp;M365,LAYOUT!$E$2:$E$80,0)),""))</f>
        <v/>
      </c>
      <c r="P365" s="12">
        <f>IF(AND(L365="",M365=""),IF(AND(Q365="",R365="",V365="",W365=""),IF(OR($D365&lt;&gt;"",$E365&lt;&gt;""),"Belum ditempatkan",""),""),IF(L365="","CEK JENIS FIXTURE kosong",IF(AND(LEFT(L365,7)&lt;&gt;"Gondola",LEFT(L365,6)&lt;&gt;"Endcap"),"CEK Fixture 1 hanya Gondola atau Endcap",IF(M365="","CEK SHELVING KE kosong",IF(ISNA(MATCH(L365&amp;"|"&amp;M365,LAYOUT!$E$2:$E$80,0)),"CEK SHELVING KE di luar layout",IF($I365="","CEK SERIES kosong",IF(AND(N365&lt;&gt;"",NOT(ISNUMBER(N365))),"CEK URUTAN DISPLAY harus angka",IF($D365="","Zona STOCK",IF($E365="","CEK SKU DESCRIPTION kosong",IF(COUNTIFS($I$2:$I$500,$I365,L$2:L$500,"&lt;&gt;"&amp;L365,L$2:L$500,"&lt;&gt;")&gt;0,"CEK jenis fixture beda dalam satu series","OK"))))))))))</f>
        <v/>
      </c>
      <c r="Q365" s="11" t="n"/>
      <c r="R365" s="11" t="n"/>
      <c r="S365" s="11" t="n"/>
      <c r="T365" s="11">
        <f>IF(OR(Q365="",R365=""),"",IFERROR(INDEX(LAYOUT!$D$2:$D$80,MATCH(Q365&amp;"|"&amp;R365,LAYOUT!$E$2:$E$80,0)),""))</f>
        <v/>
      </c>
      <c r="U365" s="12">
        <f>IF(AND(Q365="",R365=""),IF(AND(L365="",M365="",V365="",W365=""),IF(OR($D365&lt;&gt;"",$E365&lt;&gt;""),"Belum ditempatkan",""),""),IF(Q365="","CEK JENIS FIXTURE kosong",IF(LEFT(Q365,4)&lt;&gt;"Wall","CEK Fixture 2 hanya Wall",IF(R365="","CEK SHELVING KE kosong",IF(ISNA(MATCH(Q365&amp;"|"&amp;R365,LAYOUT!$E$2:$E$80,0)),"CEK SHELVING KE di luar layout",IF($I365="","CEK SERIES kosong",IF(AND(S365&lt;&gt;"",NOT(ISNUMBER(S365))),"CEK URUTAN DISPLAY harus angka",IF($D365="","Zona STOCK",IF($E365="","CEK SKU DESCRIPTION kosong",IF(COUNTIFS($I$2:$I$500,$I365,Q$2:Q$500,"&lt;&gt;"&amp;Q365,Q$2:Q$500,"&lt;&gt;")&gt;0,"CEK jenis fixture beda dalam satu series","OK"))))))))))</f>
        <v/>
      </c>
      <c r="V365" s="11" t="n"/>
      <c r="W365" s="11" t="n"/>
      <c r="X365" s="11" t="n"/>
      <c r="Y365" s="11">
        <f>IF(OR(V365="",W365=""),"",IFERROR(INDEX(LAYOUT!$D$2:$D$80,MATCH(V365&amp;"|"&amp;W365,LAYOUT!$E$2:$E$80,0)),""))</f>
        <v/>
      </c>
      <c r="Z365" s="12">
        <f>IF(AND(V365="",W365=""),IF(AND(L365="",M365="",Q365="",R365=""),IF(OR($D365&lt;&gt;"",$E365&lt;&gt;""),"Belum ditempatkan",""),""),IF(V365="","CEK JENIS FIXTURE kosong",IF(LEFT(V365,4)&lt;&gt;"Wall","CEK Fixture 3 hanya Wall",IF(W365="","CEK SHELVING KE kosong",IF(ISNA(MATCH(V365&amp;"|"&amp;W365,LAYOUT!$E$2:$E$80,0)),"CEK SHELVING KE di luar layout",IF($I365="","CEK SERIES kosong",IF(AND(X365&lt;&gt;"",NOT(ISNUMBER(X365))),"CEK URUTAN DISPLAY harus angka",IF($D365="","Zona STOCK",IF($E365="","CEK SKU DESCRIPTION kosong",IF(COUNTIFS($I$2:$I$500,$I365,V$2:V$500,"&lt;&gt;"&amp;V365,V$2:V$500,"&lt;&gt;")&gt;0,"CEK jenis fixture beda dalam satu series","OK"))))))))))</f>
        <v/>
      </c>
      <c r="AA365" s="12" t="n"/>
      <c r="AB365" s="11" t="n"/>
      <c r="AC365" s="11" t="n"/>
      <c r="AD365" s="11" t="n"/>
      <c r="AE365" s="11" t="n"/>
      <c r="AF365" s="11" t="n"/>
      <c r="AG365" s="11" t="n"/>
      <c r="AH365" s="12" t="n"/>
      <c r="AI365" s="12" t="n"/>
    </row>
    <row r="366">
      <c r="A366" s="10" t="n"/>
      <c r="B366" s="10" t="n"/>
      <c r="C366" s="10" t="n"/>
      <c r="D366" s="10" t="n"/>
      <c r="E366" s="10" t="n"/>
      <c r="F366" s="10" t="n"/>
      <c r="G366" s="10" t="n"/>
      <c r="H366" s="10" t="n"/>
      <c r="I366" s="10" t="n"/>
      <c r="J366" s="10" t="n"/>
      <c r="K366" s="10" t="n"/>
      <c r="L366" s="11" t="n"/>
      <c r="M366" s="11" t="n"/>
      <c r="N366" s="11" t="n"/>
      <c r="O366" s="11">
        <f>IF(OR(L366="",M366=""),"",IFERROR(INDEX(LAYOUT!$D$2:$D$80,MATCH(L366&amp;"|"&amp;M366,LAYOUT!$E$2:$E$80,0)),""))</f>
        <v/>
      </c>
      <c r="P366" s="12">
        <f>IF(AND(L366="",M366=""),IF(AND(Q366="",R366="",V366="",W366=""),IF(OR($D366&lt;&gt;"",$E366&lt;&gt;""),"Belum ditempatkan",""),""),IF(L366="","CEK JENIS FIXTURE kosong",IF(AND(LEFT(L366,7)&lt;&gt;"Gondola",LEFT(L366,6)&lt;&gt;"Endcap"),"CEK Fixture 1 hanya Gondola atau Endcap",IF(M366="","CEK SHELVING KE kosong",IF(ISNA(MATCH(L366&amp;"|"&amp;M366,LAYOUT!$E$2:$E$80,0)),"CEK SHELVING KE di luar layout",IF($I366="","CEK SERIES kosong",IF(AND(N366&lt;&gt;"",NOT(ISNUMBER(N366))),"CEK URUTAN DISPLAY harus angka",IF($D366="","Zona STOCK",IF($E366="","CEK SKU DESCRIPTION kosong",IF(COUNTIFS($I$2:$I$500,$I366,L$2:L$500,"&lt;&gt;"&amp;L366,L$2:L$500,"&lt;&gt;")&gt;0,"CEK jenis fixture beda dalam satu series","OK"))))))))))</f>
        <v/>
      </c>
      <c r="Q366" s="11" t="n"/>
      <c r="R366" s="11" t="n"/>
      <c r="S366" s="11" t="n"/>
      <c r="T366" s="11">
        <f>IF(OR(Q366="",R366=""),"",IFERROR(INDEX(LAYOUT!$D$2:$D$80,MATCH(Q366&amp;"|"&amp;R366,LAYOUT!$E$2:$E$80,0)),""))</f>
        <v/>
      </c>
      <c r="U366" s="12">
        <f>IF(AND(Q366="",R366=""),IF(AND(L366="",M366="",V366="",W366=""),IF(OR($D366&lt;&gt;"",$E366&lt;&gt;""),"Belum ditempatkan",""),""),IF(Q366="","CEK JENIS FIXTURE kosong",IF(LEFT(Q366,4)&lt;&gt;"Wall","CEK Fixture 2 hanya Wall",IF(R366="","CEK SHELVING KE kosong",IF(ISNA(MATCH(Q366&amp;"|"&amp;R366,LAYOUT!$E$2:$E$80,0)),"CEK SHELVING KE di luar layout",IF($I366="","CEK SERIES kosong",IF(AND(S366&lt;&gt;"",NOT(ISNUMBER(S366))),"CEK URUTAN DISPLAY harus angka",IF($D366="","Zona STOCK",IF($E366="","CEK SKU DESCRIPTION kosong",IF(COUNTIFS($I$2:$I$500,$I366,Q$2:Q$500,"&lt;&gt;"&amp;Q366,Q$2:Q$500,"&lt;&gt;")&gt;0,"CEK jenis fixture beda dalam satu series","OK"))))))))))</f>
        <v/>
      </c>
      <c r="V366" s="11" t="n"/>
      <c r="W366" s="11" t="n"/>
      <c r="X366" s="11" t="n"/>
      <c r="Y366" s="11">
        <f>IF(OR(V366="",W366=""),"",IFERROR(INDEX(LAYOUT!$D$2:$D$80,MATCH(V366&amp;"|"&amp;W366,LAYOUT!$E$2:$E$80,0)),""))</f>
        <v/>
      </c>
      <c r="Z366" s="12">
        <f>IF(AND(V366="",W366=""),IF(AND(L366="",M366="",Q366="",R366=""),IF(OR($D366&lt;&gt;"",$E366&lt;&gt;""),"Belum ditempatkan",""),""),IF(V366="","CEK JENIS FIXTURE kosong",IF(LEFT(V366,4)&lt;&gt;"Wall","CEK Fixture 3 hanya Wall",IF(W366="","CEK SHELVING KE kosong",IF(ISNA(MATCH(V366&amp;"|"&amp;W366,LAYOUT!$E$2:$E$80,0)),"CEK SHELVING KE di luar layout",IF($I366="","CEK SERIES kosong",IF(AND(X366&lt;&gt;"",NOT(ISNUMBER(X366))),"CEK URUTAN DISPLAY harus angka",IF($D366="","Zona STOCK",IF($E366="","CEK SKU DESCRIPTION kosong",IF(COUNTIFS($I$2:$I$500,$I366,V$2:V$500,"&lt;&gt;"&amp;V366,V$2:V$500,"&lt;&gt;")&gt;0,"CEK jenis fixture beda dalam satu series","OK"))))))))))</f>
        <v/>
      </c>
      <c r="AA366" s="12" t="n"/>
      <c r="AB366" s="11" t="n"/>
      <c r="AC366" s="11" t="n"/>
      <c r="AD366" s="11" t="n"/>
      <c r="AE366" s="11" t="n"/>
      <c r="AF366" s="11" t="n"/>
      <c r="AG366" s="11" t="n"/>
      <c r="AH366" s="12" t="n"/>
      <c r="AI366" s="12" t="n"/>
    </row>
    <row r="367">
      <c r="A367" s="10" t="n"/>
      <c r="B367" s="10" t="n"/>
      <c r="C367" s="10" t="n"/>
      <c r="D367" s="10" t="n"/>
      <c r="E367" s="10" t="n"/>
      <c r="F367" s="10" t="n"/>
      <c r="G367" s="10" t="n"/>
      <c r="H367" s="10" t="n"/>
      <c r="I367" s="10" t="n"/>
      <c r="J367" s="10" t="n"/>
      <c r="K367" s="10" t="n"/>
      <c r="L367" s="11" t="n"/>
      <c r="M367" s="11" t="n"/>
      <c r="N367" s="11" t="n"/>
      <c r="O367" s="11">
        <f>IF(OR(L367="",M367=""),"",IFERROR(INDEX(LAYOUT!$D$2:$D$80,MATCH(L367&amp;"|"&amp;M367,LAYOUT!$E$2:$E$80,0)),""))</f>
        <v/>
      </c>
      <c r="P367" s="12">
        <f>IF(AND(L367="",M367=""),IF(AND(Q367="",R367="",V367="",W367=""),IF(OR($D367&lt;&gt;"",$E367&lt;&gt;""),"Belum ditempatkan",""),""),IF(L367="","CEK JENIS FIXTURE kosong",IF(AND(LEFT(L367,7)&lt;&gt;"Gondola",LEFT(L367,6)&lt;&gt;"Endcap"),"CEK Fixture 1 hanya Gondola atau Endcap",IF(M367="","CEK SHELVING KE kosong",IF(ISNA(MATCH(L367&amp;"|"&amp;M367,LAYOUT!$E$2:$E$80,0)),"CEK SHELVING KE di luar layout",IF($I367="","CEK SERIES kosong",IF(AND(N367&lt;&gt;"",NOT(ISNUMBER(N367))),"CEK URUTAN DISPLAY harus angka",IF($D367="","Zona STOCK",IF($E367="","CEK SKU DESCRIPTION kosong",IF(COUNTIFS($I$2:$I$500,$I367,L$2:L$500,"&lt;&gt;"&amp;L367,L$2:L$500,"&lt;&gt;")&gt;0,"CEK jenis fixture beda dalam satu series","OK"))))))))))</f>
        <v/>
      </c>
      <c r="Q367" s="11" t="n"/>
      <c r="R367" s="11" t="n"/>
      <c r="S367" s="11" t="n"/>
      <c r="T367" s="11">
        <f>IF(OR(Q367="",R367=""),"",IFERROR(INDEX(LAYOUT!$D$2:$D$80,MATCH(Q367&amp;"|"&amp;R367,LAYOUT!$E$2:$E$80,0)),""))</f>
        <v/>
      </c>
      <c r="U367" s="12">
        <f>IF(AND(Q367="",R367=""),IF(AND(L367="",M367="",V367="",W367=""),IF(OR($D367&lt;&gt;"",$E367&lt;&gt;""),"Belum ditempatkan",""),""),IF(Q367="","CEK JENIS FIXTURE kosong",IF(LEFT(Q367,4)&lt;&gt;"Wall","CEK Fixture 2 hanya Wall",IF(R367="","CEK SHELVING KE kosong",IF(ISNA(MATCH(Q367&amp;"|"&amp;R367,LAYOUT!$E$2:$E$80,0)),"CEK SHELVING KE di luar layout",IF($I367="","CEK SERIES kosong",IF(AND(S367&lt;&gt;"",NOT(ISNUMBER(S367))),"CEK URUTAN DISPLAY harus angka",IF($D367="","Zona STOCK",IF($E367="","CEK SKU DESCRIPTION kosong",IF(COUNTIFS($I$2:$I$500,$I367,Q$2:Q$500,"&lt;&gt;"&amp;Q367,Q$2:Q$500,"&lt;&gt;")&gt;0,"CEK jenis fixture beda dalam satu series","OK"))))))))))</f>
        <v/>
      </c>
      <c r="V367" s="11" t="n"/>
      <c r="W367" s="11" t="n"/>
      <c r="X367" s="11" t="n"/>
      <c r="Y367" s="11">
        <f>IF(OR(V367="",W367=""),"",IFERROR(INDEX(LAYOUT!$D$2:$D$80,MATCH(V367&amp;"|"&amp;W367,LAYOUT!$E$2:$E$80,0)),""))</f>
        <v/>
      </c>
      <c r="Z367" s="12">
        <f>IF(AND(V367="",W367=""),IF(AND(L367="",M367="",Q367="",R367=""),IF(OR($D367&lt;&gt;"",$E367&lt;&gt;""),"Belum ditempatkan",""),""),IF(V367="","CEK JENIS FIXTURE kosong",IF(LEFT(V367,4)&lt;&gt;"Wall","CEK Fixture 3 hanya Wall",IF(W367="","CEK SHELVING KE kosong",IF(ISNA(MATCH(V367&amp;"|"&amp;W367,LAYOUT!$E$2:$E$80,0)),"CEK SHELVING KE di luar layout",IF($I367="","CEK SERIES kosong",IF(AND(X367&lt;&gt;"",NOT(ISNUMBER(X367))),"CEK URUTAN DISPLAY harus angka",IF($D367="","Zona STOCK",IF($E367="","CEK SKU DESCRIPTION kosong",IF(COUNTIFS($I$2:$I$500,$I367,V$2:V$500,"&lt;&gt;"&amp;V367,V$2:V$500,"&lt;&gt;")&gt;0,"CEK jenis fixture beda dalam satu series","OK"))))))))))</f>
        <v/>
      </c>
      <c r="AA367" s="12" t="n"/>
      <c r="AB367" s="11" t="n"/>
      <c r="AC367" s="11" t="n"/>
      <c r="AD367" s="11" t="n"/>
      <c r="AE367" s="11" t="n"/>
      <c r="AF367" s="11" t="n"/>
      <c r="AG367" s="11" t="n"/>
      <c r="AH367" s="12" t="n"/>
      <c r="AI367" s="12" t="n"/>
    </row>
    <row r="368">
      <c r="A368" s="10" t="n"/>
      <c r="B368" s="10" t="n"/>
      <c r="C368" s="10" t="n"/>
      <c r="D368" s="10" t="n"/>
      <c r="E368" s="10" t="n"/>
      <c r="F368" s="10" t="n"/>
      <c r="G368" s="10" t="n"/>
      <c r="H368" s="10" t="n"/>
      <c r="I368" s="10" t="n"/>
      <c r="J368" s="10" t="n"/>
      <c r="K368" s="10" t="n"/>
      <c r="L368" s="11" t="n"/>
      <c r="M368" s="11" t="n"/>
      <c r="N368" s="11" t="n"/>
      <c r="O368" s="11">
        <f>IF(OR(L368="",M368=""),"",IFERROR(INDEX(LAYOUT!$D$2:$D$80,MATCH(L368&amp;"|"&amp;M368,LAYOUT!$E$2:$E$80,0)),""))</f>
        <v/>
      </c>
      <c r="P368" s="12">
        <f>IF(AND(L368="",M368=""),IF(AND(Q368="",R368="",V368="",W368=""),IF(OR($D368&lt;&gt;"",$E368&lt;&gt;""),"Belum ditempatkan",""),""),IF(L368="","CEK JENIS FIXTURE kosong",IF(AND(LEFT(L368,7)&lt;&gt;"Gondola",LEFT(L368,6)&lt;&gt;"Endcap"),"CEK Fixture 1 hanya Gondola atau Endcap",IF(M368="","CEK SHELVING KE kosong",IF(ISNA(MATCH(L368&amp;"|"&amp;M368,LAYOUT!$E$2:$E$80,0)),"CEK SHELVING KE di luar layout",IF($I368="","CEK SERIES kosong",IF(AND(N368&lt;&gt;"",NOT(ISNUMBER(N368))),"CEK URUTAN DISPLAY harus angka",IF($D368="","Zona STOCK",IF($E368="","CEK SKU DESCRIPTION kosong",IF(COUNTIFS($I$2:$I$500,$I368,L$2:L$500,"&lt;&gt;"&amp;L368,L$2:L$500,"&lt;&gt;")&gt;0,"CEK jenis fixture beda dalam satu series","OK"))))))))))</f>
        <v/>
      </c>
      <c r="Q368" s="11" t="n"/>
      <c r="R368" s="11" t="n"/>
      <c r="S368" s="11" t="n"/>
      <c r="T368" s="11">
        <f>IF(OR(Q368="",R368=""),"",IFERROR(INDEX(LAYOUT!$D$2:$D$80,MATCH(Q368&amp;"|"&amp;R368,LAYOUT!$E$2:$E$80,0)),""))</f>
        <v/>
      </c>
      <c r="U368" s="12">
        <f>IF(AND(Q368="",R368=""),IF(AND(L368="",M368="",V368="",W368=""),IF(OR($D368&lt;&gt;"",$E368&lt;&gt;""),"Belum ditempatkan",""),""),IF(Q368="","CEK JENIS FIXTURE kosong",IF(LEFT(Q368,4)&lt;&gt;"Wall","CEK Fixture 2 hanya Wall",IF(R368="","CEK SHELVING KE kosong",IF(ISNA(MATCH(Q368&amp;"|"&amp;R368,LAYOUT!$E$2:$E$80,0)),"CEK SHELVING KE di luar layout",IF($I368="","CEK SERIES kosong",IF(AND(S368&lt;&gt;"",NOT(ISNUMBER(S368))),"CEK URUTAN DISPLAY harus angka",IF($D368="","Zona STOCK",IF($E368="","CEK SKU DESCRIPTION kosong",IF(COUNTIFS($I$2:$I$500,$I368,Q$2:Q$500,"&lt;&gt;"&amp;Q368,Q$2:Q$500,"&lt;&gt;")&gt;0,"CEK jenis fixture beda dalam satu series","OK"))))))))))</f>
        <v/>
      </c>
      <c r="V368" s="11" t="n"/>
      <c r="W368" s="11" t="n"/>
      <c r="X368" s="11" t="n"/>
      <c r="Y368" s="11">
        <f>IF(OR(V368="",W368=""),"",IFERROR(INDEX(LAYOUT!$D$2:$D$80,MATCH(V368&amp;"|"&amp;W368,LAYOUT!$E$2:$E$80,0)),""))</f>
        <v/>
      </c>
      <c r="Z368" s="12">
        <f>IF(AND(V368="",W368=""),IF(AND(L368="",M368="",Q368="",R368=""),IF(OR($D368&lt;&gt;"",$E368&lt;&gt;""),"Belum ditempatkan",""),""),IF(V368="","CEK JENIS FIXTURE kosong",IF(LEFT(V368,4)&lt;&gt;"Wall","CEK Fixture 3 hanya Wall",IF(W368="","CEK SHELVING KE kosong",IF(ISNA(MATCH(V368&amp;"|"&amp;W368,LAYOUT!$E$2:$E$80,0)),"CEK SHELVING KE di luar layout",IF($I368="","CEK SERIES kosong",IF(AND(X368&lt;&gt;"",NOT(ISNUMBER(X368))),"CEK URUTAN DISPLAY harus angka",IF($D368="","Zona STOCK",IF($E368="","CEK SKU DESCRIPTION kosong",IF(COUNTIFS($I$2:$I$500,$I368,V$2:V$500,"&lt;&gt;"&amp;V368,V$2:V$500,"&lt;&gt;")&gt;0,"CEK jenis fixture beda dalam satu series","OK"))))))))))</f>
        <v/>
      </c>
      <c r="AA368" s="12" t="n"/>
      <c r="AB368" s="11" t="n"/>
      <c r="AC368" s="11" t="n"/>
      <c r="AD368" s="11" t="n"/>
      <c r="AE368" s="11" t="n"/>
      <c r="AF368" s="11" t="n"/>
      <c r="AG368" s="11" t="n"/>
      <c r="AH368" s="12" t="n"/>
      <c r="AI368" s="12" t="n"/>
    </row>
    <row r="369">
      <c r="A369" s="10" t="n"/>
      <c r="B369" s="10" t="n"/>
      <c r="C369" s="10" t="n"/>
      <c r="D369" s="10" t="n"/>
      <c r="E369" s="10" t="n"/>
      <c r="F369" s="10" t="n"/>
      <c r="G369" s="10" t="n"/>
      <c r="H369" s="10" t="n"/>
      <c r="I369" s="10" t="n"/>
      <c r="J369" s="10" t="n"/>
      <c r="K369" s="10" t="n"/>
      <c r="L369" s="11" t="n"/>
      <c r="M369" s="11" t="n"/>
      <c r="N369" s="11" t="n"/>
      <c r="O369" s="11">
        <f>IF(OR(L369="",M369=""),"",IFERROR(INDEX(LAYOUT!$D$2:$D$80,MATCH(L369&amp;"|"&amp;M369,LAYOUT!$E$2:$E$80,0)),""))</f>
        <v/>
      </c>
      <c r="P369" s="12">
        <f>IF(AND(L369="",M369=""),IF(AND(Q369="",R369="",V369="",W369=""),IF(OR($D369&lt;&gt;"",$E369&lt;&gt;""),"Belum ditempatkan",""),""),IF(L369="","CEK JENIS FIXTURE kosong",IF(AND(LEFT(L369,7)&lt;&gt;"Gondola",LEFT(L369,6)&lt;&gt;"Endcap"),"CEK Fixture 1 hanya Gondola atau Endcap",IF(M369="","CEK SHELVING KE kosong",IF(ISNA(MATCH(L369&amp;"|"&amp;M369,LAYOUT!$E$2:$E$80,0)),"CEK SHELVING KE di luar layout",IF($I369="","CEK SERIES kosong",IF(AND(N369&lt;&gt;"",NOT(ISNUMBER(N369))),"CEK URUTAN DISPLAY harus angka",IF($D369="","Zona STOCK",IF($E369="","CEK SKU DESCRIPTION kosong",IF(COUNTIFS($I$2:$I$500,$I369,L$2:L$500,"&lt;&gt;"&amp;L369,L$2:L$500,"&lt;&gt;")&gt;0,"CEK jenis fixture beda dalam satu series","OK"))))))))))</f>
        <v/>
      </c>
      <c r="Q369" s="11" t="n"/>
      <c r="R369" s="11" t="n"/>
      <c r="S369" s="11" t="n"/>
      <c r="T369" s="11">
        <f>IF(OR(Q369="",R369=""),"",IFERROR(INDEX(LAYOUT!$D$2:$D$80,MATCH(Q369&amp;"|"&amp;R369,LAYOUT!$E$2:$E$80,0)),""))</f>
        <v/>
      </c>
      <c r="U369" s="12">
        <f>IF(AND(Q369="",R369=""),IF(AND(L369="",M369="",V369="",W369=""),IF(OR($D369&lt;&gt;"",$E369&lt;&gt;""),"Belum ditempatkan",""),""),IF(Q369="","CEK JENIS FIXTURE kosong",IF(LEFT(Q369,4)&lt;&gt;"Wall","CEK Fixture 2 hanya Wall",IF(R369="","CEK SHELVING KE kosong",IF(ISNA(MATCH(Q369&amp;"|"&amp;R369,LAYOUT!$E$2:$E$80,0)),"CEK SHELVING KE di luar layout",IF($I369="","CEK SERIES kosong",IF(AND(S369&lt;&gt;"",NOT(ISNUMBER(S369))),"CEK URUTAN DISPLAY harus angka",IF($D369="","Zona STOCK",IF($E369="","CEK SKU DESCRIPTION kosong",IF(COUNTIFS($I$2:$I$500,$I369,Q$2:Q$500,"&lt;&gt;"&amp;Q369,Q$2:Q$500,"&lt;&gt;")&gt;0,"CEK jenis fixture beda dalam satu series","OK"))))))))))</f>
        <v/>
      </c>
      <c r="V369" s="11" t="n"/>
      <c r="W369" s="11" t="n"/>
      <c r="X369" s="11" t="n"/>
      <c r="Y369" s="11">
        <f>IF(OR(V369="",W369=""),"",IFERROR(INDEX(LAYOUT!$D$2:$D$80,MATCH(V369&amp;"|"&amp;W369,LAYOUT!$E$2:$E$80,0)),""))</f>
        <v/>
      </c>
      <c r="Z369" s="12">
        <f>IF(AND(V369="",W369=""),IF(AND(L369="",M369="",Q369="",R369=""),IF(OR($D369&lt;&gt;"",$E369&lt;&gt;""),"Belum ditempatkan",""),""),IF(V369="","CEK JENIS FIXTURE kosong",IF(LEFT(V369,4)&lt;&gt;"Wall","CEK Fixture 3 hanya Wall",IF(W369="","CEK SHELVING KE kosong",IF(ISNA(MATCH(V369&amp;"|"&amp;W369,LAYOUT!$E$2:$E$80,0)),"CEK SHELVING KE di luar layout",IF($I369="","CEK SERIES kosong",IF(AND(X369&lt;&gt;"",NOT(ISNUMBER(X369))),"CEK URUTAN DISPLAY harus angka",IF($D369="","Zona STOCK",IF($E369="","CEK SKU DESCRIPTION kosong",IF(COUNTIFS($I$2:$I$500,$I369,V$2:V$500,"&lt;&gt;"&amp;V369,V$2:V$500,"&lt;&gt;")&gt;0,"CEK jenis fixture beda dalam satu series","OK"))))))))))</f>
        <v/>
      </c>
      <c r="AA369" s="12" t="n"/>
      <c r="AB369" s="11" t="n"/>
      <c r="AC369" s="11" t="n"/>
      <c r="AD369" s="11" t="n"/>
      <c r="AE369" s="11" t="n"/>
      <c r="AF369" s="11" t="n"/>
      <c r="AG369" s="11" t="n"/>
      <c r="AH369" s="12" t="n"/>
      <c r="AI369" s="12" t="n"/>
    </row>
    <row r="370">
      <c r="A370" s="10" t="n"/>
      <c r="B370" s="10" t="n"/>
      <c r="C370" s="10" t="n"/>
      <c r="D370" s="10" t="n"/>
      <c r="E370" s="10" t="n"/>
      <c r="F370" s="10" t="n"/>
      <c r="G370" s="10" t="n"/>
      <c r="H370" s="10" t="n"/>
      <c r="I370" s="10" t="n"/>
      <c r="J370" s="10" t="n"/>
      <c r="K370" s="10" t="n"/>
      <c r="L370" s="11" t="n"/>
      <c r="M370" s="11" t="n"/>
      <c r="N370" s="11" t="n"/>
      <c r="O370" s="11">
        <f>IF(OR(L370="",M370=""),"",IFERROR(INDEX(LAYOUT!$D$2:$D$80,MATCH(L370&amp;"|"&amp;M370,LAYOUT!$E$2:$E$80,0)),""))</f>
        <v/>
      </c>
      <c r="P370" s="12">
        <f>IF(AND(L370="",M370=""),IF(AND(Q370="",R370="",V370="",W370=""),IF(OR($D370&lt;&gt;"",$E370&lt;&gt;""),"Belum ditempatkan",""),""),IF(L370="","CEK JENIS FIXTURE kosong",IF(AND(LEFT(L370,7)&lt;&gt;"Gondola",LEFT(L370,6)&lt;&gt;"Endcap"),"CEK Fixture 1 hanya Gondola atau Endcap",IF(M370="","CEK SHELVING KE kosong",IF(ISNA(MATCH(L370&amp;"|"&amp;M370,LAYOUT!$E$2:$E$80,0)),"CEK SHELVING KE di luar layout",IF($I370="","CEK SERIES kosong",IF(AND(N370&lt;&gt;"",NOT(ISNUMBER(N370))),"CEK URUTAN DISPLAY harus angka",IF($D370="","Zona STOCK",IF($E370="","CEK SKU DESCRIPTION kosong",IF(COUNTIFS($I$2:$I$500,$I370,L$2:L$500,"&lt;&gt;"&amp;L370,L$2:L$500,"&lt;&gt;")&gt;0,"CEK jenis fixture beda dalam satu series","OK"))))))))))</f>
        <v/>
      </c>
      <c r="Q370" s="11" t="n"/>
      <c r="R370" s="11" t="n"/>
      <c r="S370" s="11" t="n"/>
      <c r="T370" s="11">
        <f>IF(OR(Q370="",R370=""),"",IFERROR(INDEX(LAYOUT!$D$2:$D$80,MATCH(Q370&amp;"|"&amp;R370,LAYOUT!$E$2:$E$80,0)),""))</f>
        <v/>
      </c>
      <c r="U370" s="12">
        <f>IF(AND(Q370="",R370=""),IF(AND(L370="",M370="",V370="",W370=""),IF(OR($D370&lt;&gt;"",$E370&lt;&gt;""),"Belum ditempatkan",""),""),IF(Q370="","CEK JENIS FIXTURE kosong",IF(LEFT(Q370,4)&lt;&gt;"Wall","CEK Fixture 2 hanya Wall",IF(R370="","CEK SHELVING KE kosong",IF(ISNA(MATCH(Q370&amp;"|"&amp;R370,LAYOUT!$E$2:$E$80,0)),"CEK SHELVING KE di luar layout",IF($I370="","CEK SERIES kosong",IF(AND(S370&lt;&gt;"",NOT(ISNUMBER(S370))),"CEK URUTAN DISPLAY harus angka",IF($D370="","Zona STOCK",IF($E370="","CEK SKU DESCRIPTION kosong",IF(COUNTIFS($I$2:$I$500,$I370,Q$2:Q$500,"&lt;&gt;"&amp;Q370,Q$2:Q$500,"&lt;&gt;")&gt;0,"CEK jenis fixture beda dalam satu series","OK"))))))))))</f>
        <v/>
      </c>
      <c r="V370" s="11" t="n"/>
      <c r="W370" s="11" t="n"/>
      <c r="X370" s="11" t="n"/>
      <c r="Y370" s="11">
        <f>IF(OR(V370="",W370=""),"",IFERROR(INDEX(LAYOUT!$D$2:$D$80,MATCH(V370&amp;"|"&amp;W370,LAYOUT!$E$2:$E$80,0)),""))</f>
        <v/>
      </c>
      <c r="Z370" s="12">
        <f>IF(AND(V370="",W370=""),IF(AND(L370="",M370="",Q370="",R370=""),IF(OR($D370&lt;&gt;"",$E370&lt;&gt;""),"Belum ditempatkan",""),""),IF(V370="","CEK JENIS FIXTURE kosong",IF(LEFT(V370,4)&lt;&gt;"Wall","CEK Fixture 3 hanya Wall",IF(W370="","CEK SHELVING KE kosong",IF(ISNA(MATCH(V370&amp;"|"&amp;W370,LAYOUT!$E$2:$E$80,0)),"CEK SHELVING KE di luar layout",IF($I370="","CEK SERIES kosong",IF(AND(X370&lt;&gt;"",NOT(ISNUMBER(X370))),"CEK URUTAN DISPLAY harus angka",IF($D370="","Zona STOCK",IF($E370="","CEK SKU DESCRIPTION kosong",IF(COUNTIFS($I$2:$I$500,$I370,V$2:V$500,"&lt;&gt;"&amp;V370,V$2:V$500,"&lt;&gt;")&gt;0,"CEK jenis fixture beda dalam satu series","OK"))))))))))</f>
        <v/>
      </c>
      <c r="AA370" s="12" t="n"/>
      <c r="AB370" s="11" t="n"/>
      <c r="AC370" s="11" t="n"/>
      <c r="AD370" s="11" t="n"/>
      <c r="AE370" s="11" t="n"/>
      <c r="AF370" s="11" t="n"/>
      <c r="AG370" s="11" t="n"/>
      <c r="AH370" s="12" t="n"/>
      <c r="AI370" s="12" t="n"/>
    </row>
    <row r="371">
      <c r="A371" s="10" t="n"/>
      <c r="B371" s="10" t="n"/>
      <c r="C371" s="10" t="n"/>
      <c r="D371" s="10" t="n"/>
      <c r="E371" s="10" t="n"/>
      <c r="F371" s="10" t="n"/>
      <c r="G371" s="10" t="n"/>
      <c r="H371" s="10" t="n"/>
      <c r="I371" s="10" t="n"/>
      <c r="J371" s="10" t="n"/>
      <c r="K371" s="10" t="n"/>
      <c r="L371" s="11" t="n"/>
      <c r="M371" s="11" t="n"/>
      <c r="N371" s="11" t="n"/>
      <c r="O371" s="11">
        <f>IF(OR(L371="",M371=""),"",IFERROR(INDEX(LAYOUT!$D$2:$D$80,MATCH(L371&amp;"|"&amp;M371,LAYOUT!$E$2:$E$80,0)),""))</f>
        <v/>
      </c>
      <c r="P371" s="12">
        <f>IF(AND(L371="",M371=""),IF(AND(Q371="",R371="",V371="",W371=""),IF(OR($D371&lt;&gt;"",$E371&lt;&gt;""),"Belum ditempatkan",""),""),IF(L371="","CEK JENIS FIXTURE kosong",IF(AND(LEFT(L371,7)&lt;&gt;"Gondola",LEFT(L371,6)&lt;&gt;"Endcap"),"CEK Fixture 1 hanya Gondola atau Endcap",IF(M371="","CEK SHELVING KE kosong",IF(ISNA(MATCH(L371&amp;"|"&amp;M371,LAYOUT!$E$2:$E$80,0)),"CEK SHELVING KE di luar layout",IF($I371="","CEK SERIES kosong",IF(AND(N371&lt;&gt;"",NOT(ISNUMBER(N371))),"CEK URUTAN DISPLAY harus angka",IF($D371="","Zona STOCK",IF($E371="","CEK SKU DESCRIPTION kosong",IF(COUNTIFS($I$2:$I$500,$I371,L$2:L$500,"&lt;&gt;"&amp;L371,L$2:L$500,"&lt;&gt;")&gt;0,"CEK jenis fixture beda dalam satu series","OK"))))))))))</f>
        <v/>
      </c>
      <c r="Q371" s="11" t="n"/>
      <c r="R371" s="11" t="n"/>
      <c r="S371" s="11" t="n"/>
      <c r="T371" s="11">
        <f>IF(OR(Q371="",R371=""),"",IFERROR(INDEX(LAYOUT!$D$2:$D$80,MATCH(Q371&amp;"|"&amp;R371,LAYOUT!$E$2:$E$80,0)),""))</f>
        <v/>
      </c>
      <c r="U371" s="12">
        <f>IF(AND(Q371="",R371=""),IF(AND(L371="",M371="",V371="",W371=""),IF(OR($D371&lt;&gt;"",$E371&lt;&gt;""),"Belum ditempatkan",""),""),IF(Q371="","CEK JENIS FIXTURE kosong",IF(LEFT(Q371,4)&lt;&gt;"Wall","CEK Fixture 2 hanya Wall",IF(R371="","CEK SHELVING KE kosong",IF(ISNA(MATCH(Q371&amp;"|"&amp;R371,LAYOUT!$E$2:$E$80,0)),"CEK SHELVING KE di luar layout",IF($I371="","CEK SERIES kosong",IF(AND(S371&lt;&gt;"",NOT(ISNUMBER(S371))),"CEK URUTAN DISPLAY harus angka",IF($D371="","Zona STOCK",IF($E371="","CEK SKU DESCRIPTION kosong",IF(COUNTIFS($I$2:$I$500,$I371,Q$2:Q$500,"&lt;&gt;"&amp;Q371,Q$2:Q$500,"&lt;&gt;")&gt;0,"CEK jenis fixture beda dalam satu series","OK"))))))))))</f>
        <v/>
      </c>
      <c r="V371" s="11" t="n"/>
      <c r="W371" s="11" t="n"/>
      <c r="X371" s="11" t="n"/>
      <c r="Y371" s="11">
        <f>IF(OR(V371="",W371=""),"",IFERROR(INDEX(LAYOUT!$D$2:$D$80,MATCH(V371&amp;"|"&amp;W371,LAYOUT!$E$2:$E$80,0)),""))</f>
        <v/>
      </c>
      <c r="Z371" s="12">
        <f>IF(AND(V371="",W371=""),IF(AND(L371="",M371="",Q371="",R371=""),IF(OR($D371&lt;&gt;"",$E371&lt;&gt;""),"Belum ditempatkan",""),""),IF(V371="","CEK JENIS FIXTURE kosong",IF(LEFT(V371,4)&lt;&gt;"Wall","CEK Fixture 3 hanya Wall",IF(W371="","CEK SHELVING KE kosong",IF(ISNA(MATCH(V371&amp;"|"&amp;W371,LAYOUT!$E$2:$E$80,0)),"CEK SHELVING KE di luar layout",IF($I371="","CEK SERIES kosong",IF(AND(X371&lt;&gt;"",NOT(ISNUMBER(X371))),"CEK URUTAN DISPLAY harus angka",IF($D371="","Zona STOCK",IF($E371="","CEK SKU DESCRIPTION kosong",IF(COUNTIFS($I$2:$I$500,$I371,V$2:V$500,"&lt;&gt;"&amp;V371,V$2:V$500,"&lt;&gt;")&gt;0,"CEK jenis fixture beda dalam satu series","OK"))))))))))</f>
        <v/>
      </c>
      <c r="AA371" s="12" t="n"/>
      <c r="AB371" s="11" t="n"/>
      <c r="AC371" s="11" t="n"/>
      <c r="AD371" s="11" t="n"/>
      <c r="AE371" s="11" t="n"/>
      <c r="AF371" s="11" t="n"/>
      <c r="AG371" s="11" t="n"/>
      <c r="AH371" s="12" t="n"/>
      <c r="AI371" s="12" t="n"/>
    </row>
    <row r="372">
      <c r="A372" s="10" t="n"/>
      <c r="B372" s="10" t="n"/>
      <c r="C372" s="10" t="n"/>
      <c r="D372" s="10" t="n"/>
      <c r="E372" s="10" t="n"/>
      <c r="F372" s="10" t="n"/>
      <c r="G372" s="10" t="n"/>
      <c r="H372" s="10" t="n"/>
      <c r="I372" s="10" t="n"/>
      <c r="J372" s="10" t="n"/>
      <c r="K372" s="10" t="n"/>
      <c r="L372" s="11" t="n"/>
      <c r="M372" s="11" t="n"/>
      <c r="N372" s="11" t="n"/>
      <c r="O372" s="11">
        <f>IF(OR(L372="",M372=""),"",IFERROR(INDEX(LAYOUT!$D$2:$D$80,MATCH(L372&amp;"|"&amp;M372,LAYOUT!$E$2:$E$80,0)),""))</f>
        <v/>
      </c>
      <c r="P372" s="12">
        <f>IF(AND(L372="",M372=""),IF(AND(Q372="",R372="",V372="",W372=""),IF(OR($D372&lt;&gt;"",$E372&lt;&gt;""),"Belum ditempatkan",""),""),IF(L372="","CEK JENIS FIXTURE kosong",IF(AND(LEFT(L372,7)&lt;&gt;"Gondola",LEFT(L372,6)&lt;&gt;"Endcap"),"CEK Fixture 1 hanya Gondola atau Endcap",IF(M372="","CEK SHELVING KE kosong",IF(ISNA(MATCH(L372&amp;"|"&amp;M372,LAYOUT!$E$2:$E$80,0)),"CEK SHELVING KE di luar layout",IF($I372="","CEK SERIES kosong",IF(AND(N372&lt;&gt;"",NOT(ISNUMBER(N372))),"CEK URUTAN DISPLAY harus angka",IF($D372="","Zona STOCK",IF($E372="","CEK SKU DESCRIPTION kosong",IF(COUNTIFS($I$2:$I$500,$I372,L$2:L$500,"&lt;&gt;"&amp;L372,L$2:L$500,"&lt;&gt;")&gt;0,"CEK jenis fixture beda dalam satu series","OK"))))))))))</f>
        <v/>
      </c>
      <c r="Q372" s="11" t="n"/>
      <c r="R372" s="11" t="n"/>
      <c r="S372" s="11" t="n"/>
      <c r="T372" s="11">
        <f>IF(OR(Q372="",R372=""),"",IFERROR(INDEX(LAYOUT!$D$2:$D$80,MATCH(Q372&amp;"|"&amp;R372,LAYOUT!$E$2:$E$80,0)),""))</f>
        <v/>
      </c>
      <c r="U372" s="12">
        <f>IF(AND(Q372="",R372=""),IF(AND(L372="",M372="",V372="",W372=""),IF(OR($D372&lt;&gt;"",$E372&lt;&gt;""),"Belum ditempatkan",""),""),IF(Q372="","CEK JENIS FIXTURE kosong",IF(LEFT(Q372,4)&lt;&gt;"Wall","CEK Fixture 2 hanya Wall",IF(R372="","CEK SHELVING KE kosong",IF(ISNA(MATCH(Q372&amp;"|"&amp;R372,LAYOUT!$E$2:$E$80,0)),"CEK SHELVING KE di luar layout",IF($I372="","CEK SERIES kosong",IF(AND(S372&lt;&gt;"",NOT(ISNUMBER(S372))),"CEK URUTAN DISPLAY harus angka",IF($D372="","Zona STOCK",IF($E372="","CEK SKU DESCRIPTION kosong",IF(COUNTIFS($I$2:$I$500,$I372,Q$2:Q$500,"&lt;&gt;"&amp;Q372,Q$2:Q$500,"&lt;&gt;")&gt;0,"CEK jenis fixture beda dalam satu series","OK"))))))))))</f>
        <v/>
      </c>
      <c r="V372" s="11" t="n"/>
      <c r="W372" s="11" t="n"/>
      <c r="X372" s="11" t="n"/>
      <c r="Y372" s="11">
        <f>IF(OR(V372="",W372=""),"",IFERROR(INDEX(LAYOUT!$D$2:$D$80,MATCH(V372&amp;"|"&amp;W372,LAYOUT!$E$2:$E$80,0)),""))</f>
        <v/>
      </c>
      <c r="Z372" s="12">
        <f>IF(AND(V372="",W372=""),IF(AND(L372="",M372="",Q372="",R372=""),IF(OR($D372&lt;&gt;"",$E372&lt;&gt;""),"Belum ditempatkan",""),""),IF(V372="","CEK JENIS FIXTURE kosong",IF(LEFT(V372,4)&lt;&gt;"Wall","CEK Fixture 3 hanya Wall",IF(W372="","CEK SHELVING KE kosong",IF(ISNA(MATCH(V372&amp;"|"&amp;W372,LAYOUT!$E$2:$E$80,0)),"CEK SHELVING KE di luar layout",IF($I372="","CEK SERIES kosong",IF(AND(X372&lt;&gt;"",NOT(ISNUMBER(X372))),"CEK URUTAN DISPLAY harus angka",IF($D372="","Zona STOCK",IF($E372="","CEK SKU DESCRIPTION kosong",IF(COUNTIFS($I$2:$I$500,$I372,V$2:V$500,"&lt;&gt;"&amp;V372,V$2:V$500,"&lt;&gt;")&gt;0,"CEK jenis fixture beda dalam satu series","OK"))))))))))</f>
        <v/>
      </c>
      <c r="AA372" s="12" t="n"/>
      <c r="AB372" s="11" t="n"/>
      <c r="AC372" s="11" t="n"/>
      <c r="AD372" s="11" t="n"/>
      <c r="AE372" s="11" t="n"/>
      <c r="AF372" s="11" t="n"/>
      <c r="AG372" s="11" t="n"/>
      <c r="AH372" s="12" t="n"/>
      <c r="AI372" s="12" t="n"/>
    </row>
    <row r="373">
      <c r="A373" s="10" t="n"/>
      <c r="B373" s="10" t="n"/>
      <c r="C373" s="10" t="n"/>
      <c r="D373" s="10" t="n"/>
      <c r="E373" s="10" t="n"/>
      <c r="F373" s="10" t="n"/>
      <c r="G373" s="10" t="n"/>
      <c r="H373" s="10" t="n"/>
      <c r="I373" s="10" t="n"/>
      <c r="J373" s="10" t="n"/>
      <c r="K373" s="10" t="n"/>
      <c r="L373" s="11" t="n"/>
      <c r="M373" s="11" t="n"/>
      <c r="N373" s="11" t="n"/>
      <c r="O373" s="11">
        <f>IF(OR(L373="",M373=""),"",IFERROR(INDEX(LAYOUT!$D$2:$D$80,MATCH(L373&amp;"|"&amp;M373,LAYOUT!$E$2:$E$80,0)),""))</f>
        <v/>
      </c>
      <c r="P373" s="12">
        <f>IF(AND(L373="",M373=""),IF(AND(Q373="",R373="",V373="",W373=""),IF(OR($D373&lt;&gt;"",$E373&lt;&gt;""),"Belum ditempatkan",""),""),IF(L373="","CEK JENIS FIXTURE kosong",IF(AND(LEFT(L373,7)&lt;&gt;"Gondola",LEFT(L373,6)&lt;&gt;"Endcap"),"CEK Fixture 1 hanya Gondola atau Endcap",IF(M373="","CEK SHELVING KE kosong",IF(ISNA(MATCH(L373&amp;"|"&amp;M373,LAYOUT!$E$2:$E$80,0)),"CEK SHELVING KE di luar layout",IF($I373="","CEK SERIES kosong",IF(AND(N373&lt;&gt;"",NOT(ISNUMBER(N373))),"CEK URUTAN DISPLAY harus angka",IF($D373="","Zona STOCK",IF($E373="","CEK SKU DESCRIPTION kosong",IF(COUNTIFS($I$2:$I$500,$I373,L$2:L$500,"&lt;&gt;"&amp;L373,L$2:L$500,"&lt;&gt;")&gt;0,"CEK jenis fixture beda dalam satu series","OK"))))))))))</f>
        <v/>
      </c>
      <c r="Q373" s="11" t="n"/>
      <c r="R373" s="11" t="n"/>
      <c r="S373" s="11" t="n"/>
      <c r="T373" s="11">
        <f>IF(OR(Q373="",R373=""),"",IFERROR(INDEX(LAYOUT!$D$2:$D$80,MATCH(Q373&amp;"|"&amp;R373,LAYOUT!$E$2:$E$80,0)),""))</f>
        <v/>
      </c>
      <c r="U373" s="12">
        <f>IF(AND(Q373="",R373=""),IF(AND(L373="",M373="",V373="",W373=""),IF(OR($D373&lt;&gt;"",$E373&lt;&gt;""),"Belum ditempatkan",""),""),IF(Q373="","CEK JENIS FIXTURE kosong",IF(LEFT(Q373,4)&lt;&gt;"Wall","CEK Fixture 2 hanya Wall",IF(R373="","CEK SHELVING KE kosong",IF(ISNA(MATCH(Q373&amp;"|"&amp;R373,LAYOUT!$E$2:$E$80,0)),"CEK SHELVING KE di luar layout",IF($I373="","CEK SERIES kosong",IF(AND(S373&lt;&gt;"",NOT(ISNUMBER(S373))),"CEK URUTAN DISPLAY harus angka",IF($D373="","Zona STOCK",IF($E373="","CEK SKU DESCRIPTION kosong",IF(COUNTIFS($I$2:$I$500,$I373,Q$2:Q$500,"&lt;&gt;"&amp;Q373,Q$2:Q$500,"&lt;&gt;")&gt;0,"CEK jenis fixture beda dalam satu series","OK"))))))))))</f>
        <v/>
      </c>
      <c r="V373" s="11" t="n"/>
      <c r="W373" s="11" t="n"/>
      <c r="X373" s="11" t="n"/>
      <c r="Y373" s="11">
        <f>IF(OR(V373="",W373=""),"",IFERROR(INDEX(LAYOUT!$D$2:$D$80,MATCH(V373&amp;"|"&amp;W373,LAYOUT!$E$2:$E$80,0)),""))</f>
        <v/>
      </c>
      <c r="Z373" s="12">
        <f>IF(AND(V373="",W373=""),IF(AND(L373="",M373="",Q373="",R373=""),IF(OR($D373&lt;&gt;"",$E373&lt;&gt;""),"Belum ditempatkan",""),""),IF(V373="","CEK JENIS FIXTURE kosong",IF(LEFT(V373,4)&lt;&gt;"Wall","CEK Fixture 3 hanya Wall",IF(W373="","CEK SHELVING KE kosong",IF(ISNA(MATCH(V373&amp;"|"&amp;W373,LAYOUT!$E$2:$E$80,0)),"CEK SHELVING KE di luar layout",IF($I373="","CEK SERIES kosong",IF(AND(X373&lt;&gt;"",NOT(ISNUMBER(X373))),"CEK URUTAN DISPLAY harus angka",IF($D373="","Zona STOCK",IF($E373="","CEK SKU DESCRIPTION kosong",IF(COUNTIFS($I$2:$I$500,$I373,V$2:V$500,"&lt;&gt;"&amp;V373,V$2:V$500,"&lt;&gt;")&gt;0,"CEK jenis fixture beda dalam satu series","OK"))))))))))</f>
        <v/>
      </c>
      <c r="AA373" s="12" t="n"/>
      <c r="AB373" s="11" t="n"/>
      <c r="AC373" s="11" t="n"/>
      <c r="AD373" s="11" t="n"/>
      <c r="AE373" s="11" t="n"/>
      <c r="AF373" s="11" t="n"/>
      <c r="AG373" s="11" t="n"/>
      <c r="AH373" s="12" t="n"/>
      <c r="AI373" s="12" t="n"/>
    </row>
    <row r="374">
      <c r="A374" s="10" t="n"/>
      <c r="B374" s="10" t="n"/>
      <c r="C374" s="10" t="n"/>
      <c r="D374" s="10" t="n"/>
      <c r="E374" s="10" t="n"/>
      <c r="F374" s="10" t="n"/>
      <c r="G374" s="10" t="n"/>
      <c r="H374" s="10" t="n"/>
      <c r="I374" s="10" t="n"/>
      <c r="J374" s="10" t="n"/>
      <c r="K374" s="10" t="n"/>
      <c r="L374" s="11" t="n"/>
      <c r="M374" s="11" t="n"/>
      <c r="N374" s="11" t="n"/>
      <c r="O374" s="11">
        <f>IF(OR(L374="",M374=""),"",IFERROR(INDEX(LAYOUT!$D$2:$D$80,MATCH(L374&amp;"|"&amp;M374,LAYOUT!$E$2:$E$80,0)),""))</f>
        <v/>
      </c>
      <c r="P374" s="12">
        <f>IF(AND(L374="",M374=""),IF(AND(Q374="",R374="",V374="",W374=""),IF(OR($D374&lt;&gt;"",$E374&lt;&gt;""),"Belum ditempatkan",""),""),IF(L374="","CEK JENIS FIXTURE kosong",IF(AND(LEFT(L374,7)&lt;&gt;"Gondola",LEFT(L374,6)&lt;&gt;"Endcap"),"CEK Fixture 1 hanya Gondola atau Endcap",IF(M374="","CEK SHELVING KE kosong",IF(ISNA(MATCH(L374&amp;"|"&amp;M374,LAYOUT!$E$2:$E$80,0)),"CEK SHELVING KE di luar layout",IF($I374="","CEK SERIES kosong",IF(AND(N374&lt;&gt;"",NOT(ISNUMBER(N374))),"CEK URUTAN DISPLAY harus angka",IF($D374="","Zona STOCK",IF($E374="","CEK SKU DESCRIPTION kosong",IF(COUNTIFS($I$2:$I$500,$I374,L$2:L$500,"&lt;&gt;"&amp;L374,L$2:L$500,"&lt;&gt;")&gt;0,"CEK jenis fixture beda dalam satu series","OK"))))))))))</f>
        <v/>
      </c>
      <c r="Q374" s="11" t="n"/>
      <c r="R374" s="11" t="n"/>
      <c r="S374" s="11" t="n"/>
      <c r="T374" s="11">
        <f>IF(OR(Q374="",R374=""),"",IFERROR(INDEX(LAYOUT!$D$2:$D$80,MATCH(Q374&amp;"|"&amp;R374,LAYOUT!$E$2:$E$80,0)),""))</f>
        <v/>
      </c>
      <c r="U374" s="12">
        <f>IF(AND(Q374="",R374=""),IF(AND(L374="",M374="",V374="",W374=""),IF(OR($D374&lt;&gt;"",$E374&lt;&gt;""),"Belum ditempatkan",""),""),IF(Q374="","CEK JENIS FIXTURE kosong",IF(LEFT(Q374,4)&lt;&gt;"Wall","CEK Fixture 2 hanya Wall",IF(R374="","CEK SHELVING KE kosong",IF(ISNA(MATCH(Q374&amp;"|"&amp;R374,LAYOUT!$E$2:$E$80,0)),"CEK SHELVING KE di luar layout",IF($I374="","CEK SERIES kosong",IF(AND(S374&lt;&gt;"",NOT(ISNUMBER(S374))),"CEK URUTAN DISPLAY harus angka",IF($D374="","Zona STOCK",IF($E374="","CEK SKU DESCRIPTION kosong",IF(COUNTIFS($I$2:$I$500,$I374,Q$2:Q$500,"&lt;&gt;"&amp;Q374,Q$2:Q$500,"&lt;&gt;")&gt;0,"CEK jenis fixture beda dalam satu series","OK"))))))))))</f>
        <v/>
      </c>
      <c r="V374" s="11" t="n"/>
      <c r="W374" s="11" t="n"/>
      <c r="X374" s="11" t="n"/>
      <c r="Y374" s="11">
        <f>IF(OR(V374="",W374=""),"",IFERROR(INDEX(LAYOUT!$D$2:$D$80,MATCH(V374&amp;"|"&amp;W374,LAYOUT!$E$2:$E$80,0)),""))</f>
        <v/>
      </c>
      <c r="Z374" s="12">
        <f>IF(AND(V374="",W374=""),IF(AND(L374="",M374="",Q374="",R374=""),IF(OR($D374&lt;&gt;"",$E374&lt;&gt;""),"Belum ditempatkan",""),""),IF(V374="","CEK JENIS FIXTURE kosong",IF(LEFT(V374,4)&lt;&gt;"Wall","CEK Fixture 3 hanya Wall",IF(W374="","CEK SHELVING KE kosong",IF(ISNA(MATCH(V374&amp;"|"&amp;W374,LAYOUT!$E$2:$E$80,0)),"CEK SHELVING KE di luar layout",IF($I374="","CEK SERIES kosong",IF(AND(X374&lt;&gt;"",NOT(ISNUMBER(X374))),"CEK URUTAN DISPLAY harus angka",IF($D374="","Zona STOCK",IF($E374="","CEK SKU DESCRIPTION kosong",IF(COUNTIFS($I$2:$I$500,$I374,V$2:V$500,"&lt;&gt;"&amp;V374,V$2:V$500,"&lt;&gt;")&gt;0,"CEK jenis fixture beda dalam satu series","OK"))))))))))</f>
        <v/>
      </c>
      <c r="AA374" s="12" t="n"/>
      <c r="AB374" s="11" t="n"/>
      <c r="AC374" s="11" t="n"/>
      <c r="AD374" s="11" t="n"/>
      <c r="AE374" s="11" t="n"/>
      <c r="AF374" s="11" t="n"/>
      <c r="AG374" s="11" t="n"/>
      <c r="AH374" s="12" t="n"/>
      <c r="AI374" s="12" t="n"/>
    </row>
    <row r="375">
      <c r="A375" s="10" t="n"/>
      <c r="B375" s="10" t="n"/>
      <c r="C375" s="10" t="n"/>
      <c r="D375" s="10" t="n"/>
      <c r="E375" s="10" t="n"/>
      <c r="F375" s="10" t="n"/>
      <c r="G375" s="10" t="n"/>
      <c r="H375" s="10" t="n"/>
      <c r="I375" s="10" t="n"/>
      <c r="J375" s="10" t="n"/>
      <c r="K375" s="10" t="n"/>
      <c r="L375" s="11" t="n"/>
      <c r="M375" s="11" t="n"/>
      <c r="N375" s="11" t="n"/>
      <c r="O375" s="11">
        <f>IF(OR(L375="",M375=""),"",IFERROR(INDEX(LAYOUT!$D$2:$D$80,MATCH(L375&amp;"|"&amp;M375,LAYOUT!$E$2:$E$80,0)),""))</f>
        <v/>
      </c>
      <c r="P375" s="12">
        <f>IF(AND(L375="",M375=""),IF(AND(Q375="",R375="",V375="",W375=""),IF(OR($D375&lt;&gt;"",$E375&lt;&gt;""),"Belum ditempatkan",""),""),IF(L375="","CEK JENIS FIXTURE kosong",IF(AND(LEFT(L375,7)&lt;&gt;"Gondola",LEFT(L375,6)&lt;&gt;"Endcap"),"CEK Fixture 1 hanya Gondola atau Endcap",IF(M375="","CEK SHELVING KE kosong",IF(ISNA(MATCH(L375&amp;"|"&amp;M375,LAYOUT!$E$2:$E$80,0)),"CEK SHELVING KE di luar layout",IF($I375="","CEK SERIES kosong",IF(AND(N375&lt;&gt;"",NOT(ISNUMBER(N375))),"CEK URUTAN DISPLAY harus angka",IF($D375="","Zona STOCK",IF($E375="","CEK SKU DESCRIPTION kosong",IF(COUNTIFS($I$2:$I$500,$I375,L$2:L$500,"&lt;&gt;"&amp;L375,L$2:L$500,"&lt;&gt;")&gt;0,"CEK jenis fixture beda dalam satu series","OK"))))))))))</f>
        <v/>
      </c>
      <c r="Q375" s="11" t="n"/>
      <c r="R375" s="11" t="n"/>
      <c r="S375" s="11" t="n"/>
      <c r="T375" s="11">
        <f>IF(OR(Q375="",R375=""),"",IFERROR(INDEX(LAYOUT!$D$2:$D$80,MATCH(Q375&amp;"|"&amp;R375,LAYOUT!$E$2:$E$80,0)),""))</f>
        <v/>
      </c>
      <c r="U375" s="12">
        <f>IF(AND(Q375="",R375=""),IF(AND(L375="",M375="",V375="",W375=""),IF(OR($D375&lt;&gt;"",$E375&lt;&gt;""),"Belum ditempatkan",""),""),IF(Q375="","CEK JENIS FIXTURE kosong",IF(LEFT(Q375,4)&lt;&gt;"Wall","CEK Fixture 2 hanya Wall",IF(R375="","CEK SHELVING KE kosong",IF(ISNA(MATCH(Q375&amp;"|"&amp;R375,LAYOUT!$E$2:$E$80,0)),"CEK SHELVING KE di luar layout",IF($I375="","CEK SERIES kosong",IF(AND(S375&lt;&gt;"",NOT(ISNUMBER(S375))),"CEK URUTAN DISPLAY harus angka",IF($D375="","Zona STOCK",IF($E375="","CEK SKU DESCRIPTION kosong",IF(COUNTIFS($I$2:$I$500,$I375,Q$2:Q$500,"&lt;&gt;"&amp;Q375,Q$2:Q$500,"&lt;&gt;")&gt;0,"CEK jenis fixture beda dalam satu series","OK"))))))))))</f>
        <v/>
      </c>
      <c r="V375" s="11" t="n"/>
      <c r="W375" s="11" t="n"/>
      <c r="X375" s="11" t="n"/>
      <c r="Y375" s="11">
        <f>IF(OR(V375="",W375=""),"",IFERROR(INDEX(LAYOUT!$D$2:$D$80,MATCH(V375&amp;"|"&amp;W375,LAYOUT!$E$2:$E$80,0)),""))</f>
        <v/>
      </c>
      <c r="Z375" s="12">
        <f>IF(AND(V375="",W375=""),IF(AND(L375="",M375="",Q375="",R375=""),IF(OR($D375&lt;&gt;"",$E375&lt;&gt;""),"Belum ditempatkan",""),""),IF(V375="","CEK JENIS FIXTURE kosong",IF(LEFT(V375,4)&lt;&gt;"Wall","CEK Fixture 3 hanya Wall",IF(W375="","CEK SHELVING KE kosong",IF(ISNA(MATCH(V375&amp;"|"&amp;W375,LAYOUT!$E$2:$E$80,0)),"CEK SHELVING KE di luar layout",IF($I375="","CEK SERIES kosong",IF(AND(X375&lt;&gt;"",NOT(ISNUMBER(X375))),"CEK URUTAN DISPLAY harus angka",IF($D375="","Zona STOCK",IF($E375="","CEK SKU DESCRIPTION kosong",IF(COUNTIFS($I$2:$I$500,$I375,V$2:V$500,"&lt;&gt;"&amp;V375,V$2:V$500,"&lt;&gt;")&gt;0,"CEK jenis fixture beda dalam satu series","OK"))))))))))</f>
        <v/>
      </c>
      <c r="AA375" s="12" t="n"/>
      <c r="AB375" s="11" t="n"/>
      <c r="AC375" s="11" t="n"/>
      <c r="AD375" s="11" t="n"/>
      <c r="AE375" s="11" t="n"/>
      <c r="AF375" s="11" t="n"/>
      <c r="AG375" s="11" t="n"/>
      <c r="AH375" s="12" t="n"/>
      <c r="AI375" s="12" t="n"/>
    </row>
    <row r="376">
      <c r="A376" s="10" t="n"/>
      <c r="B376" s="10" t="n"/>
      <c r="C376" s="10" t="n"/>
      <c r="D376" s="10" t="n"/>
      <c r="E376" s="10" t="n"/>
      <c r="F376" s="10" t="n"/>
      <c r="G376" s="10" t="n"/>
      <c r="H376" s="10" t="n"/>
      <c r="I376" s="10" t="n"/>
      <c r="J376" s="10" t="n"/>
      <c r="K376" s="10" t="n"/>
      <c r="L376" s="11" t="n"/>
      <c r="M376" s="11" t="n"/>
      <c r="N376" s="11" t="n"/>
      <c r="O376" s="11">
        <f>IF(OR(L376="",M376=""),"",IFERROR(INDEX(LAYOUT!$D$2:$D$80,MATCH(L376&amp;"|"&amp;M376,LAYOUT!$E$2:$E$80,0)),""))</f>
        <v/>
      </c>
      <c r="P376" s="12">
        <f>IF(AND(L376="",M376=""),IF(AND(Q376="",R376="",V376="",W376=""),IF(OR($D376&lt;&gt;"",$E376&lt;&gt;""),"Belum ditempatkan",""),""),IF(L376="","CEK JENIS FIXTURE kosong",IF(AND(LEFT(L376,7)&lt;&gt;"Gondola",LEFT(L376,6)&lt;&gt;"Endcap"),"CEK Fixture 1 hanya Gondola atau Endcap",IF(M376="","CEK SHELVING KE kosong",IF(ISNA(MATCH(L376&amp;"|"&amp;M376,LAYOUT!$E$2:$E$80,0)),"CEK SHELVING KE di luar layout",IF($I376="","CEK SERIES kosong",IF(AND(N376&lt;&gt;"",NOT(ISNUMBER(N376))),"CEK URUTAN DISPLAY harus angka",IF($D376="","Zona STOCK",IF($E376="","CEK SKU DESCRIPTION kosong",IF(COUNTIFS($I$2:$I$500,$I376,L$2:L$500,"&lt;&gt;"&amp;L376,L$2:L$500,"&lt;&gt;")&gt;0,"CEK jenis fixture beda dalam satu series","OK"))))))))))</f>
        <v/>
      </c>
      <c r="Q376" s="11" t="n"/>
      <c r="R376" s="11" t="n"/>
      <c r="S376" s="11" t="n"/>
      <c r="T376" s="11">
        <f>IF(OR(Q376="",R376=""),"",IFERROR(INDEX(LAYOUT!$D$2:$D$80,MATCH(Q376&amp;"|"&amp;R376,LAYOUT!$E$2:$E$80,0)),""))</f>
        <v/>
      </c>
      <c r="U376" s="12">
        <f>IF(AND(Q376="",R376=""),IF(AND(L376="",M376="",V376="",W376=""),IF(OR($D376&lt;&gt;"",$E376&lt;&gt;""),"Belum ditempatkan",""),""),IF(Q376="","CEK JENIS FIXTURE kosong",IF(LEFT(Q376,4)&lt;&gt;"Wall","CEK Fixture 2 hanya Wall",IF(R376="","CEK SHELVING KE kosong",IF(ISNA(MATCH(Q376&amp;"|"&amp;R376,LAYOUT!$E$2:$E$80,0)),"CEK SHELVING KE di luar layout",IF($I376="","CEK SERIES kosong",IF(AND(S376&lt;&gt;"",NOT(ISNUMBER(S376))),"CEK URUTAN DISPLAY harus angka",IF($D376="","Zona STOCK",IF($E376="","CEK SKU DESCRIPTION kosong",IF(COUNTIFS($I$2:$I$500,$I376,Q$2:Q$500,"&lt;&gt;"&amp;Q376,Q$2:Q$500,"&lt;&gt;")&gt;0,"CEK jenis fixture beda dalam satu series","OK"))))))))))</f>
        <v/>
      </c>
      <c r="V376" s="11" t="n"/>
      <c r="W376" s="11" t="n"/>
      <c r="X376" s="11" t="n"/>
      <c r="Y376" s="11">
        <f>IF(OR(V376="",W376=""),"",IFERROR(INDEX(LAYOUT!$D$2:$D$80,MATCH(V376&amp;"|"&amp;W376,LAYOUT!$E$2:$E$80,0)),""))</f>
        <v/>
      </c>
      <c r="Z376" s="12">
        <f>IF(AND(V376="",W376=""),IF(AND(L376="",M376="",Q376="",R376=""),IF(OR($D376&lt;&gt;"",$E376&lt;&gt;""),"Belum ditempatkan",""),""),IF(V376="","CEK JENIS FIXTURE kosong",IF(LEFT(V376,4)&lt;&gt;"Wall","CEK Fixture 3 hanya Wall",IF(W376="","CEK SHELVING KE kosong",IF(ISNA(MATCH(V376&amp;"|"&amp;W376,LAYOUT!$E$2:$E$80,0)),"CEK SHELVING KE di luar layout",IF($I376="","CEK SERIES kosong",IF(AND(X376&lt;&gt;"",NOT(ISNUMBER(X376))),"CEK URUTAN DISPLAY harus angka",IF($D376="","Zona STOCK",IF($E376="","CEK SKU DESCRIPTION kosong",IF(COUNTIFS($I$2:$I$500,$I376,V$2:V$500,"&lt;&gt;"&amp;V376,V$2:V$500,"&lt;&gt;")&gt;0,"CEK jenis fixture beda dalam satu series","OK"))))))))))</f>
        <v/>
      </c>
      <c r="AA376" s="12" t="n"/>
      <c r="AB376" s="11" t="n"/>
      <c r="AC376" s="11" t="n"/>
      <c r="AD376" s="11" t="n"/>
      <c r="AE376" s="11" t="n"/>
      <c r="AF376" s="11" t="n"/>
      <c r="AG376" s="11" t="n"/>
      <c r="AH376" s="12" t="n"/>
      <c r="AI376" s="12" t="n"/>
    </row>
    <row r="377">
      <c r="A377" s="10" t="n"/>
      <c r="B377" s="10" t="n"/>
      <c r="C377" s="10" t="n"/>
      <c r="D377" s="10" t="n"/>
      <c r="E377" s="10" t="n"/>
      <c r="F377" s="10" t="n"/>
      <c r="G377" s="10" t="n"/>
      <c r="H377" s="10" t="n"/>
      <c r="I377" s="10" t="n"/>
      <c r="J377" s="10" t="n"/>
      <c r="K377" s="10" t="n"/>
      <c r="L377" s="11" t="n"/>
      <c r="M377" s="11" t="n"/>
      <c r="N377" s="11" t="n"/>
      <c r="O377" s="11">
        <f>IF(OR(L377="",M377=""),"",IFERROR(INDEX(LAYOUT!$D$2:$D$80,MATCH(L377&amp;"|"&amp;M377,LAYOUT!$E$2:$E$80,0)),""))</f>
        <v/>
      </c>
      <c r="P377" s="12">
        <f>IF(AND(L377="",M377=""),IF(AND(Q377="",R377="",V377="",W377=""),IF(OR($D377&lt;&gt;"",$E377&lt;&gt;""),"Belum ditempatkan",""),""),IF(L377="","CEK JENIS FIXTURE kosong",IF(AND(LEFT(L377,7)&lt;&gt;"Gondola",LEFT(L377,6)&lt;&gt;"Endcap"),"CEK Fixture 1 hanya Gondola atau Endcap",IF(M377="","CEK SHELVING KE kosong",IF(ISNA(MATCH(L377&amp;"|"&amp;M377,LAYOUT!$E$2:$E$80,0)),"CEK SHELVING KE di luar layout",IF($I377="","CEK SERIES kosong",IF(AND(N377&lt;&gt;"",NOT(ISNUMBER(N377))),"CEK URUTAN DISPLAY harus angka",IF($D377="","Zona STOCK",IF($E377="","CEK SKU DESCRIPTION kosong",IF(COUNTIFS($I$2:$I$500,$I377,L$2:L$500,"&lt;&gt;"&amp;L377,L$2:L$500,"&lt;&gt;")&gt;0,"CEK jenis fixture beda dalam satu series","OK"))))))))))</f>
        <v/>
      </c>
      <c r="Q377" s="11" t="n"/>
      <c r="R377" s="11" t="n"/>
      <c r="S377" s="11" t="n"/>
      <c r="T377" s="11">
        <f>IF(OR(Q377="",R377=""),"",IFERROR(INDEX(LAYOUT!$D$2:$D$80,MATCH(Q377&amp;"|"&amp;R377,LAYOUT!$E$2:$E$80,0)),""))</f>
        <v/>
      </c>
      <c r="U377" s="12">
        <f>IF(AND(Q377="",R377=""),IF(AND(L377="",M377="",V377="",W377=""),IF(OR($D377&lt;&gt;"",$E377&lt;&gt;""),"Belum ditempatkan",""),""),IF(Q377="","CEK JENIS FIXTURE kosong",IF(LEFT(Q377,4)&lt;&gt;"Wall","CEK Fixture 2 hanya Wall",IF(R377="","CEK SHELVING KE kosong",IF(ISNA(MATCH(Q377&amp;"|"&amp;R377,LAYOUT!$E$2:$E$80,0)),"CEK SHELVING KE di luar layout",IF($I377="","CEK SERIES kosong",IF(AND(S377&lt;&gt;"",NOT(ISNUMBER(S377))),"CEK URUTAN DISPLAY harus angka",IF($D377="","Zona STOCK",IF($E377="","CEK SKU DESCRIPTION kosong",IF(COUNTIFS($I$2:$I$500,$I377,Q$2:Q$500,"&lt;&gt;"&amp;Q377,Q$2:Q$500,"&lt;&gt;")&gt;0,"CEK jenis fixture beda dalam satu series","OK"))))))))))</f>
        <v/>
      </c>
      <c r="V377" s="11" t="n"/>
      <c r="W377" s="11" t="n"/>
      <c r="X377" s="11" t="n"/>
      <c r="Y377" s="11">
        <f>IF(OR(V377="",W377=""),"",IFERROR(INDEX(LAYOUT!$D$2:$D$80,MATCH(V377&amp;"|"&amp;W377,LAYOUT!$E$2:$E$80,0)),""))</f>
        <v/>
      </c>
      <c r="Z377" s="12">
        <f>IF(AND(V377="",W377=""),IF(AND(L377="",M377="",Q377="",R377=""),IF(OR($D377&lt;&gt;"",$E377&lt;&gt;""),"Belum ditempatkan",""),""),IF(V377="","CEK JENIS FIXTURE kosong",IF(LEFT(V377,4)&lt;&gt;"Wall","CEK Fixture 3 hanya Wall",IF(W377="","CEK SHELVING KE kosong",IF(ISNA(MATCH(V377&amp;"|"&amp;W377,LAYOUT!$E$2:$E$80,0)),"CEK SHELVING KE di luar layout",IF($I377="","CEK SERIES kosong",IF(AND(X377&lt;&gt;"",NOT(ISNUMBER(X377))),"CEK URUTAN DISPLAY harus angka",IF($D377="","Zona STOCK",IF($E377="","CEK SKU DESCRIPTION kosong",IF(COUNTIFS($I$2:$I$500,$I377,V$2:V$500,"&lt;&gt;"&amp;V377,V$2:V$500,"&lt;&gt;")&gt;0,"CEK jenis fixture beda dalam satu series","OK"))))))))))</f>
        <v/>
      </c>
      <c r="AA377" s="12" t="n"/>
      <c r="AB377" s="11" t="n"/>
      <c r="AC377" s="11" t="n"/>
      <c r="AD377" s="11" t="n"/>
      <c r="AE377" s="11" t="n"/>
      <c r="AF377" s="11" t="n"/>
      <c r="AG377" s="11" t="n"/>
      <c r="AH377" s="12" t="n"/>
      <c r="AI377" s="12" t="n"/>
    </row>
    <row r="378">
      <c r="A378" s="10" t="n"/>
      <c r="B378" s="10" t="n"/>
      <c r="C378" s="10" t="n"/>
      <c r="D378" s="10" t="n"/>
      <c r="E378" s="10" t="n"/>
      <c r="F378" s="10" t="n"/>
      <c r="G378" s="10" t="n"/>
      <c r="H378" s="10" t="n"/>
      <c r="I378" s="10" t="n"/>
      <c r="J378" s="10" t="n"/>
      <c r="K378" s="10" t="n"/>
      <c r="L378" s="11" t="n"/>
      <c r="M378" s="11" t="n"/>
      <c r="N378" s="11" t="n"/>
      <c r="O378" s="11">
        <f>IF(OR(L378="",M378=""),"",IFERROR(INDEX(LAYOUT!$D$2:$D$80,MATCH(L378&amp;"|"&amp;M378,LAYOUT!$E$2:$E$80,0)),""))</f>
        <v/>
      </c>
      <c r="P378" s="12">
        <f>IF(AND(L378="",M378=""),IF(AND(Q378="",R378="",V378="",W378=""),IF(OR($D378&lt;&gt;"",$E378&lt;&gt;""),"Belum ditempatkan",""),""),IF(L378="","CEK JENIS FIXTURE kosong",IF(AND(LEFT(L378,7)&lt;&gt;"Gondola",LEFT(L378,6)&lt;&gt;"Endcap"),"CEK Fixture 1 hanya Gondola atau Endcap",IF(M378="","CEK SHELVING KE kosong",IF(ISNA(MATCH(L378&amp;"|"&amp;M378,LAYOUT!$E$2:$E$80,0)),"CEK SHELVING KE di luar layout",IF($I378="","CEK SERIES kosong",IF(AND(N378&lt;&gt;"",NOT(ISNUMBER(N378))),"CEK URUTAN DISPLAY harus angka",IF($D378="","Zona STOCK",IF($E378="","CEK SKU DESCRIPTION kosong",IF(COUNTIFS($I$2:$I$500,$I378,L$2:L$500,"&lt;&gt;"&amp;L378,L$2:L$500,"&lt;&gt;")&gt;0,"CEK jenis fixture beda dalam satu series","OK"))))))))))</f>
        <v/>
      </c>
      <c r="Q378" s="11" t="n"/>
      <c r="R378" s="11" t="n"/>
      <c r="S378" s="11" t="n"/>
      <c r="T378" s="11">
        <f>IF(OR(Q378="",R378=""),"",IFERROR(INDEX(LAYOUT!$D$2:$D$80,MATCH(Q378&amp;"|"&amp;R378,LAYOUT!$E$2:$E$80,0)),""))</f>
        <v/>
      </c>
      <c r="U378" s="12">
        <f>IF(AND(Q378="",R378=""),IF(AND(L378="",M378="",V378="",W378=""),IF(OR($D378&lt;&gt;"",$E378&lt;&gt;""),"Belum ditempatkan",""),""),IF(Q378="","CEK JENIS FIXTURE kosong",IF(LEFT(Q378,4)&lt;&gt;"Wall","CEK Fixture 2 hanya Wall",IF(R378="","CEK SHELVING KE kosong",IF(ISNA(MATCH(Q378&amp;"|"&amp;R378,LAYOUT!$E$2:$E$80,0)),"CEK SHELVING KE di luar layout",IF($I378="","CEK SERIES kosong",IF(AND(S378&lt;&gt;"",NOT(ISNUMBER(S378))),"CEK URUTAN DISPLAY harus angka",IF($D378="","Zona STOCK",IF($E378="","CEK SKU DESCRIPTION kosong",IF(COUNTIFS($I$2:$I$500,$I378,Q$2:Q$500,"&lt;&gt;"&amp;Q378,Q$2:Q$500,"&lt;&gt;")&gt;0,"CEK jenis fixture beda dalam satu series","OK"))))))))))</f>
        <v/>
      </c>
      <c r="V378" s="11" t="n"/>
      <c r="W378" s="11" t="n"/>
      <c r="X378" s="11" t="n"/>
      <c r="Y378" s="11">
        <f>IF(OR(V378="",W378=""),"",IFERROR(INDEX(LAYOUT!$D$2:$D$80,MATCH(V378&amp;"|"&amp;W378,LAYOUT!$E$2:$E$80,0)),""))</f>
        <v/>
      </c>
      <c r="Z378" s="12">
        <f>IF(AND(V378="",W378=""),IF(AND(L378="",M378="",Q378="",R378=""),IF(OR($D378&lt;&gt;"",$E378&lt;&gt;""),"Belum ditempatkan",""),""),IF(V378="","CEK JENIS FIXTURE kosong",IF(LEFT(V378,4)&lt;&gt;"Wall","CEK Fixture 3 hanya Wall",IF(W378="","CEK SHELVING KE kosong",IF(ISNA(MATCH(V378&amp;"|"&amp;W378,LAYOUT!$E$2:$E$80,0)),"CEK SHELVING KE di luar layout",IF($I378="","CEK SERIES kosong",IF(AND(X378&lt;&gt;"",NOT(ISNUMBER(X378))),"CEK URUTAN DISPLAY harus angka",IF($D378="","Zona STOCK",IF($E378="","CEK SKU DESCRIPTION kosong",IF(COUNTIFS($I$2:$I$500,$I378,V$2:V$500,"&lt;&gt;"&amp;V378,V$2:V$500,"&lt;&gt;")&gt;0,"CEK jenis fixture beda dalam satu series","OK"))))))))))</f>
        <v/>
      </c>
      <c r="AA378" s="12" t="n"/>
      <c r="AB378" s="11" t="n"/>
      <c r="AC378" s="11" t="n"/>
      <c r="AD378" s="11" t="n"/>
      <c r="AE378" s="11" t="n"/>
      <c r="AF378" s="11" t="n"/>
      <c r="AG378" s="11" t="n"/>
      <c r="AH378" s="12" t="n"/>
      <c r="AI378" s="12" t="n"/>
    </row>
    <row r="379">
      <c r="A379" s="10" t="n"/>
      <c r="B379" s="10" t="n"/>
      <c r="C379" s="10" t="n"/>
      <c r="D379" s="10" t="n"/>
      <c r="E379" s="10" t="n"/>
      <c r="F379" s="10" t="n"/>
      <c r="G379" s="10" t="n"/>
      <c r="H379" s="10" t="n"/>
      <c r="I379" s="10" t="n"/>
      <c r="J379" s="10" t="n"/>
      <c r="K379" s="10" t="n"/>
      <c r="L379" s="11" t="n"/>
      <c r="M379" s="11" t="n"/>
      <c r="N379" s="11" t="n"/>
      <c r="O379" s="11">
        <f>IF(OR(L379="",M379=""),"",IFERROR(INDEX(LAYOUT!$D$2:$D$80,MATCH(L379&amp;"|"&amp;M379,LAYOUT!$E$2:$E$80,0)),""))</f>
        <v/>
      </c>
      <c r="P379" s="12">
        <f>IF(AND(L379="",M379=""),IF(AND(Q379="",R379="",V379="",W379=""),IF(OR($D379&lt;&gt;"",$E379&lt;&gt;""),"Belum ditempatkan",""),""),IF(L379="","CEK JENIS FIXTURE kosong",IF(AND(LEFT(L379,7)&lt;&gt;"Gondola",LEFT(L379,6)&lt;&gt;"Endcap"),"CEK Fixture 1 hanya Gondola atau Endcap",IF(M379="","CEK SHELVING KE kosong",IF(ISNA(MATCH(L379&amp;"|"&amp;M379,LAYOUT!$E$2:$E$80,0)),"CEK SHELVING KE di luar layout",IF($I379="","CEK SERIES kosong",IF(AND(N379&lt;&gt;"",NOT(ISNUMBER(N379))),"CEK URUTAN DISPLAY harus angka",IF($D379="","Zona STOCK",IF($E379="","CEK SKU DESCRIPTION kosong",IF(COUNTIFS($I$2:$I$500,$I379,L$2:L$500,"&lt;&gt;"&amp;L379,L$2:L$500,"&lt;&gt;")&gt;0,"CEK jenis fixture beda dalam satu series","OK"))))))))))</f>
        <v/>
      </c>
      <c r="Q379" s="11" t="n"/>
      <c r="R379" s="11" t="n"/>
      <c r="S379" s="11" t="n"/>
      <c r="T379" s="11">
        <f>IF(OR(Q379="",R379=""),"",IFERROR(INDEX(LAYOUT!$D$2:$D$80,MATCH(Q379&amp;"|"&amp;R379,LAYOUT!$E$2:$E$80,0)),""))</f>
        <v/>
      </c>
      <c r="U379" s="12">
        <f>IF(AND(Q379="",R379=""),IF(AND(L379="",M379="",V379="",W379=""),IF(OR($D379&lt;&gt;"",$E379&lt;&gt;""),"Belum ditempatkan",""),""),IF(Q379="","CEK JENIS FIXTURE kosong",IF(LEFT(Q379,4)&lt;&gt;"Wall","CEK Fixture 2 hanya Wall",IF(R379="","CEK SHELVING KE kosong",IF(ISNA(MATCH(Q379&amp;"|"&amp;R379,LAYOUT!$E$2:$E$80,0)),"CEK SHELVING KE di luar layout",IF($I379="","CEK SERIES kosong",IF(AND(S379&lt;&gt;"",NOT(ISNUMBER(S379))),"CEK URUTAN DISPLAY harus angka",IF($D379="","Zona STOCK",IF($E379="","CEK SKU DESCRIPTION kosong",IF(COUNTIFS($I$2:$I$500,$I379,Q$2:Q$500,"&lt;&gt;"&amp;Q379,Q$2:Q$500,"&lt;&gt;")&gt;0,"CEK jenis fixture beda dalam satu series","OK"))))))))))</f>
        <v/>
      </c>
      <c r="V379" s="11" t="n"/>
      <c r="W379" s="11" t="n"/>
      <c r="X379" s="11" t="n"/>
      <c r="Y379" s="11">
        <f>IF(OR(V379="",W379=""),"",IFERROR(INDEX(LAYOUT!$D$2:$D$80,MATCH(V379&amp;"|"&amp;W379,LAYOUT!$E$2:$E$80,0)),""))</f>
        <v/>
      </c>
      <c r="Z379" s="12">
        <f>IF(AND(V379="",W379=""),IF(AND(L379="",M379="",Q379="",R379=""),IF(OR($D379&lt;&gt;"",$E379&lt;&gt;""),"Belum ditempatkan",""),""),IF(V379="","CEK JENIS FIXTURE kosong",IF(LEFT(V379,4)&lt;&gt;"Wall","CEK Fixture 3 hanya Wall",IF(W379="","CEK SHELVING KE kosong",IF(ISNA(MATCH(V379&amp;"|"&amp;W379,LAYOUT!$E$2:$E$80,0)),"CEK SHELVING KE di luar layout",IF($I379="","CEK SERIES kosong",IF(AND(X379&lt;&gt;"",NOT(ISNUMBER(X379))),"CEK URUTAN DISPLAY harus angka",IF($D379="","Zona STOCK",IF($E379="","CEK SKU DESCRIPTION kosong",IF(COUNTIFS($I$2:$I$500,$I379,V$2:V$500,"&lt;&gt;"&amp;V379,V$2:V$500,"&lt;&gt;")&gt;0,"CEK jenis fixture beda dalam satu series","OK"))))))))))</f>
        <v/>
      </c>
      <c r="AA379" s="12" t="n"/>
      <c r="AB379" s="11" t="n"/>
      <c r="AC379" s="11" t="n"/>
      <c r="AD379" s="11" t="n"/>
      <c r="AE379" s="11" t="n"/>
      <c r="AF379" s="11" t="n"/>
      <c r="AG379" s="11" t="n"/>
      <c r="AH379" s="12" t="n"/>
      <c r="AI379" s="12" t="n"/>
    </row>
    <row r="380">
      <c r="A380" s="10" t="n"/>
      <c r="B380" s="10" t="n"/>
      <c r="C380" s="10" t="n"/>
      <c r="D380" s="10" t="n"/>
      <c r="E380" s="10" t="n"/>
      <c r="F380" s="10" t="n"/>
      <c r="G380" s="10" t="n"/>
      <c r="H380" s="10" t="n"/>
      <c r="I380" s="10" t="n"/>
      <c r="J380" s="10" t="n"/>
      <c r="K380" s="10" t="n"/>
      <c r="L380" s="11" t="n"/>
      <c r="M380" s="11" t="n"/>
      <c r="N380" s="11" t="n"/>
      <c r="O380" s="11">
        <f>IF(OR(L380="",M380=""),"",IFERROR(INDEX(LAYOUT!$D$2:$D$80,MATCH(L380&amp;"|"&amp;M380,LAYOUT!$E$2:$E$80,0)),""))</f>
        <v/>
      </c>
      <c r="P380" s="12">
        <f>IF(AND(L380="",M380=""),IF(AND(Q380="",R380="",V380="",W380=""),IF(OR($D380&lt;&gt;"",$E380&lt;&gt;""),"Belum ditempatkan",""),""),IF(L380="","CEK JENIS FIXTURE kosong",IF(AND(LEFT(L380,7)&lt;&gt;"Gondola",LEFT(L380,6)&lt;&gt;"Endcap"),"CEK Fixture 1 hanya Gondola atau Endcap",IF(M380="","CEK SHELVING KE kosong",IF(ISNA(MATCH(L380&amp;"|"&amp;M380,LAYOUT!$E$2:$E$80,0)),"CEK SHELVING KE di luar layout",IF($I380="","CEK SERIES kosong",IF(AND(N380&lt;&gt;"",NOT(ISNUMBER(N380))),"CEK URUTAN DISPLAY harus angka",IF($D380="","Zona STOCK",IF($E380="","CEK SKU DESCRIPTION kosong",IF(COUNTIFS($I$2:$I$500,$I380,L$2:L$500,"&lt;&gt;"&amp;L380,L$2:L$500,"&lt;&gt;")&gt;0,"CEK jenis fixture beda dalam satu series","OK"))))))))))</f>
        <v/>
      </c>
      <c r="Q380" s="11" t="n"/>
      <c r="R380" s="11" t="n"/>
      <c r="S380" s="11" t="n"/>
      <c r="T380" s="11">
        <f>IF(OR(Q380="",R380=""),"",IFERROR(INDEX(LAYOUT!$D$2:$D$80,MATCH(Q380&amp;"|"&amp;R380,LAYOUT!$E$2:$E$80,0)),""))</f>
        <v/>
      </c>
      <c r="U380" s="12">
        <f>IF(AND(Q380="",R380=""),IF(AND(L380="",M380="",V380="",W380=""),IF(OR($D380&lt;&gt;"",$E380&lt;&gt;""),"Belum ditempatkan",""),""),IF(Q380="","CEK JENIS FIXTURE kosong",IF(LEFT(Q380,4)&lt;&gt;"Wall","CEK Fixture 2 hanya Wall",IF(R380="","CEK SHELVING KE kosong",IF(ISNA(MATCH(Q380&amp;"|"&amp;R380,LAYOUT!$E$2:$E$80,0)),"CEK SHELVING KE di luar layout",IF($I380="","CEK SERIES kosong",IF(AND(S380&lt;&gt;"",NOT(ISNUMBER(S380))),"CEK URUTAN DISPLAY harus angka",IF($D380="","Zona STOCK",IF($E380="","CEK SKU DESCRIPTION kosong",IF(COUNTIFS($I$2:$I$500,$I380,Q$2:Q$500,"&lt;&gt;"&amp;Q380,Q$2:Q$500,"&lt;&gt;")&gt;0,"CEK jenis fixture beda dalam satu series","OK"))))))))))</f>
        <v/>
      </c>
      <c r="V380" s="11" t="n"/>
      <c r="W380" s="11" t="n"/>
      <c r="X380" s="11" t="n"/>
      <c r="Y380" s="11">
        <f>IF(OR(V380="",W380=""),"",IFERROR(INDEX(LAYOUT!$D$2:$D$80,MATCH(V380&amp;"|"&amp;W380,LAYOUT!$E$2:$E$80,0)),""))</f>
        <v/>
      </c>
      <c r="Z380" s="12">
        <f>IF(AND(V380="",W380=""),IF(AND(L380="",M380="",Q380="",R380=""),IF(OR($D380&lt;&gt;"",$E380&lt;&gt;""),"Belum ditempatkan",""),""),IF(V380="","CEK JENIS FIXTURE kosong",IF(LEFT(V380,4)&lt;&gt;"Wall","CEK Fixture 3 hanya Wall",IF(W380="","CEK SHELVING KE kosong",IF(ISNA(MATCH(V380&amp;"|"&amp;W380,LAYOUT!$E$2:$E$80,0)),"CEK SHELVING KE di luar layout",IF($I380="","CEK SERIES kosong",IF(AND(X380&lt;&gt;"",NOT(ISNUMBER(X380))),"CEK URUTAN DISPLAY harus angka",IF($D380="","Zona STOCK",IF($E380="","CEK SKU DESCRIPTION kosong",IF(COUNTIFS($I$2:$I$500,$I380,V$2:V$500,"&lt;&gt;"&amp;V380,V$2:V$500,"&lt;&gt;")&gt;0,"CEK jenis fixture beda dalam satu series","OK"))))))))))</f>
        <v/>
      </c>
      <c r="AA380" s="12" t="n"/>
      <c r="AB380" s="11" t="n"/>
      <c r="AC380" s="11" t="n"/>
      <c r="AD380" s="11" t="n"/>
      <c r="AE380" s="11" t="n"/>
      <c r="AF380" s="11" t="n"/>
      <c r="AG380" s="11" t="n"/>
      <c r="AH380" s="12" t="n"/>
      <c r="AI380" s="12" t="n"/>
    </row>
    <row r="381">
      <c r="A381" s="10" t="n"/>
      <c r="B381" s="10" t="n"/>
      <c r="C381" s="10" t="n"/>
      <c r="D381" s="10" t="n"/>
      <c r="E381" s="10" t="n"/>
      <c r="F381" s="10" t="n"/>
      <c r="G381" s="10" t="n"/>
      <c r="H381" s="10" t="n"/>
      <c r="I381" s="10" t="n"/>
      <c r="J381" s="10" t="n"/>
      <c r="K381" s="10" t="n"/>
      <c r="L381" s="11" t="n"/>
      <c r="M381" s="11" t="n"/>
      <c r="N381" s="11" t="n"/>
      <c r="O381" s="11">
        <f>IF(OR(L381="",M381=""),"",IFERROR(INDEX(LAYOUT!$D$2:$D$80,MATCH(L381&amp;"|"&amp;M381,LAYOUT!$E$2:$E$80,0)),""))</f>
        <v/>
      </c>
      <c r="P381" s="12">
        <f>IF(AND(L381="",M381=""),IF(AND(Q381="",R381="",V381="",W381=""),IF(OR($D381&lt;&gt;"",$E381&lt;&gt;""),"Belum ditempatkan",""),""),IF(L381="","CEK JENIS FIXTURE kosong",IF(AND(LEFT(L381,7)&lt;&gt;"Gondola",LEFT(L381,6)&lt;&gt;"Endcap"),"CEK Fixture 1 hanya Gondola atau Endcap",IF(M381="","CEK SHELVING KE kosong",IF(ISNA(MATCH(L381&amp;"|"&amp;M381,LAYOUT!$E$2:$E$80,0)),"CEK SHELVING KE di luar layout",IF($I381="","CEK SERIES kosong",IF(AND(N381&lt;&gt;"",NOT(ISNUMBER(N381))),"CEK URUTAN DISPLAY harus angka",IF($D381="","Zona STOCK",IF($E381="","CEK SKU DESCRIPTION kosong",IF(COUNTIFS($I$2:$I$500,$I381,L$2:L$500,"&lt;&gt;"&amp;L381,L$2:L$500,"&lt;&gt;")&gt;0,"CEK jenis fixture beda dalam satu series","OK"))))))))))</f>
        <v/>
      </c>
      <c r="Q381" s="11" t="n"/>
      <c r="R381" s="11" t="n"/>
      <c r="S381" s="11" t="n"/>
      <c r="T381" s="11">
        <f>IF(OR(Q381="",R381=""),"",IFERROR(INDEX(LAYOUT!$D$2:$D$80,MATCH(Q381&amp;"|"&amp;R381,LAYOUT!$E$2:$E$80,0)),""))</f>
        <v/>
      </c>
      <c r="U381" s="12">
        <f>IF(AND(Q381="",R381=""),IF(AND(L381="",M381="",V381="",W381=""),IF(OR($D381&lt;&gt;"",$E381&lt;&gt;""),"Belum ditempatkan",""),""),IF(Q381="","CEK JENIS FIXTURE kosong",IF(LEFT(Q381,4)&lt;&gt;"Wall","CEK Fixture 2 hanya Wall",IF(R381="","CEK SHELVING KE kosong",IF(ISNA(MATCH(Q381&amp;"|"&amp;R381,LAYOUT!$E$2:$E$80,0)),"CEK SHELVING KE di luar layout",IF($I381="","CEK SERIES kosong",IF(AND(S381&lt;&gt;"",NOT(ISNUMBER(S381))),"CEK URUTAN DISPLAY harus angka",IF($D381="","Zona STOCK",IF($E381="","CEK SKU DESCRIPTION kosong",IF(COUNTIFS($I$2:$I$500,$I381,Q$2:Q$500,"&lt;&gt;"&amp;Q381,Q$2:Q$500,"&lt;&gt;")&gt;0,"CEK jenis fixture beda dalam satu series","OK"))))))))))</f>
        <v/>
      </c>
      <c r="V381" s="11" t="n"/>
      <c r="W381" s="11" t="n"/>
      <c r="X381" s="11" t="n"/>
      <c r="Y381" s="11">
        <f>IF(OR(V381="",W381=""),"",IFERROR(INDEX(LAYOUT!$D$2:$D$80,MATCH(V381&amp;"|"&amp;W381,LAYOUT!$E$2:$E$80,0)),""))</f>
        <v/>
      </c>
      <c r="Z381" s="12">
        <f>IF(AND(V381="",W381=""),IF(AND(L381="",M381="",Q381="",R381=""),IF(OR($D381&lt;&gt;"",$E381&lt;&gt;""),"Belum ditempatkan",""),""),IF(V381="","CEK JENIS FIXTURE kosong",IF(LEFT(V381,4)&lt;&gt;"Wall","CEK Fixture 3 hanya Wall",IF(W381="","CEK SHELVING KE kosong",IF(ISNA(MATCH(V381&amp;"|"&amp;W381,LAYOUT!$E$2:$E$80,0)),"CEK SHELVING KE di luar layout",IF($I381="","CEK SERIES kosong",IF(AND(X381&lt;&gt;"",NOT(ISNUMBER(X381))),"CEK URUTAN DISPLAY harus angka",IF($D381="","Zona STOCK",IF($E381="","CEK SKU DESCRIPTION kosong",IF(COUNTIFS($I$2:$I$500,$I381,V$2:V$500,"&lt;&gt;"&amp;V381,V$2:V$500,"&lt;&gt;")&gt;0,"CEK jenis fixture beda dalam satu series","OK"))))))))))</f>
        <v/>
      </c>
      <c r="AA381" s="12" t="n"/>
      <c r="AB381" s="11" t="n"/>
      <c r="AC381" s="11" t="n"/>
      <c r="AD381" s="11" t="n"/>
      <c r="AE381" s="11" t="n"/>
      <c r="AF381" s="11" t="n"/>
      <c r="AG381" s="11" t="n"/>
      <c r="AH381" s="12" t="n"/>
      <c r="AI381" s="12" t="n"/>
    </row>
    <row r="382">
      <c r="A382" s="10" t="n"/>
      <c r="B382" s="10" t="n"/>
      <c r="C382" s="10" t="n"/>
      <c r="D382" s="10" t="n"/>
      <c r="E382" s="10" t="n"/>
      <c r="F382" s="10" t="n"/>
      <c r="G382" s="10" t="n"/>
      <c r="H382" s="10" t="n"/>
      <c r="I382" s="10" t="n"/>
      <c r="J382" s="10" t="n"/>
      <c r="K382" s="10" t="n"/>
      <c r="L382" s="11" t="n"/>
      <c r="M382" s="11" t="n"/>
      <c r="N382" s="11" t="n"/>
      <c r="O382" s="11">
        <f>IF(OR(L382="",M382=""),"",IFERROR(INDEX(LAYOUT!$D$2:$D$80,MATCH(L382&amp;"|"&amp;M382,LAYOUT!$E$2:$E$80,0)),""))</f>
        <v/>
      </c>
      <c r="P382" s="12">
        <f>IF(AND(L382="",M382=""),IF(AND(Q382="",R382="",V382="",W382=""),IF(OR($D382&lt;&gt;"",$E382&lt;&gt;""),"Belum ditempatkan",""),""),IF(L382="","CEK JENIS FIXTURE kosong",IF(AND(LEFT(L382,7)&lt;&gt;"Gondola",LEFT(L382,6)&lt;&gt;"Endcap"),"CEK Fixture 1 hanya Gondola atau Endcap",IF(M382="","CEK SHELVING KE kosong",IF(ISNA(MATCH(L382&amp;"|"&amp;M382,LAYOUT!$E$2:$E$80,0)),"CEK SHELVING KE di luar layout",IF($I382="","CEK SERIES kosong",IF(AND(N382&lt;&gt;"",NOT(ISNUMBER(N382))),"CEK URUTAN DISPLAY harus angka",IF($D382="","Zona STOCK",IF($E382="","CEK SKU DESCRIPTION kosong",IF(COUNTIFS($I$2:$I$500,$I382,L$2:L$500,"&lt;&gt;"&amp;L382,L$2:L$500,"&lt;&gt;")&gt;0,"CEK jenis fixture beda dalam satu series","OK"))))))))))</f>
        <v/>
      </c>
      <c r="Q382" s="11" t="n"/>
      <c r="R382" s="11" t="n"/>
      <c r="S382" s="11" t="n"/>
      <c r="T382" s="11">
        <f>IF(OR(Q382="",R382=""),"",IFERROR(INDEX(LAYOUT!$D$2:$D$80,MATCH(Q382&amp;"|"&amp;R382,LAYOUT!$E$2:$E$80,0)),""))</f>
        <v/>
      </c>
      <c r="U382" s="12">
        <f>IF(AND(Q382="",R382=""),IF(AND(L382="",M382="",V382="",W382=""),IF(OR($D382&lt;&gt;"",$E382&lt;&gt;""),"Belum ditempatkan",""),""),IF(Q382="","CEK JENIS FIXTURE kosong",IF(LEFT(Q382,4)&lt;&gt;"Wall","CEK Fixture 2 hanya Wall",IF(R382="","CEK SHELVING KE kosong",IF(ISNA(MATCH(Q382&amp;"|"&amp;R382,LAYOUT!$E$2:$E$80,0)),"CEK SHELVING KE di luar layout",IF($I382="","CEK SERIES kosong",IF(AND(S382&lt;&gt;"",NOT(ISNUMBER(S382))),"CEK URUTAN DISPLAY harus angka",IF($D382="","Zona STOCK",IF($E382="","CEK SKU DESCRIPTION kosong",IF(COUNTIFS($I$2:$I$500,$I382,Q$2:Q$500,"&lt;&gt;"&amp;Q382,Q$2:Q$500,"&lt;&gt;")&gt;0,"CEK jenis fixture beda dalam satu series","OK"))))))))))</f>
        <v/>
      </c>
      <c r="V382" s="11" t="n"/>
      <c r="W382" s="11" t="n"/>
      <c r="X382" s="11" t="n"/>
      <c r="Y382" s="11">
        <f>IF(OR(V382="",W382=""),"",IFERROR(INDEX(LAYOUT!$D$2:$D$80,MATCH(V382&amp;"|"&amp;W382,LAYOUT!$E$2:$E$80,0)),""))</f>
        <v/>
      </c>
      <c r="Z382" s="12">
        <f>IF(AND(V382="",W382=""),IF(AND(L382="",M382="",Q382="",R382=""),IF(OR($D382&lt;&gt;"",$E382&lt;&gt;""),"Belum ditempatkan",""),""),IF(V382="","CEK JENIS FIXTURE kosong",IF(LEFT(V382,4)&lt;&gt;"Wall","CEK Fixture 3 hanya Wall",IF(W382="","CEK SHELVING KE kosong",IF(ISNA(MATCH(V382&amp;"|"&amp;W382,LAYOUT!$E$2:$E$80,0)),"CEK SHELVING KE di luar layout",IF($I382="","CEK SERIES kosong",IF(AND(X382&lt;&gt;"",NOT(ISNUMBER(X382))),"CEK URUTAN DISPLAY harus angka",IF($D382="","Zona STOCK",IF($E382="","CEK SKU DESCRIPTION kosong",IF(COUNTIFS($I$2:$I$500,$I382,V$2:V$500,"&lt;&gt;"&amp;V382,V$2:V$500,"&lt;&gt;")&gt;0,"CEK jenis fixture beda dalam satu series","OK"))))))))))</f>
        <v/>
      </c>
      <c r="AA382" s="12" t="n"/>
      <c r="AB382" s="11" t="n"/>
      <c r="AC382" s="11" t="n"/>
      <c r="AD382" s="11" t="n"/>
      <c r="AE382" s="11" t="n"/>
      <c r="AF382" s="11" t="n"/>
      <c r="AG382" s="11" t="n"/>
      <c r="AH382" s="12" t="n"/>
      <c r="AI382" s="12" t="n"/>
    </row>
    <row r="383">
      <c r="A383" s="10" t="n"/>
      <c r="B383" s="10" t="n"/>
      <c r="C383" s="10" t="n"/>
      <c r="D383" s="10" t="n"/>
      <c r="E383" s="10" t="n"/>
      <c r="F383" s="10" t="n"/>
      <c r="G383" s="10" t="n"/>
      <c r="H383" s="10" t="n"/>
      <c r="I383" s="10" t="n"/>
      <c r="J383" s="10" t="n"/>
      <c r="K383" s="10" t="n"/>
      <c r="L383" s="11" t="n"/>
      <c r="M383" s="11" t="n"/>
      <c r="N383" s="11" t="n"/>
      <c r="O383" s="11">
        <f>IF(OR(L383="",M383=""),"",IFERROR(INDEX(LAYOUT!$D$2:$D$80,MATCH(L383&amp;"|"&amp;M383,LAYOUT!$E$2:$E$80,0)),""))</f>
        <v/>
      </c>
      <c r="P383" s="12">
        <f>IF(AND(L383="",M383=""),IF(AND(Q383="",R383="",V383="",W383=""),IF(OR($D383&lt;&gt;"",$E383&lt;&gt;""),"Belum ditempatkan",""),""),IF(L383="","CEK JENIS FIXTURE kosong",IF(AND(LEFT(L383,7)&lt;&gt;"Gondola",LEFT(L383,6)&lt;&gt;"Endcap"),"CEK Fixture 1 hanya Gondola atau Endcap",IF(M383="","CEK SHELVING KE kosong",IF(ISNA(MATCH(L383&amp;"|"&amp;M383,LAYOUT!$E$2:$E$80,0)),"CEK SHELVING KE di luar layout",IF($I383="","CEK SERIES kosong",IF(AND(N383&lt;&gt;"",NOT(ISNUMBER(N383))),"CEK URUTAN DISPLAY harus angka",IF($D383="","Zona STOCK",IF($E383="","CEK SKU DESCRIPTION kosong",IF(COUNTIFS($I$2:$I$500,$I383,L$2:L$500,"&lt;&gt;"&amp;L383,L$2:L$500,"&lt;&gt;")&gt;0,"CEK jenis fixture beda dalam satu series","OK"))))))))))</f>
        <v/>
      </c>
      <c r="Q383" s="11" t="n"/>
      <c r="R383" s="11" t="n"/>
      <c r="S383" s="11" t="n"/>
      <c r="T383" s="11">
        <f>IF(OR(Q383="",R383=""),"",IFERROR(INDEX(LAYOUT!$D$2:$D$80,MATCH(Q383&amp;"|"&amp;R383,LAYOUT!$E$2:$E$80,0)),""))</f>
        <v/>
      </c>
      <c r="U383" s="12">
        <f>IF(AND(Q383="",R383=""),IF(AND(L383="",M383="",V383="",W383=""),IF(OR($D383&lt;&gt;"",$E383&lt;&gt;""),"Belum ditempatkan",""),""),IF(Q383="","CEK JENIS FIXTURE kosong",IF(LEFT(Q383,4)&lt;&gt;"Wall","CEK Fixture 2 hanya Wall",IF(R383="","CEK SHELVING KE kosong",IF(ISNA(MATCH(Q383&amp;"|"&amp;R383,LAYOUT!$E$2:$E$80,0)),"CEK SHELVING KE di luar layout",IF($I383="","CEK SERIES kosong",IF(AND(S383&lt;&gt;"",NOT(ISNUMBER(S383))),"CEK URUTAN DISPLAY harus angka",IF($D383="","Zona STOCK",IF($E383="","CEK SKU DESCRIPTION kosong",IF(COUNTIFS($I$2:$I$500,$I383,Q$2:Q$500,"&lt;&gt;"&amp;Q383,Q$2:Q$500,"&lt;&gt;")&gt;0,"CEK jenis fixture beda dalam satu series","OK"))))))))))</f>
        <v/>
      </c>
      <c r="V383" s="11" t="n"/>
      <c r="W383" s="11" t="n"/>
      <c r="X383" s="11" t="n"/>
      <c r="Y383" s="11">
        <f>IF(OR(V383="",W383=""),"",IFERROR(INDEX(LAYOUT!$D$2:$D$80,MATCH(V383&amp;"|"&amp;W383,LAYOUT!$E$2:$E$80,0)),""))</f>
        <v/>
      </c>
      <c r="Z383" s="12">
        <f>IF(AND(V383="",W383=""),IF(AND(L383="",M383="",Q383="",R383=""),IF(OR($D383&lt;&gt;"",$E383&lt;&gt;""),"Belum ditempatkan",""),""),IF(V383="","CEK JENIS FIXTURE kosong",IF(LEFT(V383,4)&lt;&gt;"Wall","CEK Fixture 3 hanya Wall",IF(W383="","CEK SHELVING KE kosong",IF(ISNA(MATCH(V383&amp;"|"&amp;W383,LAYOUT!$E$2:$E$80,0)),"CEK SHELVING KE di luar layout",IF($I383="","CEK SERIES kosong",IF(AND(X383&lt;&gt;"",NOT(ISNUMBER(X383))),"CEK URUTAN DISPLAY harus angka",IF($D383="","Zona STOCK",IF($E383="","CEK SKU DESCRIPTION kosong",IF(COUNTIFS($I$2:$I$500,$I383,V$2:V$500,"&lt;&gt;"&amp;V383,V$2:V$500,"&lt;&gt;")&gt;0,"CEK jenis fixture beda dalam satu series","OK"))))))))))</f>
        <v/>
      </c>
      <c r="AA383" s="12" t="n"/>
      <c r="AB383" s="11" t="n"/>
      <c r="AC383" s="11" t="n"/>
      <c r="AD383" s="11" t="n"/>
      <c r="AE383" s="11" t="n"/>
      <c r="AF383" s="11" t="n"/>
      <c r="AG383" s="11" t="n"/>
      <c r="AH383" s="12" t="n"/>
      <c r="AI383" s="12" t="n"/>
    </row>
    <row r="384">
      <c r="A384" s="10" t="n"/>
      <c r="B384" s="10" t="n"/>
      <c r="C384" s="10" t="n"/>
      <c r="D384" s="10" t="n"/>
      <c r="E384" s="10" t="n"/>
      <c r="F384" s="10" t="n"/>
      <c r="G384" s="10" t="n"/>
      <c r="H384" s="10" t="n"/>
      <c r="I384" s="10" t="n"/>
      <c r="J384" s="10" t="n"/>
      <c r="K384" s="10" t="n"/>
      <c r="L384" s="11" t="n"/>
      <c r="M384" s="11" t="n"/>
      <c r="N384" s="11" t="n"/>
      <c r="O384" s="11">
        <f>IF(OR(L384="",M384=""),"",IFERROR(INDEX(LAYOUT!$D$2:$D$80,MATCH(L384&amp;"|"&amp;M384,LAYOUT!$E$2:$E$80,0)),""))</f>
        <v/>
      </c>
      <c r="P384" s="12">
        <f>IF(AND(L384="",M384=""),IF(AND(Q384="",R384="",V384="",W384=""),IF(OR($D384&lt;&gt;"",$E384&lt;&gt;""),"Belum ditempatkan",""),""),IF(L384="","CEK JENIS FIXTURE kosong",IF(AND(LEFT(L384,7)&lt;&gt;"Gondola",LEFT(L384,6)&lt;&gt;"Endcap"),"CEK Fixture 1 hanya Gondola atau Endcap",IF(M384="","CEK SHELVING KE kosong",IF(ISNA(MATCH(L384&amp;"|"&amp;M384,LAYOUT!$E$2:$E$80,0)),"CEK SHELVING KE di luar layout",IF($I384="","CEK SERIES kosong",IF(AND(N384&lt;&gt;"",NOT(ISNUMBER(N384))),"CEK URUTAN DISPLAY harus angka",IF($D384="","Zona STOCK",IF($E384="","CEK SKU DESCRIPTION kosong",IF(COUNTIFS($I$2:$I$500,$I384,L$2:L$500,"&lt;&gt;"&amp;L384,L$2:L$500,"&lt;&gt;")&gt;0,"CEK jenis fixture beda dalam satu series","OK"))))))))))</f>
        <v/>
      </c>
      <c r="Q384" s="11" t="n"/>
      <c r="R384" s="11" t="n"/>
      <c r="S384" s="11" t="n"/>
      <c r="T384" s="11">
        <f>IF(OR(Q384="",R384=""),"",IFERROR(INDEX(LAYOUT!$D$2:$D$80,MATCH(Q384&amp;"|"&amp;R384,LAYOUT!$E$2:$E$80,0)),""))</f>
        <v/>
      </c>
      <c r="U384" s="12">
        <f>IF(AND(Q384="",R384=""),IF(AND(L384="",M384="",V384="",W384=""),IF(OR($D384&lt;&gt;"",$E384&lt;&gt;""),"Belum ditempatkan",""),""),IF(Q384="","CEK JENIS FIXTURE kosong",IF(LEFT(Q384,4)&lt;&gt;"Wall","CEK Fixture 2 hanya Wall",IF(R384="","CEK SHELVING KE kosong",IF(ISNA(MATCH(Q384&amp;"|"&amp;R384,LAYOUT!$E$2:$E$80,0)),"CEK SHELVING KE di luar layout",IF($I384="","CEK SERIES kosong",IF(AND(S384&lt;&gt;"",NOT(ISNUMBER(S384))),"CEK URUTAN DISPLAY harus angka",IF($D384="","Zona STOCK",IF($E384="","CEK SKU DESCRIPTION kosong",IF(COUNTIFS($I$2:$I$500,$I384,Q$2:Q$500,"&lt;&gt;"&amp;Q384,Q$2:Q$500,"&lt;&gt;")&gt;0,"CEK jenis fixture beda dalam satu series","OK"))))))))))</f>
        <v/>
      </c>
      <c r="V384" s="11" t="n"/>
      <c r="W384" s="11" t="n"/>
      <c r="X384" s="11" t="n"/>
      <c r="Y384" s="11">
        <f>IF(OR(V384="",W384=""),"",IFERROR(INDEX(LAYOUT!$D$2:$D$80,MATCH(V384&amp;"|"&amp;W384,LAYOUT!$E$2:$E$80,0)),""))</f>
        <v/>
      </c>
      <c r="Z384" s="12">
        <f>IF(AND(V384="",W384=""),IF(AND(L384="",M384="",Q384="",R384=""),IF(OR($D384&lt;&gt;"",$E384&lt;&gt;""),"Belum ditempatkan",""),""),IF(V384="","CEK JENIS FIXTURE kosong",IF(LEFT(V384,4)&lt;&gt;"Wall","CEK Fixture 3 hanya Wall",IF(W384="","CEK SHELVING KE kosong",IF(ISNA(MATCH(V384&amp;"|"&amp;W384,LAYOUT!$E$2:$E$80,0)),"CEK SHELVING KE di luar layout",IF($I384="","CEK SERIES kosong",IF(AND(X384&lt;&gt;"",NOT(ISNUMBER(X384))),"CEK URUTAN DISPLAY harus angka",IF($D384="","Zona STOCK",IF($E384="","CEK SKU DESCRIPTION kosong",IF(COUNTIFS($I$2:$I$500,$I384,V$2:V$500,"&lt;&gt;"&amp;V384,V$2:V$500,"&lt;&gt;")&gt;0,"CEK jenis fixture beda dalam satu series","OK"))))))))))</f>
        <v/>
      </c>
      <c r="AA384" s="12" t="n"/>
      <c r="AB384" s="11" t="n"/>
      <c r="AC384" s="11" t="n"/>
      <c r="AD384" s="11" t="n"/>
      <c r="AE384" s="11" t="n"/>
      <c r="AF384" s="11" t="n"/>
      <c r="AG384" s="11" t="n"/>
      <c r="AH384" s="12" t="n"/>
      <c r="AI384" s="12" t="n"/>
    </row>
    <row r="385">
      <c r="A385" s="10" t="n"/>
      <c r="B385" s="10" t="n"/>
      <c r="C385" s="10" t="n"/>
      <c r="D385" s="10" t="n"/>
      <c r="E385" s="10" t="n"/>
      <c r="F385" s="10" t="n"/>
      <c r="G385" s="10" t="n"/>
      <c r="H385" s="10" t="n"/>
      <c r="I385" s="10" t="n"/>
      <c r="J385" s="10" t="n"/>
      <c r="K385" s="10" t="n"/>
      <c r="L385" s="11" t="n"/>
      <c r="M385" s="11" t="n"/>
      <c r="N385" s="11" t="n"/>
      <c r="O385" s="11">
        <f>IF(OR(L385="",M385=""),"",IFERROR(INDEX(LAYOUT!$D$2:$D$80,MATCH(L385&amp;"|"&amp;M385,LAYOUT!$E$2:$E$80,0)),""))</f>
        <v/>
      </c>
      <c r="P385" s="12">
        <f>IF(AND(L385="",M385=""),IF(AND(Q385="",R385="",V385="",W385=""),IF(OR($D385&lt;&gt;"",$E385&lt;&gt;""),"Belum ditempatkan",""),""),IF(L385="","CEK JENIS FIXTURE kosong",IF(AND(LEFT(L385,7)&lt;&gt;"Gondola",LEFT(L385,6)&lt;&gt;"Endcap"),"CEK Fixture 1 hanya Gondola atau Endcap",IF(M385="","CEK SHELVING KE kosong",IF(ISNA(MATCH(L385&amp;"|"&amp;M385,LAYOUT!$E$2:$E$80,0)),"CEK SHELVING KE di luar layout",IF($I385="","CEK SERIES kosong",IF(AND(N385&lt;&gt;"",NOT(ISNUMBER(N385))),"CEK URUTAN DISPLAY harus angka",IF($D385="","Zona STOCK",IF($E385="","CEK SKU DESCRIPTION kosong",IF(COUNTIFS($I$2:$I$500,$I385,L$2:L$500,"&lt;&gt;"&amp;L385,L$2:L$500,"&lt;&gt;")&gt;0,"CEK jenis fixture beda dalam satu series","OK"))))))))))</f>
        <v/>
      </c>
      <c r="Q385" s="11" t="n"/>
      <c r="R385" s="11" t="n"/>
      <c r="S385" s="11" t="n"/>
      <c r="T385" s="11">
        <f>IF(OR(Q385="",R385=""),"",IFERROR(INDEX(LAYOUT!$D$2:$D$80,MATCH(Q385&amp;"|"&amp;R385,LAYOUT!$E$2:$E$80,0)),""))</f>
        <v/>
      </c>
      <c r="U385" s="12">
        <f>IF(AND(Q385="",R385=""),IF(AND(L385="",M385="",V385="",W385=""),IF(OR($D385&lt;&gt;"",$E385&lt;&gt;""),"Belum ditempatkan",""),""),IF(Q385="","CEK JENIS FIXTURE kosong",IF(LEFT(Q385,4)&lt;&gt;"Wall","CEK Fixture 2 hanya Wall",IF(R385="","CEK SHELVING KE kosong",IF(ISNA(MATCH(Q385&amp;"|"&amp;R385,LAYOUT!$E$2:$E$80,0)),"CEK SHELVING KE di luar layout",IF($I385="","CEK SERIES kosong",IF(AND(S385&lt;&gt;"",NOT(ISNUMBER(S385))),"CEK URUTAN DISPLAY harus angka",IF($D385="","Zona STOCK",IF($E385="","CEK SKU DESCRIPTION kosong",IF(COUNTIFS($I$2:$I$500,$I385,Q$2:Q$500,"&lt;&gt;"&amp;Q385,Q$2:Q$500,"&lt;&gt;")&gt;0,"CEK jenis fixture beda dalam satu series","OK"))))))))))</f>
        <v/>
      </c>
      <c r="V385" s="11" t="n"/>
      <c r="W385" s="11" t="n"/>
      <c r="X385" s="11" t="n"/>
      <c r="Y385" s="11">
        <f>IF(OR(V385="",W385=""),"",IFERROR(INDEX(LAYOUT!$D$2:$D$80,MATCH(V385&amp;"|"&amp;W385,LAYOUT!$E$2:$E$80,0)),""))</f>
        <v/>
      </c>
      <c r="Z385" s="12">
        <f>IF(AND(V385="",W385=""),IF(AND(L385="",M385="",Q385="",R385=""),IF(OR($D385&lt;&gt;"",$E385&lt;&gt;""),"Belum ditempatkan",""),""),IF(V385="","CEK JENIS FIXTURE kosong",IF(LEFT(V385,4)&lt;&gt;"Wall","CEK Fixture 3 hanya Wall",IF(W385="","CEK SHELVING KE kosong",IF(ISNA(MATCH(V385&amp;"|"&amp;W385,LAYOUT!$E$2:$E$80,0)),"CEK SHELVING KE di luar layout",IF($I385="","CEK SERIES kosong",IF(AND(X385&lt;&gt;"",NOT(ISNUMBER(X385))),"CEK URUTAN DISPLAY harus angka",IF($D385="","Zona STOCK",IF($E385="","CEK SKU DESCRIPTION kosong",IF(COUNTIFS($I$2:$I$500,$I385,V$2:V$500,"&lt;&gt;"&amp;V385,V$2:V$500,"&lt;&gt;")&gt;0,"CEK jenis fixture beda dalam satu series","OK"))))))))))</f>
        <v/>
      </c>
      <c r="AA385" s="12" t="n"/>
      <c r="AB385" s="11" t="n"/>
      <c r="AC385" s="11" t="n"/>
      <c r="AD385" s="11" t="n"/>
      <c r="AE385" s="11" t="n"/>
      <c r="AF385" s="11" t="n"/>
      <c r="AG385" s="11" t="n"/>
      <c r="AH385" s="12" t="n"/>
      <c r="AI385" s="12" t="n"/>
    </row>
    <row r="386">
      <c r="A386" s="10" t="n"/>
      <c r="B386" s="10" t="n"/>
      <c r="C386" s="10" t="n"/>
      <c r="D386" s="10" t="n"/>
      <c r="E386" s="10" t="n"/>
      <c r="F386" s="10" t="n"/>
      <c r="G386" s="10" t="n"/>
      <c r="H386" s="10" t="n"/>
      <c r="I386" s="10" t="n"/>
      <c r="J386" s="10" t="n"/>
      <c r="K386" s="10" t="n"/>
      <c r="L386" s="11" t="n"/>
      <c r="M386" s="11" t="n"/>
      <c r="N386" s="11" t="n"/>
      <c r="O386" s="11">
        <f>IF(OR(L386="",M386=""),"",IFERROR(INDEX(LAYOUT!$D$2:$D$80,MATCH(L386&amp;"|"&amp;M386,LAYOUT!$E$2:$E$80,0)),""))</f>
        <v/>
      </c>
      <c r="P386" s="12">
        <f>IF(AND(L386="",M386=""),IF(AND(Q386="",R386="",V386="",W386=""),IF(OR($D386&lt;&gt;"",$E386&lt;&gt;""),"Belum ditempatkan",""),""),IF(L386="","CEK JENIS FIXTURE kosong",IF(AND(LEFT(L386,7)&lt;&gt;"Gondola",LEFT(L386,6)&lt;&gt;"Endcap"),"CEK Fixture 1 hanya Gondola atau Endcap",IF(M386="","CEK SHELVING KE kosong",IF(ISNA(MATCH(L386&amp;"|"&amp;M386,LAYOUT!$E$2:$E$80,0)),"CEK SHELVING KE di luar layout",IF($I386="","CEK SERIES kosong",IF(AND(N386&lt;&gt;"",NOT(ISNUMBER(N386))),"CEK URUTAN DISPLAY harus angka",IF($D386="","Zona STOCK",IF($E386="","CEK SKU DESCRIPTION kosong",IF(COUNTIFS($I$2:$I$500,$I386,L$2:L$500,"&lt;&gt;"&amp;L386,L$2:L$500,"&lt;&gt;")&gt;0,"CEK jenis fixture beda dalam satu series","OK"))))))))))</f>
        <v/>
      </c>
      <c r="Q386" s="11" t="n"/>
      <c r="R386" s="11" t="n"/>
      <c r="S386" s="11" t="n"/>
      <c r="T386" s="11">
        <f>IF(OR(Q386="",R386=""),"",IFERROR(INDEX(LAYOUT!$D$2:$D$80,MATCH(Q386&amp;"|"&amp;R386,LAYOUT!$E$2:$E$80,0)),""))</f>
        <v/>
      </c>
      <c r="U386" s="12">
        <f>IF(AND(Q386="",R386=""),IF(AND(L386="",M386="",V386="",W386=""),IF(OR($D386&lt;&gt;"",$E386&lt;&gt;""),"Belum ditempatkan",""),""),IF(Q386="","CEK JENIS FIXTURE kosong",IF(LEFT(Q386,4)&lt;&gt;"Wall","CEK Fixture 2 hanya Wall",IF(R386="","CEK SHELVING KE kosong",IF(ISNA(MATCH(Q386&amp;"|"&amp;R386,LAYOUT!$E$2:$E$80,0)),"CEK SHELVING KE di luar layout",IF($I386="","CEK SERIES kosong",IF(AND(S386&lt;&gt;"",NOT(ISNUMBER(S386))),"CEK URUTAN DISPLAY harus angka",IF($D386="","Zona STOCK",IF($E386="","CEK SKU DESCRIPTION kosong",IF(COUNTIFS($I$2:$I$500,$I386,Q$2:Q$500,"&lt;&gt;"&amp;Q386,Q$2:Q$500,"&lt;&gt;")&gt;0,"CEK jenis fixture beda dalam satu series","OK"))))))))))</f>
        <v/>
      </c>
      <c r="V386" s="11" t="n"/>
      <c r="W386" s="11" t="n"/>
      <c r="X386" s="11" t="n"/>
      <c r="Y386" s="11">
        <f>IF(OR(V386="",W386=""),"",IFERROR(INDEX(LAYOUT!$D$2:$D$80,MATCH(V386&amp;"|"&amp;W386,LAYOUT!$E$2:$E$80,0)),""))</f>
        <v/>
      </c>
      <c r="Z386" s="12">
        <f>IF(AND(V386="",W386=""),IF(AND(L386="",M386="",Q386="",R386=""),IF(OR($D386&lt;&gt;"",$E386&lt;&gt;""),"Belum ditempatkan",""),""),IF(V386="","CEK JENIS FIXTURE kosong",IF(LEFT(V386,4)&lt;&gt;"Wall","CEK Fixture 3 hanya Wall",IF(W386="","CEK SHELVING KE kosong",IF(ISNA(MATCH(V386&amp;"|"&amp;W386,LAYOUT!$E$2:$E$80,0)),"CEK SHELVING KE di luar layout",IF($I386="","CEK SERIES kosong",IF(AND(X386&lt;&gt;"",NOT(ISNUMBER(X386))),"CEK URUTAN DISPLAY harus angka",IF($D386="","Zona STOCK",IF($E386="","CEK SKU DESCRIPTION kosong",IF(COUNTIFS($I$2:$I$500,$I386,V$2:V$500,"&lt;&gt;"&amp;V386,V$2:V$500,"&lt;&gt;")&gt;0,"CEK jenis fixture beda dalam satu series","OK"))))))))))</f>
        <v/>
      </c>
      <c r="AA386" s="12" t="n"/>
      <c r="AB386" s="11" t="n"/>
      <c r="AC386" s="11" t="n"/>
      <c r="AD386" s="11" t="n"/>
      <c r="AE386" s="11" t="n"/>
      <c r="AF386" s="11" t="n"/>
      <c r="AG386" s="11" t="n"/>
      <c r="AH386" s="12" t="n"/>
      <c r="AI386" s="12" t="n"/>
    </row>
    <row r="387">
      <c r="A387" s="10" t="n"/>
      <c r="B387" s="10" t="n"/>
      <c r="C387" s="10" t="n"/>
      <c r="D387" s="10" t="n"/>
      <c r="E387" s="10" t="n"/>
      <c r="F387" s="10" t="n"/>
      <c r="G387" s="10" t="n"/>
      <c r="H387" s="10" t="n"/>
      <c r="I387" s="10" t="n"/>
      <c r="J387" s="10" t="n"/>
      <c r="K387" s="10" t="n"/>
      <c r="L387" s="11" t="n"/>
      <c r="M387" s="11" t="n"/>
      <c r="N387" s="11" t="n"/>
      <c r="O387" s="11">
        <f>IF(OR(L387="",M387=""),"",IFERROR(INDEX(LAYOUT!$D$2:$D$80,MATCH(L387&amp;"|"&amp;M387,LAYOUT!$E$2:$E$80,0)),""))</f>
        <v/>
      </c>
      <c r="P387" s="12">
        <f>IF(AND(L387="",M387=""),IF(AND(Q387="",R387="",V387="",W387=""),IF(OR($D387&lt;&gt;"",$E387&lt;&gt;""),"Belum ditempatkan",""),""),IF(L387="","CEK JENIS FIXTURE kosong",IF(AND(LEFT(L387,7)&lt;&gt;"Gondola",LEFT(L387,6)&lt;&gt;"Endcap"),"CEK Fixture 1 hanya Gondola atau Endcap",IF(M387="","CEK SHELVING KE kosong",IF(ISNA(MATCH(L387&amp;"|"&amp;M387,LAYOUT!$E$2:$E$80,0)),"CEK SHELVING KE di luar layout",IF($I387="","CEK SERIES kosong",IF(AND(N387&lt;&gt;"",NOT(ISNUMBER(N387))),"CEK URUTAN DISPLAY harus angka",IF($D387="","Zona STOCK",IF($E387="","CEK SKU DESCRIPTION kosong",IF(COUNTIFS($I$2:$I$500,$I387,L$2:L$500,"&lt;&gt;"&amp;L387,L$2:L$500,"&lt;&gt;")&gt;0,"CEK jenis fixture beda dalam satu series","OK"))))))))))</f>
        <v/>
      </c>
      <c r="Q387" s="11" t="n"/>
      <c r="R387" s="11" t="n"/>
      <c r="S387" s="11" t="n"/>
      <c r="T387" s="11">
        <f>IF(OR(Q387="",R387=""),"",IFERROR(INDEX(LAYOUT!$D$2:$D$80,MATCH(Q387&amp;"|"&amp;R387,LAYOUT!$E$2:$E$80,0)),""))</f>
        <v/>
      </c>
      <c r="U387" s="12">
        <f>IF(AND(Q387="",R387=""),IF(AND(L387="",M387="",V387="",W387=""),IF(OR($D387&lt;&gt;"",$E387&lt;&gt;""),"Belum ditempatkan",""),""),IF(Q387="","CEK JENIS FIXTURE kosong",IF(LEFT(Q387,4)&lt;&gt;"Wall","CEK Fixture 2 hanya Wall",IF(R387="","CEK SHELVING KE kosong",IF(ISNA(MATCH(Q387&amp;"|"&amp;R387,LAYOUT!$E$2:$E$80,0)),"CEK SHELVING KE di luar layout",IF($I387="","CEK SERIES kosong",IF(AND(S387&lt;&gt;"",NOT(ISNUMBER(S387))),"CEK URUTAN DISPLAY harus angka",IF($D387="","Zona STOCK",IF($E387="","CEK SKU DESCRIPTION kosong",IF(COUNTIFS($I$2:$I$500,$I387,Q$2:Q$500,"&lt;&gt;"&amp;Q387,Q$2:Q$500,"&lt;&gt;")&gt;0,"CEK jenis fixture beda dalam satu series","OK"))))))))))</f>
        <v/>
      </c>
      <c r="V387" s="11" t="n"/>
      <c r="W387" s="11" t="n"/>
      <c r="X387" s="11" t="n"/>
      <c r="Y387" s="11">
        <f>IF(OR(V387="",W387=""),"",IFERROR(INDEX(LAYOUT!$D$2:$D$80,MATCH(V387&amp;"|"&amp;W387,LAYOUT!$E$2:$E$80,0)),""))</f>
        <v/>
      </c>
      <c r="Z387" s="12">
        <f>IF(AND(V387="",W387=""),IF(AND(L387="",M387="",Q387="",R387=""),IF(OR($D387&lt;&gt;"",$E387&lt;&gt;""),"Belum ditempatkan",""),""),IF(V387="","CEK JENIS FIXTURE kosong",IF(LEFT(V387,4)&lt;&gt;"Wall","CEK Fixture 3 hanya Wall",IF(W387="","CEK SHELVING KE kosong",IF(ISNA(MATCH(V387&amp;"|"&amp;W387,LAYOUT!$E$2:$E$80,0)),"CEK SHELVING KE di luar layout",IF($I387="","CEK SERIES kosong",IF(AND(X387&lt;&gt;"",NOT(ISNUMBER(X387))),"CEK URUTAN DISPLAY harus angka",IF($D387="","Zona STOCK",IF($E387="","CEK SKU DESCRIPTION kosong",IF(COUNTIFS($I$2:$I$500,$I387,V$2:V$500,"&lt;&gt;"&amp;V387,V$2:V$500,"&lt;&gt;")&gt;0,"CEK jenis fixture beda dalam satu series","OK"))))))))))</f>
        <v/>
      </c>
      <c r="AA387" s="12" t="n"/>
      <c r="AB387" s="11" t="n"/>
      <c r="AC387" s="11" t="n"/>
      <c r="AD387" s="11" t="n"/>
      <c r="AE387" s="11" t="n"/>
      <c r="AF387" s="11" t="n"/>
      <c r="AG387" s="11" t="n"/>
      <c r="AH387" s="12" t="n"/>
      <c r="AI387" s="12" t="n"/>
    </row>
    <row r="388">
      <c r="A388" s="10" t="n"/>
      <c r="B388" s="10" t="n"/>
      <c r="C388" s="10" t="n"/>
      <c r="D388" s="10" t="n"/>
      <c r="E388" s="10" t="n"/>
      <c r="F388" s="10" t="n"/>
      <c r="G388" s="10" t="n"/>
      <c r="H388" s="10" t="n"/>
      <c r="I388" s="10" t="n"/>
      <c r="J388" s="10" t="n"/>
      <c r="K388" s="10" t="n"/>
      <c r="L388" s="11" t="n"/>
      <c r="M388" s="11" t="n"/>
      <c r="N388" s="11" t="n"/>
      <c r="O388" s="11">
        <f>IF(OR(L388="",M388=""),"",IFERROR(INDEX(LAYOUT!$D$2:$D$80,MATCH(L388&amp;"|"&amp;M388,LAYOUT!$E$2:$E$80,0)),""))</f>
        <v/>
      </c>
      <c r="P388" s="12">
        <f>IF(AND(L388="",M388=""),IF(AND(Q388="",R388="",V388="",W388=""),IF(OR($D388&lt;&gt;"",$E388&lt;&gt;""),"Belum ditempatkan",""),""),IF(L388="","CEK JENIS FIXTURE kosong",IF(AND(LEFT(L388,7)&lt;&gt;"Gondola",LEFT(L388,6)&lt;&gt;"Endcap"),"CEK Fixture 1 hanya Gondola atau Endcap",IF(M388="","CEK SHELVING KE kosong",IF(ISNA(MATCH(L388&amp;"|"&amp;M388,LAYOUT!$E$2:$E$80,0)),"CEK SHELVING KE di luar layout",IF($I388="","CEK SERIES kosong",IF(AND(N388&lt;&gt;"",NOT(ISNUMBER(N388))),"CEK URUTAN DISPLAY harus angka",IF($D388="","Zona STOCK",IF($E388="","CEK SKU DESCRIPTION kosong",IF(COUNTIFS($I$2:$I$500,$I388,L$2:L$500,"&lt;&gt;"&amp;L388,L$2:L$500,"&lt;&gt;")&gt;0,"CEK jenis fixture beda dalam satu series","OK"))))))))))</f>
        <v/>
      </c>
      <c r="Q388" s="11" t="n"/>
      <c r="R388" s="11" t="n"/>
      <c r="S388" s="11" t="n"/>
      <c r="T388" s="11">
        <f>IF(OR(Q388="",R388=""),"",IFERROR(INDEX(LAYOUT!$D$2:$D$80,MATCH(Q388&amp;"|"&amp;R388,LAYOUT!$E$2:$E$80,0)),""))</f>
        <v/>
      </c>
      <c r="U388" s="12">
        <f>IF(AND(Q388="",R388=""),IF(AND(L388="",M388="",V388="",W388=""),IF(OR($D388&lt;&gt;"",$E388&lt;&gt;""),"Belum ditempatkan",""),""),IF(Q388="","CEK JENIS FIXTURE kosong",IF(LEFT(Q388,4)&lt;&gt;"Wall","CEK Fixture 2 hanya Wall",IF(R388="","CEK SHELVING KE kosong",IF(ISNA(MATCH(Q388&amp;"|"&amp;R388,LAYOUT!$E$2:$E$80,0)),"CEK SHELVING KE di luar layout",IF($I388="","CEK SERIES kosong",IF(AND(S388&lt;&gt;"",NOT(ISNUMBER(S388))),"CEK URUTAN DISPLAY harus angka",IF($D388="","Zona STOCK",IF($E388="","CEK SKU DESCRIPTION kosong",IF(COUNTIFS($I$2:$I$500,$I388,Q$2:Q$500,"&lt;&gt;"&amp;Q388,Q$2:Q$500,"&lt;&gt;")&gt;0,"CEK jenis fixture beda dalam satu series","OK"))))))))))</f>
        <v/>
      </c>
      <c r="V388" s="11" t="n"/>
      <c r="W388" s="11" t="n"/>
      <c r="X388" s="11" t="n"/>
      <c r="Y388" s="11">
        <f>IF(OR(V388="",W388=""),"",IFERROR(INDEX(LAYOUT!$D$2:$D$80,MATCH(V388&amp;"|"&amp;W388,LAYOUT!$E$2:$E$80,0)),""))</f>
        <v/>
      </c>
      <c r="Z388" s="12">
        <f>IF(AND(V388="",W388=""),IF(AND(L388="",M388="",Q388="",R388=""),IF(OR($D388&lt;&gt;"",$E388&lt;&gt;""),"Belum ditempatkan",""),""),IF(V388="","CEK JENIS FIXTURE kosong",IF(LEFT(V388,4)&lt;&gt;"Wall","CEK Fixture 3 hanya Wall",IF(W388="","CEK SHELVING KE kosong",IF(ISNA(MATCH(V388&amp;"|"&amp;W388,LAYOUT!$E$2:$E$80,0)),"CEK SHELVING KE di luar layout",IF($I388="","CEK SERIES kosong",IF(AND(X388&lt;&gt;"",NOT(ISNUMBER(X388))),"CEK URUTAN DISPLAY harus angka",IF($D388="","Zona STOCK",IF($E388="","CEK SKU DESCRIPTION kosong",IF(COUNTIFS($I$2:$I$500,$I388,V$2:V$500,"&lt;&gt;"&amp;V388,V$2:V$500,"&lt;&gt;")&gt;0,"CEK jenis fixture beda dalam satu series","OK"))))))))))</f>
        <v/>
      </c>
      <c r="AA388" s="12" t="n"/>
      <c r="AB388" s="11" t="n"/>
      <c r="AC388" s="11" t="n"/>
      <c r="AD388" s="11" t="n"/>
      <c r="AE388" s="11" t="n"/>
      <c r="AF388" s="11" t="n"/>
      <c r="AG388" s="11" t="n"/>
      <c r="AH388" s="12" t="n"/>
      <c r="AI388" s="12" t="n"/>
    </row>
    <row r="389">
      <c r="A389" s="10" t="n"/>
      <c r="B389" s="10" t="n"/>
      <c r="C389" s="10" t="n"/>
      <c r="D389" s="10" t="n"/>
      <c r="E389" s="10" t="n"/>
      <c r="F389" s="10" t="n"/>
      <c r="G389" s="10" t="n"/>
      <c r="H389" s="10" t="n"/>
      <c r="I389" s="10" t="n"/>
      <c r="J389" s="10" t="n"/>
      <c r="K389" s="10" t="n"/>
      <c r="L389" s="11" t="n"/>
      <c r="M389" s="11" t="n"/>
      <c r="N389" s="11" t="n"/>
      <c r="O389" s="11">
        <f>IF(OR(L389="",M389=""),"",IFERROR(INDEX(LAYOUT!$D$2:$D$80,MATCH(L389&amp;"|"&amp;M389,LAYOUT!$E$2:$E$80,0)),""))</f>
        <v/>
      </c>
      <c r="P389" s="12">
        <f>IF(AND(L389="",M389=""),IF(AND(Q389="",R389="",V389="",W389=""),IF(OR($D389&lt;&gt;"",$E389&lt;&gt;""),"Belum ditempatkan",""),""),IF(L389="","CEK JENIS FIXTURE kosong",IF(AND(LEFT(L389,7)&lt;&gt;"Gondola",LEFT(L389,6)&lt;&gt;"Endcap"),"CEK Fixture 1 hanya Gondola atau Endcap",IF(M389="","CEK SHELVING KE kosong",IF(ISNA(MATCH(L389&amp;"|"&amp;M389,LAYOUT!$E$2:$E$80,0)),"CEK SHELVING KE di luar layout",IF($I389="","CEK SERIES kosong",IF(AND(N389&lt;&gt;"",NOT(ISNUMBER(N389))),"CEK URUTAN DISPLAY harus angka",IF($D389="","Zona STOCK",IF($E389="","CEK SKU DESCRIPTION kosong",IF(COUNTIFS($I$2:$I$500,$I389,L$2:L$500,"&lt;&gt;"&amp;L389,L$2:L$500,"&lt;&gt;")&gt;0,"CEK jenis fixture beda dalam satu series","OK"))))))))))</f>
        <v/>
      </c>
      <c r="Q389" s="11" t="n"/>
      <c r="R389" s="11" t="n"/>
      <c r="S389" s="11" t="n"/>
      <c r="T389" s="11">
        <f>IF(OR(Q389="",R389=""),"",IFERROR(INDEX(LAYOUT!$D$2:$D$80,MATCH(Q389&amp;"|"&amp;R389,LAYOUT!$E$2:$E$80,0)),""))</f>
        <v/>
      </c>
      <c r="U389" s="12">
        <f>IF(AND(Q389="",R389=""),IF(AND(L389="",M389="",V389="",W389=""),IF(OR($D389&lt;&gt;"",$E389&lt;&gt;""),"Belum ditempatkan",""),""),IF(Q389="","CEK JENIS FIXTURE kosong",IF(LEFT(Q389,4)&lt;&gt;"Wall","CEK Fixture 2 hanya Wall",IF(R389="","CEK SHELVING KE kosong",IF(ISNA(MATCH(Q389&amp;"|"&amp;R389,LAYOUT!$E$2:$E$80,0)),"CEK SHELVING KE di luar layout",IF($I389="","CEK SERIES kosong",IF(AND(S389&lt;&gt;"",NOT(ISNUMBER(S389))),"CEK URUTAN DISPLAY harus angka",IF($D389="","Zona STOCK",IF($E389="","CEK SKU DESCRIPTION kosong",IF(COUNTIFS($I$2:$I$500,$I389,Q$2:Q$500,"&lt;&gt;"&amp;Q389,Q$2:Q$500,"&lt;&gt;")&gt;0,"CEK jenis fixture beda dalam satu series","OK"))))))))))</f>
        <v/>
      </c>
      <c r="V389" s="11" t="n"/>
      <c r="W389" s="11" t="n"/>
      <c r="X389" s="11" t="n"/>
      <c r="Y389" s="11">
        <f>IF(OR(V389="",W389=""),"",IFERROR(INDEX(LAYOUT!$D$2:$D$80,MATCH(V389&amp;"|"&amp;W389,LAYOUT!$E$2:$E$80,0)),""))</f>
        <v/>
      </c>
      <c r="Z389" s="12">
        <f>IF(AND(V389="",W389=""),IF(AND(L389="",M389="",Q389="",R389=""),IF(OR($D389&lt;&gt;"",$E389&lt;&gt;""),"Belum ditempatkan",""),""),IF(V389="","CEK JENIS FIXTURE kosong",IF(LEFT(V389,4)&lt;&gt;"Wall","CEK Fixture 3 hanya Wall",IF(W389="","CEK SHELVING KE kosong",IF(ISNA(MATCH(V389&amp;"|"&amp;W389,LAYOUT!$E$2:$E$80,0)),"CEK SHELVING KE di luar layout",IF($I389="","CEK SERIES kosong",IF(AND(X389&lt;&gt;"",NOT(ISNUMBER(X389))),"CEK URUTAN DISPLAY harus angka",IF($D389="","Zona STOCK",IF($E389="","CEK SKU DESCRIPTION kosong",IF(COUNTIFS($I$2:$I$500,$I389,V$2:V$500,"&lt;&gt;"&amp;V389,V$2:V$500,"&lt;&gt;")&gt;0,"CEK jenis fixture beda dalam satu series","OK"))))))))))</f>
        <v/>
      </c>
      <c r="AA389" s="12" t="n"/>
      <c r="AB389" s="11" t="n"/>
      <c r="AC389" s="11" t="n"/>
      <c r="AD389" s="11" t="n"/>
      <c r="AE389" s="11" t="n"/>
      <c r="AF389" s="11" t="n"/>
      <c r="AG389" s="11" t="n"/>
      <c r="AH389" s="12" t="n"/>
      <c r="AI389" s="12" t="n"/>
    </row>
    <row r="390">
      <c r="A390" s="10" t="n"/>
      <c r="B390" s="10" t="n"/>
      <c r="C390" s="10" t="n"/>
      <c r="D390" s="10" t="n"/>
      <c r="E390" s="10" t="n"/>
      <c r="F390" s="10" t="n"/>
      <c r="G390" s="10" t="n"/>
      <c r="H390" s="10" t="n"/>
      <c r="I390" s="10" t="n"/>
      <c r="J390" s="10" t="n"/>
      <c r="K390" s="10" t="n"/>
      <c r="L390" s="11" t="n"/>
      <c r="M390" s="11" t="n"/>
      <c r="N390" s="11" t="n"/>
      <c r="O390" s="11">
        <f>IF(OR(L390="",M390=""),"",IFERROR(INDEX(LAYOUT!$D$2:$D$80,MATCH(L390&amp;"|"&amp;M390,LAYOUT!$E$2:$E$80,0)),""))</f>
        <v/>
      </c>
      <c r="P390" s="12">
        <f>IF(AND(L390="",M390=""),IF(AND(Q390="",R390="",V390="",W390=""),IF(OR($D390&lt;&gt;"",$E390&lt;&gt;""),"Belum ditempatkan",""),""),IF(L390="","CEK JENIS FIXTURE kosong",IF(AND(LEFT(L390,7)&lt;&gt;"Gondola",LEFT(L390,6)&lt;&gt;"Endcap"),"CEK Fixture 1 hanya Gondola atau Endcap",IF(M390="","CEK SHELVING KE kosong",IF(ISNA(MATCH(L390&amp;"|"&amp;M390,LAYOUT!$E$2:$E$80,0)),"CEK SHELVING KE di luar layout",IF($I390="","CEK SERIES kosong",IF(AND(N390&lt;&gt;"",NOT(ISNUMBER(N390))),"CEK URUTAN DISPLAY harus angka",IF($D390="","Zona STOCK",IF($E390="","CEK SKU DESCRIPTION kosong",IF(COUNTIFS($I$2:$I$500,$I390,L$2:L$500,"&lt;&gt;"&amp;L390,L$2:L$500,"&lt;&gt;")&gt;0,"CEK jenis fixture beda dalam satu series","OK"))))))))))</f>
        <v/>
      </c>
      <c r="Q390" s="11" t="n"/>
      <c r="R390" s="11" t="n"/>
      <c r="S390" s="11" t="n"/>
      <c r="T390" s="11">
        <f>IF(OR(Q390="",R390=""),"",IFERROR(INDEX(LAYOUT!$D$2:$D$80,MATCH(Q390&amp;"|"&amp;R390,LAYOUT!$E$2:$E$80,0)),""))</f>
        <v/>
      </c>
      <c r="U390" s="12">
        <f>IF(AND(Q390="",R390=""),IF(AND(L390="",M390="",V390="",W390=""),IF(OR($D390&lt;&gt;"",$E390&lt;&gt;""),"Belum ditempatkan",""),""),IF(Q390="","CEK JENIS FIXTURE kosong",IF(LEFT(Q390,4)&lt;&gt;"Wall","CEK Fixture 2 hanya Wall",IF(R390="","CEK SHELVING KE kosong",IF(ISNA(MATCH(Q390&amp;"|"&amp;R390,LAYOUT!$E$2:$E$80,0)),"CEK SHELVING KE di luar layout",IF($I390="","CEK SERIES kosong",IF(AND(S390&lt;&gt;"",NOT(ISNUMBER(S390))),"CEK URUTAN DISPLAY harus angka",IF($D390="","Zona STOCK",IF($E390="","CEK SKU DESCRIPTION kosong",IF(COUNTIFS($I$2:$I$500,$I390,Q$2:Q$500,"&lt;&gt;"&amp;Q390,Q$2:Q$500,"&lt;&gt;")&gt;0,"CEK jenis fixture beda dalam satu series","OK"))))))))))</f>
        <v/>
      </c>
      <c r="V390" s="11" t="n"/>
      <c r="W390" s="11" t="n"/>
      <c r="X390" s="11" t="n"/>
      <c r="Y390" s="11">
        <f>IF(OR(V390="",W390=""),"",IFERROR(INDEX(LAYOUT!$D$2:$D$80,MATCH(V390&amp;"|"&amp;W390,LAYOUT!$E$2:$E$80,0)),""))</f>
        <v/>
      </c>
      <c r="Z390" s="12">
        <f>IF(AND(V390="",W390=""),IF(AND(L390="",M390="",Q390="",R390=""),IF(OR($D390&lt;&gt;"",$E390&lt;&gt;""),"Belum ditempatkan",""),""),IF(V390="","CEK JENIS FIXTURE kosong",IF(LEFT(V390,4)&lt;&gt;"Wall","CEK Fixture 3 hanya Wall",IF(W390="","CEK SHELVING KE kosong",IF(ISNA(MATCH(V390&amp;"|"&amp;W390,LAYOUT!$E$2:$E$80,0)),"CEK SHELVING KE di luar layout",IF($I390="","CEK SERIES kosong",IF(AND(X390&lt;&gt;"",NOT(ISNUMBER(X390))),"CEK URUTAN DISPLAY harus angka",IF($D390="","Zona STOCK",IF($E390="","CEK SKU DESCRIPTION kosong",IF(COUNTIFS($I$2:$I$500,$I390,V$2:V$500,"&lt;&gt;"&amp;V390,V$2:V$500,"&lt;&gt;")&gt;0,"CEK jenis fixture beda dalam satu series","OK"))))))))))</f>
        <v/>
      </c>
      <c r="AA390" s="12" t="n"/>
      <c r="AB390" s="11" t="n"/>
      <c r="AC390" s="11" t="n"/>
      <c r="AD390" s="11" t="n"/>
      <c r="AE390" s="11" t="n"/>
      <c r="AF390" s="11" t="n"/>
      <c r="AG390" s="11" t="n"/>
      <c r="AH390" s="12" t="n"/>
      <c r="AI390" s="12" t="n"/>
    </row>
    <row r="391">
      <c r="A391" s="10" t="n"/>
      <c r="B391" s="10" t="n"/>
      <c r="C391" s="10" t="n"/>
      <c r="D391" s="10" t="n"/>
      <c r="E391" s="10" t="n"/>
      <c r="F391" s="10" t="n"/>
      <c r="G391" s="10" t="n"/>
      <c r="H391" s="10" t="n"/>
      <c r="I391" s="10" t="n"/>
      <c r="J391" s="10" t="n"/>
      <c r="K391" s="10" t="n"/>
      <c r="L391" s="11" t="n"/>
      <c r="M391" s="11" t="n"/>
      <c r="N391" s="11" t="n"/>
      <c r="O391" s="11">
        <f>IF(OR(L391="",M391=""),"",IFERROR(INDEX(LAYOUT!$D$2:$D$80,MATCH(L391&amp;"|"&amp;M391,LAYOUT!$E$2:$E$80,0)),""))</f>
        <v/>
      </c>
      <c r="P391" s="12">
        <f>IF(AND(L391="",M391=""),IF(AND(Q391="",R391="",V391="",W391=""),IF(OR($D391&lt;&gt;"",$E391&lt;&gt;""),"Belum ditempatkan",""),""),IF(L391="","CEK JENIS FIXTURE kosong",IF(AND(LEFT(L391,7)&lt;&gt;"Gondola",LEFT(L391,6)&lt;&gt;"Endcap"),"CEK Fixture 1 hanya Gondola atau Endcap",IF(M391="","CEK SHELVING KE kosong",IF(ISNA(MATCH(L391&amp;"|"&amp;M391,LAYOUT!$E$2:$E$80,0)),"CEK SHELVING KE di luar layout",IF($I391="","CEK SERIES kosong",IF(AND(N391&lt;&gt;"",NOT(ISNUMBER(N391))),"CEK URUTAN DISPLAY harus angka",IF($D391="","Zona STOCK",IF($E391="","CEK SKU DESCRIPTION kosong",IF(COUNTIFS($I$2:$I$500,$I391,L$2:L$500,"&lt;&gt;"&amp;L391,L$2:L$500,"&lt;&gt;")&gt;0,"CEK jenis fixture beda dalam satu series","OK"))))))))))</f>
        <v/>
      </c>
      <c r="Q391" s="11" t="n"/>
      <c r="R391" s="11" t="n"/>
      <c r="S391" s="11" t="n"/>
      <c r="T391" s="11">
        <f>IF(OR(Q391="",R391=""),"",IFERROR(INDEX(LAYOUT!$D$2:$D$80,MATCH(Q391&amp;"|"&amp;R391,LAYOUT!$E$2:$E$80,0)),""))</f>
        <v/>
      </c>
      <c r="U391" s="12">
        <f>IF(AND(Q391="",R391=""),IF(AND(L391="",M391="",V391="",W391=""),IF(OR($D391&lt;&gt;"",$E391&lt;&gt;""),"Belum ditempatkan",""),""),IF(Q391="","CEK JENIS FIXTURE kosong",IF(LEFT(Q391,4)&lt;&gt;"Wall","CEK Fixture 2 hanya Wall",IF(R391="","CEK SHELVING KE kosong",IF(ISNA(MATCH(Q391&amp;"|"&amp;R391,LAYOUT!$E$2:$E$80,0)),"CEK SHELVING KE di luar layout",IF($I391="","CEK SERIES kosong",IF(AND(S391&lt;&gt;"",NOT(ISNUMBER(S391))),"CEK URUTAN DISPLAY harus angka",IF($D391="","Zona STOCK",IF($E391="","CEK SKU DESCRIPTION kosong",IF(COUNTIFS($I$2:$I$500,$I391,Q$2:Q$500,"&lt;&gt;"&amp;Q391,Q$2:Q$500,"&lt;&gt;")&gt;0,"CEK jenis fixture beda dalam satu series","OK"))))))))))</f>
        <v/>
      </c>
      <c r="V391" s="11" t="n"/>
      <c r="W391" s="11" t="n"/>
      <c r="X391" s="11" t="n"/>
      <c r="Y391" s="11">
        <f>IF(OR(V391="",W391=""),"",IFERROR(INDEX(LAYOUT!$D$2:$D$80,MATCH(V391&amp;"|"&amp;W391,LAYOUT!$E$2:$E$80,0)),""))</f>
        <v/>
      </c>
      <c r="Z391" s="12">
        <f>IF(AND(V391="",W391=""),IF(AND(L391="",M391="",Q391="",R391=""),IF(OR($D391&lt;&gt;"",$E391&lt;&gt;""),"Belum ditempatkan",""),""),IF(V391="","CEK JENIS FIXTURE kosong",IF(LEFT(V391,4)&lt;&gt;"Wall","CEK Fixture 3 hanya Wall",IF(W391="","CEK SHELVING KE kosong",IF(ISNA(MATCH(V391&amp;"|"&amp;W391,LAYOUT!$E$2:$E$80,0)),"CEK SHELVING KE di luar layout",IF($I391="","CEK SERIES kosong",IF(AND(X391&lt;&gt;"",NOT(ISNUMBER(X391))),"CEK URUTAN DISPLAY harus angka",IF($D391="","Zona STOCK",IF($E391="","CEK SKU DESCRIPTION kosong",IF(COUNTIFS($I$2:$I$500,$I391,V$2:V$500,"&lt;&gt;"&amp;V391,V$2:V$500,"&lt;&gt;")&gt;0,"CEK jenis fixture beda dalam satu series","OK"))))))))))</f>
        <v/>
      </c>
      <c r="AA391" s="12" t="n"/>
      <c r="AB391" s="11" t="n"/>
      <c r="AC391" s="11" t="n"/>
      <c r="AD391" s="11" t="n"/>
      <c r="AE391" s="11" t="n"/>
      <c r="AF391" s="11" t="n"/>
      <c r="AG391" s="11" t="n"/>
      <c r="AH391" s="12" t="n"/>
      <c r="AI391" s="12" t="n"/>
    </row>
    <row r="392">
      <c r="A392" s="10" t="n"/>
      <c r="B392" s="10" t="n"/>
      <c r="C392" s="10" t="n"/>
      <c r="D392" s="10" t="n"/>
      <c r="E392" s="10" t="n"/>
      <c r="F392" s="10" t="n"/>
      <c r="G392" s="10" t="n"/>
      <c r="H392" s="10" t="n"/>
      <c r="I392" s="10" t="n"/>
      <c r="J392" s="10" t="n"/>
      <c r="K392" s="10" t="n"/>
      <c r="L392" s="11" t="n"/>
      <c r="M392" s="11" t="n"/>
      <c r="N392" s="11" t="n"/>
      <c r="O392" s="11">
        <f>IF(OR(L392="",M392=""),"",IFERROR(INDEX(LAYOUT!$D$2:$D$80,MATCH(L392&amp;"|"&amp;M392,LAYOUT!$E$2:$E$80,0)),""))</f>
        <v/>
      </c>
      <c r="P392" s="12">
        <f>IF(AND(L392="",M392=""),IF(AND(Q392="",R392="",V392="",W392=""),IF(OR($D392&lt;&gt;"",$E392&lt;&gt;""),"Belum ditempatkan",""),""),IF(L392="","CEK JENIS FIXTURE kosong",IF(AND(LEFT(L392,7)&lt;&gt;"Gondola",LEFT(L392,6)&lt;&gt;"Endcap"),"CEK Fixture 1 hanya Gondola atau Endcap",IF(M392="","CEK SHELVING KE kosong",IF(ISNA(MATCH(L392&amp;"|"&amp;M392,LAYOUT!$E$2:$E$80,0)),"CEK SHELVING KE di luar layout",IF($I392="","CEK SERIES kosong",IF(AND(N392&lt;&gt;"",NOT(ISNUMBER(N392))),"CEK URUTAN DISPLAY harus angka",IF($D392="","Zona STOCK",IF($E392="","CEK SKU DESCRIPTION kosong",IF(COUNTIFS($I$2:$I$500,$I392,L$2:L$500,"&lt;&gt;"&amp;L392,L$2:L$500,"&lt;&gt;")&gt;0,"CEK jenis fixture beda dalam satu series","OK"))))))))))</f>
        <v/>
      </c>
      <c r="Q392" s="11" t="n"/>
      <c r="R392" s="11" t="n"/>
      <c r="S392" s="11" t="n"/>
      <c r="T392" s="11">
        <f>IF(OR(Q392="",R392=""),"",IFERROR(INDEX(LAYOUT!$D$2:$D$80,MATCH(Q392&amp;"|"&amp;R392,LAYOUT!$E$2:$E$80,0)),""))</f>
        <v/>
      </c>
      <c r="U392" s="12">
        <f>IF(AND(Q392="",R392=""),IF(AND(L392="",M392="",V392="",W392=""),IF(OR($D392&lt;&gt;"",$E392&lt;&gt;""),"Belum ditempatkan",""),""),IF(Q392="","CEK JENIS FIXTURE kosong",IF(LEFT(Q392,4)&lt;&gt;"Wall","CEK Fixture 2 hanya Wall",IF(R392="","CEK SHELVING KE kosong",IF(ISNA(MATCH(Q392&amp;"|"&amp;R392,LAYOUT!$E$2:$E$80,0)),"CEK SHELVING KE di luar layout",IF($I392="","CEK SERIES kosong",IF(AND(S392&lt;&gt;"",NOT(ISNUMBER(S392))),"CEK URUTAN DISPLAY harus angka",IF($D392="","Zona STOCK",IF($E392="","CEK SKU DESCRIPTION kosong",IF(COUNTIFS($I$2:$I$500,$I392,Q$2:Q$500,"&lt;&gt;"&amp;Q392,Q$2:Q$500,"&lt;&gt;")&gt;0,"CEK jenis fixture beda dalam satu series","OK"))))))))))</f>
        <v/>
      </c>
      <c r="V392" s="11" t="n"/>
      <c r="W392" s="11" t="n"/>
      <c r="X392" s="11" t="n"/>
      <c r="Y392" s="11">
        <f>IF(OR(V392="",W392=""),"",IFERROR(INDEX(LAYOUT!$D$2:$D$80,MATCH(V392&amp;"|"&amp;W392,LAYOUT!$E$2:$E$80,0)),""))</f>
        <v/>
      </c>
      <c r="Z392" s="12">
        <f>IF(AND(V392="",W392=""),IF(AND(L392="",M392="",Q392="",R392=""),IF(OR($D392&lt;&gt;"",$E392&lt;&gt;""),"Belum ditempatkan",""),""),IF(V392="","CEK JENIS FIXTURE kosong",IF(LEFT(V392,4)&lt;&gt;"Wall","CEK Fixture 3 hanya Wall",IF(W392="","CEK SHELVING KE kosong",IF(ISNA(MATCH(V392&amp;"|"&amp;W392,LAYOUT!$E$2:$E$80,0)),"CEK SHELVING KE di luar layout",IF($I392="","CEK SERIES kosong",IF(AND(X392&lt;&gt;"",NOT(ISNUMBER(X392))),"CEK URUTAN DISPLAY harus angka",IF($D392="","Zona STOCK",IF($E392="","CEK SKU DESCRIPTION kosong",IF(COUNTIFS($I$2:$I$500,$I392,V$2:V$500,"&lt;&gt;"&amp;V392,V$2:V$500,"&lt;&gt;")&gt;0,"CEK jenis fixture beda dalam satu series","OK"))))))))))</f>
        <v/>
      </c>
      <c r="AA392" s="12" t="n"/>
      <c r="AB392" s="11" t="n"/>
      <c r="AC392" s="11" t="n"/>
      <c r="AD392" s="11" t="n"/>
      <c r="AE392" s="11" t="n"/>
      <c r="AF392" s="11" t="n"/>
      <c r="AG392" s="11" t="n"/>
      <c r="AH392" s="12" t="n"/>
      <c r="AI392" s="12" t="n"/>
    </row>
    <row r="393">
      <c r="A393" s="10" t="n"/>
      <c r="B393" s="10" t="n"/>
      <c r="C393" s="10" t="n"/>
      <c r="D393" s="10" t="n"/>
      <c r="E393" s="10" t="n"/>
      <c r="F393" s="10" t="n"/>
      <c r="G393" s="10" t="n"/>
      <c r="H393" s="10" t="n"/>
      <c r="I393" s="10" t="n"/>
      <c r="J393" s="10" t="n"/>
      <c r="K393" s="10" t="n"/>
      <c r="L393" s="11" t="n"/>
      <c r="M393" s="11" t="n"/>
      <c r="N393" s="11" t="n"/>
      <c r="O393" s="11">
        <f>IF(OR(L393="",M393=""),"",IFERROR(INDEX(LAYOUT!$D$2:$D$80,MATCH(L393&amp;"|"&amp;M393,LAYOUT!$E$2:$E$80,0)),""))</f>
        <v/>
      </c>
      <c r="P393" s="12">
        <f>IF(AND(L393="",M393=""),IF(AND(Q393="",R393="",V393="",W393=""),IF(OR($D393&lt;&gt;"",$E393&lt;&gt;""),"Belum ditempatkan",""),""),IF(L393="","CEK JENIS FIXTURE kosong",IF(AND(LEFT(L393,7)&lt;&gt;"Gondola",LEFT(L393,6)&lt;&gt;"Endcap"),"CEK Fixture 1 hanya Gondola atau Endcap",IF(M393="","CEK SHELVING KE kosong",IF(ISNA(MATCH(L393&amp;"|"&amp;M393,LAYOUT!$E$2:$E$80,0)),"CEK SHELVING KE di luar layout",IF($I393="","CEK SERIES kosong",IF(AND(N393&lt;&gt;"",NOT(ISNUMBER(N393))),"CEK URUTAN DISPLAY harus angka",IF($D393="","Zona STOCK",IF($E393="","CEK SKU DESCRIPTION kosong",IF(COUNTIFS($I$2:$I$500,$I393,L$2:L$500,"&lt;&gt;"&amp;L393,L$2:L$500,"&lt;&gt;")&gt;0,"CEK jenis fixture beda dalam satu series","OK"))))))))))</f>
        <v/>
      </c>
      <c r="Q393" s="11" t="n"/>
      <c r="R393" s="11" t="n"/>
      <c r="S393" s="11" t="n"/>
      <c r="T393" s="11">
        <f>IF(OR(Q393="",R393=""),"",IFERROR(INDEX(LAYOUT!$D$2:$D$80,MATCH(Q393&amp;"|"&amp;R393,LAYOUT!$E$2:$E$80,0)),""))</f>
        <v/>
      </c>
      <c r="U393" s="12">
        <f>IF(AND(Q393="",R393=""),IF(AND(L393="",M393="",V393="",W393=""),IF(OR($D393&lt;&gt;"",$E393&lt;&gt;""),"Belum ditempatkan",""),""),IF(Q393="","CEK JENIS FIXTURE kosong",IF(LEFT(Q393,4)&lt;&gt;"Wall","CEK Fixture 2 hanya Wall",IF(R393="","CEK SHELVING KE kosong",IF(ISNA(MATCH(Q393&amp;"|"&amp;R393,LAYOUT!$E$2:$E$80,0)),"CEK SHELVING KE di luar layout",IF($I393="","CEK SERIES kosong",IF(AND(S393&lt;&gt;"",NOT(ISNUMBER(S393))),"CEK URUTAN DISPLAY harus angka",IF($D393="","Zona STOCK",IF($E393="","CEK SKU DESCRIPTION kosong",IF(COUNTIFS($I$2:$I$500,$I393,Q$2:Q$500,"&lt;&gt;"&amp;Q393,Q$2:Q$500,"&lt;&gt;")&gt;0,"CEK jenis fixture beda dalam satu series","OK"))))))))))</f>
        <v/>
      </c>
      <c r="V393" s="11" t="n"/>
      <c r="W393" s="11" t="n"/>
      <c r="X393" s="11" t="n"/>
      <c r="Y393" s="11">
        <f>IF(OR(V393="",W393=""),"",IFERROR(INDEX(LAYOUT!$D$2:$D$80,MATCH(V393&amp;"|"&amp;W393,LAYOUT!$E$2:$E$80,0)),""))</f>
        <v/>
      </c>
      <c r="Z393" s="12">
        <f>IF(AND(V393="",W393=""),IF(AND(L393="",M393="",Q393="",R393=""),IF(OR($D393&lt;&gt;"",$E393&lt;&gt;""),"Belum ditempatkan",""),""),IF(V393="","CEK JENIS FIXTURE kosong",IF(LEFT(V393,4)&lt;&gt;"Wall","CEK Fixture 3 hanya Wall",IF(W393="","CEK SHELVING KE kosong",IF(ISNA(MATCH(V393&amp;"|"&amp;W393,LAYOUT!$E$2:$E$80,0)),"CEK SHELVING KE di luar layout",IF($I393="","CEK SERIES kosong",IF(AND(X393&lt;&gt;"",NOT(ISNUMBER(X393))),"CEK URUTAN DISPLAY harus angka",IF($D393="","Zona STOCK",IF($E393="","CEK SKU DESCRIPTION kosong",IF(COUNTIFS($I$2:$I$500,$I393,V$2:V$500,"&lt;&gt;"&amp;V393,V$2:V$500,"&lt;&gt;")&gt;0,"CEK jenis fixture beda dalam satu series","OK"))))))))))</f>
        <v/>
      </c>
      <c r="AA393" s="12" t="n"/>
      <c r="AB393" s="11" t="n"/>
      <c r="AC393" s="11" t="n"/>
      <c r="AD393" s="11" t="n"/>
      <c r="AE393" s="11" t="n"/>
      <c r="AF393" s="11" t="n"/>
      <c r="AG393" s="11" t="n"/>
      <c r="AH393" s="12" t="n"/>
      <c r="AI393" s="12" t="n"/>
    </row>
    <row r="394">
      <c r="A394" s="10" t="n"/>
      <c r="B394" s="10" t="n"/>
      <c r="C394" s="10" t="n"/>
      <c r="D394" s="10" t="n"/>
      <c r="E394" s="10" t="n"/>
      <c r="F394" s="10" t="n"/>
      <c r="G394" s="10" t="n"/>
      <c r="H394" s="10" t="n"/>
      <c r="I394" s="10" t="n"/>
      <c r="J394" s="10" t="n"/>
      <c r="K394" s="10" t="n"/>
      <c r="L394" s="11" t="n"/>
      <c r="M394" s="11" t="n"/>
      <c r="N394" s="11" t="n"/>
      <c r="O394" s="11">
        <f>IF(OR(L394="",M394=""),"",IFERROR(INDEX(LAYOUT!$D$2:$D$80,MATCH(L394&amp;"|"&amp;M394,LAYOUT!$E$2:$E$80,0)),""))</f>
        <v/>
      </c>
      <c r="P394" s="12">
        <f>IF(AND(L394="",M394=""),IF(AND(Q394="",R394="",V394="",W394=""),IF(OR($D394&lt;&gt;"",$E394&lt;&gt;""),"Belum ditempatkan",""),""),IF(L394="","CEK JENIS FIXTURE kosong",IF(AND(LEFT(L394,7)&lt;&gt;"Gondola",LEFT(L394,6)&lt;&gt;"Endcap"),"CEK Fixture 1 hanya Gondola atau Endcap",IF(M394="","CEK SHELVING KE kosong",IF(ISNA(MATCH(L394&amp;"|"&amp;M394,LAYOUT!$E$2:$E$80,0)),"CEK SHELVING KE di luar layout",IF($I394="","CEK SERIES kosong",IF(AND(N394&lt;&gt;"",NOT(ISNUMBER(N394))),"CEK URUTAN DISPLAY harus angka",IF($D394="","Zona STOCK",IF($E394="","CEK SKU DESCRIPTION kosong",IF(COUNTIFS($I$2:$I$500,$I394,L$2:L$500,"&lt;&gt;"&amp;L394,L$2:L$500,"&lt;&gt;")&gt;0,"CEK jenis fixture beda dalam satu series","OK"))))))))))</f>
        <v/>
      </c>
      <c r="Q394" s="11" t="n"/>
      <c r="R394" s="11" t="n"/>
      <c r="S394" s="11" t="n"/>
      <c r="T394" s="11">
        <f>IF(OR(Q394="",R394=""),"",IFERROR(INDEX(LAYOUT!$D$2:$D$80,MATCH(Q394&amp;"|"&amp;R394,LAYOUT!$E$2:$E$80,0)),""))</f>
        <v/>
      </c>
      <c r="U394" s="12">
        <f>IF(AND(Q394="",R394=""),IF(AND(L394="",M394="",V394="",W394=""),IF(OR($D394&lt;&gt;"",$E394&lt;&gt;""),"Belum ditempatkan",""),""),IF(Q394="","CEK JENIS FIXTURE kosong",IF(LEFT(Q394,4)&lt;&gt;"Wall","CEK Fixture 2 hanya Wall",IF(R394="","CEK SHELVING KE kosong",IF(ISNA(MATCH(Q394&amp;"|"&amp;R394,LAYOUT!$E$2:$E$80,0)),"CEK SHELVING KE di luar layout",IF($I394="","CEK SERIES kosong",IF(AND(S394&lt;&gt;"",NOT(ISNUMBER(S394))),"CEK URUTAN DISPLAY harus angka",IF($D394="","Zona STOCK",IF($E394="","CEK SKU DESCRIPTION kosong",IF(COUNTIFS($I$2:$I$500,$I394,Q$2:Q$500,"&lt;&gt;"&amp;Q394,Q$2:Q$500,"&lt;&gt;")&gt;0,"CEK jenis fixture beda dalam satu series","OK"))))))))))</f>
        <v/>
      </c>
      <c r="V394" s="11" t="n"/>
      <c r="W394" s="11" t="n"/>
      <c r="X394" s="11" t="n"/>
      <c r="Y394" s="11">
        <f>IF(OR(V394="",W394=""),"",IFERROR(INDEX(LAYOUT!$D$2:$D$80,MATCH(V394&amp;"|"&amp;W394,LAYOUT!$E$2:$E$80,0)),""))</f>
        <v/>
      </c>
      <c r="Z394" s="12">
        <f>IF(AND(V394="",W394=""),IF(AND(L394="",M394="",Q394="",R394=""),IF(OR($D394&lt;&gt;"",$E394&lt;&gt;""),"Belum ditempatkan",""),""),IF(V394="","CEK JENIS FIXTURE kosong",IF(LEFT(V394,4)&lt;&gt;"Wall","CEK Fixture 3 hanya Wall",IF(W394="","CEK SHELVING KE kosong",IF(ISNA(MATCH(V394&amp;"|"&amp;W394,LAYOUT!$E$2:$E$80,0)),"CEK SHELVING KE di luar layout",IF($I394="","CEK SERIES kosong",IF(AND(X394&lt;&gt;"",NOT(ISNUMBER(X394))),"CEK URUTAN DISPLAY harus angka",IF($D394="","Zona STOCK",IF($E394="","CEK SKU DESCRIPTION kosong",IF(COUNTIFS($I$2:$I$500,$I394,V$2:V$500,"&lt;&gt;"&amp;V394,V$2:V$500,"&lt;&gt;")&gt;0,"CEK jenis fixture beda dalam satu series","OK"))))))))))</f>
        <v/>
      </c>
      <c r="AA394" s="12" t="n"/>
      <c r="AB394" s="11" t="n"/>
      <c r="AC394" s="11" t="n"/>
      <c r="AD394" s="11" t="n"/>
      <c r="AE394" s="11" t="n"/>
      <c r="AF394" s="11" t="n"/>
      <c r="AG394" s="11" t="n"/>
      <c r="AH394" s="12" t="n"/>
      <c r="AI394" s="12" t="n"/>
    </row>
    <row r="395">
      <c r="A395" s="10" t="n"/>
      <c r="B395" s="10" t="n"/>
      <c r="C395" s="10" t="n"/>
      <c r="D395" s="10" t="n"/>
      <c r="E395" s="10" t="n"/>
      <c r="F395" s="10" t="n"/>
      <c r="G395" s="10" t="n"/>
      <c r="H395" s="10" t="n"/>
      <c r="I395" s="10" t="n"/>
      <c r="J395" s="10" t="n"/>
      <c r="K395" s="10" t="n"/>
      <c r="L395" s="11" t="n"/>
      <c r="M395" s="11" t="n"/>
      <c r="N395" s="11" t="n"/>
      <c r="O395" s="11">
        <f>IF(OR(L395="",M395=""),"",IFERROR(INDEX(LAYOUT!$D$2:$D$80,MATCH(L395&amp;"|"&amp;M395,LAYOUT!$E$2:$E$80,0)),""))</f>
        <v/>
      </c>
      <c r="P395" s="12">
        <f>IF(AND(L395="",M395=""),IF(AND(Q395="",R395="",V395="",W395=""),IF(OR($D395&lt;&gt;"",$E395&lt;&gt;""),"Belum ditempatkan",""),""),IF(L395="","CEK JENIS FIXTURE kosong",IF(AND(LEFT(L395,7)&lt;&gt;"Gondola",LEFT(L395,6)&lt;&gt;"Endcap"),"CEK Fixture 1 hanya Gondola atau Endcap",IF(M395="","CEK SHELVING KE kosong",IF(ISNA(MATCH(L395&amp;"|"&amp;M395,LAYOUT!$E$2:$E$80,0)),"CEK SHELVING KE di luar layout",IF($I395="","CEK SERIES kosong",IF(AND(N395&lt;&gt;"",NOT(ISNUMBER(N395))),"CEK URUTAN DISPLAY harus angka",IF($D395="","Zona STOCK",IF($E395="","CEK SKU DESCRIPTION kosong",IF(COUNTIFS($I$2:$I$500,$I395,L$2:L$500,"&lt;&gt;"&amp;L395,L$2:L$500,"&lt;&gt;")&gt;0,"CEK jenis fixture beda dalam satu series","OK"))))))))))</f>
        <v/>
      </c>
      <c r="Q395" s="11" t="n"/>
      <c r="R395" s="11" t="n"/>
      <c r="S395" s="11" t="n"/>
      <c r="T395" s="11">
        <f>IF(OR(Q395="",R395=""),"",IFERROR(INDEX(LAYOUT!$D$2:$D$80,MATCH(Q395&amp;"|"&amp;R395,LAYOUT!$E$2:$E$80,0)),""))</f>
        <v/>
      </c>
      <c r="U395" s="12">
        <f>IF(AND(Q395="",R395=""),IF(AND(L395="",M395="",V395="",W395=""),IF(OR($D395&lt;&gt;"",$E395&lt;&gt;""),"Belum ditempatkan",""),""),IF(Q395="","CEK JENIS FIXTURE kosong",IF(LEFT(Q395,4)&lt;&gt;"Wall","CEK Fixture 2 hanya Wall",IF(R395="","CEK SHELVING KE kosong",IF(ISNA(MATCH(Q395&amp;"|"&amp;R395,LAYOUT!$E$2:$E$80,0)),"CEK SHELVING KE di luar layout",IF($I395="","CEK SERIES kosong",IF(AND(S395&lt;&gt;"",NOT(ISNUMBER(S395))),"CEK URUTAN DISPLAY harus angka",IF($D395="","Zona STOCK",IF($E395="","CEK SKU DESCRIPTION kosong",IF(COUNTIFS($I$2:$I$500,$I395,Q$2:Q$500,"&lt;&gt;"&amp;Q395,Q$2:Q$500,"&lt;&gt;")&gt;0,"CEK jenis fixture beda dalam satu series","OK"))))))))))</f>
        <v/>
      </c>
      <c r="V395" s="11" t="n"/>
      <c r="W395" s="11" t="n"/>
      <c r="X395" s="11" t="n"/>
      <c r="Y395" s="11">
        <f>IF(OR(V395="",W395=""),"",IFERROR(INDEX(LAYOUT!$D$2:$D$80,MATCH(V395&amp;"|"&amp;W395,LAYOUT!$E$2:$E$80,0)),""))</f>
        <v/>
      </c>
      <c r="Z395" s="12">
        <f>IF(AND(V395="",W395=""),IF(AND(L395="",M395="",Q395="",R395=""),IF(OR($D395&lt;&gt;"",$E395&lt;&gt;""),"Belum ditempatkan",""),""),IF(V395="","CEK JENIS FIXTURE kosong",IF(LEFT(V395,4)&lt;&gt;"Wall","CEK Fixture 3 hanya Wall",IF(W395="","CEK SHELVING KE kosong",IF(ISNA(MATCH(V395&amp;"|"&amp;W395,LAYOUT!$E$2:$E$80,0)),"CEK SHELVING KE di luar layout",IF($I395="","CEK SERIES kosong",IF(AND(X395&lt;&gt;"",NOT(ISNUMBER(X395))),"CEK URUTAN DISPLAY harus angka",IF($D395="","Zona STOCK",IF($E395="","CEK SKU DESCRIPTION kosong",IF(COUNTIFS($I$2:$I$500,$I395,V$2:V$500,"&lt;&gt;"&amp;V395,V$2:V$500,"&lt;&gt;")&gt;0,"CEK jenis fixture beda dalam satu series","OK"))))))))))</f>
        <v/>
      </c>
      <c r="AA395" s="12" t="n"/>
      <c r="AB395" s="11" t="n"/>
      <c r="AC395" s="11" t="n"/>
      <c r="AD395" s="11" t="n"/>
      <c r="AE395" s="11" t="n"/>
      <c r="AF395" s="11" t="n"/>
      <c r="AG395" s="11" t="n"/>
      <c r="AH395" s="12" t="n"/>
      <c r="AI395" s="12" t="n"/>
    </row>
    <row r="396">
      <c r="A396" s="10" t="n"/>
      <c r="B396" s="10" t="n"/>
      <c r="C396" s="10" t="n"/>
      <c r="D396" s="10" t="n"/>
      <c r="E396" s="10" t="n"/>
      <c r="F396" s="10" t="n"/>
      <c r="G396" s="10" t="n"/>
      <c r="H396" s="10" t="n"/>
      <c r="I396" s="10" t="n"/>
      <c r="J396" s="10" t="n"/>
      <c r="K396" s="10" t="n"/>
      <c r="L396" s="11" t="n"/>
      <c r="M396" s="11" t="n"/>
      <c r="N396" s="11" t="n"/>
      <c r="O396" s="11">
        <f>IF(OR(L396="",M396=""),"",IFERROR(INDEX(LAYOUT!$D$2:$D$80,MATCH(L396&amp;"|"&amp;M396,LAYOUT!$E$2:$E$80,0)),""))</f>
        <v/>
      </c>
      <c r="P396" s="12">
        <f>IF(AND(L396="",M396=""),IF(AND(Q396="",R396="",V396="",W396=""),IF(OR($D396&lt;&gt;"",$E396&lt;&gt;""),"Belum ditempatkan",""),""),IF(L396="","CEK JENIS FIXTURE kosong",IF(AND(LEFT(L396,7)&lt;&gt;"Gondola",LEFT(L396,6)&lt;&gt;"Endcap"),"CEK Fixture 1 hanya Gondola atau Endcap",IF(M396="","CEK SHELVING KE kosong",IF(ISNA(MATCH(L396&amp;"|"&amp;M396,LAYOUT!$E$2:$E$80,0)),"CEK SHELVING KE di luar layout",IF($I396="","CEK SERIES kosong",IF(AND(N396&lt;&gt;"",NOT(ISNUMBER(N396))),"CEK URUTAN DISPLAY harus angka",IF($D396="","Zona STOCK",IF($E396="","CEK SKU DESCRIPTION kosong",IF(COUNTIFS($I$2:$I$500,$I396,L$2:L$500,"&lt;&gt;"&amp;L396,L$2:L$500,"&lt;&gt;")&gt;0,"CEK jenis fixture beda dalam satu series","OK"))))))))))</f>
        <v/>
      </c>
      <c r="Q396" s="11" t="n"/>
      <c r="R396" s="11" t="n"/>
      <c r="S396" s="11" t="n"/>
      <c r="T396" s="11">
        <f>IF(OR(Q396="",R396=""),"",IFERROR(INDEX(LAYOUT!$D$2:$D$80,MATCH(Q396&amp;"|"&amp;R396,LAYOUT!$E$2:$E$80,0)),""))</f>
        <v/>
      </c>
      <c r="U396" s="12">
        <f>IF(AND(Q396="",R396=""),IF(AND(L396="",M396="",V396="",W396=""),IF(OR($D396&lt;&gt;"",$E396&lt;&gt;""),"Belum ditempatkan",""),""),IF(Q396="","CEK JENIS FIXTURE kosong",IF(LEFT(Q396,4)&lt;&gt;"Wall","CEK Fixture 2 hanya Wall",IF(R396="","CEK SHELVING KE kosong",IF(ISNA(MATCH(Q396&amp;"|"&amp;R396,LAYOUT!$E$2:$E$80,0)),"CEK SHELVING KE di luar layout",IF($I396="","CEK SERIES kosong",IF(AND(S396&lt;&gt;"",NOT(ISNUMBER(S396))),"CEK URUTAN DISPLAY harus angka",IF($D396="","Zona STOCK",IF($E396="","CEK SKU DESCRIPTION kosong",IF(COUNTIFS($I$2:$I$500,$I396,Q$2:Q$500,"&lt;&gt;"&amp;Q396,Q$2:Q$500,"&lt;&gt;")&gt;0,"CEK jenis fixture beda dalam satu series","OK"))))))))))</f>
        <v/>
      </c>
      <c r="V396" s="11" t="n"/>
      <c r="W396" s="11" t="n"/>
      <c r="X396" s="11" t="n"/>
      <c r="Y396" s="11">
        <f>IF(OR(V396="",W396=""),"",IFERROR(INDEX(LAYOUT!$D$2:$D$80,MATCH(V396&amp;"|"&amp;W396,LAYOUT!$E$2:$E$80,0)),""))</f>
        <v/>
      </c>
      <c r="Z396" s="12">
        <f>IF(AND(V396="",W396=""),IF(AND(L396="",M396="",Q396="",R396=""),IF(OR($D396&lt;&gt;"",$E396&lt;&gt;""),"Belum ditempatkan",""),""),IF(V396="","CEK JENIS FIXTURE kosong",IF(LEFT(V396,4)&lt;&gt;"Wall","CEK Fixture 3 hanya Wall",IF(W396="","CEK SHELVING KE kosong",IF(ISNA(MATCH(V396&amp;"|"&amp;W396,LAYOUT!$E$2:$E$80,0)),"CEK SHELVING KE di luar layout",IF($I396="","CEK SERIES kosong",IF(AND(X396&lt;&gt;"",NOT(ISNUMBER(X396))),"CEK URUTAN DISPLAY harus angka",IF($D396="","Zona STOCK",IF($E396="","CEK SKU DESCRIPTION kosong",IF(COUNTIFS($I$2:$I$500,$I396,V$2:V$500,"&lt;&gt;"&amp;V396,V$2:V$500,"&lt;&gt;")&gt;0,"CEK jenis fixture beda dalam satu series","OK"))))))))))</f>
        <v/>
      </c>
      <c r="AA396" s="12" t="n"/>
      <c r="AB396" s="11" t="n"/>
      <c r="AC396" s="11" t="n"/>
      <c r="AD396" s="11" t="n"/>
      <c r="AE396" s="11" t="n"/>
      <c r="AF396" s="11" t="n"/>
      <c r="AG396" s="11" t="n"/>
      <c r="AH396" s="12" t="n"/>
      <c r="AI396" s="12" t="n"/>
    </row>
    <row r="397">
      <c r="A397" s="10" t="n"/>
      <c r="B397" s="10" t="n"/>
      <c r="C397" s="10" t="n"/>
      <c r="D397" s="10" t="n"/>
      <c r="E397" s="10" t="n"/>
      <c r="F397" s="10" t="n"/>
      <c r="G397" s="10" t="n"/>
      <c r="H397" s="10" t="n"/>
      <c r="I397" s="10" t="n"/>
      <c r="J397" s="10" t="n"/>
      <c r="K397" s="10" t="n"/>
      <c r="L397" s="11" t="n"/>
      <c r="M397" s="11" t="n"/>
      <c r="N397" s="11" t="n"/>
      <c r="O397" s="11">
        <f>IF(OR(L397="",M397=""),"",IFERROR(INDEX(LAYOUT!$D$2:$D$80,MATCH(L397&amp;"|"&amp;M397,LAYOUT!$E$2:$E$80,0)),""))</f>
        <v/>
      </c>
      <c r="P397" s="12">
        <f>IF(AND(L397="",M397=""),IF(AND(Q397="",R397="",V397="",W397=""),IF(OR($D397&lt;&gt;"",$E397&lt;&gt;""),"Belum ditempatkan",""),""),IF(L397="","CEK JENIS FIXTURE kosong",IF(AND(LEFT(L397,7)&lt;&gt;"Gondola",LEFT(L397,6)&lt;&gt;"Endcap"),"CEK Fixture 1 hanya Gondola atau Endcap",IF(M397="","CEK SHELVING KE kosong",IF(ISNA(MATCH(L397&amp;"|"&amp;M397,LAYOUT!$E$2:$E$80,0)),"CEK SHELVING KE di luar layout",IF($I397="","CEK SERIES kosong",IF(AND(N397&lt;&gt;"",NOT(ISNUMBER(N397))),"CEK URUTAN DISPLAY harus angka",IF($D397="","Zona STOCK",IF($E397="","CEK SKU DESCRIPTION kosong",IF(COUNTIFS($I$2:$I$500,$I397,L$2:L$500,"&lt;&gt;"&amp;L397,L$2:L$500,"&lt;&gt;")&gt;0,"CEK jenis fixture beda dalam satu series","OK"))))))))))</f>
        <v/>
      </c>
      <c r="Q397" s="11" t="n"/>
      <c r="R397" s="11" t="n"/>
      <c r="S397" s="11" t="n"/>
      <c r="T397" s="11">
        <f>IF(OR(Q397="",R397=""),"",IFERROR(INDEX(LAYOUT!$D$2:$D$80,MATCH(Q397&amp;"|"&amp;R397,LAYOUT!$E$2:$E$80,0)),""))</f>
        <v/>
      </c>
      <c r="U397" s="12">
        <f>IF(AND(Q397="",R397=""),IF(AND(L397="",M397="",V397="",W397=""),IF(OR($D397&lt;&gt;"",$E397&lt;&gt;""),"Belum ditempatkan",""),""),IF(Q397="","CEK JENIS FIXTURE kosong",IF(LEFT(Q397,4)&lt;&gt;"Wall","CEK Fixture 2 hanya Wall",IF(R397="","CEK SHELVING KE kosong",IF(ISNA(MATCH(Q397&amp;"|"&amp;R397,LAYOUT!$E$2:$E$80,0)),"CEK SHELVING KE di luar layout",IF($I397="","CEK SERIES kosong",IF(AND(S397&lt;&gt;"",NOT(ISNUMBER(S397))),"CEK URUTAN DISPLAY harus angka",IF($D397="","Zona STOCK",IF($E397="","CEK SKU DESCRIPTION kosong",IF(COUNTIFS($I$2:$I$500,$I397,Q$2:Q$500,"&lt;&gt;"&amp;Q397,Q$2:Q$500,"&lt;&gt;")&gt;0,"CEK jenis fixture beda dalam satu series","OK"))))))))))</f>
        <v/>
      </c>
      <c r="V397" s="11" t="n"/>
      <c r="W397" s="11" t="n"/>
      <c r="X397" s="11" t="n"/>
      <c r="Y397" s="11">
        <f>IF(OR(V397="",W397=""),"",IFERROR(INDEX(LAYOUT!$D$2:$D$80,MATCH(V397&amp;"|"&amp;W397,LAYOUT!$E$2:$E$80,0)),""))</f>
        <v/>
      </c>
      <c r="Z397" s="12">
        <f>IF(AND(V397="",W397=""),IF(AND(L397="",M397="",Q397="",R397=""),IF(OR($D397&lt;&gt;"",$E397&lt;&gt;""),"Belum ditempatkan",""),""),IF(V397="","CEK JENIS FIXTURE kosong",IF(LEFT(V397,4)&lt;&gt;"Wall","CEK Fixture 3 hanya Wall",IF(W397="","CEK SHELVING KE kosong",IF(ISNA(MATCH(V397&amp;"|"&amp;W397,LAYOUT!$E$2:$E$80,0)),"CEK SHELVING KE di luar layout",IF($I397="","CEK SERIES kosong",IF(AND(X397&lt;&gt;"",NOT(ISNUMBER(X397))),"CEK URUTAN DISPLAY harus angka",IF($D397="","Zona STOCK",IF($E397="","CEK SKU DESCRIPTION kosong",IF(COUNTIFS($I$2:$I$500,$I397,V$2:V$500,"&lt;&gt;"&amp;V397,V$2:V$500,"&lt;&gt;")&gt;0,"CEK jenis fixture beda dalam satu series","OK"))))))))))</f>
        <v/>
      </c>
      <c r="AA397" s="12" t="n"/>
      <c r="AB397" s="11" t="n"/>
      <c r="AC397" s="11" t="n"/>
      <c r="AD397" s="11" t="n"/>
      <c r="AE397" s="11" t="n"/>
      <c r="AF397" s="11" t="n"/>
      <c r="AG397" s="11" t="n"/>
      <c r="AH397" s="12" t="n"/>
      <c r="AI397" s="12" t="n"/>
    </row>
    <row r="398">
      <c r="A398" s="10" t="n"/>
      <c r="B398" s="10" t="n"/>
      <c r="C398" s="10" t="n"/>
      <c r="D398" s="10" t="n"/>
      <c r="E398" s="10" t="n"/>
      <c r="F398" s="10" t="n"/>
      <c r="G398" s="10" t="n"/>
      <c r="H398" s="10" t="n"/>
      <c r="I398" s="10" t="n"/>
      <c r="J398" s="10" t="n"/>
      <c r="K398" s="10" t="n"/>
      <c r="L398" s="11" t="n"/>
      <c r="M398" s="11" t="n"/>
      <c r="N398" s="11" t="n"/>
      <c r="O398" s="11">
        <f>IF(OR(L398="",M398=""),"",IFERROR(INDEX(LAYOUT!$D$2:$D$80,MATCH(L398&amp;"|"&amp;M398,LAYOUT!$E$2:$E$80,0)),""))</f>
        <v/>
      </c>
      <c r="P398" s="12">
        <f>IF(AND(L398="",M398=""),IF(AND(Q398="",R398="",V398="",W398=""),IF(OR($D398&lt;&gt;"",$E398&lt;&gt;""),"Belum ditempatkan",""),""),IF(L398="","CEK JENIS FIXTURE kosong",IF(AND(LEFT(L398,7)&lt;&gt;"Gondola",LEFT(L398,6)&lt;&gt;"Endcap"),"CEK Fixture 1 hanya Gondola atau Endcap",IF(M398="","CEK SHELVING KE kosong",IF(ISNA(MATCH(L398&amp;"|"&amp;M398,LAYOUT!$E$2:$E$80,0)),"CEK SHELVING KE di luar layout",IF($I398="","CEK SERIES kosong",IF(AND(N398&lt;&gt;"",NOT(ISNUMBER(N398))),"CEK URUTAN DISPLAY harus angka",IF($D398="","Zona STOCK",IF($E398="","CEK SKU DESCRIPTION kosong",IF(COUNTIFS($I$2:$I$500,$I398,L$2:L$500,"&lt;&gt;"&amp;L398,L$2:L$500,"&lt;&gt;")&gt;0,"CEK jenis fixture beda dalam satu series","OK"))))))))))</f>
        <v/>
      </c>
      <c r="Q398" s="11" t="n"/>
      <c r="R398" s="11" t="n"/>
      <c r="S398" s="11" t="n"/>
      <c r="T398" s="11">
        <f>IF(OR(Q398="",R398=""),"",IFERROR(INDEX(LAYOUT!$D$2:$D$80,MATCH(Q398&amp;"|"&amp;R398,LAYOUT!$E$2:$E$80,0)),""))</f>
        <v/>
      </c>
      <c r="U398" s="12">
        <f>IF(AND(Q398="",R398=""),IF(AND(L398="",M398="",V398="",W398=""),IF(OR($D398&lt;&gt;"",$E398&lt;&gt;""),"Belum ditempatkan",""),""),IF(Q398="","CEK JENIS FIXTURE kosong",IF(LEFT(Q398,4)&lt;&gt;"Wall","CEK Fixture 2 hanya Wall",IF(R398="","CEK SHELVING KE kosong",IF(ISNA(MATCH(Q398&amp;"|"&amp;R398,LAYOUT!$E$2:$E$80,0)),"CEK SHELVING KE di luar layout",IF($I398="","CEK SERIES kosong",IF(AND(S398&lt;&gt;"",NOT(ISNUMBER(S398))),"CEK URUTAN DISPLAY harus angka",IF($D398="","Zona STOCK",IF($E398="","CEK SKU DESCRIPTION kosong",IF(COUNTIFS($I$2:$I$500,$I398,Q$2:Q$500,"&lt;&gt;"&amp;Q398,Q$2:Q$500,"&lt;&gt;")&gt;0,"CEK jenis fixture beda dalam satu series","OK"))))))))))</f>
        <v/>
      </c>
      <c r="V398" s="11" t="n"/>
      <c r="W398" s="11" t="n"/>
      <c r="X398" s="11" t="n"/>
      <c r="Y398" s="11">
        <f>IF(OR(V398="",W398=""),"",IFERROR(INDEX(LAYOUT!$D$2:$D$80,MATCH(V398&amp;"|"&amp;W398,LAYOUT!$E$2:$E$80,0)),""))</f>
        <v/>
      </c>
      <c r="Z398" s="12">
        <f>IF(AND(V398="",W398=""),IF(AND(L398="",M398="",Q398="",R398=""),IF(OR($D398&lt;&gt;"",$E398&lt;&gt;""),"Belum ditempatkan",""),""),IF(V398="","CEK JENIS FIXTURE kosong",IF(LEFT(V398,4)&lt;&gt;"Wall","CEK Fixture 3 hanya Wall",IF(W398="","CEK SHELVING KE kosong",IF(ISNA(MATCH(V398&amp;"|"&amp;W398,LAYOUT!$E$2:$E$80,0)),"CEK SHELVING KE di luar layout",IF($I398="","CEK SERIES kosong",IF(AND(X398&lt;&gt;"",NOT(ISNUMBER(X398))),"CEK URUTAN DISPLAY harus angka",IF($D398="","Zona STOCK",IF($E398="","CEK SKU DESCRIPTION kosong",IF(COUNTIFS($I$2:$I$500,$I398,V$2:V$500,"&lt;&gt;"&amp;V398,V$2:V$500,"&lt;&gt;")&gt;0,"CEK jenis fixture beda dalam satu series","OK"))))))))))</f>
        <v/>
      </c>
      <c r="AA398" s="12" t="n"/>
      <c r="AB398" s="11" t="n"/>
      <c r="AC398" s="11" t="n"/>
      <c r="AD398" s="11" t="n"/>
      <c r="AE398" s="11" t="n"/>
      <c r="AF398" s="11" t="n"/>
      <c r="AG398" s="11" t="n"/>
      <c r="AH398" s="12" t="n"/>
      <c r="AI398" s="12" t="n"/>
    </row>
    <row r="399">
      <c r="A399" s="10" t="n"/>
      <c r="B399" s="10" t="n"/>
      <c r="C399" s="10" t="n"/>
      <c r="D399" s="10" t="n"/>
      <c r="E399" s="10" t="n"/>
      <c r="F399" s="10" t="n"/>
      <c r="G399" s="10" t="n"/>
      <c r="H399" s="10" t="n"/>
      <c r="I399" s="10" t="n"/>
      <c r="J399" s="10" t="n"/>
      <c r="K399" s="10" t="n"/>
      <c r="L399" s="11" t="n"/>
      <c r="M399" s="11" t="n"/>
      <c r="N399" s="11" t="n"/>
      <c r="O399" s="11">
        <f>IF(OR(L399="",M399=""),"",IFERROR(INDEX(LAYOUT!$D$2:$D$80,MATCH(L399&amp;"|"&amp;M399,LAYOUT!$E$2:$E$80,0)),""))</f>
        <v/>
      </c>
      <c r="P399" s="12">
        <f>IF(AND(L399="",M399=""),IF(AND(Q399="",R399="",V399="",W399=""),IF(OR($D399&lt;&gt;"",$E399&lt;&gt;""),"Belum ditempatkan",""),""),IF(L399="","CEK JENIS FIXTURE kosong",IF(AND(LEFT(L399,7)&lt;&gt;"Gondola",LEFT(L399,6)&lt;&gt;"Endcap"),"CEK Fixture 1 hanya Gondola atau Endcap",IF(M399="","CEK SHELVING KE kosong",IF(ISNA(MATCH(L399&amp;"|"&amp;M399,LAYOUT!$E$2:$E$80,0)),"CEK SHELVING KE di luar layout",IF($I399="","CEK SERIES kosong",IF(AND(N399&lt;&gt;"",NOT(ISNUMBER(N399))),"CEK URUTAN DISPLAY harus angka",IF($D399="","Zona STOCK",IF($E399="","CEK SKU DESCRIPTION kosong",IF(COUNTIFS($I$2:$I$500,$I399,L$2:L$500,"&lt;&gt;"&amp;L399,L$2:L$500,"&lt;&gt;")&gt;0,"CEK jenis fixture beda dalam satu series","OK"))))))))))</f>
        <v/>
      </c>
      <c r="Q399" s="11" t="n"/>
      <c r="R399" s="11" t="n"/>
      <c r="S399" s="11" t="n"/>
      <c r="T399" s="11">
        <f>IF(OR(Q399="",R399=""),"",IFERROR(INDEX(LAYOUT!$D$2:$D$80,MATCH(Q399&amp;"|"&amp;R399,LAYOUT!$E$2:$E$80,0)),""))</f>
        <v/>
      </c>
      <c r="U399" s="12">
        <f>IF(AND(Q399="",R399=""),IF(AND(L399="",M399="",V399="",W399=""),IF(OR($D399&lt;&gt;"",$E399&lt;&gt;""),"Belum ditempatkan",""),""),IF(Q399="","CEK JENIS FIXTURE kosong",IF(LEFT(Q399,4)&lt;&gt;"Wall","CEK Fixture 2 hanya Wall",IF(R399="","CEK SHELVING KE kosong",IF(ISNA(MATCH(Q399&amp;"|"&amp;R399,LAYOUT!$E$2:$E$80,0)),"CEK SHELVING KE di luar layout",IF($I399="","CEK SERIES kosong",IF(AND(S399&lt;&gt;"",NOT(ISNUMBER(S399))),"CEK URUTAN DISPLAY harus angka",IF($D399="","Zona STOCK",IF($E399="","CEK SKU DESCRIPTION kosong",IF(COUNTIFS($I$2:$I$500,$I399,Q$2:Q$500,"&lt;&gt;"&amp;Q399,Q$2:Q$500,"&lt;&gt;")&gt;0,"CEK jenis fixture beda dalam satu series","OK"))))))))))</f>
        <v/>
      </c>
      <c r="V399" s="11" t="n"/>
      <c r="W399" s="11" t="n"/>
      <c r="X399" s="11" t="n"/>
      <c r="Y399" s="11">
        <f>IF(OR(V399="",W399=""),"",IFERROR(INDEX(LAYOUT!$D$2:$D$80,MATCH(V399&amp;"|"&amp;W399,LAYOUT!$E$2:$E$80,0)),""))</f>
        <v/>
      </c>
      <c r="Z399" s="12">
        <f>IF(AND(V399="",W399=""),IF(AND(L399="",M399="",Q399="",R399=""),IF(OR($D399&lt;&gt;"",$E399&lt;&gt;""),"Belum ditempatkan",""),""),IF(V399="","CEK JENIS FIXTURE kosong",IF(LEFT(V399,4)&lt;&gt;"Wall","CEK Fixture 3 hanya Wall",IF(W399="","CEK SHELVING KE kosong",IF(ISNA(MATCH(V399&amp;"|"&amp;W399,LAYOUT!$E$2:$E$80,0)),"CEK SHELVING KE di luar layout",IF($I399="","CEK SERIES kosong",IF(AND(X399&lt;&gt;"",NOT(ISNUMBER(X399))),"CEK URUTAN DISPLAY harus angka",IF($D399="","Zona STOCK",IF($E399="","CEK SKU DESCRIPTION kosong",IF(COUNTIFS($I$2:$I$500,$I399,V$2:V$500,"&lt;&gt;"&amp;V399,V$2:V$500,"&lt;&gt;")&gt;0,"CEK jenis fixture beda dalam satu series","OK"))))))))))</f>
        <v/>
      </c>
      <c r="AA399" s="12" t="n"/>
      <c r="AB399" s="11" t="n"/>
      <c r="AC399" s="11" t="n"/>
      <c r="AD399" s="11" t="n"/>
      <c r="AE399" s="11" t="n"/>
      <c r="AF399" s="11" t="n"/>
      <c r="AG399" s="11" t="n"/>
      <c r="AH399" s="12" t="n"/>
      <c r="AI399" s="12" t="n"/>
    </row>
    <row r="400">
      <c r="A400" s="10" t="n"/>
      <c r="B400" s="10" t="n"/>
      <c r="C400" s="10" t="n"/>
      <c r="D400" s="10" t="n"/>
      <c r="E400" s="10" t="n"/>
      <c r="F400" s="10" t="n"/>
      <c r="G400" s="10" t="n"/>
      <c r="H400" s="10" t="n"/>
      <c r="I400" s="10" t="n"/>
      <c r="J400" s="10" t="n"/>
      <c r="K400" s="10" t="n"/>
      <c r="L400" s="11" t="n"/>
      <c r="M400" s="11" t="n"/>
      <c r="N400" s="11" t="n"/>
      <c r="O400" s="11">
        <f>IF(OR(L400="",M400=""),"",IFERROR(INDEX(LAYOUT!$D$2:$D$80,MATCH(L400&amp;"|"&amp;M400,LAYOUT!$E$2:$E$80,0)),""))</f>
        <v/>
      </c>
      <c r="P400" s="12">
        <f>IF(AND(L400="",M400=""),IF(AND(Q400="",R400="",V400="",W400=""),IF(OR($D400&lt;&gt;"",$E400&lt;&gt;""),"Belum ditempatkan",""),""),IF(L400="","CEK JENIS FIXTURE kosong",IF(AND(LEFT(L400,7)&lt;&gt;"Gondola",LEFT(L400,6)&lt;&gt;"Endcap"),"CEK Fixture 1 hanya Gondola atau Endcap",IF(M400="","CEK SHELVING KE kosong",IF(ISNA(MATCH(L400&amp;"|"&amp;M400,LAYOUT!$E$2:$E$80,0)),"CEK SHELVING KE di luar layout",IF($I400="","CEK SERIES kosong",IF(AND(N400&lt;&gt;"",NOT(ISNUMBER(N400))),"CEK URUTAN DISPLAY harus angka",IF($D400="","Zona STOCK",IF($E400="","CEK SKU DESCRIPTION kosong",IF(COUNTIFS($I$2:$I$500,$I400,L$2:L$500,"&lt;&gt;"&amp;L400,L$2:L$500,"&lt;&gt;")&gt;0,"CEK jenis fixture beda dalam satu series","OK"))))))))))</f>
        <v/>
      </c>
      <c r="Q400" s="11" t="n"/>
      <c r="R400" s="11" t="n"/>
      <c r="S400" s="11" t="n"/>
      <c r="T400" s="11">
        <f>IF(OR(Q400="",R400=""),"",IFERROR(INDEX(LAYOUT!$D$2:$D$80,MATCH(Q400&amp;"|"&amp;R400,LAYOUT!$E$2:$E$80,0)),""))</f>
        <v/>
      </c>
      <c r="U400" s="12">
        <f>IF(AND(Q400="",R400=""),IF(AND(L400="",M400="",V400="",W400=""),IF(OR($D400&lt;&gt;"",$E400&lt;&gt;""),"Belum ditempatkan",""),""),IF(Q400="","CEK JENIS FIXTURE kosong",IF(LEFT(Q400,4)&lt;&gt;"Wall","CEK Fixture 2 hanya Wall",IF(R400="","CEK SHELVING KE kosong",IF(ISNA(MATCH(Q400&amp;"|"&amp;R400,LAYOUT!$E$2:$E$80,0)),"CEK SHELVING KE di luar layout",IF($I400="","CEK SERIES kosong",IF(AND(S400&lt;&gt;"",NOT(ISNUMBER(S400))),"CEK URUTAN DISPLAY harus angka",IF($D400="","Zona STOCK",IF($E400="","CEK SKU DESCRIPTION kosong",IF(COUNTIFS($I$2:$I$500,$I400,Q$2:Q$500,"&lt;&gt;"&amp;Q400,Q$2:Q$500,"&lt;&gt;")&gt;0,"CEK jenis fixture beda dalam satu series","OK"))))))))))</f>
        <v/>
      </c>
      <c r="V400" s="11" t="n"/>
      <c r="W400" s="11" t="n"/>
      <c r="X400" s="11" t="n"/>
      <c r="Y400" s="11">
        <f>IF(OR(V400="",W400=""),"",IFERROR(INDEX(LAYOUT!$D$2:$D$80,MATCH(V400&amp;"|"&amp;W400,LAYOUT!$E$2:$E$80,0)),""))</f>
        <v/>
      </c>
      <c r="Z400" s="12">
        <f>IF(AND(V400="",W400=""),IF(AND(L400="",M400="",Q400="",R400=""),IF(OR($D400&lt;&gt;"",$E400&lt;&gt;""),"Belum ditempatkan",""),""),IF(V400="","CEK JENIS FIXTURE kosong",IF(LEFT(V400,4)&lt;&gt;"Wall","CEK Fixture 3 hanya Wall",IF(W400="","CEK SHELVING KE kosong",IF(ISNA(MATCH(V400&amp;"|"&amp;W400,LAYOUT!$E$2:$E$80,0)),"CEK SHELVING KE di luar layout",IF($I400="","CEK SERIES kosong",IF(AND(X400&lt;&gt;"",NOT(ISNUMBER(X400))),"CEK URUTAN DISPLAY harus angka",IF($D400="","Zona STOCK",IF($E400="","CEK SKU DESCRIPTION kosong",IF(COUNTIFS($I$2:$I$500,$I400,V$2:V$500,"&lt;&gt;"&amp;V400,V$2:V$500,"&lt;&gt;")&gt;0,"CEK jenis fixture beda dalam satu series","OK"))))))))))</f>
        <v/>
      </c>
      <c r="AA400" s="12" t="n"/>
      <c r="AB400" s="11" t="n"/>
      <c r="AC400" s="11" t="n"/>
      <c r="AD400" s="11" t="n"/>
      <c r="AE400" s="11" t="n"/>
      <c r="AF400" s="11" t="n"/>
      <c r="AG400" s="11" t="n"/>
      <c r="AH400" s="12" t="n"/>
      <c r="AI400" s="12" t="n"/>
    </row>
    <row r="401">
      <c r="A401" s="10" t="n"/>
      <c r="B401" s="10" t="n"/>
      <c r="C401" s="10" t="n"/>
      <c r="D401" s="10" t="n"/>
      <c r="E401" s="10" t="n"/>
      <c r="F401" s="10" t="n"/>
      <c r="G401" s="10" t="n"/>
      <c r="H401" s="10" t="n"/>
      <c r="I401" s="10" t="n"/>
      <c r="J401" s="10" t="n"/>
      <c r="K401" s="10" t="n"/>
      <c r="L401" s="11" t="n"/>
      <c r="M401" s="11" t="n"/>
      <c r="N401" s="11" t="n"/>
      <c r="O401" s="11">
        <f>IF(OR(L401="",M401=""),"",IFERROR(INDEX(LAYOUT!$D$2:$D$80,MATCH(L401&amp;"|"&amp;M401,LAYOUT!$E$2:$E$80,0)),""))</f>
        <v/>
      </c>
      <c r="P401" s="12">
        <f>IF(AND(L401="",M401=""),IF(AND(Q401="",R401="",V401="",W401=""),IF(OR($D401&lt;&gt;"",$E401&lt;&gt;""),"Belum ditempatkan",""),""),IF(L401="","CEK JENIS FIXTURE kosong",IF(AND(LEFT(L401,7)&lt;&gt;"Gondola",LEFT(L401,6)&lt;&gt;"Endcap"),"CEK Fixture 1 hanya Gondola atau Endcap",IF(M401="","CEK SHELVING KE kosong",IF(ISNA(MATCH(L401&amp;"|"&amp;M401,LAYOUT!$E$2:$E$80,0)),"CEK SHELVING KE di luar layout",IF($I401="","CEK SERIES kosong",IF(AND(N401&lt;&gt;"",NOT(ISNUMBER(N401))),"CEK URUTAN DISPLAY harus angka",IF($D401="","Zona STOCK",IF($E401="","CEK SKU DESCRIPTION kosong",IF(COUNTIFS($I$2:$I$500,$I401,L$2:L$500,"&lt;&gt;"&amp;L401,L$2:L$500,"&lt;&gt;")&gt;0,"CEK jenis fixture beda dalam satu series","OK"))))))))))</f>
        <v/>
      </c>
      <c r="Q401" s="11" t="n"/>
      <c r="R401" s="11" t="n"/>
      <c r="S401" s="11" t="n"/>
      <c r="T401" s="11">
        <f>IF(OR(Q401="",R401=""),"",IFERROR(INDEX(LAYOUT!$D$2:$D$80,MATCH(Q401&amp;"|"&amp;R401,LAYOUT!$E$2:$E$80,0)),""))</f>
        <v/>
      </c>
      <c r="U401" s="12">
        <f>IF(AND(Q401="",R401=""),IF(AND(L401="",M401="",V401="",W401=""),IF(OR($D401&lt;&gt;"",$E401&lt;&gt;""),"Belum ditempatkan",""),""),IF(Q401="","CEK JENIS FIXTURE kosong",IF(LEFT(Q401,4)&lt;&gt;"Wall","CEK Fixture 2 hanya Wall",IF(R401="","CEK SHELVING KE kosong",IF(ISNA(MATCH(Q401&amp;"|"&amp;R401,LAYOUT!$E$2:$E$80,0)),"CEK SHELVING KE di luar layout",IF($I401="","CEK SERIES kosong",IF(AND(S401&lt;&gt;"",NOT(ISNUMBER(S401))),"CEK URUTAN DISPLAY harus angka",IF($D401="","Zona STOCK",IF($E401="","CEK SKU DESCRIPTION kosong",IF(COUNTIFS($I$2:$I$500,$I401,Q$2:Q$500,"&lt;&gt;"&amp;Q401,Q$2:Q$500,"&lt;&gt;")&gt;0,"CEK jenis fixture beda dalam satu series","OK"))))))))))</f>
        <v/>
      </c>
      <c r="V401" s="11" t="n"/>
      <c r="W401" s="11" t="n"/>
      <c r="X401" s="11" t="n"/>
      <c r="Y401" s="11">
        <f>IF(OR(V401="",W401=""),"",IFERROR(INDEX(LAYOUT!$D$2:$D$80,MATCH(V401&amp;"|"&amp;W401,LAYOUT!$E$2:$E$80,0)),""))</f>
        <v/>
      </c>
      <c r="Z401" s="12">
        <f>IF(AND(V401="",W401=""),IF(AND(L401="",M401="",Q401="",R401=""),IF(OR($D401&lt;&gt;"",$E401&lt;&gt;""),"Belum ditempatkan",""),""),IF(V401="","CEK JENIS FIXTURE kosong",IF(LEFT(V401,4)&lt;&gt;"Wall","CEK Fixture 3 hanya Wall",IF(W401="","CEK SHELVING KE kosong",IF(ISNA(MATCH(V401&amp;"|"&amp;W401,LAYOUT!$E$2:$E$80,0)),"CEK SHELVING KE di luar layout",IF($I401="","CEK SERIES kosong",IF(AND(X401&lt;&gt;"",NOT(ISNUMBER(X401))),"CEK URUTAN DISPLAY harus angka",IF($D401="","Zona STOCK",IF($E401="","CEK SKU DESCRIPTION kosong",IF(COUNTIFS($I$2:$I$500,$I401,V$2:V$500,"&lt;&gt;"&amp;V401,V$2:V$500,"&lt;&gt;")&gt;0,"CEK jenis fixture beda dalam satu series","OK"))))))))))</f>
        <v/>
      </c>
      <c r="AA401" s="12" t="n"/>
      <c r="AB401" s="11" t="n"/>
      <c r="AC401" s="11" t="n"/>
      <c r="AD401" s="11" t="n"/>
      <c r="AE401" s="11" t="n"/>
      <c r="AF401" s="11" t="n"/>
      <c r="AG401" s="11" t="n"/>
      <c r="AH401" s="12" t="n"/>
      <c r="AI401" s="12" t="n"/>
    </row>
    <row r="402">
      <c r="A402" s="10" t="n"/>
      <c r="B402" s="10" t="n"/>
      <c r="C402" s="10" t="n"/>
      <c r="D402" s="10" t="n"/>
      <c r="E402" s="10" t="n"/>
      <c r="F402" s="10" t="n"/>
      <c r="G402" s="10" t="n"/>
      <c r="H402" s="10" t="n"/>
      <c r="I402" s="10" t="n"/>
      <c r="J402" s="10" t="n"/>
      <c r="K402" s="10" t="n"/>
      <c r="L402" s="11" t="n"/>
      <c r="M402" s="11" t="n"/>
      <c r="N402" s="11" t="n"/>
      <c r="O402" s="11">
        <f>IF(OR(L402="",M402=""),"",IFERROR(INDEX(LAYOUT!$D$2:$D$80,MATCH(L402&amp;"|"&amp;M402,LAYOUT!$E$2:$E$80,0)),""))</f>
        <v/>
      </c>
      <c r="P402" s="12">
        <f>IF(AND(L402="",M402=""),IF(AND(Q402="",R402="",V402="",W402=""),IF(OR($D402&lt;&gt;"",$E402&lt;&gt;""),"Belum ditempatkan",""),""),IF(L402="","CEK JENIS FIXTURE kosong",IF(AND(LEFT(L402,7)&lt;&gt;"Gondola",LEFT(L402,6)&lt;&gt;"Endcap"),"CEK Fixture 1 hanya Gondola atau Endcap",IF(M402="","CEK SHELVING KE kosong",IF(ISNA(MATCH(L402&amp;"|"&amp;M402,LAYOUT!$E$2:$E$80,0)),"CEK SHELVING KE di luar layout",IF($I402="","CEK SERIES kosong",IF(AND(N402&lt;&gt;"",NOT(ISNUMBER(N402))),"CEK URUTAN DISPLAY harus angka",IF($D402="","Zona STOCK",IF($E402="","CEK SKU DESCRIPTION kosong",IF(COUNTIFS($I$2:$I$500,$I402,L$2:L$500,"&lt;&gt;"&amp;L402,L$2:L$500,"&lt;&gt;")&gt;0,"CEK jenis fixture beda dalam satu series","OK"))))))))))</f>
        <v/>
      </c>
      <c r="Q402" s="11" t="n"/>
      <c r="R402" s="11" t="n"/>
      <c r="S402" s="11" t="n"/>
      <c r="T402" s="11">
        <f>IF(OR(Q402="",R402=""),"",IFERROR(INDEX(LAYOUT!$D$2:$D$80,MATCH(Q402&amp;"|"&amp;R402,LAYOUT!$E$2:$E$80,0)),""))</f>
        <v/>
      </c>
      <c r="U402" s="12">
        <f>IF(AND(Q402="",R402=""),IF(AND(L402="",M402="",V402="",W402=""),IF(OR($D402&lt;&gt;"",$E402&lt;&gt;""),"Belum ditempatkan",""),""),IF(Q402="","CEK JENIS FIXTURE kosong",IF(LEFT(Q402,4)&lt;&gt;"Wall","CEK Fixture 2 hanya Wall",IF(R402="","CEK SHELVING KE kosong",IF(ISNA(MATCH(Q402&amp;"|"&amp;R402,LAYOUT!$E$2:$E$80,0)),"CEK SHELVING KE di luar layout",IF($I402="","CEK SERIES kosong",IF(AND(S402&lt;&gt;"",NOT(ISNUMBER(S402))),"CEK URUTAN DISPLAY harus angka",IF($D402="","Zona STOCK",IF($E402="","CEK SKU DESCRIPTION kosong",IF(COUNTIFS($I$2:$I$500,$I402,Q$2:Q$500,"&lt;&gt;"&amp;Q402,Q$2:Q$500,"&lt;&gt;")&gt;0,"CEK jenis fixture beda dalam satu series","OK"))))))))))</f>
        <v/>
      </c>
      <c r="V402" s="11" t="n"/>
      <c r="W402" s="11" t="n"/>
      <c r="X402" s="11" t="n"/>
      <c r="Y402" s="11">
        <f>IF(OR(V402="",W402=""),"",IFERROR(INDEX(LAYOUT!$D$2:$D$80,MATCH(V402&amp;"|"&amp;W402,LAYOUT!$E$2:$E$80,0)),""))</f>
        <v/>
      </c>
      <c r="Z402" s="12">
        <f>IF(AND(V402="",W402=""),IF(AND(L402="",M402="",Q402="",R402=""),IF(OR($D402&lt;&gt;"",$E402&lt;&gt;""),"Belum ditempatkan",""),""),IF(V402="","CEK JENIS FIXTURE kosong",IF(LEFT(V402,4)&lt;&gt;"Wall","CEK Fixture 3 hanya Wall",IF(W402="","CEK SHELVING KE kosong",IF(ISNA(MATCH(V402&amp;"|"&amp;W402,LAYOUT!$E$2:$E$80,0)),"CEK SHELVING KE di luar layout",IF($I402="","CEK SERIES kosong",IF(AND(X402&lt;&gt;"",NOT(ISNUMBER(X402))),"CEK URUTAN DISPLAY harus angka",IF($D402="","Zona STOCK",IF($E402="","CEK SKU DESCRIPTION kosong",IF(COUNTIFS($I$2:$I$500,$I402,V$2:V$500,"&lt;&gt;"&amp;V402,V$2:V$500,"&lt;&gt;")&gt;0,"CEK jenis fixture beda dalam satu series","OK"))))))))))</f>
        <v/>
      </c>
      <c r="AA402" s="12" t="n"/>
      <c r="AB402" s="11" t="n"/>
      <c r="AC402" s="11" t="n"/>
      <c r="AD402" s="11" t="n"/>
      <c r="AE402" s="11" t="n"/>
      <c r="AF402" s="11" t="n"/>
      <c r="AG402" s="11" t="n"/>
      <c r="AH402" s="12" t="n"/>
      <c r="AI402" s="12" t="n"/>
    </row>
    <row r="403">
      <c r="A403" s="10" t="n"/>
      <c r="B403" s="10" t="n"/>
      <c r="C403" s="10" t="n"/>
      <c r="D403" s="10" t="n"/>
      <c r="E403" s="10" t="n"/>
      <c r="F403" s="10" t="n"/>
      <c r="G403" s="10" t="n"/>
      <c r="H403" s="10" t="n"/>
      <c r="I403" s="10" t="n"/>
      <c r="J403" s="10" t="n"/>
      <c r="K403" s="10" t="n"/>
      <c r="L403" s="11" t="n"/>
      <c r="M403" s="11" t="n"/>
      <c r="N403" s="11" t="n"/>
      <c r="O403" s="11">
        <f>IF(OR(L403="",M403=""),"",IFERROR(INDEX(LAYOUT!$D$2:$D$80,MATCH(L403&amp;"|"&amp;M403,LAYOUT!$E$2:$E$80,0)),""))</f>
        <v/>
      </c>
      <c r="P403" s="12">
        <f>IF(AND(L403="",M403=""),IF(AND(Q403="",R403="",V403="",W403=""),IF(OR($D403&lt;&gt;"",$E403&lt;&gt;""),"Belum ditempatkan",""),""),IF(L403="","CEK JENIS FIXTURE kosong",IF(AND(LEFT(L403,7)&lt;&gt;"Gondola",LEFT(L403,6)&lt;&gt;"Endcap"),"CEK Fixture 1 hanya Gondola atau Endcap",IF(M403="","CEK SHELVING KE kosong",IF(ISNA(MATCH(L403&amp;"|"&amp;M403,LAYOUT!$E$2:$E$80,0)),"CEK SHELVING KE di luar layout",IF($I403="","CEK SERIES kosong",IF(AND(N403&lt;&gt;"",NOT(ISNUMBER(N403))),"CEK URUTAN DISPLAY harus angka",IF($D403="","Zona STOCK",IF($E403="","CEK SKU DESCRIPTION kosong",IF(COUNTIFS($I$2:$I$500,$I403,L$2:L$500,"&lt;&gt;"&amp;L403,L$2:L$500,"&lt;&gt;")&gt;0,"CEK jenis fixture beda dalam satu series","OK"))))))))))</f>
        <v/>
      </c>
      <c r="Q403" s="11" t="n"/>
      <c r="R403" s="11" t="n"/>
      <c r="S403" s="11" t="n"/>
      <c r="T403" s="11">
        <f>IF(OR(Q403="",R403=""),"",IFERROR(INDEX(LAYOUT!$D$2:$D$80,MATCH(Q403&amp;"|"&amp;R403,LAYOUT!$E$2:$E$80,0)),""))</f>
        <v/>
      </c>
      <c r="U403" s="12">
        <f>IF(AND(Q403="",R403=""),IF(AND(L403="",M403="",V403="",W403=""),IF(OR($D403&lt;&gt;"",$E403&lt;&gt;""),"Belum ditempatkan",""),""),IF(Q403="","CEK JENIS FIXTURE kosong",IF(LEFT(Q403,4)&lt;&gt;"Wall","CEK Fixture 2 hanya Wall",IF(R403="","CEK SHELVING KE kosong",IF(ISNA(MATCH(Q403&amp;"|"&amp;R403,LAYOUT!$E$2:$E$80,0)),"CEK SHELVING KE di luar layout",IF($I403="","CEK SERIES kosong",IF(AND(S403&lt;&gt;"",NOT(ISNUMBER(S403))),"CEK URUTAN DISPLAY harus angka",IF($D403="","Zona STOCK",IF($E403="","CEK SKU DESCRIPTION kosong",IF(COUNTIFS($I$2:$I$500,$I403,Q$2:Q$500,"&lt;&gt;"&amp;Q403,Q$2:Q$500,"&lt;&gt;")&gt;0,"CEK jenis fixture beda dalam satu series","OK"))))))))))</f>
        <v/>
      </c>
      <c r="V403" s="11" t="n"/>
      <c r="W403" s="11" t="n"/>
      <c r="X403" s="11" t="n"/>
      <c r="Y403" s="11">
        <f>IF(OR(V403="",W403=""),"",IFERROR(INDEX(LAYOUT!$D$2:$D$80,MATCH(V403&amp;"|"&amp;W403,LAYOUT!$E$2:$E$80,0)),""))</f>
        <v/>
      </c>
      <c r="Z403" s="12">
        <f>IF(AND(V403="",W403=""),IF(AND(L403="",M403="",Q403="",R403=""),IF(OR($D403&lt;&gt;"",$E403&lt;&gt;""),"Belum ditempatkan",""),""),IF(V403="","CEK JENIS FIXTURE kosong",IF(LEFT(V403,4)&lt;&gt;"Wall","CEK Fixture 3 hanya Wall",IF(W403="","CEK SHELVING KE kosong",IF(ISNA(MATCH(V403&amp;"|"&amp;W403,LAYOUT!$E$2:$E$80,0)),"CEK SHELVING KE di luar layout",IF($I403="","CEK SERIES kosong",IF(AND(X403&lt;&gt;"",NOT(ISNUMBER(X403))),"CEK URUTAN DISPLAY harus angka",IF($D403="","Zona STOCK",IF($E403="","CEK SKU DESCRIPTION kosong",IF(COUNTIFS($I$2:$I$500,$I403,V$2:V$500,"&lt;&gt;"&amp;V403,V$2:V$500,"&lt;&gt;")&gt;0,"CEK jenis fixture beda dalam satu series","OK"))))))))))</f>
        <v/>
      </c>
      <c r="AA403" s="12" t="n"/>
      <c r="AB403" s="11" t="n"/>
      <c r="AC403" s="11" t="n"/>
      <c r="AD403" s="11" t="n"/>
      <c r="AE403" s="11" t="n"/>
      <c r="AF403" s="11" t="n"/>
      <c r="AG403" s="11" t="n"/>
      <c r="AH403" s="12" t="n"/>
      <c r="AI403" s="12" t="n"/>
    </row>
    <row r="404">
      <c r="A404" s="10" t="n"/>
      <c r="B404" s="10" t="n"/>
      <c r="C404" s="10" t="n"/>
      <c r="D404" s="10" t="n"/>
      <c r="E404" s="10" t="n"/>
      <c r="F404" s="10" t="n"/>
      <c r="G404" s="10" t="n"/>
      <c r="H404" s="10" t="n"/>
      <c r="I404" s="10" t="n"/>
      <c r="J404" s="10" t="n"/>
      <c r="K404" s="10" t="n"/>
      <c r="L404" s="11" t="n"/>
      <c r="M404" s="11" t="n"/>
      <c r="N404" s="11" t="n"/>
      <c r="O404" s="11">
        <f>IF(OR(L404="",M404=""),"",IFERROR(INDEX(LAYOUT!$D$2:$D$80,MATCH(L404&amp;"|"&amp;M404,LAYOUT!$E$2:$E$80,0)),""))</f>
        <v/>
      </c>
      <c r="P404" s="12">
        <f>IF(AND(L404="",M404=""),IF(AND(Q404="",R404="",V404="",W404=""),IF(OR($D404&lt;&gt;"",$E404&lt;&gt;""),"Belum ditempatkan",""),""),IF(L404="","CEK JENIS FIXTURE kosong",IF(AND(LEFT(L404,7)&lt;&gt;"Gondola",LEFT(L404,6)&lt;&gt;"Endcap"),"CEK Fixture 1 hanya Gondola atau Endcap",IF(M404="","CEK SHELVING KE kosong",IF(ISNA(MATCH(L404&amp;"|"&amp;M404,LAYOUT!$E$2:$E$80,0)),"CEK SHELVING KE di luar layout",IF($I404="","CEK SERIES kosong",IF(AND(N404&lt;&gt;"",NOT(ISNUMBER(N404))),"CEK URUTAN DISPLAY harus angka",IF($D404="","Zona STOCK",IF($E404="","CEK SKU DESCRIPTION kosong",IF(COUNTIFS($I$2:$I$500,$I404,L$2:L$500,"&lt;&gt;"&amp;L404,L$2:L$500,"&lt;&gt;")&gt;0,"CEK jenis fixture beda dalam satu series","OK"))))))))))</f>
        <v/>
      </c>
      <c r="Q404" s="11" t="n"/>
      <c r="R404" s="11" t="n"/>
      <c r="S404" s="11" t="n"/>
      <c r="T404" s="11">
        <f>IF(OR(Q404="",R404=""),"",IFERROR(INDEX(LAYOUT!$D$2:$D$80,MATCH(Q404&amp;"|"&amp;R404,LAYOUT!$E$2:$E$80,0)),""))</f>
        <v/>
      </c>
      <c r="U404" s="12">
        <f>IF(AND(Q404="",R404=""),IF(AND(L404="",M404="",V404="",W404=""),IF(OR($D404&lt;&gt;"",$E404&lt;&gt;""),"Belum ditempatkan",""),""),IF(Q404="","CEK JENIS FIXTURE kosong",IF(LEFT(Q404,4)&lt;&gt;"Wall","CEK Fixture 2 hanya Wall",IF(R404="","CEK SHELVING KE kosong",IF(ISNA(MATCH(Q404&amp;"|"&amp;R404,LAYOUT!$E$2:$E$80,0)),"CEK SHELVING KE di luar layout",IF($I404="","CEK SERIES kosong",IF(AND(S404&lt;&gt;"",NOT(ISNUMBER(S404))),"CEK URUTAN DISPLAY harus angka",IF($D404="","Zona STOCK",IF($E404="","CEK SKU DESCRIPTION kosong",IF(COUNTIFS($I$2:$I$500,$I404,Q$2:Q$500,"&lt;&gt;"&amp;Q404,Q$2:Q$500,"&lt;&gt;")&gt;0,"CEK jenis fixture beda dalam satu series","OK"))))))))))</f>
        <v/>
      </c>
      <c r="V404" s="11" t="n"/>
      <c r="W404" s="11" t="n"/>
      <c r="X404" s="11" t="n"/>
      <c r="Y404" s="11">
        <f>IF(OR(V404="",W404=""),"",IFERROR(INDEX(LAYOUT!$D$2:$D$80,MATCH(V404&amp;"|"&amp;W404,LAYOUT!$E$2:$E$80,0)),""))</f>
        <v/>
      </c>
      <c r="Z404" s="12">
        <f>IF(AND(V404="",W404=""),IF(AND(L404="",M404="",Q404="",R404=""),IF(OR($D404&lt;&gt;"",$E404&lt;&gt;""),"Belum ditempatkan",""),""),IF(V404="","CEK JENIS FIXTURE kosong",IF(LEFT(V404,4)&lt;&gt;"Wall","CEK Fixture 3 hanya Wall",IF(W404="","CEK SHELVING KE kosong",IF(ISNA(MATCH(V404&amp;"|"&amp;W404,LAYOUT!$E$2:$E$80,0)),"CEK SHELVING KE di luar layout",IF($I404="","CEK SERIES kosong",IF(AND(X404&lt;&gt;"",NOT(ISNUMBER(X404))),"CEK URUTAN DISPLAY harus angka",IF($D404="","Zona STOCK",IF($E404="","CEK SKU DESCRIPTION kosong",IF(COUNTIFS($I$2:$I$500,$I404,V$2:V$500,"&lt;&gt;"&amp;V404,V$2:V$500,"&lt;&gt;")&gt;0,"CEK jenis fixture beda dalam satu series","OK"))))))))))</f>
        <v/>
      </c>
      <c r="AA404" s="12" t="n"/>
      <c r="AB404" s="11" t="n"/>
      <c r="AC404" s="11" t="n"/>
      <c r="AD404" s="11" t="n"/>
      <c r="AE404" s="11" t="n"/>
      <c r="AF404" s="11" t="n"/>
      <c r="AG404" s="11" t="n"/>
      <c r="AH404" s="12" t="n"/>
      <c r="AI404" s="12" t="n"/>
    </row>
    <row r="405">
      <c r="A405" s="10" t="n"/>
      <c r="B405" s="10" t="n"/>
      <c r="C405" s="10" t="n"/>
      <c r="D405" s="10" t="n"/>
      <c r="E405" s="10" t="n"/>
      <c r="F405" s="10" t="n"/>
      <c r="G405" s="10" t="n"/>
      <c r="H405" s="10" t="n"/>
      <c r="I405" s="10" t="n"/>
      <c r="J405" s="10" t="n"/>
      <c r="K405" s="10" t="n"/>
      <c r="L405" s="11" t="n"/>
      <c r="M405" s="11" t="n"/>
      <c r="N405" s="11" t="n"/>
      <c r="O405" s="11">
        <f>IF(OR(L405="",M405=""),"",IFERROR(INDEX(LAYOUT!$D$2:$D$80,MATCH(L405&amp;"|"&amp;M405,LAYOUT!$E$2:$E$80,0)),""))</f>
        <v/>
      </c>
      <c r="P405" s="12">
        <f>IF(AND(L405="",M405=""),IF(AND(Q405="",R405="",V405="",W405=""),IF(OR($D405&lt;&gt;"",$E405&lt;&gt;""),"Belum ditempatkan",""),""),IF(L405="","CEK JENIS FIXTURE kosong",IF(AND(LEFT(L405,7)&lt;&gt;"Gondola",LEFT(L405,6)&lt;&gt;"Endcap"),"CEK Fixture 1 hanya Gondola atau Endcap",IF(M405="","CEK SHELVING KE kosong",IF(ISNA(MATCH(L405&amp;"|"&amp;M405,LAYOUT!$E$2:$E$80,0)),"CEK SHELVING KE di luar layout",IF($I405="","CEK SERIES kosong",IF(AND(N405&lt;&gt;"",NOT(ISNUMBER(N405))),"CEK URUTAN DISPLAY harus angka",IF($D405="","Zona STOCK",IF($E405="","CEK SKU DESCRIPTION kosong",IF(COUNTIFS($I$2:$I$500,$I405,L$2:L$500,"&lt;&gt;"&amp;L405,L$2:L$500,"&lt;&gt;")&gt;0,"CEK jenis fixture beda dalam satu series","OK"))))))))))</f>
        <v/>
      </c>
      <c r="Q405" s="11" t="n"/>
      <c r="R405" s="11" t="n"/>
      <c r="S405" s="11" t="n"/>
      <c r="T405" s="11">
        <f>IF(OR(Q405="",R405=""),"",IFERROR(INDEX(LAYOUT!$D$2:$D$80,MATCH(Q405&amp;"|"&amp;R405,LAYOUT!$E$2:$E$80,0)),""))</f>
        <v/>
      </c>
      <c r="U405" s="12">
        <f>IF(AND(Q405="",R405=""),IF(AND(L405="",M405="",V405="",W405=""),IF(OR($D405&lt;&gt;"",$E405&lt;&gt;""),"Belum ditempatkan",""),""),IF(Q405="","CEK JENIS FIXTURE kosong",IF(LEFT(Q405,4)&lt;&gt;"Wall","CEK Fixture 2 hanya Wall",IF(R405="","CEK SHELVING KE kosong",IF(ISNA(MATCH(Q405&amp;"|"&amp;R405,LAYOUT!$E$2:$E$80,0)),"CEK SHELVING KE di luar layout",IF($I405="","CEK SERIES kosong",IF(AND(S405&lt;&gt;"",NOT(ISNUMBER(S405))),"CEK URUTAN DISPLAY harus angka",IF($D405="","Zona STOCK",IF($E405="","CEK SKU DESCRIPTION kosong",IF(COUNTIFS($I$2:$I$500,$I405,Q$2:Q$500,"&lt;&gt;"&amp;Q405,Q$2:Q$500,"&lt;&gt;")&gt;0,"CEK jenis fixture beda dalam satu series","OK"))))))))))</f>
        <v/>
      </c>
      <c r="V405" s="11" t="n"/>
      <c r="W405" s="11" t="n"/>
      <c r="X405" s="11" t="n"/>
      <c r="Y405" s="11">
        <f>IF(OR(V405="",W405=""),"",IFERROR(INDEX(LAYOUT!$D$2:$D$80,MATCH(V405&amp;"|"&amp;W405,LAYOUT!$E$2:$E$80,0)),""))</f>
        <v/>
      </c>
      <c r="Z405" s="12">
        <f>IF(AND(V405="",W405=""),IF(AND(L405="",M405="",Q405="",R405=""),IF(OR($D405&lt;&gt;"",$E405&lt;&gt;""),"Belum ditempatkan",""),""),IF(V405="","CEK JENIS FIXTURE kosong",IF(LEFT(V405,4)&lt;&gt;"Wall","CEK Fixture 3 hanya Wall",IF(W405="","CEK SHELVING KE kosong",IF(ISNA(MATCH(V405&amp;"|"&amp;W405,LAYOUT!$E$2:$E$80,0)),"CEK SHELVING KE di luar layout",IF($I405="","CEK SERIES kosong",IF(AND(X405&lt;&gt;"",NOT(ISNUMBER(X405))),"CEK URUTAN DISPLAY harus angka",IF($D405="","Zona STOCK",IF($E405="","CEK SKU DESCRIPTION kosong",IF(COUNTIFS($I$2:$I$500,$I405,V$2:V$500,"&lt;&gt;"&amp;V405,V$2:V$500,"&lt;&gt;")&gt;0,"CEK jenis fixture beda dalam satu series","OK"))))))))))</f>
        <v/>
      </c>
      <c r="AA405" s="12" t="n"/>
      <c r="AB405" s="11" t="n"/>
      <c r="AC405" s="11" t="n"/>
      <c r="AD405" s="11" t="n"/>
      <c r="AE405" s="11" t="n"/>
      <c r="AF405" s="11" t="n"/>
      <c r="AG405" s="11" t="n"/>
      <c r="AH405" s="12" t="n"/>
      <c r="AI405" s="12" t="n"/>
    </row>
    <row r="406">
      <c r="A406" s="10" t="n"/>
      <c r="B406" s="10" t="n"/>
      <c r="C406" s="10" t="n"/>
      <c r="D406" s="10" t="n"/>
      <c r="E406" s="10" t="n"/>
      <c r="F406" s="10" t="n"/>
      <c r="G406" s="10" t="n"/>
      <c r="H406" s="10" t="n"/>
      <c r="I406" s="10" t="n"/>
      <c r="J406" s="10" t="n"/>
      <c r="K406" s="10" t="n"/>
      <c r="L406" s="11" t="n"/>
      <c r="M406" s="11" t="n"/>
      <c r="N406" s="11" t="n"/>
      <c r="O406" s="11">
        <f>IF(OR(L406="",M406=""),"",IFERROR(INDEX(LAYOUT!$D$2:$D$80,MATCH(L406&amp;"|"&amp;M406,LAYOUT!$E$2:$E$80,0)),""))</f>
        <v/>
      </c>
      <c r="P406" s="12">
        <f>IF(AND(L406="",M406=""),IF(AND(Q406="",R406="",V406="",W406=""),IF(OR($D406&lt;&gt;"",$E406&lt;&gt;""),"Belum ditempatkan",""),""),IF(L406="","CEK JENIS FIXTURE kosong",IF(AND(LEFT(L406,7)&lt;&gt;"Gondola",LEFT(L406,6)&lt;&gt;"Endcap"),"CEK Fixture 1 hanya Gondola atau Endcap",IF(M406="","CEK SHELVING KE kosong",IF(ISNA(MATCH(L406&amp;"|"&amp;M406,LAYOUT!$E$2:$E$80,0)),"CEK SHELVING KE di luar layout",IF($I406="","CEK SERIES kosong",IF(AND(N406&lt;&gt;"",NOT(ISNUMBER(N406))),"CEK URUTAN DISPLAY harus angka",IF($D406="","Zona STOCK",IF($E406="","CEK SKU DESCRIPTION kosong",IF(COUNTIFS($I$2:$I$500,$I406,L$2:L$500,"&lt;&gt;"&amp;L406,L$2:L$500,"&lt;&gt;")&gt;0,"CEK jenis fixture beda dalam satu series","OK"))))))))))</f>
        <v/>
      </c>
      <c r="Q406" s="11" t="n"/>
      <c r="R406" s="11" t="n"/>
      <c r="S406" s="11" t="n"/>
      <c r="T406" s="11">
        <f>IF(OR(Q406="",R406=""),"",IFERROR(INDEX(LAYOUT!$D$2:$D$80,MATCH(Q406&amp;"|"&amp;R406,LAYOUT!$E$2:$E$80,0)),""))</f>
        <v/>
      </c>
      <c r="U406" s="12">
        <f>IF(AND(Q406="",R406=""),IF(AND(L406="",M406="",V406="",W406=""),IF(OR($D406&lt;&gt;"",$E406&lt;&gt;""),"Belum ditempatkan",""),""),IF(Q406="","CEK JENIS FIXTURE kosong",IF(LEFT(Q406,4)&lt;&gt;"Wall","CEK Fixture 2 hanya Wall",IF(R406="","CEK SHELVING KE kosong",IF(ISNA(MATCH(Q406&amp;"|"&amp;R406,LAYOUT!$E$2:$E$80,0)),"CEK SHELVING KE di luar layout",IF($I406="","CEK SERIES kosong",IF(AND(S406&lt;&gt;"",NOT(ISNUMBER(S406))),"CEK URUTAN DISPLAY harus angka",IF($D406="","Zona STOCK",IF($E406="","CEK SKU DESCRIPTION kosong",IF(COUNTIFS($I$2:$I$500,$I406,Q$2:Q$500,"&lt;&gt;"&amp;Q406,Q$2:Q$500,"&lt;&gt;")&gt;0,"CEK jenis fixture beda dalam satu series","OK"))))))))))</f>
        <v/>
      </c>
      <c r="V406" s="11" t="n"/>
      <c r="W406" s="11" t="n"/>
      <c r="X406" s="11" t="n"/>
      <c r="Y406" s="11">
        <f>IF(OR(V406="",W406=""),"",IFERROR(INDEX(LAYOUT!$D$2:$D$80,MATCH(V406&amp;"|"&amp;W406,LAYOUT!$E$2:$E$80,0)),""))</f>
        <v/>
      </c>
      <c r="Z406" s="12">
        <f>IF(AND(V406="",W406=""),IF(AND(L406="",M406="",Q406="",R406=""),IF(OR($D406&lt;&gt;"",$E406&lt;&gt;""),"Belum ditempatkan",""),""),IF(V406="","CEK JENIS FIXTURE kosong",IF(LEFT(V406,4)&lt;&gt;"Wall","CEK Fixture 3 hanya Wall",IF(W406="","CEK SHELVING KE kosong",IF(ISNA(MATCH(V406&amp;"|"&amp;W406,LAYOUT!$E$2:$E$80,0)),"CEK SHELVING KE di luar layout",IF($I406="","CEK SERIES kosong",IF(AND(X406&lt;&gt;"",NOT(ISNUMBER(X406))),"CEK URUTAN DISPLAY harus angka",IF($D406="","Zona STOCK",IF($E406="","CEK SKU DESCRIPTION kosong",IF(COUNTIFS($I$2:$I$500,$I406,V$2:V$500,"&lt;&gt;"&amp;V406,V$2:V$500,"&lt;&gt;")&gt;0,"CEK jenis fixture beda dalam satu series","OK"))))))))))</f>
        <v/>
      </c>
      <c r="AA406" s="12" t="n"/>
      <c r="AB406" s="11" t="n"/>
      <c r="AC406" s="11" t="n"/>
      <c r="AD406" s="11" t="n"/>
      <c r="AE406" s="11" t="n"/>
      <c r="AF406" s="11" t="n"/>
      <c r="AG406" s="11" t="n"/>
      <c r="AH406" s="12" t="n"/>
      <c r="AI406" s="12" t="n"/>
    </row>
    <row r="407">
      <c r="A407" s="10" t="n"/>
      <c r="B407" s="10" t="n"/>
      <c r="C407" s="10" t="n"/>
      <c r="D407" s="10" t="n"/>
      <c r="E407" s="10" t="n"/>
      <c r="F407" s="10" t="n"/>
      <c r="G407" s="10" t="n"/>
      <c r="H407" s="10" t="n"/>
      <c r="I407" s="10" t="n"/>
      <c r="J407" s="10" t="n"/>
      <c r="K407" s="10" t="n"/>
      <c r="L407" s="11" t="n"/>
      <c r="M407" s="11" t="n"/>
      <c r="N407" s="11" t="n"/>
      <c r="O407" s="11">
        <f>IF(OR(L407="",M407=""),"",IFERROR(INDEX(LAYOUT!$D$2:$D$80,MATCH(L407&amp;"|"&amp;M407,LAYOUT!$E$2:$E$80,0)),""))</f>
        <v/>
      </c>
      <c r="P407" s="12">
        <f>IF(AND(L407="",M407=""),IF(AND(Q407="",R407="",V407="",W407=""),IF(OR($D407&lt;&gt;"",$E407&lt;&gt;""),"Belum ditempatkan",""),""),IF(L407="","CEK JENIS FIXTURE kosong",IF(AND(LEFT(L407,7)&lt;&gt;"Gondola",LEFT(L407,6)&lt;&gt;"Endcap"),"CEK Fixture 1 hanya Gondola atau Endcap",IF(M407="","CEK SHELVING KE kosong",IF(ISNA(MATCH(L407&amp;"|"&amp;M407,LAYOUT!$E$2:$E$80,0)),"CEK SHELVING KE di luar layout",IF($I407="","CEK SERIES kosong",IF(AND(N407&lt;&gt;"",NOT(ISNUMBER(N407))),"CEK URUTAN DISPLAY harus angka",IF($D407="","Zona STOCK",IF($E407="","CEK SKU DESCRIPTION kosong",IF(COUNTIFS($I$2:$I$500,$I407,L$2:L$500,"&lt;&gt;"&amp;L407,L$2:L$500,"&lt;&gt;")&gt;0,"CEK jenis fixture beda dalam satu series","OK"))))))))))</f>
        <v/>
      </c>
      <c r="Q407" s="11" t="n"/>
      <c r="R407" s="11" t="n"/>
      <c r="S407" s="11" t="n"/>
      <c r="T407" s="11">
        <f>IF(OR(Q407="",R407=""),"",IFERROR(INDEX(LAYOUT!$D$2:$D$80,MATCH(Q407&amp;"|"&amp;R407,LAYOUT!$E$2:$E$80,0)),""))</f>
        <v/>
      </c>
      <c r="U407" s="12">
        <f>IF(AND(Q407="",R407=""),IF(AND(L407="",M407="",V407="",W407=""),IF(OR($D407&lt;&gt;"",$E407&lt;&gt;""),"Belum ditempatkan",""),""),IF(Q407="","CEK JENIS FIXTURE kosong",IF(LEFT(Q407,4)&lt;&gt;"Wall","CEK Fixture 2 hanya Wall",IF(R407="","CEK SHELVING KE kosong",IF(ISNA(MATCH(Q407&amp;"|"&amp;R407,LAYOUT!$E$2:$E$80,0)),"CEK SHELVING KE di luar layout",IF($I407="","CEK SERIES kosong",IF(AND(S407&lt;&gt;"",NOT(ISNUMBER(S407))),"CEK URUTAN DISPLAY harus angka",IF($D407="","Zona STOCK",IF($E407="","CEK SKU DESCRIPTION kosong",IF(COUNTIFS($I$2:$I$500,$I407,Q$2:Q$500,"&lt;&gt;"&amp;Q407,Q$2:Q$500,"&lt;&gt;")&gt;0,"CEK jenis fixture beda dalam satu series","OK"))))))))))</f>
        <v/>
      </c>
      <c r="V407" s="11" t="n"/>
      <c r="W407" s="11" t="n"/>
      <c r="X407" s="11" t="n"/>
      <c r="Y407" s="11">
        <f>IF(OR(V407="",W407=""),"",IFERROR(INDEX(LAYOUT!$D$2:$D$80,MATCH(V407&amp;"|"&amp;W407,LAYOUT!$E$2:$E$80,0)),""))</f>
        <v/>
      </c>
      <c r="Z407" s="12">
        <f>IF(AND(V407="",W407=""),IF(AND(L407="",M407="",Q407="",R407=""),IF(OR($D407&lt;&gt;"",$E407&lt;&gt;""),"Belum ditempatkan",""),""),IF(V407="","CEK JENIS FIXTURE kosong",IF(LEFT(V407,4)&lt;&gt;"Wall","CEK Fixture 3 hanya Wall",IF(W407="","CEK SHELVING KE kosong",IF(ISNA(MATCH(V407&amp;"|"&amp;W407,LAYOUT!$E$2:$E$80,0)),"CEK SHELVING KE di luar layout",IF($I407="","CEK SERIES kosong",IF(AND(X407&lt;&gt;"",NOT(ISNUMBER(X407))),"CEK URUTAN DISPLAY harus angka",IF($D407="","Zona STOCK",IF($E407="","CEK SKU DESCRIPTION kosong",IF(COUNTIFS($I$2:$I$500,$I407,V$2:V$500,"&lt;&gt;"&amp;V407,V$2:V$500,"&lt;&gt;")&gt;0,"CEK jenis fixture beda dalam satu series","OK"))))))))))</f>
        <v/>
      </c>
      <c r="AA407" s="12" t="n"/>
      <c r="AB407" s="11" t="n"/>
      <c r="AC407" s="11" t="n"/>
      <c r="AD407" s="11" t="n"/>
      <c r="AE407" s="11" t="n"/>
      <c r="AF407" s="11" t="n"/>
      <c r="AG407" s="11" t="n"/>
      <c r="AH407" s="12" t="n"/>
      <c r="AI407" s="12" t="n"/>
    </row>
    <row r="408">
      <c r="A408" s="10" t="n"/>
      <c r="B408" s="10" t="n"/>
      <c r="C408" s="10" t="n"/>
      <c r="D408" s="10" t="n"/>
      <c r="E408" s="10" t="n"/>
      <c r="F408" s="10" t="n"/>
      <c r="G408" s="10" t="n"/>
      <c r="H408" s="10" t="n"/>
      <c r="I408" s="10" t="n"/>
      <c r="J408" s="10" t="n"/>
      <c r="K408" s="10" t="n"/>
      <c r="L408" s="11" t="n"/>
      <c r="M408" s="11" t="n"/>
      <c r="N408" s="11" t="n"/>
      <c r="O408" s="11">
        <f>IF(OR(L408="",M408=""),"",IFERROR(INDEX(LAYOUT!$D$2:$D$80,MATCH(L408&amp;"|"&amp;M408,LAYOUT!$E$2:$E$80,0)),""))</f>
        <v/>
      </c>
      <c r="P408" s="12">
        <f>IF(AND(L408="",M408=""),IF(AND(Q408="",R408="",V408="",W408=""),IF(OR($D408&lt;&gt;"",$E408&lt;&gt;""),"Belum ditempatkan",""),""),IF(L408="","CEK JENIS FIXTURE kosong",IF(AND(LEFT(L408,7)&lt;&gt;"Gondola",LEFT(L408,6)&lt;&gt;"Endcap"),"CEK Fixture 1 hanya Gondola atau Endcap",IF(M408="","CEK SHELVING KE kosong",IF(ISNA(MATCH(L408&amp;"|"&amp;M408,LAYOUT!$E$2:$E$80,0)),"CEK SHELVING KE di luar layout",IF($I408="","CEK SERIES kosong",IF(AND(N408&lt;&gt;"",NOT(ISNUMBER(N408))),"CEK URUTAN DISPLAY harus angka",IF($D408="","Zona STOCK",IF($E408="","CEK SKU DESCRIPTION kosong",IF(COUNTIFS($I$2:$I$500,$I408,L$2:L$500,"&lt;&gt;"&amp;L408,L$2:L$500,"&lt;&gt;")&gt;0,"CEK jenis fixture beda dalam satu series","OK"))))))))))</f>
        <v/>
      </c>
      <c r="Q408" s="11" t="n"/>
      <c r="R408" s="11" t="n"/>
      <c r="S408" s="11" t="n"/>
      <c r="T408" s="11">
        <f>IF(OR(Q408="",R408=""),"",IFERROR(INDEX(LAYOUT!$D$2:$D$80,MATCH(Q408&amp;"|"&amp;R408,LAYOUT!$E$2:$E$80,0)),""))</f>
        <v/>
      </c>
      <c r="U408" s="12">
        <f>IF(AND(Q408="",R408=""),IF(AND(L408="",M408="",V408="",W408=""),IF(OR($D408&lt;&gt;"",$E408&lt;&gt;""),"Belum ditempatkan",""),""),IF(Q408="","CEK JENIS FIXTURE kosong",IF(LEFT(Q408,4)&lt;&gt;"Wall","CEK Fixture 2 hanya Wall",IF(R408="","CEK SHELVING KE kosong",IF(ISNA(MATCH(Q408&amp;"|"&amp;R408,LAYOUT!$E$2:$E$80,0)),"CEK SHELVING KE di luar layout",IF($I408="","CEK SERIES kosong",IF(AND(S408&lt;&gt;"",NOT(ISNUMBER(S408))),"CEK URUTAN DISPLAY harus angka",IF($D408="","Zona STOCK",IF($E408="","CEK SKU DESCRIPTION kosong",IF(COUNTIFS($I$2:$I$500,$I408,Q$2:Q$500,"&lt;&gt;"&amp;Q408,Q$2:Q$500,"&lt;&gt;")&gt;0,"CEK jenis fixture beda dalam satu series","OK"))))))))))</f>
        <v/>
      </c>
      <c r="V408" s="11" t="n"/>
      <c r="W408" s="11" t="n"/>
      <c r="X408" s="11" t="n"/>
      <c r="Y408" s="11">
        <f>IF(OR(V408="",W408=""),"",IFERROR(INDEX(LAYOUT!$D$2:$D$80,MATCH(V408&amp;"|"&amp;W408,LAYOUT!$E$2:$E$80,0)),""))</f>
        <v/>
      </c>
      <c r="Z408" s="12">
        <f>IF(AND(V408="",W408=""),IF(AND(L408="",M408="",Q408="",R408=""),IF(OR($D408&lt;&gt;"",$E408&lt;&gt;""),"Belum ditempatkan",""),""),IF(V408="","CEK JENIS FIXTURE kosong",IF(LEFT(V408,4)&lt;&gt;"Wall","CEK Fixture 3 hanya Wall",IF(W408="","CEK SHELVING KE kosong",IF(ISNA(MATCH(V408&amp;"|"&amp;W408,LAYOUT!$E$2:$E$80,0)),"CEK SHELVING KE di luar layout",IF($I408="","CEK SERIES kosong",IF(AND(X408&lt;&gt;"",NOT(ISNUMBER(X408))),"CEK URUTAN DISPLAY harus angka",IF($D408="","Zona STOCK",IF($E408="","CEK SKU DESCRIPTION kosong",IF(COUNTIFS($I$2:$I$500,$I408,V$2:V$500,"&lt;&gt;"&amp;V408,V$2:V$500,"&lt;&gt;")&gt;0,"CEK jenis fixture beda dalam satu series","OK"))))))))))</f>
        <v/>
      </c>
      <c r="AA408" s="12" t="n"/>
      <c r="AB408" s="11" t="n"/>
      <c r="AC408" s="11" t="n"/>
      <c r="AD408" s="11" t="n"/>
      <c r="AE408" s="11" t="n"/>
      <c r="AF408" s="11" t="n"/>
      <c r="AG408" s="11" t="n"/>
      <c r="AH408" s="12" t="n"/>
      <c r="AI408" s="12" t="n"/>
    </row>
    <row r="409">
      <c r="A409" s="10" t="n"/>
      <c r="B409" s="10" t="n"/>
      <c r="C409" s="10" t="n"/>
      <c r="D409" s="10" t="n"/>
      <c r="E409" s="10" t="n"/>
      <c r="F409" s="10" t="n"/>
      <c r="G409" s="10" t="n"/>
      <c r="H409" s="10" t="n"/>
      <c r="I409" s="10" t="n"/>
      <c r="J409" s="10" t="n"/>
      <c r="K409" s="10" t="n"/>
      <c r="L409" s="11" t="n"/>
      <c r="M409" s="11" t="n"/>
      <c r="N409" s="11" t="n"/>
      <c r="O409" s="11">
        <f>IF(OR(L409="",M409=""),"",IFERROR(INDEX(LAYOUT!$D$2:$D$80,MATCH(L409&amp;"|"&amp;M409,LAYOUT!$E$2:$E$80,0)),""))</f>
        <v/>
      </c>
      <c r="P409" s="12">
        <f>IF(AND(L409="",M409=""),IF(AND(Q409="",R409="",V409="",W409=""),IF(OR($D409&lt;&gt;"",$E409&lt;&gt;""),"Belum ditempatkan",""),""),IF(L409="","CEK JENIS FIXTURE kosong",IF(AND(LEFT(L409,7)&lt;&gt;"Gondola",LEFT(L409,6)&lt;&gt;"Endcap"),"CEK Fixture 1 hanya Gondola atau Endcap",IF(M409="","CEK SHELVING KE kosong",IF(ISNA(MATCH(L409&amp;"|"&amp;M409,LAYOUT!$E$2:$E$80,0)),"CEK SHELVING KE di luar layout",IF($I409="","CEK SERIES kosong",IF(AND(N409&lt;&gt;"",NOT(ISNUMBER(N409))),"CEK URUTAN DISPLAY harus angka",IF($D409="","Zona STOCK",IF($E409="","CEK SKU DESCRIPTION kosong",IF(COUNTIFS($I$2:$I$500,$I409,L$2:L$500,"&lt;&gt;"&amp;L409,L$2:L$500,"&lt;&gt;")&gt;0,"CEK jenis fixture beda dalam satu series","OK"))))))))))</f>
        <v/>
      </c>
      <c r="Q409" s="11" t="n"/>
      <c r="R409" s="11" t="n"/>
      <c r="S409" s="11" t="n"/>
      <c r="T409" s="11">
        <f>IF(OR(Q409="",R409=""),"",IFERROR(INDEX(LAYOUT!$D$2:$D$80,MATCH(Q409&amp;"|"&amp;R409,LAYOUT!$E$2:$E$80,0)),""))</f>
        <v/>
      </c>
      <c r="U409" s="12">
        <f>IF(AND(Q409="",R409=""),IF(AND(L409="",M409="",V409="",W409=""),IF(OR($D409&lt;&gt;"",$E409&lt;&gt;""),"Belum ditempatkan",""),""),IF(Q409="","CEK JENIS FIXTURE kosong",IF(LEFT(Q409,4)&lt;&gt;"Wall","CEK Fixture 2 hanya Wall",IF(R409="","CEK SHELVING KE kosong",IF(ISNA(MATCH(Q409&amp;"|"&amp;R409,LAYOUT!$E$2:$E$80,0)),"CEK SHELVING KE di luar layout",IF($I409="","CEK SERIES kosong",IF(AND(S409&lt;&gt;"",NOT(ISNUMBER(S409))),"CEK URUTAN DISPLAY harus angka",IF($D409="","Zona STOCK",IF($E409="","CEK SKU DESCRIPTION kosong",IF(COUNTIFS($I$2:$I$500,$I409,Q$2:Q$500,"&lt;&gt;"&amp;Q409,Q$2:Q$500,"&lt;&gt;")&gt;0,"CEK jenis fixture beda dalam satu series","OK"))))))))))</f>
        <v/>
      </c>
      <c r="V409" s="11" t="n"/>
      <c r="W409" s="11" t="n"/>
      <c r="X409" s="11" t="n"/>
      <c r="Y409" s="11">
        <f>IF(OR(V409="",W409=""),"",IFERROR(INDEX(LAYOUT!$D$2:$D$80,MATCH(V409&amp;"|"&amp;W409,LAYOUT!$E$2:$E$80,0)),""))</f>
        <v/>
      </c>
      <c r="Z409" s="12">
        <f>IF(AND(V409="",W409=""),IF(AND(L409="",M409="",Q409="",R409=""),IF(OR($D409&lt;&gt;"",$E409&lt;&gt;""),"Belum ditempatkan",""),""),IF(V409="","CEK JENIS FIXTURE kosong",IF(LEFT(V409,4)&lt;&gt;"Wall","CEK Fixture 3 hanya Wall",IF(W409="","CEK SHELVING KE kosong",IF(ISNA(MATCH(V409&amp;"|"&amp;W409,LAYOUT!$E$2:$E$80,0)),"CEK SHELVING KE di luar layout",IF($I409="","CEK SERIES kosong",IF(AND(X409&lt;&gt;"",NOT(ISNUMBER(X409))),"CEK URUTAN DISPLAY harus angka",IF($D409="","Zona STOCK",IF($E409="","CEK SKU DESCRIPTION kosong",IF(COUNTIFS($I$2:$I$500,$I409,V$2:V$500,"&lt;&gt;"&amp;V409,V$2:V$500,"&lt;&gt;")&gt;0,"CEK jenis fixture beda dalam satu series","OK"))))))))))</f>
        <v/>
      </c>
      <c r="AA409" s="12" t="n"/>
      <c r="AB409" s="11" t="n"/>
      <c r="AC409" s="11" t="n"/>
      <c r="AD409" s="11" t="n"/>
      <c r="AE409" s="11" t="n"/>
      <c r="AF409" s="11" t="n"/>
      <c r="AG409" s="11" t="n"/>
      <c r="AH409" s="12" t="n"/>
      <c r="AI409" s="12" t="n"/>
    </row>
    <row r="410">
      <c r="A410" s="10" t="n"/>
      <c r="B410" s="10" t="n"/>
      <c r="C410" s="10" t="n"/>
      <c r="D410" s="10" t="n"/>
      <c r="E410" s="10" t="n"/>
      <c r="F410" s="10" t="n"/>
      <c r="G410" s="10" t="n"/>
      <c r="H410" s="10" t="n"/>
      <c r="I410" s="10" t="n"/>
      <c r="J410" s="10" t="n"/>
      <c r="K410" s="10" t="n"/>
      <c r="L410" s="11" t="n"/>
      <c r="M410" s="11" t="n"/>
      <c r="N410" s="11" t="n"/>
      <c r="O410" s="11">
        <f>IF(OR(L410="",M410=""),"",IFERROR(INDEX(LAYOUT!$D$2:$D$80,MATCH(L410&amp;"|"&amp;M410,LAYOUT!$E$2:$E$80,0)),""))</f>
        <v/>
      </c>
      <c r="P410" s="12">
        <f>IF(AND(L410="",M410=""),IF(AND(Q410="",R410="",V410="",W410=""),IF(OR($D410&lt;&gt;"",$E410&lt;&gt;""),"Belum ditempatkan",""),""),IF(L410="","CEK JENIS FIXTURE kosong",IF(AND(LEFT(L410,7)&lt;&gt;"Gondola",LEFT(L410,6)&lt;&gt;"Endcap"),"CEK Fixture 1 hanya Gondola atau Endcap",IF(M410="","CEK SHELVING KE kosong",IF(ISNA(MATCH(L410&amp;"|"&amp;M410,LAYOUT!$E$2:$E$80,0)),"CEK SHELVING KE di luar layout",IF($I410="","CEK SERIES kosong",IF(AND(N410&lt;&gt;"",NOT(ISNUMBER(N410))),"CEK URUTAN DISPLAY harus angka",IF($D410="","Zona STOCK",IF($E410="","CEK SKU DESCRIPTION kosong",IF(COUNTIFS($I$2:$I$500,$I410,L$2:L$500,"&lt;&gt;"&amp;L410,L$2:L$500,"&lt;&gt;")&gt;0,"CEK jenis fixture beda dalam satu series","OK"))))))))))</f>
        <v/>
      </c>
      <c r="Q410" s="11" t="n"/>
      <c r="R410" s="11" t="n"/>
      <c r="S410" s="11" t="n"/>
      <c r="T410" s="11">
        <f>IF(OR(Q410="",R410=""),"",IFERROR(INDEX(LAYOUT!$D$2:$D$80,MATCH(Q410&amp;"|"&amp;R410,LAYOUT!$E$2:$E$80,0)),""))</f>
        <v/>
      </c>
      <c r="U410" s="12">
        <f>IF(AND(Q410="",R410=""),IF(AND(L410="",M410="",V410="",W410=""),IF(OR($D410&lt;&gt;"",$E410&lt;&gt;""),"Belum ditempatkan",""),""),IF(Q410="","CEK JENIS FIXTURE kosong",IF(LEFT(Q410,4)&lt;&gt;"Wall","CEK Fixture 2 hanya Wall",IF(R410="","CEK SHELVING KE kosong",IF(ISNA(MATCH(Q410&amp;"|"&amp;R410,LAYOUT!$E$2:$E$80,0)),"CEK SHELVING KE di luar layout",IF($I410="","CEK SERIES kosong",IF(AND(S410&lt;&gt;"",NOT(ISNUMBER(S410))),"CEK URUTAN DISPLAY harus angka",IF($D410="","Zona STOCK",IF($E410="","CEK SKU DESCRIPTION kosong",IF(COUNTIFS($I$2:$I$500,$I410,Q$2:Q$500,"&lt;&gt;"&amp;Q410,Q$2:Q$500,"&lt;&gt;")&gt;0,"CEK jenis fixture beda dalam satu series","OK"))))))))))</f>
        <v/>
      </c>
      <c r="V410" s="11" t="n"/>
      <c r="W410" s="11" t="n"/>
      <c r="X410" s="11" t="n"/>
      <c r="Y410" s="11">
        <f>IF(OR(V410="",W410=""),"",IFERROR(INDEX(LAYOUT!$D$2:$D$80,MATCH(V410&amp;"|"&amp;W410,LAYOUT!$E$2:$E$80,0)),""))</f>
        <v/>
      </c>
      <c r="Z410" s="12">
        <f>IF(AND(V410="",W410=""),IF(AND(L410="",M410="",Q410="",R410=""),IF(OR($D410&lt;&gt;"",$E410&lt;&gt;""),"Belum ditempatkan",""),""),IF(V410="","CEK JENIS FIXTURE kosong",IF(LEFT(V410,4)&lt;&gt;"Wall","CEK Fixture 3 hanya Wall",IF(W410="","CEK SHELVING KE kosong",IF(ISNA(MATCH(V410&amp;"|"&amp;W410,LAYOUT!$E$2:$E$80,0)),"CEK SHELVING KE di luar layout",IF($I410="","CEK SERIES kosong",IF(AND(X410&lt;&gt;"",NOT(ISNUMBER(X410))),"CEK URUTAN DISPLAY harus angka",IF($D410="","Zona STOCK",IF($E410="","CEK SKU DESCRIPTION kosong",IF(COUNTIFS($I$2:$I$500,$I410,V$2:V$500,"&lt;&gt;"&amp;V410,V$2:V$500,"&lt;&gt;")&gt;0,"CEK jenis fixture beda dalam satu series","OK"))))))))))</f>
        <v/>
      </c>
      <c r="AA410" s="12" t="n"/>
      <c r="AB410" s="11" t="n"/>
      <c r="AC410" s="11" t="n"/>
      <c r="AD410" s="11" t="n"/>
      <c r="AE410" s="11" t="n"/>
      <c r="AF410" s="11" t="n"/>
      <c r="AG410" s="11" t="n"/>
      <c r="AH410" s="12" t="n"/>
      <c r="AI410" s="12" t="n"/>
    </row>
    <row r="411">
      <c r="A411" s="10" t="n"/>
      <c r="B411" s="10" t="n"/>
      <c r="C411" s="10" t="n"/>
      <c r="D411" s="10" t="n"/>
      <c r="E411" s="10" t="n"/>
      <c r="F411" s="10" t="n"/>
      <c r="G411" s="10" t="n"/>
      <c r="H411" s="10" t="n"/>
      <c r="I411" s="10" t="n"/>
      <c r="J411" s="10" t="n"/>
      <c r="K411" s="10" t="n"/>
      <c r="L411" s="11" t="n"/>
      <c r="M411" s="11" t="n"/>
      <c r="N411" s="11" t="n"/>
      <c r="O411" s="11">
        <f>IF(OR(L411="",M411=""),"",IFERROR(INDEX(LAYOUT!$D$2:$D$80,MATCH(L411&amp;"|"&amp;M411,LAYOUT!$E$2:$E$80,0)),""))</f>
        <v/>
      </c>
      <c r="P411" s="12">
        <f>IF(AND(L411="",M411=""),IF(AND(Q411="",R411="",V411="",W411=""),IF(OR($D411&lt;&gt;"",$E411&lt;&gt;""),"Belum ditempatkan",""),""),IF(L411="","CEK JENIS FIXTURE kosong",IF(AND(LEFT(L411,7)&lt;&gt;"Gondola",LEFT(L411,6)&lt;&gt;"Endcap"),"CEK Fixture 1 hanya Gondola atau Endcap",IF(M411="","CEK SHELVING KE kosong",IF(ISNA(MATCH(L411&amp;"|"&amp;M411,LAYOUT!$E$2:$E$80,0)),"CEK SHELVING KE di luar layout",IF($I411="","CEK SERIES kosong",IF(AND(N411&lt;&gt;"",NOT(ISNUMBER(N411))),"CEK URUTAN DISPLAY harus angka",IF($D411="","Zona STOCK",IF($E411="","CEK SKU DESCRIPTION kosong",IF(COUNTIFS($I$2:$I$500,$I411,L$2:L$500,"&lt;&gt;"&amp;L411,L$2:L$500,"&lt;&gt;")&gt;0,"CEK jenis fixture beda dalam satu series","OK"))))))))))</f>
        <v/>
      </c>
      <c r="Q411" s="11" t="n"/>
      <c r="R411" s="11" t="n"/>
      <c r="S411" s="11" t="n"/>
      <c r="T411" s="11">
        <f>IF(OR(Q411="",R411=""),"",IFERROR(INDEX(LAYOUT!$D$2:$D$80,MATCH(Q411&amp;"|"&amp;R411,LAYOUT!$E$2:$E$80,0)),""))</f>
        <v/>
      </c>
      <c r="U411" s="12">
        <f>IF(AND(Q411="",R411=""),IF(AND(L411="",M411="",V411="",W411=""),IF(OR($D411&lt;&gt;"",$E411&lt;&gt;""),"Belum ditempatkan",""),""),IF(Q411="","CEK JENIS FIXTURE kosong",IF(LEFT(Q411,4)&lt;&gt;"Wall","CEK Fixture 2 hanya Wall",IF(R411="","CEK SHELVING KE kosong",IF(ISNA(MATCH(Q411&amp;"|"&amp;R411,LAYOUT!$E$2:$E$80,0)),"CEK SHELVING KE di luar layout",IF($I411="","CEK SERIES kosong",IF(AND(S411&lt;&gt;"",NOT(ISNUMBER(S411))),"CEK URUTAN DISPLAY harus angka",IF($D411="","Zona STOCK",IF($E411="","CEK SKU DESCRIPTION kosong",IF(COUNTIFS($I$2:$I$500,$I411,Q$2:Q$500,"&lt;&gt;"&amp;Q411,Q$2:Q$500,"&lt;&gt;")&gt;0,"CEK jenis fixture beda dalam satu series","OK"))))))))))</f>
        <v/>
      </c>
      <c r="V411" s="11" t="n"/>
      <c r="W411" s="11" t="n"/>
      <c r="X411" s="11" t="n"/>
      <c r="Y411" s="11">
        <f>IF(OR(V411="",W411=""),"",IFERROR(INDEX(LAYOUT!$D$2:$D$80,MATCH(V411&amp;"|"&amp;W411,LAYOUT!$E$2:$E$80,0)),""))</f>
        <v/>
      </c>
      <c r="Z411" s="12">
        <f>IF(AND(V411="",W411=""),IF(AND(L411="",M411="",Q411="",R411=""),IF(OR($D411&lt;&gt;"",$E411&lt;&gt;""),"Belum ditempatkan",""),""),IF(V411="","CEK JENIS FIXTURE kosong",IF(LEFT(V411,4)&lt;&gt;"Wall","CEK Fixture 3 hanya Wall",IF(W411="","CEK SHELVING KE kosong",IF(ISNA(MATCH(V411&amp;"|"&amp;W411,LAYOUT!$E$2:$E$80,0)),"CEK SHELVING KE di luar layout",IF($I411="","CEK SERIES kosong",IF(AND(X411&lt;&gt;"",NOT(ISNUMBER(X411))),"CEK URUTAN DISPLAY harus angka",IF($D411="","Zona STOCK",IF($E411="","CEK SKU DESCRIPTION kosong",IF(COUNTIFS($I$2:$I$500,$I411,V$2:V$500,"&lt;&gt;"&amp;V411,V$2:V$500,"&lt;&gt;")&gt;0,"CEK jenis fixture beda dalam satu series","OK"))))))))))</f>
        <v/>
      </c>
      <c r="AA411" s="12" t="n"/>
      <c r="AB411" s="11" t="n"/>
      <c r="AC411" s="11" t="n"/>
      <c r="AD411" s="11" t="n"/>
      <c r="AE411" s="11" t="n"/>
      <c r="AF411" s="11" t="n"/>
      <c r="AG411" s="11" t="n"/>
      <c r="AH411" s="12" t="n"/>
      <c r="AI411" s="12" t="n"/>
    </row>
    <row r="412">
      <c r="A412" s="10" t="n"/>
      <c r="B412" s="10" t="n"/>
      <c r="C412" s="10" t="n"/>
      <c r="D412" s="10" t="n"/>
      <c r="E412" s="10" t="n"/>
      <c r="F412" s="10" t="n"/>
      <c r="G412" s="10" t="n"/>
      <c r="H412" s="10" t="n"/>
      <c r="I412" s="10" t="n"/>
      <c r="J412" s="10" t="n"/>
      <c r="K412" s="10" t="n"/>
      <c r="L412" s="11" t="n"/>
      <c r="M412" s="11" t="n"/>
      <c r="N412" s="11" t="n"/>
      <c r="O412" s="11">
        <f>IF(OR(L412="",M412=""),"",IFERROR(INDEX(LAYOUT!$D$2:$D$80,MATCH(L412&amp;"|"&amp;M412,LAYOUT!$E$2:$E$80,0)),""))</f>
        <v/>
      </c>
      <c r="P412" s="12">
        <f>IF(AND(L412="",M412=""),IF(AND(Q412="",R412="",V412="",W412=""),IF(OR($D412&lt;&gt;"",$E412&lt;&gt;""),"Belum ditempatkan",""),""),IF(L412="","CEK JENIS FIXTURE kosong",IF(AND(LEFT(L412,7)&lt;&gt;"Gondola",LEFT(L412,6)&lt;&gt;"Endcap"),"CEK Fixture 1 hanya Gondola atau Endcap",IF(M412="","CEK SHELVING KE kosong",IF(ISNA(MATCH(L412&amp;"|"&amp;M412,LAYOUT!$E$2:$E$80,0)),"CEK SHELVING KE di luar layout",IF($I412="","CEK SERIES kosong",IF(AND(N412&lt;&gt;"",NOT(ISNUMBER(N412))),"CEK URUTAN DISPLAY harus angka",IF($D412="","Zona STOCK",IF($E412="","CEK SKU DESCRIPTION kosong",IF(COUNTIFS($I$2:$I$500,$I412,L$2:L$500,"&lt;&gt;"&amp;L412,L$2:L$500,"&lt;&gt;")&gt;0,"CEK jenis fixture beda dalam satu series","OK"))))))))))</f>
        <v/>
      </c>
      <c r="Q412" s="11" t="n"/>
      <c r="R412" s="11" t="n"/>
      <c r="S412" s="11" t="n"/>
      <c r="T412" s="11">
        <f>IF(OR(Q412="",R412=""),"",IFERROR(INDEX(LAYOUT!$D$2:$D$80,MATCH(Q412&amp;"|"&amp;R412,LAYOUT!$E$2:$E$80,0)),""))</f>
        <v/>
      </c>
      <c r="U412" s="12">
        <f>IF(AND(Q412="",R412=""),IF(AND(L412="",M412="",V412="",W412=""),IF(OR($D412&lt;&gt;"",$E412&lt;&gt;""),"Belum ditempatkan",""),""),IF(Q412="","CEK JENIS FIXTURE kosong",IF(LEFT(Q412,4)&lt;&gt;"Wall","CEK Fixture 2 hanya Wall",IF(R412="","CEK SHELVING KE kosong",IF(ISNA(MATCH(Q412&amp;"|"&amp;R412,LAYOUT!$E$2:$E$80,0)),"CEK SHELVING KE di luar layout",IF($I412="","CEK SERIES kosong",IF(AND(S412&lt;&gt;"",NOT(ISNUMBER(S412))),"CEK URUTAN DISPLAY harus angka",IF($D412="","Zona STOCK",IF($E412="","CEK SKU DESCRIPTION kosong",IF(COUNTIFS($I$2:$I$500,$I412,Q$2:Q$500,"&lt;&gt;"&amp;Q412,Q$2:Q$500,"&lt;&gt;")&gt;0,"CEK jenis fixture beda dalam satu series","OK"))))))))))</f>
        <v/>
      </c>
      <c r="V412" s="11" t="n"/>
      <c r="W412" s="11" t="n"/>
      <c r="X412" s="11" t="n"/>
      <c r="Y412" s="11">
        <f>IF(OR(V412="",W412=""),"",IFERROR(INDEX(LAYOUT!$D$2:$D$80,MATCH(V412&amp;"|"&amp;W412,LAYOUT!$E$2:$E$80,0)),""))</f>
        <v/>
      </c>
      <c r="Z412" s="12">
        <f>IF(AND(V412="",W412=""),IF(AND(L412="",M412="",Q412="",R412=""),IF(OR($D412&lt;&gt;"",$E412&lt;&gt;""),"Belum ditempatkan",""),""),IF(V412="","CEK JENIS FIXTURE kosong",IF(LEFT(V412,4)&lt;&gt;"Wall","CEK Fixture 3 hanya Wall",IF(W412="","CEK SHELVING KE kosong",IF(ISNA(MATCH(V412&amp;"|"&amp;W412,LAYOUT!$E$2:$E$80,0)),"CEK SHELVING KE di luar layout",IF($I412="","CEK SERIES kosong",IF(AND(X412&lt;&gt;"",NOT(ISNUMBER(X412))),"CEK URUTAN DISPLAY harus angka",IF($D412="","Zona STOCK",IF($E412="","CEK SKU DESCRIPTION kosong",IF(COUNTIFS($I$2:$I$500,$I412,V$2:V$500,"&lt;&gt;"&amp;V412,V$2:V$500,"&lt;&gt;")&gt;0,"CEK jenis fixture beda dalam satu series","OK"))))))))))</f>
        <v/>
      </c>
      <c r="AA412" s="12" t="n"/>
      <c r="AB412" s="11" t="n"/>
      <c r="AC412" s="11" t="n"/>
      <c r="AD412" s="11" t="n"/>
      <c r="AE412" s="11" t="n"/>
      <c r="AF412" s="11" t="n"/>
      <c r="AG412" s="11" t="n"/>
      <c r="AH412" s="12" t="n"/>
      <c r="AI412" s="12" t="n"/>
    </row>
    <row r="413">
      <c r="A413" s="10" t="n"/>
      <c r="B413" s="10" t="n"/>
      <c r="C413" s="10" t="n"/>
      <c r="D413" s="10" t="n"/>
      <c r="E413" s="10" t="n"/>
      <c r="F413" s="10" t="n"/>
      <c r="G413" s="10" t="n"/>
      <c r="H413" s="10" t="n"/>
      <c r="I413" s="10" t="n"/>
      <c r="J413" s="10" t="n"/>
      <c r="K413" s="10" t="n"/>
      <c r="L413" s="11" t="n"/>
      <c r="M413" s="11" t="n"/>
      <c r="N413" s="11" t="n"/>
      <c r="O413" s="11">
        <f>IF(OR(L413="",M413=""),"",IFERROR(INDEX(LAYOUT!$D$2:$D$80,MATCH(L413&amp;"|"&amp;M413,LAYOUT!$E$2:$E$80,0)),""))</f>
        <v/>
      </c>
      <c r="P413" s="12">
        <f>IF(AND(L413="",M413=""),IF(AND(Q413="",R413="",V413="",W413=""),IF(OR($D413&lt;&gt;"",$E413&lt;&gt;""),"Belum ditempatkan",""),""),IF(L413="","CEK JENIS FIXTURE kosong",IF(AND(LEFT(L413,7)&lt;&gt;"Gondola",LEFT(L413,6)&lt;&gt;"Endcap"),"CEK Fixture 1 hanya Gondola atau Endcap",IF(M413="","CEK SHELVING KE kosong",IF(ISNA(MATCH(L413&amp;"|"&amp;M413,LAYOUT!$E$2:$E$80,0)),"CEK SHELVING KE di luar layout",IF($I413="","CEK SERIES kosong",IF(AND(N413&lt;&gt;"",NOT(ISNUMBER(N413))),"CEK URUTAN DISPLAY harus angka",IF($D413="","Zona STOCK",IF($E413="","CEK SKU DESCRIPTION kosong",IF(COUNTIFS($I$2:$I$500,$I413,L$2:L$500,"&lt;&gt;"&amp;L413,L$2:L$500,"&lt;&gt;")&gt;0,"CEK jenis fixture beda dalam satu series","OK"))))))))))</f>
        <v/>
      </c>
      <c r="Q413" s="11" t="n"/>
      <c r="R413" s="11" t="n"/>
      <c r="S413" s="11" t="n"/>
      <c r="T413" s="11">
        <f>IF(OR(Q413="",R413=""),"",IFERROR(INDEX(LAYOUT!$D$2:$D$80,MATCH(Q413&amp;"|"&amp;R413,LAYOUT!$E$2:$E$80,0)),""))</f>
        <v/>
      </c>
      <c r="U413" s="12">
        <f>IF(AND(Q413="",R413=""),IF(AND(L413="",M413="",V413="",W413=""),IF(OR($D413&lt;&gt;"",$E413&lt;&gt;""),"Belum ditempatkan",""),""),IF(Q413="","CEK JENIS FIXTURE kosong",IF(LEFT(Q413,4)&lt;&gt;"Wall","CEK Fixture 2 hanya Wall",IF(R413="","CEK SHELVING KE kosong",IF(ISNA(MATCH(Q413&amp;"|"&amp;R413,LAYOUT!$E$2:$E$80,0)),"CEK SHELVING KE di luar layout",IF($I413="","CEK SERIES kosong",IF(AND(S413&lt;&gt;"",NOT(ISNUMBER(S413))),"CEK URUTAN DISPLAY harus angka",IF($D413="","Zona STOCK",IF($E413="","CEK SKU DESCRIPTION kosong",IF(COUNTIFS($I$2:$I$500,$I413,Q$2:Q$500,"&lt;&gt;"&amp;Q413,Q$2:Q$500,"&lt;&gt;")&gt;0,"CEK jenis fixture beda dalam satu series","OK"))))))))))</f>
        <v/>
      </c>
      <c r="V413" s="11" t="n"/>
      <c r="W413" s="11" t="n"/>
      <c r="X413" s="11" t="n"/>
      <c r="Y413" s="11">
        <f>IF(OR(V413="",W413=""),"",IFERROR(INDEX(LAYOUT!$D$2:$D$80,MATCH(V413&amp;"|"&amp;W413,LAYOUT!$E$2:$E$80,0)),""))</f>
        <v/>
      </c>
      <c r="Z413" s="12">
        <f>IF(AND(V413="",W413=""),IF(AND(L413="",M413="",Q413="",R413=""),IF(OR($D413&lt;&gt;"",$E413&lt;&gt;""),"Belum ditempatkan",""),""),IF(V413="","CEK JENIS FIXTURE kosong",IF(LEFT(V413,4)&lt;&gt;"Wall","CEK Fixture 3 hanya Wall",IF(W413="","CEK SHELVING KE kosong",IF(ISNA(MATCH(V413&amp;"|"&amp;W413,LAYOUT!$E$2:$E$80,0)),"CEK SHELVING KE di luar layout",IF($I413="","CEK SERIES kosong",IF(AND(X413&lt;&gt;"",NOT(ISNUMBER(X413))),"CEK URUTAN DISPLAY harus angka",IF($D413="","Zona STOCK",IF($E413="","CEK SKU DESCRIPTION kosong",IF(COUNTIFS($I$2:$I$500,$I413,V$2:V$500,"&lt;&gt;"&amp;V413,V$2:V$500,"&lt;&gt;")&gt;0,"CEK jenis fixture beda dalam satu series","OK"))))))))))</f>
        <v/>
      </c>
      <c r="AA413" s="12" t="n"/>
      <c r="AB413" s="11" t="n"/>
      <c r="AC413" s="11" t="n"/>
      <c r="AD413" s="11" t="n"/>
      <c r="AE413" s="11" t="n"/>
      <c r="AF413" s="11" t="n"/>
      <c r="AG413" s="11" t="n"/>
      <c r="AH413" s="12" t="n"/>
      <c r="AI413" s="12" t="n"/>
    </row>
    <row r="414">
      <c r="A414" s="10" t="n"/>
      <c r="B414" s="10" t="n"/>
      <c r="C414" s="10" t="n"/>
      <c r="D414" s="10" t="n"/>
      <c r="E414" s="10" t="n"/>
      <c r="F414" s="10" t="n"/>
      <c r="G414" s="10" t="n"/>
      <c r="H414" s="10" t="n"/>
      <c r="I414" s="10" t="n"/>
      <c r="J414" s="10" t="n"/>
      <c r="K414" s="10" t="n"/>
      <c r="L414" s="11" t="n"/>
      <c r="M414" s="11" t="n"/>
      <c r="N414" s="11" t="n"/>
      <c r="O414" s="11">
        <f>IF(OR(L414="",M414=""),"",IFERROR(INDEX(LAYOUT!$D$2:$D$80,MATCH(L414&amp;"|"&amp;M414,LAYOUT!$E$2:$E$80,0)),""))</f>
        <v/>
      </c>
      <c r="P414" s="12">
        <f>IF(AND(L414="",M414=""),IF(AND(Q414="",R414="",V414="",W414=""),IF(OR($D414&lt;&gt;"",$E414&lt;&gt;""),"Belum ditempatkan",""),""),IF(L414="","CEK JENIS FIXTURE kosong",IF(AND(LEFT(L414,7)&lt;&gt;"Gondola",LEFT(L414,6)&lt;&gt;"Endcap"),"CEK Fixture 1 hanya Gondola atau Endcap",IF(M414="","CEK SHELVING KE kosong",IF(ISNA(MATCH(L414&amp;"|"&amp;M414,LAYOUT!$E$2:$E$80,0)),"CEK SHELVING KE di luar layout",IF($I414="","CEK SERIES kosong",IF(AND(N414&lt;&gt;"",NOT(ISNUMBER(N414))),"CEK URUTAN DISPLAY harus angka",IF($D414="","Zona STOCK",IF($E414="","CEK SKU DESCRIPTION kosong",IF(COUNTIFS($I$2:$I$500,$I414,L$2:L$500,"&lt;&gt;"&amp;L414,L$2:L$500,"&lt;&gt;")&gt;0,"CEK jenis fixture beda dalam satu series","OK"))))))))))</f>
        <v/>
      </c>
      <c r="Q414" s="11" t="n"/>
      <c r="R414" s="11" t="n"/>
      <c r="S414" s="11" t="n"/>
      <c r="T414" s="11">
        <f>IF(OR(Q414="",R414=""),"",IFERROR(INDEX(LAYOUT!$D$2:$D$80,MATCH(Q414&amp;"|"&amp;R414,LAYOUT!$E$2:$E$80,0)),""))</f>
        <v/>
      </c>
      <c r="U414" s="12">
        <f>IF(AND(Q414="",R414=""),IF(AND(L414="",M414="",V414="",W414=""),IF(OR($D414&lt;&gt;"",$E414&lt;&gt;""),"Belum ditempatkan",""),""),IF(Q414="","CEK JENIS FIXTURE kosong",IF(LEFT(Q414,4)&lt;&gt;"Wall","CEK Fixture 2 hanya Wall",IF(R414="","CEK SHELVING KE kosong",IF(ISNA(MATCH(Q414&amp;"|"&amp;R414,LAYOUT!$E$2:$E$80,0)),"CEK SHELVING KE di luar layout",IF($I414="","CEK SERIES kosong",IF(AND(S414&lt;&gt;"",NOT(ISNUMBER(S414))),"CEK URUTAN DISPLAY harus angka",IF($D414="","Zona STOCK",IF($E414="","CEK SKU DESCRIPTION kosong",IF(COUNTIFS($I$2:$I$500,$I414,Q$2:Q$500,"&lt;&gt;"&amp;Q414,Q$2:Q$500,"&lt;&gt;")&gt;0,"CEK jenis fixture beda dalam satu series","OK"))))))))))</f>
        <v/>
      </c>
      <c r="V414" s="11" t="n"/>
      <c r="W414" s="11" t="n"/>
      <c r="X414" s="11" t="n"/>
      <c r="Y414" s="11">
        <f>IF(OR(V414="",W414=""),"",IFERROR(INDEX(LAYOUT!$D$2:$D$80,MATCH(V414&amp;"|"&amp;W414,LAYOUT!$E$2:$E$80,0)),""))</f>
        <v/>
      </c>
      <c r="Z414" s="12">
        <f>IF(AND(V414="",W414=""),IF(AND(L414="",M414="",Q414="",R414=""),IF(OR($D414&lt;&gt;"",$E414&lt;&gt;""),"Belum ditempatkan",""),""),IF(V414="","CEK JENIS FIXTURE kosong",IF(LEFT(V414,4)&lt;&gt;"Wall","CEK Fixture 3 hanya Wall",IF(W414="","CEK SHELVING KE kosong",IF(ISNA(MATCH(V414&amp;"|"&amp;W414,LAYOUT!$E$2:$E$80,0)),"CEK SHELVING KE di luar layout",IF($I414="","CEK SERIES kosong",IF(AND(X414&lt;&gt;"",NOT(ISNUMBER(X414))),"CEK URUTAN DISPLAY harus angka",IF($D414="","Zona STOCK",IF($E414="","CEK SKU DESCRIPTION kosong",IF(COUNTIFS($I$2:$I$500,$I414,V$2:V$500,"&lt;&gt;"&amp;V414,V$2:V$500,"&lt;&gt;")&gt;0,"CEK jenis fixture beda dalam satu series","OK"))))))))))</f>
        <v/>
      </c>
      <c r="AA414" s="12" t="n"/>
      <c r="AB414" s="11" t="n"/>
      <c r="AC414" s="11" t="n"/>
      <c r="AD414" s="11" t="n"/>
      <c r="AE414" s="11" t="n"/>
      <c r="AF414" s="11" t="n"/>
      <c r="AG414" s="11" t="n"/>
      <c r="AH414" s="12" t="n"/>
      <c r="AI414" s="12" t="n"/>
    </row>
    <row r="415">
      <c r="A415" s="10" t="n"/>
      <c r="B415" s="10" t="n"/>
      <c r="C415" s="10" t="n"/>
      <c r="D415" s="10" t="n"/>
      <c r="E415" s="10" t="n"/>
      <c r="F415" s="10" t="n"/>
      <c r="G415" s="10" t="n"/>
      <c r="H415" s="10" t="n"/>
      <c r="I415" s="10" t="n"/>
      <c r="J415" s="10" t="n"/>
      <c r="K415" s="10" t="n"/>
      <c r="L415" s="11" t="n"/>
      <c r="M415" s="11" t="n"/>
      <c r="N415" s="11" t="n"/>
      <c r="O415" s="11">
        <f>IF(OR(L415="",M415=""),"",IFERROR(INDEX(LAYOUT!$D$2:$D$80,MATCH(L415&amp;"|"&amp;M415,LAYOUT!$E$2:$E$80,0)),""))</f>
        <v/>
      </c>
      <c r="P415" s="12">
        <f>IF(AND(L415="",M415=""),IF(AND(Q415="",R415="",V415="",W415=""),IF(OR($D415&lt;&gt;"",$E415&lt;&gt;""),"Belum ditempatkan",""),""),IF(L415="","CEK JENIS FIXTURE kosong",IF(AND(LEFT(L415,7)&lt;&gt;"Gondola",LEFT(L415,6)&lt;&gt;"Endcap"),"CEK Fixture 1 hanya Gondola atau Endcap",IF(M415="","CEK SHELVING KE kosong",IF(ISNA(MATCH(L415&amp;"|"&amp;M415,LAYOUT!$E$2:$E$80,0)),"CEK SHELVING KE di luar layout",IF($I415="","CEK SERIES kosong",IF(AND(N415&lt;&gt;"",NOT(ISNUMBER(N415))),"CEK URUTAN DISPLAY harus angka",IF($D415="","Zona STOCK",IF($E415="","CEK SKU DESCRIPTION kosong",IF(COUNTIFS($I$2:$I$500,$I415,L$2:L$500,"&lt;&gt;"&amp;L415,L$2:L$500,"&lt;&gt;")&gt;0,"CEK jenis fixture beda dalam satu series","OK"))))))))))</f>
        <v/>
      </c>
      <c r="Q415" s="11" t="n"/>
      <c r="R415" s="11" t="n"/>
      <c r="S415" s="11" t="n"/>
      <c r="T415" s="11">
        <f>IF(OR(Q415="",R415=""),"",IFERROR(INDEX(LAYOUT!$D$2:$D$80,MATCH(Q415&amp;"|"&amp;R415,LAYOUT!$E$2:$E$80,0)),""))</f>
        <v/>
      </c>
      <c r="U415" s="12">
        <f>IF(AND(Q415="",R415=""),IF(AND(L415="",M415="",V415="",W415=""),IF(OR($D415&lt;&gt;"",$E415&lt;&gt;""),"Belum ditempatkan",""),""),IF(Q415="","CEK JENIS FIXTURE kosong",IF(LEFT(Q415,4)&lt;&gt;"Wall","CEK Fixture 2 hanya Wall",IF(R415="","CEK SHELVING KE kosong",IF(ISNA(MATCH(Q415&amp;"|"&amp;R415,LAYOUT!$E$2:$E$80,0)),"CEK SHELVING KE di luar layout",IF($I415="","CEK SERIES kosong",IF(AND(S415&lt;&gt;"",NOT(ISNUMBER(S415))),"CEK URUTAN DISPLAY harus angka",IF($D415="","Zona STOCK",IF($E415="","CEK SKU DESCRIPTION kosong",IF(COUNTIFS($I$2:$I$500,$I415,Q$2:Q$500,"&lt;&gt;"&amp;Q415,Q$2:Q$500,"&lt;&gt;")&gt;0,"CEK jenis fixture beda dalam satu series","OK"))))))))))</f>
        <v/>
      </c>
      <c r="V415" s="11" t="n"/>
      <c r="W415" s="11" t="n"/>
      <c r="X415" s="11" t="n"/>
      <c r="Y415" s="11">
        <f>IF(OR(V415="",W415=""),"",IFERROR(INDEX(LAYOUT!$D$2:$D$80,MATCH(V415&amp;"|"&amp;W415,LAYOUT!$E$2:$E$80,0)),""))</f>
        <v/>
      </c>
      <c r="Z415" s="12">
        <f>IF(AND(V415="",W415=""),IF(AND(L415="",M415="",Q415="",R415=""),IF(OR($D415&lt;&gt;"",$E415&lt;&gt;""),"Belum ditempatkan",""),""),IF(V415="","CEK JENIS FIXTURE kosong",IF(LEFT(V415,4)&lt;&gt;"Wall","CEK Fixture 3 hanya Wall",IF(W415="","CEK SHELVING KE kosong",IF(ISNA(MATCH(V415&amp;"|"&amp;W415,LAYOUT!$E$2:$E$80,0)),"CEK SHELVING KE di luar layout",IF($I415="","CEK SERIES kosong",IF(AND(X415&lt;&gt;"",NOT(ISNUMBER(X415))),"CEK URUTAN DISPLAY harus angka",IF($D415="","Zona STOCK",IF($E415="","CEK SKU DESCRIPTION kosong",IF(COUNTIFS($I$2:$I$500,$I415,V$2:V$500,"&lt;&gt;"&amp;V415,V$2:V$500,"&lt;&gt;")&gt;0,"CEK jenis fixture beda dalam satu series","OK"))))))))))</f>
        <v/>
      </c>
      <c r="AA415" s="12" t="n"/>
      <c r="AB415" s="11" t="n"/>
      <c r="AC415" s="11" t="n"/>
      <c r="AD415" s="11" t="n"/>
      <c r="AE415" s="11" t="n"/>
      <c r="AF415" s="11" t="n"/>
      <c r="AG415" s="11" t="n"/>
      <c r="AH415" s="12" t="n"/>
      <c r="AI415" s="12" t="n"/>
    </row>
    <row r="416">
      <c r="A416" s="10" t="n"/>
      <c r="B416" s="10" t="n"/>
      <c r="C416" s="10" t="n"/>
      <c r="D416" s="10" t="n"/>
      <c r="E416" s="10" t="n"/>
      <c r="F416" s="10" t="n"/>
      <c r="G416" s="10" t="n"/>
      <c r="H416" s="10" t="n"/>
      <c r="I416" s="10" t="n"/>
      <c r="J416" s="10" t="n"/>
      <c r="K416" s="10" t="n"/>
      <c r="L416" s="11" t="n"/>
      <c r="M416" s="11" t="n"/>
      <c r="N416" s="11" t="n"/>
      <c r="O416" s="11">
        <f>IF(OR(L416="",M416=""),"",IFERROR(INDEX(LAYOUT!$D$2:$D$80,MATCH(L416&amp;"|"&amp;M416,LAYOUT!$E$2:$E$80,0)),""))</f>
        <v/>
      </c>
      <c r="P416" s="12">
        <f>IF(AND(L416="",M416=""),IF(AND(Q416="",R416="",V416="",W416=""),IF(OR($D416&lt;&gt;"",$E416&lt;&gt;""),"Belum ditempatkan",""),""),IF(L416="","CEK JENIS FIXTURE kosong",IF(AND(LEFT(L416,7)&lt;&gt;"Gondola",LEFT(L416,6)&lt;&gt;"Endcap"),"CEK Fixture 1 hanya Gondola atau Endcap",IF(M416="","CEK SHELVING KE kosong",IF(ISNA(MATCH(L416&amp;"|"&amp;M416,LAYOUT!$E$2:$E$80,0)),"CEK SHELVING KE di luar layout",IF($I416="","CEK SERIES kosong",IF(AND(N416&lt;&gt;"",NOT(ISNUMBER(N416))),"CEK URUTAN DISPLAY harus angka",IF($D416="","Zona STOCK",IF($E416="","CEK SKU DESCRIPTION kosong",IF(COUNTIFS($I$2:$I$500,$I416,L$2:L$500,"&lt;&gt;"&amp;L416,L$2:L$500,"&lt;&gt;")&gt;0,"CEK jenis fixture beda dalam satu series","OK"))))))))))</f>
        <v/>
      </c>
      <c r="Q416" s="11" t="n"/>
      <c r="R416" s="11" t="n"/>
      <c r="S416" s="11" t="n"/>
      <c r="T416" s="11">
        <f>IF(OR(Q416="",R416=""),"",IFERROR(INDEX(LAYOUT!$D$2:$D$80,MATCH(Q416&amp;"|"&amp;R416,LAYOUT!$E$2:$E$80,0)),""))</f>
        <v/>
      </c>
      <c r="U416" s="12">
        <f>IF(AND(Q416="",R416=""),IF(AND(L416="",M416="",V416="",W416=""),IF(OR($D416&lt;&gt;"",$E416&lt;&gt;""),"Belum ditempatkan",""),""),IF(Q416="","CEK JENIS FIXTURE kosong",IF(LEFT(Q416,4)&lt;&gt;"Wall","CEK Fixture 2 hanya Wall",IF(R416="","CEK SHELVING KE kosong",IF(ISNA(MATCH(Q416&amp;"|"&amp;R416,LAYOUT!$E$2:$E$80,0)),"CEK SHELVING KE di luar layout",IF($I416="","CEK SERIES kosong",IF(AND(S416&lt;&gt;"",NOT(ISNUMBER(S416))),"CEK URUTAN DISPLAY harus angka",IF($D416="","Zona STOCK",IF($E416="","CEK SKU DESCRIPTION kosong",IF(COUNTIFS($I$2:$I$500,$I416,Q$2:Q$500,"&lt;&gt;"&amp;Q416,Q$2:Q$500,"&lt;&gt;")&gt;0,"CEK jenis fixture beda dalam satu series","OK"))))))))))</f>
        <v/>
      </c>
      <c r="V416" s="11" t="n"/>
      <c r="W416" s="11" t="n"/>
      <c r="X416" s="11" t="n"/>
      <c r="Y416" s="11">
        <f>IF(OR(V416="",W416=""),"",IFERROR(INDEX(LAYOUT!$D$2:$D$80,MATCH(V416&amp;"|"&amp;W416,LAYOUT!$E$2:$E$80,0)),""))</f>
        <v/>
      </c>
      <c r="Z416" s="12">
        <f>IF(AND(V416="",W416=""),IF(AND(L416="",M416="",Q416="",R416=""),IF(OR($D416&lt;&gt;"",$E416&lt;&gt;""),"Belum ditempatkan",""),""),IF(V416="","CEK JENIS FIXTURE kosong",IF(LEFT(V416,4)&lt;&gt;"Wall","CEK Fixture 3 hanya Wall",IF(W416="","CEK SHELVING KE kosong",IF(ISNA(MATCH(V416&amp;"|"&amp;W416,LAYOUT!$E$2:$E$80,0)),"CEK SHELVING KE di luar layout",IF($I416="","CEK SERIES kosong",IF(AND(X416&lt;&gt;"",NOT(ISNUMBER(X416))),"CEK URUTAN DISPLAY harus angka",IF($D416="","Zona STOCK",IF($E416="","CEK SKU DESCRIPTION kosong",IF(COUNTIFS($I$2:$I$500,$I416,V$2:V$500,"&lt;&gt;"&amp;V416,V$2:V$500,"&lt;&gt;")&gt;0,"CEK jenis fixture beda dalam satu series","OK"))))))))))</f>
        <v/>
      </c>
      <c r="AA416" s="12" t="n"/>
      <c r="AB416" s="11" t="n"/>
      <c r="AC416" s="11" t="n"/>
      <c r="AD416" s="11" t="n"/>
      <c r="AE416" s="11" t="n"/>
      <c r="AF416" s="11" t="n"/>
      <c r="AG416" s="11" t="n"/>
      <c r="AH416" s="12" t="n"/>
      <c r="AI416" s="12" t="n"/>
    </row>
    <row r="417">
      <c r="A417" s="10" t="n"/>
      <c r="B417" s="10" t="n"/>
      <c r="C417" s="10" t="n"/>
      <c r="D417" s="10" t="n"/>
      <c r="E417" s="10" t="n"/>
      <c r="F417" s="10" t="n"/>
      <c r="G417" s="10" t="n"/>
      <c r="H417" s="10" t="n"/>
      <c r="I417" s="10" t="n"/>
      <c r="J417" s="10" t="n"/>
      <c r="K417" s="10" t="n"/>
      <c r="L417" s="11" t="n"/>
      <c r="M417" s="11" t="n"/>
      <c r="N417" s="11" t="n"/>
      <c r="O417" s="11">
        <f>IF(OR(L417="",M417=""),"",IFERROR(INDEX(LAYOUT!$D$2:$D$80,MATCH(L417&amp;"|"&amp;M417,LAYOUT!$E$2:$E$80,0)),""))</f>
        <v/>
      </c>
      <c r="P417" s="12">
        <f>IF(AND(L417="",M417=""),IF(AND(Q417="",R417="",V417="",W417=""),IF(OR($D417&lt;&gt;"",$E417&lt;&gt;""),"Belum ditempatkan",""),""),IF(L417="","CEK JENIS FIXTURE kosong",IF(AND(LEFT(L417,7)&lt;&gt;"Gondola",LEFT(L417,6)&lt;&gt;"Endcap"),"CEK Fixture 1 hanya Gondola atau Endcap",IF(M417="","CEK SHELVING KE kosong",IF(ISNA(MATCH(L417&amp;"|"&amp;M417,LAYOUT!$E$2:$E$80,0)),"CEK SHELVING KE di luar layout",IF($I417="","CEK SERIES kosong",IF(AND(N417&lt;&gt;"",NOT(ISNUMBER(N417))),"CEK URUTAN DISPLAY harus angka",IF($D417="","Zona STOCK",IF($E417="","CEK SKU DESCRIPTION kosong",IF(COUNTIFS($I$2:$I$500,$I417,L$2:L$500,"&lt;&gt;"&amp;L417,L$2:L$500,"&lt;&gt;")&gt;0,"CEK jenis fixture beda dalam satu series","OK"))))))))))</f>
        <v/>
      </c>
      <c r="Q417" s="11" t="n"/>
      <c r="R417" s="11" t="n"/>
      <c r="S417" s="11" t="n"/>
      <c r="T417" s="11">
        <f>IF(OR(Q417="",R417=""),"",IFERROR(INDEX(LAYOUT!$D$2:$D$80,MATCH(Q417&amp;"|"&amp;R417,LAYOUT!$E$2:$E$80,0)),""))</f>
        <v/>
      </c>
      <c r="U417" s="12">
        <f>IF(AND(Q417="",R417=""),IF(AND(L417="",M417="",V417="",W417=""),IF(OR($D417&lt;&gt;"",$E417&lt;&gt;""),"Belum ditempatkan",""),""),IF(Q417="","CEK JENIS FIXTURE kosong",IF(LEFT(Q417,4)&lt;&gt;"Wall","CEK Fixture 2 hanya Wall",IF(R417="","CEK SHELVING KE kosong",IF(ISNA(MATCH(Q417&amp;"|"&amp;R417,LAYOUT!$E$2:$E$80,0)),"CEK SHELVING KE di luar layout",IF($I417="","CEK SERIES kosong",IF(AND(S417&lt;&gt;"",NOT(ISNUMBER(S417))),"CEK URUTAN DISPLAY harus angka",IF($D417="","Zona STOCK",IF($E417="","CEK SKU DESCRIPTION kosong",IF(COUNTIFS($I$2:$I$500,$I417,Q$2:Q$500,"&lt;&gt;"&amp;Q417,Q$2:Q$500,"&lt;&gt;")&gt;0,"CEK jenis fixture beda dalam satu series","OK"))))))))))</f>
        <v/>
      </c>
      <c r="V417" s="11" t="n"/>
      <c r="W417" s="11" t="n"/>
      <c r="X417" s="11" t="n"/>
      <c r="Y417" s="11">
        <f>IF(OR(V417="",W417=""),"",IFERROR(INDEX(LAYOUT!$D$2:$D$80,MATCH(V417&amp;"|"&amp;W417,LAYOUT!$E$2:$E$80,0)),""))</f>
        <v/>
      </c>
      <c r="Z417" s="12">
        <f>IF(AND(V417="",W417=""),IF(AND(L417="",M417="",Q417="",R417=""),IF(OR($D417&lt;&gt;"",$E417&lt;&gt;""),"Belum ditempatkan",""),""),IF(V417="","CEK JENIS FIXTURE kosong",IF(LEFT(V417,4)&lt;&gt;"Wall","CEK Fixture 3 hanya Wall",IF(W417="","CEK SHELVING KE kosong",IF(ISNA(MATCH(V417&amp;"|"&amp;W417,LAYOUT!$E$2:$E$80,0)),"CEK SHELVING KE di luar layout",IF($I417="","CEK SERIES kosong",IF(AND(X417&lt;&gt;"",NOT(ISNUMBER(X417))),"CEK URUTAN DISPLAY harus angka",IF($D417="","Zona STOCK",IF($E417="","CEK SKU DESCRIPTION kosong",IF(COUNTIFS($I$2:$I$500,$I417,V$2:V$500,"&lt;&gt;"&amp;V417,V$2:V$500,"&lt;&gt;")&gt;0,"CEK jenis fixture beda dalam satu series","OK"))))))))))</f>
        <v/>
      </c>
      <c r="AA417" s="12" t="n"/>
      <c r="AB417" s="11" t="n"/>
      <c r="AC417" s="11" t="n"/>
      <c r="AD417" s="11" t="n"/>
      <c r="AE417" s="11" t="n"/>
      <c r="AF417" s="11" t="n"/>
      <c r="AG417" s="11" t="n"/>
      <c r="AH417" s="12" t="n"/>
      <c r="AI417" s="12" t="n"/>
    </row>
    <row r="418">
      <c r="A418" s="10" t="n"/>
      <c r="B418" s="10" t="n"/>
      <c r="C418" s="10" t="n"/>
      <c r="D418" s="10" t="n"/>
      <c r="E418" s="10" t="n"/>
      <c r="F418" s="10" t="n"/>
      <c r="G418" s="10" t="n"/>
      <c r="H418" s="10" t="n"/>
      <c r="I418" s="10" t="n"/>
      <c r="J418" s="10" t="n"/>
      <c r="K418" s="10" t="n"/>
      <c r="L418" s="11" t="n"/>
      <c r="M418" s="11" t="n"/>
      <c r="N418" s="11" t="n"/>
      <c r="O418" s="11">
        <f>IF(OR(L418="",M418=""),"",IFERROR(INDEX(LAYOUT!$D$2:$D$80,MATCH(L418&amp;"|"&amp;M418,LAYOUT!$E$2:$E$80,0)),""))</f>
        <v/>
      </c>
      <c r="P418" s="12">
        <f>IF(AND(L418="",M418=""),IF(AND(Q418="",R418="",V418="",W418=""),IF(OR($D418&lt;&gt;"",$E418&lt;&gt;""),"Belum ditempatkan",""),""),IF(L418="","CEK JENIS FIXTURE kosong",IF(AND(LEFT(L418,7)&lt;&gt;"Gondola",LEFT(L418,6)&lt;&gt;"Endcap"),"CEK Fixture 1 hanya Gondola atau Endcap",IF(M418="","CEK SHELVING KE kosong",IF(ISNA(MATCH(L418&amp;"|"&amp;M418,LAYOUT!$E$2:$E$80,0)),"CEK SHELVING KE di luar layout",IF($I418="","CEK SERIES kosong",IF(AND(N418&lt;&gt;"",NOT(ISNUMBER(N418))),"CEK URUTAN DISPLAY harus angka",IF($D418="","Zona STOCK",IF($E418="","CEK SKU DESCRIPTION kosong",IF(COUNTIFS($I$2:$I$500,$I418,L$2:L$500,"&lt;&gt;"&amp;L418,L$2:L$500,"&lt;&gt;")&gt;0,"CEK jenis fixture beda dalam satu series","OK"))))))))))</f>
        <v/>
      </c>
      <c r="Q418" s="11" t="n"/>
      <c r="R418" s="11" t="n"/>
      <c r="S418" s="11" t="n"/>
      <c r="T418" s="11">
        <f>IF(OR(Q418="",R418=""),"",IFERROR(INDEX(LAYOUT!$D$2:$D$80,MATCH(Q418&amp;"|"&amp;R418,LAYOUT!$E$2:$E$80,0)),""))</f>
        <v/>
      </c>
      <c r="U418" s="12">
        <f>IF(AND(Q418="",R418=""),IF(AND(L418="",M418="",V418="",W418=""),IF(OR($D418&lt;&gt;"",$E418&lt;&gt;""),"Belum ditempatkan",""),""),IF(Q418="","CEK JENIS FIXTURE kosong",IF(LEFT(Q418,4)&lt;&gt;"Wall","CEK Fixture 2 hanya Wall",IF(R418="","CEK SHELVING KE kosong",IF(ISNA(MATCH(Q418&amp;"|"&amp;R418,LAYOUT!$E$2:$E$80,0)),"CEK SHELVING KE di luar layout",IF($I418="","CEK SERIES kosong",IF(AND(S418&lt;&gt;"",NOT(ISNUMBER(S418))),"CEK URUTAN DISPLAY harus angka",IF($D418="","Zona STOCK",IF($E418="","CEK SKU DESCRIPTION kosong",IF(COUNTIFS($I$2:$I$500,$I418,Q$2:Q$500,"&lt;&gt;"&amp;Q418,Q$2:Q$500,"&lt;&gt;")&gt;0,"CEK jenis fixture beda dalam satu series","OK"))))))))))</f>
        <v/>
      </c>
      <c r="V418" s="11" t="n"/>
      <c r="W418" s="11" t="n"/>
      <c r="X418" s="11" t="n"/>
      <c r="Y418" s="11">
        <f>IF(OR(V418="",W418=""),"",IFERROR(INDEX(LAYOUT!$D$2:$D$80,MATCH(V418&amp;"|"&amp;W418,LAYOUT!$E$2:$E$80,0)),""))</f>
        <v/>
      </c>
      <c r="Z418" s="12">
        <f>IF(AND(V418="",W418=""),IF(AND(L418="",M418="",Q418="",R418=""),IF(OR($D418&lt;&gt;"",$E418&lt;&gt;""),"Belum ditempatkan",""),""),IF(V418="","CEK JENIS FIXTURE kosong",IF(LEFT(V418,4)&lt;&gt;"Wall","CEK Fixture 3 hanya Wall",IF(W418="","CEK SHELVING KE kosong",IF(ISNA(MATCH(V418&amp;"|"&amp;W418,LAYOUT!$E$2:$E$80,0)),"CEK SHELVING KE di luar layout",IF($I418="","CEK SERIES kosong",IF(AND(X418&lt;&gt;"",NOT(ISNUMBER(X418))),"CEK URUTAN DISPLAY harus angka",IF($D418="","Zona STOCK",IF($E418="","CEK SKU DESCRIPTION kosong",IF(COUNTIFS($I$2:$I$500,$I418,V$2:V$500,"&lt;&gt;"&amp;V418,V$2:V$500,"&lt;&gt;")&gt;0,"CEK jenis fixture beda dalam satu series","OK"))))))))))</f>
        <v/>
      </c>
      <c r="AA418" s="12" t="n"/>
      <c r="AB418" s="11" t="n"/>
      <c r="AC418" s="11" t="n"/>
      <c r="AD418" s="11" t="n"/>
      <c r="AE418" s="11" t="n"/>
      <c r="AF418" s="11" t="n"/>
      <c r="AG418" s="11" t="n"/>
      <c r="AH418" s="12" t="n"/>
      <c r="AI418" s="12" t="n"/>
    </row>
    <row r="419">
      <c r="A419" s="10" t="n"/>
      <c r="B419" s="10" t="n"/>
      <c r="C419" s="10" t="n"/>
      <c r="D419" s="10" t="n"/>
      <c r="E419" s="10" t="n"/>
      <c r="F419" s="10" t="n"/>
      <c r="G419" s="10" t="n"/>
      <c r="H419" s="10" t="n"/>
      <c r="I419" s="10" t="n"/>
      <c r="J419" s="10" t="n"/>
      <c r="K419" s="10" t="n"/>
      <c r="L419" s="11" t="n"/>
      <c r="M419" s="11" t="n"/>
      <c r="N419" s="11" t="n"/>
      <c r="O419" s="11">
        <f>IF(OR(L419="",M419=""),"",IFERROR(INDEX(LAYOUT!$D$2:$D$80,MATCH(L419&amp;"|"&amp;M419,LAYOUT!$E$2:$E$80,0)),""))</f>
        <v/>
      </c>
      <c r="P419" s="12">
        <f>IF(AND(L419="",M419=""),IF(AND(Q419="",R419="",V419="",W419=""),IF(OR($D419&lt;&gt;"",$E419&lt;&gt;""),"Belum ditempatkan",""),""),IF(L419="","CEK JENIS FIXTURE kosong",IF(AND(LEFT(L419,7)&lt;&gt;"Gondola",LEFT(L419,6)&lt;&gt;"Endcap"),"CEK Fixture 1 hanya Gondola atau Endcap",IF(M419="","CEK SHELVING KE kosong",IF(ISNA(MATCH(L419&amp;"|"&amp;M419,LAYOUT!$E$2:$E$80,0)),"CEK SHELVING KE di luar layout",IF($I419="","CEK SERIES kosong",IF(AND(N419&lt;&gt;"",NOT(ISNUMBER(N419))),"CEK URUTAN DISPLAY harus angka",IF($D419="","Zona STOCK",IF($E419="","CEK SKU DESCRIPTION kosong",IF(COUNTIFS($I$2:$I$500,$I419,L$2:L$500,"&lt;&gt;"&amp;L419,L$2:L$500,"&lt;&gt;")&gt;0,"CEK jenis fixture beda dalam satu series","OK"))))))))))</f>
        <v/>
      </c>
      <c r="Q419" s="11" t="n"/>
      <c r="R419" s="11" t="n"/>
      <c r="S419" s="11" t="n"/>
      <c r="T419" s="11">
        <f>IF(OR(Q419="",R419=""),"",IFERROR(INDEX(LAYOUT!$D$2:$D$80,MATCH(Q419&amp;"|"&amp;R419,LAYOUT!$E$2:$E$80,0)),""))</f>
        <v/>
      </c>
      <c r="U419" s="12">
        <f>IF(AND(Q419="",R419=""),IF(AND(L419="",M419="",V419="",W419=""),IF(OR($D419&lt;&gt;"",$E419&lt;&gt;""),"Belum ditempatkan",""),""),IF(Q419="","CEK JENIS FIXTURE kosong",IF(LEFT(Q419,4)&lt;&gt;"Wall","CEK Fixture 2 hanya Wall",IF(R419="","CEK SHELVING KE kosong",IF(ISNA(MATCH(Q419&amp;"|"&amp;R419,LAYOUT!$E$2:$E$80,0)),"CEK SHELVING KE di luar layout",IF($I419="","CEK SERIES kosong",IF(AND(S419&lt;&gt;"",NOT(ISNUMBER(S419))),"CEK URUTAN DISPLAY harus angka",IF($D419="","Zona STOCK",IF($E419="","CEK SKU DESCRIPTION kosong",IF(COUNTIFS($I$2:$I$500,$I419,Q$2:Q$500,"&lt;&gt;"&amp;Q419,Q$2:Q$500,"&lt;&gt;")&gt;0,"CEK jenis fixture beda dalam satu series","OK"))))))))))</f>
        <v/>
      </c>
      <c r="V419" s="11" t="n"/>
      <c r="W419" s="11" t="n"/>
      <c r="X419" s="11" t="n"/>
      <c r="Y419" s="11">
        <f>IF(OR(V419="",W419=""),"",IFERROR(INDEX(LAYOUT!$D$2:$D$80,MATCH(V419&amp;"|"&amp;W419,LAYOUT!$E$2:$E$80,0)),""))</f>
        <v/>
      </c>
      <c r="Z419" s="12">
        <f>IF(AND(V419="",W419=""),IF(AND(L419="",M419="",Q419="",R419=""),IF(OR($D419&lt;&gt;"",$E419&lt;&gt;""),"Belum ditempatkan",""),""),IF(V419="","CEK JENIS FIXTURE kosong",IF(LEFT(V419,4)&lt;&gt;"Wall","CEK Fixture 3 hanya Wall",IF(W419="","CEK SHELVING KE kosong",IF(ISNA(MATCH(V419&amp;"|"&amp;W419,LAYOUT!$E$2:$E$80,0)),"CEK SHELVING KE di luar layout",IF($I419="","CEK SERIES kosong",IF(AND(X419&lt;&gt;"",NOT(ISNUMBER(X419))),"CEK URUTAN DISPLAY harus angka",IF($D419="","Zona STOCK",IF($E419="","CEK SKU DESCRIPTION kosong",IF(COUNTIFS($I$2:$I$500,$I419,V$2:V$500,"&lt;&gt;"&amp;V419,V$2:V$500,"&lt;&gt;")&gt;0,"CEK jenis fixture beda dalam satu series","OK"))))))))))</f>
        <v/>
      </c>
      <c r="AA419" s="12" t="n"/>
      <c r="AB419" s="11" t="n"/>
      <c r="AC419" s="11" t="n"/>
      <c r="AD419" s="11" t="n"/>
      <c r="AE419" s="11" t="n"/>
      <c r="AF419" s="11" t="n"/>
      <c r="AG419" s="11" t="n"/>
      <c r="AH419" s="12" t="n"/>
      <c r="AI419" s="12" t="n"/>
    </row>
    <row r="420">
      <c r="A420" s="10" t="n"/>
      <c r="B420" s="10" t="n"/>
      <c r="C420" s="10" t="n"/>
      <c r="D420" s="10" t="n"/>
      <c r="E420" s="10" t="n"/>
      <c r="F420" s="10" t="n"/>
      <c r="G420" s="10" t="n"/>
      <c r="H420" s="10" t="n"/>
      <c r="I420" s="10" t="n"/>
      <c r="J420" s="10" t="n"/>
      <c r="K420" s="10" t="n"/>
      <c r="L420" s="11" t="n"/>
      <c r="M420" s="11" t="n"/>
      <c r="N420" s="11" t="n"/>
      <c r="O420" s="11">
        <f>IF(OR(L420="",M420=""),"",IFERROR(INDEX(LAYOUT!$D$2:$D$80,MATCH(L420&amp;"|"&amp;M420,LAYOUT!$E$2:$E$80,0)),""))</f>
        <v/>
      </c>
      <c r="P420" s="12">
        <f>IF(AND(L420="",M420=""),IF(AND(Q420="",R420="",V420="",W420=""),IF(OR($D420&lt;&gt;"",$E420&lt;&gt;""),"Belum ditempatkan",""),""),IF(L420="","CEK JENIS FIXTURE kosong",IF(AND(LEFT(L420,7)&lt;&gt;"Gondola",LEFT(L420,6)&lt;&gt;"Endcap"),"CEK Fixture 1 hanya Gondola atau Endcap",IF(M420="","CEK SHELVING KE kosong",IF(ISNA(MATCH(L420&amp;"|"&amp;M420,LAYOUT!$E$2:$E$80,0)),"CEK SHELVING KE di luar layout",IF($I420="","CEK SERIES kosong",IF(AND(N420&lt;&gt;"",NOT(ISNUMBER(N420))),"CEK URUTAN DISPLAY harus angka",IF($D420="","Zona STOCK",IF($E420="","CEK SKU DESCRIPTION kosong",IF(COUNTIFS($I$2:$I$500,$I420,L$2:L$500,"&lt;&gt;"&amp;L420,L$2:L$500,"&lt;&gt;")&gt;0,"CEK jenis fixture beda dalam satu series","OK"))))))))))</f>
        <v/>
      </c>
      <c r="Q420" s="11" t="n"/>
      <c r="R420" s="11" t="n"/>
      <c r="S420" s="11" t="n"/>
      <c r="T420" s="11">
        <f>IF(OR(Q420="",R420=""),"",IFERROR(INDEX(LAYOUT!$D$2:$D$80,MATCH(Q420&amp;"|"&amp;R420,LAYOUT!$E$2:$E$80,0)),""))</f>
        <v/>
      </c>
      <c r="U420" s="12">
        <f>IF(AND(Q420="",R420=""),IF(AND(L420="",M420="",V420="",W420=""),IF(OR($D420&lt;&gt;"",$E420&lt;&gt;""),"Belum ditempatkan",""),""),IF(Q420="","CEK JENIS FIXTURE kosong",IF(LEFT(Q420,4)&lt;&gt;"Wall","CEK Fixture 2 hanya Wall",IF(R420="","CEK SHELVING KE kosong",IF(ISNA(MATCH(Q420&amp;"|"&amp;R420,LAYOUT!$E$2:$E$80,0)),"CEK SHELVING KE di luar layout",IF($I420="","CEK SERIES kosong",IF(AND(S420&lt;&gt;"",NOT(ISNUMBER(S420))),"CEK URUTAN DISPLAY harus angka",IF($D420="","Zona STOCK",IF($E420="","CEK SKU DESCRIPTION kosong",IF(COUNTIFS($I$2:$I$500,$I420,Q$2:Q$500,"&lt;&gt;"&amp;Q420,Q$2:Q$500,"&lt;&gt;")&gt;0,"CEK jenis fixture beda dalam satu series","OK"))))))))))</f>
        <v/>
      </c>
      <c r="V420" s="11" t="n"/>
      <c r="W420" s="11" t="n"/>
      <c r="X420" s="11" t="n"/>
      <c r="Y420" s="11">
        <f>IF(OR(V420="",W420=""),"",IFERROR(INDEX(LAYOUT!$D$2:$D$80,MATCH(V420&amp;"|"&amp;W420,LAYOUT!$E$2:$E$80,0)),""))</f>
        <v/>
      </c>
      <c r="Z420" s="12">
        <f>IF(AND(V420="",W420=""),IF(AND(L420="",M420="",Q420="",R420=""),IF(OR($D420&lt;&gt;"",$E420&lt;&gt;""),"Belum ditempatkan",""),""),IF(V420="","CEK JENIS FIXTURE kosong",IF(LEFT(V420,4)&lt;&gt;"Wall","CEK Fixture 3 hanya Wall",IF(W420="","CEK SHELVING KE kosong",IF(ISNA(MATCH(V420&amp;"|"&amp;W420,LAYOUT!$E$2:$E$80,0)),"CEK SHELVING KE di luar layout",IF($I420="","CEK SERIES kosong",IF(AND(X420&lt;&gt;"",NOT(ISNUMBER(X420))),"CEK URUTAN DISPLAY harus angka",IF($D420="","Zona STOCK",IF($E420="","CEK SKU DESCRIPTION kosong",IF(COUNTIFS($I$2:$I$500,$I420,V$2:V$500,"&lt;&gt;"&amp;V420,V$2:V$500,"&lt;&gt;")&gt;0,"CEK jenis fixture beda dalam satu series","OK"))))))))))</f>
        <v/>
      </c>
      <c r="AA420" s="12" t="n"/>
      <c r="AB420" s="11" t="n"/>
      <c r="AC420" s="11" t="n"/>
      <c r="AD420" s="11" t="n"/>
      <c r="AE420" s="11" t="n"/>
      <c r="AF420" s="11" t="n"/>
      <c r="AG420" s="11" t="n"/>
      <c r="AH420" s="12" t="n"/>
      <c r="AI420" s="12" t="n"/>
    </row>
    <row r="421">
      <c r="A421" s="10" t="n"/>
      <c r="B421" s="10" t="n"/>
      <c r="C421" s="10" t="n"/>
      <c r="D421" s="10" t="n"/>
      <c r="E421" s="10" t="n"/>
      <c r="F421" s="10" t="n"/>
      <c r="G421" s="10" t="n"/>
      <c r="H421" s="10" t="n"/>
      <c r="I421" s="10" t="n"/>
      <c r="J421" s="10" t="n"/>
      <c r="K421" s="10" t="n"/>
      <c r="L421" s="11" t="n"/>
      <c r="M421" s="11" t="n"/>
      <c r="N421" s="11" t="n"/>
      <c r="O421" s="11">
        <f>IF(OR(L421="",M421=""),"",IFERROR(INDEX(LAYOUT!$D$2:$D$80,MATCH(L421&amp;"|"&amp;M421,LAYOUT!$E$2:$E$80,0)),""))</f>
        <v/>
      </c>
      <c r="P421" s="12">
        <f>IF(AND(L421="",M421=""),IF(AND(Q421="",R421="",V421="",W421=""),IF(OR($D421&lt;&gt;"",$E421&lt;&gt;""),"Belum ditempatkan",""),""),IF(L421="","CEK JENIS FIXTURE kosong",IF(AND(LEFT(L421,7)&lt;&gt;"Gondola",LEFT(L421,6)&lt;&gt;"Endcap"),"CEK Fixture 1 hanya Gondola atau Endcap",IF(M421="","CEK SHELVING KE kosong",IF(ISNA(MATCH(L421&amp;"|"&amp;M421,LAYOUT!$E$2:$E$80,0)),"CEK SHELVING KE di luar layout",IF($I421="","CEK SERIES kosong",IF(AND(N421&lt;&gt;"",NOT(ISNUMBER(N421))),"CEK URUTAN DISPLAY harus angka",IF($D421="","Zona STOCK",IF($E421="","CEK SKU DESCRIPTION kosong",IF(COUNTIFS($I$2:$I$500,$I421,L$2:L$500,"&lt;&gt;"&amp;L421,L$2:L$500,"&lt;&gt;")&gt;0,"CEK jenis fixture beda dalam satu series","OK"))))))))))</f>
        <v/>
      </c>
      <c r="Q421" s="11" t="n"/>
      <c r="R421" s="11" t="n"/>
      <c r="S421" s="11" t="n"/>
      <c r="T421" s="11">
        <f>IF(OR(Q421="",R421=""),"",IFERROR(INDEX(LAYOUT!$D$2:$D$80,MATCH(Q421&amp;"|"&amp;R421,LAYOUT!$E$2:$E$80,0)),""))</f>
        <v/>
      </c>
      <c r="U421" s="12">
        <f>IF(AND(Q421="",R421=""),IF(AND(L421="",M421="",V421="",W421=""),IF(OR($D421&lt;&gt;"",$E421&lt;&gt;""),"Belum ditempatkan",""),""),IF(Q421="","CEK JENIS FIXTURE kosong",IF(LEFT(Q421,4)&lt;&gt;"Wall","CEK Fixture 2 hanya Wall",IF(R421="","CEK SHELVING KE kosong",IF(ISNA(MATCH(Q421&amp;"|"&amp;R421,LAYOUT!$E$2:$E$80,0)),"CEK SHELVING KE di luar layout",IF($I421="","CEK SERIES kosong",IF(AND(S421&lt;&gt;"",NOT(ISNUMBER(S421))),"CEK URUTAN DISPLAY harus angka",IF($D421="","Zona STOCK",IF($E421="","CEK SKU DESCRIPTION kosong",IF(COUNTIFS($I$2:$I$500,$I421,Q$2:Q$500,"&lt;&gt;"&amp;Q421,Q$2:Q$500,"&lt;&gt;")&gt;0,"CEK jenis fixture beda dalam satu series","OK"))))))))))</f>
        <v/>
      </c>
      <c r="V421" s="11" t="n"/>
      <c r="W421" s="11" t="n"/>
      <c r="X421" s="11" t="n"/>
      <c r="Y421" s="11">
        <f>IF(OR(V421="",W421=""),"",IFERROR(INDEX(LAYOUT!$D$2:$D$80,MATCH(V421&amp;"|"&amp;W421,LAYOUT!$E$2:$E$80,0)),""))</f>
        <v/>
      </c>
      <c r="Z421" s="12">
        <f>IF(AND(V421="",W421=""),IF(AND(L421="",M421="",Q421="",R421=""),IF(OR($D421&lt;&gt;"",$E421&lt;&gt;""),"Belum ditempatkan",""),""),IF(V421="","CEK JENIS FIXTURE kosong",IF(LEFT(V421,4)&lt;&gt;"Wall","CEK Fixture 3 hanya Wall",IF(W421="","CEK SHELVING KE kosong",IF(ISNA(MATCH(V421&amp;"|"&amp;W421,LAYOUT!$E$2:$E$80,0)),"CEK SHELVING KE di luar layout",IF($I421="","CEK SERIES kosong",IF(AND(X421&lt;&gt;"",NOT(ISNUMBER(X421))),"CEK URUTAN DISPLAY harus angka",IF($D421="","Zona STOCK",IF($E421="","CEK SKU DESCRIPTION kosong",IF(COUNTIFS($I$2:$I$500,$I421,V$2:V$500,"&lt;&gt;"&amp;V421,V$2:V$500,"&lt;&gt;")&gt;0,"CEK jenis fixture beda dalam satu series","OK"))))))))))</f>
        <v/>
      </c>
      <c r="AA421" s="12" t="n"/>
      <c r="AB421" s="11" t="n"/>
      <c r="AC421" s="11" t="n"/>
      <c r="AD421" s="11" t="n"/>
      <c r="AE421" s="11" t="n"/>
      <c r="AF421" s="11" t="n"/>
      <c r="AG421" s="11" t="n"/>
      <c r="AH421" s="12" t="n"/>
      <c r="AI421" s="12" t="n"/>
    </row>
    <row r="422">
      <c r="A422" s="10" t="n"/>
      <c r="B422" s="10" t="n"/>
      <c r="C422" s="10" t="n"/>
      <c r="D422" s="10" t="n"/>
      <c r="E422" s="10" t="n"/>
      <c r="F422" s="10" t="n"/>
      <c r="G422" s="10" t="n"/>
      <c r="H422" s="10" t="n"/>
      <c r="I422" s="10" t="n"/>
      <c r="J422" s="10" t="n"/>
      <c r="K422" s="10" t="n"/>
      <c r="L422" s="11" t="n"/>
      <c r="M422" s="11" t="n"/>
      <c r="N422" s="11" t="n"/>
      <c r="O422" s="11">
        <f>IF(OR(L422="",M422=""),"",IFERROR(INDEX(LAYOUT!$D$2:$D$80,MATCH(L422&amp;"|"&amp;M422,LAYOUT!$E$2:$E$80,0)),""))</f>
        <v/>
      </c>
      <c r="P422" s="12">
        <f>IF(AND(L422="",M422=""),IF(AND(Q422="",R422="",V422="",W422=""),IF(OR($D422&lt;&gt;"",$E422&lt;&gt;""),"Belum ditempatkan",""),""),IF(L422="","CEK JENIS FIXTURE kosong",IF(AND(LEFT(L422,7)&lt;&gt;"Gondola",LEFT(L422,6)&lt;&gt;"Endcap"),"CEK Fixture 1 hanya Gondola atau Endcap",IF(M422="","CEK SHELVING KE kosong",IF(ISNA(MATCH(L422&amp;"|"&amp;M422,LAYOUT!$E$2:$E$80,0)),"CEK SHELVING KE di luar layout",IF($I422="","CEK SERIES kosong",IF(AND(N422&lt;&gt;"",NOT(ISNUMBER(N422))),"CEK URUTAN DISPLAY harus angka",IF($D422="","Zona STOCK",IF($E422="","CEK SKU DESCRIPTION kosong",IF(COUNTIFS($I$2:$I$500,$I422,L$2:L$500,"&lt;&gt;"&amp;L422,L$2:L$500,"&lt;&gt;")&gt;0,"CEK jenis fixture beda dalam satu series","OK"))))))))))</f>
        <v/>
      </c>
      <c r="Q422" s="11" t="n"/>
      <c r="R422" s="11" t="n"/>
      <c r="S422" s="11" t="n"/>
      <c r="T422" s="11">
        <f>IF(OR(Q422="",R422=""),"",IFERROR(INDEX(LAYOUT!$D$2:$D$80,MATCH(Q422&amp;"|"&amp;R422,LAYOUT!$E$2:$E$80,0)),""))</f>
        <v/>
      </c>
      <c r="U422" s="12">
        <f>IF(AND(Q422="",R422=""),IF(AND(L422="",M422="",V422="",W422=""),IF(OR($D422&lt;&gt;"",$E422&lt;&gt;""),"Belum ditempatkan",""),""),IF(Q422="","CEK JENIS FIXTURE kosong",IF(LEFT(Q422,4)&lt;&gt;"Wall","CEK Fixture 2 hanya Wall",IF(R422="","CEK SHELVING KE kosong",IF(ISNA(MATCH(Q422&amp;"|"&amp;R422,LAYOUT!$E$2:$E$80,0)),"CEK SHELVING KE di luar layout",IF($I422="","CEK SERIES kosong",IF(AND(S422&lt;&gt;"",NOT(ISNUMBER(S422))),"CEK URUTAN DISPLAY harus angka",IF($D422="","Zona STOCK",IF($E422="","CEK SKU DESCRIPTION kosong",IF(COUNTIFS($I$2:$I$500,$I422,Q$2:Q$500,"&lt;&gt;"&amp;Q422,Q$2:Q$500,"&lt;&gt;")&gt;0,"CEK jenis fixture beda dalam satu series","OK"))))))))))</f>
        <v/>
      </c>
      <c r="V422" s="11" t="n"/>
      <c r="W422" s="11" t="n"/>
      <c r="X422" s="11" t="n"/>
      <c r="Y422" s="11">
        <f>IF(OR(V422="",W422=""),"",IFERROR(INDEX(LAYOUT!$D$2:$D$80,MATCH(V422&amp;"|"&amp;W422,LAYOUT!$E$2:$E$80,0)),""))</f>
        <v/>
      </c>
      <c r="Z422" s="12">
        <f>IF(AND(V422="",W422=""),IF(AND(L422="",M422="",Q422="",R422=""),IF(OR($D422&lt;&gt;"",$E422&lt;&gt;""),"Belum ditempatkan",""),""),IF(V422="","CEK JENIS FIXTURE kosong",IF(LEFT(V422,4)&lt;&gt;"Wall","CEK Fixture 3 hanya Wall",IF(W422="","CEK SHELVING KE kosong",IF(ISNA(MATCH(V422&amp;"|"&amp;W422,LAYOUT!$E$2:$E$80,0)),"CEK SHELVING KE di luar layout",IF($I422="","CEK SERIES kosong",IF(AND(X422&lt;&gt;"",NOT(ISNUMBER(X422))),"CEK URUTAN DISPLAY harus angka",IF($D422="","Zona STOCK",IF($E422="","CEK SKU DESCRIPTION kosong",IF(COUNTIFS($I$2:$I$500,$I422,V$2:V$500,"&lt;&gt;"&amp;V422,V$2:V$500,"&lt;&gt;")&gt;0,"CEK jenis fixture beda dalam satu series","OK"))))))))))</f>
        <v/>
      </c>
      <c r="AA422" s="12" t="n"/>
      <c r="AB422" s="11" t="n"/>
      <c r="AC422" s="11" t="n"/>
      <c r="AD422" s="11" t="n"/>
      <c r="AE422" s="11" t="n"/>
      <c r="AF422" s="11" t="n"/>
      <c r="AG422" s="11" t="n"/>
      <c r="AH422" s="12" t="n"/>
      <c r="AI422" s="12" t="n"/>
    </row>
    <row r="423">
      <c r="A423" s="10" t="n"/>
      <c r="B423" s="10" t="n"/>
      <c r="C423" s="10" t="n"/>
      <c r="D423" s="10" t="n"/>
      <c r="E423" s="10" t="n"/>
      <c r="F423" s="10" t="n"/>
      <c r="G423" s="10" t="n"/>
      <c r="H423" s="10" t="n"/>
      <c r="I423" s="10" t="n"/>
      <c r="J423" s="10" t="n"/>
      <c r="K423" s="10" t="n"/>
      <c r="L423" s="11" t="n"/>
      <c r="M423" s="11" t="n"/>
      <c r="N423" s="11" t="n"/>
      <c r="O423" s="11">
        <f>IF(OR(L423="",M423=""),"",IFERROR(INDEX(LAYOUT!$D$2:$D$80,MATCH(L423&amp;"|"&amp;M423,LAYOUT!$E$2:$E$80,0)),""))</f>
        <v/>
      </c>
      <c r="P423" s="12">
        <f>IF(AND(L423="",M423=""),IF(AND(Q423="",R423="",V423="",W423=""),IF(OR($D423&lt;&gt;"",$E423&lt;&gt;""),"Belum ditempatkan",""),""),IF(L423="","CEK JENIS FIXTURE kosong",IF(AND(LEFT(L423,7)&lt;&gt;"Gondola",LEFT(L423,6)&lt;&gt;"Endcap"),"CEK Fixture 1 hanya Gondola atau Endcap",IF(M423="","CEK SHELVING KE kosong",IF(ISNA(MATCH(L423&amp;"|"&amp;M423,LAYOUT!$E$2:$E$80,0)),"CEK SHELVING KE di luar layout",IF($I423="","CEK SERIES kosong",IF(AND(N423&lt;&gt;"",NOT(ISNUMBER(N423))),"CEK URUTAN DISPLAY harus angka",IF($D423="","Zona STOCK",IF($E423="","CEK SKU DESCRIPTION kosong",IF(COUNTIFS($I$2:$I$500,$I423,L$2:L$500,"&lt;&gt;"&amp;L423,L$2:L$500,"&lt;&gt;")&gt;0,"CEK jenis fixture beda dalam satu series","OK"))))))))))</f>
        <v/>
      </c>
      <c r="Q423" s="11" t="n"/>
      <c r="R423" s="11" t="n"/>
      <c r="S423" s="11" t="n"/>
      <c r="T423" s="11">
        <f>IF(OR(Q423="",R423=""),"",IFERROR(INDEX(LAYOUT!$D$2:$D$80,MATCH(Q423&amp;"|"&amp;R423,LAYOUT!$E$2:$E$80,0)),""))</f>
        <v/>
      </c>
      <c r="U423" s="12">
        <f>IF(AND(Q423="",R423=""),IF(AND(L423="",M423="",V423="",W423=""),IF(OR($D423&lt;&gt;"",$E423&lt;&gt;""),"Belum ditempatkan",""),""),IF(Q423="","CEK JENIS FIXTURE kosong",IF(LEFT(Q423,4)&lt;&gt;"Wall","CEK Fixture 2 hanya Wall",IF(R423="","CEK SHELVING KE kosong",IF(ISNA(MATCH(Q423&amp;"|"&amp;R423,LAYOUT!$E$2:$E$80,0)),"CEK SHELVING KE di luar layout",IF($I423="","CEK SERIES kosong",IF(AND(S423&lt;&gt;"",NOT(ISNUMBER(S423))),"CEK URUTAN DISPLAY harus angka",IF($D423="","Zona STOCK",IF($E423="","CEK SKU DESCRIPTION kosong",IF(COUNTIFS($I$2:$I$500,$I423,Q$2:Q$500,"&lt;&gt;"&amp;Q423,Q$2:Q$500,"&lt;&gt;")&gt;0,"CEK jenis fixture beda dalam satu series","OK"))))))))))</f>
        <v/>
      </c>
      <c r="V423" s="11" t="n"/>
      <c r="W423" s="11" t="n"/>
      <c r="X423" s="11" t="n"/>
      <c r="Y423" s="11">
        <f>IF(OR(V423="",W423=""),"",IFERROR(INDEX(LAYOUT!$D$2:$D$80,MATCH(V423&amp;"|"&amp;W423,LAYOUT!$E$2:$E$80,0)),""))</f>
        <v/>
      </c>
      <c r="Z423" s="12">
        <f>IF(AND(V423="",W423=""),IF(AND(L423="",M423="",Q423="",R423=""),IF(OR($D423&lt;&gt;"",$E423&lt;&gt;""),"Belum ditempatkan",""),""),IF(V423="","CEK JENIS FIXTURE kosong",IF(LEFT(V423,4)&lt;&gt;"Wall","CEK Fixture 3 hanya Wall",IF(W423="","CEK SHELVING KE kosong",IF(ISNA(MATCH(V423&amp;"|"&amp;W423,LAYOUT!$E$2:$E$80,0)),"CEK SHELVING KE di luar layout",IF($I423="","CEK SERIES kosong",IF(AND(X423&lt;&gt;"",NOT(ISNUMBER(X423))),"CEK URUTAN DISPLAY harus angka",IF($D423="","Zona STOCK",IF($E423="","CEK SKU DESCRIPTION kosong",IF(COUNTIFS($I$2:$I$500,$I423,V$2:V$500,"&lt;&gt;"&amp;V423,V$2:V$500,"&lt;&gt;")&gt;0,"CEK jenis fixture beda dalam satu series","OK"))))))))))</f>
        <v/>
      </c>
      <c r="AA423" s="12" t="n"/>
      <c r="AB423" s="11" t="n"/>
      <c r="AC423" s="11" t="n"/>
      <c r="AD423" s="11" t="n"/>
      <c r="AE423" s="11" t="n"/>
      <c r="AF423" s="11" t="n"/>
      <c r="AG423" s="11" t="n"/>
      <c r="AH423" s="12" t="n"/>
      <c r="AI423" s="12" t="n"/>
    </row>
    <row r="424">
      <c r="A424" s="10" t="n"/>
      <c r="B424" s="10" t="n"/>
      <c r="C424" s="10" t="n"/>
      <c r="D424" s="10" t="n"/>
      <c r="E424" s="10" t="n"/>
      <c r="F424" s="10" t="n"/>
      <c r="G424" s="10" t="n"/>
      <c r="H424" s="10" t="n"/>
      <c r="I424" s="10" t="n"/>
      <c r="J424" s="10" t="n"/>
      <c r="K424" s="10" t="n"/>
      <c r="L424" s="11" t="n"/>
      <c r="M424" s="11" t="n"/>
      <c r="N424" s="11" t="n"/>
      <c r="O424" s="11">
        <f>IF(OR(L424="",M424=""),"",IFERROR(INDEX(LAYOUT!$D$2:$D$80,MATCH(L424&amp;"|"&amp;M424,LAYOUT!$E$2:$E$80,0)),""))</f>
        <v/>
      </c>
      <c r="P424" s="12">
        <f>IF(AND(L424="",M424=""),IF(AND(Q424="",R424="",V424="",W424=""),IF(OR($D424&lt;&gt;"",$E424&lt;&gt;""),"Belum ditempatkan",""),""),IF(L424="","CEK JENIS FIXTURE kosong",IF(AND(LEFT(L424,7)&lt;&gt;"Gondola",LEFT(L424,6)&lt;&gt;"Endcap"),"CEK Fixture 1 hanya Gondola atau Endcap",IF(M424="","CEK SHELVING KE kosong",IF(ISNA(MATCH(L424&amp;"|"&amp;M424,LAYOUT!$E$2:$E$80,0)),"CEK SHELVING KE di luar layout",IF($I424="","CEK SERIES kosong",IF(AND(N424&lt;&gt;"",NOT(ISNUMBER(N424))),"CEK URUTAN DISPLAY harus angka",IF($D424="","Zona STOCK",IF($E424="","CEK SKU DESCRIPTION kosong",IF(COUNTIFS($I$2:$I$500,$I424,L$2:L$500,"&lt;&gt;"&amp;L424,L$2:L$500,"&lt;&gt;")&gt;0,"CEK jenis fixture beda dalam satu series","OK"))))))))))</f>
        <v/>
      </c>
      <c r="Q424" s="11" t="n"/>
      <c r="R424" s="11" t="n"/>
      <c r="S424" s="11" t="n"/>
      <c r="T424" s="11">
        <f>IF(OR(Q424="",R424=""),"",IFERROR(INDEX(LAYOUT!$D$2:$D$80,MATCH(Q424&amp;"|"&amp;R424,LAYOUT!$E$2:$E$80,0)),""))</f>
        <v/>
      </c>
      <c r="U424" s="12">
        <f>IF(AND(Q424="",R424=""),IF(AND(L424="",M424="",V424="",W424=""),IF(OR($D424&lt;&gt;"",$E424&lt;&gt;""),"Belum ditempatkan",""),""),IF(Q424="","CEK JENIS FIXTURE kosong",IF(LEFT(Q424,4)&lt;&gt;"Wall","CEK Fixture 2 hanya Wall",IF(R424="","CEK SHELVING KE kosong",IF(ISNA(MATCH(Q424&amp;"|"&amp;R424,LAYOUT!$E$2:$E$80,0)),"CEK SHELVING KE di luar layout",IF($I424="","CEK SERIES kosong",IF(AND(S424&lt;&gt;"",NOT(ISNUMBER(S424))),"CEK URUTAN DISPLAY harus angka",IF($D424="","Zona STOCK",IF($E424="","CEK SKU DESCRIPTION kosong",IF(COUNTIFS($I$2:$I$500,$I424,Q$2:Q$500,"&lt;&gt;"&amp;Q424,Q$2:Q$500,"&lt;&gt;")&gt;0,"CEK jenis fixture beda dalam satu series","OK"))))))))))</f>
        <v/>
      </c>
      <c r="V424" s="11" t="n"/>
      <c r="W424" s="11" t="n"/>
      <c r="X424" s="11" t="n"/>
      <c r="Y424" s="11">
        <f>IF(OR(V424="",W424=""),"",IFERROR(INDEX(LAYOUT!$D$2:$D$80,MATCH(V424&amp;"|"&amp;W424,LAYOUT!$E$2:$E$80,0)),""))</f>
        <v/>
      </c>
      <c r="Z424" s="12">
        <f>IF(AND(V424="",W424=""),IF(AND(L424="",M424="",Q424="",R424=""),IF(OR($D424&lt;&gt;"",$E424&lt;&gt;""),"Belum ditempatkan",""),""),IF(V424="","CEK JENIS FIXTURE kosong",IF(LEFT(V424,4)&lt;&gt;"Wall","CEK Fixture 3 hanya Wall",IF(W424="","CEK SHELVING KE kosong",IF(ISNA(MATCH(V424&amp;"|"&amp;W424,LAYOUT!$E$2:$E$80,0)),"CEK SHELVING KE di luar layout",IF($I424="","CEK SERIES kosong",IF(AND(X424&lt;&gt;"",NOT(ISNUMBER(X424))),"CEK URUTAN DISPLAY harus angka",IF($D424="","Zona STOCK",IF($E424="","CEK SKU DESCRIPTION kosong",IF(COUNTIFS($I$2:$I$500,$I424,V$2:V$500,"&lt;&gt;"&amp;V424,V$2:V$500,"&lt;&gt;")&gt;0,"CEK jenis fixture beda dalam satu series","OK"))))))))))</f>
        <v/>
      </c>
      <c r="AA424" s="12" t="n"/>
      <c r="AB424" s="11" t="n"/>
      <c r="AC424" s="11" t="n"/>
      <c r="AD424" s="11" t="n"/>
      <c r="AE424" s="11" t="n"/>
      <c r="AF424" s="11" t="n"/>
      <c r="AG424" s="11" t="n"/>
      <c r="AH424" s="12" t="n"/>
      <c r="AI424" s="12" t="n"/>
    </row>
    <row r="425">
      <c r="A425" s="10" t="n"/>
      <c r="B425" s="10" t="n"/>
      <c r="C425" s="10" t="n"/>
      <c r="D425" s="10" t="n"/>
      <c r="E425" s="10" t="n"/>
      <c r="F425" s="10" t="n"/>
      <c r="G425" s="10" t="n"/>
      <c r="H425" s="10" t="n"/>
      <c r="I425" s="10" t="n"/>
      <c r="J425" s="10" t="n"/>
      <c r="K425" s="10" t="n"/>
      <c r="L425" s="11" t="n"/>
      <c r="M425" s="11" t="n"/>
      <c r="N425" s="11" t="n"/>
      <c r="O425" s="11">
        <f>IF(OR(L425="",M425=""),"",IFERROR(INDEX(LAYOUT!$D$2:$D$80,MATCH(L425&amp;"|"&amp;M425,LAYOUT!$E$2:$E$80,0)),""))</f>
        <v/>
      </c>
      <c r="P425" s="12">
        <f>IF(AND(L425="",M425=""),IF(AND(Q425="",R425="",V425="",W425=""),IF(OR($D425&lt;&gt;"",$E425&lt;&gt;""),"Belum ditempatkan",""),""),IF(L425="","CEK JENIS FIXTURE kosong",IF(AND(LEFT(L425,7)&lt;&gt;"Gondola",LEFT(L425,6)&lt;&gt;"Endcap"),"CEK Fixture 1 hanya Gondola atau Endcap",IF(M425="","CEK SHELVING KE kosong",IF(ISNA(MATCH(L425&amp;"|"&amp;M425,LAYOUT!$E$2:$E$80,0)),"CEK SHELVING KE di luar layout",IF($I425="","CEK SERIES kosong",IF(AND(N425&lt;&gt;"",NOT(ISNUMBER(N425))),"CEK URUTAN DISPLAY harus angka",IF($D425="","Zona STOCK",IF($E425="","CEK SKU DESCRIPTION kosong",IF(COUNTIFS($I$2:$I$500,$I425,L$2:L$500,"&lt;&gt;"&amp;L425,L$2:L$500,"&lt;&gt;")&gt;0,"CEK jenis fixture beda dalam satu series","OK"))))))))))</f>
        <v/>
      </c>
      <c r="Q425" s="11" t="n"/>
      <c r="R425" s="11" t="n"/>
      <c r="S425" s="11" t="n"/>
      <c r="T425" s="11">
        <f>IF(OR(Q425="",R425=""),"",IFERROR(INDEX(LAYOUT!$D$2:$D$80,MATCH(Q425&amp;"|"&amp;R425,LAYOUT!$E$2:$E$80,0)),""))</f>
        <v/>
      </c>
      <c r="U425" s="12">
        <f>IF(AND(Q425="",R425=""),IF(AND(L425="",M425="",V425="",W425=""),IF(OR($D425&lt;&gt;"",$E425&lt;&gt;""),"Belum ditempatkan",""),""),IF(Q425="","CEK JENIS FIXTURE kosong",IF(LEFT(Q425,4)&lt;&gt;"Wall","CEK Fixture 2 hanya Wall",IF(R425="","CEK SHELVING KE kosong",IF(ISNA(MATCH(Q425&amp;"|"&amp;R425,LAYOUT!$E$2:$E$80,0)),"CEK SHELVING KE di luar layout",IF($I425="","CEK SERIES kosong",IF(AND(S425&lt;&gt;"",NOT(ISNUMBER(S425))),"CEK URUTAN DISPLAY harus angka",IF($D425="","Zona STOCK",IF($E425="","CEK SKU DESCRIPTION kosong",IF(COUNTIFS($I$2:$I$500,$I425,Q$2:Q$500,"&lt;&gt;"&amp;Q425,Q$2:Q$500,"&lt;&gt;")&gt;0,"CEK jenis fixture beda dalam satu series","OK"))))))))))</f>
        <v/>
      </c>
      <c r="V425" s="11" t="n"/>
      <c r="W425" s="11" t="n"/>
      <c r="X425" s="11" t="n"/>
      <c r="Y425" s="11">
        <f>IF(OR(V425="",W425=""),"",IFERROR(INDEX(LAYOUT!$D$2:$D$80,MATCH(V425&amp;"|"&amp;W425,LAYOUT!$E$2:$E$80,0)),""))</f>
        <v/>
      </c>
      <c r="Z425" s="12">
        <f>IF(AND(V425="",W425=""),IF(AND(L425="",M425="",Q425="",R425=""),IF(OR($D425&lt;&gt;"",$E425&lt;&gt;""),"Belum ditempatkan",""),""),IF(V425="","CEK JENIS FIXTURE kosong",IF(LEFT(V425,4)&lt;&gt;"Wall","CEK Fixture 3 hanya Wall",IF(W425="","CEK SHELVING KE kosong",IF(ISNA(MATCH(V425&amp;"|"&amp;W425,LAYOUT!$E$2:$E$80,0)),"CEK SHELVING KE di luar layout",IF($I425="","CEK SERIES kosong",IF(AND(X425&lt;&gt;"",NOT(ISNUMBER(X425))),"CEK URUTAN DISPLAY harus angka",IF($D425="","Zona STOCK",IF($E425="","CEK SKU DESCRIPTION kosong",IF(COUNTIFS($I$2:$I$500,$I425,V$2:V$500,"&lt;&gt;"&amp;V425,V$2:V$500,"&lt;&gt;")&gt;0,"CEK jenis fixture beda dalam satu series","OK"))))))))))</f>
        <v/>
      </c>
      <c r="AA425" s="12" t="n"/>
      <c r="AB425" s="11" t="n"/>
      <c r="AC425" s="11" t="n"/>
      <c r="AD425" s="11" t="n"/>
      <c r="AE425" s="11" t="n"/>
      <c r="AF425" s="11" t="n"/>
      <c r="AG425" s="11" t="n"/>
      <c r="AH425" s="12" t="n"/>
      <c r="AI425" s="12" t="n"/>
    </row>
    <row r="426">
      <c r="A426" s="10" t="n"/>
      <c r="B426" s="10" t="n"/>
      <c r="C426" s="10" t="n"/>
      <c r="D426" s="10" t="n"/>
      <c r="E426" s="10" t="n"/>
      <c r="F426" s="10" t="n"/>
      <c r="G426" s="10" t="n"/>
      <c r="H426" s="10" t="n"/>
      <c r="I426" s="10" t="n"/>
      <c r="J426" s="10" t="n"/>
      <c r="K426" s="10" t="n"/>
      <c r="L426" s="11" t="n"/>
      <c r="M426" s="11" t="n"/>
      <c r="N426" s="11" t="n"/>
      <c r="O426" s="11">
        <f>IF(OR(L426="",M426=""),"",IFERROR(INDEX(LAYOUT!$D$2:$D$80,MATCH(L426&amp;"|"&amp;M426,LAYOUT!$E$2:$E$80,0)),""))</f>
        <v/>
      </c>
      <c r="P426" s="12">
        <f>IF(AND(L426="",M426=""),IF(AND(Q426="",R426="",V426="",W426=""),IF(OR($D426&lt;&gt;"",$E426&lt;&gt;""),"Belum ditempatkan",""),""),IF(L426="","CEK JENIS FIXTURE kosong",IF(AND(LEFT(L426,7)&lt;&gt;"Gondola",LEFT(L426,6)&lt;&gt;"Endcap"),"CEK Fixture 1 hanya Gondola atau Endcap",IF(M426="","CEK SHELVING KE kosong",IF(ISNA(MATCH(L426&amp;"|"&amp;M426,LAYOUT!$E$2:$E$80,0)),"CEK SHELVING KE di luar layout",IF($I426="","CEK SERIES kosong",IF(AND(N426&lt;&gt;"",NOT(ISNUMBER(N426))),"CEK URUTAN DISPLAY harus angka",IF($D426="","Zona STOCK",IF($E426="","CEK SKU DESCRIPTION kosong",IF(COUNTIFS($I$2:$I$500,$I426,L$2:L$500,"&lt;&gt;"&amp;L426,L$2:L$500,"&lt;&gt;")&gt;0,"CEK jenis fixture beda dalam satu series","OK"))))))))))</f>
        <v/>
      </c>
      <c r="Q426" s="11" t="n"/>
      <c r="R426" s="11" t="n"/>
      <c r="S426" s="11" t="n"/>
      <c r="T426" s="11">
        <f>IF(OR(Q426="",R426=""),"",IFERROR(INDEX(LAYOUT!$D$2:$D$80,MATCH(Q426&amp;"|"&amp;R426,LAYOUT!$E$2:$E$80,0)),""))</f>
        <v/>
      </c>
      <c r="U426" s="12">
        <f>IF(AND(Q426="",R426=""),IF(AND(L426="",M426="",V426="",W426=""),IF(OR($D426&lt;&gt;"",$E426&lt;&gt;""),"Belum ditempatkan",""),""),IF(Q426="","CEK JENIS FIXTURE kosong",IF(LEFT(Q426,4)&lt;&gt;"Wall","CEK Fixture 2 hanya Wall",IF(R426="","CEK SHELVING KE kosong",IF(ISNA(MATCH(Q426&amp;"|"&amp;R426,LAYOUT!$E$2:$E$80,0)),"CEK SHELVING KE di luar layout",IF($I426="","CEK SERIES kosong",IF(AND(S426&lt;&gt;"",NOT(ISNUMBER(S426))),"CEK URUTAN DISPLAY harus angka",IF($D426="","Zona STOCK",IF($E426="","CEK SKU DESCRIPTION kosong",IF(COUNTIFS($I$2:$I$500,$I426,Q$2:Q$500,"&lt;&gt;"&amp;Q426,Q$2:Q$500,"&lt;&gt;")&gt;0,"CEK jenis fixture beda dalam satu series","OK"))))))))))</f>
        <v/>
      </c>
      <c r="V426" s="11" t="n"/>
      <c r="W426" s="11" t="n"/>
      <c r="X426" s="11" t="n"/>
      <c r="Y426" s="11">
        <f>IF(OR(V426="",W426=""),"",IFERROR(INDEX(LAYOUT!$D$2:$D$80,MATCH(V426&amp;"|"&amp;W426,LAYOUT!$E$2:$E$80,0)),""))</f>
        <v/>
      </c>
      <c r="Z426" s="12">
        <f>IF(AND(V426="",W426=""),IF(AND(L426="",M426="",Q426="",R426=""),IF(OR($D426&lt;&gt;"",$E426&lt;&gt;""),"Belum ditempatkan",""),""),IF(V426="","CEK JENIS FIXTURE kosong",IF(LEFT(V426,4)&lt;&gt;"Wall","CEK Fixture 3 hanya Wall",IF(W426="","CEK SHELVING KE kosong",IF(ISNA(MATCH(V426&amp;"|"&amp;W426,LAYOUT!$E$2:$E$80,0)),"CEK SHELVING KE di luar layout",IF($I426="","CEK SERIES kosong",IF(AND(X426&lt;&gt;"",NOT(ISNUMBER(X426))),"CEK URUTAN DISPLAY harus angka",IF($D426="","Zona STOCK",IF($E426="","CEK SKU DESCRIPTION kosong",IF(COUNTIFS($I$2:$I$500,$I426,V$2:V$500,"&lt;&gt;"&amp;V426,V$2:V$500,"&lt;&gt;")&gt;0,"CEK jenis fixture beda dalam satu series","OK"))))))))))</f>
        <v/>
      </c>
      <c r="AA426" s="12" t="n"/>
      <c r="AB426" s="11" t="n"/>
      <c r="AC426" s="11" t="n"/>
      <c r="AD426" s="11" t="n"/>
      <c r="AE426" s="11" t="n"/>
      <c r="AF426" s="11" t="n"/>
      <c r="AG426" s="11" t="n"/>
      <c r="AH426" s="12" t="n"/>
      <c r="AI426" s="12" t="n"/>
    </row>
    <row r="427">
      <c r="A427" s="10" t="n"/>
      <c r="B427" s="10" t="n"/>
      <c r="C427" s="10" t="n"/>
      <c r="D427" s="10" t="n"/>
      <c r="E427" s="10" t="n"/>
      <c r="F427" s="10" t="n"/>
      <c r="G427" s="10" t="n"/>
      <c r="H427" s="10" t="n"/>
      <c r="I427" s="10" t="n"/>
      <c r="J427" s="10" t="n"/>
      <c r="K427" s="10" t="n"/>
      <c r="L427" s="11" t="n"/>
      <c r="M427" s="11" t="n"/>
      <c r="N427" s="11" t="n"/>
      <c r="O427" s="11">
        <f>IF(OR(L427="",M427=""),"",IFERROR(INDEX(LAYOUT!$D$2:$D$80,MATCH(L427&amp;"|"&amp;M427,LAYOUT!$E$2:$E$80,0)),""))</f>
        <v/>
      </c>
      <c r="P427" s="12">
        <f>IF(AND(L427="",M427=""),IF(AND(Q427="",R427="",V427="",W427=""),IF(OR($D427&lt;&gt;"",$E427&lt;&gt;""),"Belum ditempatkan",""),""),IF(L427="","CEK JENIS FIXTURE kosong",IF(AND(LEFT(L427,7)&lt;&gt;"Gondola",LEFT(L427,6)&lt;&gt;"Endcap"),"CEK Fixture 1 hanya Gondola atau Endcap",IF(M427="","CEK SHELVING KE kosong",IF(ISNA(MATCH(L427&amp;"|"&amp;M427,LAYOUT!$E$2:$E$80,0)),"CEK SHELVING KE di luar layout",IF($I427="","CEK SERIES kosong",IF(AND(N427&lt;&gt;"",NOT(ISNUMBER(N427))),"CEK URUTAN DISPLAY harus angka",IF($D427="","Zona STOCK",IF($E427="","CEK SKU DESCRIPTION kosong",IF(COUNTIFS($I$2:$I$500,$I427,L$2:L$500,"&lt;&gt;"&amp;L427,L$2:L$500,"&lt;&gt;")&gt;0,"CEK jenis fixture beda dalam satu series","OK"))))))))))</f>
        <v/>
      </c>
      <c r="Q427" s="11" t="n"/>
      <c r="R427" s="11" t="n"/>
      <c r="S427" s="11" t="n"/>
      <c r="T427" s="11">
        <f>IF(OR(Q427="",R427=""),"",IFERROR(INDEX(LAYOUT!$D$2:$D$80,MATCH(Q427&amp;"|"&amp;R427,LAYOUT!$E$2:$E$80,0)),""))</f>
        <v/>
      </c>
      <c r="U427" s="12">
        <f>IF(AND(Q427="",R427=""),IF(AND(L427="",M427="",V427="",W427=""),IF(OR($D427&lt;&gt;"",$E427&lt;&gt;""),"Belum ditempatkan",""),""),IF(Q427="","CEK JENIS FIXTURE kosong",IF(LEFT(Q427,4)&lt;&gt;"Wall","CEK Fixture 2 hanya Wall",IF(R427="","CEK SHELVING KE kosong",IF(ISNA(MATCH(Q427&amp;"|"&amp;R427,LAYOUT!$E$2:$E$80,0)),"CEK SHELVING KE di luar layout",IF($I427="","CEK SERIES kosong",IF(AND(S427&lt;&gt;"",NOT(ISNUMBER(S427))),"CEK URUTAN DISPLAY harus angka",IF($D427="","Zona STOCK",IF($E427="","CEK SKU DESCRIPTION kosong",IF(COUNTIFS($I$2:$I$500,$I427,Q$2:Q$500,"&lt;&gt;"&amp;Q427,Q$2:Q$500,"&lt;&gt;")&gt;0,"CEK jenis fixture beda dalam satu series","OK"))))))))))</f>
        <v/>
      </c>
      <c r="V427" s="11" t="n"/>
      <c r="W427" s="11" t="n"/>
      <c r="X427" s="11" t="n"/>
      <c r="Y427" s="11">
        <f>IF(OR(V427="",W427=""),"",IFERROR(INDEX(LAYOUT!$D$2:$D$80,MATCH(V427&amp;"|"&amp;W427,LAYOUT!$E$2:$E$80,0)),""))</f>
        <v/>
      </c>
      <c r="Z427" s="12">
        <f>IF(AND(V427="",W427=""),IF(AND(L427="",M427="",Q427="",R427=""),IF(OR($D427&lt;&gt;"",$E427&lt;&gt;""),"Belum ditempatkan",""),""),IF(V427="","CEK JENIS FIXTURE kosong",IF(LEFT(V427,4)&lt;&gt;"Wall","CEK Fixture 3 hanya Wall",IF(W427="","CEK SHELVING KE kosong",IF(ISNA(MATCH(V427&amp;"|"&amp;W427,LAYOUT!$E$2:$E$80,0)),"CEK SHELVING KE di luar layout",IF($I427="","CEK SERIES kosong",IF(AND(X427&lt;&gt;"",NOT(ISNUMBER(X427))),"CEK URUTAN DISPLAY harus angka",IF($D427="","Zona STOCK",IF($E427="","CEK SKU DESCRIPTION kosong",IF(COUNTIFS($I$2:$I$500,$I427,V$2:V$500,"&lt;&gt;"&amp;V427,V$2:V$500,"&lt;&gt;")&gt;0,"CEK jenis fixture beda dalam satu series","OK"))))))))))</f>
        <v/>
      </c>
      <c r="AA427" s="12" t="n"/>
      <c r="AB427" s="11" t="n"/>
      <c r="AC427" s="11" t="n"/>
      <c r="AD427" s="11" t="n"/>
      <c r="AE427" s="11" t="n"/>
      <c r="AF427" s="11" t="n"/>
      <c r="AG427" s="11" t="n"/>
      <c r="AH427" s="12" t="n"/>
      <c r="AI427" s="12" t="n"/>
    </row>
    <row r="428">
      <c r="A428" s="10" t="n"/>
      <c r="B428" s="10" t="n"/>
      <c r="C428" s="10" t="n"/>
      <c r="D428" s="10" t="n"/>
      <c r="E428" s="10" t="n"/>
      <c r="F428" s="10" t="n"/>
      <c r="G428" s="10" t="n"/>
      <c r="H428" s="10" t="n"/>
      <c r="I428" s="10" t="n"/>
      <c r="J428" s="10" t="n"/>
      <c r="K428" s="10" t="n"/>
      <c r="L428" s="11" t="n"/>
      <c r="M428" s="11" t="n"/>
      <c r="N428" s="11" t="n"/>
      <c r="O428" s="11">
        <f>IF(OR(L428="",M428=""),"",IFERROR(INDEX(LAYOUT!$D$2:$D$80,MATCH(L428&amp;"|"&amp;M428,LAYOUT!$E$2:$E$80,0)),""))</f>
        <v/>
      </c>
      <c r="P428" s="12">
        <f>IF(AND(L428="",M428=""),IF(AND(Q428="",R428="",V428="",W428=""),IF(OR($D428&lt;&gt;"",$E428&lt;&gt;""),"Belum ditempatkan",""),""),IF(L428="","CEK JENIS FIXTURE kosong",IF(AND(LEFT(L428,7)&lt;&gt;"Gondola",LEFT(L428,6)&lt;&gt;"Endcap"),"CEK Fixture 1 hanya Gondola atau Endcap",IF(M428="","CEK SHELVING KE kosong",IF(ISNA(MATCH(L428&amp;"|"&amp;M428,LAYOUT!$E$2:$E$80,0)),"CEK SHELVING KE di luar layout",IF($I428="","CEK SERIES kosong",IF(AND(N428&lt;&gt;"",NOT(ISNUMBER(N428))),"CEK URUTAN DISPLAY harus angka",IF($D428="","Zona STOCK",IF($E428="","CEK SKU DESCRIPTION kosong",IF(COUNTIFS($I$2:$I$500,$I428,L$2:L$500,"&lt;&gt;"&amp;L428,L$2:L$500,"&lt;&gt;")&gt;0,"CEK jenis fixture beda dalam satu series","OK"))))))))))</f>
        <v/>
      </c>
      <c r="Q428" s="11" t="n"/>
      <c r="R428" s="11" t="n"/>
      <c r="S428" s="11" t="n"/>
      <c r="T428" s="11">
        <f>IF(OR(Q428="",R428=""),"",IFERROR(INDEX(LAYOUT!$D$2:$D$80,MATCH(Q428&amp;"|"&amp;R428,LAYOUT!$E$2:$E$80,0)),""))</f>
        <v/>
      </c>
      <c r="U428" s="12">
        <f>IF(AND(Q428="",R428=""),IF(AND(L428="",M428="",V428="",W428=""),IF(OR($D428&lt;&gt;"",$E428&lt;&gt;""),"Belum ditempatkan",""),""),IF(Q428="","CEK JENIS FIXTURE kosong",IF(LEFT(Q428,4)&lt;&gt;"Wall","CEK Fixture 2 hanya Wall",IF(R428="","CEK SHELVING KE kosong",IF(ISNA(MATCH(Q428&amp;"|"&amp;R428,LAYOUT!$E$2:$E$80,0)),"CEK SHELVING KE di luar layout",IF($I428="","CEK SERIES kosong",IF(AND(S428&lt;&gt;"",NOT(ISNUMBER(S428))),"CEK URUTAN DISPLAY harus angka",IF($D428="","Zona STOCK",IF($E428="","CEK SKU DESCRIPTION kosong",IF(COUNTIFS($I$2:$I$500,$I428,Q$2:Q$500,"&lt;&gt;"&amp;Q428,Q$2:Q$500,"&lt;&gt;")&gt;0,"CEK jenis fixture beda dalam satu series","OK"))))))))))</f>
        <v/>
      </c>
      <c r="V428" s="11" t="n"/>
      <c r="W428" s="11" t="n"/>
      <c r="X428" s="11" t="n"/>
      <c r="Y428" s="11">
        <f>IF(OR(V428="",W428=""),"",IFERROR(INDEX(LAYOUT!$D$2:$D$80,MATCH(V428&amp;"|"&amp;W428,LAYOUT!$E$2:$E$80,0)),""))</f>
        <v/>
      </c>
      <c r="Z428" s="12">
        <f>IF(AND(V428="",W428=""),IF(AND(L428="",M428="",Q428="",R428=""),IF(OR($D428&lt;&gt;"",$E428&lt;&gt;""),"Belum ditempatkan",""),""),IF(V428="","CEK JENIS FIXTURE kosong",IF(LEFT(V428,4)&lt;&gt;"Wall","CEK Fixture 3 hanya Wall",IF(W428="","CEK SHELVING KE kosong",IF(ISNA(MATCH(V428&amp;"|"&amp;W428,LAYOUT!$E$2:$E$80,0)),"CEK SHELVING KE di luar layout",IF($I428="","CEK SERIES kosong",IF(AND(X428&lt;&gt;"",NOT(ISNUMBER(X428))),"CEK URUTAN DISPLAY harus angka",IF($D428="","Zona STOCK",IF($E428="","CEK SKU DESCRIPTION kosong",IF(COUNTIFS($I$2:$I$500,$I428,V$2:V$500,"&lt;&gt;"&amp;V428,V$2:V$500,"&lt;&gt;")&gt;0,"CEK jenis fixture beda dalam satu series","OK"))))))))))</f>
        <v/>
      </c>
      <c r="AA428" s="12" t="n"/>
      <c r="AB428" s="11" t="n"/>
      <c r="AC428" s="11" t="n"/>
      <c r="AD428" s="11" t="n"/>
      <c r="AE428" s="11" t="n"/>
      <c r="AF428" s="11" t="n"/>
      <c r="AG428" s="11" t="n"/>
      <c r="AH428" s="12" t="n"/>
      <c r="AI428" s="12" t="n"/>
    </row>
    <row r="429">
      <c r="A429" s="10" t="n"/>
      <c r="B429" s="10" t="n"/>
      <c r="C429" s="10" t="n"/>
      <c r="D429" s="10" t="n"/>
      <c r="E429" s="10" t="n"/>
      <c r="F429" s="10" t="n"/>
      <c r="G429" s="10" t="n"/>
      <c r="H429" s="10" t="n"/>
      <c r="I429" s="10" t="n"/>
      <c r="J429" s="10" t="n"/>
      <c r="K429" s="10" t="n"/>
      <c r="L429" s="11" t="n"/>
      <c r="M429" s="11" t="n"/>
      <c r="N429" s="11" t="n"/>
      <c r="O429" s="11">
        <f>IF(OR(L429="",M429=""),"",IFERROR(INDEX(LAYOUT!$D$2:$D$80,MATCH(L429&amp;"|"&amp;M429,LAYOUT!$E$2:$E$80,0)),""))</f>
        <v/>
      </c>
      <c r="P429" s="12">
        <f>IF(AND(L429="",M429=""),IF(AND(Q429="",R429="",V429="",W429=""),IF(OR($D429&lt;&gt;"",$E429&lt;&gt;""),"Belum ditempatkan",""),""),IF(L429="","CEK JENIS FIXTURE kosong",IF(AND(LEFT(L429,7)&lt;&gt;"Gondola",LEFT(L429,6)&lt;&gt;"Endcap"),"CEK Fixture 1 hanya Gondola atau Endcap",IF(M429="","CEK SHELVING KE kosong",IF(ISNA(MATCH(L429&amp;"|"&amp;M429,LAYOUT!$E$2:$E$80,0)),"CEK SHELVING KE di luar layout",IF($I429="","CEK SERIES kosong",IF(AND(N429&lt;&gt;"",NOT(ISNUMBER(N429))),"CEK URUTAN DISPLAY harus angka",IF($D429="","Zona STOCK",IF($E429="","CEK SKU DESCRIPTION kosong",IF(COUNTIFS($I$2:$I$500,$I429,L$2:L$500,"&lt;&gt;"&amp;L429,L$2:L$500,"&lt;&gt;")&gt;0,"CEK jenis fixture beda dalam satu series","OK"))))))))))</f>
        <v/>
      </c>
      <c r="Q429" s="11" t="n"/>
      <c r="R429" s="11" t="n"/>
      <c r="S429" s="11" t="n"/>
      <c r="T429" s="11">
        <f>IF(OR(Q429="",R429=""),"",IFERROR(INDEX(LAYOUT!$D$2:$D$80,MATCH(Q429&amp;"|"&amp;R429,LAYOUT!$E$2:$E$80,0)),""))</f>
        <v/>
      </c>
      <c r="U429" s="12">
        <f>IF(AND(Q429="",R429=""),IF(AND(L429="",M429="",V429="",W429=""),IF(OR($D429&lt;&gt;"",$E429&lt;&gt;""),"Belum ditempatkan",""),""),IF(Q429="","CEK JENIS FIXTURE kosong",IF(LEFT(Q429,4)&lt;&gt;"Wall","CEK Fixture 2 hanya Wall",IF(R429="","CEK SHELVING KE kosong",IF(ISNA(MATCH(Q429&amp;"|"&amp;R429,LAYOUT!$E$2:$E$80,0)),"CEK SHELVING KE di luar layout",IF($I429="","CEK SERIES kosong",IF(AND(S429&lt;&gt;"",NOT(ISNUMBER(S429))),"CEK URUTAN DISPLAY harus angka",IF($D429="","Zona STOCK",IF($E429="","CEK SKU DESCRIPTION kosong",IF(COUNTIFS($I$2:$I$500,$I429,Q$2:Q$500,"&lt;&gt;"&amp;Q429,Q$2:Q$500,"&lt;&gt;")&gt;0,"CEK jenis fixture beda dalam satu series","OK"))))))))))</f>
        <v/>
      </c>
      <c r="V429" s="11" t="n"/>
      <c r="W429" s="11" t="n"/>
      <c r="X429" s="11" t="n"/>
      <c r="Y429" s="11">
        <f>IF(OR(V429="",W429=""),"",IFERROR(INDEX(LAYOUT!$D$2:$D$80,MATCH(V429&amp;"|"&amp;W429,LAYOUT!$E$2:$E$80,0)),""))</f>
        <v/>
      </c>
      <c r="Z429" s="12">
        <f>IF(AND(V429="",W429=""),IF(AND(L429="",M429="",Q429="",R429=""),IF(OR($D429&lt;&gt;"",$E429&lt;&gt;""),"Belum ditempatkan",""),""),IF(V429="","CEK JENIS FIXTURE kosong",IF(LEFT(V429,4)&lt;&gt;"Wall","CEK Fixture 3 hanya Wall",IF(W429="","CEK SHELVING KE kosong",IF(ISNA(MATCH(V429&amp;"|"&amp;W429,LAYOUT!$E$2:$E$80,0)),"CEK SHELVING KE di luar layout",IF($I429="","CEK SERIES kosong",IF(AND(X429&lt;&gt;"",NOT(ISNUMBER(X429))),"CEK URUTAN DISPLAY harus angka",IF($D429="","Zona STOCK",IF($E429="","CEK SKU DESCRIPTION kosong",IF(COUNTIFS($I$2:$I$500,$I429,V$2:V$500,"&lt;&gt;"&amp;V429,V$2:V$500,"&lt;&gt;")&gt;0,"CEK jenis fixture beda dalam satu series","OK"))))))))))</f>
        <v/>
      </c>
      <c r="AA429" s="12" t="n"/>
      <c r="AB429" s="11" t="n"/>
      <c r="AC429" s="11" t="n"/>
      <c r="AD429" s="11" t="n"/>
      <c r="AE429" s="11" t="n"/>
      <c r="AF429" s="11" t="n"/>
      <c r="AG429" s="11" t="n"/>
      <c r="AH429" s="12" t="n"/>
      <c r="AI429" s="12" t="n"/>
    </row>
    <row r="430">
      <c r="A430" s="10" t="n"/>
      <c r="B430" s="10" t="n"/>
      <c r="C430" s="10" t="n"/>
      <c r="D430" s="10" t="n"/>
      <c r="E430" s="10" t="n"/>
      <c r="F430" s="10" t="n"/>
      <c r="G430" s="10" t="n"/>
      <c r="H430" s="10" t="n"/>
      <c r="I430" s="10" t="n"/>
      <c r="J430" s="10" t="n"/>
      <c r="K430" s="10" t="n"/>
      <c r="L430" s="11" t="n"/>
      <c r="M430" s="11" t="n"/>
      <c r="N430" s="11" t="n"/>
      <c r="O430" s="11">
        <f>IF(OR(L430="",M430=""),"",IFERROR(INDEX(LAYOUT!$D$2:$D$80,MATCH(L430&amp;"|"&amp;M430,LAYOUT!$E$2:$E$80,0)),""))</f>
        <v/>
      </c>
      <c r="P430" s="12">
        <f>IF(AND(L430="",M430=""),IF(AND(Q430="",R430="",V430="",W430=""),IF(OR($D430&lt;&gt;"",$E430&lt;&gt;""),"Belum ditempatkan",""),""),IF(L430="","CEK JENIS FIXTURE kosong",IF(AND(LEFT(L430,7)&lt;&gt;"Gondola",LEFT(L430,6)&lt;&gt;"Endcap"),"CEK Fixture 1 hanya Gondola atau Endcap",IF(M430="","CEK SHELVING KE kosong",IF(ISNA(MATCH(L430&amp;"|"&amp;M430,LAYOUT!$E$2:$E$80,0)),"CEK SHELVING KE di luar layout",IF($I430="","CEK SERIES kosong",IF(AND(N430&lt;&gt;"",NOT(ISNUMBER(N430))),"CEK URUTAN DISPLAY harus angka",IF($D430="","Zona STOCK",IF($E430="","CEK SKU DESCRIPTION kosong",IF(COUNTIFS($I$2:$I$500,$I430,L$2:L$500,"&lt;&gt;"&amp;L430,L$2:L$500,"&lt;&gt;")&gt;0,"CEK jenis fixture beda dalam satu series","OK"))))))))))</f>
        <v/>
      </c>
      <c r="Q430" s="11" t="n"/>
      <c r="R430" s="11" t="n"/>
      <c r="S430" s="11" t="n"/>
      <c r="T430" s="11">
        <f>IF(OR(Q430="",R430=""),"",IFERROR(INDEX(LAYOUT!$D$2:$D$80,MATCH(Q430&amp;"|"&amp;R430,LAYOUT!$E$2:$E$80,0)),""))</f>
        <v/>
      </c>
      <c r="U430" s="12">
        <f>IF(AND(Q430="",R430=""),IF(AND(L430="",M430="",V430="",W430=""),IF(OR($D430&lt;&gt;"",$E430&lt;&gt;""),"Belum ditempatkan",""),""),IF(Q430="","CEK JENIS FIXTURE kosong",IF(LEFT(Q430,4)&lt;&gt;"Wall","CEK Fixture 2 hanya Wall",IF(R430="","CEK SHELVING KE kosong",IF(ISNA(MATCH(Q430&amp;"|"&amp;R430,LAYOUT!$E$2:$E$80,0)),"CEK SHELVING KE di luar layout",IF($I430="","CEK SERIES kosong",IF(AND(S430&lt;&gt;"",NOT(ISNUMBER(S430))),"CEK URUTAN DISPLAY harus angka",IF($D430="","Zona STOCK",IF($E430="","CEK SKU DESCRIPTION kosong",IF(COUNTIFS($I$2:$I$500,$I430,Q$2:Q$500,"&lt;&gt;"&amp;Q430,Q$2:Q$500,"&lt;&gt;")&gt;0,"CEK jenis fixture beda dalam satu series","OK"))))))))))</f>
        <v/>
      </c>
      <c r="V430" s="11" t="n"/>
      <c r="W430" s="11" t="n"/>
      <c r="X430" s="11" t="n"/>
      <c r="Y430" s="11">
        <f>IF(OR(V430="",W430=""),"",IFERROR(INDEX(LAYOUT!$D$2:$D$80,MATCH(V430&amp;"|"&amp;W430,LAYOUT!$E$2:$E$80,0)),""))</f>
        <v/>
      </c>
      <c r="Z430" s="12">
        <f>IF(AND(V430="",W430=""),IF(AND(L430="",M430="",Q430="",R430=""),IF(OR($D430&lt;&gt;"",$E430&lt;&gt;""),"Belum ditempatkan",""),""),IF(V430="","CEK JENIS FIXTURE kosong",IF(LEFT(V430,4)&lt;&gt;"Wall","CEK Fixture 3 hanya Wall",IF(W430="","CEK SHELVING KE kosong",IF(ISNA(MATCH(V430&amp;"|"&amp;W430,LAYOUT!$E$2:$E$80,0)),"CEK SHELVING KE di luar layout",IF($I430="","CEK SERIES kosong",IF(AND(X430&lt;&gt;"",NOT(ISNUMBER(X430))),"CEK URUTAN DISPLAY harus angka",IF($D430="","Zona STOCK",IF($E430="","CEK SKU DESCRIPTION kosong",IF(COUNTIFS($I$2:$I$500,$I430,V$2:V$500,"&lt;&gt;"&amp;V430,V$2:V$500,"&lt;&gt;")&gt;0,"CEK jenis fixture beda dalam satu series","OK"))))))))))</f>
        <v/>
      </c>
      <c r="AA430" s="12" t="n"/>
      <c r="AB430" s="11" t="n"/>
      <c r="AC430" s="11" t="n"/>
      <c r="AD430" s="11" t="n"/>
      <c r="AE430" s="11" t="n"/>
      <c r="AF430" s="11" t="n"/>
      <c r="AG430" s="11" t="n"/>
      <c r="AH430" s="12" t="n"/>
      <c r="AI430" s="12" t="n"/>
    </row>
    <row r="431">
      <c r="A431" s="10" t="n"/>
      <c r="B431" s="10" t="n"/>
      <c r="C431" s="10" t="n"/>
      <c r="D431" s="10" t="n"/>
      <c r="E431" s="10" t="n"/>
      <c r="F431" s="10" t="n"/>
      <c r="G431" s="10" t="n"/>
      <c r="H431" s="10" t="n"/>
      <c r="I431" s="10" t="n"/>
      <c r="J431" s="10" t="n"/>
      <c r="K431" s="10" t="n"/>
      <c r="L431" s="11" t="n"/>
      <c r="M431" s="11" t="n"/>
      <c r="N431" s="11" t="n"/>
      <c r="O431" s="11">
        <f>IF(OR(L431="",M431=""),"",IFERROR(INDEX(LAYOUT!$D$2:$D$80,MATCH(L431&amp;"|"&amp;M431,LAYOUT!$E$2:$E$80,0)),""))</f>
        <v/>
      </c>
      <c r="P431" s="12">
        <f>IF(AND(L431="",M431=""),IF(AND(Q431="",R431="",V431="",W431=""),IF(OR($D431&lt;&gt;"",$E431&lt;&gt;""),"Belum ditempatkan",""),""),IF(L431="","CEK JENIS FIXTURE kosong",IF(AND(LEFT(L431,7)&lt;&gt;"Gondola",LEFT(L431,6)&lt;&gt;"Endcap"),"CEK Fixture 1 hanya Gondola atau Endcap",IF(M431="","CEK SHELVING KE kosong",IF(ISNA(MATCH(L431&amp;"|"&amp;M431,LAYOUT!$E$2:$E$80,0)),"CEK SHELVING KE di luar layout",IF($I431="","CEK SERIES kosong",IF(AND(N431&lt;&gt;"",NOT(ISNUMBER(N431))),"CEK URUTAN DISPLAY harus angka",IF($D431="","Zona STOCK",IF($E431="","CEK SKU DESCRIPTION kosong",IF(COUNTIFS($I$2:$I$500,$I431,L$2:L$500,"&lt;&gt;"&amp;L431,L$2:L$500,"&lt;&gt;")&gt;0,"CEK jenis fixture beda dalam satu series","OK"))))))))))</f>
        <v/>
      </c>
      <c r="Q431" s="11" t="n"/>
      <c r="R431" s="11" t="n"/>
      <c r="S431" s="11" t="n"/>
      <c r="T431" s="11">
        <f>IF(OR(Q431="",R431=""),"",IFERROR(INDEX(LAYOUT!$D$2:$D$80,MATCH(Q431&amp;"|"&amp;R431,LAYOUT!$E$2:$E$80,0)),""))</f>
        <v/>
      </c>
      <c r="U431" s="12">
        <f>IF(AND(Q431="",R431=""),IF(AND(L431="",M431="",V431="",W431=""),IF(OR($D431&lt;&gt;"",$E431&lt;&gt;""),"Belum ditempatkan",""),""),IF(Q431="","CEK JENIS FIXTURE kosong",IF(LEFT(Q431,4)&lt;&gt;"Wall","CEK Fixture 2 hanya Wall",IF(R431="","CEK SHELVING KE kosong",IF(ISNA(MATCH(Q431&amp;"|"&amp;R431,LAYOUT!$E$2:$E$80,0)),"CEK SHELVING KE di luar layout",IF($I431="","CEK SERIES kosong",IF(AND(S431&lt;&gt;"",NOT(ISNUMBER(S431))),"CEK URUTAN DISPLAY harus angka",IF($D431="","Zona STOCK",IF($E431="","CEK SKU DESCRIPTION kosong",IF(COUNTIFS($I$2:$I$500,$I431,Q$2:Q$500,"&lt;&gt;"&amp;Q431,Q$2:Q$500,"&lt;&gt;")&gt;0,"CEK jenis fixture beda dalam satu series","OK"))))))))))</f>
        <v/>
      </c>
      <c r="V431" s="11" t="n"/>
      <c r="W431" s="11" t="n"/>
      <c r="X431" s="11" t="n"/>
      <c r="Y431" s="11">
        <f>IF(OR(V431="",W431=""),"",IFERROR(INDEX(LAYOUT!$D$2:$D$80,MATCH(V431&amp;"|"&amp;W431,LAYOUT!$E$2:$E$80,0)),""))</f>
        <v/>
      </c>
      <c r="Z431" s="12">
        <f>IF(AND(V431="",W431=""),IF(AND(L431="",M431="",Q431="",R431=""),IF(OR($D431&lt;&gt;"",$E431&lt;&gt;""),"Belum ditempatkan",""),""),IF(V431="","CEK JENIS FIXTURE kosong",IF(LEFT(V431,4)&lt;&gt;"Wall","CEK Fixture 3 hanya Wall",IF(W431="","CEK SHELVING KE kosong",IF(ISNA(MATCH(V431&amp;"|"&amp;W431,LAYOUT!$E$2:$E$80,0)),"CEK SHELVING KE di luar layout",IF($I431="","CEK SERIES kosong",IF(AND(X431&lt;&gt;"",NOT(ISNUMBER(X431))),"CEK URUTAN DISPLAY harus angka",IF($D431="","Zona STOCK",IF($E431="","CEK SKU DESCRIPTION kosong",IF(COUNTIFS($I$2:$I$500,$I431,V$2:V$500,"&lt;&gt;"&amp;V431,V$2:V$500,"&lt;&gt;")&gt;0,"CEK jenis fixture beda dalam satu series","OK"))))))))))</f>
        <v/>
      </c>
      <c r="AA431" s="12" t="n"/>
      <c r="AB431" s="11" t="n"/>
      <c r="AC431" s="11" t="n"/>
      <c r="AD431" s="11" t="n"/>
      <c r="AE431" s="11" t="n"/>
      <c r="AF431" s="11" t="n"/>
      <c r="AG431" s="11" t="n"/>
      <c r="AH431" s="12" t="n"/>
      <c r="AI431" s="12" t="n"/>
    </row>
    <row r="432">
      <c r="A432" s="10" t="n"/>
      <c r="B432" s="10" t="n"/>
      <c r="C432" s="10" t="n"/>
      <c r="D432" s="10" t="n"/>
      <c r="E432" s="10" t="n"/>
      <c r="F432" s="10" t="n"/>
      <c r="G432" s="10" t="n"/>
      <c r="H432" s="10" t="n"/>
      <c r="I432" s="10" t="n"/>
      <c r="J432" s="10" t="n"/>
      <c r="K432" s="10" t="n"/>
      <c r="L432" s="11" t="n"/>
      <c r="M432" s="11" t="n"/>
      <c r="N432" s="11" t="n"/>
      <c r="O432" s="11">
        <f>IF(OR(L432="",M432=""),"",IFERROR(INDEX(LAYOUT!$D$2:$D$80,MATCH(L432&amp;"|"&amp;M432,LAYOUT!$E$2:$E$80,0)),""))</f>
        <v/>
      </c>
      <c r="P432" s="12">
        <f>IF(AND(L432="",M432=""),IF(AND(Q432="",R432="",V432="",W432=""),IF(OR($D432&lt;&gt;"",$E432&lt;&gt;""),"Belum ditempatkan",""),""),IF(L432="","CEK JENIS FIXTURE kosong",IF(AND(LEFT(L432,7)&lt;&gt;"Gondola",LEFT(L432,6)&lt;&gt;"Endcap"),"CEK Fixture 1 hanya Gondola atau Endcap",IF(M432="","CEK SHELVING KE kosong",IF(ISNA(MATCH(L432&amp;"|"&amp;M432,LAYOUT!$E$2:$E$80,0)),"CEK SHELVING KE di luar layout",IF($I432="","CEK SERIES kosong",IF(AND(N432&lt;&gt;"",NOT(ISNUMBER(N432))),"CEK URUTAN DISPLAY harus angka",IF($D432="","Zona STOCK",IF($E432="","CEK SKU DESCRIPTION kosong",IF(COUNTIFS($I$2:$I$500,$I432,L$2:L$500,"&lt;&gt;"&amp;L432,L$2:L$500,"&lt;&gt;")&gt;0,"CEK jenis fixture beda dalam satu series","OK"))))))))))</f>
        <v/>
      </c>
      <c r="Q432" s="11" t="n"/>
      <c r="R432" s="11" t="n"/>
      <c r="S432" s="11" t="n"/>
      <c r="T432" s="11">
        <f>IF(OR(Q432="",R432=""),"",IFERROR(INDEX(LAYOUT!$D$2:$D$80,MATCH(Q432&amp;"|"&amp;R432,LAYOUT!$E$2:$E$80,0)),""))</f>
        <v/>
      </c>
      <c r="U432" s="12">
        <f>IF(AND(Q432="",R432=""),IF(AND(L432="",M432="",V432="",W432=""),IF(OR($D432&lt;&gt;"",$E432&lt;&gt;""),"Belum ditempatkan",""),""),IF(Q432="","CEK JENIS FIXTURE kosong",IF(LEFT(Q432,4)&lt;&gt;"Wall","CEK Fixture 2 hanya Wall",IF(R432="","CEK SHELVING KE kosong",IF(ISNA(MATCH(Q432&amp;"|"&amp;R432,LAYOUT!$E$2:$E$80,0)),"CEK SHELVING KE di luar layout",IF($I432="","CEK SERIES kosong",IF(AND(S432&lt;&gt;"",NOT(ISNUMBER(S432))),"CEK URUTAN DISPLAY harus angka",IF($D432="","Zona STOCK",IF($E432="","CEK SKU DESCRIPTION kosong",IF(COUNTIFS($I$2:$I$500,$I432,Q$2:Q$500,"&lt;&gt;"&amp;Q432,Q$2:Q$500,"&lt;&gt;")&gt;0,"CEK jenis fixture beda dalam satu series","OK"))))))))))</f>
        <v/>
      </c>
      <c r="V432" s="11" t="n"/>
      <c r="W432" s="11" t="n"/>
      <c r="X432" s="11" t="n"/>
      <c r="Y432" s="11">
        <f>IF(OR(V432="",W432=""),"",IFERROR(INDEX(LAYOUT!$D$2:$D$80,MATCH(V432&amp;"|"&amp;W432,LAYOUT!$E$2:$E$80,0)),""))</f>
        <v/>
      </c>
      <c r="Z432" s="12">
        <f>IF(AND(V432="",W432=""),IF(AND(L432="",M432="",Q432="",R432=""),IF(OR($D432&lt;&gt;"",$E432&lt;&gt;""),"Belum ditempatkan",""),""),IF(V432="","CEK JENIS FIXTURE kosong",IF(LEFT(V432,4)&lt;&gt;"Wall","CEK Fixture 3 hanya Wall",IF(W432="","CEK SHELVING KE kosong",IF(ISNA(MATCH(V432&amp;"|"&amp;W432,LAYOUT!$E$2:$E$80,0)),"CEK SHELVING KE di luar layout",IF($I432="","CEK SERIES kosong",IF(AND(X432&lt;&gt;"",NOT(ISNUMBER(X432))),"CEK URUTAN DISPLAY harus angka",IF($D432="","Zona STOCK",IF($E432="","CEK SKU DESCRIPTION kosong",IF(COUNTIFS($I$2:$I$500,$I432,V$2:V$500,"&lt;&gt;"&amp;V432,V$2:V$500,"&lt;&gt;")&gt;0,"CEK jenis fixture beda dalam satu series","OK"))))))))))</f>
        <v/>
      </c>
      <c r="AA432" s="12" t="n"/>
      <c r="AB432" s="11" t="n"/>
      <c r="AC432" s="11" t="n"/>
      <c r="AD432" s="11" t="n"/>
      <c r="AE432" s="11" t="n"/>
      <c r="AF432" s="11" t="n"/>
      <c r="AG432" s="11" t="n"/>
      <c r="AH432" s="12" t="n"/>
      <c r="AI432" s="12" t="n"/>
    </row>
    <row r="433">
      <c r="A433" s="10" t="n"/>
      <c r="B433" s="10" t="n"/>
      <c r="C433" s="10" t="n"/>
      <c r="D433" s="10" t="n"/>
      <c r="E433" s="10" t="n"/>
      <c r="F433" s="10" t="n"/>
      <c r="G433" s="10" t="n"/>
      <c r="H433" s="10" t="n"/>
      <c r="I433" s="10" t="n"/>
      <c r="J433" s="10" t="n"/>
      <c r="K433" s="10" t="n"/>
      <c r="L433" s="11" t="n"/>
      <c r="M433" s="11" t="n"/>
      <c r="N433" s="11" t="n"/>
      <c r="O433" s="11">
        <f>IF(OR(L433="",M433=""),"",IFERROR(INDEX(LAYOUT!$D$2:$D$80,MATCH(L433&amp;"|"&amp;M433,LAYOUT!$E$2:$E$80,0)),""))</f>
        <v/>
      </c>
      <c r="P433" s="12">
        <f>IF(AND(L433="",M433=""),IF(AND(Q433="",R433="",V433="",W433=""),IF(OR($D433&lt;&gt;"",$E433&lt;&gt;""),"Belum ditempatkan",""),""),IF(L433="","CEK JENIS FIXTURE kosong",IF(AND(LEFT(L433,7)&lt;&gt;"Gondola",LEFT(L433,6)&lt;&gt;"Endcap"),"CEK Fixture 1 hanya Gondola atau Endcap",IF(M433="","CEK SHELVING KE kosong",IF(ISNA(MATCH(L433&amp;"|"&amp;M433,LAYOUT!$E$2:$E$80,0)),"CEK SHELVING KE di luar layout",IF($I433="","CEK SERIES kosong",IF(AND(N433&lt;&gt;"",NOT(ISNUMBER(N433))),"CEK URUTAN DISPLAY harus angka",IF($D433="","Zona STOCK",IF($E433="","CEK SKU DESCRIPTION kosong",IF(COUNTIFS($I$2:$I$500,$I433,L$2:L$500,"&lt;&gt;"&amp;L433,L$2:L$500,"&lt;&gt;")&gt;0,"CEK jenis fixture beda dalam satu series","OK"))))))))))</f>
        <v/>
      </c>
      <c r="Q433" s="11" t="n"/>
      <c r="R433" s="11" t="n"/>
      <c r="S433" s="11" t="n"/>
      <c r="T433" s="11">
        <f>IF(OR(Q433="",R433=""),"",IFERROR(INDEX(LAYOUT!$D$2:$D$80,MATCH(Q433&amp;"|"&amp;R433,LAYOUT!$E$2:$E$80,0)),""))</f>
        <v/>
      </c>
      <c r="U433" s="12">
        <f>IF(AND(Q433="",R433=""),IF(AND(L433="",M433="",V433="",W433=""),IF(OR($D433&lt;&gt;"",$E433&lt;&gt;""),"Belum ditempatkan",""),""),IF(Q433="","CEK JENIS FIXTURE kosong",IF(LEFT(Q433,4)&lt;&gt;"Wall","CEK Fixture 2 hanya Wall",IF(R433="","CEK SHELVING KE kosong",IF(ISNA(MATCH(Q433&amp;"|"&amp;R433,LAYOUT!$E$2:$E$80,0)),"CEK SHELVING KE di luar layout",IF($I433="","CEK SERIES kosong",IF(AND(S433&lt;&gt;"",NOT(ISNUMBER(S433))),"CEK URUTAN DISPLAY harus angka",IF($D433="","Zona STOCK",IF($E433="","CEK SKU DESCRIPTION kosong",IF(COUNTIFS($I$2:$I$500,$I433,Q$2:Q$500,"&lt;&gt;"&amp;Q433,Q$2:Q$500,"&lt;&gt;")&gt;0,"CEK jenis fixture beda dalam satu series","OK"))))))))))</f>
        <v/>
      </c>
      <c r="V433" s="11" t="n"/>
      <c r="W433" s="11" t="n"/>
      <c r="X433" s="11" t="n"/>
      <c r="Y433" s="11">
        <f>IF(OR(V433="",W433=""),"",IFERROR(INDEX(LAYOUT!$D$2:$D$80,MATCH(V433&amp;"|"&amp;W433,LAYOUT!$E$2:$E$80,0)),""))</f>
        <v/>
      </c>
      <c r="Z433" s="12">
        <f>IF(AND(V433="",W433=""),IF(AND(L433="",M433="",Q433="",R433=""),IF(OR($D433&lt;&gt;"",$E433&lt;&gt;""),"Belum ditempatkan",""),""),IF(V433="","CEK JENIS FIXTURE kosong",IF(LEFT(V433,4)&lt;&gt;"Wall","CEK Fixture 3 hanya Wall",IF(W433="","CEK SHELVING KE kosong",IF(ISNA(MATCH(V433&amp;"|"&amp;W433,LAYOUT!$E$2:$E$80,0)),"CEK SHELVING KE di luar layout",IF($I433="","CEK SERIES kosong",IF(AND(X433&lt;&gt;"",NOT(ISNUMBER(X433))),"CEK URUTAN DISPLAY harus angka",IF($D433="","Zona STOCK",IF($E433="","CEK SKU DESCRIPTION kosong",IF(COUNTIFS($I$2:$I$500,$I433,V$2:V$500,"&lt;&gt;"&amp;V433,V$2:V$500,"&lt;&gt;")&gt;0,"CEK jenis fixture beda dalam satu series","OK"))))))))))</f>
        <v/>
      </c>
      <c r="AA433" s="12" t="n"/>
      <c r="AB433" s="11" t="n"/>
      <c r="AC433" s="11" t="n"/>
      <c r="AD433" s="11" t="n"/>
      <c r="AE433" s="11" t="n"/>
      <c r="AF433" s="11" t="n"/>
      <c r="AG433" s="11" t="n"/>
      <c r="AH433" s="12" t="n"/>
      <c r="AI433" s="12" t="n"/>
    </row>
    <row r="434">
      <c r="A434" s="10" t="n"/>
      <c r="B434" s="10" t="n"/>
      <c r="C434" s="10" t="n"/>
      <c r="D434" s="10" t="n"/>
      <c r="E434" s="10" t="n"/>
      <c r="F434" s="10" t="n"/>
      <c r="G434" s="10" t="n"/>
      <c r="H434" s="10" t="n"/>
      <c r="I434" s="10" t="n"/>
      <c r="J434" s="10" t="n"/>
      <c r="K434" s="10" t="n"/>
      <c r="L434" s="11" t="n"/>
      <c r="M434" s="11" t="n"/>
      <c r="N434" s="11" t="n"/>
      <c r="O434" s="11">
        <f>IF(OR(L434="",M434=""),"",IFERROR(INDEX(LAYOUT!$D$2:$D$80,MATCH(L434&amp;"|"&amp;M434,LAYOUT!$E$2:$E$80,0)),""))</f>
        <v/>
      </c>
      <c r="P434" s="12">
        <f>IF(AND(L434="",M434=""),IF(AND(Q434="",R434="",V434="",W434=""),IF(OR($D434&lt;&gt;"",$E434&lt;&gt;""),"Belum ditempatkan",""),""),IF(L434="","CEK JENIS FIXTURE kosong",IF(AND(LEFT(L434,7)&lt;&gt;"Gondola",LEFT(L434,6)&lt;&gt;"Endcap"),"CEK Fixture 1 hanya Gondola atau Endcap",IF(M434="","CEK SHELVING KE kosong",IF(ISNA(MATCH(L434&amp;"|"&amp;M434,LAYOUT!$E$2:$E$80,0)),"CEK SHELVING KE di luar layout",IF($I434="","CEK SERIES kosong",IF(AND(N434&lt;&gt;"",NOT(ISNUMBER(N434))),"CEK URUTAN DISPLAY harus angka",IF($D434="","Zona STOCK",IF($E434="","CEK SKU DESCRIPTION kosong",IF(COUNTIFS($I$2:$I$500,$I434,L$2:L$500,"&lt;&gt;"&amp;L434,L$2:L$500,"&lt;&gt;")&gt;0,"CEK jenis fixture beda dalam satu series","OK"))))))))))</f>
        <v/>
      </c>
      <c r="Q434" s="11" t="n"/>
      <c r="R434" s="11" t="n"/>
      <c r="S434" s="11" t="n"/>
      <c r="T434" s="11">
        <f>IF(OR(Q434="",R434=""),"",IFERROR(INDEX(LAYOUT!$D$2:$D$80,MATCH(Q434&amp;"|"&amp;R434,LAYOUT!$E$2:$E$80,0)),""))</f>
        <v/>
      </c>
      <c r="U434" s="12">
        <f>IF(AND(Q434="",R434=""),IF(AND(L434="",M434="",V434="",W434=""),IF(OR($D434&lt;&gt;"",$E434&lt;&gt;""),"Belum ditempatkan",""),""),IF(Q434="","CEK JENIS FIXTURE kosong",IF(LEFT(Q434,4)&lt;&gt;"Wall","CEK Fixture 2 hanya Wall",IF(R434="","CEK SHELVING KE kosong",IF(ISNA(MATCH(Q434&amp;"|"&amp;R434,LAYOUT!$E$2:$E$80,0)),"CEK SHELVING KE di luar layout",IF($I434="","CEK SERIES kosong",IF(AND(S434&lt;&gt;"",NOT(ISNUMBER(S434))),"CEK URUTAN DISPLAY harus angka",IF($D434="","Zona STOCK",IF($E434="","CEK SKU DESCRIPTION kosong",IF(COUNTIFS($I$2:$I$500,$I434,Q$2:Q$500,"&lt;&gt;"&amp;Q434,Q$2:Q$500,"&lt;&gt;")&gt;0,"CEK jenis fixture beda dalam satu series","OK"))))))))))</f>
        <v/>
      </c>
      <c r="V434" s="11" t="n"/>
      <c r="W434" s="11" t="n"/>
      <c r="X434" s="11" t="n"/>
      <c r="Y434" s="11">
        <f>IF(OR(V434="",W434=""),"",IFERROR(INDEX(LAYOUT!$D$2:$D$80,MATCH(V434&amp;"|"&amp;W434,LAYOUT!$E$2:$E$80,0)),""))</f>
        <v/>
      </c>
      <c r="Z434" s="12">
        <f>IF(AND(V434="",W434=""),IF(AND(L434="",M434="",Q434="",R434=""),IF(OR($D434&lt;&gt;"",$E434&lt;&gt;""),"Belum ditempatkan",""),""),IF(V434="","CEK JENIS FIXTURE kosong",IF(LEFT(V434,4)&lt;&gt;"Wall","CEK Fixture 3 hanya Wall",IF(W434="","CEK SHELVING KE kosong",IF(ISNA(MATCH(V434&amp;"|"&amp;W434,LAYOUT!$E$2:$E$80,0)),"CEK SHELVING KE di luar layout",IF($I434="","CEK SERIES kosong",IF(AND(X434&lt;&gt;"",NOT(ISNUMBER(X434))),"CEK URUTAN DISPLAY harus angka",IF($D434="","Zona STOCK",IF($E434="","CEK SKU DESCRIPTION kosong",IF(COUNTIFS($I$2:$I$500,$I434,V$2:V$500,"&lt;&gt;"&amp;V434,V$2:V$500,"&lt;&gt;")&gt;0,"CEK jenis fixture beda dalam satu series","OK"))))))))))</f>
        <v/>
      </c>
      <c r="AA434" s="12" t="n"/>
      <c r="AB434" s="11" t="n"/>
      <c r="AC434" s="11" t="n"/>
      <c r="AD434" s="11" t="n"/>
      <c r="AE434" s="11" t="n"/>
      <c r="AF434" s="11" t="n"/>
      <c r="AG434" s="11" t="n"/>
      <c r="AH434" s="12" t="n"/>
      <c r="AI434" s="12" t="n"/>
    </row>
    <row r="435">
      <c r="A435" s="10" t="n"/>
      <c r="B435" s="10" t="n"/>
      <c r="C435" s="10" t="n"/>
      <c r="D435" s="10" t="n"/>
      <c r="E435" s="10" t="n"/>
      <c r="F435" s="10" t="n"/>
      <c r="G435" s="10" t="n"/>
      <c r="H435" s="10" t="n"/>
      <c r="I435" s="10" t="n"/>
      <c r="J435" s="10" t="n"/>
      <c r="K435" s="10" t="n"/>
      <c r="L435" s="11" t="n"/>
      <c r="M435" s="11" t="n"/>
      <c r="N435" s="11" t="n"/>
      <c r="O435" s="11">
        <f>IF(OR(L435="",M435=""),"",IFERROR(INDEX(LAYOUT!$D$2:$D$80,MATCH(L435&amp;"|"&amp;M435,LAYOUT!$E$2:$E$80,0)),""))</f>
        <v/>
      </c>
      <c r="P435" s="12">
        <f>IF(AND(L435="",M435=""),IF(AND(Q435="",R435="",V435="",W435=""),IF(OR($D435&lt;&gt;"",$E435&lt;&gt;""),"Belum ditempatkan",""),""),IF(L435="","CEK JENIS FIXTURE kosong",IF(AND(LEFT(L435,7)&lt;&gt;"Gondola",LEFT(L435,6)&lt;&gt;"Endcap"),"CEK Fixture 1 hanya Gondola atau Endcap",IF(M435="","CEK SHELVING KE kosong",IF(ISNA(MATCH(L435&amp;"|"&amp;M435,LAYOUT!$E$2:$E$80,0)),"CEK SHELVING KE di luar layout",IF($I435="","CEK SERIES kosong",IF(AND(N435&lt;&gt;"",NOT(ISNUMBER(N435))),"CEK URUTAN DISPLAY harus angka",IF($D435="","Zona STOCK",IF($E435="","CEK SKU DESCRIPTION kosong",IF(COUNTIFS($I$2:$I$500,$I435,L$2:L$500,"&lt;&gt;"&amp;L435,L$2:L$500,"&lt;&gt;")&gt;0,"CEK jenis fixture beda dalam satu series","OK"))))))))))</f>
        <v/>
      </c>
      <c r="Q435" s="11" t="n"/>
      <c r="R435" s="11" t="n"/>
      <c r="S435" s="11" t="n"/>
      <c r="T435" s="11">
        <f>IF(OR(Q435="",R435=""),"",IFERROR(INDEX(LAYOUT!$D$2:$D$80,MATCH(Q435&amp;"|"&amp;R435,LAYOUT!$E$2:$E$80,0)),""))</f>
        <v/>
      </c>
      <c r="U435" s="12">
        <f>IF(AND(Q435="",R435=""),IF(AND(L435="",M435="",V435="",W435=""),IF(OR($D435&lt;&gt;"",$E435&lt;&gt;""),"Belum ditempatkan",""),""),IF(Q435="","CEK JENIS FIXTURE kosong",IF(LEFT(Q435,4)&lt;&gt;"Wall","CEK Fixture 2 hanya Wall",IF(R435="","CEK SHELVING KE kosong",IF(ISNA(MATCH(Q435&amp;"|"&amp;R435,LAYOUT!$E$2:$E$80,0)),"CEK SHELVING KE di luar layout",IF($I435="","CEK SERIES kosong",IF(AND(S435&lt;&gt;"",NOT(ISNUMBER(S435))),"CEK URUTAN DISPLAY harus angka",IF($D435="","Zona STOCK",IF($E435="","CEK SKU DESCRIPTION kosong",IF(COUNTIFS($I$2:$I$500,$I435,Q$2:Q$500,"&lt;&gt;"&amp;Q435,Q$2:Q$500,"&lt;&gt;")&gt;0,"CEK jenis fixture beda dalam satu series","OK"))))))))))</f>
        <v/>
      </c>
      <c r="V435" s="11" t="n"/>
      <c r="W435" s="11" t="n"/>
      <c r="X435" s="11" t="n"/>
      <c r="Y435" s="11">
        <f>IF(OR(V435="",W435=""),"",IFERROR(INDEX(LAYOUT!$D$2:$D$80,MATCH(V435&amp;"|"&amp;W435,LAYOUT!$E$2:$E$80,0)),""))</f>
        <v/>
      </c>
      <c r="Z435" s="12">
        <f>IF(AND(V435="",W435=""),IF(AND(L435="",M435="",Q435="",R435=""),IF(OR($D435&lt;&gt;"",$E435&lt;&gt;""),"Belum ditempatkan",""),""),IF(V435="","CEK JENIS FIXTURE kosong",IF(LEFT(V435,4)&lt;&gt;"Wall","CEK Fixture 3 hanya Wall",IF(W435="","CEK SHELVING KE kosong",IF(ISNA(MATCH(V435&amp;"|"&amp;W435,LAYOUT!$E$2:$E$80,0)),"CEK SHELVING KE di luar layout",IF($I435="","CEK SERIES kosong",IF(AND(X435&lt;&gt;"",NOT(ISNUMBER(X435))),"CEK URUTAN DISPLAY harus angka",IF($D435="","Zona STOCK",IF($E435="","CEK SKU DESCRIPTION kosong",IF(COUNTIFS($I$2:$I$500,$I435,V$2:V$500,"&lt;&gt;"&amp;V435,V$2:V$500,"&lt;&gt;")&gt;0,"CEK jenis fixture beda dalam satu series","OK"))))))))))</f>
        <v/>
      </c>
      <c r="AA435" s="12" t="n"/>
      <c r="AB435" s="11" t="n"/>
      <c r="AC435" s="11" t="n"/>
      <c r="AD435" s="11" t="n"/>
      <c r="AE435" s="11" t="n"/>
      <c r="AF435" s="11" t="n"/>
      <c r="AG435" s="11" t="n"/>
      <c r="AH435" s="12" t="n"/>
      <c r="AI435" s="12" t="n"/>
    </row>
    <row r="436">
      <c r="A436" s="10" t="n"/>
      <c r="B436" s="10" t="n"/>
      <c r="C436" s="10" t="n"/>
      <c r="D436" s="10" t="n"/>
      <c r="E436" s="10" t="n"/>
      <c r="F436" s="10" t="n"/>
      <c r="G436" s="10" t="n"/>
      <c r="H436" s="10" t="n"/>
      <c r="I436" s="10" t="n"/>
      <c r="J436" s="10" t="n"/>
      <c r="K436" s="10" t="n"/>
      <c r="L436" s="11" t="n"/>
      <c r="M436" s="11" t="n"/>
      <c r="N436" s="11" t="n"/>
      <c r="O436" s="11">
        <f>IF(OR(L436="",M436=""),"",IFERROR(INDEX(LAYOUT!$D$2:$D$80,MATCH(L436&amp;"|"&amp;M436,LAYOUT!$E$2:$E$80,0)),""))</f>
        <v/>
      </c>
      <c r="P436" s="12">
        <f>IF(AND(L436="",M436=""),IF(AND(Q436="",R436="",V436="",W436=""),IF(OR($D436&lt;&gt;"",$E436&lt;&gt;""),"Belum ditempatkan",""),""),IF(L436="","CEK JENIS FIXTURE kosong",IF(AND(LEFT(L436,7)&lt;&gt;"Gondola",LEFT(L436,6)&lt;&gt;"Endcap"),"CEK Fixture 1 hanya Gondola atau Endcap",IF(M436="","CEK SHELVING KE kosong",IF(ISNA(MATCH(L436&amp;"|"&amp;M436,LAYOUT!$E$2:$E$80,0)),"CEK SHELVING KE di luar layout",IF($I436="","CEK SERIES kosong",IF(AND(N436&lt;&gt;"",NOT(ISNUMBER(N436))),"CEK URUTAN DISPLAY harus angka",IF($D436="","Zona STOCK",IF($E436="","CEK SKU DESCRIPTION kosong",IF(COUNTIFS($I$2:$I$500,$I436,L$2:L$500,"&lt;&gt;"&amp;L436,L$2:L$500,"&lt;&gt;")&gt;0,"CEK jenis fixture beda dalam satu series","OK"))))))))))</f>
        <v/>
      </c>
      <c r="Q436" s="11" t="n"/>
      <c r="R436" s="11" t="n"/>
      <c r="S436" s="11" t="n"/>
      <c r="T436" s="11">
        <f>IF(OR(Q436="",R436=""),"",IFERROR(INDEX(LAYOUT!$D$2:$D$80,MATCH(Q436&amp;"|"&amp;R436,LAYOUT!$E$2:$E$80,0)),""))</f>
        <v/>
      </c>
      <c r="U436" s="12">
        <f>IF(AND(Q436="",R436=""),IF(AND(L436="",M436="",V436="",W436=""),IF(OR($D436&lt;&gt;"",$E436&lt;&gt;""),"Belum ditempatkan",""),""),IF(Q436="","CEK JENIS FIXTURE kosong",IF(LEFT(Q436,4)&lt;&gt;"Wall","CEK Fixture 2 hanya Wall",IF(R436="","CEK SHELVING KE kosong",IF(ISNA(MATCH(Q436&amp;"|"&amp;R436,LAYOUT!$E$2:$E$80,0)),"CEK SHELVING KE di luar layout",IF($I436="","CEK SERIES kosong",IF(AND(S436&lt;&gt;"",NOT(ISNUMBER(S436))),"CEK URUTAN DISPLAY harus angka",IF($D436="","Zona STOCK",IF($E436="","CEK SKU DESCRIPTION kosong",IF(COUNTIFS($I$2:$I$500,$I436,Q$2:Q$500,"&lt;&gt;"&amp;Q436,Q$2:Q$500,"&lt;&gt;")&gt;0,"CEK jenis fixture beda dalam satu series","OK"))))))))))</f>
        <v/>
      </c>
      <c r="V436" s="11" t="n"/>
      <c r="W436" s="11" t="n"/>
      <c r="X436" s="11" t="n"/>
      <c r="Y436" s="11">
        <f>IF(OR(V436="",W436=""),"",IFERROR(INDEX(LAYOUT!$D$2:$D$80,MATCH(V436&amp;"|"&amp;W436,LAYOUT!$E$2:$E$80,0)),""))</f>
        <v/>
      </c>
      <c r="Z436" s="12">
        <f>IF(AND(V436="",W436=""),IF(AND(L436="",M436="",Q436="",R436=""),IF(OR($D436&lt;&gt;"",$E436&lt;&gt;""),"Belum ditempatkan",""),""),IF(V436="","CEK JENIS FIXTURE kosong",IF(LEFT(V436,4)&lt;&gt;"Wall","CEK Fixture 3 hanya Wall",IF(W436="","CEK SHELVING KE kosong",IF(ISNA(MATCH(V436&amp;"|"&amp;W436,LAYOUT!$E$2:$E$80,0)),"CEK SHELVING KE di luar layout",IF($I436="","CEK SERIES kosong",IF(AND(X436&lt;&gt;"",NOT(ISNUMBER(X436))),"CEK URUTAN DISPLAY harus angka",IF($D436="","Zona STOCK",IF($E436="","CEK SKU DESCRIPTION kosong",IF(COUNTIFS($I$2:$I$500,$I436,V$2:V$500,"&lt;&gt;"&amp;V436,V$2:V$500,"&lt;&gt;")&gt;0,"CEK jenis fixture beda dalam satu series","OK"))))))))))</f>
        <v/>
      </c>
      <c r="AA436" s="12" t="n"/>
      <c r="AB436" s="11" t="n"/>
      <c r="AC436" s="11" t="n"/>
      <c r="AD436" s="11" t="n"/>
      <c r="AE436" s="11" t="n"/>
      <c r="AF436" s="11" t="n"/>
      <c r="AG436" s="11" t="n"/>
      <c r="AH436" s="12" t="n"/>
      <c r="AI436" s="12" t="n"/>
    </row>
    <row r="437">
      <c r="A437" s="10" t="n"/>
      <c r="B437" s="10" t="n"/>
      <c r="C437" s="10" t="n"/>
      <c r="D437" s="10" t="n"/>
      <c r="E437" s="10" t="n"/>
      <c r="F437" s="10" t="n"/>
      <c r="G437" s="10" t="n"/>
      <c r="H437" s="10" t="n"/>
      <c r="I437" s="10" t="n"/>
      <c r="J437" s="10" t="n"/>
      <c r="K437" s="10" t="n"/>
      <c r="L437" s="11" t="n"/>
      <c r="M437" s="11" t="n"/>
      <c r="N437" s="11" t="n"/>
      <c r="O437" s="11">
        <f>IF(OR(L437="",M437=""),"",IFERROR(INDEX(LAYOUT!$D$2:$D$80,MATCH(L437&amp;"|"&amp;M437,LAYOUT!$E$2:$E$80,0)),""))</f>
        <v/>
      </c>
      <c r="P437" s="12">
        <f>IF(AND(L437="",M437=""),IF(AND(Q437="",R437="",V437="",W437=""),IF(OR($D437&lt;&gt;"",$E437&lt;&gt;""),"Belum ditempatkan",""),""),IF(L437="","CEK JENIS FIXTURE kosong",IF(AND(LEFT(L437,7)&lt;&gt;"Gondola",LEFT(L437,6)&lt;&gt;"Endcap"),"CEK Fixture 1 hanya Gondola atau Endcap",IF(M437="","CEK SHELVING KE kosong",IF(ISNA(MATCH(L437&amp;"|"&amp;M437,LAYOUT!$E$2:$E$80,0)),"CEK SHELVING KE di luar layout",IF($I437="","CEK SERIES kosong",IF(AND(N437&lt;&gt;"",NOT(ISNUMBER(N437))),"CEK URUTAN DISPLAY harus angka",IF($D437="","Zona STOCK",IF($E437="","CEK SKU DESCRIPTION kosong",IF(COUNTIFS($I$2:$I$500,$I437,L$2:L$500,"&lt;&gt;"&amp;L437,L$2:L$500,"&lt;&gt;")&gt;0,"CEK jenis fixture beda dalam satu series","OK"))))))))))</f>
        <v/>
      </c>
      <c r="Q437" s="11" t="n"/>
      <c r="R437" s="11" t="n"/>
      <c r="S437" s="11" t="n"/>
      <c r="T437" s="11">
        <f>IF(OR(Q437="",R437=""),"",IFERROR(INDEX(LAYOUT!$D$2:$D$80,MATCH(Q437&amp;"|"&amp;R437,LAYOUT!$E$2:$E$80,0)),""))</f>
        <v/>
      </c>
      <c r="U437" s="12">
        <f>IF(AND(Q437="",R437=""),IF(AND(L437="",M437="",V437="",W437=""),IF(OR($D437&lt;&gt;"",$E437&lt;&gt;""),"Belum ditempatkan",""),""),IF(Q437="","CEK JENIS FIXTURE kosong",IF(LEFT(Q437,4)&lt;&gt;"Wall","CEK Fixture 2 hanya Wall",IF(R437="","CEK SHELVING KE kosong",IF(ISNA(MATCH(Q437&amp;"|"&amp;R437,LAYOUT!$E$2:$E$80,0)),"CEK SHELVING KE di luar layout",IF($I437="","CEK SERIES kosong",IF(AND(S437&lt;&gt;"",NOT(ISNUMBER(S437))),"CEK URUTAN DISPLAY harus angka",IF($D437="","Zona STOCK",IF($E437="","CEK SKU DESCRIPTION kosong",IF(COUNTIFS($I$2:$I$500,$I437,Q$2:Q$500,"&lt;&gt;"&amp;Q437,Q$2:Q$500,"&lt;&gt;")&gt;0,"CEK jenis fixture beda dalam satu series","OK"))))))))))</f>
        <v/>
      </c>
      <c r="V437" s="11" t="n"/>
      <c r="W437" s="11" t="n"/>
      <c r="X437" s="11" t="n"/>
      <c r="Y437" s="11">
        <f>IF(OR(V437="",W437=""),"",IFERROR(INDEX(LAYOUT!$D$2:$D$80,MATCH(V437&amp;"|"&amp;W437,LAYOUT!$E$2:$E$80,0)),""))</f>
        <v/>
      </c>
      <c r="Z437" s="12">
        <f>IF(AND(V437="",W437=""),IF(AND(L437="",M437="",Q437="",R437=""),IF(OR($D437&lt;&gt;"",$E437&lt;&gt;""),"Belum ditempatkan",""),""),IF(V437="","CEK JENIS FIXTURE kosong",IF(LEFT(V437,4)&lt;&gt;"Wall","CEK Fixture 3 hanya Wall",IF(W437="","CEK SHELVING KE kosong",IF(ISNA(MATCH(V437&amp;"|"&amp;W437,LAYOUT!$E$2:$E$80,0)),"CEK SHELVING KE di luar layout",IF($I437="","CEK SERIES kosong",IF(AND(X437&lt;&gt;"",NOT(ISNUMBER(X437))),"CEK URUTAN DISPLAY harus angka",IF($D437="","Zona STOCK",IF($E437="","CEK SKU DESCRIPTION kosong",IF(COUNTIFS($I$2:$I$500,$I437,V$2:V$500,"&lt;&gt;"&amp;V437,V$2:V$500,"&lt;&gt;")&gt;0,"CEK jenis fixture beda dalam satu series","OK"))))))))))</f>
        <v/>
      </c>
      <c r="AA437" s="12" t="n"/>
      <c r="AB437" s="11" t="n"/>
      <c r="AC437" s="11" t="n"/>
      <c r="AD437" s="11" t="n"/>
      <c r="AE437" s="11" t="n"/>
      <c r="AF437" s="11" t="n"/>
      <c r="AG437" s="11" t="n"/>
      <c r="AH437" s="12" t="n"/>
      <c r="AI437" s="12" t="n"/>
    </row>
    <row r="438">
      <c r="A438" s="10" t="n"/>
      <c r="B438" s="10" t="n"/>
      <c r="C438" s="10" t="n"/>
      <c r="D438" s="10" t="n"/>
      <c r="E438" s="10" t="n"/>
      <c r="F438" s="10" t="n"/>
      <c r="G438" s="10" t="n"/>
      <c r="H438" s="10" t="n"/>
      <c r="I438" s="10" t="n"/>
      <c r="J438" s="10" t="n"/>
      <c r="K438" s="10" t="n"/>
      <c r="L438" s="11" t="n"/>
      <c r="M438" s="11" t="n"/>
      <c r="N438" s="11" t="n"/>
      <c r="O438" s="11">
        <f>IF(OR(L438="",M438=""),"",IFERROR(INDEX(LAYOUT!$D$2:$D$80,MATCH(L438&amp;"|"&amp;M438,LAYOUT!$E$2:$E$80,0)),""))</f>
        <v/>
      </c>
      <c r="P438" s="12">
        <f>IF(AND(L438="",M438=""),IF(AND(Q438="",R438="",V438="",W438=""),IF(OR($D438&lt;&gt;"",$E438&lt;&gt;""),"Belum ditempatkan",""),""),IF(L438="","CEK JENIS FIXTURE kosong",IF(AND(LEFT(L438,7)&lt;&gt;"Gondola",LEFT(L438,6)&lt;&gt;"Endcap"),"CEK Fixture 1 hanya Gondola atau Endcap",IF(M438="","CEK SHELVING KE kosong",IF(ISNA(MATCH(L438&amp;"|"&amp;M438,LAYOUT!$E$2:$E$80,0)),"CEK SHELVING KE di luar layout",IF($I438="","CEK SERIES kosong",IF(AND(N438&lt;&gt;"",NOT(ISNUMBER(N438))),"CEK URUTAN DISPLAY harus angka",IF($D438="","Zona STOCK",IF($E438="","CEK SKU DESCRIPTION kosong",IF(COUNTIFS($I$2:$I$500,$I438,L$2:L$500,"&lt;&gt;"&amp;L438,L$2:L$500,"&lt;&gt;")&gt;0,"CEK jenis fixture beda dalam satu series","OK"))))))))))</f>
        <v/>
      </c>
      <c r="Q438" s="11" t="n"/>
      <c r="R438" s="11" t="n"/>
      <c r="S438" s="11" t="n"/>
      <c r="T438" s="11">
        <f>IF(OR(Q438="",R438=""),"",IFERROR(INDEX(LAYOUT!$D$2:$D$80,MATCH(Q438&amp;"|"&amp;R438,LAYOUT!$E$2:$E$80,0)),""))</f>
        <v/>
      </c>
      <c r="U438" s="12">
        <f>IF(AND(Q438="",R438=""),IF(AND(L438="",M438="",V438="",W438=""),IF(OR($D438&lt;&gt;"",$E438&lt;&gt;""),"Belum ditempatkan",""),""),IF(Q438="","CEK JENIS FIXTURE kosong",IF(LEFT(Q438,4)&lt;&gt;"Wall","CEK Fixture 2 hanya Wall",IF(R438="","CEK SHELVING KE kosong",IF(ISNA(MATCH(Q438&amp;"|"&amp;R438,LAYOUT!$E$2:$E$80,0)),"CEK SHELVING KE di luar layout",IF($I438="","CEK SERIES kosong",IF(AND(S438&lt;&gt;"",NOT(ISNUMBER(S438))),"CEK URUTAN DISPLAY harus angka",IF($D438="","Zona STOCK",IF($E438="","CEK SKU DESCRIPTION kosong",IF(COUNTIFS($I$2:$I$500,$I438,Q$2:Q$500,"&lt;&gt;"&amp;Q438,Q$2:Q$500,"&lt;&gt;")&gt;0,"CEK jenis fixture beda dalam satu series","OK"))))))))))</f>
        <v/>
      </c>
      <c r="V438" s="11" t="n"/>
      <c r="W438" s="11" t="n"/>
      <c r="X438" s="11" t="n"/>
      <c r="Y438" s="11">
        <f>IF(OR(V438="",W438=""),"",IFERROR(INDEX(LAYOUT!$D$2:$D$80,MATCH(V438&amp;"|"&amp;W438,LAYOUT!$E$2:$E$80,0)),""))</f>
        <v/>
      </c>
      <c r="Z438" s="12">
        <f>IF(AND(V438="",W438=""),IF(AND(L438="",M438="",Q438="",R438=""),IF(OR($D438&lt;&gt;"",$E438&lt;&gt;""),"Belum ditempatkan",""),""),IF(V438="","CEK JENIS FIXTURE kosong",IF(LEFT(V438,4)&lt;&gt;"Wall","CEK Fixture 3 hanya Wall",IF(W438="","CEK SHELVING KE kosong",IF(ISNA(MATCH(V438&amp;"|"&amp;W438,LAYOUT!$E$2:$E$80,0)),"CEK SHELVING KE di luar layout",IF($I438="","CEK SERIES kosong",IF(AND(X438&lt;&gt;"",NOT(ISNUMBER(X438))),"CEK URUTAN DISPLAY harus angka",IF($D438="","Zona STOCK",IF($E438="","CEK SKU DESCRIPTION kosong",IF(COUNTIFS($I$2:$I$500,$I438,V$2:V$500,"&lt;&gt;"&amp;V438,V$2:V$500,"&lt;&gt;")&gt;0,"CEK jenis fixture beda dalam satu series","OK"))))))))))</f>
        <v/>
      </c>
      <c r="AA438" s="12" t="n"/>
      <c r="AB438" s="11" t="n"/>
      <c r="AC438" s="11" t="n"/>
      <c r="AD438" s="11" t="n"/>
      <c r="AE438" s="11" t="n"/>
      <c r="AF438" s="11" t="n"/>
      <c r="AG438" s="11" t="n"/>
      <c r="AH438" s="12" t="n"/>
      <c r="AI438" s="12" t="n"/>
    </row>
    <row r="439">
      <c r="A439" s="10" t="n"/>
      <c r="B439" s="10" t="n"/>
      <c r="C439" s="10" t="n"/>
      <c r="D439" s="10" t="n"/>
      <c r="E439" s="10" t="n"/>
      <c r="F439" s="10" t="n"/>
      <c r="G439" s="10" t="n"/>
      <c r="H439" s="10" t="n"/>
      <c r="I439" s="10" t="n"/>
      <c r="J439" s="10" t="n"/>
      <c r="K439" s="10" t="n"/>
      <c r="L439" s="11" t="n"/>
      <c r="M439" s="11" t="n"/>
      <c r="N439" s="11" t="n"/>
      <c r="O439" s="11">
        <f>IF(OR(L439="",M439=""),"",IFERROR(INDEX(LAYOUT!$D$2:$D$80,MATCH(L439&amp;"|"&amp;M439,LAYOUT!$E$2:$E$80,0)),""))</f>
        <v/>
      </c>
      <c r="P439" s="12">
        <f>IF(AND(L439="",M439=""),IF(AND(Q439="",R439="",V439="",W439=""),IF(OR($D439&lt;&gt;"",$E439&lt;&gt;""),"Belum ditempatkan",""),""),IF(L439="","CEK JENIS FIXTURE kosong",IF(AND(LEFT(L439,7)&lt;&gt;"Gondola",LEFT(L439,6)&lt;&gt;"Endcap"),"CEK Fixture 1 hanya Gondola atau Endcap",IF(M439="","CEK SHELVING KE kosong",IF(ISNA(MATCH(L439&amp;"|"&amp;M439,LAYOUT!$E$2:$E$80,0)),"CEK SHELVING KE di luar layout",IF($I439="","CEK SERIES kosong",IF(AND(N439&lt;&gt;"",NOT(ISNUMBER(N439))),"CEK URUTAN DISPLAY harus angka",IF($D439="","Zona STOCK",IF($E439="","CEK SKU DESCRIPTION kosong",IF(COUNTIFS($I$2:$I$500,$I439,L$2:L$500,"&lt;&gt;"&amp;L439,L$2:L$500,"&lt;&gt;")&gt;0,"CEK jenis fixture beda dalam satu series","OK"))))))))))</f>
        <v/>
      </c>
      <c r="Q439" s="11" t="n"/>
      <c r="R439" s="11" t="n"/>
      <c r="S439" s="11" t="n"/>
      <c r="T439" s="11">
        <f>IF(OR(Q439="",R439=""),"",IFERROR(INDEX(LAYOUT!$D$2:$D$80,MATCH(Q439&amp;"|"&amp;R439,LAYOUT!$E$2:$E$80,0)),""))</f>
        <v/>
      </c>
      <c r="U439" s="12">
        <f>IF(AND(Q439="",R439=""),IF(AND(L439="",M439="",V439="",W439=""),IF(OR($D439&lt;&gt;"",$E439&lt;&gt;""),"Belum ditempatkan",""),""),IF(Q439="","CEK JENIS FIXTURE kosong",IF(LEFT(Q439,4)&lt;&gt;"Wall","CEK Fixture 2 hanya Wall",IF(R439="","CEK SHELVING KE kosong",IF(ISNA(MATCH(Q439&amp;"|"&amp;R439,LAYOUT!$E$2:$E$80,0)),"CEK SHELVING KE di luar layout",IF($I439="","CEK SERIES kosong",IF(AND(S439&lt;&gt;"",NOT(ISNUMBER(S439))),"CEK URUTAN DISPLAY harus angka",IF($D439="","Zona STOCK",IF($E439="","CEK SKU DESCRIPTION kosong",IF(COUNTIFS($I$2:$I$500,$I439,Q$2:Q$500,"&lt;&gt;"&amp;Q439,Q$2:Q$500,"&lt;&gt;")&gt;0,"CEK jenis fixture beda dalam satu series","OK"))))))))))</f>
        <v/>
      </c>
      <c r="V439" s="11" t="n"/>
      <c r="W439" s="11" t="n"/>
      <c r="X439" s="11" t="n"/>
      <c r="Y439" s="11">
        <f>IF(OR(V439="",W439=""),"",IFERROR(INDEX(LAYOUT!$D$2:$D$80,MATCH(V439&amp;"|"&amp;W439,LAYOUT!$E$2:$E$80,0)),""))</f>
        <v/>
      </c>
      <c r="Z439" s="12">
        <f>IF(AND(V439="",W439=""),IF(AND(L439="",M439="",Q439="",R439=""),IF(OR($D439&lt;&gt;"",$E439&lt;&gt;""),"Belum ditempatkan",""),""),IF(V439="","CEK JENIS FIXTURE kosong",IF(LEFT(V439,4)&lt;&gt;"Wall","CEK Fixture 3 hanya Wall",IF(W439="","CEK SHELVING KE kosong",IF(ISNA(MATCH(V439&amp;"|"&amp;W439,LAYOUT!$E$2:$E$80,0)),"CEK SHELVING KE di luar layout",IF($I439="","CEK SERIES kosong",IF(AND(X439&lt;&gt;"",NOT(ISNUMBER(X439))),"CEK URUTAN DISPLAY harus angka",IF($D439="","Zona STOCK",IF($E439="","CEK SKU DESCRIPTION kosong",IF(COUNTIFS($I$2:$I$500,$I439,V$2:V$500,"&lt;&gt;"&amp;V439,V$2:V$500,"&lt;&gt;")&gt;0,"CEK jenis fixture beda dalam satu series","OK"))))))))))</f>
        <v/>
      </c>
      <c r="AA439" s="12" t="n"/>
      <c r="AB439" s="11" t="n"/>
      <c r="AC439" s="11" t="n"/>
      <c r="AD439" s="11" t="n"/>
      <c r="AE439" s="11" t="n"/>
      <c r="AF439" s="11" t="n"/>
      <c r="AG439" s="11" t="n"/>
      <c r="AH439" s="12" t="n"/>
      <c r="AI439" s="12" t="n"/>
    </row>
    <row r="440">
      <c r="A440" s="10" t="n"/>
      <c r="B440" s="10" t="n"/>
      <c r="C440" s="10" t="n"/>
      <c r="D440" s="10" t="n"/>
      <c r="E440" s="10" t="n"/>
      <c r="F440" s="10" t="n"/>
      <c r="G440" s="10" t="n"/>
      <c r="H440" s="10" t="n"/>
      <c r="I440" s="10" t="n"/>
      <c r="J440" s="10" t="n"/>
      <c r="K440" s="10" t="n"/>
      <c r="L440" s="11" t="n"/>
      <c r="M440" s="11" t="n"/>
      <c r="N440" s="11" t="n"/>
      <c r="O440" s="11">
        <f>IF(OR(L440="",M440=""),"",IFERROR(INDEX(LAYOUT!$D$2:$D$80,MATCH(L440&amp;"|"&amp;M440,LAYOUT!$E$2:$E$80,0)),""))</f>
        <v/>
      </c>
      <c r="P440" s="12">
        <f>IF(AND(L440="",M440=""),IF(AND(Q440="",R440="",V440="",W440=""),IF(OR($D440&lt;&gt;"",$E440&lt;&gt;""),"Belum ditempatkan",""),""),IF(L440="","CEK JENIS FIXTURE kosong",IF(AND(LEFT(L440,7)&lt;&gt;"Gondola",LEFT(L440,6)&lt;&gt;"Endcap"),"CEK Fixture 1 hanya Gondola atau Endcap",IF(M440="","CEK SHELVING KE kosong",IF(ISNA(MATCH(L440&amp;"|"&amp;M440,LAYOUT!$E$2:$E$80,0)),"CEK SHELVING KE di luar layout",IF($I440="","CEK SERIES kosong",IF(AND(N440&lt;&gt;"",NOT(ISNUMBER(N440))),"CEK URUTAN DISPLAY harus angka",IF($D440="","Zona STOCK",IF($E440="","CEK SKU DESCRIPTION kosong",IF(COUNTIFS($I$2:$I$500,$I440,L$2:L$500,"&lt;&gt;"&amp;L440,L$2:L$500,"&lt;&gt;")&gt;0,"CEK jenis fixture beda dalam satu series","OK"))))))))))</f>
        <v/>
      </c>
      <c r="Q440" s="11" t="n"/>
      <c r="R440" s="11" t="n"/>
      <c r="S440" s="11" t="n"/>
      <c r="T440" s="11">
        <f>IF(OR(Q440="",R440=""),"",IFERROR(INDEX(LAYOUT!$D$2:$D$80,MATCH(Q440&amp;"|"&amp;R440,LAYOUT!$E$2:$E$80,0)),""))</f>
        <v/>
      </c>
      <c r="U440" s="12">
        <f>IF(AND(Q440="",R440=""),IF(AND(L440="",M440="",V440="",W440=""),IF(OR($D440&lt;&gt;"",$E440&lt;&gt;""),"Belum ditempatkan",""),""),IF(Q440="","CEK JENIS FIXTURE kosong",IF(LEFT(Q440,4)&lt;&gt;"Wall","CEK Fixture 2 hanya Wall",IF(R440="","CEK SHELVING KE kosong",IF(ISNA(MATCH(Q440&amp;"|"&amp;R440,LAYOUT!$E$2:$E$80,0)),"CEK SHELVING KE di luar layout",IF($I440="","CEK SERIES kosong",IF(AND(S440&lt;&gt;"",NOT(ISNUMBER(S440))),"CEK URUTAN DISPLAY harus angka",IF($D440="","Zona STOCK",IF($E440="","CEK SKU DESCRIPTION kosong",IF(COUNTIFS($I$2:$I$500,$I440,Q$2:Q$500,"&lt;&gt;"&amp;Q440,Q$2:Q$500,"&lt;&gt;")&gt;0,"CEK jenis fixture beda dalam satu series","OK"))))))))))</f>
        <v/>
      </c>
      <c r="V440" s="11" t="n"/>
      <c r="W440" s="11" t="n"/>
      <c r="X440" s="11" t="n"/>
      <c r="Y440" s="11">
        <f>IF(OR(V440="",W440=""),"",IFERROR(INDEX(LAYOUT!$D$2:$D$80,MATCH(V440&amp;"|"&amp;W440,LAYOUT!$E$2:$E$80,0)),""))</f>
        <v/>
      </c>
      <c r="Z440" s="12">
        <f>IF(AND(V440="",W440=""),IF(AND(L440="",M440="",Q440="",R440=""),IF(OR($D440&lt;&gt;"",$E440&lt;&gt;""),"Belum ditempatkan",""),""),IF(V440="","CEK JENIS FIXTURE kosong",IF(LEFT(V440,4)&lt;&gt;"Wall","CEK Fixture 3 hanya Wall",IF(W440="","CEK SHELVING KE kosong",IF(ISNA(MATCH(V440&amp;"|"&amp;W440,LAYOUT!$E$2:$E$80,0)),"CEK SHELVING KE di luar layout",IF($I440="","CEK SERIES kosong",IF(AND(X440&lt;&gt;"",NOT(ISNUMBER(X440))),"CEK URUTAN DISPLAY harus angka",IF($D440="","Zona STOCK",IF($E440="","CEK SKU DESCRIPTION kosong",IF(COUNTIFS($I$2:$I$500,$I440,V$2:V$500,"&lt;&gt;"&amp;V440,V$2:V$500,"&lt;&gt;")&gt;0,"CEK jenis fixture beda dalam satu series","OK"))))))))))</f>
        <v/>
      </c>
      <c r="AA440" s="12" t="n"/>
      <c r="AB440" s="11" t="n"/>
      <c r="AC440" s="11" t="n"/>
      <c r="AD440" s="11" t="n"/>
      <c r="AE440" s="11" t="n"/>
      <c r="AF440" s="11" t="n"/>
      <c r="AG440" s="11" t="n"/>
      <c r="AH440" s="12" t="n"/>
      <c r="AI440" s="12" t="n"/>
    </row>
    <row r="441">
      <c r="A441" s="10" t="n"/>
      <c r="B441" s="10" t="n"/>
      <c r="C441" s="10" t="n"/>
      <c r="D441" s="10" t="n"/>
      <c r="E441" s="10" t="n"/>
      <c r="F441" s="10" t="n"/>
      <c r="G441" s="10" t="n"/>
      <c r="H441" s="10" t="n"/>
      <c r="I441" s="10" t="n"/>
      <c r="J441" s="10" t="n"/>
      <c r="K441" s="10" t="n"/>
      <c r="L441" s="11" t="n"/>
      <c r="M441" s="11" t="n"/>
      <c r="N441" s="11" t="n"/>
      <c r="O441" s="11">
        <f>IF(OR(L441="",M441=""),"",IFERROR(INDEX(LAYOUT!$D$2:$D$80,MATCH(L441&amp;"|"&amp;M441,LAYOUT!$E$2:$E$80,0)),""))</f>
        <v/>
      </c>
      <c r="P441" s="12">
        <f>IF(AND(L441="",M441=""),IF(AND(Q441="",R441="",V441="",W441=""),IF(OR($D441&lt;&gt;"",$E441&lt;&gt;""),"Belum ditempatkan",""),""),IF(L441="","CEK JENIS FIXTURE kosong",IF(AND(LEFT(L441,7)&lt;&gt;"Gondola",LEFT(L441,6)&lt;&gt;"Endcap"),"CEK Fixture 1 hanya Gondola atau Endcap",IF(M441="","CEK SHELVING KE kosong",IF(ISNA(MATCH(L441&amp;"|"&amp;M441,LAYOUT!$E$2:$E$80,0)),"CEK SHELVING KE di luar layout",IF($I441="","CEK SERIES kosong",IF(AND(N441&lt;&gt;"",NOT(ISNUMBER(N441))),"CEK URUTAN DISPLAY harus angka",IF($D441="","Zona STOCK",IF($E441="","CEK SKU DESCRIPTION kosong",IF(COUNTIFS($I$2:$I$500,$I441,L$2:L$500,"&lt;&gt;"&amp;L441,L$2:L$500,"&lt;&gt;")&gt;0,"CEK jenis fixture beda dalam satu series","OK"))))))))))</f>
        <v/>
      </c>
      <c r="Q441" s="11" t="n"/>
      <c r="R441" s="11" t="n"/>
      <c r="S441" s="11" t="n"/>
      <c r="T441" s="11">
        <f>IF(OR(Q441="",R441=""),"",IFERROR(INDEX(LAYOUT!$D$2:$D$80,MATCH(Q441&amp;"|"&amp;R441,LAYOUT!$E$2:$E$80,0)),""))</f>
        <v/>
      </c>
      <c r="U441" s="12">
        <f>IF(AND(Q441="",R441=""),IF(AND(L441="",M441="",V441="",W441=""),IF(OR($D441&lt;&gt;"",$E441&lt;&gt;""),"Belum ditempatkan",""),""),IF(Q441="","CEK JENIS FIXTURE kosong",IF(LEFT(Q441,4)&lt;&gt;"Wall","CEK Fixture 2 hanya Wall",IF(R441="","CEK SHELVING KE kosong",IF(ISNA(MATCH(Q441&amp;"|"&amp;R441,LAYOUT!$E$2:$E$80,0)),"CEK SHELVING KE di luar layout",IF($I441="","CEK SERIES kosong",IF(AND(S441&lt;&gt;"",NOT(ISNUMBER(S441))),"CEK URUTAN DISPLAY harus angka",IF($D441="","Zona STOCK",IF($E441="","CEK SKU DESCRIPTION kosong",IF(COUNTIFS($I$2:$I$500,$I441,Q$2:Q$500,"&lt;&gt;"&amp;Q441,Q$2:Q$500,"&lt;&gt;")&gt;0,"CEK jenis fixture beda dalam satu series","OK"))))))))))</f>
        <v/>
      </c>
      <c r="V441" s="11" t="n"/>
      <c r="W441" s="11" t="n"/>
      <c r="X441" s="11" t="n"/>
      <c r="Y441" s="11">
        <f>IF(OR(V441="",W441=""),"",IFERROR(INDEX(LAYOUT!$D$2:$D$80,MATCH(V441&amp;"|"&amp;W441,LAYOUT!$E$2:$E$80,0)),""))</f>
        <v/>
      </c>
      <c r="Z441" s="12">
        <f>IF(AND(V441="",W441=""),IF(AND(L441="",M441="",Q441="",R441=""),IF(OR($D441&lt;&gt;"",$E441&lt;&gt;""),"Belum ditempatkan",""),""),IF(V441="","CEK JENIS FIXTURE kosong",IF(LEFT(V441,4)&lt;&gt;"Wall","CEK Fixture 3 hanya Wall",IF(W441="","CEK SHELVING KE kosong",IF(ISNA(MATCH(V441&amp;"|"&amp;W441,LAYOUT!$E$2:$E$80,0)),"CEK SHELVING KE di luar layout",IF($I441="","CEK SERIES kosong",IF(AND(X441&lt;&gt;"",NOT(ISNUMBER(X441))),"CEK URUTAN DISPLAY harus angka",IF($D441="","Zona STOCK",IF($E441="","CEK SKU DESCRIPTION kosong",IF(COUNTIFS($I$2:$I$500,$I441,V$2:V$500,"&lt;&gt;"&amp;V441,V$2:V$500,"&lt;&gt;")&gt;0,"CEK jenis fixture beda dalam satu series","OK"))))))))))</f>
        <v/>
      </c>
      <c r="AA441" s="12" t="n"/>
      <c r="AB441" s="11" t="n"/>
      <c r="AC441" s="11" t="n"/>
      <c r="AD441" s="11" t="n"/>
      <c r="AE441" s="11" t="n"/>
      <c r="AF441" s="11" t="n"/>
      <c r="AG441" s="11" t="n"/>
      <c r="AH441" s="12" t="n"/>
      <c r="AI441" s="12" t="n"/>
    </row>
    <row r="442">
      <c r="A442" s="10" t="n"/>
      <c r="B442" s="10" t="n"/>
      <c r="C442" s="10" t="n"/>
      <c r="D442" s="10" t="n"/>
      <c r="E442" s="10" t="n"/>
      <c r="F442" s="10" t="n"/>
      <c r="G442" s="10" t="n"/>
      <c r="H442" s="10" t="n"/>
      <c r="I442" s="10" t="n"/>
      <c r="J442" s="10" t="n"/>
      <c r="K442" s="10" t="n"/>
      <c r="L442" s="11" t="n"/>
      <c r="M442" s="11" t="n"/>
      <c r="N442" s="11" t="n"/>
      <c r="O442" s="11">
        <f>IF(OR(L442="",M442=""),"",IFERROR(INDEX(LAYOUT!$D$2:$D$80,MATCH(L442&amp;"|"&amp;M442,LAYOUT!$E$2:$E$80,0)),""))</f>
        <v/>
      </c>
      <c r="P442" s="12">
        <f>IF(AND(L442="",M442=""),IF(AND(Q442="",R442="",V442="",W442=""),IF(OR($D442&lt;&gt;"",$E442&lt;&gt;""),"Belum ditempatkan",""),""),IF(L442="","CEK JENIS FIXTURE kosong",IF(AND(LEFT(L442,7)&lt;&gt;"Gondola",LEFT(L442,6)&lt;&gt;"Endcap"),"CEK Fixture 1 hanya Gondola atau Endcap",IF(M442="","CEK SHELVING KE kosong",IF(ISNA(MATCH(L442&amp;"|"&amp;M442,LAYOUT!$E$2:$E$80,0)),"CEK SHELVING KE di luar layout",IF($I442="","CEK SERIES kosong",IF(AND(N442&lt;&gt;"",NOT(ISNUMBER(N442))),"CEK URUTAN DISPLAY harus angka",IF($D442="","Zona STOCK",IF($E442="","CEK SKU DESCRIPTION kosong",IF(COUNTIFS($I$2:$I$500,$I442,L$2:L$500,"&lt;&gt;"&amp;L442,L$2:L$500,"&lt;&gt;")&gt;0,"CEK jenis fixture beda dalam satu series","OK"))))))))))</f>
        <v/>
      </c>
      <c r="Q442" s="11" t="n"/>
      <c r="R442" s="11" t="n"/>
      <c r="S442" s="11" t="n"/>
      <c r="T442" s="11">
        <f>IF(OR(Q442="",R442=""),"",IFERROR(INDEX(LAYOUT!$D$2:$D$80,MATCH(Q442&amp;"|"&amp;R442,LAYOUT!$E$2:$E$80,0)),""))</f>
        <v/>
      </c>
      <c r="U442" s="12">
        <f>IF(AND(Q442="",R442=""),IF(AND(L442="",M442="",V442="",W442=""),IF(OR($D442&lt;&gt;"",$E442&lt;&gt;""),"Belum ditempatkan",""),""),IF(Q442="","CEK JENIS FIXTURE kosong",IF(LEFT(Q442,4)&lt;&gt;"Wall","CEK Fixture 2 hanya Wall",IF(R442="","CEK SHELVING KE kosong",IF(ISNA(MATCH(Q442&amp;"|"&amp;R442,LAYOUT!$E$2:$E$80,0)),"CEK SHELVING KE di luar layout",IF($I442="","CEK SERIES kosong",IF(AND(S442&lt;&gt;"",NOT(ISNUMBER(S442))),"CEK URUTAN DISPLAY harus angka",IF($D442="","Zona STOCK",IF($E442="","CEK SKU DESCRIPTION kosong",IF(COUNTIFS($I$2:$I$500,$I442,Q$2:Q$500,"&lt;&gt;"&amp;Q442,Q$2:Q$500,"&lt;&gt;")&gt;0,"CEK jenis fixture beda dalam satu series","OK"))))))))))</f>
        <v/>
      </c>
      <c r="V442" s="11" t="n"/>
      <c r="W442" s="11" t="n"/>
      <c r="X442" s="11" t="n"/>
      <c r="Y442" s="11">
        <f>IF(OR(V442="",W442=""),"",IFERROR(INDEX(LAYOUT!$D$2:$D$80,MATCH(V442&amp;"|"&amp;W442,LAYOUT!$E$2:$E$80,0)),""))</f>
        <v/>
      </c>
      <c r="Z442" s="12">
        <f>IF(AND(V442="",W442=""),IF(AND(L442="",M442="",Q442="",R442=""),IF(OR($D442&lt;&gt;"",$E442&lt;&gt;""),"Belum ditempatkan",""),""),IF(V442="","CEK JENIS FIXTURE kosong",IF(LEFT(V442,4)&lt;&gt;"Wall","CEK Fixture 3 hanya Wall",IF(W442="","CEK SHELVING KE kosong",IF(ISNA(MATCH(V442&amp;"|"&amp;W442,LAYOUT!$E$2:$E$80,0)),"CEK SHELVING KE di luar layout",IF($I442="","CEK SERIES kosong",IF(AND(X442&lt;&gt;"",NOT(ISNUMBER(X442))),"CEK URUTAN DISPLAY harus angka",IF($D442="","Zona STOCK",IF($E442="","CEK SKU DESCRIPTION kosong",IF(COUNTIFS($I$2:$I$500,$I442,V$2:V$500,"&lt;&gt;"&amp;V442,V$2:V$500,"&lt;&gt;")&gt;0,"CEK jenis fixture beda dalam satu series","OK"))))))))))</f>
        <v/>
      </c>
      <c r="AA442" s="12" t="n"/>
      <c r="AB442" s="11" t="n"/>
      <c r="AC442" s="11" t="n"/>
      <c r="AD442" s="11" t="n"/>
      <c r="AE442" s="11" t="n"/>
      <c r="AF442" s="11" t="n"/>
      <c r="AG442" s="11" t="n"/>
      <c r="AH442" s="12" t="n"/>
      <c r="AI442" s="12" t="n"/>
    </row>
    <row r="443">
      <c r="A443" s="10" t="n"/>
      <c r="B443" s="10" t="n"/>
      <c r="C443" s="10" t="n"/>
      <c r="D443" s="10" t="n"/>
      <c r="E443" s="10" t="n"/>
      <c r="F443" s="10" t="n"/>
      <c r="G443" s="10" t="n"/>
      <c r="H443" s="10" t="n"/>
      <c r="I443" s="10" t="n"/>
      <c r="J443" s="10" t="n"/>
      <c r="K443" s="10" t="n"/>
      <c r="L443" s="11" t="n"/>
      <c r="M443" s="11" t="n"/>
      <c r="N443" s="11" t="n"/>
      <c r="O443" s="11">
        <f>IF(OR(L443="",M443=""),"",IFERROR(INDEX(LAYOUT!$D$2:$D$80,MATCH(L443&amp;"|"&amp;M443,LAYOUT!$E$2:$E$80,0)),""))</f>
        <v/>
      </c>
      <c r="P443" s="12">
        <f>IF(AND(L443="",M443=""),IF(AND(Q443="",R443="",V443="",W443=""),IF(OR($D443&lt;&gt;"",$E443&lt;&gt;""),"Belum ditempatkan",""),""),IF(L443="","CEK JENIS FIXTURE kosong",IF(AND(LEFT(L443,7)&lt;&gt;"Gondola",LEFT(L443,6)&lt;&gt;"Endcap"),"CEK Fixture 1 hanya Gondola atau Endcap",IF(M443="","CEK SHELVING KE kosong",IF(ISNA(MATCH(L443&amp;"|"&amp;M443,LAYOUT!$E$2:$E$80,0)),"CEK SHELVING KE di luar layout",IF($I443="","CEK SERIES kosong",IF(AND(N443&lt;&gt;"",NOT(ISNUMBER(N443))),"CEK URUTAN DISPLAY harus angka",IF($D443="","Zona STOCK",IF($E443="","CEK SKU DESCRIPTION kosong",IF(COUNTIFS($I$2:$I$500,$I443,L$2:L$500,"&lt;&gt;"&amp;L443,L$2:L$500,"&lt;&gt;")&gt;0,"CEK jenis fixture beda dalam satu series","OK"))))))))))</f>
        <v/>
      </c>
      <c r="Q443" s="11" t="n"/>
      <c r="R443" s="11" t="n"/>
      <c r="S443" s="11" t="n"/>
      <c r="T443" s="11">
        <f>IF(OR(Q443="",R443=""),"",IFERROR(INDEX(LAYOUT!$D$2:$D$80,MATCH(Q443&amp;"|"&amp;R443,LAYOUT!$E$2:$E$80,0)),""))</f>
        <v/>
      </c>
      <c r="U443" s="12">
        <f>IF(AND(Q443="",R443=""),IF(AND(L443="",M443="",V443="",W443=""),IF(OR($D443&lt;&gt;"",$E443&lt;&gt;""),"Belum ditempatkan",""),""),IF(Q443="","CEK JENIS FIXTURE kosong",IF(LEFT(Q443,4)&lt;&gt;"Wall","CEK Fixture 2 hanya Wall",IF(R443="","CEK SHELVING KE kosong",IF(ISNA(MATCH(Q443&amp;"|"&amp;R443,LAYOUT!$E$2:$E$80,0)),"CEK SHELVING KE di luar layout",IF($I443="","CEK SERIES kosong",IF(AND(S443&lt;&gt;"",NOT(ISNUMBER(S443))),"CEK URUTAN DISPLAY harus angka",IF($D443="","Zona STOCK",IF($E443="","CEK SKU DESCRIPTION kosong",IF(COUNTIFS($I$2:$I$500,$I443,Q$2:Q$500,"&lt;&gt;"&amp;Q443,Q$2:Q$500,"&lt;&gt;")&gt;0,"CEK jenis fixture beda dalam satu series","OK"))))))))))</f>
        <v/>
      </c>
      <c r="V443" s="11" t="n"/>
      <c r="W443" s="11" t="n"/>
      <c r="X443" s="11" t="n"/>
      <c r="Y443" s="11">
        <f>IF(OR(V443="",W443=""),"",IFERROR(INDEX(LAYOUT!$D$2:$D$80,MATCH(V443&amp;"|"&amp;W443,LAYOUT!$E$2:$E$80,0)),""))</f>
        <v/>
      </c>
      <c r="Z443" s="12">
        <f>IF(AND(V443="",W443=""),IF(AND(L443="",M443="",Q443="",R443=""),IF(OR($D443&lt;&gt;"",$E443&lt;&gt;""),"Belum ditempatkan",""),""),IF(V443="","CEK JENIS FIXTURE kosong",IF(LEFT(V443,4)&lt;&gt;"Wall","CEK Fixture 3 hanya Wall",IF(W443="","CEK SHELVING KE kosong",IF(ISNA(MATCH(V443&amp;"|"&amp;W443,LAYOUT!$E$2:$E$80,0)),"CEK SHELVING KE di luar layout",IF($I443="","CEK SERIES kosong",IF(AND(X443&lt;&gt;"",NOT(ISNUMBER(X443))),"CEK URUTAN DISPLAY harus angka",IF($D443="","Zona STOCK",IF($E443="","CEK SKU DESCRIPTION kosong",IF(COUNTIFS($I$2:$I$500,$I443,V$2:V$500,"&lt;&gt;"&amp;V443,V$2:V$500,"&lt;&gt;")&gt;0,"CEK jenis fixture beda dalam satu series","OK"))))))))))</f>
        <v/>
      </c>
      <c r="AA443" s="12" t="n"/>
      <c r="AB443" s="11" t="n"/>
      <c r="AC443" s="11" t="n"/>
      <c r="AD443" s="11" t="n"/>
      <c r="AE443" s="11" t="n"/>
      <c r="AF443" s="11" t="n"/>
      <c r="AG443" s="11" t="n"/>
      <c r="AH443" s="12" t="n"/>
      <c r="AI443" s="12" t="n"/>
    </row>
    <row r="444">
      <c r="A444" s="10" t="n"/>
      <c r="B444" s="10" t="n"/>
      <c r="C444" s="10" t="n"/>
      <c r="D444" s="10" t="n"/>
      <c r="E444" s="10" t="n"/>
      <c r="F444" s="10" t="n"/>
      <c r="G444" s="10" t="n"/>
      <c r="H444" s="10" t="n"/>
      <c r="I444" s="10" t="n"/>
      <c r="J444" s="10" t="n"/>
      <c r="K444" s="10" t="n"/>
      <c r="L444" s="11" t="n"/>
      <c r="M444" s="11" t="n"/>
      <c r="N444" s="11" t="n"/>
      <c r="O444" s="11">
        <f>IF(OR(L444="",M444=""),"",IFERROR(INDEX(LAYOUT!$D$2:$D$80,MATCH(L444&amp;"|"&amp;M444,LAYOUT!$E$2:$E$80,0)),""))</f>
        <v/>
      </c>
      <c r="P444" s="12">
        <f>IF(AND(L444="",M444=""),IF(AND(Q444="",R444="",V444="",W444=""),IF(OR($D444&lt;&gt;"",$E444&lt;&gt;""),"Belum ditempatkan",""),""),IF(L444="","CEK JENIS FIXTURE kosong",IF(AND(LEFT(L444,7)&lt;&gt;"Gondola",LEFT(L444,6)&lt;&gt;"Endcap"),"CEK Fixture 1 hanya Gondola atau Endcap",IF(M444="","CEK SHELVING KE kosong",IF(ISNA(MATCH(L444&amp;"|"&amp;M444,LAYOUT!$E$2:$E$80,0)),"CEK SHELVING KE di luar layout",IF($I444="","CEK SERIES kosong",IF(AND(N444&lt;&gt;"",NOT(ISNUMBER(N444))),"CEK URUTAN DISPLAY harus angka",IF($D444="","Zona STOCK",IF($E444="","CEK SKU DESCRIPTION kosong",IF(COUNTIFS($I$2:$I$500,$I444,L$2:L$500,"&lt;&gt;"&amp;L444,L$2:L$500,"&lt;&gt;")&gt;0,"CEK jenis fixture beda dalam satu series","OK"))))))))))</f>
        <v/>
      </c>
      <c r="Q444" s="11" t="n"/>
      <c r="R444" s="11" t="n"/>
      <c r="S444" s="11" t="n"/>
      <c r="T444" s="11">
        <f>IF(OR(Q444="",R444=""),"",IFERROR(INDEX(LAYOUT!$D$2:$D$80,MATCH(Q444&amp;"|"&amp;R444,LAYOUT!$E$2:$E$80,0)),""))</f>
        <v/>
      </c>
      <c r="U444" s="12">
        <f>IF(AND(Q444="",R444=""),IF(AND(L444="",M444="",V444="",W444=""),IF(OR($D444&lt;&gt;"",$E444&lt;&gt;""),"Belum ditempatkan",""),""),IF(Q444="","CEK JENIS FIXTURE kosong",IF(LEFT(Q444,4)&lt;&gt;"Wall","CEK Fixture 2 hanya Wall",IF(R444="","CEK SHELVING KE kosong",IF(ISNA(MATCH(Q444&amp;"|"&amp;R444,LAYOUT!$E$2:$E$80,0)),"CEK SHELVING KE di luar layout",IF($I444="","CEK SERIES kosong",IF(AND(S444&lt;&gt;"",NOT(ISNUMBER(S444))),"CEK URUTAN DISPLAY harus angka",IF($D444="","Zona STOCK",IF($E444="","CEK SKU DESCRIPTION kosong",IF(COUNTIFS($I$2:$I$500,$I444,Q$2:Q$500,"&lt;&gt;"&amp;Q444,Q$2:Q$500,"&lt;&gt;")&gt;0,"CEK jenis fixture beda dalam satu series","OK"))))))))))</f>
        <v/>
      </c>
      <c r="V444" s="11" t="n"/>
      <c r="W444" s="11" t="n"/>
      <c r="X444" s="11" t="n"/>
      <c r="Y444" s="11">
        <f>IF(OR(V444="",W444=""),"",IFERROR(INDEX(LAYOUT!$D$2:$D$80,MATCH(V444&amp;"|"&amp;W444,LAYOUT!$E$2:$E$80,0)),""))</f>
        <v/>
      </c>
      <c r="Z444" s="12">
        <f>IF(AND(V444="",W444=""),IF(AND(L444="",M444="",Q444="",R444=""),IF(OR($D444&lt;&gt;"",$E444&lt;&gt;""),"Belum ditempatkan",""),""),IF(V444="","CEK JENIS FIXTURE kosong",IF(LEFT(V444,4)&lt;&gt;"Wall","CEK Fixture 3 hanya Wall",IF(W444="","CEK SHELVING KE kosong",IF(ISNA(MATCH(V444&amp;"|"&amp;W444,LAYOUT!$E$2:$E$80,0)),"CEK SHELVING KE di luar layout",IF($I444="","CEK SERIES kosong",IF(AND(X444&lt;&gt;"",NOT(ISNUMBER(X444))),"CEK URUTAN DISPLAY harus angka",IF($D444="","Zona STOCK",IF($E444="","CEK SKU DESCRIPTION kosong",IF(COUNTIFS($I$2:$I$500,$I444,V$2:V$500,"&lt;&gt;"&amp;V444,V$2:V$500,"&lt;&gt;")&gt;0,"CEK jenis fixture beda dalam satu series","OK"))))))))))</f>
        <v/>
      </c>
      <c r="AA444" s="12" t="n"/>
      <c r="AB444" s="11" t="n"/>
      <c r="AC444" s="11" t="n"/>
      <c r="AD444" s="11" t="n"/>
      <c r="AE444" s="11" t="n"/>
      <c r="AF444" s="11" t="n"/>
      <c r="AG444" s="11" t="n"/>
      <c r="AH444" s="12" t="n"/>
      <c r="AI444" s="12" t="n"/>
    </row>
    <row r="445">
      <c r="A445" s="10" t="n"/>
      <c r="B445" s="10" t="n"/>
      <c r="C445" s="10" t="n"/>
      <c r="D445" s="10" t="n"/>
      <c r="E445" s="10" t="n"/>
      <c r="F445" s="10" t="n"/>
      <c r="G445" s="10" t="n"/>
      <c r="H445" s="10" t="n"/>
      <c r="I445" s="10" t="n"/>
      <c r="J445" s="10" t="n"/>
      <c r="K445" s="10" t="n"/>
      <c r="L445" s="11" t="n"/>
      <c r="M445" s="11" t="n"/>
      <c r="N445" s="11" t="n"/>
      <c r="O445" s="11">
        <f>IF(OR(L445="",M445=""),"",IFERROR(INDEX(LAYOUT!$D$2:$D$80,MATCH(L445&amp;"|"&amp;M445,LAYOUT!$E$2:$E$80,0)),""))</f>
        <v/>
      </c>
      <c r="P445" s="12">
        <f>IF(AND(L445="",M445=""),IF(AND(Q445="",R445="",V445="",W445=""),IF(OR($D445&lt;&gt;"",$E445&lt;&gt;""),"Belum ditempatkan",""),""),IF(L445="","CEK JENIS FIXTURE kosong",IF(AND(LEFT(L445,7)&lt;&gt;"Gondola",LEFT(L445,6)&lt;&gt;"Endcap"),"CEK Fixture 1 hanya Gondola atau Endcap",IF(M445="","CEK SHELVING KE kosong",IF(ISNA(MATCH(L445&amp;"|"&amp;M445,LAYOUT!$E$2:$E$80,0)),"CEK SHELVING KE di luar layout",IF($I445="","CEK SERIES kosong",IF(AND(N445&lt;&gt;"",NOT(ISNUMBER(N445))),"CEK URUTAN DISPLAY harus angka",IF($D445="","Zona STOCK",IF($E445="","CEK SKU DESCRIPTION kosong",IF(COUNTIFS($I$2:$I$500,$I445,L$2:L$500,"&lt;&gt;"&amp;L445,L$2:L$500,"&lt;&gt;")&gt;0,"CEK jenis fixture beda dalam satu series","OK"))))))))))</f>
        <v/>
      </c>
      <c r="Q445" s="11" t="n"/>
      <c r="R445" s="11" t="n"/>
      <c r="S445" s="11" t="n"/>
      <c r="T445" s="11">
        <f>IF(OR(Q445="",R445=""),"",IFERROR(INDEX(LAYOUT!$D$2:$D$80,MATCH(Q445&amp;"|"&amp;R445,LAYOUT!$E$2:$E$80,0)),""))</f>
        <v/>
      </c>
      <c r="U445" s="12">
        <f>IF(AND(Q445="",R445=""),IF(AND(L445="",M445="",V445="",W445=""),IF(OR($D445&lt;&gt;"",$E445&lt;&gt;""),"Belum ditempatkan",""),""),IF(Q445="","CEK JENIS FIXTURE kosong",IF(LEFT(Q445,4)&lt;&gt;"Wall","CEK Fixture 2 hanya Wall",IF(R445="","CEK SHELVING KE kosong",IF(ISNA(MATCH(Q445&amp;"|"&amp;R445,LAYOUT!$E$2:$E$80,0)),"CEK SHELVING KE di luar layout",IF($I445="","CEK SERIES kosong",IF(AND(S445&lt;&gt;"",NOT(ISNUMBER(S445))),"CEK URUTAN DISPLAY harus angka",IF($D445="","Zona STOCK",IF($E445="","CEK SKU DESCRIPTION kosong",IF(COUNTIFS($I$2:$I$500,$I445,Q$2:Q$500,"&lt;&gt;"&amp;Q445,Q$2:Q$500,"&lt;&gt;")&gt;0,"CEK jenis fixture beda dalam satu series","OK"))))))))))</f>
        <v/>
      </c>
      <c r="V445" s="11" t="n"/>
      <c r="W445" s="11" t="n"/>
      <c r="X445" s="11" t="n"/>
      <c r="Y445" s="11">
        <f>IF(OR(V445="",W445=""),"",IFERROR(INDEX(LAYOUT!$D$2:$D$80,MATCH(V445&amp;"|"&amp;W445,LAYOUT!$E$2:$E$80,0)),""))</f>
        <v/>
      </c>
      <c r="Z445" s="12">
        <f>IF(AND(V445="",W445=""),IF(AND(L445="",M445="",Q445="",R445=""),IF(OR($D445&lt;&gt;"",$E445&lt;&gt;""),"Belum ditempatkan",""),""),IF(V445="","CEK JENIS FIXTURE kosong",IF(LEFT(V445,4)&lt;&gt;"Wall","CEK Fixture 3 hanya Wall",IF(W445="","CEK SHELVING KE kosong",IF(ISNA(MATCH(V445&amp;"|"&amp;W445,LAYOUT!$E$2:$E$80,0)),"CEK SHELVING KE di luar layout",IF($I445="","CEK SERIES kosong",IF(AND(X445&lt;&gt;"",NOT(ISNUMBER(X445))),"CEK URUTAN DISPLAY harus angka",IF($D445="","Zona STOCK",IF($E445="","CEK SKU DESCRIPTION kosong",IF(COUNTIFS($I$2:$I$500,$I445,V$2:V$500,"&lt;&gt;"&amp;V445,V$2:V$500,"&lt;&gt;")&gt;0,"CEK jenis fixture beda dalam satu series","OK"))))))))))</f>
        <v/>
      </c>
      <c r="AA445" s="12" t="n"/>
      <c r="AB445" s="11" t="n"/>
      <c r="AC445" s="11" t="n"/>
      <c r="AD445" s="11" t="n"/>
      <c r="AE445" s="11" t="n"/>
      <c r="AF445" s="11" t="n"/>
      <c r="AG445" s="11" t="n"/>
      <c r="AH445" s="12" t="n"/>
      <c r="AI445" s="12" t="n"/>
    </row>
    <row r="446">
      <c r="A446" s="10" t="n"/>
      <c r="B446" s="10" t="n"/>
      <c r="C446" s="10" t="n"/>
      <c r="D446" s="10" t="n"/>
      <c r="E446" s="10" t="n"/>
      <c r="F446" s="10" t="n"/>
      <c r="G446" s="10" t="n"/>
      <c r="H446" s="10" t="n"/>
      <c r="I446" s="10" t="n"/>
      <c r="J446" s="10" t="n"/>
      <c r="K446" s="10" t="n"/>
      <c r="L446" s="11" t="n"/>
      <c r="M446" s="11" t="n"/>
      <c r="N446" s="11" t="n"/>
      <c r="O446" s="11">
        <f>IF(OR(L446="",M446=""),"",IFERROR(INDEX(LAYOUT!$D$2:$D$80,MATCH(L446&amp;"|"&amp;M446,LAYOUT!$E$2:$E$80,0)),""))</f>
        <v/>
      </c>
      <c r="P446" s="12">
        <f>IF(AND(L446="",M446=""),IF(AND(Q446="",R446="",V446="",W446=""),IF(OR($D446&lt;&gt;"",$E446&lt;&gt;""),"Belum ditempatkan",""),""),IF(L446="","CEK JENIS FIXTURE kosong",IF(AND(LEFT(L446,7)&lt;&gt;"Gondola",LEFT(L446,6)&lt;&gt;"Endcap"),"CEK Fixture 1 hanya Gondola atau Endcap",IF(M446="","CEK SHELVING KE kosong",IF(ISNA(MATCH(L446&amp;"|"&amp;M446,LAYOUT!$E$2:$E$80,0)),"CEK SHELVING KE di luar layout",IF($I446="","CEK SERIES kosong",IF(AND(N446&lt;&gt;"",NOT(ISNUMBER(N446))),"CEK URUTAN DISPLAY harus angka",IF($D446="","Zona STOCK",IF($E446="","CEK SKU DESCRIPTION kosong",IF(COUNTIFS($I$2:$I$500,$I446,L$2:L$500,"&lt;&gt;"&amp;L446,L$2:L$500,"&lt;&gt;")&gt;0,"CEK jenis fixture beda dalam satu series","OK"))))))))))</f>
        <v/>
      </c>
      <c r="Q446" s="11" t="n"/>
      <c r="R446" s="11" t="n"/>
      <c r="S446" s="11" t="n"/>
      <c r="T446" s="11">
        <f>IF(OR(Q446="",R446=""),"",IFERROR(INDEX(LAYOUT!$D$2:$D$80,MATCH(Q446&amp;"|"&amp;R446,LAYOUT!$E$2:$E$80,0)),""))</f>
        <v/>
      </c>
      <c r="U446" s="12">
        <f>IF(AND(Q446="",R446=""),IF(AND(L446="",M446="",V446="",W446=""),IF(OR($D446&lt;&gt;"",$E446&lt;&gt;""),"Belum ditempatkan",""),""),IF(Q446="","CEK JENIS FIXTURE kosong",IF(LEFT(Q446,4)&lt;&gt;"Wall","CEK Fixture 2 hanya Wall",IF(R446="","CEK SHELVING KE kosong",IF(ISNA(MATCH(Q446&amp;"|"&amp;R446,LAYOUT!$E$2:$E$80,0)),"CEK SHELVING KE di luar layout",IF($I446="","CEK SERIES kosong",IF(AND(S446&lt;&gt;"",NOT(ISNUMBER(S446))),"CEK URUTAN DISPLAY harus angka",IF($D446="","Zona STOCK",IF($E446="","CEK SKU DESCRIPTION kosong",IF(COUNTIFS($I$2:$I$500,$I446,Q$2:Q$500,"&lt;&gt;"&amp;Q446,Q$2:Q$500,"&lt;&gt;")&gt;0,"CEK jenis fixture beda dalam satu series","OK"))))))))))</f>
        <v/>
      </c>
      <c r="V446" s="11" t="n"/>
      <c r="W446" s="11" t="n"/>
      <c r="X446" s="11" t="n"/>
      <c r="Y446" s="11">
        <f>IF(OR(V446="",W446=""),"",IFERROR(INDEX(LAYOUT!$D$2:$D$80,MATCH(V446&amp;"|"&amp;W446,LAYOUT!$E$2:$E$80,0)),""))</f>
        <v/>
      </c>
      <c r="Z446" s="12">
        <f>IF(AND(V446="",W446=""),IF(AND(L446="",M446="",Q446="",R446=""),IF(OR($D446&lt;&gt;"",$E446&lt;&gt;""),"Belum ditempatkan",""),""),IF(V446="","CEK JENIS FIXTURE kosong",IF(LEFT(V446,4)&lt;&gt;"Wall","CEK Fixture 3 hanya Wall",IF(W446="","CEK SHELVING KE kosong",IF(ISNA(MATCH(V446&amp;"|"&amp;W446,LAYOUT!$E$2:$E$80,0)),"CEK SHELVING KE di luar layout",IF($I446="","CEK SERIES kosong",IF(AND(X446&lt;&gt;"",NOT(ISNUMBER(X446))),"CEK URUTAN DISPLAY harus angka",IF($D446="","Zona STOCK",IF($E446="","CEK SKU DESCRIPTION kosong",IF(COUNTIFS($I$2:$I$500,$I446,V$2:V$500,"&lt;&gt;"&amp;V446,V$2:V$500,"&lt;&gt;")&gt;0,"CEK jenis fixture beda dalam satu series","OK"))))))))))</f>
        <v/>
      </c>
      <c r="AA446" s="12" t="n"/>
      <c r="AB446" s="11" t="n"/>
      <c r="AC446" s="11" t="n"/>
      <c r="AD446" s="11" t="n"/>
      <c r="AE446" s="11" t="n"/>
      <c r="AF446" s="11" t="n"/>
      <c r="AG446" s="11" t="n"/>
      <c r="AH446" s="12" t="n"/>
      <c r="AI446" s="12" t="n"/>
    </row>
    <row r="447">
      <c r="A447" s="10" t="n"/>
      <c r="B447" s="10" t="n"/>
      <c r="C447" s="10" t="n"/>
      <c r="D447" s="10" t="n"/>
      <c r="E447" s="10" t="n"/>
      <c r="F447" s="10" t="n"/>
      <c r="G447" s="10" t="n"/>
      <c r="H447" s="10" t="n"/>
      <c r="I447" s="10" t="n"/>
      <c r="J447" s="10" t="n"/>
      <c r="K447" s="10" t="n"/>
      <c r="L447" s="11" t="n"/>
      <c r="M447" s="11" t="n"/>
      <c r="N447" s="11" t="n"/>
      <c r="O447" s="11">
        <f>IF(OR(L447="",M447=""),"",IFERROR(INDEX(LAYOUT!$D$2:$D$80,MATCH(L447&amp;"|"&amp;M447,LAYOUT!$E$2:$E$80,0)),""))</f>
        <v/>
      </c>
      <c r="P447" s="12">
        <f>IF(AND(L447="",M447=""),IF(AND(Q447="",R447="",V447="",W447=""),IF(OR($D447&lt;&gt;"",$E447&lt;&gt;""),"Belum ditempatkan",""),""),IF(L447="","CEK JENIS FIXTURE kosong",IF(AND(LEFT(L447,7)&lt;&gt;"Gondola",LEFT(L447,6)&lt;&gt;"Endcap"),"CEK Fixture 1 hanya Gondola atau Endcap",IF(M447="","CEK SHELVING KE kosong",IF(ISNA(MATCH(L447&amp;"|"&amp;M447,LAYOUT!$E$2:$E$80,0)),"CEK SHELVING KE di luar layout",IF($I447="","CEK SERIES kosong",IF(AND(N447&lt;&gt;"",NOT(ISNUMBER(N447))),"CEK URUTAN DISPLAY harus angka",IF($D447="","Zona STOCK",IF($E447="","CEK SKU DESCRIPTION kosong",IF(COUNTIFS($I$2:$I$500,$I447,L$2:L$500,"&lt;&gt;"&amp;L447,L$2:L$500,"&lt;&gt;")&gt;0,"CEK jenis fixture beda dalam satu series","OK"))))))))))</f>
        <v/>
      </c>
      <c r="Q447" s="11" t="n"/>
      <c r="R447" s="11" t="n"/>
      <c r="S447" s="11" t="n"/>
      <c r="T447" s="11">
        <f>IF(OR(Q447="",R447=""),"",IFERROR(INDEX(LAYOUT!$D$2:$D$80,MATCH(Q447&amp;"|"&amp;R447,LAYOUT!$E$2:$E$80,0)),""))</f>
        <v/>
      </c>
      <c r="U447" s="12">
        <f>IF(AND(Q447="",R447=""),IF(AND(L447="",M447="",V447="",W447=""),IF(OR($D447&lt;&gt;"",$E447&lt;&gt;""),"Belum ditempatkan",""),""),IF(Q447="","CEK JENIS FIXTURE kosong",IF(LEFT(Q447,4)&lt;&gt;"Wall","CEK Fixture 2 hanya Wall",IF(R447="","CEK SHELVING KE kosong",IF(ISNA(MATCH(Q447&amp;"|"&amp;R447,LAYOUT!$E$2:$E$80,0)),"CEK SHELVING KE di luar layout",IF($I447="","CEK SERIES kosong",IF(AND(S447&lt;&gt;"",NOT(ISNUMBER(S447))),"CEK URUTAN DISPLAY harus angka",IF($D447="","Zona STOCK",IF($E447="","CEK SKU DESCRIPTION kosong",IF(COUNTIFS($I$2:$I$500,$I447,Q$2:Q$500,"&lt;&gt;"&amp;Q447,Q$2:Q$500,"&lt;&gt;")&gt;0,"CEK jenis fixture beda dalam satu series","OK"))))))))))</f>
        <v/>
      </c>
      <c r="V447" s="11" t="n"/>
      <c r="W447" s="11" t="n"/>
      <c r="X447" s="11" t="n"/>
      <c r="Y447" s="11">
        <f>IF(OR(V447="",W447=""),"",IFERROR(INDEX(LAYOUT!$D$2:$D$80,MATCH(V447&amp;"|"&amp;W447,LAYOUT!$E$2:$E$80,0)),""))</f>
        <v/>
      </c>
      <c r="Z447" s="12">
        <f>IF(AND(V447="",W447=""),IF(AND(L447="",M447="",Q447="",R447=""),IF(OR($D447&lt;&gt;"",$E447&lt;&gt;""),"Belum ditempatkan",""),""),IF(V447="","CEK JENIS FIXTURE kosong",IF(LEFT(V447,4)&lt;&gt;"Wall","CEK Fixture 3 hanya Wall",IF(W447="","CEK SHELVING KE kosong",IF(ISNA(MATCH(V447&amp;"|"&amp;W447,LAYOUT!$E$2:$E$80,0)),"CEK SHELVING KE di luar layout",IF($I447="","CEK SERIES kosong",IF(AND(X447&lt;&gt;"",NOT(ISNUMBER(X447))),"CEK URUTAN DISPLAY harus angka",IF($D447="","Zona STOCK",IF($E447="","CEK SKU DESCRIPTION kosong",IF(COUNTIFS($I$2:$I$500,$I447,V$2:V$500,"&lt;&gt;"&amp;V447,V$2:V$500,"&lt;&gt;")&gt;0,"CEK jenis fixture beda dalam satu series","OK"))))))))))</f>
        <v/>
      </c>
      <c r="AA447" s="12" t="n"/>
      <c r="AB447" s="11" t="n"/>
      <c r="AC447" s="11" t="n"/>
      <c r="AD447" s="11" t="n"/>
      <c r="AE447" s="11" t="n"/>
      <c r="AF447" s="11" t="n"/>
      <c r="AG447" s="11" t="n"/>
      <c r="AH447" s="12" t="n"/>
      <c r="AI447" s="12" t="n"/>
    </row>
    <row r="448">
      <c r="A448" s="10" t="n"/>
      <c r="B448" s="10" t="n"/>
      <c r="C448" s="10" t="n"/>
      <c r="D448" s="10" t="n"/>
      <c r="E448" s="10" t="n"/>
      <c r="F448" s="10" t="n"/>
      <c r="G448" s="10" t="n"/>
      <c r="H448" s="10" t="n"/>
      <c r="I448" s="10" t="n"/>
      <c r="J448" s="10" t="n"/>
      <c r="K448" s="10" t="n"/>
      <c r="L448" s="11" t="n"/>
      <c r="M448" s="11" t="n"/>
      <c r="N448" s="11" t="n"/>
      <c r="O448" s="11">
        <f>IF(OR(L448="",M448=""),"",IFERROR(INDEX(LAYOUT!$D$2:$D$80,MATCH(L448&amp;"|"&amp;M448,LAYOUT!$E$2:$E$80,0)),""))</f>
        <v/>
      </c>
      <c r="P448" s="12">
        <f>IF(AND(L448="",M448=""),IF(AND(Q448="",R448="",V448="",W448=""),IF(OR($D448&lt;&gt;"",$E448&lt;&gt;""),"Belum ditempatkan",""),""),IF(L448="","CEK JENIS FIXTURE kosong",IF(AND(LEFT(L448,7)&lt;&gt;"Gondola",LEFT(L448,6)&lt;&gt;"Endcap"),"CEK Fixture 1 hanya Gondola atau Endcap",IF(M448="","CEK SHELVING KE kosong",IF(ISNA(MATCH(L448&amp;"|"&amp;M448,LAYOUT!$E$2:$E$80,0)),"CEK SHELVING KE di luar layout",IF($I448="","CEK SERIES kosong",IF(AND(N448&lt;&gt;"",NOT(ISNUMBER(N448))),"CEK URUTAN DISPLAY harus angka",IF($D448="","Zona STOCK",IF($E448="","CEK SKU DESCRIPTION kosong",IF(COUNTIFS($I$2:$I$500,$I448,L$2:L$500,"&lt;&gt;"&amp;L448,L$2:L$500,"&lt;&gt;")&gt;0,"CEK jenis fixture beda dalam satu series","OK"))))))))))</f>
        <v/>
      </c>
      <c r="Q448" s="11" t="n"/>
      <c r="R448" s="11" t="n"/>
      <c r="S448" s="11" t="n"/>
      <c r="T448" s="11">
        <f>IF(OR(Q448="",R448=""),"",IFERROR(INDEX(LAYOUT!$D$2:$D$80,MATCH(Q448&amp;"|"&amp;R448,LAYOUT!$E$2:$E$80,0)),""))</f>
        <v/>
      </c>
      <c r="U448" s="12">
        <f>IF(AND(Q448="",R448=""),IF(AND(L448="",M448="",V448="",W448=""),IF(OR($D448&lt;&gt;"",$E448&lt;&gt;""),"Belum ditempatkan",""),""),IF(Q448="","CEK JENIS FIXTURE kosong",IF(LEFT(Q448,4)&lt;&gt;"Wall","CEK Fixture 2 hanya Wall",IF(R448="","CEK SHELVING KE kosong",IF(ISNA(MATCH(Q448&amp;"|"&amp;R448,LAYOUT!$E$2:$E$80,0)),"CEK SHELVING KE di luar layout",IF($I448="","CEK SERIES kosong",IF(AND(S448&lt;&gt;"",NOT(ISNUMBER(S448))),"CEK URUTAN DISPLAY harus angka",IF($D448="","Zona STOCK",IF($E448="","CEK SKU DESCRIPTION kosong",IF(COUNTIFS($I$2:$I$500,$I448,Q$2:Q$500,"&lt;&gt;"&amp;Q448,Q$2:Q$500,"&lt;&gt;")&gt;0,"CEK jenis fixture beda dalam satu series","OK"))))))))))</f>
        <v/>
      </c>
      <c r="V448" s="11" t="n"/>
      <c r="W448" s="11" t="n"/>
      <c r="X448" s="11" t="n"/>
      <c r="Y448" s="11">
        <f>IF(OR(V448="",W448=""),"",IFERROR(INDEX(LAYOUT!$D$2:$D$80,MATCH(V448&amp;"|"&amp;W448,LAYOUT!$E$2:$E$80,0)),""))</f>
        <v/>
      </c>
      <c r="Z448" s="12">
        <f>IF(AND(V448="",W448=""),IF(AND(L448="",M448="",Q448="",R448=""),IF(OR($D448&lt;&gt;"",$E448&lt;&gt;""),"Belum ditempatkan",""),""),IF(V448="","CEK JENIS FIXTURE kosong",IF(LEFT(V448,4)&lt;&gt;"Wall","CEK Fixture 3 hanya Wall",IF(W448="","CEK SHELVING KE kosong",IF(ISNA(MATCH(V448&amp;"|"&amp;W448,LAYOUT!$E$2:$E$80,0)),"CEK SHELVING KE di luar layout",IF($I448="","CEK SERIES kosong",IF(AND(X448&lt;&gt;"",NOT(ISNUMBER(X448))),"CEK URUTAN DISPLAY harus angka",IF($D448="","Zona STOCK",IF($E448="","CEK SKU DESCRIPTION kosong",IF(COUNTIFS($I$2:$I$500,$I448,V$2:V$500,"&lt;&gt;"&amp;V448,V$2:V$500,"&lt;&gt;")&gt;0,"CEK jenis fixture beda dalam satu series","OK"))))))))))</f>
        <v/>
      </c>
      <c r="AA448" s="12" t="n"/>
      <c r="AB448" s="11" t="n"/>
      <c r="AC448" s="11" t="n"/>
      <c r="AD448" s="11" t="n"/>
      <c r="AE448" s="11" t="n"/>
      <c r="AF448" s="11" t="n"/>
      <c r="AG448" s="11" t="n"/>
      <c r="AH448" s="12" t="n"/>
      <c r="AI448" s="12" t="n"/>
    </row>
    <row r="449">
      <c r="A449" s="10" t="n"/>
      <c r="B449" s="10" t="n"/>
      <c r="C449" s="10" t="n"/>
      <c r="D449" s="10" t="n"/>
      <c r="E449" s="10" t="n"/>
      <c r="F449" s="10" t="n"/>
      <c r="G449" s="10" t="n"/>
      <c r="H449" s="10" t="n"/>
      <c r="I449" s="10" t="n"/>
      <c r="J449" s="10" t="n"/>
      <c r="K449" s="10" t="n"/>
      <c r="L449" s="11" t="n"/>
      <c r="M449" s="11" t="n"/>
      <c r="N449" s="11" t="n"/>
      <c r="O449" s="11">
        <f>IF(OR(L449="",M449=""),"",IFERROR(INDEX(LAYOUT!$D$2:$D$80,MATCH(L449&amp;"|"&amp;M449,LAYOUT!$E$2:$E$80,0)),""))</f>
        <v/>
      </c>
      <c r="P449" s="12">
        <f>IF(AND(L449="",M449=""),IF(AND(Q449="",R449="",V449="",W449=""),IF(OR($D449&lt;&gt;"",$E449&lt;&gt;""),"Belum ditempatkan",""),""),IF(L449="","CEK JENIS FIXTURE kosong",IF(AND(LEFT(L449,7)&lt;&gt;"Gondola",LEFT(L449,6)&lt;&gt;"Endcap"),"CEK Fixture 1 hanya Gondola atau Endcap",IF(M449="","CEK SHELVING KE kosong",IF(ISNA(MATCH(L449&amp;"|"&amp;M449,LAYOUT!$E$2:$E$80,0)),"CEK SHELVING KE di luar layout",IF($I449="","CEK SERIES kosong",IF(AND(N449&lt;&gt;"",NOT(ISNUMBER(N449))),"CEK URUTAN DISPLAY harus angka",IF($D449="","Zona STOCK",IF($E449="","CEK SKU DESCRIPTION kosong",IF(COUNTIFS($I$2:$I$500,$I449,L$2:L$500,"&lt;&gt;"&amp;L449,L$2:L$500,"&lt;&gt;")&gt;0,"CEK jenis fixture beda dalam satu series","OK"))))))))))</f>
        <v/>
      </c>
      <c r="Q449" s="11" t="n"/>
      <c r="R449" s="11" t="n"/>
      <c r="S449" s="11" t="n"/>
      <c r="T449" s="11">
        <f>IF(OR(Q449="",R449=""),"",IFERROR(INDEX(LAYOUT!$D$2:$D$80,MATCH(Q449&amp;"|"&amp;R449,LAYOUT!$E$2:$E$80,0)),""))</f>
        <v/>
      </c>
      <c r="U449" s="12">
        <f>IF(AND(Q449="",R449=""),IF(AND(L449="",M449="",V449="",W449=""),IF(OR($D449&lt;&gt;"",$E449&lt;&gt;""),"Belum ditempatkan",""),""),IF(Q449="","CEK JENIS FIXTURE kosong",IF(LEFT(Q449,4)&lt;&gt;"Wall","CEK Fixture 2 hanya Wall",IF(R449="","CEK SHELVING KE kosong",IF(ISNA(MATCH(Q449&amp;"|"&amp;R449,LAYOUT!$E$2:$E$80,0)),"CEK SHELVING KE di luar layout",IF($I449="","CEK SERIES kosong",IF(AND(S449&lt;&gt;"",NOT(ISNUMBER(S449))),"CEK URUTAN DISPLAY harus angka",IF($D449="","Zona STOCK",IF($E449="","CEK SKU DESCRIPTION kosong",IF(COUNTIFS($I$2:$I$500,$I449,Q$2:Q$500,"&lt;&gt;"&amp;Q449,Q$2:Q$500,"&lt;&gt;")&gt;0,"CEK jenis fixture beda dalam satu series","OK"))))))))))</f>
        <v/>
      </c>
      <c r="V449" s="11" t="n"/>
      <c r="W449" s="11" t="n"/>
      <c r="X449" s="11" t="n"/>
      <c r="Y449" s="11">
        <f>IF(OR(V449="",W449=""),"",IFERROR(INDEX(LAYOUT!$D$2:$D$80,MATCH(V449&amp;"|"&amp;W449,LAYOUT!$E$2:$E$80,0)),""))</f>
        <v/>
      </c>
      <c r="Z449" s="12">
        <f>IF(AND(V449="",W449=""),IF(AND(L449="",M449="",Q449="",R449=""),IF(OR($D449&lt;&gt;"",$E449&lt;&gt;""),"Belum ditempatkan",""),""),IF(V449="","CEK JENIS FIXTURE kosong",IF(LEFT(V449,4)&lt;&gt;"Wall","CEK Fixture 3 hanya Wall",IF(W449="","CEK SHELVING KE kosong",IF(ISNA(MATCH(V449&amp;"|"&amp;W449,LAYOUT!$E$2:$E$80,0)),"CEK SHELVING KE di luar layout",IF($I449="","CEK SERIES kosong",IF(AND(X449&lt;&gt;"",NOT(ISNUMBER(X449))),"CEK URUTAN DISPLAY harus angka",IF($D449="","Zona STOCK",IF($E449="","CEK SKU DESCRIPTION kosong",IF(COUNTIFS($I$2:$I$500,$I449,V$2:V$500,"&lt;&gt;"&amp;V449,V$2:V$500,"&lt;&gt;")&gt;0,"CEK jenis fixture beda dalam satu series","OK"))))))))))</f>
        <v/>
      </c>
      <c r="AA449" s="12" t="n"/>
      <c r="AB449" s="11" t="n"/>
      <c r="AC449" s="11" t="n"/>
      <c r="AD449" s="11" t="n"/>
      <c r="AE449" s="11" t="n"/>
      <c r="AF449" s="11" t="n"/>
      <c r="AG449" s="11" t="n"/>
      <c r="AH449" s="12" t="n"/>
      <c r="AI449" s="12" t="n"/>
    </row>
    <row r="450">
      <c r="A450" s="10" t="n"/>
      <c r="B450" s="10" t="n"/>
      <c r="C450" s="10" t="n"/>
      <c r="D450" s="10" t="n"/>
      <c r="E450" s="10" t="n"/>
      <c r="F450" s="10" t="n"/>
      <c r="G450" s="10" t="n"/>
      <c r="H450" s="10" t="n"/>
      <c r="I450" s="10" t="n"/>
      <c r="J450" s="10" t="n"/>
      <c r="K450" s="10" t="n"/>
      <c r="L450" s="11" t="n"/>
      <c r="M450" s="11" t="n"/>
      <c r="N450" s="11" t="n"/>
      <c r="O450" s="11">
        <f>IF(OR(L450="",M450=""),"",IFERROR(INDEX(LAYOUT!$D$2:$D$80,MATCH(L450&amp;"|"&amp;M450,LAYOUT!$E$2:$E$80,0)),""))</f>
        <v/>
      </c>
      <c r="P450" s="12">
        <f>IF(AND(L450="",M450=""),IF(AND(Q450="",R450="",V450="",W450=""),IF(OR($D450&lt;&gt;"",$E450&lt;&gt;""),"Belum ditempatkan",""),""),IF(L450="","CEK JENIS FIXTURE kosong",IF(AND(LEFT(L450,7)&lt;&gt;"Gondola",LEFT(L450,6)&lt;&gt;"Endcap"),"CEK Fixture 1 hanya Gondola atau Endcap",IF(M450="","CEK SHELVING KE kosong",IF(ISNA(MATCH(L450&amp;"|"&amp;M450,LAYOUT!$E$2:$E$80,0)),"CEK SHELVING KE di luar layout",IF($I450="","CEK SERIES kosong",IF(AND(N450&lt;&gt;"",NOT(ISNUMBER(N450))),"CEK URUTAN DISPLAY harus angka",IF($D450="","Zona STOCK",IF($E450="","CEK SKU DESCRIPTION kosong",IF(COUNTIFS($I$2:$I$500,$I450,L$2:L$500,"&lt;&gt;"&amp;L450,L$2:L$500,"&lt;&gt;")&gt;0,"CEK jenis fixture beda dalam satu series","OK"))))))))))</f>
        <v/>
      </c>
      <c r="Q450" s="11" t="n"/>
      <c r="R450" s="11" t="n"/>
      <c r="S450" s="11" t="n"/>
      <c r="T450" s="11">
        <f>IF(OR(Q450="",R450=""),"",IFERROR(INDEX(LAYOUT!$D$2:$D$80,MATCH(Q450&amp;"|"&amp;R450,LAYOUT!$E$2:$E$80,0)),""))</f>
        <v/>
      </c>
      <c r="U450" s="12">
        <f>IF(AND(Q450="",R450=""),IF(AND(L450="",M450="",V450="",W450=""),IF(OR($D450&lt;&gt;"",$E450&lt;&gt;""),"Belum ditempatkan",""),""),IF(Q450="","CEK JENIS FIXTURE kosong",IF(LEFT(Q450,4)&lt;&gt;"Wall","CEK Fixture 2 hanya Wall",IF(R450="","CEK SHELVING KE kosong",IF(ISNA(MATCH(Q450&amp;"|"&amp;R450,LAYOUT!$E$2:$E$80,0)),"CEK SHELVING KE di luar layout",IF($I450="","CEK SERIES kosong",IF(AND(S450&lt;&gt;"",NOT(ISNUMBER(S450))),"CEK URUTAN DISPLAY harus angka",IF($D450="","Zona STOCK",IF($E450="","CEK SKU DESCRIPTION kosong",IF(COUNTIFS($I$2:$I$500,$I450,Q$2:Q$500,"&lt;&gt;"&amp;Q450,Q$2:Q$500,"&lt;&gt;")&gt;0,"CEK jenis fixture beda dalam satu series","OK"))))))))))</f>
        <v/>
      </c>
      <c r="V450" s="11" t="n"/>
      <c r="W450" s="11" t="n"/>
      <c r="X450" s="11" t="n"/>
      <c r="Y450" s="11">
        <f>IF(OR(V450="",W450=""),"",IFERROR(INDEX(LAYOUT!$D$2:$D$80,MATCH(V450&amp;"|"&amp;W450,LAYOUT!$E$2:$E$80,0)),""))</f>
        <v/>
      </c>
      <c r="Z450" s="12">
        <f>IF(AND(V450="",W450=""),IF(AND(L450="",M450="",Q450="",R450=""),IF(OR($D450&lt;&gt;"",$E450&lt;&gt;""),"Belum ditempatkan",""),""),IF(V450="","CEK JENIS FIXTURE kosong",IF(LEFT(V450,4)&lt;&gt;"Wall","CEK Fixture 3 hanya Wall",IF(W450="","CEK SHELVING KE kosong",IF(ISNA(MATCH(V450&amp;"|"&amp;W450,LAYOUT!$E$2:$E$80,0)),"CEK SHELVING KE di luar layout",IF($I450="","CEK SERIES kosong",IF(AND(X450&lt;&gt;"",NOT(ISNUMBER(X450))),"CEK URUTAN DISPLAY harus angka",IF($D450="","Zona STOCK",IF($E450="","CEK SKU DESCRIPTION kosong",IF(COUNTIFS($I$2:$I$500,$I450,V$2:V$500,"&lt;&gt;"&amp;V450,V$2:V$500,"&lt;&gt;")&gt;0,"CEK jenis fixture beda dalam satu series","OK"))))))))))</f>
        <v/>
      </c>
      <c r="AA450" s="12" t="n"/>
      <c r="AB450" s="11" t="n"/>
      <c r="AC450" s="11" t="n"/>
      <c r="AD450" s="11" t="n"/>
      <c r="AE450" s="11" t="n"/>
      <c r="AF450" s="11" t="n"/>
      <c r="AG450" s="11" t="n"/>
      <c r="AH450" s="12" t="n"/>
      <c r="AI450" s="12" t="n"/>
    </row>
    <row r="451">
      <c r="A451" s="10" t="n"/>
      <c r="B451" s="10" t="n"/>
      <c r="C451" s="10" t="n"/>
      <c r="D451" s="10" t="n"/>
      <c r="E451" s="10" t="n"/>
      <c r="F451" s="10" t="n"/>
      <c r="G451" s="10" t="n"/>
      <c r="H451" s="10" t="n"/>
      <c r="I451" s="10" t="n"/>
      <c r="J451" s="10" t="n"/>
      <c r="K451" s="10" t="n"/>
      <c r="L451" s="11" t="n"/>
      <c r="M451" s="11" t="n"/>
      <c r="N451" s="11" t="n"/>
      <c r="O451" s="11">
        <f>IF(OR(L451="",M451=""),"",IFERROR(INDEX(LAYOUT!$D$2:$D$80,MATCH(L451&amp;"|"&amp;M451,LAYOUT!$E$2:$E$80,0)),""))</f>
        <v/>
      </c>
      <c r="P451" s="12">
        <f>IF(AND(L451="",M451=""),IF(AND(Q451="",R451="",V451="",W451=""),IF(OR($D451&lt;&gt;"",$E451&lt;&gt;""),"Belum ditempatkan",""),""),IF(L451="","CEK JENIS FIXTURE kosong",IF(AND(LEFT(L451,7)&lt;&gt;"Gondola",LEFT(L451,6)&lt;&gt;"Endcap"),"CEK Fixture 1 hanya Gondola atau Endcap",IF(M451="","CEK SHELVING KE kosong",IF(ISNA(MATCH(L451&amp;"|"&amp;M451,LAYOUT!$E$2:$E$80,0)),"CEK SHELVING KE di luar layout",IF($I451="","CEK SERIES kosong",IF(AND(N451&lt;&gt;"",NOT(ISNUMBER(N451))),"CEK URUTAN DISPLAY harus angka",IF($D451="","Zona STOCK",IF($E451="","CEK SKU DESCRIPTION kosong",IF(COUNTIFS($I$2:$I$500,$I451,L$2:L$500,"&lt;&gt;"&amp;L451,L$2:L$500,"&lt;&gt;")&gt;0,"CEK jenis fixture beda dalam satu series","OK"))))))))))</f>
        <v/>
      </c>
      <c r="Q451" s="11" t="n"/>
      <c r="R451" s="11" t="n"/>
      <c r="S451" s="11" t="n"/>
      <c r="T451" s="11">
        <f>IF(OR(Q451="",R451=""),"",IFERROR(INDEX(LAYOUT!$D$2:$D$80,MATCH(Q451&amp;"|"&amp;R451,LAYOUT!$E$2:$E$80,0)),""))</f>
        <v/>
      </c>
      <c r="U451" s="12">
        <f>IF(AND(Q451="",R451=""),IF(AND(L451="",M451="",V451="",W451=""),IF(OR($D451&lt;&gt;"",$E451&lt;&gt;""),"Belum ditempatkan",""),""),IF(Q451="","CEK JENIS FIXTURE kosong",IF(LEFT(Q451,4)&lt;&gt;"Wall","CEK Fixture 2 hanya Wall",IF(R451="","CEK SHELVING KE kosong",IF(ISNA(MATCH(Q451&amp;"|"&amp;R451,LAYOUT!$E$2:$E$80,0)),"CEK SHELVING KE di luar layout",IF($I451="","CEK SERIES kosong",IF(AND(S451&lt;&gt;"",NOT(ISNUMBER(S451))),"CEK URUTAN DISPLAY harus angka",IF($D451="","Zona STOCK",IF($E451="","CEK SKU DESCRIPTION kosong",IF(COUNTIFS($I$2:$I$500,$I451,Q$2:Q$500,"&lt;&gt;"&amp;Q451,Q$2:Q$500,"&lt;&gt;")&gt;0,"CEK jenis fixture beda dalam satu series","OK"))))))))))</f>
        <v/>
      </c>
      <c r="V451" s="11" t="n"/>
      <c r="W451" s="11" t="n"/>
      <c r="X451" s="11" t="n"/>
      <c r="Y451" s="11">
        <f>IF(OR(V451="",W451=""),"",IFERROR(INDEX(LAYOUT!$D$2:$D$80,MATCH(V451&amp;"|"&amp;W451,LAYOUT!$E$2:$E$80,0)),""))</f>
        <v/>
      </c>
      <c r="Z451" s="12">
        <f>IF(AND(V451="",W451=""),IF(AND(L451="",M451="",Q451="",R451=""),IF(OR($D451&lt;&gt;"",$E451&lt;&gt;""),"Belum ditempatkan",""),""),IF(V451="","CEK JENIS FIXTURE kosong",IF(LEFT(V451,4)&lt;&gt;"Wall","CEK Fixture 3 hanya Wall",IF(W451="","CEK SHELVING KE kosong",IF(ISNA(MATCH(V451&amp;"|"&amp;W451,LAYOUT!$E$2:$E$80,0)),"CEK SHELVING KE di luar layout",IF($I451="","CEK SERIES kosong",IF(AND(X451&lt;&gt;"",NOT(ISNUMBER(X451))),"CEK URUTAN DISPLAY harus angka",IF($D451="","Zona STOCK",IF($E451="","CEK SKU DESCRIPTION kosong",IF(COUNTIFS($I$2:$I$500,$I451,V$2:V$500,"&lt;&gt;"&amp;V451,V$2:V$500,"&lt;&gt;")&gt;0,"CEK jenis fixture beda dalam satu series","OK"))))))))))</f>
        <v/>
      </c>
      <c r="AA451" s="12" t="n"/>
      <c r="AB451" s="11" t="n"/>
      <c r="AC451" s="11" t="n"/>
      <c r="AD451" s="11" t="n"/>
      <c r="AE451" s="11" t="n"/>
      <c r="AF451" s="11" t="n"/>
      <c r="AG451" s="11" t="n"/>
      <c r="AH451" s="12" t="n"/>
      <c r="AI451" s="12" t="n"/>
    </row>
    <row r="452">
      <c r="A452" s="10" t="n"/>
      <c r="B452" s="10" t="n"/>
      <c r="C452" s="10" t="n"/>
      <c r="D452" s="10" t="n"/>
      <c r="E452" s="10" t="n"/>
      <c r="F452" s="10" t="n"/>
      <c r="G452" s="10" t="n"/>
      <c r="H452" s="10" t="n"/>
      <c r="I452" s="10" t="n"/>
      <c r="J452" s="10" t="n"/>
      <c r="K452" s="10" t="n"/>
      <c r="L452" s="11" t="n"/>
      <c r="M452" s="11" t="n"/>
      <c r="N452" s="11" t="n"/>
      <c r="O452" s="11">
        <f>IF(OR(L452="",M452=""),"",IFERROR(INDEX(LAYOUT!$D$2:$D$80,MATCH(L452&amp;"|"&amp;M452,LAYOUT!$E$2:$E$80,0)),""))</f>
        <v/>
      </c>
      <c r="P452" s="12">
        <f>IF(AND(L452="",M452=""),IF(AND(Q452="",R452="",V452="",W452=""),IF(OR($D452&lt;&gt;"",$E452&lt;&gt;""),"Belum ditempatkan",""),""),IF(L452="","CEK JENIS FIXTURE kosong",IF(AND(LEFT(L452,7)&lt;&gt;"Gondola",LEFT(L452,6)&lt;&gt;"Endcap"),"CEK Fixture 1 hanya Gondola atau Endcap",IF(M452="","CEK SHELVING KE kosong",IF(ISNA(MATCH(L452&amp;"|"&amp;M452,LAYOUT!$E$2:$E$80,0)),"CEK SHELVING KE di luar layout",IF($I452="","CEK SERIES kosong",IF(AND(N452&lt;&gt;"",NOT(ISNUMBER(N452))),"CEK URUTAN DISPLAY harus angka",IF($D452="","Zona STOCK",IF($E452="","CEK SKU DESCRIPTION kosong",IF(COUNTIFS($I$2:$I$500,$I452,L$2:L$500,"&lt;&gt;"&amp;L452,L$2:L$500,"&lt;&gt;")&gt;0,"CEK jenis fixture beda dalam satu series","OK"))))))))))</f>
        <v/>
      </c>
      <c r="Q452" s="11" t="n"/>
      <c r="R452" s="11" t="n"/>
      <c r="S452" s="11" t="n"/>
      <c r="T452" s="11">
        <f>IF(OR(Q452="",R452=""),"",IFERROR(INDEX(LAYOUT!$D$2:$D$80,MATCH(Q452&amp;"|"&amp;R452,LAYOUT!$E$2:$E$80,0)),""))</f>
        <v/>
      </c>
      <c r="U452" s="12">
        <f>IF(AND(Q452="",R452=""),IF(AND(L452="",M452="",V452="",W452=""),IF(OR($D452&lt;&gt;"",$E452&lt;&gt;""),"Belum ditempatkan",""),""),IF(Q452="","CEK JENIS FIXTURE kosong",IF(LEFT(Q452,4)&lt;&gt;"Wall","CEK Fixture 2 hanya Wall",IF(R452="","CEK SHELVING KE kosong",IF(ISNA(MATCH(Q452&amp;"|"&amp;R452,LAYOUT!$E$2:$E$80,0)),"CEK SHELVING KE di luar layout",IF($I452="","CEK SERIES kosong",IF(AND(S452&lt;&gt;"",NOT(ISNUMBER(S452))),"CEK URUTAN DISPLAY harus angka",IF($D452="","Zona STOCK",IF($E452="","CEK SKU DESCRIPTION kosong",IF(COUNTIFS($I$2:$I$500,$I452,Q$2:Q$500,"&lt;&gt;"&amp;Q452,Q$2:Q$500,"&lt;&gt;")&gt;0,"CEK jenis fixture beda dalam satu series","OK"))))))))))</f>
        <v/>
      </c>
      <c r="V452" s="11" t="n"/>
      <c r="W452" s="11" t="n"/>
      <c r="X452" s="11" t="n"/>
      <c r="Y452" s="11">
        <f>IF(OR(V452="",W452=""),"",IFERROR(INDEX(LAYOUT!$D$2:$D$80,MATCH(V452&amp;"|"&amp;W452,LAYOUT!$E$2:$E$80,0)),""))</f>
        <v/>
      </c>
      <c r="Z452" s="12">
        <f>IF(AND(V452="",W452=""),IF(AND(L452="",M452="",Q452="",R452=""),IF(OR($D452&lt;&gt;"",$E452&lt;&gt;""),"Belum ditempatkan",""),""),IF(V452="","CEK JENIS FIXTURE kosong",IF(LEFT(V452,4)&lt;&gt;"Wall","CEK Fixture 3 hanya Wall",IF(W452="","CEK SHELVING KE kosong",IF(ISNA(MATCH(V452&amp;"|"&amp;W452,LAYOUT!$E$2:$E$80,0)),"CEK SHELVING KE di luar layout",IF($I452="","CEK SERIES kosong",IF(AND(X452&lt;&gt;"",NOT(ISNUMBER(X452))),"CEK URUTAN DISPLAY harus angka",IF($D452="","Zona STOCK",IF($E452="","CEK SKU DESCRIPTION kosong",IF(COUNTIFS($I$2:$I$500,$I452,V$2:V$500,"&lt;&gt;"&amp;V452,V$2:V$500,"&lt;&gt;")&gt;0,"CEK jenis fixture beda dalam satu series","OK"))))))))))</f>
        <v/>
      </c>
      <c r="AA452" s="12" t="n"/>
      <c r="AB452" s="11" t="n"/>
      <c r="AC452" s="11" t="n"/>
      <c r="AD452" s="11" t="n"/>
      <c r="AE452" s="11" t="n"/>
      <c r="AF452" s="11" t="n"/>
      <c r="AG452" s="11" t="n"/>
      <c r="AH452" s="12" t="n"/>
      <c r="AI452" s="12" t="n"/>
    </row>
    <row r="453">
      <c r="A453" s="10" t="n"/>
      <c r="B453" s="10" t="n"/>
      <c r="C453" s="10" t="n"/>
      <c r="D453" s="10" t="n"/>
      <c r="E453" s="10" t="n"/>
      <c r="F453" s="10" t="n"/>
      <c r="G453" s="10" t="n"/>
      <c r="H453" s="10" t="n"/>
      <c r="I453" s="10" t="n"/>
      <c r="J453" s="10" t="n"/>
      <c r="K453" s="10" t="n"/>
      <c r="L453" s="11" t="n"/>
      <c r="M453" s="11" t="n"/>
      <c r="N453" s="11" t="n"/>
      <c r="O453" s="11">
        <f>IF(OR(L453="",M453=""),"",IFERROR(INDEX(LAYOUT!$D$2:$D$80,MATCH(L453&amp;"|"&amp;M453,LAYOUT!$E$2:$E$80,0)),""))</f>
        <v/>
      </c>
      <c r="P453" s="12">
        <f>IF(AND(L453="",M453=""),IF(AND(Q453="",R453="",V453="",W453=""),IF(OR($D453&lt;&gt;"",$E453&lt;&gt;""),"Belum ditempatkan",""),""),IF(L453="","CEK JENIS FIXTURE kosong",IF(AND(LEFT(L453,7)&lt;&gt;"Gondola",LEFT(L453,6)&lt;&gt;"Endcap"),"CEK Fixture 1 hanya Gondola atau Endcap",IF(M453="","CEK SHELVING KE kosong",IF(ISNA(MATCH(L453&amp;"|"&amp;M453,LAYOUT!$E$2:$E$80,0)),"CEK SHELVING KE di luar layout",IF($I453="","CEK SERIES kosong",IF(AND(N453&lt;&gt;"",NOT(ISNUMBER(N453))),"CEK URUTAN DISPLAY harus angka",IF($D453="","Zona STOCK",IF($E453="","CEK SKU DESCRIPTION kosong",IF(COUNTIFS($I$2:$I$500,$I453,L$2:L$500,"&lt;&gt;"&amp;L453,L$2:L$500,"&lt;&gt;")&gt;0,"CEK jenis fixture beda dalam satu series","OK"))))))))))</f>
        <v/>
      </c>
      <c r="Q453" s="11" t="n"/>
      <c r="R453" s="11" t="n"/>
      <c r="S453" s="11" t="n"/>
      <c r="T453" s="11">
        <f>IF(OR(Q453="",R453=""),"",IFERROR(INDEX(LAYOUT!$D$2:$D$80,MATCH(Q453&amp;"|"&amp;R453,LAYOUT!$E$2:$E$80,0)),""))</f>
        <v/>
      </c>
      <c r="U453" s="12">
        <f>IF(AND(Q453="",R453=""),IF(AND(L453="",M453="",V453="",W453=""),IF(OR($D453&lt;&gt;"",$E453&lt;&gt;""),"Belum ditempatkan",""),""),IF(Q453="","CEK JENIS FIXTURE kosong",IF(LEFT(Q453,4)&lt;&gt;"Wall","CEK Fixture 2 hanya Wall",IF(R453="","CEK SHELVING KE kosong",IF(ISNA(MATCH(Q453&amp;"|"&amp;R453,LAYOUT!$E$2:$E$80,0)),"CEK SHELVING KE di luar layout",IF($I453="","CEK SERIES kosong",IF(AND(S453&lt;&gt;"",NOT(ISNUMBER(S453))),"CEK URUTAN DISPLAY harus angka",IF($D453="","Zona STOCK",IF($E453="","CEK SKU DESCRIPTION kosong",IF(COUNTIFS($I$2:$I$500,$I453,Q$2:Q$500,"&lt;&gt;"&amp;Q453,Q$2:Q$500,"&lt;&gt;")&gt;0,"CEK jenis fixture beda dalam satu series","OK"))))))))))</f>
        <v/>
      </c>
      <c r="V453" s="11" t="n"/>
      <c r="W453" s="11" t="n"/>
      <c r="X453" s="11" t="n"/>
      <c r="Y453" s="11">
        <f>IF(OR(V453="",W453=""),"",IFERROR(INDEX(LAYOUT!$D$2:$D$80,MATCH(V453&amp;"|"&amp;W453,LAYOUT!$E$2:$E$80,0)),""))</f>
        <v/>
      </c>
      <c r="Z453" s="12">
        <f>IF(AND(V453="",W453=""),IF(AND(L453="",M453="",Q453="",R453=""),IF(OR($D453&lt;&gt;"",$E453&lt;&gt;""),"Belum ditempatkan",""),""),IF(V453="","CEK JENIS FIXTURE kosong",IF(LEFT(V453,4)&lt;&gt;"Wall","CEK Fixture 3 hanya Wall",IF(W453="","CEK SHELVING KE kosong",IF(ISNA(MATCH(V453&amp;"|"&amp;W453,LAYOUT!$E$2:$E$80,0)),"CEK SHELVING KE di luar layout",IF($I453="","CEK SERIES kosong",IF(AND(X453&lt;&gt;"",NOT(ISNUMBER(X453))),"CEK URUTAN DISPLAY harus angka",IF($D453="","Zona STOCK",IF($E453="","CEK SKU DESCRIPTION kosong",IF(COUNTIFS($I$2:$I$500,$I453,V$2:V$500,"&lt;&gt;"&amp;V453,V$2:V$500,"&lt;&gt;")&gt;0,"CEK jenis fixture beda dalam satu series","OK"))))))))))</f>
        <v/>
      </c>
      <c r="AA453" s="12" t="n"/>
      <c r="AB453" s="11" t="n"/>
      <c r="AC453" s="11" t="n"/>
      <c r="AD453" s="11" t="n"/>
      <c r="AE453" s="11" t="n"/>
      <c r="AF453" s="11" t="n"/>
      <c r="AG453" s="11" t="n"/>
      <c r="AH453" s="12" t="n"/>
      <c r="AI453" s="12" t="n"/>
    </row>
    <row r="454">
      <c r="A454" s="10" t="n"/>
      <c r="B454" s="10" t="n"/>
      <c r="C454" s="10" t="n"/>
      <c r="D454" s="10" t="n"/>
      <c r="E454" s="10" t="n"/>
      <c r="F454" s="10" t="n"/>
      <c r="G454" s="10" t="n"/>
      <c r="H454" s="10" t="n"/>
      <c r="I454" s="10" t="n"/>
      <c r="J454" s="10" t="n"/>
      <c r="K454" s="10" t="n"/>
      <c r="L454" s="11" t="n"/>
      <c r="M454" s="11" t="n"/>
      <c r="N454" s="11" t="n"/>
      <c r="O454" s="11">
        <f>IF(OR(L454="",M454=""),"",IFERROR(INDEX(LAYOUT!$D$2:$D$80,MATCH(L454&amp;"|"&amp;M454,LAYOUT!$E$2:$E$80,0)),""))</f>
        <v/>
      </c>
      <c r="P454" s="12">
        <f>IF(AND(L454="",M454=""),IF(AND(Q454="",R454="",V454="",W454=""),IF(OR($D454&lt;&gt;"",$E454&lt;&gt;""),"Belum ditempatkan",""),""),IF(L454="","CEK JENIS FIXTURE kosong",IF(AND(LEFT(L454,7)&lt;&gt;"Gondola",LEFT(L454,6)&lt;&gt;"Endcap"),"CEK Fixture 1 hanya Gondola atau Endcap",IF(M454="","CEK SHELVING KE kosong",IF(ISNA(MATCH(L454&amp;"|"&amp;M454,LAYOUT!$E$2:$E$80,0)),"CEK SHELVING KE di luar layout",IF($I454="","CEK SERIES kosong",IF(AND(N454&lt;&gt;"",NOT(ISNUMBER(N454))),"CEK URUTAN DISPLAY harus angka",IF($D454="","Zona STOCK",IF($E454="","CEK SKU DESCRIPTION kosong",IF(COUNTIFS($I$2:$I$500,$I454,L$2:L$500,"&lt;&gt;"&amp;L454,L$2:L$500,"&lt;&gt;")&gt;0,"CEK jenis fixture beda dalam satu series","OK"))))))))))</f>
        <v/>
      </c>
      <c r="Q454" s="11" t="n"/>
      <c r="R454" s="11" t="n"/>
      <c r="S454" s="11" t="n"/>
      <c r="T454" s="11">
        <f>IF(OR(Q454="",R454=""),"",IFERROR(INDEX(LAYOUT!$D$2:$D$80,MATCH(Q454&amp;"|"&amp;R454,LAYOUT!$E$2:$E$80,0)),""))</f>
        <v/>
      </c>
      <c r="U454" s="12">
        <f>IF(AND(Q454="",R454=""),IF(AND(L454="",M454="",V454="",W454=""),IF(OR($D454&lt;&gt;"",$E454&lt;&gt;""),"Belum ditempatkan",""),""),IF(Q454="","CEK JENIS FIXTURE kosong",IF(LEFT(Q454,4)&lt;&gt;"Wall","CEK Fixture 2 hanya Wall",IF(R454="","CEK SHELVING KE kosong",IF(ISNA(MATCH(Q454&amp;"|"&amp;R454,LAYOUT!$E$2:$E$80,0)),"CEK SHELVING KE di luar layout",IF($I454="","CEK SERIES kosong",IF(AND(S454&lt;&gt;"",NOT(ISNUMBER(S454))),"CEK URUTAN DISPLAY harus angka",IF($D454="","Zona STOCK",IF($E454="","CEK SKU DESCRIPTION kosong",IF(COUNTIFS($I$2:$I$500,$I454,Q$2:Q$500,"&lt;&gt;"&amp;Q454,Q$2:Q$500,"&lt;&gt;")&gt;0,"CEK jenis fixture beda dalam satu series","OK"))))))))))</f>
        <v/>
      </c>
      <c r="V454" s="11" t="n"/>
      <c r="W454" s="11" t="n"/>
      <c r="X454" s="11" t="n"/>
      <c r="Y454" s="11">
        <f>IF(OR(V454="",W454=""),"",IFERROR(INDEX(LAYOUT!$D$2:$D$80,MATCH(V454&amp;"|"&amp;W454,LAYOUT!$E$2:$E$80,0)),""))</f>
        <v/>
      </c>
      <c r="Z454" s="12">
        <f>IF(AND(V454="",W454=""),IF(AND(L454="",M454="",Q454="",R454=""),IF(OR($D454&lt;&gt;"",$E454&lt;&gt;""),"Belum ditempatkan",""),""),IF(V454="","CEK JENIS FIXTURE kosong",IF(LEFT(V454,4)&lt;&gt;"Wall","CEK Fixture 3 hanya Wall",IF(W454="","CEK SHELVING KE kosong",IF(ISNA(MATCH(V454&amp;"|"&amp;W454,LAYOUT!$E$2:$E$80,0)),"CEK SHELVING KE di luar layout",IF($I454="","CEK SERIES kosong",IF(AND(X454&lt;&gt;"",NOT(ISNUMBER(X454))),"CEK URUTAN DISPLAY harus angka",IF($D454="","Zona STOCK",IF($E454="","CEK SKU DESCRIPTION kosong",IF(COUNTIFS($I$2:$I$500,$I454,V$2:V$500,"&lt;&gt;"&amp;V454,V$2:V$500,"&lt;&gt;")&gt;0,"CEK jenis fixture beda dalam satu series","OK"))))))))))</f>
        <v/>
      </c>
      <c r="AA454" s="12" t="n"/>
      <c r="AB454" s="11" t="n"/>
      <c r="AC454" s="11" t="n"/>
      <c r="AD454" s="11" t="n"/>
      <c r="AE454" s="11" t="n"/>
      <c r="AF454" s="11" t="n"/>
      <c r="AG454" s="11" t="n"/>
      <c r="AH454" s="12" t="n"/>
      <c r="AI454" s="12" t="n"/>
    </row>
    <row r="455">
      <c r="A455" s="10" t="n"/>
      <c r="B455" s="10" t="n"/>
      <c r="C455" s="10" t="n"/>
      <c r="D455" s="10" t="n"/>
      <c r="E455" s="10" t="n"/>
      <c r="F455" s="10" t="n"/>
      <c r="G455" s="10" t="n"/>
      <c r="H455" s="10" t="n"/>
      <c r="I455" s="10" t="n"/>
      <c r="J455" s="10" t="n"/>
      <c r="K455" s="10" t="n"/>
      <c r="L455" s="11" t="n"/>
      <c r="M455" s="11" t="n"/>
      <c r="N455" s="11" t="n"/>
      <c r="O455" s="11">
        <f>IF(OR(L455="",M455=""),"",IFERROR(INDEX(LAYOUT!$D$2:$D$80,MATCH(L455&amp;"|"&amp;M455,LAYOUT!$E$2:$E$80,0)),""))</f>
        <v/>
      </c>
      <c r="P455" s="12">
        <f>IF(AND(L455="",M455=""),IF(AND(Q455="",R455="",V455="",W455=""),IF(OR($D455&lt;&gt;"",$E455&lt;&gt;""),"Belum ditempatkan",""),""),IF(L455="","CEK JENIS FIXTURE kosong",IF(AND(LEFT(L455,7)&lt;&gt;"Gondola",LEFT(L455,6)&lt;&gt;"Endcap"),"CEK Fixture 1 hanya Gondola atau Endcap",IF(M455="","CEK SHELVING KE kosong",IF(ISNA(MATCH(L455&amp;"|"&amp;M455,LAYOUT!$E$2:$E$80,0)),"CEK SHELVING KE di luar layout",IF($I455="","CEK SERIES kosong",IF(AND(N455&lt;&gt;"",NOT(ISNUMBER(N455))),"CEK URUTAN DISPLAY harus angka",IF($D455="","Zona STOCK",IF($E455="","CEK SKU DESCRIPTION kosong",IF(COUNTIFS($I$2:$I$500,$I455,L$2:L$500,"&lt;&gt;"&amp;L455,L$2:L$500,"&lt;&gt;")&gt;0,"CEK jenis fixture beda dalam satu series","OK"))))))))))</f>
        <v/>
      </c>
      <c r="Q455" s="11" t="n"/>
      <c r="R455" s="11" t="n"/>
      <c r="S455" s="11" t="n"/>
      <c r="T455" s="11">
        <f>IF(OR(Q455="",R455=""),"",IFERROR(INDEX(LAYOUT!$D$2:$D$80,MATCH(Q455&amp;"|"&amp;R455,LAYOUT!$E$2:$E$80,0)),""))</f>
        <v/>
      </c>
      <c r="U455" s="12">
        <f>IF(AND(Q455="",R455=""),IF(AND(L455="",M455="",V455="",W455=""),IF(OR($D455&lt;&gt;"",$E455&lt;&gt;""),"Belum ditempatkan",""),""),IF(Q455="","CEK JENIS FIXTURE kosong",IF(LEFT(Q455,4)&lt;&gt;"Wall","CEK Fixture 2 hanya Wall",IF(R455="","CEK SHELVING KE kosong",IF(ISNA(MATCH(Q455&amp;"|"&amp;R455,LAYOUT!$E$2:$E$80,0)),"CEK SHELVING KE di luar layout",IF($I455="","CEK SERIES kosong",IF(AND(S455&lt;&gt;"",NOT(ISNUMBER(S455))),"CEK URUTAN DISPLAY harus angka",IF($D455="","Zona STOCK",IF($E455="","CEK SKU DESCRIPTION kosong",IF(COUNTIFS($I$2:$I$500,$I455,Q$2:Q$500,"&lt;&gt;"&amp;Q455,Q$2:Q$500,"&lt;&gt;")&gt;0,"CEK jenis fixture beda dalam satu series","OK"))))))))))</f>
        <v/>
      </c>
      <c r="V455" s="11" t="n"/>
      <c r="W455" s="11" t="n"/>
      <c r="X455" s="11" t="n"/>
      <c r="Y455" s="11">
        <f>IF(OR(V455="",W455=""),"",IFERROR(INDEX(LAYOUT!$D$2:$D$80,MATCH(V455&amp;"|"&amp;W455,LAYOUT!$E$2:$E$80,0)),""))</f>
        <v/>
      </c>
      <c r="Z455" s="12">
        <f>IF(AND(V455="",W455=""),IF(AND(L455="",M455="",Q455="",R455=""),IF(OR($D455&lt;&gt;"",$E455&lt;&gt;""),"Belum ditempatkan",""),""),IF(V455="","CEK JENIS FIXTURE kosong",IF(LEFT(V455,4)&lt;&gt;"Wall","CEK Fixture 3 hanya Wall",IF(W455="","CEK SHELVING KE kosong",IF(ISNA(MATCH(V455&amp;"|"&amp;W455,LAYOUT!$E$2:$E$80,0)),"CEK SHELVING KE di luar layout",IF($I455="","CEK SERIES kosong",IF(AND(X455&lt;&gt;"",NOT(ISNUMBER(X455))),"CEK URUTAN DISPLAY harus angka",IF($D455="","Zona STOCK",IF($E455="","CEK SKU DESCRIPTION kosong",IF(COUNTIFS($I$2:$I$500,$I455,V$2:V$500,"&lt;&gt;"&amp;V455,V$2:V$500,"&lt;&gt;")&gt;0,"CEK jenis fixture beda dalam satu series","OK"))))))))))</f>
        <v/>
      </c>
      <c r="AA455" s="12" t="n"/>
      <c r="AB455" s="11" t="n"/>
      <c r="AC455" s="11" t="n"/>
      <c r="AD455" s="11" t="n"/>
      <c r="AE455" s="11" t="n"/>
      <c r="AF455" s="11" t="n"/>
      <c r="AG455" s="11" t="n"/>
      <c r="AH455" s="12" t="n"/>
      <c r="AI455" s="12" t="n"/>
    </row>
    <row r="456">
      <c r="A456" s="10" t="n"/>
      <c r="B456" s="10" t="n"/>
      <c r="C456" s="10" t="n"/>
      <c r="D456" s="10" t="n"/>
      <c r="E456" s="10" t="n"/>
      <c r="F456" s="10" t="n"/>
      <c r="G456" s="10" t="n"/>
      <c r="H456" s="10" t="n"/>
      <c r="I456" s="10" t="n"/>
      <c r="J456" s="10" t="n"/>
      <c r="K456" s="10" t="n"/>
      <c r="L456" s="11" t="n"/>
      <c r="M456" s="11" t="n"/>
      <c r="N456" s="11" t="n"/>
      <c r="O456" s="11">
        <f>IF(OR(L456="",M456=""),"",IFERROR(INDEX(LAYOUT!$D$2:$D$80,MATCH(L456&amp;"|"&amp;M456,LAYOUT!$E$2:$E$80,0)),""))</f>
        <v/>
      </c>
      <c r="P456" s="12">
        <f>IF(AND(L456="",M456=""),IF(AND(Q456="",R456="",V456="",W456=""),IF(OR($D456&lt;&gt;"",$E456&lt;&gt;""),"Belum ditempatkan",""),""),IF(L456="","CEK JENIS FIXTURE kosong",IF(AND(LEFT(L456,7)&lt;&gt;"Gondola",LEFT(L456,6)&lt;&gt;"Endcap"),"CEK Fixture 1 hanya Gondola atau Endcap",IF(M456="","CEK SHELVING KE kosong",IF(ISNA(MATCH(L456&amp;"|"&amp;M456,LAYOUT!$E$2:$E$80,0)),"CEK SHELVING KE di luar layout",IF($I456="","CEK SERIES kosong",IF(AND(N456&lt;&gt;"",NOT(ISNUMBER(N456))),"CEK URUTAN DISPLAY harus angka",IF($D456="","Zona STOCK",IF($E456="","CEK SKU DESCRIPTION kosong",IF(COUNTIFS($I$2:$I$500,$I456,L$2:L$500,"&lt;&gt;"&amp;L456,L$2:L$500,"&lt;&gt;")&gt;0,"CEK jenis fixture beda dalam satu series","OK"))))))))))</f>
        <v/>
      </c>
      <c r="Q456" s="11" t="n"/>
      <c r="R456" s="11" t="n"/>
      <c r="S456" s="11" t="n"/>
      <c r="T456" s="11">
        <f>IF(OR(Q456="",R456=""),"",IFERROR(INDEX(LAYOUT!$D$2:$D$80,MATCH(Q456&amp;"|"&amp;R456,LAYOUT!$E$2:$E$80,0)),""))</f>
        <v/>
      </c>
      <c r="U456" s="12">
        <f>IF(AND(Q456="",R456=""),IF(AND(L456="",M456="",V456="",W456=""),IF(OR($D456&lt;&gt;"",$E456&lt;&gt;""),"Belum ditempatkan",""),""),IF(Q456="","CEK JENIS FIXTURE kosong",IF(LEFT(Q456,4)&lt;&gt;"Wall","CEK Fixture 2 hanya Wall",IF(R456="","CEK SHELVING KE kosong",IF(ISNA(MATCH(Q456&amp;"|"&amp;R456,LAYOUT!$E$2:$E$80,0)),"CEK SHELVING KE di luar layout",IF($I456="","CEK SERIES kosong",IF(AND(S456&lt;&gt;"",NOT(ISNUMBER(S456))),"CEK URUTAN DISPLAY harus angka",IF($D456="","Zona STOCK",IF($E456="","CEK SKU DESCRIPTION kosong",IF(COUNTIFS($I$2:$I$500,$I456,Q$2:Q$500,"&lt;&gt;"&amp;Q456,Q$2:Q$500,"&lt;&gt;")&gt;0,"CEK jenis fixture beda dalam satu series","OK"))))))))))</f>
        <v/>
      </c>
      <c r="V456" s="11" t="n"/>
      <c r="W456" s="11" t="n"/>
      <c r="X456" s="11" t="n"/>
      <c r="Y456" s="11">
        <f>IF(OR(V456="",W456=""),"",IFERROR(INDEX(LAYOUT!$D$2:$D$80,MATCH(V456&amp;"|"&amp;W456,LAYOUT!$E$2:$E$80,0)),""))</f>
        <v/>
      </c>
      <c r="Z456" s="12">
        <f>IF(AND(V456="",W456=""),IF(AND(L456="",M456="",Q456="",R456=""),IF(OR($D456&lt;&gt;"",$E456&lt;&gt;""),"Belum ditempatkan",""),""),IF(V456="","CEK JENIS FIXTURE kosong",IF(LEFT(V456,4)&lt;&gt;"Wall","CEK Fixture 3 hanya Wall",IF(W456="","CEK SHELVING KE kosong",IF(ISNA(MATCH(V456&amp;"|"&amp;W456,LAYOUT!$E$2:$E$80,0)),"CEK SHELVING KE di luar layout",IF($I456="","CEK SERIES kosong",IF(AND(X456&lt;&gt;"",NOT(ISNUMBER(X456))),"CEK URUTAN DISPLAY harus angka",IF($D456="","Zona STOCK",IF($E456="","CEK SKU DESCRIPTION kosong",IF(COUNTIFS($I$2:$I$500,$I456,V$2:V$500,"&lt;&gt;"&amp;V456,V$2:V$500,"&lt;&gt;")&gt;0,"CEK jenis fixture beda dalam satu series","OK"))))))))))</f>
        <v/>
      </c>
      <c r="AA456" s="12" t="n"/>
      <c r="AB456" s="11" t="n"/>
      <c r="AC456" s="11" t="n"/>
      <c r="AD456" s="11" t="n"/>
      <c r="AE456" s="11" t="n"/>
      <c r="AF456" s="11" t="n"/>
      <c r="AG456" s="11" t="n"/>
      <c r="AH456" s="12" t="n"/>
      <c r="AI456" s="12" t="n"/>
    </row>
    <row r="457">
      <c r="A457" s="10" t="n"/>
      <c r="B457" s="10" t="n"/>
      <c r="C457" s="10" t="n"/>
      <c r="D457" s="10" t="n"/>
      <c r="E457" s="10" t="n"/>
      <c r="F457" s="10" t="n"/>
      <c r="G457" s="10" t="n"/>
      <c r="H457" s="10" t="n"/>
      <c r="I457" s="10" t="n"/>
      <c r="J457" s="10" t="n"/>
      <c r="K457" s="10" t="n"/>
      <c r="L457" s="11" t="n"/>
      <c r="M457" s="11" t="n"/>
      <c r="N457" s="11" t="n"/>
      <c r="O457" s="11">
        <f>IF(OR(L457="",M457=""),"",IFERROR(INDEX(LAYOUT!$D$2:$D$80,MATCH(L457&amp;"|"&amp;M457,LAYOUT!$E$2:$E$80,0)),""))</f>
        <v/>
      </c>
      <c r="P457" s="12">
        <f>IF(AND(L457="",M457=""),IF(AND(Q457="",R457="",V457="",W457=""),IF(OR($D457&lt;&gt;"",$E457&lt;&gt;""),"Belum ditempatkan",""),""),IF(L457="","CEK JENIS FIXTURE kosong",IF(AND(LEFT(L457,7)&lt;&gt;"Gondola",LEFT(L457,6)&lt;&gt;"Endcap"),"CEK Fixture 1 hanya Gondola atau Endcap",IF(M457="","CEK SHELVING KE kosong",IF(ISNA(MATCH(L457&amp;"|"&amp;M457,LAYOUT!$E$2:$E$80,0)),"CEK SHELVING KE di luar layout",IF($I457="","CEK SERIES kosong",IF(AND(N457&lt;&gt;"",NOT(ISNUMBER(N457))),"CEK URUTAN DISPLAY harus angka",IF($D457="","Zona STOCK",IF($E457="","CEK SKU DESCRIPTION kosong",IF(COUNTIFS($I$2:$I$500,$I457,L$2:L$500,"&lt;&gt;"&amp;L457,L$2:L$500,"&lt;&gt;")&gt;0,"CEK jenis fixture beda dalam satu series","OK"))))))))))</f>
        <v/>
      </c>
      <c r="Q457" s="11" t="n"/>
      <c r="R457" s="11" t="n"/>
      <c r="S457" s="11" t="n"/>
      <c r="T457" s="11">
        <f>IF(OR(Q457="",R457=""),"",IFERROR(INDEX(LAYOUT!$D$2:$D$80,MATCH(Q457&amp;"|"&amp;R457,LAYOUT!$E$2:$E$80,0)),""))</f>
        <v/>
      </c>
      <c r="U457" s="12">
        <f>IF(AND(Q457="",R457=""),IF(AND(L457="",M457="",V457="",W457=""),IF(OR($D457&lt;&gt;"",$E457&lt;&gt;""),"Belum ditempatkan",""),""),IF(Q457="","CEK JENIS FIXTURE kosong",IF(LEFT(Q457,4)&lt;&gt;"Wall","CEK Fixture 2 hanya Wall",IF(R457="","CEK SHELVING KE kosong",IF(ISNA(MATCH(Q457&amp;"|"&amp;R457,LAYOUT!$E$2:$E$80,0)),"CEK SHELVING KE di luar layout",IF($I457="","CEK SERIES kosong",IF(AND(S457&lt;&gt;"",NOT(ISNUMBER(S457))),"CEK URUTAN DISPLAY harus angka",IF($D457="","Zona STOCK",IF($E457="","CEK SKU DESCRIPTION kosong",IF(COUNTIFS($I$2:$I$500,$I457,Q$2:Q$500,"&lt;&gt;"&amp;Q457,Q$2:Q$500,"&lt;&gt;")&gt;0,"CEK jenis fixture beda dalam satu series","OK"))))))))))</f>
        <v/>
      </c>
      <c r="V457" s="11" t="n"/>
      <c r="W457" s="11" t="n"/>
      <c r="X457" s="11" t="n"/>
      <c r="Y457" s="11">
        <f>IF(OR(V457="",W457=""),"",IFERROR(INDEX(LAYOUT!$D$2:$D$80,MATCH(V457&amp;"|"&amp;W457,LAYOUT!$E$2:$E$80,0)),""))</f>
        <v/>
      </c>
      <c r="Z457" s="12">
        <f>IF(AND(V457="",W457=""),IF(AND(L457="",M457="",Q457="",R457=""),IF(OR($D457&lt;&gt;"",$E457&lt;&gt;""),"Belum ditempatkan",""),""),IF(V457="","CEK JENIS FIXTURE kosong",IF(LEFT(V457,4)&lt;&gt;"Wall","CEK Fixture 3 hanya Wall",IF(W457="","CEK SHELVING KE kosong",IF(ISNA(MATCH(V457&amp;"|"&amp;W457,LAYOUT!$E$2:$E$80,0)),"CEK SHELVING KE di luar layout",IF($I457="","CEK SERIES kosong",IF(AND(X457&lt;&gt;"",NOT(ISNUMBER(X457))),"CEK URUTAN DISPLAY harus angka",IF($D457="","Zona STOCK",IF($E457="","CEK SKU DESCRIPTION kosong",IF(COUNTIFS($I$2:$I$500,$I457,V$2:V$500,"&lt;&gt;"&amp;V457,V$2:V$500,"&lt;&gt;")&gt;0,"CEK jenis fixture beda dalam satu series","OK"))))))))))</f>
        <v/>
      </c>
      <c r="AA457" s="12" t="n"/>
      <c r="AB457" s="11" t="n"/>
      <c r="AC457" s="11" t="n"/>
      <c r="AD457" s="11" t="n"/>
      <c r="AE457" s="11" t="n"/>
      <c r="AF457" s="11" t="n"/>
      <c r="AG457" s="11" t="n"/>
      <c r="AH457" s="12" t="n"/>
      <c r="AI457" s="12" t="n"/>
    </row>
    <row r="458">
      <c r="A458" s="10" t="n"/>
      <c r="B458" s="10" t="n"/>
      <c r="C458" s="10" t="n"/>
      <c r="D458" s="10" t="n"/>
      <c r="E458" s="10" t="n"/>
      <c r="F458" s="10" t="n"/>
      <c r="G458" s="10" t="n"/>
      <c r="H458" s="10" t="n"/>
      <c r="I458" s="10" t="n"/>
      <c r="J458" s="10" t="n"/>
      <c r="K458" s="10" t="n"/>
      <c r="L458" s="11" t="n"/>
      <c r="M458" s="11" t="n"/>
      <c r="N458" s="11" t="n"/>
      <c r="O458" s="11">
        <f>IF(OR(L458="",M458=""),"",IFERROR(INDEX(LAYOUT!$D$2:$D$80,MATCH(L458&amp;"|"&amp;M458,LAYOUT!$E$2:$E$80,0)),""))</f>
        <v/>
      </c>
      <c r="P458" s="12">
        <f>IF(AND(L458="",M458=""),IF(AND(Q458="",R458="",V458="",W458=""),IF(OR($D458&lt;&gt;"",$E458&lt;&gt;""),"Belum ditempatkan",""),""),IF(L458="","CEK JENIS FIXTURE kosong",IF(AND(LEFT(L458,7)&lt;&gt;"Gondola",LEFT(L458,6)&lt;&gt;"Endcap"),"CEK Fixture 1 hanya Gondola atau Endcap",IF(M458="","CEK SHELVING KE kosong",IF(ISNA(MATCH(L458&amp;"|"&amp;M458,LAYOUT!$E$2:$E$80,0)),"CEK SHELVING KE di luar layout",IF($I458="","CEK SERIES kosong",IF(AND(N458&lt;&gt;"",NOT(ISNUMBER(N458))),"CEK URUTAN DISPLAY harus angka",IF($D458="","Zona STOCK",IF($E458="","CEK SKU DESCRIPTION kosong",IF(COUNTIFS($I$2:$I$500,$I458,L$2:L$500,"&lt;&gt;"&amp;L458,L$2:L$500,"&lt;&gt;")&gt;0,"CEK jenis fixture beda dalam satu series","OK"))))))))))</f>
        <v/>
      </c>
      <c r="Q458" s="11" t="n"/>
      <c r="R458" s="11" t="n"/>
      <c r="S458" s="11" t="n"/>
      <c r="T458" s="11">
        <f>IF(OR(Q458="",R458=""),"",IFERROR(INDEX(LAYOUT!$D$2:$D$80,MATCH(Q458&amp;"|"&amp;R458,LAYOUT!$E$2:$E$80,0)),""))</f>
        <v/>
      </c>
      <c r="U458" s="12">
        <f>IF(AND(Q458="",R458=""),IF(AND(L458="",M458="",V458="",W458=""),IF(OR($D458&lt;&gt;"",$E458&lt;&gt;""),"Belum ditempatkan",""),""),IF(Q458="","CEK JENIS FIXTURE kosong",IF(LEFT(Q458,4)&lt;&gt;"Wall","CEK Fixture 2 hanya Wall",IF(R458="","CEK SHELVING KE kosong",IF(ISNA(MATCH(Q458&amp;"|"&amp;R458,LAYOUT!$E$2:$E$80,0)),"CEK SHELVING KE di luar layout",IF($I458="","CEK SERIES kosong",IF(AND(S458&lt;&gt;"",NOT(ISNUMBER(S458))),"CEK URUTAN DISPLAY harus angka",IF($D458="","Zona STOCK",IF($E458="","CEK SKU DESCRIPTION kosong",IF(COUNTIFS($I$2:$I$500,$I458,Q$2:Q$500,"&lt;&gt;"&amp;Q458,Q$2:Q$500,"&lt;&gt;")&gt;0,"CEK jenis fixture beda dalam satu series","OK"))))))))))</f>
        <v/>
      </c>
      <c r="V458" s="11" t="n"/>
      <c r="W458" s="11" t="n"/>
      <c r="X458" s="11" t="n"/>
      <c r="Y458" s="11">
        <f>IF(OR(V458="",W458=""),"",IFERROR(INDEX(LAYOUT!$D$2:$D$80,MATCH(V458&amp;"|"&amp;W458,LAYOUT!$E$2:$E$80,0)),""))</f>
        <v/>
      </c>
      <c r="Z458" s="12">
        <f>IF(AND(V458="",W458=""),IF(AND(L458="",M458="",Q458="",R458=""),IF(OR($D458&lt;&gt;"",$E458&lt;&gt;""),"Belum ditempatkan",""),""),IF(V458="","CEK JENIS FIXTURE kosong",IF(LEFT(V458,4)&lt;&gt;"Wall","CEK Fixture 3 hanya Wall",IF(W458="","CEK SHELVING KE kosong",IF(ISNA(MATCH(V458&amp;"|"&amp;W458,LAYOUT!$E$2:$E$80,0)),"CEK SHELVING KE di luar layout",IF($I458="","CEK SERIES kosong",IF(AND(X458&lt;&gt;"",NOT(ISNUMBER(X458))),"CEK URUTAN DISPLAY harus angka",IF($D458="","Zona STOCK",IF($E458="","CEK SKU DESCRIPTION kosong",IF(COUNTIFS($I$2:$I$500,$I458,V$2:V$500,"&lt;&gt;"&amp;V458,V$2:V$500,"&lt;&gt;")&gt;0,"CEK jenis fixture beda dalam satu series","OK"))))))))))</f>
        <v/>
      </c>
      <c r="AA458" s="12" t="n"/>
      <c r="AB458" s="11" t="n"/>
      <c r="AC458" s="11" t="n"/>
      <c r="AD458" s="11" t="n"/>
      <c r="AE458" s="11" t="n"/>
      <c r="AF458" s="11" t="n"/>
      <c r="AG458" s="11" t="n"/>
      <c r="AH458" s="12" t="n"/>
      <c r="AI458" s="12" t="n"/>
    </row>
    <row r="459">
      <c r="A459" s="10" t="n"/>
      <c r="B459" s="10" t="n"/>
      <c r="C459" s="10" t="n"/>
      <c r="D459" s="10" t="n"/>
      <c r="E459" s="10" t="n"/>
      <c r="F459" s="10" t="n"/>
      <c r="G459" s="10" t="n"/>
      <c r="H459" s="10" t="n"/>
      <c r="I459" s="10" t="n"/>
      <c r="J459" s="10" t="n"/>
      <c r="K459" s="10" t="n"/>
      <c r="L459" s="11" t="n"/>
      <c r="M459" s="11" t="n"/>
      <c r="N459" s="11" t="n"/>
      <c r="O459" s="11">
        <f>IF(OR(L459="",M459=""),"",IFERROR(INDEX(LAYOUT!$D$2:$D$80,MATCH(L459&amp;"|"&amp;M459,LAYOUT!$E$2:$E$80,0)),""))</f>
        <v/>
      </c>
      <c r="P459" s="12">
        <f>IF(AND(L459="",M459=""),IF(AND(Q459="",R459="",V459="",W459=""),IF(OR($D459&lt;&gt;"",$E459&lt;&gt;""),"Belum ditempatkan",""),""),IF(L459="","CEK JENIS FIXTURE kosong",IF(AND(LEFT(L459,7)&lt;&gt;"Gondola",LEFT(L459,6)&lt;&gt;"Endcap"),"CEK Fixture 1 hanya Gondola atau Endcap",IF(M459="","CEK SHELVING KE kosong",IF(ISNA(MATCH(L459&amp;"|"&amp;M459,LAYOUT!$E$2:$E$80,0)),"CEK SHELVING KE di luar layout",IF($I459="","CEK SERIES kosong",IF(AND(N459&lt;&gt;"",NOT(ISNUMBER(N459))),"CEK URUTAN DISPLAY harus angka",IF($D459="","Zona STOCK",IF($E459="","CEK SKU DESCRIPTION kosong",IF(COUNTIFS($I$2:$I$500,$I459,L$2:L$500,"&lt;&gt;"&amp;L459,L$2:L$500,"&lt;&gt;")&gt;0,"CEK jenis fixture beda dalam satu series","OK"))))))))))</f>
        <v/>
      </c>
      <c r="Q459" s="11" t="n"/>
      <c r="R459" s="11" t="n"/>
      <c r="S459" s="11" t="n"/>
      <c r="T459" s="11">
        <f>IF(OR(Q459="",R459=""),"",IFERROR(INDEX(LAYOUT!$D$2:$D$80,MATCH(Q459&amp;"|"&amp;R459,LAYOUT!$E$2:$E$80,0)),""))</f>
        <v/>
      </c>
      <c r="U459" s="12">
        <f>IF(AND(Q459="",R459=""),IF(AND(L459="",M459="",V459="",W459=""),IF(OR($D459&lt;&gt;"",$E459&lt;&gt;""),"Belum ditempatkan",""),""),IF(Q459="","CEK JENIS FIXTURE kosong",IF(LEFT(Q459,4)&lt;&gt;"Wall","CEK Fixture 2 hanya Wall",IF(R459="","CEK SHELVING KE kosong",IF(ISNA(MATCH(Q459&amp;"|"&amp;R459,LAYOUT!$E$2:$E$80,0)),"CEK SHELVING KE di luar layout",IF($I459="","CEK SERIES kosong",IF(AND(S459&lt;&gt;"",NOT(ISNUMBER(S459))),"CEK URUTAN DISPLAY harus angka",IF($D459="","Zona STOCK",IF($E459="","CEK SKU DESCRIPTION kosong",IF(COUNTIFS($I$2:$I$500,$I459,Q$2:Q$500,"&lt;&gt;"&amp;Q459,Q$2:Q$500,"&lt;&gt;")&gt;0,"CEK jenis fixture beda dalam satu series","OK"))))))))))</f>
        <v/>
      </c>
      <c r="V459" s="11" t="n"/>
      <c r="W459" s="11" t="n"/>
      <c r="X459" s="11" t="n"/>
      <c r="Y459" s="11">
        <f>IF(OR(V459="",W459=""),"",IFERROR(INDEX(LAYOUT!$D$2:$D$80,MATCH(V459&amp;"|"&amp;W459,LAYOUT!$E$2:$E$80,0)),""))</f>
        <v/>
      </c>
      <c r="Z459" s="12">
        <f>IF(AND(V459="",W459=""),IF(AND(L459="",M459="",Q459="",R459=""),IF(OR($D459&lt;&gt;"",$E459&lt;&gt;""),"Belum ditempatkan",""),""),IF(V459="","CEK JENIS FIXTURE kosong",IF(LEFT(V459,4)&lt;&gt;"Wall","CEK Fixture 3 hanya Wall",IF(W459="","CEK SHELVING KE kosong",IF(ISNA(MATCH(V459&amp;"|"&amp;W459,LAYOUT!$E$2:$E$80,0)),"CEK SHELVING KE di luar layout",IF($I459="","CEK SERIES kosong",IF(AND(X459&lt;&gt;"",NOT(ISNUMBER(X459))),"CEK URUTAN DISPLAY harus angka",IF($D459="","Zona STOCK",IF($E459="","CEK SKU DESCRIPTION kosong",IF(COUNTIFS($I$2:$I$500,$I459,V$2:V$500,"&lt;&gt;"&amp;V459,V$2:V$500,"&lt;&gt;")&gt;0,"CEK jenis fixture beda dalam satu series","OK"))))))))))</f>
        <v/>
      </c>
      <c r="AA459" s="12" t="n"/>
      <c r="AB459" s="11" t="n"/>
      <c r="AC459" s="11" t="n"/>
      <c r="AD459" s="11" t="n"/>
      <c r="AE459" s="11" t="n"/>
      <c r="AF459" s="11" t="n"/>
      <c r="AG459" s="11" t="n"/>
      <c r="AH459" s="12" t="n"/>
      <c r="AI459" s="12" t="n"/>
    </row>
    <row r="460">
      <c r="A460" s="10" t="n"/>
      <c r="B460" s="10" t="n"/>
      <c r="C460" s="10" t="n"/>
      <c r="D460" s="10" t="n"/>
      <c r="E460" s="10" t="n"/>
      <c r="F460" s="10" t="n"/>
      <c r="G460" s="10" t="n"/>
      <c r="H460" s="10" t="n"/>
      <c r="I460" s="10" t="n"/>
      <c r="J460" s="10" t="n"/>
      <c r="K460" s="10" t="n"/>
      <c r="L460" s="11" t="n"/>
      <c r="M460" s="11" t="n"/>
      <c r="N460" s="11" t="n"/>
      <c r="O460" s="11">
        <f>IF(OR(L460="",M460=""),"",IFERROR(INDEX(LAYOUT!$D$2:$D$80,MATCH(L460&amp;"|"&amp;M460,LAYOUT!$E$2:$E$80,0)),""))</f>
        <v/>
      </c>
      <c r="P460" s="12">
        <f>IF(AND(L460="",M460=""),IF(AND(Q460="",R460="",V460="",W460=""),IF(OR($D460&lt;&gt;"",$E460&lt;&gt;""),"Belum ditempatkan",""),""),IF(L460="","CEK JENIS FIXTURE kosong",IF(AND(LEFT(L460,7)&lt;&gt;"Gondola",LEFT(L460,6)&lt;&gt;"Endcap"),"CEK Fixture 1 hanya Gondola atau Endcap",IF(M460="","CEK SHELVING KE kosong",IF(ISNA(MATCH(L460&amp;"|"&amp;M460,LAYOUT!$E$2:$E$80,0)),"CEK SHELVING KE di luar layout",IF($I460="","CEK SERIES kosong",IF(AND(N460&lt;&gt;"",NOT(ISNUMBER(N460))),"CEK URUTAN DISPLAY harus angka",IF($D460="","Zona STOCK",IF($E460="","CEK SKU DESCRIPTION kosong",IF(COUNTIFS($I$2:$I$500,$I460,L$2:L$500,"&lt;&gt;"&amp;L460,L$2:L$500,"&lt;&gt;")&gt;0,"CEK jenis fixture beda dalam satu series","OK"))))))))))</f>
        <v/>
      </c>
      <c r="Q460" s="11" t="n"/>
      <c r="R460" s="11" t="n"/>
      <c r="S460" s="11" t="n"/>
      <c r="T460" s="11">
        <f>IF(OR(Q460="",R460=""),"",IFERROR(INDEX(LAYOUT!$D$2:$D$80,MATCH(Q460&amp;"|"&amp;R460,LAYOUT!$E$2:$E$80,0)),""))</f>
        <v/>
      </c>
      <c r="U460" s="12">
        <f>IF(AND(Q460="",R460=""),IF(AND(L460="",M460="",V460="",W460=""),IF(OR($D460&lt;&gt;"",$E460&lt;&gt;""),"Belum ditempatkan",""),""),IF(Q460="","CEK JENIS FIXTURE kosong",IF(LEFT(Q460,4)&lt;&gt;"Wall","CEK Fixture 2 hanya Wall",IF(R460="","CEK SHELVING KE kosong",IF(ISNA(MATCH(Q460&amp;"|"&amp;R460,LAYOUT!$E$2:$E$80,0)),"CEK SHELVING KE di luar layout",IF($I460="","CEK SERIES kosong",IF(AND(S460&lt;&gt;"",NOT(ISNUMBER(S460))),"CEK URUTAN DISPLAY harus angka",IF($D460="","Zona STOCK",IF($E460="","CEK SKU DESCRIPTION kosong",IF(COUNTIFS($I$2:$I$500,$I460,Q$2:Q$500,"&lt;&gt;"&amp;Q460,Q$2:Q$500,"&lt;&gt;")&gt;0,"CEK jenis fixture beda dalam satu series","OK"))))))))))</f>
        <v/>
      </c>
      <c r="V460" s="11" t="n"/>
      <c r="W460" s="11" t="n"/>
      <c r="X460" s="11" t="n"/>
      <c r="Y460" s="11">
        <f>IF(OR(V460="",W460=""),"",IFERROR(INDEX(LAYOUT!$D$2:$D$80,MATCH(V460&amp;"|"&amp;W460,LAYOUT!$E$2:$E$80,0)),""))</f>
        <v/>
      </c>
      <c r="Z460" s="12">
        <f>IF(AND(V460="",W460=""),IF(AND(L460="",M460="",Q460="",R460=""),IF(OR($D460&lt;&gt;"",$E460&lt;&gt;""),"Belum ditempatkan",""),""),IF(V460="","CEK JENIS FIXTURE kosong",IF(LEFT(V460,4)&lt;&gt;"Wall","CEK Fixture 3 hanya Wall",IF(W460="","CEK SHELVING KE kosong",IF(ISNA(MATCH(V460&amp;"|"&amp;W460,LAYOUT!$E$2:$E$80,0)),"CEK SHELVING KE di luar layout",IF($I460="","CEK SERIES kosong",IF(AND(X460&lt;&gt;"",NOT(ISNUMBER(X460))),"CEK URUTAN DISPLAY harus angka",IF($D460="","Zona STOCK",IF($E460="","CEK SKU DESCRIPTION kosong",IF(COUNTIFS($I$2:$I$500,$I460,V$2:V$500,"&lt;&gt;"&amp;V460,V$2:V$500,"&lt;&gt;")&gt;0,"CEK jenis fixture beda dalam satu series","OK"))))))))))</f>
        <v/>
      </c>
      <c r="AA460" s="12" t="n"/>
      <c r="AB460" s="11" t="n"/>
      <c r="AC460" s="11" t="n"/>
      <c r="AD460" s="11" t="n"/>
      <c r="AE460" s="11" t="n"/>
      <c r="AF460" s="11" t="n"/>
      <c r="AG460" s="11" t="n"/>
      <c r="AH460" s="12" t="n"/>
      <c r="AI460" s="12" t="n"/>
    </row>
    <row r="461">
      <c r="A461" s="10" t="n"/>
      <c r="B461" s="10" t="n"/>
      <c r="C461" s="10" t="n"/>
      <c r="D461" s="10" t="n"/>
      <c r="E461" s="10" t="n"/>
      <c r="F461" s="10" t="n"/>
      <c r="G461" s="10" t="n"/>
      <c r="H461" s="10" t="n"/>
      <c r="I461" s="10" t="n"/>
      <c r="J461" s="10" t="n"/>
      <c r="K461" s="10" t="n"/>
      <c r="L461" s="11" t="n"/>
      <c r="M461" s="11" t="n"/>
      <c r="N461" s="11" t="n"/>
      <c r="O461" s="11">
        <f>IF(OR(L461="",M461=""),"",IFERROR(INDEX(LAYOUT!$D$2:$D$80,MATCH(L461&amp;"|"&amp;M461,LAYOUT!$E$2:$E$80,0)),""))</f>
        <v/>
      </c>
      <c r="P461" s="12">
        <f>IF(AND(L461="",M461=""),IF(AND(Q461="",R461="",V461="",W461=""),IF(OR($D461&lt;&gt;"",$E461&lt;&gt;""),"Belum ditempatkan",""),""),IF(L461="","CEK JENIS FIXTURE kosong",IF(AND(LEFT(L461,7)&lt;&gt;"Gondola",LEFT(L461,6)&lt;&gt;"Endcap"),"CEK Fixture 1 hanya Gondola atau Endcap",IF(M461="","CEK SHELVING KE kosong",IF(ISNA(MATCH(L461&amp;"|"&amp;M461,LAYOUT!$E$2:$E$80,0)),"CEK SHELVING KE di luar layout",IF($I461="","CEK SERIES kosong",IF(AND(N461&lt;&gt;"",NOT(ISNUMBER(N461))),"CEK URUTAN DISPLAY harus angka",IF($D461="","Zona STOCK",IF($E461="","CEK SKU DESCRIPTION kosong",IF(COUNTIFS($I$2:$I$500,$I461,L$2:L$500,"&lt;&gt;"&amp;L461,L$2:L$500,"&lt;&gt;")&gt;0,"CEK jenis fixture beda dalam satu series","OK"))))))))))</f>
        <v/>
      </c>
      <c r="Q461" s="11" t="n"/>
      <c r="R461" s="11" t="n"/>
      <c r="S461" s="11" t="n"/>
      <c r="T461" s="11">
        <f>IF(OR(Q461="",R461=""),"",IFERROR(INDEX(LAYOUT!$D$2:$D$80,MATCH(Q461&amp;"|"&amp;R461,LAYOUT!$E$2:$E$80,0)),""))</f>
        <v/>
      </c>
      <c r="U461" s="12">
        <f>IF(AND(Q461="",R461=""),IF(AND(L461="",M461="",V461="",W461=""),IF(OR($D461&lt;&gt;"",$E461&lt;&gt;""),"Belum ditempatkan",""),""),IF(Q461="","CEK JENIS FIXTURE kosong",IF(LEFT(Q461,4)&lt;&gt;"Wall","CEK Fixture 2 hanya Wall",IF(R461="","CEK SHELVING KE kosong",IF(ISNA(MATCH(Q461&amp;"|"&amp;R461,LAYOUT!$E$2:$E$80,0)),"CEK SHELVING KE di luar layout",IF($I461="","CEK SERIES kosong",IF(AND(S461&lt;&gt;"",NOT(ISNUMBER(S461))),"CEK URUTAN DISPLAY harus angka",IF($D461="","Zona STOCK",IF($E461="","CEK SKU DESCRIPTION kosong",IF(COUNTIFS($I$2:$I$500,$I461,Q$2:Q$500,"&lt;&gt;"&amp;Q461,Q$2:Q$500,"&lt;&gt;")&gt;0,"CEK jenis fixture beda dalam satu series","OK"))))))))))</f>
        <v/>
      </c>
      <c r="V461" s="11" t="n"/>
      <c r="W461" s="11" t="n"/>
      <c r="X461" s="11" t="n"/>
      <c r="Y461" s="11">
        <f>IF(OR(V461="",W461=""),"",IFERROR(INDEX(LAYOUT!$D$2:$D$80,MATCH(V461&amp;"|"&amp;W461,LAYOUT!$E$2:$E$80,0)),""))</f>
        <v/>
      </c>
      <c r="Z461" s="12">
        <f>IF(AND(V461="",W461=""),IF(AND(L461="",M461="",Q461="",R461=""),IF(OR($D461&lt;&gt;"",$E461&lt;&gt;""),"Belum ditempatkan",""),""),IF(V461="","CEK JENIS FIXTURE kosong",IF(LEFT(V461,4)&lt;&gt;"Wall","CEK Fixture 3 hanya Wall",IF(W461="","CEK SHELVING KE kosong",IF(ISNA(MATCH(V461&amp;"|"&amp;W461,LAYOUT!$E$2:$E$80,0)),"CEK SHELVING KE di luar layout",IF($I461="","CEK SERIES kosong",IF(AND(X461&lt;&gt;"",NOT(ISNUMBER(X461))),"CEK URUTAN DISPLAY harus angka",IF($D461="","Zona STOCK",IF($E461="","CEK SKU DESCRIPTION kosong",IF(COUNTIFS($I$2:$I$500,$I461,V$2:V$500,"&lt;&gt;"&amp;V461,V$2:V$500,"&lt;&gt;")&gt;0,"CEK jenis fixture beda dalam satu series","OK"))))))))))</f>
        <v/>
      </c>
      <c r="AA461" s="12" t="n"/>
      <c r="AB461" s="11" t="n"/>
      <c r="AC461" s="11" t="n"/>
      <c r="AD461" s="11" t="n"/>
      <c r="AE461" s="11" t="n"/>
      <c r="AF461" s="11" t="n"/>
      <c r="AG461" s="11" t="n"/>
      <c r="AH461" s="12" t="n"/>
      <c r="AI461" s="12" t="n"/>
    </row>
    <row r="462">
      <c r="A462" s="10" t="n"/>
      <c r="B462" s="10" t="n"/>
      <c r="C462" s="10" t="n"/>
      <c r="D462" s="10" t="n"/>
      <c r="E462" s="10" t="n"/>
      <c r="F462" s="10" t="n"/>
      <c r="G462" s="10" t="n"/>
      <c r="H462" s="10" t="n"/>
      <c r="I462" s="10" t="n"/>
      <c r="J462" s="10" t="n"/>
      <c r="K462" s="10" t="n"/>
      <c r="L462" s="11" t="n"/>
      <c r="M462" s="11" t="n"/>
      <c r="N462" s="11" t="n"/>
      <c r="O462" s="11">
        <f>IF(OR(L462="",M462=""),"",IFERROR(INDEX(LAYOUT!$D$2:$D$80,MATCH(L462&amp;"|"&amp;M462,LAYOUT!$E$2:$E$80,0)),""))</f>
        <v/>
      </c>
      <c r="P462" s="12">
        <f>IF(AND(L462="",M462=""),IF(AND(Q462="",R462="",V462="",W462=""),IF(OR($D462&lt;&gt;"",$E462&lt;&gt;""),"Belum ditempatkan",""),""),IF(L462="","CEK JENIS FIXTURE kosong",IF(AND(LEFT(L462,7)&lt;&gt;"Gondola",LEFT(L462,6)&lt;&gt;"Endcap"),"CEK Fixture 1 hanya Gondola atau Endcap",IF(M462="","CEK SHELVING KE kosong",IF(ISNA(MATCH(L462&amp;"|"&amp;M462,LAYOUT!$E$2:$E$80,0)),"CEK SHELVING KE di luar layout",IF($I462="","CEK SERIES kosong",IF(AND(N462&lt;&gt;"",NOT(ISNUMBER(N462))),"CEK URUTAN DISPLAY harus angka",IF($D462="","Zona STOCK",IF($E462="","CEK SKU DESCRIPTION kosong",IF(COUNTIFS($I$2:$I$500,$I462,L$2:L$500,"&lt;&gt;"&amp;L462,L$2:L$500,"&lt;&gt;")&gt;0,"CEK jenis fixture beda dalam satu series","OK"))))))))))</f>
        <v/>
      </c>
      <c r="Q462" s="11" t="n"/>
      <c r="R462" s="11" t="n"/>
      <c r="S462" s="11" t="n"/>
      <c r="T462" s="11">
        <f>IF(OR(Q462="",R462=""),"",IFERROR(INDEX(LAYOUT!$D$2:$D$80,MATCH(Q462&amp;"|"&amp;R462,LAYOUT!$E$2:$E$80,0)),""))</f>
        <v/>
      </c>
      <c r="U462" s="12">
        <f>IF(AND(Q462="",R462=""),IF(AND(L462="",M462="",V462="",W462=""),IF(OR($D462&lt;&gt;"",$E462&lt;&gt;""),"Belum ditempatkan",""),""),IF(Q462="","CEK JENIS FIXTURE kosong",IF(LEFT(Q462,4)&lt;&gt;"Wall","CEK Fixture 2 hanya Wall",IF(R462="","CEK SHELVING KE kosong",IF(ISNA(MATCH(Q462&amp;"|"&amp;R462,LAYOUT!$E$2:$E$80,0)),"CEK SHELVING KE di luar layout",IF($I462="","CEK SERIES kosong",IF(AND(S462&lt;&gt;"",NOT(ISNUMBER(S462))),"CEK URUTAN DISPLAY harus angka",IF($D462="","Zona STOCK",IF($E462="","CEK SKU DESCRIPTION kosong",IF(COUNTIFS($I$2:$I$500,$I462,Q$2:Q$500,"&lt;&gt;"&amp;Q462,Q$2:Q$500,"&lt;&gt;")&gt;0,"CEK jenis fixture beda dalam satu series","OK"))))))))))</f>
        <v/>
      </c>
      <c r="V462" s="11" t="n"/>
      <c r="W462" s="11" t="n"/>
      <c r="X462" s="11" t="n"/>
      <c r="Y462" s="11">
        <f>IF(OR(V462="",W462=""),"",IFERROR(INDEX(LAYOUT!$D$2:$D$80,MATCH(V462&amp;"|"&amp;W462,LAYOUT!$E$2:$E$80,0)),""))</f>
        <v/>
      </c>
      <c r="Z462" s="12">
        <f>IF(AND(V462="",W462=""),IF(AND(L462="",M462="",Q462="",R462=""),IF(OR($D462&lt;&gt;"",$E462&lt;&gt;""),"Belum ditempatkan",""),""),IF(V462="","CEK JENIS FIXTURE kosong",IF(LEFT(V462,4)&lt;&gt;"Wall","CEK Fixture 3 hanya Wall",IF(W462="","CEK SHELVING KE kosong",IF(ISNA(MATCH(V462&amp;"|"&amp;W462,LAYOUT!$E$2:$E$80,0)),"CEK SHELVING KE di luar layout",IF($I462="","CEK SERIES kosong",IF(AND(X462&lt;&gt;"",NOT(ISNUMBER(X462))),"CEK URUTAN DISPLAY harus angka",IF($D462="","Zona STOCK",IF($E462="","CEK SKU DESCRIPTION kosong",IF(COUNTIFS($I$2:$I$500,$I462,V$2:V$500,"&lt;&gt;"&amp;V462,V$2:V$500,"&lt;&gt;")&gt;0,"CEK jenis fixture beda dalam satu series","OK"))))))))))</f>
        <v/>
      </c>
      <c r="AA462" s="12" t="n"/>
      <c r="AB462" s="11" t="n"/>
      <c r="AC462" s="11" t="n"/>
      <c r="AD462" s="11" t="n"/>
      <c r="AE462" s="11" t="n"/>
      <c r="AF462" s="11" t="n"/>
      <c r="AG462" s="11" t="n"/>
      <c r="AH462" s="12" t="n"/>
      <c r="AI462" s="12" t="n"/>
    </row>
    <row r="463">
      <c r="A463" s="10" t="n"/>
      <c r="B463" s="10" t="n"/>
      <c r="C463" s="10" t="n"/>
      <c r="D463" s="10" t="n"/>
      <c r="E463" s="10" t="n"/>
      <c r="F463" s="10" t="n"/>
      <c r="G463" s="10" t="n"/>
      <c r="H463" s="10" t="n"/>
      <c r="I463" s="10" t="n"/>
      <c r="J463" s="10" t="n"/>
      <c r="K463" s="10" t="n"/>
      <c r="L463" s="11" t="n"/>
      <c r="M463" s="11" t="n"/>
      <c r="N463" s="11" t="n"/>
      <c r="O463" s="11">
        <f>IF(OR(L463="",M463=""),"",IFERROR(INDEX(LAYOUT!$D$2:$D$80,MATCH(L463&amp;"|"&amp;M463,LAYOUT!$E$2:$E$80,0)),""))</f>
        <v/>
      </c>
      <c r="P463" s="12">
        <f>IF(AND(L463="",M463=""),IF(AND(Q463="",R463="",V463="",W463=""),IF(OR($D463&lt;&gt;"",$E463&lt;&gt;""),"Belum ditempatkan",""),""),IF(L463="","CEK JENIS FIXTURE kosong",IF(AND(LEFT(L463,7)&lt;&gt;"Gondola",LEFT(L463,6)&lt;&gt;"Endcap"),"CEK Fixture 1 hanya Gondola atau Endcap",IF(M463="","CEK SHELVING KE kosong",IF(ISNA(MATCH(L463&amp;"|"&amp;M463,LAYOUT!$E$2:$E$80,0)),"CEK SHELVING KE di luar layout",IF($I463="","CEK SERIES kosong",IF(AND(N463&lt;&gt;"",NOT(ISNUMBER(N463))),"CEK URUTAN DISPLAY harus angka",IF($D463="","Zona STOCK",IF($E463="","CEK SKU DESCRIPTION kosong",IF(COUNTIFS($I$2:$I$500,$I463,L$2:L$500,"&lt;&gt;"&amp;L463,L$2:L$500,"&lt;&gt;")&gt;0,"CEK jenis fixture beda dalam satu series","OK"))))))))))</f>
        <v/>
      </c>
      <c r="Q463" s="11" t="n"/>
      <c r="R463" s="11" t="n"/>
      <c r="S463" s="11" t="n"/>
      <c r="T463" s="11">
        <f>IF(OR(Q463="",R463=""),"",IFERROR(INDEX(LAYOUT!$D$2:$D$80,MATCH(Q463&amp;"|"&amp;R463,LAYOUT!$E$2:$E$80,0)),""))</f>
        <v/>
      </c>
      <c r="U463" s="12">
        <f>IF(AND(Q463="",R463=""),IF(AND(L463="",M463="",V463="",W463=""),IF(OR($D463&lt;&gt;"",$E463&lt;&gt;""),"Belum ditempatkan",""),""),IF(Q463="","CEK JENIS FIXTURE kosong",IF(LEFT(Q463,4)&lt;&gt;"Wall","CEK Fixture 2 hanya Wall",IF(R463="","CEK SHELVING KE kosong",IF(ISNA(MATCH(Q463&amp;"|"&amp;R463,LAYOUT!$E$2:$E$80,0)),"CEK SHELVING KE di luar layout",IF($I463="","CEK SERIES kosong",IF(AND(S463&lt;&gt;"",NOT(ISNUMBER(S463))),"CEK URUTAN DISPLAY harus angka",IF($D463="","Zona STOCK",IF($E463="","CEK SKU DESCRIPTION kosong",IF(COUNTIFS($I$2:$I$500,$I463,Q$2:Q$500,"&lt;&gt;"&amp;Q463,Q$2:Q$500,"&lt;&gt;")&gt;0,"CEK jenis fixture beda dalam satu series","OK"))))))))))</f>
        <v/>
      </c>
      <c r="V463" s="11" t="n"/>
      <c r="W463" s="11" t="n"/>
      <c r="X463" s="11" t="n"/>
      <c r="Y463" s="11">
        <f>IF(OR(V463="",W463=""),"",IFERROR(INDEX(LAYOUT!$D$2:$D$80,MATCH(V463&amp;"|"&amp;W463,LAYOUT!$E$2:$E$80,0)),""))</f>
        <v/>
      </c>
      <c r="Z463" s="12">
        <f>IF(AND(V463="",W463=""),IF(AND(L463="",M463="",Q463="",R463=""),IF(OR($D463&lt;&gt;"",$E463&lt;&gt;""),"Belum ditempatkan",""),""),IF(V463="","CEK JENIS FIXTURE kosong",IF(LEFT(V463,4)&lt;&gt;"Wall","CEK Fixture 3 hanya Wall",IF(W463="","CEK SHELVING KE kosong",IF(ISNA(MATCH(V463&amp;"|"&amp;W463,LAYOUT!$E$2:$E$80,0)),"CEK SHELVING KE di luar layout",IF($I463="","CEK SERIES kosong",IF(AND(X463&lt;&gt;"",NOT(ISNUMBER(X463))),"CEK URUTAN DISPLAY harus angka",IF($D463="","Zona STOCK",IF($E463="","CEK SKU DESCRIPTION kosong",IF(COUNTIFS($I$2:$I$500,$I463,V$2:V$500,"&lt;&gt;"&amp;V463,V$2:V$500,"&lt;&gt;")&gt;0,"CEK jenis fixture beda dalam satu series","OK"))))))))))</f>
        <v/>
      </c>
      <c r="AA463" s="12" t="n"/>
      <c r="AB463" s="11" t="n"/>
      <c r="AC463" s="11" t="n"/>
      <c r="AD463" s="11" t="n"/>
      <c r="AE463" s="11" t="n"/>
      <c r="AF463" s="11" t="n"/>
      <c r="AG463" s="11" t="n"/>
      <c r="AH463" s="12" t="n"/>
      <c r="AI463" s="12" t="n"/>
    </row>
    <row r="464">
      <c r="A464" s="10" t="n"/>
      <c r="B464" s="10" t="n"/>
      <c r="C464" s="10" t="n"/>
      <c r="D464" s="10" t="n"/>
      <c r="E464" s="10" t="n"/>
      <c r="F464" s="10" t="n"/>
      <c r="G464" s="10" t="n"/>
      <c r="H464" s="10" t="n"/>
      <c r="I464" s="10" t="n"/>
      <c r="J464" s="10" t="n"/>
      <c r="K464" s="10" t="n"/>
      <c r="L464" s="11" t="n"/>
      <c r="M464" s="11" t="n"/>
      <c r="N464" s="11" t="n"/>
      <c r="O464" s="11">
        <f>IF(OR(L464="",M464=""),"",IFERROR(INDEX(LAYOUT!$D$2:$D$80,MATCH(L464&amp;"|"&amp;M464,LAYOUT!$E$2:$E$80,0)),""))</f>
        <v/>
      </c>
      <c r="P464" s="12">
        <f>IF(AND(L464="",M464=""),IF(AND(Q464="",R464="",V464="",W464=""),IF(OR($D464&lt;&gt;"",$E464&lt;&gt;""),"Belum ditempatkan",""),""),IF(L464="","CEK JENIS FIXTURE kosong",IF(AND(LEFT(L464,7)&lt;&gt;"Gondola",LEFT(L464,6)&lt;&gt;"Endcap"),"CEK Fixture 1 hanya Gondola atau Endcap",IF(M464="","CEK SHELVING KE kosong",IF(ISNA(MATCH(L464&amp;"|"&amp;M464,LAYOUT!$E$2:$E$80,0)),"CEK SHELVING KE di luar layout",IF($I464="","CEK SERIES kosong",IF(AND(N464&lt;&gt;"",NOT(ISNUMBER(N464))),"CEK URUTAN DISPLAY harus angka",IF($D464="","Zona STOCK",IF($E464="","CEK SKU DESCRIPTION kosong",IF(COUNTIFS($I$2:$I$500,$I464,L$2:L$500,"&lt;&gt;"&amp;L464,L$2:L$500,"&lt;&gt;")&gt;0,"CEK jenis fixture beda dalam satu series","OK"))))))))))</f>
        <v/>
      </c>
      <c r="Q464" s="11" t="n"/>
      <c r="R464" s="11" t="n"/>
      <c r="S464" s="11" t="n"/>
      <c r="T464" s="11">
        <f>IF(OR(Q464="",R464=""),"",IFERROR(INDEX(LAYOUT!$D$2:$D$80,MATCH(Q464&amp;"|"&amp;R464,LAYOUT!$E$2:$E$80,0)),""))</f>
        <v/>
      </c>
      <c r="U464" s="12">
        <f>IF(AND(Q464="",R464=""),IF(AND(L464="",M464="",V464="",W464=""),IF(OR($D464&lt;&gt;"",$E464&lt;&gt;""),"Belum ditempatkan",""),""),IF(Q464="","CEK JENIS FIXTURE kosong",IF(LEFT(Q464,4)&lt;&gt;"Wall","CEK Fixture 2 hanya Wall",IF(R464="","CEK SHELVING KE kosong",IF(ISNA(MATCH(Q464&amp;"|"&amp;R464,LAYOUT!$E$2:$E$80,0)),"CEK SHELVING KE di luar layout",IF($I464="","CEK SERIES kosong",IF(AND(S464&lt;&gt;"",NOT(ISNUMBER(S464))),"CEK URUTAN DISPLAY harus angka",IF($D464="","Zona STOCK",IF($E464="","CEK SKU DESCRIPTION kosong",IF(COUNTIFS($I$2:$I$500,$I464,Q$2:Q$500,"&lt;&gt;"&amp;Q464,Q$2:Q$500,"&lt;&gt;")&gt;0,"CEK jenis fixture beda dalam satu series","OK"))))))))))</f>
        <v/>
      </c>
      <c r="V464" s="11" t="n"/>
      <c r="W464" s="11" t="n"/>
      <c r="X464" s="11" t="n"/>
      <c r="Y464" s="11">
        <f>IF(OR(V464="",W464=""),"",IFERROR(INDEX(LAYOUT!$D$2:$D$80,MATCH(V464&amp;"|"&amp;W464,LAYOUT!$E$2:$E$80,0)),""))</f>
        <v/>
      </c>
      <c r="Z464" s="12">
        <f>IF(AND(V464="",W464=""),IF(AND(L464="",M464="",Q464="",R464=""),IF(OR($D464&lt;&gt;"",$E464&lt;&gt;""),"Belum ditempatkan",""),""),IF(V464="","CEK JENIS FIXTURE kosong",IF(LEFT(V464,4)&lt;&gt;"Wall","CEK Fixture 3 hanya Wall",IF(W464="","CEK SHELVING KE kosong",IF(ISNA(MATCH(V464&amp;"|"&amp;W464,LAYOUT!$E$2:$E$80,0)),"CEK SHELVING KE di luar layout",IF($I464="","CEK SERIES kosong",IF(AND(X464&lt;&gt;"",NOT(ISNUMBER(X464))),"CEK URUTAN DISPLAY harus angka",IF($D464="","Zona STOCK",IF($E464="","CEK SKU DESCRIPTION kosong",IF(COUNTIFS($I$2:$I$500,$I464,V$2:V$500,"&lt;&gt;"&amp;V464,V$2:V$500,"&lt;&gt;")&gt;0,"CEK jenis fixture beda dalam satu series","OK"))))))))))</f>
        <v/>
      </c>
      <c r="AA464" s="12" t="n"/>
      <c r="AB464" s="11" t="n"/>
      <c r="AC464" s="11" t="n"/>
      <c r="AD464" s="11" t="n"/>
      <c r="AE464" s="11" t="n"/>
      <c r="AF464" s="11" t="n"/>
      <c r="AG464" s="11" t="n"/>
      <c r="AH464" s="12" t="n"/>
      <c r="AI464" s="12" t="n"/>
    </row>
    <row r="465">
      <c r="A465" s="10" t="n"/>
      <c r="B465" s="10" t="n"/>
      <c r="C465" s="10" t="n"/>
      <c r="D465" s="10" t="n"/>
      <c r="E465" s="10" t="n"/>
      <c r="F465" s="10" t="n"/>
      <c r="G465" s="10" t="n"/>
      <c r="H465" s="10" t="n"/>
      <c r="I465" s="10" t="n"/>
      <c r="J465" s="10" t="n"/>
      <c r="K465" s="10" t="n"/>
      <c r="L465" s="11" t="n"/>
      <c r="M465" s="11" t="n"/>
      <c r="N465" s="11" t="n"/>
      <c r="O465" s="11">
        <f>IF(OR(L465="",M465=""),"",IFERROR(INDEX(LAYOUT!$D$2:$D$80,MATCH(L465&amp;"|"&amp;M465,LAYOUT!$E$2:$E$80,0)),""))</f>
        <v/>
      </c>
      <c r="P465" s="12">
        <f>IF(AND(L465="",M465=""),IF(AND(Q465="",R465="",V465="",W465=""),IF(OR($D465&lt;&gt;"",$E465&lt;&gt;""),"Belum ditempatkan",""),""),IF(L465="","CEK JENIS FIXTURE kosong",IF(AND(LEFT(L465,7)&lt;&gt;"Gondola",LEFT(L465,6)&lt;&gt;"Endcap"),"CEK Fixture 1 hanya Gondola atau Endcap",IF(M465="","CEK SHELVING KE kosong",IF(ISNA(MATCH(L465&amp;"|"&amp;M465,LAYOUT!$E$2:$E$80,0)),"CEK SHELVING KE di luar layout",IF($I465="","CEK SERIES kosong",IF(AND(N465&lt;&gt;"",NOT(ISNUMBER(N465))),"CEK URUTAN DISPLAY harus angka",IF($D465="","Zona STOCK",IF($E465="","CEK SKU DESCRIPTION kosong",IF(COUNTIFS($I$2:$I$500,$I465,L$2:L$500,"&lt;&gt;"&amp;L465,L$2:L$500,"&lt;&gt;")&gt;0,"CEK jenis fixture beda dalam satu series","OK"))))))))))</f>
        <v/>
      </c>
      <c r="Q465" s="11" t="n"/>
      <c r="R465" s="11" t="n"/>
      <c r="S465" s="11" t="n"/>
      <c r="T465" s="11">
        <f>IF(OR(Q465="",R465=""),"",IFERROR(INDEX(LAYOUT!$D$2:$D$80,MATCH(Q465&amp;"|"&amp;R465,LAYOUT!$E$2:$E$80,0)),""))</f>
        <v/>
      </c>
      <c r="U465" s="12">
        <f>IF(AND(Q465="",R465=""),IF(AND(L465="",M465="",V465="",W465=""),IF(OR($D465&lt;&gt;"",$E465&lt;&gt;""),"Belum ditempatkan",""),""),IF(Q465="","CEK JENIS FIXTURE kosong",IF(LEFT(Q465,4)&lt;&gt;"Wall","CEK Fixture 2 hanya Wall",IF(R465="","CEK SHELVING KE kosong",IF(ISNA(MATCH(Q465&amp;"|"&amp;R465,LAYOUT!$E$2:$E$80,0)),"CEK SHELVING KE di luar layout",IF($I465="","CEK SERIES kosong",IF(AND(S465&lt;&gt;"",NOT(ISNUMBER(S465))),"CEK URUTAN DISPLAY harus angka",IF($D465="","Zona STOCK",IF($E465="","CEK SKU DESCRIPTION kosong",IF(COUNTIFS($I$2:$I$500,$I465,Q$2:Q$500,"&lt;&gt;"&amp;Q465,Q$2:Q$500,"&lt;&gt;")&gt;0,"CEK jenis fixture beda dalam satu series","OK"))))))))))</f>
        <v/>
      </c>
      <c r="V465" s="11" t="n"/>
      <c r="W465" s="11" t="n"/>
      <c r="X465" s="11" t="n"/>
      <c r="Y465" s="11">
        <f>IF(OR(V465="",W465=""),"",IFERROR(INDEX(LAYOUT!$D$2:$D$80,MATCH(V465&amp;"|"&amp;W465,LAYOUT!$E$2:$E$80,0)),""))</f>
        <v/>
      </c>
      <c r="Z465" s="12">
        <f>IF(AND(V465="",W465=""),IF(AND(L465="",M465="",Q465="",R465=""),IF(OR($D465&lt;&gt;"",$E465&lt;&gt;""),"Belum ditempatkan",""),""),IF(V465="","CEK JENIS FIXTURE kosong",IF(LEFT(V465,4)&lt;&gt;"Wall","CEK Fixture 3 hanya Wall",IF(W465="","CEK SHELVING KE kosong",IF(ISNA(MATCH(V465&amp;"|"&amp;W465,LAYOUT!$E$2:$E$80,0)),"CEK SHELVING KE di luar layout",IF($I465="","CEK SERIES kosong",IF(AND(X465&lt;&gt;"",NOT(ISNUMBER(X465))),"CEK URUTAN DISPLAY harus angka",IF($D465="","Zona STOCK",IF($E465="","CEK SKU DESCRIPTION kosong",IF(COUNTIFS($I$2:$I$500,$I465,V$2:V$500,"&lt;&gt;"&amp;V465,V$2:V$500,"&lt;&gt;")&gt;0,"CEK jenis fixture beda dalam satu series","OK"))))))))))</f>
        <v/>
      </c>
      <c r="AA465" s="12" t="n"/>
      <c r="AB465" s="11" t="n"/>
      <c r="AC465" s="11" t="n"/>
      <c r="AD465" s="11" t="n"/>
      <c r="AE465" s="11" t="n"/>
      <c r="AF465" s="11" t="n"/>
      <c r="AG465" s="11" t="n"/>
      <c r="AH465" s="12" t="n"/>
      <c r="AI465" s="12" t="n"/>
    </row>
    <row r="466">
      <c r="A466" s="10" t="n"/>
      <c r="B466" s="10" t="n"/>
      <c r="C466" s="10" t="n"/>
      <c r="D466" s="10" t="n"/>
      <c r="E466" s="10" t="n"/>
      <c r="F466" s="10" t="n"/>
      <c r="G466" s="10" t="n"/>
      <c r="H466" s="10" t="n"/>
      <c r="I466" s="10" t="n"/>
      <c r="J466" s="10" t="n"/>
      <c r="K466" s="10" t="n"/>
      <c r="L466" s="11" t="n"/>
      <c r="M466" s="11" t="n"/>
      <c r="N466" s="11" t="n"/>
      <c r="O466" s="11">
        <f>IF(OR(L466="",M466=""),"",IFERROR(INDEX(LAYOUT!$D$2:$D$80,MATCH(L466&amp;"|"&amp;M466,LAYOUT!$E$2:$E$80,0)),""))</f>
        <v/>
      </c>
      <c r="P466" s="12">
        <f>IF(AND(L466="",M466=""),IF(AND(Q466="",R466="",V466="",W466=""),IF(OR($D466&lt;&gt;"",$E466&lt;&gt;""),"Belum ditempatkan",""),""),IF(L466="","CEK JENIS FIXTURE kosong",IF(AND(LEFT(L466,7)&lt;&gt;"Gondola",LEFT(L466,6)&lt;&gt;"Endcap"),"CEK Fixture 1 hanya Gondola atau Endcap",IF(M466="","CEK SHELVING KE kosong",IF(ISNA(MATCH(L466&amp;"|"&amp;M466,LAYOUT!$E$2:$E$80,0)),"CEK SHELVING KE di luar layout",IF($I466="","CEK SERIES kosong",IF(AND(N466&lt;&gt;"",NOT(ISNUMBER(N466))),"CEK URUTAN DISPLAY harus angka",IF($D466="","Zona STOCK",IF($E466="","CEK SKU DESCRIPTION kosong",IF(COUNTIFS($I$2:$I$500,$I466,L$2:L$500,"&lt;&gt;"&amp;L466,L$2:L$500,"&lt;&gt;")&gt;0,"CEK jenis fixture beda dalam satu series","OK"))))))))))</f>
        <v/>
      </c>
      <c r="Q466" s="11" t="n"/>
      <c r="R466" s="11" t="n"/>
      <c r="S466" s="11" t="n"/>
      <c r="T466" s="11">
        <f>IF(OR(Q466="",R466=""),"",IFERROR(INDEX(LAYOUT!$D$2:$D$80,MATCH(Q466&amp;"|"&amp;R466,LAYOUT!$E$2:$E$80,0)),""))</f>
        <v/>
      </c>
      <c r="U466" s="12">
        <f>IF(AND(Q466="",R466=""),IF(AND(L466="",M466="",V466="",W466=""),IF(OR($D466&lt;&gt;"",$E466&lt;&gt;""),"Belum ditempatkan",""),""),IF(Q466="","CEK JENIS FIXTURE kosong",IF(LEFT(Q466,4)&lt;&gt;"Wall","CEK Fixture 2 hanya Wall",IF(R466="","CEK SHELVING KE kosong",IF(ISNA(MATCH(Q466&amp;"|"&amp;R466,LAYOUT!$E$2:$E$80,0)),"CEK SHELVING KE di luar layout",IF($I466="","CEK SERIES kosong",IF(AND(S466&lt;&gt;"",NOT(ISNUMBER(S466))),"CEK URUTAN DISPLAY harus angka",IF($D466="","Zona STOCK",IF($E466="","CEK SKU DESCRIPTION kosong",IF(COUNTIFS($I$2:$I$500,$I466,Q$2:Q$500,"&lt;&gt;"&amp;Q466,Q$2:Q$500,"&lt;&gt;")&gt;0,"CEK jenis fixture beda dalam satu series","OK"))))))))))</f>
        <v/>
      </c>
      <c r="V466" s="11" t="n"/>
      <c r="W466" s="11" t="n"/>
      <c r="X466" s="11" t="n"/>
      <c r="Y466" s="11">
        <f>IF(OR(V466="",W466=""),"",IFERROR(INDEX(LAYOUT!$D$2:$D$80,MATCH(V466&amp;"|"&amp;W466,LAYOUT!$E$2:$E$80,0)),""))</f>
        <v/>
      </c>
      <c r="Z466" s="12">
        <f>IF(AND(V466="",W466=""),IF(AND(L466="",M466="",Q466="",R466=""),IF(OR($D466&lt;&gt;"",$E466&lt;&gt;""),"Belum ditempatkan",""),""),IF(V466="","CEK JENIS FIXTURE kosong",IF(LEFT(V466,4)&lt;&gt;"Wall","CEK Fixture 3 hanya Wall",IF(W466="","CEK SHELVING KE kosong",IF(ISNA(MATCH(V466&amp;"|"&amp;W466,LAYOUT!$E$2:$E$80,0)),"CEK SHELVING KE di luar layout",IF($I466="","CEK SERIES kosong",IF(AND(X466&lt;&gt;"",NOT(ISNUMBER(X466))),"CEK URUTAN DISPLAY harus angka",IF($D466="","Zona STOCK",IF($E466="","CEK SKU DESCRIPTION kosong",IF(COUNTIFS($I$2:$I$500,$I466,V$2:V$500,"&lt;&gt;"&amp;V466,V$2:V$500,"&lt;&gt;")&gt;0,"CEK jenis fixture beda dalam satu series","OK"))))))))))</f>
        <v/>
      </c>
      <c r="AA466" s="12" t="n"/>
      <c r="AB466" s="11" t="n"/>
      <c r="AC466" s="11" t="n"/>
      <c r="AD466" s="11" t="n"/>
      <c r="AE466" s="11" t="n"/>
      <c r="AF466" s="11" t="n"/>
      <c r="AG466" s="11" t="n"/>
      <c r="AH466" s="12" t="n"/>
      <c r="AI466" s="12" t="n"/>
    </row>
    <row r="467">
      <c r="A467" s="10" t="n"/>
      <c r="B467" s="10" t="n"/>
      <c r="C467" s="10" t="n"/>
      <c r="D467" s="10" t="n"/>
      <c r="E467" s="10" t="n"/>
      <c r="F467" s="10" t="n"/>
      <c r="G467" s="10" t="n"/>
      <c r="H467" s="10" t="n"/>
      <c r="I467" s="10" t="n"/>
      <c r="J467" s="10" t="n"/>
      <c r="K467" s="10" t="n"/>
      <c r="L467" s="11" t="n"/>
      <c r="M467" s="11" t="n"/>
      <c r="N467" s="11" t="n"/>
      <c r="O467" s="11">
        <f>IF(OR(L467="",M467=""),"",IFERROR(INDEX(LAYOUT!$D$2:$D$80,MATCH(L467&amp;"|"&amp;M467,LAYOUT!$E$2:$E$80,0)),""))</f>
        <v/>
      </c>
      <c r="P467" s="12">
        <f>IF(AND(L467="",M467=""),IF(AND(Q467="",R467="",V467="",W467=""),IF(OR($D467&lt;&gt;"",$E467&lt;&gt;""),"Belum ditempatkan",""),""),IF(L467="","CEK JENIS FIXTURE kosong",IF(AND(LEFT(L467,7)&lt;&gt;"Gondola",LEFT(L467,6)&lt;&gt;"Endcap"),"CEK Fixture 1 hanya Gondola atau Endcap",IF(M467="","CEK SHELVING KE kosong",IF(ISNA(MATCH(L467&amp;"|"&amp;M467,LAYOUT!$E$2:$E$80,0)),"CEK SHELVING KE di luar layout",IF($I467="","CEK SERIES kosong",IF(AND(N467&lt;&gt;"",NOT(ISNUMBER(N467))),"CEK URUTAN DISPLAY harus angka",IF($D467="","Zona STOCK",IF($E467="","CEK SKU DESCRIPTION kosong",IF(COUNTIFS($I$2:$I$500,$I467,L$2:L$500,"&lt;&gt;"&amp;L467,L$2:L$500,"&lt;&gt;")&gt;0,"CEK jenis fixture beda dalam satu series","OK"))))))))))</f>
        <v/>
      </c>
      <c r="Q467" s="11" t="n"/>
      <c r="R467" s="11" t="n"/>
      <c r="S467" s="11" t="n"/>
      <c r="T467" s="11">
        <f>IF(OR(Q467="",R467=""),"",IFERROR(INDEX(LAYOUT!$D$2:$D$80,MATCH(Q467&amp;"|"&amp;R467,LAYOUT!$E$2:$E$80,0)),""))</f>
        <v/>
      </c>
      <c r="U467" s="12">
        <f>IF(AND(Q467="",R467=""),IF(AND(L467="",M467="",V467="",W467=""),IF(OR($D467&lt;&gt;"",$E467&lt;&gt;""),"Belum ditempatkan",""),""),IF(Q467="","CEK JENIS FIXTURE kosong",IF(LEFT(Q467,4)&lt;&gt;"Wall","CEK Fixture 2 hanya Wall",IF(R467="","CEK SHELVING KE kosong",IF(ISNA(MATCH(Q467&amp;"|"&amp;R467,LAYOUT!$E$2:$E$80,0)),"CEK SHELVING KE di luar layout",IF($I467="","CEK SERIES kosong",IF(AND(S467&lt;&gt;"",NOT(ISNUMBER(S467))),"CEK URUTAN DISPLAY harus angka",IF($D467="","Zona STOCK",IF($E467="","CEK SKU DESCRIPTION kosong",IF(COUNTIFS($I$2:$I$500,$I467,Q$2:Q$500,"&lt;&gt;"&amp;Q467,Q$2:Q$500,"&lt;&gt;")&gt;0,"CEK jenis fixture beda dalam satu series","OK"))))))))))</f>
        <v/>
      </c>
      <c r="V467" s="11" t="n"/>
      <c r="W467" s="11" t="n"/>
      <c r="X467" s="11" t="n"/>
      <c r="Y467" s="11">
        <f>IF(OR(V467="",W467=""),"",IFERROR(INDEX(LAYOUT!$D$2:$D$80,MATCH(V467&amp;"|"&amp;W467,LAYOUT!$E$2:$E$80,0)),""))</f>
        <v/>
      </c>
      <c r="Z467" s="12">
        <f>IF(AND(V467="",W467=""),IF(AND(L467="",M467="",Q467="",R467=""),IF(OR($D467&lt;&gt;"",$E467&lt;&gt;""),"Belum ditempatkan",""),""),IF(V467="","CEK JENIS FIXTURE kosong",IF(LEFT(V467,4)&lt;&gt;"Wall","CEK Fixture 3 hanya Wall",IF(W467="","CEK SHELVING KE kosong",IF(ISNA(MATCH(V467&amp;"|"&amp;W467,LAYOUT!$E$2:$E$80,0)),"CEK SHELVING KE di luar layout",IF($I467="","CEK SERIES kosong",IF(AND(X467&lt;&gt;"",NOT(ISNUMBER(X467))),"CEK URUTAN DISPLAY harus angka",IF($D467="","Zona STOCK",IF($E467="","CEK SKU DESCRIPTION kosong",IF(COUNTIFS($I$2:$I$500,$I467,V$2:V$500,"&lt;&gt;"&amp;V467,V$2:V$500,"&lt;&gt;")&gt;0,"CEK jenis fixture beda dalam satu series","OK"))))))))))</f>
        <v/>
      </c>
      <c r="AA467" s="12" t="n"/>
      <c r="AB467" s="11" t="n"/>
      <c r="AC467" s="11" t="n"/>
      <c r="AD467" s="11" t="n"/>
      <c r="AE467" s="11" t="n"/>
      <c r="AF467" s="11" t="n"/>
      <c r="AG467" s="11" t="n"/>
      <c r="AH467" s="12" t="n"/>
      <c r="AI467" s="12" t="n"/>
    </row>
    <row r="468">
      <c r="A468" s="10" t="n"/>
      <c r="B468" s="10" t="n"/>
      <c r="C468" s="10" t="n"/>
      <c r="D468" s="10" t="n"/>
      <c r="E468" s="10" t="n"/>
      <c r="F468" s="10" t="n"/>
      <c r="G468" s="10" t="n"/>
      <c r="H468" s="10" t="n"/>
      <c r="I468" s="10" t="n"/>
      <c r="J468" s="10" t="n"/>
      <c r="K468" s="10" t="n"/>
      <c r="L468" s="11" t="n"/>
      <c r="M468" s="11" t="n"/>
      <c r="N468" s="11" t="n"/>
      <c r="O468" s="11">
        <f>IF(OR(L468="",M468=""),"",IFERROR(INDEX(LAYOUT!$D$2:$D$80,MATCH(L468&amp;"|"&amp;M468,LAYOUT!$E$2:$E$80,0)),""))</f>
        <v/>
      </c>
      <c r="P468" s="12">
        <f>IF(AND(L468="",M468=""),IF(AND(Q468="",R468="",V468="",W468=""),IF(OR($D468&lt;&gt;"",$E468&lt;&gt;""),"Belum ditempatkan",""),""),IF(L468="","CEK JENIS FIXTURE kosong",IF(AND(LEFT(L468,7)&lt;&gt;"Gondola",LEFT(L468,6)&lt;&gt;"Endcap"),"CEK Fixture 1 hanya Gondola atau Endcap",IF(M468="","CEK SHELVING KE kosong",IF(ISNA(MATCH(L468&amp;"|"&amp;M468,LAYOUT!$E$2:$E$80,0)),"CEK SHELVING KE di luar layout",IF($I468="","CEK SERIES kosong",IF(AND(N468&lt;&gt;"",NOT(ISNUMBER(N468))),"CEK URUTAN DISPLAY harus angka",IF($D468="","Zona STOCK",IF($E468="","CEK SKU DESCRIPTION kosong",IF(COUNTIFS($I$2:$I$500,$I468,L$2:L$500,"&lt;&gt;"&amp;L468,L$2:L$500,"&lt;&gt;")&gt;0,"CEK jenis fixture beda dalam satu series","OK"))))))))))</f>
        <v/>
      </c>
      <c r="Q468" s="11" t="n"/>
      <c r="R468" s="11" t="n"/>
      <c r="S468" s="11" t="n"/>
      <c r="T468" s="11">
        <f>IF(OR(Q468="",R468=""),"",IFERROR(INDEX(LAYOUT!$D$2:$D$80,MATCH(Q468&amp;"|"&amp;R468,LAYOUT!$E$2:$E$80,0)),""))</f>
        <v/>
      </c>
      <c r="U468" s="12">
        <f>IF(AND(Q468="",R468=""),IF(AND(L468="",M468="",V468="",W468=""),IF(OR($D468&lt;&gt;"",$E468&lt;&gt;""),"Belum ditempatkan",""),""),IF(Q468="","CEK JENIS FIXTURE kosong",IF(LEFT(Q468,4)&lt;&gt;"Wall","CEK Fixture 2 hanya Wall",IF(R468="","CEK SHELVING KE kosong",IF(ISNA(MATCH(Q468&amp;"|"&amp;R468,LAYOUT!$E$2:$E$80,0)),"CEK SHELVING KE di luar layout",IF($I468="","CEK SERIES kosong",IF(AND(S468&lt;&gt;"",NOT(ISNUMBER(S468))),"CEK URUTAN DISPLAY harus angka",IF($D468="","Zona STOCK",IF($E468="","CEK SKU DESCRIPTION kosong",IF(COUNTIFS($I$2:$I$500,$I468,Q$2:Q$500,"&lt;&gt;"&amp;Q468,Q$2:Q$500,"&lt;&gt;")&gt;0,"CEK jenis fixture beda dalam satu series","OK"))))))))))</f>
        <v/>
      </c>
      <c r="V468" s="11" t="n"/>
      <c r="W468" s="11" t="n"/>
      <c r="X468" s="11" t="n"/>
      <c r="Y468" s="11">
        <f>IF(OR(V468="",W468=""),"",IFERROR(INDEX(LAYOUT!$D$2:$D$80,MATCH(V468&amp;"|"&amp;W468,LAYOUT!$E$2:$E$80,0)),""))</f>
        <v/>
      </c>
      <c r="Z468" s="12">
        <f>IF(AND(V468="",W468=""),IF(AND(L468="",M468="",Q468="",R468=""),IF(OR($D468&lt;&gt;"",$E468&lt;&gt;""),"Belum ditempatkan",""),""),IF(V468="","CEK JENIS FIXTURE kosong",IF(LEFT(V468,4)&lt;&gt;"Wall","CEK Fixture 3 hanya Wall",IF(W468="","CEK SHELVING KE kosong",IF(ISNA(MATCH(V468&amp;"|"&amp;W468,LAYOUT!$E$2:$E$80,0)),"CEK SHELVING KE di luar layout",IF($I468="","CEK SERIES kosong",IF(AND(X468&lt;&gt;"",NOT(ISNUMBER(X468))),"CEK URUTAN DISPLAY harus angka",IF($D468="","Zona STOCK",IF($E468="","CEK SKU DESCRIPTION kosong",IF(COUNTIFS($I$2:$I$500,$I468,V$2:V$500,"&lt;&gt;"&amp;V468,V$2:V$500,"&lt;&gt;")&gt;0,"CEK jenis fixture beda dalam satu series","OK"))))))))))</f>
        <v/>
      </c>
      <c r="AA468" s="12" t="n"/>
      <c r="AB468" s="11" t="n"/>
      <c r="AC468" s="11" t="n"/>
      <c r="AD468" s="11" t="n"/>
      <c r="AE468" s="11" t="n"/>
      <c r="AF468" s="11" t="n"/>
      <c r="AG468" s="11" t="n"/>
      <c r="AH468" s="12" t="n"/>
      <c r="AI468" s="12" t="n"/>
    </row>
    <row r="469">
      <c r="A469" s="10" t="n"/>
      <c r="B469" s="10" t="n"/>
      <c r="C469" s="10" t="n"/>
      <c r="D469" s="10" t="n"/>
      <c r="E469" s="10" t="n"/>
      <c r="F469" s="10" t="n"/>
      <c r="G469" s="10" t="n"/>
      <c r="H469" s="10" t="n"/>
      <c r="I469" s="10" t="n"/>
      <c r="J469" s="10" t="n"/>
      <c r="K469" s="10" t="n"/>
      <c r="L469" s="11" t="n"/>
      <c r="M469" s="11" t="n"/>
      <c r="N469" s="11" t="n"/>
      <c r="O469" s="11">
        <f>IF(OR(L469="",M469=""),"",IFERROR(INDEX(LAYOUT!$D$2:$D$80,MATCH(L469&amp;"|"&amp;M469,LAYOUT!$E$2:$E$80,0)),""))</f>
        <v/>
      </c>
      <c r="P469" s="12">
        <f>IF(AND(L469="",M469=""),IF(AND(Q469="",R469="",V469="",W469=""),IF(OR($D469&lt;&gt;"",$E469&lt;&gt;""),"Belum ditempatkan",""),""),IF(L469="","CEK JENIS FIXTURE kosong",IF(AND(LEFT(L469,7)&lt;&gt;"Gondola",LEFT(L469,6)&lt;&gt;"Endcap"),"CEK Fixture 1 hanya Gondola atau Endcap",IF(M469="","CEK SHELVING KE kosong",IF(ISNA(MATCH(L469&amp;"|"&amp;M469,LAYOUT!$E$2:$E$80,0)),"CEK SHELVING KE di luar layout",IF($I469="","CEK SERIES kosong",IF(AND(N469&lt;&gt;"",NOT(ISNUMBER(N469))),"CEK URUTAN DISPLAY harus angka",IF($D469="","Zona STOCK",IF($E469="","CEK SKU DESCRIPTION kosong",IF(COUNTIFS($I$2:$I$500,$I469,L$2:L$500,"&lt;&gt;"&amp;L469,L$2:L$500,"&lt;&gt;")&gt;0,"CEK jenis fixture beda dalam satu series","OK"))))))))))</f>
        <v/>
      </c>
      <c r="Q469" s="11" t="n"/>
      <c r="R469" s="11" t="n"/>
      <c r="S469" s="11" t="n"/>
      <c r="T469" s="11">
        <f>IF(OR(Q469="",R469=""),"",IFERROR(INDEX(LAYOUT!$D$2:$D$80,MATCH(Q469&amp;"|"&amp;R469,LAYOUT!$E$2:$E$80,0)),""))</f>
        <v/>
      </c>
      <c r="U469" s="12">
        <f>IF(AND(Q469="",R469=""),IF(AND(L469="",M469="",V469="",W469=""),IF(OR($D469&lt;&gt;"",$E469&lt;&gt;""),"Belum ditempatkan",""),""),IF(Q469="","CEK JENIS FIXTURE kosong",IF(LEFT(Q469,4)&lt;&gt;"Wall","CEK Fixture 2 hanya Wall",IF(R469="","CEK SHELVING KE kosong",IF(ISNA(MATCH(Q469&amp;"|"&amp;R469,LAYOUT!$E$2:$E$80,0)),"CEK SHELVING KE di luar layout",IF($I469="","CEK SERIES kosong",IF(AND(S469&lt;&gt;"",NOT(ISNUMBER(S469))),"CEK URUTAN DISPLAY harus angka",IF($D469="","Zona STOCK",IF($E469="","CEK SKU DESCRIPTION kosong",IF(COUNTIFS($I$2:$I$500,$I469,Q$2:Q$500,"&lt;&gt;"&amp;Q469,Q$2:Q$500,"&lt;&gt;")&gt;0,"CEK jenis fixture beda dalam satu series","OK"))))))))))</f>
        <v/>
      </c>
      <c r="V469" s="11" t="n"/>
      <c r="W469" s="11" t="n"/>
      <c r="X469" s="11" t="n"/>
      <c r="Y469" s="11">
        <f>IF(OR(V469="",W469=""),"",IFERROR(INDEX(LAYOUT!$D$2:$D$80,MATCH(V469&amp;"|"&amp;W469,LAYOUT!$E$2:$E$80,0)),""))</f>
        <v/>
      </c>
      <c r="Z469" s="12">
        <f>IF(AND(V469="",W469=""),IF(AND(L469="",M469="",Q469="",R469=""),IF(OR($D469&lt;&gt;"",$E469&lt;&gt;""),"Belum ditempatkan",""),""),IF(V469="","CEK JENIS FIXTURE kosong",IF(LEFT(V469,4)&lt;&gt;"Wall","CEK Fixture 3 hanya Wall",IF(W469="","CEK SHELVING KE kosong",IF(ISNA(MATCH(V469&amp;"|"&amp;W469,LAYOUT!$E$2:$E$80,0)),"CEK SHELVING KE di luar layout",IF($I469="","CEK SERIES kosong",IF(AND(X469&lt;&gt;"",NOT(ISNUMBER(X469))),"CEK URUTAN DISPLAY harus angka",IF($D469="","Zona STOCK",IF($E469="","CEK SKU DESCRIPTION kosong",IF(COUNTIFS($I$2:$I$500,$I469,V$2:V$500,"&lt;&gt;"&amp;V469,V$2:V$500,"&lt;&gt;")&gt;0,"CEK jenis fixture beda dalam satu series","OK"))))))))))</f>
        <v/>
      </c>
      <c r="AA469" s="12" t="n"/>
      <c r="AB469" s="11" t="n"/>
      <c r="AC469" s="11" t="n"/>
      <c r="AD469" s="11" t="n"/>
      <c r="AE469" s="11" t="n"/>
      <c r="AF469" s="11" t="n"/>
      <c r="AG469" s="11" t="n"/>
      <c r="AH469" s="12" t="n"/>
      <c r="AI469" s="12" t="n"/>
    </row>
    <row r="470">
      <c r="A470" s="10" t="n"/>
      <c r="B470" s="10" t="n"/>
      <c r="C470" s="10" t="n"/>
      <c r="D470" s="10" t="n"/>
      <c r="E470" s="10" t="n"/>
      <c r="F470" s="10" t="n"/>
      <c r="G470" s="10" t="n"/>
      <c r="H470" s="10" t="n"/>
      <c r="I470" s="10" t="n"/>
      <c r="J470" s="10" t="n"/>
      <c r="K470" s="10" t="n"/>
      <c r="L470" s="11" t="n"/>
      <c r="M470" s="11" t="n"/>
      <c r="N470" s="11" t="n"/>
      <c r="O470" s="11">
        <f>IF(OR(L470="",M470=""),"",IFERROR(INDEX(LAYOUT!$D$2:$D$80,MATCH(L470&amp;"|"&amp;M470,LAYOUT!$E$2:$E$80,0)),""))</f>
        <v/>
      </c>
      <c r="P470" s="12">
        <f>IF(AND(L470="",M470=""),IF(AND(Q470="",R470="",V470="",W470=""),IF(OR($D470&lt;&gt;"",$E470&lt;&gt;""),"Belum ditempatkan",""),""),IF(L470="","CEK JENIS FIXTURE kosong",IF(AND(LEFT(L470,7)&lt;&gt;"Gondola",LEFT(L470,6)&lt;&gt;"Endcap"),"CEK Fixture 1 hanya Gondola atau Endcap",IF(M470="","CEK SHELVING KE kosong",IF(ISNA(MATCH(L470&amp;"|"&amp;M470,LAYOUT!$E$2:$E$80,0)),"CEK SHELVING KE di luar layout",IF($I470="","CEK SERIES kosong",IF(AND(N470&lt;&gt;"",NOT(ISNUMBER(N470))),"CEK URUTAN DISPLAY harus angka",IF($D470="","Zona STOCK",IF($E470="","CEK SKU DESCRIPTION kosong",IF(COUNTIFS($I$2:$I$500,$I470,L$2:L$500,"&lt;&gt;"&amp;L470,L$2:L$500,"&lt;&gt;")&gt;0,"CEK jenis fixture beda dalam satu series","OK"))))))))))</f>
        <v/>
      </c>
      <c r="Q470" s="11" t="n"/>
      <c r="R470" s="11" t="n"/>
      <c r="S470" s="11" t="n"/>
      <c r="T470" s="11">
        <f>IF(OR(Q470="",R470=""),"",IFERROR(INDEX(LAYOUT!$D$2:$D$80,MATCH(Q470&amp;"|"&amp;R470,LAYOUT!$E$2:$E$80,0)),""))</f>
        <v/>
      </c>
      <c r="U470" s="12">
        <f>IF(AND(Q470="",R470=""),IF(AND(L470="",M470="",V470="",W470=""),IF(OR($D470&lt;&gt;"",$E470&lt;&gt;""),"Belum ditempatkan",""),""),IF(Q470="","CEK JENIS FIXTURE kosong",IF(LEFT(Q470,4)&lt;&gt;"Wall","CEK Fixture 2 hanya Wall",IF(R470="","CEK SHELVING KE kosong",IF(ISNA(MATCH(Q470&amp;"|"&amp;R470,LAYOUT!$E$2:$E$80,0)),"CEK SHELVING KE di luar layout",IF($I470="","CEK SERIES kosong",IF(AND(S470&lt;&gt;"",NOT(ISNUMBER(S470))),"CEK URUTAN DISPLAY harus angka",IF($D470="","Zona STOCK",IF($E470="","CEK SKU DESCRIPTION kosong",IF(COUNTIFS($I$2:$I$500,$I470,Q$2:Q$500,"&lt;&gt;"&amp;Q470,Q$2:Q$500,"&lt;&gt;")&gt;0,"CEK jenis fixture beda dalam satu series","OK"))))))))))</f>
        <v/>
      </c>
      <c r="V470" s="11" t="n"/>
      <c r="W470" s="11" t="n"/>
      <c r="X470" s="11" t="n"/>
      <c r="Y470" s="11">
        <f>IF(OR(V470="",W470=""),"",IFERROR(INDEX(LAYOUT!$D$2:$D$80,MATCH(V470&amp;"|"&amp;W470,LAYOUT!$E$2:$E$80,0)),""))</f>
        <v/>
      </c>
      <c r="Z470" s="12">
        <f>IF(AND(V470="",W470=""),IF(AND(L470="",M470="",Q470="",R470=""),IF(OR($D470&lt;&gt;"",$E470&lt;&gt;""),"Belum ditempatkan",""),""),IF(V470="","CEK JENIS FIXTURE kosong",IF(LEFT(V470,4)&lt;&gt;"Wall","CEK Fixture 3 hanya Wall",IF(W470="","CEK SHELVING KE kosong",IF(ISNA(MATCH(V470&amp;"|"&amp;W470,LAYOUT!$E$2:$E$80,0)),"CEK SHELVING KE di luar layout",IF($I470="","CEK SERIES kosong",IF(AND(X470&lt;&gt;"",NOT(ISNUMBER(X470))),"CEK URUTAN DISPLAY harus angka",IF($D470="","Zona STOCK",IF($E470="","CEK SKU DESCRIPTION kosong",IF(COUNTIFS($I$2:$I$500,$I470,V$2:V$500,"&lt;&gt;"&amp;V470,V$2:V$500,"&lt;&gt;")&gt;0,"CEK jenis fixture beda dalam satu series","OK"))))))))))</f>
        <v/>
      </c>
      <c r="AA470" s="12" t="n"/>
      <c r="AB470" s="11" t="n"/>
      <c r="AC470" s="11" t="n"/>
      <c r="AD470" s="11" t="n"/>
      <c r="AE470" s="11" t="n"/>
      <c r="AF470" s="11" t="n"/>
      <c r="AG470" s="11" t="n"/>
      <c r="AH470" s="12" t="n"/>
      <c r="AI470" s="12" t="n"/>
    </row>
    <row r="471">
      <c r="A471" s="10" t="n"/>
      <c r="B471" s="10" t="n"/>
      <c r="C471" s="10" t="n"/>
      <c r="D471" s="10" t="n"/>
      <c r="E471" s="10" t="n"/>
      <c r="F471" s="10" t="n"/>
      <c r="G471" s="10" t="n"/>
      <c r="H471" s="10" t="n"/>
      <c r="I471" s="10" t="n"/>
      <c r="J471" s="10" t="n"/>
      <c r="K471" s="10" t="n"/>
      <c r="L471" s="11" t="n"/>
      <c r="M471" s="11" t="n"/>
      <c r="N471" s="11" t="n"/>
      <c r="O471" s="11">
        <f>IF(OR(L471="",M471=""),"",IFERROR(INDEX(LAYOUT!$D$2:$D$80,MATCH(L471&amp;"|"&amp;M471,LAYOUT!$E$2:$E$80,0)),""))</f>
        <v/>
      </c>
      <c r="P471" s="12">
        <f>IF(AND(L471="",M471=""),IF(AND(Q471="",R471="",V471="",W471=""),IF(OR($D471&lt;&gt;"",$E471&lt;&gt;""),"Belum ditempatkan",""),""),IF(L471="","CEK JENIS FIXTURE kosong",IF(AND(LEFT(L471,7)&lt;&gt;"Gondola",LEFT(L471,6)&lt;&gt;"Endcap"),"CEK Fixture 1 hanya Gondola atau Endcap",IF(M471="","CEK SHELVING KE kosong",IF(ISNA(MATCH(L471&amp;"|"&amp;M471,LAYOUT!$E$2:$E$80,0)),"CEK SHELVING KE di luar layout",IF($I471="","CEK SERIES kosong",IF(AND(N471&lt;&gt;"",NOT(ISNUMBER(N471))),"CEK URUTAN DISPLAY harus angka",IF($D471="","Zona STOCK",IF($E471="","CEK SKU DESCRIPTION kosong",IF(COUNTIFS($I$2:$I$500,$I471,L$2:L$500,"&lt;&gt;"&amp;L471,L$2:L$500,"&lt;&gt;")&gt;0,"CEK jenis fixture beda dalam satu series","OK"))))))))))</f>
        <v/>
      </c>
      <c r="Q471" s="11" t="n"/>
      <c r="R471" s="11" t="n"/>
      <c r="S471" s="11" t="n"/>
      <c r="T471" s="11">
        <f>IF(OR(Q471="",R471=""),"",IFERROR(INDEX(LAYOUT!$D$2:$D$80,MATCH(Q471&amp;"|"&amp;R471,LAYOUT!$E$2:$E$80,0)),""))</f>
        <v/>
      </c>
      <c r="U471" s="12">
        <f>IF(AND(Q471="",R471=""),IF(AND(L471="",M471="",V471="",W471=""),IF(OR($D471&lt;&gt;"",$E471&lt;&gt;""),"Belum ditempatkan",""),""),IF(Q471="","CEK JENIS FIXTURE kosong",IF(LEFT(Q471,4)&lt;&gt;"Wall","CEK Fixture 2 hanya Wall",IF(R471="","CEK SHELVING KE kosong",IF(ISNA(MATCH(Q471&amp;"|"&amp;R471,LAYOUT!$E$2:$E$80,0)),"CEK SHELVING KE di luar layout",IF($I471="","CEK SERIES kosong",IF(AND(S471&lt;&gt;"",NOT(ISNUMBER(S471))),"CEK URUTAN DISPLAY harus angka",IF($D471="","Zona STOCK",IF($E471="","CEK SKU DESCRIPTION kosong",IF(COUNTIFS($I$2:$I$500,$I471,Q$2:Q$500,"&lt;&gt;"&amp;Q471,Q$2:Q$500,"&lt;&gt;")&gt;0,"CEK jenis fixture beda dalam satu series","OK"))))))))))</f>
        <v/>
      </c>
      <c r="V471" s="11" t="n"/>
      <c r="W471" s="11" t="n"/>
      <c r="X471" s="11" t="n"/>
      <c r="Y471" s="11">
        <f>IF(OR(V471="",W471=""),"",IFERROR(INDEX(LAYOUT!$D$2:$D$80,MATCH(V471&amp;"|"&amp;W471,LAYOUT!$E$2:$E$80,0)),""))</f>
        <v/>
      </c>
      <c r="Z471" s="12">
        <f>IF(AND(V471="",W471=""),IF(AND(L471="",M471="",Q471="",R471=""),IF(OR($D471&lt;&gt;"",$E471&lt;&gt;""),"Belum ditempatkan",""),""),IF(V471="","CEK JENIS FIXTURE kosong",IF(LEFT(V471,4)&lt;&gt;"Wall","CEK Fixture 3 hanya Wall",IF(W471="","CEK SHELVING KE kosong",IF(ISNA(MATCH(V471&amp;"|"&amp;W471,LAYOUT!$E$2:$E$80,0)),"CEK SHELVING KE di luar layout",IF($I471="","CEK SERIES kosong",IF(AND(X471&lt;&gt;"",NOT(ISNUMBER(X471))),"CEK URUTAN DISPLAY harus angka",IF($D471="","Zona STOCK",IF($E471="","CEK SKU DESCRIPTION kosong",IF(COUNTIFS($I$2:$I$500,$I471,V$2:V$500,"&lt;&gt;"&amp;V471,V$2:V$500,"&lt;&gt;")&gt;0,"CEK jenis fixture beda dalam satu series","OK"))))))))))</f>
        <v/>
      </c>
      <c r="AA471" s="12" t="n"/>
      <c r="AB471" s="11" t="n"/>
      <c r="AC471" s="11" t="n"/>
      <c r="AD471" s="11" t="n"/>
      <c r="AE471" s="11" t="n"/>
      <c r="AF471" s="11" t="n"/>
      <c r="AG471" s="11" t="n"/>
      <c r="AH471" s="12" t="n"/>
      <c r="AI471" s="12" t="n"/>
    </row>
    <row r="472">
      <c r="A472" s="10" t="n"/>
      <c r="B472" s="10" t="n"/>
      <c r="C472" s="10" t="n"/>
      <c r="D472" s="10" t="n"/>
      <c r="E472" s="10" t="n"/>
      <c r="F472" s="10" t="n"/>
      <c r="G472" s="10" t="n"/>
      <c r="H472" s="10" t="n"/>
      <c r="I472" s="10" t="n"/>
      <c r="J472" s="10" t="n"/>
      <c r="K472" s="10" t="n"/>
      <c r="L472" s="11" t="n"/>
      <c r="M472" s="11" t="n"/>
      <c r="N472" s="11" t="n"/>
      <c r="O472" s="11">
        <f>IF(OR(L472="",M472=""),"",IFERROR(INDEX(LAYOUT!$D$2:$D$80,MATCH(L472&amp;"|"&amp;M472,LAYOUT!$E$2:$E$80,0)),""))</f>
        <v/>
      </c>
      <c r="P472" s="12">
        <f>IF(AND(L472="",M472=""),IF(AND(Q472="",R472="",V472="",W472=""),IF(OR($D472&lt;&gt;"",$E472&lt;&gt;""),"Belum ditempatkan",""),""),IF(L472="","CEK JENIS FIXTURE kosong",IF(AND(LEFT(L472,7)&lt;&gt;"Gondola",LEFT(L472,6)&lt;&gt;"Endcap"),"CEK Fixture 1 hanya Gondola atau Endcap",IF(M472="","CEK SHELVING KE kosong",IF(ISNA(MATCH(L472&amp;"|"&amp;M472,LAYOUT!$E$2:$E$80,0)),"CEK SHELVING KE di luar layout",IF($I472="","CEK SERIES kosong",IF(AND(N472&lt;&gt;"",NOT(ISNUMBER(N472))),"CEK URUTAN DISPLAY harus angka",IF($D472="","Zona STOCK",IF($E472="","CEK SKU DESCRIPTION kosong",IF(COUNTIFS($I$2:$I$500,$I472,L$2:L$500,"&lt;&gt;"&amp;L472,L$2:L$500,"&lt;&gt;")&gt;0,"CEK jenis fixture beda dalam satu series","OK"))))))))))</f>
        <v/>
      </c>
      <c r="Q472" s="11" t="n"/>
      <c r="R472" s="11" t="n"/>
      <c r="S472" s="11" t="n"/>
      <c r="T472" s="11">
        <f>IF(OR(Q472="",R472=""),"",IFERROR(INDEX(LAYOUT!$D$2:$D$80,MATCH(Q472&amp;"|"&amp;R472,LAYOUT!$E$2:$E$80,0)),""))</f>
        <v/>
      </c>
      <c r="U472" s="12">
        <f>IF(AND(Q472="",R472=""),IF(AND(L472="",M472="",V472="",W472=""),IF(OR($D472&lt;&gt;"",$E472&lt;&gt;""),"Belum ditempatkan",""),""),IF(Q472="","CEK JENIS FIXTURE kosong",IF(LEFT(Q472,4)&lt;&gt;"Wall","CEK Fixture 2 hanya Wall",IF(R472="","CEK SHELVING KE kosong",IF(ISNA(MATCH(Q472&amp;"|"&amp;R472,LAYOUT!$E$2:$E$80,0)),"CEK SHELVING KE di luar layout",IF($I472="","CEK SERIES kosong",IF(AND(S472&lt;&gt;"",NOT(ISNUMBER(S472))),"CEK URUTAN DISPLAY harus angka",IF($D472="","Zona STOCK",IF($E472="","CEK SKU DESCRIPTION kosong",IF(COUNTIFS($I$2:$I$500,$I472,Q$2:Q$500,"&lt;&gt;"&amp;Q472,Q$2:Q$500,"&lt;&gt;")&gt;0,"CEK jenis fixture beda dalam satu series","OK"))))))))))</f>
        <v/>
      </c>
      <c r="V472" s="11" t="n"/>
      <c r="W472" s="11" t="n"/>
      <c r="X472" s="11" t="n"/>
      <c r="Y472" s="11">
        <f>IF(OR(V472="",W472=""),"",IFERROR(INDEX(LAYOUT!$D$2:$D$80,MATCH(V472&amp;"|"&amp;W472,LAYOUT!$E$2:$E$80,0)),""))</f>
        <v/>
      </c>
      <c r="Z472" s="12">
        <f>IF(AND(V472="",W472=""),IF(AND(L472="",M472="",Q472="",R472=""),IF(OR($D472&lt;&gt;"",$E472&lt;&gt;""),"Belum ditempatkan",""),""),IF(V472="","CEK JENIS FIXTURE kosong",IF(LEFT(V472,4)&lt;&gt;"Wall","CEK Fixture 3 hanya Wall",IF(W472="","CEK SHELVING KE kosong",IF(ISNA(MATCH(V472&amp;"|"&amp;W472,LAYOUT!$E$2:$E$80,0)),"CEK SHELVING KE di luar layout",IF($I472="","CEK SERIES kosong",IF(AND(X472&lt;&gt;"",NOT(ISNUMBER(X472))),"CEK URUTAN DISPLAY harus angka",IF($D472="","Zona STOCK",IF($E472="","CEK SKU DESCRIPTION kosong",IF(COUNTIFS($I$2:$I$500,$I472,V$2:V$500,"&lt;&gt;"&amp;V472,V$2:V$500,"&lt;&gt;")&gt;0,"CEK jenis fixture beda dalam satu series","OK"))))))))))</f>
        <v/>
      </c>
      <c r="AA472" s="12" t="n"/>
      <c r="AB472" s="11" t="n"/>
      <c r="AC472" s="11" t="n"/>
      <c r="AD472" s="11" t="n"/>
      <c r="AE472" s="11" t="n"/>
      <c r="AF472" s="11" t="n"/>
      <c r="AG472" s="11" t="n"/>
      <c r="AH472" s="12" t="n"/>
      <c r="AI472" s="12" t="n"/>
    </row>
    <row r="473">
      <c r="A473" s="10" t="n"/>
      <c r="B473" s="10" t="n"/>
      <c r="C473" s="10" t="n"/>
      <c r="D473" s="10" t="n"/>
      <c r="E473" s="10" t="n"/>
      <c r="F473" s="10" t="n"/>
      <c r="G473" s="10" t="n"/>
      <c r="H473" s="10" t="n"/>
      <c r="I473" s="10" t="n"/>
      <c r="J473" s="10" t="n"/>
      <c r="K473" s="10" t="n"/>
      <c r="L473" s="11" t="n"/>
      <c r="M473" s="11" t="n"/>
      <c r="N473" s="11" t="n"/>
      <c r="O473" s="11">
        <f>IF(OR(L473="",M473=""),"",IFERROR(INDEX(LAYOUT!$D$2:$D$80,MATCH(L473&amp;"|"&amp;M473,LAYOUT!$E$2:$E$80,0)),""))</f>
        <v/>
      </c>
      <c r="P473" s="12">
        <f>IF(AND(L473="",M473=""),IF(AND(Q473="",R473="",V473="",W473=""),IF(OR($D473&lt;&gt;"",$E473&lt;&gt;""),"Belum ditempatkan",""),""),IF(L473="","CEK JENIS FIXTURE kosong",IF(AND(LEFT(L473,7)&lt;&gt;"Gondola",LEFT(L473,6)&lt;&gt;"Endcap"),"CEK Fixture 1 hanya Gondola atau Endcap",IF(M473="","CEK SHELVING KE kosong",IF(ISNA(MATCH(L473&amp;"|"&amp;M473,LAYOUT!$E$2:$E$80,0)),"CEK SHELVING KE di luar layout",IF($I473="","CEK SERIES kosong",IF(AND(N473&lt;&gt;"",NOT(ISNUMBER(N473))),"CEK URUTAN DISPLAY harus angka",IF($D473="","Zona STOCK",IF($E473="","CEK SKU DESCRIPTION kosong",IF(COUNTIFS($I$2:$I$500,$I473,L$2:L$500,"&lt;&gt;"&amp;L473,L$2:L$500,"&lt;&gt;")&gt;0,"CEK jenis fixture beda dalam satu series","OK"))))))))))</f>
        <v/>
      </c>
      <c r="Q473" s="11" t="n"/>
      <c r="R473" s="11" t="n"/>
      <c r="S473" s="11" t="n"/>
      <c r="T473" s="11">
        <f>IF(OR(Q473="",R473=""),"",IFERROR(INDEX(LAYOUT!$D$2:$D$80,MATCH(Q473&amp;"|"&amp;R473,LAYOUT!$E$2:$E$80,0)),""))</f>
        <v/>
      </c>
      <c r="U473" s="12">
        <f>IF(AND(Q473="",R473=""),IF(AND(L473="",M473="",V473="",W473=""),IF(OR($D473&lt;&gt;"",$E473&lt;&gt;""),"Belum ditempatkan",""),""),IF(Q473="","CEK JENIS FIXTURE kosong",IF(LEFT(Q473,4)&lt;&gt;"Wall","CEK Fixture 2 hanya Wall",IF(R473="","CEK SHELVING KE kosong",IF(ISNA(MATCH(Q473&amp;"|"&amp;R473,LAYOUT!$E$2:$E$80,0)),"CEK SHELVING KE di luar layout",IF($I473="","CEK SERIES kosong",IF(AND(S473&lt;&gt;"",NOT(ISNUMBER(S473))),"CEK URUTAN DISPLAY harus angka",IF($D473="","Zona STOCK",IF($E473="","CEK SKU DESCRIPTION kosong",IF(COUNTIFS($I$2:$I$500,$I473,Q$2:Q$500,"&lt;&gt;"&amp;Q473,Q$2:Q$500,"&lt;&gt;")&gt;0,"CEK jenis fixture beda dalam satu series","OK"))))))))))</f>
        <v/>
      </c>
      <c r="V473" s="11" t="n"/>
      <c r="W473" s="11" t="n"/>
      <c r="X473" s="11" t="n"/>
      <c r="Y473" s="11">
        <f>IF(OR(V473="",W473=""),"",IFERROR(INDEX(LAYOUT!$D$2:$D$80,MATCH(V473&amp;"|"&amp;W473,LAYOUT!$E$2:$E$80,0)),""))</f>
        <v/>
      </c>
      <c r="Z473" s="12">
        <f>IF(AND(V473="",W473=""),IF(AND(L473="",M473="",Q473="",R473=""),IF(OR($D473&lt;&gt;"",$E473&lt;&gt;""),"Belum ditempatkan",""),""),IF(V473="","CEK JENIS FIXTURE kosong",IF(LEFT(V473,4)&lt;&gt;"Wall","CEK Fixture 3 hanya Wall",IF(W473="","CEK SHELVING KE kosong",IF(ISNA(MATCH(V473&amp;"|"&amp;W473,LAYOUT!$E$2:$E$80,0)),"CEK SHELVING KE di luar layout",IF($I473="","CEK SERIES kosong",IF(AND(X473&lt;&gt;"",NOT(ISNUMBER(X473))),"CEK URUTAN DISPLAY harus angka",IF($D473="","Zona STOCK",IF($E473="","CEK SKU DESCRIPTION kosong",IF(COUNTIFS($I$2:$I$500,$I473,V$2:V$500,"&lt;&gt;"&amp;V473,V$2:V$500,"&lt;&gt;")&gt;0,"CEK jenis fixture beda dalam satu series","OK"))))))))))</f>
        <v/>
      </c>
      <c r="AA473" s="12" t="n"/>
      <c r="AB473" s="11" t="n"/>
      <c r="AC473" s="11" t="n"/>
      <c r="AD473" s="11" t="n"/>
      <c r="AE473" s="11" t="n"/>
      <c r="AF473" s="11" t="n"/>
      <c r="AG473" s="11" t="n"/>
      <c r="AH473" s="12" t="n"/>
      <c r="AI473" s="12" t="n"/>
    </row>
    <row r="474">
      <c r="A474" s="10" t="n"/>
      <c r="B474" s="10" t="n"/>
      <c r="C474" s="10" t="n"/>
      <c r="D474" s="10" t="n"/>
      <c r="E474" s="10" t="n"/>
      <c r="F474" s="10" t="n"/>
      <c r="G474" s="10" t="n"/>
      <c r="H474" s="10" t="n"/>
      <c r="I474" s="10" t="n"/>
      <c r="J474" s="10" t="n"/>
      <c r="K474" s="10" t="n"/>
      <c r="L474" s="11" t="n"/>
      <c r="M474" s="11" t="n"/>
      <c r="N474" s="11" t="n"/>
      <c r="O474" s="11">
        <f>IF(OR(L474="",M474=""),"",IFERROR(INDEX(LAYOUT!$D$2:$D$80,MATCH(L474&amp;"|"&amp;M474,LAYOUT!$E$2:$E$80,0)),""))</f>
        <v/>
      </c>
      <c r="P474" s="12">
        <f>IF(AND(L474="",M474=""),IF(AND(Q474="",R474="",V474="",W474=""),IF(OR($D474&lt;&gt;"",$E474&lt;&gt;""),"Belum ditempatkan",""),""),IF(L474="","CEK JENIS FIXTURE kosong",IF(AND(LEFT(L474,7)&lt;&gt;"Gondola",LEFT(L474,6)&lt;&gt;"Endcap"),"CEK Fixture 1 hanya Gondola atau Endcap",IF(M474="","CEK SHELVING KE kosong",IF(ISNA(MATCH(L474&amp;"|"&amp;M474,LAYOUT!$E$2:$E$80,0)),"CEK SHELVING KE di luar layout",IF($I474="","CEK SERIES kosong",IF(AND(N474&lt;&gt;"",NOT(ISNUMBER(N474))),"CEK URUTAN DISPLAY harus angka",IF($D474="","Zona STOCK",IF($E474="","CEK SKU DESCRIPTION kosong",IF(COUNTIFS($I$2:$I$500,$I474,L$2:L$500,"&lt;&gt;"&amp;L474,L$2:L$500,"&lt;&gt;")&gt;0,"CEK jenis fixture beda dalam satu series","OK"))))))))))</f>
        <v/>
      </c>
      <c r="Q474" s="11" t="n"/>
      <c r="R474" s="11" t="n"/>
      <c r="S474" s="11" t="n"/>
      <c r="T474" s="11">
        <f>IF(OR(Q474="",R474=""),"",IFERROR(INDEX(LAYOUT!$D$2:$D$80,MATCH(Q474&amp;"|"&amp;R474,LAYOUT!$E$2:$E$80,0)),""))</f>
        <v/>
      </c>
      <c r="U474" s="12">
        <f>IF(AND(Q474="",R474=""),IF(AND(L474="",M474="",V474="",W474=""),IF(OR($D474&lt;&gt;"",$E474&lt;&gt;""),"Belum ditempatkan",""),""),IF(Q474="","CEK JENIS FIXTURE kosong",IF(LEFT(Q474,4)&lt;&gt;"Wall","CEK Fixture 2 hanya Wall",IF(R474="","CEK SHELVING KE kosong",IF(ISNA(MATCH(Q474&amp;"|"&amp;R474,LAYOUT!$E$2:$E$80,0)),"CEK SHELVING KE di luar layout",IF($I474="","CEK SERIES kosong",IF(AND(S474&lt;&gt;"",NOT(ISNUMBER(S474))),"CEK URUTAN DISPLAY harus angka",IF($D474="","Zona STOCK",IF($E474="","CEK SKU DESCRIPTION kosong",IF(COUNTIFS($I$2:$I$500,$I474,Q$2:Q$500,"&lt;&gt;"&amp;Q474,Q$2:Q$500,"&lt;&gt;")&gt;0,"CEK jenis fixture beda dalam satu series","OK"))))))))))</f>
        <v/>
      </c>
      <c r="V474" s="11" t="n"/>
      <c r="W474" s="11" t="n"/>
      <c r="X474" s="11" t="n"/>
      <c r="Y474" s="11">
        <f>IF(OR(V474="",W474=""),"",IFERROR(INDEX(LAYOUT!$D$2:$D$80,MATCH(V474&amp;"|"&amp;W474,LAYOUT!$E$2:$E$80,0)),""))</f>
        <v/>
      </c>
      <c r="Z474" s="12">
        <f>IF(AND(V474="",W474=""),IF(AND(L474="",M474="",Q474="",R474=""),IF(OR($D474&lt;&gt;"",$E474&lt;&gt;""),"Belum ditempatkan",""),""),IF(V474="","CEK JENIS FIXTURE kosong",IF(LEFT(V474,4)&lt;&gt;"Wall","CEK Fixture 3 hanya Wall",IF(W474="","CEK SHELVING KE kosong",IF(ISNA(MATCH(V474&amp;"|"&amp;W474,LAYOUT!$E$2:$E$80,0)),"CEK SHELVING KE di luar layout",IF($I474="","CEK SERIES kosong",IF(AND(X474&lt;&gt;"",NOT(ISNUMBER(X474))),"CEK URUTAN DISPLAY harus angka",IF($D474="","Zona STOCK",IF($E474="","CEK SKU DESCRIPTION kosong",IF(COUNTIFS($I$2:$I$500,$I474,V$2:V$500,"&lt;&gt;"&amp;V474,V$2:V$500,"&lt;&gt;")&gt;0,"CEK jenis fixture beda dalam satu series","OK"))))))))))</f>
        <v/>
      </c>
      <c r="AA474" s="12" t="n"/>
      <c r="AB474" s="11" t="n"/>
      <c r="AC474" s="11" t="n"/>
      <c r="AD474" s="11" t="n"/>
      <c r="AE474" s="11" t="n"/>
      <c r="AF474" s="11" t="n"/>
      <c r="AG474" s="11" t="n"/>
      <c r="AH474" s="12" t="n"/>
      <c r="AI474" s="12" t="n"/>
    </row>
    <row r="475">
      <c r="A475" s="10" t="n"/>
      <c r="B475" s="10" t="n"/>
      <c r="C475" s="10" t="n"/>
      <c r="D475" s="10" t="n"/>
      <c r="E475" s="10" t="n"/>
      <c r="F475" s="10" t="n"/>
      <c r="G475" s="10" t="n"/>
      <c r="H475" s="10" t="n"/>
      <c r="I475" s="10" t="n"/>
      <c r="J475" s="10" t="n"/>
      <c r="K475" s="10" t="n"/>
      <c r="L475" s="11" t="n"/>
      <c r="M475" s="11" t="n"/>
      <c r="N475" s="11" t="n"/>
      <c r="O475" s="11">
        <f>IF(OR(L475="",M475=""),"",IFERROR(INDEX(LAYOUT!$D$2:$D$80,MATCH(L475&amp;"|"&amp;M475,LAYOUT!$E$2:$E$80,0)),""))</f>
        <v/>
      </c>
      <c r="P475" s="12">
        <f>IF(AND(L475="",M475=""),IF(AND(Q475="",R475="",V475="",W475=""),IF(OR($D475&lt;&gt;"",$E475&lt;&gt;""),"Belum ditempatkan",""),""),IF(L475="","CEK JENIS FIXTURE kosong",IF(AND(LEFT(L475,7)&lt;&gt;"Gondola",LEFT(L475,6)&lt;&gt;"Endcap"),"CEK Fixture 1 hanya Gondola atau Endcap",IF(M475="","CEK SHELVING KE kosong",IF(ISNA(MATCH(L475&amp;"|"&amp;M475,LAYOUT!$E$2:$E$80,0)),"CEK SHELVING KE di luar layout",IF($I475="","CEK SERIES kosong",IF(AND(N475&lt;&gt;"",NOT(ISNUMBER(N475))),"CEK URUTAN DISPLAY harus angka",IF($D475="","Zona STOCK",IF($E475="","CEK SKU DESCRIPTION kosong",IF(COUNTIFS($I$2:$I$500,$I475,L$2:L$500,"&lt;&gt;"&amp;L475,L$2:L$500,"&lt;&gt;")&gt;0,"CEK jenis fixture beda dalam satu series","OK"))))))))))</f>
        <v/>
      </c>
      <c r="Q475" s="11" t="n"/>
      <c r="R475" s="11" t="n"/>
      <c r="S475" s="11" t="n"/>
      <c r="T475" s="11">
        <f>IF(OR(Q475="",R475=""),"",IFERROR(INDEX(LAYOUT!$D$2:$D$80,MATCH(Q475&amp;"|"&amp;R475,LAYOUT!$E$2:$E$80,0)),""))</f>
        <v/>
      </c>
      <c r="U475" s="12">
        <f>IF(AND(Q475="",R475=""),IF(AND(L475="",M475="",V475="",W475=""),IF(OR($D475&lt;&gt;"",$E475&lt;&gt;""),"Belum ditempatkan",""),""),IF(Q475="","CEK JENIS FIXTURE kosong",IF(LEFT(Q475,4)&lt;&gt;"Wall","CEK Fixture 2 hanya Wall",IF(R475="","CEK SHELVING KE kosong",IF(ISNA(MATCH(Q475&amp;"|"&amp;R475,LAYOUT!$E$2:$E$80,0)),"CEK SHELVING KE di luar layout",IF($I475="","CEK SERIES kosong",IF(AND(S475&lt;&gt;"",NOT(ISNUMBER(S475))),"CEK URUTAN DISPLAY harus angka",IF($D475="","Zona STOCK",IF($E475="","CEK SKU DESCRIPTION kosong",IF(COUNTIFS($I$2:$I$500,$I475,Q$2:Q$500,"&lt;&gt;"&amp;Q475,Q$2:Q$500,"&lt;&gt;")&gt;0,"CEK jenis fixture beda dalam satu series","OK"))))))))))</f>
        <v/>
      </c>
      <c r="V475" s="11" t="n"/>
      <c r="W475" s="11" t="n"/>
      <c r="X475" s="11" t="n"/>
      <c r="Y475" s="11">
        <f>IF(OR(V475="",W475=""),"",IFERROR(INDEX(LAYOUT!$D$2:$D$80,MATCH(V475&amp;"|"&amp;W475,LAYOUT!$E$2:$E$80,0)),""))</f>
        <v/>
      </c>
      <c r="Z475" s="12">
        <f>IF(AND(V475="",W475=""),IF(AND(L475="",M475="",Q475="",R475=""),IF(OR($D475&lt;&gt;"",$E475&lt;&gt;""),"Belum ditempatkan",""),""),IF(V475="","CEK JENIS FIXTURE kosong",IF(LEFT(V475,4)&lt;&gt;"Wall","CEK Fixture 3 hanya Wall",IF(W475="","CEK SHELVING KE kosong",IF(ISNA(MATCH(V475&amp;"|"&amp;W475,LAYOUT!$E$2:$E$80,0)),"CEK SHELVING KE di luar layout",IF($I475="","CEK SERIES kosong",IF(AND(X475&lt;&gt;"",NOT(ISNUMBER(X475))),"CEK URUTAN DISPLAY harus angka",IF($D475="","Zona STOCK",IF($E475="","CEK SKU DESCRIPTION kosong",IF(COUNTIFS($I$2:$I$500,$I475,V$2:V$500,"&lt;&gt;"&amp;V475,V$2:V$500,"&lt;&gt;")&gt;0,"CEK jenis fixture beda dalam satu series","OK"))))))))))</f>
        <v/>
      </c>
      <c r="AA475" s="12" t="n"/>
      <c r="AB475" s="11" t="n"/>
      <c r="AC475" s="11" t="n"/>
      <c r="AD475" s="11" t="n"/>
      <c r="AE475" s="11" t="n"/>
      <c r="AF475" s="11" t="n"/>
      <c r="AG475" s="11" t="n"/>
      <c r="AH475" s="12" t="n"/>
      <c r="AI475" s="12" t="n"/>
    </row>
    <row r="476">
      <c r="A476" s="10" t="n"/>
      <c r="B476" s="10" t="n"/>
      <c r="C476" s="10" t="n"/>
      <c r="D476" s="10" t="n"/>
      <c r="E476" s="10" t="n"/>
      <c r="F476" s="10" t="n"/>
      <c r="G476" s="10" t="n"/>
      <c r="H476" s="10" t="n"/>
      <c r="I476" s="10" t="n"/>
      <c r="J476" s="10" t="n"/>
      <c r="K476" s="10" t="n"/>
      <c r="L476" s="11" t="n"/>
      <c r="M476" s="11" t="n"/>
      <c r="N476" s="11" t="n"/>
      <c r="O476" s="11">
        <f>IF(OR(L476="",M476=""),"",IFERROR(INDEX(LAYOUT!$D$2:$D$80,MATCH(L476&amp;"|"&amp;M476,LAYOUT!$E$2:$E$80,0)),""))</f>
        <v/>
      </c>
      <c r="P476" s="12">
        <f>IF(AND(L476="",M476=""),IF(AND(Q476="",R476="",V476="",W476=""),IF(OR($D476&lt;&gt;"",$E476&lt;&gt;""),"Belum ditempatkan",""),""),IF(L476="","CEK JENIS FIXTURE kosong",IF(AND(LEFT(L476,7)&lt;&gt;"Gondola",LEFT(L476,6)&lt;&gt;"Endcap"),"CEK Fixture 1 hanya Gondola atau Endcap",IF(M476="","CEK SHELVING KE kosong",IF(ISNA(MATCH(L476&amp;"|"&amp;M476,LAYOUT!$E$2:$E$80,0)),"CEK SHELVING KE di luar layout",IF($I476="","CEK SERIES kosong",IF(AND(N476&lt;&gt;"",NOT(ISNUMBER(N476))),"CEK URUTAN DISPLAY harus angka",IF($D476="","Zona STOCK",IF($E476="","CEK SKU DESCRIPTION kosong",IF(COUNTIFS($I$2:$I$500,$I476,L$2:L$500,"&lt;&gt;"&amp;L476,L$2:L$500,"&lt;&gt;")&gt;0,"CEK jenis fixture beda dalam satu series","OK"))))))))))</f>
        <v/>
      </c>
      <c r="Q476" s="11" t="n"/>
      <c r="R476" s="11" t="n"/>
      <c r="S476" s="11" t="n"/>
      <c r="T476" s="11">
        <f>IF(OR(Q476="",R476=""),"",IFERROR(INDEX(LAYOUT!$D$2:$D$80,MATCH(Q476&amp;"|"&amp;R476,LAYOUT!$E$2:$E$80,0)),""))</f>
        <v/>
      </c>
      <c r="U476" s="12">
        <f>IF(AND(Q476="",R476=""),IF(AND(L476="",M476="",V476="",W476=""),IF(OR($D476&lt;&gt;"",$E476&lt;&gt;""),"Belum ditempatkan",""),""),IF(Q476="","CEK JENIS FIXTURE kosong",IF(LEFT(Q476,4)&lt;&gt;"Wall","CEK Fixture 2 hanya Wall",IF(R476="","CEK SHELVING KE kosong",IF(ISNA(MATCH(Q476&amp;"|"&amp;R476,LAYOUT!$E$2:$E$80,0)),"CEK SHELVING KE di luar layout",IF($I476="","CEK SERIES kosong",IF(AND(S476&lt;&gt;"",NOT(ISNUMBER(S476))),"CEK URUTAN DISPLAY harus angka",IF($D476="","Zona STOCK",IF($E476="","CEK SKU DESCRIPTION kosong",IF(COUNTIFS($I$2:$I$500,$I476,Q$2:Q$500,"&lt;&gt;"&amp;Q476,Q$2:Q$500,"&lt;&gt;")&gt;0,"CEK jenis fixture beda dalam satu series","OK"))))))))))</f>
        <v/>
      </c>
      <c r="V476" s="11" t="n"/>
      <c r="W476" s="11" t="n"/>
      <c r="X476" s="11" t="n"/>
      <c r="Y476" s="11">
        <f>IF(OR(V476="",W476=""),"",IFERROR(INDEX(LAYOUT!$D$2:$D$80,MATCH(V476&amp;"|"&amp;W476,LAYOUT!$E$2:$E$80,0)),""))</f>
        <v/>
      </c>
      <c r="Z476" s="12">
        <f>IF(AND(V476="",W476=""),IF(AND(L476="",M476="",Q476="",R476=""),IF(OR($D476&lt;&gt;"",$E476&lt;&gt;""),"Belum ditempatkan",""),""),IF(V476="","CEK JENIS FIXTURE kosong",IF(LEFT(V476,4)&lt;&gt;"Wall","CEK Fixture 3 hanya Wall",IF(W476="","CEK SHELVING KE kosong",IF(ISNA(MATCH(V476&amp;"|"&amp;W476,LAYOUT!$E$2:$E$80,0)),"CEK SHELVING KE di luar layout",IF($I476="","CEK SERIES kosong",IF(AND(X476&lt;&gt;"",NOT(ISNUMBER(X476))),"CEK URUTAN DISPLAY harus angka",IF($D476="","Zona STOCK",IF($E476="","CEK SKU DESCRIPTION kosong",IF(COUNTIFS($I$2:$I$500,$I476,V$2:V$500,"&lt;&gt;"&amp;V476,V$2:V$500,"&lt;&gt;")&gt;0,"CEK jenis fixture beda dalam satu series","OK"))))))))))</f>
        <v/>
      </c>
      <c r="AA476" s="12" t="n"/>
      <c r="AB476" s="11" t="n"/>
      <c r="AC476" s="11" t="n"/>
      <c r="AD476" s="11" t="n"/>
      <c r="AE476" s="11" t="n"/>
      <c r="AF476" s="11" t="n"/>
      <c r="AG476" s="11" t="n"/>
      <c r="AH476" s="12" t="n"/>
      <c r="AI476" s="12" t="n"/>
    </row>
    <row r="477">
      <c r="A477" s="10" t="n"/>
      <c r="B477" s="10" t="n"/>
      <c r="C477" s="10" t="n"/>
      <c r="D477" s="10" t="n"/>
      <c r="E477" s="10" t="n"/>
      <c r="F477" s="10" t="n"/>
      <c r="G477" s="10" t="n"/>
      <c r="H477" s="10" t="n"/>
      <c r="I477" s="10" t="n"/>
      <c r="J477" s="10" t="n"/>
      <c r="K477" s="10" t="n"/>
      <c r="L477" s="11" t="n"/>
      <c r="M477" s="11" t="n"/>
      <c r="N477" s="11" t="n"/>
      <c r="O477" s="11">
        <f>IF(OR(L477="",M477=""),"",IFERROR(INDEX(LAYOUT!$D$2:$D$80,MATCH(L477&amp;"|"&amp;M477,LAYOUT!$E$2:$E$80,0)),""))</f>
        <v/>
      </c>
      <c r="P477" s="12">
        <f>IF(AND(L477="",M477=""),IF(AND(Q477="",R477="",V477="",W477=""),IF(OR($D477&lt;&gt;"",$E477&lt;&gt;""),"Belum ditempatkan",""),""),IF(L477="","CEK JENIS FIXTURE kosong",IF(AND(LEFT(L477,7)&lt;&gt;"Gondola",LEFT(L477,6)&lt;&gt;"Endcap"),"CEK Fixture 1 hanya Gondola atau Endcap",IF(M477="","CEK SHELVING KE kosong",IF(ISNA(MATCH(L477&amp;"|"&amp;M477,LAYOUT!$E$2:$E$80,0)),"CEK SHELVING KE di luar layout",IF($I477="","CEK SERIES kosong",IF(AND(N477&lt;&gt;"",NOT(ISNUMBER(N477))),"CEK URUTAN DISPLAY harus angka",IF($D477="","Zona STOCK",IF($E477="","CEK SKU DESCRIPTION kosong",IF(COUNTIFS($I$2:$I$500,$I477,L$2:L$500,"&lt;&gt;"&amp;L477,L$2:L$500,"&lt;&gt;")&gt;0,"CEK jenis fixture beda dalam satu series","OK"))))))))))</f>
        <v/>
      </c>
      <c r="Q477" s="11" t="n"/>
      <c r="R477" s="11" t="n"/>
      <c r="S477" s="11" t="n"/>
      <c r="T477" s="11">
        <f>IF(OR(Q477="",R477=""),"",IFERROR(INDEX(LAYOUT!$D$2:$D$80,MATCH(Q477&amp;"|"&amp;R477,LAYOUT!$E$2:$E$80,0)),""))</f>
        <v/>
      </c>
      <c r="U477" s="12">
        <f>IF(AND(Q477="",R477=""),IF(AND(L477="",M477="",V477="",W477=""),IF(OR($D477&lt;&gt;"",$E477&lt;&gt;""),"Belum ditempatkan",""),""),IF(Q477="","CEK JENIS FIXTURE kosong",IF(LEFT(Q477,4)&lt;&gt;"Wall","CEK Fixture 2 hanya Wall",IF(R477="","CEK SHELVING KE kosong",IF(ISNA(MATCH(Q477&amp;"|"&amp;R477,LAYOUT!$E$2:$E$80,0)),"CEK SHELVING KE di luar layout",IF($I477="","CEK SERIES kosong",IF(AND(S477&lt;&gt;"",NOT(ISNUMBER(S477))),"CEK URUTAN DISPLAY harus angka",IF($D477="","Zona STOCK",IF($E477="","CEK SKU DESCRIPTION kosong",IF(COUNTIFS($I$2:$I$500,$I477,Q$2:Q$500,"&lt;&gt;"&amp;Q477,Q$2:Q$500,"&lt;&gt;")&gt;0,"CEK jenis fixture beda dalam satu series","OK"))))))))))</f>
        <v/>
      </c>
      <c r="V477" s="11" t="n"/>
      <c r="W477" s="11" t="n"/>
      <c r="X477" s="11" t="n"/>
      <c r="Y477" s="11">
        <f>IF(OR(V477="",W477=""),"",IFERROR(INDEX(LAYOUT!$D$2:$D$80,MATCH(V477&amp;"|"&amp;W477,LAYOUT!$E$2:$E$80,0)),""))</f>
        <v/>
      </c>
      <c r="Z477" s="12">
        <f>IF(AND(V477="",W477=""),IF(AND(L477="",M477="",Q477="",R477=""),IF(OR($D477&lt;&gt;"",$E477&lt;&gt;""),"Belum ditempatkan",""),""),IF(V477="","CEK JENIS FIXTURE kosong",IF(LEFT(V477,4)&lt;&gt;"Wall","CEK Fixture 3 hanya Wall",IF(W477="","CEK SHELVING KE kosong",IF(ISNA(MATCH(V477&amp;"|"&amp;W477,LAYOUT!$E$2:$E$80,0)),"CEK SHELVING KE di luar layout",IF($I477="","CEK SERIES kosong",IF(AND(X477&lt;&gt;"",NOT(ISNUMBER(X477))),"CEK URUTAN DISPLAY harus angka",IF($D477="","Zona STOCK",IF($E477="","CEK SKU DESCRIPTION kosong",IF(COUNTIFS($I$2:$I$500,$I477,V$2:V$500,"&lt;&gt;"&amp;V477,V$2:V$500,"&lt;&gt;")&gt;0,"CEK jenis fixture beda dalam satu series","OK"))))))))))</f>
        <v/>
      </c>
      <c r="AA477" s="12" t="n"/>
      <c r="AB477" s="11" t="n"/>
      <c r="AC477" s="11" t="n"/>
      <c r="AD477" s="11" t="n"/>
      <c r="AE477" s="11" t="n"/>
      <c r="AF477" s="11" t="n"/>
      <c r="AG477" s="11" t="n"/>
      <c r="AH477" s="12" t="n"/>
      <c r="AI477" s="12" t="n"/>
    </row>
    <row r="478">
      <c r="A478" s="10" t="n"/>
      <c r="B478" s="10" t="n"/>
      <c r="C478" s="10" t="n"/>
      <c r="D478" s="10" t="n"/>
      <c r="E478" s="10" t="n"/>
      <c r="F478" s="10" t="n"/>
      <c r="G478" s="10" t="n"/>
      <c r="H478" s="10" t="n"/>
      <c r="I478" s="10" t="n"/>
      <c r="J478" s="10" t="n"/>
      <c r="K478" s="10" t="n"/>
      <c r="L478" s="11" t="n"/>
      <c r="M478" s="11" t="n"/>
      <c r="N478" s="11" t="n"/>
      <c r="O478" s="11">
        <f>IF(OR(L478="",M478=""),"",IFERROR(INDEX(LAYOUT!$D$2:$D$80,MATCH(L478&amp;"|"&amp;M478,LAYOUT!$E$2:$E$80,0)),""))</f>
        <v/>
      </c>
      <c r="P478" s="12">
        <f>IF(AND(L478="",M478=""),IF(AND(Q478="",R478="",V478="",W478=""),IF(OR($D478&lt;&gt;"",$E478&lt;&gt;""),"Belum ditempatkan",""),""),IF(L478="","CEK JENIS FIXTURE kosong",IF(AND(LEFT(L478,7)&lt;&gt;"Gondola",LEFT(L478,6)&lt;&gt;"Endcap"),"CEK Fixture 1 hanya Gondola atau Endcap",IF(M478="","CEK SHELVING KE kosong",IF(ISNA(MATCH(L478&amp;"|"&amp;M478,LAYOUT!$E$2:$E$80,0)),"CEK SHELVING KE di luar layout",IF($I478="","CEK SERIES kosong",IF(AND(N478&lt;&gt;"",NOT(ISNUMBER(N478))),"CEK URUTAN DISPLAY harus angka",IF($D478="","Zona STOCK",IF($E478="","CEK SKU DESCRIPTION kosong",IF(COUNTIFS($I$2:$I$500,$I478,L$2:L$500,"&lt;&gt;"&amp;L478,L$2:L$500,"&lt;&gt;")&gt;0,"CEK jenis fixture beda dalam satu series","OK"))))))))))</f>
        <v/>
      </c>
      <c r="Q478" s="11" t="n"/>
      <c r="R478" s="11" t="n"/>
      <c r="S478" s="11" t="n"/>
      <c r="T478" s="11">
        <f>IF(OR(Q478="",R478=""),"",IFERROR(INDEX(LAYOUT!$D$2:$D$80,MATCH(Q478&amp;"|"&amp;R478,LAYOUT!$E$2:$E$80,0)),""))</f>
        <v/>
      </c>
      <c r="U478" s="12">
        <f>IF(AND(Q478="",R478=""),IF(AND(L478="",M478="",V478="",W478=""),IF(OR($D478&lt;&gt;"",$E478&lt;&gt;""),"Belum ditempatkan",""),""),IF(Q478="","CEK JENIS FIXTURE kosong",IF(LEFT(Q478,4)&lt;&gt;"Wall","CEK Fixture 2 hanya Wall",IF(R478="","CEK SHELVING KE kosong",IF(ISNA(MATCH(Q478&amp;"|"&amp;R478,LAYOUT!$E$2:$E$80,0)),"CEK SHELVING KE di luar layout",IF($I478="","CEK SERIES kosong",IF(AND(S478&lt;&gt;"",NOT(ISNUMBER(S478))),"CEK URUTAN DISPLAY harus angka",IF($D478="","Zona STOCK",IF($E478="","CEK SKU DESCRIPTION kosong",IF(COUNTIFS($I$2:$I$500,$I478,Q$2:Q$500,"&lt;&gt;"&amp;Q478,Q$2:Q$500,"&lt;&gt;")&gt;0,"CEK jenis fixture beda dalam satu series","OK"))))))))))</f>
        <v/>
      </c>
      <c r="V478" s="11" t="n"/>
      <c r="W478" s="11" t="n"/>
      <c r="X478" s="11" t="n"/>
      <c r="Y478" s="11">
        <f>IF(OR(V478="",W478=""),"",IFERROR(INDEX(LAYOUT!$D$2:$D$80,MATCH(V478&amp;"|"&amp;W478,LAYOUT!$E$2:$E$80,0)),""))</f>
        <v/>
      </c>
      <c r="Z478" s="12">
        <f>IF(AND(V478="",W478=""),IF(AND(L478="",M478="",Q478="",R478=""),IF(OR($D478&lt;&gt;"",$E478&lt;&gt;""),"Belum ditempatkan",""),""),IF(V478="","CEK JENIS FIXTURE kosong",IF(LEFT(V478,4)&lt;&gt;"Wall","CEK Fixture 3 hanya Wall",IF(W478="","CEK SHELVING KE kosong",IF(ISNA(MATCH(V478&amp;"|"&amp;W478,LAYOUT!$E$2:$E$80,0)),"CEK SHELVING KE di luar layout",IF($I478="","CEK SERIES kosong",IF(AND(X478&lt;&gt;"",NOT(ISNUMBER(X478))),"CEK URUTAN DISPLAY harus angka",IF($D478="","Zona STOCK",IF($E478="","CEK SKU DESCRIPTION kosong",IF(COUNTIFS($I$2:$I$500,$I478,V$2:V$500,"&lt;&gt;"&amp;V478,V$2:V$500,"&lt;&gt;")&gt;0,"CEK jenis fixture beda dalam satu series","OK"))))))))))</f>
        <v/>
      </c>
      <c r="AA478" s="12" t="n"/>
      <c r="AB478" s="11" t="n"/>
      <c r="AC478" s="11" t="n"/>
      <c r="AD478" s="11" t="n"/>
      <c r="AE478" s="11" t="n"/>
      <c r="AF478" s="11" t="n"/>
      <c r="AG478" s="11" t="n"/>
      <c r="AH478" s="12" t="n"/>
      <c r="AI478" s="12" t="n"/>
    </row>
    <row r="479">
      <c r="A479" s="10" t="n"/>
      <c r="B479" s="10" t="n"/>
      <c r="C479" s="10" t="n"/>
      <c r="D479" s="10" t="n"/>
      <c r="E479" s="10" t="n"/>
      <c r="F479" s="10" t="n"/>
      <c r="G479" s="10" t="n"/>
      <c r="H479" s="10" t="n"/>
      <c r="I479" s="10" t="n"/>
      <c r="J479" s="10" t="n"/>
      <c r="K479" s="10" t="n"/>
      <c r="L479" s="11" t="n"/>
      <c r="M479" s="11" t="n"/>
      <c r="N479" s="11" t="n"/>
      <c r="O479" s="11">
        <f>IF(OR(L479="",M479=""),"",IFERROR(INDEX(LAYOUT!$D$2:$D$80,MATCH(L479&amp;"|"&amp;M479,LAYOUT!$E$2:$E$80,0)),""))</f>
        <v/>
      </c>
      <c r="P479" s="12">
        <f>IF(AND(L479="",M479=""),IF(AND(Q479="",R479="",V479="",W479=""),IF(OR($D479&lt;&gt;"",$E479&lt;&gt;""),"Belum ditempatkan",""),""),IF(L479="","CEK JENIS FIXTURE kosong",IF(AND(LEFT(L479,7)&lt;&gt;"Gondola",LEFT(L479,6)&lt;&gt;"Endcap"),"CEK Fixture 1 hanya Gondola atau Endcap",IF(M479="","CEK SHELVING KE kosong",IF(ISNA(MATCH(L479&amp;"|"&amp;M479,LAYOUT!$E$2:$E$80,0)),"CEK SHELVING KE di luar layout",IF($I479="","CEK SERIES kosong",IF(AND(N479&lt;&gt;"",NOT(ISNUMBER(N479))),"CEK URUTAN DISPLAY harus angka",IF($D479="","Zona STOCK",IF($E479="","CEK SKU DESCRIPTION kosong",IF(COUNTIFS($I$2:$I$500,$I479,L$2:L$500,"&lt;&gt;"&amp;L479,L$2:L$500,"&lt;&gt;")&gt;0,"CEK jenis fixture beda dalam satu series","OK"))))))))))</f>
        <v/>
      </c>
      <c r="Q479" s="11" t="n"/>
      <c r="R479" s="11" t="n"/>
      <c r="S479" s="11" t="n"/>
      <c r="T479" s="11">
        <f>IF(OR(Q479="",R479=""),"",IFERROR(INDEX(LAYOUT!$D$2:$D$80,MATCH(Q479&amp;"|"&amp;R479,LAYOUT!$E$2:$E$80,0)),""))</f>
        <v/>
      </c>
      <c r="U479" s="12">
        <f>IF(AND(Q479="",R479=""),IF(AND(L479="",M479="",V479="",W479=""),IF(OR($D479&lt;&gt;"",$E479&lt;&gt;""),"Belum ditempatkan",""),""),IF(Q479="","CEK JENIS FIXTURE kosong",IF(LEFT(Q479,4)&lt;&gt;"Wall","CEK Fixture 2 hanya Wall",IF(R479="","CEK SHELVING KE kosong",IF(ISNA(MATCH(Q479&amp;"|"&amp;R479,LAYOUT!$E$2:$E$80,0)),"CEK SHELVING KE di luar layout",IF($I479="","CEK SERIES kosong",IF(AND(S479&lt;&gt;"",NOT(ISNUMBER(S479))),"CEK URUTAN DISPLAY harus angka",IF($D479="","Zona STOCK",IF($E479="","CEK SKU DESCRIPTION kosong",IF(COUNTIFS($I$2:$I$500,$I479,Q$2:Q$500,"&lt;&gt;"&amp;Q479,Q$2:Q$500,"&lt;&gt;")&gt;0,"CEK jenis fixture beda dalam satu series","OK"))))))))))</f>
        <v/>
      </c>
      <c r="V479" s="11" t="n"/>
      <c r="W479" s="11" t="n"/>
      <c r="X479" s="11" t="n"/>
      <c r="Y479" s="11">
        <f>IF(OR(V479="",W479=""),"",IFERROR(INDEX(LAYOUT!$D$2:$D$80,MATCH(V479&amp;"|"&amp;W479,LAYOUT!$E$2:$E$80,0)),""))</f>
        <v/>
      </c>
      <c r="Z479" s="12">
        <f>IF(AND(V479="",W479=""),IF(AND(L479="",M479="",Q479="",R479=""),IF(OR($D479&lt;&gt;"",$E479&lt;&gt;""),"Belum ditempatkan",""),""),IF(V479="","CEK JENIS FIXTURE kosong",IF(LEFT(V479,4)&lt;&gt;"Wall","CEK Fixture 3 hanya Wall",IF(W479="","CEK SHELVING KE kosong",IF(ISNA(MATCH(V479&amp;"|"&amp;W479,LAYOUT!$E$2:$E$80,0)),"CEK SHELVING KE di luar layout",IF($I479="","CEK SERIES kosong",IF(AND(X479&lt;&gt;"",NOT(ISNUMBER(X479))),"CEK URUTAN DISPLAY harus angka",IF($D479="","Zona STOCK",IF($E479="","CEK SKU DESCRIPTION kosong",IF(COUNTIFS($I$2:$I$500,$I479,V$2:V$500,"&lt;&gt;"&amp;V479,V$2:V$500,"&lt;&gt;")&gt;0,"CEK jenis fixture beda dalam satu series","OK"))))))))))</f>
        <v/>
      </c>
      <c r="AA479" s="12" t="n"/>
      <c r="AB479" s="11" t="n"/>
      <c r="AC479" s="11" t="n"/>
      <c r="AD479" s="11" t="n"/>
      <c r="AE479" s="11" t="n"/>
      <c r="AF479" s="11" t="n"/>
      <c r="AG479" s="11" t="n"/>
      <c r="AH479" s="12" t="n"/>
      <c r="AI479" s="12" t="n"/>
    </row>
    <row r="480">
      <c r="A480" s="10" t="n"/>
      <c r="B480" s="10" t="n"/>
      <c r="C480" s="10" t="n"/>
      <c r="D480" s="10" t="n"/>
      <c r="E480" s="10" t="n"/>
      <c r="F480" s="10" t="n"/>
      <c r="G480" s="10" t="n"/>
      <c r="H480" s="10" t="n"/>
      <c r="I480" s="10" t="n"/>
      <c r="J480" s="10" t="n"/>
      <c r="K480" s="10" t="n"/>
      <c r="L480" s="11" t="n"/>
      <c r="M480" s="11" t="n"/>
      <c r="N480" s="11" t="n"/>
      <c r="O480" s="11">
        <f>IF(OR(L480="",M480=""),"",IFERROR(INDEX(LAYOUT!$D$2:$D$80,MATCH(L480&amp;"|"&amp;M480,LAYOUT!$E$2:$E$80,0)),""))</f>
        <v/>
      </c>
      <c r="P480" s="12">
        <f>IF(AND(L480="",M480=""),IF(AND(Q480="",R480="",V480="",W480=""),IF(OR($D480&lt;&gt;"",$E480&lt;&gt;""),"Belum ditempatkan",""),""),IF(L480="","CEK JENIS FIXTURE kosong",IF(AND(LEFT(L480,7)&lt;&gt;"Gondola",LEFT(L480,6)&lt;&gt;"Endcap"),"CEK Fixture 1 hanya Gondola atau Endcap",IF(M480="","CEK SHELVING KE kosong",IF(ISNA(MATCH(L480&amp;"|"&amp;M480,LAYOUT!$E$2:$E$80,0)),"CEK SHELVING KE di luar layout",IF($I480="","CEK SERIES kosong",IF(AND(N480&lt;&gt;"",NOT(ISNUMBER(N480))),"CEK URUTAN DISPLAY harus angka",IF($D480="","Zona STOCK",IF($E480="","CEK SKU DESCRIPTION kosong",IF(COUNTIFS($I$2:$I$500,$I480,L$2:L$500,"&lt;&gt;"&amp;L480,L$2:L$500,"&lt;&gt;")&gt;0,"CEK jenis fixture beda dalam satu series","OK"))))))))))</f>
        <v/>
      </c>
      <c r="Q480" s="11" t="n"/>
      <c r="R480" s="11" t="n"/>
      <c r="S480" s="11" t="n"/>
      <c r="T480" s="11">
        <f>IF(OR(Q480="",R480=""),"",IFERROR(INDEX(LAYOUT!$D$2:$D$80,MATCH(Q480&amp;"|"&amp;R480,LAYOUT!$E$2:$E$80,0)),""))</f>
        <v/>
      </c>
      <c r="U480" s="12">
        <f>IF(AND(Q480="",R480=""),IF(AND(L480="",M480="",V480="",W480=""),IF(OR($D480&lt;&gt;"",$E480&lt;&gt;""),"Belum ditempatkan",""),""),IF(Q480="","CEK JENIS FIXTURE kosong",IF(LEFT(Q480,4)&lt;&gt;"Wall","CEK Fixture 2 hanya Wall",IF(R480="","CEK SHELVING KE kosong",IF(ISNA(MATCH(Q480&amp;"|"&amp;R480,LAYOUT!$E$2:$E$80,0)),"CEK SHELVING KE di luar layout",IF($I480="","CEK SERIES kosong",IF(AND(S480&lt;&gt;"",NOT(ISNUMBER(S480))),"CEK URUTAN DISPLAY harus angka",IF($D480="","Zona STOCK",IF($E480="","CEK SKU DESCRIPTION kosong",IF(COUNTIFS($I$2:$I$500,$I480,Q$2:Q$500,"&lt;&gt;"&amp;Q480,Q$2:Q$500,"&lt;&gt;")&gt;0,"CEK jenis fixture beda dalam satu series","OK"))))))))))</f>
        <v/>
      </c>
      <c r="V480" s="11" t="n"/>
      <c r="W480" s="11" t="n"/>
      <c r="X480" s="11" t="n"/>
      <c r="Y480" s="11">
        <f>IF(OR(V480="",W480=""),"",IFERROR(INDEX(LAYOUT!$D$2:$D$80,MATCH(V480&amp;"|"&amp;W480,LAYOUT!$E$2:$E$80,0)),""))</f>
        <v/>
      </c>
      <c r="Z480" s="12">
        <f>IF(AND(V480="",W480=""),IF(AND(L480="",M480="",Q480="",R480=""),IF(OR($D480&lt;&gt;"",$E480&lt;&gt;""),"Belum ditempatkan",""),""),IF(V480="","CEK JENIS FIXTURE kosong",IF(LEFT(V480,4)&lt;&gt;"Wall","CEK Fixture 3 hanya Wall",IF(W480="","CEK SHELVING KE kosong",IF(ISNA(MATCH(V480&amp;"|"&amp;W480,LAYOUT!$E$2:$E$80,0)),"CEK SHELVING KE di luar layout",IF($I480="","CEK SERIES kosong",IF(AND(X480&lt;&gt;"",NOT(ISNUMBER(X480))),"CEK URUTAN DISPLAY harus angka",IF($D480="","Zona STOCK",IF($E480="","CEK SKU DESCRIPTION kosong",IF(COUNTIFS($I$2:$I$500,$I480,V$2:V$500,"&lt;&gt;"&amp;V480,V$2:V$500,"&lt;&gt;")&gt;0,"CEK jenis fixture beda dalam satu series","OK"))))))))))</f>
        <v/>
      </c>
      <c r="AA480" s="12" t="n"/>
      <c r="AB480" s="11" t="n"/>
      <c r="AC480" s="11" t="n"/>
      <c r="AD480" s="11" t="n"/>
      <c r="AE480" s="11" t="n"/>
      <c r="AF480" s="11" t="n"/>
      <c r="AG480" s="11" t="n"/>
      <c r="AH480" s="12" t="n"/>
      <c r="AI480" s="12" t="n"/>
    </row>
    <row r="481">
      <c r="A481" s="10" t="n"/>
      <c r="B481" s="10" t="n"/>
      <c r="C481" s="10" t="n"/>
      <c r="D481" s="10" t="n"/>
      <c r="E481" s="10" t="n"/>
      <c r="F481" s="10" t="n"/>
      <c r="G481" s="10" t="n"/>
      <c r="H481" s="10" t="n"/>
      <c r="I481" s="10" t="n"/>
      <c r="J481" s="10" t="n"/>
      <c r="K481" s="10" t="n"/>
      <c r="L481" s="11" t="n"/>
      <c r="M481" s="11" t="n"/>
      <c r="N481" s="11" t="n"/>
      <c r="O481" s="11">
        <f>IF(OR(L481="",M481=""),"",IFERROR(INDEX(LAYOUT!$D$2:$D$80,MATCH(L481&amp;"|"&amp;M481,LAYOUT!$E$2:$E$80,0)),""))</f>
        <v/>
      </c>
      <c r="P481" s="12">
        <f>IF(AND(L481="",M481=""),IF(AND(Q481="",R481="",V481="",W481=""),IF(OR($D481&lt;&gt;"",$E481&lt;&gt;""),"Belum ditempatkan",""),""),IF(L481="","CEK JENIS FIXTURE kosong",IF(AND(LEFT(L481,7)&lt;&gt;"Gondola",LEFT(L481,6)&lt;&gt;"Endcap"),"CEK Fixture 1 hanya Gondola atau Endcap",IF(M481="","CEK SHELVING KE kosong",IF(ISNA(MATCH(L481&amp;"|"&amp;M481,LAYOUT!$E$2:$E$80,0)),"CEK SHELVING KE di luar layout",IF($I481="","CEK SERIES kosong",IF(AND(N481&lt;&gt;"",NOT(ISNUMBER(N481))),"CEK URUTAN DISPLAY harus angka",IF($D481="","Zona STOCK",IF($E481="","CEK SKU DESCRIPTION kosong",IF(COUNTIFS($I$2:$I$500,$I481,L$2:L$500,"&lt;&gt;"&amp;L481,L$2:L$500,"&lt;&gt;")&gt;0,"CEK jenis fixture beda dalam satu series","OK"))))))))))</f>
        <v/>
      </c>
      <c r="Q481" s="11" t="n"/>
      <c r="R481" s="11" t="n"/>
      <c r="S481" s="11" t="n"/>
      <c r="T481" s="11">
        <f>IF(OR(Q481="",R481=""),"",IFERROR(INDEX(LAYOUT!$D$2:$D$80,MATCH(Q481&amp;"|"&amp;R481,LAYOUT!$E$2:$E$80,0)),""))</f>
        <v/>
      </c>
      <c r="U481" s="12">
        <f>IF(AND(Q481="",R481=""),IF(AND(L481="",M481="",V481="",W481=""),IF(OR($D481&lt;&gt;"",$E481&lt;&gt;""),"Belum ditempatkan",""),""),IF(Q481="","CEK JENIS FIXTURE kosong",IF(LEFT(Q481,4)&lt;&gt;"Wall","CEK Fixture 2 hanya Wall",IF(R481="","CEK SHELVING KE kosong",IF(ISNA(MATCH(Q481&amp;"|"&amp;R481,LAYOUT!$E$2:$E$80,0)),"CEK SHELVING KE di luar layout",IF($I481="","CEK SERIES kosong",IF(AND(S481&lt;&gt;"",NOT(ISNUMBER(S481))),"CEK URUTAN DISPLAY harus angka",IF($D481="","Zona STOCK",IF($E481="","CEK SKU DESCRIPTION kosong",IF(COUNTIFS($I$2:$I$500,$I481,Q$2:Q$500,"&lt;&gt;"&amp;Q481,Q$2:Q$500,"&lt;&gt;")&gt;0,"CEK jenis fixture beda dalam satu series","OK"))))))))))</f>
        <v/>
      </c>
      <c r="V481" s="11" t="n"/>
      <c r="W481" s="11" t="n"/>
      <c r="X481" s="11" t="n"/>
      <c r="Y481" s="11">
        <f>IF(OR(V481="",W481=""),"",IFERROR(INDEX(LAYOUT!$D$2:$D$80,MATCH(V481&amp;"|"&amp;W481,LAYOUT!$E$2:$E$80,0)),""))</f>
        <v/>
      </c>
      <c r="Z481" s="12">
        <f>IF(AND(V481="",W481=""),IF(AND(L481="",M481="",Q481="",R481=""),IF(OR($D481&lt;&gt;"",$E481&lt;&gt;""),"Belum ditempatkan",""),""),IF(V481="","CEK JENIS FIXTURE kosong",IF(LEFT(V481,4)&lt;&gt;"Wall","CEK Fixture 3 hanya Wall",IF(W481="","CEK SHELVING KE kosong",IF(ISNA(MATCH(V481&amp;"|"&amp;W481,LAYOUT!$E$2:$E$80,0)),"CEK SHELVING KE di luar layout",IF($I481="","CEK SERIES kosong",IF(AND(X481&lt;&gt;"",NOT(ISNUMBER(X481))),"CEK URUTAN DISPLAY harus angka",IF($D481="","Zona STOCK",IF($E481="","CEK SKU DESCRIPTION kosong",IF(COUNTIFS($I$2:$I$500,$I481,V$2:V$500,"&lt;&gt;"&amp;V481,V$2:V$500,"&lt;&gt;")&gt;0,"CEK jenis fixture beda dalam satu series","OK"))))))))))</f>
        <v/>
      </c>
      <c r="AA481" s="12" t="n"/>
      <c r="AB481" s="11" t="n"/>
      <c r="AC481" s="11" t="n"/>
      <c r="AD481" s="11" t="n"/>
      <c r="AE481" s="11" t="n"/>
      <c r="AF481" s="11" t="n"/>
      <c r="AG481" s="11" t="n"/>
      <c r="AH481" s="12" t="n"/>
      <c r="AI481" s="12" t="n"/>
    </row>
    <row r="482">
      <c r="A482" s="10" t="n"/>
      <c r="B482" s="10" t="n"/>
      <c r="C482" s="10" t="n"/>
      <c r="D482" s="10" t="n"/>
      <c r="E482" s="10" t="n"/>
      <c r="F482" s="10" t="n"/>
      <c r="G482" s="10" t="n"/>
      <c r="H482" s="10" t="n"/>
      <c r="I482" s="10" t="n"/>
      <c r="J482" s="10" t="n"/>
      <c r="K482" s="10" t="n"/>
      <c r="L482" s="11" t="n"/>
      <c r="M482" s="11" t="n"/>
      <c r="N482" s="11" t="n"/>
      <c r="O482" s="11">
        <f>IF(OR(L482="",M482=""),"",IFERROR(INDEX(LAYOUT!$D$2:$D$80,MATCH(L482&amp;"|"&amp;M482,LAYOUT!$E$2:$E$80,0)),""))</f>
        <v/>
      </c>
      <c r="P482" s="12">
        <f>IF(AND(L482="",M482=""),IF(AND(Q482="",R482="",V482="",W482=""),IF(OR($D482&lt;&gt;"",$E482&lt;&gt;""),"Belum ditempatkan",""),""),IF(L482="","CEK JENIS FIXTURE kosong",IF(AND(LEFT(L482,7)&lt;&gt;"Gondola",LEFT(L482,6)&lt;&gt;"Endcap"),"CEK Fixture 1 hanya Gondola atau Endcap",IF(M482="","CEK SHELVING KE kosong",IF(ISNA(MATCH(L482&amp;"|"&amp;M482,LAYOUT!$E$2:$E$80,0)),"CEK SHELVING KE di luar layout",IF($I482="","CEK SERIES kosong",IF(AND(N482&lt;&gt;"",NOT(ISNUMBER(N482))),"CEK URUTAN DISPLAY harus angka",IF($D482="","Zona STOCK",IF($E482="","CEK SKU DESCRIPTION kosong",IF(COUNTIFS($I$2:$I$500,$I482,L$2:L$500,"&lt;&gt;"&amp;L482,L$2:L$500,"&lt;&gt;")&gt;0,"CEK jenis fixture beda dalam satu series","OK"))))))))))</f>
        <v/>
      </c>
      <c r="Q482" s="11" t="n"/>
      <c r="R482" s="11" t="n"/>
      <c r="S482" s="11" t="n"/>
      <c r="T482" s="11">
        <f>IF(OR(Q482="",R482=""),"",IFERROR(INDEX(LAYOUT!$D$2:$D$80,MATCH(Q482&amp;"|"&amp;R482,LAYOUT!$E$2:$E$80,0)),""))</f>
        <v/>
      </c>
      <c r="U482" s="12">
        <f>IF(AND(Q482="",R482=""),IF(AND(L482="",M482="",V482="",W482=""),IF(OR($D482&lt;&gt;"",$E482&lt;&gt;""),"Belum ditempatkan",""),""),IF(Q482="","CEK JENIS FIXTURE kosong",IF(LEFT(Q482,4)&lt;&gt;"Wall","CEK Fixture 2 hanya Wall",IF(R482="","CEK SHELVING KE kosong",IF(ISNA(MATCH(Q482&amp;"|"&amp;R482,LAYOUT!$E$2:$E$80,0)),"CEK SHELVING KE di luar layout",IF($I482="","CEK SERIES kosong",IF(AND(S482&lt;&gt;"",NOT(ISNUMBER(S482))),"CEK URUTAN DISPLAY harus angka",IF($D482="","Zona STOCK",IF($E482="","CEK SKU DESCRIPTION kosong",IF(COUNTIFS($I$2:$I$500,$I482,Q$2:Q$500,"&lt;&gt;"&amp;Q482,Q$2:Q$500,"&lt;&gt;")&gt;0,"CEK jenis fixture beda dalam satu series","OK"))))))))))</f>
        <v/>
      </c>
      <c r="V482" s="11" t="n"/>
      <c r="W482" s="11" t="n"/>
      <c r="X482" s="11" t="n"/>
      <c r="Y482" s="11">
        <f>IF(OR(V482="",W482=""),"",IFERROR(INDEX(LAYOUT!$D$2:$D$80,MATCH(V482&amp;"|"&amp;W482,LAYOUT!$E$2:$E$80,0)),""))</f>
        <v/>
      </c>
      <c r="Z482" s="12">
        <f>IF(AND(V482="",W482=""),IF(AND(L482="",M482="",Q482="",R482=""),IF(OR($D482&lt;&gt;"",$E482&lt;&gt;""),"Belum ditempatkan",""),""),IF(V482="","CEK JENIS FIXTURE kosong",IF(LEFT(V482,4)&lt;&gt;"Wall","CEK Fixture 3 hanya Wall",IF(W482="","CEK SHELVING KE kosong",IF(ISNA(MATCH(V482&amp;"|"&amp;W482,LAYOUT!$E$2:$E$80,0)),"CEK SHELVING KE di luar layout",IF($I482="","CEK SERIES kosong",IF(AND(X482&lt;&gt;"",NOT(ISNUMBER(X482))),"CEK URUTAN DISPLAY harus angka",IF($D482="","Zona STOCK",IF($E482="","CEK SKU DESCRIPTION kosong",IF(COUNTIFS($I$2:$I$500,$I482,V$2:V$500,"&lt;&gt;"&amp;V482,V$2:V$500,"&lt;&gt;")&gt;0,"CEK jenis fixture beda dalam satu series","OK"))))))))))</f>
        <v/>
      </c>
      <c r="AA482" s="12" t="n"/>
      <c r="AB482" s="11" t="n"/>
      <c r="AC482" s="11" t="n"/>
      <c r="AD482" s="11" t="n"/>
      <c r="AE482" s="11" t="n"/>
      <c r="AF482" s="11" t="n"/>
      <c r="AG482" s="11" t="n"/>
      <c r="AH482" s="12" t="n"/>
      <c r="AI482" s="12" t="n"/>
    </row>
    <row r="483">
      <c r="A483" s="10" t="n"/>
      <c r="B483" s="10" t="n"/>
      <c r="C483" s="10" t="n"/>
      <c r="D483" s="10" t="n"/>
      <c r="E483" s="10" t="n"/>
      <c r="F483" s="10" t="n"/>
      <c r="G483" s="10" t="n"/>
      <c r="H483" s="10" t="n"/>
      <c r="I483" s="10" t="n"/>
      <c r="J483" s="10" t="n"/>
      <c r="K483" s="10" t="n"/>
      <c r="L483" s="11" t="n"/>
      <c r="M483" s="11" t="n"/>
      <c r="N483" s="11" t="n"/>
      <c r="O483" s="11">
        <f>IF(OR(L483="",M483=""),"",IFERROR(INDEX(LAYOUT!$D$2:$D$80,MATCH(L483&amp;"|"&amp;M483,LAYOUT!$E$2:$E$80,0)),""))</f>
        <v/>
      </c>
      <c r="P483" s="12">
        <f>IF(AND(L483="",M483=""),IF(AND(Q483="",R483="",V483="",W483=""),IF(OR($D483&lt;&gt;"",$E483&lt;&gt;""),"Belum ditempatkan",""),""),IF(L483="","CEK JENIS FIXTURE kosong",IF(AND(LEFT(L483,7)&lt;&gt;"Gondola",LEFT(L483,6)&lt;&gt;"Endcap"),"CEK Fixture 1 hanya Gondola atau Endcap",IF(M483="","CEK SHELVING KE kosong",IF(ISNA(MATCH(L483&amp;"|"&amp;M483,LAYOUT!$E$2:$E$80,0)),"CEK SHELVING KE di luar layout",IF($I483="","CEK SERIES kosong",IF(AND(N483&lt;&gt;"",NOT(ISNUMBER(N483))),"CEK URUTAN DISPLAY harus angka",IF($D483="","Zona STOCK",IF($E483="","CEK SKU DESCRIPTION kosong",IF(COUNTIFS($I$2:$I$500,$I483,L$2:L$500,"&lt;&gt;"&amp;L483,L$2:L$500,"&lt;&gt;")&gt;0,"CEK jenis fixture beda dalam satu series","OK"))))))))))</f>
        <v/>
      </c>
      <c r="Q483" s="11" t="n"/>
      <c r="R483" s="11" t="n"/>
      <c r="S483" s="11" t="n"/>
      <c r="T483" s="11">
        <f>IF(OR(Q483="",R483=""),"",IFERROR(INDEX(LAYOUT!$D$2:$D$80,MATCH(Q483&amp;"|"&amp;R483,LAYOUT!$E$2:$E$80,0)),""))</f>
        <v/>
      </c>
      <c r="U483" s="12">
        <f>IF(AND(Q483="",R483=""),IF(AND(L483="",M483="",V483="",W483=""),IF(OR($D483&lt;&gt;"",$E483&lt;&gt;""),"Belum ditempatkan",""),""),IF(Q483="","CEK JENIS FIXTURE kosong",IF(LEFT(Q483,4)&lt;&gt;"Wall","CEK Fixture 2 hanya Wall",IF(R483="","CEK SHELVING KE kosong",IF(ISNA(MATCH(Q483&amp;"|"&amp;R483,LAYOUT!$E$2:$E$80,0)),"CEK SHELVING KE di luar layout",IF($I483="","CEK SERIES kosong",IF(AND(S483&lt;&gt;"",NOT(ISNUMBER(S483))),"CEK URUTAN DISPLAY harus angka",IF($D483="","Zona STOCK",IF($E483="","CEK SKU DESCRIPTION kosong",IF(COUNTIFS($I$2:$I$500,$I483,Q$2:Q$500,"&lt;&gt;"&amp;Q483,Q$2:Q$500,"&lt;&gt;")&gt;0,"CEK jenis fixture beda dalam satu series","OK"))))))))))</f>
        <v/>
      </c>
      <c r="V483" s="11" t="n"/>
      <c r="W483" s="11" t="n"/>
      <c r="X483" s="11" t="n"/>
      <c r="Y483" s="11">
        <f>IF(OR(V483="",W483=""),"",IFERROR(INDEX(LAYOUT!$D$2:$D$80,MATCH(V483&amp;"|"&amp;W483,LAYOUT!$E$2:$E$80,0)),""))</f>
        <v/>
      </c>
      <c r="Z483" s="12">
        <f>IF(AND(V483="",W483=""),IF(AND(L483="",M483="",Q483="",R483=""),IF(OR($D483&lt;&gt;"",$E483&lt;&gt;""),"Belum ditempatkan",""),""),IF(V483="","CEK JENIS FIXTURE kosong",IF(LEFT(V483,4)&lt;&gt;"Wall","CEK Fixture 3 hanya Wall",IF(W483="","CEK SHELVING KE kosong",IF(ISNA(MATCH(V483&amp;"|"&amp;W483,LAYOUT!$E$2:$E$80,0)),"CEK SHELVING KE di luar layout",IF($I483="","CEK SERIES kosong",IF(AND(X483&lt;&gt;"",NOT(ISNUMBER(X483))),"CEK URUTAN DISPLAY harus angka",IF($D483="","Zona STOCK",IF($E483="","CEK SKU DESCRIPTION kosong",IF(COUNTIFS($I$2:$I$500,$I483,V$2:V$500,"&lt;&gt;"&amp;V483,V$2:V$500,"&lt;&gt;")&gt;0,"CEK jenis fixture beda dalam satu series","OK"))))))))))</f>
        <v/>
      </c>
      <c r="AA483" s="12" t="n"/>
      <c r="AB483" s="11" t="n"/>
      <c r="AC483" s="11" t="n"/>
      <c r="AD483" s="11" t="n"/>
      <c r="AE483" s="11" t="n"/>
      <c r="AF483" s="11" t="n"/>
      <c r="AG483" s="11" t="n"/>
      <c r="AH483" s="12" t="n"/>
      <c r="AI483" s="12" t="n"/>
    </row>
    <row r="484">
      <c r="A484" s="10" t="n"/>
      <c r="B484" s="10" t="n"/>
      <c r="C484" s="10" t="n"/>
      <c r="D484" s="10" t="n"/>
      <c r="E484" s="10" t="n"/>
      <c r="F484" s="10" t="n"/>
      <c r="G484" s="10" t="n"/>
      <c r="H484" s="10" t="n"/>
      <c r="I484" s="10" t="n"/>
      <c r="J484" s="10" t="n"/>
      <c r="K484" s="10" t="n"/>
      <c r="L484" s="11" t="n"/>
      <c r="M484" s="11" t="n"/>
      <c r="N484" s="11" t="n"/>
      <c r="O484" s="11">
        <f>IF(OR(L484="",M484=""),"",IFERROR(INDEX(LAYOUT!$D$2:$D$80,MATCH(L484&amp;"|"&amp;M484,LAYOUT!$E$2:$E$80,0)),""))</f>
        <v/>
      </c>
      <c r="P484" s="12">
        <f>IF(AND(L484="",M484=""),IF(AND(Q484="",R484="",V484="",W484=""),IF(OR($D484&lt;&gt;"",$E484&lt;&gt;""),"Belum ditempatkan",""),""),IF(L484="","CEK JENIS FIXTURE kosong",IF(AND(LEFT(L484,7)&lt;&gt;"Gondola",LEFT(L484,6)&lt;&gt;"Endcap"),"CEK Fixture 1 hanya Gondola atau Endcap",IF(M484="","CEK SHELVING KE kosong",IF(ISNA(MATCH(L484&amp;"|"&amp;M484,LAYOUT!$E$2:$E$80,0)),"CEK SHELVING KE di luar layout",IF($I484="","CEK SERIES kosong",IF(AND(N484&lt;&gt;"",NOT(ISNUMBER(N484))),"CEK URUTAN DISPLAY harus angka",IF($D484="","Zona STOCK",IF($E484="","CEK SKU DESCRIPTION kosong",IF(COUNTIFS($I$2:$I$500,$I484,L$2:L$500,"&lt;&gt;"&amp;L484,L$2:L$500,"&lt;&gt;")&gt;0,"CEK jenis fixture beda dalam satu series","OK"))))))))))</f>
        <v/>
      </c>
      <c r="Q484" s="11" t="n"/>
      <c r="R484" s="11" t="n"/>
      <c r="S484" s="11" t="n"/>
      <c r="T484" s="11">
        <f>IF(OR(Q484="",R484=""),"",IFERROR(INDEX(LAYOUT!$D$2:$D$80,MATCH(Q484&amp;"|"&amp;R484,LAYOUT!$E$2:$E$80,0)),""))</f>
        <v/>
      </c>
      <c r="U484" s="12">
        <f>IF(AND(Q484="",R484=""),IF(AND(L484="",M484="",V484="",W484=""),IF(OR($D484&lt;&gt;"",$E484&lt;&gt;""),"Belum ditempatkan",""),""),IF(Q484="","CEK JENIS FIXTURE kosong",IF(LEFT(Q484,4)&lt;&gt;"Wall","CEK Fixture 2 hanya Wall",IF(R484="","CEK SHELVING KE kosong",IF(ISNA(MATCH(Q484&amp;"|"&amp;R484,LAYOUT!$E$2:$E$80,0)),"CEK SHELVING KE di luar layout",IF($I484="","CEK SERIES kosong",IF(AND(S484&lt;&gt;"",NOT(ISNUMBER(S484))),"CEK URUTAN DISPLAY harus angka",IF($D484="","Zona STOCK",IF($E484="","CEK SKU DESCRIPTION kosong",IF(COUNTIFS($I$2:$I$500,$I484,Q$2:Q$500,"&lt;&gt;"&amp;Q484,Q$2:Q$500,"&lt;&gt;")&gt;0,"CEK jenis fixture beda dalam satu series","OK"))))))))))</f>
        <v/>
      </c>
      <c r="V484" s="11" t="n"/>
      <c r="W484" s="11" t="n"/>
      <c r="X484" s="11" t="n"/>
      <c r="Y484" s="11">
        <f>IF(OR(V484="",W484=""),"",IFERROR(INDEX(LAYOUT!$D$2:$D$80,MATCH(V484&amp;"|"&amp;W484,LAYOUT!$E$2:$E$80,0)),""))</f>
        <v/>
      </c>
      <c r="Z484" s="12">
        <f>IF(AND(V484="",W484=""),IF(AND(L484="",M484="",Q484="",R484=""),IF(OR($D484&lt;&gt;"",$E484&lt;&gt;""),"Belum ditempatkan",""),""),IF(V484="","CEK JENIS FIXTURE kosong",IF(LEFT(V484,4)&lt;&gt;"Wall","CEK Fixture 3 hanya Wall",IF(W484="","CEK SHELVING KE kosong",IF(ISNA(MATCH(V484&amp;"|"&amp;W484,LAYOUT!$E$2:$E$80,0)),"CEK SHELVING KE di luar layout",IF($I484="","CEK SERIES kosong",IF(AND(X484&lt;&gt;"",NOT(ISNUMBER(X484))),"CEK URUTAN DISPLAY harus angka",IF($D484="","Zona STOCK",IF($E484="","CEK SKU DESCRIPTION kosong",IF(COUNTIFS($I$2:$I$500,$I484,V$2:V$500,"&lt;&gt;"&amp;V484,V$2:V$500,"&lt;&gt;")&gt;0,"CEK jenis fixture beda dalam satu series","OK"))))))))))</f>
        <v/>
      </c>
      <c r="AA484" s="12" t="n"/>
      <c r="AB484" s="11" t="n"/>
      <c r="AC484" s="11" t="n"/>
      <c r="AD484" s="11" t="n"/>
      <c r="AE484" s="11" t="n"/>
      <c r="AF484" s="11" t="n"/>
      <c r="AG484" s="11" t="n"/>
      <c r="AH484" s="12" t="n"/>
      <c r="AI484" s="12" t="n"/>
    </row>
    <row r="485">
      <c r="A485" s="10" t="n"/>
      <c r="B485" s="10" t="n"/>
      <c r="C485" s="10" t="n"/>
      <c r="D485" s="10" t="n"/>
      <c r="E485" s="10" t="n"/>
      <c r="F485" s="10" t="n"/>
      <c r="G485" s="10" t="n"/>
      <c r="H485" s="10" t="n"/>
      <c r="I485" s="10" t="n"/>
      <c r="J485" s="10" t="n"/>
      <c r="K485" s="10" t="n"/>
      <c r="L485" s="11" t="n"/>
      <c r="M485" s="11" t="n"/>
      <c r="N485" s="11" t="n"/>
      <c r="O485" s="11">
        <f>IF(OR(L485="",M485=""),"",IFERROR(INDEX(LAYOUT!$D$2:$D$80,MATCH(L485&amp;"|"&amp;M485,LAYOUT!$E$2:$E$80,0)),""))</f>
        <v/>
      </c>
      <c r="P485" s="12">
        <f>IF(AND(L485="",M485=""),IF(AND(Q485="",R485="",V485="",W485=""),IF(OR($D485&lt;&gt;"",$E485&lt;&gt;""),"Belum ditempatkan",""),""),IF(L485="","CEK JENIS FIXTURE kosong",IF(AND(LEFT(L485,7)&lt;&gt;"Gondola",LEFT(L485,6)&lt;&gt;"Endcap"),"CEK Fixture 1 hanya Gondola atau Endcap",IF(M485="","CEK SHELVING KE kosong",IF(ISNA(MATCH(L485&amp;"|"&amp;M485,LAYOUT!$E$2:$E$80,0)),"CEK SHELVING KE di luar layout",IF($I485="","CEK SERIES kosong",IF(AND(N485&lt;&gt;"",NOT(ISNUMBER(N485))),"CEK URUTAN DISPLAY harus angka",IF($D485="","Zona STOCK",IF($E485="","CEK SKU DESCRIPTION kosong",IF(COUNTIFS($I$2:$I$500,$I485,L$2:L$500,"&lt;&gt;"&amp;L485,L$2:L$500,"&lt;&gt;")&gt;0,"CEK jenis fixture beda dalam satu series","OK"))))))))))</f>
        <v/>
      </c>
      <c r="Q485" s="11" t="n"/>
      <c r="R485" s="11" t="n"/>
      <c r="S485" s="11" t="n"/>
      <c r="T485" s="11">
        <f>IF(OR(Q485="",R485=""),"",IFERROR(INDEX(LAYOUT!$D$2:$D$80,MATCH(Q485&amp;"|"&amp;R485,LAYOUT!$E$2:$E$80,0)),""))</f>
        <v/>
      </c>
      <c r="U485" s="12">
        <f>IF(AND(Q485="",R485=""),IF(AND(L485="",M485="",V485="",W485=""),IF(OR($D485&lt;&gt;"",$E485&lt;&gt;""),"Belum ditempatkan",""),""),IF(Q485="","CEK JENIS FIXTURE kosong",IF(LEFT(Q485,4)&lt;&gt;"Wall","CEK Fixture 2 hanya Wall",IF(R485="","CEK SHELVING KE kosong",IF(ISNA(MATCH(Q485&amp;"|"&amp;R485,LAYOUT!$E$2:$E$80,0)),"CEK SHELVING KE di luar layout",IF($I485="","CEK SERIES kosong",IF(AND(S485&lt;&gt;"",NOT(ISNUMBER(S485))),"CEK URUTAN DISPLAY harus angka",IF($D485="","Zona STOCK",IF($E485="","CEK SKU DESCRIPTION kosong",IF(COUNTIFS($I$2:$I$500,$I485,Q$2:Q$500,"&lt;&gt;"&amp;Q485,Q$2:Q$500,"&lt;&gt;")&gt;0,"CEK jenis fixture beda dalam satu series","OK"))))))))))</f>
        <v/>
      </c>
      <c r="V485" s="11" t="n"/>
      <c r="W485" s="11" t="n"/>
      <c r="X485" s="11" t="n"/>
      <c r="Y485" s="11">
        <f>IF(OR(V485="",W485=""),"",IFERROR(INDEX(LAYOUT!$D$2:$D$80,MATCH(V485&amp;"|"&amp;W485,LAYOUT!$E$2:$E$80,0)),""))</f>
        <v/>
      </c>
      <c r="Z485" s="12">
        <f>IF(AND(V485="",W485=""),IF(AND(L485="",M485="",Q485="",R485=""),IF(OR($D485&lt;&gt;"",$E485&lt;&gt;""),"Belum ditempatkan",""),""),IF(V485="","CEK JENIS FIXTURE kosong",IF(LEFT(V485,4)&lt;&gt;"Wall","CEK Fixture 3 hanya Wall",IF(W485="","CEK SHELVING KE kosong",IF(ISNA(MATCH(V485&amp;"|"&amp;W485,LAYOUT!$E$2:$E$80,0)),"CEK SHELVING KE di luar layout",IF($I485="","CEK SERIES kosong",IF(AND(X485&lt;&gt;"",NOT(ISNUMBER(X485))),"CEK URUTAN DISPLAY harus angka",IF($D485="","Zona STOCK",IF($E485="","CEK SKU DESCRIPTION kosong",IF(COUNTIFS($I$2:$I$500,$I485,V$2:V$500,"&lt;&gt;"&amp;V485,V$2:V$500,"&lt;&gt;")&gt;0,"CEK jenis fixture beda dalam satu series","OK"))))))))))</f>
        <v/>
      </c>
      <c r="AA485" s="12" t="n"/>
      <c r="AB485" s="11" t="n"/>
      <c r="AC485" s="11" t="n"/>
      <c r="AD485" s="11" t="n"/>
      <c r="AE485" s="11" t="n"/>
      <c r="AF485" s="11" t="n"/>
      <c r="AG485" s="11" t="n"/>
      <c r="AH485" s="12" t="n"/>
      <c r="AI485" s="12" t="n"/>
    </row>
    <row r="486">
      <c r="A486" s="10" t="n"/>
      <c r="B486" s="10" t="n"/>
      <c r="C486" s="10" t="n"/>
      <c r="D486" s="10" t="n"/>
      <c r="E486" s="10" t="n"/>
      <c r="F486" s="10" t="n"/>
      <c r="G486" s="10" t="n"/>
      <c r="H486" s="10" t="n"/>
      <c r="I486" s="10" t="n"/>
      <c r="J486" s="10" t="n"/>
      <c r="K486" s="10" t="n"/>
      <c r="L486" s="11" t="n"/>
      <c r="M486" s="11" t="n"/>
      <c r="N486" s="11" t="n"/>
      <c r="O486" s="11">
        <f>IF(OR(L486="",M486=""),"",IFERROR(INDEX(LAYOUT!$D$2:$D$80,MATCH(L486&amp;"|"&amp;M486,LAYOUT!$E$2:$E$80,0)),""))</f>
        <v/>
      </c>
      <c r="P486" s="12">
        <f>IF(AND(L486="",M486=""),IF(AND(Q486="",R486="",V486="",W486=""),IF(OR($D486&lt;&gt;"",$E486&lt;&gt;""),"Belum ditempatkan",""),""),IF(L486="","CEK JENIS FIXTURE kosong",IF(AND(LEFT(L486,7)&lt;&gt;"Gondola",LEFT(L486,6)&lt;&gt;"Endcap"),"CEK Fixture 1 hanya Gondola atau Endcap",IF(M486="","CEK SHELVING KE kosong",IF(ISNA(MATCH(L486&amp;"|"&amp;M486,LAYOUT!$E$2:$E$80,0)),"CEK SHELVING KE di luar layout",IF($I486="","CEK SERIES kosong",IF(AND(N486&lt;&gt;"",NOT(ISNUMBER(N486))),"CEK URUTAN DISPLAY harus angka",IF($D486="","Zona STOCK",IF($E486="","CEK SKU DESCRIPTION kosong",IF(COUNTIFS($I$2:$I$500,$I486,L$2:L$500,"&lt;&gt;"&amp;L486,L$2:L$500,"&lt;&gt;")&gt;0,"CEK jenis fixture beda dalam satu series","OK"))))))))))</f>
        <v/>
      </c>
      <c r="Q486" s="11" t="n"/>
      <c r="R486" s="11" t="n"/>
      <c r="S486" s="11" t="n"/>
      <c r="T486" s="11">
        <f>IF(OR(Q486="",R486=""),"",IFERROR(INDEX(LAYOUT!$D$2:$D$80,MATCH(Q486&amp;"|"&amp;R486,LAYOUT!$E$2:$E$80,0)),""))</f>
        <v/>
      </c>
      <c r="U486" s="12">
        <f>IF(AND(Q486="",R486=""),IF(AND(L486="",M486="",V486="",W486=""),IF(OR($D486&lt;&gt;"",$E486&lt;&gt;""),"Belum ditempatkan",""),""),IF(Q486="","CEK JENIS FIXTURE kosong",IF(LEFT(Q486,4)&lt;&gt;"Wall","CEK Fixture 2 hanya Wall",IF(R486="","CEK SHELVING KE kosong",IF(ISNA(MATCH(Q486&amp;"|"&amp;R486,LAYOUT!$E$2:$E$80,0)),"CEK SHELVING KE di luar layout",IF($I486="","CEK SERIES kosong",IF(AND(S486&lt;&gt;"",NOT(ISNUMBER(S486))),"CEK URUTAN DISPLAY harus angka",IF($D486="","Zona STOCK",IF($E486="","CEK SKU DESCRIPTION kosong",IF(COUNTIFS($I$2:$I$500,$I486,Q$2:Q$500,"&lt;&gt;"&amp;Q486,Q$2:Q$500,"&lt;&gt;")&gt;0,"CEK jenis fixture beda dalam satu series","OK"))))))))))</f>
        <v/>
      </c>
      <c r="V486" s="11" t="n"/>
      <c r="W486" s="11" t="n"/>
      <c r="X486" s="11" t="n"/>
      <c r="Y486" s="11">
        <f>IF(OR(V486="",W486=""),"",IFERROR(INDEX(LAYOUT!$D$2:$D$80,MATCH(V486&amp;"|"&amp;W486,LAYOUT!$E$2:$E$80,0)),""))</f>
        <v/>
      </c>
      <c r="Z486" s="12">
        <f>IF(AND(V486="",W486=""),IF(AND(L486="",M486="",Q486="",R486=""),IF(OR($D486&lt;&gt;"",$E486&lt;&gt;""),"Belum ditempatkan",""),""),IF(V486="","CEK JENIS FIXTURE kosong",IF(LEFT(V486,4)&lt;&gt;"Wall","CEK Fixture 3 hanya Wall",IF(W486="","CEK SHELVING KE kosong",IF(ISNA(MATCH(V486&amp;"|"&amp;W486,LAYOUT!$E$2:$E$80,0)),"CEK SHELVING KE di luar layout",IF($I486="","CEK SERIES kosong",IF(AND(X486&lt;&gt;"",NOT(ISNUMBER(X486))),"CEK URUTAN DISPLAY harus angka",IF($D486="","Zona STOCK",IF($E486="","CEK SKU DESCRIPTION kosong",IF(COUNTIFS($I$2:$I$500,$I486,V$2:V$500,"&lt;&gt;"&amp;V486,V$2:V$500,"&lt;&gt;")&gt;0,"CEK jenis fixture beda dalam satu series","OK"))))))))))</f>
        <v/>
      </c>
      <c r="AA486" s="12" t="n"/>
      <c r="AB486" s="11" t="n"/>
      <c r="AC486" s="11" t="n"/>
      <c r="AD486" s="11" t="n"/>
      <c r="AE486" s="11" t="n"/>
      <c r="AF486" s="11" t="n"/>
      <c r="AG486" s="11" t="n"/>
      <c r="AH486" s="12" t="n"/>
      <c r="AI486" s="12" t="n"/>
    </row>
    <row r="487">
      <c r="A487" s="10" t="n"/>
      <c r="B487" s="10" t="n"/>
      <c r="C487" s="10" t="n"/>
      <c r="D487" s="10" t="n"/>
      <c r="E487" s="10" t="n"/>
      <c r="F487" s="10" t="n"/>
      <c r="G487" s="10" t="n"/>
      <c r="H487" s="10" t="n"/>
      <c r="I487" s="10" t="n"/>
      <c r="J487" s="10" t="n"/>
      <c r="K487" s="10" t="n"/>
      <c r="L487" s="11" t="n"/>
      <c r="M487" s="11" t="n"/>
      <c r="N487" s="11" t="n"/>
      <c r="O487" s="11">
        <f>IF(OR(L487="",M487=""),"",IFERROR(INDEX(LAYOUT!$D$2:$D$80,MATCH(L487&amp;"|"&amp;M487,LAYOUT!$E$2:$E$80,0)),""))</f>
        <v/>
      </c>
      <c r="P487" s="12">
        <f>IF(AND(L487="",M487=""),IF(AND(Q487="",R487="",V487="",W487=""),IF(OR($D487&lt;&gt;"",$E487&lt;&gt;""),"Belum ditempatkan",""),""),IF(L487="","CEK JENIS FIXTURE kosong",IF(AND(LEFT(L487,7)&lt;&gt;"Gondola",LEFT(L487,6)&lt;&gt;"Endcap"),"CEK Fixture 1 hanya Gondola atau Endcap",IF(M487="","CEK SHELVING KE kosong",IF(ISNA(MATCH(L487&amp;"|"&amp;M487,LAYOUT!$E$2:$E$80,0)),"CEK SHELVING KE di luar layout",IF($I487="","CEK SERIES kosong",IF(AND(N487&lt;&gt;"",NOT(ISNUMBER(N487))),"CEK URUTAN DISPLAY harus angka",IF($D487="","Zona STOCK",IF($E487="","CEK SKU DESCRIPTION kosong",IF(COUNTIFS($I$2:$I$500,$I487,L$2:L$500,"&lt;&gt;"&amp;L487,L$2:L$500,"&lt;&gt;")&gt;0,"CEK jenis fixture beda dalam satu series","OK"))))))))))</f>
        <v/>
      </c>
      <c r="Q487" s="11" t="n"/>
      <c r="R487" s="11" t="n"/>
      <c r="S487" s="11" t="n"/>
      <c r="T487" s="11">
        <f>IF(OR(Q487="",R487=""),"",IFERROR(INDEX(LAYOUT!$D$2:$D$80,MATCH(Q487&amp;"|"&amp;R487,LAYOUT!$E$2:$E$80,0)),""))</f>
        <v/>
      </c>
      <c r="U487" s="12">
        <f>IF(AND(Q487="",R487=""),IF(AND(L487="",M487="",V487="",W487=""),IF(OR($D487&lt;&gt;"",$E487&lt;&gt;""),"Belum ditempatkan",""),""),IF(Q487="","CEK JENIS FIXTURE kosong",IF(LEFT(Q487,4)&lt;&gt;"Wall","CEK Fixture 2 hanya Wall",IF(R487="","CEK SHELVING KE kosong",IF(ISNA(MATCH(Q487&amp;"|"&amp;R487,LAYOUT!$E$2:$E$80,0)),"CEK SHELVING KE di luar layout",IF($I487="","CEK SERIES kosong",IF(AND(S487&lt;&gt;"",NOT(ISNUMBER(S487))),"CEK URUTAN DISPLAY harus angka",IF($D487="","Zona STOCK",IF($E487="","CEK SKU DESCRIPTION kosong",IF(COUNTIFS($I$2:$I$500,$I487,Q$2:Q$500,"&lt;&gt;"&amp;Q487,Q$2:Q$500,"&lt;&gt;")&gt;0,"CEK jenis fixture beda dalam satu series","OK"))))))))))</f>
        <v/>
      </c>
      <c r="V487" s="11" t="n"/>
      <c r="W487" s="11" t="n"/>
      <c r="X487" s="11" t="n"/>
      <c r="Y487" s="11">
        <f>IF(OR(V487="",W487=""),"",IFERROR(INDEX(LAYOUT!$D$2:$D$80,MATCH(V487&amp;"|"&amp;W487,LAYOUT!$E$2:$E$80,0)),""))</f>
        <v/>
      </c>
      <c r="Z487" s="12">
        <f>IF(AND(V487="",W487=""),IF(AND(L487="",M487="",Q487="",R487=""),IF(OR($D487&lt;&gt;"",$E487&lt;&gt;""),"Belum ditempatkan",""),""),IF(V487="","CEK JENIS FIXTURE kosong",IF(LEFT(V487,4)&lt;&gt;"Wall","CEK Fixture 3 hanya Wall",IF(W487="","CEK SHELVING KE kosong",IF(ISNA(MATCH(V487&amp;"|"&amp;W487,LAYOUT!$E$2:$E$80,0)),"CEK SHELVING KE di luar layout",IF($I487="","CEK SERIES kosong",IF(AND(X487&lt;&gt;"",NOT(ISNUMBER(X487))),"CEK URUTAN DISPLAY harus angka",IF($D487="","Zona STOCK",IF($E487="","CEK SKU DESCRIPTION kosong",IF(COUNTIFS($I$2:$I$500,$I487,V$2:V$500,"&lt;&gt;"&amp;V487,V$2:V$500,"&lt;&gt;")&gt;0,"CEK jenis fixture beda dalam satu series","OK"))))))))))</f>
        <v/>
      </c>
      <c r="AA487" s="12" t="n"/>
      <c r="AB487" s="11" t="n"/>
      <c r="AC487" s="11" t="n"/>
      <c r="AD487" s="11" t="n"/>
      <c r="AE487" s="11" t="n"/>
      <c r="AF487" s="11" t="n"/>
      <c r="AG487" s="11" t="n"/>
      <c r="AH487" s="12" t="n"/>
      <c r="AI487" s="12" t="n"/>
    </row>
    <row r="488">
      <c r="A488" s="10" t="n"/>
      <c r="B488" s="10" t="n"/>
      <c r="C488" s="10" t="n"/>
      <c r="D488" s="10" t="n"/>
      <c r="E488" s="10" t="n"/>
      <c r="F488" s="10" t="n"/>
      <c r="G488" s="10" t="n"/>
      <c r="H488" s="10" t="n"/>
      <c r="I488" s="10" t="n"/>
      <c r="J488" s="10" t="n"/>
      <c r="K488" s="10" t="n"/>
      <c r="L488" s="11" t="n"/>
      <c r="M488" s="11" t="n"/>
      <c r="N488" s="11" t="n"/>
      <c r="O488" s="11">
        <f>IF(OR(L488="",M488=""),"",IFERROR(INDEX(LAYOUT!$D$2:$D$80,MATCH(L488&amp;"|"&amp;M488,LAYOUT!$E$2:$E$80,0)),""))</f>
        <v/>
      </c>
      <c r="P488" s="12">
        <f>IF(AND(L488="",M488=""),IF(AND(Q488="",R488="",V488="",W488=""),IF(OR($D488&lt;&gt;"",$E488&lt;&gt;""),"Belum ditempatkan",""),""),IF(L488="","CEK JENIS FIXTURE kosong",IF(AND(LEFT(L488,7)&lt;&gt;"Gondola",LEFT(L488,6)&lt;&gt;"Endcap"),"CEK Fixture 1 hanya Gondola atau Endcap",IF(M488="","CEK SHELVING KE kosong",IF(ISNA(MATCH(L488&amp;"|"&amp;M488,LAYOUT!$E$2:$E$80,0)),"CEK SHELVING KE di luar layout",IF($I488="","CEK SERIES kosong",IF(AND(N488&lt;&gt;"",NOT(ISNUMBER(N488))),"CEK URUTAN DISPLAY harus angka",IF($D488="","Zona STOCK",IF($E488="","CEK SKU DESCRIPTION kosong",IF(COUNTIFS($I$2:$I$500,$I488,L$2:L$500,"&lt;&gt;"&amp;L488,L$2:L$500,"&lt;&gt;")&gt;0,"CEK jenis fixture beda dalam satu series","OK"))))))))))</f>
        <v/>
      </c>
      <c r="Q488" s="11" t="n"/>
      <c r="R488" s="11" t="n"/>
      <c r="S488" s="11" t="n"/>
      <c r="T488" s="11">
        <f>IF(OR(Q488="",R488=""),"",IFERROR(INDEX(LAYOUT!$D$2:$D$80,MATCH(Q488&amp;"|"&amp;R488,LAYOUT!$E$2:$E$80,0)),""))</f>
        <v/>
      </c>
      <c r="U488" s="12">
        <f>IF(AND(Q488="",R488=""),IF(AND(L488="",M488="",V488="",W488=""),IF(OR($D488&lt;&gt;"",$E488&lt;&gt;""),"Belum ditempatkan",""),""),IF(Q488="","CEK JENIS FIXTURE kosong",IF(LEFT(Q488,4)&lt;&gt;"Wall","CEK Fixture 2 hanya Wall",IF(R488="","CEK SHELVING KE kosong",IF(ISNA(MATCH(Q488&amp;"|"&amp;R488,LAYOUT!$E$2:$E$80,0)),"CEK SHELVING KE di luar layout",IF($I488="","CEK SERIES kosong",IF(AND(S488&lt;&gt;"",NOT(ISNUMBER(S488))),"CEK URUTAN DISPLAY harus angka",IF($D488="","Zona STOCK",IF($E488="","CEK SKU DESCRIPTION kosong",IF(COUNTIFS($I$2:$I$500,$I488,Q$2:Q$500,"&lt;&gt;"&amp;Q488,Q$2:Q$500,"&lt;&gt;")&gt;0,"CEK jenis fixture beda dalam satu series","OK"))))))))))</f>
        <v/>
      </c>
      <c r="V488" s="11" t="n"/>
      <c r="W488" s="11" t="n"/>
      <c r="X488" s="11" t="n"/>
      <c r="Y488" s="11">
        <f>IF(OR(V488="",W488=""),"",IFERROR(INDEX(LAYOUT!$D$2:$D$80,MATCH(V488&amp;"|"&amp;W488,LAYOUT!$E$2:$E$80,0)),""))</f>
        <v/>
      </c>
      <c r="Z488" s="12">
        <f>IF(AND(V488="",W488=""),IF(AND(L488="",M488="",Q488="",R488=""),IF(OR($D488&lt;&gt;"",$E488&lt;&gt;""),"Belum ditempatkan",""),""),IF(V488="","CEK JENIS FIXTURE kosong",IF(LEFT(V488,4)&lt;&gt;"Wall","CEK Fixture 3 hanya Wall",IF(W488="","CEK SHELVING KE kosong",IF(ISNA(MATCH(V488&amp;"|"&amp;W488,LAYOUT!$E$2:$E$80,0)),"CEK SHELVING KE di luar layout",IF($I488="","CEK SERIES kosong",IF(AND(X488&lt;&gt;"",NOT(ISNUMBER(X488))),"CEK URUTAN DISPLAY harus angka",IF($D488="","Zona STOCK",IF($E488="","CEK SKU DESCRIPTION kosong",IF(COUNTIFS($I$2:$I$500,$I488,V$2:V$500,"&lt;&gt;"&amp;V488,V$2:V$500,"&lt;&gt;")&gt;0,"CEK jenis fixture beda dalam satu series","OK"))))))))))</f>
        <v/>
      </c>
      <c r="AA488" s="12" t="n"/>
      <c r="AB488" s="11" t="n"/>
      <c r="AC488" s="11" t="n"/>
      <c r="AD488" s="11" t="n"/>
      <c r="AE488" s="11" t="n"/>
      <c r="AF488" s="11" t="n"/>
      <c r="AG488" s="11" t="n"/>
      <c r="AH488" s="12" t="n"/>
      <c r="AI488" s="12" t="n"/>
    </row>
    <row r="489">
      <c r="A489" s="10" t="n"/>
      <c r="B489" s="10" t="n"/>
      <c r="C489" s="10" t="n"/>
      <c r="D489" s="10" t="n"/>
      <c r="E489" s="10" t="n"/>
      <c r="F489" s="10" t="n"/>
      <c r="G489" s="10" t="n"/>
      <c r="H489" s="10" t="n"/>
      <c r="I489" s="10" t="n"/>
      <c r="J489" s="10" t="n"/>
      <c r="K489" s="10" t="n"/>
      <c r="L489" s="11" t="n"/>
      <c r="M489" s="11" t="n"/>
      <c r="N489" s="11" t="n"/>
      <c r="O489" s="11">
        <f>IF(OR(L489="",M489=""),"",IFERROR(INDEX(LAYOUT!$D$2:$D$80,MATCH(L489&amp;"|"&amp;M489,LAYOUT!$E$2:$E$80,0)),""))</f>
        <v/>
      </c>
      <c r="P489" s="12">
        <f>IF(AND(L489="",M489=""),IF(AND(Q489="",R489="",V489="",W489=""),IF(OR($D489&lt;&gt;"",$E489&lt;&gt;""),"Belum ditempatkan",""),""),IF(L489="","CEK JENIS FIXTURE kosong",IF(AND(LEFT(L489,7)&lt;&gt;"Gondola",LEFT(L489,6)&lt;&gt;"Endcap"),"CEK Fixture 1 hanya Gondola atau Endcap",IF(M489="","CEK SHELVING KE kosong",IF(ISNA(MATCH(L489&amp;"|"&amp;M489,LAYOUT!$E$2:$E$80,0)),"CEK SHELVING KE di luar layout",IF($I489="","CEK SERIES kosong",IF(AND(N489&lt;&gt;"",NOT(ISNUMBER(N489))),"CEK URUTAN DISPLAY harus angka",IF($D489="","Zona STOCK",IF($E489="","CEK SKU DESCRIPTION kosong",IF(COUNTIFS($I$2:$I$500,$I489,L$2:L$500,"&lt;&gt;"&amp;L489,L$2:L$500,"&lt;&gt;")&gt;0,"CEK jenis fixture beda dalam satu series","OK"))))))))))</f>
        <v/>
      </c>
      <c r="Q489" s="11" t="n"/>
      <c r="R489" s="11" t="n"/>
      <c r="S489" s="11" t="n"/>
      <c r="T489" s="11">
        <f>IF(OR(Q489="",R489=""),"",IFERROR(INDEX(LAYOUT!$D$2:$D$80,MATCH(Q489&amp;"|"&amp;R489,LAYOUT!$E$2:$E$80,0)),""))</f>
        <v/>
      </c>
      <c r="U489" s="12">
        <f>IF(AND(Q489="",R489=""),IF(AND(L489="",M489="",V489="",W489=""),IF(OR($D489&lt;&gt;"",$E489&lt;&gt;""),"Belum ditempatkan",""),""),IF(Q489="","CEK JENIS FIXTURE kosong",IF(LEFT(Q489,4)&lt;&gt;"Wall","CEK Fixture 2 hanya Wall",IF(R489="","CEK SHELVING KE kosong",IF(ISNA(MATCH(Q489&amp;"|"&amp;R489,LAYOUT!$E$2:$E$80,0)),"CEK SHELVING KE di luar layout",IF($I489="","CEK SERIES kosong",IF(AND(S489&lt;&gt;"",NOT(ISNUMBER(S489))),"CEK URUTAN DISPLAY harus angka",IF($D489="","Zona STOCK",IF($E489="","CEK SKU DESCRIPTION kosong",IF(COUNTIFS($I$2:$I$500,$I489,Q$2:Q$500,"&lt;&gt;"&amp;Q489,Q$2:Q$500,"&lt;&gt;")&gt;0,"CEK jenis fixture beda dalam satu series","OK"))))))))))</f>
        <v/>
      </c>
      <c r="V489" s="11" t="n"/>
      <c r="W489" s="11" t="n"/>
      <c r="X489" s="11" t="n"/>
      <c r="Y489" s="11">
        <f>IF(OR(V489="",W489=""),"",IFERROR(INDEX(LAYOUT!$D$2:$D$80,MATCH(V489&amp;"|"&amp;W489,LAYOUT!$E$2:$E$80,0)),""))</f>
        <v/>
      </c>
      <c r="Z489" s="12">
        <f>IF(AND(V489="",W489=""),IF(AND(L489="",M489="",Q489="",R489=""),IF(OR($D489&lt;&gt;"",$E489&lt;&gt;""),"Belum ditempatkan",""),""),IF(V489="","CEK JENIS FIXTURE kosong",IF(LEFT(V489,4)&lt;&gt;"Wall","CEK Fixture 3 hanya Wall",IF(W489="","CEK SHELVING KE kosong",IF(ISNA(MATCH(V489&amp;"|"&amp;W489,LAYOUT!$E$2:$E$80,0)),"CEK SHELVING KE di luar layout",IF($I489="","CEK SERIES kosong",IF(AND(X489&lt;&gt;"",NOT(ISNUMBER(X489))),"CEK URUTAN DISPLAY harus angka",IF($D489="","Zona STOCK",IF($E489="","CEK SKU DESCRIPTION kosong",IF(COUNTIFS($I$2:$I$500,$I489,V$2:V$500,"&lt;&gt;"&amp;V489,V$2:V$500,"&lt;&gt;")&gt;0,"CEK jenis fixture beda dalam satu series","OK"))))))))))</f>
        <v/>
      </c>
      <c r="AA489" s="12" t="n"/>
      <c r="AB489" s="11" t="n"/>
      <c r="AC489" s="11" t="n"/>
      <c r="AD489" s="11" t="n"/>
      <c r="AE489" s="11" t="n"/>
      <c r="AF489" s="11" t="n"/>
      <c r="AG489" s="11" t="n"/>
      <c r="AH489" s="12" t="n"/>
      <c r="AI489" s="12" t="n"/>
    </row>
    <row r="490">
      <c r="A490" s="10" t="n"/>
      <c r="B490" s="10" t="n"/>
      <c r="C490" s="10" t="n"/>
      <c r="D490" s="10" t="n"/>
      <c r="E490" s="10" t="n"/>
      <c r="F490" s="10" t="n"/>
      <c r="G490" s="10" t="n"/>
      <c r="H490" s="10" t="n"/>
      <c r="I490" s="10" t="n"/>
      <c r="J490" s="10" t="n"/>
      <c r="K490" s="10" t="n"/>
      <c r="L490" s="11" t="n"/>
      <c r="M490" s="11" t="n"/>
      <c r="N490" s="11" t="n"/>
      <c r="O490" s="11">
        <f>IF(OR(L490="",M490=""),"",IFERROR(INDEX(LAYOUT!$D$2:$D$80,MATCH(L490&amp;"|"&amp;M490,LAYOUT!$E$2:$E$80,0)),""))</f>
        <v/>
      </c>
      <c r="P490" s="12">
        <f>IF(AND(L490="",M490=""),IF(AND(Q490="",R490="",V490="",W490=""),IF(OR($D490&lt;&gt;"",$E490&lt;&gt;""),"Belum ditempatkan",""),""),IF(L490="","CEK JENIS FIXTURE kosong",IF(AND(LEFT(L490,7)&lt;&gt;"Gondola",LEFT(L490,6)&lt;&gt;"Endcap"),"CEK Fixture 1 hanya Gondola atau Endcap",IF(M490="","CEK SHELVING KE kosong",IF(ISNA(MATCH(L490&amp;"|"&amp;M490,LAYOUT!$E$2:$E$80,0)),"CEK SHELVING KE di luar layout",IF($I490="","CEK SERIES kosong",IF(AND(N490&lt;&gt;"",NOT(ISNUMBER(N490))),"CEK URUTAN DISPLAY harus angka",IF($D490="","Zona STOCK",IF($E490="","CEK SKU DESCRIPTION kosong",IF(COUNTIFS($I$2:$I$500,$I490,L$2:L$500,"&lt;&gt;"&amp;L490,L$2:L$500,"&lt;&gt;")&gt;0,"CEK jenis fixture beda dalam satu series","OK"))))))))))</f>
        <v/>
      </c>
      <c r="Q490" s="11" t="n"/>
      <c r="R490" s="11" t="n"/>
      <c r="S490" s="11" t="n"/>
      <c r="T490" s="11">
        <f>IF(OR(Q490="",R490=""),"",IFERROR(INDEX(LAYOUT!$D$2:$D$80,MATCH(Q490&amp;"|"&amp;R490,LAYOUT!$E$2:$E$80,0)),""))</f>
        <v/>
      </c>
      <c r="U490" s="12">
        <f>IF(AND(Q490="",R490=""),IF(AND(L490="",M490="",V490="",W490=""),IF(OR($D490&lt;&gt;"",$E490&lt;&gt;""),"Belum ditempatkan",""),""),IF(Q490="","CEK JENIS FIXTURE kosong",IF(LEFT(Q490,4)&lt;&gt;"Wall","CEK Fixture 2 hanya Wall",IF(R490="","CEK SHELVING KE kosong",IF(ISNA(MATCH(Q490&amp;"|"&amp;R490,LAYOUT!$E$2:$E$80,0)),"CEK SHELVING KE di luar layout",IF($I490="","CEK SERIES kosong",IF(AND(S490&lt;&gt;"",NOT(ISNUMBER(S490))),"CEK URUTAN DISPLAY harus angka",IF($D490="","Zona STOCK",IF($E490="","CEK SKU DESCRIPTION kosong",IF(COUNTIFS($I$2:$I$500,$I490,Q$2:Q$500,"&lt;&gt;"&amp;Q490,Q$2:Q$500,"&lt;&gt;")&gt;0,"CEK jenis fixture beda dalam satu series","OK"))))))))))</f>
        <v/>
      </c>
      <c r="V490" s="11" t="n"/>
      <c r="W490" s="11" t="n"/>
      <c r="X490" s="11" t="n"/>
      <c r="Y490" s="11">
        <f>IF(OR(V490="",W490=""),"",IFERROR(INDEX(LAYOUT!$D$2:$D$80,MATCH(V490&amp;"|"&amp;W490,LAYOUT!$E$2:$E$80,0)),""))</f>
        <v/>
      </c>
      <c r="Z490" s="12">
        <f>IF(AND(V490="",W490=""),IF(AND(L490="",M490="",Q490="",R490=""),IF(OR($D490&lt;&gt;"",$E490&lt;&gt;""),"Belum ditempatkan",""),""),IF(V490="","CEK JENIS FIXTURE kosong",IF(LEFT(V490,4)&lt;&gt;"Wall","CEK Fixture 3 hanya Wall",IF(W490="","CEK SHELVING KE kosong",IF(ISNA(MATCH(V490&amp;"|"&amp;W490,LAYOUT!$E$2:$E$80,0)),"CEK SHELVING KE di luar layout",IF($I490="","CEK SERIES kosong",IF(AND(X490&lt;&gt;"",NOT(ISNUMBER(X490))),"CEK URUTAN DISPLAY harus angka",IF($D490="","Zona STOCK",IF($E490="","CEK SKU DESCRIPTION kosong",IF(COUNTIFS($I$2:$I$500,$I490,V$2:V$500,"&lt;&gt;"&amp;V490,V$2:V$500,"&lt;&gt;")&gt;0,"CEK jenis fixture beda dalam satu series","OK"))))))))))</f>
        <v/>
      </c>
      <c r="AA490" s="12" t="n"/>
      <c r="AB490" s="11" t="n"/>
      <c r="AC490" s="11" t="n"/>
      <c r="AD490" s="11" t="n"/>
      <c r="AE490" s="11" t="n"/>
      <c r="AF490" s="11" t="n"/>
      <c r="AG490" s="11" t="n"/>
      <c r="AH490" s="12" t="n"/>
      <c r="AI490" s="12" t="n"/>
    </row>
    <row r="491">
      <c r="A491" s="10" t="n"/>
      <c r="B491" s="10" t="n"/>
      <c r="C491" s="10" t="n"/>
      <c r="D491" s="10" t="n"/>
      <c r="E491" s="10" t="n"/>
      <c r="F491" s="10" t="n"/>
      <c r="G491" s="10" t="n"/>
      <c r="H491" s="10" t="n"/>
      <c r="I491" s="10" t="n"/>
      <c r="J491" s="10" t="n"/>
      <c r="K491" s="10" t="n"/>
      <c r="L491" s="11" t="n"/>
      <c r="M491" s="11" t="n"/>
      <c r="N491" s="11" t="n"/>
      <c r="O491" s="11">
        <f>IF(OR(L491="",M491=""),"",IFERROR(INDEX(LAYOUT!$D$2:$D$80,MATCH(L491&amp;"|"&amp;M491,LAYOUT!$E$2:$E$80,0)),""))</f>
        <v/>
      </c>
      <c r="P491" s="12">
        <f>IF(AND(L491="",M491=""),IF(AND(Q491="",R491="",V491="",W491=""),IF(OR($D491&lt;&gt;"",$E491&lt;&gt;""),"Belum ditempatkan",""),""),IF(L491="","CEK JENIS FIXTURE kosong",IF(AND(LEFT(L491,7)&lt;&gt;"Gondola",LEFT(L491,6)&lt;&gt;"Endcap"),"CEK Fixture 1 hanya Gondola atau Endcap",IF(M491="","CEK SHELVING KE kosong",IF(ISNA(MATCH(L491&amp;"|"&amp;M491,LAYOUT!$E$2:$E$80,0)),"CEK SHELVING KE di luar layout",IF($I491="","CEK SERIES kosong",IF(AND(N491&lt;&gt;"",NOT(ISNUMBER(N491))),"CEK URUTAN DISPLAY harus angka",IF($D491="","Zona STOCK",IF($E491="","CEK SKU DESCRIPTION kosong",IF(COUNTIFS($I$2:$I$500,$I491,L$2:L$500,"&lt;&gt;"&amp;L491,L$2:L$500,"&lt;&gt;")&gt;0,"CEK jenis fixture beda dalam satu series","OK"))))))))))</f>
        <v/>
      </c>
      <c r="Q491" s="11" t="n"/>
      <c r="R491" s="11" t="n"/>
      <c r="S491" s="11" t="n"/>
      <c r="T491" s="11">
        <f>IF(OR(Q491="",R491=""),"",IFERROR(INDEX(LAYOUT!$D$2:$D$80,MATCH(Q491&amp;"|"&amp;R491,LAYOUT!$E$2:$E$80,0)),""))</f>
        <v/>
      </c>
      <c r="U491" s="12">
        <f>IF(AND(Q491="",R491=""),IF(AND(L491="",M491="",V491="",W491=""),IF(OR($D491&lt;&gt;"",$E491&lt;&gt;""),"Belum ditempatkan",""),""),IF(Q491="","CEK JENIS FIXTURE kosong",IF(LEFT(Q491,4)&lt;&gt;"Wall","CEK Fixture 2 hanya Wall",IF(R491="","CEK SHELVING KE kosong",IF(ISNA(MATCH(Q491&amp;"|"&amp;R491,LAYOUT!$E$2:$E$80,0)),"CEK SHELVING KE di luar layout",IF($I491="","CEK SERIES kosong",IF(AND(S491&lt;&gt;"",NOT(ISNUMBER(S491))),"CEK URUTAN DISPLAY harus angka",IF($D491="","Zona STOCK",IF($E491="","CEK SKU DESCRIPTION kosong",IF(COUNTIFS($I$2:$I$500,$I491,Q$2:Q$500,"&lt;&gt;"&amp;Q491,Q$2:Q$500,"&lt;&gt;")&gt;0,"CEK jenis fixture beda dalam satu series","OK"))))))))))</f>
        <v/>
      </c>
      <c r="V491" s="11" t="n"/>
      <c r="W491" s="11" t="n"/>
      <c r="X491" s="11" t="n"/>
      <c r="Y491" s="11">
        <f>IF(OR(V491="",W491=""),"",IFERROR(INDEX(LAYOUT!$D$2:$D$80,MATCH(V491&amp;"|"&amp;W491,LAYOUT!$E$2:$E$80,0)),""))</f>
        <v/>
      </c>
      <c r="Z491" s="12">
        <f>IF(AND(V491="",W491=""),IF(AND(L491="",M491="",Q491="",R491=""),IF(OR($D491&lt;&gt;"",$E491&lt;&gt;""),"Belum ditempatkan",""),""),IF(V491="","CEK JENIS FIXTURE kosong",IF(LEFT(V491,4)&lt;&gt;"Wall","CEK Fixture 3 hanya Wall",IF(W491="","CEK SHELVING KE kosong",IF(ISNA(MATCH(V491&amp;"|"&amp;W491,LAYOUT!$E$2:$E$80,0)),"CEK SHELVING KE di luar layout",IF($I491="","CEK SERIES kosong",IF(AND(X491&lt;&gt;"",NOT(ISNUMBER(X491))),"CEK URUTAN DISPLAY harus angka",IF($D491="","Zona STOCK",IF($E491="","CEK SKU DESCRIPTION kosong",IF(COUNTIFS($I$2:$I$500,$I491,V$2:V$500,"&lt;&gt;"&amp;V491,V$2:V$500,"&lt;&gt;")&gt;0,"CEK jenis fixture beda dalam satu series","OK"))))))))))</f>
        <v/>
      </c>
      <c r="AA491" s="12" t="n"/>
      <c r="AB491" s="11" t="n"/>
      <c r="AC491" s="11" t="n"/>
      <c r="AD491" s="11" t="n"/>
      <c r="AE491" s="11" t="n"/>
      <c r="AF491" s="11" t="n"/>
      <c r="AG491" s="11" t="n"/>
      <c r="AH491" s="12" t="n"/>
      <c r="AI491" s="12" t="n"/>
    </row>
    <row r="492">
      <c r="A492" s="10" t="n"/>
      <c r="B492" s="10" t="n"/>
      <c r="C492" s="10" t="n"/>
      <c r="D492" s="10" t="n"/>
      <c r="E492" s="10" t="n"/>
      <c r="F492" s="10" t="n"/>
      <c r="G492" s="10" t="n"/>
      <c r="H492" s="10" t="n"/>
      <c r="I492" s="10" t="n"/>
      <c r="J492" s="10" t="n"/>
      <c r="K492" s="10" t="n"/>
      <c r="L492" s="11" t="n"/>
      <c r="M492" s="11" t="n"/>
      <c r="N492" s="11" t="n"/>
      <c r="O492" s="11">
        <f>IF(OR(L492="",M492=""),"",IFERROR(INDEX(LAYOUT!$D$2:$D$80,MATCH(L492&amp;"|"&amp;M492,LAYOUT!$E$2:$E$80,0)),""))</f>
        <v/>
      </c>
      <c r="P492" s="12">
        <f>IF(AND(L492="",M492=""),IF(AND(Q492="",R492="",V492="",W492=""),IF(OR($D492&lt;&gt;"",$E492&lt;&gt;""),"Belum ditempatkan",""),""),IF(L492="","CEK JENIS FIXTURE kosong",IF(AND(LEFT(L492,7)&lt;&gt;"Gondola",LEFT(L492,6)&lt;&gt;"Endcap"),"CEK Fixture 1 hanya Gondola atau Endcap",IF(M492="","CEK SHELVING KE kosong",IF(ISNA(MATCH(L492&amp;"|"&amp;M492,LAYOUT!$E$2:$E$80,0)),"CEK SHELVING KE di luar layout",IF($I492="","CEK SERIES kosong",IF(AND(N492&lt;&gt;"",NOT(ISNUMBER(N492))),"CEK URUTAN DISPLAY harus angka",IF($D492="","Zona STOCK",IF($E492="","CEK SKU DESCRIPTION kosong",IF(COUNTIFS($I$2:$I$500,$I492,L$2:L$500,"&lt;&gt;"&amp;L492,L$2:L$500,"&lt;&gt;")&gt;0,"CEK jenis fixture beda dalam satu series","OK"))))))))))</f>
        <v/>
      </c>
      <c r="Q492" s="11" t="n"/>
      <c r="R492" s="11" t="n"/>
      <c r="S492" s="11" t="n"/>
      <c r="T492" s="11">
        <f>IF(OR(Q492="",R492=""),"",IFERROR(INDEX(LAYOUT!$D$2:$D$80,MATCH(Q492&amp;"|"&amp;R492,LAYOUT!$E$2:$E$80,0)),""))</f>
        <v/>
      </c>
      <c r="U492" s="12">
        <f>IF(AND(Q492="",R492=""),IF(AND(L492="",M492="",V492="",W492=""),IF(OR($D492&lt;&gt;"",$E492&lt;&gt;""),"Belum ditempatkan",""),""),IF(Q492="","CEK JENIS FIXTURE kosong",IF(LEFT(Q492,4)&lt;&gt;"Wall","CEK Fixture 2 hanya Wall",IF(R492="","CEK SHELVING KE kosong",IF(ISNA(MATCH(Q492&amp;"|"&amp;R492,LAYOUT!$E$2:$E$80,0)),"CEK SHELVING KE di luar layout",IF($I492="","CEK SERIES kosong",IF(AND(S492&lt;&gt;"",NOT(ISNUMBER(S492))),"CEK URUTAN DISPLAY harus angka",IF($D492="","Zona STOCK",IF($E492="","CEK SKU DESCRIPTION kosong",IF(COUNTIFS($I$2:$I$500,$I492,Q$2:Q$500,"&lt;&gt;"&amp;Q492,Q$2:Q$500,"&lt;&gt;")&gt;0,"CEK jenis fixture beda dalam satu series","OK"))))))))))</f>
        <v/>
      </c>
      <c r="V492" s="11" t="n"/>
      <c r="W492" s="11" t="n"/>
      <c r="X492" s="11" t="n"/>
      <c r="Y492" s="11">
        <f>IF(OR(V492="",W492=""),"",IFERROR(INDEX(LAYOUT!$D$2:$D$80,MATCH(V492&amp;"|"&amp;W492,LAYOUT!$E$2:$E$80,0)),""))</f>
        <v/>
      </c>
      <c r="Z492" s="12">
        <f>IF(AND(V492="",W492=""),IF(AND(L492="",M492="",Q492="",R492=""),IF(OR($D492&lt;&gt;"",$E492&lt;&gt;""),"Belum ditempatkan",""),""),IF(V492="","CEK JENIS FIXTURE kosong",IF(LEFT(V492,4)&lt;&gt;"Wall","CEK Fixture 3 hanya Wall",IF(W492="","CEK SHELVING KE kosong",IF(ISNA(MATCH(V492&amp;"|"&amp;W492,LAYOUT!$E$2:$E$80,0)),"CEK SHELVING KE di luar layout",IF($I492="","CEK SERIES kosong",IF(AND(X492&lt;&gt;"",NOT(ISNUMBER(X492))),"CEK URUTAN DISPLAY harus angka",IF($D492="","Zona STOCK",IF($E492="","CEK SKU DESCRIPTION kosong",IF(COUNTIFS($I$2:$I$500,$I492,V$2:V$500,"&lt;&gt;"&amp;V492,V$2:V$500,"&lt;&gt;")&gt;0,"CEK jenis fixture beda dalam satu series","OK"))))))))))</f>
        <v/>
      </c>
      <c r="AA492" s="12" t="n"/>
      <c r="AB492" s="11" t="n"/>
      <c r="AC492" s="11" t="n"/>
      <c r="AD492" s="11" t="n"/>
      <c r="AE492" s="11" t="n"/>
      <c r="AF492" s="11" t="n"/>
      <c r="AG492" s="11" t="n"/>
      <c r="AH492" s="12" t="n"/>
      <c r="AI492" s="12" t="n"/>
    </row>
    <row r="493">
      <c r="A493" s="10" t="n"/>
      <c r="B493" s="10" t="n"/>
      <c r="C493" s="10" t="n"/>
      <c r="D493" s="10" t="n"/>
      <c r="E493" s="10" t="n"/>
      <c r="F493" s="10" t="n"/>
      <c r="G493" s="10" t="n"/>
      <c r="H493" s="10" t="n"/>
      <c r="I493" s="10" t="n"/>
      <c r="J493" s="10" t="n"/>
      <c r="K493" s="10" t="n"/>
      <c r="L493" s="11" t="n"/>
      <c r="M493" s="11" t="n"/>
      <c r="N493" s="11" t="n"/>
      <c r="O493" s="11">
        <f>IF(OR(L493="",M493=""),"",IFERROR(INDEX(LAYOUT!$D$2:$D$80,MATCH(L493&amp;"|"&amp;M493,LAYOUT!$E$2:$E$80,0)),""))</f>
        <v/>
      </c>
      <c r="P493" s="12">
        <f>IF(AND(L493="",M493=""),IF(AND(Q493="",R493="",V493="",W493=""),IF(OR($D493&lt;&gt;"",$E493&lt;&gt;""),"Belum ditempatkan",""),""),IF(L493="","CEK JENIS FIXTURE kosong",IF(AND(LEFT(L493,7)&lt;&gt;"Gondola",LEFT(L493,6)&lt;&gt;"Endcap"),"CEK Fixture 1 hanya Gondola atau Endcap",IF(M493="","CEK SHELVING KE kosong",IF(ISNA(MATCH(L493&amp;"|"&amp;M493,LAYOUT!$E$2:$E$80,0)),"CEK SHELVING KE di luar layout",IF($I493="","CEK SERIES kosong",IF(AND(N493&lt;&gt;"",NOT(ISNUMBER(N493))),"CEK URUTAN DISPLAY harus angka",IF($D493="","Zona STOCK",IF($E493="","CEK SKU DESCRIPTION kosong",IF(COUNTIFS($I$2:$I$500,$I493,L$2:L$500,"&lt;&gt;"&amp;L493,L$2:L$500,"&lt;&gt;")&gt;0,"CEK jenis fixture beda dalam satu series","OK"))))))))))</f>
        <v/>
      </c>
      <c r="Q493" s="11" t="n"/>
      <c r="R493" s="11" t="n"/>
      <c r="S493" s="11" t="n"/>
      <c r="T493" s="11">
        <f>IF(OR(Q493="",R493=""),"",IFERROR(INDEX(LAYOUT!$D$2:$D$80,MATCH(Q493&amp;"|"&amp;R493,LAYOUT!$E$2:$E$80,0)),""))</f>
        <v/>
      </c>
      <c r="U493" s="12">
        <f>IF(AND(Q493="",R493=""),IF(AND(L493="",M493="",V493="",W493=""),IF(OR($D493&lt;&gt;"",$E493&lt;&gt;""),"Belum ditempatkan",""),""),IF(Q493="","CEK JENIS FIXTURE kosong",IF(LEFT(Q493,4)&lt;&gt;"Wall","CEK Fixture 2 hanya Wall",IF(R493="","CEK SHELVING KE kosong",IF(ISNA(MATCH(Q493&amp;"|"&amp;R493,LAYOUT!$E$2:$E$80,0)),"CEK SHELVING KE di luar layout",IF($I493="","CEK SERIES kosong",IF(AND(S493&lt;&gt;"",NOT(ISNUMBER(S493))),"CEK URUTAN DISPLAY harus angka",IF($D493="","Zona STOCK",IF($E493="","CEK SKU DESCRIPTION kosong",IF(COUNTIFS($I$2:$I$500,$I493,Q$2:Q$500,"&lt;&gt;"&amp;Q493,Q$2:Q$500,"&lt;&gt;")&gt;0,"CEK jenis fixture beda dalam satu series","OK"))))))))))</f>
        <v/>
      </c>
      <c r="V493" s="11" t="n"/>
      <c r="W493" s="11" t="n"/>
      <c r="X493" s="11" t="n"/>
      <c r="Y493" s="11">
        <f>IF(OR(V493="",W493=""),"",IFERROR(INDEX(LAYOUT!$D$2:$D$80,MATCH(V493&amp;"|"&amp;W493,LAYOUT!$E$2:$E$80,0)),""))</f>
        <v/>
      </c>
      <c r="Z493" s="12">
        <f>IF(AND(V493="",W493=""),IF(AND(L493="",M493="",Q493="",R493=""),IF(OR($D493&lt;&gt;"",$E493&lt;&gt;""),"Belum ditempatkan",""),""),IF(V493="","CEK JENIS FIXTURE kosong",IF(LEFT(V493,4)&lt;&gt;"Wall","CEK Fixture 3 hanya Wall",IF(W493="","CEK SHELVING KE kosong",IF(ISNA(MATCH(V493&amp;"|"&amp;W493,LAYOUT!$E$2:$E$80,0)),"CEK SHELVING KE di luar layout",IF($I493="","CEK SERIES kosong",IF(AND(X493&lt;&gt;"",NOT(ISNUMBER(X493))),"CEK URUTAN DISPLAY harus angka",IF($D493="","Zona STOCK",IF($E493="","CEK SKU DESCRIPTION kosong",IF(COUNTIFS($I$2:$I$500,$I493,V$2:V$500,"&lt;&gt;"&amp;V493,V$2:V$500,"&lt;&gt;")&gt;0,"CEK jenis fixture beda dalam satu series","OK"))))))))))</f>
        <v/>
      </c>
      <c r="AA493" s="12" t="n"/>
      <c r="AB493" s="11" t="n"/>
      <c r="AC493" s="11" t="n"/>
      <c r="AD493" s="11" t="n"/>
      <c r="AE493" s="11" t="n"/>
      <c r="AF493" s="11" t="n"/>
      <c r="AG493" s="11" t="n"/>
      <c r="AH493" s="12" t="n"/>
      <c r="AI493" s="12" t="n"/>
    </row>
    <row r="494">
      <c r="A494" s="10" t="n"/>
      <c r="B494" s="10" t="n"/>
      <c r="C494" s="10" t="n"/>
      <c r="D494" s="10" t="n"/>
      <c r="E494" s="10" t="n"/>
      <c r="F494" s="10" t="n"/>
      <c r="G494" s="10" t="n"/>
      <c r="H494" s="10" t="n"/>
      <c r="I494" s="10" t="n"/>
      <c r="J494" s="10" t="n"/>
      <c r="K494" s="10" t="n"/>
      <c r="L494" s="11" t="n"/>
      <c r="M494" s="11" t="n"/>
      <c r="N494" s="11" t="n"/>
      <c r="O494" s="11">
        <f>IF(OR(L494="",M494=""),"",IFERROR(INDEX(LAYOUT!$D$2:$D$80,MATCH(L494&amp;"|"&amp;M494,LAYOUT!$E$2:$E$80,0)),""))</f>
        <v/>
      </c>
      <c r="P494" s="12">
        <f>IF(AND(L494="",M494=""),IF(AND(Q494="",R494="",V494="",W494=""),IF(OR($D494&lt;&gt;"",$E494&lt;&gt;""),"Belum ditempatkan",""),""),IF(L494="","CEK JENIS FIXTURE kosong",IF(AND(LEFT(L494,7)&lt;&gt;"Gondola",LEFT(L494,6)&lt;&gt;"Endcap"),"CEK Fixture 1 hanya Gondola atau Endcap",IF(M494="","CEK SHELVING KE kosong",IF(ISNA(MATCH(L494&amp;"|"&amp;M494,LAYOUT!$E$2:$E$80,0)),"CEK SHELVING KE di luar layout",IF($I494="","CEK SERIES kosong",IF(AND(N494&lt;&gt;"",NOT(ISNUMBER(N494))),"CEK URUTAN DISPLAY harus angka",IF($D494="","Zona STOCK",IF($E494="","CEK SKU DESCRIPTION kosong",IF(COUNTIFS($I$2:$I$500,$I494,L$2:L$500,"&lt;&gt;"&amp;L494,L$2:L$500,"&lt;&gt;")&gt;0,"CEK jenis fixture beda dalam satu series","OK"))))))))))</f>
        <v/>
      </c>
      <c r="Q494" s="11" t="n"/>
      <c r="R494" s="11" t="n"/>
      <c r="S494" s="11" t="n"/>
      <c r="T494" s="11">
        <f>IF(OR(Q494="",R494=""),"",IFERROR(INDEX(LAYOUT!$D$2:$D$80,MATCH(Q494&amp;"|"&amp;R494,LAYOUT!$E$2:$E$80,0)),""))</f>
        <v/>
      </c>
      <c r="U494" s="12">
        <f>IF(AND(Q494="",R494=""),IF(AND(L494="",M494="",V494="",W494=""),IF(OR($D494&lt;&gt;"",$E494&lt;&gt;""),"Belum ditempatkan",""),""),IF(Q494="","CEK JENIS FIXTURE kosong",IF(LEFT(Q494,4)&lt;&gt;"Wall","CEK Fixture 2 hanya Wall",IF(R494="","CEK SHELVING KE kosong",IF(ISNA(MATCH(Q494&amp;"|"&amp;R494,LAYOUT!$E$2:$E$80,0)),"CEK SHELVING KE di luar layout",IF($I494="","CEK SERIES kosong",IF(AND(S494&lt;&gt;"",NOT(ISNUMBER(S494))),"CEK URUTAN DISPLAY harus angka",IF($D494="","Zona STOCK",IF($E494="","CEK SKU DESCRIPTION kosong",IF(COUNTIFS($I$2:$I$500,$I494,Q$2:Q$500,"&lt;&gt;"&amp;Q494,Q$2:Q$500,"&lt;&gt;")&gt;0,"CEK jenis fixture beda dalam satu series","OK"))))))))))</f>
        <v/>
      </c>
      <c r="V494" s="11" t="n"/>
      <c r="W494" s="11" t="n"/>
      <c r="X494" s="11" t="n"/>
      <c r="Y494" s="11">
        <f>IF(OR(V494="",W494=""),"",IFERROR(INDEX(LAYOUT!$D$2:$D$80,MATCH(V494&amp;"|"&amp;W494,LAYOUT!$E$2:$E$80,0)),""))</f>
        <v/>
      </c>
      <c r="Z494" s="12">
        <f>IF(AND(V494="",W494=""),IF(AND(L494="",M494="",Q494="",R494=""),IF(OR($D494&lt;&gt;"",$E494&lt;&gt;""),"Belum ditempatkan",""),""),IF(V494="","CEK JENIS FIXTURE kosong",IF(LEFT(V494,4)&lt;&gt;"Wall","CEK Fixture 3 hanya Wall",IF(W494="","CEK SHELVING KE kosong",IF(ISNA(MATCH(V494&amp;"|"&amp;W494,LAYOUT!$E$2:$E$80,0)),"CEK SHELVING KE di luar layout",IF($I494="","CEK SERIES kosong",IF(AND(X494&lt;&gt;"",NOT(ISNUMBER(X494))),"CEK URUTAN DISPLAY harus angka",IF($D494="","Zona STOCK",IF($E494="","CEK SKU DESCRIPTION kosong",IF(COUNTIFS($I$2:$I$500,$I494,V$2:V$500,"&lt;&gt;"&amp;V494,V$2:V$500,"&lt;&gt;")&gt;0,"CEK jenis fixture beda dalam satu series","OK"))))))))))</f>
        <v/>
      </c>
      <c r="AA494" s="12" t="n"/>
      <c r="AB494" s="11" t="n"/>
      <c r="AC494" s="11" t="n"/>
      <c r="AD494" s="11" t="n"/>
      <c r="AE494" s="11" t="n"/>
      <c r="AF494" s="11" t="n"/>
      <c r="AG494" s="11" t="n"/>
      <c r="AH494" s="12" t="n"/>
      <c r="AI494" s="12" t="n"/>
    </row>
    <row r="495">
      <c r="A495" s="10" t="n"/>
      <c r="B495" s="10" t="n"/>
      <c r="C495" s="10" t="n"/>
      <c r="D495" s="10" t="n"/>
      <c r="E495" s="10" t="n"/>
      <c r="F495" s="10" t="n"/>
      <c r="G495" s="10" t="n"/>
      <c r="H495" s="10" t="n"/>
      <c r="I495" s="10" t="n"/>
      <c r="J495" s="10" t="n"/>
      <c r="K495" s="10" t="n"/>
      <c r="L495" s="11" t="n"/>
      <c r="M495" s="11" t="n"/>
      <c r="N495" s="11" t="n"/>
      <c r="O495" s="11">
        <f>IF(OR(L495="",M495=""),"",IFERROR(INDEX(LAYOUT!$D$2:$D$80,MATCH(L495&amp;"|"&amp;M495,LAYOUT!$E$2:$E$80,0)),""))</f>
        <v/>
      </c>
      <c r="P495" s="12">
        <f>IF(AND(L495="",M495=""),IF(AND(Q495="",R495="",V495="",W495=""),IF(OR($D495&lt;&gt;"",$E495&lt;&gt;""),"Belum ditempatkan",""),""),IF(L495="","CEK JENIS FIXTURE kosong",IF(AND(LEFT(L495,7)&lt;&gt;"Gondola",LEFT(L495,6)&lt;&gt;"Endcap"),"CEK Fixture 1 hanya Gondola atau Endcap",IF(M495="","CEK SHELVING KE kosong",IF(ISNA(MATCH(L495&amp;"|"&amp;M495,LAYOUT!$E$2:$E$80,0)),"CEK SHELVING KE di luar layout",IF($I495="","CEK SERIES kosong",IF(AND(N495&lt;&gt;"",NOT(ISNUMBER(N495))),"CEK URUTAN DISPLAY harus angka",IF($D495="","Zona STOCK",IF($E495="","CEK SKU DESCRIPTION kosong",IF(COUNTIFS($I$2:$I$500,$I495,L$2:L$500,"&lt;&gt;"&amp;L495,L$2:L$500,"&lt;&gt;")&gt;0,"CEK jenis fixture beda dalam satu series","OK"))))))))))</f>
        <v/>
      </c>
      <c r="Q495" s="11" t="n"/>
      <c r="R495" s="11" t="n"/>
      <c r="S495" s="11" t="n"/>
      <c r="T495" s="11">
        <f>IF(OR(Q495="",R495=""),"",IFERROR(INDEX(LAYOUT!$D$2:$D$80,MATCH(Q495&amp;"|"&amp;R495,LAYOUT!$E$2:$E$80,0)),""))</f>
        <v/>
      </c>
      <c r="U495" s="12">
        <f>IF(AND(Q495="",R495=""),IF(AND(L495="",M495="",V495="",W495=""),IF(OR($D495&lt;&gt;"",$E495&lt;&gt;""),"Belum ditempatkan",""),""),IF(Q495="","CEK JENIS FIXTURE kosong",IF(LEFT(Q495,4)&lt;&gt;"Wall","CEK Fixture 2 hanya Wall",IF(R495="","CEK SHELVING KE kosong",IF(ISNA(MATCH(Q495&amp;"|"&amp;R495,LAYOUT!$E$2:$E$80,0)),"CEK SHELVING KE di luar layout",IF($I495="","CEK SERIES kosong",IF(AND(S495&lt;&gt;"",NOT(ISNUMBER(S495))),"CEK URUTAN DISPLAY harus angka",IF($D495="","Zona STOCK",IF($E495="","CEK SKU DESCRIPTION kosong",IF(COUNTIFS($I$2:$I$500,$I495,Q$2:Q$500,"&lt;&gt;"&amp;Q495,Q$2:Q$500,"&lt;&gt;")&gt;0,"CEK jenis fixture beda dalam satu series","OK"))))))))))</f>
        <v/>
      </c>
      <c r="V495" s="11" t="n"/>
      <c r="W495" s="11" t="n"/>
      <c r="X495" s="11" t="n"/>
      <c r="Y495" s="11">
        <f>IF(OR(V495="",W495=""),"",IFERROR(INDEX(LAYOUT!$D$2:$D$80,MATCH(V495&amp;"|"&amp;W495,LAYOUT!$E$2:$E$80,0)),""))</f>
        <v/>
      </c>
      <c r="Z495" s="12">
        <f>IF(AND(V495="",W495=""),IF(AND(L495="",M495="",Q495="",R495=""),IF(OR($D495&lt;&gt;"",$E495&lt;&gt;""),"Belum ditempatkan",""),""),IF(V495="","CEK JENIS FIXTURE kosong",IF(LEFT(V495,4)&lt;&gt;"Wall","CEK Fixture 3 hanya Wall",IF(W495="","CEK SHELVING KE kosong",IF(ISNA(MATCH(V495&amp;"|"&amp;W495,LAYOUT!$E$2:$E$80,0)),"CEK SHELVING KE di luar layout",IF($I495="","CEK SERIES kosong",IF(AND(X495&lt;&gt;"",NOT(ISNUMBER(X495))),"CEK URUTAN DISPLAY harus angka",IF($D495="","Zona STOCK",IF($E495="","CEK SKU DESCRIPTION kosong",IF(COUNTIFS($I$2:$I$500,$I495,V$2:V$500,"&lt;&gt;"&amp;V495,V$2:V$500,"&lt;&gt;")&gt;0,"CEK jenis fixture beda dalam satu series","OK"))))))))))</f>
        <v/>
      </c>
      <c r="AA495" s="12" t="n"/>
      <c r="AB495" s="11" t="n"/>
      <c r="AC495" s="11" t="n"/>
      <c r="AD495" s="11" t="n"/>
      <c r="AE495" s="11" t="n"/>
      <c r="AF495" s="11" t="n"/>
      <c r="AG495" s="11" t="n"/>
      <c r="AH495" s="12" t="n"/>
      <c r="AI495" s="12" t="n"/>
    </row>
    <row r="496">
      <c r="A496" s="10" t="n"/>
      <c r="B496" s="10" t="n"/>
      <c r="C496" s="10" t="n"/>
      <c r="D496" s="10" t="n"/>
      <c r="E496" s="10" t="n"/>
      <c r="F496" s="10" t="n"/>
      <c r="G496" s="10" t="n"/>
      <c r="H496" s="10" t="n"/>
      <c r="I496" s="10" t="n"/>
      <c r="J496" s="10" t="n"/>
      <c r="K496" s="10" t="n"/>
      <c r="L496" s="11" t="n"/>
      <c r="M496" s="11" t="n"/>
      <c r="N496" s="11" t="n"/>
      <c r="O496" s="11">
        <f>IF(OR(L496="",M496=""),"",IFERROR(INDEX(LAYOUT!$D$2:$D$80,MATCH(L496&amp;"|"&amp;M496,LAYOUT!$E$2:$E$80,0)),""))</f>
        <v/>
      </c>
      <c r="P496" s="12">
        <f>IF(AND(L496="",M496=""),IF(AND(Q496="",R496="",V496="",W496=""),IF(OR($D496&lt;&gt;"",$E496&lt;&gt;""),"Belum ditempatkan",""),""),IF(L496="","CEK JENIS FIXTURE kosong",IF(AND(LEFT(L496,7)&lt;&gt;"Gondola",LEFT(L496,6)&lt;&gt;"Endcap"),"CEK Fixture 1 hanya Gondola atau Endcap",IF(M496="","CEK SHELVING KE kosong",IF(ISNA(MATCH(L496&amp;"|"&amp;M496,LAYOUT!$E$2:$E$80,0)),"CEK SHELVING KE di luar layout",IF($I496="","CEK SERIES kosong",IF(AND(N496&lt;&gt;"",NOT(ISNUMBER(N496))),"CEK URUTAN DISPLAY harus angka",IF($D496="","Zona STOCK",IF($E496="","CEK SKU DESCRIPTION kosong",IF(COUNTIFS($I$2:$I$500,$I496,L$2:L$500,"&lt;&gt;"&amp;L496,L$2:L$500,"&lt;&gt;")&gt;0,"CEK jenis fixture beda dalam satu series","OK"))))))))))</f>
        <v/>
      </c>
      <c r="Q496" s="11" t="n"/>
      <c r="R496" s="11" t="n"/>
      <c r="S496" s="11" t="n"/>
      <c r="T496" s="11">
        <f>IF(OR(Q496="",R496=""),"",IFERROR(INDEX(LAYOUT!$D$2:$D$80,MATCH(Q496&amp;"|"&amp;R496,LAYOUT!$E$2:$E$80,0)),""))</f>
        <v/>
      </c>
      <c r="U496" s="12">
        <f>IF(AND(Q496="",R496=""),IF(AND(L496="",M496="",V496="",W496=""),IF(OR($D496&lt;&gt;"",$E496&lt;&gt;""),"Belum ditempatkan",""),""),IF(Q496="","CEK JENIS FIXTURE kosong",IF(LEFT(Q496,4)&lt;&gt;"Wall","CEK Fixture 2 hanya Wall",IF(R496="","CEK SHELVING KE kosong",IF(ISNA(MATCH(Q496&amp;"|"&amp;R496,LAYOUT!$E$2:$E$80,0)),"CEK SHELVING KE di luar layout",IF($I496="","CEK SERIES kosong",IF(AND(S496&lt;&gt;"",NOT(ISNUMBER(S496))),"CEK URUTAN DISPLAY harus angka",IF($D496="","Zona STOCK",IF($E496="","CEK SKU DESCRIPTION kosong",IF(COUNTIFS($I$2:$I$500,$I496,Q$2:Q$500,"&lt;&gt;"&amp;Q496,Q$2:Q$500,"&lt;&gt;")&gt;0,"CEK jenis fixture beda dalam satu series","OK"))))))))))</f>
        <v/>
      </c>
      <c r="V496" s="11" t="n"/>
      <c r="W496" s="11" t="n"/>
      <c r="X496" s="11" t="n"/>
      <c r="Y496" s="11">
        <f>IF(OR(V496="",W496=""),"",IFERROR(INDEX(LAYOUT!$D$2:$D$80,MATCH(V496&amp;"|"&amp;W496,LAYOUT!$E$2:$E$80,0)),""))</f>
        <v/>
      </c>
      <c r="Z496" s="12">
        <f>IF(AND(V496="",W496=""),IF(AND(L496="",M496="",Q496="",R496=""),IF(OR($D496&lt;&gt;"",$E496&lt;&gt;""),"Belum ditempatkan",""),""),IF(V496="","CEK JENIS FIXTURE kosong",IF(LEFT(V496,4)&lt;&gt;"Wall","CEK Fixture 3 hanya Wall",IF(W496="","CEK SHELVING KE kosong",IF(ISNA(MATCH(V496&amp;"|"&amp;W496,LAYOUT!$E$2:$E$80,0)),"CEK SHELVING KE di luar layout",IF($I496="","CEK SERIES kosong",IF(AND(X496&lt;&gt;"",NOT(ISNUMBER(X496))),"CEK URUTAN DISPLAY harus angka",IF($D496="","Zona STOCK",IF($E496="","CEK SKU DESCRIPTION kosong",IF(COUNTIFS($I$2:$I$500,$I496,V$2:V$500,"&lt;&gt;"&amp;V496,V$2:V$500,"&lt;&gt;")&gt;0,"CEK jenis fixture beda dalam satu series","OK"))))))))))</f>
        <v/>
      </c>
      <c r="AA496" s="12" t="n"/>
      <c r="AB496" s="11" t="n"/>
      <c r="AC496" s="11" t="n"/>
      <c r="AD496" s="11" t="n"/>
      <c r="AE496" s="11" t="n"/>
      <c r="AF496" s="11" t="n"/>
      <c r="AG496" s="11" t="n"/>
      <c r="AH496" s="12" t="n"/>
      <c r="AI496" s="12" t="n"/>
    </row>
    <row r="497">
      <c r="A497" s="10" t="n"/>
      <c r="B497" s="10" t="n"/>
      <c r="C497" s="10" t="n"/>
      <c r="D497" s="10" t="n"/>
      <c r="E497" s="10" t="n"/>
      <c r="F497" s="10" t="n"/>
      <c r="G497" s="10" t="n"/>
      <c r="H497" s="10" t="n"/>
      <c r="I497" s="10" t="n"/>
      <c r="J497" s="10" t="n"/>
      <c r="K497" s="10" t="n"/>
      <c r="L497" s="11" t="n"/>
      <c r="M497" s="11" t="n"/>
      <c r="N497" s="11" t="n"/>
      <c r="O497" s="11">
        <f>IF(OR(L497="",M497=""),"",IFERROR(INDEX(LAYOUT!$D$2:$D$80,MATCH(L497&amp;"|"&amp;M497,LAYOUT!$E$2:$E$80,0)),""))</f>
        <v/>
      </c>
      <c r="P497" s="12">
        <f>IF(AND(L497="",M497=""),IF(AND(Q497="",R497="",V497="",W497=""),IF(OR($D497&lt;&gt;"",$E497&lt;&gt;""),"Belum ditempatkan",""),""),IF(L497="","CEK JENIS FIXTURE kosong",IF(AND(LEFT(L497,7)&lt;&gt;"Gondola",LEFT(L497,6)&lt;&gt;"Endcap"),"CEK Fixture 1 hanya Gondola atau Endcap",IF(M497="","CEK SHELVING KE kosong",IF(ISNA(MATCH(L497&amp;"|"&amp;M497,LAYOUT!$E$2:$E$80,0)),"CEK SHELVING KE di luar layout",IF($I497="","CEK SERIES kosong",IF(AND(N497&lt;&gt;"",NOT(ISNUMBER(N497))),"CEK URUTAN DISPLAY harus angka",IF($D497="","Zona STOCK",IF($E497="","CEK SKU DESCRIPTION kosong",IF(COUNTIFS($I$2:$I$500,$I497,L$2:L$500,"&lt;&gt;"&amp;L497,L$2:L$500,"&lt;&gt;")&gt;0,"CEK jenis fixture beda dalam satu series","OK"))))))))))</f>
        <v/>
      </c>
      <c r="Q497" s="11" t="n"/>
      <c r="R497" s="11" t="n"/>
      <c r="S497" s="11" t="n"/>
      <c r="T497" s="11">
        <f>IF(OR(Q497="",R497=""),"",IFERROR(INDEX(LAYOUT!$D$2:$D$80,MATCH(Q497&amp;"|"&amp;R497,LAYOUT!$E$2:$E$80,0)),""))</f>
        <v/>
      </c>
      <c r="U497" s="12">
        <f>IF(AND(Q497="",R497=""),IF(AND(L497="",M497="",V497="",W497=""),IF(OR($D497&lt;&gt;"",$E497&lt;&gt;""),"Belum ditempatkan",""),""),IF(Q497="","CEK JENIS FIXTURE kosong",IF(LEFT(Q497,4)&lt;&gt;"Wall","CEK Fixture 2 hanya Wall",IF(R497="","CEK SHELVING KE kosong",IF(ISNA(MATCH(Q497&amp;"|"&amp;R497,LAYOUT!$E$2:$E$80,0)),"CEK SHELVING KE di luar layout",IF($I497="","CEK SERIES kosong",IF(AND(S497&lt;&gt;"",NOT(ISNUMBER(S497))),"CEK URUTAN DISPLAY harus angka",IF($D497="","Zona STOCK",IF($E497="","CEK SKU DESCRIPTION kosong",IF(COUNTIFS($I$2:$I$500,$I497,Q$2:Q$500,"&lt;&gt;"&amp;Q497,Q$2:Q$500,"&lt;&gt;")&gt;0,"CEK jenis fixture beda dalam satu series","OK"))))))))))</f>
        <v/>
      </c>
      <c r="V497" s="11" t="n"/>
      <c r="W497" s="11" t="n"/>
      <c r="X497" s="11" t="n"/>
      <c r="Y497" s="11">
        <f>IF(OR(V497="",W497=""),"",IFERROR(INDEX(LAYOUT!$D$2:$D$80,MATCH(V497&amp;"|"&amp;W497,LAYOUT!$E$2:$E$80,0)),""))</f>
        <v/>
      </c>
      <c r="Z497" s="12">
        <f>IF(AND(V497="",W497=""),IF(AND(L497="",M497="",Q497="",R497=""),IF(OR($D497&lt;&gt;"",$E497&lt;&gt;""),"Belum ditempatkan",""),""),IF(V497="","CEK JENIS FIXTURE kosong",IF(LEFT(V497,4)&lt;&gt;"Wall","CEK Fixture 3 hanya Wall",IF(W497="","CEK SHELVING KE kosong",IF(ISNA(MATCH(V497&amp;"|"&amp;W497,LAYOUT!$E$2:$E$80,0)),"CEK SHELVING KE di luar layout",IF($I497="","CEK SERIES kosong",IF(AND(X497&lt;&gt;"",NOT(ISNUMBER(X497))),"CEK URUTAN DISPLAY harus angka",IF($D497="","Zona STOCK",IF($E497="","CEK SKU DESCRIPTION kosong",IF(COUNTIFS($I$2:$I$500,$I497,V$2:V$500,"&lt;&gt;"&amp;V497,V$2:V$500,"&lt;&gt;")&gt;0,"CEK jenis fixture beda dalam satu series","OK"))))))))))</f>
        <v/>
      </c>
      <c r="AA497" s="12" t="n"/>
      <c r="AB497" s="11" t="n"/>
      <c r="AC497" s="11" t="n"/>
      <c r="AD497" s="11" t="n"/>
      <c r="AE497" s="11" t="n"/>
      <c r="AF497" s="11" t="n"/>
      <c r="AG497" s="11" t="n"/>
      <c r="AH497" s="12" t="n"/>
      <c r="AI497" s="12" t="n"/>
    </row>
    <row r="498">
      <c r="A498" s="10" t="n"/>
      <c r="B498" s="10" t="n"/>
      <c r="C498" s="10" t="n"/>
      <c r="D498" s="10" t="n"/>
      <c r="E498" s="10" t="n"/>
      <c r="F498" s="10" t="n"/>
      <c r="G498" s="10" t="n"/>
      <c r="H498" s="10" t="n"/>
      <c r="I498" s="10" t="n"/>
      <c r="J498" s="10" t="n"/>
      <c r="K498" s="10" t="n"/>
      <c r="L498" s="11" t="n"/>
      <c r="M498" s="11" t="n"/>
      <c r="N498" s="11" t="n"/>
      <c r="O498" s="11">
        <f>IF(OR(L498="",M498=""),"",IFERROR(INDEX(LAYOUT!$D$2:$D$80,MATCH(L498&amp;"|"&amp;M498,LAYOUT!$E$2:$E$80,0)),""))</f>
        <v/>
      </c>
      <c r="P498" s="12">
        <f>IF(AND(L498="",M498=""),IF(AND(Q498="",R498="",V498="",W498=""),IF(OR($D498&lt;&gt;"",$E498&lt;&gt;""),"Belum ditempatkan",""),""),IF(L498="","CEK JENIS FIXTURE kosong",IF(AND(LEFT(L498,7)&lt;&gt;"Gondola",LEFT(L498,6)&lt;&gt;"Endcap"),"CEK Fixture 1 hanya Gondola atau Endcap",IF(M498="","CEK SHELVING KE kosong",IF(ISNA(MATCH(L498&amp;"|"&amp;M498,LAYOUT!$E$2:$E$80,0)),"CEK SHELVING KE di luar layout",IF($I498="","CEK SERIES kosong",IF(AND(N498&lt;&gt;"",NOT(ISNUMBER(N498))),"CEK URUTAN DISPLAY harus angka",IF($D498="","Zona STOCK",IF($E498="","CEK SKU DESCRIPTION kosong",IF(COUNTIFS($I$2:$I$500,$I498,L$2:L$500,"&lt;&gt;"&amp;L498,L$2:L$500,"&lt;&gt;")&gt;0,"CEK jenis fixture beda dalam satu series","OK"))))))))))</f>
        <v/>
      </c>
      <c r="Q498" s="11" t="n"/>
      <c r="R498" s="11" t="n"/>
      <c r="S498" s="11" t="n"/>
      <c r="T498" s="11">
        <f>IF(OR(Q498="",R498=""),"",IFERROR(INDEX(LAYOUT!$D$2:$D$80,MATCH(Q498&amp;"|"&amp;R498,LAYOUT!$E$2:$E$80,0)),""))</f>
        <v/>
      </c>
      <c r="U498" s="12">
        <f>IF(AND(Q498="",R498=""),IF(AND(L498="",M498="",V498="",W498=""),IF(OR($D498&lt;&gt;"",$E498&lt;&gt;""),"Belum ditempatkan",""),""),IF(Q498="","CEK JENIS FIXTURE kosong",IF(LEFT(Q498,4)&lt;&gt;"Wall","CEK Fixture 2 hanya Wall",IF(R498="","CEK SHELVING KE kosong",IF(ISNA(MATCH(Q498&amp;"|"&amp;R498,LAYOUT!$E$2:$E$80,0)),"CEK SHELVING KE di luar layout",IF($I498="","CEK SERIES kosong",IF(AND(S498&lt;&gt;"",NOT(ISNUMBER(S498))),"CEK URUTAN DISPLAY harus angka",IF($D498="","Zona STOCK",IF($E498="","CEK SKU DESCRIPTION kosong",IF(COUNTIFS($I$2:$I$500,$I498,Q$2:Q$500,"&lt;&gt;"&amp;Q498,Q$2:Q$500,"&lt;&gt;")&gt;0,"CEK jenis fixture beda dalam satu series","OK"))))))))))</f>
        <v/>
      </c>
      <c r="V498" s="11" t="n"/>
      <c r="W498" s="11" t="n"/>
      <c r="X498" s="11" t="n"/>
      <c r="Y498" s="11">
        <f>IF(OR(V498="",W498=""),"",IFERROR(INDEX(LAYOUT!$D$2:$D$80,MATCH(V498&amp;"|"&amp;W498,LAYOUT!$E$2:$E$80,0)),""))</f>
        <v/>
      </c>
      <c r="Z498" s="12">
        <f>IF(AND(V498="",W498=""),IF(AND(L498="",M498="",Q498="",R498=""),IF(OR($D498&lt;&gt;"",$E498&lt;&gt;""),"Belum ditempatkan",""),""),IF(V498="","CEK JENIS FIXTURE kosong",IF(LEFT(V498,4)&lt;&gt;"Wall","CEK Fixture 3 hanya Wall",IF(W498="","CEK SHELVING KE kosong",IF(ISNA(MATCH(V498&amp;"|"&amp;W498,LAYOUT!$E$2:$E$80,0)),"CEK SHELVING KE di luar layout",IF($I498="","CEK SERIES kosong",IF(AND(X498&lt;&gt;"",NOT(ISNUMBER(X498))),"CEK URUTAN DISPLAY harus angka",IF($D498="","Zona STOCK",IF($E498="","CEK SKU DESCRIPTION kosong",IF(COUNTIFS($I$2:$I$500,$I498,V$2:V$500,"&lt;&gt;"&amp;V498,V$2:V$500,"&lt;&gt;")&gt;0,"CEK jenis fixture beda dalam satu series","OK"))))))))))</f>
        <v/>
      </c>
      <c r="AA498" s="12" t="n"/>
      <c r="AB498" s="11" t="n"/>
      <c r="AC498" s="11" t="n"/>
      <c r="AD498" s="11" t="n"/>
      <c r="AE498" s="11" t="n"/>
      <c r="AF498" s="11" t="n"/>
      <c r="AG498" s="11" t="n"/>
      <c r="AH498" s="12" t="n"/>
      <c r="AI498" s="12" t="n"/>
    </row>
    <row r="499">
      <c r="A499" s="10" t="n"/>
      <c r="B499" s="10" t="n"/>
      <c r="C499" s="10" t="n"/>
      <c r="D499" s="10" t="n"/>
      <c r="E499" s="10" t="n"/>
      <c r="F499" s="10" t="n"/>
      <c r="G499" s="10" t="n"/>
      <c r="H499" s="10" t="n"/>
      <c r="I499" s="10" t="n"/>
      <c r="J499" s="10" t="n"/>
      <c r="K499" s="10" t="n"/>
      <c r="L499" s="11" t="n"/>
      <c r="M499" s="11" t="n"/>
      <c r="N499" s="11" t="n"/>
      <c r="O499" s="11">
        <f>IF(OR(L499="",M499=""),"",IFERROR(INDEX(LAYOUT!$D$2:$D$80,MATCH(L499&amp;"|"&amp;M499,LAYOUT!$E$2:$E$80,0)),""))</f>
        <v/>
      </c>
      <c r="P499" s="12">
        <f>IF(AND(L499="",M499=""),IF(AND(Q499="",R499="",V499="",W499=""),IF(OR($D499&lt;&gt;"",$E499&lt;&gt;""),"Belum ditempatkan",""),""),IF(L499="","CEK JENIS FIXTURE kosong",IF(AND(LEFT(L499,7)&lt;&gt;"Gondola",LEFT(L499,6)&lt;&gt;"Endcap"),"CEK Fixture 1 hanya Gondola atau Endcap",IF(M499="","CEK SHELVING KE kosong",IF(ISNA(MATCH(L499&amp;"|"&amp;M499,LAYOUT!$E$2:$E$80,0)),"CEK SHELVING KE di luar layout",IF($I499="","CEK SERIES kosong",IF(AND(N499&lt;&gt;"",NOT(ISNUMBER(N499))),"CEK URUTAN DISPLAY harus angka",IF($D499="","Zona STOCK",IF($E499="","CEK SKU DESCRIPTION kosong",IF(COUNTIFS($I$2:$I$500,$I499,L$2:L$500,"&lt;&gt;"&amp;L499,L$2:L$500,"&lt;&gt;")&gt;0,"CEK jenis fixture beda dalam satu series","OK"))))))))))</f>
        <v/>
      </c>
      <c r="Q499" s="11" t="n"/>
      <c r="R499" s="11" t="n"/>
      <c r="S499" s="11" t="n"/>
      <c r="T499" s="11">
        <f>IF(OR(Q499="",R499=""),"",IFERROR(INDEX(LAYOUT!$D$2:$D$80,MATCH(Q499&amp;"|"&amp;R499,LAYOUT!$E$2:$E$80,0)),""))</f>
        <v/>
      </c>
      <c r="U499" s="12">
        <f>IF(AND(Q499="",R499=""),IF(AND(L499="",M499="",V499="",W499=""),IF(OR($D499&lt;&gt;"",$E499&lt;&gt;""),"Belum ditempatkan",""),""),IF(Q499="","CEK JENIS FIXTURE kosong",IF(LEFT(Q499,4)&lt;&gt;"Wall","CEK Fixture 2 hanya Wall",IF(R499="","CEK SHELVING KE kosong",IF(ISNA(MATCH(Q499&amp;"|"&amp;R499,LAYOUT!$E$2:$E$80,0)),"CEK SHELVING KE di luar layout",IF($I499="","CEK SERIES kosong",IF(AND(S499&lt;&gt;"",NOT(ISNUMBER(S499))),"CEK URUTAN DISPLAY harus angka",IF($D499="","Zona STOCK",IF($E499="","CEK SKU DESCRIPTION kosong",IF(COUNTIFS($I$2:$I$500,$I499,Q$2:Q$500,"&lt;&gt;"&amp;Q499,Q$2:Q$500,"&lt;&gt;")&gt;0,"CEK jenis fixture beda dalam satu series","OK"))))))))))</f>
        <v/>
      </c>
      <c r="V499" s="11" t="n"/>
      <c r="W499" s="11" t="n"/>
      <c r="X499" s="11" t="n"/>
      <c r="Y499" s="11">
        <f>IF(OR(V499="",W499=""),"",IFERROR(INDEX(LAYOUT!$D$2:$D$80,MATCH(V499&amp;"|"&amp;W499,LAYOUT!$E$2:$E$80,0)),""))</f>
        <v/>
      </c>
      <c r="Z499" s="12">
        <f>IF(AND(V499="",W499=""),IF(AND(L499="",M499="",Q499="",R499=""),IF(OR($D499&lt;&gt;"",$E499&lt;&gt;""),"Belum ditempatkan",""),""),IF(V499="","CEK JENIS FIXTURE kosong",IF(LEFT(V499,4)&lt;&gt;"Wall","CEK Fixture 3 hanya Wall",IF(W499="","CEK SHELVING KE kosong",IF(ISNA(MATCH(V499&amp;"|"&amp;W499,LAYOUT!$E$2:$E$80,0)),"CEK SHELVING KE di luar layout",IF($I499="","CEK SERIES kosong",IF(AND(X499&lt;&gt;"",NOT(ISNUMBER(X499))),"CEK URUTAN DISPLAY harus angka",IF($D499="","Zona STOCK",IF($E499="","CEK SKU DESCRIPTION kosong",IF(COUNTIFS($I$2:$I$500,$I499,V$2:V$500,"&lt;&gt;"&amp;V499,V$2:V$500,"&lt;&gt;")&gt;0,"CEK jenis fixture beda dalam satu series","OK"))))))))))</f>
        <v/>
      </c>
      <c r="AA499" s="12" t="n"/>
      <c r="AB499" s="11" t="n"/>
      <c r="AC499" s="11" t="n"/>
      <c r="AD499" s="11" t="n"/>
      <c r="AE499" s="11" t="n"/>
      <c r="AF499" s="11" t="n"/>
      <c r="AG499" s="11" t="n"/>
      <c r="AH499" s="12" t="n"/>
      <c r="AI499" s="12" t="n"/>
    </row>
    <row r="500">
      <c r="A500" s="10" t="n"/>
      <c r="B500" s="10" t="n"/>
      <c r="C500" s="10" t="n"/>
      <c r="D500" s="10" t="n"/>
      <c r="E500" s="10" t="n"/>
      <c r="F500" s="10" t="n"/>
      <c r="G500" s="10" t="n"/>
      <c r="H500" s="10" t="n"/>
      <c r="I500" s="10" t="n"/>
      <c r="J500" s="10" t="n"/>
      <c r="K500" s="10" t="n"/>
      <c r="L500" s="11" t="n"/>
      <c r="M500" s="11" t="n"/>
      <c r="N500" s="11" t="n"/>
      <c r="O500" s="11">
        <f>IF(OR(L500="",M500=""),"",IFERROR(INDEX(LAYOUT!$D$2:$D$80,MATCH(L500&amp;"|"&amp;M500,LAYOUT!$E$2:$E$80,0)),""))</f>
        <v/>
      </c>
      <c r="P500" s="12">
        <f>IF(AND(L500="",M500=""),IF(AND(Q500="",R500="",V500="",W500=""),IF(OR($D500&lt;&gt;"",$E500&lt;&gt;""),"Belum ditempatkan",""),""),IF(L500="","CEK JENIS FIXTURE kosong",IF(AND(LEFT(L500,7)&lt;&gt;"Gondola",LEFT(L500,6)&lt;&gt;"Endcap"),"CEK Fixture 1 hanya Gondola atau Endcap",IF(M500="","CEK SHELVING KE kosong",IF(ISNA(MATCH(L500&amp;"|"&amp;M500,LAYOUT!$E$2:$E$80,0)),"CEK SHELVING KE di luar layout",IF($I500="","CEK SERIES kosong",IF(AND(N500&lt;&gt;"",NOT(ISNUMBER(N500))),"CEK URUTAN DISPLAY harus angka",IF($D500="","Zona STOCK",IF($E500="","CEK SKU DESCRIPTION kosong",IF(COUNTIFS($I$2:$I$500,$I500,L$2:L$500,"&lt;&gt;"&amp;L500,L$2:L$500,"&lt;&gt;")&gt;0,"CEK jenis fixture beda dalam satu series","OK"))))))))))</f>
        <v/>
      </c>
      <c r="Q500" s="11" t="n"/>
      <c r="R500" s="11" t="n"/>
      <c r="S500" s="11" t="n"/>
      <c r="T500" s="11">
        <f>IF(OR(Q500="",R500=""),"",IFERROR(INDEX(LAYOUT!$D$2:$D$80,MATCH(Q500&amp;"|"&amp;R500,LAYOUT!$E$2:$E$80,0)),""))</f>
        <v/>
      </c>
      <c r="U500" s="12">
        <f>IF(AND(Q500="",R500=""),IF(AND(L500="",M500="",V500="",W500=""),IF(OR($D500&lt;&gt;"",$E500&lt;&gt;""),"Belum ditempatkan",""),""),IF(Q500="","CEK JENIS FIXTURE kosong",IF(LEFT(Q500,4)&lt;&gt;"Wall","CEK Fixture 2 hanya Wall",IF(R500="","CEK SHELVING KE kosong",IF(ISNA(MATCH(Q500&amp;"|"&amp;R500,LAYOUT!$E$2:$E$80,0)),"CEK SHELVING KE di luar layout",IF($I500="","CEK SERIES kosong",IF(AND(S500&lt;&gt;"",NOT(ISNUMBER(S500))),"CEK URUTAN DISPLAY harus angka",IF($D500="","Zona STOCK",IF($E500="","CEK SKU DESCRIPTION kosong",IF(COUNTIFS($I$2:$I$500,$I500,Q$2:Q$500,"&lt;&gt;"&amp;Q500,Q$2:Q$500,"&lt;&gt;")&gt;0,"CEK jenis fixture beda dalam satu series","OK"))))))))))</f>
        <v/>
      </c>
      <c r="V500" s="11" t="n"/>
      <c r="W500" s="11" t="n"/>
      <c r="X500" s="11" t="n"/>
      <c r="Y500" s="11">
        <f>IF(OR(V500="",W500=""),"",IFERROR(INDEX(LAYOUT!$D$2:$D$80,MATCH(V500&amp;"|"&amp;W500,LAYOUT!$E$2:$E$80,0)),""))</f>
        <v/>
      </c>
      <c r="Z500" s="12">
        <f>IF(AND(V500="",W500=""),IF(AND(L500="",M500="",Q500="",R500=""),IF(OR($D500&lt;&gt;"",$E500&lt;&gt;""),"Belum ditempatkan",""),""),IF(V500="","CEK JENIS FIXTURE kosong",IF(LEFT(V500,4)&lt;&gt;"Wall","CEK Fixture 3 hanya Wall",IF(W500="","CEK SHELVING KE kosong",IF(ISNA(MATCH(V500&amp;"|"&amp;W500,LAYOUT!$E$2:$E$80,0)),"CEK SHELVING KE di luar layout",IF($I500="","CEK SERIES kosong",IF(AND(X500&lt;&gt;"",NOT(ISNUMBER(X500))),"CEK URUTAN DISPLAY harus angka",IF($D500="","Zona STOCK",IF($E500="","CEK SKU DESCRIPTION kosong",IF(COUNTIFS($I$2:$I$500,$I500,V$2:V$500,"&lt;&gt;"&amp;V500,V$2:V$500,"&lt;&gt;")&gt;0,"CEK jenis fixture beda dalam satu series","OK"))))))))))</f>
        <v/>
      </c>
      <c r="AA500" s="12" t="n"/>
      <c r="AB500" s="11" t="n"/>
      <c r="AC500" s="11" t="n"/>
      <c r="AD500" s="11" t="n"/>
      <c r="AE500" s="11" t="n"/>
      <c r="AF500" s="11" t="n"/>
      <c r="AG500" s="11" t="n"/>
      <c r="AH500" s="12" t="n"/>
      <c r="AI500" s="12" t="n"/>
    </row>
  </sheetData>
  <autoFilter ref="A1:Z500"/>
  <conditionalFormatting sqref="P2:P500">
    <cfRule type="expression" priority="1" dxfId="3">
      <formula>LEFT($P2,3)="CEK"</formula>
    </cfRule>
    <cfRule type="expression" priority="2" dxfId="4">
      <formula>$P2="OK"</formula>
    </cfRule>
    <cfRule type="expression" priority="3" dxfId="5">
      <formula>OR($P2="Zona STOCK",$P2="Belum ditempatkan")</formula>
    </cfRule>
  </conditionalFormatting>
  <conditionalFormatting sqref="U2:U500">
    <cfRule type="expression" priority="4" dxfId="3">
      <formula>LEFT($U2,3)="CEK"</formula>
    </cfRule>
    <cfRule type="expression" priority="5" dxfId="4">
      <formula>$U2="OK"</formula>
    </cfRule>
    <cfRule type="expression" priority="6" dxfId="5">
      <formula>OR($U2="Zona STOCK",$U2="Belum ditempatkan")</formula>
    </cfRule>
  </conditionalFormatting>
  <conditionalFormatting sqref="Z2:Z500">
    <cfRule type="expression" priority="7" dxfId="3">
      <formula>LEFT($Z2,3)="CEK"</formula>
    </cfRule>
    <cfRule type="expression" priority="8" dxfId="4">
      <formula>$Z2="OK"</formula>
    </cfRule>
    <cfRule type="expression" priority="9" dxfId="5">
      <formula>OR($Z2="Zona STOCK",$Z2="Belum ditempatkan")</formula>
    </cfRule>
  </conditionalFormatting>
  <dataValidations count="9">
    <dataValidation sqref="L2:L500" showDropDown="0" showInputMessage="0" showErrorMessage="0" allowBlank="1" type="list">
      <formula1>"Gondola 4 Shelving,Gondola 3 Shelving,Gondola 2 Gantungan + 2 Shelving,Gondola 3 Shelving + 1 Gantungan,Gondola 2 Shelving + 2 Gantungan,Endcap 4 Shelving,Endcap 3 Shelving"</formula1>
    </dataValidation>
    <dataValidation sqref="M2:M500" showDropDown="0" showInputMessage="0" showErrorMessage="1" allowBlank="1" error="Isi nomor shelving 1 sampai 6 (dari atas; Gantungan ikut dihitung)" type="whole" operator="between">
      <formula1>1</formula1>
      <formula2>6</formula2>
    </dataValidation>
    <dataValidation sqref="N2:N500" showDropDown="0" showInputMessage="0" showErrorMessage="1" allowBlank="1" error="Isi angka 1, 2, 3, ... (urutan sambung unit fixture yang sama)" type="whole" operator="greaterThanOrEqual">
      <formula1>1</formula1>
    </dataValidation>
    <dataValidation sqref="Q2:Q500" showDropDown="0" showInputMessage="0" showErrorMessage="0" allowBlank="1" type="list">
      <formula1>"Wall 6 Shelving,Wall 5 Shelving,Wall 3 Shelving + 2 Gantungan"</formula1>
    </dataValidation>
    <dataValidation sqref="R2:R500" showDropDown="0" showInputMessage="0" showErrorMessage="1" allowBlank="1" error="Isi nomor shelving 1 sampai 6 (dari atas; Gantungan ikut dihitung)" type="whole" operator="between">
      <formula1>1</formula1>
      <formula2>6</formula2>
    </dataValidation>
    <dataValidation sqref="S2:S500" showDropDown="0" showInputMessage="0" showErrorMessage="1" allowBlank="1" error="Isi angka 1, 2, 3, ... (urutan sambung unit fixture yang sama)" type="whole" operator="greaterThanOrEqual">
      <formula1>1</formula1>
    </dataValidation>
    <dataValidation sqref="V2:V500" showDropDown="0" showInputMessage="0" showErrorMessage="0" allowBlank="1" type="list">
      <formula1>"Wall 6 Shelving,Wall 5 Shelving,Wall 3 Shelving + 2 Gantungan"</formula1>
    </dataValidation>
    <dataValidation sqref="W2:W500" showDropDown="0" showInputMessage="0" showErrorMessage="1" allowBlank="1" error="Isi nomor shelving 1 sampai 6 (dari atas; Gantungan ikut dihitung)" type="whole" operator="between">
      <formula1>1</formula1>
      <formula2>6</formula2>
    </dataValidation>
    <dataValidation sqref="X2:X500" showDropDown="0" showInputMessage="0" showErrorMessage="1" allowBlank="1" error="Isi angka 1, 2, 3, ... (urutan sambung unit fixture yang sama)" type="whole" operator="greaterThanOrEqual">
      <formula1>1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500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40" customWidth="1" min="2" max="2"/>
    <col width="13" customWidth="1" min="3" max="3"/>
    <col width="13" customWidth="1" min="4" max="4"/>
    <col width="16" customWidth="1" min="5" max="5"/>
    <col width="14" customWidth="1" min="6" max="6"/>
    <col width="16" customWidth="1" min="7" max="7"/>
    <col width="18" customWidth="1" min="8" max="8"/>
    <col width="28" customWidth="1" min="9" max="9"/>
    <col width="20" customWidth="1" min="10" max="10"/>
    <col width="26" customWidth="1" min="11" max="11"/>
    <col width="3" customWidth="1" min="12" max="12"/>
    <col width="34" customWidth="1" min="13" max="13"/>
    <col width="10" customWidth="1" min="14" max="14"/>
  </cols>
  <sheetData>
    <row r="1" ht="44" customHeight="1">
      <c r="A1" s="7" t="inlineStr">
        <is>
          <t>SKU *</t>
        </is>
      </c>
      <c r="B1" s="9" t="inlineStr">
        <is>
          <t>SKU DESCRIPTION (otomatis dari DATA)</t>
        </is>
      </c>
      <c r="C1" s="7" t="inlineStr">
        <is>
          <t>LEBAR (cm) *</t>
        </is>
      </c>
      <c r="D1" s="7" t="inlineStr">
        <is>
          <t>TINGGI (cm) *</t>
        </is>
      </c>
      <c r="E1" s="7" t="inlineStr">
        <is>
          <t>KEDALAMAN (cm) *</t>
        </is>
      </c>
      <c r="F1" s="7" t="inlineStr">
        <is>
          <t>FACING (opsional)</t>
        </is>
      </c>
      <c r="G1" s="7" t="inlineStr">
        <is>
          <t>MAKS SUSUN (opsional)</t>
        </is>
      </c>
      <c r="H1" s="7" t="inlineStr">
        <is>
          <t>BOLEH DIPUTAR (opsional)</t>
        </is>
      </c>
      <c r="I1" s="7" t="inlineStr">
        <is>
          <t>CATATAN (opsional)</t>
        </is>
      </c>
      <c r="J1" s="9" t="inlineStr">
        <is>
          <t>ESTIMASI PCS / FACING (otomatis)</t>
        </is>
      </c>
      <c r="K1" s="9" t="inlineStr">
        <is>
          <t>STATUS (otomatis)</t>
        </is>
      </c>
      <c r="M1" s="8" t="inlineStr">
        <is>
          <t>PARAMETER ESTIMASI (boleh diubah)</t>
        </is>
      </c>
      <c r="N1" s="8" t="inlineStr">
        <is>
          <t>nilai</t>
        </is>
      </c>
    </row>
    <row r="2">
      <c r="A2" s="10" t="inlineStr">
        <is>
          <t>10681571</t>
        </is>
      </c>
      <c r="B2" s="12">
        <f>IF(A2="","",IFERROR(INDEX(DATA!$E$2:$E$500,MATCH(A2,DATA!$D$2:$D$500,0)),""))</f>
        <v/>
      </c>
      <c r="C2" s="10" t="n">
        <v>26</v>
      </c>
      <c r="D2" s="10" t="n">
        <v>8</v>
      </c>
      <c r="E2" s="10" t="n">
        <v>26</v>
      </c>
      <c r="F2" s="10" t="n">
        <v>1</v>
      </c>
      <c r="G2" s="10" t="n">
        <v>4</v>
      </c>
      <c r="H2" s="10" t="inlineStr">
        <is>
          <t>Tidak</t>
        </is>
      </c>
      <c r="I2" s="10" t="inlineStr">
        <is>
          <t>contoh baris: hapus lalu isi dimensi SKU Anda</t>
        </is>
      </c>
      <c r="J2" s="12">
        <f>IF(OR(A2="",COUNT(C2:E2)&lt;3),"",IFERROR(MAX(0,FLOOR(($N$2-$N$3)/E2,1))*MAX(1,MIN(IF(G2="",1,G2),FLOOR($N$4/D2,1)))*IF(F2="",1,F2),""))</f>
        <v/>
      </c>
      <c r="K2" s="12">
        <f>IF(A2="","",IF(COUNTIF(DATA!$D$2:$D$500,A2)=0,"CEK SKU tidak ada di DATA",IF(COUNT(C2:E2)&lt;3,"CEK dimensi belum lengkap",IF(OR(C2&lt;=0,D2&lt;=0,E2&lt;=0),"CEK dimensi harus lebih dari 0",IF(COUNTIF($A$2:$A$500,A2)&gt;1,"CEK SKU dobel","OK")))))</f>
        <v/>
      </c>
      <c r="M2" s="12" t="inlineStr">
        <is>
          <t>Kedalaman rak (cm)</t>
        </is>
      </c>
      <c r="N2" s="10" t="n">
        <v>50</v>
      </c>
    </row>
    <row r="3">
      <c r="A3" s="10" t="n"/>
      <c r="B3" s="12">
        <f>IF(A3="","",IFERROR(INDEX(DATA!$E$2:$E$500,MATCH(A3,DATA!$D$2:$D$500,0)),""))</f>
        <v/>
      </c>
      <c r="C3" s="10" t="n"/>
      <c r="D3" s="10" t="n"/>
      <c r="E3" s="10" t="n"/>
      <c r="F3" s="10" t="n"/>
      <c r="G3" s="10" t="n"/>
      <c r="H3" s="10" t="n"/>
      <c r="I3" s="10" t="n"/>
      <c r="J3" s="12">
        <f>IF(OR(A3="",COUNT(C3:E3)&lt;3),"",IFERROR(MAX(0,FLOOR(($N$2-$N$3)/E3,1))*MAX(1,MIN(IF(G3="",1,G3),FLOOR($N$4/D3,1)))*IF(F3="",1,F3),""))</f>
        <v/>
      </c>
      <c r="K3" s="12">
        <f>IF(A3="","",IF(COUNTIF(DATA!$D$2:$D$500,A3)=0,"CEK SKU tidak ada di DATA",IF(COUNT(C3:E3)&lt;3,"CEK dimensi belum lengkap",IF(OR(C3&lt;=0,D3&lt;=0,E3&lt;=0),"CEK dimensi harus lebih dari 0",IF(COUNTIF($A$2:$A$500,A3)&gt;1,"CEK SKU dobel","OK")))))</f>
        <v/>
      </c>
      <c r="M3" s="12" t="inlineStr">
        <is>
          <t>Ruang bebas depan-belakang (cm)</t>
        </is>
      </c>
      <c r="N3" s="10" t="n">
        <v>2</v>
      </c>
    </row>
    <row r="4">
      <c r="A4" s="10" t="n"/>
      <c r="B4" s="12">
        <f>IF(A4="","",IFERROR(INDEX(DATA!$E$2:$E$500,MATCH(A4,DATA!$D$2:$D$500,0)),""))</f>
        <v/>
      </c>
      <c r="C4" s="10" t="n"/>
      <c r="D4" s="10" t="n"/>
      <c r="E4" s="10" t="n"/>
      <c r="F4" s="10" t="n"/>
      <c r="G4" s="10" t="n"/>
      <c r="H4" s="10" t="n"/>
      <c r="I4" s="10" t="n"/>
      <c r="J4" s="12">
        <f>IF(OR(A4="",COUNT(C4:E4)&lt;3),"",IFERROR(MAX(0,FLOOR(($N$2-$N$3)/E4,1))*MAX(1,MIN(IF(G4="",1,G4),FLOOR($N$4/D4,1)))*IF(F4="",1,F4),""))</f>
        <v/>
      </c>
      <c r="K4" s="12">
        <f>IF(A4="","",IF(COUNTIF(DATA!$D$2:$D$500,A4)=0,"CEK SKU tidak ada di DATA",IF(COUNT(C4:E4)&lt;3,"CEK dimensi belum lengkap",IF(OR(C4&lt;=0,D4&lt;=0,E4&lt;=0),"CEK dimensi harus lebih dari 0",IF(COUNTIF($A$2:$A$500,A4)&gt;1,"CEK SKU dobel","OK")))))</f>
        <v/>
      </c>
      <c r="M4" s="12" t="inlineStr">
        <is>
          <t>Tinggi ruang rak (cm)</t>
        </is>
      </c>
      <c r="N4" s="10" t="n">
        <v>35</v>
      </c>
    </row>
    <row r="5">
      <c r="A5" s="10" t="n"/>
      <c r="B5" s="12">
        <f>IF(A5="","",IFERROR(INDEX(DATA!$E$2:$E$500,MATCH(A5,DATA!$D$2:$D$500,0)),""))</f>
        <v/>
      </c>
      <c r="C5" s="10" t="n"/>
      <c r="D5" s="10" t="n"/>
      <c r="E5" s="10" t="n"/>
      <c r="F5" s="10" t="n"/>
      <c r="G5" s="10" t="n"/>
      <c r="H5" s="10" t="n"/>
      <c r="I5" s="10" t="n"/>
      <c r="J5" s="12">
        <f>IF(OR(A5="",COUNT(C5:E5)&lt;3),"",IFERROR(MAX(0,FLOOR(($N$2-$N$3)/E5,1))*MAX(1,MIN(IF(G5="",1,G5),FLOOR($N$4/D5,1)))*IF(F5="",1,F5),""))</f>
        <v/>
      </c>
      <c r="K5" s="12">
        <f>IF(A5="","",IF(COUNTIF(DATA!$D$2:$D$500,A5)=0,"CEK SKU tidak ada di DATA",IF(COUNT(C5:E5)&lt;3,"CEK dimensi belum lengkap",IF(OR(C5&lt;=0,D5&lt;=0,E5&lt;=0),"CEK dimensi harus lebih dari 0",IF(COUNTIF($A$2:$A$500,A5)&gt;1,"CEK SKU dobel","OK")))))</f>
        <v/>
      </c>
      <c r="M5" s="12" t="inlineStr">
        <is>
          <t>Panjang gantungan (cm)</t>
        </is>
      </c>
      <c r="N5" s="10" t="n">
        <v>25</v>
      </c>
    </row>
    <row r="6">
      <c r="A6" s="10" t="n"/>
      <c r="B6" s="12">
        <f>IF(A6="","",IFERROR(INDEX(DATA!$E$2:$E$500,MATCH(A6,DATA!$D$2:$D$500,0)),""))</f>
        <v/>
      </c>
      <c r="C6" s="10" t="n"/>
      <c r="D6" s="10" t="n"/>
      <c r="E6" s="10" t="n"/>
      <c r="F6" s="10" t="n"/>
      <c r="G6" s="10" t="n"/>
      <c r="H6" s="10" t="n"/>
      <c r="I6" s="10" t="n"/>
      <c r="J6" s="12">
        <f>IF(OR(A6="",COUNT(C6:E6)&lt;3),"",IFERROR(MAX(0,FLOOR(($N$2-$N$3)/E6,1))*MAX(1,MIN(IF(G6="",1,G6),FLOOR($N$4/D6,1)))*IF(F6="",1,F6),""))</f>
        <v/>
      </c>
      <c r="K6" s="12">
        <f>IF(A6="","",IF(COUNTIF(DATA!$D$2:$D$500,A6)=0,"CEK SKU tidak ada di DATA",IF(COUNT(C6:E6)&lt;3,"CEK dimensi belum lengkap",IF(OR(C6&lt;=0,D6&lt;=0,E6&lt;=0),"CEK dimensi harus lebih dari 0",IF(COUNTIF($A$2:$A$500,A6)&gt;1,"CEK SKU dobel","OK")))))</f>
        <v/>
      </c>
    </row>
    <row r="7">
      <c r="A7" s="10" t="n"/>
      <c r="B7" s="12">
        <f>IF(A7="","",IFERROR(INDEX(DATA!$E$2:$E$500,MATCH(A7,DATA!$D$2:$D$500,0)),""))</f>
        <v/>
      </c>
      <c r="C7" s="10" t="n"/>
      <c r="D7" s="10" t="n"/>
      <c r="E7" s="10" t="n"/>
      <c r="F7" s="10" t="n"/>
      <c r="G7" s="10" t="n"/>
      <c r="H7" s="10" t="n"/>
      <c r="I7" s="10" t="n"/>
      <c r="J7" s="12">
        <f>IF(OR(A7="",COUNT(C7:E7)&lt;3),"",IFERROR(MAX(0,FLOOR(($N$2-$N$3)/E7,1))*MAX(1,MIN(IF(G7="",1,G7),FLOOR($N$4/D7,1)))*IF(F7="",1,F7),""))</f>
        <v/>
      </c>
      <c r="K7" s="12">
        <f>IF(A7="","",IF(COUNTIF(DATA!$D$2:$D$500,A7)=0,"CEK SKU tidak ada di DATA",IF(COUNT(C7:E7)&lt;3,"CEK dimensi belum lengkap",IF(OR(C7&lt;=0,D7&lt;=0,E7&lt;=0),"CEK dimensi harus lebih dari 0",IF(COUNTIF($A$2:$A$500,A7)&gt;1,"CEK SKU dobel","OK")))))</f>
        <v/>
      </c>
      <c r="M7" s="20" t="inlineStr">
        <is>
          <t>Catatan: kolom ESTIMASI hanya gambaran cepat untuk RAK (kedalaman rak 50 cm); tidak berlaku untuk kemasan gantung. Aplikasi memakai ukuran fixture dan zona yang sebenarnya, dan memakai "Panjang gantungan" untuk zona Gantungan.</t>
        </is>
      </c>
    </row>
    <row r="8">
      <c r="A8" s="10" t="n"/>
      <c r="B8" s="12">
        <f>IF(A8="","",IFERROR(INDEX(DATA!$E$2:$E$500,MATCH(A8,DATA!$D$2:$D$500,0)),""))</f>
        <v/>
      </c>
      <c r="C8" s="10" t="n"/>
      <c r="D8" s="10" t="n"/>
      <c r="E8" s="10" t="n"/>
      <c r="F8" s="10" t="n"/>
      <c r="G8" s="10" t="n"/>
      <c r="H8" s="10" t="n"/>
      <c r="I8" s="10" t="n"/>
      <c r="J8" s="12">
        <f>IF(OR(A8="",COUNT(C8:E8)&lt;3),"",IFERROR(MAX(0,FLOOR(($N$2-$N$3)/E8,1))*MAX(1,MIN(IF(G8="",1,G8),FLOOR($N$4/D8,1)))*IF(F8="",1,F8),""))</f>
        <v/>
      </c>
      <c r="K8" s="12">
        <f>IF(A8="","",IF(COUNTIF(DATA!$D$2:$D$500,A8)=0,"CEK SKU tidak ada di DATA",IF(COUNT(C8:E8)&lt;3,"CEK dimensi belum lengkap",IF(OR(C8&lt;=0,D8&lt;=0,E8&lt;=0),"CEK dimensi harus lebih dari 0",IF(COUNTIF($A$2:$A$500,A8)&gt;1,"CEK SKU dobel","OK")))))</f>
        <v/>
      </c>
    </row>
    <row r="9">
      <c r="A9" s="10" t="n"/>
      <c r="B9" s="12">
        <f>IF(A9="","",IFERROR(INDEX(DATA!$E$2:$E$500,MATCH(A9,DATA!$D$2:$D$500,0)),""))</f>
        <v/>
      </c>
      <c r="C9" s="10" t="n"/>
      <c r="D9" s="10" t="n"/>
      <c r="E9" s="10" t="n"/>
      <c r="F9" s="10" t="n"/>
      <c r="G9" s="10" t="n"/>
      <c r="H9" s="10" t="n"/>
      <c r="I9" s="10" t="n"/>
      <c r="J9" s="12">
        <f>IF(OR(A9="",COUNT(C9:E9)&lt;3),"",IFERROR(MAX(0,FLOOR(($N$2-$N$3)/E9,1))*MAX(1,MIN(IF(G9="",1,G9),FLOOR($N$4/D9,1)))*IF(F9="",1,F9),""))</f>
        <v/>
      </c>
      <c r="K9" s="12">
        <f>IF(A9="","",IF(COUNTIF(DATA!$D$2:$D$500,A9)=0,"CEK SKU tidak ada di DATA",IF(COUNT(C9:E9)&lt;3,"CEK dimensi belum lengkap",IF(OR(C9&lt;=0,D9&lt;=0,E9&lt;=0),"CEK dimensi harus lebih dari 0",IF(COUNTIF($A$2:$A$500,A9)&gt;1,"CEK SKU dobel","OK")))))</f>
        <v/>
      </c>
    </row>
    <row r="10">
      <c r="A10" s="10" t="n"/>
      <c r="B10" s="12">
        <f>IF(A10="","",IFERROR(INDEX(DATA!$E$2:$E$500,MATCH(A10,DATA!$D$2:$D$500,0)),""))</f>
        <v/>
      </c>
      <c r="C10" s="10" t="n"/>
      <c r="D10" s="10" t="n"/>
      <c r="E10" s="10" t="n"/>
      <c r="F10" s="10" t="n"/>
      <c r="G10" s="10" t="n"/>
      <c r="H10" s="10" t="n"/>
      <c r="I10" s="10" t="n"/>
      <c r="J10" s="12">
        <f>IF(OR(A10="",COUNT(C10:E10)&lt;3),"",IFERROR(MAX(0,FLOOR(($N$2-$N$3)/E10,1))*MAX(1,MIN(IF(G10="",1,G10),FLOOR($N$4/D10,1)))*IF(F10="",1,F10),""))</f>
        <v/>
      </c>
      <c r="K10" s="12">
        <f>IF(A10="","",IF(COUNTIF(DATA!$D$2:$D$500,A10)=0,"CEK SKU tidak ada di DATA",IF(COUNT(C10:E10)&lt;3,"CEK dimensi belum lengkap",IF(OR(C10&lt;=0,D10&lt;=0,E10&lt;=0),"CEK dimensi harus lebih dari 0",IF(COUNTIF($A$2:$A$500,A10)&gt;1,"CEK SKU dobel","OK")))))</f>
        <v/>
      </c>
    </row>
    <row r="11">
      <c r="A11" s="10" t="n"/>
      <c r="B11" s="12">
        <f>IF(A11="","",IFERROR(INDEX(DATA!$E$2:$E$500,MATCH(A11,DATA!$D$2:$D$500,0)),""))</f>
        <v/>
      </c>
      <c r="C11" s="10" t="n"/>
      <c r="D11" s="10" t="n"/>
      <c r="E11" s="10" t="n"/>
      <c r="F11" s="10" t="n"/>
      <c r="G11" s="10" t="n"/>
      <c r="H11" s="10" t="n"/>
      <c r="I11" s="10" t="n"/>
      <c r="J11" s="12">
        <f>IF(OR(A11="",COUNT(C11:E11)&lt;3),"",IFERROR(MAX(0,FLOOR(($N$2-$N$3)/E11,1))*MAX(1,MIN(IF(G11="",1,G11),FLOOR($N$4/D11,1)))*IF(F11="",1,F11),""))</f>
        <v/>
      </c>
      <c r="K11" s="12">
        <f>IF(A11="","",IF(COUNTIF(DATA!$D$2:$D$500,A11)=0,"CEK SKU tidak ada di DATA",IF(COUNT(C11:E11)&lt;3,"CEK dimensi belum lengkap",IF(OR(C11&lt;=0,D11&lt;=0,E11&lt;=0),"CEK dimensi harus lebih dari 0",IF(COUNTIF($A$2:$A$500,A11)&gt;1,"CEK SKU dobel","OK")))))</f>
        <v/>
      </c>
    </row>
    <row r="12">
      <c r="A12" s="10" t="n"/>
      <c r="B12" s="12">
        <f>IF(A12="","",IFERROR(INDEX(DATA!$E$2:$E$500,MATCH(A12,DATA!$D$2:$D$500,0)),""))</f>
        <v/>
      </c>
      <c r="C12" s="10" t="n"/>
      <c r="D12" s="10" t="n"/>
      <c r="E12" s="10" t="n"/>
      <c r="F12" s="10" t="n"/>
      <c r="G12" s="10" t="n"/>
      <c r="H12" s="10" t="n"/>
      <c r="I12" s="10" t="n"/>
      <c r="J12" s="12">
        <f>IF(OR(A12="",COUNT(C12:E12)&lt;3),"",IFERROR(MAX(0,FLOOR(($N$2-$N$3)/E12,1))*MAX(1,MIN(IF(G12="",1,G12),FLOOR($N$4/D12,1)))*IF(F12="",1,F12),""))</f>
        <v/>
      </c>
      <c r="K12" s="12">
        <f>IF(A12="","",IF(COUNTIF(DATA!$D$2:$D$500,A12)=0,"CEK SKU tidak ada di DATA",IF(COUNT(C12:E12)&lt;3,"CEK dimensi belum lengkap",IF(OR(C12&lt;=0,D12&lt;=0,E12&lt;=0),"CEK dimensi harus lebih dari 0",IF(COUNTIF($A$2:$A$500,A12)&gt;1,"CEK SKU dobel","OK")))))</f>
        <v/>
      </c>
    </row>
    <row r="13">
      <c r="A13" s="10" t="n"/>
      <c r="B13" s="12">
        <f>IF(A13="","",IFERROR(INDEX(DATA!$E$2:$E$500,MATCH(A13,DATA!$D$2:$D$500,0)),""))</f>
        <v/>
      </c>
      <c r="C13" s="10" t="n"/>
      <c r="D13" s="10" t="n"/>
      <c r="E13" s="10" t="n"/>
      <c r="F13" s="10" t="n"/>
      <c r="G13" s="10" t="n"/>
      <c r="H13" s="10" t="n"/>
      <c r="I13" s="10" t="n"/>
      <c r="J13" s="12">
        <f>IF(OR(A13="",COUNT(C13:E13)&lt;3),"",IFERROR(MAX(0,FLOOR(($N$2-$N$3)/E13,1))*MAX(1,MIN(IF(G13="",1,G13),FLOOR($N$4/D13,1)))*IF(F13="",1,F13),""))</f>
        <v/>
      </c>
      <c r="K13" s="12">
        <f>IF(A13="","",IF(COUNTIF(DATA!$D$2:$D$500,A13)=0,"CEK SKU tidak ada di DATA",IF(COUNT(C13:E13)&lt;3,"CEK dimensi belum lengkap",IF(OR(C13&lt;=0,D13&lt;=0,E13&lt;=0),"CEK dimensi harus lebih dari 0",IF(COUNTIF($A$2:$A$500,A13)&gt;1,"CEK SKU dobel","OK")))))</f>
        <v/>
      </c>
    </row>
    <row r="14">
      <c r="A14" s="10" t="n"/>
      <c r="B14" s="12">
        <f>IF(A14="","",IFERROR(INDEX(DATA!$E$2:$E$500,MATCH(A14,DATA!$D$2:$D$500,0)),""))</f>
        <v/>
      </c>
      <c r="C14" s="10" t="n"/>
      <c r="D14" s="10" t="n"/>
      <c r="E14" s="10" t="n"/>
      <c r="F14" s="10" t="n"/>
      <c r="G14" s="10" t="n"/>
      <c r="H14" s="10" t="n"/>
      <c r="I14" s="10" t="n"/>
      <c r="J14" s="12">
        <f>IF(OR(A14="",COUNT(C14:E14)&lt;3),"",IFERROR(MAX(0,FLOOR(($N$2-$N$3)/E14,1))*MAX(1,MIN(IF(G14="",1,G14),FLOOR($N$4/D14,1)))*IF(F14="",1,F14),""))</f>
        <v/>
      </c>
      <c r="K14" s="12">
        <f>IF(A14="","",IF(COUNTIF(DATA!$D$2:$D$500,A14)=0,"CEK SKU tidak ada di DATA",IF(COUNT(C14:E14)&lt;3,"CEK dimensi belum lengkap",IF(OR(C14&lt;=0,D14&lt;=0,E14&lt;=0),"CEK dimensi harus lebih dari 0",IF(COUNTIF($A$2:$A$500,A14)&gt;1,"CEK SKU dobel","OK")))))</f>
        <v/>
      </c>
    </row>
    <row r="15">
      <c r="A15" s="10" t="n"/>
      <c r="B15" s="12">
        <f>IF(A15="","",IFERROR(INDEX(DATA!$E$2:$E$500,MATCH(A15,DATA!$D$2:$D$500,0)),""))</f>
        <v/>
      </c>
      <c r="C15" s="10" t="n"/>
      <c r="D15" s="10" t="n"/>
      <c r="E15" s="10" t="n"/>
      <c r="F15" s="10" t="n"/>
      <c r="G15" s="10" t="n"/>
      <c r="H15" s="10" t="n"/>
      <c r="I15" s="10" t="n"/>
      <c r="J15" s="12">
        <f>IF(OR(A15="",COUNT(C15:E15)&lt;3),"",IFERROR(MAX(0,FLOOR(($N$2-$N$3)/E15,1))*MAX(1,MIN(IF(G15="",1,G15),FLOOR($N$4/D15,1)))*IF(F15="",1,F15),""))</f>
        <v/>
      </c>
      <c r="K15" s="12">
        <f>IF(A15="","",IF(COUNTIF(DATA!$D$2:$D$500,A15)=0,"CEK SKU tidak ada di DATA",IF(COUNT(C15:E15)&lt;3,"CEK dimensi belum lengkap",IF(OR(C15&lt;=0,D15&lt;=0,E15&lt;=0),"CEK dimensi harus lebih dari 0",IF(COUNTIF($A$2:$A$500,A15)&gt;1,"CEK SKU dobel","OK")))))</f>
        <v/>
      </c>
    </row>
    <row r="16">
      <c r="A16" s="10" t="n"/>
      <c r="B16" s="12">
        <f>IF(A16="","",IFERROR(INDEX(DATA!$E$2:$E$500,MATCH(A16,DATA!$D$2:$D$500,0)),""))</f>
        <v/>
      </c>
      <c r="C16" s="10" t="n"/>
      <c r="D16" s="10" t="n"/>
      <c r="E16" s="10" t="n"/>
      <c r="F16" s="10" t="n"/>
      <c r="G16" s="10" t="n"/>
      <c r="H16" s="10" t="n"/>
      <c r="I16" s="10" t="n"/>
      <c r="J16" s="12">
        <f>IF(OR(A16="",COUNT(C16:E16)&lt;3),"",IFERROR(MAX(0,FLOOR(($N$2-$N$3)/E16,1))*MAX(1,MIN(IF(G16="",1,G16),FLOOR($N$4/D16,1)))*IF(F16="",1,F16),""))</f>
        <v/>
      </c>
      <c r="K16" s="12">
        <f>IF(A16="","",IF(COUNTIF(DATA!$D$2:$D$500,A16)=0,"CEK SKU tidak ada di DATA",IF(COUNT(C16:E16)&lt;3,"CEK dimensi belum lengkap",IF(OR(C16&lt;=0,D16&lt;=0,E16&lt;=0),"CEK dimensi harus lebih dari 0",IF(COUNTIF($A$2:$A$500,A16)&gt;1,"CEK SKU dobel","OK")))))</f>
        <v/>
      </c>
    </row>
    <row r="17">
      <c r="A17" s="10" t="n"/>
      <c r="B17" s="12">
        <f>IF(A17="","",IFERROR(INDEX(DATA!$E$2:$E$500,MATCH(A17,DATA!$D$2:$D$500,0)),""))</f>
        <v/>
      </c>
      <c r="C17" s="10" t="n"/>
      <c r="D17" s="10" t="n"/>
      <c r="E17" s="10" t="n"/>
      <c r="F17" s="10" t="n"/>
      <c r="G17" s="10" t="n"/>
      <c r="H17" s="10" t="n"/>
      <c r="I17" s="10" t="n"/>
      <c r="J17" s="12">
        <f>IF(OR(A17="",COUNT(C17:E17)&lt;3),"",IFERROR(MAX(0,FLOOR(($N$2-$N$3)/E17,1))*MAX(1,MIN(IF(G17="",1,G17),FLOOR($N$4/D17,1)))*IF(F17="",1,F17),""))</f>
        <v/>
      </c>
      <c r="K17" s="12">
        <f>IF(A17="","",IF(COUNTIF(DATA!$D$2:$D$500,A17)=0,"CEK SKU tidak ada di DATA",IF(COUNT(C17:E17)&lt;3,"CEK dimensi belum lengkap",IF(OR(C17&lt;=0,D17&lt;=0,E17&lt;=0),"CEK dimensi harus lebih dari 0",IF(COUNTIF($A$2:$A$500,A17)&gt;1,"CEK SKU dobel","OK")))))</f>
        <v/>
      </c>
    </row>
    <row r="18">
      <c r="A18" s="10" t="n"/>
      <c r="B18" s="12">
        <f>IF(A18="","",IFERROR(INDEX(DATA!$E$2:$E$500,MATCH(A18,DATA!$D$2:$D$500,0)),""))</f>
        <v/>
      </c>
      <c r="C18" s="10" t="n"/>
      <c r="D18" s="10" t="n"/>
      <c r="E18" s="10" t="n"/>
      <c r="F18" s="10" t="n"/>
      <c r="G18" s="10" t="n"/>
      <c r="H18" s="10" t="n"/>
      <c r="I18" s="10" t="n"/>
      <c r="J18" s="12">
        <f>IF(OR(A18="",COUNT(C18:E18)&lt;3),"",IFERROR(MAX(0,FLOOR(($N$2-$N$3)/E18,1))*MAX(1,MIN(IF(G18="",1,G18),FLOOR($N$4/D18,1)))*IF(F18="",1,F18),""))</f>
        <v/>
      </c>
      <c r="K18" s="12">
        <f>IF(A18="","",IF(COUNTIF(DATA!$D$2:$D$500,A18)=0,"CEK SKU tidak ada di DATA",IF(COUNT(C18:E18)&lt;3,"CEK dimensi belum lengkap",IF(OR(C18&lt;=0,D18&lt;=0,E18&lt;=0),"CEK dimensi harus lebih dari 0",IF(COUNTIF($A$2:$A$500,A18)&gt;1,"CEK SKU dobel","OK")))))</f>
        <v/>
      </c>
    </row>
    <row r="19">
      <c r="A19" s="10" t="n"/>
      <c r="B19" s="12">
        <f>IF(A19="","",IFERROR(INDEX(DATA!$E$2:$E$500,MATCH(A19,DATA!$D$2:$D$500,0)),""))</f>
        <v/>
      </c>
      <c r="C19" s="10" t="n"/>
      <c r="D19" s="10" t="n"/>
      <c r="E19" s="10" t="n"/>
      <c r="F19" s="10" t="n"/>
      <c r="G19" s="10" t="n"/>
      <c r="H19" s="10" t="n"/>
      <c r="I19" s="10" t="n"/>
      <c r="J19" s="12">
        <f>IF(OR(A19="",COUNT(C19:E19)&lt;3),"",IFERROR(MAX(0,FLOOR(($N$2-$N$3)/E19,1))*MAX(1,MIN(IF(G19="",1,G19),FLOOR($N$4/D19,1)))*IF(F19="",1,F19),""))</f>
        <v/>
      </c>
      <c r="K19" s="12">
        <f>IF(A19="","",IF(COUNTIF(DATA!$D$2:$D$500,A19)=0,"CEK SKU tidak ada di DATA",IF(COUNT(C19:E19)&lt;3,"CEK dimensi belum lengkap",IF(OR(C19&lt;=0,D19&lt;=0,E19&lt;=0),"CEK dimensi harus lebih dari 0",IF(COUNTIF($A$2:$A$500,A19)&gt;1,"CEK SKU dobel","OK")))))</f>
        <v/>
      </c>
    </row>
    <row r="20">
      <c r="A20" s="10" t="n"/>
      <c r="B20" s="12">
        <f>IF(A20="","",IFERROR(INDEX(DATA!$E$2:$E$500,MATCH(A20,DATA!$D$2:$D$500,0)),""))</f>
        <v/>
      </c>
      <c r="C20" s="10" t="n"/>
      <c r="D20" s="10" t="n"/>
      <c r="E20" s="10" t="n"/>
      <c r="F20" s="10" t="n"/>
      <c r="G20" s="10" t="n"/>
      <c r="H20" s="10" t="n"/>
      <c r="I20" s="10" t="n"/>
      <c r="J20" s="12">
        <f>IF(OR(A20="",COUNT(C20:E20)&lt;3),"",IFERROR(MAX(0,FLOOR(($N$2-$N$3)/E20,1))*MAX(1,MIN(IF(G20="",1,G20),FLOOR($N$4/D20,1)))*IF(F20="",1,F20),""))</f>
        <v/>
      </c>
      <c r="K20" s="12">
        <f>IF(A20="","",IF(COUNTIF(DATA!$D$2:$D$500,A20)=0,"CEK SKU tidak ada di DATA",IF(COUNT(C20:E20)&lt;3,"CEK dimensi belum lengkap",IF(OR(C20&lt;=0,D20&lt;=0,E20&lt;=0),"CEK dimensi harus lebih dari 0",IF(COUNTIF($A$2:$A$500,A20)&gt;1,"CEK SKU dobel","OK")))))</f>
        <v/>
      </c>
    </row>
    <row r="21">
      <c r="A21" s="10" t="n"/>
      <c r="B21" s="12">
        <f>IF(A21="","",IFERROR(INDEX(DATA!$E$2:$E$500,MATCH(A21,DATA!$D$2:$D$500,0)),""))</f>
        <v/>
      </c>
      <c r="C21" s="10" t="n"/>
      <c r="D21" s="10" t="n"/>
      <c r="E21" s="10" t="n"/>
      <c r="F21" s="10" t="n"/>
      <c r="G21" s="10" t="n"/>
      <c r="H21" s="10" t="n"/>
      <c r="I21" s="10" t="n"/>
      <c r="J21" s="12">
        <f>IF(OR(A21="",COUNT(C21:E21)&lt;3),"",IFERROR(MAX(0,FLOOR(($N$2-$N$3)/E21,1))*MAX(1,MIN(IF(G21="",1,G21),FLOOR($N$4/D21,1)))*IF(F21="",1,F21),""))</f>
        <v/>
      </c>
      <c r="K21" s="12">
        <f>IF(A21="","",IF(COUNTIF(DATA!$D$2:$D$500,A21)=0,"CEK SKU tidak ada di DATA",IF(COUNT(C21:E21)&lt;3,"CEK dimensi belum lengkap",IF(OR(C21&lt;=0,D21&lt;=0,E21&lt;=0),"CEK dimensi harus lebih dari 0",IF(COUNTIF($A$2:$A$500,A21)&gt;1,"CEK SKU dobel","OK")))))</f>
        <v/>
      </c>
    </row>
    <row r="22">
      <c r="A22" s="10" t="n"/>
      <c r="B22" s="12">
        <f>IF(A22="","",IFERROR(INDEX(DATA!$E$2:$E$500,MATCH(A22,DATA!$D$2:$D$500,0)),""))</f>
        <v/>
      </c>
      <c r="C22" s="10" t="n"/>
      <c r="D22" s="10" t="n"/>
      <c r="E22" s="10" t="n"/>
      <c r="F22" s="10" t="n"/>
      <c r="G22" s="10" t="n"/>
      <c r="H22" s="10" t="n"/>
      <c r="I22" s="10" t="n"/>
      <c r="J22" s="12">
        <f>IF(OR(A22="",COUNT(C22:E22)&lt;3),"",IFERROR(MAX(0,FLOOR(($N$2-$N$3)/E22,1))*MAX(1,MIN(IF(G22="",1,G22),FLOOR($N$4/D22,1)))*IF(F22="",1,F22),""))</f>
        <v/>
      </c>
      <c r="K22" s="12">
        <f>IF(A22="","",IF(COUNTIF(DATA!$D$2:$D$500,A22)=0,"CEK SKU tidak ada di DATA",IF(COUNT(C22:E22)&lt;3,"CEK dimensi belum lengkap",IF(OR(C22&lt;=0,D22&lt;=0,E22&lt;=0),"CEK dimensi harus lebih dari 0",IF(COUNTIF($A$2:$A$500,A22)&gt;1,"CEK SKU dobel","OK")))))</f>
        <v/>
      </c>
    </row>
    <row r="23">
      <c r="A23" s="10" t="n"/>
      <c r="B23" s="12">
        <f>IF(A23="","",IFERROR(INDEX(DATA!$E$2:$E$500,MATCH(A23,DATA!$D$2:$D$500,0)),""))</f>
        <v/>
      </c>
      <c r="C23" s="10" t="n"/>
      <c r="D23" s="10" t="n"/>
      <c r="E23" s="10" t="n"/>
      <c r="F23" s="10" t="n"/>
      <c r="G23" s="10" t="n"/>
      <c r="H23" s="10" t="n"/>
      <c r="I23" s="10" t="n"/>
      <c r="J23" s="12">
        <f>IF(OR(A23="",COUNT(C23:E23)&lt;3),"",IFERROR(MAX(0,FLOOR(($N$2-$N$3)/E23,1))*MAX(1,MIN(IF(G23="",1,G23),FLOOR($N$4/D23,1)))*IF(F23="",1,F23),""))</f>
        <v/>
      </c>
      <c r="K23" s="12">
        <f>IF(A23="","",IF(COUNTIF(DATA!$D$2:$D$500,A23)=0,"CEK SKU tidak ada di DATA",IF(COUNT(C23:E23)&lt;3,"CEK dimensi belum lengkap",IF(OR(C23&lt;=0,D23&lt;=0,E23&lt;=0),"CEK dimensi harus lebih dari 0",IF(COUNTIF($A$2:$A$500,A23)&gt;1,"CEK SKU dobel","OK")))))</f>
        <v/>
      </c>
    </row>
    <row r="24">
      <c r="A24" s="10" t="n"/>
      <c r="B24" s="12">
        <f>IF(A24="","",IFERROR(INDEX(DATA!$E$2:$E$500,MATCH(A24,DATA!$D$2:$D$500,0)),""))</f>
        <v/>
      </c>
      <c r="C24" s="10" t="n"/>
      <c r="D24" s="10" t="n"/>
      <c r="E24" s="10" t="n"/>
      <c r="F24" s="10" t="n"/>
      <c r="G24" s="10" t="n"/>
      <c r="H24" s="10" t="n"/>
      <c r="I24" s="10" t="n"/>
      <c r="J24" s="12">
        <f>IF(OR(A24="",COUNT(C24:E24)&lt;3),"",IFERROR(MAX(0,FLOOR(($N$2-$N$3)/E24,1))*MAX(1,MIN(IF(G24="",1,G24),FLOOR($N$4/D24,1)))*IF(F24="",1,F24),""))</f>
        <v/>
      </c>
      <c r="K24" s="12">
        <f>IF(A24="","",IF(COUNTIF(DATA!$D$2:$D$500,A24)=0,"CEK SKU tidak ada di DATA",IF(COUNT(C24:E24)&lt;3,"CEK dimensi belum lengkap",IF(OR(C24&lt;=0,D24&lt;=0,E24&lt;=0),"CEK dimensi harus lebih dari 0",IF(COUNTIF($A$2:$A$500,A24)&gt;1,"CEK SKU dobel","OK")))))</f>
        <v/>
      </c>
    </row>
    <row r="25">
      <c r="A25" s="10" t="n"/>
      <c r="B25" s="12">
        <f>IF(A25="","",IFERROR(INDEX(DATA!$E$2:$E$500,MATCH(A25,DATA!$D$2:$D$500,0)),""))</f>
        <v/>
      </c>
      <c r="C25" s="10" t="n"/>
      <c r="D25" s="10" t="n"/>
      <c r="E25" s="10" t="n"/>
      <c r="F25" s="10" t="n"/>
      <c r="G25" s="10" t="n"/>
      <c r="H25" s="10" t="n"/>
      <c r="I25" s="10" t="n"/>
      <c r="J25" s="12">
        <f>IF(OR(A25="",COUNT(C25:E25)&lt;3),"",IFERROR(MAX(0,FLOOR(($N$2-$N$3)/E25,1))*MAX(1,MIN(IF(G25="",1,G25),FLOOR($N$4/D25,1)))*IF(F25="",1,F25),""))</f>
        <v/>
      </c>
      <c r="K25" s="12">
        <f>IF(A25="","",IF(COUNTIF(DATA!$D$2:$D$500,A25)=0,"CEK SKU tidak ada di DATA",IF(COUNT(C25:E25)&lt;3,"CEK dimensi belum lengkap",IF(OR(C25&lt;=0,D25&lt;=0,E25&lt;=0),"CEK dimensi harus lebih dari 0",IF(COUNTIF($A$2:$A$500,A25)&gt;1,"CEK SKU dobel","OK")))))</f>
        <v/>
      </c>
    </row>
    <row r="26">
      <c r="A26" s="10" t="n"/>
      <c r="B26" s="12">
        <f>IF(A26="","",IFERROR(INDEX(DATA!$E$2:$E$500,MATCH(A26,DATA!$D$2:$D$500,0)),""))</f>
        <v/>
      </c>
      <c r="C26" s="10" t="n"/>
      <c r="D26" s="10" t="n"/>
      <c r="E26" s="10" t="n"/>
      <c r="F26" s="10" t="n"/>
      <c r="G26" s="10" t="n"/>
      <c r="H26" s="10" t="n"/>
      <c r="I26" s="10" t="n"/>
      <c r="J26" s="12">
        <f>IF(OR(A26="",COUNT(C26:E26)&lt;3),"",IFERROR(MAX(0,FLOOR(($N$2-$N$3)/E26,1))*MAX(1,MIN(IF(G26="",1,G26),FLOOR($N$4/D26,1)))*IF(F26="",1,F26),""))</f>
        <v/>
      </c>
      <c r="K26" s="12">
        <f>IF(A26="","",IF(COUNTIF(DATA!$D$2:$D$500,A26)=0,"CEK SKU tidak ada di DATA",IF(COUNT(C26:E26)&lt;3,"CEK dimensi belum lengkap",IF(OR(C26&lt;=0,D26&lt;=0,E26&lt;=0),"CEK dimensi harus lebih dari 0",IF(COUNTIF($A$2:$A$500,A26)&gt;1,"CEK SKU dobel","OK")))))</f>
        <v/>
      </c>
    </row>
    <row r="27">
      <c r="A27" s="10" t="n"/>
      <c r="B27" s="12">
        <f>IF(A27="","",IFERROR(INDEX(DATA!$E$2:$E$500,MATCH(A27,DATA!$D$2:$D$500,0)),""))</f>
        <v/>
      </c>
      <c r="C27" s="10" t="n"/>
      <c r="D27" s="10" t="n"/>
      <c r="E27" s="10" t="n"/>
      <c r="F27" s="10" t="n"/>
      <c r="G27" s="10" t="n"/>
      <c r="H27" s="10" t="n"/>
      <c r="I27" s="10" t="n"/>
      <c r="J27" s="12">
        <f>IF(OR(A27="",COUNT(C27:E27)&lt;3),"",IFERROR(MAX(0,FLOOR(($N$2-$N$3)/E27,1))*MAX(1,MIN(IF(G27="",1,G27),FLOOR($N$4/D27,1)))*IF(F27="",1,F27),""))</f>
        <v/>
      </c>
      <c r="K27" s="12">
        <f>IF(A27="","",IF(COUNTIF(DATA!$D$2:$D$500,A27)=0,"CEK SKU tidak ada di DATA",IF(COUNT(C27:E27)&lt;3,"CEK dimensi belum lengkap",IF(OR(C27&lt;=0,D27&lt;=0,E27&lt;=0),"CEK dimensi harus lebih dari 0",IF(COUNTIF($A$2:$A$500,A27)&gt;1,"CEK SKU dobel","OK")))))</f>
        <v/>
      </c>
    </row>
    <row r="28">
      <c r="A28" s="10" t="n"/>
      <c r="B28" s="12">
        <f>IF(A28="","",IFERROR(INDEX(DATA!$E$2:$E$500,MATCH(A28,DATA!$D$2:$D$500,0)),""))</f>
        <v/>
      </c>
      <c r="C28" s="10" t="n"/>
      <c r="D28" s="10" t="n"/>
      <c r="E28" s="10" t="n"/>
      <c r="F28" s="10" t="n"/>
      <c r="G28" s="10" t="n"/>
      <c r="H28" s="10" t="n"/>
      <c r="I28" s="10" t="n"/>
      <c r="J28" s="12">
        <f>IF(OR(A28="",COUNT(C28:E28)&lt;3),"",IFERROR(MAX(0,FLOOR(($N$2-$N$3)/E28,1))*MAX(1,MIN(IF(G28="",1,G28),FLOOR($N$4/D28,1)))*IF(F28="",1,F28),""))</f>
        <v/>
      </c>
      <c r="K28" s="12">
        <f>IF(A28="","",IF(COUNTIF(DATA!$D$2:$D$500,A28)=0,"CEK SKU tidak ada di DATA",IF(COUNT(C28:E28)&lt;3,"CEK dimensi belum lengkap",IF(OR(C28&lt;=0,D28&lt;=0,E28&lt;=0),"CEK dimensi harus lebih dari 0",IF(COUNTIF($A$2:$A$500,A28)&gt;1,"CEK SKU dobel","OK")))))</f>
        <v/>
      </c>
    </row>
    <row r="29">
      <c r="A29" s="10" t="n"/>
      <c r="B29" s="12">
        <f>IF(A29="","",IFERROR(INDEX(DATA!$E$2:$E$500,MATCH(A29,DATA!$D$2:$D$500,0)),""))</f>
        <v/>
      </c>
      <c r="C29" s="10" t="n"/>
      <c r="D29" s="10" t="n"/>
      <c r="E29" s="10" t="n"/>
      <c r="F29" s="10" t="n"/>
      <c r="G29" s="10" t="n"/>
      <c r="H29" s="10" t="n"/>
      <c r="I29" s="10" t="n"/>
      <c r="J29" s="12">
        <f>IF(OR(A29="",COUNT(C29:E29)&lt;3),"",IFERROR(MAX(0,FLOOR(($N$2-$N$3)/E29,1))*MAX(1,MIN(IF(G29="",1,G29),FLOOR($N$4/D29,1)))*IF(F29="",1,F29),""))</f>
        <v/>
      </c>
      <c r="K29" s="12">
        <f>IF(A29="","",IF(COUNTIF(DATA!$D$2:$D$500,A29)=0,"CEK SKU tidak ada di DATA",IF(COUNT(C29:E29)&lt;3,"CEK dimensi belum lengkap",IF(OR(C29&lt;=0,D29&lt;=0,E29&lt;=0),"CEK dimensi harus lebih dari 0",IF(COUNTIF($A$2:$A$500,A29)&gt;1,"CEK SKU dobel","OK")))))</f>
        <v/>
      </c>
    </row>
    <row r="30">
      <c r="A30" s="10" t="n"/>
      <c r="B30" s="12">
        <f>IF(A30="","",IFERROR(INDEX(DATA!$E$2:$E$500,MATCH(A30,DATA!$D$2:$D$500,0)),""))</f>
        <v/>
      </c>
      <c r="C30" s="10" t="n"/>
      <c r="D30" s="10" t="n"/>
      <c r="E30" s="10" t="n"/>
      <c r="F30" s="10" t="n"/>
      <c r="G30" s="10" t="n"/>
      <c r="H30" s="10" t="n"/>
      <c r="I30" s="10" t="n"/>
      <c r="J30" s="12">
        <f>IF(OR(A30="",COUNT(C30:E30)&lt;3),"",IFERROR(MAX(0,FLOOR(($N$2-$N$3)/E30,1))*MAX(1,MIN(IF(G30="",1,G30),FLOOR($N$4/D30,1)))*IF(F30="",1,F30),""))</f>
        <v/>
      </c>
      <c r="K30" s="12">
        <f>IF(A30="","",IF(COUNTIF(DATA!$D$2:$D$500,A30)=0,"CEK SKU tidak ada di DATA",IF(COUNT(C30:E30)&lt;3,"CEK dimensi belum lengkap",IF(OR(C30&lt;=0,D30&lt;=0,E30&lt;=0),"CEK dimensi harus lebih dari 0",IF(COUNTIF($A$2:$A$500,A30)&gt;1,"CEK SKU dobel","OK")))))</f>
        <v/>
      </c>
    </row>
    <row r="31">
      <c r="A31" s="10" t="n"/>
      <c r="B31" s="12">
        <f>IF(A31="","",IFERROR(INDEX(DATA!$E$2:$E$500,MATCH(A31,DATA!$D$2:$D$500,0)),""))</f>
        <v/>
      </c>
      <c r="C31" s="10" t="n"/>
      <c r="D31" s="10" t="n"/>
      <c r="E31" s="10" t="n"/>
      <c r="F31" s="10" t="n"/>
      <c r="G31" s="10" t="n"/>
      <c r="H31" s="10" t="n"/>
      <c r="I31" s="10" t="n"/>
      <c r="J31" s="12">
        <f>IF(OR(A31="",COUNT(C31:E31)&lt;3),"",IFERROR(MAX(0,FLOOR(($N$2-$N$3)/E31,1))*MAX(1,MIN(IF(G31="",1,G31),FLOOR($N$4/D31,1)))*IF(F31="",1,F31),""))</f>
        <v/>
      </c>
      <c r="K31" s="12">
        <f>IF(A31="","",IF(COUNTIF(DATA!$D$2:$D$500,A31)=0,"CEK SKU tidak ada di DATA",IF(COUNT(C31:E31)&lt;3,"CEK dimensi belum lengkap",IF(OR(C31&lt;=0,D31&lt;=0,E31&lt;=0),"CEK dimensi harus lebih dari 0",IF(COUNTIF($A$2:$A$500,A31)&gt;1,"CEK SKU dobel","OK")))))</f>
        <v/>
      </c>
    </row>
    <row r="32">
      <c r="A32" s="10" t="n"/>
      <c r="B32" s="12">
        <f>IF(A32="","",IFERROR(INDEX(DATA!$E$2:$E$500,MATCH(A32,DATA!$D$2:$D$500,0)),""))</f>
        <v/>
      </c>
      <c r="C32" s="10" t="n"/>
      <c r="D32" s="10" t="n"/>
      <c r="E32" s="10" t="n"/>
      <c r="F32" s="10" t="n"/>
      <c r="G32" s="10" t="n"/>
      <c r="H32" s="10" t="n"/>
      <c r="I32" s="10" t="n"/>
      <c r="J32" s="12">
        <f>IF(OR(A32="",COUNT(C32:E32)&lt;3),"",IFERROR(MAX(0,FLOOR(($N$2-$N$3)/E32,1))*MAX(1,MIN(IF(G32="",1,G32),FLOOR($N$4/D32,1)))*IF(F32="",1,F32),""))</f>
        <v/>
      </c>
      <c r="K32" s="12">
        <f>IF(A32="","",IF(COUNTIF(DATA!$D$2:$D$500,A32)=0,"CEK SKU tidak ada di DATA",IF(COUNT(C32:E32)&lt;3,"CEK dimensi belum lengkap",IF(OR(C32&lt;=0,D32&lt;=0,E32&lt;=0),"CEK dimensi harus lebih dari 0",IF(COUNTIF($A$2:$A$500,A32)&gt;1,"CEK SKU dobel","OK")))))</f>
        <v/>
      </c>
    </row>
    <row r="33">
      <c r="A33" s="10" t="n"/>
      <c r="B33" s="12">
        <f>IF(A33="","",IFERROR(INDEX(DATA!$E$2:$E$500,MATCH(A33,DATA!$D$2:$D$500,0)),""))</f>
        <v/>
      </c>
      <c r="C33" s="10" t="n"/>
      <c r="D33" s="10" t="n"/>
      <c r="E33" s="10" t="n"/>
      <c r="F33" s="10" t="n"/>
      <c r="G33" s="10" t="n"/>
      <c r="H33" s="10" t="n"/>
      <c r="I33" s="10" t="n"/>
      <c r="J33" s="12">
        <f>IF(OR(A33="",COUNT(C33:E33)&lt;3),"",IFERROR(MAX(0,FLOOR(($N$2-$N$3)/E33,1))*MAX(1,MIN(IF(G33="",1,G33),FLOOR($N$4/D33,1)))*IF(F33="",1,F33),""))</f>
        <v/>
      </c>
      <c r="K33" s="12">
        <f>IF(A33="","",IF(COUNTIF(DATA!$D$2:$D$500,A33)=0,"CEK SKU tidak ada di DATA",IF(COUNT(C33:E33)&lt;3,"CEK dimensi belum lengkap",IF(OR(C33&lt;=0,D33&lt;=0,E33&lt;=0),"CEK dimensi harus lebih dari 0",IF(COUNTIF($A$2:$A$500,A33)&gt;1,"CEK SKU dobel","OK")))))</f>
        <v/>
      </c>
    </row>
    <row r="34">
      <c r="A34" s="10" t="n"/>
      <c r="B34" s="12">
        <f>IF(A34="","",IFERROR(INDEX(DATA!$E$2:$E$500,MATCH(A34,DATA!$D$2:$D$500,0)),""))</f>
        <v/>
      </c>
      <c r="C34" s="10" t="n"/>
      <c r="D34" s="10" t="n"/>
      <c r="E34" s="10" t="n"/>
      <c r="F34" s="10" t="n"/>
      <c r="G34" s="10" t="n"/>
      <c r="H34" s="10" t="n"/>
      <c r="I34" s="10" t="n"/>
      <c r="J34" s="12">
        <f>IF(OR(A34="",COUNT(C34:E34)&lt;3),"",IFERROR(MAX(0,FLOOR(($N$2-$N$3)/E34,1))*MAX(1,MIN(IF(G34="",1,G34),FLOOR($N$4/D34,1)))*IF(F34="",1,F34),""))</f>
        <v/>
      </c>
      <c r="K34" s="12">
        <f>IF(A34="","",IF(COUNTIF(DATA!$D$2:$D$500,A34)=0,"CEK SKU tidak ada di DATA",IF(COUNT(C34:E34)&lt;3,"CEK dimensi belum lengkap",IF(OR(C34&lt;=0,D34&lt;=0,E34&lt;=0),"CEK dimensi harus lebih dari 0",IF(COUNTIF($A$2:$A$500,A34)&gt;1,"CEK SKU dobel","OK")))))</f>
        <v/>
      </c>
    </row>
    <row r="35">
      <c r="A35" s="10" t="n"/>
      <c r="B35" s="12">
        <f>IF(A35="","",IFERROR(INDEX(DATA!$E$2:$E$500,MATCH(A35,DATA!$D$2:$D$500,0)),""))</f>
        <v/>
      </c>
      <c r="C35" s="10" t="n"/>
      <c r="D35" s="10" t="n"/>
      <c r="E35" s="10" t="n"/>
      <c r="F35" s="10" t="n"/>
      <c r="G35" s="10" t="n"/>
      <c r="H35" s="10" t="n"/>
      <c r="I35" s="10" t="n"/>
      <c r="J35" s="12">
        <f>IF(OR(A35="",COUNT(C35:E35)&lt;3),"",IFERROR(MAX(0,FLOOR(($N$2-$N$3)/E35,1))*MAX(1,MIN(IF(G35="",1,G35),FLOOR($N$4/D35,1)))*IF(F35="",1,F35),""))</f>
        <v/>
      </c>
      <c r="K35" s="12">
        <f>IF(A35="","",IF(COUNTIF(DATA!$D$2:$D$500,A35)=0,"CEK SKU tidak ada di DATA",IF(COUNT(C35:E35)&lt;3,"CEK dimensi belum lengkap",IF(OR(C35&lt;=0,D35&lt;=0,E35&lt;=0),"CEK dimensi harus lebih dari 0",IF(COUNTIF($A$2:$A$500,A35)&gt;1,"CEK SKU dobel","OK")))))</f>
        <v/>
      </c>
    </row>
    <row r="36">
      <c r="A36" s="10" t="n"/>
      <c r="B36" s="12">
        <f>IF(A36="","",IFERROR(INDEX(DATA!$E$2:$E$500,MATCH(A36,DATA!$D$2:$D$500,0)),""))</f>
        <v/>
      </c>
      <c r="C36" s="10" t="n"/>
      <c r="D36" s="10" t="n"/>
      <c r="E36" s="10" t="n"/>
      <c r="F36" s="10" t="n"/>
      <c r="G36" s="10" t="n"/>
      <c r="H36" s="10" t="n"/>
      <c r="I36" s="10" t="n"/>
      <c r="J36" s="12">
        <f>IF(OR(A36="",COUNT(C36:E36)&lt;3),"",IFERROR(MAX(0,FLOOR(($N$2-$N$3)/E36,1))*MAX(1,MIN(IF(G36="",1,G36),FLOOR($N$4/D36,1)))*IF(F36="",1,F36),""))</f>
        <v/>
      </c>
      <c r="K36" s="12">
        <f>IF(A36="","",IF(COUNTIF(DATA!$D$2:$D$500,A36)=0,"CEK SKU tidak ada di DATA",IF(COUNT(C36:E36)&lt;3,"CEK dimensi belum lengkap",IF(OR(C36&lt;=0,D36&lt;=0,E36&lt;=0),"CEK dimensi harus lebih dari 0",IF(COUNTIF($A$2:$A$500,A36)&gt;1,"CEK SKU dobel","OK")))))</f>
        <v/>
      </c>
    </row>
    <row r="37">
      <c r="A37" s="10" t="n"/>
      <c r="B37" s="12">
        <f>IF(A37="","",IFERROR(INDEX(DATA!$E$2:$E$500,MATCH(A37,DATA!$D$2:$D$500,0)),""))</f>
        <v/>
      </c>
      <c r="C37" s="10" t="n"/>
      <c r="D37" s="10" t="n"/>
      <c r="E37" s="10" t="n"/>
      <c r="F37" s="10" t="n"/>
      <c r="G37" s="10" t="n"/>
      <c r="H37" s="10" t="n"/>
      <c r="I37" s="10" t="n"/>
      <c r="J37" s="12">
        <f>IF(OR(A37="",COUNT(C37:E37)&lt;3),"",IFERROR(MAX(0,FLOOR(($N$2-$N$3)/E37,1))*MAX(1,MIN(IF(G37="",1,G37),FLOOR($N$4/D37,1)))*IF(F37="",1,F37),""))</f>
        <v/>
      </c>
      <c r="K37" s="12">
        <f>IF(A37="","",IF(COUNTIF(DATA!$D$2:$D$500,A37)=0,"CEK SKU tidak ada di DATA",IF(COUNT(C37:E37)&lt;3,"CEK dimensi belum lengkap",IF(OR(C37&lt;=0,D37&lt;=0,E37&lt;=0),"CEK dimensi harus lebih dari 0",IF(COUNTIF($A$2:$A$500,A37)&gt;1,"CEK SKU dobel","OK")))))</f>
        <v/>
      </c>
    </row>
    <row r="38">
      <c r="A38" s="10" t="n"/>
      <c r="B38" s="12">
        <f>IF(A38="","",IFERROR(INDEX(DATA!$E$2:$E$500,MATCH(A38,DATA!$D$2:$D$500,0)),""))</f>
        <v/>
      </c>
      <c r="C38" s="10" t="n"/>
      <c r="D38" s="10" t="n"/>
      <c r="E38" s="10" t="n"/>
      <c r="F38" s="10" t="n"/>
      <c r="G38" s="10" t="n"/>
      <c r="H38" s="10" t="n"/>
      <c r="I38" s="10" t="n"/>
      <c r="J38" s="12">
        <f>IF(OR(A38="",COUNT(C38:E38)&lt;3),"",IFERROR(MAX(0,FLOOR(($N$2-$N$3)/E38,1))*MAX(1,MIN(IF(G38="",1,G38),FLOOR($N$4/D38,1)))*IF(F38="",1,F38),""))</f>
        <v/>
      </c>
      <c r="K38" s="12">
        <f>IF(A38="","",IF(COUNTIF(DATA!$D$2:$D$500,A38)=0,"CEK SKU tidak ada di DATA",IF(COUNT(C38:E38)&lt;3,"CEK dimensi belum lengkap",IF(OR(C38&lt;=0,D38&lt;=0,E38&lt;=0),"CEK dimensi harus lebih dari 0",IF(COUNTIF($A$2:$A$500,A38)&gt;1,"CEK SKU dobel","OK")))))</f>
        <v/>
      </c>
    </row>
    <row r="39">
      <c r="A39" s="10" t="n"/>
      <c r="B39" s="12">
        <f>IF(A39="","",IFERROR(INDEX(DATA!$E$2:$E$500,MATCH(A39,DATA!$D$2:$D$500,0)),""))</f>
        <v/>
      </c>
      <c r="C39" s="10" t="n"/>
      <c r="D39" s="10" t="n"/>
      <c r="E39" s="10" t="n"/>
      <c r="F39" s="10" t="n"/>
      <c r="G39" s="10" t="n"/>
      <c r="H39" s="10" t="n"/>
      <c r="I39" s="10" t="n"/>
      <c r="J39" s="12">
        <f>IF(OR(A39="",COUNT(C39:E39)&lt;3),"",IFERROR(MAX(0,FLOOR(($N$2-$N$3)/E39,1))*MAX(1,MIN(IF(G39="",1,G39),FLOOR($N$4/D39,1)))*IF(F39="",1,F39),""))</f>
        <v/>
      </c>
      <c r="K39" s="12">
        <f>IF(A39="","",IF(COUNTIF(DATA!$D$2:$D$500,A39)=0,"CEK SKU tidak ada di DATA",IF(COUNT(C39:E39)&lt;3,"CEK dimensi belum lengkap",IF(OR(C39&lt;=0,D39&lt;=0,E39&lt;=0),"CEK dimensi harus lebih dari 0",IF(COUNTIF($A$2:$A$500,A39)&gt;1,"CEK SKU dobel","OK")))))</f>
        <v/>
      </c>
    </row>
    <row r="40">
      <c r="A40" s="10" t="n"/>
      <c r="B40" s="12">
        <f>IF(A40="","",IFERROR(INDEX(DATA!$E$2:$E$500,MATCH(A40,DATA!$D$2:$D$500,0)),""))</f>
        <v/>
      </c>
      <c r="C40" s="10" t="n"/>
      <c r="D40" s="10" t="n"/>
      <c r="E40" s="10" t="n"/>
      <c r="F40" s="10" t="n"/>
      <c r="G40" s="10" t="n"/>
      <c r="H40" s="10" t="n"/>
      <c r="I40" s="10" t="n"/>
      <c r="J40" s="12">
        <f>IF(OR(A40="",COUNT(C40:E40)&lt;3),"",IFERROR(MAX(0,FLOOR(($N$2-$N$3)/E40,1))*MAX(1,MIN(IF(G40="",1,G40),FLOOR($N$4/D40,1)))*IF(F40="",1,F40),""))</f>
        <v/>
      </c>
      <c r="K40" s="12">
        <f>IF(A40="","",IF(COUNTIF(DATA!$D$2:$D$500,A40)=0,"CEK SKU tidak ada di DATA",IF(COUNT(C40:E40)&lt;3,"CEK dimensi belum lengkap",IF(OR(C40&lt;=0,D40&lt;=0,E40&lt;=0),"CEK dimensi harus lebih dari 0",IF(COUNTIF($A$2:$A$500,A40)&gt;1,"CEK SKU dobel","OK")))))</f>
        <v/>
      </c>
    </row>
    <row r="41">
      <c r="A41" s="10" t="n"/>
      <c r="B41" s="12">
        <f>IF(A41="","",IFERROR(INDEX(DATA!$E$2:$E$500,MATCH(A41,DATA!$D$2:$D$500,0)),""))</f>
        <v/>
      </c>
      <c r="C41" s="10" t="n"/>
      <c r="D41" s="10" t="n"/>
      <c r="E41" s="10" t="n"/>
      <c r="F41" s="10" t="n"/>
      <c r="G41" s="10" t="n"/>
      <c r="H41" s="10" t="n"/>
      <c r="I41" s="10" t="n"/>
      <c r="J41" s="12">
        <f>IF(OR(A41="",COUNT(C41:E41)&lt;3),"",IFERROR(MAX(0,FLOOR(($N$2-$N$3)/E41,1))*MAX(1,MIN(IF(G41="",1,G41),FLOOR($N$4/D41,1)))*IF(F41="",1,F41),""))</f>
        <v/>
      </c>
      <c r="K41" s="12">
        <f>IF(A41="","",IF(COUNTIF(DATA!$D$2:$D$500,A41)=0,"CEK SKU tidak ada di DATA",IF(COUNT(C41:E41)&lt;3,"CEK dimensi belum lengkap",IF(OR(C41&lt;=0,D41&lt;=0,E41&lt;=0),"CEK dimensi harus lebih dari 0",IF(COUNTIF($A$2:$A$500,A41)&gt;1,"CEK SKU dobel","OK")))))</f>
        <v/>
      </c>
    </row>
    <row r="42">
      <c r="A42" s="10" t="n"/>
      <c r="B42" s="12">
        <f>IF(A42="","",IFERROR(INDEX(DATA!$E$2:$E$500,MATCH(A42,DATA!$D$2:$D$500,0)),""))</f>
        <v/>
      </c>
      <c r="C42" s="10" t="n"/>
      <c r="D42" s="10" t="n"/>
      <c r="E42" s="10" t="n"/>
      <c r="F42" s="10" t="n"/>
      <c r="G42" s="10" t="n"/>
      <c r="H42" s="10" t="n"/>
      <c r="I42" s="10" t="n"/>
      <c r="J42" s="12">
        <f>IF(OR(A42="",COUNT(C42:E42)&lt;3),"",IFERROR(MAX(0,FLOOR(($N$2-$N$3)/E42,1))*MAX(1,MIN(IF(G42="",1,G42),FLOOR($N$4/D42,1)))*IF(F42="",1,F42),""))</f>
        <v/>
      </c>
      <c r="K42" s="12">
        <f>IF(A42="","",IF(COUNTIF(DATA!$D$2:$D$500,A42)=0,"CEK SKU tidak ada di DATA",IF(COUNT(C42:E42)&lt;3,"CEK dimensi belum lengkap",IF(OR(C42&lt;=0,D42&lt;=0,E42&lt;=0),"CEK dimensi harus lebih dari 0",IF(COUNTIF($A$2:$A$500,A42)&gt;1,"CEK SKU dobel","OK")))))</f>
        <v/>
      </c>
    </row>
    <row r="43">
      <c r="A43" s="10" t="n"/>
      <c r="B43" s="12">
        <f>IF(A43="","",IFERROR(INDEX(DATA!$E$2:$E$500,MATCH(A43,DATA!$D$2:$D$500,0)),""))</f>
        <v/>
      </c>
      <c r="C43" s="10" t="n"/>
      <c r="D43" s="10" t="n"/>
      <c r="E43" s="10" t="n"/>
      <c r="F43" s="10" t="n"/>
      <c r="G43" s="10" t="n"/>
      <c r="H43" s="10" t="n"/>
      <c r="I43" s="10" t="n"/>
      <c r="J43" s="12">
        <f>IF(OR(A43="",COUNT(C43:E43)&lt;3),"",IFERROR(MAX(0,FLOOR(($N$2-$N$3)/E43,1))*MAX(1,MIN(IF(G43="",1,G43),FLOOR($N$4/D43,1)))*IF(F43="",1,F43),""))</f>
        <v/>
      </c>
      <c r="K43" s="12">
        <f>IF(A43="","",IF(COUNTIF(DATA!$D$2:$D$500,A43)=0,"CEK SKU tidak ada di DATA",IF(COUNT(C43:E43)&lt;3,"CEK dimensi belum lengkap",IF(OR(C43&lt;=0,D43&lt;=0,E43&lt;=0),"CEK dimensi harus lebih dari 0",IF(COUNTIF($A$2:$A$500,A43)&gt;1,"CEK SKU dobel","OK")))))</f>
        <v/>
      </c>
    </row>
    <row r="44">
      <c r="A44" s="10" t="n"/>
      <c r="B44" s="12">
        <f>IF(A44="","",IFERROR(INDEX(DATA!$E$2:$E$500,MATCH(A44,DATA!$D$2:$D$500,0)),""))</f>
        <v/>
      </c>
      <c r="C44" s="10" t="n"/>
      <c r="D44" s="10" t="n"/>
      <c r="E44" s="10" t="n"/>
      <c r="F44" s="10" t="n"/>
      <c r="G44" s="10" t="n"/>
      <c r="H44" s="10" t="n"/>
      <c r="I44" s="10" t="n"/>
      <c r="J44" s="12">
        <f>IF(OR(A44="",COUNT(C44:E44)&lt;3),"",IFERROR(MAX(0,FLOOR(($N$2-$N$3)/E44,1))*MAX(1,MIN(IF(G44="",1,G44),FLOOR($N$4/D44,1)))*IF(F44="",1,F44),""))</f>
        <v/>
      </c>
      <c r="K44" s="12">
        <f>IF(A44="","",IF(COUNTIF(DATA!$D$2:$D$500,A44)=0,"CEK SKU tidak ada di DATA",IF(COUNT(C44:E44)&lt;3,"CEK dimensi belum lengkap",IF(OR(C44&lt;=0,D44&lt;=0,E44&lt;=0),"CEK dimensi harus lebih dari 0",IF(COUNTIF($A$2:$A$500,A44)&gt;1,"CEK SKU dobel","OK")))))</f>
        <v/>
      </c>
    </row>
    <row r="45">
      <c r="A45" s="10" t="n"/>
      <c r="B45" s="12">
        <f>IF(A45="","",IFERROR(INDEX(DATA!$E$2:$E$500,MATCH(A45,DATA!$D$2:$D$500,0)),""))</f>
        <v/>
      </c>
      <c r="C45" s="10" t="n"/>
      <c r="D45" s="10" t="n"/>
      <c r="E45" s="10" t="n"/>
      <c r="F45" s="10" t="n"/>
      <c r="G45" s="10" t="n"/>
      <c r="H45" s="10" t="n"/>
      <c r="I45" s="10" t="n"/>
      <c r="J45" s="12">
        <f>IF(OR(A45="",COUNT(C45:E45)&lt;3),"",IFERROR(MAX(0,FLOOR(($N$2-$N$3)/E45,1))*MAX(1,MIN(IF(G45="",1,G45),FLOOR($N$4/D45,1)))*IF(F45="",1,F45),""))</f>
        <v/>
      </c>
      <c r="K45" s="12">
        <f>IF(A45="","",IF(COUNTIF(DATA!$D$2:$D$500,A45)=0,"CEK SKU tidak ada di DATA",IF(COUNT(C45:E45)&lt;3,"CEK dimensi belum lengkap",IF(OR(C45&lt;=0,D45&lt;=0,E45&lt;=0),"CEK dimensi harus lebih dari 0",IF(COUNTIF($A$2:$A$500,A45)&gt;1,"CEK SKU dobel","OK")))))</f>
        <v/>
      </c>
    </row>
    <row r="46">
      <c r="A46" s="10" t="n"/>
      <c r="B46" s="12">
        <f>IF(A46="","",IFERROR(INDEX(DATA!$E$2:$E$500,MATCH(A46,DATA!$D$2:$D$500,0)),""))</f>
        <v/>
      </c>
      <c r="C46" s="10" t="n"/>
      <c r="D46" s="10" t="n"/>
      <c r="E46" s="10" t="n"/>
      <c r="F46" s="10" t="n"/>
      <c r="G46" s="10" t="n"/>
      <c r="H46" s="10" t="n"/>
      <c r="I46" s="10" t="n"/>
      <c r="J46" s="12">
        <f>IF(OR(A46="",COUNT(C46:E46)&lt;3),"",IFERROR(MAX(0,FLOOR(($N$2-$N$3)/E46,1))*MAX(1,MIN(IF(G46="",1,G46),FLOOR($N$4/D46,1)))*IF(F46="",1,F46),""))</f>
        <v/>
      </c>
      <c r="K46" s="12">
        <f>IF(A46="","",IF(COUNTIF(DATA!$D$2:$D$500,A46)=0,"CEK SKU tidak ada di DATA",IF(COUNT(C46:E46)&lt;3,"CEK dimensi belum lengkap",IF(OR(C46&lt;=0,D46&lt;=0,E46&lt;=0),"CEK dimensi harus lebih dari 0",IF(COUNTIF($A$2:$A$500,A46)&gt;1,"CEK SKU dobel","OK")))))</f>
        <v/>
      </c>
    </row>
    <row r="47">
      <c r="A47" s="10" t="n"/>
      <c r="B47" s="12">
        <f>IF(A47="","",IFERROR(INDEX(DATA!$E$2:$E$500,MATCH(A47,DATA!$D$2:$D$500,0)),""))</f>
        <v/>
      </c>
      <c r="C47" s="10" t="n"/>
      <c r="D47" s="10" t="n"/>
      <c r="E47" s="10" t="n"/>
      <c r="F47" s="10" t="n"/>
      <c r="G47" s="10" t="n"/>
      <c r="H47" s="10" t="n"/>
      <c r="I47" s="10" t="n"/>
      <c r="J47" s="12">
        <f>IF(OR(A47="",COUNT(C47:E47)&lt;3),"",IFERROR(MAX(0,FLOOR(($N$2-$N$3)/E47,1))*MAX(1,MIN(IF(G47="",1,G47),FLOOR($N$4/D47,1)))*IF(F47="",1,F47),""))</f>
        <v/>
      </c>
      <c r="K47" s="12">
        <f>IF(A47="","",IF(COUNTIF(DATA!$D$2:$D$500,A47)=0,"CEK SKU tidak ada di DATA",IF(COUNT(C47:E47)&lt;3,"CEK dimensi belum lengkap",IF(OR(C47&lt;=0,D47&lt;=0,E47&lt;=0),"CEK dimensi harus lebih dari 0",IF(COUNTIF($A$2:$A$500,A47)&gt;1,"CEK SKU dobel","OK")))))</f>
        <v/>
      </c>
    </row>
    <row r="48">
      <c r="A48" s="10" t="n"/>
      <c r="B48" s="12">
        <f>IF(A48="","",IFERROR(INDEX(DATA!$E$2:$E$500,MATCH(A48,DATA!$D$2:$D$500,0)),""))</f>
        <v/>
      </c>
      <c r="C48" s="10" t="n"/>
      <c r="D48" s="10" t="n"/>
      <c r="E48" s="10" t="n"/>
      <c r="F48" s="10" t="n"/>
      <c r="G48" s="10" t="n"/>
      <c r="H48" s="10" t="n"/>
      <c r="I48" s="10" t="n"/>
      <c r="J48" s="12">
        <f>IF(OR(A48="",COUNT(C48:E48)&lt;3),"",IFERROR(MAX(0,FLOOR(($N$2-$N$3)/E48,1))*MAX(1,MIN(IF(G48="",1,G48),FLOOR($N$4/D48,1)))*IF(F48="",1,F48),""))</f>
        <v/>
      </c>
      <c r="K48" s="12">
        <f>IF(A48="","",IF(COUNTIF(DATA!$D$2:$D$500,A48)=0,"CEK SKU tidak ada di DATA",IF(COUNT(C48:E48)&lt;3,"CEK dimensi belum lengkap",IF(OR(C48&lt;=0,D48&lt;=0,E48&lt;=0),"CEK dimensi harus lebih dari 0",IF(COUNTIF($A$2:$A$500,A48)&gt;1,"CEK SKU dobel","OK")))))</f>
        <v/>
      </c>
    </row>
    <row r="49">
      <c r="A49" s="10" t="n"/>
      <c r="B49" s="12">
        <f>IF(A49="","",IFERROR(INDEX(DATA!$E$2:$E$500,MATCH(A49,DATA!$D$2:$D$500,0)),""))</f>
        <v/>
      </c>
      <c r="C49" s="10" t="n"/>
      <c r="D49" s="10" t="n"/>
      <c r="E49" s="10" t="n"/>
      <c r="F49" s="10" t="n"/>
      <c r="G49" s="10" t="n"/>
      <c r="H49" s="10" t="n"/>
      <c r="I49" s="10" t="n"/>
      <c r="J49" s="12">
        <f>IF(OR(A49="",COUNT(C49:E49)&lt;3),"",IFERROR(MAX(0,FLOOR(($N$2-$N$3)/E49,1))*MAX(1,MIN(IF(G49="",1,G49),FLOOR($N$4/D49,1)))*IF(F49="",1,F49),""))</f>
        <v/>
      </c>
      <c r="K49" s="12">
        <f>IF(A49="","",IF(COUNTIF(DATA!$D$2:$D$500,A49)=0,"CEK SKU tidak ada di DATA",IF(COUNT(C49:E49)&lt;3,"CEK dimensi belum lengkap",IF(OR(C49&lt;=0,D49&lt;=0,E49&lt;=0),"CEK dimensi harus lebih dari 0",IF(COUNTIF($A$2:$A$500,A49)&gt;1,"CEK SKU dobel","OK")))))</f>
        <v/>
      </c>
    </row>
    <row r="50">
      <c r="A50" s="10" t="n"/>
      <c r="B50" s="12">
        <f>IF(A50="","",IFERROR(INDEX(DATA!$E$2:$E$500,MATCH(A50,DATA!$D$2:$D$500,0)),""))</f>
        <v/>
      </c>
      <c r="C50" s="10" t="n"/>
      <c r="D50" s="10" t="n"/>
      <c r="E50" s="10" t="n"/>
      <c r="F50" s="10" t="n"/>
      <c r="G50" s="10" t="n"/>
      <c r="H50" s="10" t="n"/>
      <c r="I50" s="10" t="n"/>
      <c r="J50" s="12">
        <f>IF(OR(A50="",COUNT(C50:E50)&lt;3),"",IFERROR(MAX(0,FLOOR(($N$2-$N$3)/E50,1))*MAX(1,MIN(IF(G50="",1,G50),FLOOR($N$4/D50,1)))*IF(F50="",1,F50),""))</f>
        <v/>
      </c>
      <c r="K50" s="12">
        <f>IF(A50="","",IF(COUNTIF(DATA!$D$2:$D$500,A50)=0,"CEK SKU tidak ada di DATA",IF(COUNT(C50:E50)&lt;3,"CEK dimensi belum lengkap",IF(OR(C50&lt;=0,D50&lt;=0,E50&lt;=0),"CEK dimensi harus lebih dari 0",IF(COUNTIF($A$2:$A$500,A50)&gt;1,"CEK SKU dobel","OK")))))</f>
        <v/>
      </c>
    </row>
    <row r="51">
      <c r="A51" s="10" t="n"/>
      <c r="B51" s="12">
        <f>IF(A51="","",IFERROR(INDEX(DATA!$E$2:$E$500,MATCH(A51,DATA!$D$2:$D$500,0)),""))</f>
        <v/>
      </c>
      <c r="C51" s="10" t="n"/>
      <c r="D51" s="10" t="n"/>
      <c r="E51" s="10" t="n"/>
      <c r="F51" s="10" t="n"/>
      <c r="G51" s="10" t="n"/>
      <c r="H51" s="10" t="n"/>
      <c r="I51" s="10" t="n"/>
      <c r="J51" s="12">
        <f>IF(OR(A51="",COUNT(C51:E51)&lt;3),"",IFERROR(MAX(0,FLOOR(($N$2-$N$3)/E51,1))*MAX(1,MIN(IF(G51="",1,G51),FLOOR($N$4/D51,1)))*IF(F51="",1,F51),""))</f>
        <v/>
      </c>
      <c r="K51" s="12">
        <f>IF(A51="","",IF(COUNTIF(DATA!$D$2:$D$500,A51)=0,"CEK SKU tidak ada di DATA",IF(COUNT(C51:E51)&lt;3,"CEK dimensi belum lengkap",IF(OR(C51&lt;=0,D51&lt;=0,E51&lt;=0),"CEK dimensi harus lebih dari 0",IF(COUNTIF($A$2:$A$500,A51)&gt;1,"CEK SKU dobel","OK")))))</f>
        <v/>
      </c>
    </row>
    <row r="52">
      <c r="A52" s="10" t="n"/>
      <c r="B52" s="12">
        <f>IF(A52="","",IFERROR(INDEX(DATA!$E$2:$E$500,MATCH(A52,DATA!$D$2:$D$500,0)),""))</f>
        <v/>
      </c>
      <c r="C52" s="10" t="n"/>
      <c r="D52" s="10" t="n"/>
      <c r="E52" s="10" t="n"/>
      <c r="F52" s="10" t="n"/>
      <c r="G52" s="10" t="n"/>
      <c r="H52" s="10" t="n"/>
      <c r="I52" s="10" t="n"/>
      <c r="J52" s="12">
        <f>IF(OR(A52="",COUNT(C52:E52)&lt;3),"",IFERROR(MAX(0,FLOOR(($N$2-$N$3)/E52,1))*MAX(1,MIN(IF(G52="",1,G52),FLOOR($N$4/D52,1)))*IF(F52="",1,F52),""))</f>
        <v/>
      </c>
      <c r="K52" s="12">
        <f>IF(A52="","",IF(COUNTIF(DATA!$D$2:$D$500,A52)=0,"CEK SKU tidak ada di DATA",IF(COUNT(C52:E52)&lt;3,"CEK dimensi belum lengkap",IF(OR(C52&lt;=0,D52&lt;=0,E52&lt;=0),"CEK dimensi harus lebih dari 0",IF(COUNTIF($A$2:$A$500,A52)&gt;1,"CEK SKU dobel","OK")))))</f>
        <v/>
      </c>
    </row>
    <row r="53">
      <c r="A53" s="10" t="n"/>
      <c r="B53" s="12">
        <f>IF(A53="","",IFERROR(INDEX(DATA!$E$2:$E$500,MATCH(A53,DATA!$D$2:$D$500,0)),""))</f>
        <v/>
      </c>
      <c r="C53" s="10" t="n"/>
      <c r="D53" s="10" t="n"/>
      <c r="E53" s="10" t="n"/>
      <c r="F53" s="10" t="n"/>
      <c r="G53" s="10" t="n"/>
      <c r="H53" s="10" t="n"/>
      <c r="I53" s="10" t="n"/>
      <c r="J53" s="12">
        <f>IF(OR(A53="",COUNT(C53:E53)&lt;3),"",IFERROR(MAX(0,FLOOR(($N$2-$N$3)/E53,1))*MAX(1,MIN(IF(G53="",1,G53),FLOOR($N$4/D53,1)))*IF(F53="",1,F53),""))</f>
        <v/>
      </c>
      <c r="K53" s="12">
        <f>IF(A53="","",IF(COUNTIF(DATA!$D$2:$D$500,A53)=0,"CEK SKU tidak ada di DATA",IF(COUNT(C53:E53)&lt;3,"CEK dimensi belum lengkap",IF(OR(C53&lt;=0,D53&lt;=0,E53&lt;=0),"CEK dimensi harus lebih dari 0",IF(COUNTIF($A$2:$A$500,A53)&gt;1,"CEK SKU dobel","OK")))))</f>
        <v/>
      </c>
    </row>
    <row r="54">
      <c r="A54" s="10" t="n"/>
      <c r="B54" s="12">
        <f>IF(A54="","",IFERROR(INDEX(DATA!$E$2:$E$500,MATCH(A54,DATA!$D$2:$D$500,0)),""))</f>
        <v/>
      </c>
      <c r="C54" s="10" t="n"/>
      <c r="D54" s="10" t="n"/>
      <c r="E54" s="10" t="n"/>
      <c r="F54" s="10" t="n"/>
      <c r="G54" s="10" t="n"/>
      <c r="H54" s="10" t="n"/>
      <c r="I54" s="10" t="n"/>
      <c r="J54" s="12">
        <f>IF(OR(A54="",COUNT(C54:E54)&lt;3),"",IFERROR(MAX(0,FLOOR(($N$2-$N$3)/E54,1))*MAX(1,MIN(IF(G54="",1,G54),FLOOR($N$4/D54,1)))*IF(F54="",1,F54),""))</f>
        <v/>
      </c>
      <c r="K54" s="12">
        <f>IF(A54="","",IF(COUNTIF(DATA!$D$2:$D$500,A54)=0,"CEK SKU tidak ada di DATA",IF(COUNT(C54:E54)&lt;3,"CEK dimensi belum lengkap",IF(OR(C54&lt;=0,D54&lt;=0,E54&lt;=0),"CEK dimensi harus lebih dari 0",IF(COUNTIF($A$2:$A$500,A54)&gt;1,"CEK SKU dobel","OK")))))</f>
        <v/>
      </c>
    </row>
    <row r="55">
      <c r="A55" s="10" t="n"/>
      <c r="B55" s="12">
        <f>IF(A55="","",IFERROR(INDEX(DATA!$E$2:$E$500,MATCH(A55,DATA!$D$2:$D$500,0)),""))</f>
        <v/>
      </c>
      <c r="C55" s="10" t="n"/>
      <c r="D55" s="10" t="n"/>
      <c r="E55" s="10" t="n"/>
      <c r="F55" s="10" t="n"/>
      <c r="G55" s="10" t="n"/>
      <c r="H55" s="10" t="n"/>
      <c r="I55" s="10" t="n"/>
      <c r="J55" s="12">
        <f>IF(OR(A55="",COUNT(C55:E55)&lt;3),"",IFERROR(MAX(0,FLOOR(($N$2-$N$3)/E55,1))*MAX(1,MIN(IF(G55="",1,G55),FLOOR($N$4/D55,1)))*IF(F55="",1,F55),""))</f>
        <v/>
      </c>
      <c r="K55" s="12">
        <f>IF(A55="","",IF(COUNTIF(DATA!$D$2:$D$500,A55)=0,"CEK SKU tidak ada di DATA",IF(COUNT(C55:E55)&lt;3,"CEK dimensi belum lengkap",IF(OR(C55&lt;=0,D55&lt;=0,E55&lt;=0),"CEK dimensi harus lebih dari 0",IF(COUNTIF($A$2:$A$500,A55)&gt;1,"CEK SKU dobel","OK")))))</f>
        <v/>
      </c>
    </row>
    <row r="56">
      <c r="A56" s="10" t="n"/>
      <c r="B56" s="12">
        <f>IF(A56="","",IFERROR(INDEX(DATA!$E$2:$E$500,MATCH(A56,DATA!$D$2:$D$500,0)),""))</f>
        <v/>
      </c>
      <c r="C56" s="10" t="n"/>
      <c r="D56" s="10" t="n"/>
      <c r="E56" s="10" t="n"/>
      <c r="F56" s="10" t="n"/>
      <c r="G56" s="10" t="n"/>
      <c r="H56" s="10" t="n"/>
      <c r="I56" s="10" t="n"/>
      <c r="J56" s="12">
        <f>IF(OR(A56="",COUNT(C56:E56)&lt;3),"",IFERROR(MAX(0,FLOOR(($N$2-$N$3)/E56,1))*MAX(1,MIN(IF(G56="",1,G56),FLOOR($N$4/D56,1)))*IF(F56="",1,F56),""))</f>
        <v/>
      </c>
      <c r="K56" s="12">
        <f>IF(A56="","",IF(COUNTIF(DATA!$D$2:$D$500,A56)=0,"CEK SKU tidak ada di DATA",IF(COUNT(C56:E56)&lt;3,"CEK dimensi belum lengkap",IF(OR(C56&lt;=0,D56&lt;=0,E56&lt;=0),"CEK dimensi harus lebih dari 0",IF(COUNTIF($A$2:$A$500,A56)&gt;1,"CEK SKU dobel","OK")))))</f>
        <v/>
      </c>
    </row>
    <row r="57">
      <c r="A57" s="10" t="n"/>
      <c r="B57" s="12">
        <f>IF(A57="","",IFERROR(INDEX(DATA!$E$2:$E$500,MATCH(A57,DATA!$D$2:$D$500,0)),""))</f>
        <v/>
      </c>
      <c r="C57" s="10" t="n"/>
      <c r="D57" s="10" t="n"/>
      <c r="E57" s="10" t="n"/>
      <c r="F57" s="10" t="n"/>
      <c r="G57" s="10" t="n"/>
      <c r="H57" s="10" t="n"/>
      <c r="I57" s="10" t="n"/>
      <c r="J57" s="12">
        <f>IF(OR(A57="",COUNT(C57:E57)&lt;3),"",IFERROR(MAX(0,FLOOR(($N$2-$N$3)/E57,1))*MAX(1,MIN(IF(G57="",1,G57),FLOOR($N$4/D57,1)))*IF(F57="",1,F57),""))</f>
        <v/>
      </c>
      <c r="K57" s="12">
        <f>IF(A57="","",IF(COUNTIF(DATA!$D$2:$D$500,A57)=0,"CEK SKU tidak ada di DATA",IF(COUNT(C57:E57)&lt;3,"CEK dimensi belum lengkap",IF(OR(C57&lt;=0,D57&lt;=0,E57&lt;=0),"CEK dimensi harus lebih dari 0",IF(COUNTIF($A$2:$A$500,A57)&gt;1,"CEK SKU dobel","OK")))))</f>
        <v/>
      </c>
    </row>
    <row r="58">
      <c r="A58" s="10" t="n"/>
      <c r="B58" s="12">
        <f>IF(A58="","",IFERROR(INDEX(DATA!$E$2:$E$500,MATCH(A58,DATA!$D$2:$D$500,0)),""))</f>
        <v/>
      </c>
      <c r="C58" s="10" t="n"/>
      <c r="D58" s="10" t="n"/>
      <c r="E58" s="10" t="n"/>
      <c r="F58" s="10" t="n"/>
      <c r="G58" s="10" t="n"/>
      <c r="H58" s="10" t="n"/>
      <c r="I58" s="10" t="n"/>
      <c r="J58" s="12">
        <f>IF(OR(A58="",COUNT(C58:E58)&lt;3),"",IFERROR(MAX(0,FLOOR(($N$2-$N$3)/E58,1))*MAX(1,MIN(IF(G58="",1,G58),FLOOR($N$4/D58,1)))*IF(F58="",1,F58),""))</f>
        <v/>
      </c>
      <c r="K58" s="12">
        <f>IF(A58="","",IF(COUNTIF(DATA!$D$2:$D$500,A58)=0,"CEK SKU tidak ada di DATA",IF(COUNT(C58:E58)&lt;3,"CEK dimensi belum lengkap",IF(OR(C58&lt;=0,D58&lt;=0,E58&lt;=0),"CEK dimensi harus lebih dari 0",IF(COUNTIF($A$2:$A$500,A58)&gt;1,"CEK SKU dobel","OK")))))</f>
        <v/>
      </c>
    </row>
    <row r="59">
      <c r="A59" s="10" t="n"/>
      <c r="B59" s="12">
        <f>IF(A59="","",IFERROR(INDEX(DATA!$E$2:$E$500,MATCH(A59,DATA!$D$2:$D$500,0)),""))</f>
        <v/>
      </c>
      <c r="C59" s="10" t="n"/>
      <c r="D59" s="10" t="n"/>
      <c r="E59" s="10" t="n"/>
      <c r="F59" s="10" t="n"/>
      <c r="G59" s="10" t="n"/>
      <c r="H59" s="10" t="n"/>
      <c r="I59" s="10" t="n"/>
      <c r="J59" s="12">
        <f>IF(OR(A59="",COUNT(C59:E59)&lt;3),"",IFERROR(MAX(0,FLOOR(($N$2-$N$3)/E59,1))*MAX(1,MIN(IF(G59="",1,G59),FLOOR($N$4/D59,1)))*IF(F59="",1,F59),""))</f>
        <v/>
      </c>
      <c r="K59" s="12">
        <f>IF(A59="","",IF(COUNTIF(DATA!$D$2:$D$500,A59)=0,"CEK SKU tidak ada di DATA",IF(COUNT(C59:E59)&lt;3,"CEK dimensi belum lengkap",IF(OR(C59&lt;=0,D59&lt;=0,E59&lt;=0),"CEK dimensi harus lebih dari 0",IF(COUNTIF($A$2:$A$500,A59)&gt;1,"CEK SKU dobel","OK")))))</f>
        <v/>
      </c>
    </row>
    <row r="60">
      <c r="A60" s="10" t="n"/>
      <c r="B60" s="12">
        <f>IF(A60="","",IFERROR(INDEX(DATA!$E$2:$E$500,MATCH(A60,DATA!$D$2:$D$500,0)),""))</f>
        <v/>
      </c>
      <c r="C60" s="10" t="n"/>
      <c r="D60" s="10" t="n"/>
      <c r="E60" s="10" t="n"/>
      <c r="F60" s="10" t="n"/>
      <c r="G60" s="10" t="n"/>
      <c r="H60" s="10" t="n"/>
      <c r="I60" s="10" t="n"/>
      <c r="J60" s="12">
        <f>IF(OR(A60="",COUNT(C60:E60)&lt;3),"",IFERROR(MAX(0,FLOOR(($N$2-$N$3)/E60,1))*MAX(1,MIN(IF(G60="",1,G60),FLOOR($N$4/D60,1)))*IF(F60="",1,F60),""))</f>
        <v/>
      </c>
      <c r="K60" s="12">
        <f>IF(A60="","",IF(COUNTIF(DATA!$D$2:$D$500,A60)=0,"CEK SKU tidak ada di DATA",IF(COUNT(C60:E60)&lt;3,"CEK dimensi belum lengkap",IF(OR(C60&lt;=0,D60&lt;=0,E60&lt;=0),"CEK dimensi harus lebih dari 0",IF(COUNTIF($A$2:$A$500,A60)&gt;1,"CEK SKU dobel","OK")))))</f>
        <v/>
      </c>
    </row>
    <row r="61">
      <c r="A61" s="10" t="n"/>
      <c r="B61" s="12">
        <f>IF(A61="","",IFERROR(INDEX(DATA!$E$2:$E$500,MATCH(A61,DATA!$D$2:$D$500,0)),""))</f>
        <v/>
      </c>
      <c r="C61" s="10" t="n"/>
      <c r="D61" s="10" t="n"/>
      <c r="E61" s="10" t="n"/>
      <c r="F61" s="10" t="n"/>
      <c r="G61" s="10" t="n"/>
      <c r="H61" s="10" t="n"/>
      <c r="I61" s="10" t="n"/>
      <c r="J61" s="12">
        <f>IF(OR(A61="",COUNT(C61:E61)&lt;3),"",IFERROR(MAX(0,FLOOR(($N$2-$N$3)/E61,1))*MAX(1,MIN(IF(G61="",1,G61),FLOOR($N$4/D61,1)))*IF(F61="",1,F61),""))</f>
        <v/>
      </c>
      <c r="K61" s="12">
        <f>IF(A61="","",IF(COUNTIF(DATA!$D$2:$D$500,A61)=0,"CEK SKU tidak ada di DATA",IF(COUNT(C61:E61)&lt;3,"CEK dimensi belum lengkap",IF(OR(C61&lt;=0,D61&lt;=0,E61&lt;=0),"CEK dimensi harus lebih dari 0",IF(COUNTIF($A$2:$A$500,A61)&gt;1,"CEK SKU dobel","OK")))))</f>
        <v/>
      </c>
    </row>
    <row r="62">
      <c r="A62" s="10" t="n"/>
      <c r="B62" s="12">
        <f>IF(A62="","",IFERROR(INDEX(DATA!$E$2:$E$500,MATCH(A62,DATA!$D$2:$D$500,0)),""))</f>
        <v/>
      </c>
      <c r="C62" s="10" t="n"/>
      <c r="D62" s="10" t="n"/>
      <c r="E62" s="10" t="n"/>
      <c r="F62" s="10" t="n"/>
      <c r="G62" s="10" t="n"/>
      <c r="H62" s="10" t="n"/>
      <c r="I62" s="10" t="n"/>
      <c r="J62" s="12">
        <f>IF(OR(A62="",COUNT(C62:E62)&lt;3),"",IFERROR(MAX(0,FLOOR(($N$2-$N$3)/E62,1))*MAX(1,MIN(IF(G62="",1,G62),FLOOR($N$4/D62,1)))*IF(F62="",1,F62),""))</f>
        <v/>
      </c>
      <c r="K62" s="12">
        <f>IF(A62="","",IF(COUNTIF(DATA!$D$2:$D$500,A62)=0,"CEK SKU tidak ada di DATA",IF(COUNT(C62:E62)&lt;3,"CEK dimensi belum lengkap",IF(OR(C62&lt;=0,D62&lt;=0,E62&lt;=0),"CEK dimensi harus lebih dari 0",IF(COUNTIF($A$2:$A$500,A62)&gt;1,"CEK SKU dobel","OK")))))</f>
        <v/>
      </c>
    </row>
    <row r="63">
      <c r="A63" s="10" t="n"/>
      <c r="B63" s="12">
        <f>IF(A63="","",IFERROR(INDEX(DATA!$E$2:$E$500,MATCH(A63,DATA!$D$2:$D$500,0)),""))</f>
        <v/>
      </c>
      <c r="C63" s="10" t="n"/>
      <c r="D63" s="10" t="n"/>
      <c r="E63" s="10" t="n"/>
      <c r="F63" s="10" t="n"/>
      <c r="G63" s="10" t="n"/>
      <c r="H63" s="10" t="n"/>
      <c r="I63" s="10" t="n"/>
      <c r="J63" s="12">
        <f>IF(OR(A63="",COUNT(C63:E63)&lt;3),"",IFERROR(MAX(0,FLOOR(($N$2-$N$3)/E63,1))*MAX(1,MIN(IF(G63="",1,G63),FLOOR($N$4/D63,1)))*IF(F63="",1,F63),""))</f>
        <v/>
      </c>
      <c r="K63" s="12">
        <f>IF(A63="","",IF(COUNTIF(DATA!$D$2:$D$500,A63)=0,"CEK SKU tidak ada di DATA",IF(COUNT(C63:E63)&lt;3,"CEK dimensi belum lengkap",IF(OR(C63&lt;=0,D63&lt;=0,E63&lt;=0),"CEK dimensi harus lebih dari 0",IF(COUNTIF($A$2:$A$500,A63)&gt;1,"CEK SKU dobel","OK")))))</f>
        <v/>
      </c>
    </row>
    <row r="64">
      <c r="A64" s="10" t="n"/>
      <c r="B64" s="12">
        <f>IF(A64="","",IFERROR(INDEX(DATA!$E$2:$E$500,MATCH(A64,DATA!$D$2:$D$500,0)),""))</f>
        <v/>
      </c>
      <c r="C64" s="10" t="n"/>
      <c r="D64" s="10" t="n"/>
      <c r="E64" s="10" t="n"/>
      <c r="F64" s="10" t="n"/>
      <c r="G64" s="10" t="n"/>
      <c r="H64" s="10" t="n"/>
      <c r="I64" s="10" t="n"/>
      <c r="J64" s="12">
        <f>IF(OR(A64="",COUNT(C64:E64)&lt;3),"",IFERROR(MAX(0,FLOOR(($N$2-$N$3)/E64,1))*MAX(1,MIN(IF(G64="",1,G64),FLOOR($N$4/D64,1)))*IF(F64="",1,F64),""))</f>
        <v/>
      </c>
      <c r="K64" s="12">
        <f>IF(A64="","",IF(COUNTIF(DATA!$D$2:$D$500,A64)=0,"CEK SKU tidak ada di DATA",IF(COUNT(C64:E64)&lt;3,"CEK dimensi belum lengkap",IF(OR(C64&lt;=0,D64&lt;=0,E64&lt;=0),"CEK dimensi harus lebih dari 0",IF(COUNTIF($A$2:$A$500,A64)&gt;1,"CEK SKU dobel","OK")))))</f>
        <v/>
      </c>
    </row>
    <row r="65">
      <c r="A65" s="10" t="n"/>
      <c r="B65" s="12">
        <f>IF(A65="","",IFERROR(INDEX(DATA!$E$2:$E$500,MATCH(A65,DATA!$D$2:$D$500,0)),""))</f>
        <v/>
      </c>
      <c r="C65" s="10" t="n"/>
      <c r="D65" s="10" t="n"/>
      <c r="E65" s="10" t="n"/>
      <c r="F65" s="10" t="n"/>
      <c r="G65" s="10" t="n"/>
      <c r="H65" s="10" t="n"/>
      <c r="I65" s="10" t="n"/>
      <c r="J65" s="12">
        <f>IF(OR(A65="",COUNT(C65:E65)&lt;3),"",IFERROR(MAX(0,FLOOR(($N$2-$N$3)/E65,1))*MAX(1,MIN(IF(G65="",1,G65),FLOOR($N$4/D65,1)))*IF(F65="",1,F65),""))</f>
        <v/>
      </c>
      <c r="K65" s="12">
        <f>IF(A65="","",IF(COUNTIF(DATA!$D$2:$D$500,A65)=0,"CEK SKU tidak ada di DATA",IF(COUNT(C65:E65)&lt;3,"CEK dimensi belum lengkap",IF(OR(C65&lt;=0,D65&lt;=0,E65&lt;=0),"CEK dimensi harus lebih dari 0",IF(COUNTIF($A$2:$A$500,A65)&gt;1,"CEK SKU dobel","OK")))))</f>
        <v/>
      </c>
    </row>
    <row r="66">
      <c r="A66" s="10" t="n"/>
      <c r="B66" s="12">
        <f>IF(A66="","",IFERROR(INDEX(DATA!$E$2:$E$500,MATCH(A66,DATA!$D$2:$D$500,0)),""))</f>
        <v/>
      </c>
      <c r="C66" s="10" t="n"/>
      <c r="D66" s="10" t="n"/>
      <c r="E66" s="10" t="n"/>
      <c r="F66" s="10" t="n"/>
      <c r="G66" s="10" t="n"/>
      <c r="H66" s="10" t="n"/>
      <c r="I66" s="10" t="n"/>
      <c r="J66" s="12">
        <f>IF(OR(A66="",COUNT(C66:E66)&lt;3),"",IFERROR(MAX(0,FLOOR(($N$2-$N$3)/E66,1))*MAX(1,MIN(IF(G66="",1,G66),FLOOR($N$4/D66,1)))*IF(F66="",1,F66),""))</f>
        <v/>
      </c>
      <c r="K66" s="12">
        <f>IF(A66="","",IF(COUNTIF(DATA!$D$2:$D$500,A66)=0,"CEK SKU tidak ada di DATA",IF(COUNT(C66:E66)&lt;3,"CEK dimensi belum lengkap",IF(OR(C66&lt;=0,D66&lt;=0,E66&lt;=0),"CEK dimensi harus lebih dari 0",IF(COUNTIF($A$2:$A$500,A66)&gt;1,"CEK SKU dobel","OK")))))</f>
        <v/>
      </c>
    </row>
    <row r="67">
      <c r="A67" s="10" t="n"/>
      <c r="B67" s="12">
        <f>IF(A67="","",IFERROR(INDEX(DATA!$E$2:$E$500,MATCH(A67,DATA!$D$2:$D$500,0)),""))</f>
        <v/>
      </c>
      <c r="C67" s="10" t="n"/>
      <c r="D67" s="10" t="n"/>
      <c r="E67" s="10" t="n"/>
      <c r="F67" s="10" t="n"/>
      <c r="G67" s="10" t="n"/>
      <c r="H67" s="10" t="n"/>
      <c r="I67" s="10" t="n"/>
      <c r="J67" s="12">
        <f>IF(OR(A67="",COUNT(C67:E67)&lt;3),"",IFERROR(MAX(0,FLOOR(($N$2-$N$3)/E67,1))*MAX(1,MIN(IF(G67="",1,G67),FLOOR($N$4/D67,1)))*IF(F67="",1,F67),""))</f>
        <v/>
      </c>
      <c r="K67" s="12">
        <f>IF(A67="","",IF(COUNTIF(DATA!$D$2:$D$500,A67)=0,"CEK SKU tidak ada di DATA",IF(COUNT(C67:E67)&lt;3,"CEK dimensi belum lengkap",IF(OR(C67&lt;=0,D67&lt;=0,E67&lt;=0),"CEK dimensi harus lebih dari 0",IF(COUNTIF($A$2:$A$500,A67)&gt;1,"CEK SKU dobel","OK")))))</f>
        <v/>
      </c>
    </row>
    <row r="68">
      <c r="A68" s="10" t="n"/>
      <c r="B68" s="12">
        <f>IF(A68="","",IFERROR(INDEX(DATA!$E$2:$E$500,MATCH(A68,DATA!$D$2:$D$500,0)),""))</f>
        <v/>
      </c>
      <c r="C68" s="10" t="n"/>
      <c r="D68" s="10" t="n"/>
      <c r="E68" s="10" t="n"/>
      <c r="F68" s="10" t="n"/>
      <c r="G68" s="10" t="n"/>
      <c r="H68" s="10" t="n"/>
      <c r="I68" s="10" t="n"/>
      <c r="J68" s="12">
        <f>IF(OR(A68="",COUNT(C68:E68)&lt;3),"",IFERROR(MAX(0,FLOOR(($N$2-$N$3)/E68,1))*MAX(1,MIN(IF(G68="",1,G68),FLOOR($N$4/D68,1)))*IF(F68="",1,F68),""))</f>
        <v/>
      </c>
      <c r="K68" s="12">
        <f>IF(A68="","",IF(COUNTIF(DATA!$D$2:$D$500,A68)=0,"CEK SKU tidak ada di DATA",IF(COUNT(C68:E68)&lt;3,"CEK dimensi belum lengkap",IF(OR(C68&lt;=0,D68&lt;=0,E68&lt;=0),"CEK dimensi harus lebih dari 0",IF(COUNTIF($A$2:$A$500,A68)&gt;1,"CEK SKU dobel","OK")))))</f>
        <v/>
      </c>
    </row>
    <row r="69">
      <c r="A69" s="10" t="n"/>
      <c r="B69" s="12">
        <f>IF(A69="","",IFERROR(INDEX(DATA!$E$2:$E$500,MATCH(A69,DATA!$D$2:$D$500,0)),""))</f>
        <v/>
      </c>
      <c r="C69" s="10" t="n"/>
      <c r="D69" s="10" t="n"/>
      <c r="E69" s="10" t="n"/>
      <c r="F69" s="10" t="n"/>
      <c r="G69" s="10" t="n"/>
      <c r="H69" s="10" t="n"/>
      <c r="I69" s="10" t="n"/>
      <c r="J69" s="12">
        <f>IF(OR(A69="",COUNT(C69:E69)&lt;3),"",IFERROR(MAX(0,FLOOR(($N$2-$N$3)/E69,1))*MAX(1,MIN(IF(G69="",1,G69),FLOOR($N$4/D69,1)))*IF(F69="",1,F69),""))</f>
        <v/>
      </c>
      <c r="K69" s="12">
        <f>IF(A69="","",IF(COUNTIF(DATA!$D$2:$D$500,A69)=0,"CEK SKU tidak ada di DATA",IF(COUNT(C69:E69)&lt;3,"CEK dimensi belum lengkap",IF(OR(C69&lt;=0,D69&lt;=0,E69&lt;=0),"CEK dimensi harus lebih dari 0",IF(COUNTIF($A$2:$A$500,A69)&gt;1,"CEK SKU dobel","OK")))))</f>
        <v/>
      </c>
    </row>
    <row r="70">
      <c r="A70" s="10" t="n"/>
      <c r="B70" s="12">
        <f>IF(A70="","",IFERROR(INDEX(DATA!$E$2:$E$500,MATCH(A70,DATA!$D$2:$D$500,0)),""))</f>
        <v/>
      </c>
      <c r="C70" s="10" t="n"/>
      <c r="D70" s="10" t="n"/>
      <c r="E70" s="10" t="n"/>
      <c r="F70" s="10" t="n"/>
      <c r="G70" s="10" t="n"/>
      <c r="H70" s="10" t="n"/>
      <c r="I70" s="10" t="n"/>
      <c r="J70" s="12">
        <f>IF(OR(A70="",COUNT(C70:E70)&lt;3),"",IFERROR(MAX(0,FLOOR(($N$2-$N$3)/E70,1))*MAX(1,MIN(IF(G70="",1,G70),FLOOR($N$4/D70,1)))*IF(F70="",1,F70),""))</f>
        <v/>
      </c>
      <c r="K70" s="12">
        <f>IF(A70="","",IF(COUNTIF(DATA!$D$2:$D$500,A70)=0,"CEK SKU tidak ada di DATA",IF(COUNT(C70:E70)&lt;3,"CEK dimensi belum lengkap",IF(OR(C70&lt;=0,D70&lt;=0,E70&lt;=0),"CEK dimensi harus lebih dari 0",IF(COUNTIF($A$2:$A$500,A70)&gt;1,"CEK SKU dobel","OK")))))</f>
        <v/>
      </c>
    </row>
    <row r="71">
      <c r="A71" s="10" t="n"/>
      <c r="B71" s="12">
        <f>IF(A71="","",IFERROR(INDEX(DATA!$E$2:$E$500,MATCH(A71,DATA!$D$2:$D$500,0)),""))</f>
        <v/>
      </c>
      <c r="C71" s="10" t="n"/>
      <c r="D71" s="10" t="n"/>
      <c r="E71" s="10" t="n"/>
      <c r="F71" s="10" t="n"/>
      <c r="G71" s="10" t="n"/>
      <c r="H71" s="10" t="n"/>
      <c r="I71" s="10" t="n"/>
      <c r="J71" s="12">
        <f>IF(OR(A71="",COUNT(C71:E71)&lt;3),"",IFERROR(MAX(0,FLOOR(($N$2-$N$3)/E71,1))*MAX(1,MIN(IF(G71="",1,G71),FLOOR($N$4/D71,1)))*IF(F71="",1,F71),""))</f>
        <v/>
      </c>
      <c r="K71" s="12">
        <f>IF(A71="","",IF(COUNTIF(DATA!$D$2:$D$500,A71)=0,"CEK SKU tidak ada di DATA",IF(COUNT(C71:E71)&lt;3,"CEK dimensi belum lengkap",IF(OR(C71&lt;=0,D71&lt;=0,E71&lt;=0),"CEK dimensi harus lebih dari 0",IF(COUNTIF($A$2:$A$500,A71)&gt;1,"CEK SKU dobel","OK")))))</f>
        <v/>
      </c>
    </row>
    <row r="72">
      <c r="A72" s="10" t="n"/>
      <c r="B72" s="12">
        <f>IF(A72="","",IFERROR(INDEX(DATA!$E$2:$E$500,MATCH(A72,DATA!$D$2:$D$500,0)),""))</f>
        <v/>
      </c>
      <c r="C72" s="10" t="n"/>
      <c r="D72" s="10" t="n"/>
      <c r="E72" s="10" t="n"/>
      <c r="F72" s="10" t="n"/>
      <c r="G72" s="10" t="n"/>
      <c r="H72" s="10" t="n"/>
      <c r="I72" s="10" t="n"/>
      <c r="J72" s="12">
        <f>IF(OR(A72="",COUNT(C72:E72)&lt;3),"",IFERROR(MAX(0,FLOOR(($N$2-$N$3)/E72,1))*MAX(1,MIN(IF(G72="",1,G72),FLOOR($N$4/D72,1)))*IF(F72="",1,F72),""))</f>
        <v/>
      </c>
      <c r="K72" s="12">
        <f>IF(A72="","",IF(COUNTIF(DATA!$D$2:$D$500,A72)=0,"CEK SKU tidak ada di DATA",IF(COUNT(C72:E72)&lt;3,"CEK dimensi belum lengkap",IF(OR(C72&lt;=0,D72&lt;=0,E72&lt;=0),"CEK dimensi harus lebih dari 0",IF(COUNTIF($A$2:$A$500,A72)&gt;1,"CEK SKU dobel","OK")))))</f>
        <v/>
      </c>
    </row>
    <row r="73">
      <c r="A73" s="10" t="n"/>
      <c r="B73" s="12">
        <f>IF(A73="","",IFERROR(INDEX(DATA!$E$2:$E$500,MATCH(A73,DATA!$D$2:$D$500,0)),""))</f>
        <v/>
      </c>
      <c r="C73" s="10" t="n"/>
      <c r="D73" s="10" t="n"/>
      <c r="E73" s="10" t="n"/>
      <c r="F73" s="10" t="n"/>
      <c r="G73" s="10" t="n"/>
      <c r="H73" s="10" t="n"/>
      <c r="I73" s="10" t="n"/>
      <c r="J73" s="12">
        <f>IF(OR(A73="",COUNT(C73:E73)&lt;3),"",IFERROR(MAX(0,FLOOR(($N$2-$N$3)/E73,1))*MAX(1,MIN(IF(G73="",1,G73),FLOOR($N$4/D73,1)))*IF(F73="",1,F73),""))</f>
        <v/>
      </c>
      <c r="K73" s="12">
        <f>IF(A73="","",IF(COUNTIF(DATA!$D$2:$D$500,A73)=0,"CEK SKU tidak ada di DATA",IF(COUNT(C73:E73)&lt;3,"CEK dimensi belum lengkap",IF(OR(C73&lt;=0,D73&lt;=0,E73&lt;=0),"CEK dimensi harus lebih dari 0",IF(COUNTIF($A$2:$A$500,A73)&gt;1,"CEK SKU dobel","OK")))))</f>
        <v/>
      </c>
    </row>
    <row r="74">
      <c r="A74" s="10" t="n"/>
      <c r="B74" s="12">
        <f>IF(A74="","",IFERROR(INDEX(DATA!$E$2:$E$500,MATCH(A74,DATA!$D$2:$D$500,0)),""))</f>
        <v/>
      </c>
      <c r="C74" s="10" t="n"/>
      <c r="D74" s="10" t="n"/>
      <c r="E74" s="10" t="n"/>
      <c r="F74" s="10" t="n"/>
      <c r="G74" s="10" t="n"/>
      <c r="H74" s="10" t="n"/>
      <c r="I74" s="10" t="n"/>
      <c r="J74" s="12">
        <f>IF(OR(A74="",COUNT(C74:E74)&lt;3),"",IFERROR(MAX(0,FLOOR(($N$2-$N$3)/E74,1))*MAX(1,MIN(IF(G74="",1,G74),FLOOR($N$4/D74,1)))*IF(F74="",1,F74),""))</f>
        <v/>
      </c>
      <c r="K74" s="12">
        <f>IF(A74="","",IF(COUNTIF(DATA!$D$2:$D$500,A74)=0,"CEK SKU tidak ada di DATA",IF(COUNT(C74:E74)&lt;3,"CEK dimensi belum lengkap",IF(OR(C74&lt;=0,D74&lt;=0,E74&lt;=0),"CEK dimensi harus lebih dari 0",IF(COUNTIF($A$2:$A$500,A74)&gt;1,"CEK SKU dobel","OK")))))</f>
        <v/>
      </c>
    </row>
    <row r="75">
      <c r="A75" s="10" t="n"/>
      <c r="B75" s="12">
        <f>IF(A75="","",IFERROR(INDEX(DATA!$E$2:$E$500,MATCH(A75,DATA!$D$2:$D$500,0)),""))</f>
        <v/>
      </c>
      <c r="C75" s="10" t="n"/>
      <c r="D75" s="10" t="n"/>
      <c r="E75" s="10" t="n"/>
      <c r="F75" s="10" t="n"/>
      <c r="G75" s="10" t="n"/>
      <c r="H75" s="10" t="n"/>
      <c r="I75" s="10" t="n"/>
      <c r="J75" s="12">
        <f>IF(OR(A75="",COUNT(C75:E75)&lt;3),"",IFERROR(MAX(0,FLOOR(($N$2-$N$3)/E75,1))*MAX(1,MIN(IF(G75="",1,G75),FLOOR($N$4/D75,1)))*IF(F75="",1,F75),""))</f>
        <v/>
      </c>
      <c r="K75" s="12">
        <f>IF(A75="","",IF(COUNTIF(DATA!$D$2:$D$500,A75)=0,"CEK SKU tidak ada di DATA",IF(COUNT(C75:E75)&lt;3,"CEK dimensi belum lengkap",IF(OR(C75&lt;=0,D75&lt;=0,E75&lt;=0),"CEK dimensi harus lebih dari 0",IF(COUNTIF($A$2:$A$500,A75)&gt;1,"CEK SKU dobel","OK")))))</f>
        <v/>
      </c>
    </row>
    <row r="76">
      <c r="A76" s="10" t="n"/>
      <c r="B76" s="12">
        <f>IF(A76="","",IFERROR(INDEX(DATA!$E$2:$E$500,MATCH(A76,DATA!$D$2:$D$500,0)),""))</f>
        <v/>
      </c>
      <c r="C76" s="10" t="n"/>
      <c r="D76" s="10" t="n"/>
      <c r="E76" s="10" t="n"/>
      <c r="F76" s="10" t="n"/>
      <c r="G76" s="10" t="n"/>
      <c r="H76" s="10" t="n"/>
      <c r="I76" s="10" t="n"/>
      <c r="J76" s="12">
        <f>IF(OR(A76="",COUNT(C76:E76)&lt;3),"",IFERROR(MAX(0,FLOOR(($N$2-$N$3)/E76,1))*MAX(1,MIN(IF(G76="",1,G76),FLOOR($N$4/D76,1)))*IF(F76="",1,F76),""))</f>
        <v/>
      </c>
      <c r="K76" s="12">
        <f>IF(A76="","",IF(COUNTIF(DATA!$D$2:$D$500,A76)=0,"CEK SKU tidak ada di DATA",IF(COUNT(C76:E76)&lt;3,"CEK dimensi belum lengkap",IF(OR(C76&lt;=0,D76&lt;=0,E76&lt;=0),"CEK dimensi harus lebih dari 0",IF(COUNTIF($A$2:$A$500,A76)&gt;1,"CEK SKU dobel","OK")))))</f>
        <v/>
      </c>
    </row>
    <row r="77">
      <c r="A77" s="10" t="n"/>
      <c r="B77" s="12">
        <f>IF(A77="","",IFERROR(INDEX(DATA!$E$2:$E$500,MATCH(A77,DATA!$D$2:$D$500,0)),""))</f>
        <v/>
      </c>
      <c r="C77" s="10" t="n"/>
      <c r="D77" s="10" t="n"/>
      <c r="E77" s="10" t="n"/>
      <c r="F77" s="10" t="n"/>
      <c r="G77" s="10" t="n"/>
      <c r="H77" s="10" t="n"/>
      <c r="I77" s="10" t="n"/>
      <c r="J77" s="12">
        <f>IF(OR(A77="",COUNT(C77:E77)&lt;3),"",IFERROR(MAX(0,FLOOR(($N$2-$N$3)/E77,1))*MAX(1,MIN(IF(G77="",1,G77),FLOOR($N$4/D77,1)))*IF(F77="",1,F77),""))</f>
        <v/>
      </c>
      <c r="K77" s="12">
        <f>IF(A77="","",IF(COUNTIF(DATA!$D$2:$D$500,A77)=0,"CEK SKU tidak ada di DATA",IF(COUNT(C77:E77)&lt;3,"CEK dimensi belum lengkap",IF(OR(C77&lt;=0,D77&lt;=0,E77&lt;=0),"CEK dimensi harus lebih dari 0",IF(COUNTIF($A$2:$A$500,A77)&gt;1,"CEK SKU dobel","OK")))))</f>
        <v/>
      </c>
    </row>
    <row r="78">
      <c r="A78" s="10" t="n"/>
      <c r="B78" s="12">
        <f>IF(A78="","",IFERROR(INDEX(DATA!$E$2:$E$500,MATCH(A78,DATA!$D$2:$D$500,0)),""))</f>
        <v/>
      </c>
      <c r="C78" s="10" t="n"/>
      <c r="D78" s="10" t="n"/>
      <c r="E78" s="10" t="n"/>
      <c r="F78" s="10" t="n"/>
      <c r="G78" s="10" t="n"/>
      <c r="H78" s="10" t="n"/>
      <c r="I78" s="10" t="n"/>
      <c r="J78" s="12">
        <f>IF(OR(A78="",COUNT(C78:E78)&lt;3),"",IFERROR(MAX(0,FLOOR(($N$2-$N$3)/E78,1))*MAX(1,MIN(IF(G78="",1,G78),FLOOR($N$4/D78,1)))*IF(F78="",1,F78),""))</f>
        <v/>
      </c>
      <c r="K78" s="12">
        <f>IF(A78="","",IF(COUNTIF(DATA!$D$2:$D$500,A78)=0,"CEK SKU tidak ada di DATA",IF(COUNT(C78:E78)&lt;3,"CEK dimensi belum lengkap",IF(OR(C78&lt;=0,D78&lt;=0,E78&lt;=0),"CEK dimensi harus lebih dari 0",IF(COUNTIF($A$2:$A$500,A78)&gt;1,"CEK SKU dobel","OK")))))</f>
        <v/>
      </c>
    </row>
    <row r="79">
      <c r="A79" s="10" t="n"/>
      <c r="B79" s="12">
        <f>IF(A79="","",IFERROR(INDEX(DATA!$E$2:$E$500,MATCH(A79,DATA!$D$2:$D$500,0)),""))</f>
        <v/>
      </c>
      <c r="C79" s="10" t="n"/>
      <c r="D79" s="10" t="n"/>
      <c r="E79" s="10" t="n"/>
      <c r="F79" s="10" t="n"/>
      <c r="G79" s="10" t="n"/>
      <c r="H79" s="10" t="n"/>
      <c r="I79" s="10" t="n"/>
      <c r="J79" s="12">
        <f>IF(OR(A79="",COUNT(C79:E79)&lt;3),"",IFERROR(MAX(0,FLOOR(($N$2-$N$3)/E79,1))*MAX(1,MIN(IF(G79="",1,G79),FLOOR($N$4/D79,1)))*IF(F79="",1,F79),""))</f>
        <v/>
      </c>
      <c r="K79" s="12">
        <f>IF(A79="","",IF(COUNTIF(DATA!$D$2:$D$500,A79)=0,"CEK SKU tidak ada di DATA",IF(COUNT(C79:E79)&lt;3,"CEK dimensi belum lengkap",IF(OR(C79&lt;=0,D79&lt;=0,E79&lt;=0),"CEK dimensi harus lebih dari 0",IF(COUNTIF($A$2:$A$500,A79)&gt;1,"CEK SKU dobel","OK")))))</f>
        <v/>
      </c>
    </row>
    <row r="80">
      <c r="A80" s="10" t="n"/>
      <c r="B80" s="12">
        <f>IF(A80="","",IFERROR(INDEX(DATA!$E$2:$E$500,MATCH(A80,DATA!$D$2:$D$500,0)),""))</f>
        <v/>
      </c>
      <c r="C80" s="10" t="n"/>
      <c r="D80" s="10" t="n"/>
      <c r="E80" s="10" t="n"/>
      <c r="F80" s="10" t="n"/>
      <c r="G80" s="10" t="n"/>
      <c r="H80" s="10" t="n"/>
      <c r="I80" s="10" t="n"/>
      <c r="J80" s="12">
        <f>IF(OR(A80="",COUNT(C80:E80)&lt;3),"",IFERROR(MAX(0,FLOOR(($N$2-$N$3)/E80,1))*MAX(1,MIN(IF(G80="",1,G80),FLOOR($N$4/D80,1)))*IF(F80="",1,F80),""))</f>
        <v/>
      </c>
      <c r="K80" s="12">
        <f>IF(A80="","",IF(COUNTIF(DATA!$D$2:$D$500,A80)=0,"CEK SKU tidak ada di DATA",IF(COUNT(C80:E80)&lt;3,"CEK dimensi belum lengkap",IF(OR(C80&lt;=0,D80&lt;=0,E80&lt;=0),"CEK dimensi harus lebih dari 0",IF(COUNTIF($A$2:$A$500,A80)&gt;1,"CEK SKU dobel","OK")))))</f>
        <v/>
      </c>
    </row>
    <row r="81">
      <c r="A81" s="10" t="n"/>
      <c r="B81" s="12">
        <f>IF(A81="","",IFERROR(INDEX(DATA!$E$2:$E$500,MATCH(A81,DATA!$D$2:$D$500,0)),""))</f>
        <v/>
      </c>
      <c r="C81" s="10" t="n"/>
      <c r="D81" s="10" t="n"/>
      <c r="E81" s="10" t="n"/>
      <c r="F81" s="10" t="n"/>
      <c r="G81" s="10" t="n"/>
      <c r="H81" s="10" t="n"/>
      <c r="I81" s="10" t="n"/>
      <c r="J81" s="12">
        <f>IF(OR(A81="",COUNT(C81:E81)&lt;3),"",IFERROR(MAX(0,FLOOR(($N$2-$N$3)/E81,1))*MAX(1,MIN(IF(G81="",1,G81),FLOOR($N$4/D81,1)))*IF(F81="",1,F81),""))</f>
        <v/>
      </c>
      <c r="K81" s="12">
        <f>IF(A81="","",IF(COUNTIF(DATA!$D$2:$D$500,A81)=0,"CEK SKU tidak ada di DATA",IF(COUNT(C81:E81)&lt;3,"CEK dimensi belum lengkap",IF(OR(C81&lt;=0,D81&lt;=0,E81&lt;=0),"CEK dimensi harus lebih dari 0",IF(COUNTIF($A$2:$A$500,A81)&gt;1,"CEK SKU dobel","OK")))))</f>
        <v/>
      </c>
    </row>
    <row r="82">
      <c r="A82" s="10" t="n"/>
      <c r="B82" s="12">
        <f>IF(A82="","",IFERROR(INDEX(DATA!$E$2:$E$500,MATCH(A82,DATA!$D$2:$D$500,0)),""))</f>
        <v/>
      </c>
      <c r="C82" s="10" t="n"/>
      <c r="D82" s="10" t="n"/>
      <c r="E82" s="10" t="n"/>
      <c r="F82" s="10" t="n"/>
      <c r="G82" s="10" t="n"/>
      <c r="H82" s="10" t="n"/>
      <c r="I82" s="10" t="n"/>
      <c r="J82" s="12">
        <f>IF(OR(A82="",COUNT(C82:E82)&lt;3),"",IFERROR(MAX(0,FLOOR(($N$2-$N$3)/E82,1))*MAX(1,MIN(IF(G82="",1,G82),FLOOR($N$4/D82,1)))*IF(F82="",1,F82),""))</f>
        <v/>
      </c>
      <c r="K82" s="12">
        <f>IF(A82="","",IF(COUNTIF(DATA!$D$2:$D$500,A82)=0,"CEK SKU tidak ada di DATA",IF(COUNT(C82:E82)&lt;3,"CEK dimensi belum lengkap",IF(OR(C82&lt;=0,D82&lt;=0,E82&lt;=0),"CEK dimensi harus lebih dari 0",IF(COUNTIF($A$2:$A$500,A82)&gt;1,"CEK SKU dobel","OK")))))</f>
        <v/>
      </c>
    </row>
    <row r="83">
      <c r="A83" s="10" t="n"/>
      <c r="B83" s="12">
        <f>IF(A83="","",IFERROR(INDEX(DATA!$E$2:$E$500,MATCH(A83,DATA!$D$2:$D$500,0)),""))</f>
        <v/>
      </c>
      <c r="C83" s="10" t="n"/>
      <c r="D83" s="10" t="n"/>
      <c r="E83" s="10" t="n"/>
      <c r="F83" s="10" t="n"/>
      <c r="G83" s="10" t="n"/>
      <c r="H83" s="10" t="n"/>
      <c r="I83" s="10" t="n"/>
      <c r="J83" s="12">
        <f>IF(OR(A83="",COUNT(C83:E83)&lt;3),"",IFERROR(MAX(0,FLOOR(($N$2-$N$3)/E83,1))*MAX(1,MIN(IF(G83="",1,G83),FLOOR($N$4/D83,1)))*IF(F83="",1,F83),""))</f>
        <v/>
      </c>
      <c r="K83" s="12">
        <f>IF(A83="","",IF(COUNTIF(DATA!$D$2:$D$500,A83)=0,"CEK SKU tidak ada di DATA",IF(COUNT(C83:E83)&lt;3,"CEK dimensi belum lengkap",IF(OR(C83&lt;=0,D83&lt;=0,E83&lt;=0),"CEK dimensi harus lebih dari 0",IF(COUNTIF($A$2:$A$500,A83)&gt;1,"CEK SKU dobel","OK")))))</f>
        <v/>
      </c>
    </row>
    <row r="84">
      <c r="A84" s="10" t="n"/>
      <c r="B84" s="12">
        <f>IF(A84="","",IFERROR(INDEX(DATA!$E$2:$E$500,MATCH(A84,DATA!$D$2:$D$500,0)),""))</f>
        <v/>
      </c>
      <c r="C84" s="10" t="n"/>
      <c r="D84" s="10" t="n"/>
      <c r="E84" s="10" t="n"/>
      <c r="F84" s="10" t="n"/>
      <c r="G84" s="10" t="n"/>
      <c r="H84" s="10" t="n"/>
      <c r="I84" s="10" t="n"/>
      <c r="J84" s="12">
        <f>IF(OR(A84="",COUNT(C84:E84)&lt;3),"",IFERROR(MAX(0,FLOOR(($N$2-$N$3)/E84,1))*MAX(1,MIN(IF(G84="",1,G84),FLOOR($N$4/D84,1)))*IF(F84="",1,F84),""))</f>
        <v/>
      </c>
      <c r="K84" s="12">
        <f>IF(A84="","",IF(COUNTIF(DATA!$D$2:$D$500,A84)=0,"CEK SKU tidak ada di DATA",IF(COUNT(C84:E84)&lt;3,"CEK dimensi belum lengkap",IF(OR(C84&lt;=0,D84&lt;=0,E84&lt;=0),"CEK dimensi harus lebih dari 0",IF(COUNTIF($A$2:$A$500,A84)&gt;1,"CEK SKU dobel","OK")))))</f>
        <v/>
      </c>
    </row>
    <row r="85">
      <c r="A85" s="10" t="n"/>
      <c r="B85" s="12">
        <f>IF(A85="","",IFERROR(INDEX(DATA!$E$2:$E$500,MATCH(A85,DATA!$D$2:$D$500,0)),""))</f>
        <v/>
      </c>
      <c r="C85" s="10" t="n"/>
      <c r="D85" s="10" t="n"/>
      <c r="E85" s="10" t="n"/>
      <c r="F85" s="10" t="n"/>
      <c r="G85" s="10" t="n"/>
      <c r="H85" s="10" t="n"/>
      <c r="I85" s="10" t="n"/>
      <c r="J85" s="12">
        <f>IF(OR(A85="",COUNT(C85:E85)&lt;3),"",IFERROR(MAX(0,FLOOR(($N$2-$N$3)/E85,1))*MAX(1,MIN(IF(G85="",1,G85),FLOOR($N$4/D85,1)))*IF(F85="",1,F85),""))</f>
        <v/>
      </c>
      <c r="K85" s="12">
        <f>IF(A85="","",IF(COUNTIF(DATA!$D$2:$D$500,A85)=0,"CEK SKU tidak ada di DATA",IF(COUNT(C85:E85)&lt;3,"CEK dimensi belum lengkap",IF(OR(C85&lt;=0,D85&lt;=0,E85&lt;=0),"CEK dimensi harus lebih dari 0",IF(COUNTIF($A$2:$A$500,A85)&gt;1,"CEK SKU dobel","OK")))))</f>
        <v/>
      </c>
    </row>
    <row r="86">
      <c r="A86" s="10" t="n"/>
      <c r="B86" s="12">
        <f>IF(A86="","",IFERROR(INDEX(DATA!$E$2:$E$500,MATCH(A86,DATA!$D$2:$D$500,0)),""))</f>
        <v/>
      </c>
      <c r="C86" s="10" t="n"/>
      <c r="D86" s="10" t="n"/>
      <c r="E86" s="10" t="n"/>
      <c r="F86" s="10" t="n"/>
      <c r="G86" s="10" t="n"/>
      <c r="H86" s="10" t="n"/>
      <c r="I86" s="10" t="n"/>
      <c r="J86" s="12">
        <f>IF(OR(A86="",COUNT(C86:E86)&lt;3),"",IFERROR(MAX(0,FLOOR(($N$2-$N$3)/E86,1))*MAX(1,MIN(IF(G86="",1,G86),FLOOR($N$4/D86,1)))*IF(F86="",1,F86),""))</f>
        <v/>
      </c>
      <c r="K86" s="12">
        <f>IF(A86="","",IF(COUNTIF(DATA!$D$2:$D$500,A86)=0,"CEK SKU tidak ada di DATA",IF(COUNT(C86:E86)&lt;3,"CEK dimensi belum lengkap",IF(OR(C86&lt;=0,D86&lt;=0,E86&lt;=0),"CEK dimensi harus lebih dari 0",IF(COUNTIF($A$2:$A$500,A86)&gt;1,"CEK SKU dobel","OK")))))</f>
        <v/>
      </c>
    </row>
    <row r="87">
      <c r="A87" s="10" t="n"/>
      <c r="B87" s="12">
        <f>IF(A87="","",IFERROR(INDEX(DATA!$E$2:$E$500,MATCH(A87,DATA!$D$2:$D$500,0)),""))</f>
        <v/>
      </c>
      <c r="C87" s="10" t="n"/>
      <c r="D87" s="10" t="n"/>
      <c r="E87" s="10" t="n"/>
      <c r="F87" s="10" t="n"/>
      <c r="G87" s="10" t="n"/>
      <c r="H87" s="10" t="n"/>
      <c r="I87" s="10" t="n"/>
      <c r="J87" s="12">
        <f>IF(OR(A87="",COUNT(C87:E87)&lt;3),"",IFERROR(MAX(0,FLOOR(($N$2-$N$3)/E87,1))*MAX(1,MIN(IF(G87="",1,G87),FLOOR($N$4/D87,1)))*IF(F87="",1,F87),""))</f>
        <v/>
      </c>
      <c r="K87" s="12">
        <f>IF(A87="","",IF(COUNTIF(DATA!$D$2:$D$500,A87)=0,"CEK SKU tidak ada di DATA",IF(COUNT(C87:E87)&lt;3,"CEK dimensi belum lengkap",IF(OR(C87&lt;=0,D87&lt;=0,E87&lt;=0),"CEK dimensi harus lebih dari 0",IF(COUNTIF($A$2:$A$500,A87)&gt;1,"CEK SKU dobel","OK")))))</f>
        <v/>
      </c>
    </row>
    <row r="88">
      <c r="A88" s="10" t="n"/>
      <c r="B88" s="12">
        <f>IF(A88="","",IFERROR(INDEX(DATA!$E$2:$E$500,MATCH(A88,DATA!$D$2:$D$500,0)),""))</f>
        <v/>
      </c>
      <c r="C88" s="10" t="n"/>
      <c r="D88" s="10" t="n"/>
      <c r="E88" s="10" t="n"/>
      <c r="F88" s="10" t="n"/>
      <c r="G88" s="10" t="n"/>
      <c r="H88" s="10" t="n"/>
      <c r="I88" s="10" t="n"/>
      <c r="J88" s="12">
        <f>IF(OR(A88="",COUNT(C88:E88)&lt;3),"",IFERROR(MAX(0,FLOOR(($N$2-$N$3)/E88,1))*MAX(1,MIN(IF(G88="",1,G88),FLOOR($N$4/D88,1)))*IF(F88="",1,F88),""))</f>
        <v/>
      </c>
      <c r="K88" s="12">
        <f>IF(A88="","",IF(COUNTIF(DATA!$D$2:$D$500,A88)=0,"CEK SKU tidak ada di DATA",IF(COUNT(C88:E88)&lt;3,"CEK dimensi belum lengkap",IF(OR(C88&lt;=0,D88&lt;=0,E88&lt;=0),"CEK dimensi harus lebih dari 0",IF(COUNTIF($A$2:$A$500,A88)&gt;1,"CEK SKU dobel","OK")))))</f>
        <v/>
      </c>
    </row>
    <row r="89">
      <c r="A89" s="10" t="n"/>
      <c r="B89" s="12">
        <f>IF(A89="","",IFERROR(INDEX(DATA!$E$2:$E$500,MATCH(A89,DATA!$D$2:$D$500,0)),""))</f>
        <v/>
      </c>
      <c r="C89" s="10" t="n"/>
      <c r="D89" s="10" t="n"/>
      <c r="E89" s="10" t="n"/>
      <c r="F89" s="10" t="n"/>
      <c r="G89" s="10" t="n"/>
      <c r="H89" s="10" t="n"/>
      <c r="I89" s="10" t="n"/>
      <c r="J89" s="12">
        <f>IF(OR(A89="",COUNT(C89:E89)&lt;3),"",IFERROR(MAX(0,FLOOR(($N$2-$N$3)/E89,1))*MAX(1,MIN(IF(G89="",1,G89),FLOOR($N$4/D89,1)))*IF(F89="",1,F89),""))</f>
        <v/>
      </c>
      <c r="K89" s="12">
        <f>IF(A89="","",IF(COUNTIF(DATA!$D$2:$D$500,A89)=0,"CEK SKU tidak ada di DATA",IF(COUNT(C89:E89)&lt;3,"CEK dimensi belum lengkap",IF(OR(C89&lt;=0,D89&lt;=0,E89&lt;=0),"CEK dimensi harus lebih dari 0",IF(COUNTIF($A$2:$A$500,A89)&gt;1,"CEK SKU dobel","OK")))))</f>
        <v/>
      </c>
    </row>
    <row r="90">
      <c r="A90" s="10" t="n"/>
      <c r="B90" s="12">
        <f>IF(A90="","",IFERROR(INDEX(DATA!$E$2:$E$500,MATCH(A90,DATA!$D$2:$D$500,0)),""))</f>
        <v/>
      </c>
      <c r="C90" s="10" t="n"/>
      <c r="D90" s="10" t="n"/>
      <c r="E90" s="10" t="n"/>
      <c r="F90" s="10" t="n"/>
      <c r="G90" s="10" t="n"/>
      <c r="H90" s="10" t="n"/>
      <c r="I90" s="10" t="n"/>
      <c r="J90" s="12">
        <f>IF(OR(A90="",COUNT(C90:E90)&lt;3),"",IFERROR(MAX(0,FLOOR(($N$2-$N$3)/E90,1))*MAX(1,MIN(IF(G90="",1,G90),FLOOR($N$4/D90,1)))*IF(F90="",1,F90),""))</f>
        <v/>
      </c>
      <c r="K90" s="12">
        <f>IF(A90="","",IF(COUNTIF(DATA!$D$2:$D$500,A90)=0,"CEK SKU tidak ada di DATA",IF(COUNT(C90:E90)&lt;3,"CEK dimensi belum lengkap",IF(OR(C90&lt;=0,D90&lt;=0,E90&lt;=0),"CEK dimensi harus lebih dari 0",IF(COUNTIF($A$2:$A$500,A90)&gt;1,"CEK SKU dobel","OK")))))</f>
        <v/>
      </c>
    </row>
    <row r="91">
      <c r="A91" s="10" t="n"/>
      <c r="B91" s="12">
        <f>IF(A91="","",IFERROR(INDEX(DATA!$E$2:$E$500,MATCH(A91,DATA!$D$2:$D$500,0)),""))</f>
        <v/>
      </c>
      <c r="C91" s="10" t="n"/>
      <c r="D91" s="10" t="n"/>
      <c r="E91" s="10" t="n"/>
      <c r="F91" s="10" t="n"/>
      <c r="G91" s="10" t="n"/>
      <c r="H91" s="10" t="n"/>
      <c r="I91" s="10" t="n"/>
      <c r="J91" s="12">
        <f>IF(OR(A91="",COUNT(C91:E91)&lt;3),"",IFERROR(MAX(0,FLOOR(($N$2-$N$3)/E91,1))*MAX(1,MIN(IF(G91="",1,G91),FLOOR($N$4/D91,1)))*IF(F91="",1,F91),""))</f>
        <v/>
      </c>
      <c r="K91" s="12">
        <f>IF(A91="","",IF(COUNTIF(DATA!$D$2:$D$500,A91)=0,"CEK SKU tidak ada di DATA",IF(COUNT(C91:E91)&lt;3,"CEK dimensi belum lengkap",IF(OR(C91&lt;=0,D91&lt;=0,E91&lt;=0),"CEK dimensi harus lebih dari 0",IF(COUNTIF($A$2:$A$500,A91)&gt;1,"CEK SKU dobel","OK")))))</f>
        <v/>
      </c>
    </row>
    <row r="92">
      <c r="A92" s="10" t="n"/>
      <c r="B92" s="12">
        <f>IF(A92="","",IFERROR(INDEX(DATA!$E$2:$E$500,MATCH(A92,DATA!$D$2:$D$500,0)),""))</f>
        <v/>
      </c>
      <c r="C92" s="10" t="n"/>
      <c r="D92" s="10" t="n"/>
      <c r="E92" s="10" t="n"/>
      <c r="F92" s="10" t="n"/>
      <c r="G92" s="10" t="n"/>
      <c r="H92" s="10" t="n"/>
      <c r="I92" s="10" t="n"/>
      <c r="J92" s="12">
        <f>IF(OR(A92="",COUNT(C92:E92)&lt;3),"",IFERROR(MAX(0,FLOOR(($N$2-$N$3)/E92,1))*MAX(1,MIN(IF(G92="",1,G92),FLOOR($N$4/D92,1)))*IF(F92="",1,F92),""))</f>
        <v/>
      </c>
      <c r="K92" s="12">
        <f>IF(A92="","",IF(COUNTIF(DATA!$D$2:$D$500,A92)=0,"CEK SKU tidak ada di DATA",IF(COUNT(C92:E92)&lt;3,"CEK dimensi belum lengkap",IF(OR(C92&lt;=0,D92&lt;=0,E92&lt;=0),"CEK dimensi harus lebih dari 0",IF(COUNTIF($A$2:$A$500,A92)&gt;1,"CEK SKU dobel","OK")))))</f>
        <v/>
      </c>
    </row>
    <row r="93">
      <c r="A93" s="10" t="n"/>
      <c r="B93" s="12">
        <f>IF(A93="","",IFERROR(INDEX(DATA!$E$2:$E$500,MATCH(A93,DATA!$D$2:$D$500,0)),""))</f>
        <v/>
      </c>
      <c r="C93" s="10" t="n"/>
      <c r="D93" s="10" t="n"/>
      <c r="E93" s="10" t="n"/>
      <c r="F93" s="10" t="n"/>
      <c r="G93" s="10" t="n"/>
      <c r="H93" s="10" t="n"/>
      <c r="I93" s="10" t="n"/>
      <c r="J93" s="12">
        <f>IF(OR(A93="",COUNT(C93:E93)&lt;3),"",IFERROR(MAX(0,FLOOR(($N$2-$N$3)/E93,1))*MAX(1,MIN(IF(G93="",1,G93),FLOOR($N$4/D93,1)))*IF(F93="",1,F93),""))</f>
        <v/>
      </c>
      <c r="K93" s="12">
        <f>IF(A93="","",IF(COUNTIF(DATA!$D$2:$D$500,A93)=0,"CEK SKU tidak ada di DATA",IF(COUNT(C93:E93)&lt;3,"CEK dimensi belum lengkap",IF(OR(C93&lt;=0,D93&lt;=0,E93&lt;=0),"CEK dimensi harus lebih dari 0",IF(COUNTIF($A$2:$A$500,A93)&gt;1,"CEK SKU dobel","OK")))))</f>
        <v/>
      </c>
    </row>
    <row r="94">
      <c r="A94" s="10" t="n"/>
      <c r="B94" s="12">
        <f>IF(A94="","",IFERROR(INDEX(DATA!$E$2:$E$500,MATCH(A94,DATA!$D$2:$D$500,0)),""))</f>
        <v/>
      </c>
      <c r="C94" s="10" t="n"/>
      <c r="D94" s="10" t="n"/>
      <c r="E94" s="10" t="n"/>
      <c r="F94" s="10" t="n"/>
      <c r="G94" s="10" t="n"/>
      <c r="H94" s="10" t="n"/>
      <c r="I94" s="10" t="n"/>
      <c r="J94" s="12">
        <f>IF(OR(A94="",COUNT(C94:E94)&lt;3),"",IFERROR(MAX(0,FLOOR(($N$2-$N$3)/E94,1))*MAX(1,MIN(IF(G94="",1,G94),FLOOR($N$4/D94,1)))*IF(F94="",1,F94),""))</f>
        <v/>
      </c>
      <c r="K94" s="12">
        <f>IF(A94="","",IF(COUNTIF(DATA!$D$2:$D$500,A94)=0,"CEK SKU tidak ada di DATA",IF(COUNT(C94:E94)&lt;3,"CEK dimensi belum lengkap",IF(OR(C94&lt;=0,D94&lt;=0,E94&lt;=0),"CEK dimensi harus lebih dari 0",IF(COUNTIF($A$2:$A$500,A94)&gt;1,"CEK SKU dobel","OK")))))</f>
        <v/>
      </c>
    </row>
    <row r="95">
      <c r="A95" s="10" t="n"/>
      <c r="B95" s="12">
        <f>IF(A95="","",IFERROR(INDEX(DATA!$E$2:$E$500,MATCH(A95,DATA!$D$2:$D$500,0)),""))</f>
        <v/>
      </c>
      <c r="C95" s="10" t="n"/>
      <c r="D95" s="10" t="n"/>
      <c r="E95" s="10" t="n"/>
      <c r="F95" s="10" t="n"/>
      <c r="G95" s="10" t="n"/>
      <c r="H95" s="10" t="n"/>
      <c r="I95" s="10" t="n"/>
      <c r="J95" s="12">
        <f>IF(OR(A95="",COUNT(C95:E95)&lt;3),"",IFERROR(MAX(0,FLOOR(($N$2-$N$3)/E95,1))*MAX(1,MIN(IF(G95="",1,G95),FLOOR($N$4/D95,1)))*IF(F95="",1,F95),""))</f>
        <v/>
      </c>
      <c r="K95" s="12">
        <f>IF(A95="","",IF(COUNTIF(DATA!$D$2:$D$500,A95)=0,"CEK SKU tidak ada di DATA",IF(COUNT(C95:E95)&lt;3,"CEK dimensi belum lengkap",IF(OR(C95&lt;=0,D95&lt;=0,E95&lt;=0),"CEK dimensi harus lebih dari 0",IF(COUNTIF($A$2:$A$500,A95)&gt;1,"CEK SKU dobel","OK")))))</f>
        <v/>
      </c>
    </row>
    <row r="96">
      <c r="A96" s="10" t="n"/>
      <c r="B96" s="12">
        <f>IF(A96="","",IFERROR(INDEX(DATA!$E$2:$E$500,MATCH(A96,DATA!$D$2:$D$500,0)),""))</f>
        <v/>
      </c>
      <c r="C96" s="10" t="n"/>
      <c r="D96" s="10" t="n"/>
      <c r="E96" s="10" t="n"/>
      <c r="F96" s="10" t="n"/>
      <c r="G96" s="10" t="n"/>
      <c r="H96" s="10" t="n"/>
      <c r="I96" s="10" t="n"/>
      <c r="J96" s="12">
        <f>IF(OR(A96="",COUNT(C96:E96)&lt;3),"",IFERROR(MAX(0,FLOOR(($N$2-$N$3)/E96,1))*MAX(1,MIN(IF(G96="",1,G96),FLOOR($N$4/D96,1)))*IF(F96="",1,F96),""))</f>
        <v/>
      </c>
      <c r="K96" s="12">
        <f>IF(A96="","",IF(COUNTIF(DATA!$D$2:$D$500,A96)=0,"CEK SKU tidak ada di DATA",IF(COUNT(C96:E96)&lt;3,"CEK dimensi belum lengkap",IF(OR(C96&lt;=0,D96&lt;=0,E96&lt;=0),"CEK dimensi harus lebih dari 0",IF(COUNTIF($A$2:$A$500,A96)&gt;1,"CEK SKU dobel","OK")))))</f>
        <v/>
      </c>
    </row>
    <row r="97">
      <c r="A97" s="10" t="n"/>
      <c r="B97" s="12">
        <f>IF(A97="","",IFERROR(INDEX(DATA!$E$2:$E$500,MATCH(A97,DATA!$D$2:$D$500,0)),""))</f>
        <v/>
      </c>
      <c r="C97" s="10" t="n"/>
      <c r="D97" s="10" t="n"/>
      <c r="E97" s="10" t="n"/>
      <c r="F97" s="10" t="n"/>
      <c r="G97" s="10" t="n"/>
      <c r="H97" s="10" t="n"/>
      <c r="I97" s="10" t="n"/>
      <c r="J97" s="12">
        <f>IF(OR(A97="",COUNT(C97:E97)&lt;3),"",IFERROR(MAX(0,FLOOR(($N$2-$N$3)/E97,1))*MAX(1,MIN(IF(G97="",1,G97),FLOOR($N$4/D97,1)))*IF(F97="",1,F97),""))</f>
        <v/>
      </c>
      <c r="K97" s="12">
        <f>IF(A97="","",IF(COUNTIF(DATA!$D$2:$D$500,A97)=0,"CEK SKU tidak ada di DATA",IF(COUNT(C97:E97)&lt;3,"CEK dimensi belum lengkap",IF(OR(C97&lt;=0,D97&lt;=0,E97&lt;=0),"CEK dimensi harus lebih dari 0",IF(COUNTIF($A$2:$A$500,A97)&gt;1,"CEK SKU dobel","OK")))))</f>
        <v/>
      </c>
    </row>
    <row r="98">
      <c r="A98" s="10" t="n"/>
      <c r="B98" s="12">
        <f>IF(A98="","",IFERROR(INDEX(DATA!$E$2:$E$500,MATCH(A98,DATA!$D$2:$D$500,0)),""))</f>
        <v/>
      </c>
      <c r="C98" s="10" t="n"/>
      <c r="D98" s="10" t="n"/>
      <c r="E98" s="10" t="n"/>
      <c r="F98" s="10" t="n"/>
      <c r="G98" s="10" t="n"/>
      <c r="H98" s="10" t="n"/>
      <c r="I98" s="10" t="n"/>
      <c r="J98" s="12">
        <f>IF(OR(A98="",COUNT(C98:E98)&lt;3),"",IFERROR(MAX(0,FLOOR(($N$2-$N$3)/E98,1))*MAX(1,MIN(IF(G98="",1,G98),FLOOR($N$4/D98,1)))*IF(F98="",1,F98),""))</f>
        <v/>
      </c>
      <c r="K98" s="12">
        <f>IF(A98="","",IF(COUNTIF(DATA!$D$2:$D$500,A98)=0,"CEK SKU tidak ada di DATA",IF(COUNT(C98:E98)&lt;3,"CEK dimensi belum lengkap",IF(OR(C98&lt;=0,D98&lt;=0,E98&lt;=0),"CEK dimensi harus lebih dari 0",IF(COUNTIF($A$2:$A$500,A98)&gt;1,"CEK SKU dobel","OK")))))</f>
        <v/>
      </c>
    </row>
    <row r="99">
      <c r="A99" s="10" t="n"/>
      <c r="B99" s="12">
        <f>IF(A99="","",IFERROR(INDEX(DATA!$E$2:$E$500,MATCH(A99,DATA!$D$2:$D$500,0)),""))</f>
        <v/>
      </c>
      <c r="C99" s="10" t="n"/>
      <c r="D99" s="10" t="n"/>
      <c r="E99" s="10" t="n"/>
      <c r="F99" s="10" t="n"/>
      <c r="G99" s="10" t="n"/>
      <c r="H99" s="10" t="n"/>
      <c r="I99" s="10" t="n"/>
      <c r="J99" s="12">
        <f>IF(OR(A99="",COUNT(C99:E99)&lt;3),"",IFERROR(MAX(0,FLOOR(($N$2-$N$3)/E99,1))*MAX(1,MIN(IF(G99="",1,G99),FLOOR($N$4/D99,1)))*IF(F99="",1,F99),""))</f>
        <v/>
      </c>
      <c r="K99" s="12">
        <f>IF(A99="","",IF(COUNTIF(DATA!$D$2:$D$500,A99)=0,"CEK SKU tidak ada di DATA",IF(COUNT(C99:E99)&lt;3,"CEK dimensi belum lengkap",IF(OR(C99&lt;=0,D99&lt;=0,E99&lt;=0),"CEK dimensi harus lebih dari 0",IF(COUNTIF($A$2:$A$500,A99)&gt;1,"CEK SKU dobel","OK")))))</f>
        <v/>
      </c>
    </row>
    <row r="100">
      <c r="A100" s="10" t="n"/>
      <c r="B100" s="12">
        <f>IF(A100="","",IFERROR(INDEX(DATA!$E$2:$E$500,MATCH(A100,DATA!$D$2:$D$500,0)),""))</f>
        <v/>
      </c>
      <c r="C100" s="10" t="n"/>
      <c r="D100" s="10" t="n"/>
      <c r="E100" s="10" t="n"/>
      <c r="F100" s="10" t="n"/>
      <c r="G100" s="10" t="n"/>
      <c r="H100" s="10" t="n"/>
      <c r="I100" s="10" t="n"/>
      <c r="J100" s="12">
        <f>IF(OR(A100="",COUNT(C100:E100)&lt;3),"",IFERROR(MAX(0,FLOOR(($N$2-$N$3)/E100,1))*MAX(1,MIN(IF(G100="",1,G100),FLOOR($N$4/D100,1)))*IF(F100="",1,F100),""))</f>
        <v/>
      </c>
      <c r="K100" s="12">
        <f>IF(A100="","",IF(COUNTIF(DATA!$D$2:$D$500,A100)=0,"CEK SKU tidak ada di DATA",IF(COUNT(C100:E100)&lt;3,"CEK dimensi belum lengkap",IF(OR(C100&lt;=0,D100&lt;=0,E100&lt;=0),"CEK dimensi harus lebih dari 0",IF(COUNTIF($A$2:$A$500,A100)&gt;1,"CEK SKU dobel","OK")))))</f>
        <v/>
      </c>
    </row>
    <row r="101">
      <c r="A101" s="10" t="n"/>
      <c r="B101" s="12">
        <f>IF(A101="","",IFERROR(INDEX(DATA!$E$2:$E$500,MATCH(A101,DATA!$D$2:$D$500,0)),""))</f>
        <v/>
      </c>
      <c r="C101" s="10" t="n"/>
      <c r="D101" s="10" t="n"/>
      <c r="E101" s="10" t="n"/>
      <c r="F101" s="10" t="n"/>
      <c r="G101" s="10" t="n"/>
      <c r="H101" s="10" t="n"/>
      <c r="I101" s="10" t="n"/>
      <c r="J101" s="12">
        <f>IF(OR(A101="",COUNT(C101:E101)&lt;3),"",IFERROR(MAX(0,FLOOR(($N$2-$N$3)/E101,1))*MAX(1,MIN(IF(G101="",1,G101),FLOOR($N$4/D101,1)))*IF(F101="",1,F101),""))</f>
        <v/>
      </c>
      <c r="K101" s="12">
        <f>IF(A101="","",IF(COUNTIF(DATA!$D$2:$D$500,A101)=0,"CEK SKU tidak ada di DATA",IF(COUNT(C101:E101)&lt;3,"CEK dimensi belum lengkap",IF(OR(C101&lt;=0,D101&lt;=0,E101&lt;=0),"CEK dimensi harus lebih dari 0",IF(COUNTIF($A$2:$A$500,A101)&gt;1,"CEK SKU dobel","OK")))))</f>
        <v/>
      </c>
    </row>
    <row r="102">
      <c r="A102" s="10" t="n"/>
      <c r="B102" s="12">
        <f>IF(A102="","",IFERROR(INDEX(DATA!$E$2:$E$500,MATCH(A102,DATA!$D$2:$D$500,0)),""))</f>
        <v/>
      </c>
      <c r="C102" s="10" t="n"/>
      <c r="D102" s="10" t="n"/>
      <c r="E102" s="10" t="n"/>
      <c r="F102" s="10" t="n"/>
      <c r="G102" s="10" t="n"/>
      <c r="H102" s="10" t="n"/>
      <c r="I102" s="10" t="n"/>
      <c r="J102" s="12">
        <f>IF(OR(A102="",COUNT(C102:E102)&lt;3),"",IFERROR(MAX(0,FLOOR(($N$2-$N$3)/E102,1))*MAX(1,MIN(IF(G102="",1,G102),FLOOR($N$4/D102,1)))*IF(F102="",1,F102),""))</f>
        <v/>
      </c>
      <c r="K102" s="12">
        <f>IF(A102="","",IF(COUNTIF(DATA!$D$2:$D$500,A102)=0,"CEK SKU tidak ada di DATA",IF(COUNT(C102:E102)&lt;3,"CEK dimensi belum lengkap",IF(OR(C102&lt;=0,D102&lt;=0,E102&lt;=0),"CEK dimensi harus lebih dari 0",IF(COUNTIF($A$2:$A$500,A102)&gt;1,"CEK SKU dobel","OK")))))</f>
        <v/>
      </c>
    </row>
    <row r="103">
      <c r="A103" s="10" t="n"/>
      <c r="B103" s="12">
        <f>IF(A103="","",IFERROR(INDEX(DATA!$E$2:$E$500,MATCH(A103,DATA!$D$2:$D$500,0)),""))</f>
        <v/>
      </c>
      <c r="C103" s="10" t="n"/>
      <c r="D103" s="10" t="n"/>
      <c r="E103" s="10" t="n"/>
      <c r="F103" s="10" t="n"/>
      <c r="G103" s="10" t="n"/>
      <c r="H103" s="10" t="n"/>
      <c r="I103" s="10" t="n"/>
      <c r="J103" s="12">
        <f>IF(OR(A103="",COUNT(C103:E103)&lt;3),"",IFERROR(MAX(0,FLOOR(($N$2-$N$3)/E103,1))*MAX(1,MIN(IF(G103="",1,G103),FLOOR($N$4/D103,1)))*IF(F103="",1,F103),""))</f>
        <v/>
      </c>
      <c r="K103" s="12">
        <f>IF(A103="","",IF(COUNTIF(DATA!$D$2:$D$500,A103)=0,"CEK SKU tidak ada di DATA",IF(COUNT(C103:E103)&lt;3,"CEK dimensi belum lengkap",IF(OR(C103&lt;=0,D103&lt;=0,E103&lt;=0),"CEK dimensi harus lebih dari 0",IF(COUNTIF($A$2:$A$500,A103)&gt;1,"CEK SKU dobel","OK")))))</f>
        <v/>
      </c>
    </row>
    <row r="104">
      <c r="A104" s="10" t="n"/>
      <c r="B104" s="12">
        <f>IF(A104="","",IFERROR(INDEX(DATA!$E$2:$E$500,MATCH(A104,DATA!$D$2:$D$500,0)),""))</f>
        <v/>
      </c>
      <c r="C104" s="10" t="n"/>
      <c r="D104" s="10" t="n"/>
      <c r="E104" s="10" t="n"/>
      <c r="F104" s="10" t="n"/>
      <c r="G104" s="10" t="n"/>
      <c r="H104" s="10" t="n"/>
      <c r="I104" s="10" t="n"/>
      <c r="J104" s="12">
        <f>IF(OR(A104="",COUNT(C104:E104)&lt;3),"",IFERROR(MAX(0,FLOOR(($N$2-$N$3)/E104,1))*MAX(1,MIN(IF(G104="",1,G104),FLOOR($N$4/D104,1)))*IF(F104="",1,F104),""))</f>
        <v/>
      </c>
      <c r="K104" s="12">
        <f>IF(A104="","",IF(COUNTIF(DATA!$D$2:$D$500,A104)=0,"CEK SKU tidak ada di DATA",IF(COUNT(C104:E104)&lt;3,"CEK dimensi belum lengkap",IF(OR(C104&lt;=0,D104&lt;=0,E104&lt;=0),"CEK dimensi harus lebih dari 0",IF(COUNTIF($A$2:$A$500,A104)&gt;1,"CEK SKU dobel","OK")))))</f>
        <v/>
      </c>
    </row>
    <row r="105">
      <c r="A105" s="10" t="n"/>
      <c r="B105" s="12">
        <f>IF(A105="","",IFERROR(INDEX(DATA!$E$2:$E$500,MATCH(A105,DATA!$D$2:$D$500,0)),""))</f>
        <v/>
      </c>
      <c r="C105" s="10" t="n"/>
      <c r="D105" s="10" t="n"/>
      <c r="E105" s="10" t="n"/>
      <c r="F105" s="10" t="n"/>
      <c r="G105" s="10" t="n"/>
      <c r="H105" s="10" t="n"/>
      <c r="I105" s="10" t="n"/>
      <c r="J105" s="12">
        <f>IF(OR(A105="",COUNT(C105:E105)&lt;3),"",IFERROR(MAX(0,FLOOR(($N$2-$N$3)/E105,1))*MAX(1,MIN(IF(G105="",1,G105),FLOOR($N$4/D105,1)))*IF(F105="",1,F105),""))</f>
        <v/>
      </c>
      <c r="K105" s="12">
        <f>IF(A105="","",IF(COUNTIF(DATA!$D$2:$D$500,A105)=0,"CEK SKU tidak ada di DATA",IF(COUNT(C105:E105)&lt;3,"CEK dimensi belum lengkap",IF(OR(C105&lt;=0,D105&lt;=0,E105&lt;=0),"CEK dimensi harus lebih dari 0",IF(COUNTIF($A$2:$A$500,A105)&gt;1,"CEK SKU dobel","OK")))))</f>
        <v/>
      </c>
    </row>
    <row r="106">
      <c r="A106" s="10" t="n"/>
      <c r="B106" s="12">
        <f>IF(A106="","",IFERROR(INDEX(DATA!$E$2:$E$500,MATCH(A106,DATA!$D$2:$D$500,0)),""))</f>
        <v/>
      </c>
      <c r="C106" s="10" t="n"/>
      <c r="D106" s="10" t="n"/>
      <c r="E106" s="10" t="n"/>
      <c r="F106" s="10" t="n"/>
      <c r="G106" s="10" t="n"/>
      <c r="H106" s="10" t="n"/>
      <c r="I106" s="10" t="n"/>
      <c r="J106" s="12">
        <f>IF(OR(A106="",COUNT(C106:E106)&lt;3),"",IFERROR(MAX(0,FLOOR(($N$2-$N$3)/E106,1))*MAX(1,MIN(IF(G106="",1,G106),FLOOR($N$4/D106,1)))*IF(F106="",1,F106),""))</f>
        <v/>
      </c>
      <c r="K106" s="12">
        <f>IF(A106="","",IF(COUNTIF(DATA!$D$2:$D$500,A106)=0,"CEK SKU tidak ada di DATA",IF(COUNT(C106:E106)&lt;3,"CEK dimensi belum lengkap",IF(OR(C106&lt;=0,D106&lt;=0,E106&lt;=0),"CEK dimensi harus lebih dari 0",IF(COUNTIF($A$2:$A$500,A106)&gt;1,"CEK SKU dobel","OK")))))</f>
        <v/>
      </c>
    </row>
    <row r="107">
      <c r="A107" s="10" t="n"/>
      <c r="B107" s="12">
        <f>IF(A107="","",IFERROR(INDEX(DATA!$E$2:$E$500,MATCH(A107,DATA!$D$2:$D$500,0)),""))</f>
        <v/>
      </c>
      <c r="C107" s="10" t="n"/>
      <c r="D107" s="10" t="n"/>
      <c r="E107" s="10" t="n"/>
      <c r="F107" s="10" t="n"/>
      <c r="G107" s="10" t="n"/>
      <c r="H107" s="10" t="n"/>
      <c r="I107" s="10" t="n"/>
      <c r="J107" s="12">
        <f>IF(OR(A107="",COUNT(C107:E107)&lt;3),"",IFERROR(MAX(0,FLOOR(($N$2-$N$3)/E107,1))*MAX(1,MIN(IF(G107="",1,G107),FLOOR($N$4/D107,1)))*IF(F107="",1,F107),""))</f>
        <v/>
      </c>
      <c r="K107" s="12">
        <f>IF(A107="","",IF(COUNTIF(DATA!$D$2:$D$500,A107)=0,"CEK SKU tidak ada di DATA",IF(COUNT(C107:E107)&lt;3,"CEK dimensi belum lengkap",IF(OR(C107&lt;=0,D107&lt;=0,E107&lt;=0),"CEK dimensi harus lebih dari 0",IF(COUNTIF($A$2:$A$500,A107)&gt;1,"CEK SKU dobel","OK")))))</f>
        <v/>
      </c>
    </row>
    <row r="108">
      <c r="A108" s="10" t="n"/>
      <c r="B108" s="12">
        <f>IF(A108="","",IFERROR(INDEX(DATA!$E$2:$E$500,MATCH(A108,DATA!$D$2:$D$500,0)),""))</f>
        <v/>
      </c>
      <c r="C108" s="10" t="n"/>
      <c r="D108" s="10" t="n"/>
      <c r="E108" s="10" t="n"/>
      <c r="F108" s="10" t="n"/>
      <c r="G108" s="10" t="n"/>
      <c r="H108" s="10" t="n"/>
      <c r="I108" s="10" t="n"/>
      <c r="J108" s="12">
        <f>IF(OR(A108="",COUNT(C108:E108)&lt;3),"",IFERROR(MAX(0,FLOOR(($N$2-$N$3)/E108,1))*MAX(1,MIN(IF(G108="",1,G108),FLOOR($N$4/D108,1)))*IF(F108="",1,F108),""))</f>
        <v/>
      </c>
      <c r="K108" s="12">
        <f>IF(A108="","",IF(COUNTIF(DATA!$D$2:$D$500,A108)=0,"CEK SKU tidak ada di DATA",IF(COUNT(C108:E108)&lt;3,"CEK dimensi belum lengkap",IF(OR(C108&lt;=0,D108&lt;=0,E108&lt;=0),"CEK dimensi harus lebih dari 0",IF(COUNTIF($A$2:$A$500,A108)&gt;1,"CEK SKU dobel","OK")))))</f>
        <v/>
      </c>
    </row>
    <row r="109">
      <c r="A109" s="10" t="n"/>
      <c r="B109" s="12">
        <f>IF(A109="","",IFERROR(INDEX(DATA!$E$2:$E$500,MATCH(A109,DATA!$D$2:$D$500,0)),""))</f>
        <v/>
      </c>
      <c r="C109" s="10" t="n"/>
      <c r="D109" s="10" t="n"/>
      <c r="E109" s="10" t="n"/>
      <c r="F109" s="10" t="n"/>
      <c r="G109" s="10" t="n"/>
      <c r="H109" s="10" t="n"/>
      <c r="I109" s="10" t="n"/>
      <c r="J109" s="12">
        <f>IF(OR(A109="",COUNT(C109:E109)&lt;3),"",IFERROR(MAX(0,FLOOR(($N$2-$N$3)/E109,1))*MAX(1,MIN(IF(G109="",1,G109),FLOOR($N$4/D109,1)))*IF(F109="",1,F109),""))</f>
        <v/>
      </c>
      <c r="K109" s="12">
        <f>IF(A109="","",IF(COUNTIF(DATA!$D$2:$D$500,A109)=0,"CEK SKU tidak ada di DATA",IF(COUNT(C109:E109)&lt;3,"CEK dimensi belum lengkap",IF(OR(C109&lt;=0,D109&lt;=0,E109&lt;=0),"CEK dimensi harus lebih dari 0",IF(COUNTIF($A$2:$A$500,A109)&gt;1,"CEK SKU dobel","OK")))))</f>
        <v/>
      </c>
    </row>
    <row r="110">
      <c r="A110" s="10" t="n"/>
      <c r="B110" s="12">
        <f>IF(A110="","",IFERROR(INDEX(DATA!$E$2:$E$500,MATCH(A110,DATA!$D$2:$D$500,0)),""))</f>
        <v/>
      </c>
      <c r="C110" s="10" t="n"/>
      <c r="D110" s="10" t="n"/>
      <c r="E110" s="10" t="n"/>
      <c r="F110" s="10" t="n"/>
      <c r="G110" s="10" t="n"/>
      <c r="H110" s="10" t="n"/>
      <c r="I110" s="10" t="n"/>
      <c r="J110" s="12">
        <f>IF(OR(A110="",COUNT(C110:E110)&lt;3),"",IFERROR(MAX(0,FLOOR(($N$2-$N$3)/E110,1))*MAX(1,MIN(IF(G110="",1,G110),FLOOR($N$4/D110,1)))*IF(F110="",1,F110),""))</f>
        <v/>
      </c>
      <c r="K110" s="12">
        <f>IF(A110="","",IF(COUNTIF(DATA!$D$2:$D$500,A110)=0,"CEK SKU tidak ada di DATA",IF(COUNT(C110:E110)&lt;3,"CEK dimensi belum lengkap",IF(OR(C110&lt;=0,D110&lt;=0,E110&lt;=0),"CEK dimensi harus lebih dari 0",IF(COUNTIF($A$2:$A$500,A110)&gt;1,"CEK SKU dobel","OK")))))</f>
        <v/>
      </c>
    </row>
    <row r="111">
      <c r="A111" s="10" t="n"/>
      <c r="B111" s="12">
        <f>IF(A111="","",IFERROR(INDEX(DATA!$E$2:$E$500,MATCH(A111,DATA!$D$2:$D$500,0)),""))</f>
        <v/>
      </c>
      <c r="C111" s="10" t="n"/>
      <c r="D111" s="10" t="n"/>
      <c r="E111" s="10" t="n"/>
      <c r="F111" s="10" t="n"/>
      <c r="G111" s="10" t="n"/>
      <c r="H111" s="10" t="n"/>
      <c r="I111" s="10" t="n"/>
      <c r="J111" s="12">
        <f>IF(OR(A111="",COUNT(C111:E111)&lt;3),"",IFERROR(MAX(0,FLOOR(($N$2-$N$3)/E111,1))*MAX(1,MIN(IF(G111="",1,G111),FLOOR($N$4/D111,1)))*IF(F111="",1,F111),""))</f>
        <v/>
      </c>
      <c r="K111" s="12">
        <f>IF(A111="","",IF(COUNTIF(DATA!$D$2:$D$500,A111)=0,"CEK SKU tidak ada di DATA",IF(COUNT(C111:E111)&lt;3,"CEK dimensi belum lengkap",IF(OR(C111&lt;=0,D111&lt;=0,E111&lt;=0),"CEK dimensi harus lebih dari 0",IF(COUNTIF($A$2:$A$500,A111)&gt;1,"CEK SKU dobel","OK")))))</f>
        <v/>
      </c>
    </row>
    <row r="112">
      <c r="A112" s="10" t="n"/>
      <c r="B112" s="12">
        <f>IF(A112="","",IFERROR(INDEX(DATA!$E$2:$E$500,MATCH(A112,DATA!$D$2:$D$500,0)),""))</f>
        <v/>
      </c>
      <c r="C112" s="10" t="n"/>
      <c r="D112" s="10" t="n"/>
      <c r="E112" s="10" t="n"/>
      <c r="F112" s="10" t="n"/>
      <c r="G112" s="10" t="n"/>
      <c r="H112" s="10" t="n"/>
      <c r="I112" s="10" t="n"/>
      <c r="J112" s="12">
        <f>IF(OR(A112="",COUNT(C112:E112)&lt;3),"",IFERROR(MAX(0,FLOOR(($N$2-$N$3)/E112,1))*MAX(1,MIN(IF(G112="",1,G112),FLOOR($N$4/D112,1)))*IF(F112="",1,F112),""))</f>
        <v/>
      </c>
      <c r="K112" s="12">
        <f>IF(A112="","",IF(COUNTIF(DATA!$D$2:$D$500,A112)=0,"CEK SKU tidak ada di DATA",IF(COUNT(C112:E112)&lt;3,"CEK dimensi belum lengkap",IF(OR(C112&lt;=0,D112&lt;=0,E112&lt;=0),"CEK dimensi harus lebih dari 0",IF(COUNTIF($A$2:$A$500,A112)&gt;1,"CEK SKU dobel","OK")))))</f>
        <v/>
      </c>
    </row>
    <row r="113">
      <c r="A113" s="10" t="n"/>
      <c r="B113" s="12">
        <f>IF(A113="","",IFERROR(INDEX(DATA!$E$2:$E$500,MATCH(A113,DATA!$D$2:$D$500,0)),""))</f>
        <v/>
      </c>
      <c r="C113" s="10" t="n"/>
      <c r="D113" s="10" t="n"/>
      <c r="E113" s="10" t="n"/>
      <c r="F113" s="10" t="n"/>
      <c r="G113" s="10" t="n"/>
      <c r="H113" s="10" t="n"/>
      <c r="I113" s="10" t="n"/>
      <c r="J113" s="12">
        <f>IF(OR(A113="",COUNT(C113:E113)&lt;3),"",IFERROR(MAX(0,FLOOR(($N$2-$N$3)/E113,1))*MAX(1,MIN(IF(G113="",1,G113),FLOOR($N$4/D113,1)))*IF(F113="",1,F113),""))</f>
        <v/>
      </c>
      <c r="K113" s="12">
        <f>IF(A113="","",IF(COUNTIF(DATA!$D$2:$D$500,A113)=0,"CEK SKU tidak ada di DATA",IF(COUNT(C113:E113)&lt;3,"CEK dimensi belum lengkap",IF(OR(C113&lt;=0,D113&lt;=0,E113&lt;=0),"CEK dimensi harus lebih dari 0",IF(COUNTIF($A$2:$A$500,A113)&gt;1,"CEK SKU dobel","OK")))))</f>
        <v/>
      </c>
    </row>
    <row r="114">
      <c r="A114" s="10" t="n"/>
      <c r="B114" s="12">
        <f>IF(A114="","",IFERROR(INDEX(DATA!$E$2:$E$500,MATCH(A114,DATA!$D$2:$D$500,0)),""))</f>
        <v/>
      </c>
      <c r="C114" s="10" t="n"/>
      <c r="D114" s="10" t="n"/>
      <c r="E114" s="10" t="n"/>
      <c r="F114" s="10" t="n"/>
      <c r="G114" s="10" t="n"/>
      <c r="H114" s="10" t="n"/>
      <c r="I114" s="10" t="n"/>
      <c r="J114" s="12">
        <f>IF(OR(A114="",COUNT(C114:E114)&lt;3),"",IFERROR(MAX(0,FLOOR(($N$2-$N$3)/E114,1))*MAX(1,MIN(IF(G114="",1,G114),FLOOR($N$4/D114,1)))*IF(F114="",1,F114),""))</f>
        <v/>
      </c>
      <c r="K114" s="12">
        <f>IF(A114="","",IF(COUNTIF(DATA!$D$2:$D$500,A114)=0,"CEK SKU tidak ada di DATA",IF(COUNT(C114:E114)&lt;3,"CEK dimensi belum lengkap",IF(OR(C114&lt;=0,D114&lt;=0,E114&lt;=0),"CEK dimensi harus lebih dari 0",IF(COUNTIF($A$2:$A$500,A114)&gt;1,"CEK SKU dobel","OK")))))</f>
        <v/>
      </c>
    </row>
    <row r="115">
      <c r="A115" s="10" t="n"/>
      <c r="B115" s="12">
        <f>IF(A115="","",IFERROR(INDEX(DATA!$E$2:$E$500,MATCH(A115,DATA!$D$2:$D$500,0)),""))</f>
        <v/>
      </c>
      <c r="C115" s="10" t="n"/>
      <c r="D115" s="10" t="n"/>
      <c r="E115" s="10" t="n"/>
      <c r="F115" s="10" t="n"/>
      <c r="G115" s="10" t="n"/>
      <c r="H115" s="10" t="n"/>
      <c r="I115" s="10" t="n"/>
      <c r="J115" s="12">
        <f>IF(OR(A115="",COUNT(C115:E115)&lt;3),"",IFERROR(MAX(0,FLOOR(($N$2-$N$3)/E115,1))*MAX(1,MIN(IF(G115="",1,G115),FLOOR($N$4/D115,1)))*IF(F115="",1,F115),""))</f>
        <v/>
      </c>
      <c r="K115" s="12">
        <f>IF(A115="","",IF(COUNTIF(DATA!$D$2:$D$500,A115)=0,"CEK SKU tidak ada di DATA",IF(COUNT(C115:E115)&lt;3,"CEK dimensi belum lengkap",IF(OR(C115&lt;=0,D115&lt;=0,E115&lt;=0),"CEK dimensi harus lebih dari 0",IF(COUNTIF($A$2:$A$500,A115)&gt;1,"CEK SKU dobel","OK")))))</f>
        <v/>
      </c>
    </row>
    <row r="116">
      <c r="A116" s="10" t="n"/>
      <c r="B116" s="12">
        <f>IF(A116="","",IFERROR(INDEX(DATA!$E$2:$E$500,MATCH(A116,DATA!$D$2:$D$500,0)),""))</f>
        <v/>
      </c>
      <c r="C116" s="10" t="n"/>
      <c r="D116" s="10" t="n"/>
      <c r="E116" s="10" t="n"/>
      <c r="F116" s="10" t="n"/>
      <c r="G116" s="10" t="n"/>
      <c r="H116" s="10" t="n"/>
      <c r="I116" s="10" t="n"/>
      <c r="J116" s="12">
        <f>IF(OR(A116="",COUNT(C116:E116)&lt;3),"",IFERROR(MAX(0,FLOOR(($N$2-$N$3)/E116,1))*MAX(1,MIN(IF(G116="",1,G116),FLOOR($N$4/D116,1)))*IF(F116="",1,F116),""))</f>
        <v/>
      </c>
      <c r="K116" s="12">
        <f>IF(A116="","",IF(COUNTIF(DATA!$D$2:$D$500,A116)=0,"CEK SKU tidak ada di DATA",IF(COUNT(C116:E116)&lt;3,"CEK dimensi belum lengkap",IF(OR(C116&lt;=0,D116&lt;=0,E116&lt;=0),"CEK dimensi harus lebih dari 0",IF(COUNTIF($A$2:$A$500,A116)&gt;1,"CEK SKU dobel","OK")))))</f>
        <v/>
      </c>
    </row>
    <row r="117">
      <c r="A117" s="10" t="n"/>
      <c r="B117" s="12">
        <f>IF(A117="","",IFERROR(INDEX(DATA!$E$2:$E$500,MATCH(A117,DATA!$D$2:$D$500,0)),""))</f>
        <v/>
      </c>
      <c r="C117" s="10" t="n"/>
      <c r="D117" s="10" t="n"/>
      <c r="E117" s="10" t="n"/>
      <c r="F117" s="10" t="n"/>
      <c r="G117" s="10" t="n"/>
      <c r="H117" s="10" t="n"/>
      <c r="I117" s="10" t="n"/>
      <c r="J117" s="12">
        <f>IF(OR(A117="",COUNT(C117:E117)&lt;3),"",IFERROR(MAX(0,FLOOR(($N$2-$N$3)/E117,1))*MAX(1,MIN(IF(G117="",1,G117),FLOOR($N$4/D117,1)))*IF(F117="",1,F117),""))</f>
        <v/>
      </c>
      <c r="K117" s="12">
        <f>IF(A117="","",IF(COUNTIF(DATA!$D$2:$D$500,A117)=0,"CEK SKU tidak ada di DATA",IF(COUNT(C117:E117)&lt;3,"CEK dimensi belum lengkap",IF(OR(C117&lt;=0,D117&lt;=0,E117&lt;=0),"CEK dimensi harus lebih dari 0",IF(COUNTIF($A$2:$A$500,A117)&gt;1,"CEK SKU dobel","OK")))))</f>
        <v/>
      </c>
    </row>
    <row r="118">
      <c r="A118" s="10" t="n"/>
      <c r="B118" s="12">
        <f>IF(A118="","",IFERROR(INDEX(DATA!$E$2:$E$500,MATCH(A118,DATA!$D$2:$D$500,0)),""))</f>
        <v/>
      </c>
      <c r="C118" s="10" t="n"/>
      <c r="D118" s="10" t="n"/>
      <c r="E118" s="10" t="n"/>
      <c r="F118" s="10" t="n"/>
      <c r="G118" s="10" t="n"/>
      <c r="H118" s="10" t="n"/>
      <c r="I118" s="10" t="n"/>
      <c r="J118" s="12">
        <f>IF(OR(A118="",COUNT(C118:E118)&lt;3),"",IFERROR(MAX(0,FLOOR(($N$2-$N$3)/E118,1))*MAX(1,MIN(IF(G118="",1,G118),FLOOR($N$4/D118,1)))*IF(F118="",1,F118),""))</f>
        <v/>
      </c>
      <c r="K118" s="12">
        <f>IF(A118="","",IF(COUNTIF(DATA!$D$2:$D$500,A118)=0,"CEK SKU tidak ada di DATA",IF(COUNT(C118:E118)&lt;3,"CEK dimensi belum lengkap",IF(OR(C118&lt;=0,D118&lt;=0,E118&lt;=0),"CEK dimensi harus lebih dari 0",IF(COUNTIF($A$2:$A$500,A118)&gt;1,"CEK SKU dobel","OK")))))</f>
        <v/>
      </c>
    </row>
    <row r="119">
      <c r="A119" s="10" t="n"/>
      <c r="B119" s="12">
        <f>IF(A119="","",IFERROR(INDEX(DATA!$E$2:$E$500,MATCH(A119,DATA!$D$2:$D$500,0)),""))</f>
        <v/>
      </c>
      <c r="C119" s="10" t="n"/>
      <c r="D119" s="10" t="n"/>
      <c r="E119" s="10" t="n"/>
      <c r="F119" s="10" t="n"/>
      <c r="G119" s="10" t="n"/>
      <c r="H119" s="10" t="n"/>
      <c r="I119" s="10" t="n"/>
      <c r="J119" s="12">
        <f>IF(OR(A119="",COUNT(C119:E119)&lt;3),"",IFERROR(MAX(0,FLOOR(($N$2-$N$3)/E119,1))*MAX(1,MIN(IF(G119="",1,G119),FLOOR($N$4/D119,1)))*IF(F119="",1,F119),""))</f>
        <v/>
      </c>
      <c r="K119" s="12">
        <f>IF(A119="","",IF(COUNTIF(DATA!$D$2:$D$500,A119)=0,"CEK SKU tidak ada di DATA",IF(COUNT(C119:E119)&lt;3,"CEK dimensi belum lengkap",IF(OR(C119&lt;=0,D119&lt;=0,E119&lt;=0),"CEK dimensi harus lebih dari 0",IF(COUNTIF($A$2:$A$500,A119)&gt;1,"CEK SKU dobel","OK")))))</f>
        <v/>
      </c>
    </row>
    <row r="120">
      <c r="A120" s="10" t="n"/>
      <c r="B120" s="12">
        <f>IF(A120="","",IFERROR(INDEX(DATA!$E$2:$E$500,MATCH(A120,DATA!$D$2:$D$500,0)),""))</f>
        <v/>
      </c>
      <c r="C120" s="10" t="n"/>
      <c r="D120" s="10" t="n"/>
      <c r="E120" s="10" t="n"/>
      <c r="F120" s="10" t="n"/>
      <c r="G120" s="10" t="n"/>
      <c r="H120" s="10" t="n"/>
      <c r="I120" s="10" t="n"/>
      <c r="J120" s="12">
        <f>IF(OR(A120="",COUNT(C120:E120)&lt;3),"",IFERROR(MAX(0,FLOOR(($N$2-$N$3)/E120,1))*MAX(1,MIN(IF(G120="",1,G120),FLOOR($N$4/D120,1)))*IF(F120="",1,F120),""))</f>
        <v/>
      </c>
      <c r="K120" s="12">
        <f>IF(A120="","",IF(COUNTIF(DATA!$D$2:$D$500,A120)=0,"CEK SKU tidak ada di DATA",IF(COUNT(C120:E120)&lt;3,"CEK dimensi belum lengkap",IF(OR(C120&lt;=0,D120&lt;=0,E120&lt;=0),"CEK dimensi harus lebih dari 0",IF(COUNTIF($A$2:$A$500,A120)&gt;1,"CEK SKU dobel","OK")))))</f>
        <v/>
      </c>
    </row>
    <row r="121">
      <c r="A121" s="10" t="n"/>
      <c r="B121" s="12">
        <f>IF(A121="","",IFERROR(INDEX(DATA!$E$2:$E$500,MATCH(A121,DATA!$D$2:$D$500,0)),""))</f>
        <v/>
      </c>
      <c r="C121" s="10" t="n"/>
      <c r="D121" s="10" t="n"/>
      <c r="E121" s="10" t="n"/>
      <c r="F121" s="10" t="n"/>
      <c r="G121" s="10" t="n"/>
      <c r="H121" s="10" t="n"/>
      <c r="I121" s="10" t="n"/>
      <c r="J121" s="12">
        <f>IF(OR(A121="",COUNT(C121:E121)&lt;3),"",IFERROR(MAX(0,FLOOR(($N$2-$N$3)/E121,1))*MAX(1,MIN(IF(G121="",1,G121),FLOOR($N$4/D121,1)))*IF(F121="",1,F121),""))</f>
        <v/>
      </c>
      <c r="K121" s="12">
        <f>IF(A121="","",IF(COUNTIF(DATA!$D$2:$D$500,A121)=0,"CEK SKU tidak ada di DATA",IF(COUNT(C121:E121)&lt;3,"CEK dimensi belum lengkap",IF(OR(C121&lt;=0,D121&lt;=0,E121&lt;=0),"CEK dimensi harus lebih dari 0",IF(COUNTIF($A$2:$A$500,A121)&gt;1,"CEK SKU dobel","OK")))))</f>
        <v/>
      </c>
    </row>
    <row r="122">
      <c r="A122" s="10" t="n"/>
      <c r="B122" s="12">
        <f>IF(A122="","",IFERROR(INDEX(DATA!$E$2:$E$500,MATCH(A122,DATA!$D$2:$D$500,0)),""))</f>
        <v/>
      </c>
      <c r="C122" s="10" t="n"/>
      <c r="D122" s="10" t="n"/>
      <c r="E122" s="10" t="n"/>
      <c r="F122" s="10" t="n"/>
      <c r="G122" s="10" t="n"/>
      <c r="H122" s="10" t="n"/>
      <c r="I122" s="10" t="n"/>
      <c r="J122" s="12">
        <f>IF(OR(A122="",COUNT(C122:E122)&lt;3),"",IFERROR(MAX(0,FLOOR(($N$2-$N$3)/E122,1))*MAX(1,MIN(IF(G122="",1,G122),FLOOR($N$4/D122,1)))*IF(F122="",1,F122),""))</f>
        <v/>
      </c>
      <c r="K122" s="12">
        <f>IF(A122="","",IF(COUNTIF(DATA!$D$2:$D$500,A122)=0,"CEK SKU tidak ada di DATA",IF(COUNT(C122:E122)&lt;3,"CEK dimensi belum lengkap",IF(OR(C122&lt;=0,D122&lt;=0,E122&lt;=0),"CEK dimensi harus lebih dari 0",IF(COUNTIF($A$2:$A$500,A122)&gt;1,"CEK SKU dobel","OK")))))</f>
        <v/>
      </c>
    </row>
    <row r="123">
      <c r="A123" s="10" t="n"/>
      <c r="B123" s="12">
        <f>IF(A123="","",IFERROR(INDEX(DATA!$E$2:$E$500,MATCH(A123,DATA!$D$2:$D$500,0)),""))</f>
        <v/>
      </c>
      <c r="C123" s="10" t="n"/>
      <c r="D123" s="10" t="n"/>
      <c r="E123" s="10" t="n"/>
      <c r="F123" s="10" t="n"/>
      <c r="G123" s="10" t="n"/>
      <c r="H123" s="10" t="n"/>
      <c r="I123" s="10" t="n"/>
      <c r="J123" s="12">
        <f>IF(OR(A123="",COUNT(C123:E123)&lt;3),"",IFERROR(MAX(0,FLOOR(($N$2-$N$3)/E123,1))*MAX(1,MIN(IF(G123="",1,G123),FLOOR($N$4/D123,1)))*IF(F123="",1,F123),""))</f>
        <v/>
      </c>
      <c r="K123" s="12">
        <f>IF(A123="","",IF(COUNTIF(DATA!$D$2:$D$500,A123)=0,"CEK SKU tidak ada di DATA",IF(COUNT(C123:E123)&lt;3,"CEK dimensi belum lengkap",IF(OR(C123&lt;=0,D123&lt;=0,E123&lt;=0),"CEK dimensi harus lebih dari 0",IF(COUNTIF($A$2:$A$500,A123)&gt;1,"CEK SKU dobel","OK")))))</f>
        <v/>
      </c>
    </row>
    <row r="124">
      <c r="A124" s="10" t="n"/>
      <c r="B124" s="12">
        <f>IF(A124="","",IFERROR(INDEX(DATA!$E$2:$E$500,MATCH(A124,DATA!$D$2:$D$500,0)),""))</f>
        <v/>
      </c>
      <c r="C124" s="10" t="n"/>
      <c r="D124" s="10" t="n"/>
      <c r="E124" s="10" t="n"/>
      <c r="F124" s="10" t="n"/>
      <c r="G124" s="10" t="n"/>
      <c r="H124" s="10" t="n"/>
      <c r="I124" s="10" t="n"/>
      <c r="J124" s="12">
        <f>IF(OR(A124="",COUNT(C124:E124)&lt;3),"",IFERROR(MAX(0,FLOOR(($N$2-$N$3)/E124,1))*MAX(1,MIN(IF(G124="",1,G124),FLOOR($N$4/D124,1)))*IF(F124="",1,F124),""))</f>
        <v/>
      </c>
      <c r="K124" s="12">
        <f>IF(A124="","",IF(COUNTIF(DATA!$D$2:$D$500,A124)=0,"CEK SKU tidak ada di DATA",IF(COUNT(C124:E124)&lt;3,"CEK dimensi belum lengkap",IF(OR(C124&lt;=0,D124&lt;=0,E124&lt;=0),"CEK dimensi harus lebih dari 0",IF(COUNTIF($A$2:$A$500,A124)&gt;1,"CEK SKU dobel","OK")))))</f>
        <v/>
      </c>
    </row>
    <row r="125">
      <c r="A125" s="10" t="n"/>
      <c r="B125" s="12">
        <f>IF(A125="","",IFERROR(INDEX(DATA!$E$2:$E$500,MATCH(A125,DATA!$D$2:$D$500,0)),""))</f>
        <v/>
      </c>
      <c r="C125" s="10" t="n"/>
      <c r="D125" s="10" t="n"/>
      <c r="E125" s="10" t="n"/>
      <c r="F125" s="10" t="n"/>
      <c r="G125" s="10" t="n"/>
      <c r="H125" s="10" t="n"/>
      <c r="I125" s="10" t="n"/>
      <c r="J125" s="12">
        <f>IF(OR(A125="",COUNT(C125:E125)&lt;3),"",IFERROR(MAX(0,FLOOR(($N$2-$N$3)/E125,1))*MAX(1,MIN(IF(G125="",1,G125),FLOOR($N$4/D125,1)))*IF(F125="",1,F125),""))</f>
        <v/>
      </c>
      <c r="K125" s="12">
        <f>IF(A125="","",IF(COUNTIF(DATA!$D$2:$D$500,A125)=0,"CEK SKU tidak ada di DATA",IF(COUNT(C125:E125)&lt;3,"CEK dimensi belum lengkap",IF(OR(C125&lt;=0,D125&lt;=0,E125&lt;=0),"CEK dimensi harus lebih dari 0",IF(COUNTIF($A$2:$A$500,A125)&gt;1,"CEK SKU dobel","OK")))))</f>
        <v/>
      </c>
    </row>
    <row r="126">
      <c r="A126" s="10" t="n"/>
      <c r="B126" s="12">
        <f>IF(A126="","",IFERROR(INDEX(DATA!$E$2:$E$500,MATCH(A126,DATA!$D$2:$D$500,0)),""))</f>
        <v/>
      </c>
      <c r="C126" s="10" t="n"/>
      <c r="D126" s="10" t="n"/>
      <c r="E126" s="10" t="n"/>
      <c r="F126" s="10" t="n"/>
      <c r="G126" s="10" t="n"/>
      <c r="H126" s="10" t="n"/>
      <c r="I126" s="10" t="n"/>
      <c r="J126" s="12">
        <f>IF(OR(A126="",COUNT(C126:E126)&lt;3),"",IFERROR(MAX(0,FLOOR(($N$2-$N$3)/E126,1))*MAX(1,MIN(IF(G126="",1,G126),FLOOR($N$4/D126,1)))*IF(F126="",1,F126),""))</f>
        <v/>
      </c>
      <c r="K126" s="12">
        <f>IF(A126="","",IF(COUNTIF(DATA!$D$2:$D$500,A126)=0,"CEK SKU tidak ada di DATA",IF(COUNT(C126:E126)&lt;3,"CEK dimensi belum lengkap",IF(OR(C126&lt;=0,D126&lt;=0,E126&lt;=0),"CEK dimensi harus lebih dari 0",IF(COUNTIF($A$2:$A$500,A126)&gt;1,"CEK SKU dobel","OK")))))</f>
        <v/>
      </c>
    </row>
    <row r="127">
      <c r="A127" s="10" t="n"/>
      <c r="B127" s="12">
        <f>IF(A127="","",IFERROR(INDEX(DATA!$E$2:$E$500,MATCH(A127,DATA!$D$2:$D$500,0)),""))</f>
        <v/>
      </c>
      <c r="C127" s="10" t="n"/>
      <c r="D127" s="10" t="n"/>
      <c r="E127" s="10" t="n"/>
      <c r="F127" s="10" t="n"/>
      <c r="G127" s="10" t="n"/>
      <c r="H127" s="10" t="n"/>
      <c r="I127" s="10" t="n"/>
      <c r="J127" s="12">
        <f>IF(OR(A127="",COUNT(C127:E127)&lt;3),"",IFERROR(MAX(0,FLOOR(($N$2-$N$3)/E127,1))*MAX(1,MIN(IF(G127="",1,G127),FLOOR($N$4/D127,1)))*IF(F127="",1,F127),""))</f>
        <v/>
      </c>
      <c r="K127" s="12">
        <f>IF(A127="","",IF(COUNTIF(DATA!$D$2:$D$500,A127)=0,"CEK SKU tidak ada di DATA",IF(COUNT(C127:E127)&lt;3,"CEK dimensi belum lengkap",IF(OR(C127&lt;=0,D127&lt;=0,E127&lt;=0),"CEK dimensi harus lebih dari 0",IF(COUNTIF($A$2:$A$500,A127)&gt;1,"CEK SKU dobel","OK")))))</f>
        <v/>
      </c>
    </row>
    <row r="128">
      <c r="A128" s="10" t="n"/>
      <c r="B128" s="12">
        <f>IF(A128="","",IFERROR(INDEX(DATA!$E$2:$E$500,MATCH(A128,DATA!$D$2:$D$500,0)),""))</f>
        <v/>
      </c>
      <c r="C128" s="10" t="n"/>
      <c r="D128" s="10" t="n"/>
      <c r="E128" s="10" t="n"/>
      <c r="F128" s="10" t="n"/>
      <c r="G128" s="10" t="n"/>
      <c r="H128" s="10" t="n"/>
      <c r="I128" s="10" t="n"/>
      <c r="J128" s="12">
        <f>IF(OR(A128="",COUNT(C128:E128)&lt;3),"",IFERROR(MAX(0,FLOOR(($N$2-$N$3)/E128,1))*MAX(1,MIN(IF(G128="",1,G128),FLOOR($N$4/D128,1)))*IF(F128="",1,F128),""))</f>
        <v/>
      </c>
      <c r="K128" s="12">
        <f>IF(A128="","",IF(COUNTIF(DATA!$D$2:$D$500,A128)=0,"CEK SKU tidak ada di DATA",IF(COUNT(C128:E128)&lt;3,"CEK dimensi belum lengkap",IF(OR(C128&lt;=0,D128&lt;=0,E128&lt;=0),"CEK dimensi harus lebih dari 0",IF(COUNTIF($A$2:$A$500,A128)&gt;1,"CEK SKU dobel","OK")))))</f>
        <v/>
      </c>
    </row>
    <row r="129">
      <c r="A129" s="10" t="n"/>
      <c r="B129" s="12">
        <f>IF(A129="","",IFERROR(INDEX(DATA!$E$2:$E$500,MATCH(A129,DATA!$D$2:$D$500,0)),""))</f>
        <v/>
      </c>
      <c r="C129" s="10" t="n"/>
      <c r="D129" s="10" t="n"/>
      <c r="E129" s="10" t="n"/>
      <c r="F129" s="10" t="n"/>
      <c r="G129" s="10" t="n"/>
      <c r="H129" s="10" t="n"/>
      <c r="I129" s="10" t="n"/>
      <c r="J129" s="12">
        <f>IF(OR(A129="",COUNT(C129:E129)&lt;3),"",IFERROR(MAX(0,FLOOR(($N$2-$N$3)/E129,1))*MAX(1,MIN(IF(G129="",1,G129),FLOOR($N$4/D129,1)))*IF(F129="",1,F129),""))</f>
        <v/>
      </c>
      <c r="K129" s="12">
        <f>IF(A129="","",IF(COUNTIF(DATA!$D$2:$D$500,A129)=0,"CEK SKU tidak ada di DATA",IF(COUNT(C129:E129)&lt;3,"CEK dimensi belum lengkap",IF(OR(C129&lt;=0,D129&lt;=0,E129&lt;=0),"CEK dimensi harus lebih dari 0",IF(COUNTIF($A$2:$A$500,A129)&gt;1,"CEK SKU dobel","OK")))))</f>
        <v/>
      </c>
    </row>
    <row r="130">
      <c r="A130" s="10" t="n"/>
      <c r="B130" s="12">
        <f>IF(A130="","",IFERROR(INDEX(DATA!$E$2:$E$500,MATCH(A130,DATA!$D$2:$D$500,0)),""))</f>
        <v/>
      </c>
      <c r="C130" s="10" t="n"/>
      <c r="D130" s="10" t="n"/>
      <c r="E130" s="10" t="n"/>
      <c r="F130" s="10" t="n"/>
      <c r="G130" s="10" t="n"/>
      <c r="H130" s="10" t="n"/>
      <c r="I130" s="10" t="n"/>
      <c r="J130" s="12">
        <f>IF(OR(A130="",COUNT(C130:E130)&lt;3),"",IFERROR(MAX(0,FLOOR(($N$2-$N$3)/E130,1))*MAX(1,MIN(IF(G130="",1,G130),FLOOR($N$4/D130,1)))*IF(F130="",1,F130),""))</f>
        <v/>
      </c>
      <c r="K130" s="12">
        <f>IF(A130="","",IF(COUNTIF(DATA!$D$2:$D$500,A130)=0,"CEK SKU tidak ada di DATA",IF(COUNT(C130:E130)&lt;3,"CEK dimensi belum lengkap",IF(OR(C130&lt;=0,D130&lt;=0,E130&lt;=0),"CEK dimensi harus lebih dari 0",IF(COUNTIF($A$2:$A$500,A130)&gt;1,"CEK SKU dobel","OK")))))</f>
        <v/>
      </c>
    </row>
    <row r="131">
      <c r="A131" s="10" t="n"/>
      <c r="B131" s="12">
        <f>IF(A131="","",IFERROR(INDEX(DATA!$E$2:$E$500,MATCH(A131,DATA!$D$2:$D$500,0)),""))</f>
        <v/>
      </c>
      <c r="C131" s="10" t="n"/>
      <c r="D131" s="10" t="n"/>
      <c r="E131" s="10" t="n"/>
      <c r="F131" s="10" t="n"/>
      <c r="G131" s="10" t="n"/>
      <c r="H131" s="10" t="n"/>
      <c r="I131" s="10" t="n"/>
      <c r="J131" s="12">
        <f>IF(OR(A131="",COUNT(C131:E131)&lt;3),"",IFERROR(MAX(0,FLOOR(($N$2-$N$3)/E131,1))*MAX(1,MIN(IF(G131="",1,G131),FLOOR($N$4/D131,1)))*IF(F131="",1,F131),""))</f>
        <v/>
      </c>
      <c r="K131" s="12">
        <f>IF(A131="","",IF(COUNTIF(DATA!$D$2:$D$500,A131)=0,"CEK SKU tidak ada di DATA",IF(COUNT(C131:E131)&lt;3,"CEK dimensi belum lengkap",IF(OR(C131&lt;=0,D131&lt;=0,E131&lt;=0),"CEK dimensi harus lebih dari 0",IF(COUNTIF($A$2:$A$500,A131)&gt;1,"CEK SKU dobel","OK")))))</f>
        <v/>
      </c>
    </row>
    <row r="132">
      <c r="A132" s="10" t="n"/>
      <c r="B132" s="12">
        <f>IF(A132="","",IFERROR(INDEX(DATA!$E$2:$E$500,MATCH(A132,DATA!$D$2:$D$500,0)),""))</f>
        <v/>
      </c>
      <c r="C132" s="10" t="n"/>
      <c r="D132" s="10" t="n"/>
      <c r="E132" s="10" t="n"/>
      <c r="F132" s="10" t="n"/>
      <c r="G132" s="10" t="n"/>
      <c r="H132" s="10" t="n"/>
      <c r="I132" s="10" t="n"/>
      <c r="J132" s="12">
        <f>IF(OR(A132="",COUNT(C132:E132)&lt;3),"",IFERROR(MAX(0,FLOOR(($N$2-$N$3)/E132,1))*MAX(1,MIN(IF(G132="",1,G132),FLOOR($N$4/D132,1)))*IF(F132="",1,F132),""))</f>
        <v/>
      </c>
      <c r="K132" s="12">
        <f>IF(A132="","",IF(COUNTIF(DATA!$D$2:$D$500,A132)=0,"CEK SKU tidak ada di DATA",IF(COUNT(C132:E132)&lt;3,"CEK dimensi belum lengkap",IF(OR(C132&lt;=0,D132&lt;=0,E132&lt;=0),"CEK dimensi harus lebih dari 0",IF(COUNTIF($A$2:$A$500,A132)&gt;1,"CEK SKU dobel","OK")))))</f>
        <v/>
      </c>
    </row>
    <row r="133">
      <c r="A133" s="10" t="n"/>
      <c r="B133" s="12">
        <f>IF(A133="","",IFERROR(INDEX(DATA!$E$2:$E$500,MATCH(A133,DATA!$D$2:$D$500,0)),""))</f>
        <v/>
      </c>
      <c r="C133" s="10" t="n"/>
      <c r="D133" s="10" t="n"/>
      <c r="E133" s="10" t="n"/>
      <c r="F133" s="10" t="n"/>
      <c r="G133" s="10" t="n"/>
      <c r="H133" s="10" t="n"/>
      <c r="I133" s="10" t="n"/>
      <c r="J133" s="12">
        <f>IF(OR(A133="",COUNT(C133:E133)&lt;3),"",IFERROR(MAX(0,FLOOR(($N$2-$N$3)/E133,1))*MAX(1,MIN(IF(G133="",1,G133),FLOOR($N$4/D133,1)))*IF(F133="",1,F133),""))</f>
        <v/>
      </c>
      <c r="K133" s="12">
        <f>IF(A133="","",IF(COUNTIF(DATA!$D$2:$D$500,A133)=0,"CEK SKU tidak ada di DATA",IF(COUNT(C133:E133)&lt;3,"CEK dimensi belum lengkap",IF(OR(C133&lt;=0,D133&lt;=0,E133&lt;=0),"CEK dimensi harus lebih dari 0",IF(COUNTIF($A$2:$A$500,A133)&gt;1,"CEK SKU dobel","OK")))))</f>
        <v/>
      </c>
    </row>
    <row r="134">
      <c r="A134" s="10" t="n"/>
      <c r="B134" s="12">
        <f>IF(A134="","",IFERROR(INDEX(DATA!$E$2:$E$500,MATCH(A134,DATA!$D$2:$D$500,0)),""))</f>
        <v/>
      </c>
      <c r="C134" s="10" t="n"/>
      <c r="D134" s="10" t="n"/>
      <c r="E134" s="10" t="n"/>
      <c r="F134" s="10" t="n"/>
      <c r="G134" s="10" t="n"/>
      <c r="H134" s="10" t="n"/>
      <c r="I134" s="10" t="n"/>
      <c r="J134" s="12">
        <f>IF(OR(A134="",COUNT(C134:E134)&lt;3),"",IFERROR(MAX(0,FLOOR(($N$2-$N$3)/E134,1))*MAX(1,MIN(IF(G134="",1,G134),FLOOR($N$4/D134,1)))*IF(F134="",1,F134),""))</f>
        <v/>
      </c>
      <c r="K134" s="12">
        <f>IF(A134="","",IF(COUNTIF(DATA!$D$2:$D$500,A134)=0,"CEK SKU tidak ada di DATA",IF(COUNT(C134:E134)&lt;3,"CEK dimensi belum lengkap",IF(OR(C134&lt;=0,D134&lt;=0,E134&lt;=0),"CEK dimensi harus lebih dari 0",IF(COUNTIF($A$2:$A$500,A134)&gt;1,"CEK SKU dobel","OK")))))</f>
        <v/>
      </c>
    </row>
    <row r="135">
      <c r="A135" s="10" t="n"/>
      <c r="B135" s="12">
        <f>IF(A135="","",IFERROR(INDEX(DATA!$E$2:$E$500,MATCH(A135,DATA!$D$2:$D$500,0)),""))</f>
        <v/>
      </c>
      <c r="C135" s="10" t="n"/>
      <c r="D135" s="10" t="n"/>
      <c r="E135" s="10" t="n"/>
      <c r="F135" s="10" t="n"/>
      <c r="G135" s="10" t="n"/>
      <c r="H135" s="10" t="n"/>
      <c r="I135" s="10" t="n"/>
      <c r="J135" s="12">
        <f>IF(OR(A135="",COUNT(C135:E135)&lt;3),"",IFERROR(MAX(0,FLOOR(($N$2-$N$3)/E135,1))*MAX(1,MIN(IF(G135="",1,G135),FLOOR($N$4/D135,1)))*IF(F135="",1,F135),""))</f>
        <v/>
      </c>
      <c r="K135" s="12">
        <f>IF(A135="","",IF(COUNTIF(DATA!$D$2:$D$500,A135)=0,"CEK SKU tidak ada di DATA",IF(COUNT(C135:E135)&lt;3,"CEK dimensi belum lengkap",IF(OR(C135&lt;=0,D135&lt;=0,E135&lt;=0),"CEK dimensi harus lebih dari 0",IF(COUNTIF($A$2:$A$500,A135)&gt;1,"CEK SKU dobel","OK")))))</f>
        <v/>
      </c>
    </row>
    <row r="136">
      <c r="A136" s="10" t="n"/>
      <c r="B136" s="12">
        <f>IF(A136="","",IFERROR(INDEX(DATA!$E$2:$E$500,MATCH(A136,DATA!$D$2:$D$500,0)),""))</f>
        <v/>
      </c>
      <c r="C136" s="10" t="n"/>
      <c r="D136" s="10" t="n"/>
      <c r="E136" s="10" t="n"/>
      <c r="F136" s="10" t="n"/>
      <c r="G136" s="10" t="n"/>
      <c r="H136" s="10" t="n"/>
      <c r="I136" s="10" t="n"/>
      <c r="J136" s="12">
        <f>IF(OR(A136="",COUNT(C136:E136)&lt;3),"",IFERROR(MAX(0,FLOOR(($N$2-$N$3)/E136,1))*MAX(1,MIN(IF(G136="",1,G136),FLOOR($N$4/D136,1)))*IF(F136="",1,F136),""))</f>
        <v/>
      </c>
      <c r="K136" s="12">
        <f>IF(A136="","",IF(COUNTIF(DATA!$D$2:$D$500,A136)=0,"CEK SKU tidak ada di DATA",IF(COUNT(C136:E136)&lt;3,"CEK dimensi belum lengkap",IF(OR(C136&lt;=0,D136&lt;=0,E136&lt;=0),"CEK dimensi harus lebih dari 0",IF(COUNTIF($A$2:$A$500,A136)&gt;1,"CEK SKU dobel","OK")))))</f>
        <v/>
      </c>
    </row>
    <row r="137">
      <c r="A137" s="10" t="n"/>
      <c r="B137" s="12">
        <f>IF(A137="","",IFERROR(INDEX(DATA!$E$2:$E$500,MATCH(A137,DATA!$D$2:$D$500,0)),""))</f>
        <v/>
      </c>
      <c r="C137" s="10" t="n"/>
      <c r="D137" s="10" t="n"/>
      <c r="E137" s="10" t="n"/>
      <c r="F137" s="10" t="n"/>
      <c r="G137" s="10" t="n"/>
      <c r="H137" s="10" t="n"/>
      <c r="I137" s="10" t="n"/>
      <c r="J137" s="12">
        <f>IF(OR(A137="",COUNT(C137:E137)&lt;3),"",IFERROR(MAX(0,FLOOR(($N$2-$N$3)/E137,1))*MAX(1,MIN(IF(G137="",1,G137),FLOOR($N$4/D137,1)))*IF(F137="",1,F137),""))</f>
        <v/>
      </c>
      <c r="K137" s="12">
        <f>IF(A137="","",IF(COUNTIF(DATA!$D$2:$D$500,A137)=0,"CEK SKU tidak ada di DATA",IF(COUNT(C137:E137)&lt;3,"CEK dimensi belum lengkap",IF(OR(C137&lt;=0,D137&lt;=0,E137&lt;=0),"CEK dimensi harus lebih dari 0",IF(COUNTIF($A$2:$A$500,A137)&gt;1,"CEK SKU dobel","OK")))))</f>
        <v/>
      </c>
    </row>
    <row r="138">
      <c r="A138" s="10" t="n"/>
      <c r="B138" s="12">
        <f>IF(A138="","",IFERROR(INDEX(DATA!$E$2:$E$500,MATCH(A138,DATA!$D$2:$D$500,0)),""))</f>
        <v/>
      </c>
      <c r="C138" s="10" t="n"/>
      <c r="D138" s="10" t="n"/>
      <c r="E138" s="10" t="n"/>
      <c r="F138" s="10" t="n"/>
      <c r="G138" s="10" t="n"/>
      <c r="H138" s="10" t="n"/>
      <c r="I138" s="10" t="n"/>
      <c r="J138" s="12">
        <f>IF(OR(A138="",COUNT(C138:E138)&lt;3),"",IFERROR(MAX(0,FLOOR(($N$2-$N$3)/E138,1))*MAX(1,MIN(IF(G138="",1,G138),FLOOR($N$4/D138,1)))*IF(F138="",1,F138),""))</f>
        <v/>
      </c>
      <c r="K138" s="12">
        <f>IF(A138="","",IF(COUNTIF(DATA!$D$2:$D$500,A138)=0,"CEK SKU tidak ada di DATA",IF(COUNT(C138:E138)&lt;3,"CEK dimensi belum lengkap",IF(OR(C138&lt;=0,D138&lt;=0,E138&lt;=0),"CEK dimensi harus lebih dari 0",IF(COUNTIF($A$2:$A$500,A138)&gt;1,"CEK SKU dobel","OK")))))</f>
        <v/>
      </c>
    </row>
    <row r="139">
      <c r="A139" s="10" t="n"/>
      <c r="B139" s="12">
        <f>IF(A139="","",IFERROR(INDEX(DATA!$E$2:$E$500,MATCH(A139,DATA!$D$2:$D$500,0)),""))</f>
        <v/>
      </c>
      <c r="C139" s="10" t="n"/>
      <c r="D139" s="10" t="n"/>
      <c r="E139" s="10" t="n"/>
      <c r="F139" s="10" t="n"/>
      <c r="G139" s="10" t="n"/>
      <c r="H139" s="10" t="n"/>
      <c r="I139" s="10" t="n"/>
      <c r="J139" s="12">
        <f>IF(OR(A139="",COUNT(C139:E139)&lt;3),"",IFERROR(MAX(0,FLOOR(($N$2-$N$3)/E139,1))*MAX(1,MIN(IF(G139="",1,G139),FLOOR($N$4/D139,1)))*IF(F139="",1,F139),""))</f>
        <v/>
      </c>
      <c r="K139" s="12">
        <f>IF(A139="","",IF(COUNTIF(DATA!$D$2:$D$500,A139)=0,"CEK SKU tidak ada di DATA",IF(COUNT(C139:E139)&lt;3,"CEK dimensi belum lengkap",IF(OR(C139&lt;=0,D139&lt;=0,E139&lt;=0),"CEK dimensi harus lebih dari 0",IF(COUNTIF($A$2:$A$500,A139)&gt;1,"CEK SKU dobel","OK")))))</f>
        <v/>
      </c>
    </row>
    <row r="140">
      <c r="A140" s="10" t="n"/>
      <c r="B140" s="12">
        <f>IF(A140="","",IFERROR(INDEX(DATA!$E$2:$E$500,MATCH(A140,DATA!$D$2:$D$500,0)),""))</f>
        <v/>
      </c>
      <c r="C140" s="10" t="n"/>
      <c r="D140" s="10" t="n"/>
      <c r="E140" s="10" t="n"/>
      <c r="F140" s="10" t="n"/>
      <c r="G140" s="10" t="n"/>
      <c r="H140" s="10" t="n"/>
      <c r="I140" s="10" t="n"/>
      <c r="J140" s="12">
        <f>IF(OR(A140="",COUNT(C140:E140)&lt;3),"",IFERROR(MAX(0,FLOOR(($N$2-$N$3)/E140,1))*MAX(1,MIN(IF(G140="",1,G140),FLOOR($N$4/D140,1)))*IF(F140="",1,F140),""))</f>
        <v/>
      </c>
      <c r="K140" s="12">
        <f>IF(A140="","",IF(COUNTIF(DATA!$D$2:$D$500,A140)=0,"CEK SKU tidak ada di DATA",IF(COUNT(C140:E140)&lt;3,"CEK dimensi belum lengkap",IF(OR(C140&lt;=0,D140&lt;=0,E140&lt;=0),"CEK dimensi harus lebih dari 0",IF(COUNTIF($A$2:$A$500,A140)&gt;1,"CEK SKU dobel","OK")))))</f>
        <v/>
      </c>
    </row>
    <row r="141">
      <c r="A141" s="10" t="n"/>
      <c r="B141" s="12">
        <f>IF(A141="","",IFERROR(INDEX(DATA!$E$2:$E$500,MATCH(A141,DATA!$D$2:$D$500,0)),""))</f>
        <v/>
      </c>
      <c r="C141" s="10" t="n"/>
      <c r="D141" s="10" t="n"/>
      <c r="E141" s="10" t="n"/>
      <c r="F141" s="10" t="n"/>
      <c r="G141" s="10" t="n"/>
      <c r="H141" s="10" t="n"/>
      <c r="I141" s="10" t="n"/>
      <c r="J141" s="12">
        <f>IF(OR(A141="",COUNT(C141:E141)&lt;3),"",IFERROR(MAX(0,FLOOR(($N$2-$N$3)/E141,1))*MAX(1,MIN(IF(G141="",1,G141),FLOOR($N$4/D141,1)))*IF(F141="",1,F141),""))</f>
        <v/>
      </c>
      <c r="K141" s="12">
        <f>IF(A141="","",IF(COUNTIF(DATA!$D$2:$D$500,A141)=0,"CEK SKU tidak ada di DATA",IF(COUNT(C141:E141)&lt;3,"CEK dimensi belum lengkap",IF(OR(C141&lt;=0,D141&lt;=0,E141&lt;=0),"CEK dimensi harus lebih dari 0",IF(COUNTIF($A$2:$A$500,A141)&gt;1,"CEK SKU dobel","OK")))))</f>
        <v/>
      </c>
    </row>
    <row r="142">
      <c r="A142" s="10" t="n"/>
      <c r="B142" s="12">
        <f>IF(A142="","",IFERROR(INDEX(DATA!$E$2:$E$500,MATCH(A142,DATA!$D$2:$D$500,0)),""))</f>
        <v/>
      </c>
      <c r="C142" s="10" t="n"/>
      <c r="D142" s="10" t="n"/>
      <c r="E142" s="10" t="n"/>
      <c r="F142" s="10" t="n"/>
      <c r="G142" s="10" t="n"/>
      <c r="H142" s="10" t="n"/>
      <c r="I142" s="10" t="n"/>
      <c r="J142" s="12">
        <f>IF(OR(A142="",COUNT(C142:E142)&lt;3),"",IFERROR(MAX(0,FLOOR(($N$2-$N$3)/E142,1))*MAX(1,MIN(IF(G142="",1,G142),FLOOR($N$4/D142,1)))*IF(F142="",1,F142),""))</f>
        <v/>
      </c>
      <c r="K142" s="12">
        <f>IF(A142="","",IF(COUNTIF(DATA!$D$2:$D$500,A142)=0,"CEK SKU tidak ada di DATA",IF(COUNT(C142:E142)&lt;3,"CEK dimensi belum lengkap",IF(OR(C142&lt;=0,D142&lt;=0,E142&lt;=0),"CEK dimensi harus lebih dari 0",IF(COUNTIF($A$2:$A$500,A142)&gt;1,"CEK SKU dobel","OK")))))</f>
        <v/>
      </c>
    </row>
    <row r="143">
      <c r="A143" s="10" t="n"/>
      <c r="B143" s="12">
        <f>IF(A143="","",IFERROR(INDEX(DATA!$E$2:$E$500,MATCH(A143,DATA!$D$2:$D$500,0)),""))</f>
        <v/>
      </c>
      <c r="C143" s="10" t="n"/>
      <c r="D143" s="10" t="n"/>
      <c r="E143" s="10" t="n"/>
      <c r="F143" s="10" t="n"/>
      <c r="G143" s="10" t="n"/>
      <c r="H143" s="10" t="n"/>
      <c r="I143" s="10" t="n"/>
      <c r="J143" s="12">
        <f>IF(OR(A143="",COUNT(C143:E143)&lt;3),"",IFERROR(MAX(0,FLOOR(($N$2-$N$3)/E143,1))*MAX(1,MIN(IF(G143="",1,G143),FLOOR($N$4/D143,1)))*IF(F143="",1,F143),""))</f>
        <v/>
      </c>
      <c r="K143" s="12">
        <f>IF(A143="","",IF(COUNTIF(DATA!$D$2:$D$500,A143)=0,"CEK SKU tidak ada di DATA",IF(COUNT(C143:E143)&lt;3,"CEK dimensi belum lengkap",IF(OR(C143&lt;=0,D143&lt;=0,E143&lt;=0),"CEK dimensi harus lebih dari 0",IF(COUNTIF($A$2:$A$500,A143)&gt;1,"CEK SKU dobel","OK")))))</f>
        <v/>
      </c>
    </row>
    <row r="144">
      <c r="A144" s="10" t="n"/>
      <c r="B144" s="12">
        <f>IF(A144="","",IFERROR(INDEX(DATA!$E$2:$E$500,MATCH(A144,DATA!$D$2:$D$500,0)),""))</f>
        <v/>
      </c>
      <c r="C144" s="10" t="n"/>
      <c r="D144" s="10" t="n"/>
      <c r="E144" s="10" t="n"/>
      <c r="F144" s="10" t="n"/>
      <c r="G144" s="10" t="n"/>
      <c r="H144" s="10" t="n"/>
      <c r="I144" s="10" t="n"/>
      <c r="J144" s="12">
        <f>IF(OR(A144="",COUNT(C144:E144)&lt;3),"",IFERROR(MAX(0,FLOOR(($N$2-$N$3)/E144,1))*MAX(1,MIN(IF(G144="",1,G144),FLOOR($N$4/D144,1)))*IF(F144="",1,F144),""))</f>
        <v/>
      </c>
      <c r="K144" s="12">
        <f>IF(A144="","",IF(COUNTIF(DATA!$D$2:$D$500,A144)=0,"CEK SKU tidak ada di DATA",IF(COUNT(C144:E144)&lt;3,"CEK dimensi belum lengkap",IF(OR(C144&lt;=0,D144&lt;=0,E144&lt;=0),"CEK dimensi harus lebih dari 0",IF(COUNTIF($A$2:$A$500,A144)&gt;1,"CEK SKU dobel","OK")))))</f>
        <v/>
      </c>
    </row>
    <row r="145">
      <c r="A145" s="10" t="n"/>
      <c r="B145" s="12">
        <f>IF(A145="","",IFERROR(INDEX(DATA!$E$2:$E$500,MATCH(A145,DATA!$D$2:$D$500,0)),""))</f>
        <v/>
      </c>
      <c r="C145" s="10" t="n"/>
      <c r="D145" s="10" t="n"/>
      <c r="E145" s="10" t="n"/>
      <c r="F145" s="10" t="n"/>
      <c r="G145" s="10" t="n"/>
      <c r="H145" s="10" t="n"/>
      <c r="I145" s="10" t="n"/>
      <c r="J145" s="12">
        <f>IF(OR(A145="",COUNT(C145:E145)&lt;3),"",IFERROR(MAX(0,FLOOR(($N$2-$N$3)/E145,1))*MAX(1,MIN(IF(G145="",1,G145),FLOOR($N$4/D145,1)))*IF(F145="",1,F145),""))</f>
        <v/>
      </c>
      <c r="K145" s="12">
        <f>IF(A145="","",IF(COUNTIF(DATA!$D$2:$D$500,A145)=0,"CEK SKU tidak ada di DATA",IF(COUNT(C145:E145)&lt;3,"CEK dimensi belum lengkap",IF(OR(C145&lt;=0,D145&lt;=0,E145&lt;=0),"CEK dimensi harus lebih dari 0",IF(COUNTIF($A$2:$A$500,A145)&gt;1,"CEK SKU dobel","OK")))))</f>
        <v/>
      </c>
    </row>
    <row r="146">
      <c r="A146" s="10" t="n"/>
      <c r="B146" s="12">
        <f>IF(A146="","",IFERROR(INDEX(DATA!$E$2:$E$500,MATCH(A146,DATA!$D$2:$D$500,0)),""))</f>
        <v/>
      </c>
      <c r="C146" s="10" t="n"/>
      <c r="D146" s="10" t="n"/>
      <c r="E146" s="10" t="n"/>
      <c r="F146" s="10" t="n"/>
      <c r="G146" s="10" t="n"/>
      <c r="H146" s="10" t="n"/>
      <c r="I146" s="10" t="n"/>
      <c r="J146" s="12">
        <f>IF(OR(A146="",COUNT(C146:E146)&lt;3),"",IFERROR(MAX(0,FLOOR(($N$2-$N$3)/E146,1))*MAX(1,MIN(IF(G146="",1,G146),FLOOR($N$4/D146,1)))*IF(F146="",1,F146),""))</f>
        <v/>
      </c>
      <c r="K146" s="12">
        <f>IF(A146="","",IF(COUNTIF(DATA!$D$2:$D$500,A146)=0,"CEK SKU tidak ada di DATA",IF(COUNT(C146:E146)&lt;3,"CEK dimensi belum lengkap",IF(OR(C146&lt;=0,D146&lt;=0,E146&lt;=0),"CEK dimensi harus lebih dari 0",IF(COUNTIF($A$2:$A$500,A146)&gt;1,"CEK SKU dobel","OK")))))</f>
        <v/>
      </c>
    </row>
    <row r="147">
      <c r="A147" s="10" t="n"/>
      <c r="B147" s="12">
        <f>IF(A147="","",IFERROR(INDEX(DATA!$E$2:$E$500,MATCH(A147,DATA!$D$2:$D$500,0)),""))</f>
        <v/>
      </c>
      <c r="C147" s="10" t="n"/>
      <c r="D147" s="10" t="n"/>
      <c r="E147" s="10" t="n"/>
      <c r="F147" s="10" t="n"/>
      <c r="G147" s="10" t="n"/>
      <c r="H147" s="10" t="n"/>
      <c r="I147" s="10" t="n"/>
      <c r="J147" s="12">
        <f>IF(OR(A147="",COUNT(C147:E147)&lt;3),"",IFERROR(MAX(0,FLOOR(($N$2-$N$3)/E147,1))*MAX(1,MIN(IF(G147="",1,G147),FLOOR($N$4/D147,1)))*IF(F147="",1,F147),""))</f>
        <v/>
      </c>
      <c r="K147" s="12">
        <f>IF(A147="","",IF(COUNTIF(DATA!$D$2:$D$500,A147)=0,"CEK SKU tidak ada di DATA",IF(COUNT(C147:E147)&lt;3,"CEK dimensi belum lengkap",IF(OR(C147&lt;=0,D147&lt;=0,E147&lt;=0),"CEK dimensi harus lebih dari 0",IF(COUNTIF($A$2:$A$500,A147)&gt;1,"CEK SKU dobel","OK")))))</f>
        <v/>
      </c>
    </row>
    <row r="148">
      <c r="A148" s="10" t="n"/>
      <c r="B148" s="12">
        <f>IF(A148="","",IFERROR(INDEX(DATA!$E$2:$E$500,MATCH(A148,DATA!$D$2:$D$500,0)),""))</f>
        <v/>
      </c>
      <c r="C148" s="10" t="n"/>
      <c r="D148" s="10" t="n"/>
      <c r="E148" s="10" t="n"/>
      <c r="F148" s="10" t="n"/>
      <c r="G148" s="10" t="n"/>
      <c r="H148" s="10" t="n"/>
      <c r="I148" s="10" t="n"/>
      <c r="J148" s="12">
        <f>IF(OR(A148="",COUNT(C148:E148)&lt;3),"",IFERROR(MAX(0,FLOOR(($N$2-$N$3)/E148,1))*MAX(1,MIN(IF(G148="",1,G148),FLOOR($N$4/D148,1)))*IF(F148="",1,F148),""))</f>
        <v/>
      </c>
      <c r="K148" s="12">
        <f>IF(A148="","",IF(COUNTIF(DATA!$D$2:$D$500,A148)=0,"CEK SKU tidak ada di DATA",IF(COUNT(C148:E148)&lt;3,"CEK dimensi belum lengkap",IF(OR(C148&lt;=0,D148&lt;=0,E148&lt;=0),"CEK dimensi harus lebih dari 0",IF(COUNTIF($A$2:$A$500,A148)&gt;1,"CEK SKU dobel","OK")))))</f>
        <v/>
      </c>
    </row>
    <row r="149">
      <c r="A149" s="10" t="n"/>
      <c r="B149" s="12">
        <f>IF(A149="","",IFERROR(INDEX(DATA!$E$2:$E$500,MATCH(A149,DATA!$D$2:$D$500,0)),""))</f>
        <v/>
      </c>
      <c r="C149" s="10" t="n"/>
      <c r="D149" s="10" t="n"/>
      <c r="E149" s="10" t="n"/>
      <c r="F149" s="10" t="n"/>
      <c r="G149" s="10" t="n"/>
      <c r="H149" s="10" t="n"/>
      <c r="I149" s="10" t="n"/>
      <c r="J149" s="12">
        <f>IF(OR(A149="",COUNT(C149:E149)&lt;3),"",IFERROR(MAX(0,FLOOR(($N$2-$N$3)/E149,1))*MAX(1,MIN(IF(G149="",1,G149),FLOOR($N$4/D149,1)))*IF(F149="",1,F149),""))</f>
        <v/>
      </c>
      <c r="K149" s="12">
        <f>IF(A149="","",IF(COUNTIF(DATA!$D$2:$D$500,A149)=0,"CEK SKU tidak ada di DATA",IF(COUNT(C149:E149)&lt;3,"CEK dimensi belum lengkap",IF(OR(C149&lt;=0,D149&lt;=0,E149&lt;=0),"CEK dimensi harus lebih dari 0",IF(COUNTIF($A$2:$A$500,A149)&gt;1,"CEK SKU dobel","OK")))))</f>
        <v/>
      </c>
    </row>
    <row r="150">
      <c r="A150" s="10" t="n"/>
      <c r="B150" s="12">
        <f>IF(A150="","",IFERROR(INDEX(DATA!$E$2:$E$500,MATCH(A150,DATA!$D$2:$D$500,0)),""))</f>
        <v/>
      </c>
      <c r="C150" s="10" t="n"/>
      <c r="D150" s="10" t="n"/>
      <c r="E150" s="10" t="n"/>
      <c r="F150" s="10" t="n"/>
      <c r="G150" s="10" t="n"/>
      <c r="H150" s="10" t="n"/>
      <c r="I150" s="10" t="n"/>
      <c r="J150" s="12">
        <f>IF(OR(A150="",COUNT(C150:E150)&lt;3),"",IFERROR(MAX(0,FLOOR(($N$2-$N$3)/E150,1))*MAX(1,MIN(IF(G150="",1,G150),FLOOR($N$4/D150,1)))*IF(F150="",1,F150),""))</f>
        <v/>
      </c>
      <c r="K150" s="12">
        <f>IF(A150="","",IF(COUNTIF(DATA!$D$2:$D$500,A150)=0,"CEK SKU tidak ada di DATA",IF(COUNT(C150:E150)&lt;3,"CEK dimensi belum lengkap",IF(OR(C150&lt;=0,D150&lt;=0,E150&lt;=0),"CEK dimensi harus lebih dari 0",IF(COUNTIF($A$2:$A$500,A150)&gt;1,"CEK SKU dobel","OK")))))</f>
        <v/>
      </c>
    </row>
    <row r="151">
      <c r="A151" s="10" t="n"/>
      <c r="B151" s="12">
        <f>IF(A151="","",IFERROR(INDEX(DATA!$E$2:$E$500,MATCH(A151,DATA!$D$2:$D$500,0)),""))</f>
        <v/>
      </c>
      <c r="C151" s="10" t="n"/>
      <c r="D151" s="10" t="n"/>
      <c r="E151" s="10" t="n"/>
      <c r="F151" s="10" t="n"/>
      <c r="G151" s="10" t="n"/>
      <c r="H151" s="10" t="n"/>
      <c r="I151" s="10" t="n"/>
      <c r="J151" s="12">
        <f>IF(OR(A151="",COUNT(C151:E151)&lt;3),"",IFERROR(MAX(0,FLOOR(($N$2-$N$3)/E151,1))*MAX(1,MIN(IF(G151="",1,G151),FLOOR($N$4/D151,1)))*IF(F151="",1,F151),""))</f>
        <v/>
      </c>
      <c r="K151" s="12">
        <f>IF(A151="","",IF(COUNTIF(DATA!$D$2:$D$500,A151)=0,"CEK SKU tidak ada di DATA",IF(COUNT(C151:E151)&lt;3,"CEK dimensi belum lengkap",IF(OR(C151&lt;=0,D151&lt;=0,E151&lt;=0),"CEK dimensi harus lebih dari 0",IF(COUNTIF($A$2:$A$500,A151)&gt;1,"CEK SKU dobel","OK")))))</f>
        <v/>
      </c>
    </row>
    <row r="152">
      <c r="A152" s="10" t="n"/>
      <c r="B152" s="12">
        <f>IF(A152="","",IFERROR(INDEX(DATA!$E$2:$E$500,MATCH(A152,DATA!$D$2:$D$500,0)),""))</f>
        <v/>
      </c>
      <c r="C152" s="10" t="n"/>
      <c r="D152" s="10" t="n"/>
      <c r="E152" s="10" t="n"/>
      <c r="F152" s="10" t="n"/>
      <c r="G152" s="10" t="n"/>
      <c r="H152" s="10" t="n"/>
      <c r="I152" s="10" t="n"/>
      <c r="J152" s="12">
        <f>IF(OR(A152="",COUNT(C152:E152)&lt;3),"",IFERROR(MAX(0,FLOOR(($N$2-$N$3)/E152,1))*MAX(1,MIN(IF(G152="",1,G152),FLOOR($N$4/D152,1)))*IF(F152="",1,F152),""))</f>
        <v/>
      </c>
      <c r="K152" s="12">
        <f>IF(A152="","",IF(COUNTIF(DATA!$D$2:$D$500,A152)=0,"CEK SKU tidak ada di DATA",IF(COUNT(C152:E152)&lt;3,"CEK dimensi belum lengkap",IF(OR(C152&lt;=0,D152&lt;=0,E152&lt;=0),"CEK dimensi harus lebih dari 0",IF(COUNTIF($A$2:$A$500,A152)&gt;1,"CEK SKU dobel","OK")))))</f>
        <v/>
      </c>
    </row>
    <row r="153">
      <c r="A153" s="10" t="n"/>
      <c r="B153" s="12">
        <f>IF(A153="","",IFERROR(INDEX(DATA!$E$2:$E$500,MATCH(A153,DATA!$D$2:$D$500,0)),""))</f>
        <v/>
      </c>
      <c r="C153" s="10" t="n"/>
      <c r="D153" s="10" t="n"/>
      <c r="E153" s="10" t="n"/>
      <c r="F153" s="10" t="n"/>
      <c r="G153" s="10" t="n"/>
      <c r="H153" s="10" t="n"/>
      <c r="I153" s="10" t="n"/>
      <c r="J153" s="12">
        <f>IF(OR(A153="",COUNT(C153:E153)&lt;3),"",IFERROR(MAX(0,FLOOR(($N$2-$N$3)/E153,1))*MAX(1,MIN(IF(G153="",1,G153),FLOOR($N$4/D153,1)))*IF(F153="",1,F153),""))</f>
        <v/>
      </c>
      <c r="K153" s="12">
        <f>IF(A153="","",IF(COUNTIF(DATA!$D$2:$D$500,A153)=0,"CEK SKU tidak ada di DATA",IF(COUNT(C153:E153)&lt;3,"CEK dimensi belum lengkap",IF(OR(C153&lt;=0,D153&lt;=0,E153&lt;=0),"CEK dimensi harus lebih dari 0",IF(COUNTIF($A$2:$A$500,A153)&gt;1,"CEK SKU dobel","OK")))))</f>
        <v/>
      </c>
    </row>
    <row r="154">
      <c r="A154" s="10" t="n"/>
      <c r="B154" s="12">
        <f>IF(A154="","",IFERROR(INDEX(DATA!$E$2:$E$500,MATCH(A154,DATA!$D$2:$D$500,0)),""))</f>
        <v/>
      </c>
      <c r="C154" s="10" t="n"/>
      <c r="D154" s="10" t="n"/>
      <c r="E154" s="10" t="n"/>
      <c r="F154" s="10" t="n"/>
      <c r="G154" s="10" t="n"/>
      <c r="H154" s="10" t="n"/>
      <c r="I154" s="10" t="n"/>
      <c r="J154" s="12">
        <f>IF(OR(A154="",COUNT(C154:E154)&lt;3),"",IFERROR(MAX(0,FLOOR(($N$2-$N$3)/E154,1))*MAX(1,MIN(IF(G154="",1,G154),FLOOR($N$4/D154,1)))*IF(F154="",1,F154),""))</f>
        <v/>
      </c>
      <c r="K154" s="12">
        <f>IF(A154="","",IF(COUNTIF(DATA!$D$2:$D$500,A154)=0,"CEK SKU tidak ada di DATA",IF(COUNT(C154:E154)&lt;3,"CEK dimensi belum lengkap",IF(OR(C154&lt;=0,D154&lt;=0,E154&lt;=0),"CEK dimensi harus lebih dari 0",IF(COUNTIF($A$2:$A$500,A154)&gt;1,"CEK SKU dobel","OK")))))</f>
        <v/>
      </c>
    </row>
    <row r="155">
      <c r="A155" s="10" t="n"/>
      <c r="B155" s="12">
        <f>IF(A155="","",IFERROR(INDEX(DATA!$E$2:$E$500,MATCH(A155,DATA!$D$2:$D$500,0)),""))</f>
        <v/>
      </c>
      <c r="C155" s="10" t="n"/>
      <c r="D155" s="10" t="n"/>
      <c r="E155" s="10" t="n"/>
      <c r="F155" s="10" t="n"/>
      <c r="G155" s="10" t="n"/>
      <c r="H155" s="10" t="n"/>
      <c r="I155" s="10" t="n"/>
      <c r="J155" s="12">
        <f>IF(OR(A155="",COUNT(C155:E155)&lt;3),"",IFERROR(MAX(0,FLOOR(($N$2-$N$3)/E155,1))*MAX(1,MIN(IF(G155="",1,G155),FLOOR($N$4/D155,1)))*IF(F155="",1,F155),""))</f>
        <v/>
      </c>
      <c r="K155" s="12">
        <f>IF(A155="","",IF(COUNTIF(DATA!$D$2:$D$500,A155)=0,"CEK SKU tidak ada di DATA",IF(COUNT(C155:E155)&lt;3,"CEK dimensi belum lengkap",IF(OR(C155&lt;=0,D155&lt;=0,E155&lt;=0),"CEK dimensi harus lebih dari 0",IF(COUNTIF($A$2:$A$500,A155)&gt;1,"CEK SKU dobel","OK")))))</f>
        <v/>
      </c>
    </row>
    <row r="156">
      <c r="A156" s="10" t="n"/>
      <c r="B156" s="12">
        <f>IF(A156="","",IFERROR(INDEX(DATA!$E$2:$E$500,MATCH(A156,DATA!$D$2:$D$500,0)),""))</f>
        <v/>
      </c>
      <c r="C156" s="10" t="n"/>
      <c r="D156" s="10" t="n"/>
      <c r="E156" s="10" t="n"/>
      <c r="F156" s="10" t="n"/>
      <c r="G156" s="10" t="n"/>
      <c r="H156" s="10" t="n"/>
      <c r="I156" s="10" t="n"/>
      <c r="J156" s="12">
        <f>IF(OR(A156="",COUNT(C156:E156)&lt;3),"",IFERROR(MAX(0,FLOOR(($N$2-$N$3)/E156,1))*MAX(1,MIN(IF(G156="",1,G156),FLOOR($N$4/D156,1)))*IF(F156="",1,F156),""))</f>
        <v/>
      </c>
      <c r="K156" s="12">
        <f>IF(A156="","",IF(COUNTIF(DATA!$D$2:$D$500,A156)=0,"CEK SKU tidak ada di DATA",IF(COUNT(C156:E156)&lt;3,"CEK dimensi belum lengkap",IF(OR(C156&lt;=0,D156&lt;=0,E156&lt;=0),"CEK dimensi harus lebih dari 0",IF(COUNTIF($A$2:$A$500,A156)&gt;1,"CEK SKU dobel","OK")))))</f>
        <v/>
      </c>
    </row>
    <row r="157">
      <c r="A157" s="10" t="n"/>
      <c r="B157" s="12">
        <f>IF(A157="","",IFERROR(INDEX(DATA!$E$2:$E$500,MATCH(A157,DATA!$D$2:$D$500,0)),""))</f>
        <v/>
      </c>
      <c r="C157" s="10" t="n"/>
      <c r="D157" s="10" t="n"/>
      <c r="E157" s="10" t="n"/>
      <c r="F157" s="10" t="n"/>
      <c r="G157" s="10" t="n"/>
      <c r="H157" s="10" t="n"/>
      <c r="I157" s="10" t="n"/>
      <c r="J157" s="12">
        <f>IF(OR(A157="",COUNT(C157:E157)&lt;3),"",IFERROR(MAX(0,FLOOR(($N$2-$N$3)/E157,1))*MAX(1,MIN(IF(G157="",1,G157),FLOOR($N$4/D157,1)))*IF(F157="",1,F157),""))</f>
        <v/>
      </c>
      <c r="K157" s="12">
        <f>IF(A157="","",IF(COUNTIF(DATA!$D$2:$D$500,A157)=0,"CEK SKU tidak ada di DATA",IF(COUNT(C157:E157)&lt;3,"CEK dimensi belum lengkap",IF(OR(C157&lt;=0,D157&lt;=0,E157&lt;=0),"CEK dimensi harus lebih dari 0",IF(COUNTIF($A$2:$A$500,A157)&gt;1,"CEK SKU dobel","OK")))))</f>
        <v/>
      </c>
    </row>
    <row r="158">
      <c r="A158" s="10" t="n"/>
      <c r="B158" s="12">
        <f>IF(A158="","",IFERROR(INDEX(DATA!$E$2:$E$500,MATCH(A158,DATA!$D$2:$D$500,0)),""))</f>
        <v/>
      </c>
      <c r="C158" s="10" t="n"/>
      <c r="D158" s="10" t="n"/>
      <c r="E158" s="10" t="n"/>
      <c r="F158" s="10" t="n"/>
      <c r="G158" s="10" t="n"/>
      <c r="H158" s="10" t="n"/>
      <c r="I158" s="10" t="n"/>
      <c r="J158" s="12">
        <f>IF(OR(A158="",COUNT(C158:E158)&lt;3),"",IFERROR(MAX(0,FLOOR(($N$2-$N$3)/E158,1))*MAX(1,MIN(IF(G158="",1,G158),FLOOR($N$4/D158,1)))*IF(F158="",1,F158),""))</f>
        <v/>
      </c>
      <c r="K158" s="12">
        <f>IF(A158="","",IF(COUNTIF(DATA!$D$2:$D$500,A158)=0,"CEK SKU tidak ada di DATA",IF(COUNT(C158:E158)&lt;3,"CEK dimensi belum lengkap",IF(OR(C158&lt;=0,D158&lt;=0,E158&lt;=0),"CEK dimensi harus lebih dari 0",IF(COUNTIF($A$2:$A$500,A158)&gt;1,"CEK SKU dobel","OK")))))</f>
        <v/>
      </c>
    </row>
    <row r="159">
      <c r="A159" s="10" t="n"/>
      <c r="B159" s="12">
        <f>IF(A159="","",IFERROR(INDEX(DATA!$E$2:$E$500,MATCH(A159,DATA!$D$2:$D$500,0)),""))</f>
        <v/>
      </c>
      <c r="C159" s="10" t="n"/>
      <c r="D159" s="10" t="n"/>
      <c r="E159" s="10" t="n"/>
      <c r="F159" s="10" t="n"/>
      <c r="G159" s="10" t="n"/>
      <c r="H159" s="10" t="n"/>
      <c r="I159" s="10" t="n"/>
      <c r="J159" s="12">
        <f>IF(OR(A159="",COUNT(C159:E159)&lt;3),"",IFERROR(MAX(0,FLOOR(($N$2-$N$3)/E159,1))*MAX(1,MIN(IF(G159="",1,G159),FLOOR($N$4/D159,1)))*IF(F159="",1,F159),""))</f>
        <v/>
      </c>
      <c r="K159" s="12">
        <f>IF(A159="","",IF(COUNTIF(DATA!$D$2:$D$500,A159)=0,"CEK SKU tidak ada di DATA",IF(COUNT(C159:E159)&lt;3,"CEK dimensi belum lengkap",IF(OR(C159&lt;=0,D159&lt;=0,E159&lt;=0),"CEK dimensi harus lebih dari 0",IF(COUNTIF($A$2:$A$500,A159)&gt;1,"CEK SKU dobel","OK")))))</f>
        <v/>
      </c>
    </row>
    <row r="160">
      <c r="A160" s="10" t="n"/>
      <c r="B160" s="12">
        <f>IF(A160="","",IFERROR(INDEX(DATA!$E$2:$E$500,MATCH(A160,DATA!$D$2:$D$500,0)),""))</f>
        <v/>
      </c>
      <c r="C160" s="10" t="n"/>
      <c r="D160" s="10" t="n"/>
      <c r="E160" s="10" t="n"/>
      <c r="F160" s="10" t="n"/>
      <c r="G160" s="10" t="n"/>
      <c r="H160" s="10" t="n"/>
      <c r="I160" s="10" t="n"/>
      <c r="J160" s="12">
        <f>IF(OR(A160="",COUNT(C160:E160)&lt;3),"",IFERROR(MAX(0,FLOOR(($N$2-$N$3)/E160,1))*MAX(1,MIN(IF(G160="",1,G160),FLOOR($N$4/D160,1)))*IF(F160="",1,F160),""))</f>
        <v/>
      </c>
      <c r="K160" s="12">
        <f>IF(A160="","",IF(COUNTIF(DATA!$D$2:$D$500,A160)=0,"CEK SKU tidak ada di DATA",IF(COUNT(C160:E160)&lt;3,"CEK dimensi belum lengkap",IF(OR(C160&lt;=0,D160&lt;=0,E160&lt;=0),"CEK dimensi harus lebih dari 0",IF(COUNTIF($A$2:$A$500,A160)&gt;1,"CEK SKU dobel","OK")))))</f>
        <v/>
      </c>
    </row>
    <row r="161">
      <c r="A161" s="10" t="n"/>
      <c r="B161" s="12">
        <f>IF(A161="","",IFERROR(INDEX(DATA!$E$2:$E$500,MATCH(A161,DATA!$D$2:$D$500,0)),""))</f>
        <v/>
      </c>
      <c r="C161" s="10" t="n"/>
      <c r="D161" s="10" t="n"/>
      <c r="E161" s="10" t="n"/>
      <c r="F161" s="10" t="n"/>
      <c r="G161" s="10" t="n"/>
      <c r="H161" s="10" t="n"/>
      <c r="I161" s="10" t="n"/>
      <c r="J161" s="12">
        <f>IF(OR(A161="",COUNT(C161:E161)&lt;3),"",IFERROR(MAX(0,FLOOR(($N$2-$N$3)/E161,1))*MAX(1,MIN(IF(G161="",1,G161),FLOOR($N$4/D161,1)))*IF(F161="",1,F161),""))</f>
        <v/>
      </c>
      <c r="K161" s="12">
        <f>IF(A161="","",IF(COUNTIF(DATA!$D$2:$D$500,A161)=0,"CEK SKU tidak ada di DATA",IF(COUNT(C161:E161)&lt;3,"CEK dimensi belum lengkap",IF(OR(C161&lt;=0,D161&lt;=0,E161&lt;=0),"CEK dimensi harus lebih dari 0",IF(COUNTIF($A$2:$A$500,A161)&gt;1,"CEK SKU dobel","OK")))))</f>
        <v/>
      </c>
    </row>
    <row r="162">
      <c r="A162" s="10" t="n"/>
      <c r="B162" s="12">
        <f>IF(A162="","",IFERROR(INDEX(DATA!$E$2:$E$500,MATCH(A162,DATA!$D$2:$D$500,0)),""))</f>
        <v/>
      </c>
      <c r="C162" s="10" t="n"/>
      <c r="D162" s="10" t="n"/>
      <c r="E162" s="10" t="n"/>
      <c r="F162" s="10" t="n"/>
      <c r="G162" s="10" t="n"/>
      <c r="H162" s="10" t="n"/>
      <c r="I162" s="10" t="n"/>
      <c r="J162" s="12">
        <f>IF(OR(A162="",COUNT(C162:E162)&lt;3),"",IFERROR(MAX(0,FLOOR(($N$2-$N$3)/E162,1))*MAX(1,MIN(IF(G162="",1,G162),FLOOR($N$4/D162,1)))*IF(F162="",1,F162),""))</f>
        <v/>
      </c>
      <c r="K162" s="12">
        <f>IF(A162="","",IF(COUNTIF(DATA!$D$2:$D$500,A162)=0,"CEK SKU tidak ada di DATA",IF(COUNT(C162:E162)&lt;3,"CEK dimensi belum lengkap",IF(OR(C162&lt;=0,D162&lt;=0,E162&lt;=0),"CEK dimensi harus lebih dari 0",IF(COUNTIF($A$2:$A$500,A162)&gt;1,"CEK SKU dobel","OK")))))</f>
        <v/>
      </c>
    </row>
    <row r="163">
      <c r="A163" s="10" t="n"/>
      <c r="B163" s="12">
        <f>IF(A163="","",IFERROR(INDEX(DATA!$E$2:$E$500,MATCH(A163,DATA!$D$2:$D$500,0)),""))</f>
        <v/>
      </c>
      <c r="C163" s="10" t="n"/>
      <c r="D163" s="10" t="n"/>
      <c r="E163" s="10" t="n"/>
      <c r="F163" s="10" t="n"/>
      <c r="G163" s="10" t="n"/>
      <c r="H163" s="10" t="n"/>
      <c r="I163" s="10" t="n"/>
      <c r="J163" s="12">
        <f>IF(OR(A163="",COUNT(C163:E163)&lt;3),"",IFERROR(MAX(0,FLOOR(($N$2-$N$3)/E163,1))*MAX(1,MIN(IF(G163="",1,G163),FLOOR($N$4/D163,1)))*IF(F163="",1,F163),""))</f>
        <v/>
      </c>
      <c r="K163" s="12">
        <f>IF(A163="","",IF(COUNTIF(DATA!$D$2:$D$500,A163)=0,"CEK SKU tidak ada di DATA",IF(COUNT(C163:E163)&lt;3,"CEK dimensi belum lengkap",IF(OR(C163&lt;=0,D163&lt;=0,E163&lt;=0),"CEK dimensi harus lebih dari 0",IF(COUNTIF($A$2:$A$500,A163)&gt;1,"CEK SKU dobel","OK")))))</f>
        <v/>
      </c>
    </row>
    <row r="164">
      <c r="A164" s="10" t="n"/>
      <c r="B164" s="12">
        <f>IF(A164="","",IFERROR(INDEX(DATA!$E$2:$E$500,MATCH(A164,DATA!$D$2:$D$500,0)),""))</f>
        <v/>
      </c>
      <c r="C164" s="10" t="n"/>
      <c r="D164" s="10" t="n"/>
      <c r="E164" s="10" t="n"/>
      <c r="F164" s="10" t="n"/>
      <c r="G164" s="10" t="n"/>
      <c r="H164" s="10" t="n"/>
      <c r="I164" s="10" t="n"/>
      <c r="J164" s="12">
        <f>IF(OR(A164="",COUNT(C164:E164)&lt;3),"",IFERROR(MAX(0,FLOOR(($N$2-$N$3)/E164,1))*MAX(1,MIN(IF(G164="",1,G164),FLOOR($N$4/D164,1)))*IF(F164="",1,F164),""))</f>
        <v/>
      </c>
      <c r="K164" s="12">
        <f>IF(A164="","",IF(COUNTIF(DATA!$D$2:$D$500,A164)=0,"CEK SKU tidak ada di DATA",IF(COUNT(C164:E164)&lt;3,"CEK dimensi belum lengkap",IF(OR(C164&lt;=0,D164&lt;=0,E164&lt;=0),"CEK dimensi harus lebih dari 0",IF(COUNTIF($A$2:$A$500,A164)&gt;1,"CEK SKU dobel","OK")))))</f>
        <v/>
      </c>
    </row>
    <row r="165">
      <c r="A165" s="10" t="n"/>
      <c r="B165" s="12">
        <f>IF(A165="","",IFERROR(INDEX(DATA!$E$2:$E$500,MATCH(A165,DATA!$D$2:$D$500,0)),""))</f>
        <v/>
      </c>
      <c r="C165" s="10" t="n"/>
      <c r="D165" s="10" t="n"/>
      <c r="E165" s="10" t="n"/>
      <c r="F165" s="10" t="n"/>
      <c r="G165" s="10" t="n"/>
      <c r="H165" s="10" t="n"/>
      <c r="I165" s="10" t="n"/>
      <c r="J165" s="12">
        <f>IF(OR(A165="",COUNT(C165:E165)&lt;3),"",IFERROR(MAX(0,FLOOR(($N$2-$N$3)/E165,1))*MAX(1,MIN(IF(G165="",1,G165),FLOOR($N$4/D165,1)))*IF(F165="",1,F165),""))</f>
        <v/>
      </c>
      <c r="K165" s="12">
        <f>IF(A165="","",IF(COUNTIF(DATA!$D$2:$D$500,A165)=0,"CEK SKU tidak ada di DATA",IF(COUNT(C165:E165)&lt;3,"CEK dimensi belum lengkap",IF(OR(C165&lt;=0,D165&lt;=0,E165&lt;=0),"CEK dimensi harus lebih dari 0",IF(COUNTIF($A$2:$A$500,A165)&gt;1,"CEK SKU dobel","OK")))))</f>
        <v/>
      </c>
    </row>
    <row r="166">
      <c r="A166" s="10" t="n"/>
      <c r="B166" s="12">
        <f>IF(A166="","",IFERROR(INDEX(DATA!$E$2:$E$500,MATCH(A166,DATA!$D$2:$D$500,0)),""))</f>
        <v/>
      </c>
      <c r="C166" s="10" t="n"/>
      <c r="D166" s="10" t="n"/>
      <c r="E166" s="10" t="n"/>
      <c r="F166" s="10" t="n"/>
      <c r="G166" s="10" t="n"/>
      <c r="H166" s="10" t="n"/>
      <c r="I166" s="10" t="n"/>
      <c r="J166" s="12">
        <f>IF(OR(A166="",COUNT(C166:E166)&lt;3),"",IFERROR(MAX(0,FLOOR(($N$2-$N$3)/E166,1))*MAX(1,MIN(IF(G166="",1,G166),FLOOR($N$4/D166,1)))*IF(F166="",1,F166),""))</f>
        <v/>
      </c>
      <c r="K166" s="12">
        <f>IF(A166="","",IF(COUNTIF(DATA!$D$2:$D$500,A166)=0,"CEK SKU tidak ada di DATA",IF(COUNT(C166:E166)&lt;3,"CEK dimensi belum lengkap",IF(OR(C166&lt;=0,D166&lt;=0,E166&lt;=0),"CEK dimensi harus lebih dari 0",IF(COUNTIF($A$2:$A$500,A166)&gt;1,"CEK SKU dobel","OK")))))</f>
        <v/>
      </c>
    </row>
    <row r="167">
      <c r="A167" s="10" t="n"/>
      <c r="B167" s="12">
        <f>IF(A167="","",IFERROR(INDEX(DATA!$E$2:$E$500,MATCH(A167,DATA!$D$2:$D$500,0)),""))</f>
        <v/>
      </c>
      <c r="C167" s="10" t="n"/>
      <c r="D167" s="10" t="n"/>
      <c r="E167" s="10" t="n"/>
      <c r="F167" s="10" t="n"/>
      <c r="G167" s="10" t="n"/>
      <c r="H167" s="10" t="n"/>
      <c r="I167" s="10" t="n"/>
      <c r="J167" s="12">
        <f>IF(OR(A167="",COUNT(C167:E167)&lt;3),"",IFERROR(MAX(0,FLOOR(($N$2-$N$3)/E167,1))*MAX(1,MIN(IF(G167="",1,G167),FLOOR($N$4/D167,1)))*IF(F167="",1,F167),""))</f>
        <v/>
      </c>
      <c r="K167" s="12">
        <f>IF(A167="","",IF(COUNTIF(DATA!$D$2:$D$500,A167)=0,"CEK SKU tidak ada di DATA",IF(COUNT(C167:E167)&lt;3,"CEK dimensi belum lengkap",IF(OR(C167&lt;=0,D167&lt;=0,E167&lt;=0),"CEK dimensi harus lebih dari 0",IF(COUNTIF($A$2:$A$500,A167)&gt;1,"CEK SKU dobel","OK")))))</f>
        <v/>
      </c>
    </row>
    <row r="168">
      <c r="A168" s="10" t="n"/>
      <c r="B168" s="12">
        <f>IF(A168="","",IFERROR(INDEX(DATA!$E$2:$E$500,MATCH(A168,DATA!$D$2:$D$500,0)),""))</f>
        <v/>
      </c>
      <c r="C168" s="10" t="n"/>
      <c r="D168" s="10" t="n"/>
      <c r="E168" s="10" t="n"/>
      <c r="F168" s="10" t="n"/>
      <c r="G168" s="10" t="n"/>
      <c r="H168" s="10" t="n"/>
      <c r="I168" s="10" t="n"/>
      <c r="J168" s="12">
        <f>IF(OR(A168="",COUNT(C168:E168)&lt;3),"",IFERROR(MAX(0,FLOOR(($N$2-$N$3)/E168,1))*MAX(1,MIN(IF(G168="",1,G168),FLOOR($N$4/D168,1)))*IF(F168="",1,F168),""))</f>
        <v/>
      </c>
      <c r="K168" s="12">
        <f>IF(A168="","",IF(COUNTIF(DATA!$D$2:$D$500,A168)=0,"CEK SKU tidak ada di DATA",IF(COUNT(C168:E168)&lt;3,"CEK dimensi belum lengkap",IF(OR(C168&lt;=0,D168&lt;=0,E168&lt;=0),"CEK dimensi harus lebih dari 0",IF(COUNTIF($A$2:$A$500,A168)&gt;1,"CEK SKU dobel","OK")))))</f>
        <v/>
      </c>
    </row>
    <row r="169">
      <c r="A169" s="10" t="n"/>
      <c r="B169" s="12">
        <f>IF(A169="","",IFERROR(INDEX(DATA!$E$2:$E$500,MATCH(A169,DATA!$D$2:$D$500,0)),""))</f>
        <v/>
      </c>
      <c r="C169" s="10" t="n"/>
      <c r="D169" s="10" t="n"/>
      <c r="E169" s="10" t="n"/>
      <c r="F169" s="10" t="n"/>
      <c r="G169" s="10" t="n"/>
      <c r="H169" s="10" t="n"/>
      <c r="I169" s="10" t="n"/>
      <c r="J169" s="12">
        <f>IF(OR(A169="",COUNT(C169:E169)&lt;3),"",IFERROR(MAX(0,FLOOR(($N$2-$N$3)/E169,1))*MAX(1,MIN(IF(G169="",1,G169),FLOOR($N$4/D169,1)))*IF(F169="",1,F169),""))</f>
        <v/>
      </c>
      <c r="K169" s="12">
        <f>IF(A169="","",IF(COUNTIF(DATA!$D$2:$D$500,A169)=0,"CEK SKU tidak ada di DATA",IF(COUNT(C169:E169)&lt;3,"CEK dimensi belum lengkap",IF(OR(C169&lt;=0,D169&lt;=0,E169&lt;=0),"CEK dimensi harus lebih dari 0",IF(COUNTIF($A$2:$A$500,A169)&gt;1,"CEK SKU dobel","OK")))))</f>
        <v/>
      </c>
    </row>
    <row r="170">
      <c r="A170" s="10" t="n"/>
      <c r="B170" s="12">
        <f>IF(A170="","",IFERROR(INDEX(DATA!$E$2:$E$500,MATCH(A170,DATA!$D$2:$D$500,0)),""))</f>
        <v/>
      </c>
      <c r="C170" s="10" t="n"/>
      <c r="D170" s="10" t="n"/>
      <c r="E170" s="10" t="n"/>
      <c r="F170" s="10" t="n"/>
      <c r="G170" s="10" t="n"/>
      <c r="H170" s="10" t="n"/>
      <c r="I170" s="10" t="n"/>
      <c r="J170" s="12">
        <f>IF(OR(A170="",COUNT(C170:E170)&lt;3),"",IFERROR(MAX(0,FLOOR(($N$2-$N$3)/E170,1))*MAX(1,MIN(IF(G170="",1,G170),FLOOR($N$4/D170,1)))*IF(F170="",1,F170),""))</f>
        <v/>
      </c>
      <c r="K170" s="12">
        <f>IF(A170="","",IF(COUNTIF(DATA!$D$2:$D$500,A170)=0,"CEK SKU tidak ada di DATA",IF(COUNT(C170:E170)&lt;3,"CEK dimensi belum lengkap",IF(OR(C170&lt;=0,D170&lt;=0,E170&lt;=0),"CEK dimensi harus lebih dari 0",IF(COUNTIF($A$2:$A$500,A170)&gt;1,"CEK SKU dobel","OK")))))</f>
        <v/>
      </c>
    </row>
    <row r="171">
      <c r="A171" s="10" t="n"/>
      <c r="B171" s="12">
        <f>IF(A171="","",IFERROR(INDEX(DATA!$E$2:$E$500,MATCH(A171,DATA!$D$2:$D$500,0)),""))</f>
        <v/>
      </c>
      <c r="C171" s="10" t="n"/>
      <c r="D171" s="10" t="n"/>
      <c r="E171" s="10" t="n"/>
      <c r="F171" s="10" t="n"/>
      <c r="G171" s="10" t="n"/>
      <c r="H171" s="10" t="n"/>
      <c r="I171" s="10" t="n"/>
      <c r="J171" s="12">
        <f>IF(OR(A171="",COUNT(C171:E171)&lt;3),"",IFERROR(MAX(0,FLOOR(($N$2-$N$3)/E171,1))*MAX(1,MIN(IF(G171="",1,G171),FLOOR($N$4/D171,1)))*IF(F171="",1,F171),""))</f>
        <v/>
      </c>
      <c r="K171" s="12">
        <f>IF(A171="","",IF(COUNTIF(DATA!$D$2:$D$500,A171)=0,"CEK SKU tidak ada di DATA",IF(COUNT(C171:E171)&lt;3,"CEK dimensi belum lengkap",IF(OR(C171&lt;=0,D171&lt;=0,E171&lt;=0),"CEK dimensi harus lebih dari 0",IF(COUNTIF($A$2:$A$500,A171)&gt;1,"CEK SKU dobel","OK")))))</f>
        <v/>
      </c>
    </row>
    <row r="172">
      <c r="A172" s="10" t="n"/>
      <c r="B172" s="12">
        <f>IF(A172="","",IFERROR(INDEX(DATA!$E$2:$E$500,MATCH(A172,DATA!$D$2:$D$500,0)),""))</f>
        <v/>
      </c>
      <c r="C172" s="10" t="n"/>
      <c r="D172" s="10" t="n"/>
      <c r="E172" s="10" t="n"/>
      <c r="F172" s="10" t="n"/>
      <c r="G172" s="10" t="n"/>
      <c r="H172" s="10" t="n"/>
      <c r="I172" s="10" t="n"/>
      <c r="J172" s="12">
        <f>IF(OR(A172="",COUNT(C172:E172)&lt;3),"",IFERROR(MAX(0,FLOOR(($N$2-$N$3)/E172,1))*MAX(1,MIN(IF(G172="",1,G172),FLOOR($N$4/D172,1)))*IF(F172="",1,F172),""))</f>
        <v/>
      </c>
      <c r="K172" s="12">
        <f>IF(A172="","",IF(COUNTIF(DATA!$D$2:$D$500,A172)=0,"CEK SKU tidak ada di DATA",IF(COUNT(C172:E172)&lt;3,"CEK dimensi belum lengkap",IF(OR(C172&lt;=0,D172&lt;=0,E172&lt;=0),"CEK dimensi harus lebih dari 0",IF(COUNTIF($A$2:$A$500,A172)&gt;1,"CEK SKU dobel","OK")))))</f>
        <v/>
      </c>
    </row>
    <row r="173">
      <c r="A173" s="10" t="n"/>
      <c r="B173" s="12">
        <f>IF(A173="","",IFERROR(INDEX(DATA!$E$2:$E$500,MATCH(A173,DATA!$D$2:$D$500,0)),""))</f>
        <v/>
      </c>
      <c r="C173" s="10" t="n"/>
      <c r="D173" s="10" t="n"/>
      <c r="E173" s="10" t="n"/>
      <c r="F173" s="10" t="n"/>
      <c r="G173" s="10" t="n"/>
      <c r="H173" s="10" t="n"/>
      <c r="I173" s="10" t="n"/>
      <c r="J173" s="12">
        <f>IF(OR(A173="",COUNT(C173:E173)&lt;3),"",IFERROR(MAX(0,FLOOR(($N$2-$N$3)/E173,1))*MAX(1,MIN(IF(G173="",1,G173),FLOOR($N$4/D173,1)))*IF(F173="",1,F173),""))</f>
        <v/>
      </c>
      <c r="K173" s="12">
        <f>IF(A173="","",IF(COUNTIF(DATA!$D$2:$D$500,A173)=0,"CEK SKU tidak ada di DATA",IF(COUNT(C173:E173)&lt;3,"CEK dimensi belum lengkap",IF(OR(C173&lt;=0,D173&lt;=0,E173&lt;=0),"CEK dimensi harus lebih dari 0",IF(COUNTIF($A$2:$A$500,A173)&gt;1,"CEK SKU dobel","OK")))))</f>
        <v/>
      </c>
    </row>
    <row r="174">
      <c r="A174" s="10" t="n"/>
      <c r="B174" s="12">
        <f>IF(A174="","",IFERROR(INDEX(DATA!$E$2:$E$500,MATCH(A174,DATA!$D$2:$D$500,0)),""))</f>
        <v/>
      </c>
      <c r="C174" s="10" t="n"/>
      <c r="D174" s="10" t="n"/>
      <c r="E174" s="10" t="n"/>
      <c r="F174" s="10" t="n"/>
      <c r="G174" s="10" t="n"/>
      <c r="H174" s="10" t="n"/>
      <c r="I174" s="10" t="n"/>
      <c r="J174" s="12">
        <f>IF(OR(A174="",COUNT(C174:E174)&lt;3),"",IFERROR(MAX(0,FLOOR(($N$2-$N$3)/E174,1))*MAX(1,MIN(IF(G174="",1,G174),FLOOR($N$4/D174,1)))*IF(F174="",1,F174),""))</f>
        <v/>
      </c>
      <c r="K174" s="12">
        <f>IF(A174="","",IF(COUNTIF(DATA!$D$2:$D$500,A174)=0,"CEK SKU tidak ada di DATA",IF(COUNT(C174:E174)&lt;3,"CEK dimensi belum lengkap",IF(OR(C174&lt;=0,D174&lt;=0,E174&lt;=0),"CEK dimensi harus lebih dari 0",IF(COUNTIF($A$2:$A$500,A174)&gt;1,"CEK SKU dobel","OK")))))</f>
        <v/>
      </c>
    </row>
    <row r="175">
      <c r="A175" s="10" t="n"/>
      <c r="B175" s="12">
        <f>IF(A175="","",IFERROR(INDEX(DATA!$E$2:$E$500,MATCH(A175,DATA!$D$2:$D$500,0)),""))</f>
        <v/>
      </c>
      <c r="C175" s="10" t="n"/>
      <c r="D175" s="10" t="n"/>
      <c r="E175" s="10" t="n"/>
      <c r="F175" s="10" t="n"/>
      <c r="G175" s="10" t="n"/>
      <c r="H175" s="10" t="n"/>
      <c r="I175" s="10" t="n"/>
      <c r="J175" s="12">
        <f>IF(OR(A175="",COUNT(C175:E175)&lt;3),"",IFERROR(MAX(0,FLOOR(($N$2-$N$3)/E175,1))*MAX(1,MIN(IF(G175="",1,G175),FLOOR($N$4/D175,1)))*IF(F175="",1,F175),""))</f>
        <v/>
      </c>
      <c r="K175" s="12">
        <f>IF(A175="","",IF(COUNTIF(DATA!$D$2:$D$500,A175)=0,"CEK SKU tidak ada di DATA",IF(COUNT(C175:E175)&lt;3,"CEK dimensi belum lengkap",IF(OR(C175&lt;=0,D175&lt;=0,E175&lt;=0),"CEK dimensi harus lebih dari 0",IF(COUNTIF($A$2:$A$500,A175)&gt;1,"CEK SKU dobel","OK")))))</f>
        <v/>
      </c>
    </row>
    <row r="176">
      <c r="A176" s="10" t="n"/>
      <c r="B176" s="12">
        <f>IF(A176="","",IFERROR(INDEX(DATA!$E$2:$E$500,MATCH(A176,DATA!$D$2:$D$500,0)),""))</f>
        <v/>
      </c>
      <c r="C176" s="10" t="n"/>
      <c r="D176" s="10" t="n"/>
      <c r="E176" s="10" t="n"/>
      <c r="F176" s="10" t="n"/>
      <c r="G176" s="10" t="n"/>
      <c r="H176" s="10" t="n"/>
      <c r="I176" s="10" t="n"/>
      <c r="J176" s="12">
        <f>IF(OR(A176="",COUNT(C176:E176)&lt;3),"",IFERROR(MAX(0,FLOOR(($N$2-$N$3)/E176,1))*MAX(1,MIN(IF(G176="",1,G176),FLOOR($N$4/D176,1)))*IF(F176="",1,F176),""))</f>
        <v/>
      </c>
      <c r="K176" s="12">
        <f>IF(A176="","",IF(COUNTIF(DATA!$D$2:$D$500,A176)=0,"CEK SKU tidak ada di DATA",IF(COUNT(C176:E176)&lt;3,"CEK dimensi belum lengkap",IF(OR(C176&lt;=0,D176&lt;=0,E176&lt;=0),"CEK dimensi harus lebih dari 0",IF(COUNTIF($A$2:$A$500,A176)&gt;1,"CEK SKU dobel","OK")))))</f>
        <v/>
      </c>
    </row>
    <row r="177">
      <c r="A177" s="10" t="n"/>
      <c r="B177" s="12">
        <f>IF(A177="","",IFERROR(INDEX(DATA!$E$2:$E$500,MATCH(A177,DATA!$D$2:$D$500,0)),""))</f>
        <v/>
      </c>
      <c r="C177" s="10" t="n"/>
      <c r="D177" s="10" t="n"/>
      <c r="E177" s="10" t="n"/>
      <c r="F177" s="10" t="n"/>
      <c r="G177" s="10" t="n"/>
      <c r="H177" s="10" t="n"/>
      <c r="I177" s="10" t="n"/>
      <c r="J177" s="12">
        <f>IF(OR(A177="",COUNT(C177:E177)&lt;3),"",IFERROR(MAX(0,FLOOR(($N$2-$N$3)/E177,1))*MAX(1,MIN(IF(G177="",1,G177),FLOOR($N$4/D177,1)))*IF(F177="",1,F177),""))</f>
        <v/>
      </c>
      <c r="K177" s="12">
        <f>IF(A177="","",IF(COUNTIF(DATA!$D$2:$D$500,A177)=0,"CEK SKU tidak ada di DATA",IF(COUNT(C177:E177)&lt;3,"CEK dimensi belum lengkap",IF(OR(C177&lt;=0,D177&lt;=0,E177&lt;=0),"CEK dimensi harus lebih dari 0",IF(COUNTIF($A$2:$A$500,A177)&gt;1,"CEK SKU dobel","OK")))))</f>
        <v/>
      </c>
    </row>
    <row r="178">
      <c r="A178" s="10" t="n"/>
      <c r="B178" s="12">
        <f>IF(A178="","",IFERROR(INDEX(DATA!$E$2:$E$500,MATCH(A178,DATA!$D$2:$D$500,0)),""))</f>
        <v/>
      </c>
      <c r="C178" s="10" t="n"/>
      <c r="D178" s="10" t="n"/>
      <c r="E178" s="10" t="n"/>
      <c r="F178" s="10" t="n"/>
      <c r="G178" s="10" t="n"/>
      <c r="H178" s="10" t="n"/>
      <c r="I178" s="10" t="n"/>
      <c r="J178" s="12">
        <f>IF(OR(A178="",COUNT(C178:E178)&lt;3),"",IFERROR(MAX(0,FLOOR(($N$2-$N$3)/E178,1))*MAX(1,MIN(IF(G178="",1,G178),FLOOR($N$4/D178,1)))*IF(F178="",1,F178),""))</f>
        <v/>
      </c>
      <c r="K178" s="12">
        <f>IF(A178="","",IF(COUNTIF(DATA!$D$2:$D$500,A178)=0,"CEK SKU tidak ada di DATA",IF(COUNT(C178:E178)&lt;3,"CEK dimensi belum lengkap",IF(OR(C178&lt;=0,D178&lt;=0,E178&lt;=0),"CEK dimensi harus lebih dari 0",IF(COUNTIF($A$2:$A$500,A178)&gt;1,"CEK SKU dobel","OK")))))</f>
        <v/>
      </c>
    </row>
    <row r="179">
      <c r="A179" s="10" t="n"/>
      <c r="B179" s="12">
        <f>IF(A179="","",IFERROR(INDEX(DATA!$E$2:$E$500,MATCH(A179,DATA!$D$2:$D$500,0)),""))</f>
        <v/>
      </c>
      <c r="C179" s="10" t="n"/>
      <c r="D179" s="10" t="n"/>
      <c r="E179" s="10" t="n"/>
      <c r="F179" s="10" t="n"/>
      <c r="G179" s="10" t="n"/>
      <c r="H179" s="10" t="n"/>
      <c r="I179" s="10" t="n"/>
      <c r="J179" s="12">
        <f>IF(OR(A179="",COUNT(C179:E179)&lt;3),"",IFERROR(MAX(0,FLOOR(($N$2-$N$3)/E179,1))*MAX(1,MIN(IF(G179="",1,G179),FLOOR($N$4/D179,1)))*IF(F179="",1,F179),""))</f>
        <v/>
      </c>
      <c r="K179" s="12">
        <f>IF(A179="","",IF(COUNTIF(DATA!$D$2:$D$500,A179)=0,"CEK SKU tidak ada di DATA",IF(COUNT(C179:E179)&lt;3,"CEK dimensi belum lengkap",IF(OR(C179&lt;=0,D179&lt;=0,E179&lt;=0),"CEK dimensi harus lebih dari 0",IF(COUNTIF($A$2:$A$500,A179)&gt;1,"CEK SKU dobel","OK")))))</f>
        <v/>
      </c>
    </row>
    <row r="180">
      <c r="A180" s="10" t="n"/>
      <c r="B180" s="12">
        <f>IF(A180="","",IFERROR(INDEX(DATA!$E$2:$E$500,MATCH(A180,DATA!$D$2:$D$500,0)),""))</f>
        <v/>
      </c>
      <c r="C180" s="10" t="n"/>
      <c r="D180" s="10" t="n"/>
      <c r="E180" s="10" t="n"/>
      <c r="F180" s="10" t="n"/>
      <c r="G180" s="10" t="n"/>
      <c r="H180" s="10" t="n"/>
      <c r="I180" s="10" t="n"/>
      <c r="J180" s="12">
        <f>IF(OR(A180="",COUNT(C180:E180)&lt;3),"",IFERROR(MAX(0,FLOOR(($N$2-$N$3)/E180,1))*MAX(1,MIN(IF(G180="",1,G180),FLOOR($N$4/D180,1)))*IF(F180="",1,F180),""))</f>
        <v/>
      </c>
      <c r="K180" s="12">
        <f>IF(A180="","",IF(COUNTIF(DATA!$D$2:$D$500,A180)=0,"CEK SKU tidak ada di DATA",IF(COUNT(C180:E180)&lt;3,"CEK dimensi belum lengkap",IF(OR(C180&lt;=0,D180&lt;=0,E180&lt;=0),"CEK dimensi harus lebih dari 0",IF(COUNTIF($A$2:$A$500,A180)&gt;1,"CEK SKU dobel","OK")))))</f>
        <v/>
      </c>
    </row>
    <row r="181">
      <c r="A181" s="10" t="n"/>
      <c r="B181" s="12">
        <f>IF(A181="","",IFERROR(INDEX(DATA!$E$2:$E$500,MATCH(A181,DATA!$D$2:$D$500,0)),""))</f>
        <v/>
      </c>
      <c r="C181" s="10" t="n"/>
      <c r="D181" s="10" t="n"/>
      <c r="E181" s="10" t="n"/>
      <c r="F181" s="10" t="n"/>
      <c r="G181" s="10" t="n"/>
      <c r="H181" s="10" t="n"/>
      <c r="I181" s="10" t="n"/>
      <c r="J181" s="12">
        <f>IF(OR(A181="",COUNT(C181:E181)&lt;3),"",IFERROR(MAX(0,FLOOR(($N$2-$N$3)/E181,1))*MAX(1,MIN(IF(G181="",1,G181),FLOOR($N$4/D181,1)))*IF(F181="",1,F181),""))</f>
        <v/>
      </c>
      <c r="K181" s="12">
        <f>IF(A181="","",IF(COUNTIF(DATA!$D$2:$D$500,A181)=0,"CEK SKU tidak ada di DATA",IF(COUNT(C181:E181)&lt;3,"CEK dimensi belum lengkap",IF(OR(C181&lt;=0,D181&lt;=0,E181&lt;=0),"CEK dimensi harus lebih dari 0",IF(COUNTIF($A$2:$A$500,A181)&gt;1,"CEK SKU dobel","OK")))))</f>
        <v/>
      </c>
    </row>
    <row r="182">
      <c r="A182" s="10" t="n"/>
      <c r="B182" s="12">
        <f>IF(A182="","",IFERROR(INDEX(DATA!$E$2:$E$500,MATCH(A182,DATA!$D$2:$D$500,0)),""))</f>
        <v/>
      </c>
      <c r="C182" s="10" t="n"/>
      <c r="D182" s="10" t="n"/>
      <c r="E182" s="10" t="n"/>
      <c r="F182" s="10" t="n"/>
      <c r="G182" s="10" t="n"/>
      <c r="H182" s="10" t="n"/>
      <c r="I182" s="10" t="n"/>
      <c r="J182" s="12">
        <f>IF(OR(A182="",COUNT(C182:E182)&lt;3),"",IFERROR(MAX(0,FLOOR(($N$2-$N$3)/E182,1))*MAX(1,MIN(IF(G182="",1,G182),FLOOR($N$4/D182,1)))*IF(F182="",1,F182),""))</f>
        <v/>
      </c>
      <c r="K182" s="12">
        <f>IF(A182="","",IF(COUNTIF(DATA!$D$2:$D$500,A182)=0,"CEK SKU tidak ada di DATA",IF(COUNT(C182:E182)&lt;3,"CEK dimensi belum lengkap",IF(OR(C182&lt;=0,D182&lt;=0,E182&lt;=0),"CEK dimensi harus lebih dari 0",IF(COUNTIF($A$2:$A$500,A182)&gt;1,"CEK SKU dobel","OK")))))</f>
        <v/>
      </c>
    </row>
    <row r="183">
      <c r="A183" s="10" t="n"/>
      <c r="B183" s="12">
        <f>IF(A183="","",IFERROR(INDEX(DATA!$E$2:$E$500,MATCH(A183,DATA!$D$2:$D$500,0)),""))</f>
        <v/>
      </c>
      <c r="C183" s="10" t="n"/>
      <c r="D183" s="10" t="n"/>
      <c r="E183" s="10" t="n"/>
      <c r="F183" s="10" t="n"/>
      <c r="G183" s="10" t="n"/>
      <c r="H183" s="10" t="n"/>
      <c r="I183" s="10" t="n"/>
      <c r="J183" s="12">
        <f>IF(OR(A183="",COUNT(C183:E183)&lt;3),"",IFERROR(MAX(0,FLOOR(($N$2-$N$3)/E183,1))*MAX(1,MIN(IF(G183="",1,G183),FLOOR($N$4/D183,1)))*IF(F183="",1,F183),""))</f>
        <v/>
      </c>
      <c r="K183" s="12">
        <f>IF(A183="","",IF(COUNTIF(DATA!$D$2:$D$500,A183)=0,"CEK SKU tidak ada di DATA",IF(COUNT(C183:E183)&lt;3,"CEK dimensi belum lengkap",IF(OR(C183&lt;=0,D183&lt;=0,E183&lt;=0),"CEK dimensi harus lebih dari 0",IF(COUNTIF($A$2:$A$500,A183)&gt;1,"CEK SKU dobel","OK")))))</f>
        <v/>
      </c>
    </row>
    <row r="184">
      <c r="A184" s="10" t="n"/>
      <c r="B184" s="12">
        <f>IF(A184="","",IFERROR(INDEX(DATA!$E$2:$E$500,MATCH(A184,DATA!$D$2:$D$500,0)),""))</f>
        <v/>
      </c>
      <c r="C184" s="10" t="n"/>
      <c r="D184" s="10" t="n"/>
      <c r="E184" s="10" t="n"/>
      <c r="F184" s="10" t="n"/>
      <c r="G184" s="10" t="n"/>
      <c r="H184" s="10" t="n"/>
      <c r="I184" s="10" t="n"/>
      <c r="J184" s="12">
        <f>IF(OR(A184="",COUNT(C184:E184)&lt;3),"",IFERROR(MAX(0,FLOOR(($N$2-$N$3)/E184,1))*MAX(1,MIN(IF(G184="",1,G184),FLOOR($N$4/D184,1)))*IF(F184="",1,F184),""))</f>
        <v/>
      </c>
      <c r="K184" s="12">
        <f>IF(A184="","",IF(COUNTIF(DATA!$D$2:$D$500,A184)=0,"CEK SKU tidak ada di DATA",IF(COUNT(C184:E184)&lt;3,"CEK dimensi belum lengkap",IF(OR(C184&lt;=0,D184&lt;=0,E184&lt;=0),"CEK dimensi harus lebih dari 0",IF(COUNTIF($A$2:$A$500,A184)&gt;1,"CEK SKU dobel","OK")))))</f>
        <v/>
      </c>
    </row>
    <row r="185">
      <c r="A185" s="10" t="n"/>
      <c r="B185" s="12">
        <f>IF(A185="","",IFERROR(INDEX(DATA!$E$2:$E$500,MATCH(A185,DATA!$D$2:$D$500,0)),""))</f>
        <v/>
      </c>
      <c r="C185" s="10" t="n"/>
      <c r="D185" s="10" t="n"/>
      <c r="E185" s="10" t="n"/>
      <c r="F185" s="10" t="n"/>
      <c r="G185" s="10" t="n"/>
      <c r="H185" s="10" t="n"/>
      <c r="I185" s="10" t="n"/>
      <c r="J185" s="12">
        <f>IF(OR(A185="",COUNT(C185:E185)&lt;3),"",IFERROR(MAX(0,FLOOR(($N$2-$N$3)/E185,1))*MAX(1,MIN(IF(G185="",1,G185),FLOOR($N$4/D185,1)))*IF(F185="",1,F185),""))</f>
        <v/>
      </c>
      <c r="K185" s="12">
        <f>IF(A185="","",IF(COUNTIF(DATA!$D$2:$D$500,A185)=0,"CEK SKU tidak ada di DATA",IF(COUNT(C185:E185)&lt;3,"CEK dimensi belum lengkap",IF(OR(C185&lt;=0,D185&lt;=0,E185&lt;=0),"CEK dimensi harus lebih dari 0",IF(COUNTIF($A$2:$A$500,A185)&gt;1,"CEK SKU dobel","OK")))))</f>
        <v/>
      </c>
    </row>
    <row r="186">
      <c r="A186" s="10" t="n"/>
      <c r="B186" s="12">
        <f>IF(A186="","",IFERROR(INDEX(DATA!$E$2:$E$500,MATCH(A186,DATA!$D$2:$D$500,0)),""))</f>
        <v/>
      </c>
      <c r="C186" s="10" t="n"/>
      <c r="D186" s="10" t="n"/>
      <c r="E186" s="10" t="n"/>
      <c r="F186" s="10" t="n"/>
      <c r="G186" s="10" t="n"/>
      <c r="H186" s="10" t="n"/>
      <c r="I186" s="10" t="n"/>
      <c r="J186" s="12">
        <f>IF(OR(A186="",COUNT(C186:E186)&lt;3),"",IFERROR(MAX(0,FLOOR(($N$2-$N$3)/E186,1))*MAX(1,MIN(IF(G186="",1,G186),FLOOR($N$4/D186,1)))*IF(F186="",1,F186),""))</f>
        <v/>
      </c>
      <c r="K186" s="12">
        <f>IF(A186="","",IF(COUNTIF(DATA!$D$2:$D$500,A186)=0,"CEK SKU tidak ada di DATA",IF(COUNT(C186:E186)&lt;3,"CEK dimensi belum lengkap",IF(OR(C186&lt;=0,D186&lt;=0,E186&lt;=0),"CEK dimensi harus lebih dari 0",IF(COUNTIF($A$2:$A$500,A186)&gt;1,"CEK SKU dobel","OK")))))</f>
        <v/>
      </c>
    </row>
    <row r="187">
      <c r="A187" s="10" t="n"/>
      <c r="B187" s="12">
        <f>IF(A187="","",IFERROR(INDEX(DATA!$E$2:$E$500,MATCH(A187,DATA!$D$2:$D$500,0)),""))</f>
        <v/>
      </c>
      <c r="C187" s="10" t="n"/>
      <c r="D187" s="10" t="n"/>
      <c r="E187" s="10" t="n"/>
      <c r="F187" s="10" t="n"/>
      <c r="G187" s="10" t="n"/>
      <c r="H187" s="10" t="n"/>
      <c r="I187" s="10" t="n"/>
      <c r="J187" s="12">
        <f>IF(OR(A187="",COUNT(C187:E187)&lt;3),"",IFERROR(MAX(0,FLOOR(($N$2-$N$3)/E187,1))*MAX(1,MIN(IF(G187="",1,G187),FLOOR($N$4/D187,1)))*IF(F187="",1,F187),""))</f>
        <v/>
      </c>
      <c r="K187" s="12">
        <f>IF(A187="","",IF(COUNTIF(DATA!$D$2:$D$500,A187)=0,"CEK SKU tidak ada di DATA",IF(COUNT(C187:E187)&lt;3,"CEK dimensi belum lengkap",IF(OR(C187&lt;=0,D187&lt;=0,E187&lt;=0),"CEK dimensi harus lebih dari 0",IF(COUNTIF($A$2:$A$500,A187)&gt;1,"CEK SKU dobel","OK")))))</f>
        <v/>
      </c>
    </row>
    <row r="188">
      <c r="A188" s="10" t="n"/>
      <c r="B188" s="12">
        <f>IF(A188="","",IFERROR(INDEX(DATA!$E$2:$E$500,MATCH(A188,DATA!$D$2:$D$500,0)),""))</f>
        <v/>
      </c>
      <c r="C188" s="10" t="n"/>
      <c r="D188" s="10" t="n"/>
      <c r="E188" s="10" t="n"/>
      <c r="F188" s="10" t="n"/>
      <c r="G188" s="10" t="n"/>
      <c r="H188" s="10" t="n"/>
      <c r="I188" s="10" t="n"/>
      <c r="J188" s="12">
        <f>IF(OR(A188="",COUNT(C188:E188)&lt;3),"",IFERROR(MAX(0,FLOOR(($N$2-$N$3)/E188,1))*MAX(1,MIN(IF(G188="",1,G188),FLOOR($N$4/D188,1)))*IF(F188="",1,F188),""))</f>
        <v/>
      </c>
      <c r="K188" s="12">
        <f>IF(A188="","",IF(COUNTIF(DATA!$D$2:$D$500,A188)=0,"CEK SKU tidak ada di DATA",IF(COUNT(C188:E188)&lt;3,"CEK dimensi belum lengkap",IF(OR(C188&lt;=0,D188&lt;=0,E188&lt;=0),"CEK dimensi harus lebih dari 0",IF(COUNTIF($A$2:$A$500,A188)&gt;1,"CEK SKU dobel","OK")))))</f>
        <v/>
      </c>
    </row>
    <row r="189">
      <c r="A189" s="10" t="n"/>
      <c r="B189" s="12">
        <f>IF(A189="","",IFERROR(INDEX(DATA!$E$2:$E$500,MATCH(A189,DATA!$D$2:$D$500,0)),""))</f>
        <v/>
      </c>
      <c r="C189" s="10" t="n"/>
      <c r="D189" s="10" t="n"/>
      <c r="E189" s="10" t="n"/>
      <c r="F189" s="10" t="n"/>
      <c r="G189" s="10" t="n"/>
      <c r="H189" s="10" t="n"/>
      <c r="I189" s="10" t="n"/>
      <c r="J189" s="12">
        <f>IF(OR(A189="",COUNT(C189:E189)&lt;3),"",IFERROR(MAX(0,FLOOR(($N$2-$N$3)/E189,1))*MAX(1,MIN(IF(G189="",1,G189),FLOOR($N$4/D189,1)))*IF(F189="",1,F189),""))</f>
        <v/>
      </c>
      <c r="K189" s="12">
        <f>IF(A189="","",IF(COUNTIF(DATA!$D$2:$D$500,A189)=0,"CEK SKU tidak ada di DATA",IF(COUNT(C189:E189)&lt;3,"CEK dimensi belum lengkap",IF(OR(C189&lt;=0,D189&lt;=0,E189&lt;=0),"CEK dimensi harus lebih dari 0",IF(COUNTIF($A$2:$A$500,A189)&gt;1,"CEK SKU dobel","OK")))))</f>
        <v/>
      </c>
    </row>
    <row r="190">
      <c r="A190" s="10" t="n"/>
      <c r="B190" s="12">
        <f>IF(A190="","",IFERROR(INDEX(DATA!$E$2:$E$500,MATCH(A190,DATA!$D$2:$D$500,0)),""))</f>
        <v/>
      </c>
      <c r="C190" s="10" t="n"/>
      <c r="D190" s="10" t="n"/>
      <c r="E190" s="10" t="n"/>
      <c r="F190" s="10" t="n"/>
      <c r="G190" s="10" t="n"/>
      <c r="H190" s="10" t="n"/>
      <c r="I190" s="10" t="n"/>
      <c r="J190" s="12">
        <f>IF(OR(A190="",COUNT(C190:E190)&lt;3),"",IFERROR(MAX(0,FLOOR(($N$2-$N$3)/E190,1))*MAX(1,MIN(IF(G190="",1,G190),FLOOR($N$4/D190,1)))*IF(F190="",1,F190),""))</f>
        <v/>
      </c>
      <c r="K190" s="12">
        <f>IF(A190="","",IF(COUNTIF(DATA!$D$2:$D$500,A190)=0,"CEK SKU tidak ada di DATA",IF(COUNT(C190:E190)&lt;3,"CEK dimensi belum lengkap",IF(OR(C190&lt;=0,D190&lt;=0,E190&lt;=0),"CEK dimensi harus lebih dari 0",IF(COUNTIF($A$2:$A$500,A190)&gt;1,"CEK SKU dobel","OK")))))</f>
        <v/>
      </c>
    </row>
    <row r="191">
      <c r="A191" s="10" t="n"/>
      <c r="B191" s="12">
        <f>IF(A191="","",IFERROR(INDEX(DATA!$E$2:$E$500,MATCH(A191,DATA!$D$2:$D$500,0)),""))</f>
        <v/>
      </c>
      <c r="C191" s="10" t="n"/>
      <c r="D191" s="10" t="n"/>
      <c r="E191" s="10" t="n"/>
      <c r="F191" s="10" t="n"/>
      <c r="G191" s="10" t="n"/>
      <c r="H191" s="10" t="n"/>
      <c r="I191" s="10" t="n"/>
      <c r="J191" s="12">
        <f>IF(OR(A191="",COUNT(C191:E191)&lt;3),"",IFERROR(MAX(0,FLOOR(($N$2-$N$3)/E191,1))*MAX(1,MIN(IF(G191="",1,G191),FLOOR($N$4/D191,1)))*IF(F191="",1,F191),""))</f>
        <v/>
      </c>
      <c r="K191" s="12">
        <f>IF(A191="","",IF(COUNTIF(DATA!$D$2:$D$500,A191)=0,"CEK SKU tidak ada di DATA",IF(COUNT(C191:E191)&lt;3,"CEK dimensi belum lengkap",IF(OR(C191&lt;=0,D191&lt;=0,E191&lt;=0),"CEK dimensi harus lebih dari 0",IF(COUNTIF($A$2:$A$500,A191)&gt;1,"CEK SKU dobel","OK")))))</f>
        <v/>
      </c>
    </row>
    <row r="192">
      <c r="A192" s="10" t="n"/>
      <c r="B192" s="12">
        <f>IF(A192="","",IFERROR(INDEX(DATA!$E$2:$E$500,MATCH(A192,DATA!$D$2:$D$500,0)),""))</f>
        <v/>
      </c>
      <c r="C192" s="10" t="n"/>
      <c r="D192" s="10" t="n"/>
      <c r="E192" s="10" t="n"/>
      <c r="F192" s="10" t="n"/>
      <c r="G192" s="10" t="n"/>
      <c r="H192" s="10" t="n"/>
      <c r="I192" s="10" t="n"/>
      <c r="J192" s="12">
        <f>IF(OR(A192="",COUNT(C192:E192)&lt;3),"",IFERROR(MAX(0,FLOOR(($N$2-$N$3)/E192,1))*MAX(1,MIN(IF(G192="",1,G192),FLOOR($N$4/D192,1)))*IF(F192="",1,F192),""))</f>
        <v/>
      </c>
      <c r="K192" s="12">
        <f>IF(A192="","",IF(COUNTIF(DATA!$D$2:$D$500,A192)=0,"CEK SKU tidak ada di DATA",IF(COUNT(C192:E192)&lt;3,"CEK dimensi belum lengkap",IF(OR(C192&lt;=0,D192&lt;=0,E192&lt;=0),"CEK dimensi harus lebih dari 0",IF(COUNTIF($A$2:$A$500,A192)&gt;1,"CEK SKU dobel","OK")))))</f>
        <v/>
      </c>
    </row>
    <row r="193">
      <c r="A193" s="10" t="n"/>
      <c r="B193" s="12">
        <f>IF(A193="","",IFERROR(INDEX(DATA!$E$2:$E$500,MATCH(A193,DATA!$D$2:$D$500,0)),""))</f>
        <v/>
      </c>
      <c r="C193" s="10" t="n"/>
      <c r="D193" s="10" t="n"/>
      <c r="E193" s="10" t="n"/>
      <c r="F193" s="10" t="n"/>
      <c r="G193" s="10" t="n"/>
      <c r="H193" s="10" t="n"/>
      <c r="I193" s="10" t="n"/>
      <c r="J193" s="12">
        <f>IF(OR(A193="",COUNT(C193:E193)&lt;3),"",IFERROR(MAX(0,FLOOR(($N$2-$N$3)/E193,1))*MAX(1,MIN(IF(G193="",1,G193),FLOOR($N$4/D193,1)))*IF(F193="",1,F193),""))</f>
        <v/>
      </c>
      <c r="K193" s="12">
        <f>IF(A193="","",IF(COUNTIF(DATA!$D$2:$D$500,A193)=0,"CEK SKU tidak ada di DATA",IF(COUNT(C193:E193)&lt;3,"CEK dimensi belum lengkap",IF(OR(C193&lt;=0,D193&lt;=0,E193&lt;=0),"CEK dimensi harus lebih dari 0",IF(COUNTIF($A$2:$A$500,A193)&gt;1,"CEK SKU dobel","OK")))))</f>
        <v/>
      </c>
    </row>
    <row r="194">
      <c r="A194" s="10" t="n"/>
      <c r="B194" s="12">
        <f>IF(A194="","",IFERROR(INDEX(DATA!$E$2:$E$500,MATCH(A194,DATA!$D$2:$D$500,0)),""))</f>
        <v/>
      </c>
      <c r="C194" s="10" t="n"/>
      <c r="D194" s="10" t="n"/>
      <c r="E194" s="10" t="n"/>
      <c r="F194" s="10" t="n"/>
      <c r="G194" s="10" t="n"/>
      <c r="H194" s="10" t="n"/>
      <c r="I194" s="10" t="n"/>
      <c r="J194" s="12">
        <f>IF(OR(A194="",COUNT(C194:E194)&lt;3),"",IFERROR(MAX(0,FLOOR(($N$2-$N$3)/E194,1))*MAX(1,MIN(IF(G194="",1,G194),FLOOR($N$4/D194,1)))*IF(F194="",1,F194),""))</f>
        <v/>
      </c>
      <c r="K194" s="12">
        <f>IF(A194="","",IF(COUNTIF(DATA!$D$2:$D$500,A194)=0,"CEK SKU tidak ada di DATA",IF(COUNT(C194:E194)&lt;3,"CEK dimensi belum lengkap",IF(OR(C194&lt;=0,D194&lt;=0,E194&lt;=0),"CEK dimensi harus lebih dari 0",IF(COUNTIF($A$2:$A$500,A194)&gt;1,"CEK SKU dobel","OK")))))</f>
        <v/>
      </c>
    </row>
    <row r="195">
      <c r="A195" s="10" t="n"/>
      <c r="B195" s="12">
        <f>IF(A195="","",IFERROR(INDEX(DATA!$E$2:$E$500,MATCH(A195,DATA!$D$2:$D$500,0)),""))</f>
        <v/>
      </c>
      <c r="C195" s="10" t="n"/>
      <c r="D195" s="10" t="n"/>
      <c r="E195" s="10" t="n"/>
      <c r="F195" s="10" t="n"/>
      <c r="G195" s="10" t="n"/>
      <c r="H195" s="10" t="n"/>
      <c r="I195" s="10" t="n"/>
      <c r="J195" s="12">
        <f>IF(OR(A195="",COUNT(C195:E195)&lt;3),"",IFERROR(MAX(0,FLOOR(($N$2-$N$3)/E195,1))*MAX(1,MIN(IF(G195="",1,G195),FLOOR($N$4/D195,1)))*IF(F195="",1,F195),""))</f>
        <v/>
      </c>
      <c r="K195" s="12">
        <f>IF(A195="","",IF(COUNTIF(DATA!$D$2:$D$500,A195)=0,"CEK SKU tidak ada di DATA",IF(COUNT(C195:E195)&lt;3,"CEK dimensi belum lengkap",IF(OR(C195&lt;=0,D195&lt;=0,E195&lt;=0),"CEK dimensi harus lebih dari 0",IF(COUNTIF($A$2:$A$500,A195)&gt;1,"CEK SKU dobel","OK")))))</f>
        <v/>
      </c>
    </row>
    <row r="196">
      <c r="A196" s="10" t="n"/>
      <c r="B196" s="12">
        <f>IF(A196="","",IFERROR(INDEX(DATA!$E$2:$E$500,MATCH(A196,DATA!$D$2:$D$500,0)),""))</f>
        <v/>
      </c>
      <c r="C196" s="10" t="n"/>
      <c r="D196" s="10" t="n"/>
      <c r="E196" s="10" t="n"/>
      <c r="F196" s="10" t="n"/>
      <c r="G196" s="10" t="n"/>
      <c r="H196" s="10" t="n"/>
      <c r="I196" s="10" t="n"/>
      <c r="J196" s="12">
        <f>IF(OR(A196="",COUNT(C196:E196)&lt;3),"",IFERROR(MAX(0,FLOOR(($N$2-$N$3)/E196,1))*MAX(1,MIN(IF(G196="",1,G196),FLOOR($N$4/D196,1)))*IF(F196="",1,F196),""))</f>
        <v/>
      </c>
      <c r="K196" s="12">
        <f>IF(A196="","",IF(COUNTIF(DATA!$D$2:$D$500,A196)=0,"CEK SKU tidak ada di DATA",IF(COUNT(C196:E196)&lt;3,"CEK dimensi belum lengkap",IF(OR(C196&lt;=0,D196&lt;=0,E196&lt;=0),"CEK dimensi harus lebih dari 0",IF(COUNTIF($A$2:$A$500,A196)&gt;1,"CEK SKU dobel","OK")))))</f>
        <v/>
      </c>
    </row>
    <row r="197">
      <c r="A197" s="10" t="n"/>
      <c r="B197" s="12">
        <f>IF(A197="","",IFERROR(INDEX(DATA!$E$2:$E$500,MATCH(A197,DATA!$D$2:$D$500,0)),""))</f>
        <v/>
      </c>
      <c r="C197" s="10" t="n"/>
      <c r="D197" s="10" t="n"/>
      <c r="E197" s="10" t="n"/>
      <c r="F197" s="10" t="n"/>
      <c r="G197" s="10" t="n"/>
      <c r="H197" s="10" t="n"/>
      <c r="I197" s="10" t="n"/>
      <c r="J197" s="12">
        <f>IF(OR(A197="",COUNT(C197:E197)&lt;3),"",IFERROR(MAX(0,FLOOR(($N$2-$N$3)/E197,1))*MAX(1,MIN(IF(G197="",1,G197),FLOOR($N$4/D197,1)))*IF(F197="",1,F197),""))</f>
        <v/>
      </c>
      <c r="K197" s="12">
        <f>IF(A197="","",IF(COUNTIF(DATA!$D$2:$D$500,A197)=0,"CEK SKU tidak ada di DATA",IF(COUNT(C197:E197)&lt;3,"CEK dimensi belum lengkap",IF(OR(C197&lt;=0,D197&lt;=0,E197&lt;=0),"CEK dimensi harus lebih dari 0",IF(COUNTIF($A$2:$A$500,A197)&gt;1,"CEK SKU dobel","OK")))))</f>
        <v/>
      </c>
    </row>
    <row r="198">
      <c r="A198" s="10" t="n"/>
      <c r="B198" s="12">
        <f>IF(A198="","",IFERROR(INDEX(DATA!$E$2:$E$500,MATCH(A198,DATA!$D$2:$D$500,0)),""))</f>
        <v/>
      </c>
      <c r="C198" s="10" t="n"/>
      <c r="D198" s="10" t="n"/>
      <c r="E198" s="10" t="n"/>
      <c r="F198" s="10" t="n"/>
      <c r="G198" s="10" t="n"/>
      <c r="H198" s="10" t="n"/>
      <c r="I198" s="10" t="n"/>
      <c r="J198" s="12">
        <f>IF(OR(A198="",COUNT(C198:E198)&lt;3),"",IFERROR(MAX(0,FLOOR(($N$2-$N$3)/E198,1))*MAX(1,MIN(IF(G198="",1,G198),FLOOR($N$4/D198,1)))*IF(F198="",1,F198),""))</f>
        <v/>
      </c>
      <c r="K198" s="12">
        <f>IF(A198="","",IF(COUNTIF(DATA!$D$2:$D$500,A198)=0,"CEK SKU tidak ada di DATA",IF(COUNT(C198:E198)&lt;3,"CEK dimensi belum lengkap",IF(OR(C198&lt;=0,D198&lt;=0,E198&lt;=0),"CEK dimensi harus lebih dari 0",IF(COUNTIF($A$2:$A$500,A198)&gt;1,"CEK SKU dobel","OK")))))</f>
        <v/>
      </c>
    </row>
    <row r="199">
      <c r="A199" s="10" t="n"/>
      <c r="B199" s="12">
        <f>IF(A199="","",IFERROR(INDEX(DATA!$E$2:$E$500,MATCH(A199,DATA!$D$2:$D$500,0)),""))</f>
        <v/>
      </c>
      <c r="C199" s="10" t="n"/>
      <c r="D199" s="10" t="n"/>
      <c r="E199" s="10" t="n"/>
      <c r="F199" s="10" t="n"/>
      <c r="G199" s="10" t="n"/>
      <c r="H199" s="10" t="n"/>
      <c r="I199" s="10" t="n"/>
      <c r="J199" s="12">
        <f>IF(OR(A199="",COUNT(C199:E199)&lt;3),"",IFERROR(MAX(0,FLOOR(($N$2-$N$3)/E199,1))*MAX(1,MIN(IF(G199="",1,G199),FLOOR($N$4/D199,1)))*IF(F199="",1,F199),""))</f>
        <v/>
      </c>
      <c r="K199" s="12">
        <f>IF(A199="","",IF(COUNTIF(DATA!$D$2:$D$500,A199)=0,"CEK SKU tidak ada di DATA",IF(COUNT(C199:E199)&lt;3,"CEK dimensi belum lengkap",IF(OR(C199&lt;=0,D199&lt;=0,E199&lt;=0),"CEK dimensi harus lebih dari 0",IF(COUNTIF($A$2:$A$500,A199)&gt;1,"CEK SKU dobel","OK")))))</f>
        <v/>
      </c>
    </row>
    <row r="200">
      <c r="A200" s="10" t="n"/>
      <c r="B200" s="12">
        <f>IF(A200="","",IFERROR(INDEX(DATA!$E$2:$E$500,MATCH(A200,DATA!$D$2:$D$500,0)),""))</f>
        <v/>
      </c>
      <c r="C200" s="10" t="n"/>
      <c r="D200" s="10" t="n"/>
      <c r="E200" s="10" t="n"/>
      <c r="F200" s="10" t="n"/>
      <c r="G200" s="10" t="n"/>
      <c r="H200" s="10" t="n"/>
      <c r="I200" s="10" t="n"/>
      <c r="J200" s="12">
        <f>IF(OR(A200="",COUNT(C200:E200)&lt;3),"",IFERROR(MAX(0,FLOOR(($N$2-$N$3)/E200,1))*MAX(1,MIN(IF(G200="",1,G200),FLOOR($N$4/D200,1)))*IF(F200="",1,F200),""))</f>
        <v/>
      </c>
      <c r="K200" s="12">
        <f>IF(A200="","",IF(COUNTIF(DATA!$D$2:$D$500,A200)=0,"CEK SKU tidak ada di DATA",IF(COUNT(C200:E200)&lt;3,"CEK dimensi belum lengkap",IF(OR(C200&lt;=0,D200&lt;=0,E200&lt;=0),"CEK dimensi harus lebih dari 0",IF(COUNTIF($A$2:$A$500,A200)&gt;1,"CEK SKU dobel","OK")))))</f>
        <v/>
      </c>
    </row>
    <row r="201">
      <c r="A201" s="10" t="n"/>
      <c r="B201" s="12">
        <f>IF(A201="","",IFERROR(INDEX(DATA!$E$2:$E$500,MATCH(A201,DATA!$D$2:$D$500,0)),""))</f>
        <v/>
      </c>
      <c r="C201" s="10" t="n"/>
      <c r="D201" s="10" t="n"/>
      <c r="E201" s="10" t="n"/>
      <c r="F201" s="10" t="n"/>
      <c r="G201" s="10" t="n"/>
      <c r="H201" s="10" t="n"/>
      <c r="I201" s="10" t="n"/>
      <c r="J201" s="12">
        <f>IF(OR(A201="",COUNT(C201:E201)&lt;3),"",IFERROR(MAX(0,FLOOR(($N$2-$N$3)/E201,1))*MAX(1,MIN(IF(G201="",1,G201),FLOOR($N$4/D201,1)))*IF(F201="",1,F201),""))</f>
        <v/>
      </c>
      <c r="K201" s="12">
        <f>IF(A201="","",IF(COUNTIF(DATA!$D$2:$D$500,A201)=0,"CEK SKU tidak ada di DATA",IF(COUNT(C201:E201)&lt;3,"CEK dimensi belum lengkap",IF(OR(C201&lt;=0,D201&lt;=0,E201&lt;=0),"CEK dimensi harus lebih dari 0",IF(COUNTIF($A$2:$A$500,A201)&gt;1,"CEK SKU dobel","OK")))))</f>
        <v/>
      </c>
    </row>
    <row r="202">
      <c r="A202" s="10" t="n"/>
      <c r="B202" s="12">
        <f>IF(A202="","",IFERROR(INDEX(DATA!$E$2:$E$500,MATCH(A202,DATA!$D$2:$D$500,0)),""))</f>
        <v/>
      </c>
      <c r="C202" s="10" t="n"/>
      <c r="D202" s="10" t="n"/>
      <c r="E202" s="10" t="n"/>
      <c r="F202" s="10" t="n"/>
      <c r="G202" s="10" t="n"/>
      <c r="H202" s="10" t="n"/>
      <c r="I202" s="10" t="n"/>
      <c r="J202" s="12">
        <f>IF(OR(A202="",COUNT(C202:E202)&lt;3),"",IFERROR(MAX(0,FLOOR(($N$2-$N$3)/E202,1))*MAX(1,MIN(IF(G202="",1,G202),FLOOR($N$4/D202,1)))*IF(F202="",1,F202),""))</f>
        <v/>
      </c>
      <c r="K202" s="12">
        <f>IF(A202="","",IF(COUNTIF(DATA!$D$2:$D$500,A202)=0,"CEK SKU tidak ada di DATA",IF(COUNT(C202:E202)&lt;3,"CEK dimensi belum lengkap",IF(OR(C202&lt;=0,D202&lt;=0,E202&lt;=0),"CEK dimensi harus lebih dari 0",IF(COUNTIF($A$2:$A$500,A202)&gt;1,"CEK SKU dobel","OK")))))</f>
        <v/>
      </c>
    </row>
    <row r="203">
      <c r="A203" s="10" t="n"/>
      <c r="B203" s="12">
        <f>IF(A203="","",IFERROR(INDEX(DATA!$E$2:$E$500,MATCH(A203,DATA!$D$2:$D$500,0)),""))</f>
        <v/>
      </c>
      <c r="C203" s="10" t="n"/>
      <c r="D203" s="10" t="n"/>
      <c r="E203" s="10" t="n"/>
      <c r="F203" s="10" t="n"/>
      <c r="G203" s="10" t="n"/>
      <c r="H203" s="10" t="n"/>
      <c r="I203" s="10" t="n"/>
      <c r="J203" s="12">
        <f>IF(OR(A203="",COUNT(C203:E203)&lt;3),"",IFERROR(MAX(0,FLOOR(($N$2-$N$3)/E203,1))*MAX(1,MIN(IF(G203="",1,G203),FLOOR($N$4/D203,1)))*IF(F203="",1,F203),""))</f>
        <v/>
      </c>
      <c r="K203" s="12">
        <f>IF(A203="","",IF(COUNTIF(DATA!$D$2:$D$500,A203)=0,"CEK SKU tidak ada di DATA",IF(COUNT(C203:E203)&lt;3,"CEK dimensi belum lengkap",IF(OR(C203&lt;=0,D203&lt;=0,E203&lt;=0),"CEK dimensi harus lebih dari 0",IF(COUNTIF($A$2:$A$500,A203)&gt;1,"CEK SKU dobel","OK")))))</f>
        <v/>
      </c>
    </row>
    <row r="204">
      <c r="A204" s="10" t="n"/>
      <c r="B204" s="12">
        <f>IF(A204="","",IFERROR(INDEX(DATA!$E$2:$E$500,MATCH(A204,DATA!$D$2:$D$500,0)),""))</f>
        <v/>
      </c>
      <c r="C204" s="10" t="n"/>
      <c r="D204" s="10" t="n"/>
      <c r="E204" s="10" t="n"/>
      <c r="F204" s="10" t="n"/>
      <c r="G204" s="10" t="n"/>
      <c r="H204" s="10" t="n"/>
      <c r="I204" s="10" t="n"/>
      <c r="J204" s="12">
        <f>IF(OR(A204="",COUNT(C204:E204)&lt;3),"",IFERROR(MAX(0,FLOOR(($N$2-$N$3)/E204,1))*MAX(1,MIN(IF(G204="",1,G204),FLOOR($N$4/D204,1)))*IF(F204="",1,F204),""))</f>
        <v/>
      </c>
      <c r="K204" s="12">
        <f>IF(A204="","",IF(COUNTIF(DATA!$D$2:$D$500,A204)=0,"CEK SKU tidak ada di DATA",IF(COUNT(C204:E204)&lt;3,"CEK dimensi belum lengkap",IF(OR(C204&lt;=0,D204&lt;=0,E204&lt;=0),"CEK dimensi harus lebih dari 0",IF(COUNTIF($A$2:$A$500,A204)&gt;1,"CEK SKU dobel","OK")))))</f>
        <v/>
      </c>
    </row>
    <row r="205">
      <c r="A205" s="10" t="n"/>
      <c r="B205" s="12">
        <f>IF(A205="","",IFERROR(INDEX(DATA!$E$2:$E$500,MATCH(A205,DATA!$D$2:$D$500,0)),""))</f>
        <v/>
      </c>
      <c r="C205" s="10" t="n"/>
      <c r="D205" s="10" t="n"/>
      <c r="E205" s="10" t="n"/>
      <c r="F205" s="10" t="n"/>
      <c r="G205" s="10" t="n"/>
      <c r="H205" s="10" t="n"/>
      <c r="I205" s="10" t="n"/>
      <c r="J205" s="12">
        <f>IF(OR(A205="",COUNT(C205:E205)&lt;3),"",IFERROR(MAX(0,FLOOR(($N$2-$N$3)/E205,1))*MAX(1,MIN(IF(G205="",1,G205),FLOOR($N$4/D205,1)))*IF(F205="",1,F205),""))</f>
        <v/>
      </c>
      <c r="K205" s="12">
        <f>IF(A205="","",IF(COUNTIF(DATA!$D$2:$D$500,A205)=0,"CEK SKU tidak ada di DATA",IF(COUNT(C205:E205)&lt;3,"CEK dimensi belum lengkap",IF(OR(C205&lt;=0,D205&lt;=0,E205&lt;=0),"CEK dimensi harus lebih dari 0",IF(COUNTIF($A$2:$A$500,A205)&gt;1,"CEK SKU dobel","OK")))))</f>
        <v/>
      </c>
    </row>
    <row r="206">
      <c r="A206" s="10" t="n"/>
      <c r="B206" s="12">
        <f>IF(A206="","",IFERROR(INDEX(DATA!$E$2:$E$500,MATCH(A206,DATA!$D$2:$D$500,0)),""))</f>
        <v/>
      </c>
      <c r="C206" s="10" t="n"/>
      <c r="D206" s="10" t="n"/>
      <c r="E206" s="10" t="n"/>
      <c r="F206" s="10" t="n"/>
      <c r="G206" s="10" t="n"/>
      <c r="H206" s="10" t="n"/>
      <c r="I206" s="10" t="n"/>
      <c r="J206" s="12">
        <f>IF(OR(A206="",COUNT(C206:E206)&lt;3),"",IFERROR(MAX(0,FLOOR(($N$2-$N$3)/E206,1))*MAX(1,MIN(IF(G206="",1,G206),FLOOR($N$4/D206,1)))*IF(F206="",1,F206),""))</f>
        <v/>
      </c>
      <c r="K206" s="12">
        <f>IF(A206="","",IF(COUNTIF(DATA!$D$2:$D$500,A206)=0,"CEK SKU tidak ada di DATA",IF(COUNT(C206:E206)&lt;3,"CEK dimensi belum lengkap",IF(OR(C206&lt;=0,D206&lt;=0,E206&lt;=0),"CEK dimensi harus lebih dari 0",IF(COUNTIF($A$2:$A$500,A206)&gt;1,"CEK SKU dobel","OK")))))</f>
        <v/>
      </c>
    </row>
    <row r="207">
      <c r="A207" s="10" t="n"/>
      <c r="B207" s="12">
        <f>IF(A207="","",IFERROR(INDEX(DATA!$E$2:$E$500,MATCH(A207,DATA!$D$2:$D$500,0)),""))</f>
        <v/>
      </c>
      <c r="C207" s="10" t="n"/>
      <c r="D207" s="10" t="n"/>
      <c r="E207" s="10" t="n"/>
      <c r="F207" s="10" t="n"/>
      <c r="G207" s="10" t="n"/>
      <c r="H207" s="10" t="n"/>
      <c r="I207" s="10" t="n"/>
      <c r="J207" s="12">
        <f>IF(OR(A207="",COUNT(C207:E207)&lt;3),"",IFERROR(MAX(0,FLOOR(($N$2-$N$3)/E207,1))*MAX(1,MIN(IF(G207="",1,G207),FLOOR($N$4/D207,1)))*IF(F207="",1,F207),""))</f>
        <v/>
      </c>
      <c r="K207" s="12">
        <f>IF(A207="","",IF(COUNTIF(DATA!$D$2:$D$500,A207)=0,"CEK SKU tidak ada di DATA",IF(COUNT(C207:E207)&lt;3,"CEK dimensi belum lengkap",IF(OR(C207&lt;=0,D207&lt;=0,E207&lt;=0),"CEK dimensi harus lebih dari 0",IF(COUNTIF($A$2:$A$500,A207)&gt;1,"CEK SKU dobel","OK")))))</f>
        <v/>
      </c>
    </row>
    <row r="208">
      <c r="A208" s="10" t="n"/>
      <c r="B208" s="12">
        <f>IF(A208="","",IFERROR(INDEX(DATA!$E$2:$E$500,MATCH(A208,DATA!$D$2:$D$500,0)),""))</f>
        <v/>
      </c>
      <c r="C208" s="10" t="n"/>
      <c r="D208" s="10" t="n"/>
      <c r="E208" s="10" t="n"/>
      <c r="F208" s="10" t="n"/>
      <c r="G208" s="10" t="n"/>
      <c r="H208" s="10" t="n"/>
      <c r="I208" s="10" t="n"/>
      <c r="J208" s="12">
        <f>IF(OR(A208="",COUNT(C208:E208)&lt;3),"",IFERROR(MAX(0,FLOOR(($N$2-$N$3)/E208,1))*MAX(1,MIN(IF(G208="",1,G208),FLOOR($N$4/D208,1)))*IF(F208="",1,F208),""))</f>
        <v/>
      </c>
      <c r="K208" s="12">
        <f>IF(A208="","",IF(COUNTIF(DATA!$D$2:$D$500,A208)=0,"CEK SKU tidak ada di DATA",IF(COUNT(C208:E208)&lt;3,"CEK dimensi belum lengkap",IF(OR(C208&lt;=0,D208&lt;=0,E208&lt;=0),"CEK dimensi harus lebih dari 0",IF(COUNTIF($A$2:$A$500,A208)&gt;1,"CEK SKU dobel","OK")))))</f>
        <v/>
      </c>
    </row>
    <row r="209">
      <c r="A209" s="10" t="n"/>
      <c r="B209" s="12">
        <f>IF(A209="","",IFERROR(INDEX(DATA!$E$2:$E$500,MATCH(A209,DATA!$D$2:$D$500,0)),""))</f>
        <v/>
      </c>
      <c r="C209" s="10" t="n"/>
      <c r="D209" s="10" t="n"/>
      <c r="E209" s="10" t="n"/>
      <c r="F209" s="10" t="n"/>
      <c r="G209" s="10" t="n"/>
      <c r="H209" s="10" t="n"/>
      <c r="I209" s="10" t="n"/>
      <c r="J209" s="12">
        <f>IF(OR(A209="",COUNT(C209:E209)&lt;3),"",IFERROR(MAX(0,FLOOR(($N$2-$N$3)/E209,1))*MAX(1,MIN(IF(G209="",1,G209),FLOOR($N$4/D209,1)))*IF(F209="",1,F209),""))</f>
        <v/>
      </c>
      <c r="K209" s="12">
        <f>IF(A209="","",IF(COUNTIF(DATA!$D$2:$D$500,A209)=0,"CEK SKU tidak ada di DATA",IF(COUNT(C209:E209)&lt;3,"CEK dimensi belum lengkap",IF(OR(C209&lt;=0,D209&lt;=0,E209&lt;=0),"CEK dimensi harus lebih dari 0",IF(COUNTIF($A$2:$A$500,A209)&gt;1,"CEK SKU dobel","OK")))))</f>
        <v/>
      </c>
    </row>
    <row r="210">
      <c r="A210" s="10" t="n"/>
      <c r="B210" s="12">
        <f>IF(A210="","",IFERROR(INDEX(DATA!$E$2:$E$500,MATCH(A210,DATA!$D$2:$D$500,0)),""))</f>
        <v/>
      </c>
      <c r="C210" s="10" t="n"/>
      <c r="D210" s="10" t="n"/>
      <c r="E210" s="10" t="n"/>
      <c r="F210" s="10" t="n"/>
      <c r="G210" s="10" t="n"/>
      <c r="H210" s="10" t="n"/>
      <c r="I210" s="10" t="n"/>
      <c r="J210" s="12">
        <f>IF(OR(A210="",COUNT(C210:E210)&lt;3),"",IFERROR(MAX(0,FLOOR(($N$2-$N$3)/E210,1))*MAX(1,MIN(IF(G210="",1,G210),FLOOR($N$4/D210,1)))*IF(F210="",1,F210),""))</f>
        <v/>
      </c>
      <c r="K210" s="12">
        <f>IF(A210="","",IF(COUNTIF(DATA!$D$2:$D$500,A210)=0,"CEK SKU tidak ada di DATA",IF(COUNT(C210:E210)&lt;3,"CEK dimensi belum lengkap",IF(OR(C210&lt;=0,D210&lt;=0,E210&lt;=0),"CEK dimensi harus lebih dari 0",IF(COUNTIF($A$2:$A$500,A210)&gt;1,"CEK SKU dobel","OK")))))</f>
        <v/>
      </c>
    </row>
    <row r="211">
      <c r="A211" s="10" t="n"/>
      <c r="B211" s="12">
        <f>IF(A211="","",IFERROR(INDEX(DATA!$E$2:$E$500,MATCH(A211,DATA!$D$2:$D$500,0)),""))</f>
        <v/>
      </c>
      <c r="C211" s="10" t="n"/>
      <c r="D211" s="10" t="n"/>
      <c r="E211" s="10" t="n"/>
      <c r="F211" s="10" t="n"/>
      <c r="G211" s="10" t="n"/>
      <c r="H211" s="10" t="n"/>
      <c r="I211" s="10" t="n"/>
      <c r="J211" s="12">
        <f>IF(OR(A211="",COUNT(C211:E211)&lt;3),"",IFERROR(MAX(0,FLOOR(($N$2-$N$3)/E211,1))*MAX(1,MIN(IF(G211="",1,G211),FLOOR($N$4/D211,1)))*IF(F211="",1,F211),""))</f>
        <v/>
      </c>
      <c r="K211" s="12">
        <f>IF(A211="","",IF(COUNTIF(DATA!$D$2:$D$500,A211)=0,"CEK SKU tidak ada di DATA",IF(COUNT(C211:E211)&lt;3,"CEK dimensi belum lengkap",IF(OR(C211&lt;=0,D211&lt;=0,E211&lt;=0),"CEK dimensi harus lebih dari 0",IF(COUNTIF($A$2:$A$500,A211)&gt;1,"CEK SKU dobel","OK")))))</f>
        <v/>
      </c>
    </row>
    <row r="212">
      <c r="A212" s="10" t="n"/>
      <c r="B212" s="12">
        <f>IF(A212="","",IFERROR(INDEX(DATA!$E$2:$E$500,MATCH(A212,DATA!$D$2:$D$500,0)),""))</f>
        <v/>
      </c>
      <c r="C212" s="10" t="n"/>
      <c r="D212" s="10" t="n"/>
      <c r="E212" s="10" t="n"/>
      <c r="F212" s="10" t="n"/>
      <c r="G212" s="10" t="n"/>
      <c r="H212" s="10" t="n"/>
      <c r="I212" s="10" t="n"/>
      <c r="J212" s="12">
        <f>IF(OR(A212="",COUNT(C212:E212)&lt;3),"",IFERROR(MAX(0,FLOOR(($N$2-$N$3)/E212,1))*MAX(1,MIN(IF(G212="",1,G212),FLOOR($N$4/D212,1)))*IF(F212="",1,F212),""))</f>
        <v/>
      </c>
      <c r="K212" s="12">
        <f>IF(A212="","",IF(COUNTIF(DATA!$D$2:$D$500,A212)=0,"CEK SKU tidak ada di DATA",IF(COUNT(C212:E212)&lt;3,"CEK dimensi belum lengkap",IF(OR(C212&lt;=0,D212&lt;=0,E212&lt;=0),"CEK dimensi harus lebih dari 0",IF(COUNTIF($A$2:$A$500,A212)&gt;1,"CEK SKU dobel","OK")))))</f>
        <v/>
      </c>
    </row>
    <row r="213">
      <c r="A213" s="10" t="n"/>
      <c r="B213" s="12">
        <f>IF(A213="","",IFERROR(INDEX(DATA!$E$2:$E$500,MATCH(A213,DATA!$D$2:$D$500,0)),""))</f>
        <v/>
      </c>
      <c r="C213" s="10" t="n"/>
      <c r="D213" s="10" t="n"/>
      <c r="E213" s="10" t="n"/>
      <c r="F213" s="10" t="n"/>
      <c r="G213" s="10" t="n"/>
      <c r="H213" s="10" t="n"/>
      <c r="I213" s="10" t="n"/>
      <c r="J213" s="12">
        <f>IF(OR(A213="",COUNT(C213:E213)&lt;3),"",IFERROR(MAX(0,FLOOR(($N$2-$N$3)/E213,1))*MAX(1,MIN(IF(G213="",1,G213),FLOOR($N$4/D213,1)))*IF(F213="",1,F213),""))</f>
        <v/>
      </c>
      <c r="K213" s="12">
        <f>IF(A213="","",IF(COUNTIF(DATA!$D$2:$D$500,A213)=0,"CEK SKU tidak ada di DATA",IF(COUNT(C213:E213)&lt;3,"CEK dimensi belum lengkap",IF(OR(C213&lt;=0,D213&lt;=0,E213&lt;=0),"CEK dimensi harus lebih dari 0",IF(COUNTIF($A$2:$A$500,A213)&gt;1,"CEK SKU dobel","OK")))))</f>
        <v/>
      </c>
    </row>
    <row r="214">
      <c r="A214" s="10" t="n"/>
      <c r="B214" s="12">
        <f>IF(A214="","",IFERROR(INDEX(DATA!$E$2:$E$500,MATCH(A214,DATA!$D$2:$D$500,0)),""))</f>
        <v/>
      </c>
      <c r="C214" s="10" t="n"/>
      <c r="D214" s="10" t="n"/>
      <c r="E214" s="10" t="n"/>
      <c r="F214" s="10" t="n"/>
      <c r="G214" s="10" t="n"/>
      <c r="H214" s="10" t="n"/>
      <c r="I214" s="10" t="n"/>
      <c r="J214" s="12">
        <f>IF(OR(A214="",COUNT(C214:E214)&lt;3),"",IFERROR(MAX(0,FLOOR(($N$2-$N$3)/E214,1))*MAX(1,MIN(IF(G214="",1,G214),FLOOR($N$4/D214,1)))*IF(F214="",1,F214),""))</f>
        <v/>
      </c>
      <c r="K214" s="12">
        <f>IF(A214="","",IF(COUNTIF(DATA!$D$2:$D$500,A214)=0,"CEK SKU tidak ada di DATA",IF(COUNT(C214:E214)&lt;3,"CEK dimensi belum lengkap",IF(OR(C214&lt;=0,D214&lt;=0,E214&lt;=0),"CEK dimensi harus lebih dari 0",IF(COUNTIF($A$2:$A$500,A214)&gt;1,"CEK SKU dobel","OK")))))</f>
        <v/>
      </c>
    </row>
    <row r="215">
      <c r="A215" s="10" t="n"/>
      <c r="B215" s="12">
        <f>IF(A215="","",IFERROR(INDEX(DATA!$E$2:$E$500,MATCH(A215,DATA!$D$2:$D$500,0)),""))</f>
        <v/>
      </c>
      <c r="C215" s="10" t="n"/>
      <c r="D215" s="10" t="n"/>
      <c r="E215" s="10" t="n"/>
      <c r="F215" s="10" t="n"/>
      <c r="G215" s="10" t="n"/>
      <c r="H215" s="10" t="n"/>
      <c r="I215" s="10" t="n"/>
      <c r="J215" s="12">
        <f>IF(OR(A215="",COUNT(C215:E215)&lt;3),"",IFERROR(MAX(0,FLOOR(($N$2-$N$3)/E215,1))*MAX(1,MIN(IF(G215="",1,G215),FLOOR($N$4/D215,1)))*IF(F215="",1,F215),""))</f>
        <v/>
      </c>
      <c r="K215" s="12">
        <f>IF(A215="","",IF(COUNTIF(DATA!$D$2:$D$500,A215)=0,"CEK SKU tidak ada di DATA",IF(COUNT(C215:E215)&lt;3,"CEK dimensi belum lengkap",IF(OR(C215&lt;=0,D215&lt;=0,E215&lt;=0),"CEK dimensi harus lebih dari 0",IF(COUNTIF($A$2:$A$500,A215)&gt;1,"CEK SKU dobel","OK")))))</f>
        <v/>
      </c>
    </row>
    <row r="216">
      <c r="A216" s="10" t="n"/>
      <c r="B216" s="12">
        <f>IF(A216="","",IFERROR(INDEX(DATA!$E$2:$E$500,MATCH(A216,DATA!$D$2:$D$500,0)),""))</f>
        <v/>
      </c>
      <c r="C216" s="10" t="n"/>
      <c r="D216" s="10" t="n"/>
      <c r="E216" s="10" t="n"/>
      <c r="F216" s="10" t="n"/>
      <c r="G216" s="10" t="n"/>
      <c r="H216" s="10" t="n"/>
      <c r="I216" s="10" t="n"/>
      <c r="J216" s="12">
        <f>IF(OR(A216="",COUNT(C216:E216)&lt;3),"",IFERROR(MAX(0,FLOOR(($N$2-$N$3)/E216,1))*MAX(1,MIN(IF(G216="",1,G216),FLOOR($N$4/D216,1)))*IF(F216="",1,F216),""))</f>
        <v/>
      </c>
      <c r="K216" s="12">
        <f>IF(A216="","",IF(COUNTIF(DATA!$D$2:$D$500,A216)=0,"CEK SKU tidak ada di DATA",IF(COUNT(C216:E216)&lt;3,"CEK dimensi belum lengkap",IF(OR(C216&lt;=0,D216&lt;=0,E216&lt;=0),"CEK dimensi harus lebih dari 0",IF(COUNTIF($A$2:$A$500,A216)&gt;1,"CEK SKU dobel","OK")))))</f>
        <v/>
      </c>
    </row>
    <row r="217">
      <c r="A217" s="10" t="n"/>
      <c r="B217" s="12">
        <f>IF(A217="","",IFERROR(INDEX(DATA!$E$2:$E$500,MATCH(A217,DATA!$D$2:$D$500,0)),""))</f>
        <v/>
      </c>
      <c r="C217" s="10" t="n"/>
      <c r="D217" s="10" t="n"/>
      <c r="E217" s="10" t="n"/>
      <c r="F217" s="10" t="n"/>
      <c r="G217" s="10" t="n"/>
      <c r="H217" s="10" t="n"/>
      <c r="I217" s="10" t="n"/>
      <c r="J217" s="12">
        <f>IF(OR(A217="",COUNT(C217:E217)&lt;3),"",IFERROR(MAX(0,FLOOR(($N$2-$N$3)/E217,1))*MAX(1,MIN(IF(G217="",1,G217),FLOOR($N$4/D217,1)))*IF(F217="",1,F217),""))</f>
        <v/>
      </c>
      <c r="K217" s="12">
        <f>IF(A217="","",IF(COUNTIF(DATA!$D$2:$D$500,A217)=0,"CEK SKU tidak ada di DATA",IF(COUNT(C217:E217)&lt;3,"CEK dimensi belum lengkap",IF(OR(C217&lt;=0,D217&lt;=0,E217&lt;=0),"CEK dimensi harus lebih dari 0",IF(COUNTIF($A$2:$A$500,A217)&gt;1,"CEK SKU dobel","OK")))))</f>
        <v/>
      </c>
    </row>
    <row r="218">
      <c r="A218" s="10" t="n"/>
      <c r="B218" s="12">
        <f>IF(A218="","",IFERROR(INDEX(DATA!$E$2:$E$500,MATCH(A218,DATA!$D$2:$D$500,0)),""))</f>
        <v/>
      </c>
      <c r="C218" s="10" t="n"/>
      <c r="D218" s="10" t="n"/>
      <c r="E218" s="10" t="n"/>
      <c r="F218" s="10" t="n"/>
      <c r="G218" s="10" t="n"/>
      <c r="H218" s="10" t="n"/>
      <c r="I218" s="10" t="n"/>
      <c r="J218" s="12">
        <f>IF(OR(A218="",COUNT(C218:E218)&lt;3),"",IFERROR(MAX(0,FLOOR(($N$2-$N$3)/E218,1))*MAX(1,MIN(IF(G218="",1,G218),FLOOR($N$4/D218,1)))*IF(F218="",1,F218),""))</f>
        <v/>
      </c>
      <c r="K218" s="12">
        <f>IF(A218="","",IF(COUNTIF(DATA!$D$2:$D$500,A218)=0,"CEK SKU tidak ada di DATA",IF(COUNT(C218:E218)&lt;3,"CEK dimensi belum lengkap",IF(OR(C218&lt;=0,D218&lt;=0,E218&lt;=0),"CEK dimensi harus lebih dari 0",IF(COUNTIF($A$2:$A$500,A218)&gt;1,"CEK SKU dobel","OK")))))</f>
        <v/>
      </c>
    </row>
    <row r="219">
      <c r="A219" s="10" t="n"/>
      <c r="B219" s="12">
        <f>IF(A219="","",IFERROR(INDEX(DATA!$E$2:$E$500,MATCH(A219,DATA!$D$2:$D$500,0)),""))</f>
        <v/>
      </c>
      <c r="C219" s="10" t="n"/>
      <c r="D219" s="10" t="n"/>
      <c r="E219" s="10" t="n"/>
      <c r="F219" s="10" t="n"/>
      <c r="G219" s="10" t="n"/>
      <c r="H219" s="10" t="n"/>
      <c r="I219" s="10" t="n"/>
      <c r="J219" s="12">
        <f>IF(OR(A219="",COUNT(C219:E219)&lt;3),"",IFERROR(MAX(0,FLOOR(($N$2-$N$3)/E219,1))*MAX(1,MIN(IF(G219="",1,G219),FLOOR($N$4/D219,1)))*IF(F219="",1,F219),""))</f>
        <v/>
      </c>
      <c r="K219" s="12">
        <f>IF(A219="","",IF(COUNTIF(DATA!$D$2:$D$500,A219)=0,"CEK SKU tidak ada di DATA",IF(COUNT(C219:E219)&lt;3,"CEK dimensi belum lengkap",IF(OR(C219&lt;=0,D219&lt;=0,E219&lt;=0),"CEK dimensi harus lebih dari 0",IF(COUNTIF($A$2:$A$500,A219)&gt;1,"CEK SKU dobel","OK")))))</f>
        <v/>
      </c>
    </row>
    <row r="220">
      <c r="A220" s="10" t="n"/>
      <c r="B220" s="12">
        <f>IF(A220="","",IFERROR(INDEX(DATA!$E$2:$E$500,MATCH(A220,DATA!$D$2:$D$500,0)),""))</f>
        <v/>
      </c>
      <c r="C220" s="10" t="n"/>
      <c r="D220" s="10" t="n"/>
      <c r="E220" s="10" t="n"/>
      <c r="F220" s="10" t="n"/>
      <c r="G220" s="10" t="n"/>
      <c r="H220" s="10" t="n"/>
      <c r="I220" s="10" t="n"/>
      <c r="J220" s="12">
        <f>IF(OR(A220="",COUNT(C220:E220)&lt;3),"",IFERROR(MAX(0,FLOOR(($N$2-$N$3)/E220,1))*MAX(1,MIN(IF(G220="",1,G220),FLOOR($N$4/D220,1)))*IF(F220="",1,F220),""))</f>
        <v/>
      </c>
      <c r="K220" s="12">
        <f>IF(A220="","",IF(COUNTIF(DATA!$D$2:$D$500,A220)=0,"CEK SKU tidak ada di DATA",IF(COUNT(C220:E220)&lt;3,"CEK dimensi belum lengkap",IF(OR(C220&lt;=0,D220&lt;=0,E220&lt;=0),"CEK dimensi harus lebih dari 0",IF(COUNTIF($A$2:$A$500,A220)&gt;1,"CEK SKU dobel","OK")))))</f>
        <v/>
      </c>
    </row>
    <row r="221">
      <c r="A221" s="10" t="n"/>
      <c r="B221" s="12">
        <f>IF(A221="","",IFERROR(INDEX(DATA!$E$2:$E$500,MATCH(A221,DATA!$D$2:$D$500,0)),""))</f>
        <v/>
      </c>
      <c r="C221" s="10" t="n"/>
      <c r="D221" s="10" t="n"/>
      <c r="E221" s="10" t="n"/>
      <c r="F221" s="10" t="n"/>
      <c r="G221" s="10" t="n"/>
      <c r="H221" s="10" t="n"/>
      <c r="I221" s="10" t="n"/>
      <c r="J221" s="12">
        <f>IF(OR(A221="",COUNT(C221:E221)&lt;3),"",IFERROR(MAX(0,FLOOR(($N$2-$N$3)/E221,1))*MAX(1,MIN(IF(G221="",1,G221),FLOOR($N$4/D221,1)))*IF(F221="",1,F221),""))</f>
        <v/>
      </c>
      <c r="K221" s="12">
        <f>IF(A221="","",IF(COUNTIF(DATA!$D$2:$D$500,A221)=0,"CEK SKU tidak ada di DATA",IF(COUNT(C221:E221)&lt;3,"CEK dimensi belum lengkap",IF(OR(C221&lt;=0,D221&lt;=0,E221&lt;=0),"CEK dimensi harus lebih dari 0",IF(COUNTIF($A$2:$A$500,A221)&gt;1,"CEK SKU dobel","OK")))))</f>
        <v/>
      </c>
    </row>
    <row r="222">
      <c r="A222" s="10" t="n"/>
      <c r="B222" s="12">
        <f>IF(A222="","",IFERROR(INDEX(DATA!$E$2:$E$500,MATCH(A222,DATA!$D$2:$D$500,0)),""))</f>
        <v/>
      </c>
      <c r="C222" s="10" t="n"/>
      <c r="D222" s="10" t="n"/>
      <c r="E222" s="10" t="n"/>
      <c r="F222" s="10" t="n"/>
      <c r="G222" s="10" t="n"/>
      <c r="H222" s="10" t="n"/>
      <c r="I222" s="10" t="n"/>
      <c r="J222" s="12">
        <f>IF(OR(A222="",COUNT(C222:E222)&lt;3),"",IFERROR(MAX(0,FLOOR(($N$2-$N$3)/E222,1))*MAX(1,MIN(IF(G222="",1,G222),FLOOR($N$4/D222,1)))*IF(F222="",1,F222),""))</f>
        <v/>
      </c>
      <c r="K222" s="12">
        <f>IF(A222="","",IF(COUNTIF(DATA!$D$2:$D$500,A222)=0,"CEK SKU tidak ada di DATA",IF(COUNT(C222:E222)&lt;3,"CEK dimensi belum lengkap",IF(OR(C222&lt;=0,D222&lt;=0,E222&lt;=0),"CEK dimensi harus lebih dari 0",IF(COUNTIF($A$2:$A$500,A222)&gt;1,"CEK SKU dobel","OK")))))</f>
        <v/>
      </c>
    </row>
    <row r="223">
      <c r="A223" s="10" t="n"/>
      <c r="B223" s="12">
        <f>IF(A223="","",IFERROR(INDEX(DATA!$E$2:$E$500,MATCH(A223,DATA!$D$2:$D$500,0)),""))</f>
        <v/>
      </c>
      <c r="C223" s="10" t="n"/>
      <c r="D223" s="10" t="n"/>
      <c r="E223" s="10" t="n"/>
      <c r="F223" s="10" t="n"/>
      <c r="G223" s="10" t="n"/>
      <c r="H223" s="10" t="n"/>
      <c r="I223" s="10" t="n"/>
      <c r="J223" s="12">
        <f>IF(OR(A223="",COUNT(C223:E223)&lt;3),"",IFERROR(MAX(0,FLOOR(($N$2-$N$3)/E223,1))*MAX(1,MIN(IF(G223="",1,G223),FLOOR($N$4/D223,1)))*IF(F223="",1,F223),""))</f>
        <v/>
      </c>
      <c r="K223" s="12">
        <f>IF(A223="","",IF(COUNTIF(DATA!$D$2:$D$500,A223)=0,"CEK SKU tidak ada di DATA",IF(COUNT(C223:E223)&lt;3,"CEK dimensi belum lengkap",IF(OR(C223&lt;=0,D223&lt;=0,E223&lt;=0),"CEK dimensi harus lebih dari 0",IF(COUNTIF($A$2:$A$500,A223)&gt;1,"CEK SKU dobel","OK")))))</f>
        <v/>
      </c>
    </row>
    <row r="224">
      <c r="A224" s="10" t="n"/>
      <c r="B224" s="12">
        <f>IF(A224="","",IFERROR(INDEX(DATA!$E$2:$E$500,MATCH(A224,DATA!$D$2:$D$500,0)),""))</f>
        <v/>
      </c>
      <c r="C224" s="10" t="n"/>
      <c r="D224" s="10" t="n"/>
      <c r="E224" s="10" t="n"/>
      <c r="F224" s="10" t="n"/>
      <c r="G224" s="10" t="n"/>
      <c r="H224" s="10" t="n"/>
      <c r="I224" s="10" t="n"/>
      <c r="J224" s="12">
        <f>IF(OR(A224="",COUNT(C224:E224)&lt;3),"",IFERROR(MAX(0,FLOOR(($N$2-$N$3)/E224,1))*MAX(1,MIN(IF(G224="",1,G224),FLOOR($N$4/D224,1)))*IF(F224="",1,F224),""))</f>
        <v/>
      </c>
      <c r="K224" s="12">
        <f>IF(A224="","",IF(COUNTIF(DATA!$D$2:$D$500,A224)=0,"CEK SKU tidak ada di DATA",IF(COUNT(C224:E224)&lt;3,"CEK dimensi belum lengkap",IF(OR(C224&lt;=0,D224&lt;=0,E224&lt;=0),"CEK dimensi harus lebih dari 0",IF(COUNTIF($A$2:$A$500,A224)&gt;1,"CEK SKU dobel","OK")))))</f>
        <v/>
      </c>
    </row>
    <row r="225">
      <c r="A225" s="10" t="n"/>
      <c r="B225" s="12">
        <f>IF(A225="","",IFERROR(INDEX(DATA!$E$2:$E$500,MATCH(A225,DATA!$D$2:$D$500,0)),""))</f>
        <v/>
      </c>
      <c r="C225" s="10" t="n"/>
      <c r="D225" s="10" t="n"/>
      <c r="E225" s="10" t="n"/>
      <c r="F225" s="10" t="n"/>
      <c r="G225" s="10" t="n"/>
      <c r="H225" s="10" t="n"/>
      <c r="I225" s="10" t="n"/>
      <c r="J225" s="12">
        <f>IF(OR(A225="",COUNT(C225:E225)&lt;3),"",IFERROR(MAX(0,FLOOR(($N$2-$N$3)/E225,1))*MAX(1,MIN(IF(G225="",1,G225),FLOOR($N$4/D225,1)))*IF(F225="",1,F225),""))</f>
        <v/>
      </c>
      <c r="K225" s="12">
        <f>IF(A225="","",IF(COUNTIF(DATA!$D$2:$D$500,A225)=0,"CEK SKU tidak ada di DATA",IF(COUNT(C225:E225)&lt;3,"CEK dimensi belum lengkap",IF(OR(C225&lt;=0,D225&lt;=0,E225&lt;=0),"CEK dimensi harus lebih dari 0",IF(COUNTIF($A$2:$A$500,A225)&gt;1,"CEK SKU dobel","OK")))))</f>
        <v/>
      </c>
    </row>
    <row r="226">
      <c r="A226" s="10" t="n"/>
      <c r="B226" s="12">
        <f>IF(A226="","",IFERROR(INDEX(DATA!$E$2:$E$500,MATCH(A226,DATA!$D$2:$D$500,0)),""))</f>
        <v/>
      </c>
      <c r="C226" s="10" t="n"/>
      <c r="D226" s="10" t="n"/>
      <c r="E226" s="10" t="n"/>
      <c r="F226" s="10" t="n"/>
      <c r="G226" s="10" t="n"/>
      <c r="H226" s="10" t="n"/>
      <c r="I226" s="10" t="n"/>
      <c r="J226" s="12">
        <f>IF(OR(A226="",COUNT(C226:E226)&lt;3),"",IFERROR(MAX(0,FLOOR(($N$2-$N$3)/E226,1))*MAX(1,MIN(IF(G226="",1,G226),FLOOR($N$4/D226,1)))*IF(F226="",1,F226),""))</f>
        <v/>
      </c>
      <c r="K226" s="12">
        <f>IF(A226="","",IF(COUNTIF(DATA!$D$2:$D$500,A226)=0,"CEK SKU tidak ada di DATA",IF(COUNT(C226:E226)&lt;3,"CEK dimensi belum lengkap",IF(OR(C226&lt;=0,D226&lt;=0,E226&lt;=0),"CEK dimensi harus lebih dari 0",IF(COUNTIF($A$2:$A$500,A226)&gt;1,"CEK SKU dobel","OK")))))</f>
        <v/>
      </c>
    </row>
    <row r="227">
      <c r="A227" s="10" t="n"/>
      <c r="B227" s="12">
        <f>IF(A227="","",IFERROR(INDEX(DATA!$E$2:$E$500,MATCH(A227,DATA!$D$2:$D$500,0)),""))</f>
        <v/>
      </c>
      <c r="C227" s="10" t="n"/>
      <c r="D227" s="10" t="n"/>
      <c r="E227" s="10" t="n"/>
      <c r="F227" s="10" t="n"/>
      <c r="G227" s="10" t="n"/>
      <c r="H227" s="10" t="n"/>
      <c r="I227" s="10" t="n"/>
      <c r="J227" s="12">
        <f>IF(OR(A227="",COUNT(C227:E227)&lt;3),"",IFERROR(MAX(0,FLOOR(($N$2-$N$3)/E227,1))*MAX(1,MIN(IF(G227="",1,G227),FLOOR($N$4/D227,1)))*IF(F227="",1,F227),""))</f>
        <v/>
      </c>
      <c r="K227" s="12">
        <f>IF(A227="","",IF(COUNTIF(DATA!$D$2:$D$500,A227)=0,"CEK SKU tidak ada di DATA",IF(COUNT(C227:E227)&lt;3,"CEK dimensi belum lengkap",IF(OR(C227&lt;=0,D227&lt;=0,E227&lt;=0),"CEK dimensi harus lebih dari 0",IF(COUNTIF($A$2:$A$500,A227)&gt;1,"CEK SKU dobel","OK")))))</f>
        <v/>
      </c>
    </row>
    <row r="228">
      <c r="A228" s="10" t="n"/>
      <c r="B228" s="12">
        <f>IF(A228="","",IFERROR(INDEX(DATA!$E$2:$E$500,MATCH(A228,DATA!$D$2:$D$500,0)),""))</f>
        <v/>
      </c>
      <c r="C228" s="10" t="n"/>
      <c r="D228" s="10" t="n"/>
      <c r="E228" s="10" t="n"/>
      <c r="F228" s="10" t="n"/>
      <c r="G228" s="10" t="n"/>
      <c r="H228" s="10" t="n"/>
      <c r="I228" s="10" t="n"/>
      <c r="J228" s="12">
        <f>IF(OR(A228="",COUNT(C228:E228)&lt;3),"",IFERROR(MAX(0,FLOOR(($N$2-$N$3)/E228,1))*MAX(1,MIN(IF(G228="",1,G228),FLOOR($N$4/D228,1)))*IF(F228="",1,F228),""))</f>
        <v/>
      </c>
      <c r="K228" s="12">
        <f>IF(A228="","",IF(COUNTIF(DATA!$D$2:$D$500,A228)=0,"CEK SKU tidak ada di DATA",IF(COUNT(C228:E228)&lt;3,"CEK dimensi belum lengkap",IF(OR(C228&lt;=0,D228&lt;=0,E228&lt;=0),"CEK dimensi harus lebih dari 0",IF(COUNTIF($A$2:$A$500,A228)&gt;1,"CEK SKU dobel","OK")))))</f>
        <v/>
      </c>
    </row>
    <row r="229">
      <c r="A229" s="10" t="n"/>
      <c r="B229" s="12">
        <f>IF(A229="","",IFERROR(INDEX(DATA!$E$2:$E$500,MATCH(A229,DATA!$D$2:$D$500,0)),""))</f>
        <v/>
      </c>
      <c r="C229" s="10" t="n"/>
      <c r="D229" s="10" t="n"/>
      <c r="E229" s="10" t="n"/>
      <c r="F229" s="10" t="n"/>
      <c r="G229" s="10" t="n"/>
      <c r="H229" s="10" t="n"/>
      <c r="I229" s="10" t="n"/>
      <c r="J229" s="12">
        <f>IF(OR(A229="",COUNT(C229:E229)&lt;3),"",IFERROR(MAX(0,FLOOR(($N$2-$N$3)/E229,1))*MAX(1,MIN(IF(G229="",1,G229),FLOOR($N$4/D229,1)))*IF(F229="",1,F229),""))</f>
        <v/>
      </c>
      <c r="K229" s="12">
        <f>IF(A229="","",IF(COUNTIF(DATA!$D$2:$D$500,A229)=0,"CEK SKU tidak ada di DATA",IF(COUNT(C229:E229)&lt;3,"CEK dimensi belum lengkap",IF(OR(C229&lt;=0,D229&lt;=0,E229&lt;=0),"CEK dimensi harus lebih dari 0",IF(COUNTIF($A$2:$A$500,A229)&gt;1,"CEK SKU dobel","OK")))))</f>
        <v/>
      </c>
    </row>
    <row r="230">
      <c r="A230" s="10" t="n"/>
      <c r="B230" s="12">
        <f>IF(A230="","",IFERROR(INDEX(DATA!$E$2:$E$500,MATCH(A230,DATA!$D$2:$D$500,0)),""))</f>
        <v/>
      </c>
      <c r="C230" s="10" t="n"/>
      <c r="D230" s="10" t="n"/>
      <c r="E230" s="10" t="n"/>
      <c r="F230" s="10" t="n"/>
      <c r="G230" s="10" t="n"/>
      <c r="H230" s="10" t="n"/>
      <c r="I230" s="10" t="n"/>
      <c r="J230" s="12">
        <f>IF(OR(A230="",COUNT(C230:E230)&lt;3),"",IFERROR(MAX(0,FLOOR(($N$2-$N$3)/E230,1))*MAX(1,MIN(IF(G230="",1,G230),FLOOR($N$4/D230,1)))*IF(F230="",1,F230),""))</f>
        <v/>
      </c>
      <c r="K230" s="12">
        <f>IF(A230="","",IF(COUNTIF(DATA!$D$2:$D$500,A230)=0,"CEK SKU tidak ada di DATA",IF(COUNT(C230:E230)&lt;3,"CEK dimensi belum lengkap",IF(OR(C230&lt;=0,D230&lt;=0,E230&lt;=0),"CEK dimensi harus lebih dari 0",IF(COUNTIF($A$2:$A$500,A230)&gt;1,"CEK SKU dobel","OK")))))</f>
        <v/>
      </c>
    </row>
    <row r="231">
      <c r="A231" s="10" t="n"/>
      <c r="B231" s="12">
        <f>IF(A231="","",IFERROR(INDEX(DATA!$E$2:$E$500,MATCH(A231,DATA!$D$2:$D$500,0)),""))</f>
        <v/>
      </c>
      <c r="C231" s="10" t="n"/>
      <c r="D231" s="10" t="n"/>
      <c r="E231" s="10" t="n"/>
      <c r="F231" s="10" t="n"/>
      <c r="G231" s="10" t="n"/>
      <c r="H231" s="10" t="n"/>
      <c r="I231" s="10" t="n"/>
      <c r="J231" s="12">
        <f>IF(OR(A231="",COUNT(C231:E231)&lt;3),"",IFERROR(MAX(0,FLOOR(($N$2-$N$3)/E231,1))*MAX(1,MIN(IF(G231="",1,G231),FLOOR($N$4/D231,1)))*IF(F231="",1,F231),""))</f>
        <v/>
      </c>
      <c r="K231" s="12">
        <f>IF(A231="","",IF(COUNTIF(DATA!$D$2:$D$500,A231)=0,"CEK SKU tidak ada di DATA",IF(COUNT(C231:E231)&lt;3,"CEK dimensi belum lengkap",IF(OR(C231&lt;=0,D231&lt;=0,E231&lt;=0),"CEK dimensi harus lebih dari 0",IF(COUNTIF($A$2:$A$500,A231)&gt;1,"CEK SKU dobel","OK")))))</f>
        <v/>
      </c>
    </row>
    <row r="232">
      <c r="A232" s="10" t="n"/>
      <c r="B232" s="12">
        <f>IF(A232="","",IFERROR(INDEX(DATA!$E$2:$E$500,MATCH(A232,DATA!$D$2:$D$500,0)),""))</f>
        <v/>
      </c>
      <c r="C232" s="10" t="n"/>
      <c r="D232" s="10" t="n"/>
      <c r="E232" s="10" t="n"/>
      <c r="F232" s="10" t="n"/>
      <c r="G232" s="10" t="n"/>
      <c r="H232" s="10" t="n"/>
      <c r="I232" s="10" t="n"/>
      <c r="J232" s="12">
        <f>IF(OR(A232="",COUNT(C232:E232)&lt;3),"",IFERROR(MAX(0,FLOOR(($N$2-$N$3)/E232,1))*MAX(1,MIN(IF(G232="",1,G232),FLOOR($N$4/D232,1)))*IF(F232="",1,F232),""))</f>
        <v/>
      </c>
      <c r="K232" s="12">
        <f>IF(A232="","",IF(COUNTIF(DATA!$D$2:$D$500,A232)=0,"CEK SKU tidak ada di DATA",IF(COUNT(C232:E232)&lt;3,"CEK dimensi belum lengkap",IF(OR(C232&lt;=0,D232&lt;=0,E232&lt;=0),"CEK dimensi harus lebih dari 0",IF(COUNTIF($A$2:$A$500,A232)&gt;1,"CEK SKU dobel","OK")))))</f>
        <v/>
      </c>
    </row>
    <row r="233">
      <c r="A233" s="10" t="n"/>
      <c r="B233" s="12">
        <f>IF(A233="","",IFERROR(INDEX(DATA!$E$2:$E$500,MATCH(A233,DATA!$D$2:$D$500,0)),""))</f>
        <v/>
      </c>
      <c r="C233" s="10" t="n"/>
      <c r="D233" s="10" t="n"/>
      <c r="E233" s="10" t="n"/>
      <c r="F233" s="10" t="n"/>
      <c r="G233" s="10" t="n"/>
      <c r="H233" s="10" t="n"/>
      <c r="I233" s="10" t="n"/>
      <c r="J233" s="12">
        <f>IF(OR(A233="",COUNT(C233:E233)&lt;3),"",IFERROR(MAX(0,FLOOR(($N$2-$N$3)/E233,1))*MAX(1,MIN(IF(G233="",1,G233),FLOOR($N$4/D233,1)))*IF(F233="",1,F233),""))</f>
        <v/>
      </c>
      <c r="K233" s="12">
        <f>IF(A233="","",IF(COUNTIF(DATA!$D$2:$D$500,A233)=0,"CEK SKU tidak ada di DATA",IF(COUNT(C233:E233)&lt;3,"CEK dimensi belum lengkap",IF(OR(C233&lt;=0,D233&lt;=0,E233&lt;=0),"CEK dimensi harus lebih dari 0",IF(COUNTIF($A$2:$A$500,A233)&gt;1,"CEK SKU dobel","OK")))))</f>
        <v/>
      </c>
    </row>
    <row r="234">
      <c r="A234" s="10" t="n"/>
      <c r="B234" s="12">
        <f>IF(A234="","",IFERROR(INDEX(DATA!$E$2:$E$500,MATCH(A234,DATA!$D$2:$D$500,0)),""))</f>
        <v/>
      </c>
      <c r="C234" s="10" t="n"/>
      <c r="D234" s="10" t="n"/>
      <c r="E234" s="10" t="n"/>
      <c r="F234" s="10" t="n"/>
      <c r="G234" s="10" t="n"/>
      <c r="H234" s="10" t="n"/>
      <c r="I234" s="10" t="n"/>
      <c r="J234" s="12">
        <f>IF(OR(A234="",COUNT(C234:E234)&lt;3),"",IFERROR(MAX(0,FLOOR(($N$2-$N$3)/E234,1))*MAX(1,MIN(IF(G234="",1,G234),FLOOR($N$4/D234,1)))*IF(F234="",1,F234),""))</f>
        <v/>
      </c>
      <c r="K234" s="12">
        <f>IF(A234="","",IF(COUNTIF(DATA!$D$2:$D$500,A234)=0,"CEK SKU tidak ada di DATA",IF(COUNT(C234:E234)&lt;3,"CEK dimensi belum lengkap",IF(OR(C234&lt;=0,D234&lt;=0,E234&lt;=0),"CEK dimensi harus lebih dari 0",IF(COUNTIF($A$2:$A$500,A234)&gt;1,"CEK SKU dobel","OK")))))</f>
        <v/>
      </c>
    </row>
    <row r="235">
      <c r="A235" s="10" t="n"/>
      <c r="B235" s="12">
        <f>IF(A235="","",IFERROR(INDEX(DATA!$E$2:$E$500,MATCH(A235,DATA!$D$2:$D$500,0)),""))</f>
        <v/>
      </c>
      <c r="C235" s="10" t="n"/>
      <c r="D235" s="10" t="n"/>
      <c r="E235" s="10" t="n"/>
      <c r="F235" s="10" t="n"/>
      <c r="G235" s="10" t="n"/>
      <c r="H235" s="10" t="n"/>
      <c r="I235" s="10" t="n"/>
      <c r="J235" s="12">
        <f>IF(OR(A235="",COUNT(C235:E235)&lt;3),"",IFERROR(MAX(0,FLOOR(($N$2-$N$3)/E235,1))*MAX(1,MIN(IF(G235="",1,G235),FLOOR($N$4/D235,1)))*IF(F235="",1,F235),""))</f>
        <v/>
      </c>
      <c r="K235" s="12">
        <f>IF(A235="","",IF(COUNTIF(DATA!$D$2:$D$500,A235)=0,"CEK SKU tidak ada di DATA",IF(COUNT(C235:E235)&lt;3,"CEK dimensi belum lengkap",IF(OR(C235&lt;=0,D235&lt;=0,E235&lt;=0),"CEK dimensi harus lebih dari 0",IF(COUNTIF($A$2:$A$500,A235)&gt;1,"CEK SKU dobel","OK")))))</f>
        <v/>
      </c>
    </row>
    <row r="236">
      <c r="A236" s="10" t="n"/>
      <c r="B236" s="12">
        <f>IF(A236="","",IFERROR(INDEX(DATA!$E$2:$E$500,MATCH(A236,DATA!$D$2:$D$500,0)),""))</f>
        <v/>
      </c>
      <c r="C236" s="10" t="n"/>
      <c r="D236" s="10" t="n"/>
      <c r="E236" s="10" t="n"/>
      <c r="F236" s="10" t="n"/>
      <c r="G236" s="10" t="n"/>
      <c r="H236" s="10" t="n"/>
      <c r="I236" s="10" t="n"/>
      <c r="J236" s="12">
        <f>IF(OR(A236="",COUNT(C236:E236)&lt;3),"",IFERROR(MAX(0,FLOOR(($N$2-$N$3)/E236,1))*MAX(1,MIN(IF(G236="",1,G236),FLOOR($N$4/D236,1)))*IF(F236="",1,F236),""))</f>
        <v/>
      </c>
      <c r="K236" s="12">
        <f>IF(A236="","",IF(COUNTIF(DATA!$D$2:$D$500,A236)=0,"CEK SKU tidak ada di DATA",IF(COUNT(C236:E236)&lt;3,"CEK dimensi belum lengkap",IF(OR(C236&lt;=0,D236&lt;=0,E236&lt;=0),"CEK dimensi harus lebih dari 0",IF(COUNTIF($A$2:$A$500,A236)&gt;1,"CEK SKU dobel","OK")))))</f>
        <v/>
      </c>
    </row>
    <row r="237">
      <c r="A237" s="10" t="n"/>
      <c r="B237" s="12">
        <f>IF(A237="","",IFERROR(INDEX(DATA!$E$2:$E$500,MATCH(A237,DATA!$D$2:$D$500,0)),""))</f>
        <v/>
      </c>
      <c r="C237" s="10" t="n"/>
      <c r="D237" s="10" t="n"/>
      <c r="E237" s="10" t="n"/>
      <c r="F237" s="10" t="n"/>
      <c r="G237" s="10" t="n"/>
      <c r="H237" s="10" t="n"/>
      <c r="I237" s="10" t="n"/>
      <c r="J237" s="12">
        <f>IF(OR(A237="",COUNT(C237:E237)&lt;3),"",IFERROR(MAX(0,FLOOR(($N$2-$N$3)/E237,1))*MAX(1,MIN(IF(G237="",1,G237),FLOOR($N$4/D237,1)))*IF(F237="",1,F237),""))</f>
        <v/>
      </c>
      <c r="K237" s="12">
        <f>IF(A237="","",IF(COUNTIF(DATA!$D$2:$D$500,A237)=0,"CEK SKU tidak ada di DATA",IF(COUNT(C237:E237)&lt;3,"CEK dimensi belum lengkap",IF(OR(C237&lt;=0,D237&lt;=0,E237&lt;=0),"CEK dimensi harus lebih dari 0",IF(COUNTIF($A$2:$A$500,A237)&gt;1,"CEK SKU dobel","OK")))))</f>
        <v/>
      </c>
    </row>
    <row r="238">
      <c r="A238" s="10" t="n"/>
      <c r="B238" s="12">
        <f>IF(A238="","",IFERROR(INDEX(DATA!$E$2:$E$500,MATCH(A238,DATA!$D$2:$D$500,0)),""))</f>
        <v/>
      </c>
      <c r="C238" s="10" t="n"/>
      <c r="D238" s="10" t="n"/>
      <c r="E238" s="10" t="n"/>
      <c r="F238" s="10" t="n"/>
      <c r="G238" s="10" t="n"/>
      <c r="H238" s="10" t="n"/>
      <c r="I238" s="10" t="n"/>
      <c r="J238" s="12">
        <f>IF(OR(A238="",COUNT(C238:E238)&lt;3),"",IFERROR(MAX(0,FLOOR(($N$2-$N$3)/E238,1))*MAX(1,MIN(IF(G238="",1,G238),FLOOR($N$4/D238,1)))*IF(F238="",1,F238),""))</f>
        <v/>
      </c>
      <c r="K238" s="12">
        <f>IF(A238="","",IF(COUNTIF(DATA!$D$2:$D$500,A238)=0,"CEK SKU tidak ada di DATA",IF(COUNT(C238:E238)&lt;3,"CEK dimensi belum lengkap",IF(OR(C238&lt;=0,D238&lt;=0,E238&lt;=0),"CEK dimensi harus lebih dari 0",IF(COUNTIF($A$2:$A$500,A238)&gt;1,"CEK SKU dobel","OK")))))</f>
        <v/>
      </c>
    </row>
    <row r="239">
      <c r="A239" s="10" t="n"/>
      <c r="B239" s="12">
        <f>IF(A239="","",IFERROR(INDEX(DATA!$E$2:$E$500,MATCH(A239,DATA!$D$2:$D$500,0)),""))</f>
        <v/>
      </c>
      <c r="C239" s="10" t="n"/>
      <c r="D239" s="10" t="n"/>
      <c r="E239" s="10" t="n"/>
      <c r="F239" s="10" t="n"/>
      <c r="G239" s="10" t="n"/>
      <c r="H239" s="10" t="n"/>
      <c r="I239" s="10" t="n"/>
      <c r="J239" s="12">
        <f>IF(OR(A239="",COUNT(C239:E239)&lt;3),"",IFERROR(MAX(0,FLOOR(($N$2-$N$3)/E239,1))*MAX(1,MIN(IF(G239="",1,G239),FLOOR($N$4/D239,1)))*IF(F239="",1,F239),""))</f>
        <v/>
      </c>
      <c r="K239" s="12">
        <f>IF(A239="","",IF(COUNTIF(DATA!$D$2:$D$500,A239)=0,"CEK SKU tidak ada di DATA",IF(COUNT(C239:E239)&lt;3,"CEK dimensi belum lengkap",IF(OR(C239&lt;=0,D239&lt;=0,E239&lt;=0),"CEK dimensi harus lebih dari 0",IF(COUNTIF($A$2:$A$500,A239)&gt;1,"CEK SKU dobel","OK")))))</f>
        <v/>
      </c>
    </row>
    <row r="240">
      <c r="A240" s="10" t="n"/>
      <c r="B240" s="12">
        <f>IF(A240="","",IFERROR(INDEX(DATA!$E$2:$E$500,MATCH(A240,DATA!$D$2:$D$500,0)),""))</f>
        <v/>
      </c>
      <c r="C240" s="10" t="n"/>
      <c r="D240" s="10" t="n"/>
      <c r="E240" s="10" t="n"/>
      <c r="F240" s="10" t="n"/>
      <c r="G240" s="10" t="n"/>
      <c r="H240" s="10" t="n"/>
      <c r="I240" s="10" t="n"/>
      <c r="J240" s="12">
        <f>IF(OR(A240="",COUNT(C240:E240)&lt;3),"",IFERROR(MAX(0,FLOOR(($N$2-$N$3)/E240,1))*MAX(1,MIN(IF(G240="",1,G240),FLOOR($N$4/D240,1)))*IF(F240="",1,F240),""))</f>
        <v/>
      </c>
      <c r="K240" s="12">
        <f>IF(A240="","",IF(COUNTIF(DATA!$D$2:$D$500,A240)=0,"CEK SKU tidak ada di DATA",IF(COUNT(C240:E240)&lt;3,"CEK dimensi belum lengkap",IF(OR(C240&lt;=0,D240&lt;=0,E240&lt;=0),"CEK dimensi harus lebih dari 0",IF(COUNTIF($A$2:$A$500,A240)&gt;1,"CEK SKU dobel","OK")))))</f>
        <v/>
      </c>
    </row>
    <row r="241">
      <c r="A241" s="10" t="n"/>
      <c r="B241" s="12">
        <f>IF(A241="","",IFERROR(INDEX(DATA!$E$2:$E$500,MATCH(A241,DATA!$D$2:$D$500,0)),""))</f>
        <v/>
      </c>
      <c r="C241" s="10" t="n"/>
      <c r="D241" s="10" t="n"/>
      <c r="E241" s="10" t="n"/>
      <c r="F241" s="10" t="n"/>
      <c r="G241" s="10" t="n"/>
      <c r="H241" s="10" t="n"/>
      <c r="I241" s="10" t="n"/>
      <c r="J241" s="12">
        <f>IF(OR(A241="",COUNT(C241:E241)&lt;3),"",IFERROR(MAX(0,FLOOR(($N$2-$N$3)/E241,1))*MAX(1,MIN(IF(G241="",1,G241),FLOOR($N$4/D241,1)))*IF(F241="",1,F241),""))</f>
        <v/>
      </c>
      <c r="K241" s="12">
        <f>IF(A241="","",IF(COUNTIF(DATA!$D$2:$D$500,A241)=0,"CEK SKU tidak ada di DATA",IF(COUNT(C241:E241)&lt;3,"CEK dimensi belum lengkap",IF(OR(C241&lt;=0,D241&lt;=0,E241&lt;=0),"CEK dimensi harus lebih dari 0",IF(COUNTIF($A$2:$A$500,A241)&gt;1,"CEK SKU dobel","OK")))))</f>
        <v/>
      </c>
    </row>
    <row r="242">
      <c r="A242" s="10" t="n"/>
      <c r="B242" s="12">
        <f>IF(A242="","",IFERROR(INDEX(DATA!$E$2:$E$500,MATCH(A242,DATA!$D$2:$D$500,0)),""))</f>
        <v/>
      </c>
      <c r="C242" s="10" t="n"/>
      <c r="D242" s="10" t="n"/>
      <c r="E242" s="10" t="n"/>
      <c r="F242" s="10" t="n"/>
      <c r="G242" s="10" t="n"/>
      <c r="H242" s="10" t="n"/>
      <c r="I242" s="10" t="n"/>
      <c r="J242" s="12">
        <f>IF(OR(A242="",COUNT(C242:E242)&lt;3),"",IFERROR(MAX(0,FLOOR(($N$2-$N$3)/E242,1))*MAX(1,MIN(IF(G242="",1,G242),FLOOR($N$4/D242,1)))*IF(F242="",1,F242),""))</f>
        <v/>
      </c>
      <c r="K242" s="12">
        <f>IF(A242="","",IF(COUNTIF(DATA!$D$2:$D$500,A242)=0,"CEK SKU tidak ada di DATA",IF(COUNT(C242:E242)&lt;3,"CEK dimensi belum lengkap",IF(OR(C242&lt;=0,D242&lt;=0,E242&lt;=0),"CEK dimensi harus lebih dari 0",IF(COUNTIF($A$2:$A$500,A242)&gt;1,"CEK SKU dobel","OK")))))</f>
        <v/>
      </c>
    </row>
    <row r="243">
      <c r="A243" s="10" t="n"/>
      <c r="B243" s="12">
        <f>IF(A243="","",IFERROR(INDEX(DATA!$E$2:$E$500,MATCH(A243,DATA!$D$2:$D$500,0)),""))</f>
        <v/>
      </c>
      <c r="C243" s="10" t="n"/>
      <c r="D243" s="10" t="n"/>
      <c r="E243" s="10" t="n"/>
      <c r="F243" s="10" t="n"/>
      <c r="G243" s="10" t="n"/>
      <c r="H243" s="10" t="n"/>
      <c r="I243" s="10" t="n"/>
      <c r="J243" s="12">
        <f>IF(OR(A243="",COUNT(C243:E243)&lt;3),"",IFERROR(MAX(0,FLOOR(($N$2-$N$3)/E243,1))*MAX(1,MIN(IF(G243="",1,G243),FLOOR($N$4/D243,1)))*IF(F243="",1,F243),""))</f>
        <v/>
      </c>
      <c r="K243" s="12">
        <f>IF(A243="","",IF(COUNTIF(DATA!$D$2:$D$500,A243)=0,"CEK SKU tidak ada di DATA",IF(COUNT(C243:E243)&lt;3,"CEK dimensi belum lengkap",IF(OR(C243&lt;=0,D243&lt;=0,E243&lt;=0),"CEK dimensi harus lebih dari 0",IF(COUNTIF($A$2:$A$500,A243)&gt;1,"CEK SKU dobel","OK")))))</f>
        <v/>
      </c>
    </row>
    <row r="244">
      <c r="A244" s="10" t="n"/>
      <c r="B244" s="12">
        <f>IF(A244="","",IFERROR(INDEX(DATA!$E$2:$E$500,MATCH(A244,DATA!$D$2:$D$500,0)),""))</f>
        <v/>
      </c>
      <c r="C244" s="10" t="n"/>
      <c r="D244" s="10" t="n"/>
      <c r="E244" s="10" t="n"/>
      <c r="F244" s="10" t="n"/>
      <c r="G244" s="10" t="n"/>
      <c r="H244" s="10" t="n"/>
      <c r="I244" s="10" t="n"/>
      <c r="J244" s="12">
        <f>IF(OR(A244="",COUNT(C244:E244)&lt;3),"",IFERROR(MAX(0,FLOOR(($N$2-$N$3)/E244,1))*MAX(1,MIN(IF(G244="",1,G244),FLOOR($N$4/D244,1)))*IF(F244="",1,F244),""))</f>
        <v/>
      </c>
      <c r="K244" s="12">
        <f>IF(A244="","",IF(COUNTIF(DATA!$D$2:$D$500,A244)=0,"CEK SKU tidak ada di DATA",IF(COUNT(C244:E244)&lt;3,"CEK dimensi belum lengkap",IF(OR(C244&lt;=0,D244&lt;=0,E244&lt;=0),"CEK dimensi harus lebih dari 0",IF(COUNTIF($A$2:$A$500,A244)&gt;1,"CEK SKU dobel","OK")))))</f>
        <v/>
      </c>
    </row>
    <row r="245">
      <c r="A245" s="10" t="n"/>
      <c r="B245" s="12">
        <f>IF(A245="","",IFERROR(INDEX(DATA!$E$2:$E$500,MATCH(A245,DATA!$D$2:$D$500,0)),""))</f>
        <v/>
      </c>
      <c r="C245" s="10" t="n"/>
      <c r="D245" s="10" t="n"/>
      <c r="E245" s="10" t="n"/>
      <c r="F245" s="10" t="n"/>
      <c r="G245" s="10" t="n"/>
      <c r="H245" s="10" t="n"/>
      <c r="I245" s="10" t="n"/>
      <c r="J245" s="12">
        <f>IF(OR(A245="",COUNT(C245:E245)&lt;3),"",IFERROR(MAX(0,FLOOR(($N$2-$N$3)/E245,1))*MAX(1,MIN(IF(G245="",1,G245),FLOOR($N$4/D245,1)))*IF(F245="",1,F245),""))</f>
        <v/>
      </c>
      <c r="K245" s="12">
        <f>IF(A245="","",IF(COUNTIF(DATA!$D$2:$D$500,A245)=0,"CEK SKU tidak ada di DATA",IF(COUNT(C245:E245)&lt;3,"CEK dimensi belum lengkap",IF(OR(C245&lt;=0,D245&lt;=0,E245&lt;=0),"CEK dimensi harus lebih dari 0",IF(COUNTIF($A$2:$A$500,A245)&gt;1,"CEK SKU dobel","OK")))))</f>
        <v/>
      </c>
    </row>
    <row r="246">
      <c r="A246" s="10" t="n"/>
      <c r="B246" s="12">
        <f>IF(A246="","",IFERROR(INDEX(DATA!$E$2:$E$500,MATCH(A246,DATA!$D$2:$D$500,0)),""))</f>
        <v/>
      </c>
      <c r="C246" s="10" t="n"/>
      <c r="D246" s="10" t="n"/>
      <c r="E246" s="10" t="n"/>
      <c r="F246" s="10" t="n"/>
      <c r="G246" s="10" t="n"/>
      <c r="H246" s="10" t="n"/>
      <c r="I246" s="10" t="n"/>
      <c r="J246" s="12">
        <f>IF(OR(A246="",COUNT(C246:E246)&lt;3),"",IFERROR(MAX(0,FLOOR(($N$2-$N$3)/E246,1))*MAX(1,MIN(IF(G246="",1,G246),FLOOR($N$4/D246,1)))*IF(F246="",1,F246),""))</f>
        <v/>
      </c>
      <c r="K246" s="12">
        <f>IF(A246="","",IF(COUNTIF(DATA!$D$2:$D$500,A246)=0,"CEK SKU tidak ada di DATA",IF(COUNT(C246:E246)&lt;3,"CEK dimensi belum lengkap",IF(OR(C246&lt;=0,D246&lt;=0,E246&lt;=0),"CEK dimensi harus lebih dari 0",IF(COUNTIF($A$2:$A$500,A246)&gt;1,"CEK SKU dobel","OK")))))</f>
        <v/>
      </c>
    </row>
    <row r="247">
      <c r="A247" s="10" t="n"/>
      <c r="B247" s="12">
        <f>IF(A247="","",IFERROR(INDEX(DATA!$E$2:$E$500,MATCH(A247,DATA!$D$2:$D$500,0)),""))</f>
        <v/>
      </c>
      <c r="C247" s="10" t="n"/>
      <c r="D247" s="10" t="n"/>
      <c r="E247" s="10" t="n"/>
      <c r="F247" s="10" t="n"/>
      <c r="G247" s="10" t="n"/>
      <c r="H247" s="10" t="n"/>
      <c r="I247" s="10" t="n"/>
      <c r="J247" s="12">
        <f>IF(OR(A247="",COUNT(C247:E247)&lt;3),"",IFERROR(MAX(0,FLOOR(($N$2-$N$3)/E247,1))*MAX(1,MIN(IF(G247="",1,G247),FLOOR($N$4/D247,1)))*IF(F247="",1,F247),""))</f>
        <v/>
      </c>
      <c r="K247" s="12">
        <f>IF(A247="","",IF(COUNTIF(DATA!$D$2:$D$500,A247)=0,"CEK SKU tidak ada di DATA",IF(COUNT(C247:E247)&lt;3,"CEK dimensi belum lengkap",IF(OR(C247&lt;=0,D247&lt;=0,E247&lt;=0),"CEK dimensi harus lebih dari 0",IF(COUNTIF($A$2:$A$500,A247)&gt;1,"CEK SKU dobel","OK")))))</f>
        <v/>
      </c>
    </row>
    <row r="248">
      <c r="A248" s="10" t="n"/>
      <c r="B248" s="12">
        <f>IF(A248="","",IFERROR(INDEX(DATA!$E$2:$E$500,MATCH(A248,DATA!$D$2:$D$500,0)),""))</f>
        <v/>
      </c>
      <c r="C248" s="10" t="n"/>
      <c r="D248" s="10" t="n"/>
      <c r="E248" s="10" t="n"/>
      <c r="F248" s="10" t="n"/>
      <c r="G248" s="10" t="n"/>
      <c r="H248" s="10" t="n"/>
      <c r="I248" s="10" t="n"/>
      <c r="J248" s="12">
        <f>IF(OR(A248="",COUNT(C248:E248)&lt;3),"",IFERROR(MAX(0,FLOOR(($N$2-$N$3)/E248,1))*MAX(1,MIN(IF(G248="",1,G248),FLOOR($N$4/D248,1)))*IF(F248="",1,F248),""))</f>
        <v/>
      </c>
      <c r="K248" s="12">
        <f>IF(A248="","",IF(COUNTIF(DATA!$D$2:$D$500,A248)=0,"CEK SKU tidak ada di DATA",IF(COUNT(C248:E248)&lt;3,"CEK dimensi belum lengkap",IF(OR(C248&lt;=0,D248&lt;=0,E248&lt;=0),"CEK dimensi harus lebih dari 0",IF(COUNTIF($A$2:$A$500,A248)&gt;1,"CEK SKU dobel","OK")))))</f>
        <v/>
      </c>
    </row>
    <row r="249">
      <c r="A249" s="10" t="n"/>
      <c r="B249" s="12">
        <f>IF(A249="","",IFERROR(INDEX(DATA!$E$2:$E$500,MATCH(A249,DATA!$D$2:$D$500,0)),""))</f>
        <v/>
      </c>
      <c r="C249" s="10" t="n"/>
      <c r="D249" s="10" t="n"/>
      <c r="E249" s="10" t="n"/>
      <c r="F249" s="10" t="n"/>
      <c r="G249" s="10" t="n"/>
      <c r="H249" s="10" t="n"/>
      <c r="I249" s="10" t="n"/>
      <c r="J249" s="12">
        <f>IF(OR(A249="",COUNT(C249:E249)&lt;3),"",IFERROR(MAX(0,FLOOR(($N$2-$N$3)/E249,1))*MAX(1,MIN(IF(G249="",1,G249),FLOOR($N$4/D249,1)))*IF(F249="",1,F249),""))</f>
        <v/>
      </c>
      <c r="K249" s="12">
        <f>IF(A249="","",IF(COUNTIF(DATA!$D$2:$D$500,A249)=0,"CEK SKU tidak ada di DATA",IF(COUNT(C249:E249)&lt;3,"CEK dimensi belum lengkap",IF(OR(C249&lt;=0,D249&lt;=0,E249&lt;=0),"CEK dimensi harus lebih dari 0",IF(COUNTIF($A$2:$A$500,A249)&gt;1,"CEK SKU dobel","OK")))))</f>
        <v/>
      </c>
    </row>
    <row r="250">
      <c r="A250" s="10" t="n"/>
      <c r="B250" s="12">
        <f>IF(A250="","",IFERROR(INDEX(DATA!$E$2:$E$500,MATCH(A250,DATA!$D$2:$D$500,0)),""))</f>
        <v/>
      </c>
      <c r="C250" s="10" t="n"/>
      <c r="D250" s="10" t="n"/>
      <c r="E250" s="10" t="n"/>
      <c r="F250" s="10" t="n"/>
      <c r="G250" s="10" t="n"/>
      <c r="H250" s="10" t="n"/>
      <c r="I250" s="10" t="n"/>
      <c r="J250" s="12">
        <f>IF(OR(A250="",COUNT(C250:E250)&lt;3),"",IFERROR(MAX(0,FLOOR(($N$2-$N$3)/E250,1))*MAX(1,MIN(IF(G250="",1,G250),FLOOR($N$4/D250,1)))*IF(F250="",1,F250),""))</f>
        <v/>
      </c>
      <c r="K250" s="12">
        <f>IF(A250="","",IF(COUNTIF(DATA!$D$2:$D$500,A250)=0,"CEK SKU tidak ada di DATA",IF(COUNT(C250:E250)&lt;3,"CEK dimensi belum lengkap",IF(OR(C250&lt;=0,D250&lt;=0,E250&lt;=0),"CEK dimensi harus lebih dari 0",IF(COUNTIF($A$2:$A$500,A250)&gt;1,"CEK SKU dobel","OK")))))</f>
        <v/>
      </c>
    </row>
    <row r="251">
      <c r="A251" s="10" t="n"/>
      <c r="B251" s="12">
        <f>IF(A251="","",IFERROR(INDEX(DATA!$E$2:$E$500,MATCH(A251,DATA!$D$2:$D$500,0)),""))</f>
        <v/>
      </c>
      <c r="C251" s="10" t="n"/>
      <c r="D251" s="10" t="n"/>
      <c r="E251" s="10" t="n"/>
      <c r="F251" s="10" t="n"/>
      <c r="G251" s="10" t="n"/>
      <c r="H251" s="10" t="n"/>
      <c r="I251" s="10" t="n"/>
      <c r="J251" s="12">
        <f>IF(OR(A251="",COUNT(C251:E251)&lt;3),"",IFERROR(MAX(0,FLOOR(($N$2-$N$3)/E251,1))*MAX(1,MIN(IF(G251="",1,G251),FLOOR($N$4/D251,1)))*IF(F251="",1,F251),""))</f>
        <v/>
      </c>
      <c r="K251" s="12">
        <f>IF(A251="","",IF(COUNTIF(DATA!$D$2:$D$500,A251)=0,"CEK SKU tidak ada di DATA",IF(COUNT(C251:E251)&lt;3,"CEK dimensi belum lengkap",IF(OR(C251&lt;=0,D251&lt;=0,E251&lt;=0),"CEK dimensi harus lebih dari 0",IF(COUNTIF($A$2:$A$500,A251)&gt;1,"CEK SKU dobel","OK")))))</f>
        <v/>
      </c>
    </row>
    <row r="252">
      <c r="A252" s="10" t="n"/>
      <c r="B252" s="12">
        <f>IF(A252="","",IFERROR(INDEX(DATA!$E$2:$E$500,MATCH(A252,DATA!$D$2:$D$500,0)),""))</f>
        <v/>
      </c>
      <c r="C252" s="10" t="n"/>
      <c r="D252" s="10" t="n"/>
      <c r="E252" s="10" t="n"/>
      <c r="F252" s="10" t="n"/>
      <c r="G252" s="10" t="n"/>
      <c r="H252" s="10" t="n"/>
      <c r="I252" s="10" t="n"/>
      <c r="J252" s="12">
        <f>IF(OR(A252="",COUNT(C252:E252)&lt;3),"",IFERROR(MAX(0,FLOOR(($N$2-$N$3)/E252,1))*MAX(1,MIN(IF(G252="",1,G252),FLOOR($N$4/D252,1)))*IF(F252="",1,F252),""))</f>
        <v/>
      </c>
      <c r="K252" s="12">
        <f>IF(A252="","",IF(COUNTIF(DATA!$D$2:$D$500,A252)=0,"CEK SKU tidak ada di DATA",IF(COUNT(C252:E252)&lt;3,"CEK dimensi belum lengkap",IF(OR(C252&lt;=0,D252&lt;=0,E252&lt;=0),"CEK dimensi harus lebih dari 0",IF(COUNTIF($A$2:$A$500,A252)&gt;1,"CEK SKU dobel","OK")))))</f>
        <v/>
      </c>
    </row>
    <row r="253">
      <c r="A253" s="10" t="n"/>
      <c r="B253" s="12">
        <f>IF(A253="","",IFERROR(INDEX(DATA!$E$2:$E$500,MATCH(A253,DATA!$D$2:$D$500,0)),""))</f>
        <v/>
      </c>
      <c r="C253" s="10" t="n"/>
      <c r="D253" s="10" t="n"/>
      <c r="E253" s="10" t="n"/>
      <c r="F253" s="10" t="n"/>
      <c r="G253" s="10" t="n"/>
      <c r="H253" s="10" t="n"/>
      <c r="I253" s="10" t="n"/>
      <c r="J253" s="12">
        <f>IF(OR(A253="",COUNT(C253:E253)&lt;3),"",IFERROR(MAX(0,FLOOR(($N$2-$N$3)/E253,1))*MAX(1,MIN(IF(G253="",1,G253),FLOOR($N$4/D253,1)))*IF(F253="",1,F253),""))</f>
        <v/>
      </c>
      <c r="K253" s="12">
        <f>IF(A253="","",IF(COUNTIF(DATA!$D$2:$D$500,A253)=0,"CEK SKU tidak ada di DATA",IF(COUNT(C253:E253)&lt;3,"CEK dimensi belum lengkap",IF(OR(C253&lt;=0,D253&lt;=0,E253&lt;=0),"CEK dimensi harus lebih dari 0",IF(COUNTIF($A$2:$A$500,A253)&gt;1,"CEK SKU dobel","OK")))))</f>
        <v/>
      </c>
    </row>
    <row r="254">
      <c r="A254" s="10" t="n"/>
      <c r="B254" s="12">
        <f>IF(A254="","",IFERROR(INDEX(DATA!$E$2:$E$500,MATCH(A254,DATA!$D$2:$D$500,0)),""))</f>
        <v/>
      </c>
      <c r="C254" s="10" t="n"/>
      <c r="D254" s="10" t="n"/>
      <c r="E254" s="10" t="n"/>
      <c r="F254" s="10" t="n"/>
      <c r="G254" s="10" t="n"/>
      <c r="H254" s="10" t="n"/>
      <c r="I254" s="10" t="n"/>
      <c r="J254" s="12">
        <f>IF(OR(A254="",COUNT(C254:E254)&lt;3),"",IFERROR(MAX(0,FLOOR(($N$2-$N$3)/E254,1))*MAX(1,MIN(IF(G254="",1,G254),FLOOR($N$4/D254,1)))*IF(F254="",1,F254),""))</f>
        <v/>
      </c>
      <c r="K254" s="12">
        <f>IF(A254="","",IF(COUNTIF(DATA!$D$2:$D$500,A254)=0,"CEK SKU tidak ada di DATA",IF(COUNT(C254:E254)&lt;3,"CEK dimensi belum lengkap",IF(OR(C254&lt;=0,D254&lt;=0,E254&lt;=0),"CEK dimensi harus lebih dari 0",IF(COUNTIF($A$2:$A$500,A254)&gt;1,"CEK SKU dobel","OK")))))</f>
        <v/>
      </c>
    </row>
    <row r="255">
      <c r="A255" s="10" t="n"/>
      <c r="B255" s="12">
        <f>IF(A255="","",IFERROR(INDEX(DATA!$E$2:$E$500,MATCH(A255,DATA!$D$2:$D$500,0)),""))</f>
        <v/>
      </c>
      <c r="C255" s="10" t="n"/>
      <c r="D255" s="10" t="n"/>
      <c r="E255" s="10" t="n"/>
      <c r="F255" s="10" t="n"/>
      <c r="G255" s="10" t="n"/>
      <c r="H255" s="10" t="n"/>
      <c r="I255" s="10" t="n"/>
      <c r="J255" s="12">
        <f>IF(OR(A255="",COUNT(C255:E255)&lt;3),"",IFERROR(MAX(0,FLOOR(($N$2-$N$3)/E255,1))*MAX(1,MIN(IF(G255="",1,G255),FLOOR($N$4/D255,1)))*IF(F255="",1,F255),""))</f>
        <v/>
      </c>
      <c r="K255" s="12">
        <f>IF(A255="","",IF(COUNTIF(DATA!$D$2:$D$500,A255)=0,"CEK SKU tidak ada di DATA",IF(COUNT(C255:E255)&lt;3,"CEK dimensi belum lengkap",IF(OR(C255&lt;=0,D255&lt;=0,E255&lt;=0),"CEK dimensi harus lebih dari 0",IF(COUNTIF($A$2:$A$500,A255)&gt;1,"CEK SKU dobel","OK")))))</f>
        <v/>
      </c>
    </row>
    <row r="256">
      <c r="A256" s="10" t="n"/>
      <c r="B256" s="12">
        <f>IF(A256="","",IFERROR(INDEX(DATA!$E$2:$E$500,MATCH(A256,DATA!$D$2:$D$500,0)),""))</f>
        <v/>
      </c>
      <c r="C256" s="10" t="n"/>
      <c r="D256" s="10" t="n"/>
      <c r="E256" s="10" t="n"/>
      <c r="F256" s="10" t="n"/>
      <c r="G256" s="10" t="n"/>
      <c r="H256" s="10" t="n"/>
      <c r="I256" s="10" t="n"/>
      <c r="J256" s="12">
        <f>IF(OR(A256="",COUNT(C256:E256)&lt;3),"",IFERROR(MAX(0,FLOOR(($N$2-$N$3)/E256,1))*MAX(1,MIN(IF(G256="",1,G256),FLOOR($N$4/D256,1)))*IF(F256="",1,F256),""))</f>
        <v/>
      </c>
      <c r="K256" s="12">
        <f>IF(A256="","",IF(COUNTIF(DATA!$D$2:$D$500,A256)=0,"CEK SKU tidak ada di DATA",IF(COUNT(C256:E256)&lt;3,"CEK dimensi belum lengkap",IF(OR(C256&lt;=0,D256&lt;=0,E256&lt;=0),"CEK dimensi harus lebih dari 0",IF(COUNTIF($A$2:$A$500,A256)&gt;1,"CEK SKU dobel","OK")))))</f>
        <v/>
      </c>
    </row>
    <row r="257">
      <c r="A257" s="10" t="n"/>
      <c r="B257" s="12">
        <f>IF(A257="","",IFERROR(INDEX(DATA!$E$2:$E$500,MATCH(A257,DATA!$D$2:$D$500,0)),""))</f>
        <v/>
      </c>
      <c r="C257" s="10" t="n"/>
      <c r="D257" s="10" t="n"/>
      <c r="E257" s="10" t="n"/>
      <c r="F257" s="10" t="n"/>
      <c r="G257" s="10" t="n"/>
      <c r="H257" s="10" t="n"/>
      <c r="I257" s="10" t="n"/>
      <c r="J257" s="12">
        <f>IF(OR(A257="",COUNT(C257:E257)&lt;3),"",IFERROR(MAX(0,FLOOR(($N$2-$N$3)/E257,1))*MAX(1,MIN(IF(G257="",1,G257),FLOOR($N$4/D257,1)))*IF(F257="",1,F257),""))</f>
        <v/>
      </c>
      <c r="K257" s="12">
        <f>IF(A257="","",IF(COUNTIF(DATA!$D$2:$D$500,A257)=0,"CEK SKU tidak ada di DATA",IF(COUNT(C257:E257)&lt;3,"CEK dimensi belum lengkap",IF(OR(C257&lt;=0,D257&lt;=0,E257&lt;=0),"CEK dimensi harus lebih dari 0",IF(COUNTIF($A$2:$A$500,A257)&gt;1,"CEK SKU dobel","OK")))))</f>
        <v/>
      </c>
    </row>
    <row r="258">
      <c r="A258" s="10" t="n"/>
      <c r="B258" s="12">
        <f>IF(A258="","",IFERROR(INDEX(DATA!$E$2:$E$500,MATCH(A258,DATA!$D$2:$D$500,0)),""))</f>
        <v/>
      </c>
      <c r="C258" s="10" t="n"/>
      <c r="D258" s="10" t="n"/>
      <c r="E258" s="10" t="n"/>
      <c r="F258" s="10" t="n"/>
      <c r="G258" s="10" t="n"/>
      <c r="H258" s="10" t="n"/>
      <c r="I258" s="10" t="n"/>
      <c r="J258" s="12">
        <f>IF(OR(A258="",COUNT(C258:E258)&lt;3),"",IFERROR(MAX(0,FLOOR(($N$2-$N$3)/E258,1))*MAX(1,MIN(IF(G258="",1,G258),FLOOR($N$4/D258,1)))*IF(F258="",1,F258),""))</f>
        <v/>
      </c>
      <c r="K258" s="12">
        <f>IF(A258="","",IF(COUNTIF(DATA!$D$2:$D$500,A258)=0,"CEK SKU tidak ada di DATA",IF(COUNT(C258:E258)&lt;3,"CEK dimensi belum lengkap",IF(OR(C258&lt;=0,D258&lt;=0,E258&lt;=0),"CEK dimensi harus lebih dari 0",IF(COUNTIF($A$2:$A$500,A258)&gt;1,"CEK SKU dobel","OK")))))</f>
        <v/>
      </c>
    </row>
    <row r="259">
      <c r="A259" s="10" t="n"/>
      <c r="B259" s="12">
        <f>IF(A259="","",IFERROR(INDEX(DATA!$E$2:$E$500,MATCH(A259,DATA!$D$2:$D$500,0)),""))</f>
        <v/>
      </c>
      <c r="C259" s="10" t="n"/>
      <c r="D259" s="10" t="n"/>
      <c r="E259" s="10" t="n"/>
      <c r="F259" s="10" t="n"/>
      <c r="G259" s="10" t="n"/>
      <c r="H259" s="10" t="n"/>
      <c r="I259" s="10" t="n"/>
      <c r="J259" s="12">
        <f>IF(OR(A259="",COUNT(C259:E259)&lt;3),"",IFERROR(MAX(0,FLOOR(($N$2-$N$3)/E259,1))*MAX(1,MIN(IF(G259="",1,G259),FLOOR($N$4/D259,1)))*IF(F259="",1,F259),""))</f>
        <v/>
      </c>
      <c r="K259" s="12">
        <f>IF(A259="","",IF(COUNTIF(DATA!$D$2:$D$500,A259)=0,"CEK SKU tidak ada di DATA",IF(COUNT(C259:E259)&lt;3,"CEK dimensi belum lengkap",IF(OR(C259&lt;=0,D259&lt;=0,E259&lt;=0),"CEK dimensi harus lebih dari 0",IF(COUNTIF($A$2:$A$500,A259)&gt;1,"CEK SKU dobel","OK")))))</f>
        <v/>
      </c>
    </row>
    <row r="260">
      <c r="A260" s="10" t="n"/>
      <c r="B260" s="12">
        <f>IF(A260="","",IFERROR(INDEX(DATA!$E$2:$E$500,MATCH(A260,DATA!$D$2:$D$500,0)),""))</f>
        <v/>
      </c>
      <c r="C260" s="10" t="n"/>
      <c r="D260" s="10" t="n"/>
      <c r="E260" s="10" t="n"/>
      <c r="F260" s="10" t="n"/>
      <c r="G260" s="10" t="n"/>
      <c r="H260" s="10" t="n"/>
      <c r="I260" s="10" t="n"/>
      <c r="J260" s="12">
        <f>IF(OR(A260="",COUNT(C260:E260)&lt;3),"",IFERROR(MAX(0,FLOOR(($N$2-$N$3)/E260,1))*MAX(1,MIN(IF(G260="",1,G260),FLOOR($N$4/D260,1)))*IF(F260="",1,F260),""))</f>
        <v/>
      </c>
      <c r="K260" s="12">
        <f>IF(A260="","",IF(COUNTIF(DATA!$D$2:$D$500,A260)=0,"CEK SKU tidak ada di DATA",IF(COUNT(C260:E260)&lt;3,"CEK dimensi belum lengkap",IF(OR(C260&lt;=0,D260&lt;=0,E260&lt;=0),"CEK dimensi harus lebih dari 0",IF(COUNTIF($A$2:$A$500,A260)&gt;1,"CEK SKU dobel","OK")))))</f>
        <v/>
      </c>
    </row>
    <row r="261">
      <c r="A261" s="10" t="n"/>
      <c r="B261" s="12">
        <f>IF(A261="","",IFERROR(INDEX(DATA!$E$2:$E$500,MATCH(A261,DATA!$D$2:$D$500,0)),""))</f>
        <v/>
      </c>
      <c r="C261" s="10" t="n"/>
      <c r="D261" s="10" t="n"/>
      <c r="E261" s="10" t="n"/>
      <c r="F261" s="10" t="n"/>
      <c r="G261" s="10" t="n"/>
      <c r="H261" s="10" t="n"/>
      <c r="I261" s="10" t="n"/>
      <c r="J261" s="12">
        <f>IF(OR(A261="",COUNT(C261:E261)&lt;3),"",IFERROR(MAX(0,FLOOR(($N$2-$N$3)/E261,1))*MAX(1,MIN(IF(G261="",1,G261),FLOOR($N$4/D261,1)))*IF(F261="",1,F261),""))</f>
        <v/>
      </c>
      <c r="K261" s="12">
        <f>IF(A261="","",IF(COUNTIF(DATA!$D$2:$D$500,A261)=0,"CEK SKU tidak ada di DATA",IF(COUNT(C261:E261)&lt;3,"CEK dimensi belum lengkap",IF(OR(C261&lt;=0,D261&lt;=0,E261&lt;=0),"CEK dimensi harus lebih dari 0",IF(COUNTIF($A$2:$A$500,A261)&gt;1,"CEK SKU dobel","OK")))))</f>
        <v/>
      </c>
    </row>
    <row r="262">
      <c r="A262" s="10" t="n"/>
      <c r="B262" s="12">
        <f>IF(A262="","",IFERROR(INDEX(DATA!$E$2:$E$500,MATCH(A262,DATA!$D$2:$D$500,0)),""))</f>
        <v/>
      </c>
      <c r="C262" s="10" t="n"/>
      <c r="D262" s="10" t="n"/>
      <c r="E262" s="10" t="n"/>
      <c r="F262" s="10" t="n"/>
      <c r="G262" s="10" t="n"/>
      <c r="H262" s="10" t="n"/>
      <c r="I262" s="10" t="n"/>
      <c r="J262" s="12">
        <f>IF(OR(A262="",COUNT(C262:E262)&lt;3),"",IFERROR(MAX(0,FLOOR(($N$2-$N$3)/E262,1))*MAX(1,MIN(IF(G262="",1,G262),FLOOR($N$4/D262,1)))*IF(F262="",1,F262),""))</f>
        <v/>
      </c>
      <c r="K262" s="12">
        <f>IF(A262="","",IF(COUNTIF(DATA!$D$2:$D$500,A262)=0,"CEK SKU tidak ada di DATA",IF(COUNT(C262:E262)&lt;3,"CEK dimensi belum lengkap",IF(OR(C262&lt;=0,D262&lt;=0,E262&lt;=0),"CEK dimensi harus lebih dari 0",IF(COUNTIF($A$2:$A$500,A262)&gt;1,"CEK SKU dobel","OK")))))</f>
        <v/>
      </c>
    </row>
    <row r="263">
      <c r="A263" s="10" t="n"/>
      <c r="B263" s="12">
        <f>IF(A263="","",IFERROR(INDEX(DATA!$E$2:$E$500,MATCH(A263,DATA!$D$2:$D$500,0)),""))</f>
        <v/>
      </c>
      <c r="C263" s="10" t="n"/>
      <c r="D263" s="10" t="n"/>
      <c r="E263" s="10" t="n"/>
      <c r="F263" s="10" t="n"/>
      <c r="G263" s="10" t="n"/>
      <c r="H263" s="10" t="n"/>
      <c r="I263" s="10" t="n"/>
      <c r="J263" s="12">
        <f>IF(OR(A263="",COUNT(C263:E263)&lt;3),"",IFERROR(MAX(0,FLOOR(($N$2-$N$3)/E263,1))*MAX(1,MIN(IF(G263="",1,G263),FLOOR($N$4/D263,1)))*IF(F263="",1,F263),""))</f>
        <v/>
      </c>
      <c r="K263" s="12">
        <f>IF(A263="","",IF(COUNTIF(DATA!$D$2:$D$500,A263)=0,"CEK SKU tidak ada di DATA",IF(COUNT(C263:E263)&lt;3,"CEK dimensi belum lengkap",IF(OR(C263&lt;=0,D263&lt;=0,E263&lt;=0),"CEK dimensi harus lebih dari 0",IF(COUNTIF($A$2:$A$500,A263)&gt;1,"CEK SKU dobel","OK")))))</f>
        <v/>
      </c>
    </row>
    <row r="264">
      <c r="A264" s="10" t="n"/>
      <c r="B264" s="12">
        <f>IF(A264="","",IFERROR(INDEX(DATA!$E$2:$E$500,MATCH(A264,DATA!$D$2:$D$500,0)),""))</f>
        <v/>
      </c>
      <c r="C264" s="10" t="n"/>
      <c r="D264" s="10" t="n"/>
      <c r="E264" s="10" t="n"/>
      <c r="F264" s="10" t="n"/>
      <c r="G264" s="10" t="n"/>
      <c r="H264" s="10" t="n"/>
      <c r="I264" s="10" t="n"/>
      <c r="J264" s="12">
        <f>IF(OR(A264="",COUNT(C264:E264)&lt;3),"",IFERROR(MAX(0,FLOOR(($N$2-$N$3)/E264,1))*MAX(1,MIN(IF(G264="",1,G264),FLOOR($N$4/D264,1)))*IF(F264="",1,F264),""))</f>
        <v/>
      </c>
      <c r="K264" s="12">
        <f>IF(A264="","",IF(COUNTIF(DATA!$D$2:$D$500,A264)=0,"CEK SKU tidak ada di DATA",IF(COUNT(C264:E264)&lt;3,"CEK dimensi belum lengkap",IF(OR(C264&lt;=0,D264&lt;=0,E264&lt;=0),"CEK dimensi harus lebih dari 0",IF(COUNTIF($A$2:$A$500,A264)&gt;1,"CEK SKU dobel","OK")))))</f>
        <v/>
      </c>
    </row>
    <row r="265">
      <c r="A265" s="10" t="n"/>
      <c r="B265" s="12">
        <f>IF(A265="","",IFERROR(INDEX(DATA!$E$2:$E$500,MATCH(A265,DATA!$D$2:$D$500,0)),""))</f>
        <v/>
      </c>
      <c r="C265" s="10" t="n"/>
      <c r="D265" s="10" t="n"/>
      <c r="E265" s="10" t="n"/>
      <c r="F265" s="10" t="n"/>
      <c r="G265" s="10" t="n"/>
      <c r="H265" s="10" t="n"/>
      <c r="I265" s="10" t="n"/>
      <c r="J265" s="12">
        <f>IF(OR(A265="",COUNT(C265:E265)&lt;3),"",IFERROR(MAX(0,FLOOR(($N$2-$N$3)/E265,1))*MAX(1,MIN(IF(G265="",1,G265),FLOOR($N$4/D265,1)))*IF(F265="",1,F265),""))</f>
        <v/>
      </c>
      <c r="K265" s="12">
        <f>IF(A265="","",IF(COUNTIF(DATA!$D$2:$D$500,A265)=0,"CEK SKU tidak ada di DATA",IF(COUNT(C265:E265)&lt;3,"CEK dimensi belum lengkap",IF(OR(C265&lt;=0,D265&lt;=0,E265&lt;=0),"CEK dimensi harus lebih dari 0",IF(COUNTIF($A$2:$A$500,A265)&gt;1,"CEK SKU dobel","OK")))))</f>
        <v/>
      </c>
    </row>
    <row r="266">
      <c r="A266" s="10" t="n"/>
      <c r="B266" s="12">
        <f>IF(A266="","",IFERROR(INDEX(DATA!$E$2:$E$500,MATCH(A266,DATA!$D$2:$D$500,0)),""))</f>
        <v/>
      </c>
      <c r="C266" s="10" t="n"/>
      <c r="D266" s="10" t="n"/>
      <c r="E266" s="10" t="n"/>
      <c r="F266" s="10" t="n"/>
      <c r="G266" s="10" t="n"/>
      <c r="H266" s="10" t="n"/>
      <c r="I266" s="10" t="n"/>
      <c r="J266" s="12">
        <f>IF(OR(A266="",COUNT(C266:E266)&lt;3),"",IFERROR(MAX(0,FLOOR(($N$2-$N$3)/E266,1))*MAX(1,MIN(IF(G266="",1,G266),FLOOR($N$4/D266,1)))*IF(F266="",1,F266),""))</f>
        <v/>
      </c>
      <c r="K266" s="12">
        <f>IF(A266="","",IF(COUNTIF(DATA!$D$2:$D$500,A266)=0,"CEK SKU tidak ada di DATA",IF(COUNT(C266:E266)&lt;3,"CEK dimensi belum lengkap",IF(OR(C266&lt;=0,D266&lt;=0,E266&lt;=0),"CEK dimensi harus lebih dari 0",IF(COUNTIF($A$2:$A$500,A266)&gt;1,"CEK SKU dobel","OK")))))</f>
        <v/>
      </c>
    </row>
    <row r="267">
      <c r="A267" s="10" t="n"/>
      <c r="B267" s="12">
        <f>IF(A267="","",IFERROR(INDEX(DATA!$E$2:$E$500,MATCH(A267,DATA!$D$2:$D$500,0)),""))</f>
        <v/>
      </c>
      <c r="C267" s="10" t="n"/>
      <c r="D267" s="10" t="n"/>
      <c r="E267" s="10" t="n"/>
      <c r="F267" s="10" t="n"/>
      <c r="G267" s="10" t="n"/>
      <c r="H267" s="10" t="n"/>
      <c r="I267" s="10" t="n"/>
      <c r="J267" s="12">
        <f>IF(OR(A267="",COUNT(C267:E267)&lt;3),"",IFERROR(MAX(0,FLOOR(($N$2-$N$3)/E267,1))*MAX(1,MIN(IF(G267="",1,G267),FLOOR($N$4/D267,1)))*IF(F267="",1,F267),""))</f>
        <v/>
      </c>
      <c r="K267" s="12">
        <f>IF(A267="","",IF(COUNTIF(DATA!$D$2:$D$500,A267)=0,"CEK SKU tidak ada di DATA",IF(COUNT(C267:E267)&lt;3,"CEK dimensi belum lengkap",IF(OR(C267&lt;=0,D267&lt;=0,E267&lt;=0),"CEK dimensi harus lebih dari 0",IF(COUNTIF($A$2:$A$500,A267)&gt;1,"CEK SKU dobel","OK")))))</f>
        <v/>
      </c>
    </row>
    <row r="268">
      <c r="A268" s="10" t="n"/>
      <c r="B268" s="12">
        <f>IF(A268="","",IFERROR(INDEX(DATA!$E$2:$E$500,MATCH(A268,DATA!$D$2:$D$500,0)),""))</f>
        <v/>
      </c>
      <c r="C268" s="10" t="n"/>
      <c r="D268" s="10" t="n"/>
      <c r="E268" s="10" t="n"/>
      <c r="F268" s="10" t="n"/>
      <c r="G268" s="10" t="n"/>
      <c r="H268" s="10" t="n"/>
      <c r="I268" s="10" t="n"/>
      <c r="J268" s="12">
        <f>IF(OR(A268="",COUNT(C268:E268)&lt;3),"",IFERROR(MAX(0,FLOOR(($N$2-$N$3)/E268,1))*MAX(1,MIN(IF(G268="",1,G268),FLOOR($N$4/D268,1)))*IF(F268="",1,F268),""))</f>
        <v/>
      </c>
      <c r="K268" s="12">
        <f>IF(A268="","",IF(COUNTIF(DATA!$D$2:$D$500,A268)=0,"CEK SKU tidak ada di DATA",IF(COUNT(C268:E268)&lt;3,"CEK dimensi belum lengkap",IF(OR(C268&lt;=0,D268&lt;=0,E268&lt;=0),"CEK dimensi harus lebih dari 0",IF(COUNTIF($A$2:$A$500,A268)&gt;1,"CEK SKU dobel","OK")))))</f>
        <v/>
      </c>
    </row>
    <row r="269">
      <c r="A269" s="10" t="n"/>
      <c r="B269" s="12">
        <f>IF(A269="","",IFERROR(INDEX(DATA!$E$2:$E$500,MATCH(A269,DATA!$D$2:$D$500,0)),""))</f>
        <v/>
      </c>
      <c r="C269" s="10" t="n"/>
      <c r="D269" s="10" t="n"/>
      <c r="E269" s="10" t="n"/>
      <c r="F269" s="10" t="n"/>
      <c r="G269" s="10" t="n"/>
      <c r="H269" s="10" t="n"/>
      <c r="I269" s="10" t="n"/>
      <c r="J269" s="12">
        <f>IF(OR(A269="",COUNT(C269:E269)&lt;3),"",IFERROR(MAX(0,FLOOR(($N$2-$N$3)/E269,1))*MAX(1,MIN(IF(G269="",1,G269),FLOOR($N$4/D269,1)))*IF(F269="",1,F269),""))</f>
        <v/>
      </c>
      <c r="K269" s="12">
        <f>IF(A269="","",IF(COUNTIF(DATA!$D$2:$D$500,A269)=0,"CEK SKU tidak ada di DATA",IF(COUNT(C269:E269)&lt;3,"CEK dimensi belum lengkap",IF(OR(C269&lt;=0,D269&lt;=0,E269&lt;=0),"CEK dimensi harus lebih dari 0",IF(COUNTIF($A$2:$A$500,A269)&gt;1,"CEK SKU dobel","OK")))))</f>
        <v/>
      </c>
    </row>
    <row r="270">
      <c r="A270" s="10" t="n"/>
      <c r="B270" s="12">
        <f>IF(A270="","",IFERROR(INDEX(DATA!$E$2:$E$500,MATCH(A270,DATA!$D$2:$D$500,0)),""))</f>
        <v/>
      </c>
      <c r="C270" s="10" t="n"/>
      <c r="D270" s="10" t="n"/>
      <c r="E270" s="10" t="n"/>
      <c r="F270" s="10" t="n"/>
      <c r="G270" s="10" t="n"/>
      <c r="H270" s="10" t="n"/>
      <c r="I270" s="10" t="n"/>
      <c r="J270" s="12">
        <f>IF(OR(A270="",COUNT(C270:E270)&lt;3),"",IFERROR(MAX(0,FLOOR(($N$2-$N$3)/E270,1))*MAX(1,MIN(IF(G270="",1,G270),FLOOR($N$4/D270,1)))*IF(F270="",1,F270),""))</f>
        <v/>
      </c>
      <c r="K270" s="12">
        <f>IF(A270="","",IF(COUNTIF(DATA!$D$2:$D$500,A270)=0,"CEK SKU tidak ada di DATA",IF(COUNT(C270:E270)&lt;3,"CEK dimensi belum lengkap",IF(OR(C270&lt;=0,D270&lt;=0,E270&lt;=0),"CEK dimensi harus lebih dari 0",IF(COUNTIF($A$2:$A$500,A270)&gt;1,"CEK SKU dobel","OK")))))</f>
        <v/>
      </c>
    </row>
    <row r="271">
      <c r="A271" s="10" t="n"/>
      <c r="B271" s="12">
        <f>IF(A271="","",IFERROR(INDEX(DATA!$E$2:$E$500,MATCH(A271,DATA!$D$2:$D$500,0)),""))</f>
        <v/>
      </c>
      <c r="C271" s="10" t="n"/>
      <c r="D271" s="10" t="n"/>
      <c r="E271" s="10" t="n"/>
      <c r="F271" s="10" t="n"/>
      <c r="G271" s="10" t="n"/>
      <c r="H271" s="10" t="n"/>
      <c r="I271" s="10" t="n"/>
      <c r="J271" s="12">
        <f>IF(OR(A271="",COUNT(C271:E271)&lt;3),"",IFERROR(MAX(0,FLOOR(($N$2-$N$3)/E271,1))*MAX(1,MIN(IF(G271="",1,G271),FLOOR($N$4/D271,1)))*IF(F271="",1,F271),""))</f>
        <v/>
      </c>
      <c r="K271" s="12">
        <f>IF(A271="","",IF(COUNTIF(DATA!$D$2:$D$500,A271)=0,"CEK SKU tidak ada di DATA",IF(COUNT(C271:E271)&lt;3,"CEK dimensi belum lengkap",IF(OR(C271&lt;=0,D271&lt;=0,E271&lt;=0),"CEK dimensi harus lebih dari 0",IF(COUNTIF($A$2:$A$500,A271)&gt;1,"CEK SKU dobel","OK")))))</f>
        <v/>
      </c>
    </row>
    <row r="272">
      <c r="A272" s="10" t="n"/>
      <c r="B272" s="12">
        <f>IF(A272="","",IFERROR(INDEX(DATA!$E$2:$E$500,MATCH(A272,DATA!$D$2:$D$500,0)),""))</f>
        <v/>
      </c>
      <c r="C272" s="10" t="n"/>
      <c r="D272" s="10" t="n"/>
      <c r="E272" s="10" t="n"/>
      <c r="F272" s="10" t="n"/>
      <c r="G272" s="10" t="n"/>
      <c r="H272" s="10" t="n"/>
      <c r="I272" s="10" t="n"/>
      <c r="J272" s="12">
        <f>IF(OR(A272="",COUNT(C272:E272)&lt;3),"",IFERROR(MAX(0,FLOOR(($N$2-$N$3)/E272,1))*MAX(1,MIN(IF(G272="",1,G272),FLOOR($N$4/D272,1)))*IF(F272="",1,F272),""))</f>
        <v/>
      </c>
      <c r="K272" s="12">
        <f>IF(A272="","",IF(COUNTIF(DATA!$D$2:$D$500,A272)=0,"CEK SKU tidak ada di DATA",IF(COUNT(C272:E272)&lt;3,"CEK dimensi belum lengkap",IF(OR(C272&lt;=0,D272&lt;=0,E272&lt;=0),"CEK dimensi harus lebih dari 0",IF(COUNTIF($A$2:$A$500,A272)&gt;1,"CEK SKU dobel","OK")))))</f>
        <v/>
      </c>
    </row>
    <row r="273">
      <c r="A273" s="10" t="n"/>
      <c r="B273" s="12">
        <f>IF(A273="","",IFERROR(INDEX(DATA!$E$2:$E$500,MATCH(A273,DATA!$D$2:$D$500,0)),""))</f>
        <v/>
      </c>
      <c r="C273" s="10" t="n"/>
      <c r="D273" s="10" t="n"/>
      <c r="E273" s="10" t="n"/>
      <c r="F273" s="10" t="n"/>
      <c r="G273" s="10" t="n"/>
      <c r="H273" s="10" t="n"/>
      <c r="I273" s="10" t="n"/>
      <c r="J273" s="12">
        <f>IF(OR(A273="",COUNT(C273:E273)&lt;3),"",IFERROR(MAX(0,FLOOR(($N$2-$N$3)/E273,1))*MAX(1,MIN(IF(G273="",1,G273),FLOOR($N$4/D273,1)))*IF(F273="",1,F273),""))</f>
        <v/>
      </c>
      <c r="K273" s="12">
        <f>IF(A273="","",IF(COUNTIF(DATA!$D$2:$D$500,A273)=0,"CEK SKU tidak ada di DATA",IF(COUNT(C273:E273)&lt;3,"CEK dimensi belum lengkap",IF(OR(C273&lt;=0,D273&lt;=0,E273&lt;=0),"CEK dimensi harus lebih dari 0",IF(COUNTIF($A$2:$A$500,A273)&gt;1,"CEK SKU dobel","OK")))))</f>
        <v/>
      </c>
    </row>
    <row r="274">
      <c r="A274" s="10" t="n"/>
      <c r="B274" s="12">
        <f>IF(A274="","",IFERROR(INDEX(DATA!$E$2:$E$500,MATCH(A274,DATA!$D$2:$D$500,0)),""))</f>
        <v/>
      </c>
      <c r="C274" s="10" t="n"/>
      <c r="D274" s="10" t="n"/>
      <c r="E274" s="10" t="n"/>
      <c r="F274" s="10" t="n"/>
      <c r="G274" s="10" t="n"/>
      <c r="H274" s="10" t="n"/>
      <c r="I274" s="10" t="n"/>
      <c r="J274" s="12">
        <f>IF(OR(A274="",COUNT(C274:E274)&lt;3),"",IFERROR(MAX(0,FLOOR(($N$2-$N$3)/E274,1))*MAX(1,MIN(IF(G274="",1,G274),FLOOR($N$4/D274,1)))*IF(F274="",1,F274),""))</f>
        <v/>
      </c>
      <c r="K274" s="12">
        <f>IF(A274="","",IF(COUNTIF(DATA!$D$2:$D$500,A274)=0,"CEK SKU tidak ada di DATA",IF(COUNT(C274:E274)&lt;3,"CEK dimensi belum lengkap",IF(OR(C274&lt;=0,D274&lt;=0,E274&lt;=0),"CEK dimensi harus lebih dari 0",IF(COUNTIF($A$2:$A$500,A274)&gt;1,"CEK SKU dobel","OK")))))</f>
        <v/>
      </c>
    </row>
    <row r="275">
      <c r="A275" s="10" t="n"/>
      <c r="B275" s="12">
        <f>IF(A275="","",IFERROR(INDEX(DATA!$E$2:$E$500,MATCH(A275,DATA!$D$2:$D$500,0)),""))</f>
        <v/>
      </c>
      <c r="C275" s="10" t="n"/>
      <c r="D275" s="10" t="n"/>
      <c r="E275" s="10" t="n"/>
      <c r="F275" s="10" t="n"/>
      <c r="G275" s="10" t="n"/>
      <c r="H275" s="10" t="n"/>
      <c r="I275" s="10" t="n"/>
      <c r="J275" s="12">
        <f>IF(OR(A275="",COUNT(C275:E275)&lt;3),"",IFERROR(MAX(0,FLOOR(($N$2-$N$3)/E275,1))*MAX(1,MIN(IF(G275="",1,G275),FLOOR($N$4/D275,1)))*IF(F275="",1,F275),""))</f>
        <v/>
      </c>
      <c r="K275" s="12">
        <f>IF(A275="","",IF(COUNTIF(DATA!$D$2:$D$500,A275)=0,"CEK SKU tidak ada di DATA",IF(COUNT(C275:E275)&lt;3,"CEK dimensi belum lengkap",IF(OR(C275&lt;=0,D275&lt;=0,E275&lt;=0),"CEK dimensi harus lebih dari 0",IF(COUNTIF($A$2:$A$500,A275)&gt;1,"CEK SKU dobel","OK")))))</f>
        <v/>
      </c>
    </row>
    <row r="276">
      <c r="A276" s="10" t="n"/>
      <c r="B276" s="12">
        <f>IF(A276="","",IFERROR(INDEX(DATA!$E$2:$E$500,MATCH(A276,DATA!$D$2:$D$500,0)),""))</f>
        <v/>
      </c>
      <c r="C276" s="10" t="n"/>
      <c r="D276" s="10" t="n"/>
      <c r="E276" s="10" t="n"/>
      <c r="F276" s="10" t="n"/>
      <c r="G276" s="10" t="n"/>
      <c r="H276" s="10" t="n"/>
      <c r="I276" s="10" t="n"/>
      <c r="J276" s="12">
        <f>IF(OR(A276="",COUNT(C276:E276)&lt;3),"",IFERROR(MAX(0,FLOOR(($N$2-$N$3)/E276,1))*MAX(1,MIN(IF(G276="",1,G276),FLOOR($N$4/D276,1)))*IF(F276="",1,F276),""))</f>
        <v/>
      </c>
      <c r="K276" s="12">
        <f>IF(A276="","",IF(COUNTIF(DATA!$D$2:$D$500,A276)=0,"CEK SKU tidak ada di DATA",IF(COUNT(C276:E276)&lt;3,"CEK dimensi belum lengkap",IF(OR(C276&lt;=0,D276&lt;=0,E276&lt;=0),"CEK dimensi harus lebih dari 0",IF(COUNTIF($A$2:$A$500,A276)&gt;1,"CEK SKU dobel","OK")))))</f>
        <v/>
      </c>
    </row>
    <row r="277">
      <c r="A277" s="10" t="n"/>
      <c r="B277" s="12">
        <f>IF(A277="","",IFERROR(INDEX(DATA!$E$2:$E$500,MATCH(A277,DATA!$D$2:$D$500,0)),""))</f>
        <v/>
      </c>
      <c r="C277" s="10" t="n"/>
      <c r="D277" s="10" t="n"/>
      <c r="E277" s="10" t="n"/>
      <c r="F277" s="10" t="n"/>
      <c r="G277" s="10" t="n"/>
      <c r="H277" s="10" t="n"/>
      <c r="I277" s="10" t="n"/>
      <c r="J277" s="12">
        <f>IF(OR(A277="",COUNT(C277:E277)&lt;3),"",IFERROR(MAX(0,FLOOR(($N$2-$N$3)/E277,1))*MAX(1,MIN(IF(G277="",1,G277),FLOOR($N$4/D277,1)))*IF(F277="",1,F277),""))</f>
        <v/>
      </c>
      <c r="K277" s="12">
        <f>IF(A277="","",IF(COUNTIF(DATA!$D$2:$D$500,A277)=0,"CEK SKU tidak ada di DATA",IF(COUNT(C277:E277)&lt;3,"CEK dimensi belum lengkap",IF(OR(C277&lt;=0,D277&lt;=0,E277&lt;=0),"CEK dimensi harus lebih dari 0",IF(COUNTIF($A$2:$A$500,A277)&gt;1,"CEK SKU dobel","OK")))))</f>
        <v/>
      </c>
    </row>
    <row r="278">
      <c r="A278" s="10" t="n"/>
      <c r="B278" s="12">
        <f>IF(A278="","",IFERROR(INDEX(DATA!$E$2:$E$500,MATCH(A278,DATA!$D$2:$D$500,0)),""))</f>
        <v/>
      </c>
      <c r="C278" s="10" t="n"/>
      <c r="D278" s="10" t="n"/>
      <c r="E278" s="10" t="n"/>
      <c r="F278" s="10" t="n"/>
      <c r="G278" s="10" t="n"/>
      <c r="H278" s="10" t="n"/>
      <c r="I278" s="10" t="n"/>
      <c r="J278" s="12">
        <f>IF(OR(A278="",COUNT(C278:E278)&lt;3),"",IFERROR(MAX(0,FLOOR(($N$2-$N$3)/E278,1))*MAX(1,MIN(IF(G278="",1,G278),FLOOR($N$4/D278,1)))*IF(F278="",1,F278),""))</f>
        <v/>
      </c>
      <c r="K278" s="12">
        <f>IF(A278="","",IF(COUNTIF(DATA!$D$2:$D$500,A278)=0,"CEK SKU tidak ada di DATA",IF(COUNT(C278:E278)&lt;3,"CEK dimensi belum lengkap",IF(OR(C278&lt;=0,D278&lt;=0,E278&lt;=0),"CEK dimensi harus lebih dari 0",IF(COUNTIF($A$2:$A$500,A278)&gt;1,"CEK SKU dobel","OK")))))</f>
        <v/>
      </c>
    </row>
    <row r="279">
      <c r="A279" s="10" t="n"/>
      <c r="B279" s="12">
        <f>IF(A279="","",IFERROR(INDEX(DATA!$E$2:$E$500,MATCH(A279,DATA!$D$2:$D$500,0)),""))</f>
        <v/>
      </c>
      <c r="C279" s="10" t="n"/>
      <c r="D279" s="10" t="n"/>
      <c r="E279" s="10" t="n"/>
      <c r="F279" s="10" t="n"/>
      <c r="G279" s="10" t="n"/>
      <c r="H279" s="10" t="n"/>
      <c r="I279" s="10" t="n"/>
      <c r="J279" s="12">
        <f>IF(OR(A279="",COUNT(C279:E279)&lt;3),"",IFERROR(MAX(0,FLOOR(($N$2-$N$3)/E279,1))*MAX(1,MIN(IF(G279="",1,G279),FLOOR($N$4/D279,1)))*IF(F279="",1,F279),""))</f>
        <v/>
      </c>
      <c r="K279" s="12">
        <f>IF(A279="","",IF(COUNTIF(DATA!$D$2:$D$500,A279)=0,"CEK SKU tidak ada di DATA",IF(COUNT(C279:E279)&lt;3,"CEK dimensi belum lengkap",IF(OR(C279&lt;=0,D279&lt;=0,E279&lt;=0),"CEK dimensi harus lebih dari 0",IF(COUNTIF($A$2:$A$500,A279)&gt;1,"CEK SKU dobel","OK")))))</f>
        <v/>
      </c>
    </row>
    <row r="280">
      <c r="A280" s="10" t="n"/>
      <c r="B280" s="12">
        <f>IF(A280="","",IFERROR(INDEX(DATA!$E$2:$E$500,MATCH(A280,DATA!$D$2:$D$500,0)),""))</f>
        <v/>
      </c>
      <c r="C280" s="10" t="n"/>
      <c r="D280" s="10" t="n"/>
      <c r="E280" s="10" t="n"/>
      <c r="F280" s="10" t="n"/>
      <c r="G280" s="10" t="n"/>
      <c r="H280" s="10" t="n"/>
      <c r="I280" s="10" t="n"/>
      <c r="J280" s="12">
        <f>IF(OR(A280="",COUNT(C280:E280)&lt;3),"",IFERROR(MAX(0,FLOOR(($N$2-$N$3)/E280,1))*MAX(1,MIN(IF(G280="",1,G280),FLOOR($N$4/D280,1)))*IF(F280="",1,F280),""))</f>
        <v/>
      </c>
      <c r="K280" s="12">
        <f>IF(A280="","",IF(COUNTIF(DATA!$D$2:$D$500,A280)=0,"CEK SKU tidak ada di DATA",IF(COUNT(C280:E280)&lt;3,"CEK dimensi belum lengkap",IF(OR(C280&lt;=0,D280&lt;=0,E280&lt;=0),"CEK dimensi harus lebih dari 0",IF(COUNTIF($A$2:$A$500,A280)&gt;1,"CEK SKU dobel","OK")))))</f>
        <v/>
      </c>
    </row>
    <row r="281">
      <c r="A281" s="10" t="n"/>
      <c r="B281" s="12">
        <f>IF(A281="","",IFERROR(INDEX(DATA!$E$2:$E$500,MATCH(A281,DATA!$D$2:$D$500,0)),""))</f>
        <v/>
      </c>
      <c r="C281" s="10" t="n"/>
      <c r="D281" s="10" t="n"/>
      <c r="E281" s="10" t="n"/>
      <c r="F281" s="10" t="n"/>
      <c r="G281" s="10" t="n"/>
      <c r="H281" s="10" t="n"/>
      <c r="I281" s="10" t="n"/>
      <c r="J281" s="12">
        <f>IF(OR(A281="",COUNT(C281:E281)&lt;3),"",IFERROR(MAX(0,FLOOR(($N$2-$N$3)/E281,1))*MAX(1,MIN(IF(G281="",1,G281),FLOOR($N$4/D281,1)))*IF(F281="",1,F281),""))</f>
        <v/>
      </c>
      <c r="K281" s="12">
        <f>IF(A281="","",IF(COUNTIF(DATA!$D$2:$D$500,A281)=0,"CEK SKU tidak ada di DATA",IF(COUNT(C281:E281)&lt;3,"CEK dimensi belum lengkap",IF(OR(C281&lt;=0,D281&lt;=0,E281&lt;=0),"CEK dimensi harus lebih dari 0",IF(COUNTIF($A$2:$A$500,A281)&gt;1,"CEK SKU dobel","OK")))))</f>
        <v/>
      </c>
    </row>
    <row r="282">
      <c r="A282" s="10" t="n"/>
      <c r="B282" s="12">
        <f>IF(A282="","",IFERROR(INDEX(DATA!$E$2:$E$500,MATCH(A282,DATA!$D$2:$D$500,0)),""))</f>
        <v/>
      </c>
      <c r="C282" s="10" t="n"/>
      <c r="D282" s="10" t="n"/>
      <c r="E282" s="10" t="n"/>
      <c r="F282" s="10" t="n"/>
      <c r="G282" s="10" t="n"/>
      <c r="H282" s="10" t="n"/>
      <c r="I282" s="10" t="n"/>
      <c r="J282" s="12">
        <f>IF(OR(A282="",COUNT(C282:E282)&lt;3),"",IFERROR(MAX(0,FLOOR(($N$2-$N$3)/E282,1))*MAX(1,MIN(IF(G282="",1,G282),FLOOR($N$4/D282,1)))*IF(F282="",1,F282),""))</f>
        <v/>
      </c>
      <c r="K282" s="12">
        <f>IF(A282="","",IF(COUNTIF(DATA!$D$2:$D$500,A282)=0,"CEK SKU tidak ada di DATA",IF(COUNT(C282:E282)&lt;3,"CEK dimensi belum lengkap",IF(OR(C282&lt;=0,D282&lt;=0,E282&lt;=0),"CEK dimensi harus lebih dari 0",IF(COUNTIF($A$2:$A$500,A282)&gt;1,"CEK SKU dobel","OK")))))</f>
        <v/>
      </c>
    </row>
    <row r="283">
      <c r="A283" s="10" t="n"/>
      <c r="B283" s="12">
        <f>IF(A283="","",IFERROR(INDEX(DATA!$E$2:$E$500,MATCH(A283,DATA!$D$2:$D$500,0)),""))</f>
        <v/>
      </c>
      <c r="C283" s="10" t="n"/>
      <c r="D283" s="10" t="n"/>
      <c r="E283" s="10" t="n"/>
      <c r="F283" s="10" t="n"/>
      <c r="G283" s="10" t="n"/>
      <c r="H283" s="10" t="n"/>
      <c r="I283" s="10" t="n"/>
      <c r="J283" s="12">
        <f>IF(OR(A283="",COUNT(C283:E283)&lt;3),"",IFERROR(MAX(0,FLOOR(($N$2-$N$3)/E283,1))*MAX(1,MIN(IF(G283="",1,G283),FLOOR($N$4/D283,1)))*IF(F283="",1,F283),""))</f>
        <v/>
      </c>
      <c r="K283" s="12">
        <f>IF(A283="","",IF(COUNTIF(DATA!$D$2:$D$500,A283)=0,"CEK SKU tidak ada di DATA",IF(COUNT(C283:E283)&lt;3,"CEK dimensi belum lengkap",IF(OR(C283&lt;=0,D283&lt;=0,E283&lt;=0),"CEK dimensi harus lebih dari 0",IF(COUNTIF($A$2:$A$500,A283)&gt;1,"CEK SKU dobel","OK")))))</f>
        <v/>
      </c>
    </row>
    <row r="284">
      <c r="A284" s="10" t="n"/>
      <c r="B284" s="12">
        <f>IF(A284="","",IFERROR(INDEX(DATA!$E$2:$E$500,MATCH(A284,DATA!$D$2:$D$500,0)),""))</f>
        <v/>
      </c>
      <c r="C284" s="10" t="n"/>
      <c r="D284" s="10" t="n"/>
      <c r="E284" s="10" t="n"/>
      <c r="F284" s="10" t="n"/>
      <c r="G284" s="10" t="n"/>
      <c r="H284" s="10" t="n"/>
      <c r="I284" s="10" t="n"/>
      <c r="J284" s="12">
        <f>IF(OR(A284="",COUNT(C284:E284)&lt;3),"",IFERROR(MAX(0,FLOOR(($N$2-$N$3)/E284,1))*MAX(1,MIN(IF(G284="",1,G284),FLOOR($N$4/D284,1)))*IF(F284="",1,F284),""))</f>
        <v/>
      </c>
      <c r="K284" s="12">
        <f>IF(A284="","",IF(COUNTIF(DATA!$D$2:$D$500,A284)=0,"CEK SKU tidak ada di DATA",IF(COUNT(C284:E284)&lt;3,"CEK dimensi belum lengkap",IF(OR(C284&lt;=0,D284&lt;=0,E284&lt;=0),"CEK dimensi harus lebih dari 0",IF(COUNTIF($A$2:$A$500,A284)&gt;1,"CEK SKU dobel","OK")))))</f>
        <v/>
      </c>
    </row>
    <row r="285">
      <c r="A285" s="10" t="n"/>
      <c r="B285" s="12">
        <f>IF(A285="","",IFERROR(INDEX(DATA!$E$2:$E$500,MATCH(A285,DATA!$D$2:$D$500,0)),""))</f>
        <v/>
      </c>
      <c r="C285" s="10" t="n"/>
      <c r="D285" s="10" t="n"/>
      <c r="E285" s="10" t="n"/>
      <c r="F285" s="10" t="n"/>
      <c r="G285" s="10" t="n"/>
      <c r="H285" s="10" t="n"/>
      <c r="I285" s="10" t="n"/>
      <c r="J285" s="12">
        <f>IF(OR(A285="",COUNT(C285:E285)&lt;3),"",IFERROR(MAX(0,FLOOR(($N$2-$N$3)/E285,1))*MAX(1,MIN(IF(G285="",1,G285),FLOOR($N$4/D285,1)))*IF(F285="",1,F285),""))</f>
        <v/>
      </c>
      <c r="K285" s="12">
        <f>IF(A285="","",IF(COUNTIF(DATA!$D$2:$D$500,A285)=0,"CEK SKU tidak ada di DATA",IF(COUNT(C285:E285)&lt;3,"CEK dimensi belum lengkap",IF(OR(C285&lt;=0,D285&lt;=0,E285&lt;=0),"CEK dimensi harus lebih dari 0",IF(COUNTIF($A$2:$A$500,A285)&gt;1,"CEK SKU dobel","OK")))))</f>
        <v/>
      </c>
    </row>
    <row r="286">
      <c r="A286" s="10" t="n"/>
      <c r="B286" s="12">
        <f>IF(A286="","",IFERROR(INDEX(DATA!$E$2:$E$500,MATCH(A286,DATA!$D$2:$D$500,0)),""))</f>
        <v/>
      </c>
      <c r="C286" s="10" t="n"/>
      <c r="D286" s="10" t="n"/>
      <c r="E286" s="10" t="n"/>
      <c r="F286" s="10" t="n"/>
      <c r="G286" s="10" t="n"/>
      <c r="H286" s="10" t="n"/>
      <c r="I286" s="10" t="n"/>
      <c r="J286" s="12">
        <f>IF(OR(A286="",COUNT(C286:E286)&lt;3),"",IFERROR(MAX(0,FLOOR(($N$2-$N$3)/E286,1))*MAX(1,MIN(IF(G286="",1,G286),FLOOR($N$4/D286,1)))*IF(F286="",1,F286),""))</f>
        <v/>
      </c>
      <c r="K286" s="12">
        <f>IF(A286="","",IF(COUNTIF(DATA!$D$2:$D$500,A286)=0,"CEK SKU tidak ada di DATA",IF(COUNT(C286:E286)&lt;3,"CEK dimensi belum lengkap",IF(OR(C286&lt;=0,D286&lt;=0,E286&lt;=0),"CEK dimensi harus lebih dari 0",IF(COUNTIF($A$2:$A$500,A286)&gt;1,"CEK SKU dobel","OK")))))</f>
        <v/>
      </c>
    </row>
    <row r="287">
      <c r="A287" s="10" t="n"/>
      <c r="B287" s="12">
        <f>IF(A287="","",IFERROR(INDEX(DATA!$E$2:$E$500,MATCH(A287,DATA!$D$2:$D$500,0)),""))</f>
        <v/>
      </c>
      <c r="C287" s="10" t="n"/>
      <c r="D287" s="10" t="n"/>
      <c r="E287" s="10" t="n"/>
      <c r="F287" s="10" t="n"/>
      <c r="G287" s="10" t="n"/>
      <c r="H287" s="10" t="n"/>
      <c r="I287" s="10" t="n"/>
      <c r="J287" s="12">
        <f>IF(OR(A287="",COUNT(C287:E287)&lt;3),"",IFERROR(MAX(0,FLOOR(($N$2-$N$3)/E287,1))*MAX(1,MIN(IF(G287="",1,G287),FLOOR($N$4/D287,1)))*IF(F287="",1,F287),""))</f>
        <v/>
      </c>
      <c r="K287" s="12">
        <f>IF(A287="","",IF(COUNTIF(DATA!$D$2:$D$500,A287)=0,"CEK SKU tidak ada di DATA",IF(COUNT(C287:E287)&lt;3,"CEK dimensi belum lengkap",IF(OR(C287&lt;=0,D287&lt;=0,E287&lt;=0),"CEK dimensi harus lebih dari 0",IF(COUNTIF($A$2:$A$500,A287)&gt;1,"CEK SKU dobel","OK")))))</f>
        <v/>
      </c>
    </row>
    <row r="288">
      <c r="A288" s="10" t="n"/>
      <c r="B288" s="12">
        <f>IF(A288="","",IFERROR(INDEX(DATA!$E$2:$E$500,MATCH(A288,DATA!$D$2:$D$500,0)),""))</f>
        <v/>
      </c>
      <c r="C288" s="10" t="n"/>
      <c r="D288" s="10" t="n"/>
      <c r="E288" s="10" t="n"/>
      <c r="F288" s="10" t="n"/>
      <c r="G288" s="10" t="n"/>
      <c r="H288" s="10" t="n"/>
      <c r="I288" s="10" t="n"/>
      <c r="J288" s="12">
        <f>IF(OR(A288="",COUNT(C288:E288)&lt;3),"",IFERROR(MAX(0,FLOOR(($N$2-$N$3)/E288,1))*MAX(1,MIN(IF(G288="",1,G288),FLOOR($N$4/D288,1)))*IF(F288="",1,F288),""))</f>
        <v/>
      </c>
      <c r="K288" s="12">
        <f>IF(A288="","",IF(COUNTIF(DATA!$D$2:$D$500,A288)=0,"CEK SKU tidak ada di DATA",IF(COUNT(C288:E288)&lt;3,"CEK dimensi belum lengkap",IF(OR(C288&lt;=0,D288&lt;=0,E288&lt;=0),"CEK dimensi harus lebih dari 0",IF(COUNTIF($A$2:$A$500,A288)&gt;1,"CEK SKU dobel","OK")))))</f>
        <v/>
      </c>
    </row>
    <row r="289">
      <c r="A289" s="10" t="n"/>
      <c r="B289" s="12">
        <f>IF(A289="","",IFERROR(INDEX(DATA!$E$2:$E$500,MATCH(A289,DATA!$D$2:$D$500,0)),""))</f>
        <v/>
      </c>
      <c r="C289" s="10" t="n"/>
      <c r="D289" s="10" t="n"/>
      <c r="E289" s="10" t="n"/>
      <c r="F289" s="10" t="n"/>
      <c r="G289" s="10" t="n"/>
      <c r="H289" s="10" t="n"/>
      <c r="I289" s="10" t="n"/>
      <c r="J289" s="12">
        <f>IF(OR(A289="",COUNT(C289:E289)&lt;3),"",IFERROR(MAX(0,FLOOR(($N$2-$N$3)/E289,1))*MAX(1,MIN(IF(G289="",1,G289),FLOOR($N$4/D289,1)))*IF(F289="",1,F289),""))</f>
        <v/>
      </c>
      <c r="K289" s="12">
        <f>IF(A289="","",IF(COUNTIF(DATA!$D$2:$D$500,A289)=0,"CEK SKU tidak ada di DATA",IF(COUNT(C289:E289)&lt;3,"CEK dimensi belum lengkap",IF(OR(C289&lt;=0,D289&lt;=0,E289&lt;=0),"CEK dimensi harus lebih dari 0",IF(COUNTIF($A$2:$A$500,A289)&gt;1,"CEK SKU dobel","OK")))))</f>
        <v/>
      </c>
    </row>
    <row r="290">
      <c r="A290" s="10" t="n"/>
      <c r="B290" s="12">
        <f>IF(A290="","",IFERROR(INDEX(DATA!$E$2:$E$500,MATCH(A290,DATA!$D$2:$D$500,0)),""))</f>
        <v/>
      </c>
      <c r="C290" s="10" t="n"/>
      <c r="D290" s="10" t="n"/>
      <c r="E290" s="10" t="n"/>
      <c r="F290" s="10" t="n"/>
      <c r="G290" s="10" t="n"/>
      <c r="H290" s="10" t="n"/>
      <c r="I290" s="10" t="n"/>
      <c r="J290" s="12">
        <f>IF(OR(A290="",COUNT(C290:E290)&lt;3),"",IFERROR(MAX(0,FLOOR(($N$2-$N$3)/E290,1))*MAX(1,MIN(IF(G290="",1,G290),FLOOR($N$4/D290,1)))*IF(F290="",1,F290),""))</f>
        <v/>
      </c>
      <c r="K290" s="12">
        <f>IF(A290="","",IF(COUNTIF(DATA!$D$2:$D$500,A290)=0,"CEK SKU tidak ada di DATA",IF(COUNT(C290:E290)&lt;3,"CEK dimensi belum lengkap",IF(OR(C290&lt;=0,D290&lt;=0,E290&lt;=0),"CEK dimensi harus lebih dari 0",IF(COUNTIF($A$2:$A$500,A290)&gt;1,"CEK SKU dobel","OK")))))</f>
        <v/>
      </c>
    </row>
    <row r="291">
      <c r="A291" s="10" t="n"/>
      <c r="B291" s="12">
        <f>IF(A291="","",IFERROR(INDEX(DATA!$E$2:$E$500,MATCH(A291,DATA!$D$2:$D$500,0)),""))</f>
        <v/>
      </c>
      <c r="C291" s="10" t="n"/>
      <c r="D291" s="10" t="n"/>
      <c r="E291" s="10" t="n"/>
      <c r="F291" s="10" t="n"/>
      <c r="G291" s="10" t="n"/>
      <c r="H291" s="10" t="n"/>
      <c r="I291" s="10" t="n"/>
      <c r="J291" s="12">
        <f>IF(OR(A291="",COUNT(C291:E291)&lt;3),"",IFERROR(MAX(0,FLOOR(($N$2-$N$3)/E291,1))*MAX(1,MIN(IF(G291="",1,G291),FLOOR($N$4/D291,1)))*IF(F291="",1,F291),""))</f>
        <v/>
      </c>
      <c r="K291" s="12">
        <f>IF(A291="","",IF(COUNTIF(DATA!$D$2:$D$500,A291)=0,"CEK SKU tidak ada di DATA",IF(COUNT(C291:E291)&lt;3,"CEK dimensi belum lengkap",IF(OR(C291&lt;=0,D291&lt;=0,E291&lt;=0),"CEK dimensi harus lebih dari 0",IF(COUNTIF($A$2:$A$500,A291)&gt;1,"CEK SKU dobel","OK")))))</f>
        <v/>
      </c>
    </row>
    <row r="292">
      <c r="A292" s="10" t="n"/>
      <c r="B292" s="12">
        <f>IF(A292="","",IFERROR(INDEX(DATA!$E$2:$E$500,MATCH(A292,DATA!$D$2:$D$500,0)),""))</f>
        <v/>
      </c>
      <c r="C292" s="10" t="n"/>
      <c r="D292" s="10" t="n"/>
      <c r="E292" s="10" t="n"/>
      <c r="F292" s="10" t="n"/>
      <c r="G292" s="10" t="n"/>
      <c r="H292" s="10" t="n"/>
      <c r="I292" s="10" t="n"/>
      <c r="J292" s="12">
        <f>IF(OR(A292="",COUNT(C292:E292)&lt;3),"",IFERROR(MAX(0,FLOOR(($N$2-$N$3)/E292,1))*MAX(1,MIN(IF(G292="",1,G292),FLOOR($N$4/D292,1)))*IF(F292="",1,F292),""))</f>
        <v/>
      </c>
      <c r="K292" s="12">
        <f>IF(A292="","",IF(COUNTIF(DATA!$D$2:$D$500,A292)=0,"CEK SKU tidak ada di DATA",IF(COUNT(C292:E292)&lt;3,"CEK dimensi belum lengkap",IF(OR(C292&lt;=0,D292&lt;=0,E292&lt;=0),"CEK dimensi harus lebih dari 0",IF(COUNTIF($A$2:$A$500,A292)&gt;1,"CEK SKU dobel","OK")))))</f>
        <v/>
      </c>
    </row>
    <row r="293">
      <c r="A293" s="10" t="n"/>
      <c r="B293" s="12">
        <f>IF(A293="","",IFERROR(INDEX(DATA!$E$2:$E$500,MATCH(A293,DATA!$D$2:$D$500,0)),""))</f>
        <v/>
      </c>
      <c r="C293" s="10" t="n"/>
      <c r="D293" s="10" t="n"/>
      <c r="E293" s="10" t="n"/>
      <c r="F293" s="10" t="n"/>
      <c r="G293" s="10" t="n"/>
      <c r="H293" s="10" t="n"/>
      <c r="I293" s="10" t="n"/>
      <c r="J293" s="12">
        <f>IF(OR(A293="",COUNT(C293:E293)&lt;3),"",IFERROR(MAX(0,FLOOR(($N$2-$N$3)/E293,1))*MAX(1,MIN(IF(G293="",1,G293),FLOOR($N$4/D293,1)))*IF(F293="",1,F293),""))</f>
        <v/>
      </c>
      <c r="K293" s="12">
        <f>IF(A293="","",IF(COUNTIF(DATA!$D$2:$D$500,A293)=0,"CEK SKU tidak ada di DATA",IF(COUNT(C293:E293)&lt;3,"CEK dimensi belum lengkap",IF(OR(C293&lt;=0,D293&lt;=0,E293&lt;=0),"CEK dimensi harus lebih dari 0",IF(COUNTIF($A$2:$A$500,A293)&gt;1,"CEK SKU dobel","OK")))))</f>
        <v/>
      </c>
    </row>
    <row r="294">
      <c r="A294" s="10" t="n"/>
      <c r="B294" s="12">
        <f>IF(A294="","",IFERROR(INDEX(DATA!$E$2:$E$500,MATCH(A294,DATA!$D$2:$D$500,0)),""))</f>
        <v/>
      </c>
      <c r="C294" s="10" t="n"/>
      <c r="D294" s="10" t="n"/>
      <c r="E294" s="10" t="n"/>
      <c r="F294" s="10" t="n"/>
      <c r="G294" s="10" t="n"/>
      <c r="H294" s="10" t="n"/>
      <c r="I294" s="10" t="n"/>
      <c r="J294" s="12">
        <f>IF(OR(A294="",COUNT(C294:E294)&lt;3),"",IFERROR(MAX(0,FLOOR(($N$2-$N$3)/E294,1))*MAX(1,MIN(IF(G294="",1,G294),FLOOR($N$4/D294,1)))*IF(F294="",1,F294),""))</f>
        <v/>
      </c>
      <c r="K294" s="12">
        <f>IF(A294="","",IF(COUNTIF(DATA!$D$2:$D$500,A294)=0,"CEK SKU tidak ada di DATA",IF(COUNT(C294:E294)&lt;3,"CEK dimensi belum lengkap",IF(OR(C294&lt;=0,D294&lt;=0,E294&lt;=0),"CEK dimensi harus lebih dari 0",IF(COUNTIF($A$2:$A$500,A294)&gt;1,"CEK SKU dobel","OK")))))</f>
        <v/>
      </c>
    </row>
    <row r="295">
      <c r="A295" s="10" t="n"/>
      <c r="B295" s="12">
        <f>IF(A295="","",IFERROR(INDEX(DATA!$E$2:$E$500,MATCH(A295,DATA!$D$2:$D$500,0)),""))</f>
        <v/>
      </c>
      <c r="C295" s="10" t="n"/>
      <c r="D295" s="10" t="n"/>
      <c r="E295" s="10" t="n"/>
      <c r="F295" s="10" t="n"/>
      <c r="G295" s="10" t="n"/>
      <c r="H295" s="10" t="n"/>
      <c r="I295" s="10" t="n"/>
      <c r="J295" s="12">
        <f>IF(OR(A295="",COUNT(C295:E295)&lt;3),"",IFERROR(MAX(0,FLOOR(($N$2-$N$3)/E295,1))*MAX(1,MIN(IF(G295="",1,G295),FLOOR($N$4/D295,1)))*IF(F295="",1,F295),""))</f>
        <v/>
      </c>
      <c r="K295" s="12">
        <f>IF(A295="","",IF(COUNTIF(DATA!$D$2:$D$500,A295)=0,"CEK SKU tidak ada di DATA",IF(COUNT(C295:E295)&lt;3,"CEK dimensi belum lengkap",IF(OR(C295&lt;=0,D295&lt;=0,E295&lt;=0),"CEK dimensi harus lebih dari 0",IF(COUNTIF($A$2:$A$500,A295)&gt;1,"CEK SKU dobel","OK")))))</f>
        <v/>
      </c>
    </row>
    <row r="296">
      <c r="A296" s="10" t="n"/>
      <c r="B296" s="12">
        <f>IF(A296="","",IFERROR(INDEX(DATA!$E$2:$E$500,MATCH(A296,DATA!$D$2:$D$500,0)),""))</f>
        <v/>
      </c>
      <c r="C296" s="10" t="n"/>
      <c r="D296" s="10" t="n"/>
      <c r="E296" s="10" t="n"/>
      <c r="F296" s="10" t="n"/>
      <c r="G296" s="10" t="n"/>
      <c r="H296" s="10" t="n"/>
      <c r="I296" s="10" t="n"/>
      <c r="J296" s="12">
        <f>IF(OR(A296="",COUNT(C296:E296)&lt;3),"",IFERROR(MAX(0,FLOOR(($N$2-$N$3)/E296,1))*MAX(1,MIN(IF(G296="",1,G296),FLOOR($N$4/D296,1)))*IF(F296="",1,F296),""))</f>
        <v/>
      </c>
      <c r="K296" s="12">
        <f>IF(A296="","",IF(COUNTIF(DATA!$D$2:$D$500,A296)=0,"CEK SKU tidak ada di DATA",IF(COUNT(C296:E296)&lt;3,"CEK dimensi belum lengkap",IF(OR(C296&lt;=0,D296&lt;=0,E296&lt;=0),"CEK dimensi harus lebih dari 0",IF(COUNTIF($A$2:$A$500,A296)&gt;1,"CEK SKU dobel","OK")))))</f>
        <v/>
      </c>
    </row>
    <row r="297">
      <c r="A297" s="10" t="n"/>
      <c r="B297" s="12">
        <f>IF(A297="","",IFERROR(INDEX(DATA!$E$2:$E$500,MATCH(A297,DATA!$D$2:$D$500,0)),""))</f>
        <v/>
      </c>
      <c r="C297" s="10" t="n"/>
      <c r="D297" s="10" t="n"/>
      <c r="E297" s="10" t="n"/>
      <c r="F297" s="10" t="n"/>
      <c r="G297" s="10" t="n"/>
      <c r="H297" s="10" t="n"/>
      <c r="I297" s="10" t="n"/>
      <c r="J297" s="12">
        <f>IF(OR(A297="",COUNT(C297:E297)&lt;3),"",IFERROR(MAX(0,FLOOR(($N$2-$N$3)/E297,1))*MAX(1,MIN(IF(G297="",1,G297),FLOOR($N$4/D297,1)))*IF(F297="",1,F297),""))</f>
        <v/>
      </c>
      <c r="K297" s="12">
        <f>IF(A297="","",IF(COUNTIF(DATA!$D$2:$D$500,A297)=0,"CEK SKU tidak ada di DATA",IF(COUNT(C297:E297)&lt;3,"CEK dimensi belum lengkap",IF(OR(C297&lt;=0,D297&lt;=0,E297&lt;=0),"CEK dimensi harus lebih dari 0",IF(COUNTIF($A$2:$A$500,A297)&gt;1,"CEK SKU dobel","OK")))))</f>
        <v/>
      </c>
    </row>
    <row r="298">
      <c r="A298" s="10" t="n"/>
      <c r="B298" s="12">
        <f>IF(A298="","",IFERROR(INDEX(DATA!$E$2:$E$500,MATCH(A298,DATA!$D$2:$D$500,0)),""))</f>
        <v/>
      </c>
      <c r="C298" s="10" t="n"/>
      <c r="D298" s="10" t="n"/>
      <c r="E298" s="10" t="n"/>
      <c r="F298" s="10" t="n"/>
      <c r="G298" s="10" t="n"/>
      <c r="H298" s="10" t="n"/>
      <c r="I298" s="10" t="n"/>
      <c r="J298" s="12">
        <f>IF(OR(A298="",COUNT(C298:E298)&lt;3),"",IFERROR(MAX(0,FLOOR(($N$2-$N$3)/E298,1))*MAX(1,MIN(IF(G298="",1,G298),FLOOR($N$4/D298,1)))*IF(F298="",1,F298),""))</f>
        <v/>
      </c>
      <c r="K298" s="12">
        <f>IF(A298="","",IF(COUNTIF(DATA!$D$2:$D$500,A298)=0,"CEK SKU tidak ada di DATA",IF(COUNT(C298:E298)&lt;3,"CEK dimensi belum lengkap",IF(OR(C298&lt;=0,D298&lt;=0,E298&lt;=0),"CEK dimensi harus lebih dari 0",IF(COUNTIF($A$2:$A$500,A298)&gt;1,"CEK SKU dobel","OK")))))</f>
        <v/>
      </c>
    </row>
    <row r="299">
      <c r="A299" s="10" t="n"/>
      <c r="B299" s="12">
        <f>IF(A299="","",IFERROR(INDEX(DATA!$E$2:$E$500,MATCH(A299,DATA!$D$2:$D$500,0)),""))</f>
        <v/>
      </c>
      <c r="C299" s="10" t="n"/>
      <c r="D299" s="10" t="n"/>
      <c r="E299" s="10" t="n"/>
      <c r="F299" s="10" t="n"/>
      <c r="G299" s="10" t="n"/>
      <c r="H299" s="10" t="n"/>
      <c r="I299" s="10" t="n"/>
      <c r="J299" s="12">
        <f>IF(OR(A299="",COUNT(C299:E299)&lt;3),"",IFERROR(MAX(0,FLOOR(($N$2-$N$3)/E299,1))*MAX(1,MIN(IF(G299="",1,G299),FLOOR($N$4/D299,1)))*IF(F299="",1,F299),""))</f>
        <v/>
      </c>
      <c r="K299" s="12">
        <f>IF(A299="","",IF(COUNTIF(DATA!$D$2:$D$500,A299)=0,"CEK SKU tidak ada di DATA",IF(COUNT(C299:E299)&lt;3,"CEK dimensi belum lengkap",IF(OR(C299&lt;=0,D299&lt;=0,E299&lt;=0),"CEK dimensi harus lebih dari 0",IF(COUNTIF($A$2:$A$500,A299)&gt;1,"CEK SKU dobel","OK")))))</f>
        <v/>
      </c>
    </row>
    <row r="300">
      <c r="A300" s="10" t="n"/>
      <c r="B300" s="12">
        <f>IF(A300="","",IFERROR(INDEX(DATA!$E$2:$E$500,MATCH(A300,DATA!$D$2:$D$500,0)),""))</f>
        <v/>
      </c>
      <c r="C300" s="10" t="n"/>
      <c r="D300" s="10" t="n"/>
      <c r="E300" s="10" t="n"/>
      <c r="F300" s="10" t="n"/>
      <c r="G300" s="10" t="n"/>
      <c r="H300" s="10" t="n"/>
      <c r="I300" s="10" t="n"/>
      <c r="J300" s="12">
        <f>IF(OR(A300="",COUNT(C300:E300)&lt;3),"",IFERROR(MAX(0,FLOOR(($N$2-$N$3)/E300,1))*MAX(1,MIN(IF(G300="",1,G300),FLOOR($N$4/D300,1)))*IF(F300="",1,F300),""))</f>
        <v/>
      </c>
      <c r="K300" s="12">
        <f>IF(A300="","",IF(COUNTIF(DATA!$D$2:$D$500,A300)=0,"CEK SKU tidak ada di DATA",IF(COUNT(C300:E300)&lt;3,"CEK dimensi belum lengkap",IF(OR(C300&lt;=0,D300&lt;=0,E300&lt;=0),"CEK dimensi harus lebih dari 0",IF(COUNTIF($A$2:$A$500,A300)&gt;1,"CEK SKU dobel","OK")))))</f>
        <v/>
      </c>
    </row>
    <row r="301">
      <c r="A301" s="10" t="n"/>
      <c r="B301" s="12">
        <f>IF(A301="","",IFERROR(INDEX(DATA!$E$2:$E$500,MATCH(A301,DATA!$D$2:$D$500,0)),""))</f>
        <v/>
      </c>
      <c r="C301" s="10" t="n"/>
      <c r="D301" s="10" t="n"/>
      <c r="E301" s="10" t="n"/>
      <c r="F301" s="10" t="n"/>
      <c r="G301" s="10" t="n"/>
      <c r="H301" s="10" t="n"/>
      <c r="I301" s="10" t="n"/>
      <c r="J301" s="12">
        <f>IF(OR(A301="",COUNT(C301:E301)&lt;3),"",IFERROR(MAX(0,FLOOR(($N$2-$N$3)/E301,1))*MAX(1,MIN(IF(G301="",1,G301),FLOOR($N$4/D301,1)))*IF(F301="",1,F301),""))</f>
        <v/>
      </c>
      <c r="K301" s="12">
        <f>IF(A301="","",IF(COUNTIF(DATA!$D$2:$D$500,A301)=0,"CEK SKU tidak ada di DATA",IF(COUNT(C301:E301)&lt;3,"CEK dimensi belum lengkap",IF(OR(C301&lt;=0,D301&lt;=0,E301&lt;=0),"CEK dimensi harus lebih dari 0",IF(COUNTIF($A$2:$A$500,A301)&gt;1,"CEK SKU dobel","OK")))))</f>
        <v/>
      </c>
    </row>
    <row r="302">
      <c r="A302" s="10" t="n"/>
      <c r="B302" s="12">
        <f>IF(A302="","",IFERROR(INDEX(DATA!$E$2:$E$500,MATCH(A302,DATA!$D$2:$D$500,0)),""))</f>
        <v/>
      </c>
      <c r="C302" s="10" t="n"/>
      <c r="D302" s="10" t="n"/>
      <c r="E302" s="10" t="n"/>
      <c r="F302" s="10" t="n"/>
      <c r="G302" s="10" t="n"/>
      <c r="H302" s="10" t="n"/>
      <c r="I302" s="10" t="n"/>
      <c r="J302" s="12">
        <f>IF(OR(A302="",COUNT(C302:E302)&lt;3),"",IFERROR(MAX(0,FLOOR(($N$2-$N$3)/E302,1))*MAX(1,MIN(IF(G302="",1,G302),FLOOR($N$4/D302,1)))*IF(F302="",1,F302),""))</f>
        <v/>
      </c>
      <c r="K302" s="12">
        <f>IF(A302="","",IF(COUNTIF(DATA!$D$2:$D$500,A302)=0,"CEK SKU tidak ada di DATA",IF(COUNT(C302:E302)&lt;3,"CEK dimensi belum lengkap",IF(OR(C302&lt;=0,D302&lt;=0,E302&lt;=0),"CEK dimensi harus lebih dari 0",IF(COUNTIF($A$2:$A$500,A302)&gt;1,"CEK SKU dobel","OK")))))</f>
        <v/>
      </c>
    </row>
    <row r="303">
      <c r="A303" s="10" t="n"/>
      <c r="B303" s="12">
        <f>IF(A303="","",IFERROR(INDEX(DATA!$E$2:$E$500,MATCH(A303,DATA!$D$2:$D$500,0)),""))</f>
        <v/>
      </c>
      <c r="C303" s="10" t="n"/>
      <c r="D303" s="10" t="n"/>
      <c r="E303" s="10" t="n"/>
      <c r="F303" s="10" t="n"/>
      <c r="G303" s="10" t="n"/>
      <c r="H303" s="10" t="n"/>
      <c r="I303" s="10" t="n"/>
      <c r="J303" s="12">
        <f>IF(OR(A303="",COUNT(C303:E303)&lt;3),"",IFERROR(MAX(0,FLOOR(($N$2-$N$3)/E303,1))*MAX(1,MIN(IF(G303="",1,G303),FLOOR($N$4/D303,1)))*IF(F303="",1,F303),""))</f>
        <v/>
      </c>
      <c r="K303" s="12">
        <f>IF(A303="","",IF(COUNTIF(DATA!$D$2:$D$500,A303)=0,"CEK SKU tidak ada di DATA",IF(COUNT(C303:E303)&lt;3,"CEK dimensi belum lengkap",IF(OR(C303&lt;=0,D303&lt;=0,E303&lt;=0),"CEK dimensi harus lebih dari 0",IF(COUNTIF($A$2:$A$500,A303)&gt;1,"CEK SKU dobel","OK")))))</f>
        <v/>
      </c>
    </row>
    <row r="304">
      <c r="A304" s="10" t="n"/>
      <c r="B304" s="12">
        <f>IF(A304="","",IFERROR(INDEX(DATA!$E$2:$E$500,MATCH(A304,DATA!$D$2:$D$500,0)),""))</f>
        <v/>
      </c>
      <c r="C304" s="10" t="n"/>
      <c r="D304" s="10" t="n"/>
      <c r="E304" s="10" t="n"/>
      <c r="F304" s="10" t="n"/>
      <c r="G304" s="10" t="n"/>
      <c r="H304" s="10" t="n"/>
      <c r="I304" s="10" t="n"/>
      <c r="J304" s="12">
        <f>IF(OR(A304="",COUNT(C304:E304)&lt;3),"",IFERROR(MAX(0,FLOOR(($N$2-$N$3)/E304,1))*MAX(1,MIN(IF(G304="",1,G304),FLOOR($N$4/D304,1)))*IF(F304="",1,F304),""))</f>
        <v/>
      </c>
      <c r="K304" s="12">
        <f>IF(A304="","",IF(COUNTIF(DATA!$D$2:$D$500,A304)=0,"CEK SKU tidak ada di DATA",IF(COUNT(C304:E304)&lt;3,"CEK dimensi belum lengkap",IF(OR(C304&lt;=0,D304&lt;=0,E304&lt;=0),"CEK dimensi harus lebih dari 0",IF(COUNTIF($A$2:$A$500,A304)&gt;1,"CEK SKU dobel","OK")))))</f>
        <v/>
      </c>
    </row>
    <row r="305">
      <c r="A305" s="10" t="n"/>
      <c r="B305" s="12">
        <f>IF(A305="","",IFERROR(INDEX(DATA!$E$2:$E$500,MATCH(A305,DATA!$D$2:$D$500,0)),""))</f>
        <v/>
      </c>
      <c r="C305" s="10" t="n"/>
      <c r="D305" s="10" t="n"/>
      <c r="E305" s="10" t="n"/>
      <c r="F305" s="10" t="n"/>
      <c r="G305" s="10" t="n"/>
      <c r="H305" s="10" t="n"/>
      <c r="I305" s="10" t="n"/>
      <c r="J305" s="12">
        <f>IF(OR(A305="",COUNT(C305:E305)&lt;3),"",IFERROR(MAX(0,FLOOR(($N$2-$N$3)/E305,1))*MAX(1,MIN(IF(G305="",1,G305),FLOOR($N$4/D305,1)))*IF(F305="",1,F305),""))</f>
        <v/>
      </c>
      <c r="K305" s="12">
        <f>IF(A305="","",IF(COUNTIF(DATA!$D$2:$D$500,A305)=0,"CEK SKU tidak ada di DATA",IF(COUNT(C305:E305)&lt;3,"CEK dimensi belum lengkap",IF(OR(C305&lt;=0,D305&lt;=0,E305&lt;=0),"CEK dimensi harus lebih dari 0",IF(COUNTIF($A$2:$A$500,A305)&gt;1,"CEK SKU dobel","OK")))))</f>
        <v/>
      </c>
    </row>
    <row r="306">
      <c r="A306" s="10" t="n"/>
      <c r="B306" s="12">
        <f>IF(A306="","",IFERROR(INDEX(DATA!$E$2:$E$500,MATCH(A306,DATA!$D$2:$D$500,0)),""))</f>
        <v/>
      </c>
      <c r="C306" s="10" t="n"/>
      <c r="D306" s="10" t="n"/>
      <c r="E306" s="10" t="n"/>
      <c r="F306" s="10" t="n"/>
      <c r="G306" s="10" t="n"/>
      <c r="H306" s="10" t="n"/>
      <c r="I306" s="10" t="n"/>
      <c r="J306" s="12">
        <f>IF(OR(A306="",COUNT(C306:E306)&lt;3),"",IFERROR(MAX(0,FLOOR(($N$2-$N$3)/E306,1))*MAX(1,MIN(IF(G306="",1,G306),FLOOR($N$4/D306,1)))*IF(F306="",1,F306),""))</f>
        <v/>
      </c>
      <c r="K306" s="12">
        <f>IF(A306="","",IF(COUNTIF(DATA!$D$2:$D$500,A306)=0,"CEK SKU tidak ada di DATA",IF(COUNT(C306:E306)&lt;3,"CEK dimensi belum lengkap",IF(OR(C306&lt;=0,D306&lt;=0,E306&lt;=0),"CEK dimensi harus lebih dari 0",IF(COUNTIF($A$2:$A$500,A306)&gt;1,"CEK SKU dobel","OK")))))</f>
        <v/>
      </c>
    </row>
    <row r="307">
      <c r="A307" s="10" t="n"/>
      <c r="B307" s="12">
        <f>IF(A307="","",IFERROR(INDEX(DATA!$E$2:$E$500,MATCH(A307,DATA!$D$2:$D$500,0)),""))</f>
        <v/>
      </c>
      <c r="C307" s="10" t="n"/>
      <c r="D307" s="10" t="n"/>
      <c r="E307" s="10" t="n"/>
      <c r="F307" s="10" t="n"/>
      <c r="G307" s="10" t="n"/>
      <c r="H307" s="10" t="n"/>
      <c r="I307" s="10" t="n"/>
      <c r="J307" s="12">
        <f>IF(OR(A307="",COUNT(C307:E307)&lt;3),"",IFERROR(MAX(0,FLOOR(($N$2-$N$3)/E307,1))*MAX(1,MIN(IF(G307="",1,G307),FLOOR($N$4/D307,1)))*IF(F307="",1,F307),""))</f>
        <v/>
      </c>
      <c r="K307" s="12">
        <f>IF(A307="","",IF(COUNTIF(DATA!$D$2:$D$500,A307)=0,"CEK SKU tidak ada di DATA",IF(COUNT(C307:E307)&lt;3,"CEK dimensi belum lengkap",IF(OR(C307&lt;=0,D307&lt;=0,E307&lt;=0),"CEK dimensi harus lebih dari 0",IF(COUNTIF($A$2:$A$500,A307)&gt;1,"CEK SKU dobel","OK")))))</f>
        <v/>
      </c>
    </row>
    <row r="308">
      <c r="A308" s="10" t="n"/>
      <c r="B308" s="12">
        <f>IF(A308="","",IFERROR(INDEX(DATA!$E$2:$E$500,MATCH(A308,DATA!$D$2:$D$500,0)),""))</f>
        <v/>
      </c>
      <c r="C308" s="10" t="n"/>
      <c r="D308" s="10" t="n"/>
      <c r="E308" s="10" t="n"/>
      <c r="F308" s="10" t="n"/>
      <c r="G308" s="10" t="n"/>
      <c r="H308" s="10" t="n"/>
      <c r="I308" s="10" t="n"/>
      <c r="J308" s="12">
        <f>IF(OR(A308="",COUNT(C308:E308)&lt;3),"",IFERROR(MAX(0,FLOOR(($N$2-$N$3)/E308,1))*MAX(1,MIN(IF(G308="",1,G308),FLOOR($N$4/D308,1)))*IF(F308="",1,F308),""))</f>
        <v/>
      </c>
      <c r="K308" s="12">
        <f>IF(A308="","",IF(COUNTIF(DATA!$D$2:$D$500,A308)=0,"CEK SKU tidak ada di DATA",IF(COUNT(C308:E308)&lt;3,"CEK dimensi belum lengkap",IF(OR(C308&lt;=0,D308&lt;=0,E308&lt;=0),"CEK dimensi harus lebih dari 0",IF(COUNTIF($A$2:$A$500,A308)&gt;1,"CEK SKU dobel","OK")))))</f>
        <v/>
      </c>
    </row>
    <row r="309">
      <c r="A309" s="10" t="n"/>
      <c r="B309" s="12">
        <f>IF(A309="","",IFERROR(INDEX(DATA!$E$2:$E$500,MATCH(A309,DATA!$D$2:$D$500,0)),""))</f>
        <v/>
      </c>
      <c r="C309" s="10" t="n"/>
      <c r="D309" s="10" t="n"/>
      <c r="E309" s="10" t="n"/>
      <c r="F309" s="10" t="n"/>
      <c r="G309" s="10" t="n"/>
      <c r="H309" s="10" t="n"/>
      <c r="I309" s="10" t="n"/>
      <c r="J309" s="12">
        <f>IF(OR(A309="",COUNT(C309:E309)&lt;3),"",IFERROR(MAX(0,FLOOR(($N$2-$N$3)/E309,1))*MAX(1,MIN(IF(G309="",1,G309),FLOOR($N$4/D309,1)))*IF(F309="",1,F309),""))</f>
        <v/>
      </c>
      <c r="K309" s="12">
        <f>IF(A309="","",IF(COUNTIF(DATA!$D$2:$D$500,A309)=0,"CEK SKU tidak ada di DATA",IF(COUNT(C309:E309)&lt;3,"CEK dimensi belum lengkap",IF(OR(C309&lt;=0,D309&lt;=0,E309&lt;=0),"CEK dimensi harus lebih dari 0",IF(COUNTIF($A$2:$A$500,A309)&gt;1,"CEK SKU dobel","OK")))))</f>
        <v/>
      </c>
    </row>
    <row r="310">
      <c r="A310" s="10" t="n"/>
      <c r="B310" s="12">
        <f>IF(A310="","",IFERROR(INDEX(DATA!$E$2:$E$500,MATCH(A310,DATA!$D$2:$D$500,0)),""))</f>
        <v/>
      </c>
      <c r="C310" s="10" t="n"/>
      <c r="D310" s="10" t="n"/>
      <c r="E310" s="10" t="n"/>
      <c r="F310" s="10" t="n"/>
      <c r="G310" s="10" t="n"/>
      <c r="H310" s="10" t="n"/>
      <c r="I310" s="10" t="n"/>
      <c r="J310" s="12">
        <f>IF(OR(A310="",COUNT(C310:E310)&lt;3),"",IFERROR(MAX(0,FLOOR(($N$2-$N$3)/E310,1))*MAX(1,MIN(IF(G310="",1,G310),FLOOR($N$4/D310,1)))*IF(F310="",1,F310),""))</f>
        <v/>
      </c>
      <c r="K310" s="12">
        <f>IF(A310="","",IF(COUNTIF(DATA!$D$2:$D$500,A310)=0,"CEK SKU tidak ada di DATA",IF(COUNT(C310:E310)&lt;3,"CEK dimensi belum lengkap",IF(OR(C310&lt;=0,D310&lt;=0,E310&lt;=0),"CEK dimensi harus lebih dari 0",IF(COUNTIF($A$2:$A$500,A310)&gt;1,"CEK SKU dobel","OK")))))</f>
        <v/>
      </c>
    </row>
    <row r="311">
      <c r="A311" s="10" t="n"/>
      <c r="B311" s="12">
        <f>IF(A311="","",IFERROR(INDEX(DATA!$E$2:$E$500,MATCH(A311,DATA!$D$2:$D$500,0)),""))</f>
        <v/>
      </c>
      <c r="C311" s="10" t="n"/>
      <c r="D311" s="10" t="n"/>
      <c r="E311" s="10" t="n"/>
      <c r="F311" s="10" t="n"/>
      <c r="G311" s="10" t="n"/>
      <c r="H311" s="10" t="n"/>
      <c r="I311" s="10" t="n"/>
      <c r="J311" s="12">
        <f>IF(OR(A311="",COUNT(C311:E311)&lt;3),"",IFERROR(MAX(0,FLOOR(($N$2-$N$3)/E311,1))*MAX(1,MIN(IF(G311="",1,G311),FLOOR($N$4/D311,1)))*IF(F311="",1,F311),""))</f>
        <v/>
      </c>
      <c r="K311" s="12">
        <f>IF(A311="","",IF(COUNTIF(DATA!$D$2:$D$500,A311)=0,"CEK SKU tidak ada di DATA",IF(COUNT(C311:E311)&lt;3,"CEK dimensi belum lengkap",IF(OR(C311&lt;=0,D311&lt;=0,E311&lt;=0),"CEK dimensi harus lebih dari 0",IF(COUNTIF($A$2:$A$500,A311)&gt;1,"CEK SKU dobel","OK")))))</f>
        <v/>
      </c>
    </row>
    <row r="312">
      <c r="A312" s="10" t="n"/>
      <c r="B312" s="12">
        <f>IF(A312="","",IFERROR(INDEX(DATA!$E$2:$E$500,MATCH(A312,DATA!$D$2:$D$500,0)),""))</f>
        <v/>
      </c>
      <c r="C312" s="10" t="n"/>
      <c r="D312" s="10" t="n"/>
      <c r="E312" s="10" t="n"/>
      <c r="F312" s="10" t="n"/>
      <c r="G312" s="10" t="n"/>
      <c r="H312" s="10" t="n"/>
      <c r="I312" s="10" t="n"/>
      <c r="J312" s="12">
        <f>IF(OR(A312="",COUNT(C312:E312)&lt;3),"",IFERROR(MAX(0,FLOOR(($N$2-$N$3)/E312,1))*MAX(1,MIN(IF(G312="",1,G312),FLOOR($N$4/D312,1)))*IF(F312="",1,F312),""))</f>
        <v/>
      </c>
      <c r="K312" s="12">
        <f>IF(A312="","",IF(COUNTIF(DATA!$D$2:$D$500,A312)=0,"CEK SKU tidak ada di DATA",IF(COUNT(C312:E312)&lt;3,"CEK dimensi belum lengkap",IF(OR(C312&lt;=0,D312&lt;=0,E312&lt;=0),"CEK dimensi harus lebih dari 0",IF(COUNTIF($A$2:$A$500,A312)&gt;1,"CEK SKU dobel","OK")))))</f>
        <v/>
      </c>
    </row>
    <row r="313">
      <c r="A313" s="10" t="n"/>
      <c r="B313" s="12">
        <f>IF(A313="","",IFERROR(INDEX(DATA!$E$2:$E$500,MATCH(A313,DATA!$D$2:$D$500,0)),""))</f>
        <v/>
      </c>
      <c r="C313" s="10" t="n"/>
      <c r="D313" s="10" t="n"/>
      <c r="E313" s="10" t="n"/>
      <c r="F313" s="10" t="n"/>
      <c r="G313" s="10" t="n"/>
      <c r="H313" s="10" t="n"/>
      <c r="I313" s="10" t="n"/>
      <c r="J313" s="12">
        <f>IF(OR(A313="",COUNT(C313:E313)&lt;3),"",IFERROR(MAX(0,FLOOR(($N$2-$N$3)/E313,1))*MAX(1,MIN(IF(G313="",1,G313),FLOOR($N$4/D313,1)))*IF(F313="",1,F313),""))</f>
        <v/>
      </c>
      <c r="K313" s="12">
        <f>IF(A313="","",IF(COUNTIF(DATA!$D$2:$D$500,A313)=0,"CEK SKU tidak ada di DATA",IF(COUNT(C313:E313)&lt;3,"CEK dimensi belum lengkap",IF(OR(C313&lt;=0,D313&lt;=0,E313&lt;=0),"CEK dimensi harus lebih dari 0",IF(COUNTIF($A$2:$A$500,A313)&gt;1,"CEK SKU dobel","OK")))))</f>
        <v/>
      </c>
    </row>
    <row r="314">
      <c r="A314" s="10" t="n"/>
      <c r="B314" s="12">
        <f>IF(A314="","",IFERROR(INDEX(DATA!$E$2:$E$500,MATCH(A314,DATA!$D$2:$D$500,0)),""))</f>
        <v/>
      </c>
      <c r="C314" s="10" t="n"/>
      <c r="D314" s="10" t="n"/>
      <c r="E314" s="10" t="n"/>
      <c r="F314" s="10" t="n"/>
      <c r="G314" s="10" t="n"/>
      <c r="H314" s="10" t="n"/>
      <c r="I314" s="10" t="n"/>
      <c r="J314" s="12">
        <f>IF(OR(A314="",COUNT(C314:E314)&lt;3),"",IFERROR(MAX(0,FLOOR(($N$2-$N$3)/E314,1))*MAX(1,MIN(IF(G314="",1,G314),FLOOR($N$4/D314,1)))*IF(F314="",1,F314),""))</f>
        <v/>
      </c>
      <c r="K314" s="12">
        <f>IF(A314="","",IF(COUNTIF(DATA!$D$2:$D$500,A314)=0,"CEK SKU tidak ada di DATA",IF(COUNT(C314:E314)&lt;3,"CEK dimensi belum lengkap",IF(OR(C314&lt;=0,D314&lt;=0,E314&lt;=0),"CEK dimensi harus lebih dari 0",IF(COUNTIF($A$2:$A$500,A314)&gt;1,"CEK SKU dobel","OK")))))</f>
        <v/>
      </c>
    </row>
    <row r="315">
      <c r="A315" s="10" t="n"/>
      <c r="B315" s="12">
        <f>IF(A315="","",IFERROR(INDEX(DATA!$E$2:$E$500,MATCH(A315,DATA!$D$2:$D$500,0)),""))</f>
        <v/>
      </c>
      <c r="C315" s="10" t="n"/>
      <c r="D315" s="10" t="n"/>
      <c r="E315" s="10" t="n"/>
      <c r="F315" s="10" t="n"/>
      <c r="G315" s="10" t="n"/>
      <c r="H315" s="10" t="n"/>
      <c r="I315" s="10" t="n"/>
      <c r="J315" s="12">
        <f>IF(OR(A315="",COUNT(C315:E315)&lt;3),"",IFERROR(MAX(0,FLOOR(($N$2-$N$3)/E315,1))*MAX(1,MIN(IF(G315="",1,G315),FLOOR($N$4/D315,1)))*IF(F315="",1,F315),""))</f>
        <v/>
      </c>
      <c r="K315" s="12">
        <f>IF(A315="","",IF(COUNTIF(DATA!$D$2:$D$500,A315)=0,"CEK SKU tidak ada di DATA",IF(COUNT(C315:E315)&lt;3,"CEK dimensi belum lengkap",IF(OR(C315&lt;=0,D315&lt;=0,E315&lt;=0),"CEK dimensi harus lebih dari 0",IF(COUNTIF($A$2:$A$500,A315)&gt;1,"CEK SKU dobel","OK")))))</f>
        <v/>
      </c>
    </row>
    <row r="316">
      <c r="A316" s="10" t="n"/>
      <c r="B316" s="12">
        <f>IF(A316="","",IFERROR(INDEX(DATA!$E$2:$E$500,MATCH(A316,DATA!$D$2:$D$500,0)),""))</f>
        <v/>
      </c>
      <c r="C316" s="10" t="n"/>
      <c r="D316" s="10" t="n"/>
      <c r="E316" s="10" t="n"/>
      <c r="F316" s="10" t="n"/>
      <c r="G316" s="10" t="n"/>
      <c r="H316" s="10" t="n"/>
      <c r="I316" s="10" t="n"/>
      <c r="J316" s="12">
        <f>IF(OR(A316="",COUNT(C316:E316)&lt;3),"",IFERROR(MAX(0,FLOOR(($N$2-$N$3)/E316,1))*MAX(1,MIN(IF(G316="",1,G316),FLOOR($N$4/D316,1)))*IF(F316="",1,F316),""))</f>
        <v/>
      </c>
      <c r="K316" s="12">
        <f>IF(A316="","",IF(COUNTIF(DATA!$D$2:$D$500,A316)=0,"CEK SKU tidak ada di DATA",IF(COUNT(C316:E316)&lt;3,"CEK dimensi belum lengkap",IF(OR(C316&lt;=0,D316&lt;=0,E316&lt;=0),"CEK dimensi harus lebih dari 0",IF(COUNTIF($A$2:$A$500,A316)&gt;1,"CEK SKU dobel","OK")))))</f>
        <v/>
      </c>
    </row>
    <row r="317">
      <c r="A317" s="10" t="n"/>
      <c r="B317" s="12">
        <f>IF(A317="","",IFERROR(INDEX(DATA!$E$2:$E$500,MATCH(A317,DATA!$D$2:$D$500,0)),""))</f>
        <v/>
      </c>
      <c r="C317" s="10" t="n"/>
      <c r="D317" s="10" t="n"/>
      <c r="E317" s="10" t="n"/>
      <c r="F317" s="10" t="n"/>
      <c r="G317" s="10" t="n"/>
      <c r="H317" s="10" t="n"/>
      <c r="I317" s="10" t="n"/>
      <c r="J317" s="12">
        <f>IF(OR(A317="",COUNT(C317:E317)&lt;3),"",IFERROR(MAX(0,FLOOR(($N$2-$N$3)/E317,1))*MAX(1,MIN(IF(G317="",1,G317),FLOOR($N$4/D317,1)))*IF(F317="",1,F317),""))</f>
        <v/>
      </c>
      <c r="K317" s="12">
        <f>IF(A317="","",IF(COUNTIF(DATA!$D$2:$D$500,A317)=0,"CEK SKU tidak ada di DATA",IF(COUNT(C317:E317)&lt;3,"CEK dimensi belum lengkap",IF(OR(C317&lt;=0,D317&lt;=0,E317&lt;=0),"CEK dimensi harus lebih dari 0",IF(COUNTIF($A$2:$A$500,A317)&gt;1,"CEK SKU dobel","OK")))))</f>
        <v/>
      </c>
    </row>
    <row r="318">
      <c r="A318" s="10" t="n"/>
      <c r="B318" s="12">
        <f>IF(A318="","",IFERROR(INDEX(DATA!$E$2:$E$500,MATCH(A318,DATA!$D$2:$D$500,0)),""))</f>
        <v/>
      </c>
      <c r="C318" s="10" t="n"/>
      <c r="D318" s="10" t="n"/>
      <c r="E318" s="10" t="n"/>
      <c r="F318" s="10" t="n"/>
      <c r="G318" s="10" t="n"/>
      <c r="H318" s="10" t="n"/>
      <c r="I318" s="10" t="n"/>
      <c r="J318" s="12">
        <f>IF(OR(A318="",COUNT(C318:E318)&lt;3),"",IFERROR(MAX(0,FLOOR(($N$2-$N$3)/E318,1))*MAX(1,MIN(IF(G318="",1,G318),FLOOR($N$4/D318,1)))*IF(F318="",1,F318),""))</f>
        <v/>
      </c>
      <c r="K318" s="12">
        <f>IF(A318="","",IF(COUNTIF(DATA!$D$2:$D$500,A318)=0,"CEK SKU tidak ada di DATA",IF(COUNT(C318:E318)&lt;3,"CEK dimensi belum lengkap",IF(OR(C318&lt;=0,D318&lt;=0,E318&lt;=0),"CEK dimensi harus lebih dari 0",IF(COUNTIF($A$2:$A$500,A318)&gt;1,"CEK SKU dobel","OK")))))</f>
        <v/>
      </c>
    </row>
    <row r="319">
      <c r="A319" s="10" t="n"/>
      <c r="B319" s="12">
        <f>IF(A319="","",IFERROR(INDEX(DATA!$E$2:$E$500,MATCH(A319,DATA!$D$2:$D$500,0)),""))</f>
        <v/>
      </c>
      <c r="C319" s="10" t="n"/>
      <c r="D319" s="10" t="n"/>
      <c r="E319" s="10" t="n"/>
      <c r="F319" s="10" t="n"/>
      <c r="G319" s="10" t="n"/>
      <c r="H319" s="10" t="n"/>
      <c r="I319" s="10" t="n"/>
      <c r="J319" s="12">
        <f>IF(OR(A319="",COUNT(C319:E319)&lt;3),"",IFERROR(MAX(0,FLOOR(($N$2-$N$3)/E319,1))*MAX(1,MIN(IF(G319="",1,G319),FLOOR($N$4/D319,1)))*IF(F319="",1,F319),""))</f>
        <v/>
      </c>
      <c r="K319" s="12">
        <f>IF(A319="","",IF(COUNTIF(DATA!$D$2:$D$500,A319)=0,"CEK SKU tidak ada di DATA",IF(COUNT(C319:E319)&lt;3,"CEK dimensi belum lengkap",IF(OR(C319&lt;=0,D319&lt;=0,E319&lt;=0),"CEK dimensi harus lebih dari 0",IF(COUNTIF($A$2:$A$500,A319)&gt;1,"CEK SKU dobel","OK")))))</f>
        <v/>
      </c>
    </row>
    <row r="320">
      <c r="A320" s="10" t="n"/>
      <c r="B320" s="12">
        <f>IF(A320="","",IFERROR(INDEX(DATA!$E$2:$E$500,MATCH(A320,DATA!$D$2:$D$500,0)),""))</f>
        <v/>
      </c>
      <c r="C320" s="10" t="n"/>
      <c r="D320" s="10" t="n"/>
      <c r="E320" s="10" t="n"/>
      <c r="F320" s="10" t="n"/>
      <c r="G320" s="10" t="n"/>
      <c r="H320" s="10" t="n"/>
      <c r="I320" s="10" t="n"/>
      <c r="J320" s="12">
        <f>IF(OR(A320="",COUNT(C320:E320)&lt;3),"",IFERROR(MAX(0,FLOOR(($N$2-$N$3)/E320,1))*MAX(1,MIN(IF(G320="",1,G320),FLOOR($N$4/D320,1)))*IF(F320="",1,F320),""))</f>
        <v/>
      </c>
      <c r="K320" s="12">
        <f>IF(A320="","",IF(COUNTIF(DATA!$D$2:$D$500,A320)=0,"CEK SKU tidak ada di DATA",IF(COUNT(C320:E320)&lt;3,"CEK dimensi belum lengkap",IF(OR(C320&lt;=0,D320&lt;=0,E320&lt;=0),"CEK dimensi harus lebih dari 0",IF(COUNTIF($A$2:$A$500,A320)&gt;1,"CEK SKU dobel","OK")))))</f>
        <v/>
      </c>
    </row>
    <row r="321">
      <c r="A321" s="10" t="n"/>
      <c r="B321" s="12">
        <f>IF(A321="","",IFERROR(INDEX(DATA!$E$2:$E$500,MATCH(A321,DATA!$D$2:$D$500,0)),""))</f>
        <v/>
      </c>
      <c r="C321" s="10" t="n"/>
      <c r="D321" s="10" t="n"/>
      <c r="E321" s="10" t="n"/>
      <c r="F321" s="10" t="n"/>
      <c r="G321" s="10" t="n"/>
      <c r="H321" s="10" t="n"/>
      <c r="I321" s="10" t="n"/>
      <c r="J321" s="12">
        <f>IF(OR(A321="",COUNT(C321:E321)&lt;3),"",IFERROR(MAX(0,FLOOR(($N$2-$N$3)/E321,1))*MAX(1,MIN(IF(G321="",1,G321),FLOOR($N$4/D321,1)))*IF(F321="",1,F321),""))</f>
        <v/>
      </c>
      <c r="K321" s="12">
        <f>IF(A321="","",IF(COUNTIF(DATA!$D$2:$D$500,A321)=0,"CEK SKU tidak ada di DATA",IF(COUNT(C321:E321)&lt;3,"CEK dimensi belum lengkap",IF(OR(C321&lt;=0,D321&lt;=0,E321&lt;=0),"CEK dimensi harus lebih dari 0",IF(COUNTIF($A$2:$A$500,A321)&gt;1,"CEK SKU dobel","OK")))))</f>
        <v/>
      </c>
    </row>
    <row r="322">
      <c r="A322" s="10" t="n"/>
      <c r="B322" s="12">
        <f>IF(A322="","",IFERROR(INDEX(DATA!$E$2:$E$500,MATCH(A322,DATA!$D$2:$D$500,0)),""))</f>
        <v/>
      </c>
      <c r="C322" s="10" t="n"/>
      <c r="D322" s="10" t="n"/>
      <c r="E322" s="10" t="n"/>
      <c r="F322" s="10" t="n"/>
      <c r="G322" s="10" t="n"/>
      <c r="H322" s="10" t="n"/>
      <c r="I322" s="10" t="n"/>
      <c r="J322" s="12">
        <f>IF(OR(A322="",COUNT(C322:E322)&lt;3),"",IFERROR(MAX(0,FLOOR(($N$2-$N$3)/E322,1))*MAX(1,MIN(IF(G322="",1,G322),FLOOR($N$4/D322,1)))*IF(F322="",1,F322),""))</f>
        <v/>
      </c>
      <c r="K322" s="12">
        <f>IF(A322="","",IF(COUNTIF(DATA!$D$2:$D$500,A322)=0,"CEK SKU tidak ada di DATA",IF(COUNT(C322:E322)&lt;3,"CEK dimensi belum lengkap",IF(OR(C322&lt;=0,D322&lt;=0,E322&lt;=0),"CEK dimensi harus lebih dari 0",IF(COUNTIF($A$2:$A$500,A322)&gt;1,"CEK SKU dobel","OK")))))</f>
        <v/>
      </c>
    </row>
    <row r="323">
      <c r="A323" s="10" t="n"/>
      <c r="B323" s="12">
        <f>IF(A323="","",IFERROR(INDEX(DATA!$E$2:$E$500,MATCH(A323,DATA!$D$2:$D$500,0)),""))</f>
        <v/>
      </c>
      <c r="C323" s="10" t="n"/>
      <c r="D323" s="10" t="n"/>
      <c r="E323" s="10" t="n"/>
      <c r="F323" s="10" t="n"/>
      <c r="G323" s="10" t="n"/>
      <c r="H323" s="10" t="n"/>
      <c r="I323" s="10" t="n"/>
      <c r="J323" s="12">
        <f>IF(OR(A323="",COUNT(C323:E323)&lt;3),"",IFERROR(MAX(0,FLOOR(($N$2-$N$3)/E323,1))*MAX(1,MIN(IF(G323="",1,G323),FLOOR($N$4/D323,1)))*IF(F323="",1,F323),""))</f>
        <v/>
      </c>
      <c r="K323" s="12">
        <f>IF(A323="","",IF(COUNTIF(DATA!$D$2:$D$500,A323)=0,"CEK SKU tidak ada di DATA",IF(COUNT(C323:E323)&lt;3,"CEK dimensi belum lengkap",IF(OR(C323&lt;=0,D323&lt;=0,E323&lt;=0),"CEK dimensi harus lebih dari 0",IF(COUNTIF($A$2:$A$500,A323)&gt;1,"CEK SKU dobel","OK")))))</f>
        <v/>
      </c>
    </row>
    <row r="324">
      <c r="A324" s="10" t="n"/>
      <c r="B324" s="12">
        <f>IF(A324="","",IFERROR(INDEX(DATA!$E$2:$E$500,MATCH(A324,DATA!$D$2:$D$500,0)),""))</f>
        <v/>
      </c>
      <c r="C324" s="10" t="n"/>
      <c r="D324" s="10" t="n"/>
      <c r="E324" s="10" t="n"/>
      <c r="F324" s="10" t="n"/>
      <c r="G324" s="10" t="n"/>
      <c r="H324" s="10" t="n"/>
      <c r="I324" s="10" t="n"/>
      <c r="J324" s="12">
        <f>IF(OR(A324="",COUNT(C324:E324)&lt;3),"",IFERROR(MAX(0,FLOOR(($N$2-$N$3)/E324,1))*MAX(1,MIN(IF(G324="",1,G324),FLOOR($N$4/D324,1)))*IF(F324="",1,F324),""))</f>
        <v/>
      </c>
      <c r="K324" s="12">
        <f>IF(A324="","",IF(COUNTIF(DATA!$D$2:$D$500,A324)=0,"CEK SKU tidak ada di DATA",IF(COUNT(C324:E324)&lt;3,"CEK dimensi belum lengkap",IF(OR(C324&lt;=0,D324&lt;=0,E324&lt;=0),"CEK dimensi harus lebih dari 0",IF(COUNTIF($A$2:$A$500,A324)&gt;1,"CEK SKU dobel","OK")))))</f>
        <v/>
      </c>
    </row>
    <row r="325">
      <c r="A325" s="10" t="n"/>
      <c r="B325" s="12">
        <f>IF(A325="","",IFERROR(INDEX(DATA!$E$2:$E$500,MATCH(A325,DATA!$D$2:$D$500,0)),""))</f>
        <v/>
      </c>
      <c r="C325" s="10" t="n"/>
      <c r="D325" s="10" t="n"/>
      <c r="E325" s="10" t="n"/>
      <c r="F325" s="10" t="n"/>
      <c r="G325" s="10" t="n"/>
      <c r="H325" s="10" t="n"/>
      <c r="I325" s="10" t="n"/>
      <c r="J325" s="12">
        <f>IF(OR(A325="",COUNT(C325:E325)&lt;3),"",IFERROR(MAX(0,FLOOR(($N$2-$N$3)/E325,1))*MAX(1,MIN(IF(G325="",1,G325),FLOOR($N$4/D325,1)))*IF(F325="",1,F325),""))</f>
        <v/>
      </c>
      <c r="K325" s="12">
        <f>IF(A325="","",IF(COUNTIF(DATA!$D$2:$D$500,A325)=0,"CEK SKU tidak ada di DATA",IF(COUNT(C325:E325)&lt;3,"CEK dimensi belum lengkap",IF(OR(C325&lt;=0,D325&lt;=0,E325&lt;=0),"CEK dimensi harus lebih dari 0",IF(COUNTIF($A$2:$A$500,A325)&gt;1,"CEK SKU dobel","OK")))))</f>
        <v/>
      </c>
    </row>
    <row r="326">
      <c r="A326" s="10" t="n"/>
      <c r="B326" s="12">
        <f>IF(A326="","",IFERROR(INDEX(DATA!$E$2:$E$500,MATCH(A326,DATA!$D$2:$D$500,0)),""))</f>
        <v/>
      </c>
      <c r="C326" s="10" t="n"/>
      <c r="D326" s="10" t="n"/>
      <c r="E326" s="10" t="n"/>
      <c r="F326" s="10" t="n"/>
      <c r="G326" s="10" t="n"/>
      <c r="H326" s="10" t="n"/>
      <c r="I326" s="10" t="n"/>
      <c r="J326" s="12">
        <f>IF(OR(A326="",COUNT(C326:E326)&lt;3),"",IFERROR(MAX(0,FLOOR(($N$2-$N$3)/E326,1))*MAX(1,MIN(IF(G326="",1,G326),FLOOR($N$4/D326,1)))*IF(F326="",1,F326),""))</f>
        <v/>
      </c>
      <c r="K326" s="12">
        <f>IF(A326="","",IF(COUNTIF(DATA!$D$2:$D$500,A326)=0,"CEK SKU tidak ada di DATA",IF(COUNT(C326:E326)&lt;3,"CEK dimensi belum lengkap",IF(OR(C326&lt;=0,D326&lt;=0,E326&lt;=0),"CEK dimensi harus lebih dari 0",IF(COUNTIF($A$2:$A$500,A326)&gt;1,"CEK SKU dobel","OK")))))</f>
        <v/>
      </c>
    </row>
    <row r="327">
      <c r="A327" s="10" t="n"/>
      <c r="B327" s="12">
        <f>IF(A327="","",IFERROR(INDEX(DATA!$E$2:$E$500,MATCH(A327,DATA!$D$2:$D$500,0)),""))</f>
        <v/>
      </c>
      <c r="C327" s="10" t="n"/>
      <c r="D327" s="10" t="n"/>
      <c r="E327" s="10" t="n"/>
      <c r="F327" s="10" t="n"/>
      <c r="G327" s="10" t="n"/>
      <c r="H327" s="10" t="n"/>
      <c r="I327" s="10" t="n"/>
      <c r="J327" s="12">
        <f>IF(OR(A327="",COUNT(C327:E327)&lt;3),"",IFERROR(MAX(0,FLOOR(($N$2-$N$3)/E327,1))*MAX(1,MIN(IF(G327="",1,G327),FLOOR($N$4/D327,1)))*IF(F327="",1,F327),""))</f>
        <v/>
      </c>
      <c r="K327" s="12">
        <f>IF(A327="","",IF(COUNTIF(DATA!$D$2:$D$500,A327)=0,"CEK SKU tidak ada di DATA",IF(COUNT(C327:E327)&lt;3,"CEK dimensi belum lengkap",IF(OR(C327&lt;=0,D327&lt;=0,E327&lt;=0),"CEK dimensi harus lebih dari 0",IF(COUNTIF($A$2:$A$500,A327)&gt;1,"CEK SKU dobel","OK")))))</f>
        <v/>
      </c>
    </row>
    <row r="328">
      <c r="A328" s="10" t="n"/>
      <c r="B328" s="12">
        <f>IF(A328="","",IFERROR(INDEX(DATA!$E$2:$E$500,MATCH(A328,DATA!$D$2:$D$500,0)),""))</f>
        <v/>
      </c>
      <c r="C328" s="10" t="n"/>
      <c r="D328" s="10" t="n"/>
      <c r="E328" s="10" t="n"/>
      <c r="F328" s="10" t="n"/>
      <c r="G328" s="10" t="n"/>
      <c r="H328" s="10" t="n"/>
      <c r="I328" s="10" t="n"/>
      <c r="J328" s="12">
        <f>IF(OR(A328="",COUNT(C328:E328)&lt;3),"",IFERROR(MAX(0,FLOOR(($N$2-$N$3)/E328,1))*MAX(1,MIN(IF(G328="",1,G328),FLOOR($N$4/D328,1)))*IF(F328="",1,F328),""))</f>
        <v/>
      </c>
      <c r="K328" s="12">
        <f>IF(A328="","",IF(COUNTIF(DATA!$D$2:$D$500,A328)=0,"CEK SKU tidak ada di DATA",IF(COUNT(C328:E328)&lt;3,"CEK dimensi belum lengkap",IF(OR(C328&lt;=0,D328&lt;=0,E328&lt;=0),"CEK dimensi harus lebih dari 0",IF(COUNTIF($A$2:$A$500,A328)&gt;1,"CEK SKU dobel","OK")))))</f>
        <v/>
      </c>
    </row>
    <row r="329">
      <c r="A329" s="10" t="n"/>
      <c r="B329" s="12">
        <f>IF(A329="","",IFERROR(INDEX(DATA!$E$2:$E$500,MATCH(A329,DATA!$D$2:$D$500,0)),""))</f>
        <v/>
      </c>
      <c r="C329" s="10" t="n"/>
      <c r="D329" s="10" t="n"/>
      <c r="E329" s="10" t="n"/>
      <c r="F329" s="10" t="n"/>
      <c r="G329" s="10" t="n"/>
      <c r="H329" s="10" t="n"/>
      <c r="I329" s="10" t="n"/>
      <c r="J329" s="12">
        <f>IF(OR(A329="",COUNT(C329:E329)&lt;3),"",IFERROR(MAX(0,FLOOR(($N$2-$N$3)/E329,1))*MAX(1,MIN(IF(G329="",1,G329),FLOOR($N$4/D329,1)))*IF(F329="",1,F329),""))</f>
        <v/>
      </c>
      <c r="K329" s="12">
        <f>IF(A329="","",IF(COUNTIF(DATA!$D$2:$D$500,A329)=0,"CEK SKU tidak ada di DATA",IF(COUNT(C329:E329)&lt;3,"CEK dimensi belum lengkap",IF(OR(C329&lt;=0,D329&lt;=0,E329&lt;=0),"CEK dimensi harus lebih dari 0",IF(COUNTIF($A$2:$A$500,A329)&gt;1,"CEK SKU dobel","OK")))))</f>
        <v/>
      </c>
    </row>
    <row r="330">
      <c r="A330" s="10" t="n"/>
      <c r="B330" s="12">
        <f>IF(A330="","",IFERROR(INDEX(DATA!$E$2:$E$500,MATCH(A330,DATA!$D$2:$D$500,0)),""))</f>
        <v/>
      </c>
      <c r="C330" s="10" t="n"/>
      <c r="D330" s="10" t="n"/>
      <c r="E330" s="10" t="n"/>
      <c r="F330" s="10" t="n"/>
      <c r="G330" s="10" t="n"/>
      <c r="H330" s="10" t="n"/>
      <c r="I330" s="10" t="n"/>
      <c r="J330" s="12">
        <f>IF(OR(A330="",COUNT(C330:E330)&lt;3),"",IFERROR(MAX(0,FLOOR(($N$2-$N$3)/E330,1))*MAX(1,MIN(IF(G330="",1,G330),FLOOR($N$4/D330,1)))*IF(F330="",1,F330),""))</f>
        <v/>
      </c>
      <c r="K330" s="12">
        <f>IF(A330="","",IF(COUNTIF(DATA!$D$2:$D$500,A330)=0,"CEK SKU tidak ada di DATA",IF(COUNT(C330:E330)&lt;3,"CEK dimensi belum lengkap",IF(OR(C330&lt;=0,D330&lt;=0,E330&lt;=0),"CEK dimensi harus lebih dari 0",IF(COUNTIF($A$2:$A$500,A330)&gt;1,"CEK SKU dobel","OK")))))</f>
        <v/>
      </c>
    </row>
    <row r="331">
      <c r="A331" s="10" t="n"/>
      <c r="B331" s="12">
        <f>IF(A331="","",IFERROR(INDEX(DATA!$E$2:$E$500,MATCH(A331,DATA!$D$2:$D$500,0)),""))</f>
        <v/>
      </c>
      <c r="C331" s="10" t="n"/>
      <c r="D331" s="10" t="n"/>
      <c r="E331" s="10" t="n"/>
      <c r="F331" s="10" t="n"/>
      <c r="G331" s="10" t="n"/>
      <c r="H331" s="10" t="n"/>
      <c r="I331" s="10" t="n"/>
      <c r="J331" s="12">
        <f>IF(OR(A331="",COUNT(C331:E331)&lt;3),"",IFERROR(MAX(0,FLOOR(($N$2-$N$3)/E331,1))*MAX(1,MIN(IF(G331="",1,G331),FLOOR($N$4/D331,1)))*IF(F331="",1,F331),""))</f>
        <v/>
      </c>
      <c r="K331" s="12">
        <f>IF(A331="","",IF(COUNTIF(DATA!$D$2:$D$500,A331)=0,"CEK SKU tidak ada di DATA",IF(COUNT(C331:E331)&lt;3,"CEK dimensi belum lengkap",IF(OR(C331&lt;=0,D331&lt;=0,E331&lt;=0),"CEK dimensi harus lebih dari 0",IF(COUNTIF($A$2:$A$500,A331)&gt;1,"CEK SKU dobel","OK")))))</f>
        <v/>
      </c>
    </row>
    <row r="332">
      <c r="A332" s="10" t="n"/>
      <c r="B332" s="12">
        <f>IF(A332="","",IFERROR(INDEX(DATA!$E$2:$E$500,MATCH(A332,DATA!$D$2:$D$500,0)),""))</f>
        <v/>
      </c>
      <c r="C332" s="10" t="n"/>
      <c r="D332" s="10" t="n"/>
      <c r="E332" s="10" t="n"/>
      <c r="F332" s="10" t="n"/>
      <c r="G332" s="10" t="n"/>
      <c r="H332" s="10" t="n"/>
      <c r="I332" s="10" t="n"/>
      <c r="J332" s="12">
        <f>IF(OR(A332="",COUNT(C332:E332)&lt;3),"",IFERROR(MAX(0,FLOOR(($N$2-$N$3)/E332,1))*MAX(1,MIN(IF(G332="",1,G332),FLOOR($N$4/D332,1)))*IF(F332="",1,F332),""))</f>
        <v/>
      </c>
      <c r="K332" s="12">
        <f>IF(A332="","",IF(COUNTIF(DATA!$D$2:$D$500,A332)=0,"CEK SKU tidak ada di DATA",IF(COUNT(C332:E332)&lt;3,"CEK dimensi belum lengkap",IF(OR(C332&lt;=0,D332&lt;=0,E332&lt;=0),"CEK dimensi harus lebih dari 0",IF(COUNTIF($A$2:$A$500,A332)&gt;1,"CEK SKU dobel","OK")))))</f>
        <v/>
      </c>
    </row>
    <row r="333">
      <c r="A333" s="10" t="n"/>
      <c r="B333" s="12">
        <f>IF(A333="","",IFERROR(INDEX(DATA!$E$2:$E$500,MATCH(A333,DATA!$D$2:$D$500,0)),""))</f>
        <v/>
      </c>
      <c r="C333" s="10" t="n"/>
      <c r="D333" s="10" t="n"/>
      <c r="E333" s="10" t="n"/>
      <c r="F333" s="10" t="n"/>
      <c r="G333" s="10" t="n"/>
      <c r="H333" s="10" t="n"/>
      <c r="I333" s="10" t="n"/>
      <c r="J333" s="12">
        <f>IF(OR(A333="",COUNT(C333:E333)&lt;3),"",IFERROR(MAX(0,FLOOR(($N$2-$N$3)/E333,1))*MAX(1,MIN(IF(G333="",1,G333),FLOOR($N$4/D333,1)))*IF(F333="",1,F333),""))</f>
        <v/>
      </c>
      <c r="K333" s="12">
        <f>IF(A333="","",IF(COUNTIF(DATA!$D$2:$D$500,A333)=0,"CEK SKU tidak ada di DATA",IF(COUNT(C333:E333)&lt;3,"CEK dimensi belum lengkap",IF(OR(C333&lt;=0,D333&lt;=0,E333&lt;=0),"CEK dimensi harus lebih dari 0",IF(COUNTIF($A$2:$A$500,A333)&gt;1,"CEK SKU dobel","OK")))))</f>
        <v/>
      </c>
    </row>
    <row r="334">
      <c r="A334" s="10" t="n"/>
      <c r="B334" s="12">
        <f>IF(A334="","",IFERROR(INDEX(DATA!$E$2:$E$500,MATCH(A334,DATA!$D$2:$D$500,0)),""))</f>
        <v/>
      </c>
      <c r="C334" s="10" t="n"/>
      <c r="D334" s="10" t="n"/>
      <c r="E334" s="10" t="n"/>
      <c r="F334" s="10" t="n"/>
      <c r="G334" s="10" t="n"/>
      <c r="H334" s="10" t="n"/>
      <c r="I334" s="10" t="n"/>
      <c r="J334" s="12">
        <f>IF(OR(A334="",COUNT(C334:E334)&lt;3),"",IFERROR(MAX(0,FLOOR(($N$2-$N$3)/E334,1))*MAX(1,MIN(IF(G334="",1,G334),FLOOR($N$4/D334,1)))*IF(F334="",1,F334),""))</f>
        <v/>
      </c>
      <c r="K334" s="12">
        <f>IF(A334="","",IF(COUNTIF(DATA!$D$2:$D$500,A334)=0,"CEK SKU tidak ada di DATA",IF(COUNT(C334:E334)&lt;3,"CEK dimensi belum lengkap",IF(OR(C334&lt;=0,D334&lt;=0,E334&lt;=0),"CEK dimensi harus lebih dari 0",IF(COUNTIF($A$2:$A$500,A334)&gt;1,"CEK SKU dobel","OK")))))</f>
        <v/>
      </c>
    </row>
    <row r="335">
      <c r="A335" s="10" t="n"/>
      <c r="B335" s="12">
        <f>IF(A335="","",IFERROR(INDEX(DATA!$E$2:$E$500,MATCH(A335,DATA!$D$2:$D$500,0)),""))</f>
        <v/>
      </c>
      <c r="C335" s="10" t="n"/>
      <c r="D335" s="10" t="n"/>
      <c r="E335" s="10" t="n"/>
      <c r="F335" s="10" t="n"/>
      <c r="G335" s="10" t="n"/>
      <c r="H335" s="10" t="n"/>
      <c r="I335" s="10" t="n"/>
      <c r="J335" s="12">
        <f>IF(OR(A335="",COUNT(C335:E335)&lt;3),"",IFERROR(MAX(0,FLOOR(($N$2-$N$3)/E335,1))*MAX(1,MIN(IF(G335="",1,G335),FLOOR($N$4/D335,1)))*IF(F335="",1,F335),""))</f>
        <v/>
      </c>
      <c r="K335" s="12">
        <f>IF(A335="","",IF(COUNTIF(DATA!$D$2:$D$500,A335)=0,"CEK SKU tidak ada di DATA",IF(COUNT(C335:E335)&lt;3,"CEK dimensi belum lengkap",IF(OR(C335&lt;=0,D335&lt;=0,E335&lt;=0),"CEK dimensi harus lebih dari 0",IF(COUNTIF($A$2:$A$500,A335)&gt;1,"CEK SKU dobel","OK")))))</f>
        <v/>
      </c>
    </row>
    <row r="336">
      <c r="A336" s="10" t="n"/>
      <c r="B336" s="12">
        <f>IF(A336="","",IFERROR(INDEX(DATA!$E$2:$E$500,MATCH(A336,DATA!$D$2:$D$500,0)),""))</f>
        <v/>
      </c>
      <c r="C336" s="10" t="n"/>
      <c r="D336" s="10" t="n"/>
      <c r="E336" s="10" t="n"/>
      <c r="F336" s="10" t="n"/>
      <c r="G336" s="10" t="n"/>
      <c r="H336" s="10" t="n"/>
      <c r="I336" s="10" t="n"/>
      <c r="J336" s="12">
        <f>IF(OR(A336="",COUNT(C336:E336)&lt;3),"",IFERROR(MAX(0,FLOOR(($N$2-$N$3)/E336,1))*MAX(1,MIN(IF(G336="",1,G336),FLOOR($N$4/D336,1)))*IF(F336="",1,F336),""))</f>
        <v/>
      </c>
      <c r="K336" s="12">
        <f>IF(A336="","",IF(COUNTIF(DATA!$D$2:$D$500,A336)=0,"CEK SKU tidak ada di DATA",IF(COUNT(C336:E336)&lt;3,"CEK dimensi belum lengkap",IF(OR(C336&lt;=0,D336&lt;=0,E336&lt;=0),"CEK dimensi harus lebih dari 0",IF(COUNTIF($A$2:$A$500,A336)&gt;1,"CEK SKU dobel","OK")))))</f>
        <v/>
      </c>
    </row>
    <row r="337">
      <c r="A337" s="10" t="n"/>
      <c r="B337" s="12">
        <f>IF(A337="","",IFERROR(INDEX(DATA!$E$2:$E$500,MATCH(A337,DATA!$D$2:$D$500,0)),""))</f>
        <v/>
      </c>
      <c r="C337" s="10" t="n"/>
      <c r="D337" s="10" t="n"/>
      <c r="E337" s="10" t="n"/>
      <c r="F337" s="10" t="n"/>
      <c r="G337" s="10" t="n"/>
      <c r="H337" s="10" t="n"/>
      <c r="I337" s="10" t="n"/>
      <c r="J337" s="12">
        <f>IF(OR(A337="",COUNT(C337:E337)&lt;3),"",IFERROR(MAX(0,FLOOR(($N$2-$N$3)/E337,1))*MAX(1,MIN(IF(G337="",1,G337),FLOOR($N$4/D337,1)))*IF(F337="",1,F337),""))</f>
        <v/>
      </c>
      <c r="K337" s="12">
        <f>IF(A337="","",IF(COUNTIF(DATA!$D$2:$D$500,A337)=0,"CEK SKU tidak ada di DATA",IF(COUNT(C337:E337)&lt;3,"CEK dimensi belum lengkap",IF(OR(C337&lt;=0,D337&lt;=0,E337&lt;=0),"CEK dimensi harus lebih dari 0",IF(COUNTIF($A$2:$A$500,A337)&gt;1,"CEK SKU dobel","OK")))))</f>
        <v/>
      </c>
    </row>
    <row r="338">
      <c r="A338" s="10" t="n"/>
      <c r="B338" s="12">
        <f>IF(A338="","",IFERROR(INDEX(DATA!$E$2:$E$500,MATCH(A338,DATA!$D$2:$D$500,0)),""))</f>
        <v/>
      </c>
      <c r="C338" s="10" t="n"/>
      <c r="D338" s="10" t="n"/>
      <c r="E338" s="10" t="n"/>
      <c r="F338" s="10" t="n"/>
      <c r="G338" s="10" t="n"/>
      <c r="H338" s="10" t="n"/>
      <c r="I338" s="10" t="n"/>
      <c r="J338" s="12">
        <f>IF(OR(A338="",COUNT(C338:E338)&lt;3),"",IFERROR(MAX(0,FLOOR(($N$2-$N$3)/E338,1))*MAX(1,MIN(IF(G338="",1,G338),FLOOR($N$4/D338,1)))*IF(F338="",1,F338),""))</f>
        <v/>
      </c>
      <c r="K338" s="12">
        <f>IF(A338="","",IF(COUNTIF(DATA!$D$2:$D$500,A338)=0,"CEK SKU tidak ada di DATA",IF(COUNT(C338:E338)&lt;3,"CEK dimensi belum lengkap",IF(OR(C338&lt;=0,D338&lt;=0,E338&lt;=0),"CEK dimensi harus lebih dari 0",IF(COUNTIF($A$2:$A$500,A338)&gt;1,"CEK SKU dobel","OK")))))</f>
        <v/>
      </c>
    </row>
    <row r="339">
      <c r="A339" s="10" t="n"/>
      <c r="B339" s="12">
        <f>IF(A339="","",IFERROR(INDEX(DATA!$E$2:$E$500,MATCH(A339,DATA!$D$2:$D$500,0)),""))</f>
        <v/>
      </c>
      <c r="C339" s="10" t="n"/>
      <c r="D339" s="10" t="n"/>
      <c r="E339" s="10" t="n"/>
      <c r="F339" s="10" t="n"/>
      <c r="G339" s="10" t="n"/>
      <c r="H339" s="10" t="n"/>
      <c r="I339" s="10" t="n"/>
      <c r="J339" s="12">
        <f>IF(OR(A339="",COUNT(C339:E339)&lt;3),"",IFERROR(MAX(0,FLOOR(($N$2-$N$3)/E339,1))*MAX(1,MIN(IF(G339="",1,G339),FLOOR($N$4/D339,1)))*IF(F339="",1,F339),""))</f>
        <v/>
      </c>
      <c r="K339" s="12">
        <f>IF(A339="","",IF(COUNTIF(DATA!$D$2:$D$500,A339)=0,"CEK SKU tidak ada di DATA",IF(COUNT(C339:E339)&lt;3,"CEK dimensi belum lengkap",IF(OR(C339&lt;=0,D339&lt;=0,E339&lt;=0),"CEK dimensi harus lebih dari 0",IF(COUNTIF($A$2:$A$500,A339)&gt;1,"CEK SKU dobel","OK")))))</f>
        <v/>
      </c>
    </row>
    <row r="340">
      <c r="A340" s="10" t="n"/>
      <c r="B340" s="12">
        <f>IF(A340="","",IFERROR(INDEX(DATA!$E$2:$E$500,MATCH(A340,DATA!$D$2:$D$500,0)),""))</f>
        <v/>
      </c>
      <c r="C340" s="10" t="n"/>
      <c r="D340" s="10" t="n"/>
      <c r="E340" s="10" t="n"/>
      <c r="F340" s="10" t="n"/>
      <c r="G340" s="10" t="n"/>
      <c r="H340" s="10" t="n"/>
      <c r="I340" s="10" t="n"/>
      <c r="J340" s="12">
        <f>IF(OR(A340="",COUNT(C340:E340)&lt;3),"",IFERROR(MAX(0,FLOOR(($N$2-$N$3)/E340,1))*MAX(1,MIN(IF(G340="",1,G340),FLOOR($N$4/D340,1)))*IF(F340="",1,F340),""))</f>
        <v/>
      </c>
      <c r="K340" s="12">
        <f>IF(A340="","",IF(COUNTIF(DATA!$D$2:$D$500,A340)=0,"CEK SKU tidak ada di DATA",IF(COUNT(C340:E340)&lt;3,"CEK dimensi belum lengkap",IF(OR(C340&lt;=0,D340&lt;=0,E340&lt;=0),"CEK dimensi harus lebih dari 0",IF(COUNTIF($A$2:$A$500,A340)&gt;1,"CEK SKU dobel","OK")))))</f>
        <v/>
      </c>
    </row>
    <row r="341">
      <c r="A341" s="10" t="n"/>
      <c r="B341" s="12">
        <f>IF(A341="","",IFERROR(INDEX(DATA!$E$2:$E$500,MATCH(A341,DATA!$D$2:$D$500,0)),""))</f>
        <v/>
      </c>
      <c r="C341" s="10" t="n"/>
      <c r="D341" s="10" t="n"/>
      <c r="E341" s="10" t="n"/>
      <c r="F341" s="10" t="n"/>
      <c r="G341" s="10" t="n"/>
      <c r="H341" s="10" t="n"/>
      <c r="I341" s="10" t="n"/>
      <c r="J341" s="12">
        <f>IF(OR(A341="",COUNT(C341:E341)&lt;3),"",IFERROR(MAX(0,FLOOR(($N$2-$N$3)/E341,1))*MAX(1,MIN(IF(G341="",1,G341),FLOOR($N$4/D341,1)))*IF(F341="",1,F341),""))</f>
        <v/>
      </c>
      <c r="K341" s="12">
        <f>IF(A341="","",IF(COUNTIF(DATA!$D$2:$D$500,A341)=0,"CEK SKU tidak ada di DATA",IF(COUNT(C341:E341)&lt;3,"CEK dimensi belum lengkap",IF(OR(C341&lt;=0,D341&lt;=0,E341&lt;=0),"CEK dimensi harus lebih dari 0",IF(COUNTIF($A$2:$A$500,A341)&gt;1,"CEK SKU dobel","OK")))))</f>
        <v/>
      </c>
    </row>
    <row r="342">
      <c r="A342" s="10" t="n"/>
      <c r="B342" s="12">
        <f>IF(A342="","",IFERROR(INDEX(DATA!$E$2:$E$500,MATCH(A342,DATA!$D$2:$D$500,0)),""))</f>
        <v/>
      </c>
      <c r="C342" s="10" t="n"/>
      <c r="D342" s="10" t="n"/>
      <c r="E342" s="10" t="n"/>
      <c r="F342" s="10" t="n"/>
      <c r="G342" s="10" t="n"/>
      <c r="H342" s="10" t="n"/>
      <c r="I342" s="10" t="n"/>
      <c r="J342" s="12">
        <f>IF(OR(A342="",COUNT(C342:E342)&lt;3),"",IFERROR(MAX(0,FLOOR(($N$2-$N$3)/E342,1))*MAX(1,MIN(IF(G342="",1,G342),FLOOR($N$4/D342,1)))*IF(F342="",1,F342),""))</f>
        <v/>
      </c>
      <c r="K342" s="12">
        <f>IF(A342="","",IF(COUNTIF(DATA!$D$2:$D$500,A342)=0,"CEK SKU tidak ada di DATA",IF(COUNT(C342:E342)&lt;3,"CEK dimensi belum lengkap",IF(OR(C342&lt;=0,D342&lt;=0,E342&lt;=0),"CEK dimensi harus lebih dari 0",IF(COUNTIF($A$2:$A$500,A342)&gt;1,"CEK SKU dobel","OK")))))</f>
        <v/>
      </c>
    </row>
    <row r="343">
      <c r="A343" s="10" t="n"/>
      <c r="B343" s="12">
        <f>IF(A343="","",IFERROR(INDEX(DATA!$E$2:$E$500,MATCH(A343,DATA!$D$2:$D$500,0)),""))</f>
        <v/>
      </c>
      <c r="C343" s="10" t="n"/>
      <c r="D343" s="10" t="n"/>
      <c r="E343" s="10" t="n"/>
      <c r="F343" s="10" t="n"/>
      <c r="G343" s="10" t="n"/>
      <c r="H343" s="10" t="n"/>
      <c r="I343" s="10" t="n"/>
      <c r="J343" s="12">
        <f>IF(OR(A343="",COUNT(C343:E343)&lt;3),"",IFERROR(MAX(0,FLOOR(($N$2-$N$3)/E343,1))*MAX(1,MIN(IF(G343="",1,G343),FLOOR($N$4/D343,1)))*IF(F343="",1,F343),""))</f>
        <v/>
      </c>
      <c r="K343" s="12">
        <f>IF(A343="","",IF(COUNTIF(DATA!$D$2:$D$500,A343)=0,"CEK SKU tidak ada di DATA",IF(COUNT(C343:E343)&lt;3,"CEK dimensi belum lengkap",IF(OR(C343&lt;=0,D343&lt;=0,E343&lt;=0),"CEK dimensi harus lebih dari 0",IF(COUNTIF($A$2:$A$500,A343)&gt;1,"CEK SKU dobel","OK")))))</f>
        <v/>
      </c>
    </row>
    <row r="344">
      <c r="A344" s="10" t="n"/>
      <c r="B344" s="12">
        <f>IF(A344="","",IFERROR(INDEX(DATA!$E$2:$E$500,MATCH(A344,DATA!$D$2:$D$500,0)),""))</f>
        <v/>
      </c>
      <c r="C344" s="10" t="n"/>
      <c r="D344" s="10" t="n"/>
      <c r="E344" s="10" t="n"/>
      <c r="F344" s="10" t="n"/>
      <c r="G344" s="10" t="n"/>
      <c r="H344" s="10" t="n"/>
      <c r="I344" s="10" t="n"/>
      <c r="J344" s="12">
        <f>IF(OR(A344="",COUNT(C344:E344)&lt;3),"",IFERROR(MAX(0,FLOOR(($N$2-$N$3)/E344,1))*MAX(1,MIN(IF(G344="",1,G344),FLOOR($N$4/D344,1)))*IF(F344="",1,F344),""))</f>
        <v/>
      </c>
      <c r="K344" s="12">
        <f>IF(A344="","",IF(COUNTIF(DATA!$D$2:$D$500,A344)=0,"CEK SKU tidak ada di DATA",IF(COUNT(C344:E344)&lt;3,"CEK dimensi belum lengkap",IF(OR(C344&lt;=0,D344&lt;=0,E344&lt;=0),"CEK dimensi harus lebih dari 0",IF(COUNTIF($A$2:$A$500,A344)&gt;1,"CEK SKU dobel","OK")))))</f>
        <v/>
      </c>
    </row>
    <row r="345">
      <c r="A345" s="10" t="n"/>
      <c r="B345" s="12">
        <f>IF(A345="","",IFERROR(INDEX(DATA!$E$2:$E$500,MATCH(A345,DATA!$D$2:$D$500,0)),""))</f>
        <v/>
      </c>
      <c r="C345" s="10" t="n"/>
      <c r="D345" s="10" t="n"/>
      <c r="E345" s="10" t="n"/>
      <c r="F345" s="10" t="n"/>
      <c r="G345" s="10" t="n"/>
      <c r="H345" s="10" t="n"/>
      <c r="I345" s="10" t="n"/>
      <c r="J345" s="12">
        <f>IF(OR(A345="",COUNT(C345:E345)&lt;3),"",IFERROR(MAX(0,FLOOR(($N$2-$N$3)/E345,1))*MAX(1,MIN(IF(G345="",1,G345),FLOOR($N$4/D345,1)))*IF(F345="",1,F345),""))</f>
        <v/>
      </c>
      <c r="K345" s="12">
        <f>IF(A345="","",IF(COUNTIF(DATA!$D$2:$D$500,A345)=0,"CEK SKU tidak ada di DATA",IF(COUNT(C345:E345)&lt;3,"CEK dimensi belum lengkap",IF(OR(C345&lt;=0,D345&lt;=0,E345&lt;=0),"CEK dimensi harus lebih dari 0",IF(COUNTIF($A$2:$A$500,A345)&gt;1,"CEK SKU dobel","OK")))))</f>
        <v/>
      </c>
    </row>
    <row r="346">
      <c r="A346" s="10" t="n"/>
      <c r="B346" s="12">
        <f>IF(A346="","",IFERROR(INDEX(DATA!$E$2:$E$500,MATCH(A346,DATA!$D$2:$D$500,0)),""))</f>
        <v/>
      </c>
      <c r="C346" s="10" t="n"/>
      <c r="D346" s="10" t="n"/>
      <c r="E346" s="10" t="n"/>
      <c r="F346" s="10" t="n"/>
      <c r="G346" s="10" t="n"/>
      <c r="H346" s="10" t="n"/>
      <c r="I346" s="10" t="n"/>
      <c r="J346" s="12">
        <f>IF(OR(A346="",COUNT(C346:E346)&lt;3),"",IFERROR(MAX(0,FLOOR(($N$2-$N$3)/E346,1))*MAX(1,MIN(IF(G346="",1,G346),FLOOR($N$4/D346,1)))*IF(F346="",1,F346),""))</f>
        <v/>
      </c>
      <c r="K346" s="12">
        <f>IF(A346="","",IF(COUNTIF(DATA!$D$2:$D$500,A346)=0,"CEK SKU tidak ada di DATA",IF(COUNT(C346:E346)&lt;3,"CEK dimensi belum lengkap",IF(OR(C346&lt;=0,D346&lt;=0,E346&lt;=0),"CEK dimensi harus lebih dari 0",IF(COUNTIF($A$2:$A$500,A346)&gt;1,"CEK SKU dobel","OK")))))</f>
        <v/>
      </c>
    </row>
    <row r="347">
      <c r="A347" s="10" t="n"/>
      <c r="B347" s="12">
        <f>IF(A347="","",IFERROR(INDEX(DATA!$E$2:$E$500,MATCH(A347,DATA!$D$2:$D$500,0)),""))</f>
        <v/>
      </c>
      <c r="C347" s="10" t="n"/>
      <c r="D347" s="10" t="n"/>
      <c r="E347" s="10" t="n"/>
      <c r="F347" s="10" t="n"/>
      <c r="G347" s="10" t="n"/>
      <c r="H347" s="10" t="n"/>
      <c r="I347" s="10" t="n"/>
      <c r="J347" s="12">
        <f>IF(OR(A347="",COUNT(C347:E347)&lt;3),"",IFERROR(MAX(0,FLOOR(($N$2-$N$3)/E347,1))*MAX(1,MIN(IF(G347="",1,G347),FLOOR($N$4/D347,1)))*IF(F347="",1,F347),""))</f>
        <v/>
      </c>
      <c r="K347" s="12">
        <f>IF(A347="","",IF(COUNTIF(DATA!$D$2:$D$500,A347)=0,"CEK SKU tidak ada di DATA",IF(COUNT(C347:E347)&lt;3,"CEK dimensi belum lengkap",IF(OR(C347&lt;=0,D347&lt;=0,E347&lt;=0),"CEK dimensi harus lebih dari 0",IF(COUNTIF($A$2:$A$500,A347)&gt;1,"CEK SKU dobel","OK")))))</f>
        <v/>
      </c>
    </row>
    <row r="348">
      <c r="A348" s="10" t="n"/>
      <c r="B348" s="12">
        <f>IF(A348="","",IFERROR(INDEX(DATA!$E$2:$E$500,MATCH(A348,DATA!$D$2:$D$500,0)),""))</f>
        <v/>
      </c>
      <c r="C348" s="10" t="n"/>
      <c r="D348" s="10" t="n"/>
      <c r="E348" s="10" t="n"/>
      <c r="F348" s="10" t="n"/>
      <c r="G348" s="10" t="n"/>
      <c r="H348" s="10" t="n"/>
      <c r="I348" s="10" t="n"/>
      <c r="J348" s="12">
        <f>IF(OR(A348="",COUNT(C348:E348)&lt;3),"",IFERROR(MAX(0,FLOOR(($N$2-$N$3)/E348,1))*MAX(1,MIN(IF(G348="",1,G348),FLOOR($N$4/D348,1)))*IF(F348="",1,F348),""))</f>
        <v/>
      </c>
      <c r="K348" s="12">
        <f>IF(A348="","",IF(COUNTIF(DATA!$D$2:$D$500,A348)=0,"CEK SKU tidak ada di DATA",IF(COUNT(C348:E348)&lt;3,"CEK dimensi belum lengkap",IF(OR(C348&lt;=0,D348&lt;=0,E348&lt;=0),"CEK dimensi harus lebih dari 0",IF(COUNTIF($A$2:$A$500,A348)&gt;1,"CEK SKU dobel","OK")))))</f>
        <v/>
      </c>
    </row>
    <row r="349">
      <c r="A349" s="10" t="n"/>
      <c r="B349" s="12">
        <f>IF(A349="","",IFERROR(INDEX(DATA!$E$2:$E$500,MATCH(A349,DATA!$D$2:$D$500,0)),""))</f>
        <v/>
      </c>
      <c r="C349" s="10" t="n"/>
      <c r="D349" s="10" t="n"/>
      <c r="E349" s="10" t="n"/>
      <c r="F349" s="10" t="n"/>
      <c r="G349" s="10" t="n"/>
      <c r="H349" s="10" t="n"/>
      <c r="I349" s="10" t="n"/>
      <c r="J349" s="12">
        <f>IF(OR(A349="",COUNT(C349:E349)&lt;3),"",IFERROR(MAX(0,FLOOR(($N$2-$N$3)/E349,1))*MAX(1,MIN(IF(G349="",1,G349),FLOOR($N$4/D349,1)))*IF(F349="",1,F349),""))</f>
        <v/>
      </c>
      <c r="K349" s="12">
        <f>IF(A349="","",IF(COUNTIF(DATA!$D$2:$D$500,A349)=0,"CEK SKU tidak ada di DATA",IF(COUNT(C349:E349)&lt;3,"CEK dimensi belum lengkap",IF(OR(C349&lt;=0,D349&lt;=0,E349&lt;=0),"CEK dimensi harus lebih dari 0",IF(COUNTIF($A$2:$A$500,A349)&gt;1,"CEK SKU dobel","OK")))))</f>
        <v/>
      </c>
    </row>
    <row r="350">
      <c r="A350" s="10" t="n"/>
      <c r="B350" s="12">
        <f>IF(A350="","",IFERROR(INDEX(DATA!$E$2:$E$500,MATCH(A350,DATA!$D$2:$D$500,0)),""))</f>
        <v/>
      </c>
      <c r="C350" s="10" t="n"/>
      <c r="D350" s="10" t="n"/>
      <c r="E350" s="10" t="n"/>
      <c r="F350" s="10" t="n"/>
      <c r="G350" s="10" t="n"/>
      <c r="H350" s="10" t="n"/>
      <c r="I350" s="10" t="n"/>
      <c r="J350" s="12">
        <f>IF(OR(A350="",COUNT(C350:E350)&lt;3),"",IFERROR(MAX(0,FLOOR(($N$2-$N$3)/E350,1))*MAX(1,MIN(IF(G350="",1,G350),FLOOR($N$4/D350,1)))*IF(F350="",1,F350),""))</f>
        <v/>
      </c>
      <c r="K350" s="12">
        <f>IF(A350="","",IF(COUNTIF(DATA!$D$2:$D$500,A350)=0,"CEK SKU tidak ada di DATA",IF(COUNT(C350:E350)&lt;3,"CEK dimensi belum lengkap",IF(OR(C350&lt;=0,D350&lt;=0,E350&lt;=0),"CEK dimensi harus lebih dari 0",IF(COUNTIF($A$2:$A$500,A350)&gt;1,"CEK SKU dobel","OK")))))</f>
        <v/>
      </c>
    </row>
    <row r="351">
      <c r="A351" s="10" t="n"/>
      <c r="B351" s="12">
        <f>IF(A351="","",IFERROR(INDEX(DATA!$E$2:$E$500,MATCH(A351,DATA!$D$2:$D$500,0)),""))</f>
        <v/>
      </c>
      <c r="C351" s="10" t="n"/>
      <c r="D351" s="10" t="n"/>
      <c r="E351" s="10" t="n"/>
      <c r="F351" s="10" t="n"/>
      <c r="G351" s="10" t="n"/>
      <c r="H351" s="10" t="n"/>
      <c r="I351" s="10" t="n"/>
      <c r="J351" s="12">
        <f>IF(OR(A351="",COUNT(C351:E351)&lt;3),"",IFERROR(MAX(0,FLOOR(($N$2-$N$3)/E351,1))*MAX(1,MIN(IF(G351="",1,G351),FLOOR($N$4/D351,1)))*IF(F351="",1,F351),""))</f>
        <v/>
      </c>
      <c r="K351" s="12">
        <f>IF(A351="","",IF(COUNTIF(DATA!$D$2:$D$500,A351)=0,"CEK SKU tidak ada di DATA",IF(COUNT(C351:E351)&lt;3,"CEK dimensi belum lengkap",IF(OR(C351&lt;=0,D351&lt;=0,E351&lt;=0),"CEK dimensi harus lebih dari 0",IF(COUNTIF($A$2:$A$500,A351)&gt;1,"CEK SKU dobel","OK")))))</f>
        <v/>
      </c>
    </row>
    <row r="352">
      <c r="A352" s="10" t="n"/>
      <c r="B352" s="12">
        <f>IF(A352="","",IFERROR(INDEX(DATA!$E$2:$E$500,MATCH(A352,DATA!$D$2:$D$500,0)),""))</f>
        <v/>
      </c>
      <c r="C352" s="10" t="n"/>
      <c r="D352" s="10" t="n"/>
      <c r="E352" s="10" t="n"/>
      <c r="F352" s="10" t="n"/>
      <c r="G352" s="10" t="n"/>
      <c r="H352" s="10" t="n"/>
      <c r="I352" s="10" t="n"/>
      <c r="J352" s="12">
        <f>IF(OR(A352="",COUNT(C352:E352)&lt;3),"",IFERROR(MAX(0,FLOOR(($N$2-$N$3)/E352,1))*MAX(1,MIN(IF(G352="",1,G352),FLOOR($N$4/D352,1)))*IF(F352="",1,F352),""))</f>
        <v/>
      </c>
      <c r="K352" s="12">
        <f>IF(A352="","",IF(COUNTIF(DATA!$D$2:$D$500,A352)=0,"CEK SKU tidak ada di DATA",IF(COUNT(C352:E352)&lt;3,"CEK dimensi belum lengkap",IF(OR(C352&lt;=0,D352&lt;=0,E352&lt;=0),"CEK dimensi harus lebih dari 0",IF(COUNTIF($A$2:$A$500,A352)&gt;1,"CEK SKU dobel","OK")))))</f>
        <v/>
      </c>
    </row>
    <row r="353">
      <c r="A353" s="10" t="n"/>
      <c r="B353" s="12">
        <f>IF(A353="","",IFERROR(INDEX(DATA!$E$2:$E$500,MATCH(A353,DATA!$D$2:$D$500,0)),""))</f>
        <v/>
      </c>
      <c r="C353" s="10" t="n"/>
      <c r="D353" s="10" t="n"/>
      <c r="E353" s="10" t="n"/>
      <c r="F353" s="10" t="n"/>
      <c r="G353" s="10" t="n"/>
      <c r="H353" s="10" t="n"/>
      <c r="I353" s="10" t="n"/>
      <c r="J353" s="12">
        <f>IF(OR(A353="",COUNT(C353:E353)&lt;3),"",IFERROR(MAX(0,FLOOR(($N$2-$N$3)/E353,1))*MAX(1,MIN(IF(G353="",1,G353),FLOOR($N$4/D353,1)))*IF(F353="",1,F353),""))</f>
        <v/>
      </c>
      <c r="K353" s="12">
        <f>IF(A353="","",IF(COUNTIF(DATA!$D$2:$D$500,A353)=0,"CEK SKU tidak ada di DATA",IF(COUNT(C353:E353)&lt;3,"CEK dimensi belum lengkap",IF(OR(C353&lt;=0,D353&lt;=0,E353&lt;=0),"CEK dimensi harus lebih dari 0",IF(COUNTIF($A$2:$A$500,A353)&gt;1,"CEK SKU dobel","OK")))))</f>
        <v/>
      </c>
    </row>
    <row r="354">
      <c r="A354" s="10" t="n"/>
      <c r="B354" s="12">
        <f>IF(A354="","",IFERROR(INDEX(DATA!$E$2:$E$500,MATCH(A354,DATA!$D$2:$D$500,0)),""))</f>
        <v/>
      </c>
      <c r="C354" s="10" t="n"/>
      <c r="D354" s="10" t="n"/>
      <c r="E354" s="10" t="n"/>
      <c r="F354" s="10" t="n"/>
      <c r="G354" s="10" t="n"/>
      <c r="H354" s="10" t="n"/>
      <c r="I354" s="10" t="n"/>
      <c r="J354" s="12">
        <f>IF(OR(A354="",COUNT(C354:E354)&lt;3),"",IFERROR(MAX(0,FLOOR(($N$2-$N$3)/E354,1))*MAX(1,MIN(IF(G354="",1,G354),FLOOR($N$4/D354,1)))*IF(F354="",1,F354),""))</f>
        <v/>
      </c>
      <c r="K354" s="12">
        <f>IF(A354="","",IF(COUNTIF(DATA!$D$2:$D$500,A354)=0,"CEK SKU tidak ada di DATA",IF(COUNT(C354:E354)&lt;3,"CEK dimensi belum lengkap",IF(OR(C354&lt;=0,D354&lt;=0,E354&lt;=0),"CEK dimensi harus lebih dari 0",IF(COUNTIF($A$2:$A$500,A354)&gt;1,"CEK SKU dobel","OK")))))</f>
        <v/>
      </c>
    </row>
    <row r="355">
      <c r="A355" s="10" t="n"/>
      <c r="B355" s="12">
        <f>IF(A355="","",IFERROR(INDEX(DATA!$E$2:$E$500,MATCH(A355,DATA!$D$2:$D$500,0)),""))</f>
        <v/>
      </c>
      <c r="C355" s="10" t="n"/>
      <c r="D355" s="10" t="n"/>
      <c r="E355" s="10" t="n"/>
      <c r="F355" s="10" t="n"/>
      <c r="G355" s="10" t="n"/>
      <c r="H355" s="10" t="n"/>
      <c r="I355" s="10" t="n"/>
      <c r="J355" s="12">
        <f>IF(OR(A355="",COUNT(C355:E355)&lt;3),"",IFERROR(MAX(0,FLOOR(($N$2-$N$3)/E355,1))*MAX(1,MIN(IF(G355="",1,G355),FLOOR($N$4/D355,1)))*IF(F355="",1,F355),""))</f>
        <v/>
      </c>
      <c r="K355" s="12">
        <f>IF(A355="","",IF(COUNTIF(DATA!$D$2:$D$500,A355)=0,"CEK SKU tidak ada di DATA",IF(COUNT(C355:E355)&lt;3,"CEK dimensi belum lengkap",IF(OR(C355&lt;=0,D355&lt;=0,E355&lt;=0),"CEK dimensi harus lebih dari 0",IF(COUNTIF($A$2:$A$500,A355)&gt;1,"CEK SKU dobel","OK")))))</f>
        <v/>
      </c>
    </row>
    <row r="356">
      <c r="A356" s="10" t="n"/>
      <c r="B356" s="12">
        <f>IF(A356="","",IFERROR(INDEX(DATA!$E$2:$E$500,MATCH(A356,DATA!$D$2:$D$500,0)),""))</f>
        <v/>
      </c>
      <c r="C356" s="10" t="n"/>
      <c r="D356" s="10" t="n"/>
      <c r="E356" s="10" t="n"/>
      <c r="F356" s="10" t="n"/>
      <c r="G356" s="10" t="n"/>
      <c r="H356" s="10" t="n"/>
      <c r="I356" s="10" t="n"/>
      <c r="J356" s="12">
        <f>IF(OR(A356="",COUNT(C356:E356)&lt;3),"",IFERROR(MAX(0,FLOOR(($N$2-$N$3)/E356,1))*MAX(1,MIN(IF(G356="",1,G356),FLOOR($N$4/D356,1)))*IF(F356="",1,F356),""))</f>
        <v/>
      </c>
      <c r="K356" s="12">
        <f>IF(A356="","",IF(COUNTIF(DATA!$D$2:$D$500,A356)=0,"CEK SKU tidak ada di DATA",IF(COUNT(C356:E356)&lt;3,"CEK dimensi belum lengkap",IF(OR(C356&lt;=0,D356&lt;=0,E356&lt;=0),"CEK dimensi harus lebih dari 0",IF(COUNTIF($A$2:$A$500,A356)&gt;1,"CEK SKU dobel","OK")))))</f>
        <v/>
      </c>
    </row>
    <row r="357">
      <c r="A357" s="10" t="n"/>
      <c r="B357" s="12">
        <f>IF(A357="","",IFERROR(INDEX(DATA!$E$2:$E$500,MATCH(A357,DATA!$D$2:$D$500,0)),""))</f>
        <v/>
      </c>
      <c r="C357" s="10" t="n"/>
      <c r="D357" s="10" t="n"/>
      <c r="E357" s="10" t="n"/>
      <c r="F357" s="10" t="n"/>
      <c r="G357" s="10" t="n"/>
      <c r="H357" s="10" t="n"/>
      <c r="I357" s="10" t="n"/>
      <c r="J357" s="12">
        <f>IF(OR(A357="",COUNT(C357:E357)&lt;3),"",IFERROR(MAX(0,FLOOR(($N$2-$N$3)/E357,1))*MAX(1,MIN(IF(G357="",1,G357),FLOOR($N$4/D357,1)))*IF(F357="",1,F357),""))</f>
        <v/>
      </c>
      <c r="K357" s="12">
        <f>IF(A357="","",IF(COUNTIF(DATA!$D$2:$D$500,A357)=0,"CEK SKU tidak ada di DATA",IF(COUNT(C357:E357)&lt;3,"CEK dimensi belum lengkap",IF(OR(C357&lt;=0,D357&lt;=0,E357&lt;=0),"CEK dimensi harus lebih dari 0",IF(COUNTIF($A$2:$A$500,A357)&gt;1,"CEK SKU dobel","OK")))))</f>
        <v/>
      </c>
    </row>
    <row r="358">
      <c r="A358" s="10" t="n"/>
      <c r="B358" s="12">
        <f>IF(A358="","",IFERROR(INDEX(DATA!$E$2:$E$500,MATCH(A358,DATA!$D$2:$D$500,0)),""))</f>
        <v/>
      </c>
      <c r="C358" s="10" t="n"/>
      <c r="D358" s="10" t="n"/>
      <c r="E358" s="10" t="n"/>
      <c r="F358" s="10" t="n"/>
      <c r="G358" s="10" t="n"/>
      <c r="H358" s="10" t="n"/>
      <c r="I358" s="10" t="n"/>
      <c r="J358" s="12">
        <f>IF(OR(A358="",COUNT(C358:E358)&lt;3),"",IFERROR(MAX(0,FLOOR(($N$2-$N$3)/E358,1))*MAX(1,MIN(IF(G358="",1,G358),FLOOR($N$4/D358,1)))*IF(F358="",1,F358),""))</f>
        <v/>
      </c>
      <c r="K358" s="12">
        <f>IF(A358="","",IF(COUNTIF(DATA!$D$2:$D$500,A358)=0,"CEK SKU tidak ada di DATA",IF(COUNT(C358:E358)&lt;3,"CEK dimensi belum lengkap",IF(OR(C358&lt;=0,D358&lt;=0,E358&lt;=0),"CEK dimensi harus lebih dari 0",IF(COUNTIF($A$2:$A$500,A358)&gt;1,"CEK SKU dobel","OK")))))</f>
        <v/>
      </c>
    </row>
    <row r="359">
      <c r="A359" s="10" t="n"/>
      <c r="B359" s="12">
        <f>IF(A359="","",IFERROR(INDEX(DATA!$E$2:$E$500,MATCH(A359,DATA!$D$2:$D$500,0)),""))</f>
        <v/>
      </c>
      <c r="C359" s="10" t="n"/>
      <c r="D359" s="10" t="n"/>
      <c r="E359" s="10" t="n"/>
      <c r="F359" s="10" t="n"/>
      <c r="G359" s="10" t="n"/>
      <c r="H359" s="10" t="n"/>
      <c r="I359" s="10" t="n"/>
      <c r="J359" s="12">
        <f>IF(OR(A359="",COUNT(C359:E359)&lt;3),"",IFERROR(MAX(0,FLOOR(($N$2-$N$3)/E359,1))*MAX(1,MIN(IF(G359="",1,G359),FLOOR($N$4/D359,1)))*IF(F359="",1,F359),""))</f>
        <v/>
      </c>
      <c r="K359" s="12">
        <f>IF(A359="","",IF(COUNTIF(DATA!$D$2:$D$500,A359)=0,"CEK SKU tidak ada di DATA",IF(COUNT(C359:E359)&lt;3,"CEK dimensi belum lengkap",IF(OR(C359&lt;=0,D359&lt;=0,E359&lt;=0),"CEK dimensi harus lebih dari 0",IF(COUNTIF($A$2:$A$500,A359)&gt;1,"CEK SKU dobel","OK")))))</f>
        <v/>
      </c>
    </row>
    <row r="360">
      <c r="A360" s="10" t="n"/>
      <c r="B360" s="12">
        <f>IF(A360="","",IFERROR(INDEX(DATA!$E$2:$E$500,MATCH(A360,DATA!$D$2:$D$500,0)),""))</f>
        <v/>
      </c>
      <c r="C360" s="10" t="n"/>
      <c r="D360" s="10" t="n"/>
      <c r="E360" s="10" t="n"/>
      <c r="F360" s="10" t="n"/>
      <c r="G360" s="10" t="n"/>
      <c r="H360" s="10" t="n"/>
      <c r="I360" s="10" t="n"/>
      <c r="J360" s="12">
        <f>IF(OR(A360="",COUNT(C360:E360)&lt;3),"",IFERROR(MAX(0,FLOOR(($N$2-$N$3)/E360,1))*MAX(1,MIN(IF(G360="",1,G360),FLOOR($N$4/D360,1)))*IF(F360="",1,F360),""))</f>
        <v/>
      </c>
      <c r="K360" s="12">
        <f>IF(A360="","",IF(COUNTIF(DATA!$D$2:$D$500,A360)=0,"CEK SKU tidak ada di DATA",IF(COUNT(C360:E360)&lt;3,"CEK dimensi belum lengkap",IF(OR(C360&lt;=0,D360&lt;=0,E360&lt;=0),"CEK dimensi harus lebih dari 0",IF(COUNTIF($A$2:$A$500,A360)&gt;1,"CEK SKU dobel","OK")))))</f>
        <v/>
      </c>
    </row>
    <row r="361">
      <c r="A361" s="10" t="n"/>
      <c r="B361" s="12">
        <f>IF(A361="","",IFERROR(INDEX(DATA!$E$2:$E$500,MATCH(A361,DATA!$D$2:$D$500,0)),""))</f>
        <v/>
      </c>
      <c r="C361" s="10" t="n"/>
      <c r="D361" s="10" t="n"/>
      <c r="E361" s="10" t="n"/>
      <c r="F361" s="10" t="n"/>
      <c r="G361" s="10" t="n"/>
      <c r="H361" s="10" t="n"/>
      <c r="I361" s="10" t="n"/>
      <c r="J361" s="12">
        <f>IF(OR(A361="",COUNT(C361:E361)&lt;3),"",IFERROR(MAX(0,FLOOR(($N$2-$N$3)/E361,1))*MAX(1,MIN(IF(G361="",1,G361),FLOOR($N$4/D361,1)))*IF(F361="",1,F361),""))</f>
        <v/>
      </c>
      <c r="K361" s="12">
        <f>IF(A361="","",IF(COUNTIF(DATA!$D$2:$D$500,A361)=0,"CEK SKU tidak ada di DATA",IF(COUNT(C361:E361)&lt;3,"CEK dimensi belum lengkap",IF(OR(C361&lt;=0,D361&lt;=0,E361&lt;=0),"CEK dimensi harus lebih dari 0",IF(COUNTIF($A$2:$A$500,A361)&gt;1,"CEK SKU dobel","OK")))))</f>
        <v/>
      </c>
    </row>
    <row r="362">
      <c r="A362" s="10" t="n"/>
      <c r="B362" s="12">
        <f>IF(A362="","",IFERROR(INDEX(DATA!$E$2:$E$500,MATCH(A362,DATA!$D$2:$D$500,0)),""))</f>
        <v/>
      </c>
      <c r="C362" s="10" t="n"/>
      <c r="D362" s="10" t="n"/>
      <c r="E362" s="10" t="n"/>
      <c r="F362" s="10" t="n"/>
      <c r="G362" s="10" t="n"/>
      <c r="H362" s="10" t="n"/>
      <c r="I362" s="10" t="n"/>
      <c r="J362" s="12">
        <f>IF(OR(A362="",COUNT(C362:E362)&lt;3),"",IFERROR(MAX(0,FLOOR(($N$2-$N$3)/E362,1))*MAX(1,MIN(IF(G362="",1,G362),FLOOR($N$4/D362,1)))*IF(F362="",1,F362),""))</f>
        <v/>
      </c>
      <c r="K362" s="12">
        <f>IF(A362="","",IF(COUNTIF(DATA!$D$2:$D$500,A362)=0,"CEK SKU tidak ada di DATA",IF(COUNT(C362:E362)&lt;3,"CEK dimensi belum lengkap",IF(OR(C362&lt;=0,D362&lt;=0,E362&lt;=0),"CEK dimensi harus lebih dari 0",IF(COUNTIF($A$2:$A$500,A362)&gt;1,"CEK SKU dobel","OK")))))</f>
        <v/>
      </c>
    </row>
    <row r="363">
      <c r="A363" s="10" t="n"/>
      <c r="B363" s="12">
        <f>IF(A363="","",IFERROR(INDEX(DATA!$E$2:$E$500,MATCH(A363,DATA!$D$2:$D$500,0)),""))</f>
        <v/>
      </c>
      <c r="C363" s="10" t="n"/>
      <c r="D363" s="10" t="n"/>
      <c r="E363" s="10" t="n"/>
      <c r="F363" s="10" t="n"/>
      <c r="G363" s="10" t="n"/>
      <c r="H363" s="10" t="n"/>
      <c r="I363" s="10" t="n"/>
      <c r="J363" s="12">
        <f>IF(OR(A363="",COUNT(C363:E363)&lt;3),"",IFERROR(MAX(0,FLOOR(($N$2-$N$3)/E363,1))*MAX(1,MIN(IF(G363="",1,G363),FLOOR($N$4/D363,1)))*IF(F363="",1,F363),""))</f>
        <v/>
      </c>
      <c r="K363" s="12">
        <f>IF(A363="","",IF(COUNTIF(DATA!$D$2:$D$500,A363)=0,"CEK SKU tidak ada di DATA",IF(COUNT(C363:E363)&lt;3,"CEK dimensi belum lengkap",IF(OR(C363&lt;=0,D363&lt;=0,E363&lt;=0),"CEK dimensi harus lebih dari 0",IF(COUNTIF($A$2:$A$500,A363)&gt;1,"CEK SKU dobel","OK")))))</f>
        <v/>
      </c>
    </row>
    <row r="364">
      <c r="A364" s="10" t="n"/>
      <c r="B364" s="12">
        <f>IF(A364="","",IFERROR(INDEX(DATA!$E$2:$E$500,MATCH(A364,DATA!$D$2:$D$500,0)),""))</f>
        <v/>
      </c>
      <c r="C364" s="10" t="n"/>
      <c r="D364" s="10" t="n"/>
      <c r="E364" s="10" t="n"/>
      <c r="F364" s="10" t="n"/>
      <c r="G364" s="10" t="n"/>
      <c r="H364" s="10" t="n"/>
      <c r="I364" s="10" t="n"/>
      <c r="J364" s="12">
        <f>IF(OR(A364="",COUNT(C364:E364)&lt;3),"",IFERROR(MAX(0,FLOOR(($N$2-$N$3)/E364,1))*MAX(1,MIN(IF(G364="",1,G364),FLOOR($N$4/D364,1)))*IF(F364="",1,F364),""))</f>
        <v/>
      </c>
      <c r="K364" s="12">
        <f>IF(A364="","",IF(COUNTIF(DATA!$D$2:$D$500,A364)=0,"CEK SKU tidak ada di DATA",IF(COUNT(C364:E364)&lt;3,"CEK dimensi belum lengkap",IF(OR(C364&lt;=0,D364&lt;=0,E364&lt;=0),"CEK dimensi harus lebih dari 0",IF(COUNTIF($A$2:$A$500,A364)&gt;1,"CEK SKU dobel","OK")))))</f>
        <v/>
      </c>
    </row>
    <row r="365">
      <c r="A365" s="10" t="n"/>
      <c r="B365" s="12">
        <f>IF(A365="","",IFERROR(INDEX(DATA!$E$2:$E$500,MATCH(A365,DATA!$D$2:$D$500,0)),""))</f>
        <v/>
      </c>
      <c r="C365" s="10" t="n"/>
      <c r="D365" s="10" t="n"/>
      <c r="E365" s="10" t="n"/>
      <c r="F365" s="10" t="n"/>
      <c r="G365" s="10" t="n"/>
      <c r="H365" s="10" t="n"/>
      <c r="I365" s="10" t="n"/>
      <c r="J365" s="12">
        <f>IF(OR(A365="",COUNT(C365:E365)&lt;3),"",IFERROR(MAX(0,FLOOR(($N$2-$N$3)/E365,1))*MAX(1,MIN(IF(G365="",1,G365),FLOOR($N$4/D365,1)))*IF(F365="",1,F365),""))</f>
        <v/>
      </c>
      <c r="K365" s="12">
        <f>IF(A365="","",IF(COUNTIF(DATA!$D$2:$D$500,A365)=0,"CEK SKU tidak ada di DATA",IF(COUNT(C365:E365)&lt;3,"CEK dimensi belum lengkap",IF(OR(C365&lt;=0,D365&lt;=0,E365&lt;=0),"CEK dimensi harus lebih dari 0",IF(COUNTIF($A$2:$A$500,A365)&gt;1,"CEK SKU dobel","OK")))))</f>
        <v/>
      </c>
    </row>
    <row r="366">
      <c r="A366" s="10" t="n"/>
      <c r="B366" s="12">
        <f>IF(A366="","",IFERROR(INDEX(DATA!$E$2:$E$500,MATCH(A366,DATA!$D$2:$D$500,0)),""))</f>
        <v/>
      </c>
      <c r="C366" s="10" t="n"/>
      <c r="D366" s="10" t="n"/>
      <c r="E366" s="10" t="n"/>
      <c r="F366" s="10" t="n"/>
      <c r="G366" s="10" t="n"/>
      <c r="H366" s="10" t="n"/>
      <c r="I366" s="10" t="n"/>
      <c r="J366" s="12">
        <f>IF(OR(A366="",COUNT(C366:E366)&lt;3),"",IFERROR(MAX(0,FLOOR(($N$2-$N$3)/E366,1))*MAX(1,MIN(IF(G366="",1,G366),FLOOR($N$4/D366,1)))*IF(F366="",1,F366),""))</f>
        <v/>
      </c>
      <c r="K366" s="12">
        <f>IF(A366="","",IF(COUNTIF(DATA!$D$2:$D$500,A366)=0,"CEK SKU tidak ada di DATA",IF(COUNT(C366:E366)&lt;3,"CEK dimensi belum lengkap",IF(OR(C366&lt;=0,D366&lt;=0,E366&lt;=0),"CEK dimensi harus lebih dari 0",IF(COUNTIF($A$2:$A$500,A366)&gt;1,"CEK SKU dobel","OK")))))</f>
        <v/>
      </c>
    </row>
    <row r="367">
      <c r="A367" s="10" t="n"/>
      <c r="B367" s="12">
        <f>IF(A367="","",IFERROR(INDEX(DATA!$E$2:$E$500,MATCH(A367,DATA!$D$2:$D$500,0)),""))</f>
        <v/>
      </c>
      <c r="C367" s="10" t="n"/>
      <c r="D367" s="10" t="n"/>
      <c r="E367" s="10" t="n"/>
      <c r="F367" s="10" t="n"/>
      <c r="G367" s="10" t="n"/>
      <c r="H367" s="10" t="n"/>
      <c r="I367" s="10" t="n"/>
      <c r="J367" s="12">
        <f>IF(OR(A367="",COUNT(C367:E367)&lt;3),"",IFERROR(MAX(0,FLOOR(($N$2-$N$3)/E367,1))*MAX(1,MIN(IF(G367="",1,G367),FLOOR($N$4/D367,1)))*IF(F367="",1,F367),""))</f>
        <v/>
      </c>
      <c r="K367" s="12">
        <f>IF(A367="","",IF(COUNTIF(DATA!$D$2:$D$500,A367)=0,"CEK SKU tidak ada di DATA",IF(COUNT(C367:E367)&lt;3,"CEK dimensi belum lengkap",IF(OR(C367&lt;=0,D367&lt;=0,E367&lt;=0),"CEK dimensi harus lebih dari 0",IF(COUNTIF($A$2:$A$500,A367)&gt;1,"CEK SKU dobel","OK")))))</f>
        <v/>
      </c>
    </row>
    <row r="368">
      <c r="A368" s="10" t="n"/>
      <c r="B368" s="12">
        <f>IF(A368="","",IFERROR(INDEX(DATA!$E$2:$E$500,MATCH(A368,DATA!$D$2:$D$500,0)),""))</f>
        <v/>
      </c>
      <c r="C368" s="10" t="n"/>
      <c r="D368" s="10" t="n"/>
      <c r="E368" s="10" t="n"/>
      <c r="F368" s="10" t="n"/>
      <c r="G368" s="10" t="n"/>
      <c r="H368" s="10" t="n"/>
      <c r="I368" s="10" t="n"/>
      <c r="J368" s="12">
        <f>IF(OR(A368="",COUNT(C368:E368)&lt;3),"",IFERROR(MAX(0,FLOOR(($N$2-$N$3)/E368,1))*MAX(1,MIN(IF(G368="",1,G368),FLOOR($N$4/D368,1)))*IF(F368="",1,F368),""))</f>
        <v/>
      </c>
      <c r="K368" s="12">
        <f>IF(A368="","",IF(COUNTIF(DATA!$D$2:$D$500,A368)=0,"CEK SKU tidak ada di DATA",IF(COUNT(C368:E368)&lt;3,"CEK dimensi belum lengkap",IF(OR(C368&lt;=0,D368&lt;=0,E368&lt;=0),"CEK dimensi harus lebih dari 0",IF(COUNTIF($A$2:$A$500,A368)&gt;1,"CEK SKU dobel","OK")))))</f>
        <v/>
      </c>
    </row>
    <row r="369">
      <c r="A369" s="10" t="n"/>
      <c r="B369" s="12">
        <f>IF(A369="","",IFERROR(INDEX(DATA!$E$2:$E$500,MATCH(A369,DATA!$D$2:$D$500,0)),""))</f>
        <v/>
      </c>
      <c r="C369" s="10" t="n"/>
      <c r="D369" s="10" t="n"/>
      <c r="E369" s="10" t="n"/>
      <c r="F369" s="10" t="n"/>
      <c r="G369" s="10" t="n"/>
      <c r="H369" s="10" t="n"/>
      <c r="I369" s="10" t="n"/>
      <c r="J369" s="12">
        <f>IF(OR(A369="",COUNT(C369:E369)&lt;3),"",IFERROR(MAX(0,FLOOR(($N$2-$N$3)/E369,1))*MAX(1,MIN(IF(G369="",1,G369),FLOOR($N$4/D369,1)))*IF(F369="",1,F369),""))</f>
        <v/>
      </c>
      <c r="K369" s="12">
        <f>IF(A369="","",IF(COUNTIF(DATA!$D$2:$D$500,A369)=0,"CEK SKU tidak ada di DATA",IF(COUNT(C369:E369)&lt;3,"CEK dimensi belum lengkap",IF(OR(C369&lt;=0,D369&lt;=0,E369&lt;=0),"CEK dimensi harus lebih dari 0",IF(COUNTIF($A$2:$A$500,A369)&gt;1,"CEK SKU dobel","OK")))))</f>
        <v/>
      </c>
    </row>
    <row r="370">
      <c r="A370" s="10" t="n"/>
      <c r="B370" s="12">
        <f>IF(A370="","",IFERROR(INDEX(DATA!$E$2:$E$500,MATCH(A370,DATA!$D$2:$D$500,0)),""))</f>
        <v/>
      </c>
      <c r="C370" s="10" t="n"/>
      <c r="D370" s="10" t="n"/>
      <c r="E370" s="10" t="n"/>
      <c r="F370" s="10" t="n"/>
      <c r="G370" s="10" t="n"/>
      <c r="H370" s="10" t="n"/>
      <c r="I370" s="10" t="n"/>
      <c r="J370" s="12">
        <f>IF(OR(A370="",COUNT(C370:E370)&lt;3),"",IFERROR(MAX(0,FLOOR(($N$2-$N$3)/E370,1))*MAX(1,MIN(IF(G370="",1,G370),FLOOR($N$4/D370,1)))*IF(F370="",1,F370),""))</f>
        <v/>
      </c>
      <c r="K370" s="12">
        <f>IF(A370="","",IF(COUNTIF(DATA!$D$2:$D$500,A370)=0,"CEK SKU tidak ada di DATA",IF(COUNT(C370:E370)&lt;3,"CEK dimensi belum lengkap",IF(OR(C370&lt;=0,D370&lt;=0,E370&lt;=0),"CEK dimensi harus lebih dari 0",IF(COUNTIF($A$2:$A$500,A370)&gt;1,"CEK SKU dobel","OK")))))</f>
        <v/>
      </c>
    </row>
    <row r="371">
      <c r="A371" s="10" t="n"/>
      <c r="B371" s="12">
        <f>IF(A371="","",IFERROR(INDEX(DATA!$E$2:$E$500,MATCH(A371,DATA!$D$2:$D$500,0)),""))</f>
        <v/>
      </c>
      <c r="C371" s="10" t="n"/>
      <c r="D371" s="10" t="n"/>
      <c r="E371" s="10" t="n"/>
      <c r="F371" s="10" t="n"/>
      <c r="G371" s="10" t="n"/>
      <c r="H371" s="10" t="n"/>
      <c r="I371" s="10" t="n"/>
      <c r="J371" s="12">
        <f>IF(OR(A371="",COUNT(C371:E371)&lt;3),"",IFERROR(MAX(0,FLOOR(($N$2-$N$3)/E371,1))*MAX(1,MIN(IF(G371="",1,G371),FLOOR($N$4/D371,1)))*IF(F371="",1,F371),""))</f>
        <v/>
      </c>
      <c r="K371" s="12">
        <f>IF(A371="","",IF(COUNTIF(DATA!$D$2:$D$500,A371)=0,"CEK SKU tidak ada di DATA",IF(COUNT(C371:E371)&lt;3,"CEK dimensi belum lengkap",IF(OR(C371&lt;=0,D371&lt;=0,E371&lt;=0),"CEK dimensi harus lebih dari 0",IF(COUNTIF($A$2:$A$500,A371)&gt;1,"CEK SKU dobel","OK")))))</f>
        <v/>
      </c>
    </row>
    <row r="372">
      <c r="A372" s="10" t="n"/>
      <c r="B372" s="12">
        <f>IF(A372="","",IFERROR(INDEX(DATA!$E$2:$E$500,MATCH(A372,DATA!$D$2:$D$500,0)),""))</f>
        <v/>
      </c>
      <c r="C372" s="10" t="n"/>
      <c r="D372" s="10" t="n"/>
      <c r="E372" s="10" t="n"/>
      <c r="F372" s="10" t="n"/>
      <c r="G372" s="10" t="n"/>
      <c r="H372" s="10" t="n"/>
      <c r="I372" s="10" t="n"/>
      <c r="J372" s="12">
        <f>IF(OR(A372="",COUNT(C372:E372)&lt;3),"",IFERROR(MAX(0,FLOOR(($N$2-$N$3)/E372,1))*MAX(1,MIN(IF(G372="",1,G372),FLOOR($N$4/D372,1)))*IF(F372="",1,F372),""))</f>
        <v/>
      </c>
      <c r="K372" s="12">
        <f>IF(A372="","",IF(COUNTIF(DATA!$D$2:$D$500,A372)=0,"CEK SKU tidak ada di DATA",IF(COUNT(C372:E372)&lt;3,"CEK dimensi belum lengkap",IF(OR(C372&lt;=0,D372&lt;=0,E372&lt;=0),"CEK dimensi harus lebih dari 0",IF(COUNTIF($A$2:$A$500,A372)&gt;1,"CEK SKU dobel","OK")))))</f>
        <v/>
      </c>
    </row>
    <row r="373">
      <c r="A373" s="10" t="n"/>
      <c r="B373" s="12">
        <f>IF(A373="","",IFERROR(INDEX(DATA!$E$2:$E$500,MATCH(A373,DATA!$D$2:$D$500,0)),""))</f>
        <v/>
      </c>
      <c r="C373" s="10" t="n"/>
      <c r="D373" s="10" t="n"/>
      <c r="E373" s="10" t="n"/>
      <c r="F373" s="10" t="n"/>
      <c r="G373" s="10" t="n"/>
      <c r="H373" s="10" t="n"/>
      <c r="I373" s="10" t="n"/>
      <c r="J373" s="12">
        <f>IF(OR(A373="",COUNT(C373:E373)&lt;3),"",IFERROR(MAX(0,FLOOR(($N$2-$N$3)/E373,1))*MAX(1,MIN(IF(G373="",1,G373),FLOOR($N$4/D373,1)))*IF(F373="",1,F373),""))</f>
        <v/>
      </c>
      <c r="K373" s="12">
        <f>IF(A373="","",IF(COUNTIF(DATA!$D$2:$D$500,A373)=0,"CEK SKU tidak ada di DATA",IF(COUNT(C373:E373)&lt;3,"CEK dimensi belum lengkap",IF(OR(C373&lt;=0,D373&lt;=0,E373&lt;=0),"CEK dimensi harus lebih dari 0",IF(COUNTIF($A$2:$A$500,A373)&gt;1,"CEK SKU dobel","OK")))))</f>
        <v/>
      </c>
    </row>
    <row r="374">
      <c r="A374" s="10" t="n"/>
      <c r="B374" s="12">
        <f>IF(A374="","",IFERROR(INDEX(DATA!$E$2:$E$500,MATCH(A374,DATA!$D$2:$D$500,0)),""))</f>
        <v/>
      </c>
      <c r="C374" s="10" t="n"/>
      <c r="D374" s="10" t="n"/>
      <c r="E374" s="10" t="n"/>
      <c r="F374" s="10" t="n"/>
      <c r="G374" s="10" t="n"/>
      <c r="H374" s="10" t="n"/>
      <c r="I374" s="10" t="n"/>
      <c r="J374" s="12">
        <f>IF(OR(A374="",COUNT(C374:E374)&lt;3),"",IFERROR(MAX(0,FLOOR(($N$2-$N$3)/E374,1))*MAX(1,MIN(IF(G374="",1,G374),FLOOR($N$4/D374,1)))*IF(F374="",1,F374),""))</f>
        <v/>
      </c>
      <c r="K374" s="12">
        <f>IF(A374="","",IF(COUNTIF(DATA!$D$2:$D$500,A374)=0,"CEK SKU tidak ada di DATA",IF(COUNT(C374:E374)&lt;3,"CEK dimensi belum lengkap",IF(OR(C374&lt;=0,D374&lt;=0,E374&lt;=0),"CEK dimensi harus lebih dari 0",IF(COUNTIF($A$2:$A$500,A374)&gt;1,"CEK SKU dobel","OK")))))</f>
        <v/>
      </c>
    </row>
    <row r="375">
      <c r="A375" s="10" t="n"/>
      <c r="B375" s="12">
        <f>IF(A375="","",IFERROR(INDEX(DATA!$E$2:$E$500,MATCH(A375,DATA!$D$2:$D$500,0)),""))</f>
        <v/>
      </c>
      <c r="C375" s="10" t="n"/>
      <c r="D375" s="10" t="n"/>
      <c r="E375" s="10" t="n"/>
      <c r="F375" s="10" t="n"/>
      <c r="G375" s="10" t="n"/>
      <c r="H375" s="10" t="n"/>
      <c r="I375" s="10" t="n"/>
      <c r="J375" s="12">
        <f>IF(OR(A375="",COUNT(C375:E375)&lt;3),"",IFERROR(MAX(0,FLOOR(($N$2-$N$3)/E375,1))*MAX(1,MIN(IF(G375="",1,G375),FLOOR($N$4/D375,1)))*IF(F375="",1,F375),""))</f>
        <v/>
      </c>
      <c r="K375" s="12">
        <f>IF(A375="","",IF(COUNTIF(DATA!$D$2:$D$500,A375)=0,"CEK SKU tidak ada di DATA",IF(COUNT(C375:E375)&lt;3,"CEK dimensi belum lengkap",IF(OR(C375&lt;=0,D375&lt;=0,E375&lt;=0),"CEK dimensi harus lebih dari 0",IF(COUNTIF($A$2:$A$500,A375)&gt;1,"CEK SKU dobel","OK")))))</f>
        <v/>
      </c>
    </row>
    <row r="376">
      <c r="A376" s="10" t="n"/>
      <c r="B376" s="12">
        <f>IF(A376="","",IFERROR(INDEX(DATA!$E$2:$E$500,MATCH(A376,DATA!$D$2:$D$500,0)),""))</f>
        <v/>
      </c>
      <c r="C376" s="10" t="n"/>
      <c r="D376" s="10" t="n"/>
      <c r="E376" s="10" t="n"/>
      <c r="F376" s="10" t="n"/>
      <c r="G376" s="10" t="n"/>
      <c r="H376" s="10" t="n"/>
      <c r="I376" s="10" t="n"/>
      <c r="J376" s="12">
        <f>IF(OR(A376="",COUNT(C376:E376)&lt;3),"",IFERROR(MAX(0,FLOOR(($N$2-$N$3)/E376,1))*MAX(1,MIN(IF(G376="",1,G376),FLOOR($N$4/D376,1)))*IF(F376="",1,F376),""))</f>
        <v/>
      </c>
      <c r="K376" s="12">
        <f>IF(A376="","",IF(COUNTIF(DATA!$D$2:$D$500,A376)=0,"CEK SKU tidak ada di DATA",IF(COUNT(C376:E376)&lt;3,"CEK dimensi belum lengkap",IF(OR(C376&lt;=0,D376&lt;=0,E376&lt;=0),"CEK dimensi harus lebih dari 0",IF(COUNTIF($A$2:$A$500,A376)&gt;1,"CEK SKU dobel","OK")))))</f>
        <v/>
      </c>
    </row>
    <row r="377">
      <c r="A377" s="10" t="n"/>
      <c r="B377" s="12">
        <f>IF(A377="","",IFERROR(INDEX(DATA!$E$2:$E$500,MATCH(A377,DATA!$D$2:$D$500,0)),""))</f>
        <v/>
      </c>
      <c r="C377" s="10" t="n"/>
      <c r="D377" s="10" t="n"/>
      <c r="E377" s="10" t="n"/>
      <c r="F377" s="10" t="n"/>
      <c r="G377" s="10" t="n"/>
      <c r="H377" s="10" t="n"/>
      <c r="I377" s="10" t="n"/>
      <c r="J377" s="12">
        <f>IF(OR(A377="",COUNT(C377:E377)&lt;3),"",IFERROR(MAX(0,FLOOR(($N$2-$N$3)/E377,1))*MAX(1,MIN(IF(G377="",1,G377),FLOOR($N$4/D377,1)))*IF(F377="",1,F377),""))</f>
        <v/>
      </c>
      <c r="K377" s="12">
        <f>IF(A377="","",IF(COUNTIF(DATA!$D$2:$D$500,A377)=0,"CEK SKU tidak ada di DATA",IF(COUNT(C377:E377)&lt;3,"CEK dimensi belum lengkap",IF(OR(C377&lt;=0,D377&lt;=0,E377&lt;=0),"CEK dimensi harus lebih dari 0",IF(COUNTIF($A$2:$A$500,A377)&gt;1,"CEK SKU dobel","OK")))))</f>
        <v/>
      </c>
    </row>
    <row r="378">
      <c r="A378" s="10" t="n"/>
      <c r="B378" s="12">
        <f>IF(A378="","",IFERROR(INDEX(DATA!$E$2:$E$500,MATCH(A378,DATA!$D$2:$D$500,0)),""))</f>
        <v/>
      </c>
      <c r="C378" s="10" t="n"/>
      <c r="D378" s="10" t="n"/>
      <c r="E378" s="10" t="n"/>
      <c r="F378" s="10" t="n"/>
      <c r="G378" s="10" t="n"/>
      <c r="H378" s="10" t="n"/>
      <c r="I378" s="10" t="n"/>
      <c r="J378" s="12">
        <f>IF(OR(A378="",COUNT(C378:E378)&lt;3),"",IFERROR(MAX(0,FLOOR(($N$2-$N$3)/E378,1))*MAX(1,MIN(IF(G378="",1,G378),FLOOR($N$4/D378,1)))*IF(F378="",1,F378),""))</f>
        <v/>
      </c>
      <c r="K378" s="12">
        <f>IF(A378="","",IF(COUNTIF(DATA!$D$2:$D$500,A378)=0,"CEK SKU tidak ada di DATA",IF(COUNT(C378:E378)&lt;3,"CEK dimensi belum lengkap",IF(OR(C378&lt;=0,D378&lt;=0,E378&lt;=0),"CEK dimensi harus lebih dari 0",IF(COUNTIF($A$2:$A$500,A378)&gt;1,"CEK SKU dobel","OK")))))</f>
        <v/>
      </c>
    </row>
    <row r="379">
      <c r="A379" s="10" t="n"/>
      <c r="B379" s="12">
        <f>IF(A379="","",IFERROR(INDEX(DATA!$E$2:$E$500,MATCH(A379,DATA!$D$2:$D$500,0)),""))</f>
        <v/>
      </c>
      <c r="C379" s="10" t="n"/>
      <c r="D379" s="10" t="n"/>
      <c r="E379" s="10" t="n"/>
      <c r="F379" s="10" t="n"/>
      <c r="G379" s="10" t="n"/>
      <c r="H379" s="10" t="n"/>
      <c r="I379" s="10" t="n"/>
      <c r="J379" s="12">
        <f>IF(OR(A379="",COUNT(C379:E379)&lt;3),"",IFERROR(MAX(0,FLOOR(($N$2-$N$3)/E379,1))*MAX(1,MIN(IF(G379="",1,G379),FLOOR($N$4/D379,1)))*IF(F379="",1,F379),""))</f>
        <v/>
      </c>
      <c r="K379" s="12">
        <f>IF(A379="","",IF(COUNTIF(DATA!$D$2:$D$500,A379)=0,"CEK SKU tidak ada di DATA",IF(COUNT(C379:E379)&lt;3,"CEK dimensi belum lengkap",IF(OR(C379&lt;=0,D379&lt;=0,E379&lt;=0),"CEK dimensi harus lebih dari 0",IF(COUNTIF($A$2:$A$500,A379)&gt;1,"CEK SKU dobel","OK")))))</f>
        <v/>
      </c>
    </row>
    <row r="380">
      <c r="A380" s="10" t="n"/>
      <c r="B380" s="12">
        <f>IF(A380="","",IFERROR(INDEX(DATA!$E$2:$E$500,MATCH(A380,DATA!$D$2:$D$500,0)),""))</f>
        <v/>
      </c>
      <c r="C380" s="10" t="n"/>
      <c r="D380" s="10" t="n"/>
      <c r="E380" s="10" t="n"/>
      <c r="F380" s="10" t="n"/>
      <c r="G380" s="10" t="n"/>
      <c r="H380" s="10" t="n"/>
      <c r="I380" s="10" t="n"/>
      <c r="J380" s="12">
        <f>IF(OR(A380="",COUNT(C380:E380)&lt;3),"",IFERROR(MAX(0,FLOOR(($N$2-$N$3)/E380,1))*MAX(1,MIN(IF(G380="",1,G380),FLOOR($N$4/D380,1)))*IF(F380="",1,F380),""))</f>
        <v/>
      </c>
      <c r="K380" s="12">
        <f>IF(A380="","",IF(COUNTIF(DATA!$D$2:$D$500,A380)=0,"CEK SKU tidak ada di DATA",IF(COUNT(C380:E380)&lt;3,"CEK dimensi belum lengkap",IF(OR(C380&lt;=0,D380&lt;=0,E380&lt;=0),"CEK dimensi harus lebih dari 0",IF(COUNTIF($A$2:$A$500,A380)&gt;1,"CEK SKU dobel","OK")))))</f>
        <v/>
      </c>
    </row>
    <row r="381">
      <c r="A381" s="10" t="n"/>
      <c r="B381" s="12">
        <f>IF(A381="","",IFERROR(INDEX(DATA!$E$2:$E$500,MATCH(A381,DATA!$D$2:$D$500,0)),""))</f>
        <v/>
      </c>
      <c r="C381" s="10" t="n"/>
      <c r="D381" s="10" t="n"/>
      <c r="E381" s="10" t="n"/>
      <c r="F381" s="10" t="n"/>
      <c r="G381" s="10" t="n"/>
      <c r="H381" s="10" t="n"/>
      <c r="I381" s="10" t="n"/>
      <c r="J381" s="12">
        <f>IF(OR(A381="",COUNT(C381:E381)&lt;3),"",IFERROR(MAX(0,FLOOR(($N$2-$N$3)/E381,1))*MAX(1,MIN(IF(G381="",1,G381),FLOOR($N$4/D381,1)))*IF(F381="",1,F381),""))</f>
        <v/>
      </c>
      <c r="K381" s="12">
        <f>IF(A381="","",IF(COUNTIF(DATA!$D$2:$D$500,A381)=0,"CEK SKU tidak ada di DATA",IF(COUNT(C381:E381)&lt;3,"CEK dimensi belum lengkap",IF(OR(C381&lt;=0,D381&lt;=0,E381&lt;=0),"CEK dimensi harus lebih dari 0",IF(COUNTIF($A$2:$A$500,A381)&gt;1,"CEK SKU dobel","OK")))))</f>
        <v/>
      </c>
    </row>
    <row r="382">
      <c r="A382" s="10" t="n"/>
      <c r="B382" s="12">
        <f>IF(A382="","",IFERROR(INDEX(DATA!$E$2:$E$500,MATCH(A382,DATA!$D$2:$D$500,0)),""))</f>
        <v/>
      </c>
      <c r="C382" s="10" t="n"/>
      <c r="D382" s="10" t="n"/>
      <c r="E382" s="10" t="n"/>
      <c r="F382" s="10" t="n"/>
      <c r="G382" s="10" t="n"/>
      <c r="H382" s="10" t="n"/>
      <c r="I382" s="10" t="n"/>
      <c r="J382" s="12">
        <f>IF(OR(A382="",COUNT(C382:E382)&lt;3),"",IFERROR(MAX(0,FLOOR(($N$2-$N$3)/E382,1))*MAX(1,MIN(IF(G382="",1,G382),FLOOR($N$4/D382,1)))*IF(F382="",1,F382),""))</f>
        <v/>
      </c>
      <c r="K382" s="12">
        <f>IF(A382="","",IF(COUNTIF(DATA!$D$2:$D$500,A382)=0,"CEK SKU tidak ada di DATA",IF(COUNT(C382:E382)&lt;3,"CEK dimensi belum lengkap",IF(OR(C382&lt;=0,D382&lt;=0,E382&lt;=0),"CEK dimensi harus lebih dari 0",IF(COUNTIF($A$2:$A$500,A382)&gt;1,"CEK SKU dobel","OK")))))</f>
        <v/>
      </c>
    </row>
    <row r="383">
      <c r="A383" s="10" t="n"/>
      <c r="B383" s="12">
        <f>IF(A383="","",IFERROR(INDEX(DATA!$E$2:$E$500,MATCH(A383,DATA!$D$2:$D$500,0)),""))</f>
        <v/>
      </c>
      <c r="C383" s="10" t="n"/>
      <c r="D383" s="10" t="n"/>
      <c r="E383" s="10" t="n"/>
      <c r="F383" s="10" t="n"/>
      <c r="G383" s="10" t="n"/>
      <c r="H383" s="10" t="n"/>
      <c r="I383" s="10" t="n"/>
      <c r="J383" s="12">
        <f>IF(OR(A383="",COUNT(C383:E383)&lt;3),"",IFERROR(MAX(0,FLOOR(($N$2-$N$3)/E383,1))*MAX(1,MIN(IF(G383="",1,G383),FLOOR($N$4/D383,1)))*IF(F383="",1,F383),""))</f>
        <v/>
      </c>
      <c r="K383" s="12">
        <f>IF(A383="","",IF(COUNTIF(DATA!$D$2:$D$500,A383)=0,"CEK SKU tidak ada di DATA",IF(COUNT(C383:E383)&lt;3,"CEK dimensi belum lengkap",IF(OR(C383&lt;=0,D383&lt;=0,E383&lt;=0),"CEK dimensi harus lebih dari 0",IF(COUNTIF($A$2:$A$500,A383)&gt;1,"CEK SKU dobel","OK")))))</f>
        <v/>
      </c>
    </row>
    <row r="384">
      <c r="A384" s="10" t="n"/>
      <c r="B384" s="12">
        <f>IF(A384="","",IFERROR(INDEX(DATA!$E$2:$E$500,MATCH(A384,DATA!$D$2:$D$500,0)),""))</f>
        <v/>
      </c>
      <c r="C384" s="10" t="n"/>
      <c r="D384" s="10" t="n"/>
      <c r="E384" s="10" t="n"/>
      <c r="F384" s="10" t="n"/>
      <c r="G384" s="10" t="n"/>
      <c r="H384" s="10" t="n"/>
      <c r="I384" s="10" t="n"/>
      <c r="J384" s="12">
        <f>IF(OR(A384="",COUNT(C384:E384)&lt;3),"",IFERROR(MAX(0,FLOOR(($N$2-$N$3)/E384,1))*MAX(1,MIN(IF(G384="",1,G384),FLOOR($N$4/D384,1)))*IF(F384="",1,F384),""))</f>
        <v/>
      </c>
      <c r="K384" s="12">
        <f>IF(A384="","",IF(COUNTIF(DATA!$D$2:$D$500,A384)=0,"CEK SKU tidak ada di DATA",IF(COUNT(C384:E384)&lt;3,"CEK dimensi belum lengkap",IF(OR(C384&lt;=0,D384&lt;=0,E384&lt;=0),"CEK dimensi harus lebih dari 0",IF(COUNTIF($A$2:$A$500,A384)&gt;1,"CEK SKU dobel","OK")))))</f>
        <v/>
      </c>
    </row>
    <row r="385">
      <c r="A385" s="10" t="n"/>
      <c r="B385" s="12">
        <f>IF(A385="","",IFERROR(INDEX(DATA!$E$2:$E$500,MATCH(A385,DATA!$D$2:$D$500,0)),""))</f>
        <v/>
      </c>
      <c r="C385" s="10" t="n"/>
      <c r="D385" s="10" t="n"/>
      <c r="E385" s="10" t="n"/>
      <c r="F385" s="10" t="n"/>
      <c r="G385" s="10" t="n"/>
      <c r="H385" s="10" t="n"/>
      <c r="I385" s="10" t="n"/>
      <c r="J385" s="12">
        <f>IF(OR(A385="",COUNT(C385:E385)&lt;3),"",IFERROR(MAX(0,FLOOR(($N$2-$N$3)/E385,1))*MAX(1,MIN(IF(G385="",1,G385),FLOOR($N$4/D385,1)))*IF(F385="",1,F385),""))</f>
        <v/>
      </c>
      <c r="K385" s="12">
        <f>IF(A385="","",IF(COUNTIF(DATA!$D$2:$D$500,A385)=0,"CEK SKU tidak ada di DATA",IF(COUNT(C385:E385)&lt;3,"CEK dimensi belum lengkap",IF(OR(C385&lt;=0,D385&lt;=0,E385&lt;=0),"CEK dimensi harus lebih dari 0",IF(COUNTIF($A$2:$A$500,A385)&gt;1,"CEK SKU dobel","OK")))))</f>
        <v/>
      </c>
    </row>
    <row r="386">
      <c r="A386" s="10" t="n"/>
      <c r="B386" s="12">
        <f>IF(A386="","",IFERROR(INDEX(DATA!$E$2:$E$500,MATCH(A386,DATA!$D$2:$D$500,0)),""))</f>
        <v/>
      </c>
      <c r="C386" s="10" t="n"/>
      <c r="D386" s="10" t="n"/>
      <c r="E386" s="10" t="n"/>
      <c r="F386" s="10" t="n"/>
      <c r="G386" s="10" t="n"/>
      <c r="H386" s="10" t="n"/>
      <c r="I386" s="10" t="n"/>
      <c r="J386" s="12">
        <f>IF(OR(A386="",COUNT(C386:E386)&lt;3),"",IFERROR(MAX(0,FLOOR(($N$2-$N$3)/E386,1))*MAX(1,MIN(IF(G386="",1,G386),FLOOR($N$4/D386,1)))*IF(F386="",1,F386),""))</f>
        <v/>
      </c>
      <c r="K386" s="12">
        <f>IF(A386="","",IF(COUNTIF(DATA!$D$2:$D$500,A386)=0,"CEK SKU tidak ada di DATA",IF(COUNT(C386:E386)&lt;3,"CEK dimensi belum lengkap",IF(OR(C386&lt;=0,D386&lt;=0,E386&lt;=0),"CEK dimensi harus lebih dari 0",IF(COUNTIF($A$2:$A$500,A386)&gt;1,"CEK SKU dobel","OK")))))</f>
        <v/>
      </c>
    </row>
    <row r="387">
      <c r="A387" s="10" t="n"/>
      <c r="B387" s="12">
        <f>IF(A387="","",IFERROR(INDEX(DATA!$E$2:$E$500,MATCH(A387,DATA!$D$2:$D$500,0)),""))</f>
        <v/>
      </c>
      <c r="C387" s="10" t="n"/>
      <c r="D387" s="10" t="n"/>
      <c r="E387" s="10" t="n"/>
      <c r="F387" s="10" t="n"/>
      <c r="G387" s="10" t="n"/>
      <c r="H387" s="10" t="n"/>
      <c r="I387" s="10" t="n"/>
      <c r="J387" s="12">
        <f>IF(OR(A387="",COUNT(C387:E387)&lt;3),"",IFERROR(MAX(0,FLOOR(($N$2-$N$3)/E387,1))*MAX(1,MIN(IF(G387="",1,G387),FLOOR($N$4/D387,1)))*IF(F387="",1,F387),""))</f>
        <v/>
      </c>
      <c r="K387" s="12">
        <f>IF(A387="","",IF(COUNTIF(DATA!$D$2:$D$500,A387)=0,"CEK SKU tidak ada di DATA",IF(COUNT(C387:E387)&lt;3,"CEK dimensi belum lengkap",IF(OR(C387&lt;=0,D387&lt;=0,E387&lt;=0),"CEK dimensi harus lebih dari 0",IF(COUNTIF($A$2:$A$500,A387)&gt;1,"CEK SKU dobel","OK")))))</f>
        <v/>
      </c>
    </row>
    <row r="388">
      <c r="A388" s="10" t="n"/>
      <c r="B388" s="12">
        <f>IF(A388="","",IFERROR(INDEX(DATA!$E$2:$E$500,MATCH(A388,DATA!$D$2:$D$500,0)),""))</f>
        <v/>
      </c>
      <c r="C388" s="10" t="n"/>
      <c r="D388" s="10" t="n"/>
      <c r="E388" s="10" t="n"/>
      <c r="F388" s="10" t="n"/>
      <c r="G388" s="10" t="n"/>
      <c r="H388" s="10" t="n"/>
      <c r="I388" s="10" t="n"/>
      <c r="J388" s="12">
        <f>IF(OR(A388="",COUNT(C388:E388)&lt;3),"",IFERROR(MAX(0,FLOOR(($N$2-$N$3)/E388,1))*MAX(1,MIN(IF(G388="",1,G388),FLOOR($N$4/D388,1)))*IF(F388="",1,F388),""))</f>
        <v/>
      </c>
      <c r="K388" s="12">
        <f>IF(A388="","",IF(COUNTIF(DATA!$D$2:$D$500,A388)=0,"CEK SKU tidak ada di DATA",IF(COUNT(C388:E388)&lt;3,"CEK dimensi belum lengkap",IF(OR(C388&lt;=0,D388&lt;=0,E388&lt;=0),"CEK dimensi harus lebih dari 0",IF(COUNTIF($A$2:$A$500,A388)&gt;1,"CEK SKU dobel","OK")))))</f>
        <v/>
      </c>
    </row>
    <row r="389">
      <c r="A389" s="10" t="n"/>
      <c r="B389" s="12">
        <f>IF(A389="","",IFERROR(INDEX(DATA!$E$2:$E$500,MATCH(A389,DATA!$D$2:$D$500,0)),""))</f>
        <v/>
      </c>
      <c r="C389" s="10" t="n"/>
      <c r="D389" s="10" t="n"/>
      <c r="E389" s="10" t="n"/>
      <c r="F389" s="10" t="n"/>
      <c r="G389" s="10" t="n"/>
      <c r="H389" s="10" t="n"/>
      <c r="I389" s="10" t="n"/>
      <c r="J389" s="12">
        <f>IF(OR(A389="",COUNT(C389:E389)&lt;3),"",IFERROR(MAX(0,FLOOR(($N$2-$N$3)/E389,1))*MAX(1,MIN(IF(G389="",1,G389),FLOOR($N$4/D389,1)))*IF(F389="",1,F389),""))</f>
        <v/>
      </c>
      <c r="K389" s="12">
        <f>IF(A389="","",IF(COUNTIF(DATA!$D$2:$D$500,A389)=0,"CEK SKU tidak ada di DATA",IF(COUNT(C389:E389)&lt;3,"CEK dimensi belum lengkap",IF(OR(C389&lt;=0,D389&lt;=0,E389&lt;=0),"CEK dimensi harus lebih dari 0",IF(COUNTIF($A$2:$A$500,A389)&gt;1,"CEK SKU dobel","OK")))))</f>
        <v/>
      </c>
    </row>
    <row r="390">
      <c r="A390" s="10" t="n"/>
      <c r="B390" s="12">
        <f>IF(A390="","",IFERROR(INDEX(DATA!$E$2:$E$500,MATCH(A390,DATA!$D$2:$D$500,0)),""))</f>
        <v/>
      </c>
      <c r="C390" s="10" t="n"/>
      <c r="D390" s="10" t="n"/>
      <c r="E390" s="10" t="n"/>
      <c r="F390" s="10" t="n"/>
      <c r="G390" s="10" t="n"/>
      <c r="H390" s="10" t="n"/>
      <c r="I390" s="10" t="n"/>
      <c r="J390" s="12">
        <f>IF(OR(A390="",COUNT(C390:E390)&lt;3),"",IFERROR(MAX(0,FLOOR(($N$2-$N$3)/E390,1))*MAX(1,MIN(IF(G390="",1,G390),FLOOR($N$4/D390,1)))*IF(F390="",1,F390),""))</f>
        <v/>
      </c>
      <c r="K390" s="12">
        <f>IF(A390="","",IF(COUNTIF(DATA!$D$2:$D$500,A390)=0,"CEK SKU tidak ada di DATA",IF(COUNT(C390:E390)&lt;3,"CEK dimensi belum lengkap",IF(OR(C390&lt;=0,D390&lt;=0,E390&lt;=0),"CEK dimensi harus lebih dari 0",IF(COUNTIF($A$2:$A$500,A390)&gt;1,"CEK SKU dobel","OK")))))</f>
        <v/>
      </c>
    </row>
    <row r="391">
      <c r="A391" s="10" t="n"/>
      <c r="B391" s="12">
        <f>IF(A391="","",IFERROR(INDEX(DATA!$E$2:$E$500,MATCH(A391,DATA!$D$2:$D$500,0)),""))</f>
        <v/>
      </c>
      <c r="C391" s="10" t="n"/>
      <c r="D391" s="10" t="n"/>
      <c r="E391" s="10" t="n"/>
      <c r="F391" s="10" t="n"/>
      <c r="G391" s="10" t="n"/>
      <c r="H391" s="10" t="n"/>
      <c r="I391" s="10" t="n"/>
      <c r="J391" s="12">
        <f>IF(OR(A391="",COUNT(C391:E391)&lt;3),"",IFERROR(MAX(0,FLOOR(($N$2-$N$3)/E391,1))*MAX(1,MIN(IF(G391="",1,G391),FLOOR($N$4/D391,1)))*IF(F391="",1,F391),""))</f>
        <v/>
      </c>
      <c r="K391" s="12">
        <f>IF(A391="","",IF(COUNTIF(DATA!$D$2:$D$500,A391)=0,"CEK SKU tidak ada di DATA",IF(COUNT(C391:E391)&lt;3,"CEK dimensi belum lengkap",IF(OR(C391&lt;=0,D391&lt;=0,E391&lt;=0),"CEK dimensi harus lebih dari 0",IF(COUNTIF($A$2:$A$500,A391)&gt;1,"CEK SKU dobel","OK")))))</f>
        <v/>
      </c>
    </row>
    <row r="392">
      <c r="A392" s="10" t="n"/>
      <c r="B392" s="12">
        <f>IF(A392="","",IFERROR(INDEX(DATA!$E$2:$E$500,MATCH(A392,DATA!$D$2:$D$500,0)),""))</f>
        <v/>
      </c>
      <c r="C392" s="10" t="n"/>
      <c r="D392" s="10" t="n"/>
      <c r="E392" s="10" t="n"/>
      <c r="F392" s="10" t="n"/>
      <c r="G392" s="10" t="n"/>
      <c r="H392" s="10" t="n"/>
      <c r="I392" s="10" t="n"/>
      <c r="J392" s="12">
        <f>IF(OR(A392="",COUNT(C392:E392)&lt;3),"",IFERROR(MAX(0,FLOOR(($N$2-$N$3)/E392,1))*MAX(1,MIN(IF(G392="",1,G392),FLOOR($N$4/D392,1)))*IF(F392="",1,F392),""))</f>
        <v/>
      </c>
      <c r="K392" s="12">
        <f>IF(A392="","",IF(COUNTIF(DATA!$D$2:$D$500,A392)=0,"CEK SKU tidak ada di DATA",IF(COUNT(C392:E392)&lt;3,"CEK dimensi belum lengkap",IF(OR(C392&lt;=0,D392&lt;=0,E392&lt;=0),"CEK dimensi harus lebih dari 0",IF(COUNTIF($A$2:$A$500,A392)&gt;1,"CEK SKU dobel","OK")))))</f>
        <v/>
      </c>
    </row>
    <row r="393">
      <c r="A393" s="10" t="n"/>
      <c r="B393" s="12">
        <f>IF(A393="","",IFERROR(INDEX(DATA!$E$2:$E$500,MATCH(A393,DATA!$D$2:$D$500,0)),""))</f>
        <v/>
      </c>
      <c r="C393" s="10" t="n"/>
      <c r="D393" s="10" t="n"/>
      <c r="E393" s="10" t="n"/>
      <c r="F393" s="10" t="n"/>
      <c r="G393" s="10" t="n"/>
      <c r="H393" s="10" t="n"/>
      <c r="I393" s="10" t="n"/>
      <c r="J393" s="12">
        <f>IF(OR(A393="",COUNT(C393:E393)&lt;3),"",IFERROR(MAX(0,FLOOR(($N$2-$N$3)/E393,1))*MAX(1,MIN(IF(G393="",1,G393),FLOOR($N$4/D393,1)))*IF(F393="",1,F393),""))</f>
        <v/>
      </c>
      <c r="K393" s="12">
        <f>IF(A393="","",IF(COUNTIF(DATA!$D$2:$D$500,A393)=0,"CEK SKU tidak ada di DATA",IF(COUNT(C393:E393)&lt;3,"CEK dimensi belum lengkap",IF(OR(C393&lt;=0,D393&lt;=0,E393&lt;=0),"CEK dimensi harus lebih dari 0",IF(COUNTIF($A$2:$A$500,A393)&gt;1,"CEK SKU dobel","OK")))))</f>
        <v/>
      </c>
    </row>
    <row r="394">
      <c r="A394" s="10" t="n"/>
      <c r="B394" s="12">
        <f>IF(A394="","",IFERROR(INDEX(DATA!$E$2:$E$500,MATCH(A394,DATA!$D$2:$D$500,0)),""))</f>
        <v/>
      </c>
      <c r="C394" s="10" t="n"/>
      <c r="D394" s="10" t="n"/>
      <c r="E394" s="10" t="n"/>
      <c r="F394" s="10" t="n"/>
      <c r="G394" s="10" t="n"/>
      <c r="H394" s="10" t="n"/>
      <c r="I394" s="10" t="n"/>
      <c r="J394" s="12">
        <f>IF(OR(A394="",COUNT(C394:E394)&lt;3),"",IFERROR(MAX(0,FLOOR(($N$2-$N$3)/E394,1))*MAX(1,MIN(IF(G394="",1,G394),FLOOR($N$4/D394,1)))*IF(F394="",1,F394),""))</f>
        <v/>
      </c>
      <c r="K394" s="12">
        <f>IF(A394="","",IF(COUNTIF(DATA!$D$2:$D$500,A394)=0,"CEK SKU tidak ada di DATA",IF(COUNT(C394:E394)&lt;3,"CEK dimensi belum lengkap",IF(OR(C394&lt;=0,D394&lt;=0,E394&lt;=0),"CEK dimensi harus lebih dari 0",IF(COUNTIF($A$2:$A$500,A394)&gt;1,"CEK SKU dobel","OK")))))</f>
        <v/>
      </c>
    </row>
    <row r="395">
      <c r="A395" s="10" t="n"/>
      <c r="B395" s="12">
        <f>IF(A395="","",IFERROR(INDEX(DATA!$E$2:$E$500,MATCH(A395,DATA!$D$2:$D$500,0)),""))</f>
        <v/>
      </c>
      <c r="C395" s="10" t="n"/>
      <c r="D395" s="10" t="n"/>
      <c r="E395" s="10" t="n"/>
      <c r="F395" s="10" t="n"/>
      <c r="G395" s="10" t="n"/>
      <c r="H395" s="10" t="n"/>
      <c r="I395" s="10" t="n"/>
      <c r="J395" s="12">
        <f>IF(OR(A395="",COUNT(C395:E395)&lt;3),"",IFERROR(MAX(0,FLOOR(($N$2-$N$3)/E395,1))*MAX(1,MIN(IF(G395="",1,G395),FLOOR($N$4/D395,1)))*IF(F395="",1,F395),""))</f>
        <v/>
      </c>
      <c r="K395" s="12">
        <f>IF(A395="","",IF(COUNTIF(DATA!$D$2:$D$500,A395)=0,"CEK SKU tidak ada di DATA",IF(COUNT(C395:E395)&lt;3,"CEK dimensi belum lengkap",IF(OR(C395&lt;=0,D395&lt;=0,E395&lt;=0),"CEK dimensi harus lebih dari 0",IF(COUNTIF($A$2:$A$500,A395)&gt;1,"CEK SKU dobel","OK")))))</f>
        <v/>
      </c>
    </row>
    <row r="396">
      <c r="A396" s="10" t="n"/>
      <c r="B396" s="12">
        <f>IF(A396="","",IFERROR(INDEX(DATA!$E$2:$E$500,MATCH(A396,DATA!$D$2:$D$500,0)),""))</f>
        <v/>
      </c>
      <c r="C396" s="10" t="n"/>
      <c r="D396" s="10" t="n"/>
      <c r="E396" s="10" t="n"/>
      <c r="F396" s="10" t="n"/>
      <c r="G396" s="10" t="n"/>
      <c r="H396" s="10" t="n"/>
      <c r="I396" s="10" t="n"/>
      <c r="J396" s="12">
        <f>IF(OR(A396="",COUNT(C396:E396)&lt;3),"",IFERROR(MAX(0,FLOOR(($N$2-$N$3)/E396,1))*MAX(1,MIN(IF(G396="",1,G396),FLOOR($N$4/D396,1)))*IF(F396="",1,F396),""))</f>
        <v/>
      </c>
      <c r="K396" s="12">
        <f>IF(A396="","",IF(COUNTIF(DATA!$D$2:$D$500,A396)=0,"CEK SKU tidak ada di DATA",IF(COUNT(C396:E396)&lt;3,"CEK dimensi belum lengkap",IF(OR(C396&lt;=0,D396&lt;=0,E396&lt;=0),"CEK dimensi harus lebih dari 0",IF(COUNTIF($A$2:$A$500,A396)&gt;1,"CEK SKU dobel","OK")))))</f>
        <v/>
      </c>
    </row>
    <row r="397">
      <c r="A397" s="10" t="n"/>
      <c r="B397" s="12">
        <f>IF(A397="","",IFERROR(INDEX(DATA!$E$2:$E$500,MATCH(A397,DATA!$D$2:$D$500,0)),""))</f>
        <v/>
      </c>
      <c r="C397" s="10" t="n"/>
      <c r="D397" s="10" t="n"/>
      <c r="E397" s="10" t="n"/>
      <c r="F397" s="10" t="n"/>
      <c r="G397" s="10" t="n"/>
      <c r="H397" s="10" t="n"/>
      <c r="I397" s="10" t="n"/>
      <c r="J397" s="12">
        <f>IF(OR(A397="",COUNT(C397:E397)&lt;3),"",IFERROR(MAX(0,FLOOR(($N$2-$N$3)/E397,1))*MAX(1,MIN(IF(G397="",1,G397),FLOOR($N$4/D397,1)))*IF(F397="",1,F397),""))</f>
        <v/>
      </c>
      <c r="K397" s="12">
        <f>IF(A397="","",IF(COUNTIF(DATA!$D$2:$D$500,A397)=0,"CEK SKU tidak ada di DATA",IF(COUNT(C397:E397)&lt;3,"CEK dimensi belum lengkap",IF(OR(C397&lt;=0,D397&lt;=0,E397&lt;=0),"CEK dimensi harus lebih dari 0",IF(COUNTIF($A$2:$A$500,A397)&gt;1,"CEK SKU dobel","OK")))))</f>
        <v/>
      </c>
    </row>
    <row r="398">
      <c r="A398" s="10" t="n"/>
      <c r="B398" s="12">
        <f>IF(A398="","",IFERROR(INDEX(DATA!$E$2:$E$500,MATCH(A398,DATA!$D$2:$D$500,0)),""))</f>
        <v/>
      </c>
      <c r="C398" s="10" t="n"/>
      <c r="D398" s="10" t="n"/>
      <c r="E398" s="10" t="n"/>
      <c r="F398" s="10" t="n"/>
      <c r="G398" s="10" t="n"/>
      <c r="H398" s="10" t="n"/>
      <c r="I398" s="10" t="n"/>
      <c r="J398" s="12">
        <f>IF(OR(A398="",COUNT(C398:E398)&lt;3),"",IFERROR(MAX(0,FLOOR(($N$2-$N$3)/E398,1))*MAX(1,MIN(IF(G398="",1,G398),FLOOR($N$4/D398,1)))*IF(F398="",1,F398),""))</f>
        <v/>
      </c>
      <c r="K398" s="12">
        <f>IF(A398="","",IF(COUNTIF(DATA!$D$2:$D$500,A398)=0,"CEK SKU tidak ada di DATA",IF(COUNT(C398:E398)&lt;3,"CEK dimensi belum lengkap",IF(OR(C398&lt;=0,D398&lt;=0,E398&lt;=0),"CEK dimensi harus lebih dari 0",IF(COUNTIF($A$2:$A$500,A398)&gt;1,"CEK SKU dobel","OK")))))</f>
        <v/>
      </c>
    </row>
    <row r="399">
      <c r="A399" s="10" t="n"/>
      <c r="B399" s="12">
        <f>IF(A399="","",IFERROR(INDEX(DATA!$E$2:$E$500,MATCH(A399,DATA!$D$2:$D$500,0)),""))</f>
        <v/>
      </c>
      <c r="C399" s="10" t="n"/>
      <c r="D399" s="10" t="n"/>
      <c r="E399" s="10" t="n"/>
      <c r="F399" s="10" t="n"/>
      <c r="G399" s="10" t="n"/>
      <c r="H399" s="10" t="n"/>
      <c r="I399" s="10" t="n"/>
      <c r="J399" s="12">
        <f>IF(OR(A399="",COUNT(C399:E399)&lt;3),"",IFERROR(MAX(0,FLOOR(($N$2-$N$3)/E399,1))*MAX(1,MIN(IF(G399="",1,G399),FLOOR($N$4/D399,1)))*IF(F399="",1,F399),""))</f>
        <v/>
      </c>
      <c r="K399" s="12">
        <f>IF(A399="","",IF(COUNTIF(DATA!$D$2:$D$500,A399)=0,"CEK SKU tidak ada di DATA",IF(COUNT(C399:E399)&lt;3,"CEK dimensi belum lengkap",IF(OR(C399&lt;=0,D399&lt;=0,E399&lt;=0),"CEK dimensi harus lebih dari 0",IF(COUNTIF($A$2:$A$500,A399)&gt;1,"CEK SKU dobel","OK")))))</f>
        <v/>
      </c>
    </row>
    <row r="400">
      <c r="A400" s="10" t="n"/>
      <c r="B400" s="12">
        <f>IF(A400="","",IFERROR(INDEX(DATA!$E$2:$E$500,MATCH(A400,DATA!$D$2:$D$500,0)),""))</f>
        <v/>
      </c>
      <c r="C400" s="10" t="n"/>
      <c r="D400" s="10" t="n"/>
      <c r="E400" s="10" t="n"/>
      <c r="F400" s="10" t="n"/>
      <c r="G400" s="10" t="n"/>
      <c r="H400" s="10" t="n"/>
      <c r="I400" s="10" t="n"/>
      <c r="J400" s="12">
        <f>IF(OR(A400="",COUNT(C400:E400)&lt;3),"",IFERROR(MAX(0,FLOOR(($N$2-$N$3)/E400,1))*MAX(1,MIN(IF(G400="",1,G400),FLOOR($N$4/D400,1)))*IF(F400="",1,F400),""))</f>
        <v/>
      </c>
      <c r="K400" s="12">
        <f>IF(A400="","",IF(COUNTIF(DATA!$D$2:$D$500,A400)=0,"CEK SKU tidak ada di DATA",IF(COUNT(C400:E400)&lt;3,"CEK dimensi belum lengkap",IF(OR(C400&lt;=0,D400&lt;=0,E400&lt;=0),"CEK dimensi harus lebih dari 0",IF(COUNTIF($A$2:$A$500,A400)&gt;1,"CEK SKU dobel","OK")))))</f>
        <v/>
      </c>
    </row>
    <row r="401">
      <c r="A401" s="10" t="n"/>
      <c r="B401" s="12">
        <f>IF(A401="","",IFERROR(INDEX(DATA!$E$2:$E$500,MATCH(A401,DATA!$D$2:$D$500,0)),""))</f>
        <v/>
      </c>
      <c r="C401" s="10" t="n"/>
      <c r="D401" s="10" t="n"/>
      <c r="E401" s="10" t="n"/>
      <c r="F401" s="10" t="n"/>
      <c r="G401" s="10" t="n"/>
      <c r="H401" s="10" t="n"/>
      <c r="I401" s="10" t="n"/>
      <c r="J401" s="12">
        <f>IF(OR(A401="",COUNT(C401:E401)&lt;3),"",IFERROR(MAX(0,FLOOR(($N$2-$N$3)/E401,1))*MAX(1,MIN(IF(G401="",1,G401),FLOOR($N$4/D401,1)))*IF(F401="",1,F401),""))</f>
        <v/>
      </c>
      <c r="K401" s="12">
        <f>IF(A401="","",IF(COUNTIF(DATA!$D$2:$D$500,A401)=0,"CEK SKU tidak ada di DATA",IF(COUNT(C401:E401)&lt;3,"CEK dimensi belum lengkap",IF(OR(C401&lt;=0,D401&lt;=0,E401&lt;=0),"CEK dimensi harus lebih dari 0",IF(COUNTIF($A$2:$A$500,A401)&gt;1,"CEK SKU dobel","OK")))))</f>
        <v/>
      </c>
    </row>
    <row r="402">
      <c r="A402" s="10" t="n"/>
      <c r="B402" s="12">
        <f>IF(A402="","",IFERROR(INDEX(DATA!$E$2:$E$500,MATCH(A402,DATA!$D$2:$D$500,0)),""))</f>
        <v/>
      </c>
      <c r="C402" s="10" t="n"/>
      <c r="D402" s="10" t="n"/>
      <c r="E402" s="10" t="n"/>
      <c r="F402" s="10" t="n"/>
      <c r="G402" s="10" t="n"/>
      <c r="H402" s="10" t="n"/>
      <c r="I402" s="10" t="n"/>
      <c r="J402" s="12">
        <f>IF(OR(A402="",COUNT(C402:E402)&lt;3),"",IFERROR(MAX(0,FLOOR(($N$2-$N$3)/E402,1))*MAX(1,MIN(IF(G402="",1,G402),FLOOR($N$4/D402,1)))*IF(F402="",1,F402),""))</f>
        <v/>
      </c>
      <c r="K402" s="12">
        <f>IF(A402="","",IF(COUNTIF(DATA!$D$2:$D$500,A402)=0,"CEK SKU tidak ada di DATA",IF(COUNT(C402:E402)&lt;3,"CEK dimensi belum lengkap",IF(OR(C402&lt;=0,D402&lt;=0,E402&lt;=0),"CEK dimensi harus lebih dari 0",IF(COUNTIF($A$2:$A$500,A402)&gt;1,"CEK SKU dobel","OK")))))</f>
        <v/>
      </c>
    </row>
    <row r="403">
      <c r="A403" s="10" t="n"/>
      <c r="B403" s="12">
        <f>IF(A403="","",IFERROR(INDEX(DATA!$E$2:$E$500,MATCH(A403,DATA!$D$2:$D$500,0)),""))</f>
        <v/>
      </c>
      <c r="C403" s="10" t="n"/>
      <c r="D403" s="10" t="n"/>
      <c r="E403" s="10" t="n"/>
      <c r="F403" s="10" t="n"/>
      <c r="G403" s="10" t="n"/>
      <c r="H403" s="10" t="n"/>
      <c r="I403" s="10" t="n"/>
      <c r="J403" s="12">
        <f>IF(OR(A403="",COUNT(C403:E403)&lt;3),"",IFERROR(MAX(0,FLOOR(($N$2-$N$3)/E403,1))*MAX(1,MIN(IF(G403="",1,G403),FLOOR($N$4/D403,1)))*IF(F403="",1,F403),""))</f>
        <v/>
      </c>
      <c r="K403" s="12">
        <f>IF(A403="","",IF(COUNTIF(DATA!$D$2:$D$500,A403)=0,"CEK SKU tidak ada di DATA",IF(COUNT(C403:E403)&lt;3,"CEK dimensi belum lengkap",IF(OR(C403&lt;=0,D403&lt;=0,E403&lt;=0),"CEK dimensi harus lebih dari 0",IF(COUNTIF($A$2:$A$500,A403)&gt;1,"CEK SKU dobel","OK")))))</f>
        <v/>
      </c>
    </row>
    <row r="404">
      <c r="A404" s="10" t="n"/>
      <c r="B404" s="12">
        <f>IF(A404="","",IFERROR(INDEX(DATA!$E$2:$E$500,MATCH(A404,DATA!$D$2:$D$500,0)),""))</f>
        <v/>
      </c>
      <c r="C404" s="10" t="n"/>
      <c r="D404" s="10" t="n"/>
      <c r="E404" s="10" t="n"/>
      <c r="F404" s="10" t="n"/>
      <c r="G404" s="10" t="n"/>
      <c r="H404" s="10" t="n"/>
      <c r="I404" s="10" t="n"/>
      <c r="J404" s="12">
        <f>IF(OR(A404="",COUNT(C404:E404)&lt;3),"",IFERROR(MAX(0,FLOOR(($N$2-$N$3)/E404,1))*MAX(1,MIN(IF(G404="",1,G404),FLOOR($N$4/D404,1)))*IF(F404="",1,F404),""))</f>
        <v/>
      </c>
      <c r="K404" s="12">
        <f>IF(A404="","",IF(COUNTIF(DATA!$D$2:$D$500,A404)=0,"CEK SKU tidak ada di DATA",IF(COUNT(C404:E404)&lt;3,"CEK dimensi belum lengkap",IF(OR(C404&lt;=0,D404&lt;=0,E404&lt;=0),"CEK dimensi harus lebih dari 0",IF(COUNTIF($A$2:$A$500,A404)&gt;1,"CEK SKU dobel","OK")))))</f>
        <v/>
      </c>
    </row>
    <row r="405">
      <c r="A405" s="10" t="n"/>
      <c r="B405" s="12">
        <f>IF(A405="","",IFERROR(INDEX(DATA!$E$2:$E$500,MATCH(A405,DATA!$D$2:$D$500,0)),""))</f>
        <v/>
      </c>
      <c r="C405" s="10" t="n"/>
      <c r="D405" s="10" t="n"/>
      <c r="E405" s="10" t="n"/>
      <c r="F405" s="10" t="n"/>
      <c r="G405" s="10" t="n"/>
      <c r="H405" s="10" t="n"/>
      <c r="I405" s="10" t="n"/>
      <c r="J405" s="12">
        <f>IF(OR(A405="",COUNT(C405:E405)&lt;3),"",IFERROR(MAX(0,FLOOR(($N$2-$N$3)/E405,1))*MAX(1,MIN(IF(G405="",1,G405),FLOOR($N$4/D405,1)))*IF(F405="",1,F405),""))</f>
        <v/>
      </c>
      <c r="K405" s="12">
        <f>IF(A405="","",IF(COUNTIF(DATA!$D$2:$D$500,A405)=0,"CEK SKU tidak ada di DATA",IF(COUNT(C405:E405)&lt;3,"CEK dimensi belum lengkap",IF(OR(C405&lt;=0,D405&lt;=0,E405&lt;=0),"CEK dimensi harus lebih dari 0",IF(COUNTIF($A$2:$A$500,A405)&gt;1,"CEK SKU dobel","OK")))))</f>
        <v/>
      </c>
    </row>
    <row r="406">
      <c r="A406" s="10" t="n"/>
      <c r="B406" s="12">
        <f>IF(A406="","",IFERROR(INDEX(DATA!$E$2:$E$500,MATCH(A406,DATA!$D$2:$D$500,0)),""))</f>
        <v/>
      </c>
      <c r="C406" s="10" t="n"/>
      <c r="D406" s="10" t="n"/>
      <c r="E406" s="10" t="n"/>
      <c r="F406" s="10" t="n"/>
      <c r="G406" s="10" t="n"/>
      <c r="H406" s="10" t="n"/>
      <c r="I406" s="10" t="n"/>
      <c r="J406" s="12">
        <f>IF(OR(A406="",COUNT(C406:E406)&lt;3),"",IFERROR(MAX(0,FLOOR(($N$2-$N$3)/E406,1))*MAX(1,MIN(IF(G406="",1,G406),FLOOR($N$4/D406,1)))*IF(F406="",1,F406),""))</f>
        <v/>
      </c>
      <c r="K406" s="12">
        <f>IF(A406="","",IF(COUNTIF(DATA!$D$2:$D$500,A406)=0,"CEK SKU tidak ada di DATA",IF(COUNT(C406:E406)&lt;3,"CEK dimensi belum lengkap",IF(OR(C406&lt;=0,D406&lt;=0,E406&lt;=0),"CEK dimensi harus lebih dari 0",IF(COUNTIF($A$2:$A$500,A406)&gt;1,"CEK SKU dobel","OK")))))</f>
        <v/>
      </c>
    </row>
    <row r="407">
      <c r="A407" s="10" t="n"/>
      <c r="B407" s="12">
        <f>IF(A407="","",IFERROR(INDEX(DATA!$E$2:$E$500,MATCH(A407,DATA!$D$2:$D$500,0)),""))</f>
        <v/>
      </c>
      <c r="C407" s="10" t="n"/>
      <c r="D407" s="10" t="n"/>
      <c r="E407" s="10" t="n"/>
      <c r="F407" s="10" t="n"/>
      <c r="G407" s="10" t="n"/>
      <c r="H407" s="10" t="n"/>
      <c r="I407" s="10" t="n"/>
      <c r="J407" s="12">
        <f>IF(OR(A407="",COUNT(C407:E407)&lt;3),"",IFERROR(MAX(0,FLOOR(($N$2-$N$3)/E407,1))*MAX(1,MIN(IF(G407="",1,G407),FLOOR($N$4/D407,1)))*IF(F407="",1,F407),""))</f>
        <v/>
      </c>
      <c r="K407" s="12">
        <f>IF(A407="","",IF(COUNTIF(DATA!$D$2:$D$500,A407)=0,"CEK SKU tidak ada di DATA",IF(COUNT(C407:E407)&lt;3,"CEK dimensi belum lengkap",IF(OR(C407&lt;=0,D407&lt;=0,E407&lt;=0),"CEK dimensi harus lebih dari 0",IF(COUNTIF($A$2:$A$500,A407)&gt;1,"CEK SKU dobel","OK")))))</f>
        <v/>
      </c>
    </row>
    <row r="408">
      <c r="A408" s="10" t="n"/>
      <c r="B408" s="12">
        <f>IF(A408="","",IFERROR(INDEX(DATA!$E$2:$E$500,MATCH(A408,DATA!$D$2:$D$500,0)),""))</f>
        <v/>
      </c>
      <c r="C408" s="10" t="n"/>
      <c r="D408" s="10" t="n"/>
      <c r="E408" s="10" t="n"/>
      <c r="F408" s="10" t="n"/>
      <c r="G408" s="10" t="n"/>
      <c r="H408" s="10" t="n"/>
      <c r="I408" s="10" t="n"/>
      <c r="J408" s="12">
        <f>IF(OR(A408="",COUNT(C408:E408)&lt;3),"",IFERROR(MAX(0,FLOOR(($N$2-$N$3)/E408,1))*MAX(1,MIN(IF(G408="",1,G408),FLOOR($N$4/D408,1)))*IF(F408="",1,F408),""))</f>
        <v/>
      </c>
      <c r="K408" s="12">
        <f>IF(A408="","",IF(COUNTIF(DATA!$D$2:$D$500,A408)=0,"CEK SKU tidak ada di DATA",IF(COUNT(C408:E408)&lt;3,"CEK dimensi belum lengkap",IF(OR(C408&lt;=0,D408&lt;=0,E408&lt;=0),"CEK dimensi harus lebih dari 0",IF(COUNTIF($A$2:$A$500,A408)&gt;1,"CEK SKU dobel","OK")))))</f>
        <v/>
      </c>
    </row>
    <row r="409">
      <c r="A409" s="10" t="n"/>
      <c r="B409" s="12">
        <f>IF(A409="","",IFERROR(INDEX(DATA!$E$2:$E$500,MATCH(A409,DATA!$D$2:$D$500,0)),""))</f>
        <v/>
      </c>
      <c r="C409" s="10" t="n"/>
      <c r="D409" s="10" t="n"/>
      <c r="E409" s="10" t="n"/>
      <c r="F409" s="10" t="n"/>
      <c r="G409" s="10" t="n"/>
      <c r="H409" s="10" t="n"/>
      <c r="I409" s="10" t="n"/>
      <c r="J409" s="12">
        <f>IF(OR(A409="",COUNT(C409:E409)&lt;3),"",IFERROR(MAX(0,FLOOR(($N$2-$N$3)/E409,1))*MAX(1,MIN(IF(G409="",1,G409),FLOOR($N$4/D409,1)))*IF(F409="",1,F409),""))</f>
        <v/>
      </c>
      <c r="K409" s="12">
        <f>IF(A409="","",IF(COUNTIF(DATA!$D$2:$D$500,A409)=0,"CEK SKU tidak ada di DATA",IF(COUNT(C409:E409)&lt;3,"CEK dimensi belum lengkap",IF(OR(C409&lt;=0,D409&lt;=0,E409&lt;=0),"CEK dimensi harus lebih dari 0",IF(COUNTIF($A$2:$A$500,A409)&gt;1,"CEK SKU dobel","OK")))))</f>
        <v/>
      </c>
    </row>
    <row r="410">
      <c r="A410" s="10" t="n"/>
      <c r="B410" s="12">
        <f>IF(A410="","",IFERROR(INDEX(DATA!$E$2:$E$500,MATCH(A410,DATA!$D$2:$D$500,0)),""))</f>
        <v/>
      </c>
      <c r="C410" s="10" t="n"/>
      <c r="D410" s="10" t="n"/>
      <c r="E410" s="10" t="n"/>
      <c r="F410" s="10" t="n"/>
      <c r="G410" s="10" t="n"/>
      <c r="H410" s="10" t="n"/>
      <c r="I410" s="10" t="n"/>
      <c r="J410" s="12">
        <f>IF(OR(A410="",COUNT(C410:E410)&lt;3),"",IFERROR(MAX(0,FLOOR(($N$2-$N$3)/E410,1))*MAX(1,MIN(IF(G410="",1,G410),FLOOR($N$4/D410,1)))*IF(F410="",1,F410),""))</f>
        <v/>
      </c>
      <c r="K410" s="12">
        <f>IF(A410="","",IF(COUNTIF(DATA!$D$2:$D$500,A410)=0,"CEK SKU tidak ada di DATA",IF(COUNT(C410:E410)&lt;3,"CEK dimensi belum lengkap",IF(OR(C410&lt;=0,D410&lt;=0,E410&lt;=0),"CEK dimensi harus lebih dari 0",IF(COUNTIF($A$2:$A$500,A410)&gt;1,"CEK SKU dobel","OK")))))</f>
        <v/>
      </c>
    </row>
    <row r="411">
      <c r="A411" s="10" t="n"/>
      <c r="B411" s="12">
        <f>IF(A411="","",IFERROR(INDEX(DATA!$E$2:$E$500,MATCH(A411,DATA!$D$2:$D$500,0)),""))</f>
        <v/>
      </c>
      <c r="C411" s="10" t="n"/>
      <c r="D411" s="10" t="n"/>
      <c r="E411" s="10" t="n"/>
      <c r="F411" s="10" t="n"/>
      <c r="G411" s="10" t="n"/>
      <c r="H411" s="10" t="n"/>
      <c r="I411" s="10" t="n"/>
      <c r="J411" s="12">
        <f>IF(OR(A411="",COUNT(C411:E411)&lt;3),"",IFERROR(MAX(0,FLOOR(($N$2-$N$3)/E411,1))*MAX(1,MIN(IF(G411="",1,G411),FLOOR($N$4/D411,1)))*IF(F411="",1,F411),""))</f>
        <v/>
      </c>
      <c r="K411" s="12">
        <f>IF(A411="","",IF(COUNTIF(DATA!$D$2:$D$500,A411)=0,"CEK SKU tidak ada di DATA",IF(COUNT(C411:E411)&lt;3,"CEK dimensi belum lengkap",IF(OR(C411&lt;=0,D411&lt;=0,E411&lt;=0),"CEK dimensi harus lebih dari 0",IF(COUNTIF($A$2:$A$500,A411)&gt;1,"CEK SKU dobel","OK")))))</f>
        <v/>
      </c>
    </row>
    <row r="412">
      <c r="A412" s="10" t="n"/>
      <c r="B412" s="12">
        <f>IF(A412="","",IFERROR(INDEX(DATA!$E$2:$E$500,MATCH(A412,DATA!$D$2:$D$500,0)),""))</f>
        <v/>
      </c>
      <c r="C412" s="10" t="n"/>
      <c r="D412" s="10" t="n"/>
      <c r="E412" s="10" t="n"/>
      <c r="F412" s="10" t="n"/>
      <c r="G412" s="10" t="n"/>
      <c r="H412" s="10" t="n"/>
      <c r="I412" s="10" t="n"/>
      <c r="J412" s="12">
        <f>IF(OR(A412="",COUNT(C412:E412)&lt;3),"",IFERROR(MAX(0,FLOOR(($N$2-$N$3)/E412,1))*MAX(1,MIN(IF(G412="",1,G412),FLOOR($N$4/D412,1)))*IF(F412="",1,F412),""))</f>
        <v/>
      </c>
      <c r="K412" s="12">
        <f>IF(A412="","",IF(COUNTIF(DATA!$D$2:$D$500,A412)=0,"CEK SKU tidak ada di DATA",IF(COUNT(C412:E412)&lt;3,"CEK dimensi belum lengkap",IF(OR(C412&lt;=0,D412&lt;=0,E412&lt;=0),"CEK dimensi harus lebih dari 0",IF(COUNTIF($A$2:$A$500,A412)&gt;1,"CEK SKU dobel","OK")))))</f>
        <v/>
      </c>
    </row>
    <row r="413">
      <c r="A413" s="10" t="n"/>
      <c r="B413" s="12">
        <f>IF(A413="","",IFERROR(INDEX(DATA!$E$2:$E$500,MATCH(A413,DATA!$D$2:$D$500,0)),""))</f>
        <v/>
      </c>
      <c r="C413" s="10" t="n"/>
      <c r="D413" s="10" t="n"/>
      <c r="E413" s="10" t="n"/>
      <c r="F413" s="10" t="n"/>
      <c r="G413" s="10" t="n"/>
      <c r="H413" s="10" t="n"/>
      <c r="I413" s="10" t="n"/>
      <c r="J413" s="12">
        <f>IF(OR(A413="",COUNT(C413:E413)&lt;3),"",IFERROR(MAX(0,FLOOR(($N$2-$N$3)/E413,1))*MAX(1,MIN(IF(G413="",1,G413),FLOOR($N$4/D413,1)))*IF(F413="",1,F413),""))</f>
        <v/>
      </c>
      <c r="K413" s="12">
        <f>IF(A413="","",IF(COUNTIF(DATA!$D$2:$D$500,A413)=0,"CEK SKU tidak ada di DATA",IF(COUNT(C413:E413)&lt;3,"CEK dimensi belum lengkap",IF(OR(C413&lt;=0,D413&lt;=0,E413&lt;=0),"CEK dimensi harus lebih dari 0",IF(COUNTIF($A$2:$A$500,A413)&gt;1,"CEK SKU dobel","OK")))))</f>
        <v/>
      </c>
    </row>
    <row r="414">
      <c r="A414" s="10" t="n"/>
      <c r="B414" s="12">
        <f>IF(A414="","",IFERROR(INDEX(DATA!$E$2:$E$500,MATCH(A414,DATA!$D$2:$D$500,0)),""))</f>
        <v/>
      </c>
      <c r="C414" s="10" t="n"/>
      <c r="D414" s="10" t="n"/>
      <c r="E414" s="10" t="n"/>
      <c r="F414" s="10" t="n"/>
      <c r="G414" s="10" t="n"/>
      <c r="H414" s="10" t="n"/>
      <c r="I414" s="10" t="n"/>
      <c r="J414" s="12">
        <f>IF(OR(A414="",COUNT(C414:E414)&lt;3),"",IFERROR(MAX(0,FLOOR(($N$2-$N$3)/E414,1))*MAX(1,MIN(IF(G414="",1,G414),FLOOR($N$4/D414,1)))*IF(F414="",1,F414),""))</f>
        <v/>
      </c>
      <c r="K414" s="12">
        <f>IF(A414="","",IF(COUNTIF(DATA!$D$2:$D$500,A414)=0,"CEK SKU tidak ada di DATA",IF(COUNT(C414:E414)&lt;3,"CEK dimensi belum lengkap",IF(OR(C414&lt;=0,D414&lt;=0,E414&lt;=0),"CEK dimensi harus lebih dari 0",IF(COUNTIF($A$2:$A$500,A414)&gt;1,"CEK SKU dobel","OK")))))</f>
        <v/>
      </c>
    </row>
    <row r="415">
      <c r="A415" s="10" t="n"/>
      <c r="B415" s="12">
        <f>IF(A415="","",IFERROR(INDEX(DATA!$E$2:$E$500,MATCH(A415,DATA!$D$2:$D$500,0)),""))</f>
        <v/>
      </c>
      <c r="C415" s="10" t="n"/>
      <c r="D415" s="10" t="n"/>
      <c r="E415" s="10" t="n"/>
      <c r="F415" s="10" t="n"/>
      <c r="G415" s="10" t="n"/>
      <c r="H415" s="10" t="n"/>
      <c r="I415" s="10" t="n"/>
      <c r="J415" s="12">
        <f>IF(OR(A415="",COUNT(C415:E415)&lt;3),"",IFERROR(MAX(0,FLOOR(($N$2-$N$3)/E415,1))*MAX(1,MIN(IF(G415="",1,G415),FLOOR($N$4/D415,1)))*IF(F415="",1,F415),""))</f>
        <v/>
      </c>
      <c r="K415" s="12">
        <f>IF(A415="","",IF(COUNTIF(DATA!$D$2:$D$500,A415)=0,"CEK SKU tidak ada di DATA",IF(COUNT(C415:E415)&lt;3,"CEK dimensi belum lengkap",IF(OR(C415&lt;=0,D415&lt;=0,E415&lt;=0),"CEK dimensi harus lebih dari 0",IF(COUNTIF($A$2:$A$500,A415)&gt;1,"CEK SKU dobel","OK")))))</f>
        <v/>
      </c>
    </row>
    <row r="416">
      <c r="A416" s="10" t="n"/>
      <c r="B416" s="12">
        <f>IF(A416="","",IFERROR(INDEX(DATA!$E$2:$E$500,MATCH(A416,DATA!$D$2:$D$500,0)),""))</f>
        <v/>
      </c>
      <c r="C416" s="10" t="n"/>
      <c r="D416" s="10" t="n"/>
      <c r="E416" s="10" t="n"/>
      <c r="F416" s="10" t="n"/>
      <c r="G416" s="10" t="n"/>
      <c r="H416" s="10" t="n"/>
      <c r="I416" s="10" t="n"/>
      <c r="J416" s="12">
        <f>IF(OR(A416="",COUNT(C416:E416)&lt;3),"",IFERROR(MAX(0,FLOOR(($N$2-$N$3)/E416,1))*MAX(1,MIN(IF(G416="",1,G416),FLOOR($N$4/D416,1)))*IF(F416="",1,F416),""))</f>
        <v/>
      </c>
      <c r="K416" s="12">
        <f>IF(A416="","",IF(COUNTIF(DATA!$D$2:$D$500,A416)=0,"CEK SKU tidak ada di DATA",IF(COUNT(C416:E416)&lt;3,"CEK dimensi belum lengkap",IF(OR(C416&lt;=0,D416&lt;=0,E416&lt;=0),"CEK dimensi harus lebih dari 0",IF(COUNTIF($A$2:$A$500,A416)&gt;1,"CEK SKU dobel","OK")))))</f>
        <v/>
      </c>
    </row>
    <row r="417">
      <c r="A417" s="10" t="n"/>
      <c r="B417" s="12">
        <f>IF(A417="","",IFERROR(INDEX(DATA!$E$2:$E$500,MATCH(A417,DATA!$D$2:$D$500,0)),""))</f>
        <v/>
      </c>
      <c r="C417" s="10" t="n"/>
      <c r="D417" s="10" t="n"/>
      <c r="E417" s="10" t="n"/>
      <c r="F417" s="10" t="n"/>
      <c r="G417" s="10" t="n"/>
      <c r="H417" s="10" t="n"/>
      <c r="I417" s="10" t="n"/>
      <c r="J417" s="12">
        <f>IF(OR(A417="",COUNT(C417:E417)&lt;3),"",IFERROR(MAX(0,FLOOR(($N$2-$N$3)/E417,1))*MAX(1,MIN(IF(G417="",1,G417),FLOOR($N$4/D417,1)))*IF(F417="",1,F417),""))</f>
        <v/>
      </c>
      <c r="K417" s="12">
        <f>IF(A417="","",IF(COUNTIF(DATA!$D$2:$D$500,A417)=0,"CEK SKU tidak ada di DATA",IF(COUNT(C417:E417)&lt;3,"CEK dimensi belum lengkap",IF(OR(C417&lt;=0,D417&lt;=0,E417&lt;=0),"CEK dimensi harus lebih dari 0",IF(COUNTIF($A$2:$A$500,A417)&gt;1,"CEK SKU dobel","OK")))))</f>
        <v/>
      </c>
    </row>
    <row r="418">
      <c r="A418" s="10" t="n"/>
      <c r="B418" s="12">
        <f>IF(A418="","",IFERROR(INDEX(DATA!$E$2:$E$500,MATCH(A418,DATA!$D$2:$D$500,0)),""))</f>
        <v/>
      </c>
      <c r="C418" s="10" t="n"/>
      <c r="D418" s="10" t="n"/>
      <c r="E418" s="10" t="n"/>
      <c r="F418" s="10" t="n"/>
      <c r="G418" s="10" t="n"/>
      <c r="H418" s="10" t="n"/>
      <c r="I418" s="10" t="n"/>
      <c r="J418" s="12">
        <f>IF(OR(A418="",COUNT(C418:E418)&lt;3),"",IFERROR(MAX(0,FLOOR(($N$2-$N$3)/E418,1))*MAX(1,MIN(IF(G418="",1,G418),FLOOR($N$4/D418,1)))*IF(F418="",1,F418),""))</f>
        <v/>
      </c>
      <c r="K418" s="12">
        <f>IF(A418="","",IF(COUNTIF(DATA!$D$2:$D$500,A418)=0,"CEK SKU tidak ada di DATA",IF(COUNT(C418:E418)&lt;3,"CEK dimensi belum lengkap",IF(OR(C418&lt;=0,D418&lt;=0,E418&lt;=0),"CEK dimensi harus lebih dari 0",IF(COUNTIF($A$2:$A$500,A418)&gt;1,"CEK SKU dobel","OK")))))</f>
        <v/>
      </c>
    </row>
    <row r="419">
      <c r="A419" s="10" t="n"/>
      <c r="B419" s="12">
        <f>IF(A419="","",IFERROR(INDEX(DATA!$E$2:$E$500,MATCH(A419,DATA!$D$2:$D$500,0)),""))</f>
        <v/>
      </c>
      <c r="C419" s="10" t="n"/>
      <c r="D419" s="10" t="n"/>
      <c r="E419" s="10" t="n"/>
      <c r="F419" s="10" t="n"/>
      <c r="G419" s="10" t="n"/>
      <c r="H419" s="10" t="n"/>
      <c r="I419" s="10" t="n"/>
      <c r="J419" s="12">
        <f>IF(OR(A419="",COUNT(C419:E419)&lt;3),"",IFERROR(MAX(0,FLOOR(($N$2-$N$3)/E419,1))*MAX(1,MIN(IF(G419="",1,G419),FLOOR($N$4/D419,1)))*IF(F419="",1,F419),""))</f>
        <v/>
      </c>
      <c r="K419" s="12">
        <f>IF(A419="","",IF(COUNTIF(DATA!$D$2:$D$500,A419)=0,"CEK SKU tidak ada di DATA",IF(COUNT(C419:E419)&lt;3,"CEK dimensi belum lengkap",IF(OR(C419&lt;=0,D419&lt;=0,E419&lt;=0),"CEK dimensi harus lebih dari 0",IF(COUNTIF($A$2:$A$500,A419)&gt;1,"CEK SKU dobel","OK")))))</f>
        <v/>
      </c>
    </row>
    <row r="420">
      <c r="A420" s="10" t="n"/>
      <c r="B420" s="12">
        <f>IF(A420="","",IFERROR(INDEX(DATA!$E$2:$E$500,MATCH(A420,DATA!$D$2:$D$500,0)),""))</f>
        <v/>
      </c>
      <c r="C420" s="10" t="n"/>
      <c r="D420" s="10" t="n"/>
      <c r="E420" s="10" t="n"/>
      <c r="F420" s="10" t="n"/>
      <c r="G420" s="10" t="n"/>
      <c r="H420" s="10" t="n"/>
      <c r="I420" s="10" t="n"/>
      <c r="J420" s="12">
        <f>IF(OR(A420="",COUNT(C420:E420)&lt;3),"",IFERROR(MAX(0,FLOOR(($N$2-$N$3)/E420,1))*MAX(1,MIN(IF(G420="",1,G420),FLOOR($N$4/D420,1)))*IF(F420="",1,F420),""))</f>
        <v/>
      </c>
      <c r="K420" s="12">
        <f>IF(A420="","",IF(COUNTIF(DATA!$D$2:$D$500,A420)=0,"CEK SKU tidak ada di DATA",IF(COUNT(C420:E420)&lt;3,"CEK dimensi belum lengkap",IF(OR(C420&lt;=0,D420&lt;=0,E420&lt;=0),"CEK dimensi harus lebih dari 0",IF(COUNTIF($A$2:$A$500,A420)&gt;1,"CEK SKU dobel","OK")))))</f>
        <v/>
      </c>
    </row>
    <row r="421">
      <c r="A421" s="10" t="n"/>
      <c r="B421" s="12">
        <f>IF(A421="","",IFERROR(INDEX(DATA!$E$2:$E$500,MATCH(A421,DATA!$D$2:$D$500,0)),""))</f>
        <v/>
      </c>
      <c r="C421" s="10" t="n"/>
      <c r="D421" s="10" t="n"/>
      <c r="E421" s="10" t="n"/>
      <c r="F421" s="10" t="n"/>
      <c r="G421" s="10" t="n"/>
      <c r="H421" s="10" t="n"/>
      <c r="I421" s="10" t="n"/>
      <c r="J421" s="12">
        <f>IF(OR(A421="",COUNT(C421:E421)&lt;3),"",IFERROR(MAX(0,FLOOR(($N$2-$N$3)/E421,1))*MAX(1,MIN(IF(G421="",1,G421),FLOOR($N$4/D421,1)))*IF(F421="",1,F421),""))</f>
        <v/>
      </c>
      <c r="K421" s="12">
        <f>IF(A421="","",IF(COUNTIF(DATA!$D$2:$D$500,A421)=0,"CEK SKU tidak ada di DATA",IF(COUNT(C421:E421)&lt;3,"CEK dimensi belum lengkap",IF(OR(C421&lt;=0,D421&lt;=0,E421&lt;=0),"CEK dimensi harus lebih dari 0",IF(COUNTIF($A$2:$A$500,A421)&gt;1,"CEK SKU dobel","OK")))))</f>
        <v/>
      </c>
    </row>
    <row r="422">
      <c r="A422" s="10" t="n"/>
      <c r="B422" s="12">
        <f>IF(A422="","",IFERROR(INDEX(DATA!$E$2:$E$500,MATCH(A422,DATA!$D$2:$D$500,0)),""))</f>
        <v/>
      </c>
      <c r="C422" s="10" t="n"/>
      <c r="D422" s="10" t="n"/>
      <c r="E422" s="10" t="n"/>
      <c r="F422" s="10" t="n"/>
      <c r="G422" s="10" t="n"/>
      <c r="H422" s="10" t="n"/>
      <c r="I422" s="10" t="n"/>
      <c r="J422" s="12">
        <f>IF(OR(A422="",COUNT(C422:E422)&lt;3),"",IFERROR(MAX(0,FLOOR(($N$2-$N$3)/E422,1))*MAX(1,MIN(IF(G422="",1,G422),FLOOR($N$4/D422,1)))*IF(F422="",1,F422),""))</f>
        <v/>
      </c>
      <c r="K422" s="12">
        <f>IF(A422="","",IF(COUNTIF(DATA!$D$2:$D$500,A422)=0,"CEK SKU tidak ada di DATA",IF(COUNT(C422:E422)&lt;3,"CEK dimensi belum lengkap",IF(OR(C422&lt;=0,D422&lt;=0,E422&lt;=0),"CEK dimensi harus lebih dari 0",IF(COUNTIF($A$2:$A$500,A422)&gt;1,"CEK SKU dobel","OK")))))</f>
        <v/>
      </c>
    </row>
    <row r="423">
      <c r="A423" s="10" t="n"/>
      <c r="B423" s="12">
        <f>IF(A423="","",IFERROR(INDEX(DATA!$E$2:$E$500,MATCH(A423,DATA!$D$2:$D$500,0)),""))</f>
        <v/>
      </c>
      <c r="C423" s="10" t="n"/>
      <c r="D423" s="10" t="n"/>
      <c r="E423" s="10" t="n"/>
      <c r="F423" s="10" t="n"/>
      <c r="G423" s="10" t="n"/>
      <c r="H423" s="10" t="n"/>
      <c r="I423" s="10" t="n"/>
      <c r="J423" s="12">
        <f>IF(OR(A423="",COUNT(C423:E423)&lt;3),"",IFERROR(MAX(0,FLOOR(($N$2-$N$3)/E423,1))*MAX(1,MIN(IF(G423="",1,G423),FLOOR($N$4/D423,1)))*IF(F423="",1,F423),""))</f>
        <v/>
      </c>
      <c r="K423" s="12">
        <f>IF(A423="","",IF(COUNTIF(DATA!$D$2:$D$500,A423)=0,"CEK SKU tidak ada di DATA",IF(COUNT(C423:E423)&lt;3,"CEK dimensi belum lengkap",IF(OR(C423&lt;=0,D423&lt;=0,E423&lt;=0),"CEK dimensi harus lebih dari 0",IF(COUNTIF($A$2:$A$500,A423)&gt;1,"CEK SKU dobel","OK")))))</f>
        <v/>
      </c>
    </row>
    <row r="424">
      <c r="A424" s="10" t="n"/>
      <c r="B424" s="12">
        <f>IF(A424="","",IFERROR(INDEX(DATA!$E$2:$E$500,MATCH(A424,DATA!$D$2:$D$500,0)),""))</f>
        <v/>
      </c>
      <c r="C424" s="10" t="n"/>
      <c r="D424" s="10" t="n"/>
      <c r="E424" s="10" t="n"/>
      <c r="F424" s="10" t="n"/>
      <c r="G424" s="10" t="n"/>
      <c r="H424" s="10" t="n"/>
      <c r="I424" s="10" t="n"/>
      <c r="J424" s="12">
        <f>IF(OR(A424="",COUNT(C424:E424)&lt;3),"",IFERROR(MAX(0,FLOOR(($N$2-$N$3)/E424,1))*MAX(1,MIN(IF(G424="",1,G424),FLOOR($N$4/D424,1)))*IF(F424="",1,F424),""))</f>
        <v/>
      </c>
      <c r="K424" s="12">
        <f>IF(A424="","",IF(COUNTIF(DATA!$D$2:$D$500,A424)=0,"CEK SKU tidak ada di DATA",IF(COUNT(C424:E424)&lt;3,"CEK dimensi belum lengkap",IF(OR(C424&lt;=0,D424&lt;=0,E424&lt;=0),"CEK dimensi harus lebih dari 0",IF(COUNTIF($A$2:$A$500,A424)&gt;1,"CEK SKU dobel","OK")))))</f>
        <v/>
      </c>
    </row>
    <row r="425">
      <c r="A425" s="10" t="n"/>
      <c r="B425" s="12">
        <f>IF(A425="","",IFERROR(INDEX(DATA!$E$2:$E$500,MATCH(A425,DATA!$D$2:$D$500,0)),""))</f>
        <v/>
      </c>
      <c r="C425" s="10" t="n"/>
      <c r="D425" s="10" t="n"/>
      <c r="E425" s="10" t="n"/>
      <c r="F425" s="10" t="n"/>
      <c r="G425" s="10" t="n"/>
      <c r="H425" s="10" t="n"/>
      <c r="I425" s="10" t="n"/>
      <c r="J425" s="12">
        <f>IF(OR(A425="",COUNT(C425:E425)&lt;3),"",IFERROR(MAX(0,FLOOR(($N$2-$N$3)/E425,1))*MAX(1,MIN(IF(G425="",1,G425),FLOOR($N$4/D425,1)))*IF(F425="",1,F425),""))</f>
        <v/>
      </c>
      <c r="K425" s="12">
        <f>IF(A425="","",IF(COUNTIF(DATA!$D$2:$D$500,A425)=0,"CEK SKU tidak ada di DATA",IF(COUNT(C425:E425)&lt;3,"CEK dimensi belum lengkap",IF(OR(C425&lt;=0,D425&lt;=0,E425&lt;=0),"CEK dimensi harus lebih dari 0",IF(COUNTIF($A$2:$A$500,A425)&gt;1,"CEK SKU dobel","OK")))))</f>
        <v/>
      </c>
    </row>
    <row r="426">
      <c r="A426" s="10" t="n"/>
      <c r="B426" s="12">
        <f>IF(A426="","",IFERROR(INDEX(DATA!$E$2:$E$500,MATCH(A426,DATA!$D$2:$D$500,0)),""))</f>
        <v/>
      </c>
      <c r="C426" s="10" t="n"/>
      <c r="D426" s="10" t="n"/>
      <c r="E426" s="10" t="n"/>
      <c r="F426" s="10" t="n"/>
      <c r="G426" s="10" t="n"/>
      <c r="H426" s="10" t="n"/>
      <c r="I426" s="10" t="n"/>
      <c r="J426" s="12">
        <f>IF(OR(A426="",COUNT(C426:E426)&lt;3),"",IFERROR(MAX(0,FLOOR(($N$2-$N$3)/E426,1))*MAX(1,MIN(IF(G426="",1,G426),FLOOR($N$4/D426,1)))*IF(F426="",1,F426),""))</f>
        <v/>
      </c>
      <c r="K426" s="12">
        <f>IF(A426="","",IF(COUNTIF(DATA!$D$2:$D$500,A426)=0,"CEK SKU tidak ada di DATA",IF(COUNT(C426:E426)&lt;3,"CEK dimensi belum lengkap",IF(OR(C426&lt;=0,D426&lt;=0,E426&lt;=0),"CEK dimensi harus lebih dari 0",IF(COUNTIF($A$2:$A$500,A426)&gt;1,"CEK SKU dobel","OK")))))</f>
        <v/>
      </c>
    </row>
    <row r="427">
      <c r="A427" s="10" t="n"/>
      <c r="B427" s="12">
        <f>IF(A427="","",IFERROR(INDEX(DATA!$E$2:$E$500,MATCH(A427,DATA!$D$2:$D$500,0)),""))</f>
        <v/>
      </c>
      <c r="C427" s="10" t="n"/>
      <c r="D427" s="10" t="n"/>
      <c r="E427" s="10" t="n"/>
      <c r="F427" s="10" t="n"/>
      <c r="G427" s="10" t="n"/>
      <c r="H427" s="10" t="n"/>
      <c r="I427" s="10" t="n"/>
      <c r="J427" s="12">
        <f>IF(OR(A427="",COUNT(C427:E427)&lt;3),"",IFERROR(MAX(0,FLOOR(($N$2-$N$3)/E427,1))*MAX(1,MIN(IF(G427="",1,G427),FLOOR($N$4/D427,1)))*IF(F427="",1,F427),""))</f>
        <v/>
      </c>
      <c r="K427" s="12">
        <f>IF(A427="","",IF(COUNTIF(DATA!$D$2:$D$500,A427)=0,"CEK SKU tidak ada di DATA",IF(COUNT(C427:E427)&lt;3,"CEK dimensi belum lengkap",IF(OR(C427&lt;=0,D427&lt;=0,E427&lt;=0),"CEK dimensi harus lebih dari 0",IF(COUNTIF($A$2:$A$500,A427)&gt;1,"CEK SKU dobel","OK")))))</f>
        <v/>
      </c>
    </row>
    <row r="428">
      <c r="A428" s="10" t="n"/>
      <c r="B428" s="12">
        <f>IF(A428="","",IFERROR(INDEX(DATA!$E$2:$E$500,MATCH(A428,DATA!$D$2:$D$500,0)),""))</f>
        <v/>
      </c>
      <c r="C428" s="10" t="n"/>
      <c r="D428" s="10" t="n"/>
      <c r="E428" s="10" t="n"/>
      <c r="F428" s="10" t="n"/>
      <c r="G428" s="10" t="n"/>
      <c r="H428" s="10" t="n"/>
      <c r="I428" s="10" t="n"/>
      <c r="J428" s="12">
        <f>IF(OR(A428="",COUNT(C428:E428)&lt;3),"",IFERROR(MAX(0,FLOOR(($N$2-$N$3)/E428,1))*MAX(1,MIN(IF(G428="",1,G428),FLOOR($N$4/D428,1)))*IF(F428="",1,F428),""))</f>
        <v/>
      </c>
      <c r="K428" s="12">
        <f>IF(A428="","",IF(COUNTIF(DATA!$D$2:$D$500,A428)=0,"CEK SKU tidak ada di DATA",IF(COUNT(C428:E428)&lt;3,"CEK dimensi belum lengkap",IF(OR(C428&lt;=0,D428&lt;=0,E428&lt;=0),"CEK dimensi harus lebih dari 0",IF(COUNTIF($A$2:$A$500,A428)&gt;1,"CEK SKU dobel","OK")))))</f>
        <v/>
      </c>
    </row>
    <row r="429">
      <c r="A429" s="10" t="n"/>
      <c r="B429" s="12">
        <f>IF(A429="","",IFERROR(INDEX(DATA!$E$2:$E$500,MATCH(A429,DATA!$D$2:$D$500,0)),""))</f>
        <v/>
      </c>
      <c r="C429" s="10" t="n"/>
      <c r="D429" s="10" t="n"/>
      <c r="E429" s="10" t="n"/>
      <c r="F429" s="10" t="n"/>
      <c r="G429" s="10" t="n"/>
      <c r="H429" s="10" t="n"/>
      <c r="I429" s="10" t="n"/>
      <c r="J429" s="12">
        <f>IF(OR(A429="",COUNT(C429:E429)&lt;3),"",IFERROR(MAX(0,FLOOR(($N$2-$N$3)/E429,1))*MAX(1,MIN(IF(G429="",1,G429),FLOOR($N$4/D429,1)))*IF(F429="",1,F429),""))</f>
        <v/>
      </c>
      <c r="K429" s="12">
        <f>IF(A429="","",IF(COUNTIF(DATA!$D$2:$D$500,A429)=0,"CEK SKU tidak ada di DATA",IF(COUNT(C429:E429)&lt;3,"CEK dimensi belum lengkap",IF(OR(C429&lt;=0,D429&lt;=0,E429&lt;=0),"CEK dimensi harus lebih dari 0",IF(COUNTIF($A$2:$A$500,A429)&gt;1,"CEK SKU dobel","OK")))))</f>
        <v/>
      </c>
    </row>
    <row r="430">
      <c r="A430" s="10" t="n"/>
      <c r="B430" s="12">
        <f>IF(A430="","",IFERROR(INDEX(DATA!$E$2:$E$500,MATCH(A430,DATA!$D$2:$D$500,0)),""))</f>
        <v/>
      </c>
      <c r="C430" s="10" t="n"/>
      <c r="D430" s="10" t="n"/>
      <c r="E430" s="10" t="n"/>
      <c r="F430" s="10" t="n"/>
      <c r="G430" s="10" t="n"/>
      <c r="H430" s="10" t="n"/>
      <c r="I430" s="10" t="n"/>
      <c r="J430" s="12">
        <f>IF(OR(A430="",COUNT(C430:E430)&lt;3),"",IFERROR(MAX(0,FLOOR(($N$2-$N$3)/E430,1))*MAX(1,MIN(IF(G430="",1,G430),FLOOR($N$4/D430,1)))*IF(F430="",1,F430),""))</f>
        <v/>
      </c>
      <c r="K430" s="12">
        <f>IF(A430="","",IF(COUNTIF(DATA!$D$2:$D$500,A430)=0,"CEK SKU tidak ada di DATA",IF(COUNT(C430:E430)&lt;3,"CEK dimensi belum lengkap",IF(OR(C430&lt;=0,D430&lt;=0,E430&lt;=0),"CEK dimensi harus lebih dari 0",IF(COUNTIF($A$2:$A$500,A430)&gt;1,"CEK SKU dobel","OK")))))</f>
        <v/>
      </c>
    </row>
    <row r="431">
      <c r="A431" s="10" t="n"/>
      <c r="B431" s="12">
        <f>IF(A431="","",IFERROR(INDEX(DATA!$E$2:$E$500,MATCH(A431,DATA!$D$2:$D$500,0)),""))</f>
        <v/>
      </c>
      <c r="C431" s="10" t="n"/>
      <c r="D431" s="10" t="n"/>
      <c r="E431" s="10" t="n"/>
      <c r="F431" s="10" t="n"/>
      <c r="G431" s="10" t="n"/>
      <c r="H431" s="10" t="n"/>
      <c r="I431" s="10" t="n"/>
      <c r="J431" s="12">
        <f>IF(OR(A431="",COUNT(C431:E431)&lt;3),"",IFERROR(MAX(0,FLOOR(($N$2-$N$3)/E431,1))*MAX(1,MIN(IF(G431="",1,G431),FLOOR($N$4/D431,1)))*IF(F431="",1,F431),""))</f>
        <v/>
      </c>
      <c r="K431" s="12">
        <f>IF(A431="","",IF(COUNTIF(DATA!$D$2:$D$500,A431)=0,"CEK SKU tidak ada di DATA",IF(COUNT(C431:E431)&lt;3,"CEK dimensi belum lengkap",IF(OR(C431&lt;=0,D431&lt;=0,E431&lt;=0),"CEK dimensi harus lebih dari 0",IF(COUNTIF($A$2:$A$500,A431)&gt;1,"CEK SKU dobel","OK")))))</f>
        <v/>
      </c>
    </row>
    <row r="432">
      <c r="A432" s="10" t="n"/>
      <c r="B432" s="12">
        <f>IF(A432="","",IFERROR(INDEX(DATA!$E$2:$E$500,MATCH(A432,DATA!$D$2:$D$500,0)),""))</f>
        <v/>
      </c>
      <c r="C432" s="10" t="n"/>
      <c r="D432" s="10" t="n"/>
      <c r="E432" s="10" t="n"/>
      <c r="F432" s="10" t="n"/>
      <c r="G432" s="10" t="n"/>
      <c r="H432" s="10" t="n"/>
      <c r="I432" s="10" t="n"/>
      <c r="J432" s="12">
        <f>IF(OR(A432="",COUNT(C432:E432)&lt;3),"",IFERROR(MAX(0,FLOOR(($N$2-$N$3)/E432,1))*MAX(1,MIN(IF(G432="",1,G432),FLOOR($N$4/D432,1)))*IF(F432="",1,F432),""))</f>
        <v/>
      </c>
      <c r="K432" s="12">
        <f>IF(A432="","",IF(COUNTIF(DATA!$D$2:$D$500,A432)=0,"CEK SKU tidak ada di DATA",IF(COUNT(C432:E432)&lt;3,"CEK dimensi belum lengkap",IF(OR(C432&lt;=0,D432&lt;=0,E432&lt;=0),"CEK dimensi harus lebih dari 0",IF(COUNTIF($A$2:$A$500,A432)&gt;1,"CEK SKU dobel","OK")))))</f>
        <v/>
      </c>
    </row>
    <row r="433">
      <c r="A433" s="10" t="n"/>
      <c r="B433" s="12">
        <f>IF(A433="","",IFERROR(INDEX(DATA!$E$2:$E$500,MATCH(A433,DATA!$D$2:$D$500,0)),""))</f>
        <v/>
      </c>
      <c r="C433" s="10" t="n"/>
      <c r="D433" s="10" t="n"/>
      <c r="E433" s="10" t="n"/>
      <c r="F433" s="10" t="n"/>
      <c r="G433" s="10" t="n"/>
      <c r="H433" s="10" t="n"/>
      <c r="I433" s="10" t="n"/>
      <c r="J433" s="12">
        <f>IF(OR(A433="",COUNT(C433:E433)&lt;3),"",IFERROR(MAX(0,FLOOR(($N$2-$N$3)/E433,1))*MAX(1,MIN(IF(G433="",1,G433),FLOOR($N$4/D433,1)))*IF(F433="",1,F433),""))</f>
        <v/>
      </c>
      <c r="K433" s="12">
        <f>IF(A433="","",IF(COUNTIF(DATA!$D$2:$D$500,A433)=0,"CEK SKU tidak ada di DATA",IF(COUNT(C433:E433)&lt;3,"CEK dimensi belum lengkap",IF(OR(C433&lt;=0,D433&lt;=0,E433&lt;=0),"CEK dimensi harus lebih dari 0",IF(COUNTIF($A$2:$A$500,A433)&gt;1,"CEK SKU dobel","OK")))))</f>
        <v/>
      </c>
    </row>
    <row r="434">
      <c r="A434" s="10" t="n"/>
      <c r="B434" s="12">
        <f>IF(A434="","",IFERROR(INDEX(DATA!$E$2:$E$500,MATCH(A434,DATA!$D$2:$D$500,0)),""))</f>
        <v/>
      </c>
      <c r="C434" s="10" t="n"/>
      <c r="D434" s="10" t="n"/>
      <c r="E434" s="10" t="n"/>
      <c r="F434" s="10" t="n"/>
      <c r="G434" s="10" t="n"/>
      <c r="H434" s="10" t="n"/>
      <c r="I434" s="10" t="n"/>
      <c r="J434" s="12">
        <f>IF(OR(A434="",COUNT(C434:E434)&lt;3),"",IFERROR(MAX(0,FLOOR(($N$2-$N$3)/E434,1))*MAX(1,MIN(IF(G434="",1,G434),FLOOR($N$4/D434,1)))*IF(F434="",1,F434),""))</f>
        <v/>
      </c>
      <c r="K434" s="12">
        <f>IF(A434="","",IF(COUNTIF(DATA!$D$2:$D$500,A434)=0,"CEK SKU tidak ada di DATA",IF(COUNT(C434:E434)&lt;3,"CEK dimensi belum lengkap",IF(OR(C434&lt;=0,D434&lt;=0,E434&lt;=0),"CEK dimensi harus lebih dari 0",IF(COUNTIF($A$2:$A$500,A434)&gt;1,"CEK SKU dobel","OK")))))</f>
        <v/>
      </c>
    </row>
    <row r="435">
      <c r="A435" s="10" t="n"/>
      <c r="B435" s="12">
        <f>IF(A435="","",IFERROR(INDEX(DATA!$E$2:$E$500,MATCH(A435,DATA!$D$2:$D$500,0)),""))</f>
        <v/>
      </c>
      <c r="C435" s="10" t="n"/>
      <c r="D435" s="10" t="n"/>
      <c r="E435" s="10" t="n"/>
      <c r="F435" s="10" t="n"/>
      <c r="G435" s="10" t="n"/>
      <c r="H435" s="10" t="n"/>
      <c r="I435" s="10" t="n"/>
      <c r="J435" s="12">
        <f>IF(OR(A435="",COUNT(C435:E435)&lt;3),"",IFERROR(MAX(0,FLOOR(($N$2-$N$3)/E435,1))*MAX(1,MIN(IF(G435="",1,G435),FLOOR($N$4/D435,1)))*IF(F435="",1,F435),""))</f>
        <v/>
      </c>
      <c r="K435" s="12">
        <f>IF(A435="","",IF(COUNTIF(DATA!$D$2:$D$500,A435)=0,"CEK SKU tidak ada di DATA",IF(COUNT(C435:E435)&lt;3,"CEK dimensi belum lengkap",IF(OR(C435&lt;=0,D435&lt;=0,E435&lt;=0),"CEK dimensi harus lebih dari 0",IF(COUNTIF($A$2:$A$500,A435)&gt;1,"CEK SKU dobel","OK")))))</f>
        <v/>
      </c>
    </row>
    <row r="436">
      <c r="A436" s="10" t="n"/>
      <c r="B436" s="12">
        <f>IF(A436="","",IFERROR(INDEX(DATA!$E$2:$E$500,MATCH(A436,DATA!$D$2:$D$500,0)),""))</f>
        <v/>
      </c>
      <c r="C436" s="10" t="n"/>
      <c r="D436" s="10" t="n"/>
      <c r="E436" s="10" t="n"/>
      <c r="F436" s="10" t="n"/>
      <c r="G436" s="10" t="n"/>
      <c r="H436" s="10" t="n"/>
      <c r="I436" s="10" t="n"/>
      <c r="J436" s="12">
        <f>IF(OR(A436="",COUNT(C436:E436)&lt;3),"",IFERROR(MAX(0,FLOOR(($N$2-$N$3)/E436,1))*MAX(1,MIN(IF(G436="",1,G436),FLOOR($N$4/D436,1)))*IF(F436="",1,F436),""))</f>
        <v/>
      </c>
      <c r="K436" s="12">
        <f>IF(A436="","",IF(COUNTIF(DATA!$D$2:$D$500,A436)=0,"CEK SKU tidak ada di DATA",IF(COUNT(C436:E436)&lt;3,"CEK dimensi belum lengkap",IF(OR(C436&lt;=0,D436&lt;=0,E436&lt;=0),"CEK dimensi harus lebih dari 0",IF(COUNTIF($A$2:$A$500,A436)&gt;1,"CEK SKU dobel","OK")))))</f>
        <v/>
      </c>
    </row>
    <row r="437">
      <c r="A437" s="10" t="n"/>
      <c r="B437" s="12">
        <f>IF(A437="","",IFERROR(INDEX(DATA!$E$2:$E$500,MATCH(A437,DATA!$D$2:$D$500,0)),""))</f>
        <v/>
      </c>
      <c r="C437" s="10" t="n"/>
      <c r="D437" s="10" t="n"/>
      <c r="E437" s="10" t="n"/>
      <c r="F437" s="10" t="n"/>
      <c r="G437" s="10" t="n"/>
      <c r="H437" s="10" t="n"/>
      <c r="I437" s="10" t="n"/>
      <c r="J437" s="12">
        <f>IF(OR(A437="",COUNT(C437:E437)&lt;3),"",IFERROR(MAX(0,FLOOR(($N$2-$N$3)/E437,1))*MAX(1,MIN(IF(G437="",1,G437),FLOOR($N$4/D437,1)))*IF(F437="",1,F437),""))</f>
        <v/>
      </c>
      <c r="K437" s="12">
        <f>IF(A437="","",IF(COUNTIF(DATA!$D$2:$D$500,A437)=0,"CEK SKU tidak ada di DATA",IF(COUNT(C437:E437)&lt;3,"CEK dimensi belum lengkap",IF(OR(C437&lt;=0,D437&lt;=0,E437&lt;=0),"CEK dimensi harus lebih dari 0",IF(COUNTIF($A$2:$A$500,A437)&gt;1,"CEK SKU dobel","OK")))))</f>
        <v/>
      </c>
    </row>
    <row r="438">
      <c r="A438" s="10" t="n"/>
      <c r="B438" s="12">
        <f>IF(A438="","",IFERROR(INDEX(DATA!$E$2:$E$500,MATCH(A438,DATA!$D$2:$D$500,0)),""))</f>
        <v/>
      </c>
      <c r="C438" s="10" t="n"/>
      <c r="D438" s="10" t="n"/>
      <c r="E438" s="10" t="n"/>
      <c r="F438" s="10" t="n"/>
      <c r="G438" s="10" t="n"/>
      <c r="H438" s="10" t="n"/>
      <c r="I438" s="10" t="n"/>
      <c r="J438" s="12">
        <f>IF(OR(A438="",COUNT(C438:E438)&lt;3),"",IFERROR(MAX(0,FLOOR(($N$2-$N$3)/E438,1))*MAX(1,MIN(IF(G438="",1,G438),FLOOR($N$4/D438,1)))*IF(F438="",1,F438),""))</f>
        <v/>
      </c>
      <c r="K438" s="12">
        <f>IF(A438="","",IF(COUNTIF(DATA!$D$2:$D$500,A438)=0,"CEK SKU tidak ada di DATA",IF(COUNT(C438:E438)&lt;3,"CEK dimensi belum lengkap",IF(OR(C438&lt;=0,D438&lt;=0,E438&lt;=0),"CEK dimensi harus lebih dari 0",IF(COUNTIF($A$2:$A$500,A438)&gt;1,"CEK SKU dobel","OK")))))</f>
        <v/>
      </c>
    </row>
    <row r="439">
      <c r="A439" s="10" t="n"/>
      <c r="B439" s="12">
        <f>IF(A439="","",IFERROR(INDEX(DATA!$E$2:$E$500,MATCH(A439,DATA!$D$2:$D$500,0)),""))</f>
        <v/>
      </c>
      <c r="C439" s="10" t="n"/>
      <c r="D439" s="10" t="n"/>
      <c r="E439" s="10" t="n"/>
      <c r="F439" s="10" t="n"/>
      <c r="G439" s="10" t="n"/>
      <c r="H439" s="10" t="n"/>
      <c r="I439" s="10" t="n"/>
      <c r="J439" s="12">
        <f>IF(OR(A439="",COUNT(C439:E439)&lt;3),"",IFERROR(MAX(0,FLOOR(($N$2-$N$3)/E439,1))*MAX(1,MIN(IF(G439="",1,G439),FLOOR($N$4/D439,1)))*IF(F439="",1,F439),""))</f>
        <v/>
      </c>
      <c r="K439" s="12">
        <f>IF(A439="","",IF(COUNTIF(DATA!$D$2:$D$500,A439)=0,"CEK SKU tidak ada di DATA",IF(COUNT(C439:E439)&lt;3,"CEK dimensi belum lengkap",IF(OR(C439&lt;=0,D439&lt;=0,E439&lt;=0),"CEK dimensi harus lebih dari 0",IF(COUNTIF($A$2:$A$500,A439)&gt;1,"CEK SKU dobel","OK")))))</f>
        <v/>
      </c>
    </row>
    <row r="440">
      <c r="A440" s="10" t="n"/>
      <c r="B440" s="12">
        <f>IF(A440="","",IFERROR(INDEX(DATA!$E$2:$E$500,MATCH(A440,DATA!$D$2:$D$500,0)),""))</f>
        <v/>
      </c>
      <c r="C440" s="10" t="n"/>
      <c r="D440" s="10" t="n"/>
      <c r="E440" s="10" t="n"/>
      <c r="F440" s="10" t="n"/>
      <c r="G440" s="10" t="n"/>
      <c r="H440" s="10" t="n"/>
      <c r="I440" s="10" t="n"/>
      <c r="J440" s="12">
        <f>IF(OR(A440="",COUNT(C440:E440)&lt;3),"",IFERROR(MAX(0,FLOOR(($N$2-$N$3)/E440,1))*MAX(1,MIN(IF(G440="",1,G440),FLOOR($N$4/D440,1)))*IF(F440="",1,F440),""))</f>
        <v/>
      </c>
      <c r="K440" s="12">
        <f>IF(A440="","",IF(COUNTIF(DATA!$D$2:$D$500,A440)=0,"CEK SKU tidak ada di DATA",IF(COUNT(C440:E440)&lt;3,"CEK dimensi belum lengkap",IF(OR(C440&lt;=0,D440&lt;=0,E440&lt;=0),"CEK dimensi harus lebih dari 0",IF(COUNTIF($A$2:$A$500,A440)&gt;1,"CEK SKU dobel","OK")))))</f>
        <v/>
      </c>
    </row>
    <row r="441">
      <c r="A441" s="10" t="n"/>
      <c r="B441" s="12">
        <f>IF(A441="","",IFERROR(INDEX(DATA!$E$2:$E$500,MATCH(A441,DATA!$D$2:$D$500,0)),""))</f>
        <v/>
      </c>
      <c r="C441" s="10" t="n"/>
      <c r="D441" s="10" t="n"/>
      <c r="E441" s="10" t="n"/>
      <c r="F441" s="10" t="n"/>
      <c r="G441" s="10" t="n"/>
      <c r="H441" s="10" t="n"/>
      <c r="I441" s="10" t="n"/>
      <c r="J441" s="12">
        <f>IF(OR(A441="",COUNT(C441:E441)&lt;3),"",IFERROR(MAX(0,FLOOR(($N$2-$N$3)/E441,1))*MAX(1,MIN(IF(G441="",1,G441),FLOOR($N$4/D441,1)))*IF(F441="",1,F441),""))</f>
        <v/>
      </c>
      <c r="K441" s="12">
        <f>IF(A441="","",IF(COUNTIF(DATA!$D$2:$D$500,A441)=0,"CEK SKU tidak ada di DATA",IF(COUNT(C441:E441)&lt;3,"CEK dimensi belum lengkap",IF(OR(C441&lt;=0,D441&lt;=0,E441&lt;=0),"CEK dimensi harus lebih dari 0",IF(COUNTIF($A$2:$A$500,A441)&gt;1,"CEK SKU dobel","OK")))))</f>
        <v/>
      </c>
    </row>
    <row r="442">
      <c r="A442" s="10" t="n"/>
      <c r="B442" s="12">
        <f>IF(A442="","",IFERROR(INDEX(DATA!$E$2:$E$500,MATCH(A442,DATA!$D$2:$D$500,0)),""))</f>
        <v/>
      </c>
      <c r="C442" s="10" t="n"/>
      <c r="D442" s="10" t="n"/>
      <c r="E442" s="10" t="n"/>
      <c r="F442" s="10" t="n"/>
      <c r="G442" s="10" t="n"/>
      <c r="H442" s="10" t="n"/>
      <c r="I442" s="10" t="n"/>
      <c r="J442" s="12">
        <f>IF(OR(A442="",COUNT(C442:E442)&lt;3),"",IFERROR(MAX(0,FLOOR(($N$2-$N$3)/E442,1))*MAX(1,MIN(IF(G442="",1,G442),FLOOR($N$4/D442,1)))*IF(F442="",1,F442),""))</f>
        <v/>
      </c>
      <c r="K442" s="12">
        <f>IF(A442="","",IF(COUNTIF(DATA!$D$2:$D$500,A442)=0,"CEK SKU tidak ada di DATA",IF(COUNT(C442:E442)&lt;3,"CEK dimensi belum lengkap",IF(OR(C442&lt;=0,D442&lt;=0,E442&lt;=0),"CEK dimensi harus lebih dari 0",IF(COUNTIF($A$2:$A$500,A442)&gt;1,"CEK SKU dobel","OK")))))</f>
        <v/>
      </c>
    </row>
    <row r="443">
      <c r="A443" s="10" t="n"/>
      <c r="B443" s="12">
        <f>IF(A443="","",IFERROR(INDEX(DATA!$E$2:$E$500,MATCH(A443,DATA!$D$2:$D$500,0)),""))</f>
        <v/>
      </c>
      <c r="C443" s="10" t="n"/>
      <c r="D443" s="10" t="n"/>
      <c r="E443" s="10" t="n"/>
      <c r="F443" s="10" t="n"/>
      <c r="G443" s="10" t="n"/>
      <c r="H443" s="10" t="n"/>
      <c r="I443" s="10" t="n"/>
      <c r="J443" s="12">
        <f>IF(OR(A443="",COUNT(C443:E443)&lt;3),"",IFERROR(MAX(0,FLOOR(($N$2-$N$3)/E443,1))*MAX(1,MIN(IF(G443="",1,G443),FLOOR($N$4/D443,1)))*IF(F443="",1,F443),""))</f>
        <v/>
      </c>
      <c r="K443" s="12">
        <f>IF(A443="","",IF(COUNTIF(DATA!$D$2:$D$500,A443)=0,"CEK SKU tidak ada di DATA",IF(COUNT(C443:E443)&lt;3,"CEK dimensi belum lengkap",IF(OR(C443&lt;=0,D443&lt;=0,E443&lt;=0),"CEK dimensi harus lebih dari 0",IF(COUNTIF($A$2:$A$500,A443)&gt;1,"CEK SKU dobel","OK")))))</f>
        <v/>
      </c>
    </row>
    <row r="444">
      <c r="A444" s="10" t="n"/>
      <c r="B444" s="12">
        <f>IF(A444="","",IFERROR(INDEX(DATA!$E$2:$E$500,MATCH(A444,DATA!$D$2:$D$500,0)),""))</f>
        <v/>
      </c>
      <c r="C444" s="10" t="n"/>
      <c r="D444" s="10" t="n"/>
      <c r="E444" s="10" t="n"/>
      <c r="F444" s="10" t="n"/>
      <c r="G444" s="10" t="n"/>
      <c r="H444" s="10" t="n"/>
      <c r="I444" s="10" t="n"/>
      <c r="J444" s="12">
        <f>IF(OR(A444="",COUNT(C444:E444)&lt;3),"",IFERROR(MAX(0,FLOOR(($N$2-$N$3)/E444,1))*MAX(1,MIN(IF(G444="",1,G444),FLOOR($N$4/D444,1)))*IF(F444="",1,F444),""))</f>
        <v/>
      </c>
      <c r="K444" s="12">
        <f>IF(A444="","",IF(COUNTIF(DATA!$D$2:$D$500,A444)=0,"CEK SKU tidak ada di DATA",IF(COUNT(C444:E444)&lt;3,"CEK dimensi belum lengkap",IF(OR(C444&lt;=0,D444&lt;=0,E444&lt;=0),"CEK dimensi harus lebih dari 0",IF(COUNTIF($A$2:$A$500,A444)&gt;1,"CEK SKU dobel","OK")))))</f>
        <v/>
      </c>
    </row>
    <row r="445">
      <c r="A445" s="10" t="n"/>
      <c r="B445" s="12">
        <f>IF(A445="","",IFERROR(INDEX(DATA!$E$2:$E$500,MATCH(A445,DATA!$D$2:$D$500,0)),""))</f>
        <v/>
      </c>
      <c r="C445" s="10" t="n"/>
      <c r="D445" s="10" t="n"/>
      <c r="E445" s="10" t="n"/>
      <c r="F445" s="10" t="n"/>
      <c r="G445" s="10" t="n"/>
      <c r="H445" s="10" t="n"/>
      <c r="I445" s="10" t="n"/>
      <c r="J445" s="12">
        <f>IF(OR(A445="",COUNT(C445:E445)&lt;3),"",IFERROR(MAX(0,FLOOR(($N$2-$N$3)/E445,1))*MAX(1,MIN(IF(G445="",1,G445),FLOOR($N$4/D445,1)))*IF(F445="",1,F445),""))</f>
        <v/>
      </c>
      <c r="K445" s="12">
        <f>IF(A445="","",IF(COUNTIF(DATA!$D$2:$D$500,A445)=0,"CEK SKU tidak ada di DATA",IF(COUNT(C445:E445)&lt;3,"CEK dimensi belum lengkap",IF(OR(C445&lt;=0,D445&lt;=0,E445&lt;=0),"CEK dimensi harus lebih dari 0",IF(COUNTIF($A$2:$A$500,A445)&gt;1,"CEK SKU dobel","OK")))))</f>
        <v/>
      </c>
    </row>
    <row r="446">
      <c r="A446" s="10" t="n"/>
      <c r="B446" s="12">
        <f>IF(A446="","",IFERROR(INDEX(DATA!$E$2:$E$500,MATCH(A446,DATA!$D$2:$D$500,0)),""))</f>
        <v/>
      </c>
      <c r="C446" s="10" t="n"/>
      <c r="D446" s="10" t="n"/>
      <c r="E446" s="10" t="n"/>
      <c r="F446" s="10" t="n"/>
      <c r="G446" s="10" t="n"/>
      <c r="H446" s="10" t="n"/>
      <c r="I446" s="10" t="n"/>
      <c r="J446" s="12">
        <f>IF(OR(A446="",COUNT(C446:E446)&lt;3),"",IFERROR(MAX(0,FLOOR(($N$2-$N$3)/E446,1))*MAX(1,MIN(IF(G446="",1,G446),FLOOR($N$4/D446,1)))*IF(F446="",1,F446),""))</f>
        <v/>
      </c>
      <c r="K446" s="12">
        <f>IF(A446="","",IF(COUNTIF(DATA!$D$2:$D$500,A446)=0,"CEK SKU tidak ada di DATA",IF(COUNT(C446:E446)&lt;3,"CEK dimensi belum lengkap",IF(OR(C446&lt;=0,D446&lt;=0,E446&lt;=0),"CEK dimensi harus lebih dari 0",IF(COUNTIF($A$2:$A$500,A446)&gt;1,"CEK SKU dobel","OK")))))</f>
        <v/>
      </c>
    </row>
    <row r="447">
      <c r="A447" s="10" t="n"/>
      <c r="B447" s="12">
        <f>IF(A447="","",IFERROR(INDEX(DATA!$E$2:$E$500,MATCH(A447,DATA!$D$2:$D$500,0)),""))</f>
        <v/>
      </c>
      <c r="C447" s="10" t="n"/>
      <c r="D447" s="10" t="n"/>
      <c r="E447" s="10" t="n"/>
      <c r="F447" s="10" t="n"/>
      <c r="G447" s="10" t="n"/>
      <c r="H447" s="10" t="n"/>
      <c r="I447" s="10" t="n"/>
      <c r="J447" s="12">
        <f>IF(OR(A447="",COUNT(C447:E447)&lt;3),"",IFERROR(MAX(0,FLOOR(($N$2-$N$3)/E447,1))*MAX(1,MIN(IF(G447="",1,G447),FLOOR($N$4/D447,1)))*IF(F447="",1,F447),""))</f>
        <v/>
      </c>
      <c r="K447" s="12">
        <f>IF(A447="","",IF(COUNTIF(DATA!$D$2:$D$500,A447)=0,"CEK SKU tidak ada di DATA",IF(COUNT(C447:E447)&lt;3,"CEK dimensi belum lengkap",IF(OR(C447&lt;=0,D447&lt;=0,E447&lt;=0),"CEK dimensi harus lebih dari 0",IF(COUNTIF($A$2:$A$500,A447)&gt;1,"CEK SKU dobel","OK")))))</f>
        <v/>
      </c>
    </row>
    <row r="448">
      <c r="A448" s="10" t="n"/>
      <c r="B448" s="12">
        <f>IF(A448="","",IFERROR(INDEX(DATA!$E$2:$E$500,MATCH(A448,DATA!$D$2:$D$500,0)),""))</f>
        <v/>
      </c>
      <c r="C448" s="10" t="n"/>
      <c r="D448" s="10" t="n"/>
      <c r="E448" s="10" t="n"/>
      <c r="F448" s="10" t="n"/>
      <c r="G448" s="10" t="n"/>
      <c r="H448" s="10" t="n"/>
      <c r="I448" s="10" t="n"/>
      <c r="J448" s="12">
        <f>IF(OR(A448="",COUNT(C448:E448)&lt;3),"",IFERROR(MAX(0,FLOOR(($N$2-$N$3)/E448,1))*MAX(1,MIN(IF(G448="",1,G448),FLOOR($N$4/D448,1)))*IF(F448="",1,F448),""))</f>
        <v/>
      </c>
      <c r="K448" s="12">
        <f>IF(A448="","",IF(COUNTIF(DATA!$D$2:$D$500,A448)=0,"CEK SKU tidak ada di DATA",IF(COUNT(C448:E448)&lt;3,"CEK dimensi belum lengkap",IF(OR(C448&lt;=0,D448&lt;=0,E448&lt;=0),"CEK dimensi harus lebih dari 0",IF(COUNTIF($A$2:$A$500,A448)&gt;1,"CEK SKU dobel","OK")))))</f>
        <v/>
      </c>
    </row>
    <row r="449">
      <c r="A449" s="10" t="n"/>
      <c r="B449" s="12">
        <f>IF(A449="","",IFERROR(INDEX(DATA!$E$2:$E$500,MATCH(A449,DATA!$D$2:$D$500,0)),""))</f>
        <v/>
      </c>
      <c r="C449" s="10" t="n"/>
      <c r="D449" s="10" t="n"/>
      <c r="E449" s="10" t="n"/>
      <c r="F449" s="10" t="n"/>
      <c r="G449" s="10" t="n"/>
      <c r="H449" s="10" t="n"/>
      <c r="I449" s="10" t="n"/>
      <c r="J449" s="12">
        <f>IF(OR(A449="",COUNT(C449:E449)&lt;3),"",IFERROR(MAX(0,FLOOR(($N$2-$N$3)/E449,1))*MAX(1,MIN(IF(G449="",1,G449),FLOOR($N$4/D449,1)))*IF(F449="",1,F449),""))</f>
        <v/>
      </c>
      <c r="K449" s="12">
        <f>IF(A449="","",IF(COUNTIF(DATA!$D$2:$D$500,A449)=0,"CEK SKU tidak ada di DATA",IF(COUNT(C449:E449)&lt;3,"CEK dimensi belum lengkap",IF(OR(C449&lt;=0,D449&lt;=0,E449&lt;=0),"CEK dimensi harus lebih dari 0",IF(COUNTIF($A$2:$A$500,A449)&gt;1,"CEK SKU dobel","OK")))))</f>
        <v/>
      </c>
    </row>
    <row r="450">
      <c r="A450" s="10" t="n"/>
      <c r="B450" s="12">
        <f>IF(A450="","",IFERROR(INDEX(DATA!$E$2:$E$500,MATCH(A450,DATA!$D$2:$D$500,0)),""))</f>
        <v/>
      </c>
      <c r="C450" s="10" t="n"/>
      <c r="D450" s="10" t="n"/>
      <c r="E450" s="10" t="n"/>
      <c r="F450" s="10" t="n"/>
      <c r="G450" s="10" t="n"/>
      <c r="H450" s="10" t="n"/>
      <c r="I450" s="10" t="n"/>
      <c r="J450" s="12">
        <f>IF(OR(A450="",COUNT(C450:E450)&lt;3),"",IFERROR(MAX(0,FLOOR(($N$2-$N$3)/E450,1))*MAX(1,MIN(IF(G450="",1,G450),FLOOR($N$4/D450,1)))*IF(F450="",1,F450),""))</f>
        <v/>
      </c>
      <c r="K450" s="12">
        <f>IF(A450="","",IF(COUNTIF(DATA!$D$2:$D$500,A450)=0,"CEK SKU tidak ada di DATA",IF(COUNT(C450:E450)&lt;3,"CEK dimensi belum lengkap",IF(OR(C450&lt;=0,D450&lt;=0,E450&lt;=0),"CEK dimensi harus lebih dari 0",IF(COUNTIF($A$2:$A$500,A450)&gt;1,"CEK SKU dobel","OK")))))</f>
        <v/>
      </c>
    </row>
    <row r="451">
      <c r="A451" s="10" t="n"/>
      <c r="B451" s="12">
        <f>IF(A451="","",IFERROR(INDEX(DATA!$E$2:$E$500,MATCH(A451,DATA!$D$2:$D$500,0)),""))</f>
        <v/>
      </c>
      <c r="C451" s="10" t="n"/>
      <c r="D451" s="10" t="n"/>
      <c r="E451" s="10" t="n"/>
      <c r="F451" s="10" t="n"/>
      <c r="G451" s="10" t="n"/>
      <c r="H451" s="10" t="n"/>
      <c r="I451" s="10" t="n"/>
      <c r="J451" s="12">
        <f>IF(OR(A451="",COUNT(C451:E451)&lt;3),"",IFERROR(MAX(0,FLOOR(($N$2-$N$3)/E451,1))*MAX(1,MIN(IF(G451="",1,G451),FLOOR($N$4/D451,1)))*IF(F451="",1,F451),""))</f>
        <v/>
      </c>
      <c r="K451" s="12">
        <f>IF(A451="","",IF(COUNTIF(DATA!$D$2:$D$500,A451)=0,"CEK SKU tidak ada di DATA",IF(COUNT(C451:E451)&lt;3,"CEK dimensi belum lengkap",IF(OR(C451&lt;=0,D451&lt;=0,E451&lt;=0),"CEK dimensi harus lebih dari 0",IF(COUNTIF($A$2:$A$500,A451)&gt;1,"CEK SKU dobel","OK")))))</f>
        <v/>
      </c>
    </row>
    <row r="452">
      <c r="A452" s="10" t="n"/>
      <c r="B452" s="12">
        <f>IF(A452="","",IFERROR(INDEX(DATA!$E$2:$E$500,MATCH(A452,DATA!$D$2:$D$500,0)),""))</f>
        <v/>
      </c>
      <c r="C452" s="10" t="n"/>
      <c r="D452" s="10" t="n"/>
      <c r="E452" s="10" t="n"/>
      <c r="F452" s="10" t="n"/>
      <c r="G452" s="10" t="n"/>
      <c r="H452" s="10" t="n"/>
      <c r="I452" s="10" t="n"/>
      <c r="J452" s="12">
        <f>IF(OR(A452="",COUNT(C452:E452)&lt;3),"",IFERROR(MAX(0,FLOOR(($N$2-$N$3)/E452,1))*MAX(1,MIN(IF(G452="",1,G452),FLOOR($N$4/D452,1)))*IF(F452="",1,F452),""))</f>
        <v/>
      </c>
      <c r="K452" s="12">
        <f>IF(A452="","",IF(COUNTIF(DATA!$D$2:$D$500,A452)=0,"CEK SKU tidak ada di DATA",IF(COUNT(C452:E452)&lt;3,"CEK dimensi belum lengkap",IF(OR(C452&lt;=0,D452&lt;=0,E452&lt;=0),"CEK dimensi harus lebih dari 0",IF(COUNTIF($A$2:$A$500,A452)&gt;1,"CEK SKU dobel","OK")))))</f>
        <v/>
      </c>
    </row>
    <row r="453">
      <c r="A453" s="10" t="n"/>
      <c r="B453" s="12">
        <f>IF(A453="","",IFERROR(INDEX(DATA!$E$2:$E$500,MATCH(A453,DATA!$D$2:$D$500,0)),""))</f>
        <v/>
      </c>
      <c r="C453" s="10" t="n"/>
      <c r="D453" s="10" t="n"/>
      <c r="E453" s="10" t="n"/>
      <c r="F453" s="10" t="n"/>
      <c r="G453" s="10" t="n"/>
      <c r="H453" s="10" t="n"/>
      <c r="I453" s="10" t="n"/>
      <c r="J453" s="12">
        <f>IF(OR(A453="",COUNT(C453:E453)&lt;3),"",IFERROR(MAX(0,FLOOR(($N$2-$N$3)/E453,1))*MAX(1,MIN(IF(G453="",1,G453),FLOOR($N$4/D453,1)))*IF(F453="",1,F453),""))</f>
        <v/>
      </c>
      <c r="K453" s="12">
        <f>IF(A453="","",IF(COUNTIF(DATA!$D$2:$D$500,A453)=0,"CEK SKU tidak ada di DATA",IF(COUNT(C453:E453)&lt;3,"CEK dimensi belum lengkap",IF(OR(C453&lt;=0,D453&lt;=0,E453&lt;=0),"CEK dimensi harus lebih dari 0",IF(COUNTIF($A$2:$A$500,A453)&gt;1,"CEK SKU dobel","OK")))))</f>
        <v/>
      </c>
    </row>
    <row r="454">
      <c r="A454" s="10" t="n"/>
      <c r="B454" s="12">
        <f>IF(A454="","",IFERROR(INDEX(DATA!$E$2:$E$500,MATCH(A454,DATA!$D$2:$D$500,0)),""))</f>
        <v/>
      </c>
      <c r="C454" s="10" t="n"/>
      <c r="D454" s="10" t="n"/>
      <c r="E454" s="10" t="n"/>
      <c r="F454" s="10" t="n"/>
      <c r="G454" s="10" t="n"/>
      <c r="H454" s="10" t="n"/>
      <c r="I454" s="10" t="n"/>
      <c r="J454" s="12">
        <f>IF(OR(A454="",COUNT(C454:E454)&lt;3),"",IFERROR(MAX(0,FLOOR(($N$2-$N$3)/E454,1))*MAX(1,MIN(IF(G454="",1,G454),FLOOR($N$4/D454,1)))*IF(F454="",1,F454),""))</f>
        <v/>
      </c>
      <c r="K454" s="12">
        <f>IF(A454="","",IF(COUNTIF(DATA!$D$2:$D$500,A454)=0,"CEK SKU tidak ada di DATA",IF(COUNT(C454:E454)&lt;3,"CEK dimensi belum lengkap",IF(OR(C454&lt;=0,D454&lt;=0,E454&lt;=0),"CEK dimensi harus lebih dari 0",IF(COUNTIF($A$2:$A$500,A454)&gt;1,"CEK SKU dobel","OK")))))</f>
        <v/>
      </c>
    </row>
    <row r="455">
      <c r="A455" s="10" t="n"/>
      <c r="B455" s="12">
        <f>IF(A455="","",IFERROR(INDEX(DATA!$E$2:$E$500,MATCH(A455,DATA!$D$2:$D$500,0)),""))</f>
        <v/>
      </c>
      <c r="C455" s="10" t="n"/>
      <c r="D455" s="10" t="n"/>
      <c r="E455" s="10" t="n"/>
      <c r="F455" s="10" t="n"/>
      <c r="G455" s="10" t="n"/>
      <c r="H455" s="10" t="n"/>
      <c r="I455" s="10" t="n"/>
      <c r="J455" s="12">
        <f>IF(OR(A455="",COUNT(C455:E455)&lt;3),"",IFERROR(MAX(0,FLOOR(($N$2-$N$3)/E455,1))*MAX(1,MIN(IF(G455="",1,G455),FLOOR($N$4/D455,1)))*IF(F455="",1,F455),""))</f>
        <v/>
      </c>
      <c r="K455" s="12">
        <f>IF(A455="","",IF(COUNTIF(DATA!$D$2:$D$500,A455)=0,"CEK SKU tidak ada di DATA",IF(COUNT(C455:E455)&lt;3,"CEK dimensi belum lengkap",IF(OR(C455&lt;=0,D455&lt;=0,E455&lt;=0),"CEK dimensi harus lebih dari 0",IF(COUNTIF($A$2:$A$500,A455)&gt;1,"CEK SKU dobel","OK")))))</f>
        <v/>
      </c>
    </row>
    <row r="456">
      <c r="A456" s="10" t="n"/>
      <c r="B456" s="12">
        <f>IF(A456="","",IFERROR(INDEX(DATA!$E$2:$E$500,MATCH(A456,DATA!$D$2:$D$500,0)),""))</f>
        <v/>
      </c>
      <c r="C456" s="10" t="n"/>
      <c r="D456" s="10" t="n"/>
      <c r="E456" s="10" t="n"/>
      <c r="F456" s="10" t="n"/>
      <c r="G456" s="10" t="n"/>
      <c r="H456" s="10" t="n"/>
      <c r="I456" s="10" t="n"/>
      <c r="J456" s="12">
        <f>IF(OR(A456="",COUNT(C456:E456)&lt;3),"",IFERROR(MAX(0,FLOOR(($N$2-$N$3)/E456,1))*MAX(1,MIN(IF(G456="",1,G456),FLOOR($N$4/D456,1)))*IF(F456="",1,F456),""))</f>
        <v/>
      </c>
      <c r="K456" s="12">
        <f>IF(A456="","",IF(COUNTIF(DATA!$D$2:$D$500,A456)=0,"CEK SKU tidak ada di DATA",IF(COUNT(C456:E456)&lt;3,"CEK dimensi belum lengkap",IF(OR(C456&lt;=0,D456&lt;=0,E456&lt;=0),"CEK dimensi harus lebih dari 0",IF(COUNTIF($A$2:$A$500,A456)&gt;1,"CEK SKU dobel","OK")))))</f>
        <v/>
      </c>
    </row>
    <row r="457">
      <c r="A457" s="10" t="n"/>
      <c r="B457" s="12">
        <f>IF(A457="","",IFERROR(INDEX(DATA!$E$2:$E$500,MATCH(A457,DATA!$D$2:$D$500,0)),""))</f>
        <v/>
      </c>
      <c r="C457" s="10" t="n"/>
      <c r="D457" s="10" t="n"/>
      <c r="E457" s="10" t="n"/>
      <c r="F457" s="10" t="n"/>
      <c r="G457" s="10" t="n"/>
      <c r="H457" s="10" t="n"/>
      <c r="I457" s="10" t="n"/>
      <c r="J457" s="12">
        <f>IF(OR(A457="",COUNT(C457:E457)&lt;3),"",IFERROR(MAX(0,FLOOR(($N$2-$N$3)/E457,1))*MAX(1,MIN(IF(G457="",1,G457),FLOOR($N$4/D457,1)))*IF(F457="",1,F457),""))</f>
        <v/>
      </c>
      <c r="K457" s="12">
        <f>IF(A457="","",IF(COUNTIF(DATA!$D$2:$D$500,A457)=0,"CEK SKU tidak ada di DATA",IF(COUNT(C457:E457)&lt;3,"CEK dimensi belum lengkap",IF(OR(C457&lt;=0,D457&lt;=0,E457&lt;=0),"CEK dimensi harus lebih dari 0",IF(COUNTIF($A$2:$A$500,A457)&gt;1,"CEK SKU dobel","OK")))))</f>
        <v/>
      </c>
    </row>
    <row r="458">
      <c r="A458" s="10" t="n"/>
      <c r="B458" s="12">
        <f>IF(A458="","",IFERROR(INDEX(DATA!$E$2:$E$500,MATCH(A458,DATA!$D$2:$D$500,0)),""))</f>
        <v/>
      </c>
      <c r="C458" s="10" t="n"/>
      <c r="D458" s="10" t="n"/>
      <c r="E458" s="10" t="n"/>
      <c r="F458" s="10" t="n"/>
      <c r="G458" s="10" t="n"/>
      <c r="H458" s="10" t="n"/>
      <c r="I458" s="10" t="n"/>
      <c r="J458" s="12">
        <f>IF(OR(A458="",COUNT(C458:E458)&lt;3),"",IFERROR(MAX(0,FLOOR(($N$2-$N$3)/E458,1))*MAX(1,MIN(IF(G458="",1,G458),FLOOR($N$4/D458,1)))*IF(F458="",1,F458),""))</f>
        <v/>
      </c>
      <c r="K458" s="12">
        <f>IF(A458="","",IF(COUNTIF(DATA!$D$2:$D$500,A458)=0,"CEK SKU tidak ada di DATA",IF(COUNT(C458:E458)&lt;3,"CEK dimensi belum lengkap",IF(OR(C458&lt;=0,D458&lt;=0,E458&lt;=0),"CEK dimensi harus lebih dari 0",IF(COUNTIF($A$2:$A$500,A458)&gt;1,"CEK SKU dobel","OK")))))</f>
        <v/>
      </c>
    </row>
    <row r="459">
      <c r="A459" s="10" t="n"/>
      <c r="B459" s="12">
        <f>IF(A459="","",IFERROR(INDEX(DATA!$E$2:$E$500,MATCH(A459,DATA!$D$2:$D$500,0)),""))</f>
        <v/>
      </c>
      <c r="C459" s="10" t="n"/>
      <c r="D459" s="10" t="n"/>
      <c r="E459" s="10" t="n"/>
      <c r="F459" s="10" t="n"/>
      <c r="G459" s="10" t="n"/>
      <c r="H459" s="10" t="n"/>
      <c r="I459" s="10" t="n"/>
      <c r="J459" s="12">
        <f>IF(OR(A459="",COUNT(C459:E459)&lt;3),"",IFERROR(MAX(0,FLOOR(($N$2-$N$3)/E459,1))*MAX(1,MIN(IF(G459="",1,G459),FLOOR($N$4/D459,1)))*IF(F459="",1,F459),""))</f>
        <v/>
      </c>
      <c r="K459" s="12">
        <f>IF(A459="","",IF(COUNTIF(DATA!$D$2:$D$500,A459)=0,"CEK SKU tidak ada di DATA",IF(COUNT(C459:E459)&lt;3,"CEK dimensi belum lengkap",IF(OR(C459&lt;=0,D459&lt;=0,E459&lt;=0),"CEK dimensi harus lebih dari 0",IF(COUNTIF($A$2:$A$500,A459)&gt;1,"CEK SKU dobel","OK")))))</f>
        <v/>
      </c>
    </row>
    <row r="460">
      <c r="A460" s="10" t="n"/>
      <c r="B460" s="12">
        <f>IF(A460="","",IFERROR(INDEX(DATA!$E$2:$E$500,MATCH(A460,DATA!$D$2:$D$500,0)),""))</f>
        <v/>
      </c>
      <c r="C460" s="10" t="n"/>
      <c r="D460" s="10" t="n"/>
      <c r="E460" s="10" t="n"/>
      <c r="F460" s="10" t="n"/>
      <c r="G460" s="10" t="n"/>
      <c r="H460" s="10" t="n"/>
      <c r="I460" s="10" t="n"/>
      <c r="J460" s="12">
        <f>IF(OR(A460="",COUNT(C460:E460)&lt;3),"",IFERROR(MAX(0,FLOOR(($N$2-$N$3)/E460,1))*MAX(1,MIN(IF(G460="",1,G460),FLOOR($N$4/D460,1)))*IF(F460="",1,F460),""))</f>
        <v/>
      </c>
      <c r="K460" s="12">
        <f>IF(A460="","",IF(COUNTIF(DATA!$D$2:$D$500,A460)=0,"CEK SKU tidak ada di DATA",IF(COUNT(C460:E460)&lt;3,"CEK dimensi belum lengkap",IF(OR(C460&lt;=0,D460&lt;=0,E460&lt;=0),"CEK dimensi harus lebih dari 0",IF(COUNTIF($A$2:$A$500,A460)&gt;1,"CEK SKU dobel","OK")))))</f>
        <v/>
      </c>
    </row>
    <row r="461">
      <c r="A461" s="10" t="n"/>
      <c r="B461" s="12">
        <f>IF(A461="","",IFERROR(INDEX(DATA!$E$2:$E$500,MATCH(A461,DATA!$D$2:$D$500,0)),""))</f>
        <v/>
      </c>
      <c r="C461" s="10" t="n"/>
      <c r="D461" s="10" t="n"/>
      <c r="E461" s="10" t="n"/>
      <c r="F461" s="10" t="n"/>
      <c r="G461" s="10" t="n"/>
      <c r="H461" s="10" t="n"/>
      <c r="I461" s="10" t="n"/>
      <c r="J461" s="12">
        <f>IF(OR(A461="",COUNT(C461:E461)&lt;3),"",IFERROR(MAX(0,FLOOR(($N$2-$N$3)/E461,1))*MAX(1,MIN(IF(G461="",1,G461),FLOOR($N$4/D461,1)))*IF(F461="",1,F461),""))</f>
        <v/>
      </c>
      <c r="K461" s="12">
        <f>IF(A461="","",IF(COUNTIF(DATA!$D$2:$D$500,A461)=0,"CEK SKU tidak ada di DATA",IF(COUNT(C461:E461)&lt;3,"CEK dimensi belum lengkap",IF(OR(C461&lt;=0,D461&lt;=0,E461&lt;=0),"CEK dimensi harus lebih dari 0",IF(COUNTIF($A$2:$A$500,A461)&gt;1,"CEK SKU dobel","OK")))))</f>
        <v/>
      </c>
    </row>
    <row r="462">
      <c r="A462" s="10" t="n"/>
      <c r="B462" s="12">
        <f>IF(A462="","",IFERROR(INDEX(DATA!$E$2:$E$500,MATCH(A462,DATA!$D$2:$D$500,0)),""))</f>
        <v/>
      </c>
      <c r="C462" s="10" t="n"/>
      <c r="D462" s="10" t="n"/>
      <c r="E462" s="10" t="n"/>
      <c r="F462" s="10" t="n"/>
      <c r="G462" s="10" t="n"/>
      <c r="H462" s="10" t="n"/>
      <c r="I462" s="10" t="n"/>
      <c r="J462" s="12">
        <f>IF(OR(A462="",COUNT(C462:E462)&lt;3),"",IFERROR(MAX(0,FLOOR(($N$2-$N$3)/E462,1))*MAX(1,MIN(IF(G462="",1,G462),FLOOR($N$4/D462,1)))*IF(F462="",1,F462),""))</f>
        <v/>
      </c>
      <c r="K462" s="12">
        <f>IF(A462="","",IF(COUNTIF(DATA!$D$2:$D$500,A462)=0,"CEK SKU tidak ada di DATA",IF(COUNT(C462:E462)&lt;3,"CEK dimensi belum lengkap",IF(OR(C462&lt;=0,D462&lt;=0,E462&lt;=0),"CEK dimensi harus lebih dari 0",IF(COUNTIF($A$2:$A$500,A462)&gt;1,"CEK SKU dobel","OK")))))</f>
        <v/>
      </c>
    </row>
    <row r="463">
      <c r="A463" s="10" t="n"/>
      <c r="B463" s="12">
        <f>IF(A463="","",IFERROR(INDEX(DATA!$E$2:$E$500,MATCH(A463,DATA!$D$2:$D$500,0)),""))</f>
        <v/>
      </c>
      <c r="C463" s="10" t="n"/>
      <c r="D463" s="10" t="n"/>
      <c r="E463" s="10" t="n"/>
      <c r="F463" s="10" t="n"/>
      <c r="G463" s="10" t="n"/>
      <c r="H463" s="10" t="n"/>
      <c r="I463" s="10" t="n"/>
      <c r="J463" s="12">
        <f>IF(OR(A463="",COUNT(C463:E463)&lt;3),"",IFERROR(MAX(0,FLOOR(($N$2-$N$3)/E463,1))*MAX(1,MIN(IF(G463="",1,G463),FLOOR($N$4/D463,1)))*IF(F463="",1,F463),""))</f>
        <v/>
      </c>
      <c r="K463" s="12">
        <f>IF(A463="","",IF(COUNTIF(DATA!$D$2:$D$500,A463)=0,"CEK SKU tidak ada di DATA",IF(COUNT(C463:E463)&lt;3,"CEK dimensi belum lengkap",IF(OR(C463&lt;=0,D463&lt;=0,E463&lt;=0),"CEK dimensi harus lebih dari 0",IF(COUNTIF($A$2:$A$500,A463)&gt;1,"CEK SKU dobel","OK")))))</f>
        <v/>
      </c>
    </row>
    <row r="464">
      <c r="A464" s="10" t="n"/>
      <c r="B464" s="12">
        <f>IF(A464="","",IFERROR(INDEX(DATA!$E$2:$E$500,MATCH(A464,DATA!$D$2:$D$500,0)),""))</f>
        <v/>
      </c>
      <c r="C464" s="10" t="n"/>
      <c r="D464" s="10" t="n"/>
      <c r="E464" s="10" t="n"/>
      <c r="F464" s="10" t="n"/>
      <c r="G464" s="10" t="n"/>
      <c r="H464" s="10" t="n"/>
      <c r="I464" s="10" t="n"/>
      <c r="J464" s="12">
        <f>IF(OR(A464="",COUNT(C464:E464)&lt;3),"",IFERROR(MAX(0,FLOOR(($N$2-$N$3)/E464,1))*MAX(1,MIN(IF(G464="",1,G464),FLOOR($N$4/D464,1)))*IF(F464="",1,F464),""))</f>
        <v/>
      </c>
      <c r="K464" s="12">
        <f>IF(A464="","",IF(COUNTIF(DATA!$D$2:$D$500,A464)=0,"CEK SKU tidak ada di DATA",IF(COUNT(C464:E464)&lt;3,"CEK dimensi belum lengkap",IF(OR(C464&lt;=0,D464&lt;=0,E464&lt;=0),"CEK dimensi harus lebih dari 0",IF(COUNTIF($A$2:$A$500,A464)&gt;1,"CEK SKU dobel","OK")))))</f>
        <v/>
      </c>
    </row>
    <row r="465">
      <c r="A465" s="10" t="n"/>
      <c r="B465" s="12">
        <f>IF(A465="","",IFERROR(INDEX(DATA!$E$2:$E$500,MATCH(A465,DATA!$D$2:$D$500,0)),""))</f>
        <v/>
      </c>
      <c r="C465" s="10" t="n"/>
      <c r="D465" s="10" t="n"/>
      <c r="E465" s="10" t="n"/>
      <c r="F465" s="10" t="n"/>
      <c r="G465" s="10" t="n"/>
      <c r="H465" s="10" t="n"/>
      <c r="I465" s="10" t="n"/>
      <c r="J465" s="12">
        <f>IF(OR(A465="",COUNT(C465:E465)&lt;3),"",IFERROR(MAX(0,FLOOR(($N$2-$N$3)/E465,1))*MAX(1,MIN(IF(G465="",1,G465),FLOOR($N$4/D465,1)))*IF(F465="",1,F465),""))</f>
        <v/>
      </c>
      <c r="K465" s="12">
        <f>IF(A465="","",IF(COUNTIF(DATA!$D$2:$D$500,A465)=0,"CEK SKU tidak ada di DATA",IF(COUNT(C465:E465)&lt;3,"CEK dimensi belum lengkap",IF(OR(C465&lt;=0,D465&lt;=0,E465&lt;=0),"CEK dimensi harus lebih dari 0",IF(COUNTIF($A$2:$A$500,A465)&gt;1,"CEK SKU dobel","OK")))))</f>
        <v/>
      </c>
    </row>
    <row r="466">
      <c r="A466" s="10" t="n"/>
      <c r="B466" s="12">
        <f>IF(A466="","",IFERROR(INDEX(DATA!$E$2:$E$500,MATCH(A466,DATA!$D$2:$D$500,0)),""))</f>
        <v/>
      </c>
      <c r="C466" s="10" t="n"/>
      <c r="D466" s="10" t="n"/>
      <c r="E466" s="10" t="n"/>
      <c r="F466" s="10" t="n"/>
      <c r="G466" s="10" t="n"/>
      <c r="H466" s="10" t="n"/>
      <c r="I466" s="10" t="n"/>
      <c r="J466" s="12">
        <f>IF(OR(A466="",COUNT(C466:E466)&lt;3),"",IFERROR(MAX(0,FLOOR(($N$2-$N$3)/E466,1))*MAX(1,MIN(IF(G466="",1,G466),FLOOR($N$4/D466,1)))*IF(F466="",1,F466),""))</f>
        <v/>
      </c>
      <c r="K466" s="12">
        <f>IF(A466="","",IF(COUNTIF(DATA!$D$2:$D$500,A466)=0,"CEK SKU tidak ada di DATA",IF(COUNT(C466:E466)&lt;3,"CEK dimensi belum lengkap",IF(OR(C466&lt;=0,D466&lt;=0,E466&lt;=0),"CEK dimensi harus lebih dari 0",IF(COUNTIF($A$2:$A$500,A466)&gt;1,"CEK SKU dobel","OK")))))</f>
        <v/>
      </c>
    </row>
    <row r="467">
      <c r="A467" s="10" t="n"/>
      <c r="B467" s="12">
        <f>IF(A467="","",IFERROR(INDEX(DATA!$E$2:$E$500,MATCH(A467,DATA!$D$2:$D$500,0)),""))</f>
        <v/>
      </c>
      <c r="C467" s="10" t="n"/>
      <c r="D467" s="10" t="n"/>
      <c r="E467" s="10" t="n"/>
      <c r="F467" s="10" t="n"/>
      <c r="G467" s="10" t="n"/>
      <c r="H467" s="10" t="n"/>
      <c r="I467" s="10" t="n"/>
      <c r="J467" s="12">
        <f>IF(OR(A467="",COUNT(C467:E467)&lt;3),"",IFERROR(MAX(0,FLOOR(($N$2-$N$3)/E467,1))*MAX(1,MIN(IF(G467="",1,G467),FLOOR($N$4/D467,1)))*IF(F467="",1,F467),""))</f>
        <v/>
      </c>
      <c r="K467" s="12">
        <f>IF(A467="","",IF(COUNTIF(DATA!$D$2:$D$500,A467)=0,"CEK SKU tidak ada di DATA",IF(COUNT(C467:E467)&lt;3,"CEK dimensi belum lengkap",IF(OR(C467&lt;=0,D467&lt;=0,E467&lt;=0),"CEK dimensi harus lebih dari 0",IF(COUNTIF($A$2:$A$500,A467)&gt;1,"CEK SKU dobel","OK")))))</f>
        <v/>
      </c>
    </row>
    <row r="468">
      <c r="A468" s="10" t="n"/>
      <c r="B468" s="12">
        <f>IF(A468="","",IFERROR(INDEX(DATA!$E$2:$E$500,MATCH(A468,DATA!$D$2:$D$500,0)),""))</f>
        <v/>
      </c>
      <c r="C468" s="10" t="n"/>
      <c r="D468" s="10" t="n"/>
      <c r="E468" s="10" t="n"/>
      <c r="F468" s="10" t="n"/>
      <c r="G468" s="10" t="n"/>
      <c r="H468" s="10" t="n"/>
      <c r="I468" s="10" t="n"/>
      <c r="J468" s="12">
        <f>IF(OR(A468="",COUNT(C468:E468)&lt;3),"",IFERROR(MAX(0,FLOOR(($N$2-$N$3)/E468,1))*MAX(1,MIN(IF(G468="",1,G468),FLOOR($N$4/D468,1)))*IF(F468="",1,F468),""))</f>
        <v/>
      </c>
      <c r="K468" s="12">
        <f>IF(A468="","",IF(COUNTIF(DATA!$D$2:$D$500,A468)=0,"CEK SKU tidak ada di DATA",IF(COUNT(C468:E468)&lt;3,"CEK dimensi belum lengkap",IF(OR(C468&lt;=0,D468&lt;=0,E468&lt;=0),"CEK dimensi harus lebih dari 0",IF(COUNTIF($A$2:$A$500,A468)&gt;1,"CEK SKU dobel","OK")))))</f>
        <v/>
      </c>
    </row>
    <row r="469">
      <c r="A469" s="10" t="n"/>
      <c r="B469" s="12">
        <f>IF(A469="","",IFERROR(INDEX(DATA!$E$2:$E$500,MATCH(A469,DATA!$D$2:$D$500,0)),""))</f>
        <v/>
      </c>
      <c r="C469" s="10" t="n"/>
      <c r="D469" s="10" t="n"/>
      <c r="E469" s="10" t="n"/>
      <c r="F469" s="10" t="n"/>
      <c r="G469" s="10" t="n"/>
      <c r="H469" s="10" t="n"/>
      <c r="I469" s="10" t="n"/>
      <c r="J469" s="12">
        <f>IF(OR(A469="",COUNT(C469:E469)&lt;3),"",IFERROR(MAX(0,FLOOR(($N$2-$N$3)/E469,1))*MAX(1,MIN(IF(G469="",1,G469),FLOOR($N$4/D469,1)))*IF(F469="",1,F469),""))</f>
        <v/>
      </c>
      <c r="K469" s="12">
        <f>IF(A469="","",IF(COUNTIF(DATA!$D$2:$D$500,A469)=0,"CEK SKU tidak ada di DATA",IF(COUNT(C469:E469)&lt;3,"CEK dimensi belum lengkap",IF(OR(C469&lt;=0,D469&lt;=0,E469&lt;=0),"CEK dimensi harus lebih dari 0",IF(COUNTIF($A$2:$A$500,A469)&gt;1,"CEK SKU dobel","OK")))))</f>
        <v/>
      </c>
    </row>
    <row r="470">
      <c r="A470" s="10" t="n"/>
      <c r="B470" s="12">
        <f>IF(A470="","",IFERROR(INDEX(DATA!$E$2:$E$500,MATCH(A470,DATA!$D$2:$D$500,0)),""))</f>
        <v/>
      </c>
      <c r="C470" s="10" t="n"/>
      <c r="D470" s="10" t="n"/>
      <c r="E470" s="10" t="n"/>
      <c r="F470" s="10" t="n"/>
      <c r="G470" s="10" t="n"/>
      <c r="H470" s="10" t="n"/>
      <c r="I470" s="10" t="n"/>
      <c r="J470" s="12">
        <f>IF(OR(A470="",COUNT(C470:E470)&lt;3),"",IFERROR(MAX(0,FLOOR(($N$2-$N$3)/E470,1))*MAX(1,MIN(IF(G470="",1,G470),FLOOR($N$4/D470,1)))*IF(F470="",1,F470),""))</f>
        <v/>
      </c>
      <c r="K470" s="12">
        <f>IF(A470="","",IF(COUNTIF(DATA!$D$2:$D$500,A470)=0,"CEK SKU tidak ada di DATA",IF(COUNT(C470:E470)&lt;3,"CEK dimensi belum lengkap",IF(OR(C470&lt;=0,D470&lt;=0,E470&lt;=0),"CEK dimensi harus lebih dari 0",IF(COUNTIF($A$2:$A$500,A470)&gt;1,"CEK SKU dobel","OK")))))</f>
        <v/>
      </c>
    </row>
    <row r="471">
      <c r="A471" s="10" t="n"/>
      <c r="B471" s="12">
        <f>IF(A471="","",IFERROR(INDEX(DATA!$E$2:$E$500,MATCH(A471,DATA!$D$2:$D$500,0)),""))</f>
        <v/>
      </c>
      <c r="C471" s="10" t="n"/>
      <c r="D471" s="10" t="n"/>
      <c r="E471" s="10" t="n"/>
      <c r="F471" s="10" t="n"/>
      <c r="G471" s="10" t="n"/>
      <c r="H471" s="10" t="n"/>
      <c r="I471" s="10" t="n"/>
      <c r="J471" s="12">
        <f>IF(OR(A471="",COUNT(C471:E471)&lt;3),"",IFERROR(MAX(0,FLOOR(($N$2-$N$3)/E471,1))*MAX(1,MIN(IF(G471="",1,G471),FLOOR($N$4/D471,1)))*IF(F471="",1,F471),""))</f>
        <v/>
      </c>
      <c r="K471" s="12">
        <f>IF(A471="","",IF(COUNTIF(DATA!$D$2:$D$500,A471)=0,"CEK SKU tidak ada di DATA",IF(COUNT(C471:E471)&lt;3,"CEK dimensi belum lengkap",IF(OR(C471&lt;=0,D471&lt;=0,E471&lt;=0),"CEK dimensi harus lebih dari 0",IF(COUNTIF($A$2:$A$500,A471)&gt;1,"CEK SKU dobel","OK")))))</f>
        <v/>
      </c>
    </row>
    <row r="472">
      <c r="A472" s="10" t="n"/>
      <c r="B472" s="12">
        <f>IF(A472="","",IFERROR(INDEX(DATA!$E$2:$E$500,MATCH(A472,DATA!$D$2:$D$500,0)),""))</f>
        <v/>
      </c>
      <c r="C472" s="10" t="n"/>
      <c r="D472" s="10" t="n"/>
      <c r="E472" s="10" t="n"/>
      <c r="F472" s="10" t="n"/>
      <c r="G472" s="10" t="n"/>
      <c r="H472" s="10" t="n"/>
      <c r="I472" s="10" t="n"/>
      <c r="J472" s="12">
        <f>IF(OR(A472="",COUNT(C472:E472)&lt;3),"",IFERROR(MAX(0,FLOOR(($N$2-$N$3)/E472,1))*MAX(1,MIN(IF(G472="",1,G472),FLOOR($N$4/D472,1)))*IF(F472="",1,F472),""))</f>
        <v/>
      </c>
      <c r="K472" s="12">
        <f>IF(A472="","",IF(COUNTIF(DATA!$D$2:$D$500,A472)=0,"CEK SKU tidak ada di DATA",IF(COUNT(C472:E472)&lt;3,"CEK dimensi belum lengkap",IF(OR(C472&lt;=0,D472&lt;=0,E472&lt;=0),"CEK dimensi harus lebih dari 0",IF(COUNTIF($A$2:$A$500,A472)&gt;1,"CEK SKU dobel","OK")))))</f>
        <v/>
      </c>
    </row>
    <row r="473">
      <c r="A473" s="10" t="n"/>
      <c r="B473" s="12">
        <f>IF(A473="","",IFERROR(INDEX(DATA!$E$2:$E$500,MATCH(A473,DATA!$D$2:$D$500,0)),""))</f>
        <v/>
      </c>
      <c r="C473" s="10" t="n"/>
      <c r="D473" s="10" t="n"/>
      <c r="E473" s="10" t="n"/>
      <c r="F473" s="10" t="n"/>
      <c r="G473" s="10" t="n"/>
      <c r="H473" s="10" t="n"/>
      <c r="I473" s="10" t="n"/>
      <c r="J473" s="12">
        <f>IF(OR(A473="",COUNT(C473:E473)&lt;3),"",IFERROR(MAX(0,FLOOR(($N$2-$N$3)/E473,1))*MAX(1,MIN(IF(G473="",1,G473),FLOOR($N$4/D473,1)))*IF(F473="",1,F473),""))</f>
        <v/>
      </c>
      <c r="K473" s="12">
        <f>IF(A473="","",IF(COUNTIF(DATA!$D$2:$D$500,A473)=0,"CEK SKU tidak ada di DATA",IF(COUNT(C473:E473)&lt;3,"CEK dimensi belum lengkap",IF(OR(C473&lt;=0,D473&lt;=0,E473&lt;=0),"CEK dimensi harus lebih dari 0",IF(COUNTIF($A$2:$A$500,A473)&gt;1,"CEK SKU dobel","OK")))))</f>
        <v/>
      </c>
    </row>
    <row r="474">
      <c r="A474" s="10" t="n"/>
      <c r="B474" s="12">
        <f>IF(A474="","",IFERROR(INDEX(DATA!$E$2:$E$500,MATCH(A474,DATA!$D$2:$D$500,0)),""))</f>
        <v/>
      </c>
      <c r="C474" s="10" t="n"/>
      <c r="D474" s="10" t="n"/>
      <c r="E474" s="10" t="n"/>
      <c r="F474" s="10" t="n"/>
      <c r="G474" s="10" t="n"/>
      <c r="H474" s="10" t="n"/>
      <c r="I474" s="10" t="n"/>
      <c r="J474" s="12">
        <f>IF(OR(A474="",COUNT(C474:E474)&lt;3),"",IFERROR(MAX(0,FLOOR(($N$2-$N$3)/E474,1))*MAX(1,MIN(IF(G474="",1,G474),FLOOR($N$4/D474,1)))*IF(F474="",1,F474),""))</f>
        <v/>
      </c>
      <c r="K474" s="12">
        <f>IF(A474="","",IF(COUNTIF(DATA!$D$2:$D$500,A474)=0,"CEK SKU tidak ada di DATA",IF(COUNT(C474:E474)&lt;3,"CEK dimensi belum lengkap",IF(OR(C474&lt;=0,D474&lt;=0,E474&lt;=0),"CEK dimensi harus lebih dari 0",IF(COUNTIF($A$2:$A$500,A474)&gt;1,"CEK SKU dobel","OK")))))</f>
        <v/>
      </c>
    </row>
    <row r="475">
      <c r="A475" s="10" t="n"/>
      <c r="B475" s="12">
        <f>IF(A475="","",IFERROR(INDEX(DATA!$E$2:$E$500,MATCH(A475,DATA!$D$2:$D$500,0)),""))</f>
        <v/>
      </c>
      <c r="C475" s="10" t="n"/>
      <c r="D475" s="10" t="n"/>
      <c r="E475" s="10" t="n"/>
      <c r="F475" s="10" t="n"/>
      <c r="G475" s="10" t="n"/>
      <c r="H475" s="10" t="n"/>
      <c r="I475" s="10" t="n"/>
      <c r="J475" s="12">
        <f>IF(OR(A475="",COUNT(C475:E475)&lt;3),"",IFERROR(MAX(0,FLOOR(($N$2-$N$3)/E475,1))*MAX(1,MIN(IF(G475="",1,G475),FLOOR($N$4/D475,1)))*IF(F475="",1,F475),""))</f>
        <v/>
      </c>
      <c r="K475" s="12">
        <f>IF(A475="","",IF(COUNTIF(DATA!$D$2:$D$500,A475)=0,"CEK SKU tidak ada di DATA",IF(COUNT(C475:E475)&lt;3,"CEK dimensi belum lengkap",IF(OR(C475&lt;=0,D475&lt;=0,E475&lt;=0),"CEK dimensi harus lebih dari 0",IF(COUNTIF($A$2:$A$500,A475)&gt;1,"CEK SKU dobel","OK")))))</f>
        <v/>
      </c>
    </row>
    <row r="476">
      <c r="A476" s="10" t="n"/>
      <c r="B476" s="12">
        <f>IF(A476="","",IFERROR(INDEX(DATA!$E$2:$E$500,MATCH(A476,DATA!$D$2:$D$500,0)),""))</f>
        <v/>
      </c>
      <c r="C476" s="10" t="n"/>
      <c r="D476" s="10" t="n"/>
      <c r="E476" s="10" t="n"/>
      <c r="F476" s="10" t="n"/>
      <c r="G476" s="10" t="n"/>
      <c r="H476" s="10" t="n"/>
      <c r="I476" s="10" t="n"/>
      <c r="J476" s="12">
        <f>IF(OR(A476="",COUNT(C476:E476)&lt;3),"",IFERROR(MAX(0,FLOOR(($N$2-$N$3)/E476,1))*MAX(1,MIN(IF(G476="",1,G476),FLOOR($N$4/D476,1)))*IF(F476="",1,F476),""))</f>
        <v/>
      </c>
      <c r="K476" s="12">
        <f>IF(A476="","",IF(COUNTIF(DATA!$D$2:$D$500,A476)=0,"CEK SKU tidak ada di DATA",IF(COUNT(C476:E476)&lt;3,"CEK dimensi belum lengkap",IF(OR(C476&lt;=0,D476&lt;=0,E476&lt;=0),"CEK dimensi harus lebih dari 0",IF(COUNTIF($A$2:$A$500,A476)&gt;1,"CEK SKU dobel","OK")))))</f>
        <v/>
      </c>
    </row>
    <row r="477">
      <c r="A477" s="10" t="n"/>
      <c r="B477" s="12">
        <f>IF(A477="","",IFERROR(INDEX(DATA!$E$2:$E$500,MATCH(A477,DATA!$D$2:$D$500,0)),""))</f>
        <v/>
      </c>
      <c r="C477" s="10" t="n"/>
      <c r="D477" s="10" t="n"/>
      <c r="E477" s="10" t="n"/>
      <c r="F477" s="10" t="n"/>
      <c r="G477" s="10" t="n"/>
      <c r="H477" s="10" t="n"/>
      <c r="I477" s="10" t="n"/>
      <c r="J477" s="12">
        <f>IF(OR(A477="",COUNT(C477:E477)&lt;3),"",IFERROR(MAX(0,FLOOR(($N$2-$N$3)/E477,1))*MAX(1,MIN(IF(G477="",1,G477),FLOOR($N$4/D477,1)))*IF(F477="",1,F477),""))</f>
        <v/>
      </c>
      <c r="K477" s="12">
        <f>IF(A477="","",IF(COUNTIF(DATA!$D$2:$D$500,A477)=0,"CEK SKU tidak ada di DATA",IF(COUNT(C477:E477)&lt;3,"CEK dimensi belum lengkap",IF(OR(C477&lt;=0,D477&lt;=0,E477&lt;=0),"CEK dimensi harus lebih dari 0",IF(COUNTIF($A$2:$A$500,A477)&gt;1,"CEK SKU dobel","OK")))))</f>
        <v/>
      </c>
    </row>
    <row r="478">
      <c r="A478" s="10" t="n"/>
      <c r="B478" s="12">
        <f>IF(A478="","",IFERROR(INDEX(DATA!$E$2:$E$500,MATCH(A478,DATA!$D$2:$D$500,0)),""))</f>
        <v/>
      </c>
      <c r="C478" s="10" t="n"/>
      <c r="D478" s="10" t="n"/>
      <c r="E478" s="10" t="n"/>
      <c r="F478" s="10" t="n"/>
      <c r="G478" s="10" t="n"/>
      <c r="H478" s="10" t="n"/>
      <c r="I478" s="10" t="n"/>
      <c r="J478" s="12">
        <f>IF(OR(A478="",COUNT(C478:E478)&lt;3),"",IFERROR(MAX(0,FLOOR(($N$2-$N$3)/E478,1))*MAX(1,MIN(IF(G478="",1,G478),FLOOR($N$4/D478,1)))*IF(F478="",1,F478),""))</f>
        <v/>
      </c>
      <c r="K478" s="12">
        <f>IF(A478="","",IF(COUNTIF(DATA!$D$2:$D$500,A478)=0,"CEK SKU tidak ada di DATA",IF(COUNT(C478:E478)&lt;3,"CEK dimensi belum lengkap",IF(OR(C478&lt;=0,D478&lt;=0,E478&lt;=0),"CEK dimensi harus lebih dari 0",IF(COUNTIF($A$2:$A$500,A478)&gt;1,"CEK SKU dobel","OK")))))</f>
        <v/>
      </c>
    </row>
    <row r="479">
      <c r="A479" s="10" t="n"/>
      <c r="B479" s="12">
        <f>IF(A479="","",IFERROR(INDEX(DATA!$E$2:$E$500,MATCH(A479,DATA!$D$2:$D$500,0)),""))</f>
        <v/>
      </c>
      <c r="C479" s="10" t="n"/>
      <c r="D479" s="10" t="n"/>
      <c r="E479" s="10" t="n"/>
      <c r="F479" s="10" t="n"/>
      <c r="G479" s="10" t="n"/>
      <c r="H479" s="10" t="n"/>
      <c r="I479" s="10" t="n"/>
      <c r="J479" s="12">
        <f>IF(OR(A479="",COUNT(C479:E479)&lt;3),"",IFERROR(MAX(0,FLOOR(($N$2-$N$3)/E479,1))*MAX(1,MIN(IF(G479="",1,G479),FLOOR($N$4/D479,1)))*IF(F479="",1,F479),""))</f>
        <v/>
      </c>
      <c r="K479" s="12">
        <f>IF(A479="","",IF(COUNTIF(DATA!$D$2:$D$500,A479)=0,"CEK SKU tidak ada di DATA",IF(COUNT(C479:E479)&lt;3,"CEK dimensi belum lengkap",IF(OR(C479&lt;=0,D479&lt;=0,E479&lt;=0),"CEK dimensi harus lebih dari 0",IF(COUNTIF($A$2:$A$500,A479)&gt;1,"CEK SKU dobel","OK")))))</f>
        <v/>
      </c>
    </row>
    <row r="480">
      <c r="A480" s="10" t="n"/>
      <c r="B480" s="12">
        <f>IF(A480="","",IFERROR(INDEX(DATA!$E$2:$E$500,MATCH(A480,DATA!$D$2:$D$500,0)),""))</f>
        <v/>
      </c>
      <c r="C480" s="10" t="n"/>
      <c r="D480" s="10" t="n"/>
      <c r="E480" s="10" t="n"/>
      <c r="F480" s="10" t="n"/>
      <c r="G480" s="10" t="n"/>
      <c r="H480" s="10" t="n"/>
      <c r="I480" s="10" t="n"/>
      <c r="J480" s="12">
        <f>IF(OR(A480="",COUNT(C480:E480)&lt;3),"",IFERROR(MAX(0,FLOOR(($N$2-$N$3)/E480,1))*MAX(1,MIN(IF(G480="",1,G480),FLOOR($N$4/D480,1)))*IF(F480="",1,F480),""))</f>
        <v/>
      </c>
      <c r="K480" s="12">
        <f>IF(A480="","",IF(COUNTIF(DATA!$D$2:$D$500,A480)=0,"CEK SKU tidak ada di DATA",IF(COUNT(C480:E480)&lt;3,"CEK dimensi belum lengkap",IF(OR(C480&lt;=0,D480&lt;=0,E480&lt;=0),"CEK dimensi harus lebih dari 0",IF(COUNTIF($A$2:$A$500,A480)&gt;1,"CEK SKU dobel","OK")))))</f>
        <v/>
      </c>
    </row>
    <row r="481">
      <c r="A481" s="10" t="n"/>
      <c r="B481" s="12">
        <f>IF(A481="","",IFERROR(INDEX(DATA!$E$2:$E$500,MATCH(A481,DATA!$D$2:$D$500,0)),""))</f>
        <v/>
      </c>
      <c r="C481" s="10" t="n"/>
      <c r="D481" s="10" t="n"/>
      <c r="E481" s="10" t="n"/>
      <c r="F481" s="10" t="n"/>
      <c r="G481" s="10" t="n"/>
      <c r="H481" s="10" t="n"/>
      <c r="I481" s="10" t="n"/>
      <c r="J481" s="12">
        <f>IF(OR(A481="",COUNT(C481:E481)&lt;3),"",IFERROR(MAX(0,FLOOR(($N$2-$N$3)/E481,1))*MAX(1,MIN(IF(G481="",1,G481),FLOOR($N$4/D481,1)))*IF(F481="",1,F481),""))</f>
        <v/>
      </c>
      <c r="K481" s="12">
        <f>IF(A481="","",IF(COUNTIF(DATA!$D$2:$D$500,A481)=0,"CEK SKU tidak ada di DATA",IF(COUNT(C481:E481)&lt;3,"CEK dimensi belum lengkap",IF(OR(C481&lt;=0,D481&lt;=0,E481&lt;=0),"CEK dimensi harus lebih dari 0",IF(COUNTIF($A$2:$A$500,A481)&gt;1,"CEK SKU dobel","OK")))))</f>
        <v/>
      </c>
    </row>
    <row r="482">
      <c r="A482" s="10" t="n"/>
      <c r="B482" s="12">
        <f>IF(A482="","",IFERROR(INDEX(DATA!$E$2:$E$500,MATCH(A482,DATA!$D$2:$D$500,0)),""))</f>
        <v/>
      </c>
      <c r="C482" s="10" t="n"/>
      <c r="D482" s="10" t="n"/>
      <c r="E482" s="10" t="n"/>
      <c r="F482" s="10" t="n"/>
      <c r="G482" s="10" t="n"/>
      <c r="H482" s="10" t="n"/>
      <c r="I482" s="10" t="n"/>
      <c r="J482" s="12">
        <f>IF(OR(A482="",COUNT(C482:E482)&lt;3),"",IFERROR(MAX(0,FLOOR(($N$2-$N$3)/E482,1))*MAX(1,MIN(IF(G482="",1,G482),FLOOR($N$4/D482,1)))*IF(F482="",1,F482),""))</f>
        <v/>
      </c>
      <c r="K482" s="12">
        <f>IF(A482="","",IF(COUNTIF(DATA!$D$2:$D$500,A482)=0,"CEK SKU tidak ada di DATA",IF(COUNT(C482:E482)&lt;3,"CEK dimensi belum lengkap",IF(OR(C482&lt;=0,D482&lt;=0,E482&lt;=0),"CEK dimensi harus lebih dari 0",IF(COUNTIF($A$2:$A$500,A482)&gt;1,"CEK SKU dobel","OK")))))</f>
        <v/>
      </c>
    </row>
    <row r="483">
      <c r="A483" s="10" t="n"/>
      <c r="B483" s="12">
        <f>IF(A483="","",IFERROR(INDEX(DATA!$E$2:$E$500,MATCH(A483,DATA!$D$2:$D$500,0)),""))</f>
        <v/>
      </c>
      <c r="C483" s="10" t="n"/>
      <c r="D483" s="10" t="n"/>
      <c r="E483" s="10" t="n"/>
      <c r="F483" s="10" t="n"/>
      <c r="G483" s="10" t="n"/>
      <c r="H483" s="10" t="n"/>
      <c r="I483" s="10" t="n"/>
      <c r="J483" s="12">
        <f>IF(OR(A483="",COUNT(C483:E483)&lt;3),"",IFERROR(MAX(0,FLOOR(($N$2-$N$3)/E483,1))*MAX(1,MIN(IF(G483="",1,G483),FLOOR($N$4/D483,1)))*IF(F483="",1,F483),""))</f>
        <v/>
      </c>
      <c r="K483" s="12">
        <f>IF(A483="","",IF(COUNTIF(DATA!$D$2:$D$500,A483)=0,"CEK SKU tidak ada di DATA",IF(COUNT(C483:E483)&lt;3,"CEK dimensi belum lengkap",IF(OR(C483&lt;=0,D483&lt;=0,E483&lt;=0),"CEK dimensi harus lebih dari 0",IF(COUNTIF($A$2:$A$500,A483)&gt;1,"CEK SKU dobel","OK")))))</f>
        <v/>
      </c>
    </row>
    <row r="484">
      <c r="A484" s="10" t="n"/>
      <c r="B484" s="12">
        <f>IF(A484="","",IFERROR(INDEX(DATA!$E$2:$E$500,MATCH(A484,DATA!$D$2:$D$500,0)),""))</f>
        <v/>
      </c>
      <c r="C484" s="10" t="n"/>
      <c r="D484" s="10" t="n"/>
      <c r="E484" s="10" t="n"/>
      <c r="F484" s="10" t="n"/>
      <c r="G484" s="10" t="n"/>
      <c r="H484" s="10" t="n"/>
      <c r="I484" s="10" t="n"/>
      <c r="J484" s="12">
        <f>IF(OR(A484="",COUNT(C484:E484)&lt;3),"",IFERROR(MAX(0,FLOOR(($N$2-$N$3)/E484,1))*MAX(1,MIN(IF(G484="",1,G484),FLOOR($N$4/D484,1)))*IF(F484="",1,F484),""))</f>
        <v/>
      </c>
      <c r="K484" s="12">
        <f>IF(A484="","",IF(COUNTIF(DATA!$D$2:$D$500,A484)=0,"CEK SKU tidak ada di DATA",IF(COUNT(C484:E484)&lt;3,"CEK dimensi belum lengkap",IF(OR(C484&lt;=0,D484&lt;=0,E484&lt;=0),"CEK dimensi harus lebih dari 0",IF(COUNTIF($A$2:$A$500,A484)&gt;1,"CEK SKU dobel","OK")))))</f>
        <v/>
      </c>
    </row>
    <row r="485">
      <c r="A485" s="10" t="n"/>
      <c r="B485" s="12">
        <f>IF(A485="","",IFERROR(INDEX(DATA!$E$2:$E$500,MATCH(A485,DATA!$D$2:$D$500,0)),""))</f>
        <v/>
      </c>
      <c r="C485" s="10" t="n"/>
      <c r="D485" s="10" t="n"/>
      <c r="E485" s="10" t="n"/>
      <c r="F485" s="10" t="n"/>
      <c r="G485" s="10" t="n"/>
      <c r="H485" s="10" t="n"/>
      <c r="I485" s="10" t="n"/>
      <c r="J485" s="12">
        <f>IF(OR(A485="",COUNT(C485:E485)&lt;3),"",IFERROR(MAX(0,FLOOR(($N$2-$N$3)/E485,1))*MAX(1,MIN(IF(G485="",1,G485),FLOOR($N$4/D485,1)))*IF(F485="",1,F485),""))</f>
        <v/>
      </c>
      <c r="K485" s="12">
        <f>IF(A485="","",IF(COUNTIF(DATA!$D$2:$D$500,A485)=0,"CEK SKU tidak ada di DATA",IF(COUNT(C485:E485)&lt;3,"CEK dimensi belum lengkap",IF(OR(C485&lt;=0,D485&lt;=0,E485&lt;=0),"CEK dimensi harus lebih dari 0",IF(COUNTIF($A$2:$A$500,A485)&gt;1,"CEK SKU dobel","OK")))))</f>
        <v/>
      </c>
    </row>
    <row r="486">
      <c r="A486" s="10" t="n"/>
      <c r="B486" s="12">
        <f>IF(A486="","",IFERROR(INDEX(DATA!$E$2:$E$500,MATCH(A486,DATA!$D$2:$D$500,0)),""))</f>
        <v/>
      </c>
      <c r="C486" s="10" t="n"/>
      <c r="D486" s="10" t="n"/>
      <c r="E486" s="10" t="n"/>
      <c r="F486" s="10" t="n"/>
      <c r="G486" s="10" t="n"/>
      <c r="H486" s="10" t="n"/>
      <c r="I486" s="10" t="n"/>
      <c r="J486" s="12">
        <f>IF(OR(A486="",COUNT(C486:E486)&lt;3),"",IFERROR(MAX(0,FLOOR(($N$2-$N$3)/E486,1))*MAX(1,MIN(IF(G486="",1,G486),FLOOR($N$4/D486,1)))*IF(F486="",1,F486),""))</f>
        <v/>
      </c>
      <c r="K486" s="12">
        <f>IF(A486="","",IF(COUNTIF(DATA!$D$2:$D$500,A486)=0,"CEK SKU tidak ada di DATA",IF(COUNT(C486:E486)&lt;3,"CEK dimensi belum lengkap",IF(OR(C486&lt;=0,D486&lt;=0,E486&lt;=0),"CEK dimensi harus lebih dari 0",IF(COUNTIF($A$2:$A$500,A486)&gt;1,"CEK SKU dobel","OK")))))</f>
        <v/>
      </c>
    </row>
    <row r="487">
      <c r="A487" s="10" t="n"/>
      <c r="B487" s="12">
        <f>IF(A487="","",IFERROR(INDEX(DATA!$E$2:$E$500,MATCH(A487,DATA!$D$2:$D$500,0)),""))</f>
        <v/>
      </c>
      <c r="C487" s="10" t="n"/>
      <c r="D487" s="10" t="n"/>
      <c r="E487" s="10" t="n"/>
      <c r="F487" s="10" t="n"/>
      <c r="G487" s="10" t="n"/>
      <c r="H487" s="10" t="n"/>
      <c r="I487" s="10" t="n"/>
      <c r="J487" s="12">
        <f>IF(OR(A487="",COUNT(C487:E487)&lt;3),"",IFERROR(MAX(0,FLOOR(($N$2-$N$3)/E487,1))*MAX(1,MIN(IF(G487="",1,G487),FLOOR($N$4/D487,1)))*IF(F487="",1,F487),""))</f>
        <v/>
      </c>
      <c r="K487" s="12">
        <f>IF(A487="","",IF(COUNTIF(DATA!$D$2:$D$500,A487)=0,"CEK SKU tidak ada di DATA",IF(COUNT(C487:E487)&lt;3,"CEK dimensi belum lengkap",IF(OR(C487&lt;=0,D487&lt;=0,E487&lt;=0),"CEK dimensi harus lebih dari 0",IF(COUNTIF($A$2:$A$500,A487)&gt;1,"CEK SKU dobel","OK")))))</f>
        <v/>
      </c>
    </row>
    <row r="488">
      <c r="A488" s="10" t="n"/>
      <c r="B488" s="12">
        <f>IF(A488="","",IFERROR(INDEX(DATA!$E$2:$E$500,MATCH(A488,DATA!$D$2:$D$500,0)),""))</f>
        <v/>
      </c>
      <c r="C488" s="10" t="n"/>
      <c r="D488" s="10" t="n"/>
      <c r="E488" s="10" t="n"/>
      <c r="F488" s="10" t="n"/>
      <c r="G488" s="10" t="n"/>
      <c r="H488" s="10" t="n"/>
      <c r="I488" s="10" t="n"/>
      <c r="J488" s="12">
        <f>IF(OR(A488="",COUNT(C488:E488)&lt;3),"",IFERROR(MAX(0,FLOOR(($N$2-$N$3)/E488,1))*MAX(1,MIN(IF(G488="",1,G488),FLOOR($N$4/D488,1)))*IF(F488="",1,F488),""))</f>
        <v/>
      </c>
      <c r="K488" s="12">
        <f>IF(A488="","",IF(COUNTIF(DATA!$D$2:$D$500,A488)=0,"CEK SKU tidak ada di DATA",IF(COUNT(C488:E488)&lt;3,"CEK dimensi belum lengkap",IF(OR(C488&lt;=0,D488&lt;=0,E488&lt;=0),"CEK dimensi harus lebih dari 0",IF(COUNTIF($A$2:$A$500,A488)&gt;1,"CEK SKU dobel","OK")))))</f>
        <v/>
      </c>
    </row>
    <row r="489">
      <c r="A489" s="10" t="n"/>
      <c r="B489" s="12">
        <f>IF(A489="","",IFERROR(INDEX(DATA!$E$2:$E$500,MATCH(A489,DATA!$D$2:$D$500,0)),""))</f>
        <v/>
      </c>
      <c r="C489" s="10" t="n"/>
      <c r="D489" s="10" t="n"/>
      <c r="E489" s="10" t="n"/>
      <c r="F489" s="10" t="n"/>
      <c r="G489" s="10" t="n"/>
      <c r="H489" s="10" t="n"/>
      <c r="I489" s="10" t="n"/>
      <c r="J489" s="12">
        <f>IF(OR(A489="",COUNT(C489:E489)&lt;3),"",IFERROR(MAX(0,FLOOR(($N$2-$N$3)/E489,1))*MAX(1,MIN(IF(G489="",1,G489),FLOOR($N$4/D489,1)))*IF(F489="",1,F489),""))</f>
        <v/>
      </c>
      <c r="K489" s="12">
        <f>IF(A489="","",IF(COUNTIF(DATA!$D$2:$D$500,A489)=0,"CEK SKU tidak ada di DATA",IF(COUNT(C489:E489)&lt;3,"CEK dimensi belum lengkap",IF(OR(C489&lt;=0,D489&lt;=0,E489&lt;=0),"CEK dimensi harus lebih dari 0",IF(COUNTIF($A$2:$A$500,A489)&gt;1,"CEK SKU dobel","OK")))))</f>
        <v/>
      </c>
    </row>
    <row r="490">
      <c r="A490" s="10" t="n"/>
      <c r="B490" s="12">
        <f>IF(A490="","",IFERROR(INDEX(DATA!$E$2:$E$500,MATCH(A490,DATA!$D$2:$D$500,0)),""))</f>
        <v/>
      </c>
      <c r="C490" s="10" t="n"/>
      <c r="D490" s="10" t="n"/>
      <c r="E490" s="10" t="n"/>
      <c r="F490" s="10" t="n"/>
      <c r="G490" s="10" t="n"/>
      <c r="H490" s="10" t="n"/>
      <c r="I490" s="10" t="n"/>
      <c r="J490" s="12">
        <f>IF(OR(A490="",COUNT(C490:E490)&lt;3),"",IFERROR(MAX(0,FLOOR(($N$2-$N$3)/E490,1))*MAX(1,MIN(IF(G490="",1,G490),FLOOR($N$4/D490,1)))*IF(F490="",1,F490),""))</f>
        <v/>
      </c>
      <c r="K490" s="12">
        <f>IF(A490="","",IF(COUNTIF(DATA!$D$2:$D$500,A490)=0,"CEK SKU tidak ada di DATA",IF(COUNT(C490:E490)&lt;3,"CEK dimensi belum lengkap",IF(OR(C490&lt;=0,D490&lt;=0,E490&lt;=0),"CEK dimensi harus lebih dari 0",IF(COUNTIF($A$2:$A$500,A490)&gt;1,"CEK SKU dobel","OK")))))</f>
        <v/>
      </c>
    </row>
    <row r="491">
      <c r="A491" s="10" t="n"/>
      <c r="B491" s="12">
        <f>IF(A491="","",IFERROR(INDEX(DATA!$E$2:$E$500,MATCH(A491,DATA!$D$2:$D$500,0)),""))</f>
        <v/>
      </c>
      <c r="C491" s="10" t="n"/>
      <c r="D491" s="10" t="n"/>
      <c r="E491" s="10" t="n"/>
      <c r="F491" s="10" t="n"/>
      <c r="G491" s="10" t="n"/>
      <c r="H491" s="10" t="n"/>
      <c r="I491" s="10" t="n"/>
      <c r="J491" s="12">
        <f>IF(OR(A491="",COUNT(C491:E491)&lt;3),"",IFERROR(MAX(0,FLOOR(($N$2-$N$3)/E491,1))*MAX(1,MIN(IF(G491="",1,G491),FLOOR($N$4/D491,1)))*IF(F491="",1,F491),""))</f>
        <v/>
      </c>
      <c r="K491" s="12">
        <f>IF(A491="","",IF(COUNTIF(DATA!$D$2:$D$500,A491)=0,"CEK SKU tidak ada di DATA",IF(COUNT(C491:E491)&lt;3,"CEK dimensi belum lengkap",IF(OR(C491&lt;=0,D491&lt;=0,E491&lt;=0),"CEK dimensi harus lebih dari 0",IF(COUNTIF($A$2:$A$500,A491)&gt;1,"CEK SKU dobel","OK")))))</f>
        <v/>
      </c>
    </row>
    <row r="492">
      <c r="A492" s="10" t="n"/>
      <c r="B492" s="12">
        <f>IF(A492="","",IFERROR(INDEX(DATA!$E$2:$E$500,MATCH(A492,DATA!$D$2:$D$500,0)),""))</f>
        <v/>
      </c>
      <c r="C492" s="10" t="n"/>
      <c r="D492" s="10" t="n"/>
      <c r="E492" s="10" t="n"/>
      <c r="F492" s="10" t="n"/>
      <c r="G492" s="10" t="n"/>
      <c r="H492" s="10" t="n"/>
      <c r="I492" s="10" t="n"/>
      <c r="J492" s="12">
        <f>IF(OR(A492="",COUNT(C492:E492)&lt;3),"",IFERROR(MAX(0,FLOOR(($N$2-$N$3)/E492,1))*MAX(1,MIN(IF(G492="",1,G492),FLOOR($N$4/D492,1)))*IF(F492="",1,F492),""))</f>
        <v/>
      </c>
      <c r="K492" s="12">
        <f>IF(A492="","",IF(COUNTIF(DATA!$D$2:$D$500,A492)=0,"CEK SKU tidak ada di DATA",IF(COUNT(C492:E492)&lt;3,"CEK dimensi belum lengkap",IF(OR(C492&lt;=0,D492&lt;=0,E492&lt;=0),"CEK dimensi harus lebih dari 0",IF(COUNTIF($A$2:$A$500,A492)&gt;1,"CEK SKU dobel","OK")))))</f>
        <v/>
      </c>
    </row>
    <row r="493">
      <c r="A493" s="10" t="n"/>
      <c r="B493" s="12">
        <f>IF(A493="","",IFERROR(INDEX(DATA!$E$2:$E$500,MATCH(A493,DATA!$D$2:$D$500,0)),""))</f>
        <v/>
      </c>
      <c r="C493" s="10" t="n"/>
      <c r="D493" s="10" t="n"/>
      <c r="E493" s="10" t="n"/>
      <c r="F493" s="10" t="n"/>
      <c r="G493" s="10" t="n"/>
      <c r="H493" s="10" t="n"/>
      <c r="I493" s="10" t="n"/>
      <c r="J493" s="12">
        <f>IF(OR(A493="",COUNT(C493:E493)&lt;3),"",IFERROR(MAX(0,FLOOR(($N$2-$N$3)/E493,1))*MAX(1,MIN(IF(G493="",1,G493),FLOOR($N$4/D493,1)))*IF(F493="",1,F493),""))</f>
        <v/>
      </c>
      <c r="K493" s="12">
        <f>IF(A493="","",IF(COUNTIF(DATA!$D$2:$D$500,A493)=0,"CEK SKU tidak ada di DATA",IF(COUNT(C493:E493)&lt;3,"CEK dimensi belum lengkap",IF(OR(C493&lt;=0,D493&lt;=0,E493&lt;=0),"CEK dimensi harus lebih dari 0",IF(COUNTIF($A$2:$A$500,A493)&gt;1,"CEK SKU dobel","OK")))))</f>
        <v/>
      </c>
    </row>
    <row r="494">
      <c r="A494" s="10" t="n"/>
      <c r="B494" s="12">
        <f>IF(A494="","",IFERROR(INDEX(DATA!$E$2:$E$500,MATCH(A494,DATA!$D$2:$D$500,0)),""))</f>
        <v/>
      </c>
      <c r="C494" s="10" t="n"/>
      <c r="D494" s="10" t="n"/>
      <c r="E494" s="10" t="n"/>
      <c r="F494" s="10" t="n"/>
      <c r="G494" s="10" t="n"/>
      <c r="H494" s="10" t="n"/>
      <c r="I494" s="10" t="n"/>
      <c r="J494" s="12">
        <f>IF(OR(A494="",COUNT(C494:E494)&lt;3),"",IFERROR(MAX(0,FLOOR(($N$2-$N$3)/E494,1))*MAX(1,MIN(IF(G494="",1,G494),FLOOR($N$4/D494,1)))*IF(F494="",1,F494),""))</f>
        <v/>
      </c>
      <c r="K494" s="12">
        <f>IF(A494="","",IF(COUNTIF(DATA!$D$2:$D$500,A494)=0,"CEK SKU tidak ada di DATA",IF(COUNT(C494:E494)&lt;3,"CEK dimensi belum lengkap",IF(OR(C494&lt;=0,D494&lt;=0,E494&lt;=0),"CEK dimensi harus lebih dari 0",IF(COUNTIF($A$2:$A$500,A494)&gt;1,"CEK SKU dobel","OK")))))</f>
        <v/>
      </c>
    </row>
    <row r="495">
      <c r="A495" s="10" t="n"/>
      <c r="B495" s="12">
        <f>IF(A495="","",IFERROR(INDEX(DATA!$E$2:$E$500,MATCH(A495,DATA!$D$2:$D$500,0)),""))</f>
        <v/>
      </c>
      <c r="C495" s="10" t="n"/>
      <c r="D495" s="10" t="n"/>
      <c r="E495" s="10" t="n"/>
      <c r="F495" s="10" t="n"/>
      <c r="G495" s="10" t="n"/>
      <c r="H495" s="10" t="n"/>
      <c r="I495" s="10" t="n"/>
      <c r="J495" s="12">
        <f>IF(OR(A495="",COUNT(C495:E495)&lt;3),"",IFERROR(MAX(0,FLOOR(($N$2-$N$3)/E495,1))*MAX(1,MIN(IF(G495="",1,G495),FLOOR($N$4/D495,1)))*IF(F495="",1,F495),""))</f>
        <v/>
      </c>
      <c r="K495" s="12">
        <f>IF(A495="","",IF(COUNTIF(DATA!$D$2:$D$500,A495)=0,"CEK SKU tidak ada di DATA",IF(COUNT(C495:E495)&lt;3,"CEK dimensi belum lengkap",IF(OR(C495&lt;=0,D495&lt;=0,E495&lt;=0),"CEK dimensi harus lebih dari 0",IF(COUNTIF($A$2:$A$500,A495)&gt;1,"CEK SKU dobel","OK")))))</f>
        <v/>
      </c>
    </row>
    <row r="496">
      <c r="A496" s="10" t="n"/>
      <c r="B496" s="12">
        <f>IF(A496="","",IFERROR(INDEX(DATA!$E$2:$E$500,MATCH(A496,DATA!$D$2:$D$500,0)),""))</f>
        <v/>
      </c>
      <c r="C496" s="10" t="n"/>
      <c r="D496" s="10" t="n"/>
      <c r="E496" s="10" t="n"/>
      <c r="F496" s="10" t="n"/>
      <c r="G496" s="10" t="n"/>
      <c r="H496" s="10" t="n"/>
      <c r="I496" s="10" t="n"/>
      <c r="J496" s="12">
        <f>IF(OR(A496="",COUNT(C496:E496)&lt;3),"",IFERROR(MAX(0,FLOOR(($N$2-$N$3)/E496,1))*MAX(1,MIN(IF(G496="",1,G496),FLOOR($N$4/D496,1)))*IF(F496="",1,F496),""))</f>
        <v/>
      </c>
      <c r="K496" s="12">
        <f>IF(A496="","",IF(COUNTIF(DATA!$D$2:$D$500,A496)=0,"CEK SKU tidak ada di DATA",IF(COUNT(C496:E496)&lt;3,"CEK dimensi belum lengkap",IF(OR(C496&lt;=0,D496&lt;=0,E496&lt;=0),"CEK dimensi harus lebih dari 0",IF(COUNTIF($A$2:$A$500,A496)&gt;1,"CEK SKU dobel","OK")))))</f>
        <v/>
      </c>
    </row>
    <row r="497">
      <c r="A497" s="10" t="n"/>
      <c r="B497" s="12">
        <f>IF(A497="","",IFERROR(INDEX(DATA!$E$2:$E$500,MATCH(A497,DATA!$D$2:$D$500,0)),""))</f>
        <v/>
      </c>
      <c r="C497" s="10" t="n"/>
      <c r="D497" s="10" t="n"/>
      <c r="E497" s="10" t="n"/>
      <c r="F497" s="10" t="n"/>
      <c r="G497" s="10" t="n"/>
      <c r="H497" s="10" t="n"/>
      <c r="I497" s="10" t="n"/>
      <c r="J497" s="12">
        <f>IF(OR(A497="",COUNT(C497:E497)&lt;3),"",IFERROR(MAX(0,FLOOR(($N$2-$N$3)/E497,1))*MAX(1,MIN(IF(G497="",1,G497),FLOOR($N$4/D497,1)))*IF(F497="",1,F497),""))</f>
        <v/>
      </c>
      <c r="K497" s="12">
        <f>IF(A497="","",IF(COUNTIF(DATA!$D$2:$D$500,A497)=0,"CEK SKU tidak ada di DATA",IF(COUNT(C497:E497)&lt;3,"CEK dimensi belum lengkap",IF(OR(C497&lt;=0,D497&lt;=0,E497&lt;=0),"CEK dimensi harus lebih dari 0",IF(COUNTIF($A$2:$A$500,A497)&gt;1,"CEK SKU dobel","OK")))))</f>
        <v/>
      </c>
    </row>
    <row r="498">
      <c r="A498" s="10" t="n"/>
      <c r="B498" s="12">
        <f>IF(A498="","",IFERROR(INDEX(DATA!$E$2:$E$500,MATCH(A498,DATA!$D$2:$D$500,0)),""))</f>
        <v/>
      </c>
      <c r="C498" s="10" t="n"/>
      <c r="D498" s="10" t="n"/>
      <c r="E498" s="10" t="n"/>
      <c r="F498" s="10" t="n"/>
      <c r="G498" s="10" t="n"/>
      <c r="H498" s="10" t="n"/>
      <c r="I498" s="10" t="n"/>
      <c r="J498" s="12">
        <f>IF(OR(A498="",COUNT(C498:E498)&lt;3),"",IFERROR(MAX(0,FLOOR(($N$2-$N$3)/E498,1))*MAX(1,MIN(IF(G498="",1,G498),FLOOR($N$4/D498,1)))*IF(F498="",1,F498),""))</f>
        <v/>
      </c>
      <c r="K498" s="12">
        <f>IF(A498="","",IF(COUNTIF(DATA!$D$2:$D$500,A498)=0,"CEK SKU tidak ada di DATA",IF(COUNT(C498:E498)&lt;3,"CEK dimensi belum lengkap",IF(OR(C498&lt;=0,D498&lt;=0,E498&lt;=0),"CEK dimensi harus lebih dari 0",IF(COUNTIF($A$2:$A$500,A498)&gt;1,"CEK SKU dobel","OK")))))</f>
        <v/>
      </c>
    </row>
    <row r="499">
      <c r="A499" s="10" t="n"/>
      <c r="B499" s="12">
        <f>IF(A499="","",IFERROR(INDEX(DATA!$E$2:$E$500,MATCH(A499,DATA!$D$2:$D$500,0)),""))</f>
        <v/>
      </c>
      <c r="C499" s="10" t="n"/>
      <c r="D499" s="10" t="n"/>
      <c r="E499" s="10" t="n"/>
      <c r="F499" s="10" t="n"/>
      <c r="G499" s="10" t="n"/>
      <c r="H499" s="10" t="n"/>
      <c r="I499" s="10" t="n"/>
      <c r="J499" s="12">
        <f>IF(OR(A499="",COUNT(C499:E499)&lt;3),"",IFERROR(MAX(0,FLOOR(($N$2-$N$3)/E499,1))*MAX(1,MIN(IF(G499="",1,G499),FLOOR($N$4/D499,1)))*IF(F499="",1,F499),""))</f>
        <v/>
      </c>
      <c r="K499" s="12">
        <f>IF(A499="","",IF(COUNTIF(DATA!$D$2:$D$500,A499)=0,"CEK SKU tidak ada di DATA",IF(COUNT(C499:E499)&lt;3,"CEK dimensi belum lengkap",IF(OR(C499&lt;=0,D499&lt;=0,E499&lt;=0),"CEK dimensi harus lebih dari 0",IF(COUNTIF($A$2:$A$500,A499)&gt;1,"CEK SKU dobel","OK")))))</f>
        <v/>
      </c>
    </row>
    <row r="500">
      <c r="A500" s="10" t="n"/>
      <c r="B500" s="12">
        <f>IF(A500="","",IFERROR(INDEX(DATA!$E$2:$E$500,MATCH(A500,DATA!$D$2:$D$500,0)),""))</f>
        <v/>
      </c>
      <c r="C500" s="10" t="n"/>
      <c r="D500" s="10" t="n"/>
      <c r="E500" s="10" t="n"/>
      <c r="F500" s="10" t="n"/>
      <c r="G500" s="10" t="n"/>
      <c r="H500" s="10" t="n"/>
      <c r="I500" s="10" t="n"/>
      <c r="J500" s="12">
        <f>IF(OR(A500="",COUNT(C500:E500)&lt;3),"",IFERROR(MAX(0,FLOOR(($N$2-$N$3)/E500,1))*MAX(1,MIN(IF(G500="",1,G500),FLOOR($N$4/D500,1)))*IF(F500="",1,F500),""))</f>
        <v/>
      </c>
      <c r="K500" s="12">
        <f>IF(A500="","",IF(COUNTIF(DATA!$D$2:$D$500,A500)=0,"CEK SKU tidak ada di DATA",IF(COUNT(C500:E500)&lt;3,"CEK dimensi belum lengkap",IF(OR(C500&lt;=0,D500&lt;=0,E500&lt;=0),"CEK dimensi harus lebih dari 0",IF(COUNTIF($A$2:$A$500,A500)&gt;1,"CEK SKU dobel","OK")))))</f>
        <v/>
      </c>
    </row>
  </sheetData>
  <autoFilter ref="A1:K500"/>
  <mergeCells count="1">
    <mergeCell ref="M7:N10"/>
  </mergeCells>
  <conditionalFormatting sqref="K2:K500">
    <cfRule type="expression" priority="1" dxfId="3">
      <formula>LEFT($K2,3)="CEK"</formula>
    </cfRule>
    <cfRule type="expression" priority="2" dxfId="4">
      <formula>$K2="OK"</formula>
    </cfRule>
  </conditionalFormatting>
  <dataValidations count="3">
    <dataValidation sqref="C2:E500" showDropDown="0" showInputMessage="0" showErrorMessage="1" allowBlank="1" errorTitle="Dimensi" error="Isi angka lebih dari 0 (cm)." type="decimal" operator="greaterThan">
      <formula1>0</formula1>
    </dataValidation>
    <dataValidation sqref="F2:G500" showDropDown="0" showInputMessage="0" showErrorMessage="1" allowBlank="1" errorTitle="Angka bulat" error="Isi angka bulat mulai 1." type="whole" operator="greaterThanOrEqual">
      <formula1>1</formula1>
    </dataValidation>
    <dataValidation sqref="H2:H500" showDropDown="0" showInputMessage="0" showErrorMessage="0" allowBlank="1" type="list">
      <formula1>"Ya,Tidak"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8" customWidth="1" min="2" max="2"/>
    <col width="10" customWidth="1" min="3" max="3"/>
    <col width="24" customWidth="1" min="4" max="4"/>
    <col width="40" customWidth="1" min="5" max="5"/>
  </cols>
  <sheetData>
    <row r="1">
      <c r="A1" s="16" t="inlineStr">
        <is>
          <t>jenis_fixture</t>
        </is>
      </c>
      <c r="B1" s="16" t="inlineStr">
        <is>
          <t>ukuran_LxDxT_cm</t>
        </is>
      </c>
      <c r="C1" s="16" t="inlineStr">
        <is>
          <t>shelving_ke</t>
        </is>
      </c>
      <c r="D1" s="16" t="inlineStr">
        <is>
          <t>jenis_zona_seharusnya</t>
        </is>
      </c>
      <c r="E1" s="16" t="inlineStr">
        <is>
          <t>kunci</t>
        </is>
      </c>
    </row>
    <row r="2">
      <c r="A2" s="15" t="inlineStr">
        <is>
          <t>Wall 6 Shelving</t>
        </is>
      </c>
      <c r="B2" s="15" t="inlineStr">
        <is>
          <t>120x50x270 / 120x50x240</t>
        </is>
      </c>
      <c r="C2" s="17" t="n">
        <v>1</v>
      </c>
      <c r="D2" s="15" t="inlineStr">
        <is>
          <t>Shelving</t>
        </is>
      </c>
      <c r="E2" s="18">
        <f>A2&amp;"|"&amp;C2</f>
        <v/>
      </c>
    </row>
    <row r="3">
      <c r="A3" s="15" t="inlineStr">
        <is>
          <t>Wall 6 Shelving</t>
        </is>
      </c>
      <c r="B3" s="15" t="inlineStr">
        <is>
          <t>120x50x270 / 120x50x240</t>
        </is>
      </c>
      <c r="C3" s="17" t="n">
        <v>2</v>
      </c>
      <c r="D3" s="15" t="inlineStr">
        <is>
          <t>Shelving</t>
        </is>
      </c>
      <c r="E3" s="18">
        <f>A3&amp;"|"&amp;C3</f>
        <v/>
      </c>
    </row>
    <row r="4">
      <c r="A4" s="15" t="inlineStr">
        <is>
          <t>Wall 6 Shelving</t>
        </is>
      </c>
      <c r="B4" s="15" t="inlineStr">
        <is>
          <t>120x50x270 / 120x50x240</t>
        </is>
      </c>
      <c r="C4" s="17" t="n">
        <v>3</v>
      </c>
      <c r="D4" s="15" t="inlineStr">
        <is>
          <t>Shelving</t>
        </is>
      </c>
      <c r="E4" s="18">
        <f>A4&amp;"|"&amp;C4</f>
        <v/>
      </c>
    </row>
    <row r="5">
      <c r="A5" s="15" t="inlineStr">
        <is>
          <t>Wall 6 Shelving</t>
        </is>
      </c>
      <c r="B5" s="15" t="inlineStr">
        <is>
          <t>120x50x270 / 120x50x240</t>
        </is>
      </c>
      <c r="C5" s="17" t="n">
        <v>4</v>
      </c>
      <c r="D5" s="15" t="inlineStr">
        <is>
          <t>Shelving</t>
        </is>
      </c>
      <c r="E5" s="18">
        <f>A5&amp;"|"&amp;C5</f>
        <v/>
      </c>
    </row>
    <row r="6">
      <c r="A6" s="15" t="inlineStr">
        <is>
          <t>Wall 6 Shelving</t>
        </is>
      </c>
      <c r="B6" s="15" t="inlineStr">
        <is>
          <t>120x50x270 / 120x50x240</t>
        </is>
      </c>
      <c r="C6" s="17" t="n">
        <v>5</v>
      </c>
      <c r="D6" s="15" t="inlineStr">
        <is>
          <t>Shelving</t>
        </is>
      </c>
      <c r="E6" s="18">
        <f>A6&amp;"|"&amp;C6</f>
        <v/>
      </c>
    </row>
    <row r="7">
      <c r="A7" s="15" t="inlineStr">
        <is>
          <t>Wall 6 Shelving</t>
        </is>
      </c>
      <c r="B7" s="15" t="inlineStr">
        <is>
          <t>120x50x270 / 120x50x240</t>
        </is>
      </c>
      <c r="C7" s="17" t="n">
        <v>6</v>
      </c>
      <c r="D7" s="15" t="inlineStr">
        <is>
          <t>Shelving</t>
        </is>
      </c>
      <c r="E7" s="18">
        <f>A7&amp;"|"&amp;C7</f>
        <v/>
      </c>
    </row>
    <row r="8">
      <c r="A8" s="15" t="inlineStr">
        <is>
          <t>Wall 5 Shelving</t>
        </is>
      </c>
      <c r="B8" s="15" t="inlineStr">
        <is>
          <t>120x50x270 / 120x50x240</t>
        </is>
      </c>
      <c r="C8" s="17" t="n">
        <v>1</v>
      </c>
      <c r="D8" s="15" t="inlineStr">
        <is>
          <t>Shelving</t>
        </is>
      </c>
      <c r="E8" s="18">
        <f>A8&amp;"|"&amp;C8</f>
        <v/>
      </c>
    </row>
    <row r="9">
      <c r="A9" s="15" t="inlineStr">
        <is>
          <t>Wall 5 Shelving</t>
        </is>
      </c>
      <c r="B9" s="15" t="inlineStr">
        <is>
          <t>120x50x270 / 120x50x240</t>
        </is>
      </c>
      <c r="C9" s="17" t="n">
        <v>2</v>
      </c>
      <c r="D9" s="15" t="inlineStr">
        <is>
          <t>Shelving</t>
        </is>
      </c>
      <c r="E9" s="18">
        <f>A9&amp;"|"&amp;C9</f>
        <v/>
      </c>
    </row>
    <row r="10">
      <c r="A10" s="15" t="inlineStr">
        <is>
          <t>Wall 5 Shelving</t>
        </is>
      </c>
      <c r="B10" s="15" t="inlineStr">
        <is>
          <t>120x50x270 / 120x50x240</t>
        </is>
      </c>
      <c r="C10" s="17" t="n">
        <v>3</v>
      </c>
      <c r="D10" s="15" t="inlineStr">
        <is>
          <t>Shelving</t>
        </is>
      </c>
      <c r="E10" s="18">
        <f>A10&amp;"|"&amp;C10</f>
        <v/>
      </c>
    </row>
    <row r="11">
      <c r="A11" s="15" t="inlineStr">
        <is>
          <t>Wall 5 Shelving</t>
        </is>
      </c>
      <c r="B11" s="15" t="inlineStr">
        <is>
          <t>120x50x270 / 120x50x240</t>
        </is>
      </c>
      <c r="C11" s="17" t="n">
        <v>4</v>
      </c>
      <c r="D11" s="15" t="inlineStr">
        <is>
          <t>Shelving</t>
        </is>
      </c>
      <c r="E11" s="18">
        <f>A11&amp;"|"&amp;C11</f>
        <v/>
      </c>
    </row>
    <row r="12">
      <c r="A12" s="15" t="inlineStr">
        <is>
          <t>Wall 5 Shelving</t>
        </is>
      </c>
      <c r="B12" s="15" t="inlineStr">
        <is>
          <t>120x50x270 / 120x50x240</t>
        </is>
      </c>
      <c r="C12" s="17" t="n">
        <v>5</v>
      </c>
      <c r="D12" s="15" t="inlineStr">
        <is>
          <t>Shelving</t>
        </is>
      </c>
      <c r="E12" s="18">
        <f>A12&amp;"|"&amp;C12</f>
        <v/>
      </c>
    </row>
    <row r="13">
      <c r="A13" s="15" t="inlineStr">
        <is>
          <t>Wall 3 Shelving + 2 Gantungan</t>
        </is>
      </c>
      <c r="B13" s="15" t="inlineStr">
        <is>
          <t>120x50x270 / 120x50x240</t>
        </is>
      </c>
      <c r="C13" s="17" t="n">
        <v>1</v>
      </c>
      <c r="D13" s="15" t="inlineStr">
        <is>
          <t>Gantungan</t>
        </is>
      </c>
      <c r="E13" s="18">
        <f>A13&amp;"|"&amp;C13</f>
        <v/>
      </c>
    </row>
    <row r="14">
      <c r="A14" s="15" t="inlineStr">
        <is>
          <t>Wall 3 Shelving + 2 Gantungan</t>
        </is>
      </c>
      <c r="B14" s="15" t="inlineStr">
        <is>
          <t>120x50x270 / 120x50x240</t>
        </is>
      </c>
      <c r="C14" s="17" t="n">
        <v>2</v>
      </c>
      <c r="D14" s="15" t="inlineStr">
        <is>
          <t>Gantungan</t>
        </is>
      </c>
      <c r="E14" s="18">
        <f>A14&amp;"|"&amp;C14</f>
        <v/>
      </c>
    </row>
    <row r="15">
      <c r="A15" s="15" t="inlineStr">
        <is>
          <t>Wall 3 Shelving + 2 Gantungan</t>
        </is>
      </c>
      <c r="B15" s="15" t="inlineStr">
        <is>
          <t>120x50x270 / 120x50x240</t>
        </is>
      </c>
      <c r="C15" s="17" t="n">
        <v>3</v>
      </c>
      <c r="D15" s="15" t="inlineStr">
        <is>
          <t>Shelving</t>
        </is>
      </c>
      <c r="E15" s="18">
        <f>A15&amp;"|"&amp;C15</f>
        <v/>
      </c>
    </row>
    <row r="16">
      <c r="A16" s="15" t="inlineStr">
        <is>
          <t>Wall 3 Shelving + 2 Gantungan</t>
        </is>
      </c>
      <c r="B16" s="15" t="inlineStr">
        <is>
          <t>120x50x270 / 120x50x240</t>
        </is>
      </c>
      <c r="C16" s="17" t="n">
        <v>4</v>
      </c>
      <c r="D16" s="15" t="inlineStr">
        <is>
          <t>Shelving</t>
        </is>
      </c>
      <c r="E16" s="18">
        <f>A16&amp;"|"&amp;C16</f>
        <v/>
      </c>
    </row>
    <row r="17">
      <c r="A17" s="15" t="inlineStr">
        <is>
          <t>Wall 3 Shelving + 2 Gantungan</t>
        </is>
      </c>
      <c r="B17" s="15" t="inlineStr">
        <is>
          <t>120x50x270 / 120x50x240</t>
        </is>
      </c>
      <c r="C17" s="17" t="n">
        <v>5</v>
      </c>
      <c r="D17" s="15" t="inlineStr">
        <is>
          <t>Shelving</t>
        </is>
      </c>
      <c r="E17" s="18">
        <f>A17&amp;"|"&amp;C17</f>
        <v/>
      </c>
    </row>
    <row r="18">
      <c r="A18" s="15" t="inlineStr">
        <is>
          <t>Gondola 4 Shelving</t>
        </is>
      </c>
      <c r="B18" s="15" t="inlineStr">
        <is>
          <t>120x50x150</t>
        </is>
      </c>
      <c r="C18" s="17" t="n">
        <v>1</v>
      </c>
      <c r="D18" s="15" t="inlineStr">
        <is>
          <t>Shelving</t>
        </is>
      </c>
      <c r="E18" s="18">
        <f>A18&amp;"|"&amp;C18</f>
        <v/>
      </c>
    </row>
    <row r="19">
      <c r="A19" s="15" t="inlineStr">
        <is>
          <t>Gondola 4 Shelving</t>
        </is>
      </c>
      <c r="B19" s="15" t="inlineStr">
        <is>
          <t>120x50x150</t>
        </is>
      </c>
      <c r="C19" s="17" t="n">
        <v>2</v>
      </c>
      <c r="D19" s="15" t="inlineStr">
        <is>
          <t>Shelving</t>
        </is>
      </c>
      <c r="E19" s="18">
        <f>A19&amp;"|"&amp;C19</f>
        <v/>
      </c>
    </row>
    <row r="20">
      <c r="A20" s="15" t="inlineStr">
        <is>
          <t>Gondola 4 Shelving</t>
        </is>
      </c>
      <c r="B20" s="15" t="inlineStr">
        <is>
          <t>120x50x150</t>
        </is>
      </c>
      <c r="C20" s="17" t="n">
        <v>3</v>
      </c>
      <c r="D20" s="15" t="inlineStr">
        <is>
          <t>Shelving</t>
        </is>
      </c>
      <c r="E20" s="18">
        <f>A20&amp;"|"&amp;C20</f>
        <v/>
      </c>
    </row>
    <row r="21">
      <c r="A21" s="15" t="inlineStr">
        <is>
          <t>Gondola 4 Shelving</t>
        </is>
      </c>
      <c r="B21" s="15" t="inlineStr">
        <is>
          <t>120x50x150</t>
        </is>
      </c>
      <c r="C21" s="17" t="n">
        <v>4</v>
      </c>
      <c r="D21" s="15" t="inlineStr">
        <is>
          <t>Shelving</t>
        </is>
      </c>
      <c r="E21" s="18">
        <f>A21&amp;"|"&amp;C21</f>
        <v/>
      </c>
    </row>
    <row r="22">
      <c r="A22" s="15" t="inlineStr">
        <is>
          <t>Gondola 3 Shelving</t>
        </is>
      </c>
      <c r="B22" s="15" t="inlineStr">
        <is>
          <t>120x50x150</t>
        </is>
      </c>
      <c r="C22" s="17" t="n">
        <v>1</v>
      </c>
      <c r="D22" s="15" t="inlineStr">
        <is>
          <t>Shelving</t>
        </is>
      </c>
      <c r="E22" s="18">
        <f>A22&amp;"|"&amp;C22</f>
        <v/>
      </c>
    </row>
    <row r="23">
      <c r="A23" s="15" t="inlineStr">
        <is>
          <t>Gondola 3 Shelving</t>
        </is>
      </c>
      <c r="B23" s="15" t="inlineStr">
        <is>
          <t>120x50x150</t>
        </is>
      </c>
      <c r="C23" s="17" t="n">
        <v>2</v>
      </c>
      <c r="D23" s="15" t="inlineStr">
        <is>
          <t>Shelving</t>
        </is>
      </c>
      <c r="E23" s="18">
        <f>A23&amp;"|"&amp;C23</f>
        <v/>
      </c>
    </row>
    <row r="24">
      <c r="A24" s="15" t="inlineStr">
        <is>
          <t>Gondola 3 Shelving</t>
        </is>
      </c>
      <c r="B24" s="15" t="inlineStr">
        <is>
          <t>120x50x150</t>
        </is>
      </c>
      <c r="C24" s="17" t="n">
        <v>3</v>
      </c>
      <c r="D24" s="15" t="inlineStr">
        <is>
          <t>Shelving</t>
        </is>
      </c>
      <c r="E24" s="18">
        <f>A24&amp;"|"&amp;C24</f>
        <v/>
      </c>
    </row>
    <row r="25">
      <c r="A25" s="15" t="inlineStr">
        <is>
          <t>Gondola 2 Gantungan + 2 Shelving</t>
        </is>
      </c>
      <c r="B25" s="15" t="inlineStr">
        <is>
          <t>120x50x150</t>
        </is>
      </c>
      <c r="C25" s="17" t="n">
        <v>1</v>
      </c>
      <c r="D25" s="15" t="inlineStr">
        <is>
          <t>Gantungan</t>
        </is>
      </c>
      <c r="E25" s="18">
        <f>A25&amp;"|"&amp;C25</f>
        <v/>
      </c>
    </row>
    <row r="26">
      <c r="A26" s="15" t="inlineStr">
        <is>
          <t>Gondola 2 Gantungan + 2 Shelving</t>
        </is>
      </c>
      <c r="B26" s="15" t="inlineStr">
        <is>
          <t>120x50x150</t>
        </is>
      </c>
      <c r="C26" s="17" t="n">
        <v>2</v>
      </c>
      <c r="D26" s="15" t="inlineStr">
        <is>
          <t>Gantungan</t>
        </is>
      </c>
      <c r="E26" s="18">
        <f>A26&amp;"|"&amp;C26</f>
        <v/>
      </c>
    </row>
    <row r="27">
      <c r="A27" s="15" t="inlineStr">
        <is>
          <t>Gondola 2 Gantungan + 2 Shelving</t>
        </is>
      </c>
      <c r="B27" s="15" t="inlineStr">
        <is>
          <t>120x50x150</t>
        </is>
      </c>
      <c r="C27" s="17" t="n">
        <v>3</v>
      </c>
      <c r="D27" s="15" t="inlineStr">
        <is>
          <t>Shelving</t>
        </is>
      </c>
      <c r="E27" s="18">
        <f>A27&amp;"|"&amp;C27</f>
        <v/>
      </c>
    </row>
    <row r="28">
      <c r="A28" s="15" t="inlineStr">
        <is>
          <t>Gondola 2 Gantungan + 2 Shelving</t>
        </is>
      </c>
      <c r="B28" s="15" t="inlineStr">
        <is>
          <t>120x50x150</t>
        </is>
      </c>
      <c r="C28" s="17" t="n">
        <v>4</v>
      </c>
      <c r="D28" s="15" t="inlineStr">
        <is>
          <t>Shelving</t>
        </is>
      </c>
      <c r="E28" s="18">
        <f>A28&amp;"|"&amp;C28</f>
        <v/>
      </c>
    </row>
    <row r="29">
      <c r="A29" s="15" t="inlineStr">
        <is>
          <t>Gondola 3 Shelving + 1 Gantungan</t>
        </is>
      </c>
      <c r="B29" s="15" t="inlineStr">
        <is>
          <t>120x50x150</t>
        </is>
      </c>
      <c r="C29" s="17" t="n">
        <v>1</v>
      </c>
      <c r="D29" s="15" t="inlineStr">
        <is>
          <t>Shelving</t>
        </is>
      </c>
      <c r="E29" s="18">
        <f>A29&amp;"|"&amp;C29</f>
        <v/>
      </c>
    </row>
    <row r="30">
      <c r="A30" s="15" t="inlineStr">
        <is>
          <t>Gondola 3 Shelving + 1 Gantungan</t>
        </is>
      </c>
      <c r="B30" s="15" t="inlineStr">
        <is>
          <t>120x50x150</t>
        </is>
      </c>
      <c r="C30" s="17" t="n">
        <v>2</v>
      </c>
      <c r="D30" s="15" t="inlineStr">
        <is>
          <t>Gantungan</t>
        </is>
      </c>
      <c r="E30" s="18">
        <f>A30&amp;"|"&amp;C30</f>
        <v/>
      </c>
    </row>
    <row r="31">
      <c r="A31" s="15" t="inlineStr">
        <is>
          <t>Gondola 3 Shelving + 1 Gantungan</t>
        </is>
      </c>
      <c r="B31" s="15" t="inlineStr">
        <is>
          <t>120x50x150</t>
        </is>
      </c>
      <c r="C31" s="17" t="n">
        <v>3</v>
      </c>
      <c r="D31" s="15" t="inlineStr">
        <is>
          <t>Shelving</t>
        </is>
      </c>
      <c r="E31" s="18">
        <f>A31&amp;"|"&amp;C31</f>
        <v/>
      </c>
    </row>
    <row r="32">
      <c r="A32" s="15" t="inlineStr">
        <is>
          <t>Gondola 3 Shelving + 1 Gantungan</t>
        </is>
      </c>
      <c r="B32" s="15" t="inlineStr">
        <is>
          <t>120x50x150</t>
        </is>
      </c>
      <c r="C32" s="17" t="n">
        <v>4</v>
      </c>
      <c r="D32" s="15" t="inlineStr">
        <is>
          <t>Shelving</t>
        </is>
      </c>
      <c r="E32" s="18">
        <f>A32&amp;"|"&amp;C32</f>
        <v/>
      </c>
    </row>
    <row r="33">
      <c r="A33" s="15" t="inlineStr">
        <is>
          <t>Gondola 2 Shelving + 2 Gantungan</t>
        </is>
      </c>
      <c r="B33" s="15" t="inlineStr">
        <is>
          <t>120x50x150</t>
        </is>
      </c>
      <c r="C33" s="17" t="n">
        <v>1</v>
      </c>
      <c r="D33" s="15" t="inlineStr">
        <is>
          <t>Shelving</t>
        </is>
      </c>
      <c r="E33" s="18">
        <f>A33&amp;"|"&amp;C33</f>
        <v/>
      </c>
    </row>
    <row r="34">
      <c r="A34" s="15" t="inlineStr">
        <is>
          <t>Gondola 2 Shelving + 2 Gantungan</t>
        </is>
      </c>
      <c r="B34" s="15" t="inlineStr">
        <is>
          <t>120x50x150</t>
        </is>
      </c>
      <c r="C34" s="17" t="n">
        <v>2</v>
      </c>
      <c r="D34" s="15" t="inlineStr">
        <is>
          <t>Gantungan</t>
        </is>
      </c>
      <c r="E34" s="18">
        <f>A34&amp;"|"&amp;C34</f>
        <v/>
      </c>
    </row>
    <row r="35">
      <c r="A35" s="15" t="inlineStr">
        <is>
          <t>Gondola 2 Shelving + 2 Gantungan</t>
        </is>
      </c>
      <c r="B35" s="15" t="inlineStr">
        <is>
          <t>120x50x150</t>
        </is>
      </c>
      <c r="C35" s="17" t="n">
        <v>3</v>
      </c>
      <c r="D35" s="15" t="inlineStr">
        <is>
          <t>Gantungan</t>
        </is>
      </c>
      <c r="E35" s="18">
        <f>A35&amp;"|"&amp;C35</f>
        <v/>
      </c>
    </row>
    <row r="36">
      <c r="A36" s="15" t="inlineStr">
        <is>
          <t>Gondola 2 Shelving + 2 Gantungan</t>
        </is>
      </c>
      <c r="B36" s="15" t="inlineStr">
        <is>
          <t>120x50x150</t>
        </is>
      </c>
      <c r="C36" s="17" t="n">
        <v>4</v>
      </c>
      <c r="D36" s="15" t="inlineStr">
        <is>
          <t>Shelving</t>
        </is>
      </c>
      <c r="E36" s="18">
        <f>A36&amp;"|"&amp;C36</f>
        <v/>
      </c>
    </row>
    <row r="37">
      <c r="A37" s="15" t="inlineStr">
        <is>
          <t>Endcap 4 Shelving</t>
        </is>
      </c>
      <c r="B37" s="15" t="inlineStr">
        <is>
          <t>100x50x150</t>
        </is>
      </c>
      <c r="C37" s="17" t="n">
        <v>1</v>
      </c>
      <c r="D37" s="15" t="inlineStr">
        <is>
          <t>Shelving</t>
        </is>
      </c>
      <c r="E37" s="18">
        <f>A37&amp;"|"&amp;C37</f>
        <v/>
      </c>
    </row>
    <row r="38">
      <c r="A38" s="15" t="inlineStr">
        <is>
          <t>Endcap 4 Shelving</t>
        </is>
      </c>
      <c r="B38" s="15" t="inlineStr">
        <is>
          <t>100x50x150</t>
        </is>
      </c>
      <c r="C38" s="17" t="n">
        <v>2</v>
      </c>
      <c r="D38" s="15" t="inlineStr">
        <is>
          <t>Shelving</t>
        </is>
      </c>
      <c r="E38" s="18">
        <f>A38&amp;"|"&amp;C38</f>
        <v/>
      </c>
    </row>
    <row r="39">
      <c r="A39" s="15" t="inlineStr">
        <is>
          <t>Endcap 4 Shelving</t>
        </is>
      </c>
      <c r="B39" s="15" t="inlineStr">
        <is>
          <t>100x50x150</t>
        </is>
      </c>
      <c r="C39" s="17" t="n">
        <v>3</v>
      </c>
      <c r="D39" s="15" t="inlineStr">
        <is>
          <t>Shelving</t>
        </is>
      </c>
      <c r="E39" s="18">
        <f>A39&amp;"|"&amp;C39</f>
        <v/>
      </c>
    </row>
    <row r="40">
      <c r="A40" s="15" t="inlineStr">
        <is>
          <t>Endcap 4 Shelving</t>
        </is>
      </c>
      <c r="B40" s="15" t="inlineStr">
        <is>
          <t>100x50x150</t>
        </is>
      </c>
      <c r="C40" s="17" t="n">
        <v>4</v>
      </c>
      <c r="D40" s="15" t="inlineStr">
        <is>
          <t>Shelving</t>
        </is>
      </c>
      <c r="E40" s="18">
        <f>A40&amp;"|"&amp;C40</f>
        <v/>
      </c>
    </row>
    <row r="41">
      <c r="A41" s="15" t="inlineStr">
        <is>
          <t>Endcap 3 Shelving</t>
        </is>
      </c>
      <c r="B41" s="15" t="inlineStr">
        <is>
          <t>100x50x150</t>
        </is>
      </c>
      <c r="C41" s="17" t="n">
        <v>1</v>
      </c>
      <c r="D41" s="15" t="inlineStr">
        <is>
          <t>Shelving</t>
        </is>
      </c>
      <c r="E41" s="18">
        <f>A41&amp;"|"&amp;C41</f>
        <v/>
      </c>
    </row>
    <row r="42">
      <c r="A42" s="15" t="inlineStr">
        <is>
          <t>Endcap 3 Shelving</t>
        </is>
      </c>
      <c r="B42" s="15" t="inlineStr">
        <is>
          <t>100x50x150</t>
        </is>
      </c>
      <c r="C42" s="17" t="n">
        <v>2</v>
      </c>
      <c r="D42" s="15" t="inlineStr">
        <is>
          <t>Shelving</t>
        </is>
      </c>
      <c r="E42" s="18">
        <f>A42&amp;"|"&amp;C42</f>
        <v/>
      </c>
    </row>
    <row r="43">
      <c r="A43" s="15" t="inlineStr">
        <is>
          <t>Endcap 3 Shelving</t>
        </is>
      </c>
      <c r="B43" s="15" t="inlineStr">
        <is>
          <t>100x50x150</t>
        </is>
      </c>
      <c r="C43" s="17" t="n">
        <v>3</v>
      </c>
      <c r="D43" s="15" t="inlineStr">
        <is>
          <t>Shelving</t>
        </is>
      </c>
      <c r="E43" s="18">
        <f>A43&amp;"|"&amp;C43</f>
        <v/>
      </c>
    </row>
    <row r="44">
      <c r="A44" s="15" t="inlineStr">
        <is>
          <t>Pallet 90x90</t>
        </is>
      </c>
      <c r="B44" s="15" t="inlineStr">
        <is>
          <t>90x90x100</t>
        </is>
      </c>
      <c r="C44" s="17" t="n">
        <v>1</v>
      </c>
      <c r="D44" s="15" t="inlineStr">
        <is>
          <t>Shelving</t>
        </is>
      </c>
      <c r="E44" s="18">
        <f>A44&amp;"|"&amp;C44</f>
        <v/>
      </c>
    </row>
    <row r="45">
      <c r="A45" s="15" t="n"/>
      <c r="B45" s="15" t="n"/>
      <c r="C45" s="17" t="n"/>
      <c r="D45" s="15" t="n"/>
      <c r="E45" s="18" t="n"/>
    </row>
    <row r="46">
      <c r="A46" s="15" t="inlineStr">
        <is>
          <t>Sheet ini referensi (jangan diubah). Zona dihitung dari atas ke bawah.</t>
        </is>
      </c>
      <c r="B46" s="15" t="n"/>
      <c r="C46" s="17" t="n"/>
      <c r="D46" s="15" t="n"/>
      <c r="E46" s="18" t="n"/>
    </row>
    <row r="47">
      <c r="A47" s="15" t="n"/>
      <c r="B47" s="15" t="n"/>
      <c r="C47" s="17" t="n"/>
      <c r="D47" s="15" t="n"/>
      <c r="E47" s="18" t="n"/>
    </row>
    <row r="48">
      <c r="A48" s="15" t="n"/>
      <c r="B48" s="15" t="n"/>
      <c r="C48" s="17" t="n"/>
      <c r="D48" s="15" t="n"/>
      <c r="E48" s="18" t="n"/>
    </row>
    <row r="50">
      <c r="A50" s="1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2026-10-02T06:54:33Z</dcterms:created>
  <dcterms:modified xmlns:dcterms="http://purl.org/dc/terms/" xmlns:xsi="http://www.w3.org/2001/XMLSchema-instance" xsi:type="dcterms:W3CDTF">2026-10-07T04:05:12Z</dcterms:modified>
</cp:coreProperties>
</file>